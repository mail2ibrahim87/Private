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ote Info" sheetId="1" state="visible" r:id="rId3"/>
    <sheet name="Rates" sheetId="2" state="visible" r:id="rId4"/>
    <sheet name="CC Settings" sheetId="3" state="visible" r:id="rId5"/>
    <sheet name="CC Volume" sheetId="4" state="visible" r:id="rId6"/>
    <sheet name="CC Chemicals" sheetId="5" state="visible" r:id="rId7"/>
    <sheet name="CC Costing" sheetId="6" state="visible" r:id="rId8"/>
    <sheet name="CC Item Pricing" sheetId="7" state="visible" r:id="rId9"/>
    <sheet name="CC Summary" sheetId="8" state="visible" r:id="rId10"/>
    <sheet name="CC Client Quote" sheetId="9" state="visible" r:id="rId11"/>
    <sheet name="Lookup" sheetId="10" state="hidden" r:id="rId12"/>
    <sheet name="CC Alloc" sheetId="11" state="hidden" r:id="rId13"/>
  </sheets>
  <definedNames>
    <definedName function="false" hidden="false" localSheetId="5" name="_xlnm.Print_Area" vbProcedure="false">'CC Costing'!$A$1:$L$103</definedName>
    <definedName function="false" hidden="false" localSheetId="6" name="_xlnm.Print_Area" vbProcedure="false">'CC Item Pricing'!$A$1:$X$405</definedName>
    <definedName function="false" hidden="false" localSheetId="6" name="_xlnm.Print_Titles" vbProcedure="false">'CC Item Pricing'!$6:$7</definedName>
    <definedName function="false" hidden="false" localSheetId="3" name="_xlnm.Print_Area" vbProcedure="false">'CC Volume'!$A$1:$AO$405</definedName>
    <definedName function="false" hidden="false" localSheetId="3" name="_xlnm.Print_Titles" vbProcedure="false">'CC Volume'!$5:$7</definedName>
    <definedName function="false" hidden="false" name="BasisU" vbProcedure="false">Lookup!$P$4:$P$6</definedName>
    <definedName function="false" hidden="false" name="CC_AllocBasis" vbProcedure="false">'CC Costing'!$C$12</definedName>
    <definedName function="false" hidden="false" name="CC_ChemCost" vbProcedure="false">'CC Item Pricing'!$K$405</definedName>
    <definedName function="false" hidden="false" name="CC_ChemSell" vbProcedure="false">'CC Item Pricing'!$Q$405</definedName>
    <definedName function="false" hidden="false" name="CC_Client" vbProcedure="false">'CC Settings'!$C$5</definedName>
    <definedName function="false" hidden="false" name="CC_Cost" vbProcedure="false">'CC Costing'!$I$26</definedName>
    <definedName function="false" hidden="false" name="CC_Crew" vbProcedure="false">'CC Costing'!$D$38:$D$49</definedName>
    <definedName function="false" hidden="false" name="CC_Days" vbProcedure="false">'CC Costing'!$C$10</definedName>
    <definedName function="false" hidden="false" name="CC_DefAllow" vbProcedure="false">'CC Settings'!$C$16</definedName>
    <definedName function="false" hidden="false" name="CC_DefCirc" vbProcedure="false">'CC Settings'!$C$14</definedName>
    <definedName function="false" hidden="false" name="CC_DefFills" vbProcedure="false">'CC Settings'!$C$15</definedName>
    <definedName function="false" hidden="false" name="CC_Discount" vbProcedure="false">'CC Costing'!$K$29</definedName>
    <definedName function="false" hidden="false" name="CC_IncWaste" vbProcedure="false">'CC Costing'!$C$13</definedName>
    <definedName function="false" hidden="false" name="CC_JobType" vbProcedure="false">'CC Settings'!$C$9</definedName>
    <definedName function="false" hidden="false" name="CC_LoopD" vbProcedure="false">'CC Settings'!$C$51:$C$90</definedName>
    <definedName function="false" hidden="false" name="CC_LoopU" vbProcedure="false">'CC Settings'!$B$51:$B$90</definedName>
    <definedName function="false" hidden="false" name="CC_Mode" vbProcedure="false">'CC Costing'!$C$14</definedName>
    <definedName function="false" hidden="false" name="CC_Net" vbProcedure="false">'CC Costing'!$K$30</definedName>
    <definedName function="false" hidden="false" name="CC_NetCheck" vbProcedure="false">'CC Item Pricing'!$W$405</definedName>
    <definedName function="false" hidden="false" name="CC_NItems" vbProcedure="false">'CC Alloc'!$P$4</definedName>
    <definedName function="false" hidden="false" name="CC_PitchRatio" vbProcedure="false">'CC Settings'!$C$13</definedName>
    <definedName function="false" hidden="false" name="CC_Plant" vbProcedure="false">'CC Settings'!$C$6</definedName>
    <definedName function="false" hidden="false" name="CC_PriceGross" vbProcedure="false">'CC Costing'!$K$28</definedName>
    <definedName function="false" hidden="false" name="CC_ProjNo" vbProcedure="false">'CC Settings'!$C$7</definedName>
    <definedName function="false" hidden="false" name="CC_P_chem" vbProcedure="false">'CC Item Pricing'!$K$9:$K$405</definedName>
    <definedName function="false" hidden="false" name="CC_P_cost" vbProcedure="false">'CC Item Pricing'!$P$9:$P$405</definedName>
    <definedName function="false" hidden="false" name="CC_P_desc" vbProcedure="false">'CC Item Pricing'!$D$9:$D$405</definedName>
    <definedName function="false" hidden="false" name="CC_P_loop" vbProcedure="false">'CC Item Pricing'!$B$9:$B$405</definedName>
    <definedName function="false" hidden="false" name="CC_P_M" vbProcedure="false">'CC Item Pricing'!$M$9:$M$405</definedName>
    <definedName function="false" hidden="false" name="CC_P_net" vbProcedure="false">'CC Item Pricing'!$W$9:$W$405</definedName>
    <definedName function="false" hidden="false" name="CC_P_sol" vbProcedure="false">'CC Item Pricing'!$H$9:$H$405</definedName>
    <definedName function="false" hidden="false" name="CC_P_tag" vbProcedure="false">'CC Item Pricing'!$C$9:$C$405</definedName>
    <definedName function="false" hidden="false" name="CC_P_unit" vbProcedure="false">'CC Item Pricing'!$Y$9:$Y$405</definedName>
    <definedName function="false" hidden="false" name="CC_P_vol" vbProcedure="false">'CC Item Pricing'!$G$9:$G$405</definedName>
    <definedName function="false" hidden="false" name="CC_P_waste" vbProcedure="false">'CC Item Pricing'!$I$9:$I$405</definedName>
    <definedName function="false" hidden="false" name="CC_P_wastec" vbProcedure="false">'CC Item Pricing'!$L$9:$L$405</definedName>
    <definedName function="false" hidden="false" name="CC_RegCost" vbProcedure="false">'CC Chemicals'!$F$5:$F$8</definedName>
    <definedName function="false" hidden="false" name="CC_RegRate" vbProcedure="false">'CC Chemicals'!$G$5:$G$8</definedName>
    <definedName function="false" hidden="false" name="CC_RegTons" vbProcedure="false">'CC Chemicals'!$E$5:$E$8</definedName>
    <definedName function="false" hidden="false" name="CC_RegU" vbProcedure="false">'CC Settings'!$C$44:$C$47</definedName>
    <definedName function="false" hidden="false" name="CC_SharedCost" vbProcedure="false">'CC Costing'!$I$23</definedName>
    <definedName function="false" hidden="false" name="CC_SharedSell" vbProcedure="false">'CC Costing'!$K$23</definedName>
    <definedName function="false" hidden="false" name="CC_TypeFillCC" vbProcedure="false">'CC Settings'!$C$20:$C$26</definedName>
    <definedName function="false" hidden="false" name="CC_TypeFillDC" vbProcedure="false">'CC Settings'!$D$20:$D$26</definedName>
    <definedName function="false" hidden="false" name="CC_TypeL" vbProcedure="false">'CC Settings'!$B$20:$B$26</definedName>
    <definedName function="false" hidden="false" name="CC_UnitNames" vbProcedure="false">'CC Settings'!$C$30:$C$41</definedName>
    <definedName function="false" hidden="false" name="CC_V_GrandSol" vbProcedure="false">'CC Volume'!$AO$405</definedName>
    <definedName function="false" hidden="false" name="CC_V_GrandVol" vbProcedure="false">'CC Volume'!$AN$405</definedName>
    <definedName function="false" hidden="false" name="CC_V_GrandWaste" vbProcedure="false">'CC Volume'!$AM$405</definedName>
    <definedName function="false" hidden="false" name="CC_V_loop" vbProcedure="false">'CC Volume'!$B$9:$B$405</definedName>
    <definedName function="false" hidden="false" name="CC_V_reg" vbProcedure="false">'CC Volume'!$F$9:$F$405</definedName>
    <definedName function="false" hidden="false" name="CC_V_sol" vbProcedure="false">'CC Volume'!$AO$9:$AO$405</definedName>
    <definedName function="false" hidden="false" name="CC_V_tag" vbProcedure="false">'CC Volume'!$C$9:$C$405</definedName>
    <definedName function="false" hidden="false" name="CC_V_type" vbProcedure="false">'CC Volume'!$E$9:$E$405</definedName>
    <definedName function="false" hidden="false" name="CC_V_vol" vbProcedure="false">'CC Volume'!$AN$9:$AN$405</definedName>
    <definedName function="false" hidden="false" name="CC_V_waste" vbProcedure="false">'CC Volume'!$AM$9:$AM$405</definedName>
    <definedName function="false" hidden="false" name="CC_V_x_unit" vbProcedure="false">'CC Volume'!$AU$9:$AU$405</definedName>
    <definedName function="false" hidden="false" name="CC_WasteCost" vbProcedure="false">'CC Item Pricing'!$L$405</definedName>
    <definedName function="false" hidden="false" name="CC_WasteSell" vbProcedure="false">'CC Item Pricing'!$R$405</definedName>
    <definedName function="false" hidden="false" name="CC_WaterRho" vbProcedure="false">'CC Settings'!$C$12</definedName>
    <definedName function="false" hidden="false" name="CHPriceKg" vbProcedure="false">Rates!$G$67:$G$91</definedName>
    <definedName function="false" hidden="false" name="CHPurity" vbProcedure="false">Rates!$C$67:$C$91</definedName>
    <definedName function="false" hidden="false" name="CHU" vbProcedure="false">Rates!$B$67:$B$91</definedName>
    <definedName function="false" hidden="false" name="CNCost" vbProcedure="false">Rates!$D$95:$D$109</definedName>
    <definedName function="false" hidden="false" name="CNU" vbProcedure="false">Rates!$B$95:$B$109</definedName>
    <definedName function="false" hidden="false" name="CNUnit" vbProcedure="false">Rates!$C$95:$C$109</definedName>
    <definedName function="false" hidden="false" name="CoAddr" vbProcedure="false">'Quote Info'!$C$59</definedName>
    <definedName function="false" hidden="false" name="CoCert" vbProcedure="false">'Quote Info'!$C$63</definedName>
    <definedName function="false" hidden="false" name="CoName" vbProcedure="false">'Quote Info'!$C$58</definedName>
    <definedName function="false" hidden="false" name="CoTag" vbProcedure="false">'Quote Info'!$C$62</definedName>
    <definedName function="false" hidden="false" name="CoTel" vbProcedure="false">'Quote Info'!$C$60</definedName>
    <definedName function="false" hidden="false" name="CoWeb" vbProcedure="false">'Quote Info'!$C$61</definedName>
    <definedName function="false" hidden="false" name="CurrRate" vbProcedure="false">'Quote Info'!$C$18:$C$22</definedName>
    <definedName function="false" hidden="false" name="CurrU" vbProcedure="false">'Quote Info'!$B$18:$B$22</definedName>
    <definedName function="false" hidden="false" name="EQCost" vbProcedure="false">Rates!$D$27:$D$63</definedName>
    <definedName function="false" hidden="false" name="EQRent" vbProcedure="false">Rates!$E$27:$E$63</definedName>
    <definedName function="false" hidden="false" name="EQU" vbProcedure="false">Rates!$B$27:$B$63</definedName>
    <definedName function="false" hidden="false" name="EQUnit" vbProcedure="false">Rates!$C$27:$C$63</definedName>
    <definedName function="false" hidden="false" name="HeadK" vbProcedure="false">Lookup!$K$4:$K$9</definedName>
    <definedName function="false" hidden="false" name="HeadU" vbProcedure="false">Lookup!$J$4:$J$9</definedName>
    <definedName function="false" hidden="false" name="JobU" vbProcedure="false">Lookup!$T$4:$T$5</definedName>
    <definedName function="false" hidden="false" name="LayoutF" vbProcedure="false">Lookup!$N$4:$N$7</definedName>
    <definedName function="false" hidden="false" name="LayoutU" vbProcedure="false">Lookup!$M$4:$M$7</definedName>
    <definedName function="false" hidden="false" name="LenF" vbProcedure="false">Lookup!$B$4:$B$8</definedName>
    <definedName function="false" hidden="false" name="LenU" vbProcedure="false">Lookup!$A$4:$A$8</definedName>
    <definedName function="false" hidden="false" name="MkCons" vbProcedure="false">'Quote Info'!$C$37</definedName>
    <definedName function="false" hidden="false" name="MkIn" vbProcedure="false">'Quote Info'!$C$31</definedName>
    <definedName function="false" hidden="false" name="MkInEq" vbProcedure="false">'Quote Info'!$C$35</definedName>
    <definedName function="false" hidden="false" name="MkInMP" vbProcedure="false">'Quote Info'!$C$33</definedName>
    <definedName function="false" hidden="false" name="MkMatrix" vbProcedure="false">'Quote Info'!$C$40:$E$42</definedName>
    <definedName function="false" hidden="false" name="MkModeU" vbProcedure="false">'Quote Info'!$E$30:$F$30</definedName>
    <definedName function="false" hidden="false" name="MkRent" vbProcedure="false">'Quote Info'!$C$32</definedName>
    <definedName function="false" hidden="false" name="MkRentEq" vbProcedure="false">'Quote Info'!$C$36</definedName>
    <definedName function="false" hidden="false" name="MkRentMP" vbProcedure="false">'Quote Info'!$C$34</definedName>
    <definedName function="false" hidden="false" name="MPCost" vbProcedure="false">Rates!$D$6:$D$23</definedName>
    <definedName function="false" hidden="false" name="MPRent" vbProcedure="false">Rates!$E$6:$E$23</definedName>
    <definedName function="false" hidden="false" name="MPU" vbProcedure="false">Rates!$B$6:$B$23</definedName>
    <definedName function="false" hidden="false" name="NPSU" vbProcedure="false">Lookup!$A$16:$A$36</definedName>
    <definedName function="false" hidden="false" name="PipeOD" vbProcedure="false">Lookup!$B$16:$B$36</definedName>
    <definedName function="false" hidden="false" name="PipeWT" vbProcedure="false">Lookup!$C$16:$S$36</definedName>
    <definedName function="false" hidden="false" name="QAttn" vbProcedure="false">'Quote Info'!$C$9</definedName>
    <definedName function="false" hidden="false" name="QClient" vbProcedure="false">'Quote Info'!$C$8</definedName>
    <definedName function="false" hidden="false" name="QCont" vbProcedure="false">'Quote Info'!$C$45</definedName>
    <definedName function="false" hidden="false" name="QCurr" vbProcedure="false">'Quote Info'!$C$16</definedName>
    <definedName function="false" hidden="false" name="QDate" vbProcedure="false">'Quote Info'!$C$7</definedName>
    <definedName function="false" hidden="false" name="QDisc" vbProcedure="false">'Quote Info'!$C$46</definedName>
    <definedName function="false" hidden="false" name="QLoc" vbProcedure="false">'Quote Info'!$C$11</definedName>
    <definedName function="false" hidden="false" name="QMkMode" vbProcedure="false">'Quote Info'!$C$30</definedName>
    <definedName function="false" hidden="false" name="QNo" vbProcedure="false">'Quote Info'!$C$5</definedName>
    <definedName function="false" hidden="false" name="QPrep" vbProcedure="false">'Quote Info'!$C$13</definedName>
    <definedName function="false" hidden="false" name="QProject" vbProcedure="false">'Quote Info'!$C$10</definedName>
    <definedName function="false" hidden="false" name="QRate" vbProcedure="false">'Quote Info'!$C$23</definedName>
    <definedName function="false" hidden="false" name="QRef" vbProcedure="false">'Quote Info'!$C$12</definedName>
    <definedName function="false" hidden="false" name="QRev" vbProcedure="false">'Quote Info'!$C$6</definedName>
    <definedName function="false" hidden="false" name="QShiftH" vbProcedure="false">'Quote Info'!$C$26</definedName>
    <definedName function="false" hidden="false" name="QShiftsDay" vbProcedure="false">'Quote Info'!$C$27</definedName>
    <definedName function="false" hidden="false" name="QTClient" vbProcedure="false">'Quote Info'!$C$54</definedName>
    <definedName function="false" hidden="false" name="QTExcl" vbProcedure="false">'Quote Info'!$C$53</definedName>
    <definedName function="false" hidden="false" name="QTMob" vbProcedure="false">'Quote Info'!$C$52</definedName>
    <definedName function="false" hidden="false" name="QTNotes" vbProcedure="false">'Quote Info'!$C$55</definedName>
    <definedName function="false" hidden="false" name="QTPayment" vbProcedure="false">'Quote Info'!$C$51</definedName>
    <definedName function="false" hidden="false" name="QTValidity" vbProcedure="false">'Quote Info'!$C$50</definedName>
    <definedName function="false" hidden="false" name="QVAT" vbProcedure="false">'Quote Info'!$C$47</definedName>
    <definedName function="false" hidden="false" name="SchU" vbProcedure="false">Lookup!$C$15:$S$15</definedName>
    <definedName function="false" hidden="false" name="SrcU" vbProcedure="false">'Quote Info'!$C$39:$E$39</definedName>
    <definedName function="false" hidden="false" name="TypeU" vbProcedure="false">Lookup!$R$4:$R$10</definedName>
    <definedName function="false" hidden="false" name="VHCost" vbProcedure="false">Rates!$D$113:$D$119</definedName>
    <definedName function="false" hidden="false" name="VHU" vbProcedure="false">Rates!$B$113:$B$119</definedName>
    <definedName function="false" hidden="false" name="VolF" vbProcedure="false">Lookup!$E$4:$E$9</definedName>
    <definedName function="false" hidden="false" name="VolU" vbProcedure="false">Lookup!$D$4:$D$9</definedName>
    <definedName function="false" hidden="false" name="WtF" vbProcedure="false">Lookup!$H$4:$H$6</definedName>
    <definedName function="false" hidden="false" name="WtU" vbProcedure="false">Lookup!$G$4:$G$6</definedName>
    <definedName function="false" hidden="false" name="XAcc" vbProcedure="false">Rates!$D$124</definedName>
    <definedName function="false" hidden="false" name="XCrewVT" vbProcedure="false">Rates!$D$127</definedName>
    <definedName function="false" hidden="false" name="XFAT" vbProcedure="false">Rates!$D$123</definedName>
    <definedName function="false" hidden="false" name="XFlight" vbProcedure="false">Rates!$D$126</definedName>
    <definedName function="false" hidden="false" name="XTrans" vbProcedure="false">Rates!$D$128</definedName>
    <definedName function="false" hidden="false" name="XVisa" vbProcedure="false">Rates!$D$125</definedName>
    <definedName function="false" hidden="false" name="XWaste" vbProcedure="false">Rates!$D$95</definedName>
    <definedName function="false" hidden="false" localSheetId="8" name="_xlnm.Print_Area" vbProcedure="false">OFFSET('CC Client Quote'!$A$1,0,0,40+MAX(1,CC_NItems),7)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<sst xmlns="http://schemas.openxmlformats.org/spreadsheetml/2006/main" count="1484" uniqueCount="608">
  <si>
    <t xml:space="preserve">DELIGHT INTERNATIONAL – PRICING: QUOTE INFORMATION</t>
  </si>
  <si>
    <t xml:space="preserve">Fill in this sheet first. Yellow = input (blue text) · green = calculated. Markups, contingency, discount and VAT apply to every service in this workbook.</t>
  </si>
  <si>
    <t xml:space="preserve">QUOTATION DETAILS</t>
  </si>
  <si>
    <t xml:space="preserve">Quotation No.</t>
  </si>
  <si>
    <t xml:space="preserve">Revision</t>
  </si>
  <si>
    <t xml:space="preserve">Date</t>
  </si>
  <si>
    <t xml:space="preserve">Client</t>
  </si>
  <si>
    <t xml:space="preserve">Attention (client contact)</t>
  </si>
  <si>
    <t xml:space="preserve">Project / Plant</t>
  </si>
  <si>
    <t xml:space="preserve">Location / site</t>
  </si>
  <si>
    <t xml:space="preserve">Client enquiry / RFQ reference</t>
  </si>
  <si>
    <t xml:space="preserve">Prepared by</t>
  </si>
  <si>
    <t xml:space="preserve">CURRENCY  (rates are entered in AED; the client quote is converted)</t>
  </si>
  <si>
    <t xml:space="preserve">Quote currency</t>
  </si>
  <si>
    <t xml:space="preserve">AED</t>
  </si>
  <si>
    <t xml:space="preserve">Currency</t>
  </si>
  <si>
    <t xml:space="preserve">AED per 1 unit</t>
  </si>
  <si>
    <t xml:space="preserve">Source</t>
  </si>
  <si>
    <t xml:space="preserve">Base currency</t>
  </si>
  <si>
    <t xml:space="preserve">USD</t>
  </si>
  <si>
    <t xml:space="preserve">UAE central bank peg (AED 3.6725 = USD 1)</t>
  </si>
  <si>
    <t xml:space="preserve">SAR</t>
  </si>
  <si>
    <t xml:space="preserve">Via USD pegs (SAR 3.75 = USD 1)</t>
  </si>
  <si>
    <t xml:space="preserve">OMR</t>
  </si>
  <si>
    <t xml:space="preserve">Via USD pegs (OMR 0.3845 = USD 1)</t>
  </si>
  <si>
    <t xml:space="preserve">GBP</t>
  </si>
  <si>
    <t xml:space="preserve">DUQM Rev 1.0 market rate 17-Jun-2026 – update</t>
  </si>
  <si>
    <t xml:space="preserve">Exchange rate used (AED per 1 quote-currency unit)</t>
  </si>
  <si>
    <t xml:space="preserve">WORKING PATTERN</t>
  </si>
  <si>
    <t xml:space="preserve">Shift length (hours)</t>
  </si>
  <si>
    <t xml:space="preserve">Manpower rates are per person per shift (12-hour day)</t>
  </si>
  <si>
    <t xml:space="preserve">Shifts per day (1 = day only, 2 = 24-hour)</t>
  </si>
  <si>
    <t xml:space="preserve">MARKUP CONTROLS  (selling = cost × (1 + markup))</t>
  </si>
  <si>
    <t xml:space="preserve">Markup mode</t>
  </si>
  <si>
    <t xml:space="preserve">Simple</t>
  </si>
  <si>
    <t xml:space="preserve">Detailed</t>
  </si>
  <si>
    <t xml:space="preserve">Simple = 2 markups (in-house / rented).  Detailed = 5 markups.</t>
  </si>
  <si>
    <t xml:space="preserve">SIMPLE – In-house crew &amp; equipment</t>
  </si>
  <si>
    <t xml:space="preserve">30% = highest of ASAB R2 (30%) and DUQM Rev 1.0 (10–30%) – edit per job</t>
  </si>
  <si>
    <t xml:space="preserve">SIMPLE – Rented crew &amp; equipment, bought-in items</t>
  </si>
  <si>
    <t xml:space="preserve">DETAILED – In-house manpower</t>
  </si>
  <si>
    <t xml:space="preserve">DETAILED – Rented manpower</t>
  </si>
  <si>
    <t xml:space="preserve">DETAILED – In-house equipment</t>
  </si>
  <si>
    <t xml:space="preserve">DETAILED – Rented equipment</t>
  </si>
  <si>
    <t xml:space="preserve">DETAILED – Chemicals, consumables &amp; third-party services</t>
  </si>
  <si>
    <t xml:space="preserve">Effective markup applied (calculated)</t>
  </si>
  <si>
    <t xml:space="preserve">In-house</t>
  </si>
  <si>
    <t xml:space="preserve">Rented</t>
  </si>
  <si>
    <t xml:space="preserve">Third-party</t>
  </si>
  <si>
    <t xml:space="preserve">Manpower</t>
  </si>
  <si>
    <t xml:space="preserve">Equipment</t>
  </si>
  <si>
    <t xml:space="preserve">Chemicals, consumables &amp; services</t>
  </si>
  <si>
    <t xml:space="preserve">CONTINGENCY, DISCOUNT &amp; VAT</t>
  </si>
  <si>
    <t xml:space="preserve">Contingency (% of total cost, internal risk allowance)</t>
  </si>
  <si>
    <t xml:space="preserve">Added to the price, not marked up</t>
  </si>
  <si>
    <t xml:space="preserve">Commercial discount (% of price)</t>
  </si>
  <si>
    <t xml:space="preserve">Applied to the price before VAT</t>
  </si>
  <si>
    <t xml:space="preserve">VAT (%)</t>
  </si>
  <si>
    <t xml:space="preserve">UAE 5% · KSA 15% · Oman 5% · Qatar 0% – set per quotation</t>
  </si>
  <si>
    <t xml:space="preserve">COMMERCIAL TERMS  (printed on the client quotation)</t>
  </si>
  <si>
    <t xml:space="preserve">Validity</t>
  </si>
  <si>
    <t xml:space="preserve">Payment terms</t>
  </si>
  <si>
    <t xml:space="preserve">Delivery / mobilisation time</t>
  </si>
  <si>
    <t xml:space="preserve">Exclusions</t>
  </si>
  <si>
    <t xml:space="preserve">Client scope / supplied by client</t>
  </si>
  <si>
    <t xml:space="preserve">Other notes</t>
  </si>
  <si>
    <t xml:space="preserve">COMPANY DETAILS  (letterhead on the client quotation)</t>
  </si>
  <si>
    <t xml:space="preserve">Company name</t>
  </si>
  <si>
    <t xml:space="preserve">Delight Equipment International L.L.C.</t>
  </si>
  <si>
    <t xml:space="preserve">Address</t>
  </si>
  <si>
    <t xml:space="preserve">P.O. Box 2932, Abu Dhabi, United Arab Emirates</t>
  </si>
  <si>
    <t xml:space="preserve">Telephone / fax</t>
  </si>
  <si>
    <t xml:space="preserve">Tel: +971 2 5515641  |  Fax: +971 2 5515643</t>
  </si>
  <si>
    <t xml:space="preserve">E-mail / website</t>
  </si>
  <si>
    <t xml:space="preserve">info@delightintl.ae  |  www.delightintl.ae</t>
  </si>
  <si>
    <t xml:space="preserve">Tagline</t>
  </si>
  <si>
    <t xml:space="preserve">MAINTENANCE SIMPLIFIED</t>
  </si>
  <si>
    <t xml:space="preserve">Certifications</t>
  </si>
  <si>
    <t xml:space="preserve">ISO 9001 · ISO 14001 · ISO 45001</t>
  </si>
  <si>
    <t xml:space="preserve">RATES (COST, AED, excl. markup)</t>
  </si>
  <si>
    <t xml:space="preserve">Values taken from ASAB CC Pricing R2 and DUQM Pricing Rev 1.0 – the higher one where both list the same item. Rented column blank = same as cost. Add items in the blank yellow rows.</t>
  </si>
  <si>
    <t xml:space="preserve">MANPOWER – cost per person per shift / day</t>
  </si>
  <si>
    <t xml:space="preserve">Grade</t>
  </si>
  <si>
    <t xml:space="preserve">Cost</t>
  </si>
  <si>
    <t xml:space="preserve">Rented cost (if different)</t>
  </si>
  <si>
    <t xml:space="preserve">Source / remarks</t>
  </si>
  <si>
    <t xml:space="preserve">Project Manager</t>
  </si>
  <si>
    <t xml:space="preserve">ASAB 1,000 · DUQM 1,000</t>
  </si>
  <si>
    <t xml:space="preserve">Project Engineer</t>
  </si>
  <si>
    <t xml:space="preserve">ASAB 500 · DUQM 700 → highest</t>
  </si>
  <si>
    <t xml:space="preserve">Supervisor</t>
  </si>
  <si>
    <t xml:space="preserve">ASAB 400 · DUQM 500 → highest</t>
  </si>
  <si>
    <t xml:space="preserve">Job Performer / Permit Receiver</t>
  </si>
  <si>
    <t xml:space="preserve">not in either sheet</t>
  </si>
  <si>
    <t xml:space="preserve">Safety Officer</t>
  </si>
  <si>
    <t xml:space="preserve">DUQM</t>
  </si>
  <si>
    <t xml:space="preserve">Technician / Operator</t>
  </si>
  <si>
    <t xml:space="preserve">ASAB 300 · DUQM 400 → highest</t>
  </si>
  <si>
    <t xml:space="preserve">Pipe Fitter</t>
  </si>
  <si>
    <t xml:space="preserve">Helper</t>
  </si>
  <si>
    <t xml:space="preserve">ASAB 200 · DUQM 300 → highest</t>
  </si>
  <si>
    <t xml:space="preserve">Others</t>
  </si>
  <si>
    <t xml:space="preserve">Decontamination Specialist</t>
  </si>
  <si>
    <t xml:space="preserve">DUQM (per day)</t>
  </si>
  <si>
    <t xml:space="preserve">Specialised Services</t>
  </si>
  <si>
    <t xml:space="preserve">Remote Technical Support</t>
  </si>
  <si>
    <t xml:space="preserve">EQUIPMENT – cost per unit per day (LS = lump sum, counted once)</t>
  </si>
  <si>
    <t xml:space="preserve">Unit</t>
  </si>
  <si>
    <t xml:space="preserve">Chemical circulation pump skid (SS316, VFD)</t>
  </si>
  <si>
    <t xml:space="preserve">day</t>
  </si>
  <si>
    <t xml:space="preserve">ASAB</t>
  </si>
  <si>
    <t xml:space="preserve">Vessel circulation pump (gamma jet feed)</t>
  </si>
  <si>
    <t xml:space="preserve">Centrifugal pump</t>
  </si>
  <si>
    <t xml:space="preserve">Drum pump</t>
  </si>
  <si>
    <t xml:space="preserve">Diaphragm pump &amp; manifolds (transfer set)</t>
  </si>
  <si>
    <t xml:space="preserve">Diaphragm pump</t>
  </si>
  <si>
    <t xml:space="preserve">Manifold</t>
  </si>
  <si>
    <t xml:space="preserve">Chemical mixing / dosing tank 10 m³</t>
  </si>
  <si>
    <t xml:space="preserve">DM water buffer tank</t>
  </si>
  <si>
    <t xml:space="preserve">Waste holding tank 500 bbl (~80 m³)</t>
  </si>
  <si>
    <t xml:space="preserve">ASAB rental</t>
  </si>
  <si>
    <t xml:space="preserve">Effluent tank 60 m³</t>
  </si>
  <si>
    <t xml:space="preserve">Diesel boiler 2 TPH</t>
  </si>
  <si>
    <t xml:space="preserve">Heat exchanger 1000 kW</t>
  </si>
  <si>
    <t xml:space="preserve">Gamma jetting nozzle</t>
  </si>
  <si>
    <t xml:space="preserve">ASAB 500 · DUQM 300 → highest</t>
  </si>
  <si>
    <t xml:space="preserve">Hot-air dryer unit c/w dew point meter</t>
  </si>
  <si>
    <t xml:space="preserve">Hoses &amp; fittings package</t>
  </si>
  <si>
    <t xml:space="preserve">LS</t>
  </si>
  <si>
    <t xml:space="preserve">ASAB lump sum (DUQM 6,000 per day – see next line)</t>
  </si>
  <si>
    <t xml:space="preserve">Hoses &amp; fittings package (per day)</t>
  </si>
  <si>
    <t xml:space="preserve">Multi gas meter</t>
  </si>
  <si>
    <t xml:space="preserve">Benzene meter</t>
  </si>
  <si>
    <t xml:space="preserve">Benzene SEP tubes (set)</t>
  </si>
  <si>
    <t xml:space="preserve">Pickup</t>
  </si>
  <si>
    <t xml:space="preserve">Material container</t>
  </si>
  <si>
    <t xml:space="preserve">Lab container</t>
  </si>
  <si>
    <t xml:space="preserve">20' Circulation unit (CORE)</t>
  </si>
  <si>
    <t xml:space="preserve">Mobile heat exchanger (CORE)</t>
  </si>
  <si>
    <t xml:space="preserve">Support container (CORE)</t>
  </si>
  <si>
    <t xml:space="preserve">10-point VP injection module (CORE)</t>
  </si>
  <si>
    <t xml:space="preserve">CHEMICALS – price per kg (or per IBC)</t>
  </si>
  <si>
    <t xml:space="preserve">Chemical</t>
  </si>
  <si>
    <t xml:space="preserve">Purity</t>
  </si>
  <si>
    <t xml:space="preserve">Price per kg</t>
  </si>
  <si>
    <t xml:space="preserve">Price per IBC</t>
  </si>
  <si>
    <t xml:space="preserve">IBC net content (kg)</t>
  </si>
  <si>
    <t xml:space="preserve">Price per kg used</t>
  </si>
  <si>
    <t xml:space="preserve">SODIUM HYDROXIDE (CAUSTIC SODA)</t>
  </si>
  <si>
    <t xml:space="preserve">ASAB R2</t>
  </si>
  <si>
    <t xml:space="preserve">CITRIC ACID</t>
  </si>
  <si>
    <t xml:space="preserve">AMMONIUM BIFLUORIDE</t>
  </si>
  <si>
    <t xml:space="preserve">SODIUM META SILICATE</t>
  </si>
  <si>
    <t xml:space="preserve">TRI SODIUM PHOSPHATE</t>
  </si>
  <si>
    <t xml:space="preserve">INHIBITORS - RODINE &amp; ARMOHIB</t>
  </si>
  <si>
    <t xml:space="preserve">SURFACTANTS - NP-9 / MULTI CLEAN</t>
  </si>
  <si>
    <t xml:space="preserve">HYDROGEN PEROXIDE (35%)</t>
  </si>
  <si>
    <t xml:space="preserve">AMMONIA (25%)</t>
  </si>
  <si>
    <t xml:space="preserve">SODA ASH (SODIUM CARBONATE)</t>
  </si>
  <si>
    <t xml:space="preserve">HYDROCHLORIC ACID (HCl)</t>
  </si>
  <si>
    <t xml:space="preserve">SULPHURIC ACID</t>
  </si>
  <si>
    <t xml:space="preserve">SODIUM NITRITE</t>
  </si>
  <si>
    <t xml:space="preserve">SULPHAMIC ACID</t>
  </si>
  <si>
    <t xml:space="preserve">ANTIFOAM</t>
  </si>
  <si>
    <t xml:space="preserve">CORE CLEAN VP1</t>
  </si>
  <si>
    <t xml:space="preserve">DUQM – vapour phase – enter IBC net kg</t>
  </si>
  <si>
    <t xml:space="preserve">CORE CLEAN 2600</t>
  </si>
  <si>
    <t xml:space="preserve">DUQM – steam-out / boil-out – enter IBC net kg</t>
  </si>
  <si>
    <t xml:space="preserve">CORE CLEAN 3010</t>
  </si>
  <si>
    <t xml:space="preserve">DUQM (ref) – enter IBC net kg</t>
  </si>
  <si>
    <t xml:space="preserve">CORE CLEAN 5421</t>
  </si>
  <si>
    <t xml:space="preserve">CONSUMABLES &amp; THIRD-PARTY SERVICES – cost per unit</t>
  </si>
  <si>
    <t xml:space="preserve">Item</t>
  </si>
  <si>
    <t xml:space="preserve">Waste disposal</t>
  </si>
  <si>
    <t xml:space="preserve">m³</t>
  </si>
  <si>
    <t xml:space="preserve">ASAB GMET/SQ/03002 290 · DUQM 50 (TBC) → highest</t>
  </si>
  <si>
    <t xml:space="preserve">Disposables / PPE</t>
  </si>
  <si>
    <t xml:space="preserve">person-day</t>
  </si>
  <si>
    <t xml:space="preserve">ASAB 100 · DUQM 150 → highest</t>
  </si>
  <si>
    <t xml:space="preserve">Pre-engineering works</t>
  </si>
  <si>
    <t xml:space="preserve">ASAB 500–1,500 → highest</t>
  </si>
  <si>
    <t xml:space="preserve">Kurita litmus paper</t>
  </si>
  <si>
    <t xml:space="preserve">roll</t>
  </si>
  <si>
    <t xml:space="preserve">Chemical shipping</t>
  </si>
  <si>
    <t xml:space="preserve">trip</t>
  </si>
  <si>
    <t xml:space="preserve">ASAB (USD 5,000 × 3.67)</t>
  </si>
  <si>
    <t xml:space="preserve">Sea freight 40' HC (CFR Sohar, incl. VGM)</t>
  </si>
  <si>
    <t xml:space="preserve">container</t>
  </si>
  <si>
    <t xml:space="preserve">DUQM (£8,166.67 + £55.56) × 4.92</t>
  </si>
  <si>
    <t xml:space="preserve">Local co-operative fee (Al Dhafra)</t>
  </si>
  <si>
    <t xml:space="preserve">month</t>
  </si>
  <si>
    <t xml:space="preserve">ASAB (GMET quote, billed as actual)</t>
  </si>
  <si>
    <t xml:space="preserve">LOGISTICS – mobilisation / demobilisation (cost per trip)</t>
  </si>
  <si>
    <t xml:space="preserve">Vehicle</t>
  </si>
  <si>
    <t xml:space="preserve">Cost per trip</t>
  </si>
  <si>
    <t xml:space="preserve">40 ft trailer</t>
  </si>
  <si>
    <t xml:space="preserve">ASAB 2,500 · DUQM 15,000 → highest</t>
  </si>
  <si>
    <t xml:space="preserve">Low-bed trailer</t>
  </si>
  <si>
    <t xml:space="preserve">Truck with crane (HIAB)</t>
  </si>
  <si>
    <t xml:space="preserve">Crew bus</t>
  </si>
  <si>
    <t xml:space="preserve">PERSONNEL EXTRAS</t>
  </si>
  <si>
    <t xml:space="preserve">FAT – food, accommodation &amp; transport (per person per day)</t>
  </si>
  <si>
    <t xml:space="preserve">ASAB 150 · DUQM 250 → highest</t>
  </si>
  <si>
    <t xml:space="preserve">Accommodation – specialists (per person per day)</t>
  </si>
  <si>
    <t xml:space="preserve">Visa (per person)</t>
  </si>
  <si>
    <t xml:space="preserve">Flight – return (per person)</t>
  </si>
  <si>
    <t xml:space="preserve">Crew visas &amp; tickets – India (per person)</t>
  </si>
  <si>
    <t xml:space="preserve">Crew transport – pickup (per vehicle per day)</t>
  </si>
  <si>
    <t xml:space="preserve">DUQM pickup</t>
  </si>
  <si>
    <t xml:space="preserve">VOLUME SETTINGS</t>
  </si>
  <si>
    <t xml:space="preserve">Yellow = input. Unit names, loop names and regime names feed the drop-down lists on the volume sheet.</t>
  </si>
  <si>
    <t xml:space="preserve">PROJECT</t>
  </si>
  <si>
    <t xml:space="preserve">Plant / Project</t>
  </si>
  <si>
    <t xml:space="preserve">Proposal No.</t>
  </si>
  <si>
    <t xml:space="preserve">Job type</t>
  </si>
  <si>
    <t xml:space="preserve">Chemical Cleaning</t>
  </si>
  <si>
    <t xml:space="preserve">Fixed for this service</t>
  </si>
  <si>
    <t xml:space="preserve">GENERAL</t>
  </si>
  <si>
    <t xml:space="preserve">Water density (water weight → volume)</t>
  </si>
  <si>
    <t xml:space="preserve">kg/m³</t>
  </si>
  <si>
    <t xml:space="preserve">Tube pitch ratio (pitch ÷ OD)</t>
  </si>
  <si>
    <t xml:space="preserve">–</t>
  </si>
  <si>
    <t xml:space="preserve">Default circulation / solution allowance</t>
  </si>
  <si>
    <t xml:space="preserve">× fill volume</t>
  </si>
  <si>
    <t xml:space="preserve">Solution = equipment volume × fill % × circulation (ASAB: 115%)</t>
  </si>
  <si>
    <t xml:space="preserve">Default no. of fills (for waste volume)</t>
  </si>
  <si>
    <t xml:space="preserve">fills</t>
  </si>
  <si>
    <t xml:space="preserve">Default waste allowance</t>
  </si>
  <si>
    <t xml:space="preserve">on top of fills</t>
  </si>
  <si>
    <t xml:space="preserve">Waste = solution × fills × (1 + allowance)  (ASAB: 5 fills + 25%)</t>
  </si>
  <si>
    <t xml:space="preserve">DEFAULT FILL % BY EQUIPMENT TYPE  (used when the Fill % cell on a row is blank)</t>
  </si>
  <si>
    <t xml:space="preserve">Equipment type</t>
  </si>
  <si>
    <t xml:space="preserve">Chemical cleaning</t>
  </si>
  <si>
    <t xml:space="preserve">Decontamination</t>
  </si>
  <si>
    <t xml:space="preserve">Method note</t>
  </si>
  <si>
    <t xml:space="preserve">Exchanger</t>
  </si>
  <si>
    <t xml:space="preserve">CC full volume · Decon vapour phase</t>
  </si>
  <si>
    <t xml:space="preserve">Piping</t>
  </si>
  <si>
    <t xml:space="preserve">Column</t>
  </si>
  <si>
    <t xml:space="preserve">CC 20% + gamma jet · Decon vapour phase (complete volume)</t>
  </si>
  <si>
    <t xml:space="preserve">Vessel – Vertical</t>
  </si>
  <si>
    <t xml:space="preserve">CC 20% + gamma jet · Decon boil-out 30%</t>
  </si>
  <si>
    <t xml:space="preserve">Vessel – Horizontal</t>
  </si>
  <si>
    <t xml:space="preserve">Tank</t>
  </si>
  <si>
    <t xml:space="preserve">CC 20% + gamma jet · Decon gamma-jet circulation (TO CONFIRM)</t>
  </si>
  <si>
    <t xml:space="preserve">Filter / Other</t>
  </si>
  <si>
    <t xml:space="preserve">ASAB R2 used 15% fill for vessels with gamma jetting – set per project.</t>
  </si>
  <si>
    <t xml:space="preserve">UNITS / TRAINS  (up to 12)</t>
  </si>
  <si>
    <t xml:space="preserve">Unit 1 name</t>
  </si>
  <si>
    <t xml:space="preserve">Unit 1</t>
  </si>
  <si>
    <t xml:space="preserve">Unit 2 name</t>
  </si>
  <si>
    <t xml:space="preserve">Unit 2</t>
  </si>
  <si>
    <t xml:space="preserve">Unit 3 name</t>
  </si>
  <si>
    <t xml:space="preserve">Unit 3</t>
  </si>
  <si>
    <t xml:space="preserve">Unit 4 name</t>
  </si>
  <si>
    <t xml:space="preserve">Unit 4</t>
  </si>
  <si>
    <t xml:space="preserve">Unit 5 name</t>
  </si>
  <si>
    <t xml:space="preserve">Unit 5</t>
  </si>
  <si>
    <t xml:space="preserve">Unit 6 name</t>
  </si>
  <si>
    <t xml:space="preserve">Unit 6</t>
  </si>
  <si>
    <t xml:space="preserve">Unit 7 name</t>
  </si>
  <si>
    <t xml:space="preserve">Unit 7</t>
  </si>
  <si>
    <t xml:space="preserve">Unit 8 name</t>
  </si>
  <si>
    <t xml:space="preserve">Unit 8</t>
  </si>
  <si>
    <t xml:space="preserve">Unit 9 name</t>
  </si>
  <si>
    <t xml:space="preserve">Unit 9</t>
  </si>
  <si>
    <t xml:space="preserve">Unit 10 name</t>
  </si>
  <si>
    <t xml:space="preserve">Unit 10</t>
  </si>
  <si>
    <t xml:space="preserve">Unit 11 name</t>
  </si>
  <si>
    <t xml:space="preserve">Unit 11</t>
  </si>
  <si>
    <t xml:space="preserve">Unit 12 name</t>
  </si>
  <si>
    <t xml:space="preserve">Unit 12</t>
  </si>
  <si>
    <t xml:space="preserve">CHEMICAL REGIMES  (up to 4; concentrations on the chemicals sheet)</t>
  </si>
  <si>
    <t xml:space="preserve">Regime 1 name</t>
  </si>
  <si>
    <t xml:space="preserve">SS</t>
  </si>
  <si>
    <t xml:space="preserve">Regime 2 name</t>
  </si>
  <si>
    <t xml:space="preserve">CS</t>
  </si>
  <si>
    <t xml:space="preserve">Regime 3 name</t>
  </si>
  <si>
    <t xml:space="preserve">Regime 3</t>
  </si>
  <si>
    <t xml:space="preserve">Regime 4 name</t>
  </si>
  <si>
    <t xml:space="preserve">Regime 4</t>
  </si>
  <si>
    <t xml:space="preserve">LOOPS  (up to 40 – rename freely, e.g. ML-1, MV-1)</t>
  </si>
  <si>
    <t xml:space="preserve">Loop name (drop-down)</t>
  </si>
  <si>
    <t xml:space="preserve">Loop description</t>
  </si>
  <si>
    <t xml:space="preserve">Loop 1</t>
  </si>
  <si>
    <t xml:space="preserve">Loop 2</t>
  </si>
  <si>
    <t xml:space="preserve">Loop 3</t>
  </si>
  <si>
    <t xml:space="preserve">Loop 4</t>
  </si>
  <si>
    <t xml:space="preserve">Loop 5</t>
  </si>
  <si>
    <t xml:space="preserve">Loop 6</t>
  </si>
  <si>
    <t xml:space="preserve">Loop 7</t>
  </si>
  <si>
    <t xml:space="preserve">Loop 8</t>
  </si>
  <si>
    <t xml:space="preserve">Loop 9</t>
  </si>
  <si>
    <t xml:space="preserve">Loop 10</t>
  </si>
  <si>
    <t xml:space="preserve">Loop 11</t>
  </si>
  <si>
    <t xml:space="preserve">Loop 12</t>
  </si>
  <si>
    <t xml:space="preserve">Loop 13</t>
  </si>
  <si>
    <t xml:space="preserve">Loop 14</t>
  </si>
  <si>
    <t xml:space="preserve">Loop 15</t>
  </si>
  <si>
    <t xml:space="preserve">Loop 16</t>
  </si>
  <si>
    <t xml:space="preserve">Loop 17</t>
  </si>
  <si>
    <t xml:space="preserve">Loop 18</t>
  </si>
  <si>
    <t xml:space="preserve">Loop 19</t>
  </si>
  <si>
    <t xml:space="preserve">Loop 20</t>
  </si>
  <si>
    <t xml:space="preserve">Loop 21</t>
  </si>
  <si>
    <t xml:space="preserve">Loop 22</t>
  </si>
  <si>
    <t xml:space="preserve">Loop 23</t>
  </si>
  <si>
    <t xml:space="preserve">Loop 24</t>
  </si>
  <si>
    <t xml:space="preserve">Loop 25</t>
  </si>
  <si>
    <t xml:space="preserve">Loop 26</t>
  </si>
  <si>
    <t xml:space="preserve">Loop 27</t>
  </si>
  <si>
    <t xml:space="preserve">Loop 28</t>
  </si>
  <si>
    <t xml:space="preserve">Loop 29</t>
  </si>
  <si>
    <t xml:space="preserve">Loop 30</t>
  </si>
  <si>
    <t xml:space="preserve">Loop 31</t>
  </si>
  <si>
    <t xml:space="preserve">Loop 32</t>
  </si>
  <si>
    <t xml:space="preserve">Loop 33</t>
  </si>
  <si>
    <t xml:space="preserve">Loop 34</t>
  </si>
  <si>
    <t xml:space="preserve">Loop 35</t>
  </si>
  <si>
    <t xml:space="preserve">Loop 36</t>
  </si>
  <si>
    <t xml:space="preserve">Loop 37</t>
  </si>
  <si>
    <t xml:space="preserve">Loop 38</t>
  </si>
  <si>
    <t xml:space="preserve">Loop 39</t>
  </si>
  <si>
    <t xml:space="preserve">Loop 40</t>
  </si>
  <si>
    <t xml:space="preserve">VOLUME CALCULATION – one row per equipment, units stacked</t>
  </si>
  <si>
    <t xml:space="preserve">Yellow = input (only the columns that apply to the equipment type). Units of each dimension column are chosen in row 7. Factors left blank use the defaults on the settings sheet. Volumes in m³.</t>
  </si>
  <si>
    <t xml:space="preserve">ITEM</t>
  </si>
  <si>
    <t xml:space="preserve">PIPING</t>
  </si>
  <si>
    <t xml:space="preserve">SHELL / VESSEL</t>
  </si>
  <si>
    <t xml:space="preserve">TUBES (exchangers)</t>
  </si>
  <si>
    <t xml:space="preserve">CHANNELS / BONNETS</t>
  </si>
  <si>
    <t xml:space="preserve">CALCULATED (m³)</t>
  </si>
  <si>
    <t xml:space="preserve">FACTORS  (blank = default)</t>
  </si>
  <si>
    <t xml:space="preserve">RESULT (m³)</t>
  </si>
  <si>
    <t xml:space="preserve">#</t>
  </si>
  <si>
    <t xml:space="preserve">Loop</t>
  </si>
  <si>
    <t xml:space="preserve">Tag No.</t>
  </si>
  <si>
    <t xml:space="preserve">Description / service</t>
  </si>
  <si>
    <t xml:space="preserve">Chemical regime</t>
  </si>
  <si>
    <t xml:space="preserve">Volume basis</t>
  </si>
  <si>
    <t xml:space="preserve">Given volume</t>
  </si>
  <si>
    <t xml:space="preserve">Water weight</t>
  </si>
  <si>
    <t xml:space="preserve">NPS</t>
  </si>
  <si>
    <t xml:space="preserve">Schedule</t>
  </si>
  <si>
    <t xml:space="preserve">Pipe ID (if given)</t>
  </si>
  <si>
    <t xml:space="preserve">Pipe length</t>
  </si>
  <si>
    <t xml:space="preserve">Shell / vessel ID</t>
  </si>
  <si>
    <t xml:space="preserve">Length T/T</t>
  </si>
  <si>
    <t xml:space="preserve">Head 1 / shell cover</t>
  </si>
  <si>
    <t xml:space="preserve">Head 2</t>
  </si>
  <si>
    <t xml:space="preserve">Cone height</t>
  </si>
  <si>
    <t xml:space="preserve">No. of tubes</t>
  </si>
  <si>
    <t xml:space="preserve">Tube OD</t>
  </si>
  <si>
    <t xml:space="preserve">Tube ID</t>
  </si>
  <si>
    <t xml:space="preserve">Tube length</t>
  </si>
  <si>
    <t xml:space="preserve">Tube pitch</t>
  </si>
  <si>
    <t xml:space="preserve">Tube layout</t>
  </si>
  <si>
    <t xml:space="preserve">Channel / bonnet ID</t>
  </si>
  <si>
    <t xml:space="preserve">Front channel length</t>
  </si>
  <si>
    <t xml:space="preserve">Front head</t>
  </si>
  <si>
    <t xml:space="preserve">Rear channel length</t>
  </si>
  <si>
    <t xml:space="preserve">Rear head</t>
  </si>
  <si>
    <t xml:space="preserve">Tube side vol.</t>
  </si>
  <si>
    <t xml:space="preserve">Shell side / vessel vol.</t>
  </si>
  <si>
    <t xml:space="preserve">Piping vol.</t>
  </si>
  <si>
    <t xml:space="preserve">Volume from dimensions</t>
  </si>
  <si>
    <t xml:space="preserve">Volume from water weight</t>
  </si>
  <si>
    <t xml:space="preserve">Fill %</t>
  </si>
  <si>
    <t xml:space="preserve">Circulation %</t>
  </si>
  <si>
    <t xml:space="preserve">No. of fills</t>
  </si>
  <si>
    <t xml:space="preserve">Waste allowance %</t>
  </si>
  <si>
    <t xml:space="preserve">WASTE VOLUME</t>
  </si>
  <si>
    <t xml:space="preserve">EQUIPMENT VOLUME</t>
  </si>
  <si>
    <t xml:space="preserve">SOLUTION VOLUME</t>
  </si>
  <si>
    <t xml:space="preserve">OD used (m)</t>
  </si>
  <si>
    <t xml:space="preserve">Shell area (m²)</t>
  </si>
  <si>
    <t xml:space="preserve">Shell length (m)</t>
  </si>
  <si>
    <t xml:space="preserve">Pipe ID used (mm)</t>
  </si>
  <si>
    <t xml:space="preserve">Fill used</t>
  </si>
  <si>
    <t xml:space="preserve">Unit no.</t>
  </si>
  <si>
    <t xml:space="preserve">kg</t>
  </si>
  <si>
    <t xml:space="preserve">mm</t>
  </si>
  <si>
    <t xml:space="preserve">m</t>
  </si>
  <si>
    <t xml:space="preserve">nos</t>
  </si>
  <si>
    <t xml:space="preserve">%</t>
  </si>
  <si>
    <t xml:space="preserve">EXAMPLE ML-1</t>
  </si>
  <si>
    <t xml:space="preserve">Piping loop – volume given (ASAB ML-1)</t>
  </si>
  <si>
    <t xml:space="preserve">EXAMPLE V-101</t>
  </si>
  <si>
    <t xml:space="preserve">Vertical vessel (dimensions)</t>
  </si>
  <si>
    <t xml:space="preserve">2:1 Ellipsoidal</t>
  </si>
  <si>
    <t xml:space="preserve">EXAMPLE E-101</t>
  </si>
  <si>
    <t xml:space="preserve">Shell &amp; tube exchanger</t>
  </si>
  <si>
    <t xml:space="preserve">Triangular (30°)</t>
  </si>
  <si>
    <t xml:space="preserve">Flat</t>
  </si>
  <si>
    <t xml:space="preserve">EXAMPLE 6"-P-1001</t>
  </si>
  <si>
    <t xml:space="preserve">Line from isometric</t>
  </si>
  <si>
    <t xml:space="preserve">6" (DN 150)</t>
  </si>
  <si>
    <t xml:space="preserve">Sch 40</t>
  </si>
  <si>
    <t xml:space="preserve">GRAND TOTAL – ALL UNITS</t>
  </si>
  <si>
    <t xml:space="preserve">CHEMICALS % CALCULATION – one table per regime (rate per m³ applies to every equipment of that regime)</t>
  </si>
  <si>
    <t xml:space="preserve">Enter the % required (by weight of solution). Volume = total solution volume of all equipment rows set to the regime. Quantity (t) = volume × % ÷ purity (solution 1 t/m³). Rate per m³ = Σ(% ÷ purity × price/kg × 1000).</t>
  </si>
  <si>
    <t xml:space="preserve">Regime</t>
  </si>
  <si>
    <t xml:space="preserve">Solution volume (m³)</t>
  </si>
  <si>
    <t xml:space="preserve">Chemical quantity (t)</t>
  </si>
  <si>
    <t xml:space="preserve">Chemical cost (AED)</t>
  </si>
  <si>
    <t xml:space="preserve">RATE (AED per m³)</t>
  </si>
  <si>
    <t xml:space="preserve">Equipment rows with volume but no regime get no chemical cost (highlighted orange on the volume sheet). Chemical prices per kg from ASAB R2 (values).</t>
  </si>
  <si>
    <t xml:space="preserve">Solution volume of this regime (m³)</t>
  </si>
  <si>
    <t xml:space="preserve">S.No</t>
  </si>
  <si>
    <t xml:space="preserve">% required</t>
  </si>
  <si>
    <t xml:space="preserve">Purity %</t>
  </si>
  <si>
    <t xml:space="preserve">Price (AED/kg)</t>
  </si>
  <si>
    <t xml:space="preserve">Quantity (t)</t>
  </si>
  <si>
    <t xml:space="preserve">Cost (AED)</t>
  </si>
  <si>
    <t xml:space="preserve">Cost per m³ (AED)</t>
  </si>
  <si>
    <t xml:space="preserve">Remarks</t>
  </si>
  <si>
    <t xml:space="preserve">TOTAL</t>
  </si>
  <si>
    <t xml:space="preserve">← RATE AED per m³ of solution</t>
  </si>
  <si>
    <t xml:space="preserve">CHEMICAL CLEANING – INTERNAL COSTING  (do not send to client)</t>
  </si>
  <si>
    <t xml:space="preserve">Shared costs (crew, equipment, services, mob/demob, extras) are entered here; chemicals &amp; waste are priced per equipment.</t>
  </si>
  <si>
    <t xml:space="preserve">SCOPE, DURATION &amp; PRICING OPTIONS</t>
  </si>
  <si>
    <t xml:space="preserve">Total equipment volume (m³)</t>
  </si>
  <si>
    <t xml:space="preserve">Total solution volume (m³)</t>
  </si>
  <si>
    <t xml:space="preserve">Total waste volume (m³)</t>
  </si>
  <si>
    <t xml:space="preserve">Equipment items with volume</t>
  </si>
  <si>
    <t xml:space="preserve">Job duration on site (days)</t>
  </si>
  <si>
    <t xml:space="preserve">Total days (rig-up to rig-down); lines can override days</t>
  </si>
  <si>
    <t xml:space="preserve">Shifts per day (Quote Info)</t>
  </si>
  <si>
    <t xml:space="preserve">Shared-cost allocation basis</t>
  </si>
  <si>
    <t xml:space="preserve">Solution volume</t>
  </si>
  <si>
    <t xml:space="preserve">How crew / equipment / mob costs are split over the equipment</t>
  </si>
  <si>
    <t xml:space="preserve">Include waste disposal in price</t>
  </si>
  <si>
    <t xml:space="preserve">Yes</t>
  </si>
  <si>
    <t xml:space="preserve">Waste volume × waste disposal rate (Rates sheet)</t>
  </si>
  <si>
    <t xml:space="preserve">Client price breakdown</t>
  </si>
  <si>
    <t xml:space="preserve">Per equipment</t>
  </si>
  <si>
    <t xml:space="preserve">Per loop = each loop as one line + equipment not in a loop listed individually</t>
  </si>
  <si>
    <t xml:space="preserve">COST &amp; PRICE SUMMARY (AED)</t>
  </si>
  <si>
    <t xml:space="preserve">Section</t>
  </si>
  <si>
    <t xml:space="preserve">Selling</t>
  </si>
  <si>
    <t xml:space="preserve">Consumables &amp; services</t>
  </si>
  <si>
    <t xml:space="preserve">Mobilisation / demobilisation</t>
  </si>
  <si>
    <t xml:space="preserve">Personnel extras</t>
  </si>
  <si>
    <t xml:space="preserve">SHARED COSTS (allocated to equipment)</t>
  </si>
  <si>
    <t xml:space="preserve">Chemicals (per equipment: solution × regime rate)</t>
  </si>
  <si>
    <t xml:space="preserve">Waste disposal (per equipment: waste vol. × rate)</t>
  </si>
  <si>
    <t xml:space="preserve">TOTAL COST / SELLING BEFORE CONTINGENCY</t>
  </si>
  <si>
    <t xml:space="preserve">Contingency (on cost, Quote Info)</t>
  </si>
  <si>
    <t xml:space="preserve">Price before discount</t>
  </si>
  <si>
    <t xml:space="preserve">Discount (Quote Info)</t>
  </si>
  <si>
    <t xml:space="preserve">NET PRICE EXCL. VAT (AED)</t>
  </si>
  <si>
    <t xml:space="preserve">Gross margin on net price</t>
  </si>
  <si>
    <t xml:space="preserve">Check: sum of equipment prices (should equal net price)</t>
  </si>
  <si>
    <t xml:space="preserve">Orange = shared costs entered but no equipment volume to allocate them to</t>
  </si>
  <si>
    <t xml:space="preserve">1.  MANPOWER  (persons per shift × days × shifts per day × cost per shift)</t>
  </si>
  <si>
    <t xml:space="preserve">Qty</t>
  </si>
  <si>
    <t xml:space="preserve">Days / qty</t>
  </si>
  <si>
    <t xml:space="preserve">Total units</t>
  </si>
  <si>
    <t xml:space="preserve">Unit cost (AED)</t>
  </si>
  <si>
    <t xml:space="preserve">Markup</t>
  </si>
  <si>
    <t xml:space="preserve">Selling (AED)</t>
  </si>
  <si>
    <t xml:space="preserve">Notes</t>
  </si>
  <si>
    <t xml:space="preserve">persons / shift</t>
  </si>
  <si>
    <t xml:space="preserve">Days blank = job duration. Total units = person-shifts.</t>
  </si>
  <si>
    <t xml:space="preserve">Subtotal – Manpower</t>
  </si>
  <si>
    <t xml:space="preserve">2.  EQUIPMENT  (qty × days × cost per day; LS items counted once)</t>
  </si>
  <si>
    <t xml:space="preserve">Days blank = job duration. LS (lump sum) items: qty × rate.</t>
  </si>
  <si>
    <t xml:space="preserve">Subtotal – Equipment</t>
  </si>
  <si>
    <t xml:space="preserve">3.  CONSUMABLES &amp; THIRD-PARTY SERVICES (shared)</t>
  </si>
  <si>
    <t xml:space="preserve">Days / qty column = multiplier (e.g. person-days = persons × days); blank = 1. Waste disposal is priced per equipment.</t>
  </si>
  <si>
    <t xml:space="preserve">Subtotal – Consumables &amp; services</t>
  </si>
  <si>
    <t xml:space="preserve">4.  MOBILISATION / DEMOBILISATION  (vehicles × trips × cost per trip)</t>
  </si>
  <si>
    <t xml:space="preserve">vehicles</t>
  </si>
  <si>
    <t xml:space="preserve">Days / qty = no. of trips (2 = mob + demob)</t>
  </si>
  <si>
    <t xml:space="preserve">Subtotal – Mobilisation / demobilisation</t>
  </si>
  <si>
    <t xml:space="preserve">5.  PERSONNEL EXTRAS  (persons blank = total crew = persons per shift × shifts per day)</t>
  </si>
  <si>
    <t xml:space="preserve">FAT – food, accommodation &amp; transport</t>
  </si>
  <si>
    <t xml:space="preserve">persons × days</t>
  </si>
  <si>
    <t xml:space="preserve">FAT &amp; disposables default to whole crew × job days; enter 0 persons to exclude</t>
  </si>
  <si>
    <t xml:space="preserve">Accommodation – specialists</t>
  </si>
  <si>
    <t xml:space="preserve">persons</t>
  </si>
  <si>
    <t xml:space="preserve">Specialists / visas / flights: enter persons</t>
  </si>
  <si>
    <t xml:space="preserve">Visa</t>
  </si>
  <si>
    <t xml:space="preserve">Flight – return</t>
  </si>
  <si>
    <t xml:space="preserve">Crew visas &amp; tickets – India</t>
  </si>
  <si>
    <t xml:space="preserve">Crew transport – pickup (vehicles × days)</t>
  </si>
  <si>
    <t xml:space="preserve">vehicles × days</t>
  </si>
  <si>
    <t xml:space="preserve">Subtotal – Personnel extras</t>
  </si>
  <si>
    <t xml:space="preserve">CHEMICAL CLEANING – PRICE PER EQUIPMENT  (internal)</t>
  </si>
  <si>
    <t xml:space="preserve">Each row = the same row on 'CC Volume'. Direct: chemicals (solution × regime rate) and waste disposal. Shared costs from 'CC Costing' are allocated by the basis chosen there.</t>
  </si>
  <si>
    <t xml:space="preserve">Description</t>
  </si>
  <si>
    <t xml:space="preserve">Type</t>
  </si>
  <si>
    <t xml:space="preserve">Equipment vol. (m³)</t>
  </si>
  <si>
    <t xml:space="preserve">Solution vol. (m³)</t>
  </si>
  <si>
    <t xml:space="preserve">Waste vol. (m³)</t>
  </si>
  <si>
    <t xml:space="preserve">Chem. rate (AED/m³)</t>
  </si>
  <si>
    <t xml:space="preserve">Chemical cost</t>
  </si>
  <si>
    <t xml:space="preserve">Waste disposal cost</t>
  </si>
  <si>
    <t xml:space="preserve">Allocation basis</t>
  </si>
  <si>
    <t xml:space="preserve">Share of shared costs</t>
  </si>
  <si>
    <t xml:space="preserve">Shared cost allocated</t>
  </si>
  <si>
    <t xml:space="preserve">TOTAL COST</t>
  </si>
  <si>
    <t xml:space="preserve">Chemical selling</t>
  </si>
  <si>
    <t xml:space="preserve">Waste selling</t>
  </si>
  <si>
    <t xml:space="preserve">Shared selling allocated</t>
  </si>
  <si>
    <t xml:space="preserve">Contingency</t>
  </si>
  <si>
    <t xml:space="preserve">Discount</t>
  </si>
  <si>
    <t xml:space="preserve">NET PRICE (AED)</t>
  </si>
  <si>
    <t xml:space="preserve">Net price (quote cur.)</t>
  </si>
  <si>
    <t xml:space="preserve">unit</t>
  </si>
  <si>
    <t xml:space="preserve">CHEMICAL CLEANING – SUMMARY BY UNIT AND BY LOOP</t>
  </si>
  <si>
    <t xml:space="preserve">BY UNIT / TRAIN</t>
  </si>
  <si>
    <t xml:space="preserve">Unit / train</t>
  </si>
  <si>
    <t xml:space="preserve">Items</t>
  </si>
  <si>
    <t xml:space="preserve">Total cost</t>
  </si>
  <si>
    <t xml:space="preserve">BY LOOP  (each loop = one line item; 'Not in a loop' = equipment without a loop)</t>
  </si>
  <si>
    <t xml:space="preserve">Not in a loop</t>
  </si>
  <si>
    <t xml:space="preserve">QUOTATION – CHEMICAL CLEANING SERVICES</t>
  </si>
  <si>
    <t xml:space="preserve">Attention</t>
  </si>
  <si>
    <t xml:space="preserve">Your ref.</t>
  </si>
  <si>
    <t xml:space="preserve">Location</t>
  </si>
  <si>
    <t xml:space="preserve">Chemical cleaning of equipment and piping as per scope, including chemicals, manpower, equipment, waste handling, mobilisation and demobilisation.</t>
  </si>
  <si>
    <t xml:space="preserve">PRICE SUMMARY</t>
  </si>
  <si>
    <t xml:space="preserve">COMMERCIAL TERMS</t>
  </si>
  <si>
    <t xml:space="preserve">Mobilisation</t>
  </si>
  <si>
    <t xml:space="preserve">By client</t>
  </si>
  <si>
    <t xml:space="preserve">For and on behalf of</t>
  </si>
  <si>
    <t xml:space="preserve">PRICE BREAKDOWN</t>
  </si>
  <si>
    <t xml:space="preserve">Rows used</t>
  </si>
  <si>
    <t xml:space="preserve">Volume (m³)</t>
  </si>
  <si>
    <t xml:space="preserve">Lookup tables (shared by all volume sheets)</t>
  </si>
  <si>
    <t xml:space="preserve">Length</t>
  </si>
  <si>
    <t xml:space="preserve">Volume</t>
  </si>
  <si>
    <t xml:space="preserve">Weight</t>
  </si>
  <si>
    <t xml:space="preserve">Heads</t>
  </si>
  <si>
    <t xml:space="preserve">Layout</t>
  </si>
  <si>
    <t xml:space="preserve">Basis</t>
  </si>
  <si>
    <t xml:space="preserve">Types</t>
  </si>
  <si>
    <t xml:space="preserve">Jobs</t>
  </si>
  <si>
    <t xml:space="preserve">None / Open</t>
  </si>
  <si>
    <t xml:space="preserve">0</t>
  </si>
  <si>
    <t xml:space="preserve">Dimensions</t>
  </si>
  <si>
    <t xml:space="preserve">cm</t>
  </si>
  <si>
    <t xml:space="preserve">L</t>
  </si>
  <si>
    <t xml:space="preserve">t</t>
  </si>
  <si>
    <t xml:space="preserve">Rotated triangular (60°)</t>
  </si>
  <si>
    <t xml:space="preserve">US gal</t>
  </si>
  <si>
    <t xml:space="preserve">lb</t>
  </si>
  <si>
    <t xml:space="preserve">Square (90°)</t>
  </si>
  <si>
    <t xml:space="preserve">in</t>
  </si>
  <si>
    <t xml:space="preserve">Imp gal</t>
  </si>
  <si>
    <t xml:space="preserve">Hemispherical</t>
  </si>
  <si>
    <t xml:space="preserve">Rotated square (45°)</t>
  </si>
  <si>
    <t xml:space="preserve">ft</t>
  </si>
  <si>
    <t xml:space="preserve">bbl</t>
  </si>
  <si>
    <t xml:space="preserve">Torispherical (F&amp;D)</t>
  </si>
  <si>
    <t xml:space="preserve">0.0809</t>
  </si>
  <si>
    <t xml:space="preserve">ft³</t>
  </si>
  <si>
    <t xml:space="preserve">Conical</t>
  </si>
  <si>
    <t xml:space="preserve">Pipe wall thickness (mm) – ASME B36.10M / B36.19M (verify against piping class)</t>
  </si>
  <si>
    <t xml:space="preserve">OD (mm)</t>
  </si>
  <si>
    <t xml:space="preserve">Sch 5S</t>
  </si>
  <si>
    <t xml:space="preserve">Sch 10S</t>
  </si>
  <si>
    <t xml:space="preserve">Sch 10</t>
  </si>
  <si>
    <t xml:space="preserve">Sch 20</t>
  </si>
  <si>
    <t xml:space="preserve">Sch 30</t>
  </si>
  <si>
    <t xml:space="preserve">STD</t>
  </si>
  <si>
    <t xml:space="preserve">Sch 40S</t>
  </si>
  <si>
    <t xml:space="preserve">Sch 60</t>
  </si>
  <si>
    <t xml:space="preserve">Sch 80</t>
  </si>
  <si>
    <t xml:space="preserve">XS</t>
  </si>
  <si>
    <t xml:space="preserve">Sch 80S</t>
  </si>
  <si>
    <t xml:space="preserve">Sch 100</t>
  </si>
  <si>
    <t xml:space="preserve">Sch 120</t>
  </si>
  <si>
    <t xml:space="preserve">Sch 140</t>
  </si>
  <si>
    <t xml:space="preserve">Sch 160</t>
  </si>
  <si>
    <t xml:space="preserve">XXS</t>
  </si>
  <si>
    <t xml:space="preserve">1/2" (DN 15)</t>
  </si>
  <si>
    <t xml:space="preserve">3/4" (DN 20)</t>
  </si>
  <si>
    <t xml:space="preserve">1" (DN 25)</t>
  </si>
  <si>
    <t xml:space="preserve">1-1/4" (DN 32)</t>
  </si>
  <si>
    <t xml:space="preserve">1-1/2" (DN 40)</t>
  </si>
  <si>
    <t xml:space="preserve">2" (DN 50)</t>
  </si>
  <si>
    <t xml:space="preserve">2-1/2" (DN 65)</t>
  </si>
  <si>
    <t xml:space="preserve">3" (DN 80)</t>
  </si>
  <si>
    <t xml:space="preserve">4" (DN 100)</t>
  </si>
  <si>
    <t xml:space="preserve">5" (DN 125)</t>
  </si>
  <si>
    <t xml:space="preserve">8" (DN 200)</t>
  </si>
  <si>
    <t xml:space="preserve">10" (DN 250)</t>
  </si>
  <si>
    <t xml:space="preserve">12" (DN 300)</t>
  </si>
  <si>
    <t xml:space="preserve">14" (DN 350)</t>
  </si>
  <si>
    <t xml:space="preserve">16" (DN 400)</t>
  </si>
  <si>
    <t xml:space="preserve">18" (DN 450)</t>
  </si>
  <si>
    <t xml:space="preserve">20" (DN 500)</t>
  </si>
  <si>
    <t xml:space="preserve">24" (DN 600)</t>
  </si>
  <si>
    <t xml:space="preserve">30" (DN 750)</t>
  </si>
  <si>
    <t xml:space="preserve">36" (DN 900)</t>
  </si>
  <si>
    <t xml:space="preserve">Hidden – client price breakdown list</t>
  </si>
  <si>
    <t xml:space="preserve">Kind</t>
  </si>
  <si>
    <t xml:space="preserve">Price (AED)</t>
  </si>
  <si>
    <t xml:space="preserve">Loop mode flag</t>
  </si>
  <si>
    <t xml:space="preserve">Equip mode flag</t>
  </si>
  <si>
    <t xml:space="preserve">Run loop</t>
  </si>
  <si>
    <t xml:space="preserve">Run equip</t>
  </si>
  <si>
    <t xml:space="preserve">Net</t>
  </si>
  <si>
    <t xml:space="preserve">Vol</t>
  </si>
  <si>
    <t xml:space="preserve">Run unit</t>
  </si>
  <si>
    <t xml:space="preserve">Rows needed</t>
  </si>
</sst>
</file>

<file path=xl/styles.xml><?xml version="1.0" encoding="utf-8"?>
<styleSheet xmlns="http://schemas.openxmlformats.org/spreadsheetml/2006/main">
  <numFmts count="13">
    <numFmt numFmtId="164" formatCode="General"/>
    <numFmt numFmtId="165" formatCode="dd\-mmm\-yyyy"/>
    <numFmt numFmtId="166" formatCode="0.0000"/>
    <numFmt numFmtId="167" formatCode="0.0%;\-0.0%;\-"/>
    <numFmt numFmtId="168" formatCode="#,##0.00;\-#,##0.00;\-"/>
    <numFmt numFmtId="169" formatCode="0%"/>
    <numFmt numFmtId="170" formatCode="#,##0.##;\-#,##0.##;\-"/>
    <numFmt numFmtId="171" formatCode="General"/>
    <numFmt numFmtId="172" formatCode="0"/>
    <numFmt numFmtId="173" formatCode="0.00"/>
    <numFmt numFmtId="174" formatCode="0%;\-0%;\-"/>
    <numFmt numFmtId="175" formatCode="#,##0.000;\-#,##0.000;\-"/>
    <numFmt numFmtId="176" formatCode="0.00%"/>
  </numFmts>
  <fonts count="2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color rgb="FF0000FF"/>
      <name val="Arial"/>
      <family val="0"/>
      <charset val="1"/>
    </font>
    <font>
      <b val="true"/>
      <sz val="9"/>
      <color rgb="FFFFFFFF"/>
      <name val="Arial"/>
      <family val="0"/>
      <charset val="1"/>
    </font>
    <font>
      <sz val="9"/>
      <color rgb="FF808080"/>
      <name val="Arial"/>
      <family val="0"/>
      <charset val="1"/>
    </font>
    <font>
      <sz val="8"/>
      <color rgb="FFFFFFFF"/>
      <name val="Arial"/>
      <family val="0"/>
      <charset val="1"/>
    </font>
    <font>
      <sz val="10"/>
      <name val="Arial"/>
      <family val="0"/>
      <charset val="1"/>
    </font>
    <font>
      <b val="true"/>
      <sz val="9"/>
      <name val="Arial"/>
      <family val="0"/>
      <charset val="1"/>
    </font>
    <font>
      <sz val="9"/>
      <color rgb="FF008000"/>
      <name val="Arial"/>
      <family val="0"/>
      <charset val="1"/>
    </font>
    <font>
      <sz val="8"/>
      <color rgb="FF808080"/>
      <name val="Arial"/>
      <family val="0"/>
      <charset val="1"/>
    </font>
    <font>
      <sz val="9"/>
      <name val="Arial"/>
      <family val="0"/>
      <charset val="1"/>
    </font>
    <font>
      <sz val="9"/>
      <color rgb="FF0000FF"/>
      <name val="Arial"/>
      <family val="0"/>
      <charset val="1"/>
    </font>
    <font>
      <b val="true"/>
      <sz val="10"/>
      <color rgb="FFC00000"/>
      <name val="Arial"/>
      <family val="0"/>
      <charset val="1"/>
    </font>
    <font>
      <b val="true"/>
      <sz val="9"/>
      <color rgb="FF0000FF"/>
      <name val="Arial"/>
      <family val="0"/>
      <charset val="1"/>
    </font>
    <font>
      <b val="true"/>
      <sz val="10"/>
      <color rgb="FF1F3864"/>
      <name val="Arial"/>
      <family val="0"/>
      <charset val="1"/>
    </font>
    <font>
      <b val="true"/>
      <sz val="10"/>
      <color rgb="FFFFFFFF"/>
      <name val="Arial"/>
      <family val="0"/>
      <charset val="1"/>
    </font>
    <font>
      <sz val="10"/>
      <color rgb="FF008000"/>
      <name val="Arial"/>
      <family val="0"/>
      <charset val="1"/>
    </font>
    <font>
      <b val="true"/>
      <sz val="18"/>
      <color rgb="FF1E73BE"/>
      <name val="Arial"/>
      <family val="0"/>
      <charset val="1"/>
    </font>
    <font>
      <sz val="9"/>
      <color rgb="FF404040"/>
      <name val="Arial"/>
      <family val="0"/>
      <charset val="1"/>
    </font>
    <font>
      <b val="true"/>
      <sz val="14"/>
      <color rgb="FF1F3864"/>
      <name val="Arial"/>
      <family val="0"/>
      <charset val="1"/>
    </font>
  </fonts>
  <fills count="11">
    <fill>
      <patternFill patternType="none"/>
    </fill>
    <fill>
      <patternFill patternType="gray125"/>
    </fill>
    <fill>
      <patternFill patternType="solid">
        <fgColor rgb="FF1E73BE"/>
        <bgColor rgb="FF3366FF"/>
      </patternFill>
    </fill>
    <fill>
      <patternFill patternType="solid">
        <fgColor rgb="FFFFF2CC"/>
        <bgColor rgb="FFE2EFDA"/>
      </patternFill>
    </fill>
    <fill>
      <patternFill patternType="solid">
        <fgColor rgb="FF1F3864"/>
        <bgColor rgb="FF333399"/>
      </patternFill>
    </fill>
    <fill>
      <patternFill patternType="solid">
        <fgColor rgb="FFE2EFDA"/>
        <bgColor rgb="FFD9E1F2"/>
      </patternFill>
    </fill>
    <fill>
      <patternFill patternType="solid">
        <fgColor rgb="FF375623"/>
        <bgColor rgb="FF404040"/>
      </patternFill>
    </fill>
    <fill>
      <patternFill patternType="solid">
        <fgColor rgb="FFD9E1F2"/>
        <bgColor rgb="FFE2EFDA"/>
      </patternFill>
    </fill>
    <fill>
      <patternFill patternType="solid">
        <fgColor rgb="FFC6E0B4"/>
        <bgColor rgb="FFBDD7EE"/>
      </patternFill>
    </fill>
    <fill>
      <patternFill patternType="solid">
        <fgColor rgb="FFBDD7EE"/>
        <bgColor rgb="FFD9E1F2"/>
      </patternFill>
    </fill>
    <fill>
      <patternFill patternType="solid">
        <fgColor rgb="FF3AAA35"/>
        <bgColor rgb="FF0080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ck">
        <color rgb="FF1E73BE"/>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7" fontId="8" fillId="3" borderId="1" xfId="0" applyFont="true" applyBorder="true" applyAlignment="true" applyProtection="false">
      <alignment horizontal="center" vertical="center" textRotation="0" wrapText="tru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70" fontId="8" fillId="3" borderId="1" xfId="0" applyFont="true" applyBorder="true" applyAlignment="true" applyProtection="false">
      <alignment horizontal="center" vertical="center" textRotation="0" wrapText="true" indent="0" shrinkToFit="false"/>
      <protection locked="true" hidden="false"/>
    </xf>
    <xf numFmtId="168" fontId="7"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71" fontId="14" fillId="5"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72" fontId="17" fillId="3" borderId="1" xfId="0" applyFont="true" applyBorder="true" applyAlignment="true" applyProtection="false">
      <alignment horizontal="center" vertical="center" textRotation="0" wrapText="true" indent="0" shrinkToFit="false"/>
      <protection locked="true" hidden="false"/>
    </xf>
    <xf numFmtId="173" fontId="17" fillId="3" borderId="1" xfId="0" applyFont="true" applyBorder="true" applyAlignment="true" applyProtection="false">
      <alignment horizontal="center" vertical="center" textRotation="0" wrapText="true" indent="0" shrinkToFit="false"/>
      <protection locked="true" hidden="false"/>
    </xf>
    <xf numFmtId="174" fontId="17" fillId="3"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20" fillId="7" borderId="0"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75" fontId="16" fillId="5" borderId="1" xfId="0" applyFont="true" applyBorder="true" applyAlignment="true" applyProtection="false">
      <alignment horizontal="center" vertical="center" textRotation="0" wrapText="true" indent="0" shrinkToFit="false"/>
      <protection locked="true" hidden="false"/>
    </xf>
    <xf numFmtId="175" fontId="13" fillId="8" borderId="1" xfId="0" applyFont="true" applyBorder="true" applyAlignment="true" applyProtection="false">
      <alignment horizontal="center" vertical="center" textRotation="0" wrapText="tru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right" vertical="center"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13" fillId="9" borderId="1" xfId="0" applyFont="true" applyBorder="true" applyAlignment="false" applyProtection="false">
      <alignment horizontal="general" vertical="bottom" textRotation="0" wrapText="false" indent="0" shrinkToFit="false"/>
      <protection locked="true" hidden="false"/>
    </xf>
    <xf numFmtId="175" fontId="7" fillId="9"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5" fontId="21" fillId="4" borderId="0" xfId="0" applyFont="true" applyBorder="fals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8" fontId="13" fillId="8"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75" fontId="14" fillId="5" borderId="1" xfId="0" applyFont="true" applyBorder="true" applyAlignment="true" applyProtection="false">
      <alignment horizontal="center" vertical="center" textRotation="0" wrapText="true" indent="0" shrinkToFit="false"/>
      <protection locked="true" hidden="false"/>
    </xf>
    <xf numFmtId="176" fontId="17" fillId="3" borderId="1" xfId="0" applyFont="true" applyBorder="true" applyAlignment="true" applyProtection="false">
      <alignment horizontal="center" vertical="center" textRotation="0" wrapText="true" indent="0" shrinkToFit="false"/>
      <protection locked="true" hidden="false"/>
    </xf>
    <xf numFmtId="169" fontId="14" fillId="5" borderId="1" xfId="0" applyFont="true" applyBorder="true" applyAlignment="true" applyProtection="false">
      <alignment horizontal="center" vertical="center" textRotation="0" wrapText="true" indent="0" shrinkToFit="false"/>
      <protection locked="true" hidden="false"/>
    </xf>
    <xf numFmtId="168" fontId="14"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75" fontId="22" fillId="5" borderId="1" xfId="0" applyFont="true" applyBorder="true" applyAlignment="true" applyProtection="false">
      <alignment horizontal="center" vertical="center" textRotation="0" wrapText="true" indent="0" shrinkToFit="false"/>
      <protection locked="true" hidden="false"/>
    </xf>
    <xf numFmtId="172" fontId="22" fillId="5" borderId="1" xfId="0" applyFont="true" applyBorder="true" applyAlignment="true" applyProtection="false">
      <alignment horizontal="center" vertical="center" textRotation="0" wrapText="true" indent="0" shrinkToFit="false"/>
      <protection locked="true" hidden="false"/>
    </xf>
    <xf numFmtId="171" fontId="22" fillId="5"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8" fontId="7" fillId="8"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70" fontId="12" fillId="5" borderId="1" xfId="0" applyFont="true" applyBorder="true" applyAlignment="true" applyProtection="false">
      <alignment horizontal="center" vertical="center" textRotation="0" wrapText="true" indent="0" shrinkToFit="false"/>
      <protection locked="true" hidden="false"/>
    </xf>
    <xf numFmtId="168" fontId="22"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true" indent="0" shrinkToFit="false"/>
      <protection locked="true" hidden="false"/>
    </xf>
    <xf numFmtId="175" fontId="12" fillId="5" borderId="1" xfId="0" applyFont="true" applyBorder="true" applyAlignment="true" applyProtection="false">
      <alignment horizontal="center" vertical="center" textRotation="0" wrapText="true" indent="0" shrinkToFit="false"/>
      <protection locked="true" hidden="false"/>
    </xf>
    <xf numFmtId="168" fontId="7" fillId="9" borderId="1" xfId="0" applyFont="true" applyBorder="true" applyAlignment="true" applyProtection="false">
      <alignment horizontal="center" vertical="center" textRotation="0" wrapText="true" indent="0" shrinkToFit="false"/>
      <protection locked="true" hidden="false"/>
    </xf>
    <xf numFmtId="168" fontId="21" fillId="4" borderId="0" xfId="0" applyFont="true" applyBorder="fals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1" fillId="10" borderId="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5"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8" fontId="12" fillId="0" borderId="3" xfId="0" applyFont="true" applyBorder="true" applyAlignment="true" applyProtection="false">
      <alignment horizontal="right" vertical="center" textRotation="0" wrapText="false" indent="0" shrinkToFit="false"/>
      <protection locked="true" hidden="false"/>
    </xf>
    <xf numFmtId="164" fontId="7" fillId="8" borderId="0" xfId="0" applyFont="true" applyBorder="true" applyAlignment="true" applyProtection="false">
      <alignment horizontal="right" vertical="center" textRotation="0" wrapText="false" indent="0" shrinkToFit="false"/>
      <protection locked="true" hidden="false"/>
    </xf>
    <xf numFmtId="168" fontId="7" fillId="8" borderId="3"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72"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75" fontId="12" fillId="0" borderId="0" xfId="0" applyFont="true" applyBorder="false" applyAlignment="true" applyProtection="false">
      <alignment horizontal="center" vertical="center" textRotation="0" wrapText="true" indent="0" shrinkToFit="false"/>
      <protection locked="true" hidden="false"/>
    </xf>
    <xf numFmtId="168" fontId="12"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4B084"/>
        </patternFill>
      </fill>
    </dxf>
    <dxf>
      <border diagonalUp="false" diagonalDown="false">
        <left style="thin">
          <color rgb="FFBFBFBF"/>
        </left>
        <right style="thin">
          <color rgb="FFBFBFBF"/>
        </right>
        <top style="thin">
          <color rgb="FFBFBFBF"/>
        </top>
        <bottom style="thin">
          <color rgb="FFBFBFBF"/>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1E73BE"/>
      <rgbColor rgb="FFBDD7EE"/>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4B084"/>
      <rgbColor rgb="FF3366FF"/>
      <rgbColor rgb="FF33CCCC"/>
      <rgbColor rgb="FF99CC00"/>
      <rgbColor rgb="FFFFCC00"/>
      <rgbColor rgb="FFFF9900"/>
      <rgbColor rgb="FFFF6600"/>
      <rgbColor rgb="FF595959"/>
      <rgbColor rgb="FF969696"/>
      <rgbColor rgb="FF1F3864"/>
      <rgbColor rgb="FF3AAA35"/>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2"/>
    <col collapsed="false" customWidth="true" hidden="false" outlineLevel="0" max="6" min="4" style="0" width="16"/>
    <col collapsed="false" customWidth="true" hidden="false" outlineLevel="0" max="7" min="7" style="0" width="50"/>
  </cols>
  <sheetData>
    <row r="1" customFormat="false" ht="19.7" hidden="false" customHeight="false" outlineLevel="0" collapsed="false">
      <c r="B1" s="1" t="s">
        <v>0</v>
      </c>
    </row>
    <row r="2" customFormat="false" ht="15" hidden="false" customHeight="false" outlineLevel="0" collapsed="false">
      <c r="B2" s="2" t="s">
        <v>1</v>
      </c>
    </row>
    <row r="4" customFormat="false" ht="19.5" hidden="false" customHeight="true" outlineLevel="0" collapsed="false">
      <c r="B4" s="3" t="s">
        <v>2</v>
      </c>
      <c r="C4" s="3"/>
      <c r="D4" s="3"/>
      <c r="E4" s="3"/>
      <c r="F4" s="3"/>
      <c r="G4" s="3"/>
    </row>
    <row r="5" customFormat="false" ht="15" hidden="false" customHeight="false" outlineLevel="0" collapsed="false">
      <c r="B5" s="4" t="s">
        <v>3</v>
      </c>
      <c r="C5" s="5"/>
      <c r="D5" s="5"/>
      <c r="E5" s="5"/>
    </row>
    <row r="6" customFormat="false" ht="15" hidden="false" customHeight="false" outlineLevel="0" collapsed="false">
      <c r="B6" s="4" t="s">
        <v>4</v>
      </c>
      <c r="C6" s="5"/>
      <c r="D6" s="5"/>
      <c r="E6" s="5"/>
    </row>
    <row r="7" customFormat="false" ht="15" hidden="false" customHeight="false" outlineLevel="0" collapsed="false">
      <c r="B7" s="4" t="s">
        <v>5</v>
      </c>
      <c r="C7" s="6"/>
      <c r="D7" s="6"/>
      <c r="E7" s="6"/>
    </row>
    <row r="8" customFormat="false" ht="15" hidden="false" customHeight="false" outlineLevel="0" collapsed="false">
      <c r="B8" s="4" t="s">
        <v>6</v>
      </c>
      <c r="C8" s="5"/>
      <c r="D8" s="5"/>
      <c r="E8" s="5"/>
    </row>
    <row r="9" customFormat="false" ht="15" hidden="false" customHeight="false" outlineLevel="0" collapsed="false">
      <c r="B9" s="4" t="s">
        <v>7</v>
      </c>
      <c r="C9" s="5"/>
      <c r="D9" s="5"/>
      <c r="E9" s="5"/>
    </row>
    <row r="10" customFormat="false" ht="15" hidden="false" customHeight="false" outlineLevel="0" collapsed="false">
      <c r="B10" s="4" t="s">
        <v>8</v>
      </c>
      <c r="C10" s="5"/>
      <c r="D10" s="5"/>
      <c r="E10" s="5"/>
    </row>
    <row r="11" customFormat="false" ht="15" hidden="false" customHeight="false" outlineLevel="0" collapsed="false">
      <c r="B11" s="4" t="s">
        <v>9</v>
      </c>
      <c r="C11" s="5"/>
      <c r="D11" s="5"/>
      <c r="E11" s="5"/>
    </row>
    <row r="12" customFormat="false" ht="15" hidden="false" customHeight="false" outlineLevel="0" collapsed="false">
      <c r="B12" s="4" t="s">
        <v>10</v>
      </c>
      <c r="C12" s="5"/>
      <c r="D12" s="5"/>
      <c r="E12" s="5"/>
    </row>
    <row r="13" customFormat="false" ht="15" hidden="false" customHeight="false" outlineLevel="0" collapsed="false">
      <c r="B13" s="4" t="s">
        <v>11</v>
      </c>
      <c r="C13" s="5"/>
      <c r="D13" s="5"/>
      <c r="E13" s="5"/>
    </row>
    <row r="15" customFormat="false" ht="19.5" hidden="false" customHeight="true" outlineLevel="0" collapsed="false">
      <c r="B15" s="3" t="s">
        <v>12</v>
      </c>
      <c r="C15" s="3"/>
      <c r="D15" s="3"/>
      <c r="E15" s="3"/>
      <c r="F15" s="3"/>
      <c r="G15" s="3"/>
    </row>
    <row r="16" customFormat="false" ht="15" hidden="false" customHeight="false" outlineLevel="0" collapsed="false">
      <c r="B16" s="4" t="s">
        <v>13</v>
      </c>
      <c r="C16" s="7" t="s">
        <v>14</v>
      </c>
    </row>
    <row r="17" customFormat="false" ht="15" hidden="false" customHeight="false" outlineLevel="0" collapsed="false">
      <c r="B17" s="8" t="s">
        <v>15</v>
      </c>
      <c r="C17" s="8" t="s">
        <v>16</v>
      </c>
      <c r="F17" s="8" t="s">
        <v>17</v>
      </c>
    </row>
    <row r="18" customFormat="false" ht="15" hidden="false" customHeight="false" outlineLevel="0" collapsed="false">
      <c r="B18" s="4" t="s">
        <v>14</v>
      </c>
      <c r="C18" s="9" t="n">
        <v>1</v>
      </c>
      <c r="F18" s="10" t="s">
        <v>18</v>
      </c>
    </row>
    <row r="19" customFormat="false" ht="15" hidden="false" customHeight="false" outlineLevel="0" collapsed="false">
      <c r="B19" s="4" t="s">
        <v>19</v>
      </c>
      <c r="C19" s="9" t="n">
        <v>3.6725</v>
      </c>
      <c r="F19" s="10" t="s">
        <v>20</v>
      </c>
    </row>
    <row r="20" customFormat="false" ht="15" hidden="false" customHeight="false" outlineLevel="0" collapsed="false">
      <c r="B20" s="4" t="s">
        <v>21</v>
      </c>
      <c r="C20" s="9" t="n">
        <f aca="false">3.6725/3.75</f>
        <v>0.979333333333333</v>
      </c>
      <c r="F20" s="10" t="s">
        <v>22</v>
      </c>
    </row>
    <row r="21" customFormat="false" ht="15" hidden="false" customHeight="false" outlineLevel="0" collapsed="false">
      <c r="B21" s="4" t="s">
        <v>23</v>
      </c>
      <c r="C21" s="9" t="n">
        <f aca="false">3.6725/0.3845</f>
        <v>9.55136540962289</v>
      </c>
      <c r="F21" s="10" t="s">
        <v>24</v>
      </c>
    </row>
    <row r="22" customFormat="false" ht="15" hidden="false" customHeight="false" outlineLevel="0" collapsed="false">
      <c r="B22" s="4" t="s">
        <v>25</v>
      </c>
      <c r="C22" s="9" t="n">
        <v>4.92</v>
      </c>
      <c r="F22" s="10" t="s">
        <v>26</v>
      </c>
    </row>
    <row r="23" customFormat="false" ht="15" hidden="false" customHeight="false" outlineLevel="0" collapsed="false">
      <c r="B23" s="4" t="s">
        <v>27</v>
      </c>
      <c r="C23" s="11" t="n">
        <f aca="false">INDEX(CurrRate,MATCH(QCurr,CurrU,0))</f>
        <v>1</v>
      </c>
    </row>
    <row r="25" customFormat="false" ht="19.5" hidden="false" customHeight="true" outlineLevel="0" collapsed="false">
      <c r="B25" s="3" t="s">
        <v>28</v>
      </c>
      <c r="C25" s="3"/>
      <c r="D25" s="3"/>
      <c r="E25" s="3"/>
      <c r="F25" s="3"/>
      <c r="G25" s="3"/>
    </row>
    <row r="26" customFormat="false" ht="15" hidden="false" customHeight="false" outlineLevel="0" collapsed="false">
      <c r="B26" s="4" t="s">
        <v>29</v>
      </c>
      <c r="C26" s="7" t="n">
        <v>12</v>
      </c>
      <c r="G26" s="10" t="s">
        <v>30</v>
      </c>
    </row>
    <row r="27" customFormat="false" ht="15" hidden="false" customHeight="false" outlineLevel="0" collapsed="false">
      <c r="B27" s="4" t="s">
        <v>31</v>
      </c>
      <c r="C27" s="7" t="n">
        <v>2</v>
      </c>
    </row>
    <row r="29" customFormat="false" ht="19.5" hidden="false" customHeight="true" outlineLevel="0" collapsed="false">
      <c r="B29" s="3" t="s">
        <v>32</v>
      </c>
      <c r="C29" s="3"/>
      <c r="D29" s="3"/>
      <c r="E29" s="3"/>
      <c r="F29" s="3"/>
      <c r="G29" s="3"/>
    </row>
    <row r="30" customFormat="false" ht="15" hidden="false" customHeight="false" outlineLevel="0" collapsed="false">
      <c r="B30" s="4" t="s">
        <v>33</v>
      </c>
      <c r="C30" s="7" t="s">
        <v>34</v>
      </c>
      <c r="E30" s="12" t="s">
        <v>34</v>
      </c>
      <c r="F30" s="12" t="s">
        <v>35</v>
      </c>
      <c r="G30" s="10" t="s">
        <v>36</v>
      </c>
    </row>
    <row r="31" customFormat="false" ht="15" hidden="false" customHeight="false" outlineLevel="0" collapsed="false">
      <c r="B31" s="13" t="s">
        <v>37</v>
      </c>
      <c r="C31" s="14" t="n">
        <v>0.3</v>
      </c>
      <c r="G31" s="10" t="s">
        <v>38</v>
      </c>
    </row>
    <row r="32" customFormat="false" ht="15" hidden="false" customHeight="false" outlineLevel="0" collapsed="false">
      <c r="B32" s="13" t="s">
        <v>39</v>
      </c>
      <c r="C32" s="14" t="n">
        <v>0.3</v>
      </c>
    </row>
    <row r="33" customFormat="false" ht="15" hidden="false" customHeight="false" outlineLevel="0" collapsed="false">
      <c r="B33" s="13" t="s">
        <v>40</v>
      </c>
      <c r="C33" s="14" t="n">
        <v>0.3</v>
      </c>
    </row>
    <row r="34" customFormat="false" ht="15" hidden="false" customHeight="false" outlineLevel="0" collapsed="false">
      <c r="B34" s="13" t="s">
        <v>41</v>
      </c>
      <c r="C34" s="14" t="n">
        <v>0.3</v>
      </c>
    </row>
    <row r="35" customFormat="false" ht="15" hidden="false" customHeight="false" outlineLevel="0" collapsed="false">
      <c r="B35" s="13" t="s">
        <v>42</v>
      </c>
      <c r="C35" s="14" t="n">
        <v>0.3</v>
      </c>
    </row>
    <row r="36" customFormat="false" ht="15" hidden="false" customHeight="false" outlineLevel="0" collapsed="false">
      <c r="B36" s="13" t="s">
        <v>43</v>
      </c>
      <c r="C36" s="14" t="n">
        <v>0.3</v>
      </c>
    </row>
    <row r="37" customFormat="false" ht="15" hidden="false" customHeight="false" outlineLevel="0" collapsed="false">
      <c r="B37" s="13" t="s">
        <v>44</v>
      </c>
      <c r="C37" s="14" t="n">
        <v>0.3</v>
      </c>
    </row>
    <row r="39" customFormat="false" ht="15" hidden="false" customHeight="false" outlineLevel="0" collapsed="false">
      <c r="B39" s="4" t="s">
        <v>45</v>
      </c>
      <c r="C39" s="8" t="s">
        <v>46</v>
      </c>
      <c r="D39" s="8" t="s">
        <v>47</v>
      </c>
      <c r="E39" s="8" t="s">
        <v>48</v>
      </c>
    </row>
    <row r="40" customFormat="false" ht="15" hidden="false" customHeight="false" outlineLevel="0" collapsed="false">
      <c r="B40" s="13" t="s">
        <v>49</v>
      </c>
      <c r="C40" s="15" t="n">
        <f aca="false">IF(QMkMode="Detailed",N(MkInMP),N(MkIn))</f>
        <v>0.3</v>
      </c>
      <c r="D40" s="15" t="n">
        <f aca="false">IF(QMkMode="Detailed",N(MkRentMP),N(MkRent))</f>
        <v>0.3</v>
      </c>
      <c r="E40" s="15" t="n">
        <f aca="false">IF(QMkMode="Detailed",N(MkCons),N(MkRent))</f>
        <v>0.3</v>
      </c>
    </row>
    <row r="41" customFormat="false" ht="15" hidden="false" customHeight="false" outlineLevel="0" collapsed="false">
      <c r="B41" s="13" t="s">
        <v>50</v>
      </c>
      <c r="C41" s="15" t="n">
        <f aca="false">IF(QMkMode="Detailed",N(MkInEq),N(MkIn))</f>
        <v>0.3</v>
      </c>
      <c r="D41" s="15" t="n">
        <f aca="false">IF(QMkMode="Detailed",N(MkRentEq),N(MkRent))</f>
        <v>0.3</v>
      </c>
      <c r="E41" s="15" t="n">
        <f aca="false">IF(QMkMode="Detailed",N(MkCons),N(MkRent))</f>
        <v>0.3</v>
      </c>
    </row>
    <row r="42" customFormat="false" ht="15" hidden="false" customHeight="false" outlineLevel="0" collapsed="false">
      <c r="B42" s="13" t="s">
        <v>51</v>
      </c>
      <c r="C42" s="15" t="n">
        <f aca="false">IF(QMkMode="Detailed",N(MkCons),N(MkIn))</f>
        <v>0.3</v>
      </c>
      <c r="D42" s="15" t="n">
        <f aca="false">IF(QMkMode="Detailed",N(MkCons),N(MkRent))</f>
        <v>0.3</v>
      </c>
      <c r="E42" s="15" t="n">
        <f aca="false">IF(QMkMode="Detailed",N(MkCons),N(MkRent))</f>
        <v>0.3</v>
      </c>
    </row>
    <row r="44" customFormat="false" ht="19.5" hidden="false" customHeight="true" outlineLevel="0" collapsed="false">
      <c r="B44" s="3" t="s">
        <v>52</v>
      </c>
      <c r="C44" s="3"/>
      <c r="D44" s="3"/>
      <c r="E44" s="3"/>
      <c r="F44" s="3"/>
      <c r="G44" s="3"/>
    </row>
    <row r="45" customFormat="false" ht="15" hidden="false" customHeight="false" outlineLevel="0" collapsed="false">
      <c r="B45" s="13" t="s">
        <v>53</v>
      </c>
      <c r="C45" s="14"/>
      <c r="G45" s="10" t="s">
        <v>54</v>
      </c>
    </row>
    <row r="46" customFormat="false" ht="15" hidden="false" customHeight="false" outlineLevel="0" collapsed="false">
      <c r="B46" s="13" t="s">
        <v>55</v>
      </c>
      <c r="C46" s="14"/>
      <c r="G46" s="10" t="s">
        <v>56</v>
      </c>
    </row>
    <row r="47" customFormat="false" ht="15" hidden="false" customHeight="false" outlineLevel="0" collapsed="false">
      <c r="B47" s="13" t="s">
        <v>57</v>
      </c>
      <c r="C47" s="14" t="n">
        <v>0.05</v>
      </c>
      <c r="G47" s="10" t="s">
        <v>58</v>
      </c>
    </row>
    <row r="49" customFormat="false" ht="19.5" hidden="false" customHeight="true" outlineLevel="0" collapsed="false">
      <c r="B49" s="3" t="s">
        <v>59</v>
      </c>
      <c r="C49" s="3"/>
      <c r="D49" s="3"/>
      <c r="E49" s="3"/>
      <c r="F49" s="3"/>
      <c r="G49" s="3"/>
    </row>
    <row r="50" customFormat="false" ht="30" hidden="false" customHeight="true" outlineLevel="0" collapsed="false">
      <c r="B50" s="4" t="s">
        <v>60</v>
      </c>
      <c r="C50" s="16"/>
      <c r="D50" s="16"/>
      <c r="E50" s="16"/>
      <c r="F50" s="16"/>
      <c r="G50" s="16"/>
    </row>
    <row r="51" customFormat="false" ht="30" hidden="false" customHeight="true" outlineLevel="0" collapsed="false">
      <c r="B51" s="4" t="s">
        <v>61</v>
      </c>
      <c r="C51" s="16"/>
      <c r="D51" s="16"/>
      <c r="E51" s="16"/>
      <c r="F51" s="16"/>
      <c r="G51" s="16"/>
    </row>
    <row r="52" customFormat="false" ht="30" hidden="false" customHeight="true" outlineLevel="0" collapsed="false">
      <c r="B52" s="4" t="s">
        <v>62</v>
      </c>
      <c r="C52" s="16"/>
      <c r="D52" s="16"/>
      <c r="E52" s="16"/>
      <c r="F52" s="16"/>
      <c r="G52" s="16"/>
    </row>
    <row r="53" customFormat="false" ht="30" hidden="false" customHeight="true" outlineLevel="0" collapsed="false">
      <c r="B53" s="4" t="s">
        <v>63</v>
      </c>
      <c r="C53" s="16"/>
      <c r="D53" s="16"/>
      <c r="E53" s="16"/>
      <c r="F53" s="16"/>
      <c r="G53" s="16"/>
    </row>
    <row r="54" customFormat="false" ht="30" hidden="false" customHeight="true" outlineLevel="0" collapsed="false">
      <c r="B54" s="4" t="s">
        <v>64</v>
      </c>
      <c r="C54" s="16"/>
      <c r="D54" s="16"/>
      <c r="E54" s="16"/>
      <c r="F54" s="16"/>
      <c r="G54" s="16"/>
    </row>
    <row r="55" customFormat="false" ht="30" hidden="false" customHeight="true" outlineLevel="0" collapsed="false">
      <c r="B55" s="4" t="s">
        <v>65</v>
      </c>
      <c r="C55" s="16"/>
      <c r="D55" s="16"/>
      <c r="E55" s="16"/>
      <c r="F55" s="16"/>
      <c r="G55" s="16"/>
    </row>
    <row r="57" customFormat="false" ht="19.5" hidden="false" customHeight="true" outlineLevel="0" collapsed="false">
      <c r="B57" s="3" t="s">
        <v>66</v>
      </c>
      <c r="C57" s="3"/>
      <c r="D57" s="3"/>
      <c r="E57" s="3"/>
      <c r="F57" s="3"/>
      <c r="G57" s="3"/>
    </row>
    <row r="58" customFormat="false" ht="15" hidden="false" customHeight="false" outlineLevel="0" collapsed="false">
      <c r="B58" s="4" t="s">
        <v>67</v>
      </c>
      <c r="C58" s="5" t="s">
        <v>68</v>
      </c>
      <c r="D58" s="5"/>
      <c r="E58" s="5"/>
      <c r="F58" s="5"/>
      <c r="G58" s="5"/>
    </row>
    <row r="59" customFormat="false" ht="15" hidden="false" customHeight="false" outlineLevel="0" collapsed="false">
      <c r="B59" s="4" t="s">
        <v>69</v>
      </c>
      <c r="C59" s="5" t="s">
        <v>70</v>
      </c>
      <c r="D59" s="5"/>
      <c r="E59" s="5"/>
      <c r="F59" s="5"/>
      <c r="G59" s="5"/>
    </row>
    <row r="60" customFormat="false" ht="15" hidden="false" customHeight="false" outlineLevel="0" collapsed="false">
      <c r="B60" s="4" t="s">
        <v>71</v>
      </c>
      <c r="C60" s="5" t="s">
        <v>72</v>
      </c>
      <c r="D60" s="5"/>
      <c r="E60" s="5"/>
      <c r="F60" s="5"/>
      <c r="G60" s="5"/>
    </row>
    <row r="61" customFormat="false" ht="15" hidden="false" customHeight="false" outlineLevel="0" collapsed="false">
      <c r="B61" s="4" t="s">
        <v>73</v>
      </c>
      <c r="C61" s="5" t="s">
        <v>74</v>
      </c>
      <c r="D61" s="5"/>
      <c r="E61" s="5"/>
      <c r="F61" s="5"/>
      <c r="G61" s="5"/>
    </row>
    <row r="62" customFormat="false" ht="15" hidden="false" customHeight="false" outlineLevel="0" collapsed="false">
      <c r="B62" s="4" t="s">
        <v>75</v>
      </c>
      <c r="C62" s="5" t="s">
        <v>76</v>
      </c>
      <c r="D62" s="5"/>
      <c r="E62" s="5"/>
      <c r="F62" s="5"/>
      <c r="G62" s="5"/>
    </row>
    <row r="63" customFormat="false" ht="15" hidden="false" customHeight="false" outlineLevel="0" collapsed="false">
      <c r="B63" s="4" t="s">
        <v>77</v>
      </c>
      <c r="C63" s="5" t="s">
        <v>78</v>
      </c>
      <c r="D63" s="5"/>
      <c r="E63" s="5"/>
      <c r="F63" s="5"/>
      <c r="G63" s="5"/>
    </row>
  </sheetData>
  <mergeCells count="28">
    <mergeCell ref="B4:G4"/>
    <mergeCell ref="C5:E5"/>
    <mergeCell ref="C6:E6"/>
    <mergeCell ref="C7:E7"/>
    <mergeCell ref="C8:E8"/>
    <mergeCell ref="C9:E9"/>
    <mergeCell ref="C10:E10"/>
    <mergeCell ref="C11:E11"/>
    <mergeCell ref="C12:E12"/>
    <mergeCell ref="C13:E13"/>
    <mergeCell ref="B15:G15"/>
    <mergeCell ref="B25:G25"/>
    <mergeCell ref="B29:G29"/>
    <mergeCell ref="B44:G44"/>
    <mergeCell ref="B49:G49"/>
    <mergeCell ref="C50:G50"/>
    <mergeCell ref="C51:G51"/>
    <mergeCell ref="C52:G52"/>
    <mergeCell ref="C53:G53"/>
    <mergeCell ref="C54:G54"/>
    <mergeCell ref="C55:G55"/>
    <mergeCell ref="B57:G57"/>
    <mergeCell ref="C58:G58"/>
    <mergeCell ref="C59:G59"/>
    <mergeCell ref="C60:G60"/>
    <mergeCell ref="C61:G61"/>
    <mergeCell ref="C62:G62"/>
    <mergeCell ref="C63:G63"/>
  </mergeCells>
  <dataValidations count="2">
    <dataValidation allowBlank="true" error="Pick a value from the drop-down list." errorStyle="stop" errorTitle="Invalid entry" operator="between" showDropDown="false" showErrorMessage="true" showInputMessage="false" sqref="C16" type="list">
      <formula1>CurrU</formula1>
      <formula2>0</formula2>
    </dataValidation>
    <dataValidation allowBlank="true" error="Pick a value from the drop-down list." errorStyle="stop" errorTitle="Invalid entry" operator="between" showDropDown="false" showErrorMessage="true" showInputMessage="false" sqref="C30" type="list">
      <formula1>MkModeU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14"/>
    <col collapsed="false" customWidth="true" hidden="false" outlineLevel="0" max="7" min="4" style="0" width="16"/>
    <col collapsed="false" customWidth="true" hidden="false" outlineLevel="0" max="8" min="8" style="0" width="50"/>
  </cols>
  <sheetData>
    <row r="1" customFormat="false" ht="19.7" hidden="false" customHeight="false" outlineLevel="0" collapsed="false">
      <c r="B1" s="1" t="s">
        <v>79</v>
      </c>
    </row>
    <row r="2" customFormat="false" ht="15" hidden="false" customHeight="false" outlineLevel="0" collapsed="false">
      <c r="B2" s="2" t="s">
        <v>80</v>
      </c>
    </row>
    <row r="4" customFormat="false" ht="19.5" hidden="false" customHeight="true" outlineLevel="0" collapsed="false">
      <c r="B4" s="3" t="s">
        <v>81</v>
      </c>
      <c r="C4" s="3"/>
      <c r="D4" s="3"/>
      <c r="E4" s="3"/>
      <c r="F4" s="3"/>
      <c r="G4" s="3"/>
      <c r="H4" s="3"/>
    </row>
    <row r="5" customFormat="false" ht="27.75" hidden="false" customHeight="true" outlineLevel="0" collapsed="false">
      <c r="B5" s="8" t="s">
        <v>82</v>
      </c>
      <c r="D5" s="8" t="s">
        <v>83</v>
      </c>
      <c r="E5" s="8" t="s">
        <v>84</v>
      </c>
      <c r="H5" s="8" t="s">
        <v>85</v>
      </c>
    </row>
    <row r="6" customFormat="false" ht="15" hidden="false" customHeight="false" outlineLevel="0" collapsed="false">
      <c r="B6" s="5" t="s">
        <v>86</v>
      </c>
      <c r="C6" s="17"/>
      <c r="D6" s="18" t="n">
        <v>1000</v>
      </c>
      <c r="E6" s="18"/>
      <c r="H6" s="19" t="s">
        <v>87</v>
      </c>
    </row>
    <row r="7" customFormat="false" ht="15" hidden="false" customHeight="false" outlineLevel="0" collapsed="false">
      <c r="B7" s="5" t="s">
        <v>88</v>
      </c>
      <c r="C7" s="17"/>
      <c r="D7" s="18" t="n">
        <v>700</v>
      </c>
      <c r="E7" s="18"/>
      <c r="H7" s="19" t="s">
        <v>89</v>
      </c>
    </row>
    <row r="8" customFormat="false" ht="15" hidden="false" customHeight="false" outlineLevel="0" collapsed="false">
      <c r="B8" s="5" t="s">
        <v>90</v>
      </c>
      <c r="C8" s="17"/>
      <c r="D8" s="18" t="n">
        <v>500</v>
      </c>
      <c r="E8" s="18"/>
      <c r="H8" s="19" t="s">
        <v>91</v>
      </c>
    </row>
    <row r="9" customFormat="false" ht="15" hidden="false" customHeight="false" outlineLevel="0" collapsed="false">
      <c r="B9" s="5" t="s">
        <v>92</v>
      </c>
      <c r="C9" s="17"/>
      <c r="D9" s="18"/>
      <c r="E9" s="18"/>
      <c r="H9" s="19" t="s">
        <v>93</v>
      </c>
    </row>
    <row r="10" customFormat="false" ht="15" hidden="false" customHeight="false" outlineLevel="0" collapsed="false">
      <c r="B10" s="5" t="s">
        <v>94</v>
      </c>
      <c r="C10" s="17"/>
      <c r="D10" s="18" t="n">
        <v>300</v>
      </c>
      <c r="E10" s="18"/>
      <c r="H10" s="19" t="s">
        <v>95</v>
      </c>
    </row>
    <row r="11" customFormat="false" ht="15" hidden="false" customHeight="false" outlineLevel="0" collapsed="false">
      <c r="B11" s="5" t="s">
        <v>96</v>
      </c>
      <c r="C11" s="17"/>
      <c r="D11" s="18" t="n">
        <v>400</v>
      </c>
      <c r="E11" s="18"/>
      <c r="H11" s="19" t="s">
        <v>97</v>
      </c>
    </row>
    <row r="12" customFormat="false" ht="15" hidden="false" customHeight="false" outlineLevel="0" collapsed="false">
      <c r="B12" s="5" t="s">
        <v>98</v>
      </c>
      <c r="C12" s="17"/>
      <c r="D12" s="18"/>
      <c r="E12" s="18"/>
      <c r="H12" s="19" t="s">
        <v>93</v>
      </c>
    </row>
    <row r="13" customFormat="false" ht="15" hidden="false" customHeight="false" outlineLevel="0" collapsed="false">
      <c r="B13" s="5" t="s">
        <v>99</v>
      </c>
      <c r="C13" s="17"/>
      <c r="D13" s="18" t="n">
        <v>300</v>
      </c>
      <c r="E13" s="18"/>
      <c r="H13" s="19" t="s">
        <v>100</v>
      </c>
    </row>
    <row r="14" customFormat="false" ht="15" hidden="false" customHeight="false" outlineLevel="0" collapsed="false">
      <c r="B14" s="5" t="s">
        <v>101</v>
      </c>
      <c r="C14" s="17"/>
      <c r="D14" s="18" t="n">
        <v>400</v>
      </c>
      <c r="E14" s="18"/>
      <c r="H14" s="19" t="s">
        <v>95</v>
      </c>
    </row>
    <row r="15" customFormat="false" ht="15" hidden="false" customHeight="false" outlineLevel="0" collapsed="false">
      <c r="B15" s="5" t="s">
        <v>102</v>
      </c>
      <c r="C15" s="17"/>
      <c r="D15" s="18" t="n">
        <v>5400</v>
      </c>
      <c r="E15" s="18"/>
      <c r="H15" s="19" t="s">
        <v>103</v>
      </c>
    </row>
    <row r="16" customFormat="false" ht="15" hidden="false" customHeight="false" outlineLevel="0" collapsed="false">
      <c r="B16" s="5" t="s">
        <v>104</v>
      </c>
      <c r="C16" s="17"/>
      <c r="D16" s="18" t="n">
        <v>2400</v>
      </c>
      <c r="E16" s="18"/>
      <c r="H16" s="19" t="s">
        <v>103</v>
      </c>
    </row>
    <row r="17" customFormat="false" ht="15" hidden="false" customHeight="false" outlineLevel="0" collapsed="false">
      <c r="B17" s="5" t="s">
        <v>105</v>
      </c>
      <c r="C17" s="17"/>
      <c r="D17" s="18" t="n">
        <v>2250</v>
      </c>
      <c r="E17" s="18"/>
      <c r="H17" s="19" t="s">
        <v>103</v>
      </c>
    </row>
    <row r="18" customFormat="false" ht="15" hidden="false" customHeight="false" outlineLevel="0" collapsed="false">
      <c r="B18" s="5"/>
      <c r="C18" s="17"/>
      <c r="D18" s="18"/>
      <c r="E18" s="18"/>
      <c r="H18" s="19"/>
    </row>
    <row r="19" customFormat="false" ht="15" hidden="false" customHeight="false" outlineLevel="0" collapsed="false">
      <c r="B19" s="5"/>
      <c r="C19" s="17"/>
      <c r="D19" s="18"/>
      <c r="E19" s="18"/>
      <c r="H19" s="19"/>
    </row>
    <row r="20" customFormat="false" ht="15" hidden="false" customHeight="false" outlineLevel="0" collapsed="false">
      <c r="B20" s="5"/>
      <c r="C20" s="17"/>
      <c r="D20" s="18"/>
      <c r="E20" s="18"/>
      <c r="H20" s="19"/>
    </row>
    <row r="21" customFormat="false" ht="15" hidden="false" customHeight="false" outlineLevel="0" collapsed="false">
      <c r="B21" s="5"/>
      <c r="C21" s="17"/>
      <c r="D21" s="18"/>
      <c r="E21" s="18"/>
      <c r="H21" s="19"/>
    </row>
    <row r="22" customFormat="false" ht="15" hidden="false" customHeight="false" outlineLevel="0" collapsed="false">
      <c r="B22" s="5"/>
      <c r="C22" s="17"/>
      <c r="D22" s="18"/>
      <c r="E22" s="18"/>
      <c r="H22" s="19"/>
    </row>
    <row r="23" customFormat="false" ht="15" hidden="false" customHeight="false" outlineLevel="0" collapsed="false">
      <c r="B23" s="5"/>
      <c r="C23" s="17"/>
      <c r="D23" s="18"/>
      <c r="E23" s="18"/>
      <c r="H23" s="19"/>
    </row>
    <row r="25" customFormat="false" ht="19.5" hidden="false" customHeight="true" outlineLevel="0" collapsed="false">
      <c r="B25" s="3" t="s">
        <v>106</v>
      </c>
      <c r="C25" s="3"/>
      <c r="D25" s="3"/>
      <c r="E25" s="3"/>
      <c r="F25" s="3"/>
      <c r="G25" s="3"/>
      <c r="H25" s="3"/>
    </row>
    <row r="26" customFormat="false" ht="27.75" hidden="false" customHeight="true" outlineLevel="0" collapsed="false">
      <c r="B26" s="8" t="s">
        <v>50</v>
      </c>
      <c r="C26" s="8" t="s">
        <v>107</v>
      </c>
      <c r="D26" s="8" t="s">
        <v>83</v>
      </c>
      <c r="E26" s="8" t="s">
        <v>84</v>
      </c>
      <c r="H26" s="8" t="s">
        <v>85</v>
      </c>
    </row>
    <row r="27" customFormat="false" ht="15" hidden="false" customHeight="false" outlineLevel="0" collapsed="false">
      <c r="B27" s="5" t="s">
        <v>108</v>
      </c>
      <c r="C27" s="7" t="s">
        <v>109</v>
      </c>
      <c r="D27" s="18" t="n">
        <v>800</v>
      </c>
      <c r="E27" s="18"/>
      <c r="H27" s="19" t="s">
        <v>110</v>
      </c>
    </row>
    <row r="28" customFormat="false" ht="15" hidden="false" customHeight="false" outlineLevel="0" collapsed="false">
      <c r="B28" s="5" t="s">
        <v>111</v>
      </c>
      <c r="C28" s="7" t="s">
        <v>109</v>
      </c>
      <c r="D28" s="18" t="n">
        <v>800</v>
      </c>
      <c r="E28" s="18"/>
      <c r="H28" s="19" t="s">
        <v>110</v>
      </c>
    </row>
    <row r="29" customFormat="false" ht="15" hidden="false" customHeight="false" outlineLevel="0" collapsed="false">
      <c r="B29" s="5" t="s">
        <v>112</v>
      </c>
      <c r="C29" s="7" t="s">
        <v>109</v>
      </c>
      <c r="D29" s="18" t="n">
        <v>1000</v>
      </c>
      <c r="E29" s="18"/>
      <c r="H29" s="19" t="s">
        <v>95</v>
      </c>
    </row>
    <row r="30" customFormat="false" ht="15" hidden="false" customHeight="false" outlineLevel="0" collapsed="false">
      <c r="B30" s="5" t="s">
        <v>113</v>
      </c>
      <c r="C30" s="7" t="s">
        <v>109</v>
      </c>
      <c r="D30" s="18" t="n">
        <v>500</v>
      </c>
      <c r="E30" s="18"/>
      <c r="H30" s="19" t="s">
        <v>95</v>
      </c>
    </row>
    <row r="31" customFormat="false" ht="15" hidden="false" customHeight="false" outlineLevel="0" collapsed="false">
      <c r="B31" s="5" t="s">
        <v>114</v>
      </c>
      <c r="C31" s="7" t="s">
        <v>109</v>
      </c>
      <c r="D31" s="18" t="n">
        <v>300</v>
      </c>
      <c r="E31" s="18"/>
      <c r="H31" s="19" t="s">
        <v>110</v>
      </c>
    </row>
    <row r="32" customFormat="false" ht="15" hidden="false" customHeight="false" outlineLevel="0" collapsed="false">
      <c r="B32" s="5" t="s">
        <v>115</v>
      </c>
      <c r="C32" s="7" t="s">
        <v>109</v>
      </c>
      <c r="D32" s="18" t="n">
        <v>100</v>
      </c>
      <c r="E32" s="18"/>
      <c r="H32" s="19" t="s">
        <v>95</v>
      </c>
    </row>
    <row r="33" customFormat="false" ht="15" hidden="false" customHeight="false" outlineLevel="0" collapsed="false">
      <c r="B33" s="5" t="s">
        <v>116</v>
      </c>
      <c r="C33" s="7" t="s">
        <v>109</v>
      </c>
      <c r="D33" s="18" t="n">
        <v>250</v>
      </c>
      <c r="E33" s="18"/>
      <c r="H33" s="19" t="s">
        <v>95</v>
      </c>
    </row>
    <row r="34" customFormat="false" ht="15" hidden="false" customHeight="false" outlineLevel="0" collapsed="false">
      <c r="B34" s="5" t="s">
        <v>117</v>
      </c>
      <c r="C34" s="7" t="s">
        <v>109</v>
      </c>
      <c r="D34" s="18" t="n">
        <v>150</v>
      </c>
      <c r="E34" s="18"/>
      <c r="H34" s="19" t="s">
        <v>110</v>
      </c>
    </row>
    <row r="35" customFormat="false" ht="15" hidden="false" customHeight="false" outlineLevel="0" collapsed="false">
      <c r="B35" s="5" t="s">
        <v>118</v>
      </c>
      <c r="C35" s="7" t="s">
        <v>109</v>
      </c>
      <c r="D35" s="18" t="n">
        <v>150</v>
      </c>
      <c r="E35" s="18"/>
      <c r="H35" s="19" t="s">
        <v>110</v>
      </c>
    </row>
    <row r="36" customFormat="false" ht="15" hidden="false" customHeight="false" outlineLevel="0" collapsed="false">
      <c r="B36" s="5" t="s">
        <v>119</v>
      </c>
      <c r="C36" s="7" t="s">
        <v>109</v>
      </c>
      <c r="D36" s="18" t="n">
        <v>400</v>
      </c>
      <c r="E36" s="18"/>
      <c r="H36" s="19" t="s">
        <v>120</v>
      </c>
    </row>
    <row r="37" customFormat="false" ht="15" hidden="false" customHeight="false" outlineLevel="0" collapsed="false">
      <c r="B37" s="5" t="s">
        <v>121</v>
      </c>
      <c r="C37" s="7" t="s">
        <v>109</v>
      </c>
      <c r="D37" s="18" t="n">
        <v>500</v>
      </c>
      <c r="E37" s="18"/>
      <c r="H37" s="19" t="s">
        <v>95</v>
      </c>
    </row>
    <row r="38" customFormat="false" ht="15" hidden="false" customHeight="false" outlineLevel="0" collapsed="false">
      <c r="B38" s="5" t="s">
        <v>122</v>
      </c>
      <c r="C38" s="7" t="s">
        <v>109</v>
      </c>
      <c r="D38" s="18" t="n">
        <v>3000</v>
      </c>
      <c r="E38" s="18"/>
      <c r="H38" s="19" t="s">
        <v>120</v>
      </c>
    </row>
    <row r="39" customFormat="false" ht="15" hidden="false" customHeight="false" outlineLevel="0" collapsed="false">
      <c r="B39" s="5" t="s">
        <v>123</v>
      </c>
      <c r="C39" s="7" t="s">
        <v>109</v>
      </c>
      <c r="D39" s="18" t="n">
        <v>1000</v>
      </c>
      <c r="E39" s="18"/>
      <c r="H39" s="19" t="s">
        <v>120</v>
      </c>
    </row>
    <row r="40" customFormat="false" ht="15" hidden="false" customHeight="false" outlineLevel="0" collapsed="false">
      <c r="B40" s="5" t="s">
        <v>124</v>
      </c>
      <c r="C40" s="7" t="s">
        <v>109</v>
      </c>
      <c r="D40" s="18" t="n">
        <v>500</v>
      </c>
      <c r="E40" s="18"/>
      <c r="H40" s="19" t="s">
        <v>125</v>
      </c>
    </row>
    <row r="41" customFormat="false" ht="15" hidden="false" customHeight="false" outlineLevel="0" collapsed="false">
      <c r="B41" s="5" t="s">
        <v>126</v>
      </c>
      <c r="C41" s="7" t="s">
        <v>109</v>
      </c>
      <c r="D41" s="18" t="n">
        <v>500</v>
      </c>
      <c r="E41" s="18"/>
      <c r="H41" s="19" t="s">
        <v>110</v>
      </c>
    </row>
    <row r="42" customFormat="false" ht="15" hidden="false" customHeight="false" outlineLevel="0" collapsed="false">
      <c r="B42" s="5" t="s">
        <v>127</v>
      </c>
      <c r="C42" s="7" t="s">
        <v>128</v>
      </c>
      <c r="D42" s="18" t="n">
        <v>10000</v>
      </c>
      <c r="E42" s="18"/>
      <c r="H42" s="19" t="s">
        <v>129</v>
      </c>
    </row>
    <row r="43" customFormat="false" ht="15" hidden="false" customHeight="false" outlineLevel="0" collapsed="false">
      <c r="B43" s="5" t="s">
        <v>130</v>
      </c>
      <c r="C43" s="7" t="s">
        <v>109</v>
      </c>
      <c r="D43" s="18" t="n">
        <v>6000</v>
      </c>
      <c r="E43" s="18"/>
      <c r="H43" s="19" t="s">
        <v>95</v>
      </c>
    </row>
    <row r="44" customFormat="false" ht="15" hidden="false" customHeight="false" outlineLevel="0" collapsed="false">
      <c r="B44" s="5" t="s">
        <v>131</v>
      </c>
      <c r="C44" s="7" t="s">
        <v>109</v>
      </c>
      <c r="D44" s="18" t="n">
        <v>300</v>
      </c>
      <c r="E44" s="18"/>
      <c r="H44" s="19" t="s">
        <v>95</v>
      </c>
    </row>
    <row r="45" customFormat="false" ht="15" hidden="false" customHeight="false" outlineLevel="0" collapsed="false">
      <c r="B45" s="5" t="s">
        <v>132</v>
      </c>
      <c r="C45" s="7" t="s">
        <v>109</v>
      </c>
      <c r="D45" s="18" t="n">
        <v>300</v>
      </c>
      <c r="E45" s="18"/>
      <c r="H45" s="19" t="s">
        <v>95</v>
      </c>
    </row>
    <row r="46" customFormat="false" ht="15" hidden="false" customHeight="false" outlineLevel="0" collapsed="false">
      <c r="B46" s="5" t="s">
        <v>133</v>
      </c>
      <c r="C46" s="7" t="s">
        <v>128</v>
      </c>
      <c r="D46" s="18" t="n">
        <v>600</v>
      </c>
      <c r="E46" s="18"/>
      <c r="H46" s="19" t="s">
        <v>95</v>
      </c>
    </row>
    <row r="47" customFormat="false" ht="15" hidden="false" customHeight="false" outlineLevel="0" collapsed="false">
      <c r="B47" s="5" t="s">
        <v>134</v>
      </c>
      <c r="C47" s="7" t="s">
        <v>109</v>
      </c>
      <c r="D47" s="18" t="n">
        <v>500</v>
      </c>
      <c r="E47" s="18"/>
      <c r="H47" s="19" t="s">
        <v>95</v>
      </c>
    </row>
    <row r="48" customFormat="false" ht="15" hidden="false" customHeight="false" outlineLevel="0" collapsed="false">
      <c r="B48" s="5" t="s">
        <v>135</v>
      </c>
      <c r="C48" s="7" t="s">
        <v>109</v>
      </c>
      <c r="D48" s="18" t="n">
        <v>250</v>
      </c>
      <c r="E48" s="18"/>
      <c r="H48" s="19" t="s">
        <v>95</v>
      </c>
    </row>
    <row r="49" customFormat="false" ht="15" hidden="false" customHeight="false" outlineLevel="0" collapsed="false">
      <c r="B49" s="5" t="s">
        <v>136</v>
      </c>
      <c r="C49" s="7" t="s">
        <v>109</v>
      </c>
      <c r="D49" s="18" t="n">
        <v>250</v>
      </c>
      <c r="E49" s="18"/>
      <c r="H49" s="19" t="s">
        <v>95</v>
      </c>
    </row>
    <row r="50" customFormat="false" ht="15" hidden="false" customHeight="false" outlineLevel="0" collapsed="false">
      <c r="B50" s="5" t="s">
        <v>137</v>
      </c>
      <c r="C50" s="7" t="s">
        <v>109</v>
      </c>
      <c r="D50" s="18" t="n">
        <v>820</v>
      </c>
      <c r="E50" s="18"/>
      <c r="H50" s="19" t="s">
        <v>95</v>
      </c>
    </row>
    <row r="51" customFormat="false" ht="15" hidden="false" customHeight="false" outlineLevel="0" collapsed="false">
      <c r="B51" s="5" t="s">
        <v>138</v>
      </c>
      <c r="C51" s="7" t="s">
        <v>109</v>
      </c>
      <c r="D51" s="18" t="n">
        <v>700</v>
      </c>
      <c r="E51" s="18"/>
      <c r="H51" s="19" t="s">
        <v>95</v>
      </c>
    </row>
    <row r="52" customFormat="false" ht="15" hidden="false" customHeight="false" outlineLevel="0" collapsed="false">
      <c r="B52" s="5" t="s">
        <v>139</v>
      </c>
      <c r="C52" s="7" t="s">
        <v>109</v>
      </c>
      <c r="D52" s="18" t="n">
        <v>320</v>
      </c>
      <c r="E52" s="18"/>
      <c r="H52" s="19" t="s">
        <v>95</v>
      </c>
    </row>
    <row r="53" customFormat="false" ht="15" hidden="false" customHeight="false" outlineLevel="0" collapsed="false">
      <c r="B53" s="5" t="s">
        <v>140</v>
      </c>
      <c r="C53" s="7" t="s">
        <v>109</v>
      </c>
      <c r="D53" s="18" t="n">
        <v>890</v>
      </c>
      <c r="E53" s="18"/>
      <c r="H53" s="19" t="s">
        <v>95</v>
      </c>
    </row>
    <row r="54" customFormat="false" ht="15" hidden="false" customHeight="false" outlineLevel="0" collapsed="false">
      <c r="B54" s="5"/>
      <c r="C54" s="7"/>
      <c r="D54" s="18"/>
      <c r="E54" s="18"/>
      <c r="H54" s="19"/>
    </row>
    <row r="55" customFormat="false" ht="15" hidden="false" customHeight="false" outlineLevel="0" collapsed="false">
      <c r="B55" s="5"/>
      <c r="C55" s="7"/>
      <c r="D55" s="18"/>
      <c r="E55" s="18"/>
      <c r="H55" s="19"/>
    </row>
    <row r="56" customFormat="false" ht="15" hidden="false" customHeight="false" outlineLevel="0" collapsed="false">
      <c r="B56" s="5"/>
      <c r="C56" s="7"/>
      <c r="D56" s="18"/>
      <c r="E56" s="18"/>
      <c r="H56" s="19"/>
    </row>
    <row r="57" customFormat="false" ht="15" hidden="false" customHeight="false" outlineLevel="0" collapsed="false">
      <c r="B57" s="5"/>
      <c r="C57" s="7"/>
      <c r="D57" s="18"/>
      <c r="E57" s="18"/>
      <c r="H57" s="19"/>
    </row>
    <row r="58" customFormat="false" ht="15" hidden="false" customHeight="false" outlineLevel="0" collapsed="false">
      <c r="B58" s="5"/>
      <c r="C58" s="7"/>
      <c r="D58" s="18"/>
      <c r="E58" s="18"/>
      <c r="H58" s="19"/>
    </row>
    <row r="59" customFormat="false" ht="15" hidden="false" customHeight="false" outlineLevel="0" collapsed="false">
      <c r="B59" s="5"/>
      <c r="C59" s="7"/>
      <c r="D59" s="18"/>
      <c r="E59" s="18"/>
      <c r="H59" s="19"/>
    </row>
    <row r="60" customFormat="false" ht="15" hidden="false" customHeight="false" outlineLevel="0" collapsed="false">
      <c r="B60" s="5"/>
      <c r="C60" s="7"/>
      <c r="D60" s="18"/>
      <c r="E60" s="18"/>
      <c r="H60" s="19"/>
    </row>
    <row r="61" customFormat="false" ht="15" hidden="false" customHeight="false" outlineLevel="0" collapsed="false">
      <c r="B61" s="5"/>
      <c r="C61" s="7"/>
      <c r="D61" s="18"/>
      <c r="E61" s="18"/>
      <c r="H61" s="19"/>
    </row>
    <row r="62" customFormat="false" ht="15" hidden="false" customHeight="false" outlineLevel="0" collapsed="false">
      <c r="B62" s="5"/>
      <c r="C62" s="7"/>
      <c r="D62" s="18"/>
      <c r="E62" s="18"/>
      <c r="H62" s="19"/>
    </row>
    <row r="63" customFormat="false" ht="15" hidden="false" customHeight="false" outlineLevel="0" collapsed="false">
      <c r="B63" s="5"/>
      <c r="C63" s="7"/>
      <c r="D63" s="18"/>
      <c r="E63" s="18"/>
      <c r="H63" s="19"/>
    </row>
    <row r="65" customFormat="false" ht="19.5" hidden="false" customHeight="true" outlineLevel="0" collapsed="false">
      <c r="B65" s="3" t="s">
        <v>141</v>
      </c>
      <c r="C65" s="3"/>
      <c r="D65" s="3"/>
      <c r="E65" s="3"/>
      <c r="F65" s="3"/>
      <c r="G65" s="3"/>
      <c r="H65" s="3"/>
    </row>
    <row r="66" customFormat="false" ht="27.75" hidden="false" customHeight="true" outlineLevel="0" collapsed="false">
      <c r="B66" s="8" t="s">
        <v>142</v>
      </c>
      <c r="C66" s="8" t="s">
        <v>143</v>
      </c>
      <c r="D66" s="8" t="s">
        <v>144</v>
      </c>
      <c r="E66" s="8" t="s">
        <v>145</v>
      </c>
      <c r="F66" s="8" t="s">
        <v>146</v>
      </c>
      <c r="G66" s="8" t="s">
        <v>147</v>
      </c>
      <c r="H66" s="8" t="s">
        <v>85</v>
      </c>
    </row>
    <row r="67" customFormat="false" ht="15" hidden="false" customHeight="false" outlineLevel="0" collapsed="false">
      <c r="B67" s="5" t="s">
        <v>148</v>
      </c>
      <c r="C67" s="20" t="n">
        <v>0.49</v>
      </c>
      <c r="D67" s="18" t="n">
        <v>3</v>
      </c>
      <c r="E67" s="18"/>
      <c r="F67" s="21"/>
      <c r="G67" s="22" t="n">
        <f aca="false">IF(ISNUMBER(D67),D67,IF(AND(ISNUMBER(E67),N(F67)&gt;0),E67/F67,""))</f>
        <v>3</v>
      </c>
      <c r="H67" s="19" t="s">
        <v>149</v>
      </c>
    </row>
    <row r="68" customFormat="false" ht="15" hidden="false" customHeight="false" outlineLevel="0" collapsed="false">
      <c r="B68" s="5" t="s">
        <v>150</v>
      </c>
      <c r="C68" s="20" t="n">
        <v>1</v>
      </c>
      <c r="D68" s="18" t="n">
        <v>4</v>
      </c>
      <c r="E68" s="18"/>
      <c r="F68" s="21"/>
      <c r="G68" s="22" t="n">
        <f aca="false">IF(ISNUMBER(D68),D68,IF(AND(ISNUMBER(E68),N(F68)&gt;0),E68/F68,""))</f>
        <v>4</v>
      </c>
      <c r="H68" s="19" t="s">
        <v>149</v>
      </c>
    </row>
    <row r="69" customFormat="false" ht="15" hidden="false" customHeight="false" outlineLevel="0" collapsed="false">
      <c r="B69" s="5" t="s">
        <v>151</v>
      </c>
      <c r="C69" s="20" t="n">
        <v>1</v>
      </c>
      <c r="D69" s="18" t="n">
        <v>16</v>
      </c>
      <c r="E69" s="18"/>
      <c r="F69" s="21"/>
      <c r="G69" s="22" t="n">
        <f aca="false">IF(ISNUMBER(D69),D69,IF(AND(ISNUMBER(E69),N(F69)&gt;0),E69/F69,""))</f>
        <v>16</v>
      </c>
      <c r="H69" s="19" t="s">
        <v>149</v>
      </c>
    </row>
    <row r="70" customFormat="false" ht="15" hidden="false" customHeight="false" outlineLevel="0" collapsed="false">
      <c r="B70" s="5" t="s">
        <v>152</v>
      </c>
      <c r="C70" s="20" t="n">
        <v>1</v>
      </c>
      <c r="D70" s="18" t="n">
        <v>9</v>
      </c>
      <c r="E70" s="18"/>
      <c r="F70" s="21"/>
      <c r="G70" s="22" t="n">
        <f aca="false">IF(ISNUMBER(D70),D70,IF(AND(ISNUMBER(E70),N(F70)&gt;0),E70/F70,""))</f>
        <v>9</v>
      </c>
      <c r="H70" s="19" t="s">
        <v>149</v>
      </c>
    </row>
    <row r="71" customFormat="false" ht="15" hidden="false" customHeight="false" outlineLevel="0" collapsed="false">
      <c r="B71" s="5" t="s">
        <v>153</v>
      </c>
      <c r="C71" s="20" t="n">
        <v>1</v>
      </c>
      <c r="D71" s="18" t="n">
        <v>6</v>
      </c>
      <c r="E71" s="18"/>
      <c r="F71" s="21"/>
      <c r="G71" s="22" t="n">
        <f aca="false">IF(ISNUMBER(D71),D71,IF(AND(ISNUMBER(E71),N(F71)&gt;0),E71/F71,""))</f>
        <v>6</v>
      </c>
      <c r="H71" s="19" t="s">
        <v>149</v>
      </c>
    </row>
    <row r="72" customFormat="false" ht="15" hidden="false" customHeight="false" outlineLevel="0" collapsed="false">
      <c r="B72" s="5" t="s">
        <v>154</v>
      </c>
      <c r="C72" s="20" t="n">
        <v>1</v>
      </c>
      <c r="D72" s="18" t="n">
        <v>12</v>
      </c>
      <c r="E72" s="18"/>
      <c r="F72" s="21"/>
      <c r="G72" s="22" t="n">
        <f aca="false">IF(ISNUMBER(D72),D72,IF(AND(ISNUMBER(E72),N(F72)&gt;0),E72/F72,""))</f>
        <v>12</v>
      </c>
      <c r="H72" s="19" t="s">
        <v>149</v>
      </c>
    </row>
    <row r="73" customFormat="false" ht="15" hidden="false" customHeight="false" outlineLevel="0" collapsed="false">
      <c r="B73" s="5" t="s">
        <v>155</v>
      </c>
      <c r="C73" s="20" t="n">
        <v>1</v>
      </c>
      <c r="D73" s="18" t="n">
        <v>12</v>
      </c>
      <c r="E73" s="18"/>
      <c r="F73" s="21"/>
      <c r="G73" s="22" t="n">
        <f aca="false">IF(ISNUMBER(D73),D73,IF(AND(ISNUMBER(E73),N(F73)&gt;0),E73/F73,""))</f>
        <v>12</v>
      </c>
      <c r="H73" s="19" t="s">
        <v>149</v>
      </c>
    </row>
    <row r="74" customFormat="false" ht="15" hidden="false" customHeight="false" outlineLevel="0" collapsed="false">
      <c r="B74" s="5" t="s">
        <v>156</v>
      </c>
      <c r="C74" s="20" t="n">
        <v>0.35</v>
      </c>
      <c r="D74" s="18" t="n">
        <v>4</v>
      </c>
      <c r="E74" s="18"/>
      <c r="F74" s="21"/>
      <c r="G74" s="22" t="n">
        <f aca="false">IF(ISNUMBER(D74),D74,IF(AND(ISNUMBER(E74),N(F74)&gt;0),E74/F74,""))</f>
        <v>4</v>
      </c>
      <c r="H74" s="19" t="s">
        <v>149</v>
      </c>
    </row>
    <row r="75" customFormat="false" ht="15" hidden="false" customHeight="false" outlineLevel="0" collapsed="false">
      <c r="B75" s="5" t="s">
        <v>157</v>
      </c>
      <c r="C75" s="20" t="n">
        <v>0.25</v>
      </c>
      <c r="D75" s="18" t="n">
        <v>6</v>
      </c>
      <c r="E75" s="18"/>
      <c r="F75" s="21"/>
      <c r="G75" s="22" t="n">
        <f aca="false">IF(ISNUMBER(D75),D75,IF(AND(ISNUMBER(E75),N(F75)&gt;0),E75/F75,""))</f>
        <v>6</v>
      </c>
      <c r="H75" s="19" t="s">
        <v>149</v>
      </c>
    </row>
    <row r="76" customFormat="false" ht="15" hidden="false" customHeight="false" outlineLevel="0" collapsed="false">
      <c r="B76" s="5" t="s">
        <v>158</v>
      </c>
      <c r="C76" s="20" t="n">
        <v>1</v>
      </c>
      <c r="D76" s="18" t="n">
        <v>10</v>
      </c>
      <c r="E76" s="18"/>
      <c r="F76" s="21"/>
      <c r="G76" s="22" t="n">
        <f aca="false">IF(ISNUMBER(D76),D76,IF(AND(ISNUMBER(E76),N(F76)&gt;0),E76/F76,""))</f>
        <v>10</v>
      </c>
      <c r="H76" s="19" t="s">
        <v>149</v>
      </c>
    </row>
    <row r="77" customFormat="false" ht="15" hidden="false" customHeight="false" outlineLevel="0" collapsed="false">
      <c r="B77" s="5" t="s">
        <v>159</v>
      </c>
      <c r="C77" s="20" t="n">
        <v>0.33</v>
      </c>
      <c r="D77" s="18" t="n">
        <v>2</v>
      </c>
      <c r="E77" s="18"/>
      <c r="F77" s="21"/>
      <c r="G77" s="22" t="n">
        <f aca="false">IF(ISNUMBER(D77),D77,IF(AND(ISNUMBER(E77),N(F77)&gt;0),E77/F77,""))</f>
        <v>2</v>
      </c>
      <c r="H77" s="19" t="s">
        <v>149</v>
      </c>
    </row>
    <row r="78" customFormat="false" ht="15" hidden="false" customHeight="false" outlineLevel="0" collapsed="false">
      <c r="B78" s="5" t="s">
        <v>160</v>
      </c>
      <c r="C78" s="20" t="n">
        <v>0.98</v>
      </c>
      <c r="D78" s="18" t="n">
        <v>8</v>
      </c>
      <c r="E78" s="18"/>
      <c r="F78" s="21"/>
      <c r="G78" s="22" t="n">
        <f aca="false">IF(ISNUMBER(D78),D78,IF(AND(ISNUMBER(E78),N(F78)&gt;0),E78/F78,""))</f>
        <v>8</v>
      </c>
      <c r="H78" s="19" t="s">
        <v>149</v>
      </c>
    </row>
    <row r="79" customFormat="false" ht="15" hidden="false" customHeight="false" outlineLevel="0" collapsed="false">
      <c r="B79" s="5" t="s">
        <v>161</v>
      </c>
      <c r="C79" s="20" t="n">
        <v>1</v>
      </c>
      <c r="D79" s="18" t="n">
        <v>8</v>
      </c>
      <c r="E79" s="18"/>
      <c r="F79" s="21"/>
      <c r="G79" s="22" t="n">
        <f aca="false">IF(ISNUMBER(D79),D79,IF(AND(ISNUMBER(E79),N(F79)&gt;0),E79/F79,""))</f>
        <v>8</v>
      </c>
      <c r="H79" s="19" t="s">
        <v>149</v>
      </c>
    </row>
    <row r="80" customFormat="false" ht="15" hidden="false" customHeight="false" outlineLevel="0" collapsed="false">
      <c r="B80" s="5" t="s">
        <v>162</v>
      </c>
      <c r="C80" s="20" t="n">
        <v>1</v>
      </c>
      <c r="D80" s="18" t="n">
        <v>6</v>
      </c>
      <c r="E80" s="18"/>
      <c r="F80" s="21"/>
      <c r="G80" s="22" t="n">
        <f aca="false">IF(ISNUMBER(D80),D80,IF(AND(ISNUMBER(E80),N(F80)&gt;0),E80/F80,""))</f>
        <v>6</v>
      </c>
      <c r="H80" s="19" t="s">
        <v>149</v>
      </c>
    </row>
    <row r="81" customFormat="false" ht="15" hidden="false" customHeight="false" outlineLevel="0" collapsed="false">
      <c r="B81" s="5" t="s">
        <v>163</v>
      </c>
      <c r="C81" s="20" t="n">
        <v>1</v>
      </c>
      <c r="D81" s="18" t="n">
        <v>9</v>
      </c>
      <c r="E81" s="18"/>
      <c r="F81" s="21"/>
      <c r="G81" s="22" t="n">
        <f aca="false">IF(ISNUMBER(D81),D81,IF(AND(ISNUMBER(E81),N(F81)&gt;0),E81/F81,""))</f>
        <v>9</v>
      </c>
      <c r="H81" s="19" t="s">
        <v>149</v>
      </c>
    </row>
    <row r="82" customFormat="false" ht="15" hidden="false" customHeight="false" outlineLevel="0" collapsed="false">
      <c r="B82" s="5" t="s">
        <v>164</v>
      </c>
      <c r="C82" s="20" t="n">
        <v>1</v>
      </c>
      <c r="D82" s="18"/>
      <c r="E82" s="18" t="n">
        <v>17463.24</v>
      </c>
      <c r="F82" s="21"/>
      <c r="G82" s="22" t="str">
        <f aca="false">IF(ISNUMBER(D82),D82,IF(AND(ISNUMBER(E82),N(F82)&gt;0),E82/F82,""))</f>
        <v/>
      </c>
      <c r="H82" s="19" t="s">
        <v>165</v>
      </c>
    </row>
    <row r="83" customFormat="false" ht="15" hidden="false" customHeight="false" outlineLevel="0" collapsed="false">
      <c r="B83" s="5" t="s">
        <v>166</v>
      </c>
      <c r="C83" s="20" t="n">
        <v>1</v>
      </c>
      <c r="D83" s="18"/>
      <c r="E83" s="18" t="n">
        <v>35625</v>
      </c>
      <c r="F83" s="21"/>
      <c r="G83" s="22" t="str">
        <f aca="false">IF(ISNUMBER(D83),D83,IF(AND(ISNUMBER(E83),N(F83)&gt;0),E83/F83,""))</f>
        <v/>
      </c>
      <c r="H83" s="19" t="s">
        <v>167</v>
      </c>
    </row>
    <row r="84" customFormat="false" ht="15" hidden="false" customHeight="false" outlineLevel="0" collapsed="false">
      <c r="B84" s="5" t="s">
        <v>168</v>
      </c>
      <c r="C84" s="20" t="n">
        <v>1</v>
      </c>
      <c r="D84" s="18"/>
      <c r="E84" s="18" t="n">
        <v>29411.76</v>
      </c>
      <c r="F84" s="21"/>
      <c r="G84" s="22" t="str">
        <f aca="false">IF(ISNUMBER(D84),D84,IF(AND(ISNUMBER(E84),N(F84)&gt;0),E84/F84,""))</f>
        <v/>
      </c>
      <c r="H84" s="19" t="s">
        <v>169</v>
      </c>
    </row>
    <row r="85" customFormat="false" ht="15" hidden="false" customHeight="false" outlineLevel="0" collapsed="false">
      <c r="B85" s="5" t="s">
        <v>170</v>
      </c>
      <c r="C85" s="20" t="n">
        <v>1</v>
      </c>
      <c r="D85" s="18"/>
      <c r="E85" s="18" t="n">
        <v>33823.53</v>
      </c>
      <c r="F85" s="21"/>
      <c r="G85" s="22" t="str">
        <f aca="false">IF(ISNUMBER(D85),D85,IF(AND(ISNUMBER(E85),N(F85)&gt;0),E85/F85,""))</f>
        <v/>
      </c>
      <c r="H85" s="19" t="s">
        <v>169</v>
      </c>
    </row>
    <row r="86" customFormat="false" ht="15" hidden="false" customHeight="false" outlineLevel="0" collapsed="false">
      <c r="B86" s="5"/>
      <c r="C86" s="20"/>
      <c r="D86" s="18"/>
      <c r="E86" s="18"/>
      <c r="F86" s="21"/>
      <c r="G86" s="22" t="str">
        <f aca="false">IF(ISNUMBER(D86),D86,IF(AND(ISNUMBER(E86),N(F86)&gt;0),E86/F86,""))</f>
        <v/>
      </c>
      <c r="H86" s="19"/>
    </row>
    <row r="87" customFormat="false" ht="15" hidden="false" customHeight="false" outlineLevel="0" collapsed="false">
      <c r="B87" s="5"/>
      <c r="C87" s="20"/>
      <c r="D87" s="18"/>
      <c r="E87" s="18"/>
      <c r="F87" s="21"/>
      <c r="G87" s="22" t="str">
        <f aca="false">IF(ISNUMBER(D87),D87,IF(AND(ISNUMBER(E87),N(F87)&gt;0),E87/F87,""))</f>
        <v/>
      </c>
      <c r="H87" s="19"/>
    </row>
    <row r="88" customFormat="false" ht="15" hidden="false" customHeight="false" outlineLevel="0" collapsed="false">
      <c r="B88" s="5"/>
      <c r="C88" s="20"/>
      <c r="D88" s="18"/>
      <c r="E88" s="18"/>
      <c r="F88" s="21"/>
      <c r="G88" s="22" t="str">
        <f aca="false">IF(ISNUMBER(D88),D88,IF(AND(ISNUMBER(E88),N(F88)&gt;0),E88/F88,""))</f>
        <v/>
      </c>
      <c r="H88" s="19"/>
    </row>
    <row r="89" customFormat="false" ht="15" hidden="false" customHeight="false" outlineLevel="0" collapsed="false">
      <c r="B89" s="5"/>
      <c r="C89" s="20"/>
      <c r="D89" s="18"/>
      <c r="E89" s="18"/>
      <c r="F89" s="21"/>
      <c r="G89" s="22" t="str">
        <f aca="false">IF(ISNUMBER(D89),D89,IF(AND(ISNUMBER(E89),N(F89)&gt;0),E89/F89,""))</f>
        <v/>
      </c>
      <c r="H89" s="19"/>
    </row>
    <row r="90" customFormat="false" ht="15" hidden="false" customHeight="false" outlineLevel="0" collapsed="false">
      <c r="B90" s="5"/>
      <c r="C90" s="20"/>
      <c r="D90" s="18"/>
      <c r="E90" s="18"/>
      <c r="F90" s="21"/>
      <c r="G90" s="22" t="str">
        <f aca="false">IF(ISNUMBER(D90),D90,IF(AND(ISNUMBER(E90),N(F90)&gt;0),E90/F90,""))</f>
        <v/>
      </c>
      <c r="H90" s="19"/>
    </row>
    <row r="91" customFormat="false" ht="15" hidden="false" customHeight="false" outlineLevel="0" collapsed="false">
      <c r="B91" s="5"/>
      <c r="C91" s="20"/>
      <c r="D91" s="18"/>
      <c r="E91" s="18"/>
      <c r="F91" s="21"/>
      <c r="G91" s="22" t="str">
        <f aca="false">IF(ISNUMBER(D91),D91,IF(AND(ISNUMBER(E91),N(F91)&gt;0),E91/F91,""))</f>
        <v/>
      </c>
      <c r="H91" s="19"/>
    </row>
    <row r="93" customFormat="false" ht="19.5" hidden="false" customHeight="true" outlineLevel="0" collapsed="false">
      <c r="B93" s="3" t="s">
        <v>171</v>
      </c>
      <c r="C93" s="3"/>
      <c r="D93" s="3"/>
      <c r="E93" s="3"/>
      <c r="F93" s="3"/>
      <c r="G93" s="3"/>
      <c r="H93" s="3"/>
    </row>
    <row r="94" customFormat="false" ht="27.75" hidden="false" customHeight="true" outlineLevel="0" collapsed="false">
      <c r="B94" s="8" t="s">
        <v>172</v>
      </c>
      <c r="C94" s="8" t="s">
        <v>107</v>
      </c>
      <c r="D94" s="8" t="s">
        <v>83</v>
      </c>
      <c r="H94" s="8" t="s">
        <v>85</v>
      </c>
    </row>
    <row r="95" customFormat="false" ht="15" hidden="false" customHeight="false" outlineLevel="0" collapsed="false">
      <c r="B95" s="5" t="s">
        <v>173</v>
      </c>
      <c r="C95" s="7" t="s">
        <v>174</v>
      </c>
      <c r="D95" s="18" t="n">
        <v>290</v>
      </c>
      <c r="H95" s="19" t="s">
        <v>175</v>
      </c>
    </row>
    <row r="96" customFormat="false" ht="15" hidden="false" customHeight="false" outlineLevel="0" collapsed="false">
      <c r="B96" s="5" t="s">
        <v>176</v>
      </c>
      <c r="C96" s="7" t="s">
        <v>177</v>
      </c>
      <c r="D96" s="18" t="n">
        <v>150</v>
      </c>
      <c r="H96" s="19" t="s">
        <v>178</v>
      </c>
    </row>
    <row r="97" customFormat="false" ht="15" hidden="false" customHeight="false" outlineLevel="0" collapsed="false">
      <c r="B97" s="5" t="s">
        <v>179</v>
      </c>
      <c r="C97" s="7" t="s">
        <v>177</v>
      </c>
      <c r="D97" s="18" t="n">
        <v>1500</v>
      </c>
      <c r="H97" s="19" t="s">
        <v>180</v>
      </c>
    </row>
    <row r="98" customFormat="false" ht="15" hidden="false" customHeight="false" outlineLevel="0" collapsed="false">
      <c r="B98" s="5" t="s">
        <v>181</v>
      </c>
      <c r="C98" s="7" t="s">
        <v>182</v>
      </c>
      <c r="D98" s="18" t="n">
        <v>150</v>
      </c>
      <c r="H98" s="19" t="s">
        <v>95</v>
      </c>
    </row>
    <row r="99" customFormat="false" ht="15" hidden="false" customHeight="false" outlineLevel="0" collapsed="false">
      <c r="B99" s="5" t="s">
        <v>183</v>
      </c>
      <c r="C99" s="7" t="s">
        <v>184</v>
      </c>
      <c r="D99" s="18" t="n">
        <v>18350</v>
      </c>
      <c r="H99" s="19" t="s">
        <v>185</v>
      </c>
    </row>
    <row r="100" customFormat="false" ht="15" hidden="false" customHeight="false" outlineLevel="0" collapsed="false">
      <c r="B100" s="5" t="s">
        <v>186</v>
      </c>
      <c r="C100" s="7" t="s">
        <v>187</v>
      </c>
      <c r="D100" s="18" t="n">
        <v>40453.37</v>
      </c>
      <c r="H100" s="19" t="s">
        <v>188</v>
      </c>
    </row>
    <row r="101" customFormat="false" ht="15" hidden="false" customHeight="false" outlineLevel="0" collapsed="false">
      <c r="B101" s="5" t="s">
        <v>189</v>
      </c>
      <c r="C101" s="7" t="s">
        <v>190</v>
      </c>
      <c r="D101" s="18" t="n">
        <v>3000</v>
      </c>
      <c r="H101" s="19" t="s">
        <v>191</v>
      </c>
    </row>
    <row r="102" customFormat="false" ht="15" hidden="false" customHeight="false" outlineLevel="0" collapsed="false">
      <c r="B102" s="5"/>
      <c r="C102" s="7"/>
      <c r="D102" s="18"/>
      <c r="H102" s="19"/>
    </row>
    <row r="103" customFormat="false" ht="15" hidden="false" customHeight="false" outlineLevel="0" collapsed="false">
      <c r="B103" s="5"/>
      <c r="C103" s="7"/>
      <c r="D103" s="18"/>
      <c r="H103" s="19"/>
    </row>
    <row r="104" customFormat="false" ht="15" hidden="false" customHeight="false" outlineLevel="0" collapsed="false">
      <c r="B104" s="5"/>
      <c r="C104" s="7"/>
      <c r="D104" s="18"/>
      <c r="H104" s="19"/>
    </row>
    <row r="105" customFormat="false" ht="15" hidden="false" customHeight="false" outlineLevel="0" collapsed="false">
      <c r="B105" s="5"/>
      <c r="C105" s="7"/>
      <c r="D105" s="18"/>
      <c r="H105" s="19"/>
    </row>
    <row r="106" customFormat="false" ht="15" hidden="false" customHeight="false" outlineLevel="0" collapsed="false">
      <c r="B106" s="5"/>
      <c r="C106" s="7"/>
      <c r="D106" s="18"/>
      <c r="H106" s="19"/>
    </row>
    <row r="107" customFormat="false" ht="15" hidden="false" customHeight="false" outlineLevel="0" collapsed="false">
      <c r="B107" s="5"/>
      <c r="C107" s="7"/>
      <c r="D107" s="18"/>
      <c r="H107" s="19"/>
    </row>
    <row r="108" customFormat="false" ht="15" hidden="false" customHeight="false" outlineLevel="0" collapsed="false">
      <c r="B108" s="5"/>
      <c r="C108" s="7"/>
      <c r="D108" s="18"/>
      <c r="H108" s="19"/>
    </row>
    <row r="109" customFormat="false" ht="15" hidden="false" customHeight="false" outlineLevel="0" collapsed="false">
      <c r="B109" s="5"/>
      <c r="C109" s="7"/>
      <c r="D109" s="18"/>
      <c r="H109" s="19"/>
    </row>
    <row r="111" customFormat="false" ht="19.5" hidden="false" customHeight="true" outlineLevel="0" collapsed="false">
      <c r="B111" s="3" t="s">
        <v>192</v>
      </c>
      <c r="C111" s="3"/>
      <c r="D111" s="3"/>
      <c r="E111" s="3"/>
      <c r="F111" s="3"/>
      <c r="G111" s="3"/>
      <c r="H111" s="3"/>
    </row>
    <row r="112" customFormat="false" ht="27.75" hidden="false" customHeight="true" outlineLevel="0" collapsed="false">
      <c r="B112" s="8" t="s">
        <v>193</v>
      </c>
      <c r="D112" s="8" t="s">
        <v>194</v>
      </c>
      <c r="H112" s="8" t="s">
        <v>85</v>
      </c>
    </row>
    <row r="113" customFormat="false" ht="15" hidden="false" customHeight="false" outlineLevel="0" collapsed="false">
      <c r="B113" s="5" t="s">
        <v>195</v>
      </c>
      <c r="D113" s="18" t="n">
        <v>15000</v>
      </c>
      <c r="H113" s="19" t="s">
        <v>196</v>
      </c>
    </row>
    <row r="114" customFormat="false" ht="15" hidden="false" customHeight="false" outlineLevel="0" collapsed="false">
      <c r="B114" s="5" t="s">
        <v>197</v>
      </c>
      <c r="D114" s="18"/>
      <c r="H114" s="19"/>
    </row>
    <row r="115" customFormat="false" ht="15" hidden="false" customHeight="false" outlineLevel="0" collapsed="false">
      <c r="B115" s="5" t="s">
        <v>198</v>
      </c>
      <c r="D115" s="18"/>
      <c r="H115" s="19"/>
    </row>
    <row r="116" customFormat="false" ht="15" hidden="false" customHeight="false" outlineLevel="0" collapsed="false">
      <c r="B116" s="5" t="s">
        <v>199</v>
      </c>
      <c r="D116" s="18"/>
      <c r="H116" s="19"/>
    </row>
    <row r="117" customFormat="false" ht="15" hidden="false" customHeight="false" outlineLevel="0" collapsed="false">
      <c r="B117" s="5"/>
      <c r="D117" s="18"/>
      <c r="H117" s="19"/>
    </row>
    <row r="118" customFormat="false" ht="15" hidden="false" customHeight="false" outlineLevel="0" collapsed="false">
      <c r="B118" s="5"/>
      <c r="D118" s="18"/>
      <c r="H118" s="19"/>
    </row>
    <row r="119" customFormat="false" ht="15" hidden="false" customHeight="false" outlineLevel="0" collapsed="false">
      <c r="B119" s="5"/>
      <c r="D119" s="18"/>
      <c r="H119" s="19"/>
    </row>
    <row r="121" customFormat="false" ht="19.5" hidden="false" customHeight="true" outlineLevel="0" collapsed="false">
      <c r="B121" s="3" t="s">
        <v>200</v>
      </c>
      <c r="C121" s="3"/>
      <c r="D121" s="3"/>
      <c r="E121" s="3"/>
      <c r="F121" s="3"/>
      <c r="G121" s="3"/>
      <c r="H121" s="3"/>
    </row>
    <row r="122" customFormat="false" ht="27.75" hidden="false" customHeight="true" outlineLevel="0" collapsed="false">
      <c r="B122" s="8" t="s">
        <v>172</v>
      </c>
      <c r="D122" s="8" t="s">
        <v>83</v>
      </c>
      <c r="H122" s="8" t="s">
        <v>85</v>
      </c>
    </row>
    <row r="123" customFormat="false" ht="15" hidden="false" customHeight="false" outlineLevel="0" collapsed="false">
      <c r="B123" s="13" t="s">
        <v>201</v>
      </c>
      <c r="D123" s="18" t="n">
        <v>250</v>
      </c>
      <c r="H123" s="19" t="s">
        <v>202</v>
      </c>
    </row>
    <row r="124" customFormat="false" ht="15" hidden="false" customHeight="false" outlineLevel="0" collapsed="false">
      <c r="B124" s="13" t="s">
        <v>203</v>
      </c>
      <c r="D124" s="18" t="n">
        <v>700</v>
      </c>
      <c r="H124" s="19" t="s">
        <v>95</v>
      </c>
    </row>
    <row r="125" customFormat="false" ht="15" hidden="false" customHeight="false" outlineLevel="0" collapsed="false">
      <c r="B125" s="13" t="s">
        <v>204</v>
      </c>
      <c r="D125" s="18" t="n">
        <v>2300</v>
      </c>
      <c r="H125" s="19" t="s">
        <v>95</v>
      </c>
    </row>
    <row r="126" customFormat="false" ht="15" hidden="false" customHeight="false" outlineLevel="0" collapsed="false">
      <c r="B126" s="13" t="s">
        <v>205</v>
      </c>
      <c r="D126" s="18" t="n">
        <v>3300</v>
      </c>
      <c r="H126" s="19" t="s">
        <v>95</v>
      </c>
    </row>
    <row r="127" customFormat="false" ht="15" hidden="false" customHeight="false" outlineLevel="0" collapsed="false">
      <c r="B127" s="13" t="s">
        <v>206</v>
      </c>
      <c r="D127" s="18" t="n">
        <v>4500</v>
      </c>
      <c r="H127" s="19" t="s">
        <v>95</v>
      </c>
    </row>
    <row r="128" customFormat="false" ht="15" hidden="false" customHeight="false" outlineLevel="0" collapsed="false">
      <c r="B128" s="13" t="s">
        <v>207</v>
      </c>
      <c r="D128" s="18" t="n">
        <v>500</v>
      </c>
      <c r="H128" s="19" t="s">
        <v>208</v>
      </c>
    </row>
  </sheetData>
  <mergeCells count="6">
    <mergeCell ref="B4:H4"/>
    <mergeCell ref="B25:H25"/>
    <mergeCell ref="B65:H65"/>
    <mergeCell ref="B93:H93"/>
    <mergeCell ref="B111:H111"/>
    <mergeCell ref="B121:H121"/>
  </mergeCells>
  <dataValidations count="1">
    <dataValidation allowBlank="true" error="Pick a value from the drop-down list." errorStyle="stop" errorTitle="Invalid entry" operator="between" showDropDown="false" showErrorMessage="true" showInputMessage="false" sqref="C27:C63" type="list">
      <formula1>"day,LS"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4" min="3" style="0" width="22"/>
    <col collapsed="false" customWidth="true" hidden="false" outlineLevel="0" max="5" min="5" style="0" width="16"/>
    <col collapsed="false" customWidth="true" hidden="false" outlineLevel="0" max="6" min="6" style="0" width="46"/>
  </cols>
  <sheetData>
    <row r="1" customFormat="false" ht="19.7" hidden="false" customHeight="false" outlineLevel="0" collapsed="false">
      <c r="B1" s="1" t="s">
        <v>209</v>
      </c>
    </row>
    <row r="2" customFormat="false" ht="15" hidden="false" customHeight="false" outlineLevel="0" collapsed="false">
      <c r="B2" s="2" t="s">
        <v>210</v>
      </c>
    </row>
    <row r="4" customFormat="false" ht="15" hidden="false" customHeight="false" outlineLevel="0" collapsed="false">
      <c r="B4" s="23" t="s">
        <v>211</v>
      </c>
    </row>
    <row r="5" customFormat="false" ht="15" hidden="false" customHeight="false" outlineLevel="0" collapsed="false">
      <c r="B5" s="24" t="s">
        <v>6</v>
      </c>
      <c r="C5" s="25" t="n">
        <f aca="false">QClient</f>
        <v>0</v>
      </c>
      <c r="D5" s="25"/>
    </row>
    <row r="6" customFormat="false" ht="15" hidden="false" customHeight="false" outlineLevel="0" collapsed="false">
      <c r="B6" s="24" t="s">
        <v>212</v>
      </c>
      <c r="C6" s="25" t="n">
        <f aca="false">QProject</f>
        <v>0</v>
      </c>
      <c r="D6" s="25"/>
    </row>
    <row r="7" customFormat="false" ht="15" hidden="false" customHeight="false" outlineLevel="0" collapsed="false">
      <c r="B7" s="24" t="s">
        <v>213</v>
      </c>
      <c r="C7" s="25" t="n">
        <f aca="false">QNo</f>
        <v>0</v>
      </c>
      <c r="D7" s="25"/>
    </row>
    <row r="9" customFormat="false" ht="15" hidden="false" customHeight="false" outlineLevel="0" collapsed="false">
      <c r="B9" s="24" t="s">
        <v>214</v>
      </c>
      <c r="C9" s="26" t="s">
        <v>215</v>
      </c>
      <c r="D9" s="27" t="s">
        <v>216</v>
      </c>
    </row>
    <row r="11" customFormat="false" ht="15" hidden="false" customHeight="false" outlineLevel="0" collapsed="false">
      <c r="B11" s="23" t="s">
        <v>217</v>
      </c>
    </row>
    <row r="12" customFormat="false" ht="15" hidden="false" customHeight="false" outlineLevel="0" collapsed="false">
      <c r="B12" s="28" t="s">
        <v>218</v>
      </c>
      <c r="C12" s="29" t="n">
        <v>1000</v>
      </c>
      <c r="D12" s="27" t="s">
        <v>219</v>
      </c>
    </row>
    <row r="13" customFormat="false" ht="15" hidden="false" customHeight="false" outlineLevel="0" collapsed="false">
      <c r="B13" s="28" t="s">
        <v>220</v>
      </c>
      <c r="C13" s="30" t="n">
        <v>1.25</v>
      </c>
      <c r="D13" s="27" t="s">
        <v>221</v>
      </c>
    </row>
    <row r="14" customFormat="false" ht="15" hidden="false" customHeight="false" outlineLevel="0" collapsed="false">
      <c r="B14" s="28" t="s">
        <v>222</v>
      </c>
      <c r="C14" s="31" t="n">
        <v>1.15</v>
      </c>
      <c r="D14" s="27" t="s">
        <v>223</v>
      </c>
      <c r="F14" s="27" t="s">
        <v>224</v>
      </c>
    </row>
    <row r="15" customFormat="false" ht="15" hidden="false" customHeight="false" outlineLevel="0" collapsed="false">
      <c r="B15" s="28" t="s">
        <v>225</v>
      </c>
      <c r="C15" s="29" t="n">
        <v>5</v>
      </c>
      <c r="D15" s="27" t="s">
        <v>226</v>
      </c>
    </row>
    <row r="16" customFormat="false" ht="15" hidden="false" customHeight="false" outlineLevel="0" collapsed="false">
      <c r="B16" s="28" t="s">
        <v>227</v>
      </c>
      <c r="C16" s="31" t="n">
        <v>0.25</v>
      </c>
      <c r="D16" s="27" t="s">
        <v>228</v>
      </c>
      <c r="F16" s="27" t="s">
        <v>229</v>
      </c>
    </row>
    <row r="18" customFormat="false" ht="15" hidden="false" customHeight="false" outlineLevel="0" collapsed="false">
      <c r="B18" s="23" t="s">
        <v>230</v>
      </c>
    </row>
    <row r="19" customFormat="false" ht="15" hidden="false" customHeight="false" outlineLevel="0" collapsed="false">
      <c r="B19" s="8" t="s">
        <v>231</v>
      </c>
      <c r="C19" s="8" t="s">
        <v>232</v>
      </c>
      <c r="D19" s="8" t="s">
        <v>233</v>
      </c>
      <c r="F19" s="8" t="s">
        <v>234</v>
      </c>
    </row>
    <row r="20" customFormat="false" ht="15" hidden="false" customHeight="false" outlineLevel="0" collapsed="false">
      <c r="B20" s="24" t="s">
        <v>235</v>
      </c>
      <c r="C20" s="31" t="n">
        <v>1</v>
      </c>
      <c r="D20" s="31" t="n">
        <v>1</v>
      </c>
      <c r="F20" s="27" t="s">
        <v>236</v>
      </c>
    </row>
    <row r="21" customFormat="false" ht="15" hidden="false" customHeight="false" outlineLevel="0" collapsed="false">
      <c r="B21" s="24" t="s">
        <v>237</v>
      </c>
      <c r="C21" s="31" t="n">
        <v>1</v>
      </c>
      <c r="D21" s="31" t="n">
        <v>1</v>
      </c>
      <c r="F21" s="27" t="s">
        <v>236</v>
      </c>
    </row>
    <row r="22" customFormat="false" ht="15" hidden="false" customHeight="false" outlineLevel="0" collapsed="false">
      <c r="B22" s="24" t="s">
        <v>238</v>
      </c>
      <c r="C22" s="31" t="n">
        <v>0.2</v>
      </c>
      <c r="D22" s="31" t="n">
        <v>1</v>
      </c>
      <c r="F22" s="27" t="s">
        <v>239</v>
      </c>
    </row>
    <row r="23" customFormat="false" ht="15" hidden="false" customHeight="false" outlineLevel="0" collapsed="false">
      <c r="B23" s="24" t="s">
        <v>240</v>
      </c>
      <c r="C23" s="31" t="n">
        <v>0.2</v>
      </c>
      <c r="D23" s="31" t="n">
        <v>0.3</v>
      </c>
      <c r="F23" s="27" t="s">
        <v>241</v>
      </c>
    </row>
    <row r="24" customFormat="false" ht="15" hidden="false" customHeight="false" outlineLevel="0" collapsed="false">
      <c r="B24" s="24" t="s">
        <v>242</v>
      </c>
      <c r="C24" s="31" t="n">
        <v>0.2</v>
      </c>
      <c r="D24" s="31" t="n">
        <v>0.3</v>
      </c>
      <c r="F24" s="27" t="s">
        <v>241</v>
      </c>
    </row>
    <row r="25" customFormat="false" ht="15" hidden="false" customHeight="false" outlineLevel="0" collapsed="false">
      <c r="B25" s="24" t="s">
        <v>243</v>
      </c>
      <c r="C25" s="31" t="n">
        <v>0.2</v>
      </c>
      <c r="D25" s="31" t="n">
        <v>0.3</v>
      </c>
      <c r="F25" s="27" t="s">
        <v>244</v>
      </c>
    </row>
    <row r="26" customFormat="false" ht="15" hidden="false" customHeight="false" outlineLevel="0" collapsed="false">
      <c r="B26" s="24" t="s">
        <v>245</v>
      </c>
      <c r="C26" s="31" t="n">
        <v>0.2</v>
      </c>
      <c r="D26" s="31" t="n">
        <v>0.3</v>
      </c>
      <c r="F26" s="27" t="s">
        <v>241</v>
      </c>
    </row>
    <row r="27" customFormat="false" ht="15" hidden="false" customHeight="false" outlineLevel="0" collapsed="false">
      <c r="B27" s="27" t="s">
        <v>246</v>
      </c>
    </row>
    <row r="29" customFormat="false" ht="15" hidden="false" customHeight="false" outlineLevel="0" collapsed="false">
      <c r="B29" s="23" t="s">
        <v>247</v>
      </c>
    </row>
    <row r="30" customFormat="false" ht="15" hidden="false" customHeight="false" outlineLevel="0" collapsed="false">
      <c r="B30" s="28" t="s">
        <v>248</v>
      </c>
      <c r="C30" s="32" t="s">
        <v>249</v>
      </c>
      <c r="D30" s="32"/>
    </row>
    <row r="31" customFormat="false" ht="15" hidden="false" customHeight="false" outlineLevel="0" collapsed="false">
      <c r="B31" s="28" t="s">
        <v>250</v>
      </c>
      <c r="C31" s="32" t="s">
        <v>251</v>
      </c>
      <c r="D31" s="32"/>
    </row>
    <row r="32" customFormat="false" ht="15" hidden="false" customHeight="false" outlineLevel="0" collapsed="false">
      <c r="B32" s="28" t="s">
        <v>252</v>
      </c>
      <c r="C32" s="32" t="s">
        <v>253</v>
      </c>
      <c r="D32" s="32"/>
    </row>
    <row r="33" customFormat="false" ht="15" hidden="false" customHeight="false" outlineLevel="0" collapsed="false">
      <c r="B33" s="28" t="s">
        <v>254</v>
      </c>
      <c r="C33" s="32" t="s">
        <v>255</v>
      </c>
      <c r="D33" s="32"/>
    </row>
    <row r="34" customFormat="false" ht="15" hidden="false" customHeight="false" outlineLevel="0" collapsed="false">
      <c r="B34" s="28" t="s">
        <v>256</v>
      </c>
      <c r="C34" s="32" t="s">
        <v>257</v>
      </c>
      <c r="D34" s="32"/>
    </row>
    <row r="35" customFormat="false" ht="15" hidden="false" customHeight="false" outlineLevel="0" collapsed="false">
      <c r="B35" s="28" t="s">
        <v>258</v>
      </c>
      <c r="C35" s="32" t="s">
        <v>259</v>
      </c>
      <c r="D35" s="32"/>
    </row>
    <row r="36" customFormat="false" ht="15" hidden="false" customHeight="false" outlineLevel="0" collapsed="false">
      <c r="B36" s="28" t="s">
        <v>260</v>
      </c>
      <c r="C36" s="32" t="s">
        <v>261</v>
      </c>
      <c r="D36" s="32"/>
    </row>
    <row r="37" customFormat="false" ht="15" hidden="false" customHeight="false" outlineLevel="0" collapsed="false">
      <c r="B37" s="28" t="s">
        <v>262</v>
      </c>
      <c r="C37" s="32" t="s">
        <v>263</v>
      </c>
      <c r="D37" s="32"/>
    </row>
    <row r="38" customFormat="false" ht="15" hidden="false" customHeight="false" outlineLevel="0" collapsed="false">
      <c r="B38" s="28" t="s">
        <v>264</v>
      </c>
      <c r="C38" s="32" t="s">
        <v>265</v>
      </c>
      <c r="D38" s="32"/>
    </row>
    <row r="39" customFormat="false" ht="15" hidden="false" customHeight="false" outlineLevel="0" collapsed="false">
      <c r="B39" s="28" t="s">
        <v>266</v>
      </c>
      <c r="C39" s="32" t="s">
        <v>267</v>
      </c>
      <c r="D39" s="32"/>
    </row>
    <row r="40" customFormat="false" ht="15" hidden="false" customHeight="false" outlineLevel="0" collapsed="false">
      <c r="B40" s="28" t="s">
        <v>268</v>
      </c>
      <c r="C40" s="32" t="s">
        <v>269</v>
      </c>
      <c r="D40" s="32"/>
    </row>
    <row r="41" customFormat="false" ht="15" hidden="false" customHeight="false" outlineLevel="0" collapsed="false">
      <c r="B41" s="28" t="s">
        <v>270</v>
      </c>
      <c r="C41" s="32" t="s">
        <v>271</v>
      </c>
      <c r="D41" s="32"/>
    </row>
    <row r="43" customFormat="false" ht="15" hidden="false" customHeight="false" outlineLevel="0" collapsed="false">
      <c r="B43" s="23" t="s">
        <v>272</v>
      </c>
    </row>
    <row r="44" customFormat="false" ht="15" hidden="false" customHeight="false" outlineLevel="0" collapsed="false">
      <c r="B44" s="28" t="s">
        <v>273</v>
      </c>
      <c r="C44" s="32" t="s">
        <v>274</v>
      </c>
    </row>
    <row r="45" customFormat="false" ht="15" hidden="false" customHeight="false" outlineLevel="0" collapsed="false">
      <c r="B45" s="28" t="s">
        <v>275</v>
      </c>
      <c r="C45" s="32" t="s">
        <v>276</v>
      </c>
    </row>
    <row r="46" customFormat="false" ht="15" hidden="false" customHeight="false" outlineLevel="0" collapsed="false">
      <c r="B46" s="28" t="s">
        <v>277</v>
      </c>
      <c r="C46" s="32" t="s">
        <v>278</v>
      </c>
    </row>
    <row r="47" customFormat="false" ht="15" hidden="false" customHeight="false" outlineLevel="0" collapsed="false">
      <c r="B47" s="28" t="s">
        <v>279</v>
      </c>
      <c r="C47" s="32" t="s">
        <v>280</v>
      </c>
    </row>
    <row r="49" customFormat="false" ht="15" hidden="false" customHeight="false" outlineLevel="0" collapsed="false">
      <c r="B49" s="23" t="s">
        <v>281</v>
      </c>
    </row>
    <row r="50" customFormat="false" ht="15" hidden="false" customHeight="true" outlineLevel="0" collapsed="false">
      <c r="B50" s="8" t="s">
        <v>282</v>
      </c>
      <c r="C50" s="8" t="s">
        <v>283</v>
      </c>
      <c r="D50" s="8"/>
      <c r="E50" s="8"/>
      <c r="F50" s="8"/>
    </row>
    <row r="51" customFormat="false" ht="15" hidden="false" customHeight="false" outlineLevel="0" collapsed="false">
      <c r="B51" s="32" t="s">
        <v>284</v>
      </c>
      <c r="C51" s="32"/>
      <c r="D51" s="32"/>
      <c r="E51" s="32"/>
      <c r="F51" s="32"/>
    </row>
    <row r="52" customFormat="false" ht="15" hidden="false" customHeight="false" outlineLevel="0" collapsed="false">
      <c r="B52" s="32" t="s">
        <v>285</v>
      </c>
      <c r="C52" s="32"/>
      <c r="D52" s="32"/>
      <c r="E52" s="32"/>
      <c r="F52" s="32"/>
    </row>
    <row r="53" customFormat="false" ht="15" hidden="false" customHeight="false" outlineLevel="0" collapsed="false">
      <c r="B53" s="32" t="s">
        <v>286</v>
      </c>
      <c r="C53" s="32"/>
      <c r="D53" s="32"/>
      <c r="E53" s="32"/>
      <c r="F53" s="32"/>
    </row>
    <row r="54" customFormat="false" ht="15" hidden="false" customHeight="false" outlineLevel="0" collapsed="false">
      <c r="B54" s="32" t="s">
        <v>287</v>
      </c>
      <c r="C54" s="32"/>
      <c r="D54" s="32"/>
      <c r="E54" s="32"/>
      <c r="F54" s="32"/>
    </row>
    <row r="55" customFormat="false" ht="15" hidden="false" customHeight="false" outlineLevel="0" collapsed="false">
      <c r="B55" s="32" t="s">
        <v>288</v>
      </c>
      <c r="C55" s="32"/>
      <c r="D55" s="32"/>
      <c r="E55" s="32"/>
      <c r="F55" s="32"/>
    </row>
    <row r="56" customFormat="false" ht="15" hidden="false" customHeight="false" outlineLevel="0" collapsed="false">
      <c r="B56" s="32" t="s">
        <v>289</v>
      </c>
      <c r="C56" s="32"/>
      <c r="D56" s="32"/>
      <c r="E56" s="32"/>
      <c r="F56" s="32"/>
    </row>
    <row r="57" customFormat="false" ht="15" hidden="false" customHeight="false" outlineLevel="0" collapsed="false">
      <c r="B57" s="32" t="s">
        <v>290</v>
      </c>
      <c r="C57" s="32"/>
      <c r="D57" s="32"/>
      <c r="E57" s="32"/>
      <c r="F57" s="32"/>
    </row>
    <row r="58" customFormat="false" ht="15" hidden="false" customHeight="false" outlineLevel="0" collapsed="false">
      <c r="B58" s="32" t="s">
        <v>291</v>
      </c>
      <c r="C58" s="32"/>
      <c r="D58" s="32"/>
      <c r="E58" s="32"/>
      <c r="F58" s="32"/>
    </row>
    <row r="59" customFormat="false" ht="15" hidden="false" customHeight="false" outlineLevel="0" collapsed="false">
      <c r="B59" s="32" t="s">
        <v>292</v>
      </c>
      <c r="C59" s="32"/>
      <c r="D59" s="32"/>
      <c r="E59" s="32"/>
      <c r="F59" s="32"/>
    </row>
    <row r="60" customFormat="false" ht="15" hidden="false" customHeight="false" outlineLevel="0" collapsed="false">
      <c r="B60" s="32" t="s">
        <v>293</v>
      </c>
      <c r="C60" s="32"/>
      <c r="D60" s="32"/>
      <c r="E60" s="32"/>
      <c r="F60" s="32"/>
    </row>
    <row r="61" customFormat="false" ht="15" hidden="false" customHeight="false" outlineLevel="0" collapsed="false">
      <c r="B61" s="32" t="s">
        <v>294</v>
      </c>
      <c r="C61" s="32"/>
      <c r="D61" s="32"/>
      <c r="E61" s="32"/>
      <c r="F61" s="32"/>
    </row>
    <row r="62" customFormat="false" ht="15" hidden="false" customHeight="false" outlineLevel="0" collapsed="false">
      <c r="B62" s="32" t="s">
        <v>295</v>
      </c>
      <c r="C62" s="32"/>
      <c r="D62" s="32"/>
      <c r="E62" s="32"/>
      <c r="F62" s="32"/>
    </row>
    <row r="63" customFormat="false" ht="15" hidden="false" customHeight="false" outlineLevel="0" collapsed="false">
      <c r="B63" s="32" t="s">
        <v>296</v>
      </c>
      <c r="C63" s="32"/>
      <c r="D63" s="32"/>
      <c r="E63" s="32"/>
      <c r="F63" s="32"/>
    </row>
    <row r="64" customFormat="false" ht="15" hidden="false" customHeight="false" outlineLevel="0" collapsed="false">
      <c r="B64" s="32" t="s">
        <v>297</v>
      </c>
      <c r="C64" s="32"/>
      <c r="D64" s="32"/>
      <c r="E64" s="32"/>
      <c r="F64" s="32"/>
    </row>
    <row r="65" customFormat="false" ht="15" hidden="false" customHeight="false" outlineLevel="0" collapsed="false">
      <c r="B65" s="32" t="s">
        <v>298</v>
      </c>
      <c r="C65" s="32"/>
      <c r="D65" s="32"/>
      <c r="E65" s="32"/>
      <c r="F65" s="32"/>
    </row>
    <row r="66" customFormat="false" ht="15" hidden="false" customHeight="false" outlineLevel="0" collapsed="false">
      <c r="B66" s="32" t="s">
        <v>299</v>
      </c>
      <c r="C66" s="32"/>
      <c r="D66" s="32"/>
      <c r="E66" s="32"/>
      <c r="F66" s="32"/>
    </row>
    <row r="67" customFormat="false" ht="15" hidden="false" customHeight="false" outlineLevel="0" collapsed="false">
      <c r="B67" s="32" t="s">
        <v>300</v>
      </c>
      <c r="C67" s="32"/>
      <c r="D67" s="32"/>
      <c r="E67" s="32"/>
      <c r="F67" s="32"/>
    </row>
    <row r="68" customFormat="false" ht="15" hidden="false" customHeight="false" outlineLevel="0" collapsed="false">
      <c r="B68" s="32" t="s">
        <v>301</v>
      </c>
      <c r="C68" s="32"/>
      <c r="D68" s="32"/>
      <c r="E68" s="32"/>
      <c r="F68" s="32"/>
    </row>
    <row r="69" customFormat="false" ht="15" hidden="false" customHeight="false" outlineLevel="0" collapsed="false">
      <c r="B69" s="32" t="s">
        <v>302</v>
      </c>
      <c r="C69" s="32"/>
      <c r="D69" s="32"/>
      <c r="E69" s="32"/>
      <c r="F69" s="32"/>
    </row>
    <row r="70" customFormat="false" ht="15" hidden="false" customHeight="false" outlineLevel="0" collapsed="false">
      <c r="B70" s="32" t="s">
        <v>303</v>
      </c>
      <c r="C70" s="32"/>
      <c r="D70" s="32"/>
      <c r="E70" s="32"/>
      <c r="F70" s="32"/>
    </row>
    <row r="71" customFormat="false" ht="15" hidden="false" customHeight="false" outlineLevel="0" collapsed="false">
      <c r="B71" s="32" t="s">
        <v>304</v>
      </c>
      <c r="C71" s="32"/>
      <c r="D71" s="32"/>
      <c r="E71" s="32"/>
      <c r="F71" s="32"/>
    </row>
    <row r="72" customFormat="false" ht="15" hidden="false" customHeight="false" outlineLevel="0" collapsed="false">
      <c r="B72" s="32" t="s">
        <v>305</v>
      </c>
      <c r="C72" s="32"/>
      <c r="D72" s="32"/>
      <c r="E72" s="32"/>
      <c r="F72" s="32"/>
    </row>
    <row r="73" customFormat="false" ht="15" hidden="false" customHeight="false" outlineLevel="0" collapsed="false">
      <c r="B73" s="32" t="s">
        <v>306</v>
      </c>
      <c r="C73" s="32"/>
      <c r="D73" s="32"/>
      <c r="E73" s="32"/>
      <c r="F73" s="32"/>
    </row>
    <row r="74" customFormat="false" ht="15" hidden="false" customHeight="false" outlineLevel="0" collapsed="false">
      <c r="B74" s="32" t="s">
        <v>307</v>
      </c>
      <c r="C74" s="32"/>
      <c r="D74" s="32"/>
      <c r="E74" s="32"/>
      <c r="F74" s="32"/>
    </row>
    <row r="75" customFormat="false" ht="15" hidden="false" customHeight="false" outlineLevel="0" collapsed="false">
      <c r="B75" s="32" t="s">
        <v>308</v>
      </c>
      <c r="C75" s="32"/>
      <c r="D75" s="32"/>
      <c r="E75" s="32"/>
      <c r="F75" s="32"/>
    </row>
    <row r="76" customFormat="false" ht="15" hidden="false" customHeight="false" outlineLevel="0" collapsed="false">
      <c r="B76" s="32" t="s">
        <v>309</v>
      </c>
      <c r="C76" s="32"/>
      <c r="D76" s="32"/>
      <c r="E76" s="32"/>
      <c r="F76" s="32"/>
    </row>
    <row r="77" customFormat="false" ht="15" hidden="false" customHeight="false" outlineLevel="0" collapsed="false">
      <c r="B77" s="32" t="s">
        <v>310</v>
      </c>
      <c r="C77" s="32"/>
      <c r="D77" s="32"/>
      <c r="E77" s="32"/>
      <c r="F77" s="32"/>
    </row>
    <row r="78" customFormat="false" ht="15" hidden="false" customHeight="false" outlineLevel="0" collapsed="false">
      <c r="B78" s="32" t="s">
        <v>311</v>
      </c>
      <c r="C78" s="32"/>
      <c r="D78" s="32"/>
      <c r="E78" s="32"/>
      <c r="F78" s="32"/>
    </row>
    <row r="79" customFormat="false" ht="15" hidden="false" customHeight="false" outlineLevel="0" collapsed="false">
      <c r="B79" s="32" t="s">
        <v>312</v>
      </c>
      <c r="C79" s="32"/>
      <c r="D79" s="32"/>
      <c r="E79" s="32"/>
      <c r="F79" s="32"/>
    </row>
    <row r="80" customFormat="false" ht="15" hidden="false" customHeight="false" outlineLevel="0" collapsed="false">
      <c r="B80" s="32" t="s">
        <v>313</v>
      </c>
      <c r="C80" s="32"/>
      <c r="D80" s="32"/>
      <c r="E80" s="32"/>
      <c r="F80" s="32"/>
    </row>
    <row r="81" customFormat="false" ht="15" hidden="false" customHeight="false" outlineLevel="0" collapsed="false">
      <c r="B81" s="32" t="s">
        <v>314</v>
      </c>
      <c r="C81" s="32"/>
      <c r="D81" s="32"/>
      <c r="E81" s="32"/>
      <c r="F81" s="32"/>
    </row>
    <row r="82" customFormat="false" ht="15" hidden="false" customHeight="false" outlineLevel="0" collapsed="false">
      <c r="B82" s="32" t="s">
        <v>315</v>
      </c>
      <c r="C82" s="32"/>
      <c r="D82" s="32"/>
      <c r="E82" s="32"/>
      <c r="F82" s="32"/>
    </row>
    <row r="83" customFormat="false" ht="15" hidden="false" customHeight="false" outlineLevel="0" collapsed="false">
      <c r="B83" s="32" t="s">
        <v>316</v>
      </c>
      <c r="C83" s="32"/>
      <c r="D83" s="32"/>
      <c r="E83" s="32"/>
      <c r="F83" s="32"/>
    </row>
    <row r="84" customFormat="false" ht="15" hidden="false" customHeight="false" outlineLevel="0" collapsed="false">
      <c r="B84" s="32" t="s">
        <v>317</v>
      </c>
      <c r="C84" s="32"/>
      <c r="D84" s="32"/>
      <c r="E84" s="32"/>
      <c r="F84" s="32"/>
    </row>
    <row r="85" customFormat="false" ht="15" hidden="false" customHeight="false" outlineLevel="0" collapsed="false">
      <c r="B85" s="32" t="s">
        <v>318</v>
      </c>
      <c r="C85" s="32"/>
      <c r="D85" s="32"/>
      <c r="E85" s="32"/>
      <c r="F85" s="32"/>
    </row>
    <row r="86" customFormat="false" ht="15" hidden="false" customHeight="false" outlineLevel="0" collapsed="false">
      <c r="B86" s="32" t="s">
        <v>319</v>
      </c>
      <c r="C86" s="32"/>
      <c r="D86" s="32"/>
      <c r="E86" s="32"/>
      <c r="F86" s="32"/>
    </row>
    <row r="87" customFormat="false" ht="15" hidden="false" customHeight="false" outlineLevel="0" collapsed="false">
      <c r="B87" s="32" t="s">
        <v>320</v>
      </c>
      <c r="C87" s="32"/>
      <c r="D87" s="32"/>
      <c r="E87" s="32"/>
      <c r="F87" s="32"/>
    </row>
    <row r="88" customFormat="false" ht="15" hidden="false" customHeight="false" outlineLevel="0" collapsed="false">
      <c r="B88" s="32" t="s">
        <v>321</v>
      </c>
      <c r="C88" s="32"/>
      <c r="D88" s="32"/>
      <c r="E88" s="32"/>
      <c r="F88" s="32"/>
    </row>
    <row r="89" customFormat="false" ht="15" hidden="false" customHeight="false" outlineLevel="0" collapsed="false">
      <c r="B89" s="32" t="s">
        <v>322</v>
      </c>
      <c r="C89" s="32"/>
      <c r="D89" s="32"/>
      <c r="E89" s="32"/>
      <c r="F89" s="32"/>
    </row>
    <row r="90" customFormat="false" ht="15" hidden="false" customHeight="false" outlineLevel="0" collapsed="false">
      <c r="B90" s="32" t="s">
        <v>323</v>
      </c>
      <c r="C90" s="32"/>
      <c r="D90" s="32"/>
      <c r="E90" s="32"/>
      <c r="F90" s="32"/>
    </row>
  </sheetData>
  <mergeCells count="56">
    <mergeCell ref="C5:D5"/>
    <mergeCell ref="C6:D6"/>
    <mergeCell ref="C7:D7"/>
    <mergeCell ref="C30:D30"/>
    <mergeCell ref="C31:D31"/>
    <mergeCell ref="C32:D32"/>
    <mergeCell ref="C33:D33"/>
    <mergeCell ref="C34:D34"/>
    <mergeCell ref="C35:D35"/>
    <mergeCell ref="C36:D36"/>
    <mergeCell ref="C37:D37"/>
    <mergeCell ref="C38:D38"/>
    <mergeCell ref="C39:D39"/>
    <mergeCell ref="C40:D40"/>
    <mergeCell ref="C41:D41"/>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U4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14"/>
    <col collapsed="false" customWidth="true" hidden="false" outlineLevel="0" max="4" min="4" style="0" width="26"/>
    <col collapsed="false" customWidth="true" hidden="false" outlineLevel="0" max="5" min="5" style="0" width="16"/>
    <col collapsed="false" customWidth="true" hidden="false" outlineLevel="0" max="6" min="6" style="0" width="10"/>
    <col collapsed="false" customWidth="true" hidden="false" outlineLevel="0" max="7" min="7" style="0" width="12"/>
    <col collapsed="false" customWidth="true" hidden="false" outlineLevel="0" max="9" min="8" style="0" width="10"/>
    <col collapsed="false" customWidth="true" hidden="false" outlineLevel="0" max="10" min="10" style="0" width="12"/>
    <col collapsed="false" customWidth="true" hidden="false" outlineLevel="0" max="15" min="11" style="0" width="9"/>
    <col collapsed="false" customWidth="true" hidden="false" outlineLevel="0" max="17" min="16" style="0" width="13"/>
    <col collapsed="false" customWidth="true" hidden="false" outlineLevel="0" max="21" min="18" style="0" width="8"/>
    <col collapsed="false" customWidth="true" hidden="false" outlineLevel="0" max="22" min="22" style="0" width="9"/>
    <col collapsed="false" customWidth="true" hidden="false" outlineLevel="0" max="23" min="23" style="0" width="8"/>
    <col collapsed="false" customWidth="true" hidden="false" outlineLevel="0" max="24" min="24" style="0" width="13"/>
    <col collapsed="false" customWidth="true" hidden="false" outlineLevel="0" max="26" min="25" style="0" width="9"/>
    <col collapsed="false" customWidth="true" hidden="false" outlineLevel="0" max="27" min="27" style="0" width="13"/>
    <col collapsed="false" customWidth="true" hidden="false" outlineLevel="0" max="28" min="28" style="0" width="9"/>
    <col collapsed="false" customWidth="true" hidden="false" outlineLevel="0" max="29" min="29" style="0" width="13"/>
    <col collapsed="false" customWidth="true" hidden="false" outlineLevel="0" max="34" min="30" style="0" width="10"/>
    <col collapsed="false" customWidth="true" hidden="false" outlineLevel="0" max="35" min="35" style="0" width="7"/>
    <col collapsed="false" customWidth="true" hidden="false" outlineLevel="0" max="36" min="36" style="0" width="8"/>
    <col collapsed="false" customWidth="true" hidden="false" outlineLevel="0" max="37" min="37" style="0" width="7"/>
    <col collapsed="false" customWidth="true" hidden="false" outlineLevel="0" max="38" min="38" style="0" width="8"/>
    <col collapsed="false" customWidth="true" hidden="false" outlineLevel="0" max="39" min="39" style="0" width="11"/>
    <col collapsed="false" customWidth="true" hidden="false" outlineLevel="0" max="41" min="40" style="0" width="12"/>
    <col collapsed="false" customWidth="true" hidden="true" outlineLevel="0" max="45" min="42" style="0" width="9"/>
    <col collapsed="false" customWidth="true" hidden="true" outlineLevel="0" max="46" min="46" style="0" width="7"/>
    <col collapsed="false" customWidth="true" hidden="true" outlineLevel="0" max="47" min="47" style="0" width="6"/>
  </cols>
  <sheetData>
    <row r="1" customFormat="false" ht="19.7" hidden="false" customHeight="false" outlineLevel="0" collapsed="false">
      <c r="A1" s="1" t="s">
        <v>324</v>
      </c>
    </row>
    <row r="2" customFormat="false" ht="15" hidden="false" customHeight="false" outlineLevel="0" collapsed="false">
      <c r="A2" s="33" t="str">
        <f aca="false">"Job type: "&amp;CC_JobType&amp;"   ·   Client: "&amp;CC_Client&amp;"   ·   Plant: "&amp;CC_Plant&amp;"   ·   Proposal: "&amp;CC_ProjNo</f>
        <v>Job type: Chemical Cleaning   ·   Client: 0   ·   Plant: 0   ·   Proposal: 0</v>
      </c>
    </row>
    <row r="3" customFormat="false" ht="15" hidden="false" customHeight="false" outlineLevel="0" collapsed="false">
      <c r="A3" s="27" t="s">
        <v>325</v>
      </c>
    </row>
    <row r="5" customFormat="false" ht="15" hidden="false" customHeight="true" outlineLevel="0" collapsed="false">
      <c r="A5" s="34" t="s">
        <v>326</v>
      </c>
      <c r="B5" s="34"/>
      <c r="C5" s="34"/>
      <c r="D5" s="34"/>
      <c r="E5" s="34"/>
      <c r="F5" s="34"/>
      <c r="G5" s="34"/>
      <c r="H5" s="34"/>
      <c r="I5" s="34"/>
      <c r="J5" s="34" t="s">
        <v>327</v>
      </c>
      <c r="K5" s="34"/>
      <c r="L5" s="34"/>
      <c r="M5" s="34"/>
      <c r="N5" s="34" t="s">
        <v>328</v>
      </c>
      <c r="O5" s="34"/>
      <c r="P5" s="34"/>
      <c r="Q5" s="34"/>
      <c r="R5" s="34"/>
      <c r="S5" s="34" t="s">
        <v>329</v>
      </c>
      <c r="T5" s="34"/>
      <c r="U5" s="34"/>
      <c r="V5" s="34"/>
      <c r="W5" s="34"/>
      <c r="X5" s="34"/>
      <c r="Y5" s="34" t="s">
        <v>330</v>
      </c>
      <c r="Z5" s="34"/>
      <c r="AA5" s="34"/>
      <c r="AB5" s="34"/>
      <c r="AC5" s="34"/>
      <c r="AD5" s="34" t="s">
        <v>331</v>
      </c>
      <c r="AE5" s="34"/>
      <c r="AF5" s="34"/>
      <c r="AG5" s="34"/>
      <c r="AH5" s="34"/>
      <c r="AI5" s="34" t="s">
        <v>332</v>
      </c>
      <c r="AJ5" s="34"/>
      <c r="AK5" s="34"/>
      <c r="AL5" s="34"/>
      <c r="AM5" s="34" t="s">
        <v>333</v>
      </c>
      <c r="AN5" s="34"/>
      <c r="AO5" s="34"/>
    </row>
    <row r="6" customFormat="false" ht="39.75" hidden="false" customHeight="true" outlineLevel="0" collapsed="false">
      <c r="A6" s="8" t="s">
        <v>334</v>
      </c>
      <c r="B6" s="8" t="s">
        <v>335</v>
      </c>
      <c r="C6" s="8" t="s">
        <v>336</v>
      </c>
      <c r="D6" s="8" t="s">
        <v>337</v>
      </c>
      <c r="E6" s="8" t="s">
        <v>231</v>
      </c>
      <c r="F6" s="8" t="s">
        <v>338</v>
      </c>
      <c r="G6" s="8" t="s">
        <v>339</v>
      </c>
      <c r="H6" s="8" t="s">
        <v>340</v>
      </c>
      <c r="I6" s="8" t="s">
        <v>341</v>
      </c>
      <c r="J6" s="8" t="s">
        <v>342</v>
      </c>
      <c r="K6" s="8" t="s">
        <v>343</v>
      </c>
      <c r="L6" s="8" t="s">
        <v>344</v>
      </c>
      <c r="M6" s="8" t="s">
        <v>345</v>
      </c>
      <c r="N6" s="8" t="s">
        <v>346</v>
      </c>
      <c r="O6" s="8" t="s">
        <v>347</v>
      </c>
      <c r="P6" s="8" t="s">
        <v>348</v>
      </c>
      <c r="Q6" s="8" t="s">
        <v>349</v>
      </c>
      <c r="R6" s="8" t="s">
        <v>350</v>
      </c>
      <c r="S6" s="8" t="s">
        <v>351</v>
      </c>
      <c r="T6" s="8" t="s">
        <v>352</v>
      </c>
      <c r="U6" s="8" t="s">
        <v>353</v>
      </c>
      <c r="V6" s="8" t="s">
        <v>354</v>
      </c>
      <c r="W6" s="8" t="s">
        <v>355</v>
      </c>
      <c r="X6" s="8" t="s">
        <v>356</v>
      </c>
      <c r="Y6" s="8" t="s">
        <v>357</v>
      </c>
      <c r="Z6" s="8" t="s">
        <v>358</v>
      </c>
      <c r="AA6" s="8" t="s">
        <v>359</v>
      </c>
      <c r="AB6" s="8" t="s">
        <v>360</v>
      </c>
      <c r="AC6" s="8" t="s">
        <v>361</v>
      </c>
      <c r="AD6" s="8" t="s">
        <v>362</v>
      </c>
      <c r="AE6" s="8" t="s">
        <v>363</v>
      </c>
      <c r="AF6" s="8" t="s">
        <v>364</v>
      </c>
      <c r="AG6" s="8" t="s">
        <v>365</v>
      </c>
      <c r="AH6" s="8" t="s">
        <v>366</v>
      </c>
      <c r="AI6" s="8" t="s">
        <v>367</v>
      </c>
      <c r="AJ6" s="8" t="s">
        <v>368</v>
      </c>
      <c r="AK6" s="8" t="s">
        <v>369</v>
      </c>
      <c r="AL6" s="8" t="s">
        <v>370</v>
      </c>
      <c r="AM6" s="35" t="s">
        <v>371</v>
      </c>
      <c r="AN6" s="35" t="s">
        <v>372</v>
      </c>
      <c r="AO6" s="35" t="s">
        <v>373</v>
      </c>
      <c r="AP6" s="8" t="s">
        <v>374</v>
      </c>
      <c r="AQ6" s="8" t="s">
        <v>375</v>
      </c>
      <c r="AR6" s="8" t="s">
        <v>376</v>
      </c>
      <c r="AS6" s="8" t="s">
        <v>377</v>
      </c>
      <c r="AT6" s="8" t="s">
        <v>378</v>
      </c>
      <c r="AU6" s="8" t="s">
        <v>379</v>
      </c>
    </row>
    <row r="7" customFormat="false" ht="15" hidden="false" customHeight="false" outlineLevel="0" collapsed="false">
      <c r="A7" s="36"/>
      <c r="B7" s="36"/>
      <c r="C7" s="36"/>
      <c r="D7" s="36"/>
      <c r="E7" s="36"/>
      <c r="F7" s="36"/>
      <c r="G7" s="36"/>
      <c r="H7" s="37" t="s">
        <v>174</v>
      </c>
      <c r="I7" s="37" t="s">
        <v>380</v>
      </c>
      <c r="J7" s="36"/>
      <c r="K7" s="36"/>
      <c r="L7" s="37" t="s">
        <v>381</v>
      </c>
      <c r="M7" s="37" t="s">
        <v>382</v>
      </c>
      <c r="N7" s="37" t="s">
        <v>381</v>
      </c>
      <c r="O7" s="37" t="s">
        <v>381</v>
      </c>
      <c r="P7" s="36"/>
      <c r="Q7" s="36"/>
      <c r="R7" s="37" t="s">
        <v>381</v>
      </c>
      <c r="S7" s="36" t="s">
        <v>383</v>
      </c>
      <c r="T7" s="37" t="s">
        <v>381</v>
      </c>
      <c r="U7" s="37" t="s">
        <v>381</v>
      </c>
      <c r="V7" s="37" t="s">
        <v>381</v>
      </c>
      <c r="W7" s="37" t="s">
        <v>381</v>
      </c>
      <c r="X7" s="36"/>
      <c r="Y7" s="37" t="s">
        <v>381</v>
      </c>
      <c r="Z7" s="37" t="s">
        <v>381</v>
      </c>
      <c r="AA7" s="36"/>
      <c r="AB7" s="37" t="s">
        <v>381</v>
      </c>
      <c r="AC7" s="36"/>
      <c r="AD7" s="36" t="s">
        <v>174</v>
      </c>
      <c r="AE7" s="36" t="s">
        <v>174</v>
      </c>
      <c r="AF7" s="36" t="s">
        <v>174</v>
      </c>
      <c r="AG7" s="36" t="s">
        <v>174</v>
      </c>
      <c r="AH7" s="36" t="s">
        <v>174</v>
      </c>
      <c r="AI7" s="36" t="s">
        <v>384</v>
      </c>
      <c r="AJ7" s="36" t="s">
        <v>384</v>
      </c>
      <c r="AK7" s="36" t="s">
        <v>383</v>
      </c>
      <c r="AL7" s="36" t="s">
        <v>384</v>
      </c>
      <c r="AM7" s="36" t="s">
        <v>174</v>
      </c>
      <c r="AN7" s="36" t="s">
        <v>174</v>
      </c>
      <c r="AO7" s="36" t="s">
        <v>174</v>
      </c>
      <c r="AP7" s="36"/>
      <c r="AQ7" s="36"/>
      <c r="AR7" s="36"/>
      <c r="AS7" s="36"/>
      <c r="AT7" s="36"/>
      <c r="AU7" s="36"/>
    </row>
    <row r="9" customFormat="false" ht="15" hidden="false" customHeight="false" outlineLevel="0" collapsed="false">
      <c r="A9" s="38" t="str">
        <f aca="false">"UNIT 1:  "&amp;INDEX(CC_UnitNames,1)</f>
        <v>UNIT 1:  Unit 1</v>
      </c>
      <c r="B9" s="38"/>
      <c r="C9" s="38"/>
      <c r="D9" s="38"/>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row>
    <row r="10" customFormat="false" ht="15" hidden="false" customHeight="false" outlineLevel="0" collapsed="false">
      <c r="A10" s="36" t="n">
        <v>1</v>
      </c>
      <c r="B10" s="40" t="s">
        <v>284</v>
      </c>
      <c r="C10" s="32" t="s">
        <v>385</v>
      </c>
      <c r="D10" s="32" t="s">
        <v>386</v>
      </c>
      <c r="E10" s="40" t="s">
        <v>237</v>
      </c>
      <c r="F10" s="40" t="s">
        <v>274</v>
      </c>
      <c r="G10" s="40" t="s">
        <v>340</v>
      </c>
      <c r="H10" s="40" t="n">
        <v>27.115</v>
      </c>
      <c r="I10" s="40"/>
      <c r="J10" s="40"/>
      <c r="K10" s="40"/>
      <c r="L10" s="40"/>
      <c r="M10" s="40"/>
      <c r="N10" s="40"/>
      <c r="O10" s="40"/>
      <c r="P10" s="40"/>
      <c r="Q10" s="40"/>
      <c r="R10" s="40"/>
      <c r="S10" s="40"/>
      <c r="T10" s="40"/>
      <c r="U10" s="40"/>
      <c r="V10" s="40"/>
      <c r="W10" s="40"/>
      <c r="X10" s="40"/>
      <c r="Y10" s="40"/>
      <c r="Z10" s="40"/>
      <c r="AA10" s="40"/>
      <c r="AB10" s="40"/>
      <c r="AC10" s="40"/>
      <c r="AD10" s="41" t="str">
        <f aca="false">IF(E10="Exchanger",IF(AND(ISNUMBER(S10),ISNUMBER(U10),ISNUMBER(V10)),S10*PI()/4*(U10*INDEX(LenF,MATCH($U$7,LenU,0)))^2*V10*INDEX(LenF,MATCH($V$7,LenU,0)),0)+IF(ISNUMBER(Y10),PI()/4*(Y10*INDEX(LenF,MATCH($Y$7,LenU,0)))^2*N(Z10)*INDEX(LenF,MATCH($Z$7,LenU,0))+IF(AA10="",0,IF(AA10="Conical",PI()/12*(Y10*INDEX(LenF,MATCH($Y$7,LenU,0)))^2*(0),INDEX(HeadK,MATCH(AA10,HeadU,0))*(Y10*INDEX(LenF,MATCH($Y$7,LenU,0)))^3)),0)+IF(ISNUMBER(Y10),PI()/4*(Y10*INDEX(LenF,MATCH($Y$7,LenU,0)))^2*N(AB10)*INDEX(LenF,MATCH($AB$7,LenU,0))+IF(AC10="",0,IF(AC10="Conical",PI()/12*(Y10*INDEX(LenF,MATCH($Y$7,LenU,0)))^2*(0),INDEX(HeadK,MATCH(AC10,HeadU,0))*(Y10*INDEX(LenF,MATCH($Y$7,LenU,0)))^3)),0),"")</f>
        <v/>
      </c>
      <c r="AE10" s="41" t="str">
        <f aca="false">IF(OR(E10="",E10="Piping"),"",IF(E10="Exchanger",AQ10*AR10+IF(P10="",0,IF(P10="Conical",PI()/12*(SQRT(4*AQ10/PI()))^2*(0),INDEX(HeadK,MATCH(P10,HeadU,0))*(SQRT(4*AQ10/PI()))^3))-IF(AND(ISNUMBER(S10),ISNUMBER(V10)),S10*PI()/4*AP10^2*V10*INDEX(LenF,MATCH($V$7,LenU,0)),0),IF(ISNUMBER(N10),PI()/4*(N10*INDEX(LenF,MATCH($N$7,LenU,0)))^2*N(O10)*INDEX(LenF,MATCH($O$7,LenU,0))+IF(P10="",0,IF(P10="Conical",PI()/12*(N10*INDEX(LenF,MATCH($N$7,LenU,0)))^2*(N(R10)*INDEX(LenF,MATCH($R$7,LenU,0))),INDEX(HeadK,MATCH(P10,HeadU,0))*(N10*INDEX(LenF,MATCH($N$7,LenU,0)))^3))+IF(Q10="",0,IF(Q10="Conical",PI()/12*(N10*INDEX(LenF,MATCH($N$7,LenU,0)))^2*(N(R10)*INDEX(LenF,MATCH($R$7,LenU,0))),INDEX(HeadK,MATCH(Q10,HeadU,0))*(N10*INDEX(LenF,MATCH($N$7,LenU,0)))^3)),0)))</f>
        <v/>
      </c>
      <c r="AF10" s="41" t="n">
        <f aca="false">IF(E10&lt;&gt;"Piping","",IF(AND(ISNUMBER(AS10),ISNUMBER(M10)),PI()/4*(AS10/1000)^2*M10*INDEX(LenF,MATCH($M$7,LenU,0)),0))</f>
        <v>0</v>
      </c>
      <c r="AG10" s="41" t="n">
        <f aca="false">IF(E10="","",N(AD10)+N(AE10)+N(AF10))</f>
        <v>0</v>
      </c>
      <c r="AH10" s="41" t="str">
        <f aca="false">IF(ISNUMBER(I10),I10*INDEX(WtF,MATCH($I$7,WtU,0))/CC_WaterRho,"")</f>
        <v/>
      </c>
      <c r="AI10" s="31"/>
      <c r="AJ10" s="31"/>
      <c r="AK10" s="40"/>
      <c r="AL10" s="31"/>
      <c r="AM10" s="41" t="n">
        <f aca="false">IF(AO10="","",AO10*IF(ISNUMBER(AK10),AK10,CC_DefFills)*(1+IF(ISNUMBER(AL10),AL10,CC_DefAllow)))</f>
        <v>194.8890625</v>
      </c>
      <c r="AN10" s="42" t="n">
        <f aca="false">IF(G10="Given volume",IF(ISNUMBER(H10),H10*INDEX(VolF,MATCH($H$7,VolU,0)),""),IF(G10="Water weight",AH10,IF(N(AG10)=0,"",AG10)))</f>
        <v>27.115</v>
      </c>
      <c r="AO10" s="42" t="n">
        <f aca="false">IF(N(AN10)=0,"",AN10*AT10*IF(ISNUMBER(AJ10),AJ10,CC_DefCirc))</f>
        <v>31.18225</v>
      </c>
      <c r="AP10" s="27" t="n">
        <f aca="false">IF(ISNUMBER(T10),T10*INDEX(LenF,MATCH($T$7,LenU,0)),IF(ISNUMBER(W10),W10*INDEX(LenF,MATCH($W$7,LenU,0))/CC_PitchRatio,0))</f>
        <v>0</v>
      </c>
      <c r="AQ10" s="27" t="n">
        <f aca="false">IF(ISNUMBER(N10),PI()/4*(N10*INDEX(LenF,MATCH($N$7,LenU,0)))^2,IF(AND(ISNUMBER(S10),ISNUMBER(W10),X10&lt;&gt;""),S10*(W10*INDEX(LenF,MATCH($W$7,LenU,0)))^2*INDEX(LayoutF,MATCH(X10,LayoutU,0)),0))</f>
        <v>0</v>
      </c>
      <c r="AR10" s="27" t="n">
        <f aca="false">IF(ISNUMBER(O10),O10*INDEX(LenF,MATCH($O$7,LenU,0)),IF(ISNUMBER(V10),V10*INDEX(LenF,MATCH($V$7,LenU,0)),0))</f>
        <v>0</v>
      </c>
      <c r="AS10" s="27" t="str">
        <f aca="false">IF(ISNUMBER(L10),L10*INDEX(LenF,MATCH($L$7,LenU,0))*1000,IF(OR(J10="",K10=""),"",IFERROR(IF(INDEX(PipeWT,MATCH(J10,NPSU,0),MATCH(K10,SchU,0))="","Sch n/a",INDEX(PipeOD,MATCH(J10,NPSU,0))-2*INDEX(PipeWT,MATCH(J10,NPSU,0),MATCH(K10,SchU,0))),"")))</f>
        <v/>
      </c>
      <c r="AT10" s="43" t="n">
        <f aca="false">IF(ISNUMBER(AI10),AI10,IFERROR(INDEX(IF(CC_JobType="Decontamination",CC_TypeFillDC,CC_TypeFillCC),MATCH(E10,CC_TypeL,0)),1))</f>
        <v>1</v>
      </c>
      <c r="AU10" s="27" t="n">
        <v>1</v>
      </c>
    </row>
    <row r="11" customFormat="false" ht="15" hidden="false" customHeight="false" outlineLevel="0" collapsed="false">
      <c r="A11" s="36" t="n">
        <v>2</v>
      </c>
      <c r="B11" s="40" t="s">
        <v>285</v>
      </c>
      <c r="C11" s="32" t="s">
        <v>387</v>
      </c>
      <c r="D11" s="32" t="s">
        <v>388</v>
      </c>
      <c r="E11" s="40" t="s">
        <v>240</v>
      </c>
      <c r="F11" s="40" t="s">
        <v>274</v>
      </c>
      <c r="G11" s="40"/>
      <c r="H11" s="40"/>
      <c r="I11" s="40"/>
      <c r="J11" s="40"/>
      <c r="K11" s="40"/>
      <c r="L11" s="40"/>
      <c r="M11" s="40"/>
      <c r="N11" s="40" t="n">
        <v>2000</v>
      </c>
      <c r="O11" s="40" t="n">
        <v>6000</v>
      </c>
      <c r="P11" s="40" t="s">
        <v>389</v>
      </c>
      <c r="Q11" s="40" t="s">
        <v>389</v>
      </c>
      <c r="R11" s="40"/>
      <c r="S11" s="40"/>
      <c r="T11" s="40"/>
      <c r="U11" s="40"/>
      <c r="V11" s="40"/>
      <c r="W11" s="40"/>
      <c r="X11" s="40"/>
      <c r="Y11" s="40"/>
      <c r="Z11" s="40"/>
      <c r="AA11" s="40"/>
      <c r="AB11" s="40"/>
      <c r="AC11" s="40"/>
      <c r="AD11" s="41" t="str">
        <f aca="false">IF(E11="Exchanger",IF(AND(ISNUMBER(S11),ISNUMBER(U11),ISNUMBER(V11)),S11*PI()/4*(U11*INDEX(LenF,MATCH($U$7,LenU,0)))^2*V11*INDEX(LenF,MATCH($V$7,LenU,0)),0)+IF(ISNUMBER(Y11),PI()/4*(Y11*INDEX(LenF,MATCH($Y$7,LenU,0)))^2*N(Z11)*INDEX(LenF,MATCH($Z$7,LenU,0))+IF(AA11="",0,IF(AA11="Conical",PI()/12*(Y11*INDEX(LenF,MATCH($Y$7,LenU,0)))^2*(0),INDEX(HeadK,MATCH(AA11,HeadU,0))*(Y11*INDEX(LenF,MATCH($Y$7,LenU,0)))^3)),0)+IF(ISNUMBER(Y11),PI()/4*(Y11*INDEX(LenF,MATCH($Y$7,LenU,0)))^2*N(AB11)*INDEX(LenF,MATCH($AB$7,LenU,0))+IF(AC11="",0,IF(AC11="Conical",PI()/12*(Y11*INDEX(LenF,MATCH($Y$7,LenU,0)))^2*(0),INDEX(HeadK,MATCH(AC11,HeadU,0))*(Y11*INDEX(LenF,MATCH($Y$7,LenU,0)))^3)),0),"")</f>
        <v/>
      </c>
      <c r="AE11" s="41" t="n">
        <f aca="false">IF(OR(E11="",E11="Piping"),"",IF(E11="Exchanger",AQ11*AR11+IF(P11="",0,IF(P11="Conical",PI()/12*(SQRT(4*AQ11/PI()))^2*(0),INDEX(HeadK,MATCH(P11,HeadU,0))*(SQRT(4*AQ11/PI()))^3))-IF(AND(ISNUMBER(S11),ISNUMBER(V11)),S11*PI()/4*AP11^2*V11*INDEX(LenF,MATCH($V$7,LenU,0)),0),IF(ISNUMBER(N11),PI()/4*(N11*INDEX(LenF,MATCH($N$7,LenU,0)))^2*N(O11)*INDEX(LenF,MATCH($O$7,LenU,0))+IF(P11="",0,IF(P11="Conical",PI()/12*(N11*INDEX(LenF,MATCH($N$7,LenU,0)))^2*(N(R11)*INDEX(LenF,MATCH($R$7,LenU,0))),INDEX(HeadK,MATCH(P11,HeadU,0))*(N11*INDEX(LenF,MATCH($N$7,LenU,0)))^3))+IF(Q11="",0,IF(Q11="Conical",PI()/12*(N11*INDEX(LenF,MATCH($N$7,LenU,0)))^2*(N(R11)*INDEX(LenF,MATCH($R$7,LenU,0))),INDEX(HeadK,MATCH(Q11,HeadU,0))*(N11*INDEX(LenF,MATCH($N$7,LenU,0)))^3)),0)))</f>
        <v>20.943951023932</v>
      </c>
      <c r="AF11" s="41" t="str">
        <f aca="false">IF(E11&lt;&gt;"Piping","",IF(AND(ISNUMBER(AS11),ISNUMBER(M11)),PI()/4*(AS11/1000)^2*M11*INDEX(LenF,MATCH($M$7,LenU,0)),0))</f>
        <v/>
      </c>
      <c r="AG11" s="41" t="n">
        <f aca="false">IF(E11="","",N(AD11)+N(AE11)+N(AF11))</f>
        <v>20.943951023932</v>
      </c>
      <c r="AH11" s="41" t="str">
        <f aca="false">IF(ISNUMBER(I11),I11*INDEX(WtF,MATCH($I$7,WtU,0))/CC_WaterRho,"")</f>
        <v/>
      </c>
      <c r="AI11" s="31" t="n">
        <v>0.15</v>
      </c>
      <c r="AJ11" s="31"/>
      <c r="AK11" s="40"/>
      <c r="AL11" s="31"/>
      <c r="AM11" s="41" t="n">
        <f aca="false">IF(AO11="","",AO11*IF(ISNUMBER(AK11),AK11,CC_DefFills)*(1+IF(ISNUMBER(AL11),AL11,CC_DefAllow)))</f>
        <v>22.5801971976766</v>
      </c>
      <c r="AN11" s="42" t="n">
        <f aca="false">IF(G11="Given volume",IF(ISNUMBER(H11),H11*INDEX(VolF,MATCH($H$7,VolU,0)),""),IF(G11="Water weight",AH11,IF(N(AG11)=0,"",AG11)))</f>
        <v>20.943951023932</v>
      </c>
      <c r="AO11" s="42" t="n">
        <f aca="false">IF(N(AN11)=0,"",AN11*AT11*IF(ISNUMBER(AJ11),AJ11,CC_DefCirc))</f>
        <v>3.61283155162826</v>
      </c>
      <c r="AP11" s="27" t="n">
        <f aca="false">IF(ISNUMBER(T11),T11*INDEX(LenF,MATCH($T$7,LenU,0)),IF(ISNUMBER(W11),W11*INDEX(LenF,MATCH($W$7,LenU,0))/CC_PitchRatio,0))</f>
        <v>0</v>
      </c>
      <c r="AQ11" s="27" t="n">
        <f aca="false">IF(ISNUMBER(N11),PI()/4*(N11*INDEX(LenF,MATCH($N$7,LenU,0)))^2,IF(AND(ISNUMBER(S11),ISNUMBER(W11),X11&lt;&gt;""),S11*(W11*INDEX(LenF,MATCH($W$7,LenU,0)))^2*INDEX(LayoutF,MATCH(X11,LayoutU,0)),0))</f>
        <v>3.14159265358979</v>
      </c>
      <c r="AR11" s="27" t="n">
        <f aca="false">IF(ISNUMBER(O11),O11*INDEX(LenF,MATCH($O$7,LenU,0)),IF(ISNUMBER(V11),V11*INDEX(LenF,MATCH($V$7,LenU,0)),0))</f>
        <v>6</v>
      </c>
      <c r="AS11" s="27" t="str">
        <f aca="false">IF(ISNUMBER(L11),L11*INDEX(LenF,MATCH($L$7,LenU,0))*1000,IF(OR(J11="",K11=""),"",IFERROR(IF(INDEX(PipeWT,MATCH(J11,NPSU,0),MATCH(K11,SchU,0))="","Sch n/a",INDEX(PipeOD,MATCH(J11,NPSU,0))-2*INDEX(PipeWT,MATCH(J11,NPSU,0),MATCH(K11,SchU,0))),"")))</f>
        <v/>
      </c>
      <c r="AT11" s="43" t="n">
        <f aca="false">IF(ISNUMBER(AI11),AI11,IFERROR(INDEX(IF(CC_JobType="Decontamination",CC_TypeFillDC,CC_TypeFillCC),MATCH(E11,CC_TypeL,0)),1))</f>
        <v>0.15</v>
      </c>
      <c r="AU11" s="27" t="n">
        <v>1</v>
      </c>
    </row>
    <row r="12" customFormat="false" ht="15" hidden="false" customHeight="false" outlineLevel="0" collapsed="false">
      <c r="A12" s="36" t="n">
        <v>3</v>
      </c>
      <c r="B12" s="40" t="s">
        <v>285</v>
      </c>
      <c r="C12" s="32" t="s">
        <v>390</v>
      </c>
      <c r="D12" s="32" t="s">
        <v>391</v>
      </c>
      <c r="E12" s="40" t="s">
        <v>235</v>
      </c>
      <c r="F12" s="40" t="s">
        <v>274</v>
      </c>
      <c r="G12" s="40"/>
      <c r="H12" s="40"/>
      <c r="I12" s="40"/>
      <c r="J12" s="40"/>
      <c r="K12" s="40"/>
      <c r="L12" s="40"/>
      <c r="M12" s="40"/>
      <c r="N12" s="40" t="n">
        <v>800</v>
      </c>
      <c r="O12" s="40" t="n">
        <v>6000</v>
      </c>
      <c r="P12" s="40"/>
      <c r="Q12" s="40"/>
      <c r="R12" s="40"/>
      <c r="S12" s="40" t="n">
        <v>500</v>
      </c>
      <c r="T12" s="40" t="n">
        <v>19.05</v>
      </c>
      <c r="U12" s="40" t="n">
        <v>15.75</v>
      </c>
      <c r="V12" s="40" t="n">
        <v>6096</v>
      </c>
      <c r="W12" s="40" t="n">
        <v>23.81</v>
      </c>
      <c r="X12" s="40" t="s">
        <v>392</v>
      </c>
      <c r="Y12" s="40" t="n">
        <v>800</v>
      </c>
      <c r="Z12" s="40" t="n">
        <v>600</v>
      </c>
      <c r="AA12" s="40" t="s">
        <v>393</v>
      </c>
      <c r="AB12" s="40" t="n">
        <v>300</v>
      </c>
      <c r="AC12" s="40" t="s">
        <v>389</v>
      </c>
      <c r="AD12" s="41" t="n">
        <f aca="false">IF(E12="Exchanger",IF(AND(ISNUMBER(S12),ISNUMBER(U12),ISNUMBER(V12)),S12*PI()/4*(U12*INDEX(LenF,MATCH($U$7,LenU,0)))^2*V12*INDEX(LenF,MATCH($V$7,LenU,0)),0)+IF(ISNUMBER(Y12),PI()/4*(Y12*INDEX(LenF,MATCH($Y$7,LenU,0)))^2*N(Z12)*INDEX(LenF,MATCH($Z$7,LenU,0))+IF(AA12="",0,IF(AA12="Conical",PI()/12*(Y12*INDEX(LenF,MATCH($Y$7,LenU,0)))^2*(0),INDEX(HeadK,MATCH(AA12,HeadU,0))*(Y12*INDEX(LenF,MATCH($Y$7,LenU,0)))^3)),0)+IF(ISNUMBER(Y12),PI()/4*(Y12*INDEX(LenF,MATCH($Y$7,LenU,0)))^2*N(AB12)*INDEX(LenF,MATCH($AB$7,LenU,0))+IF(AC12="",0,IF(AC12="Conical",PI()/12*(Y12*INDEX(LenF,MATCH($Y$7,LenU,0)))^2*(0),INDEX(HeadK,MATCH(AC12,HeadU,0))*(Y12*INDEX(LenF,MATCH($Y$7,LenU,0)))^3)),0),"")</f>
        <v>1.11324521704842</v>
      </c>
      <c r="AE12" s="41" t="n">
        <f aca="false">IF(OR(E12="",E12="Piping"),"",IF(E12="Exchanger",AQ12*AR12+IF(P12="",0,IF(P12="Conical",PI()/12*(SQRT(4*AQ12/PI()))^2*(0),INDEX(HeadK,MATCH(P12,HeadU,0))*(SQRT(4*AQ12/PI()))^3))-IF(AND(ISNUMBER(S12),ISNUMBER(V12)),S12*PI()/4*AP12^2*V12*INDEX(LenF,MATCH($V$7,LenU,0)),0),IF(ISNUMBER(N12),PI()/4*(N12*INDEX(LenF,MATCH($N$7,LenU,0)))^2*N(O12)*INDEX(LenF,MATCH($O$7,LenU,0))+IF(P12="",0,IF(P12="Conical",PI()/12*(N12*INDEX(LenF,MATCH($N$7,LenU,0)))^2*(N(R12)*INDEX(LenF,MATCH($R$7,LenU,0))),INDEX(HeadK,MATCH(P12,HeadU,0))*(N12*INDEX(LenF,MATCH($N$7,LenU,0)))^3))+IF(Q12="",0,IF(Q12="Conical",PI()/12*(N12*INDEX(LenF,MATCH($N$7,LenU,0)))^2*(N(R12)*INDEX(LenF,MATCH($R$7,LenU,0))),INDEX(HeadK,MATCH(Q12,HeadU,0))*(N12*INDEX(LenF,MATCH($N$7,LenU,0)))^3)),0)))</f>
        <v>2.14717897453354</v>
      </c>
      <c r="AF12" s="41" t="str">
        <f aca="false">IF(E12&lt;&gt;"Piping","",IF(AND(ISNUMBER(AS12),ISNUMBER(M12)),PI()/4*(AS12/1000)^2*M12*INDEX(LenF,MATCH($M$7,LenU,0)),0))</f>
        <v/>
      </c>
      <c r="AG12" s="41" t="n">
        <f aca="false">IF(E12="","",N(AD12)+N(AE12)+N(AF12))</f>
        <v>3.26042419158197</v>
      </c>
      <c r="AH12" s="41" t="str">
        <f aca="false">IF(ISNUMBER(I12),I12*INDEX(WtF,MATCH($I$7,WtU,0))/CC_WaterRho,"")</f>
        <v/>
      </c>
      <c r="AI12" s="31"/>
      <c r="AJ12" s="31"/>
      <c r="AK12" s="40"/>
      <c r="AL12" s="31"/>
      <c r="AM12" s="41" t="n">
        <f aca="false">IF(AO12="","",AO12*IF(ISNUMBER(AK12),AK12,CC_DefFills)*(1+IF(ISNUMBER(AL12),AL12,CC_DefAllow)))</f>
        <v>23.4342988769954</v>
      </c>
      <c r="AN12" s="42" t="n">
        <f aca="false">IF(G12="Given volume",IF(ISNUMBER(H12),H12*INDEX(VolF,MATCH($H$7,VolU,0)),""),IF(G12="Water weight",AH12,IF(N(AG12)=0,"",AG12)))</f>
        <v>3.26042419158197</v>
      </c>
      <c r="AO12" s="42" t="n">
        <f aca="false">IF(N(AN12)=0,"",AN12*AT12*IF(ISNUMBER(AJ12),AJ12,CC_DefCirc))</f>
        <v>3.74948782031926</v>
      </c>
      <c r="AP12" s="27" t="n">
        <f aca="false">IF(ISNUMBER(T12),T12*INDEX(LenF,MATCH($T$7,LenU,0)),IF(ISNUMBER(W12),W12*INDEX(LenF,MATCH($W$7,LenU,0))/CC_PitchRatio,0))</f>
        <v>0.01905</v>
      </c>
      <c r="AQ12" s="27" t="n">
        <f aca="false">IF(ISNUMBER(N12),PI()/4*(N12*INDEX(LenF,MATCH($N$7,LenU,0)))^2,IF(AND(ISNUMBER(S12),ISNUMBER(W12),X12&lt;&gt;""),S12*(W12*INDEX(LenF,MATCH($W$7,LenU,0)))^2*INDEX(LayoutF,MATCH(X12,LayoutU,0)),0))</f>
        <v>0.502654824574367</v>
      </c>
      <c r="AR12" s="27" t="n">
        <f aca="false">IF(ISNUMBER(O12),O12*INDEX(LenF,MATCH($O$7,LenU,0)),IF(ISNUMBER(V12),V12*INDEX(LenF,MATCH($V$7,LenU,0)),0))</f>
        <v>6</v>
      </c>
      <c r="AS12" s="27" t="str">
        <f aca="false">IF(ISNUMBER(L12),L12*INDEX(LenF,MATCH($L$7,LenU,0))*1000,IF(OR(J12="",K12=""),"",IFERROR(IF(INDEX(PipeWT,MATCH(J12,NPSU,0),MATCH(K12,SchU,0))="","Sch n/a",INDEX(PipeOD,MATCH(J12,NPSU,0))-2*INDEX(PipeWT,MATCH(J12,NPSU,0),MATCH(K12,SchU,0))),"")))</f>
        <v/>
      </c>
      <c r="AT12" s="43" t="n">
        <f aca="false">IF(ISNUMBER(AI12),AI12,IFERROR(INDEX(IF(CC_JobType="Decontamination",CC_TypeFillDC,CC_TypeFillCC),MATCH(E12,CC_TypeL,0)),1))</f>
        <v>1</v>
      </c>
      <c r="AU12" s="27" t="n">
        <v>1</v>
      </c>
    </row>
    <row r="13" customFormat="false" ht="15" hidden="false" customHeight="false" outlineLevel="0" collapsed="false">
      <c r="A13" s="36" t="n">
        <v>4</v>
      </c>
      <c r="B13" s="40"/>
      <c r="C13" s="32" t="s">
        <v>394</v>
      </c>
      <c r="D13" s="32" t="s">
        <v>395</v>
      </c>
      <c r="E13" s="40" t="s">
        <v>237</v>
      </c>
      <c r="F13" s="40" t="s">
        <v>276</v>
      </c>
      <c r="G13" s="40"/>
      <c r="H13" s="40"/>
      <c r="I13" s="40"/>
      <c r="J13" s="40" t="s">
        <v>396</v>
      </c>
      <c r="K13" s="40" t="s">
        <v>397</v>
      </c>
      <c r="L13" s="40"/>
      <c r="M13" s="40" t="n">
        <v>120</v>
      </c>
      <c r="N13" s="40"/>
      <c r="O13" s="40"/>
      <c r="P13" s="40"/>
      <c r="Q13" s="40"/>
      <c r="R13" s="40"/>
      <c r="S13" s="40"/>
      <c r="T13" s="40"/>
      <c r="U13" s="40"/>
      <c r="V13" s="40"/>
      <c r="W13" s="40"/>
      <c r="X13" s="40"/>
      <c r="Y13" s="40"/>
      <c r="Z13" s="40"/>
      <c r="AA13" s="40"/>
      <c r="AB13" s="40"/>
      <c r="AC13" s="40"/>
      <c r="AD13" s="41" t="str">
        <f aca="false">IF(E13="Exchanger",IF(AND(ISNUMBER(S13),ISNUMBER(U13),ISNUMBER(V13)),S13*PI()/4*(U13*INDEX(LenF,MATCH($U$7,LenU,0)))^2*V13*INDEX(LenF,MATCH($V$7,LenU,0)),0)+IF(ISNUMBER(Y13),PI()/4*(Y13*INDEX(LenF,MATCH($Y$7,LenU,0)))^2*N(Z13)*INDEX(LenF,MATCH($Z$7,LenU,0))+IF(AA13="",0,IF(AA13="Conical",PI()/12*(Y13*INDEX(LenF,MATCH($Y$7,LenU,0)))^2*(0),INDEX(HeadK,MATCH(AA13,HeadU,0))*(Y13*INDEX(LenF,MATCH($Y$7,LenU,0)))^3)),0)+IF(ISNUMBER(Y13),PI()/4*(Y13*INDEX(LenF,MATCH($Y$7,LenU,0)))^2*N(AB13)*INDEX(LenF,MATCH($AB$7,LenU,0))+IF(AC13="",0,IF(AC13="Conical",PI()/12*(Y13*INDEX(LenF,MATCH($Y$7,LenU,0)))^2*(0),INDEX(HeadK,MATCH(AC13,HeadU,0))*(Y13*INDEX(LenF,MATCH($Y$7,LenU,0)))^3)),0),"")</f>
        <v/>
      </c>
      <c r="AE13" s="41" t="str">
        <f aca="false">IF(OR(E13="",E13="Piping"),"",IF(E13="Exchanger",AQ13*AR13+IF(P13="",0,IF(P13="Conical",PI()/12*(SQRT(4*AQ13/PI()))^2*(0),INDEX(HeadK,MATCH(P13,HeadU,0))*(SQRT(4*AQ13/PI()))^3))-IF(AND(ISNUMBER(S13),ISNUMBER(V13)),S13*PI()/4*AP13^2*V13*INDEX(LenF,MATCH($V$7,LenU,0)),0),IF(ISNUMBER(N13),PI()/4*(N13*INDEX(LenF,MATCH($N$7,LenU,0)))^2*N(O13)*INDEX(LenF,MATCH($O$7,LenU,0))+IF(P13="",0,IF(P13="Conical",PI()/12*(N13*INDEX(LenF,MATCH($N$7,LenU,0)))^2*(N(R13)*INDEX(LenF,MATCH($R$7,LenU,0))),INDEX(HeadK,MATCH(P13,HeadU,0))*(N13*INDEX(LenF,MATCH($N$7,LenU,0)))^3))+IF(Q13="",0,IF(Q13="Conical",PI()/12*(N13*INDEX(LenF,MATCH($N$7,LenU,0)))^2*(N(R13)*INDEX(LenF,MATCH($R$7,LenU,0))),INDEX(HeadK,MATCH(Q13,HeadU,0))*(N13*INDEX(LenF,MATCH($N$7,LenU,0)))^3)),0)))</f>
        <v/>
      </c>
      <c r="AF13" s="41" t="n">
        <f aca="false">IF(E13&lt;&gt;"Piping","",IF(AND(ISNUMBER(AS13),ISNUMBER(M13)),PI()/4*(AS13/1000)^2*M13*INDEX(LenF,MATCH($M$7,LenU,0)),0))</f>
        <v>2.23750320965139</v>
      </c>
      <c r="AG13" s="41" t="n">
        <f aca="false">IF(E13="","",N(AD13)+N(AE13)+N(AF13))</f>
        <v>2.23750320965139</v>
      </c>
      <c r="AH13" s="41" t="str">
        <f aca="false">IF(ISNUMBER(I13),I13*INDEX(WtF,MATCH($I$7,WtU,0))/CC_WaterRho,"")</f>
        <v/>
      </c>
      <c r="AI13" s="31"/>
      <c r="AJ13" s="31"/>
      <c r="AK13" s="40"/>
      <c r="AL13" s="31"/>
      <c r="AM13" s="41" t="n">
        <f aca="false">IF(AO13="","",AO13*IF(ISNUMBER(AK13),AK13,CC_DefFills)*(1+IF(ISNUMBER(AL13),AL13,CC_DefAllow)))</f>
        <v>16.0820543193694</v>
      </c>
      <c r="AN13" s="42" t="n">
        <f aca="false">IF(G13="Given volume",IF(ISNUMBER(H13),H13*INDEX(VolF,MATCH($H$7,VolU,0)),""),IF(G13="Water weight",AH13,IF(N(AG13)=0,"",AG13)))</f>
        <v>2.23750320965139</v>
      </c>
      <c r="AO13" s="42" t="n">
        <f aca="false">IF(N(AN13)=0,"",AN13*AT13*IF(ISNUMBER(AJ13),AJ13,CC_DefCirc))</f>
        <v>2.5731286910991</v>
      </c>
      <c r="AP13" s="27" t="n">
        <f aca="false">IF(ISNUMBER(T13),T13*INDEX(LenF,MATCH($T$7,LenU,0)),IF(ISNUMBER(W13),W13*INDEX(LenF,MATCH($W$7,LenU,0))/CC_PitchRatio,0))</f>
        <v>0</v>
      </c>
      <c r="AQ13" s="27" t="n">
        <f aca="false">IF(ISNUMBER(N13),PI()/4*(N13*INDEX(LenF,MATCH($N$7,LenU,0)))^2,IF(AND(ISNUMBER(S13),ISNUMBER(W13),X13&lt;&gt;""),S13*(W13*INDEX(LenF,MATCH($W$7,LenU,0)))^2*INDEX(LayoutF,MATCH(X13,LayoutU,0)),0))</f>
        <v>0</v>
      </c>
      <c r="AR13" s="27" t="n">
        <f aca="false">IF(ISNUMBER(O13),O13*INDEX(LenF,MATCH($O$7,LenU,0)),IF(ISNUMBER(V13),V13*INDEX(LenF,MATCH($V$7,LenU,0)),0))</f>
        <v>0</v>
      </c>
      <c r="AS13" s="27" t="n">
        <f aca="false">IF(ISNUMBER(L13),L13*INDEX(LenF,MATCH($L$7,LenU,0))*1000,IF(OR(J13="",K13=""),"",IFERROR(IF(INDEX(PipeWT,MATCH(J13,NPSU,0),MATCH(K13,SchU,0))="","Sch n/a",INDEX(PipeOD,MATCH(J13,NPSU,0))-2*INDEX(PipeWT,MATCH(J13,NPSU,0),MATCH(K13,SchU,0))),"")))</f>
        <v>154.08</v>
      </c>
      <c r="AT13" s="43" t="n">
        <f aca="false">IF(ISNUMBER(AI13),AI13,IFERROR(INDEX(IF(CC_JobType="Decontamination",CC_TypeFillDC,CC_TypeFillCC),MATCH(E13,CC_TypeL,0)),1))</f>
        <v>1</v>
      </c>
      <c r="AU13" s="27" t="n">
        <v>1</v>
      </c>
    </row>
    <row r="14" customFormat="false" ht="15" hidden="false" customHeight="false" outlineLevel="0" collapsed="false">
      <c r="A14" s="36" t="n">
        <v>5</v>
      </c>
      <c r="B14" s="40"/>
      <c r="C14" s="32"/>
      <c r="D14" s="32"/>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1" t="str">
        <f aca="false">IF(E14="Exchanger",IF(AND(ISNUMBER(S14),ISNUMBER(U14),ISNUMBER(V14)),S14*PI()/4*(U14*INDEX(LenF,MATCH($U$7,LenU,0)))^2*V14*INDEX(LenF,MATCH($V$7,LenU,0)),0)+IF(ISNUMBER(Y14),PI()/4*(Y14*INDEX(LenF,MATCH($Y$7,LenU,0)))^2*N(Z14)*INDEX(LenF,MATCH($Z$7,LenU,0))+IF(AA14="",0,IF(AA14="Conical",PI()/12*(Y14*INDEX(LenF,MATCH($Y$7,LenU,0)))^2*(0),INDEX(HeadK,MATCH(AA14,HeadU,0))*(Y14*INDEX(LenF,MATCH($Y$7,LenU,0)))^3)),0)+IF(ISNUMBER(Y14),PI()/4*(Y14*INDEX(LenF,MATCH($Y$7,LenU,0)))^2*N(AB14)*INDEX(LenF,MATCH($AB$7,LenU,0))+IF(AC14="",0,IF(AC14="Conical",PI()/12*(Y14*INDEX(LenF,MATCH($Y$7,LenU,0)))^2*(0),INDEX(HeadK,MATCH(AC14,HeadU,0))*(Y14*INDEX(LenF,MATCH($Y$7,LenU,0)))^3)),0),"")</f>
        <v/>
      </c>
      <c r="AE14" s="41" t="str">
        <f aca="false">IF(OR(E14="",E14="Piping"),"",IF(E14="Exchanger",AQ14*AR14+IF(P14="",0,IF(P14="Conical",PI()/12*(SQRT(4*AQ14/PI()))^2*(0),INDEX(HeadK,MATCH(P14,HeadU,0))*(SQRT(4*AQ14/PI()))^3))-IF(AND(ISNUMBER(S14),ISNUMBER(V14)),S14*PI()/4*AP14^2*V14*INDEX(LenF,MATCH($V$7,LenU,0)),0),IF(ISNUMBER(N14),PI()/4*(N14*INDEX(LenF,MATCH($N$7,LenU,0)))^2*N(O14)*INDEX(LenF,MATCH($O$7,LenU,0))+IF(P14="",0,IF(P14="Conical",PI()/12*(N14*INDEX(LenF,MATCH($N$7,LenU,0)))^2*(N(R14)*INDEX(LenF,MATCH($R$7,LenU,0))),INDEX(HeadK,MATCH(P14,HeadU,0))*(N14*INDEX(LenF,MATCH($N$7,LenU,0)))^3))+IF(Q14="",0,IF(Q14="Conical",PI()/12*(N14*INDEX(LenF,MATCH($N$7,LenU,0)))^2*(N(R14)*INDEX(LenF,MATCH($R$7,LenU,0))),INDEX(HeadK,MATCH(Q14,HeadU,0))*(N14*INDEX(LenF,MATCH($N$7,LenU,0)))^3)),0)))</f>
        <v/>
      </c>
      <c r="AF14" s="41" t="str">
        <f aca="false">IF(E14&lt;&gt;"Piping","",IF(AND(ISNUMBER(AS14),ISNUMBER(M14)),PI()/4*(AS14/1000)^2*M14*INDEX(LenF,MATCH($M$7,LenU,0)),0))</f>
        <v/>
      </c>
      <c r="AG14" s="41" t="str">
        <f aca="false">IF(E14="","",N(AD14)+N(AE14)+N(AF14))</f>
        <v/>
      </c>
      <c r="AH14" s="41" t="str">
        <f aca="false">IF(ISNUMBER(I14),I14*INDEX(WtF,MATCH($I$7,WtU,0))/CC_WaterRho,"")</f>
        <v/>
      </c>
      <c r="AI14" s="31"/>
      <c r="AJ14" s="31"/>
      <c r="AK14" s="40"/>
      <c r="AL14" s="31"/>
      <c r="AM14" s="41" t="str">
        <f aca="false">IF(AO14="","",AO14*IF(ISNUMBER(AK14),AK14,CC_DefFills)*(1+IF(ISNUMBER(AL14),AL14,CC_DefAllow)))</f>
        <v/>
      </c>
      <c r="AN14" s="42" t="str">
        <f aca="false">IF(G14="Given volume",IF(ISNUMBER(H14),H14*INDEX(VolF,MATCH($H$7,VolU,0)),""),IF(G14="Water weight",AH14,IF(N(AG14)=0,"",AG14)))</f>
        <v/>
      </c>
      <c r="AO14" s="42" t="str">
        <f aca="false">IF(N(AN14)=0,"",AN14*AT14*IF(ISNUMBER(AJ14),AJ14,CC_DefCirc))</f>
        <v/>
      </c>
      <c r="AP14" s="27" t="n">
        <f aca="false">IF(ISNUMBER(T14),T14*INDEX(LenF,MATCH($T$7,LenU,0)),IF(ISNUMBER(W14),W14*INDEX(LenF,MATCH($W$7,LenU,0))/CC_PitchRatio,0))</f>
        <v>0</v>
      </c>
      <c r="AQ14" s="27" t="n">
        <f aca="false">IF(ISNUMBER(N14),PI()/4*(N14*INDEX(LenF,MATCH($N$7,LenU,0)))^2,IF(AND(ISNUMBER(S14),ISNUMBER(W14),X14&lt;&gt;""),S14*(W14*INDEX(LenF,MATCH($W$7,LenU,0)))^2*INDEX(LayoutF,MATCH(X14,LayoutU,0)),0))</f>
        <v>0</v>
      </c>
      <c r="AR14" s="27" t="n">
        <f aca="false">IF(ISNUMBER(O14),O14*INDEX(LenF,MATCH($O$7,LenU,0)),IF(ISNUMBER(V14),V14*INDEX(LenF,MATCH($V$7,LenU,0)),0))</f>
        <v>0</v>
      </c>
      <c r="AS14" s="27" t="str">
        <f aca="false">IF(ISNUMBER(L14),L14*INDEX(LenF,MATCH($L$7,LenU,0))*1000,IF(OR(J14="",K14=""),"",IFERROR(IF(INDEX(PipeWT,MATCH(J14,NPSU,0),MATCH(K14,SchU,0))="","Sch n/a",INDEX(PipeOD,MATCH(J14,NPSU,0))-2*INDEX(PipeWT,MATCH(J14,NPSU,0),MATCH(K14,SchU,0))),"")))</f>
        <v/>
      </c>
      <c r="AT14" s="27" t="n">
        <f aca="false">IF(ISNUMBER(AI14),AI14,IFERROR(INDEX(IF(CC_JobType="Decontamination",CC_TypeFillDC,CC_TypeFillCC),MATCH(E14,CC_TypeL,0)),1))</f>
        <v>1</v>
      </c>
      <c r="AU14" s="27" t="n">
        <v>1</v>
      </c>
    </row>
    <row r="15" customFormat="false" ht="15" hidden="false" customHeight="false" outlineLevel="0" collapsed="false">
      <c r="A15" s="36" t="n">
        <v>6</v>
      </c>
      <c r="B15" s="40"/>
      <c r="C15" s="32"/>
      <c r="D15" s="32"/>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1" t="str">
        <f aca="false">IF(E15="Exchanger",IF(AND(ISNUMBER(S15),ISNUMBER(U15),ISNUMBER(V15)),S15*PI()/4*(U15*INDEX(LenF,MATCH($U$7,LenU,0)))^2*V15*INDEX(LenF,MATCH($V$7,LenU,0)),0)+IF(ISNUMBER(Y15),PI()/4*(Y15*INDEX(LenF,MATCH($Y$7,LenU,0)))^2*N(Z15)*INDEX(LenF,MATCH($Z$7,LenU,0))+IF(AA15="",0,IF(AA15="Conical",PI()/12*(Y15*INDEX(LenF,MATCH($Y$7,LenU,0)))^2*(0),INDEX(HeadK,MATCH(AA15,HeadU,0))*(Y15*INDEX(LenF,MATCH($Y$7,LenU,0)))^3)),0)+IF(ISNUMBER(Y15),PI()/4*(Y15*INDEX(LenF,MATCH($Y$7,LenU,0)))^2*N(AB15)*INDEX(LenF,MATCH($AB$7,LenU,0))+IF(AC15="",0,IF(AC15="Conical",PI()/12*(Y15*INDEX(LenF,MATCH($Y$7,LenU,0)))^2*(0),INDEX(HeadK,MATCH(AC15,HeadU,0))*(Y15*INDEX(LenF,MATCH($Y$7,LenU,0)))^3)),0),"")</f>
        <v/>
      </c>
      <c r="AE15" s="41" t="str">
        <f aca="false">IF(OR(E15="",E15="Piping"),"",IF(E15="Exchanger",AQ15*AR15+IF(P15="",0,IF(P15="Conical",PI()/12*(SQRT(4*AQ15/PI()))^2*(0),INDEX(HeadK,MATCH(P15,HeadU,0))*(SQRT(4*AQ15/PI()))^3))-IF(AND(ISNUMBER(S15),ISNUMBER(V15)),S15*PI()/4*AP15^2*V15*INDEX(LenF,MATCH($V$7,LenU,0)),0),IF(ISNUMBER(N15),PI()/4*(N15*INDEX(LenF,MATCH($N$7,LenU,0)))^2*N(O15)*INDEX(LenF,MATCH($O$7,LenU,0))+IF(P15="",0,IF(P15="Conical",PI()/12*(N15*INDEX(LenF,MATCH($N$7,LenU,0)))^2*(N(R15)*INDEX(LenF,MATCH($R$7,LenU,0))),INDEX(HeadK,MATCH(P15,HeadU,0))*(N15*INDEX(LenF,MATCH($N$7,LenU,0)))^3))+IF(Q15="",0,IF(Q15="Conical",PI()/12*(N15*INDEX(LenF,MATCH($N$7,LenU,0)))^2*(N(R15)*INDEX(LenF,MATCH($R$7,LenU,0))),INDEX(HeadK,MATCH(Q15,HeadU,0))*(N15*INDEX(LenF,MATCH($N$7,LenU,0)))^3)),0)))</f>
        <v/>
      </c>
      <c r="AF15" s="41" t="str">
        <f aca="false">IF(E15&lt;&gt;"Piping","",IF(AND(ISNUMBER(AS15),ISNUMBER(M15)),PI()/4*(AS15/1000)^2*M15*INDEX(LenF,MATCH($M$7,LenU,0)),0))</f>
        <v/>
      </c>
      <c r="AG15" s="41" t="str">
        <f aca="false">IF(E15="","",N(AD15)+N(AE15)+N(AF15))</f>
        <v/>
      </c>
      <c r="AH15" s="41" t="str">
        <f aca="false">IF(ISNUMBER(I15),I15*INDEX(WtF,MATCH($I$7,WtU,0))/CC_WaterRho,"")</f>
        <v/>
      </c>
      <c r="AI15" s="31"/>
      <c r="AJ15" s="31"/>
      <c r="AK15" s="40"/>
      <c r="AL15" s="31"/>
      <c r="AM15" s="41" t="str">
        <f aca="false">IF(AO15="","",AO15*IF(ISNUMBER(AK15),AK15,CC_DefFills)*(1+IF(ISNUMBER(AL15),AL15,CC_DefAllow)))</f>
        <v/>
      </c>
      <c r="AN15" s="42" t="str">
        <f aca="false">IF(G15="Given volume",IF(ISNUMBER(H15),H15*INDEX(VolF,MATCH($H$7,VolU,0)),""),IF(G15="Water weight",AH15,IF(N(AG15)=0,"",AG15)))</f>
        <v/>
      </c>
      <c r="AO15" s="42" t="str">
        <f aca="false">IF(N(AN15)=0,"",AN15*AT15*IF(ISNUMBER(AJ15),AJ15,CC_DefCirc))</f>
        <v/>
      </c>
      <c r="AP15" s="27" t="n">
        <f aca="false">IF(ISNUMBER(T15),T15*INDEX(LenF,MATCH($T$7,LenU,0)),IF(ISNUMBER(W15),W15*INDEX(LenF,MATCH($W$7,LenU,0))/CC_PitchRatio,0))</f>
        <v>0</v>
      </c>
      <c r="AQ15" s="27" t="n">
        <f aca="false">IF(ISNUMBER(N15),PI()/4*(N15*INDEX(LenF,MATCH($N$7,LenU,0)))^2,IF(AND(ISNUMBER(S15),ISNUMBER(W15),X15&lt;&gt;""),S15*(W15*INDEX(LenF,MATCH($W$7,LenU,0)))^2*INDEX(LayoutF,MATCH(X15,LayoutU,0)),0))</f>
        <v>0</v>
      </c>
      <c r="AR15" s="27" t="n">
        <f aca="false">IF(ISNUMBER(O15),O15*INDEX(LenF,MATCH($O$7,LenU,0)),IF(ISNUMBER(V15),V15*INDEX(LenF,MATCH($V$7,LenU,0)),0))</f>
        <v>0</v>
      </c>
      <c r="AS15" s="27" t="str">
        <f aca="false">IF(ISNUMBER(L15),L15*INDEX(LenF,MATCH($L$7,LenU,0))*1000,IF(OR(J15="",K15=""),"",IFERROR(IF(INDEX(PipeWT,MATCH(J15,NPSU,0),MATCH(K15,SchU,0))="","Sch n/a",INDEX(PipeOD,MATCH(J15,NPSU,0))-2*INDEX(PipeWT,MATCH(J15,NPSU,0),MATCH(K15,SchU,0))),"")))</f>
        <v/>
      </c>
      <c r="AT15" s="27" t="n">
        <f aca="false">IF(ISNUMBER(AI15),AI15,IFERROR(INDEX(IF(CC_JobType="Decontamination",CC_TypeFillDC,CC_TypeFillCC),MATCH(E15,CC_TypeL,0)),1))</f>
        <v>1</v>
      </c>
      <c r="AU15" s="27" t="n">
        <v>1</v>
      </c>
    </row>
    <row r="16" customFormat="false" ht="15" hidden="false" customHeight="false" outlineLevel="0" collapsed="false">
      <c r="A16" s="36" t="n">
        <v>7</v>
      </c>
      <c r="B16" s="40"/>
      <c r="C16" s="32"/>
      <c r="D16" s="32"/>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1" t="str">
        <f aca="false">IF(E16="Exchanger",IF(AND(ISNUMBER(S16),ISNUMBER(U16),ISNUMBER(V16)),S16*PI()/4*(U16*INDEX(LenF,MATCH($U$7,LenU,0)))^2*V16*INDEX(LenF,MATCH($V$7,LenU,0)),0)+IF(ISNUMBER(Y16),PI()/4*(Y16*INDEX(LenF,MATCH($Y$7,LenU,0)))^2*N(Z16)*INDEX(LenF,MATCH($Z$7,LenU,0))+IF(AA16="",0,IF(AA16="Conical",PI()/12*(Y16*INDEX(LenF,MATCH($Y$7,LenU,0)))^2*(0),INDEX(HeadK,MATCH(AA16,HeadU,0))*(Y16*INDEX(LenF,MATCH($Y$7,LenU,0)))^3)),0)+IF(ISNUMBER(Y16),PI()/4*(Y16*INDEX(LenF,MATCH($Y$7,LenU,0)))^2*N(AB16)*INDEX(LenF,MATCH($AB$7,LenU,0))+IF(AC16="",0,IF(AC16="Conical",PI()/12*(Y16*INDEX(LenF,MATCH($Y$7,LenU,0)))^2*(0),INDEX(HeadK,MATCH(AC16,HeadU,0))*(Y16*INDEX(LenF,MATCH($Y$7,LenU,0)))^3)),0),"")</f>
        <v/>
      </c>
      <c r="AE16" s="41" t="str">
        <f aca="false">IF(OR(E16="",E16="Piping"),"",IF(E16="Exchanger",AQ16*AR16+IF(P16="",0,IF(P16="Conical",PI()/12*(SQRT(4*AQ16/PI()))^2*(0),INDEX(HeadK,MATCH(P16,HeadU,0))*(SQRT(4*AQ16/PI()))^3))-IF(AND(ISNUMBER(S16),ISNUMBER(V16)),S16*PI()/4*AP16^2*V16*INDEX(LenF,MATCH($V$7,LenU,0)),0),IF(ISNUMBER(N16),PI()/4*(N16*INDEX(LenF,MATCH($N$7,LenU,0)))^2*N(O16)*INDEX(LenF,MATCH($O$7,LenU,0))+IF(P16="",0,IF(P16="Conical",PI()/12*(N16*INDEX(LenF,MATCH($N$7,LenU,0)))^2*(N(R16)*INDEX(LenF,MATCH($R$7,LenU,0))),INDEX(HeadK,MATCH(P16,HeadU,0))*(N16*INDEX(LenF,MATCH($N$7,LenU,0)))^3))+IF(Q16="",0,IF(Q16="Conical",PI()/12*(N16*INDEX(LenF,MATCH($N$7,LenU,0)))^2*(N(R16)*INDEX(LenF,MATCH($R$7,LenU,0))),INDEX(HeadK,MATCH(Q16,HeadU,0))*(N16*INDEX(LenF,MATCH($N$7,LenU,0)))^3)),0)))</f>
        <v/>
      </c>
      <c r="AF16" s="41" t="str">
        <f aca="false">IF(E16&lt;&gt;"Piping","",IF(AND(ISNUMBER(AS16),ISNUMBER(M16)),PI()/4*(AS16/1000)^2*M16*INDEX(LenF,MATCH($M$7,LenU,0)),0))</f>
        <v/>
      </c>
      <c r="AG16" s="41" t="str">
        <f aca="false">IF(E16="","",N(AD16)+N(AE16)+N(AF16))</f>
        <v/>
      </c>
      <c r="AH16" s="41" t="str">
        <f aca="false">IF(ISNUMBER(I16),I16*INDEX(WtF,MATCH($I$7,WtU,0))/CC_WaterRho,"")</f>
        <v/>
      </c>
      <c r="AI16" s="31"/>
      <c r="AJ16" s="31"/>
      <c r="AK16" s="40"/>
      <c r="AL16" s="31"/>
      <c r="AM16" s="41" t="str">
        <f aca="false">IF(AO16="","",AO16*IF(ISNUMBER(AK16),AK16,CC_DefFills)*(1+IF(ISNUMBER(AL16),AL16,CC_DefAllow)))</f>
        <v/>
      </c>
      <c r="AN16" s="42" t="str">
        <f aca="false">IF(G16="Given volume",IF(ISNUMBER(H16),H16*INDEX(VolF,MATCH($H$7,VolU,0)),""),IF(G16="Water weight",AH16,IF(N(AG16)=0,"",AG16)))</f>
        <v/>
      </c>
      <c r="AO16" s="42" t="str">
        <f aca="false">IF(N(AN16)=0,"",AN16*AT16*IF(ISNUMBER(AJ16),AJ16,CC_DefCirc))</f>
        <v/>
      </c>
      <c r="AP16" s="27" t="n">
        <f aca="false">IF(ISNUMBER(T16),T16*INDEX(LenF,MATCH($T$7,LenU,0)),IF(ISNUMBER(W16),W16*INDEX(LenF,MATCH($W$7,LenU,0))/CC_PitchRatio,0))</f>
        <v>0</v>
      </c>
      <c r="AQ16" s="27" t="n">
        <f aca="false">IF(ISNUMBER(N16),PI()/4*(N16*INDEX(LenF,MATCH($N$7,LenU,0)))^2,IF(AND(ISNUMBER(S16),ISNUMBER(W16),X16&lt;&gt;""),S16*(W16*INDEX(LenF,MATCH($W$7,LenU,0)))^2*INDEX(LayoutF,MATCH(X16,LayoutU,0)),0))</f>
        <v>0</v>
      </c>
      <c r="AR16" s="27" t="n">
        <f aca="false">IF(ISNUMBER(O16),O16*INDEX(LenF,MATCH($O$7,LenU,0)),IF(ISNUMBER(V16),V16*INDEX(LenF,MATCH($V$7,LenU,0)),0))</f>
        <v>0</v>
      </c>
      <c r="AS16" s="27" t="str">
        <f aca="false">IF(ISNUMBER(L16),L16*INDEX(LenF,MATCH($L$7,LenU,0))*1000,IF(OR(J16="",K16=""),"",IFERROR(IF(INDEX(PipeWT,MATCH(J16,NPSU,0),MATCH(K16,SchU,0))="","Sch n/a",INDEX(PipeOD,MATCH(J16,NPSU,0))-2*INDEX(PipeWT,MATCH(J16,NPSU,0),MATCH(K16,SchU,0))),"")))</f>
        <v/>
      </c>
      <c r="AT16" s="27" t="n">
        <f aca="false">IF(ISNUMBER(AI16),AI16,IFERROR(INDEX(IF(CC_JobType="Decontamination",CC_TypeFillDC,CC_TypeFillCC),MATCH(E16,CC_TypeL,0)),1))</f>
        <v>1</v>
      </c>
      <c r="AU16" s="27" t="n">
        <v>1</v>
      </c>
    </row>
    <row r="17" customFormat="false" ht="15" hidden="false" customHeight="false" outlineLevel="0" collapsed="false">
      <c r="A17" s="36" t="n">
        <v>8</v>
      </c>
      <c r="B17" s="40"/>
      <c r="C17" s="32"/>
      <c r="D17" s="32"/>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1" t="str">
        <f aca="false">IF(E17="Exchanger",IF(AND(ISNUMBER(S17),ISNUMBER(U17),ISNUMBER(V17)),S17*PI()/4*(U17*INDEX(LenF,MATCH($U$7,LenU,0)))^2*V17*INDEX(LenF,MATCH($V$7,LenU,0)),0)+IF(ISNUMBER(Y17),PI()/4*(Y17*INDEX(LenF,MATCH($Y$7,LenU,0)))^2*N(Z17)*INDEX(LenF,MATCH($Z$7,LenU,0))+IF(AA17="",0,IF(AA17="Conical",PI()/12*(Y17*INDEX(LenF,MATCH($Y$7,LenU,0)))^2*(0),INDEX(HeadK,MATCH(AA17,HeadU,0))*(Y17*INDEX(LenF,MATCH($Y$7,LenU,0)))^3)),0)+IF(ISNUMBER(Y17),PI()/4*(Y17*INDEX(LenF,MATCH($Y$7,LenU,0)))^2*N(AB17)*INDEX(LenF,MATCH($AB$7,LenU,0))+IF(AC17="",0,IF(AC17="Conical",PI()/12*(Y17*INDEX(LenF,MATCH($Y$7,LenU,0)))^2*(0),INDEX(HeadK,MATCH(AC17,HeadU,0))*(Y17*INDEX(LenF,MATCH($Y$7,LenU,0)))^3)),0),"")</f>
        <v/>
      </c>
      <c r="AE17" s="41" t="str">
        <f aca="false">IF(OR(E17="",E17="Piping"),"",IF(E17="Exchanger",AQ17*AR17+IF(P17="",0,IF(P17="Conical",PI()/12*(SQRT(4*AQ17/PI()))^2*(0),INDEX(HeadK,MATCH(P17,HeadU,0))*(SQRT(4*AQ17/PI()))^3))-IF(AND(ISNUMBER(S17),ISNUMBER(V17)),S17*PI()/4*AP17^2*V17*INDEX(LenF,MATCH($V$7,LenU,0)),0),IF(ISNUMBER(N17),PI()/4*(N17*INDEX(LenF,MATCH($N$7,LenU,0)))^2*N(O17)*INDEX(LenF,MATCH($O$7,LenU,0))+IF(P17="",0,IF(P17="Conical",PI()/12*(N17*INDEX(LenF,MATCH($N$7,LenU,0)))^2*(N(R17)*INDEX(LenF,MATCH($R$7,LenU,0))),INDEX(HeadK,MATCH(P17,HeadU,0))*(N17*INDEX(LenF,MATCH($N$7,LenU,0)))^3))+IF(Q17="",0,IF(Q17="Conical",PI()/12*(N17*INDEX(LenF,MATCH($N$7,LenU,0)))^2*(N(R17)*INDEX(LenF,MATCH($R$7,LenU,0))),INDEX(HeadK,MATCH(Q17,HeadU,0))*(N17*INDEX(LenF,MATCH($N$7,LenU,0)))^3)),0)))</f>
        <v/>
      </c>
      <c r="AF17" s="41" t="str">
        <f aca="false">IF(E17&lt;&gt;"Piping","",IF(AND(ISNUMBER(AS17),ISNUMBER(M17)),PI()/4*(AS17/1000)^2*M17*INDEX(LenF,MATCH($M$7,LenU,0)),0))</f>
        <v/>
      </c>
      <c r="AG17" s="41" t="str">
        <f aca="false">IF(E17="","",N(AD17)+N(AE17)+N(AF17))</f>
        <v/>
      </c>
      <c r="AH17" s="41" t="str">
        <f aca="false">IF(ISNUMBER(I17),I17*INDEX(WtF,MATCH($I$7,WtU,0))/CC_WaterRho,"")</f>
        <v/>
      </c>
      <c r="AI17" s="31"/>
      <c r="AJ17" s="31"/>
      <c r="AK17" s="40"/>
      <c r="AL17" s="31"/>
      <c r="AM17" s="41" t="str">
        <f aca="false">IF(AO17="","",AO17*IF(ISNUMBER(AK17),AK17,CC_DefFills)*(1+IF(ISNUMBER(AL17),AL17,CC_DefAllow)))</f>
        <v/>
      </c>
      <c r="AN17" s="42" t="str">
        <f aca="false">IF(G17="Given volume",IF(ISNUMBER(H17),H17*INDEX(VolF,MATCH($H$7,VolU,0)),""),IF(G17="Water weight",AH17,IF(N(AG17)=0,"",AG17)))</f>
        <v/>
      </c>
      <c r="AO17" s="42" t="str">
        <f aca="false">IF(N(AN17)=0,"",AN17*AT17*IF(ISNUMBER(AJ17),AJ17,CC_DefCirc))</f>
        <v/>
      </c>
      <c r="AP17" s="27" t="n">
        <f aca="false">IF(ISNUMBER(T17),T17*INDEX(LenF,MATCH($T$7,LenU,0)),IF(ISNUMBER(W17),W17*INDEX(LenF,MATCH($W$7,LenU,0))/CC_PitchRatio,0))</f>
        <v>0</v>
      </c>
      <c r="AQ17" s="27" t="n">
        <f aca="false">IF(ISNUMBER(N17),PI()/4*(N17*INDEX(LenF,MATCH($N$7,LenU,0)))^2,IF(AND(ISNUMBER(S17),ISNUMBER(W17),X17&lt;&gt;""),S17*(W17*INDEX(LenF,MATCH($W$7,LenU,0)))^2*INDEX(LayoutF,MATCH(X17,LayoutU,0)),0))</f>
        <v>0</v>
      </c>
      <c r="AR17" s="27" t="n">
        <f aca="false">IF(ISNUMBER(O17),O17*INDEX(LenF,MATCH($O$7,LenU,0)),IF(ISNUMBER(V17),V17*INDEX(LenF,MATCH($V$7,LenU,0)),0))</f>
        <v>0</v>
      </c>
      <c r="AS17" s="27" t="str">
        <f aca="false">IF(ISNUMBER(L17),L17*INDEX(LenF,MATCH($L$7,LenU,0))*1000,IF(OR(J17="",K17=""),"",IFERROR(IF(INDEX(PipeWT,MATCH(J17,NPSU,0),MATCH(K17,SchU,0))="","Sch n/a",INDEX(PipeOD,MATCH(J17,NPSU,0))-2*INDEX(PipeWT,MATCH(J17,NPSU,0),MATCH(K17,SchU,0))),"")))</f>
        <v/>
      </c>
      <c r="AT17" s="27" t="n">
        <f aca="false">IF(ISNUMBER(AI17),AI17,IFERROR(INDEX(IF(CC_JobType="Decontamination",CC_TypeFillDC,CC_TypeFillCC),MATCH(E17,CC_TypeL,0)),1))</f>
        <v>1</v>
      </c>
      <c r="AU17" s="27" t="n">
        <v>1</v>
      </c>
    </row>
    <row r="18" customFormat="false" ht="15" hidden="false" customHeight="false" outlineLevel="0" collapsed="false">
      <c r="A18" s="36" t="n">
        <v>9</v>
      </c>
      <c r="B18" s="40"/>
      <c r="C18" s="32"/>
      <c r="D18" s="32"/>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1" t="str">
        <f aca="false">IF(E18="Exchanger",IF(AND(ISNUMBER(S18),ISNUMBER(U18),ISNUMBER(V18)),S18*PI()/4*(U18*INDEX(LenF,MATCH($U$7,LenU,0)))^2*V18*INDEX(LenF,MATCH($V$7,LenU,0)),0)+IF(ISNUMBER(Y18),PI()/4*(Y18*INDEX(LenF,MATCH($Y$7,LenU,0)))^2*N(Z18)*INDEX(LenF,MATCH($Z$7,LenU,0))+IF(AA18="",0,IF(AA18="Conical",PI()/12*(Y18*INDEX(LenF,MATCH($Y$7,LenU,0)))^2*(0),INDEX(HeadK,MATCH(AA18,HeadU,0))*(Y18*INDEX(LenF,MATCH($Y$7,LenU,0)))^3)),0)+IF(ISNUMBER(Y18),PI()/4*(Y18*INDEX(LenF,MATCH($Y$7,LenU,0)))^2*N(AB18)*INDEX(LenF,MATCH($AB$7,LenU,0))+IF(AC18="",0,IF(AC18="Conical",PI()/12*(Y18*INDEX(LenF,MATCH($Y$7,LenU,0)))^2*(0),INDEX(HeadK,MATCH(AC18,HeadU,0))*(Y18*INDEX(LenF,MATCH($Y$7,LenU,0)))^3)),0),"")</f>
        <v/>
      </c>
      <c r="AE18" s="41" t="str">
        <f aca="false">IF(OR(E18="",E18="Piping"),"",IF(E18="Exchanger",AQ18*AR18+IF(P18="",0,IF(P18="Conical",PI()/12*(SQRT(4*AQ18/PI()))^2*(0),INDEX(HeadK,MATCH(P18,HeadU,0))*(SQRT(4*AQ18/PI()))^3))-IF(AND(ISNUMBER(S18),ISNUMBER(V18)),S18*PI()/4*AP18^2*V18*INDEX(LenF,MATCH($V$7,LenU,0)),0),IF(ISNUMBER(N18),PI()/4*(N18*INDEX(LenF,MATCH($N$7,LenU,0)))^2*N(O18)*INDEX(LenF,MATCH($O$7,LenU,0))+IF(P18="",0,IF(P18="Conical",PI()/12*(N18*INDEX(LenF,MATCH($N$7,LenU,0)))^2*(N(R18)*INDEX(LenF,MATCH($R$7,LenU,0))),INDEX(HeadK,MATCH(P18,HeadU,0))*(N18*INDEX(LenF,MATCH($N$7,LenU,0)))^3))+IF(Q18="",0,IF(Q18="Conical",PI()/12*(N18*INDEX(LenF,MATCH($N$7,LenU,0)))^2*(N(R18)*INDEX(LenF,MATCH($R$7,LenU,0))),INDEX(HeadK,MATCH(Q18,HeadU,0))*(N18*INDEX(LenF,MATCH($N$7,LenU,0)))^3)),0)))</f>
        <v/>
      </c>
      <c r="AF18" s="41" t="str">
        <f aca="false">IF(E18&lt;&gt;"Piping","",IF(AND(ISNUMBER(AS18),ISNUMBER(M18)),PI()/4*(AS18/1000)^2*M18*INDEX(LenF,MATCH($M$7,LenU,0)),0))</f>
        <v/>
      </c>
      <c r="AG18" s="41" t="str">
        <f aca="false">IF(E18="","",N(AD18)+N(AE18)+N(AF18))</f>
        <v/>
      </c>
      <c r="AH18" s="41" t="str">
        <f aca="false">IF(ISNUMBER(I18),I18*INDEX(WtF,MATCH($I$7,WtU,0))/CC_WaterRho,"")</f>
        <v/>
      </c>
      <c r="AI18" s="31"/>
      <c r="AJ18" s="31"/>
      <c r="AK18" s="40"/>
      <c r="AL18" s="31"/>
      <c r="AM18" s="41" t="str">
        <f aca="false">IF(AO18="","",AO18*IF(ISNUMBER(AK18),AK18,CC_DefFills)*(1+IF(ISNUMBER(AL18),AL18,CC_DefAllow)))</f>
        <v/>
      </c>
      <c r="AN18" s="42" t="str">
        <f aca="false">IF(G18="Given volume",IF(ISNUMBER(H18),H18*INDEX(VolF,MATCH($H$7,VolU,0)),""),IF(G18="Water weight",AH18,IF(N(AG18)=0,"",AG18)))</f>
        <v/>
      </c>
      <c r="AO18" s="42" t="str">
        <f aca="false">IF(N(AN18)=0,"",AN18*AT18*IF(ISNUMBER(AJ18),AJ18,CC_DefCirc))</f>
        <v/>
      </c>
      <c r="AP18" s="27" t="n">
        <f aca="false">IF(ISNUMBER(T18),T18*INDEX(LenF,MATCH($T$7,LenU,0)),IF(ISNUMBER(W18),W18*INDEX(LenF,MATCH($W$7,LenU,0))/CC_PitchRatio,0))</f>
        <v>0</v>
      </c>
      <c r="AQ18" s="27" t="n">
        <f aca="false">IF(ISNUMBER(N18),PI()/4*(N18*INDEX(LenF,MATCH($N$7,LenU,0)))^2,IF(AND(ISNUMBER(S18),ISNUMBER(W18),X18&lt;&gt;""),S18*(W18*INDEX(LenF,MATCH($W$7,LenU,0)))^2*INDEX(LayoutF,MATCH(X18,LayoutU,0)),0))</f>
        <v>0</v>
      </c>
      <c r="AR18" s="27" t="n">
        <f aca="false">IF(ISNUMBER(O18),O18*INDEX(LenF,MATCH($O$7,LenU,0)),IF(ISNUMBER(V18),V18*INDEX(LenF,MATCH($V$7,LenU,0)),0))</f>
        <v>0</v>
      </c>
      <c r="AS18" s="27" t="str">
        <f aca="false">IF(ISNUMBER(L18),L18*INDEX(LenF,MATCH($L$7,LenU,0))*1000,IF(OR(J18="",K18=""),"",IFERROR(IF(INDEX(PipeWT,MATCH(J18,NPSU,0),MATCH(K18,SchU,0))="","Sch n/a",INDEX(PipeOD,MATCH(J18,NPSU,0))-2*INDEX(PipeWT,MATCH(J18,NPSU,0),MATCH(K18,SchU,0))),"")))</f>
        <v/>
      </c>
      <c r="AT18" s="27" t="n">
        <f aca="false">IF(ISNUMBER(AI18),AI18,IFERROR(INDEX(IF(CC_JobType="Decontamination",CC_TypeFillDC,CC_TypeFillCC),MATCH(E18,CC_TypeL,0)),1))</f>
        <v>1</v>
      </c>
      <c r="AU18" s="27" t="n">
        <v>1</v>
      </c>
    </row>
    <row r="19" customFormat="false" ht="15" hidden="false" customHeight="false" outlineLevel="0" collapsed="false">
      <c r="A19" s="36" t="n">
        <v>10</v>
      </c>
      <c r="B19" s="40"/>
      <c r="C19" s="32"/>
      <c r="D19" s="32"/>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1" t="str">
        <f aca="false">IF(E19="Exchanger",IF(AND(ISNUMBER(S19),ISNUMBER(U19),ISNUMBER(V19)),S19*PI()/4*(U19*INDEX(LenF,MATCH($U$7,LenU,0)))^2*V19*INDEX(LenF,MATCH($V$7,LenU,0)),0)+IF(ISNUMBER(Y19),PI()/4*(Y19*INDEX(LenF,MATCH($Y$7,LenU,0)))^2*N(Z19)*INDEX(LenF,MATCH($Z$7,LenU,0))+IF(AA19="",0,IF(AA19="Conical",PI()/12*(Y19*INDEX(LenF,MATCH($Y$7,LenU,0)))^2*(0),INDEX(HeadK,MATCH(AA19,HeadU,0))*(Y19*INDEX(LenF,MATCH($Y$7,LenU,0)))^3)),0)+IF(ISNUMBER(Y19),PI()/4*(Y19*INDEX(LenF,MATCH($Y$7,LenU,0)))^2*N(AB19)*INDEX(LenF,MATCH($AB$7,LenU,0))+IF(AC19="",0,IF(AC19="Conical",PI()/12*(Y19*INDEX(LenF,MATCH($Y$7,LenU,0)))^2*(0),INDEX(HeadK,MATCH(AC19,HeadU,0))*(Y19*INDEX(LenF,MATCH($Y$7,LenU,0)))^3)),0),"")</f>
        <v/>
      </c>
      <c r="AE19" s="41" t="str">
        <f aca="false">IF(OR(E19="",E19="Piping"),"",IF(E19="Exchanger",AQ19*AR19+IF(P19="",0,IF(P19="Conical",PI()/12*(SQRT(4*AQ19/PI()))^2*(0),INDEX(HeadK,MATCH(P19,HeadU,0))*(SQRT(4*AQ19/PI()))^3))-IF(AND(ISNUMBER(S19),ISNUMBER(V19)),S19*PI()/4*AP19^2*V19*INDEX(LenF,MATCH($V$7,LenU,0)),0),IF(ISNUMBER(N19),PI()/4*(N19*INDEX(LenF,MATCH($N$7,LenU,0)))^2*N(O19)*INDEX(LenF,MATCH($O$7,LenU,0))+IF(P19="",0,IF(P19="Conical",PI()/12*(N19*INDEX(LenF,MATCH($N$7,LenU,0)))^2*(N(R19)*INDEX(LenF,MATCH($R$7,LenU,0))),INDEX(HeadK,MATCH(P19,HeadU,0))*(N19*INDEX(LenF,MATCH($N$7,LenU,0)))^3))+IF(Q19="",0,IF(Q19="Conical",PI()/12*(N19*INDEX(LenF,MATCH($N$7,LenU,0)))^2*(N(R19)*INDEX(LenF,MATCH($R$7,LenU,0))),INDEX(HeadK,MATCH(Q19,HeadU,0))*(N19*INDEX(LenF,MATCH($N$7,LenU,0)))^3)),0)))</f>
        <v/>
      </c>
      <c r="AF19" s="41" t="str">
        <f aca="false">IF(E19&lt;&gt;"Piping","",IF(AND(ISNUMBER(AS19),ISNUMBER(M19)),PI()/4*(AS19/1000)^2*M19*INDEX(LenF,MATCH($M$7,LenU,0)),0))</f>
        <v/>
      </c>
      <c r="AG19" s="41" t="str">
        <f aca="false">IF(E19="","",N(AD19)+N(AE19)+N(AF19))</f>
        <v/>
      </c>
      <c r="AH19" s="41" t="str">
        <f aca="false">IF(ISNUMBER(I19),I19*INDEX(WtF,MATCH($I$7,WtU,0))/CC_WaterRho,"")</f>
        <v/>
      </c>
      <c r="AI19" s="31"/>
      <c r="AJ19" s="31"/>
      <c r="AK19" s="40"/>
      <c r="AL19" s="31"/>
      <c r="AM19" s="41" t="str">
        <f aca="false">IF(AO19="","",AO19*IF(ISNUMBER(AK19),AK19,CC_DefFills)*(1+IF(ISNUMBER(AL19),AL19,CC_DefAllow)))</f>
        <v/>
      </c>
      <c r="AN19" s="42" t="str">
        <f aca="false">IF(G19="Given volume",IF(ISNUMBER(H19),H19*INDEX(VolF,MATCH($H$7,VolU,0)),""),IF(G19="Water weight",AH19,IF(N(AG19)=0,"",AG19)))</f>
        <v/>
      </c>
      <c r="AO19" s="42" t="str">
        <f aca="false">IF(N(AN19)=0,"",AN19*AT19*IF(ISNUMBER(AJ19),AJ19,CC_DefCirc))</f>
        <v/>
      </c>
      <c r="AP19" s="27" t="n">
        <f aca="false">IF(ISNUMBER(T19),T19*INDEX(LenF,MATCH($T$7,LenU,0)),IF(ISNUMBER(W19),W19*INDEX(LenF,MATCH($W$7,LenU,0))/CC_PitchRatio,0))</f>
        <v>0</v>
      </c>
      <c r="AQ19" s="27" t="n">
        <f aca="false">IF(ISNUMBER(N19),PI()/4*(N19*INDEX(LenF,MATCH($N$7,LenU,0)))^2,IF(AND(ISNUMBER(S19),ISNUMBER(W19),X19&lt;&gt;""),S19*(W19*INDEX(LenF,MATCH($W$7,LenU,0)))^2*INDEX(LayoutF,MATCH(X19,LayoutU,0)),0))</f>
        <v>0</v>
      </c>
      <c r="AR19" s="27" t="n">
        <f aca="false">IF(ISNUMBER(O19),O19*INDEX(LenF,MATCH($O$7,LenU,0)),IF(ISNUMBER(V19),V19*INDEX(LenF,MATCH($V$7,LenU,0)),0))</f>
        <v>0</v>
      </c>
      <c r="AS19" s="27" t="str">
        <f aca="false">IF(ISNUMBER(L19),L19*INDEX(LenF,MATCH($L$7,LenU,0))*1000,IF(OR(J19="",K19=""),"",IFERROR(IF(INDEX(PipeWT,MATCH(J19,NPSU,0),MATCH(K19,SchU,0))="","Sch n/a",INDEX(PipeOD,MATCH(J19,NPSU,0))-2*INDEX(PipeWT,MATCH(J19,NPSU,0),MATCH(K19,SchU,0))),"")))</f>
        <v/>
      </c>
      <c r="AT19" s="27" t="n">
        <f aca="false">IF(ISNUMBER(AI19),AI19,IFERROR(INDEX(IF(CC_JobType="Decontamination",CC_TypeFillDC,CC_TypeFillCC),MATCH(E19,CC_TypeL,0)),1))</f>
        <v>1</v>
      </c>
      <c r="AU19" s="27" t="n">
        <v>1</v>
      </c>
    </row>
    <row r="20" customFormat="false" ht="15" hidden="false" customHeight="false" outlineLevel="0" collapsed="false">
      <c r="A20" s="36" t="n">
        <v>11</v>
      </c>
      <c r="B20" s="40"/>
      <c r="C20" s="32"/>
      <c r="D20" s="32"/>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1" t="str">
        <f aca="false">IF(E20="Exchanger",IF(AND(ISNUMBER(S20),ISNUMBER(U20),ISNUMBER(V20)),S20*PI()/4*(U20*INDEX(LenF,MATCH($U$7,LenU,0)))^2*V20*INDEX(LenF,MATCH($V$7,LenU,0)),0)+IF(ISNUMBER(Y20),PI()/4*(Y20*INDEX(LenF,MATCH($Y$7,LenU,0)))^2*N(Z20)*INDEX(LenF,MATCH($Z$7,LenU,0))+IF(AA20="",0,IF(AA20="Conical",PI()/12*(Y20*INDEX(LenF,MATCH($Y$7,LenU,0)))^2*(0),INDEX(HeadK,MATCH(AA20,HeadU,0))*(Y20*INDEX(LenF,MATCH($Y$7,LenU,0)))^3)),0)+IF(ISNUMBER(Y20),PI()/4*(Y20*INDEX(LenF,MATCH($Y$7,LenU,0)))^2*N(AB20)*INDEX(LenF,MATCH($AB$7,LenU,0))+IF(AC20="",0,IF(AC20="Conical",PI()/12*(Y20*INDEX(LenF,MATCH($Y$7,LenU,0)))^2*(0),INDEX(HeadK,MATCH(AC20,HeadU,0))*(Y20*INDEX(LenF,MATCH($Y$7,LenU,0)))^3)),0),"")</f>
        <v/>
      </c>
      <c r="AE20" s="41" t="str">
        <f aca="false">IF(OR(E20="",E20="Piping"),"",IF(E20="Exchanger",AQ20*AR20+IF(P20="",0,IF(P20="Conical",PI()/12*(SQRT(4*AQ20/PI()))^2*(0),INDEX(HeadK,MATCH(P20,HeadU,0))*(SQRT(4*AQ20/PI()))^3))-IF(AND(ISNUMBER(S20),ISNUMBER(V20)),S20*PI()/4*AP20^2*V20*INDEX(LenF,MATCH($V$7,LenU,0)),0),IF(ISNUMBER(N20),PI()/4*(N20*INDEX(LenF,MATCH($N$7,LenU,0)))^2*N(O20)*INDEX(LenF,MATCH($O$7,LenU,0))+IF(P20="",0,IF(P20="Conical",PI()/12*(N20*INDEX(LenF,MATCH($N$7,LenU,0)))^2*(N(R20)*INDEX(LenF,MATCH($R$7,LenU,0))),INDEX(HeadK,MATCH(P20,HeadU,0))*(N20*INDEX(LenF,MATCH($N$7,LenU,0)))^3))+IF(Q20="",0,IF(Q20="Conical",PI()/12*(N20*INDEX(LenF,MATCH($N$7,LenU,0)))^2*(N(R20)*INDEX(LenF,MATCH($R$7,LenU,0))),INDEX(HeadK,MATCH(Q20,HeadU,0))*(N20*INDEX(LenF,MATCH($N$7,LenU,0)))^3)),0)))</f>
        <v/>
      </c>
      <c r="AF20" s="41" t="str">
        <f aca="false">IF(E20&lt;&gt;"Piping","",IF(AND(ISNUMBER(AS20),ISNUMBER(M20)),PI()/4*(AS20/1000)^2*M20*INDEX(LenF,MATCH($M$7,LenU,0)),0))</f>
        <v/>
      </c>
      <c r="AG20" s="41" t="str">
        <f aca="false">IF(E20="","",N(AD20)+N(AE20)+N(AF20))</f>
        <v/>
      </c>
      <c r="AH20" s="41" t="str">
        <f aca="false">IF(ISNUMBER(I20),I20*INDEX(WtF,MATCH($I$7,WtU,0))/CC_WaterRho,"")</f>
        <v/>
      </c>
      <c r="AI20" s="31"/>
      <c r="AJ20" s="31"/>
      <c r="AK20" s="40"/>
      <c r="AL20" s="31"/>
      <c r="AM20" s="41" t="str">
        <f aca="false">IF(AO20="","",AO20*IF(ISNUMBER(AK20),AK20,CC_DefFills)*(1+IF(ISNUMBER(AL20),AL20,CC_DefAllow)))</f>
        <v/>
      </c>
      <c r="AN20" s="42" t="str">
        <f aca="false">IF(G20="Given volume",IF(ISNUMBER(H20),H20*INDEX(VolF,MATCH($H$7,VolU,0)),""),IF(G20="Water weight",AH20,IF(N(AG20)=0,"",AG20)))</f>
        <v/>
      </c>
      <c r="AO20" s="42" t="str">
        <f aca="false">IF(N(AN20)=0,"",AN20*AT20*IF(ISNUMBER(AJ20),AJ20,CC_DefCirc))</f>
        <v/>
      </c>
      <c r="AP20" s="27" t="n">
        <f aca="false">IF(ISNUMBER(T20),T20*INDEX(LenF,MATCH($T$7,LenU,0)),IF(ISNUMBER(W20),W20*INDEX(LenF,MATCH($W$7,LenU,0))/CC_PitchRatio,0))</f>
        <v>0</v>
      </c>
      <c r="AQ20" s="27" t="n">
        <f aca="false">IF(ISNUMBER(N20),PI()/4*(N20*INDEX(LenF,MATCH($N$7,LenU,0)))^2,IF(AND(ISNUMBER(S20),ISNUMBER(W20),X20&lt;&gt;""),S20*(W20*INDEX(LenF,MATCH($W$7,LenU,0)))^2*INDEX(LayoutF,MATCH(X20,LayoutU,0)),0))</f>
        <v>0</v>
      </c>
      <c r="AR20" s="27" t="n">
        <f aca="false">IF(ISNUMBER(O20),O20*INDEX(LenF,MATCH($O$7,LenU,0)),IF(ISNUMBER(V20),V20*INDEX(LenF,MATCH($V$7,LenU,0)),0))</f>
        <v>0</v>
      </c>
      <c r="AS20" s="27" t="str">
        <f aca="false">IF(ISNUMBER(L20),L20*INDEX(LenF,MATCH($L$7,LenU,0))*1000,IF(OR(J20="",K20=""),"",IFERROR(IF(INDEX(PipeWT,MATCH(J20,NPSU,0),MATCH(K20,SchU,0))="","Sch n/a",INDEX(PipeOD,MATCH(J20,NPSU,0))-2*INDEX(PipeWT,MATCH(J20,NPSU,0),MATCH(K20,SchU,0))),"")))</f>
        <v/>
      </c>
      <c r="AT20" s="27" t="n">
        <f aca="false">IF(ISNUMBER(AI20),AI20,IFERROR(INDEX(IF(CC_JobType="Decontamination",CC_TypeFillDC,CC_TypeFillCC),MATCH(E20,CC_TypeL,0)),1))</f>
        <v>1</v>
      </c>
      <c r="AU20" s="27" t="n">
        <v>1</v>
      </c>
    </row>
    <row r="21" customFormat="false" ht="15" hidden="false" customHeight="false" outlineLevel="0" collapsed="false">
      <c r="A21" s="36" t="n">
        <v>12</v>
      </c>
      <c r="B21" s="40"/>
      <c r="C21" s="32"/>
      <c r="D21" s="32"/>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1" t="str">
        <f aca="false">IF(E21="Exchanger",IF(AND(ISNUMBER(S21),ISNUMBER(U21),ISNUMBER(V21)),S21*PI()/4*(U21*INDEX(LenF,MATCH($U$7,LenU,0)))^2*V21*INDEX(LenF,MATCH($V$7,LenU,0)),0)+IF(ISNUMBER(Y21),PI()/4*(Y21*INDEX(LenF,MATCH($Y$7,LenU,0)))^2*N(Z21)*INDEX(LenF,MATCH($Z$7,LenU,0))+IF(AA21="",0,IF(AA21="Conical",PI()/12*(Y21*INDEX(LenF,MATCH($Y$7,LenU,0)))^2*(0),INDEX(HeadK,MATCH(AA21,HeadU,0))*(Y21*INDEX(LenF,MATCH($Y$7,LenU,0)))^3)),0)+IF(ISNUMBER(Y21),PI()/4*(Y21*INDEX(LenF,MATCH($Y$7,LenU,0)))^2*N(AB21)*INDEX(LenF,MATCH($AB$7,LenU,0))+IF(AC21="",0,IF(AC21="Conical",PI()/12*(Y21*INDEX(LenF,MATCH($Y$7,LenU,0)))^2*(0),INDEX(HeadK,MATCH(AC21,HeadU,0))*(Y21*INDEX(LenF,MATCH($Y$7,LenU,0)))^3)),0),"")</f>
        <v/>
      </c>
      <c r="AE21" s="41" t="str">
        <f aca="false">IF(OR(E21="",E21="Piping"),"",IF(E21="Exchanger",AQ21*AR21+IF(P21="",0,IF(P21="Conical",PI()/12*(SQRT(4*AQ21/PI()))^2*(0),INDEX(HeadK,MATCH(P21,HeadU,0))*(SQRT(4*AQ21/PI()))^3))-IF(AND(ISNUMBER(S21),ISNUMBER(V21)),S21*PI()/4*AP21^2*V21*INDEX(LenF,MATCH($V$7,LenU,0)),0),IF(ISNUMBER(N21),PI()/4*(N21*INDEX(LenF,MATCH($N$7,LenU,0)))^2*N(O21)*INDEX(LenF,MATCH($O$7,LenU,0))+IF(P21="",0,IF(P21="Conical",PI()/12*(N21*INDEX(LenF,MATCH($N$7,LenU,0)))^2*(N(R21)*INDEX(LenF,MATCH($R$7,LenU,0))),INDEX(HeadK,MATCH(P21,HeadU,0))*(N21*INDEX(LenF,MATCH($N$7,LenU,0)))^3))+IF(Q21="",0,IF(Q21="Conical",PI()/12*(N21*INDEX(LenF,MATCH($N$7,LenU,0)))^2*(N(R21)*INDEX(LenF,MATCH($R$7,LenU,0))),INDEX(HeadK,MATCH(Q21,HeadU,0))*(N21*INDEX(LenF,MATCH($N$7,LenU,0)))^3)),0)))</f>
        <v/>
      </c>
      <c r="AF21" s="41" t="str">
        <f aca="false">IF(E21&lt;&gt;"Piping","",IF(AND(ISNUMBER(AS21),ISNUMBER(M21)),PI()/4*(AS21/1000)^2*M21*INDEX(LenF,MATCH($M$7,LenU,0)),0))</f>
        <v/>
      </c>
      <c r="AG21" s="41" t="str">
        <f aca="false">IF(E21="","",N(AD21)+N(AE21)+N(AF21))</f>
        <v/>
      </c>
      <c r="AH21" s="41" t="str">
        <f aca="false">IF(ISNUMBER(I21),I21*INDEX(WtF,MATCH($I$7,WtU,0))/CC_WaterRho,"")</f>
        <v/>
      </c>
      <c r="AI21" s="31"/>
      <c r="AJ21" s="31"/>
      <c r="AK21" s="40"/>
      <c r="AL21" s="31"/>
      <c r="AM21" s="41" t="str">
        <f aca="false">IF(AO21="","",AO21*IF(ISNUMBER(AK21),AK21,CC_DefFills)*(1+IF(ISNUMBER(AL21),AL21,CC_DefAllow)))</f>
        <v/>
      </c>
      <c r="AN21" s="42" t="str">
        <f aca="false">IF(G21="Given volume",IF(ISNUMBER(H21),H21*INDEX(VolF,MATCH($H$7,VolU,0)),""),IF(G21="Water weight",AH21,IF(N(AG21)=0,"",AG21)))</f>
        <v/>
      </c>
      <c r="AO21" s="42" t="str">
        <f aca="false">IF(N(AN21)=0,"",AN21*AT21*IF(ISNUMBER(AJ21),AJ21,CC_DefCirc))</f>
        <v/>
      </c>
      <c r="AP21" s="27" t="n">
        <f aca="false">IF(ISNUMBER(T21),T21*INDEX(LenF,MATCH($T$7,LenU,0)),IF(ISNUMBER(W21),W21*INDEX(LenF,MATCH($W$7,LenU,0))/CC_PitchRatio,0))</f>
        <v>0</v>
      </c>
      <c r="AQ21" s="27" t="n">
        <f aca="false">IF(ISNUMBER(N21),PI()/4*(N21*INDEX(LenF,MATCH($N$7,LenU,0)))^2,IF(AND(ISNUMBER(S21),ISNUMBER(W21),X21&lt;&gt;""),S21*(W21*INDEX(LenF,MATCH($W$7,LenU,0)))^2*INDEX(LayoutF,MATCH(X21,LayoutU,0)),0))</f>
        <v>0</v>
      </c>
      <c r="AR21" s="27" t="n">
        <f aca="false">IF(ISNUMBER(O21),O21*INDEX(LenF,MATCH($O$7,LenU,0)),IF(ISNUMBER(V21),V21*INDEX(LenF,MATCH($V$7,LenU,0)),0))</f>
        <v>0</v>
      </c>
      <c r="AS21" s="27" t="str">
        <f aca="false">IF(ISNUMBER(L21),L21*INDEX(LenF,MATCH($L$7,LenU,0))*1000,IF(OR(J21="",K21=""),"",IFERROR(IF(INDEX(PipeWT,MATCH(J21,NPSU,0),MATCH(K21,SchU,0))="","Sch n/a",INDEX(PipeOD,MATCH(J21,NPSU,0))-2*INDEX(PipeWT,MATCH(J21,NPSU,0),MATCH(K21,SchU,0))),"")))</f>
        <v/>
      </c>
      <c r="AT21" s="27" t="n">
        <f aca="false">IF(ISNUMBER(AI21),AI21,IFERROR(INDEX(IF(CC_JobType="Decontamination",CC_TypeFillDC,CC_TypeFillCC),MATCH(E21,CC_TypeL,0)),1))</f>
        <v>1</v>
      </c>
      <c r="AU21" s="27" t="n">
        <v>1</v>
      </c>
    </row>
    <row r="22" customFormat="false" ht="15" hidden="false" customHeight="false" outlineLevel="0" collapsed="false">
      <c r="A22" s="36" t="n">
        <v>13</v>
      </c>
      <c r="B22" s="40"/>
      <c r="C22" s="32"/>
      <c r="D22" s="32"/>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1" t="str">
        <f aca="false">IF(E22="Exchanger",IF(AND(ISNUMBER(S22),ISNUMBER(U22),ISNUMBER(V22)),S22*PI()/4*(U22*INDEX(LenF,MATCH($U$7,LenU,0)))^2*V22*INDEX(LenF,MATCH($V$7,LenU,0)),0)+IF(ISNUMBER(Y22),PI()/4*(Y22*INDEX(LenF,MATCH($Y$7,LenU,0)))^2*N(Z22)*INDEX(LenF,MATCH($Z$7,LenU,0))+IF(AA22="",0,IF(AA22="Conical",PI()/12*(Y22*INDEX(LenF,MATCH($Y$7,LenU,0)))^2*(0),INDEX(HeadK,MATCH(AA22,HeadU,0))*(Y22*INDEX(LenF,MATCH($Y$7,LenU,0)))^3)),0)+IF(ISNUMBER(Y22),PI()/4*(Y22*INDEX(LenF,MATCH($Y$7,LenU,0)))^2*N(AB22)*INDEX(LenF,MATCH($AB$7,LenU,0))+IF(AC22="",0,IF(AC22="Conical",PI()/12*(Y22*INDEX(LenF,MATCH($Y$7,LenU,0)))^2*(0),INDEX(HeadK,MATCH(AC22,HeadU,0))*(Y22*INDEX(LenF,MATCH($Y$7,LenU,0)))^3)),0),"")</f>
        <v/>
      </c>
      <c r="AE22" s="41" t="str">
        <f aca="false">IF(OR(E22="",E22="Piping"),"",IF(E22="Exchanger",AQ22*AR22+IF(P22="",0,IF(P22="Conical",PI()/12*(SQRT(4*AQ22/PI()))^2*(0),INDEX(HeadK,MATCH(P22,HeadU,0))*(SQRT(4*AQ22/PI()))^3))-IF(AND(ISNUMBER(S22),ISNUMBER(V22)),S22*PI()/4*AP22^2*V22*INDEX(LenF,MATCH($V$7,LenU,0)),0),IF(ISNUMBER(N22),PI()/4*(N22*INDEX(LenF,MATCH($N$7,LenU,0)))^2*N(O22)*INDEX(LenF,MATCH($O$7,LenU,0))+IF(P22="",0,IF(P22="Conical",PI()/12*(N22*INDEX(LenF,MATCH($N$7,LenU,0)))^2*(N(R22)*INDEX(LenF,MATCH($R$7,LenU,0))),INDEX(HeadK,MATCH(P22,HeadU,0))*(N22*INDEX(LenF,MATCH($N$7,LenU,0)))^3))+IF(Q22="",0,IF(Q22="Conical",PI()/12*(N22*INDEX(LenF,MATCH($N$7,LenU,0)))^2*(N(R22)*INDEX(LenF,MATCH($R$7,LenU,0))),INDEX(HeadK,MATCH(Q22,HeadU,0))*(N22*INDEX(LenF,MATCH($N$7,LenU,0)))^3)),0)))</f>
        <v/>
      </c>
      <c r="AF22" s="41" t="str">
        <f aca="false">IF(E22&lt;&gt;"Piping","",IF(AND(ISNUMBER(AS22),ISNUMBER(M22)),PI()/4*(AS22/1000)^2*M22*INDEX(LenF,MATCH($M$7,LenU,0)),0))</f>
        <v/>
      </c>
      <c r="AG22" s="41" t="str">
        <f aca="false">IF(E22="","",N(AD22)+N(AE22)+N(AF22))</f>
        <v/>
      </c>
      <c r="AH22" s="41" t="str">
        <f aca="false">IF(ISNUMBER(I22),I22*INDEX(WtF,MATCH($I$7,WtU,0))/CC_WaterRho,"")</f>
        <v/>
      </c>
      <c r="AI22" s="31"/>
      <c r="AJ22" s="31"/>
      <c r="AK22" s="40"/>
      <c r="AL22" s="31"/>
      <c r="AM22" s="41" t="str">
        <f aca="false">IF(AO22="","",AO22*IF(ISNUMBER(AK22),AK22,CC_DefFills)*(1+IF(ISNUMBER(AL22),AL22,CC_DefAllow)))</f>
        <v/>
      </c>
      <c r="AN22" s="42" t="str">
        <f aca="false">IF(G22="Given volume",IF(ISNUMBER(H22),H22*INDEX(VolF,MATCH($H$7,VolU,0)),""),IF(G22="Water weight",AH22,IF(N(AG22)=0,"",AG22)))</f>
        <v/>
      </c>
      <c r="AO22" s="42" t="str">
        <f aca="false">IF(N(AN22)=0,"",AN22*AT22*IF(ISNUMBER(AJ22),AJ22,CC_DefCirc))</f>
        <v/>
      </c>
      <c r="AP22" s="27" t="n">
        <f aca="false">IF(ISNUMBER(T22),T22*INDEX(LenF,MATCH($T$7,LenU,0)),IF(ISNUMBER(W22),W22*INDEX(LenF,MATCH($W$7,LenU,0))/CC_PitchRatio,0))</f>
        <v>0</v>
      </c>
      <c r="AQ22" s="27" t="n">
        <f aca="false">IF(ISNUMBER(N22),PI()/4*(N22*INDEX(LenF,MATCH($N$7,LenU,0)))^2,IF(AND(ISNUMBER(S22),ISNUMBER(W22),X22&lt;&gt;""),S22*(W22*INDEX(LenF,MATCH($W$7,LenU,0)))^2*INDEX(LayoutF,MATCH(X22,LayoutU,0)),0))</f>
        <v>0</v>
      </c>
      <c r="AR22" s="27" t="n">
        <f aca="false">IF(ISNUMBER(O22),O22*INDEX(LenF,MATCH($O$7,LenU,0)),IF(ISNUMBER(V22),V22*INDEX(LenF,MATCH($V$7,LenU,0)),0))</f>
        <v>0</v>
      </c>
      <c r="AS22" s="27" t="str">
        <f aca="false">IF(ISNUMBER(L22),L22*INDEX(LenF,MATCH($L$7,LenU,0))*1000,IF(OR(J22="",K22=""),"",IFERROR(IF(INDEX(PipeWT,MATCH(J22,NPSU,0),MATCH(K22,SchU,0))="","Sch n/a",INDEX(PipeOD,MATCH(J22,NPSU,0))-2*INDEX(PipeWT,MATCH(J22,NPSU,0),MATCH(K22,SchU,0))),"")))</f>
        <v/>
      </c>
      <c r="AT22" s="27" t="n">
        <f aca="false">IF(ISNUMBER(AI22),AI22,IFERROR(INDEX(IF(CC_JobType="Decontamination",CC_TypeFillDC,CC_TypeFillCC),MATCH(E22,CC_TypeL,0)),1))</f>
        <v>1</v>
      </c>
      <c r="AU22" s="27" t="n">
        <v>1</v>
      </c>
    </row>
    <row r="23" customFormat="false" ht="15" hidden="false" customHeight="false" outlineLevel="0" collapsed="false">
      <c r="A23" s="36" t="n">
        <v>14</v>
      </c>
      <c r="B23" s="40"/>
      <c r="C23" s="32"/>
      <c r="D23" s="32"/>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1" t="str">
        <f aca="false">IF(E23="Exchanger",IF(AND(ISNUMBER(S23),ISNUMBER(U23),ISNUMBER(V23)),S23*PI()/4*(U23*INDEX(LenF,MATCH($U$7,LenU,0)))^2*V23*INDEX(LenF,MATCH($V$7,LenU,0)),0)+IF(ISNUMBER(Y23),PI()/4*(Y23*INDEX(LenF,MATCH($Y$7,LenU,0)))^2*N(Z23)*INDEX(LenF,MATCH($Z$7,LenU,0))+IF(AA23="",0,IF(AA23="Conical",PI()/12*(Y23*INDEX(LenF,MATCH($Y$7,LenU,0)))^2*(0),INDEX(HeadK,MATCH(AA23,HeadU,0))*(Y23*INDEX(LenF,MATCH($Y$7,LenU,0)))^3)),0)+IF(ISNUMBER(Y23),PI()/4*(Y23*INDEX(LenF,MATCH($Y$7,LenU,0)))^2*N(AB23)*INDEX(LenF,MATCH($AB$7,LenU,0))+IF(AC23="",0,IF(AC23="Conical",PI()/12*(Y23*INDEX(LenF,MATCH($Y$7,LenU,0)))^2*(0),INDEX(HeadK,MATCH(AC23,HeadU,0))*(Y23*INDEX(LenF,MATCH($Y$7,LenU,0)))^3)),0),"")</f>
        <v/>
      </c>
      <c r="AE23" s="41" t="str">
        <f aca="false">IF(OR(E23="",E23="Piping"),"",IF(E23="Exchanger",AQ23*AR23+IF(P23="",0,IF(P23="Conical",PI()/12*(SQRT(4*AQ23/PI()))^2*(0),INDEX(HeadK,MATCH(P23,HeadU,0))*(SQRT(4*AQ23/PI()))^3))-IF(AND(ISNUMBER(S23),ISNUMBER(V23)),S23*PI()/4*AP23^2*V23*INDEX(LenF,MATCH($V$7,LenU,0)),0),IF(ISNUMBER(N23),PI()/4*(N23*INDEX(LenF,MATCH($N$7,LenU,0)))^2*N(O23)*INDEX(LenF,MATCH($O$7,LenU,0))+IF(P23="",0,IF(P23="Conical",PI()/12*(N23*INDEX(LenF,MATCH($N$7,LenU,0)))^2*(N(R23)*INDEX(LenF,MATCH($R$7,LenU,0))),INDEX(HeadK,MATCH(P23,HeadU,0))*(N23*INDEX(LenF,MATCH($N$7,LenU,0)))^3))+IF(Q23="",0,IF(Q23="Conical",PI()/12*(N23*INDEX(LenF,MATCH($N$7,LenU,0)))^2*(N(R23)*INDEX(LenF,MATCH($R$7,LenU,0))),INDEX(HeadK,MATCH(Q23,HeadU,0))*(N23*INDEX(LenF,MATCH($N$7,LenU,0)))^3)),0)))</f>
        <v/>
      </c>
      <c r="AF23" s="41" t="str">
        <f aca="false">IF(E23&lt;&gt;"Piping","",IF(AND(ISNUMBER(AS23),ISNUMBER(M23)),PI()/4*(AS23/1000)^2*M23*INDEX(LenF,MATCH($M$7,LenU,0)),0))</f>
        <v/>
      </c>
      <c r="AG23" s="41" t="str">
        <f aca="false">IF(E23="","",N(AD23)+N(AE23)+N(AF23))</f>
        <v/>
      </c>
      <c r="AH23" s="41" t="str">
        <f aca="false">IF(ISNUMBER(I23),I23*INDEX(WtF,MATCH($I$7,WtU,0))/CC_WaterRho,"")</f>
        <v/>
      </c>
      <c r="AI23" s="31"/>
      <c r="AJ23" s="31"/>
      <c r="AK23" s="40"/>
      <c r="AL23" s="31"/>
      <c r="AM23" s="41" t="str">
        <f aca="false">IF(AO23="","",AO23*IF(ISNUMBER(AK23),AK23,CC_DefFills)*(1+IF(ISNUMBER(AL23),AL23,CC_DefAllow)))</f>
        <v/>
      </c>
      <c r="AN23" s="42" t="str">
        <f aca="false">IF(G23="Given volume",IF(ISNUMBER(H23),H23*INDEX(VolF,MATCH($H$7,VolU,0)),""),IF(G23="Water weight",AH23,IF(N(AG23)=0,"",AG23)))</f>
        <v/>
      </c>
      <c r="AO23" s="42" t="str">
        <f aca="false">IF(N(AN23)=0,"",AN23*AT23*IF(ISNUMBER(AJ23),AJ23,CC_DefCirc))</f>
        <v/>
      </c>
      <c r="AP23" s="27" t="n">
        <f aca="false">IF(ISNUMBER(T23),T23*INDEX(LenF,MATCH($T$7,LenU,0)),IF(ISNUMBER(W23),W23*INDEX(LenF,MATCH($W$7,LenU,0))/CC_PitchRatio,0))</f>
        <v>0</v>
      </c>
      <c r="AQ23" s="27" t="n">
        <f aca="false">IF(ISNUMBER(N23),PI()/4*(N23*INDEX(LenF,MATCH($N$7,LenU,0)))^2,IF(AND(ISNUMBER(S23),ISNUMBER(W23),X23&lt;&gt;""),S23*(W23*INDEX(LenF,MATCH($W$7,LenU,0)))^2*INDEX(LayoutF,MATCH(X23,LayoutU,0)),0))</f>
        <v>0</v>
      </c>
      <c r="AR23" s="27" t="n">
        <f aca="false">IF(ISNUMBER(O23),O23*INDEX(LenF,MATCH($O$7,LenU,0)),IF(ISNUMBER(V23),V23*INDEX(LenF,MATCH($V$7,LenU,0)),0))</f>
        <v>0</v>
      </c>
      <c r="AS23" s="27" t="str">
        <f aca="false">IF(ISNUMBER(L23),L23*INDEX(LenF,MATCH($L$7,LenU,0))*1000,IF(OR(J23="",K23=""),"",IFERROR(IF(INDEX(PipeWT,MATCH(J23,NPSU,0),MATCH(K23,SchU,0))="","Sch n/a",INDEX(PipeOD,MATCH(J23,NPSU,0))-2*INDEX(PipeWT,MATCH(J23,NPSU,0),MATCH(K23,SchU,0))),"")))</f>
        <v/>
      </c>
      <c r="AT23" s="27" t="n">
        <f aca="false">IF(ISNUMBER(AI23),AI23,IFERROR(INDEX(IF(CC_JobType="Decontamination",CC_TypeFillDC,CC_TypeFillCC),MATCH(E23,CC_TypeL,0)),1))</f>
        <v>1</v>
      </c>
      <c r="AU23" s="27" t="n">
        <v>1</v>
      </c>
    </row>
    <row r="24" customFormat="false" ht="15" hidden="false" customHeight="false" outlineLevel="0" collapsed="false">
      <c r="A24" s="36" t="n">
        <v>15</v>
      </c>
      <c r="B24" s="40"/>
      <c r="C24" s="32"/>
      <c r="D24" s="32"/>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1" t="str">
        <f aca="false">IF(E24="Exchanger",IF(AND(ISNUMBER(S24),ISNUMBER(U24),ISNUMBER(V24)),S24*PI()/4*(U24*INDEX(LenF,MATCH($U$7,LenU,0)))^2*V24*INDEX(LenF,MATCH($V$7,LenU,0)),0)+IF(ISNUMBER(Y24),PI()/4*(Y24*INDEX(LenF,MATCH($Y$7,LenU,0)))^2*N(Z24)*INDEX(LenF,MATCH($Z$7,LenU,0))+IF(AA24="",0,IF(AA24="Conical",PI()/12*(Y24*INDEX(LenF,MATCH($Y$7,LenU,0)))^2*(0),INDEX(HeadK,MATCH(AA24,HeadU,0))*(Y24*INDEX(LenF,MATCH($Y$7,LenU,0)))^3)),0)+IF(ISNUMBER(Y24),PI()/4*(Y24*INDEX(LenF,MATCH($Y$7,LenU,0)))^2*N(AB24)*INDEX(LenF,MATCH($AB$7,LenU,0))+IF(AC24="",0,IF(AC24="Conical",PI()/12*(Y24*INDEX(LenF,MATCH($Y$7,LenU,0)))^2*(0),INDEX(HeadK,MATCH(AC24,HeadU,0))*(Y24*INDEX(LenF,MATCH($Y$7,LenU,0)))^3)),0),"")</f>
        <v/>
      </c>
      <c r="AE24" s="41" t="str">
        <f aca="false">IF(OR(E24="",E24="Piping"),"",IF(E24="Exchanger",AQ24*AR24+IF(P24="",0,IF(P24="Conical",PI()/12*(SQRT(4*AQ24/PI()))^2*(0),INDEX(HeadK,MATCH(P24,HeadU,0))*(SQRT(4*AQ24/PI()))^3))-IF(AND(ISNUMBER(S24),ISNUMBER(V24)),S24*PI()/4*AP24^2*V24*INDEX(LenF,MATCH($V$7,LenU,0)),0),IF(ISNUMBER(N24),PI()/4*(N24*INDEX(LenF,MATCH($N$7,LenU,0)))^2*N(O24)*INDEX(LenF,MATCH($O$7,LenU,0))+IF(P24="",0,IF(P24="Conical",PI()/12*(N24*INDEX(LenF,MATCH($N$7,LenU,0)))^2*(N(R24)*INDEX(LenF,MATCH($R$7,LenU,0))),INDEX(HeadK,MATCH(P24,HeadU,0))*(N24*INDEX(LenF,MATCH($N$7,LenU,0)))^3))+IF(Q24="",0,IF(Q24="Conical",PI()/12*(N24*INDEX(LenF,MATCH($N$7,LenU,0)))^2*(N(R24)*INDEX(LenF,MATCH($R$7,LenU,0))),INDEX(HeadK,MATCH(Q24,HeadU,0))*(N24*INDEX(LenF,MATCH($N$7,LenU,0)))^3)),0)))</f>
        <v/>
      </c>
      <c r="AF24" s="41" t="str">
        <f aca="false">IF(E24&lt;&gt;"Piping","",IF(AND(ISNUMBER(AS24),ISNUMBER(M24)),PI()/4*(AS24/1000)^2*M24*INDEX(LenF,MATCH($M$7,LenU,0)),0))</f>
        <v/>
      </c>
      <c r="AG24" s="41" t="str">
        <f aca="false">IF(E24="","",N(AD24)+N(AE24)+N(AF24))</f>
        <v/>
      </c>
      <c r="AH24" s="41" t="str">
        <f aca="false">IF(ISNUMBER(I24),I24*INDEX(WtF,MATCH($I$7,WtU,0))/CC_WaterRho,"")</f>
        <v/>
      </c>
      <c r="AI24" s="31"/>
      <c r="AJ24" s="31"/>
      <c r="AK24" s="40"/>
      <c r="AL24" s="31"/>
      <c r="AM24" s="41" t="str">
        <f aca="false">IF(AO24="","",AO24*IF(ISNUMBER(AK24),AK24,CC_DefFills)*(1+IF(ISNUMBER(AL24),AL24,CC_DefAllow)))</f>
        <v/>
      </c>
      <c r="AN24" s="42" t="str">
        <f aca="false">IF(G24="Given volume",IF(ISNUMBER(H24),H24*INDEX(VolF,MATCH($H$7,VolU,0)),""),IF(G24="Water weight",AH24,IF(N(AG24)=0,"",AG24)))</f>
        <v/>
      </c>
      <c r="AO24" s="42" t="str">
        <f aca="false">IF(N(AN24)=0,"",AN24*AT24*IF(ISNUMBER(AJ24),AJ24,CC_DefCirc))</f>
        <v/>
      </c>
      <c r="AP24" s="27" t="n">
        <f aca="false">IF(ISNUMBER(T24),T24*INDEX(LenF,MATCH($T$7,LenU,0)),IF(ISNUMBER(W24),W24*INDEX(LenF,MATCH($W$7,LenU,0))/CC_PitchRatio,0))</f>
        <v>0</v>
      </c>
      <c r="AQ24" s="27" t="n">
        <f aca="false">IF(ISNUMBER(N24),PI()/4*(N24*INDEX(LenF,MATCH($N$7,LenU,0)))^2,IF(AND(ISNUMBER(S24),ISNUMBER(W24),X24&lt;&gt;""),S24*(W24*INDEX(LenF,MATCH($W$7,LenU,0)))^2*INDEX(LayoutF,MATCH(X24,LayoutU,0)),0))</f>
        <v>0</v>
      </c>
      <c r="AR24" s="27" t="n">
        <f aca="false">IF(ISNUMBER(O24),O24*INDEX(LenF,MATCH($O$7,LenU,0)),IF(ISNUMBER(V24),V24*INDEX(LenF,MATCH($V$7,LenU,0)),0))</f>
        <v>0</v>
      </c>
      <c r="AS24" s="27" t="str">
        <f aca="false">IF(ISNUMBER(L24),L24*INDEX(LenF,MATCH($L$7,LenU,0))*1000,IF(OR(J24="",K24=""),"",IFERROR(IF(INDEX(PipeWT,MATCH(J24,NPSU,0),MATCH(K24,SchU,0))="","Sch n/a",INDEX(PipeOD,MATCH(J24,NPSU,0))-2*INDEX(PipeWT,MATCH(J24,NPSU,0),MATCH(K24,SchU,0))),"")))</f>
        <v/>
      </c>
      <c r="AT24" s="27" t="n">
        <f aca="false">IF(ISNUMBER(AI24),AI24,IFERROR(INDEX(IF(CC_JobType="Decontamination",CC_TypeFillDC,CC_TypeFillCC),MATCH(E24,CC_TypeL,0)),1))</f>
        <v>1</v>
      </c>
      <c r="AU24" s="27" t="n">
        <v>1</v>
      </c>
    </row>
    <row r="25" customFormat="false" ht="15" hidden="false" customHeight="false" outlineLevel="0" collapsed="false">
      <c r="A25" s="36" t="n">
        <v>16</v>
      </c>
      <c r="B25" s="40"/>
      <c r="C25" s="32"/>
      <c r="D25" s="32"/>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1" t="str">
        <f aca="false">IF(E25="Exchanger",IF(AND(ISNUMBER(S25),ISNUMBER(U25),ISNUMBER(V25)),S25*PI()/4*(U25*INDEX(LenF,MATCH($U$7,LenU,0)))^2*V25*INDEX(LenF,MATCH($V$7,LenU,0)),0)+IF(ISNUMBER(Y25),PI()/4*(Y25*INDEX(LenF,MATCH($Y$7,LenU,0)))^2*N(Z25)*INDEX(LenF,MATCH($Z$7,LenU,0))+IF(AA25="",0,IF(AA25="Conical",PI()/12*(Y25*INDEX(LenF,MATCH($Y$7,LenU,0)))^2*(0),INDEX(HeadK,MATCH(AA25,HeadU,0))*(Y25*INDEX(LenF,MATCH($Y$7,LenU,0)))^3)),0)+IF(ISNUMBER(Y25),PI()/4*(Y25*INDEX(LenF,MATCH($Y$7,LenU,0)))^2*N(AB25)*INDEX(LenF,MATCH($AB$7,LenU,0))+IF(AC25="",0,IF(AC25="Conical",PI()/12*(Y25*INDEX(LenF,MATCH($Y$7,LenU,0)))^2*(0),INDEX(HeadK,MATCH(AC25,HeadU,0))*(Y25*INDEX(LenF,MATCH($Y$7,LenU,0)))^3)),0),"")</f>
        <v/>
      </c>
      <c r="AE25" s="41" t="str">
        <f aca="false">IF(OR(E25="",E25="Piping"),"",IF(E25="Exchanger",AQ25*AR25+IF(P25="",0,IF(P25="Conical",PI()/12*(SQRT(4*AQ25/PI()))^2*(0),INDEX(HeadK,MATCH(P25,HeadU,0))*(SQRT(4*AQ25/PI()))^3))-IF(AND(ISNUMBER(S25),ISNUMBER(V25)),S25*PI()/4*AP25^2*V25*INDEX(LenF,MATCH($V$7,LenU,0)),0),IF(ISNUMBER(N25),PI()/4*(N25*INDEX(LenF,MATCH($N$7,LenU,0)))^2*N(O25)*INDEX(LenF,MATCH($O$7,LenU,0))+IF(P25="",0,IF(P25="Conical",PI()/12*(N25*INDEX(LenF,MATCH($N$7,LenU,0)))^2*(N(R25)*INDEX(LenF,MATCH($R$7,LenU,0))),INDEX(HeadK,MATCH(P25,HeadU,0))*(N25*INDEX(LenF,MATCH($N$7,LenU,0)))^3))+IF(Q25="",0,IF(Q25="Conical",PI()/12*(N25*INDEX(LenF,MATCH($N$7,LenU,0)))^2*(N(R25)*INDEX(LenF,MATCH($R$7,LenU,0))),INDEX(HeadK,MATCH(Q25,HeadU,0))*(N25*INDEX(LenF,MATCH($N$7,LenU,0)))^3)),0)))</f>
        <v/>
      </c>
      <c r="AF25" s="41" t="str">
        <f aca="false">IF(E25&lt;&gt;"Piping","",IF(AND(ISNUMBER(AS25),ISNUMBER(M25)),PI()/4*(AS25/1000)^2*M25*INDEX(LenF,MATCH($M$7,LenU,0)),0))</f>
        <v/>
      </c>
      <c r="AG25" s="41" t="str">
        <f aca="false">IF(E25="","",N(AD25)+N(AE25)+N(AF25))</f>
        <v/>
      </c>
      <c r="AH25" s="41" t="str">
        <f aca="false">IF(ISNUMBER(I25),I25*INDEX(WtF,MATCH($I$7,WtU,0))/CC_WaterRho,"")</f>
        <v/>
      </c>
      <c r="AI25" s="31"/>
      <c r="AJ25" s="31"/>
      <c r="AK25" s="40"/>
      <c r="AL25" s="31"/>
      <c r="AM25" s="41" t="str">
        <f aca="false">IF(AO25="","",AO25*IF(ISNUMBER(AK25),AK25,CC_DefFills)*(1+IF(ISNUMBER(AL25),AL25,CC_DefAllow)))</f>
        <v/>
      </c>
      <c r="AN25" s="42" t="str">
        <f aca="false">IF(G25="Given volume",IF(ISNUMBER(H25),H25*INDEX(VolF,MATCH($H$7,VolU,0)),""),IF(G25="Water weight",AH25,IF(N(AG25)=0,"",AG25)))</f>
        <v/>
      </c>
      <c r="AO25" s="42" t="str">
        <f aca="false">IF(N(AN25)=0,"",AN25*AT25*IF(ISNUMBER(AJ25),AJ25,CC_DefCirc))</f>
        <v/>
      </c>
      <c r="AP25" s="27" t="n">
        <f aca="false">IF(ISNUMBER(T25),T25*INDEX(LenF,MATCH($T$7,LenU,0)),IF(ISNUMBER(W25),W25*INDEX(LenF,MATCH($W$7,LenU,0))/CC_PitchRatio,0))</f>
        <v>0</v>
      </c>
      <c r="AQ25" s="27" t="n">
        <f aca="false">IF(ISNUMBER(N25),PI()/4*(N25*INDEX(LenF,MATCH($N$7,LenU,0)))^2,IF(AND(ISNUMBER(S25),ISNUMBER(W25),X25&lt;&gt;""),S25*(W25*INDEX(LenF,MATCH($W$7,LenU,0)))^2*INDEX(LayoutF,MATCH(X25,LayoutU,0)),0))</f>
        <v>0</v>
      </c>
      <c r="AR25" s="27" t="n">
        <f aca="false">IF(ISNUMBER(O25),O25*INDEX(LenF,MATCH($O$7,LenU,0)),IF(ISNUMBER(V25),V25*INDEX(LenF,MATCH($V$7,LenU,0)),0))</f>
        <v>0</v>
      </c>
      <c r="AS25" s="27" t="str">
        <f aca="false">IF(ISNUMBER(L25),L25*INDEX(LenF,MATCH($L$7,LenU,0))*1000,IF(OR(J25="",K25=""),"",IFERROR(IF(INDEX(PipeWT,MATCH(J25,NPSU,0),MATCH(K25,SchU,0))="","Sch n/a",INDEX(PipeOD,MATCH(J25,NPSU,0))-2*INDEX(PipeWT,MATCH(J25,NPSU,0),MATCH(K25,SchU,0))),"")))</f>
        <v/>
      </c>
      <c r="AT25" s="27" t="n">
        <f aca="false">IF(ISNUMBER(AI25),AI25,IFERROR(INDEX(IF(CC_JobType="Decontamination",CC_TypeFillDC,CC_TypeFillCC),MATCH(E25,CC_TypeL,0)),1))</f>
        <v>1</v>
      </c>
      <c r="AU25" s="27" t="n">
        <v>1</v>
      </c>
    </row>
    <row r="26" customFormat="false" ht="15" hidden="false" customHeight="false" outlineLevel="0" collapsed="false">
      <c r="A26" s="36" t="n">
        <v>17</v>
      </c>
      <c r="B26" s="40"/>
      <c r="C26" s="32"/>
      <c r="D26" s="32"/>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1" t="str">
        <f aca="false">IF(E26="Exchanger",IF(AND(ISNUMBER(S26),ISNUMBER(U26),ISNUMBER(V26)),S26*PI()/4*(U26*INDEX(LenF,MATCH($U$7,LenU,0)))^2*V26*INDEX(LenF,MATCH($V$7,LenU,0)),0)+IF(ISNUMBER(Y26),PI()/4*(Y26*INDEX(LenF,MATCH($Y$7,LenU,0)))^2*N(Z26)*INDEX(LenF,MATCH($Z$7,LenU,0))+IF(AA26="",0,IF(AA26="Conical",PI()/12*(Y26*INDEX(LenF,MATCH($Y$7,LenU,0)))^2*(0),INDEX(HeadK,MATCH(AA26,HeadU,0))*(Y26*INDEX(LenF,MATCH($Y$7,LenU,0)))^3)),0)+IF(ISNUMBER(Y26),PI()/4*(Y26*INDEX(LenF,MATCH($Y$7,LenU,0)))^2*N(AB26)*INDEX(LenF,MATCH($AB$7,LenU,0))+IF(AC26="",0,IF(AC26="Conical",PI()/12*(Y26*INDEX(LenF,MATCH($Y$7,LenU,0)))^2*(0),INDEX(HeadK,MATCH(AC26,HeadU,0))*(Y26*INDEX(LenF,MATCH($Y$7,LenU,0)))^3)),0),"")</f>
        <v/>
      </c>
      <c r="AE26" s="41" t="str">
        <f aca="false">IF(OR(E26="",E26="Piping"),"",IF(E26="Exchanger",AQ26*AR26+IF(P26="",0,IF(P26="Conical",PI()/12*(SQRT(4*AQ26/PI()))^2*(0),INDEX(HeadK,MATCH(P26,HeadU,0))*(SQRT(4*AQ26/PI()))^3))-IF(AND(ISNUMBER(S26),ISNUMBER(V26)),S26*PI()/4*AP26^2*V26*INDEX(LenF,MATCH($V$7,LenU,0)),0),IF(ISNUMBER(N26),PI()/4*(N26*INDEX(LenF,MATCH($N$7,LenU,0)))^2*N(O26)*INDEX(LenF,MATCH($O$7,LenU,0))+IF(P26="",0,IF(P26="Conical",PI()/12*(N26*INDEX(LenF,MATCH($N$7,LenU,0)))^2*(N(R26)*INDEX(LenF,MATCH($R$7,LenU,0))),INDEX(HeadK,MATCH(P26,HeadU,0))*(N26*INDEX(LenF,MATCH($N$7,LenU,0)))^3))+IF(Q26="",0,IF(Q26="Conical",PI()/12*(N26*INDEX(LenF,MATCH($N$7,LenU,0)))^2*(N(R26)*INDEX(LenF,MATCH($R$7,LenU,0))),INDEX(HeadK,MATCH(Q26,HeadU,0))*(N26*INDEX(LenF,MATCH($N$7,LenU,0)))^3)),0)))</f>
        <v/>
      </c>
      <c r="AF26" s="41" t="str">
        <f aca="false">IF(E26&lt;&gt;"Piping","",IF(AND(ISNUMBER(AS26),ISNUMBER(M26)),PI()/4*(AS26/1000)^2*M26*INDEX(LenF,MATCH($M$7,LenU,0)),0))</f>
        <v/>
      </c>
      <c r="AG26" s="41" t="str">
        <f aca="false">IF(E26="","",N(AD26)+N(AE26)+N(AF26))</f>
        <v/>
      </c>
      <c r="AH26" s="41" t="str">
        <f aca="false">IF(ISNUMBER(I26),I26*INDEX(WtF,MATCH($I$7,WtU,0))/CC_WaterRho,"")</f>
        <v/>
      </c>
      <c r="AI26" s="31"/>
      <c r="AJ26" s="31"/>
      <c r="AK26" s="40"/>
      <c r="AL26" s="31"/>
      <c r="AM26" s="41" t="str">
        <f aca="false">IF(AO26="","",AO26*IF(ISNUMBER(AK26),AK26,CC_DefFills)*(1+IF(ISNUMBER(AL26),AL26,CC_DefAllow)))</f>
        <v/>
      </c>
      <c r="AN26" s="42" t="str">
        <f aca="false">IF(G26="Given volume",IF(ISNUMBER(H26),H26*INDEX(VolF,MATCH($H$7,VolU,0)),""),IF(G26="Water weight",AH26,IF(N(AG26)=0,"",AG26)))</f>
        <v/>
      </c>
      <c r="AO26" s="42" t="str">
        <f aca="false">IF(N(AN26)=0,"",AN26*AT26*IF(ISNUMBER(AJ26),AJ26,CC_DefCirc))</f>
        <v/>
      </c>
      <c r="AP26" s="27" t="n">
        <f aca="false">IF(ISNUMBER(T26),T26*INDEX(LenF,MATCH($T$7,LenU,0)),IF(ISNUMBER(W26),W26*INDEX(LenF,MATCH($W$7,LenU,0))/CC_PitchRatio,0))</f>
        <v>0</v>
      </c>
      <c r="AQ26" s="27" t="n">
        <f aca="false">IF(ISNUMBER(N26),PI()/4*(N26*INDEX(LenF,MATCH($N$7,LenU,0)))^2,IF(AND(ISNUMBER(S26),ISNUMBER(W26),X26&lt;&gt;""),S26*(W26*INDEX(LenF,MATCH($W$7,LenU,0)))^2*INDEX(LayoutF,MATCH(X26,LayoutU,0)),0))</f>
        <v>0</v>
      </c>
      <c r="AR26" s="27" t="n">
        <f aca="false">IF(ISNUMBER(O26),O26*INDEX(LenF,MATCH($O$7,LenU,0)),IF(ISNUMBER(V26),V26*INDEX(LenF,MATCH($V$7,LenU,0)),0))</f>
        <v>0</v>
      </c>
      <c r="AS26" s="27" t="str">
        <f aca="false">IF(ISNUMBER(L26),L26*INDEX(LenF,MATCH($L$7,LenU,0))*1000,IF(OR(J26="",K26=""),"",IFERROR(IF(INDEX(PipeWT,MATCH(J26,NPSU,0),MATCH(K26,SchU,0))="","Sch n/a",INDEX(PipeOD,MATCH(J26,NPSU,0))-2*INDEX(PipeWT,MATCH(J26,NPSU,0),MATCH(K26,SchU,0))),"")))</f>
        <v/>
      </c>
      <c r="AT26" s="27" t="n">
        <f aca="false">IF(ISNUMBER(AI26),AI26,IFERROR(INDEX(IF(CC_JobType="Decontamination",CC_TypeFillDC,CC_TypeFillCC),MATCH(E26,CC_TypeL,0)),1))</f>
        <v>1</v>
      </c>
      <c r="AU26" s="27" t="n">
        <v>1</v>
      </c>
    </row>
    <row r="27" customFormat="false" ht="15" hidden="false" customHeight="false" outlineLevel="0" collapsed="false">
      <c r="A27" s="36" t="n">
        <v>18</v>
      </c>
      <c r="B27" s="40"/>
      <c r="C27" s="32"/>
      <c r="D27" s="32"/>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1" t="str">
        <f aca="false">IF(E27="Exchanger",IF(AND(ISNUMBER(S27),ISNUMBER(U27),ISNUMBER(V27)),S27*PI()/4*(U27*INDEX(LenF,MATCH($U$7,LenU,0)))^2*V27*INDEX(LenF,MATCH($V$7,LenU,0)),0)+IF(ISNUMBER(Y27),PI()/4*(Y27*INDEX(LenF,MATCH($Y$7,LenU,0)))^2*N(Z27)*INDEX(LenF,MATCH($Z$7,LenU,0))+IF(AA27="",0,IF(AA27="Conical",PI()/12*(Y27*INDEX(LenF,MATCH($Y$7,LenU,0)))^2*(0),INDEX(HeadK,MATCH(AA27,HeadU,0))*(Y27*INDEX(LenF,MATCH($Y$7,LenU,0)))^3)),0)+IF(ISNUMBER(Y27),PI()/4*(Y27*INDEX(LenF,MATCH($Y$7,LenU,0)))^2*N(AB27)*INDEX(LenF,MATCH($AB$7,LenU,0))+IF(AC27="",0,IF(AC27="Conical",PI()/12*(Y27*INDEX(LenF,MATCH($Y$7,LenU,0)))^2*(0),INDEX(HeadK,MATCH(AC27,HeadU,0))*(Y27*INDEX(LenF,MATCH($Y$7,LenU,0)))^3)),0),"")</f>
        <v/>
      </c>
      <c r="AE27" s="41" t="str">
        <f aca="false">IF(OR(E27="",E27="Piping"),"",IF(E27="Exchanger",AQ27*AR27+IF(P27="",0,IF(P27="Conical",PI()/12*(SQRT(4*AQ27/PI()))^2*(0),INDEX(HeadK,MATCH(P27,HeadU,0))*(SQRT(4*AQ27/PI()))^3))-IF(AND(ISNUMBER(S27),ISNUMBER(V27)),S27*PI()/4*AP27^2*V27*INDEX(LenF,MATCH($V$7,LenU,0)),0),IF(ISNUMBER(N27),PI()/4*(N27*INDEX(LenF,MATCH($N$7,LenU,0)))^2*N(O27)*INDEX(LenF,MATCH($O$7,LenU,0))+IF(P27="",0,IF(P27="Conical",PI()/12*(N27*INDEX(LenF,MATCH($N$7,LenU,0)))^2*(N(R27)*INDEX(LenF,MATCH($R$7,LenU,0))),INDEX(HeadK,MATCH(P27,HeadU,0))*(N27*INDEX(LenF,MATCH($N$7,LenU,0)))^3))+IF(Q27="",0,IF(Q27="Conical",PI()/12*(N27*INDEX(LenF,MATCH($N$7,LenU,0)))^2*(N(R27)*INDEX(LenF,MATCH($R$7,LenU,0))),INDEX(HeadK,MATCH(Q27,HeadU,0))*(N27*INDEX(LenF,MATCH($N$7,LenU,0)))^3)),0)))</f>
        <v/>
      </c>
      <c r="AF27" s="41" t="str">
        <f aca="false">IF(E27&lt;&gt;"Piping","",IF(AND(ISNUMBER(AS27),ISNUMBER(M27)),PI()/4*(AS27/1000)^2*M27*INDEX(LenF,MATCH($M$7,LenU,0)),0))</f>
        <v/>
      </c>
      <c r="AG27" s="41" t="str">
        <f aca="false">IF(E27="","",N(AD27)+N(AE27)+N(AF27))</f>
        <v/>
      </c>
      <c r="AH27" s="41" t="str">
        <f aca="false">IF(ISNUMBER(I27),I27*INDEX(WtF,MATCH($I$7,WtU,0))/CC_WaterRho,"")</f>
        <v/>
      </c>
      <c r="AI27" s="31"/>
      <c r="AJ27" s="31"/>
      <c r="AK27" s="40"/>
      <c r="AL27" s="31"/>
      <c r="AM27" s="41" t="str">
        <f aca="false">IF(AO27="","",AO27*IF(ISNUMBER(AK27),AK27,CC_DefFills)*(1+IF(ISNUMBER(AL27),AL27,CC_DefAllow)))</f>
        <v/>
      </c>
      <c r="AN27" s="42" t="str">
        <f aca="false">IF(G27="Given volume",IF(ISNUMBER(H27),H27*INDEX(VolF,MATCH($H$7,VolU,0)),""),IF(G27="Water weight",AH27,IF(N(AG27)=0,"",AG27)))</f>
        <v/>
      </c>
      <c r="AO27" s="42" t="str">
        <f aca="false">IF(N(AN27)=0,"",AN27*AT27*IF(ISNUMBER(AJ27),AJ27,CC_DefCirc))</f>
        <v/>
      </c>
      <c r="AP27" s="27" t="n">
        <f aca="false">IF(ISNUMBER(T27),T27*INDEX(LenF,MATCH($T$7,LenU,0)),IF(ISNUMBER(W27),W27*INDEX(LenF,MATCH($W$7,LenU,0))/CC_PitchRatio,0))</f>
        <v>0</v>
      </c>
      <c r="AQ27" s="27" t="n">
        <f aca="false">IF(ISNUMBER(N27),PI()/4*(N27*INDEX(LenF,MATCH($N$7,LenU,0)))^2,IF(AND(ISNUMBER(S27),ISNUMBER(W27),X27&lt;&gt;""),S27*(W27*INDEX(LenF,MATCH($W$7,LenU,0)))^2*INDEX(LayoutF,MATCH(X27,LayoutU,0)),0))</f>
        <v>0</v>
      </c>
      <c r="AR27" s="27" t="n">
        <f aca="false">IF(ISNUMBER(O27),O27*INDEX(LenF,MATCH($O$7,LenU,0)),IF(ISNUMBER(V27),V27*INDEX(LenF,MATCH($V$7,LenU,0)),0))</f>
        <v>0</v>
      </c>
      <c r="AS27" s="27" t="str">
        <f aca="false">IF(ISNUMBER(L27),L27*INDEX(LenF,MATCH($L$7,LenU,0))*1000,IF(OR(J27="",K27=""),"",IFERROR(IF(INDEX(PipeWT,MATCH(J27,NPSU,0),MATCH(K27,SchU,0))="","Sch n/a",INDEX(PipeOD,MATCH(J27,NPSU,0))-2*INDEX(PipeWT,MATCH(J27,NPSU,0),MATCH(K27,SchU,0))),"")))</f>
        <v/>
      </c>
      <c r="AT27" s="27" t="n">
        <f aca="false">IF(ISNUMBER(AI27),AI27,IFERROR(INDEX(IF(CC_JobType="Decontamination",CC_TypeFillDC,CC_TypeFillCC),MATCH(E27,CC_TypeL,0)),1))</f>
        <v>1</v>
      </c>
      <c r="AU27" s="27" t="n">
        <v>1</v>
      </c>
    </row>
    <row r="28" customFormat="false" ht="15" hidden="false" customHeight="false" outlineLevel="0" collapsed="false">
      <c r="A28" s="36" t="n">
        <v>19</v>
      </c>
      <c r="B28" s="40"/>
      <c r="C28" s="32"/>
      <c r="D28" s="32"/>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1" t="str">
        <f aca="false">IF(E28="Exchanger",IF(AND(ISNUMBER(S28),ISNUMBER(U28),ISNUMBER(V28)),S28*PI()/4*(U28*INDEX(LenF,MATCH($U$7,LenU,0)))^2*V28*INDEX(LenF,MATCH($V$7,LenU,0)),0)+IF(ISNUMBER(Y28),PI()/4*(Y28*INDEX(LenF,MATCH($Y$7,LenU,0)))^2*N(Z28)*INDEX(LenF,MATCH($Z$7,LenU,0))+IF(AA28="",0,IF(AA28="Conical",PI()/12*(Y28*INDEX(LenF,MATCH($Y$7,LenU,0)))^2*(0),INDEX(HeadK,MATCH(AA28,HeadU,0))*(Y28*INDEX(LenF,MATCH($Y$7,LenU,0)))^3)),0)+IF(ISNUMBER(Y28),PI()/4*(Y28*INDEX(LenF,MATCH($Y$7,LenU,0)))^2*N(AB28)*INDEX(LenF,MATCH($AB$7,LenU,0))+IF(AC28="",0,IF(AC28="Conical",PI()/12*(Y28*INDEX(LenF,MATCH($Y$7,LenU,0)))^2*(0),INDEX(HeadK,MATCH(AC28,HeadU,0))*(Y28*INDEX(LenF,MATCH($Y$7,LenU,0)))^3)),0),"")</f>
        <v/>
      </c>
      <c r="AE28" s="41" t="str">
        <f aca="false">IF(OR(E28="",E28="Piping"),"",IF(E28="Exchanger",AQ28*AR28+IF(P28="",0,IF(P28="Conical",PI()/12*(SQRT(4*AQ28/PI()))^2*(0),INDEX(HeadK,MATCH(P28,HeadU,0))*(SQRT(4*AQ28/PI()))^3))-IF(AND(ISNUMBER(S28),ISNUMBER(V28)),S28*PI()/4*AP28^2*V28*INDEX(LenF,MATCH($V$7,LenU,0)),0),IF(ISNUMBER(N28),PI()/4*(N28*INDEX(LenF,MATCH($N$7,LenU,0)))^2*N(O28)*INDEX(LenF,MATCH($O$7,LenU,0))+IF(P28="",0,IF(P28="Conical",PI()/12*(N28*INDEX(LenF,MATCH($N$7,LenU,0)))^2*(N(R28)*INDEX(LenF,MATCH($R$7,LenU,0))),INDEX(HeadK,MATCH(P28,HeadU,0))*(N28*INDEX(LenF,MATCH($N$7,LenU,0)))^3))+IF(Q28="",0,IF(Q28="Conical",PI()/12*(N28*INDEX(LenF,MATCH($N$7,LenU,0)))^2*(N(R28)*INDEX(LenF,MATCH($R$7,LenU,0))),INDEX(HeadK,MATCH(Q28,HeadU,0))*(N28*INDEX(LenF,MATCH($N$7,LenU,0)))^3)),0)))</f>
        <v/>
      </c>
      <c r="AF28" s="41" t="str">
        <f aca="false">IF(E28&lt;&gt;"Piping","",IF(AND(ISNUMBER(AS28),ISNUMBER(M28)),PI()/4*(AS28/1000)^2*M28*INDEX(LenF,MATCH($M$7,LenU,0)),0))</f>
        <v/>
      </c>
      <c r="AG28" s="41" t="str">
        <f aca="false">IF(E28="","",N(AD28)+N(AE28)+N(AF28))</f>
        <v/>
      </c>
      <c r="AH28" s="41" t="str">
        <f aca="false">IF(ISNUMBER(I28),I28*INDEX(WtF,MATCH($I$7,WtU,0))/CC_WaterRho,"")</f>
        <v/>
      </c>
      <c r="AI28" s="31"/>
      <c r="AJ28" s="31"/>
      <c r="AK28" s="40"/>
      <c r="AL28" s="31"/>
      <c r="AM28" s="41" t="str">
        <f aca="false">IF(AO28="","",AO28*IF(ISNUMBER(AK28),AK28,CC_DefFills)*(1+IF(ISNUMBER(AL28),AL28,CC_DefAllow)))</f>
        <v/>
      </c>
      <c r="AN28" s="42" t="str">
        <f aca="false">IF(G28="Given volume",IF(ISNUMBER(H28),H28*INDEX(VolF,MATCH($H$7,VolU,0)),""),IF(G28="Water weight",AH28,IF(N(AG28)=0,"",AG28)))</f>
        <v/>
      </c>
      <c r="AO28" s="42" t="str">
        <f aca="false">IF(N(AN28)=0,"",AN28*AT28*IF(ISNUMBER(AJ28),AJ28,CC_DefCirc))</f>
        <v/>
      </c>
      <c r="AP28" s="27" t="n">
        <f aca="false">IF(ISNUMBER(T28),T28*INDEX(LenF,MATCH($T$7,LenU,0)),IF(ISNUMBER(W28),W28*INDEX(LenF,MATCH($W$7,LenU,0))/CC_PitchRatio,0))</f>
        <v>0</v>
      </c>
      <c r="AQ28" s="27" t="n">
        <f aca="false">IF(ISNUMBER(N28),PI()/4*(N28*INDEX(LenF,MATCH($N$7,LenU,0)))^2,IF(AND(ISNUMBER(S28),ISNUMBER(W28),X28&lt;&gt;""),S28*(W28*INDEX(LenF,MATCH($W$7,LenU,0)))^2*INDEX(LayoutF,MATCH(X28,LayoutU,0)),0))</f>
        <v>0</v>
      </c>
      <c r="AR28" s="27" t="n">
        <f aca="false">IF(ISNUMBER(O28),O28*INDEX(LenF,MATCH($O$7,LenU,0)),IF(ISNUMBER(V28),V28*INDEX(LenF,MATCH($V$7,LenU,0)),0))</f>
        <v>0</v>
      </c>
      <c r="AS28" s="27" t="str">
        <f aca="false">IF(ISNUMBER(L28),L28*INDEX(LenF,MATCH($L$7,LenU,0))*1000,IF(OR(J28="",K28=""),"",IFERROR(IF(INDEX(PipeWT,MATCH(J28,NPSU,0),MATCH(K28,SchU,0))="","Sch n/a",INDEX(PipeOD,MATCH(J28,NPSU,0))-2*INDEX(PipeWT,MATCH(J28,NPSU,0),MATCH(K28,SchU,0))),"")))</f>
        <v/>
      </c>
      <c r="AT28" s="27" t="n">
        <f aca="false">IF(ISNUMBER(AI28),AI28,IFERROR(INDEX(IF(CC_JobType="Decontamination",CC_TypeFillDC,CC_TypeFillCC),MATCH(E28,CC_TypeL,0)),1))</f>
        <v>1</v>
      </c>
      <c r="AU28" s="27" t="n">
        <v>1</v>
      </c>
    </row>
    <row r="29" customFormat="false" ht="15" hidden="false" customHeight="false" outlineLevel="0" collapsed="false">
      <c r="A29" s="36" t="n">
        <v>20</v>
      </c>
      <c r="B29" s="40"/>
      <c r="C29" s="32"/>
      <c r="D29" s="32"/>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1" t="str">
        <f aca="false">IF(E29="Exchanger",IF(AND(ISNUMBER(S29),ISNUMBER(U29),ISNUMBER(V29)),S29*PI()/4*(U29*INDEX(LenF,MATCH($U$7,LenU,0)))^2*V29*INDEX(LenF,MATCH($V$7,LenU,0)),0)+IF(ISNUMBER(Y29),PI()/4*(Y29*INDEX(LenF,MATCH($Y$7,LenU,0)))^2*N(Z29)*INDEX(LenF,MATCH($Z$7,LenU,0))+IF(AA29="",0,IF(AA29="Conical",PI()/12*(Y29*INDEX(LenF,MATCH($Y$7,LenU,0)))^2*(0),INDEX(HeadK,MATCH(AA29,HeadU,0))*(Y29*INDEX(LenF,MATCH($Y$7,LenU,0)))^3)),0)+IF(ISNUMBER(Y29),PI()/4*(Y29*INDEX(LenF,MATCH($Y$7,LenU,0)))^2*N(AB29)*INDEX(LenF,MATCH($AB$7,LenU,0))+IF(AC29="",0,IF(AC29="Conical",PI()/12*(Y29*INDEX(LenF,MATCH($Y$7,LenU,0)))^2*(0),INDEX(HeadK,MATCH(AC29,HeadU,0))*(Y29*INDEX(LenF,MATCH($Y$7,LenU,0)))^3)),0),"")</f>
        <v/>
      </c>
      <c r="AE29" s="41" t="str">
        <f aca="false">IF(OR(E29="",E29="Piping"),"",IF(E29="Exchanger",AQ29*AR29+IF(P29="",0,IF(P29="Conical",PI()/12*(SQRT(4*AQ29/PI()))^2*(0),INDEX(HeadK,MATCH(P29,HeadU,0))*(SQRT(4*AQ29/PI()))^3))-IF(AND(ISNUMBER(S29),ISNUMBER(V29)),S29*PI()/4*AP29^2*V29*INDEX(LenF,MATCH($V$7,LenU,0)),0),IF(ISNUMBER(N29),PI()/4*(N29*INDEX(LenF,MATCH($N$7,LenU,0)))^2*N(O29)*INDEX(LenF,MATCH($O$7,LenU,0))+IF(P29="",0,IF(P29="Conical",PI()/12*(N29*INDEX(LenF,MATCH($N$7,LenU,0)))^2*(N(R29)*INDEX(LenF,MATCH($R$7,LenU,0))),INDEX(HeadK,MATCH(P29,HeadU,0))*(N29*INDEX(LenF,MATCH($N$7,LenU,0)))^3))+IF(Q29="",0,IF(Q29="Conical",PI()/12*(N29*INDEX(LenF,MATCH($N$7,LenU,0)))^2*(N(R29)*INDEX(LenF,MATCH($R$7,LenU,0))),INDEX(HeadK,MATCH(Q29,HeadU,0))*(N29*INDEX(LenF,MATCH($N$7,LenU,0)))^3)),0)))</f>
        <v/>
      </c>
      <c r="AF29" s="41" t="str">
        <f aca="false">IF(E29&lt;&gt;"Piping","",IF(AND(ISNUMBER(AS29),ISNUMBER(M29)),PI()/4*(AS29/1000)^2*M29*INDEX(LenF,MATCH($M$7,LenU,0)),0))</f>
        <v/>
      </c>
      <c r="AG29" s="41" t="str">
        <f aca="false">IF(E29="","",N(AD29)+N(AE29)+N(AF29))</f>
        <v/>
      </c>
      <c r="AH29" s="41" t="str">
        <f aca="false">IF(ISNUMBER(I29),I29*INDEX(WtF,MATCH($I$7,WtU,0))/CC_WaterRho,"")</f>
        <v/>
      </c>
      <c r="AI29" s="31"/>
      <c r="AJ29" s="31"/>
      <c r="AK29" s="40"/>
      <c r="AL29" s="31"/>
      <c r="AM29" s="41" t="str">
        <f aca="false">IF(AO29="","",AO29*IF(ISNUMBER(AK29),AK29,CC_DefFills)*(1+IF(ISNUMBER(AL29),AL29,CC_DefAllow)))</f>
        <v/>
      </c>
      <c r="AN29" s="42" t="str">
        <f aca="false">IF(G29="Given volume",IF(ISNUMBER(H29),H29*INDEX(VolF,MATCH($H$7,VolU,0)),""),IF(G29="Water weight",AH29,IF(N(AG29)=0,"",AG29)))</f>
        <v/>
      </c>
      <c r="AO29" s="42" t="str">
        <f aca="false">IF(N(AN29)=0,"",AN29*AT29*IF(ISNUMBER(AJ29),AJ29,CC_DefCirc))</f>
        <v/>
      </c>
      <c r="AP29" s="27" t="n">
        <f aca="false">IF(ISNUMBER(T29),T29*INDEX(LenF,MATCH($T$7,LenU,0)),IF(ISNUMBER(W29),W29*INDEX(LenF,MATCH($W$7,LenU,0))/CC_PitchRatio,0))</f>
        <v>0</v>
      </c>
      <c r="AQ29" s="27" t="n">
        <f aca="false">IF(ISNUMBER(N29),PI()/4*(N29*INDEX(LenF,MATCH($N$7,LenU,0)))^2,IF(AND(ISNUMBER(S29),ISNUMBER(W29),X29&lt;&gt;""),S29*(W29*INDEX(LenF,MATCH($W$7,LenU,0)))^2*INDEX(LayoutF,MATCH(X29,LayoutU,0)),0))</f>
        <v>0</v>
      </c>
      <c r="AR29" s="27" t="n">
        <f aca="false">IF(ISNUMBER(O29),O29*INDEX(LenF,MATCH($O$7,LenU,0)),IF(ISNUMBER(V29),V29*INDEX(LenF,MATCH($V$7,LenU,0)),0))</f>
        <v>0</v>
      </c>
      <c r="AS29" s="27" t="str">
        <f aca="false">IF(ISNUMBER(L29),L29*INDEX(LenF,MATCH($L$7,LenU,0))*1000,IF(OR(J29="",K29=""),"",IFERROR(IF(INDEX(PipeWT,MATCH(J29,NPSU,0),MATCH(K29,SchU,0))="","Sch n/a",INDEX(PipeOD,MATCH(J29,NPSU,0))-2*INDEX(PipeWT,MATCH(J29,NPSU,0),MATCH(K29,SchU,0))),"")))</f>
        <v/>
      </c>
      <c r="AT29" s="27" t="n">
        <f aca="false">IF(ISNUMBER(AI29),AI29,IFERROR(INDEX(IF(CC_JobType="Decontamination",CC_TypeFillDC,CC_TypeFillCC),MATCH(E29,CC_TypeL,0)),1))</f>
        <v>1</v>
      </c>
      <c r="AU29" s="27" t="n">
        <v>1</v>
      </c>
    </row>
    <row r="30" customFormat="false" ht="15" hidden="false" customHeight="false" outlineLevel="0" collapsed="false">
      <c r="A30" s="36" t="n">
        <v>21</v>
      </c>
      <c r="B30" s="40"/>
      <c r="C30" s="32"/>
      <c r="D30" s="32"/>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1" t="str">
        <f aca="false">IF(E30="Exchanger",IF(AND(ISNUMBER(S30),ISNUMBER(U30),ISNUMBER(V30)),S30*PI()/4*(U30*INDEX(LenF,MATCH($U$7,LenU,0)))^2*V30*INDEX(LenF,MATCH($V$7,LenU,0)),0)+IF(ISNUMBER(Y30),PI()/4*(Y30*INDEX(LenF,MATCH($Y$7,LenU,0)))^2*N(Z30)*INDEX(LenF,MATCH($Z$7,LenU,0))+IF(AA30="",0,IF(AA30="Conical",PI()/12*(Y30*INDEX(LenF,MATCH($Y$7,LenU,0)))^2*(0),INDEX(HeadK,MATCH(AA30,HeadU,0))*(Y30*INDEX(LenF,MATCH($Y$7,LenU,0)))^3)),0)+IF(ISNUMBER(Y30),PI()/4*(Y30*INDEX(LenF,MATCH($Y$7,LenU,0)))^2*N(AB30)*INDEX(LenF,MATCH($AB$7,LenU,0))+IF(AC30="",0,IF(AC30="Conical",PI()/12*(Y30*INDEX(LenF,MATCH($Y$7,LenU,0)))^2*(0),INDEX(HeadK,MATCH(AC30,HeadU,0))*(Y30*INDEX(LenF,MATCH($Y$7,LenU,0)))^3)),0),"")</f>
        <v/>
      </c>
      <c r="AE30" s="41" t="str">
        <f aca="false">IF(OR(E30="",E30="Piping"),"",IF(E30="Exchanger",AQ30*AR30+IF(P30="",0,IF(P30="Conical",PI()/12*(SQRT(4*AQ30/PI()))^2*(0),INDEX(HeadK,MATCH(P30,HeadU,0))*(SQRT(4*AQ30/PI()))^3))-IF(AND(ISNUMBER(S30),ISNUMBER(V30)),S30*PI()/4*AP30^2*V30*INDEX(LenF,MATCH($V$7,LenU,0)),0),IF(ISNUMBER(N30),PI()/4*(N30*INDEX(LenF,MATCH($N$7,LenU,0)))^2*N(O30)*INDEX(LenF,MATCH($O$7,LenU,0))+IF(P30="",0,IF(P30="Conical",PI()/12*(N30*INDEX(LenF,MATCH($N$7,LenU,0)))^2*(N(R30)*INDEX(LenF,MATCH($R$7,LenU,0))),INDEX(HeadK,MATCH(P30,HeadU,0))*(N30*INDEX(LenF,MATCH($N$7,LenU,0)))^3))+IF(Q30="",0,IF(Q30="Conical",PI()/12*(N30*INDEX(LenF,MATCH($N$7,LenU,0)))^2*(N(R30)*INDEX(LenF,MATCH($R$7,LenU,0))),INDEX(HeadK,MATCH(Q30,HeadU,0))*(N30*INDEX(LenF,MATCH($N$7,LenU,0)))^3)),0)))</f>
        <v/>
      </c>
      <c r="AF30" s="41" t="str">
        <f aca="false">IF(E30&lt;&gt;"Piping","",IF(AND(ISNUMBER(AS30),ISNUMBER(M30)),PI()/4*(AS30/1000)^2*M30*INDEX(LenF,MATCH($M$7,LenU,0)),0))</f>
        <v/>
      </c>
      <c r="AG30" s="41" t="str">
        <f aca="false">IF(E30="","",N(AD30)+N(AE30)+N(AF30))</f>
        <v/>
      </c>
      <c r="AH30" s="41" t="str">
        <f aca="false">IF(ISNUMBER(I30),I30*INDEX(WtF,MATCH($I$7,WtU,0))/CC_WaterRho,"")</f>
        <v/>
      </c>
      <c r="AI30" s="31"/>
      <c r="AJ30" s="31"/>
      <c r="AK30" s="40"/>
      <c r="AL30" s="31"/>
      <c r="AM30" s="41" t="str">
        <f aca="false">IF(AO30="","",AO30*IF(ISNUMBER(AK30),AK30,CC_DefFills)*(1+IF(ISNUMBER(AL30),AL30,CC_DefAllow)))</f>
        <v/>
      </c>
      <c r="AN30" s="42" t="str">
        <f aca="false">IF(G30="Given volume",IF(ISNUMBER(H30),H30*INDEX(VolF,MATCH($H$7,VolU,0)),""),IF(G30="Water weight",AH30,IF(N(AG30)=0,"",AG30)))</f>
        <v/>
      </c>
      <c r="AO30" s="42" t="str">
        <f aca="false">IF(N(AN30)=0,"",AN30*AT30*IF(ISNUMBER(AJ30),AJ30,CC_DefCirc))</f>
        <v/>
      </c>
      <c r="AP30" s="27" t="n">
        <f aca="false">IF(ISNUMBER(T30),T30*INDEX(LenF,MATCH($T$7,LenU,0)),IF(ISNUMBER(W30),W30*INDEX(LenF,MATCH($W$7,LenU,0))/CC_PitchRatio,0))</f>
        <v>0</v>
      </c>
      <c r="AQ30" s="27" t="n">
        <f aca="false">IF(ISNUMBER(N30),PI()/4*(N30*INDEX(LenF,MATCH($N$7,LenU,0)))^2,IF(AND(ISNUMBER(S30),ISNUMBER(W30),X30&lt;&gt;""),S30*(W30*INDEX(LenF,MATCH($W$7,LenU,0)))^2*INDEX(LayoutF,MATCH(X30,LayoutU,0)),0))</f>
        <v>0</v>
      </c>
      <c r="AR30" s="27" t="n">
        <f aca="false">IF(ISNUMBER(O30),O30*INDEX(LenF,MATCH($O$7,LenU,0)),IF(ISNUMBER(V30),V30*INDEX(LenF,MATCH($V$7,LenU,0)),0))</f>
        <v>0</v>
      </c>
      <c r="AS30" s="27" t="str">
        <f aca="false">IF(ISNUMBER(L30),L30*INDEX(LenF,MATCH($L$7,LenU,0))*1000,IF(OR(J30="",K30=""),"",IFERROR(IF(INDEX(PipeWT,MATCH(J30,NPSU,0),MATCH(K30,SchU,0))="","Sch n/a",INDEX(PipeOD,MATCH(J30,NPSU,0))-2*INDEX(PipeWT,MATCH(J30,NPSU,0),MATCH(K30,SchU,0))),"")))</f>
        <v/>
      </c>
      <c r="AT30" s="27" t="n">
        <f aca="false">IF(ISNUMBER(AI30),AI30,IFERROR(INDEX(IF(CC_JobType="Decontamination",CC_TypeFillDC,CC_TypeFillCC),MATCH(E30,CC_TypeL,0)),1))</f>
        <v>1</v>
      </c>
      <c r="AU30" s="27" t="n">
        <v>1</v>
      </c>
    </row>
    <row r="31" customFormat="false" ht="15" hidden="false" customHeight="false" outlineLevel="0" collapsed="false">
      <c r="A31" s="36" t="n">
        <v>22</v>
      </c>
      <c r="B31" s="40"/>
      <c r="C31" s="32"/>
      <c r="D31" s="32"/>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1" t="str">
        <f aca="false">IF(E31="Exchanger",IF(AND(ISNUMBER(S31),ISNUMBER(U31),ISNUMBER(V31)),S31*PI()/4*(U31*INDEX(LenF,MATCH($U$7,LenU,0)))^2*V31*INDEX(LenF,MATCH($V$7,LenU,0)),0)+IF(ISNUMBER(Y31),PI()/4*(Y31*INDEX(LenF,MATCH($Y$7,LenU,0)))^2*N(Z31)*INDEX(LenF,MATCH($Z$7,LenU,0))+IF(AA31="",0,IF(AA31="Conical",PI()/12*(Y31*INDEX(LenF,MATCH($Y$7,LenU,0)))^2*(0),INDEX(HeadK,MATCH(AA31,HeadU,0))*(Y31*INDEX(LenF,MATCH($Y$7,LenU,0)))^3)),0)+IF(ISNUMBER(Y31),PI()/4*(Y31*INDEX(LenF,MATCH($Y$7,LenU,0)))^2*N(AB31)*INDEX(LenF,MATCH($AB$7,LenU,0))+IF(AC31="",0,IF(AC31="Conical",PI()/12*(Y31*INDEX(LenF,MATCH($Y$7,LenU,0)))^2*(0),INDEX(HeadK,MATCH(AC31,HeadU,0))*(Y31*INDEX(LenF,MATCH($Y$7,LenU,0)))^3)),0),"")</f>
        <v/>
      </c>
      <c r="AE31" s="41" t="str">
        <f aca="false">IF(OR(E31="",E31="Piping"),"",IF(E31="Exchanger",AQ31*AR31+IF(P31="",0,IF(P31="Conical",PI()/12*(SQRT(4*AQ31/PI()))^2*(0),INDEX(HeadK,MATCH(P31,HeadU,0))*(SQRT(4*AQ31/PI()))^3))-IF(AND(ISNUMBER(S31),ISNUMBER(V31)),S31*PI()/4*AP31^2*V31*INDEX(LenF,MATCH($V$7,LenU,0)),0),IF(ISNUMBER(N31),PI()/4*(N31*INDEX(LenF,MATCH($N$7,LenU,0)))^2*N(O31)*INDEX(LenF,MATCH($O$7,LenU,0))+IF(P31="",0,IF(P31="Conical",PI()/12*(N31*INDEX(LenF,MATCH($N$7,LenU,0)))^2*(N(R31)*INDEX(LenF,MATCH($R$7,LenU,0))),INDEX(HeadK,MATCH(P31,HeadU,0))*(N31*INDEX(LenF,MATCH($N$7,LenU,0)))^3))+IF(Q31="",0,IF(Q31="Conical",PI()/12*(N31*INDEX(LenF,MATCH($N$7,LenU,0)))^2*(N(R31)*INDEX(LenF,MATCH($R$7,LenU,0))),INDEX(HeadK,MATCH(Q31,HeadU,0))*(N31*INDEX(LenF,MATCH($N$7,LenU,0)))^3)),0)))</f>
        <v/>
      </c>
      <c r="AF31" s="41" t="str">
        <f aca="false">IF(E31&lt;&gt;"Piping","",IF(AND(ISNUMBER(AS31),ISNUMBER(M31)),PI()/4*(AS31/1000)^2*M31*INDEX(LenF,MATCH($M$7,LenU,0)),0))</f>
        <v/>
      </c>
      <c r="AG31" s="41" t="str">
        <f aca="false">IF(E31="","",N(AD31)+N(AE31)+N(AF31))</f>
        <v/>
      </c>
      <c r="AH31" s="41" t="str">
        <f aca="false">IF(ISNUMBER(I31),I31*INDEX(WtF,MATCH($I$7,WtU,0))/CC_WaterRho,"")</f>
        <v/>
      </c>
      <c r="AI31" s="31"/>
      <c r="AJ31" s="31"/>
      <c r="AK31" s="40"/>
      <c r="AL31" s="31"/>
      <c r="AM31" s="41" t="str">
        <f aca="false">IF(AO31="","",AO31*IF(ISNUMBER(AK31),AK31,CC_DefFills)*(1+IF(ISNUMBER(AL31),AL31,CC_DefAllow)))</f>
        <v/>
      </c>
      <c r="AN31" s="42" t="str">
        <f aca="false">IF(G31="Given volume",IF(ISNUMBER(H31),H31*INDEX(VolF,MATCH($H$7,VolU,0)),""),IF(G31="Water weight",AH31,IF(N(AG31)=0,"",AG31)))</f>
        <v/>
      </c>
      <c r="AO31" s="42" t="str">
        <f aca="false">IF(N(AN31)=0,"",AN31*AT31*IF(ISNUMBER(AJ31),AJ31,CC_DefCirc))</f>
        <v/>
      </c>
      <c r="AP31" s="27" t="n">
        <f aca="false">IF(ISNUMBER(T31),T31*INDEX(LenF,MATCH($T$7,LenU,0)),IF(ISNUMBER(W31),W31*INDEX(LenF,MATCH($W$7,LenU,0))/CC_PitchRatio,0))</f>
        <v>0</v>
      </c>
      <c r="AQ31" s="27" t="n">
        <f aca="false">IF(ISNUMBER(N31),PI()/4*(N31*INDEX(LenF,MATCH($N$7,LenU,0)))^2,IF(AND(ISNUMBER(S31),ISNUMBER(W31),X31&lt;&gt;""),S31*(W31*INDEX(LenF,MATCH($W$7,LenU,0)))^2*INDEX(LayoutF,MATCH(X31,LayoutU,0)),0))</f>
        <v>0</v>
      </c>
      <c r="AR31" s="27" t="n">
        <f aca="false">IF(ISNUMBER(O31),O31*INDEX(LenF,MATCH($O$7,LenU,0)),IF(ISNUMBER(V31),V31*INDEX(LenF,MATCH($V$7,LenU,0)),0))</f>
        <v>0</v>
      </c>
      <c r="AS31" s="27" t="str">
        <f aca="false">IF(ISNUMBER(L31),L31*INDEX(LenF,MATCH($L$7,LenU,0))*1000,IF(OR(J31="",K31=""),"",IFERROR(IF(INDEX(PipeWT,MATCH(J31,NPSU,0),MATCH(K31,SchU,0))="","Sch n/a",INDEX(PipeOD,MATCH(J31,NPSU,0))-2*INDEX(PipeWT,MATCH(J31,NPSU,0),MATCH(K31,SchU,0))),"")))</f>
        <v/>
      </c>
      <c r="AT31" s="27" t="n">
        <f aca="false">IF(ISNUMBER(AI31),AI31,IFERROR(INDEX(IF(CC_JobType="Decontamination",CC_TypeFillDC,CC_TypeFillCC),MATCH(E31,CC_TypeL,0)),1))</f>
        <v>1</v>
      </c>
      <c r="AU31" s="27" t="n">
        <v>1</v>
      </c>
    </row>
    <row r="32" customFormat="false" ht="15" hidden="false" customHeight="false" outlineLevel="0" collapsed="false">
      <c r="A32" s="36" t="n">
        <v>23</v>
      </c>
      <c r="B32" s="40"/>
      <c r="C32" s="32"/>
      <c r="D32" s="32"/>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1" t="str">
        <f aca="false">IF(E32="Exchanger",IF(AND(ISNUMBER(S32),ISNUMBER(U32),ISNUMBER(V32)),S32*PI()/4*(U32*INDEX(LenF,MATCH($U$7,LenU,0)))^2*V32*INDEX(LenF,MATCH($V$7,LenU,0)),0)+IF(ISNUMBER(Y32),PI()/4*(Y32*INDEX(LenF,MATCH($Y$7,LenU,0)))^2*N(Z32)*INDEX(LenF,MATCH($Z$7,LenU,0))+IF(AA32="",0,IF(AA32="Conical",PI()/12*(Y32*INDEX(LenF,MATCH($Y$7,LenU,0)))^2*(0),INDEX(HeadK,MATCH(AA32,HeadU,0))*(Y32*INDEX(LenF,MATCH($Y$7,LenU,0)))^3)),0)+IF(ISNUMBER(Y32),PI()/4*(Y32*INDEX(LenF,MATCH($Y$7,LenU,0)))^2*N(AB32)*INDEX(LenF,MATCH($AB$7,LenU,0))+IF(AC32="",0,IF(AC32="Conical",PI()/12*(Y32*INDEX(LenF,MATCH($Y$7,LenU,0)))^2*(0),INDEX(HeadK,MATCH(AC32,HeadU,0))*(Y32*INDEX(LenF,MATCH($Y$7,LenU,0)))^3)),0),"")</f>
        <v/>
      </c>
      <c r="AE32" s="41" t="str">
        <f aca="false">IF(OR(E32="",E32="Piping"),"",IF(E32="Exchanger",AQ32*AR32+IF(P32="",0,IF(P32="Conical",PI()/12*(SQRT(4*AQ32/PI()))^2*(0),INDEX(HeadK,MATCH(P32,HeadU,0))*(SQRT(4*AQ32/PI()))^3))-IF(AND(ISNUMBER(S32),ISNUMBER(V32)),S32*PI()/4*AP32^2*V32*INDEX(LenF,MATCH($V$7,LenU,0)),0),IF(ISNUMBER(N32),PI()/4*(N32*INDEX(LenF,MATCH($N$7,LenU,0)))^2*N(O32)*INDEX(LenF,MATCH($O$7,LenU,0))+IF(P32="",0,IF(P32="Conical",PI()/12*(N32*INDEX(LenF,MATCH($N$7,LenU,0)))^2*(N(R32)*INDEX(LenF,MATCH($R$7,LenU,0))),INDEX(HeadK,MATCH(P32,HeadU,0))*(N32*INDEX(LenF,MATCH($N$7,LenU,0)))^3))+IF(Q32="",0,IF(Q32="Conical",PI()/12*(N32*INDEX(LenF,MATCH($N$7,LenU,0)))^2*(N(R32)*INDEX(LenF,MATCH($R$7,LenU,0))),INDEX(HeadK,MATCH(Q32,HeadU,0))*(N32*INDEX(LenF,MATCH($N$7,LenU,0)))^3)),0)))</f>
        <v/>
      </c>
      <c r="AF32" s="41" t="str">
        <f aca="false">IF(E32&lt;&gt;"Piping","",IF(AND(ISNUMBER(AS32),ISNUMBER(M32)),PI()/4*(AS32/1000)^2*M32*INDEX(LenF,MATCH($M$7,LenU,0)),0))</f>
        <v/>
      </c>
      <c r="AG32" s="41" t="str">
        <f aca="false">IF(E32="","",N(AD32)+N(AE32)+N(AF32))</f>
        <v/>
      </c>
      <c r="AH32" s="41" t="str">
        <f aca="false">IF(ISNUMBER(I32),I32*INDEX(WtF,MATCH($I$7,WtU,0))/CC_WaterRho,"")</f>
        <v/>
      </c>
      <c r="AI32" s="31"/>
      <c r="AJ32" s="31"/>
      <c r="AK32" s="40"/>
      <c r="AL32" s="31"/>
      <c r="AM32" s="41" t="str">
        <f aca="false">IF(AO32="","",AO32*IF(ISNUMBER(AK32),AK32,CC_DefFills)*(1+IF(ISNUMBER(AL32),AL32,CC_DefAllow)))</f>
        <v/>
      </c>
      <c r="AN32" s="42" t="str">
        <f aca="false">IF(G32="Given volume",IF(ISNUMBER(H32),H32*INDEX(VolF,MATCH($H$7,VolU,0)),""),IF(G32="Water weight",AH32,IF(N(AG32)=0,"",AG32)))</f>
        <v/>
      </c>
      <c r="AO32" s="42" t="str">
        <f aca="false">IF(N(AN32)=0,"",AN32*AT32*IF(ISNUMBER(AJ32),AJ32,CC_DefCirc))</f>
        <v/>
      </c>
      <c r="AP32" s="27" t="n">
        <f aca="false">IF(ISNUMBER(T32),T32*INDEX(LenF,MATCH($T$7,LenU,0)),IF(ISNUMBER(W32),W32*INDEX(LenF,MATCH($W$7,LenU,0))/CC_PitchRatio,0))</f>
        <v>0</v>
      </c>
      <c r="AQ32" s="27" t="n">
        <f aca="false">IF(ISNUMBER(N32),PI()/4*(N32*INDEX(LenF,MATCH($N$7,LenU,0)))^2,IF(AND(ISNUMBER(S32),ISNUMBER(W32),X32&lt;&gt;""),S32*(W32*INDEX(LenF,MATCH($W$7,LenU,0)))^2*INDEX(LayoutF,MATCH(X32,LayoutU,0)),0))</f>
        <v>0</v>
      </c>
      <c r="AR32" s="27" t="n">
        <f aca="false">IF(ISNUMBER(O32),O32*INDEX(LenF,MATCH($O$7,LenU,0)),IF(ISNUMBER(V32),V32*INDEX(LenF,MATCH($V$7,LenU,0)),0))</f>
        <v>0</v>
      </c>
      <c r="AS32" s="27" t="str">
        <f aca="false">IF(ISNUMBER(L32),L32*INDEX(LenF,MATCH($L$7,LenU,0))*1000,IF(OR(J32="",K32=""),"",IFERROR(IF(INDEX(PipeWT,MATCH(J32,NPSU,0),MATCH(K32,SchU,0))="","Sch n/a",INDEX(PipeOD,MATCH(J32,NPSU,0))-2*INDEX(PipeWT,MATCH(J32,NPSU,0),MATCH(K32,SchU,0))),"")))</f>
        <v/>
      </c>
      <c r="AT32" s="27" t="n">
        <f aca="false">IF(ISNUMBER(AI32),AI32,IFERROR(INDEX(IF(CC_JobType="Decontamination",CC_TypeFillDC,CC_TypeFillCC),MATCH(E32,CC_TypeL,0)),1))</f>
        <v>1</v>
      </c>
      <c r="AU32" s="27" t="n">
        <v>1</v>
      </c>
    </row>
    <row r="33" customFormat="false" ht="15" hidden="false" customHeight="false" outlineLevel="0" collapsed="false">
      <c r="A33" s="36" t="n">
        <v>24</v>
      </c>
      <c r="B33" s="40"/>
      <c r="C33" s="32"/>
      <c r="D33" s="32"/>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1" t="str">
        <f aca="false">IF(E33="Exchanger",IF(AND(ISNUMBER(S33),ISNUMBER(U33),ISNUMBER(V33)),S33*PI()/4*(U33*INDEX(LenF,MATCH($U$7,LenU,0)))^2*V33*INDEX(LenF,MATCH($V$7,LenU,0)),0)+IF(ISNUMBER(Y33),PI()/4*(Y33*INDEX(LenF,MATCH($Y$7,LenU,0)))^2*N(Z33)*INDEX(LenF,MATCH($Z$7,LenU,0))+IF(AA33="",0,IF(AA33="Conical",PI()/12*(Y33*INDEX(LenF,MATCH($Y$7,LenU,0)))^2*(0),INDEX(HeadK,MATCH(AA33,HeadU,0))*(Y33*INDEX(LenF,MATCH($Y$7,LenU,0)))^3)),0)+IF(ISNUMBER(Y33),PI()/4*(Y33*INDEX(LenF,MATCH($Y$7,LenU,0)))^2*N(AB33)*INDEX(LenF,MATCH($AB$7,LenU,0))+IF(AC33="",0,IF(AC33="Conical",PI()/12*(Y33*INDEX(LenF,MATCH($Y$7,LenU,0)))^2*(0),INDEX(HeadK,MATCH(AC33,HeadU,0))*(Y33*INDEX(LenF,MATCH($Y$7,LenU,0)))^3)),0),"")</f>
        <v/>
      </c>
      <c r="AE33" s="41" t="str">
        <f aca="false">IF(OR(E33="",E33="Piping"),"",IF(E33="Exchanger",AQ33*AR33+IF(P33="",0,IF(P33="Conical",PI()/12*(SQRT(4*AQ33/PI()))^2*(0),INDEX(HeadK,MATCH(P33,HeadU,0))*(SQRT(4*AQ33/PI()))^3))-IF(AND(ISNUMBER(S33),ISNUMBER(V33)),S33*PI()/4*AP33^2*V33*INDEX(LenF,MATCH($V$7,LenU,0)),0),IF(ISNUMBER(N33),PI()/4*(N33*INDEX(LenF,MATCH($N$7,LenU,0)))^2*N(O33)*INDEX(LenF,MATCH($O$7,LenU,0))+IF(P33="",0,IF(P33="Conical",PI()/12*(N33*INDEX(LenF,MATCH($N$7,LenU,0)))^2*(N(R33)*INDEX(LenF,MATCH($R$7,LenU,0))),INDEX(HeadK,MATCH(P33,HeadU,0))*(N33*INDEX(LenF,MATCH($N$7,LenU,0)))^3))+IF(Q33="",0,IF(Q33="Conical",PI()/12*(N33*INDEX(LenF,MATCH($N$7,LenU,0)))^2*(N(R33)*INDEX(LenF,MATCH($R$7,LenU,0))),INDEX(HeadK,MATCH(Q33,HeadU,0))*(N33*INDEX(LenF,MATCH($N$7,LenU,0)))^3)),0)))</f>
        <v/>
      </c>
      <c r="AF33" s="41" t="str">
        <f aca="false">IF(E33&lt;&gt;"Piping","",IF(AND(ISNUMBER(AS33),ISNUMBER(M33)),PI()/4*(AS33/1000)^2*M33*INDEX(LenF,MATCH($M$7,LenU,0)),0))</f>
        <v/>
      </c>
      <c r="AG33" s="41" t="str">
        <f aca="false">IF(E33="","",N(AD33)+N(AE33)+N(AF33))</f>
        <v/>
      </c>
      <c r="AH33" s="41" t="str">
        <f aca="false">IF(ISNUMBER(I33),I33*INDEX(WtF,MATCH($I$7,WtU,0))/CC_WaterRho,"")</f>
        <v/>
      </c>
      <c r="AI33" s="31"/>
      <c r="AJ33" s="31"/>
      <c r="AK33" s="40"/>
      <c r="AL33" s="31"/>
      <c r="AM33" s="41" t="str">
        <f aca="false">IF(AO33="","",AO33*IF(ISNUMBER(AK33),AK33,CC_DefFills)*(1+IF(ISNUMBER(AL33),AL33,CC_DefAllow)))</f>
        <v/>
      </c>
      <c r="AN33" s="42" t="str">
        <f aca="false">IF(G33="Given volume",IF(ISNUMBER(H33),H33*INDEX(VolF,MATCH($H$7,VolU,0)),""),IF(G33="Water weight",AH33,IF(N(AG33)=0,"",AG33)))</f>
        <v/>
      </c>
      <c r="AO33" s="42" t="str">
        <f aca="false">IF(N(AN33)=0,"",AN33*AT33*IF(ISNUMBER(AJ33),AJ33,CC_DefCirc))</f>
        <v/>
      </c>
      <c r="AP33" s="27" t="n">
        <f aca="false">IF(ISNUMBER(T33),T33*INDEX(LenF,MATCH($T$7,LenU,0)),IF(ISNUMBER(W33),W33*INDEX(LenF,MATCH($W$7,LenU,0))/CC_PitchRatio,0))</f>
        <v>0</v>
      </c>
      <c r="AQ33" s="27" t="n">
        <f aca="false">IF(ISNUMBER(N33),PI()/4*(N33*INDEX(LenF,MATCH($N$7,LenU,0)))^2,IF(AND(ISNUMBER(S33),ISNUMBER(W33),X33&lt;&gt;""),S33*(W33*INDEX(LenF,MATCH($W$7,LenU,0)))^2*INDEX(LayoutF,MATCH(X33,LayoutU,0)),0))</f>
        <v>0</v>
      </c>
      <c r="AR33" s="27" t="n">
        <f aca="false">IF(ISNUMBER(O33),O33*INDEX(LenF,MATCH($O$7,LenU,0)),IF(ISNUMBER(V33),V33*INDEX(LenF,MATCH($V$7,LenU,0)),0))</f>
        <v>0</v>
      </c>
      <c r="AS33" s="27" t="str">
        <f aca="false">IF(ISNUMBER(L33),L33*INDEX(LenF,MATCH($L$7,LenU,0))*1000,IF(OR(J33="",K33=""),"",IFERROR(IF(INDEX(PipeWT,MATCH(J33,NPSU,0),MATCH(K33,SchU,0))="","Sch n/a",INDEX(PipeOD,MATCH(J33,NPSU,0))-2*INDEX(PipeWT,MATCH(J33,NPSU,0),MATCH(K33,SchU,0))),"")))</f>
        <v/>
      </c>
      <c r="AT33" s="27" t="n">
        <f aca="false">IF(ISNUMBER(AI33),AI33,IFERROR(INDEX(IF(CC_JobType="Decontamination",CC_TypeFillDC,CC_TypeFillCC),MATCH(E33,CC_TypeL,0)),1))</f>
        <v>1</v>
      </c>
      <c r="AU33" s="27" t="n">
        <v>1</v>
      </c>
    </row>
    <row r="34" customFormat="false" ht="15" hidden="false" customHeight="false" outlineLevel="0" collapsed="false">
      <c r="A34" s="36" t="n">
        <v>25</v>
      </c>
      <c r="B34" s="40"/>
      <c r="C34" s="32"/>
      <c r="D34" s="32"/>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1" t="str">
        <f aca="false">IF(E34="Exchanger",IF(AND(ISNUMBER(S34),ISNUMBER(U34),ISNUMBER(V34)),S34*PI()/4*(U34*INDEX(LenF,MATCH($U$7,LenU,0)))^2*V34*INDEX(LenF,MATCH($V$7,LenU,0)),0)+IF(ISNUMBER(Y34),PI()/4*(Y34*INDEX(LenF,MATCH($Y$7,LenU,0)))^2*N(Z34)*INDEX(LenF,MATCH($Z$7,LenU,0))+IF(AA34="",0,IF(AA34="Conical",PI()/12*(Y34*INDEX(LenF,MATCH($Y$7,LenU,0)))^2*(0),INDEX(HeadK,MATCH(AA34,HeadU,0))*(Y34*INDEX(LenF,MATCH($Y$7,LenU,0)))^3)),0)+IF(ISNUMBER(Y34),PI()/4*(Y34*INDEX(LenF,MATCH($Y$7,LenU,0)))^2*N(AB34)*INDEX(LenF,MATCH($AB$7,LenU,0))+IF(AC34="",0,IF(AC34="Conical",PI()/12*(Y34*INDEX(LenF,MATCH($Y$7,LenU,0)))^2*(0),INDEX(HeadK,MATCH(AC34,HeadU,0))*(Y34*INDEX(LenF,MATCH($Y$7,LenU,0)))^3)),0),"")</f>
        <v/>
      </c>
      <c r="AE34" s="41" t="str">
        <f aca="false">IF(OR(E34="",E34="Piping"),"",IF(E34="Exchanger",AQ34*AR34+IF(P34="",0,IF(P34="Conical",PI()/12*(SQRT(4*AQ34/PI()))^2*(0),INDEX(HeadK,MATCH(P34,HeadU,0))*(SQRT(4*AQ34/PI()))^3))-IF(AND(ISNUMBER(S34),ISNUMBER(V34)),S34*PI()/4*AP34^2*V34*INDEX(LenF,MATCH($V$7,LenU,0)),0),IF(ISNUMBER(N34),PI()/4*(N34*INDEX(LenF,MATCH($N$7,LenU,0)))^2*N(O34)*INDEX(LenF,MATCH($O$7,LenU,0))+IF(P34="",0,IF(P34="Conical",PI()/12*(N34*INDEX(LenF,MATCH($N$7,LenU,0)))^2*(N(R34)*INDEX(LenF,MATCH($R$7,LenU,0))),INDEX(HeadK,MATCH(P34,HeadU,0))*(N34*INDEX(LenF,MATCH($N$7,LenU,0)))^3))+IF(Q34="",0,IF(Q34="Conical",PI()/12*(N34*INDEX(LenF,MATCH($N$7,LenU,0)))^2*(N(R34)*INDEX(LenF,MATCH($R$7,LenU,0))),INDEX(HeadK,MATCH(Q34,HeadU,0))*(N34*INDEX(LenF,MATCH($N$7,LenU,0)))^3)),0)))</f>
        <v/>
      </c>
      <c r="AF34" s="41" t="str">
        <f aca="false">IF(E34&lt;&gt;"Piping","",IF(AND(ISNUMBER(AS34),ISNUMBER(M34)),PI()/4*(AS34/1000)^2*M34*INDEX(LenF,MATCH($M$7,LenU,0)),0))</f>
        <v/>
      </c>
      <c r="AG34" s="41" t="str">
        <f aca="false">IF(E34="","",N(AD34)+N(AE34)+N(AF34))</f>
        <v/>
      </c>
      <c r="AH34" s="41" t="str">
        <f aca="false">IF(ISNUMBER(I34),I34*INDEX(WtF,MATCH($I$7,WtU,0))/CC_WaterRho,"")</f>
        <v/>
      </c>
      <c r="AI34" s="31"/>
      <c r="AJ34" s="31"/>
      <c r="AK34" s="40"/>
      <c r="AL34" s="31"/>
      <c r="AM34" s="41" t="str">
        <f aca="false">IF(AO34="","",AO34*IF(ISNUMBER(AK34),AK34,CC_DefFills)*(1+IF(ISNUMBER(AL34),AL34,CC_DefAllow)))</f>
        <v/>
      </c>
      <c r="AN34" s="42" t="str">
        <f aca="false">IF(G34="Given volume",IF(ISNUMBER(H34),H34*INDEX(VolF,MATCH($H$7,VolU,0)),""),IF(G34="Water weight",AH34,IF(N(AG34)=0,"",AG34)))</f>
        <v/>
      </c>
      <c r="AO34" s="42" t="str">
        <f aca="false">IF(N(AN34)=0,"",AN34*AT34*IF(ISNUMBER(AJ34),AJ34,CC_DefCirc))</f>
        <v/>
      </c>
      <c r="AP34" s="27" t="n">
        <f aca="false">IF(ISNUMBER(T34),T34*INDEX(LenF,MATCH($T$7,LenU,0)),IF(ISNUMBER(W34),W34*INDEX(LenF,MATCH($W$7,LenU,0))/CC_PitchRatio,0))</f>
        <v>0</v>
      </c>
      <c r="AQ34" s="27" t="n">
        <f aca="false">IF(ISNUMBER(N34),PI()/4*(N34*INDEX(LenF,MATCH($N$7,LenU,0)))^2,IF(AND(ISNUMBER(S34),ISNUMBER(W34),X34&lt;&gt;""),S34*(W34*INDEX(LenF,MATCH($W$7,LenU,0)))^2*INDEX(LayoutF,MATCH(X34,LayoutU,0)),0))</f>
        <v>0</v>
      </c>
      <c r="AR34" s="27" t="n">
        <f aca="false">IF(ISNUMBER(O34),O34*INDEX(LenF,MATCH($O$7,LenU,0)),IF(ISNUMBER(V34),V34*INDEX(LenF,MATCH($V$7,LenU,0)),0))</f>
        <v>0</v>
      </c>
      <c r="AS34" s="27" t="str">
        <f aca="false">IF(ISNUMBER(L34),L34*INDEX(LenF,MATCH($L$7,LenU,0))*1000,IF(OR(J34="",K34=""),"",IFERROR(IF(INDEX(PipeWT,MATCH(J34,NPSU,0),MATCH(K34,SchU,0))="","Sch n/a",INDEX(PipeOD,MATCH(J34,NPSU,0))-2*INDEX(PipeWT,MATCH(J34,NPSU,0),MATCH(K34,SchU,0))),"")))</f>
        <v/>
      </c>
      <c r="AT34" s="27" t="n">
        <f aca="false">IF(ISNUMBER(AI34),AI34,IFERROR(INDEX(IF(CC_JobType="Decontamination",CC_TypeFillDC,CC_TypeFillCC),MATCH(E34,CC_TypeL,0)),1))</f>
        <v>1</v>
      </c>
      <c r="AU34" s="27" t="n">
        <v>1</v>
      </c>
    </row>
    <row r="35" customFormat="false" ht="15" hidden="false" customHeight="false" outlineLevel="0" collapsed="false">
      <c r="A35" s="36" t="n">
        <v>26</v>
      </c>
      <c r="B35" s="40"/>
      <c r="C35" s="32"/>
      <c r="D35" s="32"/>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1" t="str">
        <f aca="false">IF(E35="Exchanger",IF(AND(ISNUMBER(S35),ISNUMBER(U35),ISNUMBER(V35)),S35*PI()/4*(U35*INDEX(LenF,MATCH($U$7,LenU,0)))^2*V35*INDEX(LenF,MATCH($V$7,LenU,0)),0)+IF(ISNUMBER(Y35),PI()/4*(Y35*INDEX(LenF,MATCH($Y$7,LenU,0)))^2*N(Z35)*INDEX(LenF,MATCH($Z$7,LenU,0))+IF(AA35="",0,IF(AA35="Conical",PI()/12*(Y35*INDEX(LenF,MATCH($Y$7,LenU,0)))^2*(0),INDEX(HeadK,MATCH(AA35,HeadU,0))*(Y35*INDEX(LenF,MATCH($Y$7,LenU,0)))^3)),0)+IF(ISNUMBER(Y35),PI()/4*(Y35*INDEX(LenF,MATCH($Y$7,LenU,0)))^2*N(AB35)*INDEX(LenF,MATCH($AB$7,LenU,0))+IF(AC35="",0,IF(AC35="Conical",PI()/12*(Y35*INDEX(LenF,MATCH($Y$7,LenU,0)))^2*(0),INDEX(HeadK,MATCH(AC35,HeadU,0))*(Y35*INDEX(LenF,MATCH($Y$7,LenU,0)))^3)),0),"")</f>
        <v/>
      </c>
      <c r="AE35" s="41" t="str">
        <f aca="false">IF(OR(E35="",E35="Piping"),"",IF(E35="Exchanger",AQ35*AR35+IF(P35="",0,IF(P35="Conical",PI()/12*(SQRT(4*AQ35/PI()))^2*(0),INDEX(HeadK,MATCH(P35,HeadU,0))*(SQRT(4*AQ35/PI()))^3))-IF(AND(ISNUMBER(S35),ISNUMBER(V35)),S35*PI()/4*AP35^2*V35*INDEX(LenF,MATCH($V$7,LenU,0)),0),IF(ISNUMBER(N35),PI()/4*(N35*INDEX(LenF,MATCH($N$7,LenU,0)))^2*N(O35)*INDEX(LenF,MATCH($O$7,LenU,0))+IF(P35="",0,IF(P35="Conical",PI()/12*(N35*INDEX(LenF,MATCH($N$7,LenU,0)))^2*(N(R35)*INDEX(LenF,MATCH($R$7,LenU,0))),INDEX(HeadK,MATCH(P35,HeadU,0))*(N35*INDEX(LenF,MATCH($N$7,LenU,0)))^3))+IF(Q35="",0,IF(Q35="Conical",PI()/12*(N35*INDEX(LenF,MATCH($N$7,LenU,0)))^2*(N(R35)*INDEX(LenF,MATCH($R$7,LenU,0))),INDEX(HeadK,MATCH(Q35,HeadU,0))*(N35*INDEX(LenF,MATCH($N$7,LenU,0)))^3)),0)))</f>
        <v/>
      </c>
      <c r="AF35" s="41" t="str">
        <f aca="false">IF(E35&lt;&gt;"Piping","",IF(AND(ISNUMBER(AS35),ISNUMBER(M35)),PI()/4*(AS35/1000)^2*M35*INDEX(LenF,MATCH($M$7,LenU,0)),0))</f>
        <v/>
      </c>
      <c r="AG35" s="41" t="str">
        <f aca="false">IF(E35="","",N(AD35)+N(AE35)+N(AF35))</f>
        <v/>
      </c>
      <c r="AH35" s="41" t="str">
        <f aca="false">IF(ISNUMBER(I35),I35*INDEX(WtF,MATCH($I$7,WtU,0))/CC_WaterRho,"")</f>
        <v/>
      </c>
      <c r="AI35" s="31"/>
      <c r="AJ35" s="31"/>
      <c r="AK35" s="40"/>
      <c r="AL35" s="31"/>
      <c r="AM35" s="41" t="str">
        <f aca="false">IF(AO35="","",AO35*IF(ISNUMBER(AK35),AK35,CC_DefFills)*(1+IF(ISNUMBER(AL35),AL35,CC_DefAllow)))</f>
        <v/>
      </c>
      <c r="AN35" s="42" t="str">
        <f aca="false">IF(G35="Given volume",IF(ISNUMBER(H35),H35*INDEX(VolF,MATCH($H$7,VolU,0)),""),IF(G35="Water weight",AH35,IF(N(AG35)=0,"",AG35)))</f>
        <v/>
      </c>
      <c r="AO35" s="42" t="str">
        <f aca="false">IF(N(AN35)=0,"",AN35*AT35*IF(ISNUMBER(AJ35),AJ35,CC_DefCirc))</f>
        <v/>
      </c>
      <c r="AP35" s="27" t="n">
        <f aca="false">IF(ISNUMBER(T35),T35*INDEX(LenF,MATCH($T$7,LenU,0)),IF(ISNUMBER(W35),W35*INDEX(LenF,MATCH($W$7,LenU,0))/CC_PitchRatio,0))</f>
        <v>0</v>
      </c>
      <c r="AQ35" s="27" t="n">
        <f aca="false">IF(ISNUMBER(N35),PI()/4*(N35*INDEX(LenF,MATCH($N$7,LenU,0)))^2,IF(AND(ISNUMBER(S35),ISNUMBER(W35),X35&lt;&gt;""),S35*(W35*INDEX(LenF,MATCH($W$7,LenU,0)))^2*INDEX(LayoutF,MATCH(X35,LayoutU,0)),0))</f>
        <v>0</v>
      </c>
      <c r="AR35" s="27" t="n">
        <f aca="false">IF(ISNUMBER(O35),O35*INDEX(LenF,MATCH($O$7,LenU,0)),IF(ISNUMBER(V35),V35*INDEX(LenF,MATCH($V$7,LenU,0)),0))</f>
        <v>0</v>
      </c>
      <c r="AS35" s="27" t="str">
        <f aca="false">IF(ISNUMBER(L35),L35*INDEX(LenF,MATCH($L$7,LenU,0))*1000,IF(OR(J35="",K35=""),"",IFERROR(IF(INDEX(PipeWT,MATCH(J35,NPSU,0),MATCH(K35,SchU,0))="","Sch n/a",INDEX(PipeOD,MATCH(J35,NPSU,0))-2*INDEX(PipeWT,MATCH(J35,NPSU,0),MATCH(K35,SchU,0))),"")))</f>
        <v/>
      </c>
      <c r="AT35" s="27" t="n">
        <f aca="false">IF(ISNUMBER(AI35),AI35,IFERROR(INDEX(IF(CC_JobType="Decontamination",CC_TypeFillDC,CC_TypeFillCC),MATCH(E35,CC_TypeL,0)),1))</f>
        <v>1</v>
      </c>
      <c r="AU35" s="27" t="n">
        <v>1</v>
      </c>
    </row>
    <row r="36" customFormat="false" ht="15" hidden="false" customHeight="false" outlineLevel="0" collapsed="false">
      <c r="A36" s="36" t="n">
        <v>27</v>
      </c>
      <c r="B36" s="40"/>
      <c r="C36" s="32"/>
      <c r="D36" s="32"/>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1" t="str">
        <f aca="false">IF(E36="Exchanger",IF(AND(ISNUMBER(S36),ISNUMBER(U36),ISNUMBER(V36)),S36*PI()/4*(U36*INDEX(LenF,MATCH($U$7,LenU,0)))^2*V36*INDEX(LenF,MATCH($V$7,LenU,0)),0)+IF(ISNUMBER(Y36),PI()/4*(Y36*INDEX(LenF,MATCH($Y$7,LenU,0)))^2*N(Z36)*INDEX(LenF,MATCH($Z$7,LenU,0))+IF(AA36="",0,IF(AA36="Conical",PI()/12*(Y36*INDEX(LenF,MATCH($Y$7,LenU,0)))^2*(0),INDEX(HeadK,MATCH(AA36,HeadU,0))*(Y36*INDEX(LenF,MATCH($Y$7,LenU,0)))^3)),0)+IF(ISNUMBER(Y36),PI()/4*(Y36*INDEX(LenF,MATCH($Y$7,LenU,0)))^2*N(AB36)*INDEX(LenF,MATCH($AB$7,LenU,0))+IF(AC36="",0,IF(AC36="Conical",PI()/12*(Y36*INDEX(LenF,MATCH($Y$7,LenU,0)))^2*(0),INDEX(HeadK,MATCH(AC36,HeadU,0))*(Y36*INDEX(LenF,MATCH($Y$7,LenU,0)))^3)),0),"")</f>
        <v/>
      </c>
      <c r="AE36" s="41" t="str">
        <f aca="false">IF(OR(E36="",E36="Piping"),"",IF(E36="Exchanger",AQ36*AR36+IF(P36="",0,IF(P36="Conical",PI()/12*(SQRT(4*AQ36/PI()))^2*(0),INDEX(HeadK,MATCH(P36,HeadU,0))*(SQRT(4*AQ36/PI()))^3))-IF(AND(ISNUMBER(S36),ISNUMBER(V36)),S36*PI()/4*AP36^2*V36*INDEX(LenF,MATCH($V$7,LenU,0)),0),IF(ISNUMBER(N36),PI()/4*(N36*INDEX(LenF,MATCH($N$7,LenU,0)))^2*N(O36)*INDEX(LenF,MATCH($O$7,LenU,0))+IF(P36="",0,IF(P36="Conical",PI()/12*(N36*INDEX(LenF,MATCH($N$7,LenU,0)))^2*(N(R36)*INDEX(LenF,MATCH($R$7,LenU,0))),INDEX(HeadK,MATCH(P36,HeadU,0))*(N36*INDEX(LenF,MATCH($N$7,LenU,0)))^3))+IF(Q36="",0,IF(Q36="Conical",PI()/12*(N36*INDEX(LenF,MATCH($N$7,LenU,0)))^2*(N(R36)*INDEX(LenF,MATCH($R$7,LenU,0))),INDEX(HeadK,MATCH(Q36,HeadU,0))*(N36*INDEX(LenF,MATCH($N$7,LenU,0)))^3)),0)))</f>
        <v/>
      </c>
      <c r="AF36" s="41" t="str">
        <f aca="false">IF(E36&lt;&gt;"Piping","",IF(AND(ISNUMBER(AS36),ISNUMBER(M36)),PI()/4*(AS36/1000)^2*M36*INDEX(LenF,MATCH($M$7,LenU,0)),0))</f>
        <v/>
      </c>
      <c r="AG36" s="41" t="str">
        <f aca="false">IF(E36="","",N(AD36)+N(AE36)+N(AF36))</f>
        <v/>
      </c>
      <c r="AH36" s="41" t="str">
        <f aca="false">IF(ISNUMBER(I36),I36*INDEX(WtF,MATCH($I$7,WtU,0))/CC_WaterRho,"")</f>
        <v/>
      </c>
      <c r="AI36" s="31"/>
      <c r="AJ36" s="31"/>
      <c r="AK36" s="40"/>
      <c r="AL36" s="31"/>
      <c r="AM36" s="41" t="str">
        <f aca="false">IF(AO36="","",AO36*IF(ISNUMBER(AK36),AK36,CC_DefFills)*(1+IF(ISNUMBER(AL36),AL36,CC_DefAllow)))</f>
        <v/>
      </c>
      <c r="AN36" s="42" t="str">
        <f aca="false">IF(G36="Given volume",IF(ISNUMBER(H36),H36*INDEX(VolF,MATCH($H$7,VolU,0)),""),IF(G36="Water weight",AH36,IF(N(AG36)=0,"",AG36)))</f>
        <v/>
      </c>
      <c r="AO36" s="42" t="str">
        <f aca="false">IF(N(AN36)=0,"",AN36*AT36*IF(ISNUMBER(AJ36),AJ36,CC_DefCirc))</f>
        <v/>
      </c>
      <c r="AP36" s="27" t="n">
        <f aca="false">IF(ISNUMBER(T36),T36*INDEX(LenF,MATCH($T$7,LenU,0)),IF(ISNUMBER(W36),W36*INDEX(LenF,MATCH($W$7,LenU,0))/CC_PitchRatio,0))</f>
        <v>0</v>
      </c>
      <c r="AQ36" s="27" t="n">
        <f aca="false">IF(ISNUMBER(N36),PI()/4*(N36*INDEX(LenF,MATCH($N$7,LenU,0)))^2,IF(AND(ISNUMBER(S36),ISNUMBER(W36),X36&lt;&gt;""),S36*(W36*INDEX(LenF,MATCH($W$7,LenU,0)))^2*INDEX(LayoutF,MATCH(X36,LayoutU,0)),0))</f>
        <v>0</v>
      </c>
      <c r="AR36" s="27" t="n">
        <f aca="false">IF(ISNUMBER(O36),O36*INDEX(LenF,MATCH($O$7,LenU,0)),IF(ISNUMBER(V36),V36*INDEX(LenF,MATCH($V$7,LenU,0)),0))</f>
        <v>0</v>
      </c>
      <c r="AS36" s="27" t="str">
        <f aca="false">IF(ISNUMBER(L36),L36*INDEX(LenF,MATCH($L$7,LenU,0))*1000,IF(OR(J36="",K36=""),"",IFERROR(IF(INDEX(PipeWT,MATCH(J36,NPSU,0),MATCH(K36,SchU,0))="","Sch n/a",INDEX(PipeOD,MATCH(J36,NPSU,0))-2*INDEX(PipeWT,MATCH(J36,NPSU,0),MATCH(K36,SchU,0))),"")))</f>
        <v/>
      </c>
      <c r="AT36" s="27" t="n">
        <f aca="false">IF(ISNUMBER(AI36),AI36,IFERROR(INDEX(IF(CC_JobType="Decontamination",CC_TypeFillDC,CC_TypeFillCC),MATCH(E36,CC_TypeL,0)),1))</f>
        <v>1</v>
      </c>
      <c r="AU36" s="27" t="n">
        <v>1</v>
      </c>
    </row>
    <row r="37" customFormat="false" ht="15" hidden="false" customHeight="false" outlineLevel="0" collapsed="false">
      <c r="A37" s="36" t="n">
        <v>28</v>
      </c>
      <c r="B37" s="40"/>
      <c r="C37" s="32"/>
      <c r="D37" s="32"/>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1" t="str">
        <f aca="false">IF(E37="Exchanger",IF(AND(ISNUMBER(S37),ISNUMBER(U37),ISNUMBER(V37)),S37*PI()/4*(U37*INDEX(LenF,MATCH($U$7,LenU,0)))^2*V37*INDEX(LenF,MATCH($V$7,LenU,0)),0)+IF(ISNUMBER(Y37),PI()/4*(Y37*INDEX(LenF,MATCH($Y$7,LenU,0)))^2*N(Z37)*INDEX(LenF,MATCH($Z$7,LenU,0))+IF(AA37="",0,IF(AA37="Conical",PI()/12*(Y37*INDEX(LenF,MATCH($Y$7,LenU,0)))^2*(0),INDEX(HeadK,MATCH(AA37,HeadU,0))*(Y37*INDEX(LenF,MATCH($Y$7,LenU,0)))^3)),0)+IF(ISNUMBER(Y37),PI()/4*(Y37*INDEX(LenF,MATCH($Y$7,LenU,0)))^2*N(AB37)*INDEX(LenF,MATCH($AB$7,LenU,0))+IF(AC37="",0,IF(AC37="Conical",PI()/12*(Y37*INDEX(LenF,MATCH($Y$7,LenU,0)))^2*(0),INDEX(HeadK,MATCH(AC37,HeadU,0))*(Y37*INDEX(LenF,MATCH($Y$7,LenU,0)))^3)),0),"")</f>
        <v/>
      </c>
      <c r="AE37" s="41" t="str">
        <f aca="false">IF(OR(E37="",E37="Piping"),"",IF(E37="Exchanger",AQ37*AR37+IF(P37="",0,IF(P37="Conical",PI()/12*(SQRT(4*AQ37/PI()))^2*(0),INDEX(HeadK,MATCH(P37,HeadU,0))*(SQRT(4*AQ37/PI()))^3))-IF(AND(ISNUMBER(S37),ISNUMBER(V37)),S37*PI()/4*AP37^2*V37*INDEX(LenF,MATCH($V$7,LenU,0)),0),IF(ISNUMBER(N37),PI()/4*(N37*INDEX(LenF,MATCH($N$7,LenU,0)))^2*N(O37)*INDEX(LenF,MATCH($O$7,LenU,0))+IF(P37="",0,IF(P37="Conical",PI()/12*(N37*INDEX(LenF,MATCH($N$7,LenU,0)))^2*(N(R37)*INDEX(LenF,MATCH($R$7,LenU,0))),INDEX(HeadK,MATCH(P37,HeadU,0))*(N37*INDEX(LenF,MATCH($N$7,LenU,0)))^3))+IF(Q37="",0,IF(Q37="Conical",PI()/12*(N37*INDEX(LenF,MATCH($N$7,LenU,0)))^2*(N(R37)*INDEX(LenF,MATCH($R$7,LenU,0))),INDEX(HeadK,MATCH(Q37,HeadU,0))*(N37*INDEX(LenF,MATCH($N$7,LenU,0)))^3)),0)))</f>
        <v/>
      </c>
      <c r="AF37" s="41" t="str">
        <f aca="false">IF(E37&lt;&gt;"Piping","",IF(AND(ISNUMBER(AS37),ISNUMBER(M37)),PI()/4*(AS37/1000)^2*M37*INDEX(LenF,MATCH($M$7,LenU,0)),0))</f>
        <v/>
      </c>
      <c r="AG37" s="41" t="str">
        <f aca="false">IF(E37="","",N(AD37)+N(AE37)+N(AF37))</f>
        <v/>
      </c>
      <c r="AH37" s="41" t="str">
        <f aca="false">IF(ISNUMBER(I37),I37*INDEX(WtF,MATCH($I$7,WtU,0))/CC_WaterRho,"")</f>
        <v/>
      </c>
      <c r="AI37" s="31"/>
      <c r="AJ37" s="31"/>
      <c r="AK37" s="40"/>
      <c r="AL37" s="31"/>
      <c r="AM37" s="41" t="str">
        <f aca="false">IF(AO37="","",AO37*IF(ISNUMBER(AK37),AK37,CC_DefFills)*(1+IF(ISNUMBER(AL37),AL37,CC_DefAllow)))</f>
        <v/>
      </c>
      <c r="AN37" s="42" t="str">
        <f aca="false">IF(G37="Given volume",IF(ISNUMBER(H37),H37*INDEX(VolF,MATCH($H$7,VolU,0)),""),IF(G37="Water weight",AH37,IF(N(AG37)=0,"",AG37)))</f>
        <v/>
      </c>
      <c r="AO37" s="42" t="str">
        <f aca="false">IF(N(AN37)=0,"",AN37*AT37*IF(ISNUMBER(AJ37),AJ37,CC_DefCirc))</f>
        <v/>
      </c>
      <c r="AP37" s="27" t="n">
        <f aca="false">IF(ISNUMBER(T37),T37*INDEX(LenF,MATCH($T$7,LenU,0)),IF(ISNUMBER(W37),W37*INDEX(LenF,MATCH($W$7,LenU,0))/CC_PitchRatio,0))</f>
        <v>0</v>
      </c>
      <c r="AQ37" s="27" t="n">
        <f aca="false">IF(ISNUMBER(N37),PI()/4*(N37*INDEX(LenF,MATCH($N$7,LenU,0)))^2,IF(AND(ISNUMBER(S37),ISNUMBER(W37),X37&lt;&gt;""),S37*(W37*INDEX(LenF,MATCH($W$7,LenU,0)))^2*INDEX(LayoutF,MATCH(X37,LayoutU,0)),0))</f>
        <v>0</v>
      </c>
      <c r="AR37" s="27" t="n">
        <f aca="false">IF(ISNUMBER(O37),O37*INDEX(LenF,MATCH($O$7,LenU,0)),IF(ISNUMBER(V37),V37*INDEX(LenF,MATCH($V$7,LenU,0)),0))</f>
        <v>0</v>
      </c>
      <c r="AS37" s="27" t="str">
        <f aca="false">IF(ISNUMBER(L37),L37*INDEX(LenF,MATCH($L$7,LenU,0))*1000,IF(OR(J37="",K37=""),"",IFERROR(IF(INDEX(PipeWT,MATCH(J37,NPSU,0),MATCH(K37,SchU,0))="","Sch n/a",INDEX(PipeOD,MATCH(J37,NPSU,0))-2*INDEX(PipeWT,MATCH(J37,NPSU,0),MATCH(K37,SchU,0))),"")))</f>
        <v/>
      </c>
      <c r="AT37" s="27" t="n">
        <f aca="false">IF(ISNUMBER(AI37),AI37,IFERROR(INDEX(IF(CC_JobType="Decontamination",CC_TypeFillDC,CC_TypeFillCC),MATCH(E37,CC_TypeL,0)),1))</f>
        <v>1</v>
      </c>
      <c r="AU37" s="27" t="n">
        <v>1</v>
      </c>
    </row>
    <row r="38" customFormat="false" ht="15" hidden="false" customHeight="false" outlineLevel="0" collapsed="false">
      <c r="A38" s="36" t="n">
        <v>29</v>
      </c>
      <c r="B38" s="40"/>
      <c r="C38" s="32"/>
      <c r="D38" s="32"/>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1" t="str">
        <f aca="false">IF(E38="Exchanger",IF(AND(ISNUMBER(S38),ISNUMBER(U38),ISNUMBER(V38)),S38*PI()/4*(U38*INDEX(LenF,MATCH($U$7,LenU,0)))^2*V38*INDEX(LenF,MATCH($V$7,LenU,0)),0)+IF(ISNUMBER(Y38),PI()/4*(Y38*INDEX(LenF,MATCH($Y$7,LenU,0)))^2*N(Z38)*INDEX(LenF,MATCH($Z$7,LenU,0))+IF(AA38="",0,IF(AA38="Conical",PI()/12*(Y38*INDEX(LenF,MATCH($Y$7,LenU,0)))^2*(0),INDEX(HeadK,MATCH(AA38,HeadU,0))*(Y38*INDEX(LenF,MATCH($Y$7,LenU,0)))^3)),0)+IF(ISNUMBER(Y38),PI()/4*(Y38*INDEX(LenF,MATCH($Y$7,LenU,0)))^2*N(AB38)*INDEX(LenF,MATCH($AB$7,LenU,0))+IF(AC38="",0,IF(AC38="Conical",PI()/12*(Y38*INDEX(LenF,MATCH($Y$7,LenU,0)))^2*(0),INDEX(HeadK,MATCH(AC38,HeadU,0))*(Y38*INDEX(LenF,MATCH($Y$7,LenU,0)))^3)),0),"")</f>
        <v/>
      </c>
      <c r="AE38" s="41" t="str">
        <f aca="false">IF(OR(E38="",E38="Piping"),"",IF(E38="Exchanger",AQ38*AR38+IF(P38="",0,IF(P38="Conical",PI()/12*(SQRT(4*AQ38/PI()))^2*(0),INDEX(HeadK,MATCH(P38,HeadU,0))*(SQRT(4*AQ38/PI()))^3))-IF(AND(ISNUMBER(S38),ISNUMBER(V38)),S38*PI()/4*AP38^2*V38*INDEX(LenF,MATCH($V$7,LenU,0)),0),IF(ISNUMBER(N38),PI()/4*(N38*INDEX(LenF,MATCH($N$7,LenU,0)))^2*N(O38)*INDEX(LenF,MATCH($O$7,LenU,0))+IF(P38="",0,IF(P38="Conical",PI()/12*(N38*INDEX(LenF,MATCH($N$7,LenU,0)))^2*(N(R38)*INDEX(LenF,MATCH($R$7,LenU,0))),INDEX(HeadK,MATCH(P38,HeadU,0))*(N38*INDEX(LenF,MATCH($N$7,LenU,0)))^3))+IF(Q38="",0,IF(Q38="Conical",PI()/12*(N38*INDEX(LenF,MATCH($N$7,LenU,0)))^2*(N(R38)*INDEX(LenF,MATCH($R$7,LenU,0))),INDEX(HeadK,MATCH(Q38,HeadU,0))*(N38*INDEX(LenF,MATCH($N$7,LenU,0)))^3)),0)))</f>
        <v/>
      </c>
      <c r="AF38" s="41" t="str">
        <f aca="false">IF(E38&lt;&gt;"Piping","",IF(AND(ISNUMBER(AS38),ISNUMBER(M38)),PI()/4*(AS38/1000)^2*M38*INDEX(LenF,MATCH($M$7,LenU,0)),0))</f>
        <v/>
      </c>
      <c r="AG38" s="41" t="str">
        <f aca="false">IF(E38="","",N(AD38)+N(AE38)+N(AF38))</f>
        <v/>
      </c>
      <c r="AH38" s="41" t="str">
        <f aca="false">IF(ISNUMBER(I38),I38*INDEX(WtF,MATCH($I$7,WtU,0))/CC_WaterRho,"")</f>
        <v/>
      </c>
      <c r="AI38" s="31"/>
      <c r="AJ38" s="31"/>
      <c r="AK38" s="40"/>
      <c r="AL38" s="31"/>
      <c r="AM38" s="41" t="str">
        <f aca="false">IF(AO38="","",AO38*IF(ISNUMBER(AK38),AK38,CC_DefFills)*(1+IF(ISNUMBER(AL38),AL38,CC_DefAllow)))</f>
        <v/>
      </c>
      <c r="AN38" s="42" t="str">
        <f aca="false">IF(G38="Given volume",IF(ISNUMBER(H38),H38*INDEX(VolF,MATCH($H$7,VolU,0)),""),IF(G38="Water weight",AH38,IF(N(AG38)=0,"",AG38)))</f>
        <v/>
      </c>
      <c r="AO38" s="42" t="str">
        <f aca="false">IF(N(AN38)=0,"",AN38*AT38*IF(ISNUMBER(AJ38),AJ38,CC_DefCirc))</f>
        <v/>
      </c>
      <c r="AP38" s="27" t="n">
        <f aca="false">IF(ISNUMBER(T38),T38*INDEX(LenF,MATCH($T$7,LenU,0)),IF(ISNUMBER(W38),W38*INDEX(LenF,MATCH($W$7,LenU,0))/CC_PitchRatio,0))</f>
        <v>0</v>
      </c>
      <c r="AQ38" s="27" t="n">
        <f aca="false">IF(ISNUMBER(N38),PI()/4*(N38*INDEX(LenF,MATCH($N$7,LenU,0)))^2,IF(AND(ISNUMBER(S38),ISNUMBER(W38),X38&lt;&gt;""),S38*(W38*INDEX(LenF,MATCH($W$7,LenU,0)))^2*INDEX(LayoutF,MATCH(X38,LayoutU,0)),0))</f>
        <v>0</v>
      </c>
      <c r="AR38" s="27" t="n">
        <f aca="false">IF(ISNUMBER(O38),O38*INDEX(LenF,MATCH($O$7,LenU,0)),IF(ISNUMBER(V38),V38*INDEX(LenF,MATCH($V$7,LenU,0)),0))</f>
        <v>0</v>
      </c>
      <c r="AS38" s="27" t="str">
        <f aca="false">IF(ISNUMBER(L38),L38*INDEX(LenF,MATCH($L$7,LenU,0))*1000,IF(OR(J38="",K38=""),"",IFERROR(IF(INDEX(PipeWT,MATCH(J38,NPSU,0),MATCH(K38,SchU,0))="","Sch n/a",INDEX(PipeOD,MATCH(J38,NPSU,0))-2*INDEX(PipeWT,MATCH(J38,NPSU,0),MATCH(K38,SchU,0))),"")))</f>
        <v/>
      </c>
      <c r="AT38" s="27" t="n">
        <f aca="false">IF(ISNUMBER(AI38),AI38,IFERROR(INDEX(IF(CC_JobType="Decontamination",CC_TypeFillDC,CC_TypeFillCC),MATCH(E38,CC_TypeL,0)),1))</f>
        <v>1</v>
      </c>
      <c r="AU38" s="27" t="n">
        <v>1</v>
      </c>
    </row>
    <row r="39" customFormat="false" ht="15" hidden="false" customHeight="false" outlineLevel="0" collapsed="false">
      <c r="A39" s="36" t="n">
        <v>30</v>
      </c>
      <c r="B39" s="40"/>
      <c r="C39" s="32"/>
      <c r="D39" s="32"/>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1" t="str">
        <f aca="false">IF(E39="Exchanger",IF(AND(ISNUMBER(S39),ISNUMBER(U39),ISNUMBER(V39)),S39*PI()/4*(U39*INDEX(LenF,MATCH($U$7,LenU,0)))^2*V39*INDEX(LenF,MATCH($V$7,LenU,0)),0)+IF(ISNUMBER(Y39),PI()/4*(Y39*INDEX(LenF,MATCH($Y$7,LenU,0)))^2*N(Z39)*INDEX(LenF,MATCH($Z$7,LenU,0))+IF(AA39="",0,IF(AA39="Conical",PI()/12*(Y39*INDEX(LenF,MATCH($Y$7,LenU,0)))^2*(0),INDEX(HeadK,MATCH(AA39,HeadU,0))*(Y39*INDEX(LenF,MATCH($Y$7,LenU,0)))^3)),0)+IF(ISNUMBER(Y39),PI()/4*(Y39*INDEX(LenF,MATCH($Y$7,LenU,0)))^2*N(AB39)*INDEX(LenF,MATCH($AB$7,LenU,0))+IF(AC39="",0,IF(AC39="Conical",PI()/12*(Y39*INDEX(LenF,MATCH($Y$7,LenU,0)))^2*(0),INDEX(HeadK,MATCH(AC39,HeadU,0))*(Y39*INDEX(LenF,MATCH($Y$7,LenU,0)))^3)),0),"")</f>
        <v/>
      </c>
      <c r="AE39" s="41" t="str">
        <f aca="false">IF(OR(E39="",E39="Piping"),"",IF(E39="Exchanger",AQ39*AR39+IF(P39="",0,IF(P39="Conical",PI()/12*(SQRT(4*AQ39/PI()))^2*(0),INDEX(HeadK,MATCH(P39,HeadU,0))*(SQRT(4*AQ39/PI()))^3))-IF(AND(ISNUMBER(S39),ISNUMBER(V39)),S39*PI()/4*AP39^2*V39*INDEX(LenF,MATCH($V$7,LenU,0)),0),IF(ISNUMBER(N39),PI()/4*(N39*INDEX(LenF,MATCH($N$7,LenU,0)))^2*N(O39)*INDEX(LenF,MATCH($O$7,LenU,0))+IF(P39="",0,IF(P39="Conical",PI()/12*(N39*INDEX(LenF,MATCH($N$7,LenU,0)))^2*(N(R39)*INDEX(LenF,MATCH($R$7,LenU,0))),INDEX(HeadK,MATCH(P39,HeadU,0))*(N39*INDEX(LenF,MATCH($N$7,LenU,0)))^3))+IF(Q39="",0,IF(Q39="Conical",PI()/12*(N39*INDEX(LenF,MATCH($N$7,LenU,0)))^2*(N(R39)*INDEX(LenF,MATCH($R$7,LenU,0))),INDEX(HeadK,MATCH(Q39,HeadU,0))*(N39*INDEX(LenF,MATCH($N$7,LenU,0)))^3)),0)))</f>
        <v/>
      </c>
      <c r="AF39" s="41" t="str">
        <f aca="false">IF(E39&lt;&gt;"Piping","",IF(AND(ISNUMBER(AS39),ISNUMBER(M39)),PI()/4*(AS39/1000)^2*M39*INDEX(LenF,MATCH($M$7,LenU,0)),0))</f>
        <v/>
      </c>
      <c r="AG39" s="41" t="str">
        <f aca="false">IF(E39="","",N(AD39)+N(AE39)+N(AF39))</f>
        <v/>
      </c>
      <c r="AH39" s="41" t="str">
        <f aca="false">IF(ISNUMBER(I39),I39*INDEX(WtF,MATCH($I$7,WtU,0))/CC_WaterRho,"")</f>
        <v/>
      </c>
      <c r="AI39" s="31"/>
      <c r="AJ39" s="31"/>
      <c r="AK39" s="40"/>
      <c r="AL39" s="31"/>
      <c r="AM39" s="41" t="str">
        <f aca="false">IF(AO39="","",AO39*IF(ISNUMBER(AK39),AK39,CC_DefFills)*(1+IF(ISNUMBER(AL39),AL39,CC_DefAllow)))</f>
        <v/>
      </c>
      <c r="AN39" s="42" t="str">
        <f aca="false">IF(G39="Given volume",IF(ISNUMBER(H39),H39*INDEX(VolF,MATCH($H$7,VolU,0)),""),IF(G39="Water weight",AH39,IF(N(AG39)=0,"",AG39)))</f>
        <v/>
      </c>
      <c r="AO39" s="42" t="str">
        <f aca="false">IF(N(AN39)=0,"",AN39*AT39*IF(ISNUMBER(AJ39),AJ39,CC_DefCirc))</f>
        <v/>
      </c>
      <c r="AP39" s="27" t="n">
        <f aca="false">IF(ISNUMBER(T39),T39*INDEX(LenF,MATCH($T$7,LenU,0)),IF(ISNUMBER(W39),W39*INDEX(LenF,MATCH($W$7,LenU,0))/CC_PitchRatio,0))</f>
        <v>0</v>
      </c>
      <c r="AQ39" s="27" t="n">
        <f aca="false">IF(ISNUMBER(N39),PI()/4*(N39*INDEX(LenF,MATCH($N$7,LenU,0)))^2,IF(AND(ISNUMBER(S39),ISNUMBER(W39),X39&lt;&gt;""),S39*(W39*INDEX(LenF,MATCH($W$7,LenU,0)))^2*INDEX(LayoutF,MATCH(X39,LayoutU,0)),0))</f>
        <v>0</v>
      </c>
      <c r="AR39" s="27" t="n">
        <f aca="false">IF(ISNUMBER(O39),O39*INDEX(LenF,MATCH($O$7,LenU,0)),IF(ISNUMBER(V39),V39*INDEX(LenF,MATCH($V$7,LenU,0)),0))</f>
        <v>0</v>
      </c>
      <c r="AS39" s="27" t="str">
        <f aca="false">IF(ISNUMBER(L39),L39*INDEX(LenF,MATCH($L$7,LenU,0))*1000,IF(OR(J39="",K39=""),"",IFERROR(IF(INDEX(PipeWT,MATCH(J39,NPSU,0),MATCH(K39,SchU,0))="","Sch n/a",INDEX(PipeOD,MATCH(J39,NPSU,0))-2*INDEX(PipeWT,MATCH(J39,NPSU,0),MATCH(K39,SchU,0))),"")))</f>
        <v/>
      </c>
      <c r="AT39" s="27" t="n">
        <f aca="false">IF(ISNUMBER(AI39),AI39,IFERROR(INDEX(IF(CC_JobType="Decontamination",CC_TypeFillDC,CC_TypeFillCC),MATCH(E39,CC_TypeL,0)),1))</f>
        <v>1</v>
      </c>
      <c r="AU39" s="27" t="n">
        <v>1</v>
      </c>
    </row>
    <row r="40" customFormat="false" ht="15" hidden="false" customHeight="false" outlineLevel="0" collapsed="false">
      <c r="A40" s="44" t="str">
        <f aca="false">"TOTAL – "&amp;INDEX(CC_UnitNames,1)</f>
        <v>TOTAL – Unit 1</v>
      </c>
      <c r="B40" s="44"/>
      <c r="C40" s="44"/>
      <c r="D40" s="44"/>
      <c r="E40" s="45"/>
      <c r="F40" s="45"/>
      <c r="G40" s="45"/>
      <c r="H40" s="45"/>
      <c r="I40" s="45"/>
      <c r="J40" s="45"/>
      <c r="K40" s="45"/>
      <c r="L40" s="45"/>
      <c r="M40" s="45"/>
      <c r="N40" s="45"/>
      <c r="O40" s="45"/>
      <c r="P40" s="45"/>
      <c r="Q40" s="45"/>
      <c r="R40" s="45"/>
      <c r="S40" s="46" t="str">
        <f aca="false">COUNT(AN10:AN39)&amp;" items"</f>
        <v>4 items</v>
      </c>
      <c r="T40" s="45"/>
      <c r="U40" s="45"/>
      <c r="V40" s="45"/>
      <c r="W40" s="45"/>
      <c r="X40" s="45"/>
      <c r="Y40" s="45"/>
      <c r="Z40" s="45"/>
      <c r="AA40" s="45"/>
      <c r="AB40" s="45"/>
      <c r="AC40" s="45"/>
      <c r="AD40" s="47" t="n">
        <f aca="false">SUM(AD10:AD39)</f>
        <v>1.11324521704842</v>
      </c>
      <c r="AE40" s="47" t="n">
        <f aca="false">SUM(AE10:AE39)</f>
        <v>23.0911299984655</v>
      </c>
      <c r="AF40" s="47" t="n">
        <f aca="false">SUM(AF10:AF39)</f>
        <v>2.23750320965139</v>
      </c>
      <c r="AG40" s="47" t="n">
        <f aca="false">SUM(AG10:AG39)</f>
        <v>26.4418784251653</v>
      </c>
      <c r="AH40" s="47" t="n">
        <f aca="false">SUM(AH10:AH39)</f>
        <v>0</v>
      </c>
      <c r="AI40" s="45"/>
      <c r="AJ40" s="45"/>
      <c r="AK40" s="45"/>
      <c r="AL40" s="45"/>
      <c r="AM40" s="47" t="n">
        <f aca="false">SUM(AM10:AM39)</f>
        <v>256.985612894041</v>
      </c>
      <c r="AN40" s="47" t="n">
        <f aca="false">SUM(AN10:AN39)</f>
        <v>53.5568784251653</v>
      </c>
      <c r="AO40" s="47" t="n">
        <f aca="false">SUM(AO10:AO39)</f>
        <v>41.1176980630466</v>
      </c>
    </row>
    <row r="42" customFormat="false" ht="15" hidden="false" customHeight="false" outlineLevel="0" collapsed="false">
      <c r="A42" s="38" t="str">
        <f aca="false">"UNIT 2:  "&amp;INDEX(CC_UnitNames,2)</f>
        <v>UNIT 2:  Unit 2</v>
      </c>
      <c r="B42" s="38"/>
      <c r="C42" s="38"/>
      <c r="D42" s="38"/>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customFormat="false" ht="15" hidden="false" customHeight="false" outlineLevel="0" collapsed="false">
      <c r="A43" s="36" t="n">
        <v>1</v>
      </c>
      <c r="B43" s="40"/>
      <c r="C43" s="32"/>
      <c r="D43" s="32"/>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1" t="str">
        <f aca="false">IF(E43="Exchanger",IF(AND(ISNUMBER(S43),ISNUMBER(U43),ISNUMBER(V43)),S43*PI()/4*(U43*INDEX(LenF,MATCH($U$7,LenU,0)))^2*V43*INDEX(LenF,MATCH($V$7,LenU,0)),0)+IF(ISNUMBER(Y43),PI()/4*(Y43*INDEX(LenF,MATCH($Y$7,LenU,0)))^2*N(Z43)*INDEX(LenF,MATCH($Z$7,LenU,0))+IF(AA43="",0,IF(AA43="Conical",PI()/12*(Y43*INDEX(LenF,MATCH($Y$7,LenU,0)))^2*(0),INDEX(HeadK,MATCH(AA43,HeadU,0))*(Y43*INDEX(LenF,MATCH($Y$7,LenU,0)))^3)),0)+IF(ISNUMBER(Y43),PI()/4*(Y43*INDEX(LenF,MATCH($Y$7,LenU,0)))^2*N(AB43)*INDEX(LenF,MATCH($AB$7,LenU,0))+IF(AC43="",0,IF(AC43="Conical",PI()/12*(Y43*INDEX(LenF,MATCH($Y$7,LenU,0)))^2*(0),INDEX(HeadK,MATCH(AC43,HeadU,0))*(Y43*INDEX(LenF,MATCH($Y$7,LenU,0)))^3)),0),"")</f>
        <v/>
      </c>
      <c r="AE43" s="41" t="str">
        <f aca="false">IF(OR(E43="",E43="Piping"),"",IF(E43="Exchanger",AQ43*AR43+IF(P43="",0,IF(P43="Conical",PI()/12*(SQRT(4*AQ43/PI()))^2*(0),INDEX(HeadK,MATCH(P43,HeadU,0))*(SQRT(4*AQ43/PI()))^3))-IF(AND(ISNUMBER(S43),ISNUMBER(V43)),S43*PI()/4*AP43^2*V43*INDEX(LenF,MATCH($V$7,LenU,0)),0),IF(ISNUMBER(N43),PI()/4*(N43*INDEX(LenF,MATCH($N$7,LenU,0)))^2*N(O43)*INDEX(LenF,MATCH($O$7,LenU,0))+IF(P43="",0,IF(P43="Conical",PI()/12*(N43*INDEX(LenF,MATCH($N$7,LenU,0)))^2*(N(R43)*INDEX(LenF,MATCH($R$7,LenU,0))),INDEX(HeadK,MATCH(P43,HeadU,0))*(N43*INDEX(LenF,MATCH($N$7,LenU,0)))^3))+IF(Q43="",0,IF(Q43="Conical",PI()/12*(N43*INDEX(LenF,MATCH($N$7,LenU,0)))^2*(N(R43)*INDEX(LenF,MATCH($R$7,LenU,0))),INDEX(HeadK,MATCH(Q43,HeadU,0))*(N43*INDEX(LenF,MATCH($N$7,LenU,0)))^3)),0)))</f>
        <v/>
      </c>
      <c r="AF43" s="41" t="str">
        <f aca="false">IF(E43&lt;&gt;"Piping","",IF(AND(ISNUMBER(AS43),ISNUMBER(M43)),PI()/4*(AS43/1000)^2*M43*INDEX(LenF,MATCH($M$7,LenU,0)),0))</f>
        <v/>
      </c>
      <c r="AG43" s="41" t="str">
        <f aca="false">IF(E43="","",N(AD43)+N(AE43)+N(AF43))</f>
        <v/>
      </c>
      <c r="AH43" s="41" t="str">
        <f aca="false">IF(ISNUMBER(I43),I43*INDEX(WtF,MATCH($I$7,WtU,0))/CC_WaterRho,"")</f>
        <v/>
      </c>
      <c r="AI43" s="31"/>
      <c r="AJ43" s="31"/>
      <c r="AK43" s="40"/>
      <c r="AL43" s="31"/>
      <c r="AM43" s="41" t="str">
        <f aca="false">IF(AO43="","",AO43*IF(ISNUMBER(AK43),AK43,CC_DefFills)*(1+IF(ISNUMBER(AL43),AL43,CC_DefAllow)))</f>
        <v/>
      </c>
      <c r="AN43" s="42" t="str">
        <f aca="false">IF(G43="Given volume",IF(ISNUMBER(H43),H43*INDEX(VolF,MATCH($H$7,VolU,0)),""),IF(G43="Water weight",AH43,IF(N(AG43)=0,"",AG43)))</f>
        <v/>
      </c>
      <c r="AO43" s="42" t="str">
        <f aca="false">IF(N(AN43)=0,"",AN43*AT43*IF(ISNUMBER(AJ43),AJ43,CC_DefCirc))</f>
        <v/>
      </c>
      <c r="AP43" s="27" t="n">
        <f aca="false">IF(ISNUMBER(T43),T43*INDEX(LenF,MATCH($T$7,LenU,0)),IF(ISNUMBER(W43),W43*INDEX(LenF,MATCH($W$7,LenU,0))/CC_PitchRatio,0))</f>
        <v>0</v>
      </c>
      <c r="AQ43" s="27" t="n">
        <f aca="false">IF(ISNUMBER(N43),PI()/4*(N43*INDEX(LenF,MATCH($N$7,LenU,0)))^2,IF(AND(ISNUMBER(S43),ISNUMBER(W43),X43&lt;&gt;""),S43*(W43*INDEX(LenF,MATCH($W$7,LenU,0)))^2*INDEX(LayoutF,MATCH(X43,LayoutU,0)),0))</f>
        <v>0</v>
      </c>
      <c r="AR43" s="27" t="n">
        <f aca="false">IF(ISNUMBER(O43),O43*INDEX(LenF,MATCH($O$7,LenU,0)),IF(ISNUMBER(V43),V43*INDEX(LenF,MATCH($V$7,LenU,0)),0))</f>
        <v>0</v>
      </c>
      <c r="AS43" s="27" t="str">
        <f aca="false">IF(ISNUMBER(L43),L43*INDEX(LenF,MATCH($L$7,LenU,0))*1000,IF(OR(J43="",K43=""),"",IFERROR(IF(INDEX(PipeWT,MATCH(J43,NPSU,0),MATCH(K43,SchU,0))="","Sch n/a",INDEX(PipeOD,MATCH(J43,NPSU,0))-2*INDEX(PipeWT,MATCH(J43,NPSU,0),MATCH(K43,SchU,0))),"")))</f>
        <v/>
      </c>
      <c r="AT43" s="27" t="n">
        <f aca="false">IF(ISNUMBER(AI43),AI43,IFERROR(INDEX(IF(CC_JobType="Decontamination",CC_TypeFillDC,CC_TypeFillCC),MATCH(E43,CC_TypeL,0)),1))</f>
        <v>1</v>
      </c>
      <c r="AU43" s="27" t="n">
        <v>2</v>
      </c>
    </row>
    <row r="44" customFormat="false" ht="15" hidden="false" customHeight="false" outlineLevel="0" collapsed="false">
      <c r="A44" s="36" t="n">
        <v>2</v>
      </c>
      <c r="B44" s="40"/>
      <c r="C44" s="32"/>
      <c r="D44" s="32"/>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1" t="str">
        <f aca="false">IF(E44="Exchanger",IF(AND(ISNUMBER(S44),ISNUMBER(U44),ISNUMBER(V44)),S44*PI()/4*(U44*INDEX(LenF,MATCH($U$7,LenU,0)))^2*V44*INDEX(LenF,MATCH($V$7,LenU,0)),0)+IF(ISNUMBER(Y44),PI()/4*(Y44*INDEX(LenF,MATCH($Y$7,LenU,0)))^2*N(Z44)*INDEX(LenF,MATCH($Z$7,LenU,0))+IF(AA44="",0,IF(AA44="Conical",PI()/12*(Y44*INDEX(LenF,MATCH($Y$7,LenU,0)))^2*(0),INDEX(HeadK,MATCH(AA44,HeadU,0))*(Y44*INDEX(LenF,MATCH($Y$7,LenU,0)))^3)),0)+IF(ISNUMBER(Y44),PI()/4*(Y44*INDEX(LenF,MATCH($Y$7,LenU,0)))^2*N(AB44)*INDEX(LenF,MATCH($AB$7,LenU,0))+IF(AC44="",0,IF(AC44="Conical",PI()/12*(Y44*INDEX(LenF,MATCH($Y$7,LenU,0)))^2*(0),INDEX(HeadK,MATCH(AC44,HeadU,0))*(Y44*INDEX(LenF,MATCH($Y$7,LenU,0)))^3)),0),"")</f>
        <v/>
      </c>
      <c r="AE44" s="41" t="str">
        <f aca="false">IF(OR(E44="",E44="Piping"),"",IF(E44="Exchanger",AQ44*AR44+IF(P44="",0,IF(P44="Conical",PI()/12*(SQRT(4*AQ44/PI()))^2*(0),INDEX(HeadK,MATCH(P44,HeadU,0))*(SQRT(4*AQ44/PI()))^3))-IF(AND(ISNUMBER(S44),ISNUMBER(V44)),S44*PI()/4*AP44^2*V44*INDEX(LenF,MATCH($V$7,LenU,0)),0),IF(ISNUMBER(N44),PI()/4*(N44*INDEX(LenF,MATCH($N$7,LenU,0)))^2*N(O44)*INDEX(LenF,MATCH($O$7,LenU,0))+IF(P44="",0,IF(P44="Conical",PI()/12*(N44*INDEX(LenF,MATCH($N$7,LenU,0)))^2*(N(R44)*INDEX(LenF,MATCH($R$7,LenU,0))),INDEX(HeadK,MATCH(P44,HeadU,0))*(N44*INDEX(LenF,MATCH($N$7,LenU,0)))^3))+IF(Q44="",0,IF(Q44="Conical",PI()/12*(N44*INDEX(LenF,MATCH($N$7,LenU,0)))^2*(N(R44)*INDEX(LenF,MATCH($R$7,LenU,0))),INDEX(HeadK,MATCH(Q44,HeadU,0))*(N44*INDEX(LenF,MATCH($N$7,LenU,0)))^3)),0)))</f>
        <v/>
      </c>
      <c r="AF44" s="41" t="str">
        <f aca="false">IF(E44&lt;&gt;"Piping","",IF(AND(ISNUMBER(AS44),ISNUMBER(M44)),PI()/4*(AS44/1000)^2*M44*INDEX(LenF,MATCH($M$7,LenU,0)),0))</f>
        <v/>
      </c>
      <c r="AG44" s="41" t="str">
        <f aca="false">IF(E44="","",N(AD44)+N(AE44)+N(AF44))</f>
        <v/>
      </c>
      <c r="AH44" s="41" t="str">
        <f aca="false">IF(ISNUMBER(I44),I44*INDEX(WtF,MATCH($I$7,WtU,0))/CC_WaterRho,"")</f>
        <v/>
      </c>
      <c r="AI44" s="31"/>
      <c r="AJ44" s="31"/>
      <c r="AK44" s="40"/>
      <c r="AL44" s="31"/>
      <c r="AM44" s="41" t="str">
        <f aca="false">IF(AO44="","",AO44*IF(ISNUMBER(AK44),AK44,CC_DefFills)*(1+IF(ISNUMBER(AL44),AL44,CC_DefAllow)))</f>
        <v/>
      </c>
      <c r="AN44" s="42" t="str">
        <f aca="false">IF(G44="Given volume",IF(ISNUMBER(H44),H44*INDEX(VolF,MATCH($H$7,VolU,0)),""),IF(G44="Water weight",AH44,IF(N(AG44)=0,"",AG44)))</f>
        <v/>
      </c>
      <c r="AO44" s="42" t="str">
        <f aca="false">IF(N(AN44)=0,"",AN44*AT44*IF(ISNUMBER(AJ44),AJ44,CC_DefCirc))</f>
        <v/>
      </c>
      <c r="AP44" s="27" t="n">
        <f aca="false">IF(ISNUMBER(T44),T44*INDEX(LenF,MATCH($T$7,LenU,0)),IF(ISNUMBER(W44),W44*INDEX(LenF,MATCH($W$7,LenU,0))/CC_PitchRatio,0))</f>
        <v>0</v>
      </c>
      <c r="AQ44" s="27" t="n">
        <f aca="false">IF(ISNUMBER(N44),PI()/4*(N44*INDEX(LenF,MATCH($N$7,LenU,0)))^2,IF(AND(ISNUMBER(S44),ISNUMBER(W44),X44&lt;&gt;""),S44*(W44*INDEX(LenF,MATCH($W$7,LenU,0)))^2*INDEX(LayoutF,MATCH(X44,LayoutU,0)),0))</f>
        <v>0</v>
      </c>
      <c r="AR44" s="27" t="n">
        <f aca="false">IF(ISNUMBER(O44),O44*INDEX(LenF,MATCH($O$7,LenU,0)),IF(ISNUMBER(V44),V44*INDEX(LenF,MATCH($V$7,LenU,0)),0))</f>
        <v>0</v>
      </c>
      <c r="AS44" s="27" t="str">
        <f aca="false">IF(ISNUMBER(L44),L44*INDEX(LenF,MATCH($L$7,LenU,0))*1000,IF(OR(J44="",K44=""),"",IFERROR(IF(INDEX(PipeWT,MATCH(J44,NPSU,0),MATCH(K44,SchU,0))="","Sch n/a",INDEX(PipeOD,MATCH(J44,NPSU,0))-2*INDEX(PipeWT,MATCH(J44,NPSU,0),MATCH(K44,SchU,0))),"")))</f>
        <v/>
      </c>
      <c r="AT44" s="27" t="n">
        <f aca="false">IF(ISNUMBER(AI44),AI44,IFERROR(INDEX(IF(CC_JobType="Decontamination",CC_TypeFillDC,CC_TypeFillCC),MATCH(E44,CC_TypeL,0)),1))</f>
        <v>1</v>
      </c>
      <c r="AU44" s="27" t="n">
        <v>2</v>
      </c>
    </row>
    <row r="45" customFormat="false" ht="15" hidden="false" customHeight="false" outlineLevel="0" collapsed="false">
      <c r="A45" s="36" t="n">
        <v>3</v>
      </c>
      <c r="B45" s="40"/>
      <c r="C45" s="32"/>
      <c r="D45" s="32"/>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1" t="str">
        <f aca="false">IF(E45="Exchanger",IF(AND(ISNUMBER(S45),ISNUMBER(U45),ISNUMBER(V45)),S45*PI()/4*(U45*INDEX(LenF,MATCH($U$7,LenU,0)))^2*V45*INDEX(LenF,MATCH($V$7,LenU,0)),0)+IF(ISNUMBER(Y45),PI()/4*(Y45*INDEX(LenF,MATCH($Y$7,LenU,0)))^2*N(Z45)*INDEX(LenF,MATCH($Z$7,LenU,0))+IF(AA45="",0,IF(AA45="Conical",PI()/12*(Y45*INDEX(LenF,MATCH($Y$7,LenU,0)))^2*(0),INDEX(HeadK,MATCH(AA45,HeadU,0))*(Y45*INDEX(LenF,MATCH($Y$7,LenU,0)))^3)),0)+IF(ISNUMBER(Y45),PI()/4*(Y45*INDEX(LenF,MATCH($Y$7,LenU,0)))^2*N(AB45)*INDEX(LenF,MATCH($AB$7,LenU,0))+IF(AC45="",0,IF(AC45="Conical",PI()/12*(Y45*INDEX(LenF,MATCH($Y$7,LenU,0)))^2*(0),INDEX(HeadK,MATCH(AC45,HeadU,0))*(Y45*INDEX(LenF,MATCH($Y$7,LenU,0)))^3)),0),"")</f>
        <v/>
      </c>
      <c r="AE45" s="41" t="str">
        <f aca="false">IF(OR(E45="",E45="Piping"),"",IF(E45="Exchanger",AQ45*AR45+IF(P45="",0,IF(P45="Conical",PI()/12*(SQRT(4*AQ45/PI()))^2*(0),INDEX(HeadK,MATCH(P45,HeadU,0))*(SQRT(4*AQ45/PI()))^3))-IF(AND(ISNUMBER(S45),ISNUMBER(V45)),S45*PI()/4*AP45^2*V45*INDEX(LenF,MATCH($V$7,LenU,0)),0),IF(ISNUMBER(N45),PI()/4*(N45*INDEX(LenF,MATCH($N$7,LenU,0)))^2*N(O45)*INDEX(LenF,MATCH($O$7,LenU,0))+IF(P45="",0,IF(P45="Conical",PI()/12*(N45*INDEX(LenF,MATCH($N$7,LenU,0)))^2*(N(R45)*INDEX(LenF,MATCH($R$7,LenU,0))),INDEX(HeadK,MATCH(P45,HeadU,0))*(N45*INDEX(LenF,MATCH($N$7,LenU,0)))^3))+IF(Q45="",0,IF(Q45="Conical",PI()/12*(N45*INDEX(LenF,MATCH($N$7,LenU,0)))^2*(N(R45)*INDEX(LenF,MATCH($R$7,LenU,0))),INDEX(HeadK,MATCH(Q45,HeadU,0))*(N45*INDEX(LenF,MATCH($N$7,LenU,0)))^3)),0)))</f>
        <v/>
      </c>
      <c r="AF45" s="41" t="str">
        <f aca="false">IF(E45&lt;&gt;"Piping","",IF(AND(ISNUMBER(AS45),ISNUMBER(M45)),PI()/4*(AS45/1000)^2*M45*INDEX(LenF,MATCH($M$7,LenU,0)),0))</f>
        <v/>
      </c>
      <c r="AG45" s="41" t="str">
        <f aca="false">IF(E45="","",N(AD45)+N(AE45)+N(AF45))</f>
        <v/>
      </c>
      <c r="AH45" s="41" t="str">
        <f aca="false">IF(ISNUMBER(I45),I45*INDEX(WtF,MATCH($I$7,WtU,0))/CC_WaterRho,"")</f>
        <v/>
      </c>
      <c r="AI45" s="31"/>
      <c r="AJ45" s="31"/>
      <c r="AK45" s="40"/>
      <c r="AL45" s="31"/>
      <c r="AM45" s="41" t="str">
        <f aca="false">IF(AO45="","",AO45*IF(ISNUMBER(AK45),AK45,CC_DefFills)*(1+IF(ISNUMBER(AL45),AL45,CC_DefAllow)))</f>
        <v/>
      </c>
      <c r="AN45" s="42" t="str">
        <f aca="false">IF(G45="Given volume",IF(ISNUMBER(H45),H45*INDEX(VolF,MATCH($H$7,VolU,0)),""),IF(G45="Water weight",AH45,IF(N(AG45)=0,"",AG45)))</f>
        <v/>
      </c>
      <c r="AO45" s="42" t="str">
        <f aca="false">IF(N(AN45)=0,"",AN45*AT45*IF(ISNUMBER(AJ45),AJ45,CC_DefCirc))</f>
        <v/>
      </c>
      <c r="AP45" s="27" t="n">
        <f aca="false">IF(ISNUMBER(T45),T45*INDEX(LenF,MATCH($T$7,LenU,0)),IF(ISNUMBER(W45),W45*INDEX(LenF,MATCH($W$7,LenU,0))/CC_PitchRatio,0))</f>
        <v>0</v>
      </c>
      <c r="AQ45" s="27" t="n">
        <f aca="false">IF(ISNUMBER(N45),PI()/4*(N45*INDEX(LenF,MATCH($N$7,LenU,0)))^2,IF(AND(ISNUMBER(S45),ISNUMBER(W45),X45&lt;&gt;""),S45*(W45*INDEX(LenF,MATCH($W$7,LenU,0)))^2*INDEX(LayoutF,MATCH(X45,LayoutU,0)),0))</f>
        <v>0</v>
      </c>
      <c r="AR45" s="27" t="n">
        <f aca="false">IF(ISNUMBER(O45),O45*INDEX(LenF,MATCH($O$7,LenU,0)),IF(ISNUMBER(V45),V45*INDEX(LenF,MATCH($V$7,LenU,0)),0))</f>
        <v>0</v>
      </c>
      <c r="AS45" s="27" t="str">
        <f aca="false">IF(ISNUMBER(L45),L45*INDEX(LenF,MATCH($L$7,LenU,0))*1000,IF(OR(J45="",K45=""),"",IFERROR(IF(INDEX(PipeWT,MATCH(J45,NPSU,0),MATCH(K45,SchU,0))="","Sch n/a",INDEX(PipeOD,MATCH(J45,NPSU,0))-2*INDEX(PipeWT,MATCH(J45,NPSU,0),MATCH(K45,SchU,0))),"")))</f>
        <v/>
      </c>
      <c r="AT45" s="27" t="n">
        <f aca="false">IF(ISNUMBER(AI45),AI45,IFERROR(INDEX(IF(CC_JobType="Decontamination",CC_TypeFillDC,CC_TypeFillCC),MATCH(E45,CC_TypeL,0)),1))</f>
        <v>1</v>
      </c>
      <c r="AU45" s="27" t="n">
        <v>2</v>
      </c>
    </row>
    <row r="46" customFormat="false" ht="15" hidden="false" customHeight="false" outlineLevel="0" collapsed="false">
      <c r="A46" s="36" t="n">
        <v>4</v>
      </c>
      <c r="B46" s="40"/>
      <c r="C46" s="32"/>
      <c r="D46" s="32"/>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1" t="str">
        <f aca="false">IF(E46="Exchanger",IF(AND(ISNUMBER(S46),ISNUMBER(U46),ISNUMBER(V46)),S46*PI()/4*(U46*INDEX(LenF,MATCH($U$7,LenU,0)))^2*V46*INDEX(LenF,MATCH($V$7,LenU,0)),0)+IF(ISNUMBER(Y46),PI()/4*(Y46*INDEX(LenF,MATCH($Y$7,LenU,0)))^2*N(Z46)*INDEX(LenF,MATCH($Z$7,LenU,0))+IF(AA46="",0,IF(AA46="Conical",PI()/12*(Y46*INDEX(LenF,MATCH($Y$7,LenU,0)))^2*(0),INDEX(HeadK,MATCH(AA46,HeadU,0))*(Y46*INDEX(LenF,MATCH($Y$7,LenU,0)))^3)),0)+IF(ISNUMBER(Y46),PI()/4*(Y46*INDEX(LenF,MATCH($Y$7,LenU,0)))^2*N(AB46)*INDEX(LenF,MATCH($AB$7,LenU,0))+IF(AC46="",0,IF(AC46="Conical",PI()/12*(Y46*INDEX(LenF,MATCH($Y$7,LenU,0)))^2*(0),INDEX(HeadK,MATCH(AC46,HeadU,0))*(Y46*INDEX(LenF,MATCH($Y$7,LenU,0)))^3)),0),"")</f>
        <v/>
      </c>
      <c r="AE46" s="41" t="str">
        <f aca="false">IF(OR(E46="",E46="Piping"),"",IF(E46="Exchanger",AQ46*AR46+IF(P46="",0,IF(P46="Conical",PI()/12*(SQRT(4*AQ46/PI()))^2*(0),INDEX(HeadK,MATCH(P46,HeadU,0))*(SQRT(4*AQ46/PI()))^3))-IF(AND(ISNUMBER(S46),ISNUMBER(V46)),S46*PI()/4*AP46^2*V46*INDEX(LenF,MATCH($V$7,LenU,0)),0),IF(ISNUMBER(N46),PI()/4*(N46*INDEX(LenF,MATCH($N$7,LenU,0)))^2*N(O46)*INDEX(LenF,MATCH($O$7,LenU,0))+IF(P46="",0,IF(P46="Conical",PI()/12*(N46*INDEX(LenF,MATCH($N$7,LenU,0)))^2*(N(R46)*INDEX(LenF,MATCH($R$7,LenU,0))),INDEX(HeadK,MATCH(P46,HeadU,0))*(N46*INDEX(LenF,MATCH($N$7,LenU,0)))^3))+IF(Q46="",0,IF(Q46="Conical",PI()/12*(N46*INDEX(LenF,MATCH($N$7,LenU,0)))^2*(N(R46)*INDEX(LenF,MATCH($R$7,LenU,0))),INDEX(HeadK,MATCH(Q46,HeadU,0))*(N46*INDEX(LenF,MATCH($N$7,LenU,0)))^3)),0)))</f>
        <v/>
      </c>
      <c r="AF46" s="41" t="str">
        <f aca="false">IF(E46&lt;&gt;"Piping","",IF(AND(ISNUMBER(AS46),ISNUMBER(M46)),PI()/4*(AS46/1000)^2*M46*INDEX(LenF,MATCH($M$7,LenU,0)),0))</f>
        <v/>
      </c>
      <c r="AG46" s="41" t="str">
        <f aca="false">IF(E46="","",N(AD46)+N(AE46)+N(AF46))</f>
        <v/>
      </c>
      <c r="AH46" s="41" t="str">
        <f aca="false">IF(ISNUMBER(I46),I46*INDEX(WtF,MATCH($I$7,WtU,0))/CC_WaterRho,"")</f>
        <v/>
      </c>
      <c r="AI46" s="31"/>
      <c r="AJ46" s="31"/>
      <c r="AK46" s="40"/>
      <c r="AL46" s="31"/>
      <c r="AM46" s="41" t="str">
        <f aca="false">IF(AO46="","",AO46*IF(ISNUMBER(AK46),AK46,CC_DefFills)*(1+IF(ISNUMBER(AL46),AL46,CC_DefAllow)))</f>
        <v/>
      </c>
      <c r="AN46" s="42" t="str">
        <f aca="false">IF(G46="Given volume",IF(ISNUMBER(H46),H46*INDEX(VolF,MATCH($H$7,VolU,0)),""),IF(G46="Water weight",AH46,IF(N(AG46)=0,"",AG46)))</f>
        <v/>
      </c>
      <c r="AO46" s="42" t="str">
        <f aca="false">IF(N(AN46)=0,"",AN46*AT46*IF(ISNUMBER(AJ46),AJ46,CC_DefCirc))</f>
        <v/>
      </c>
      <c r="AP46" s="27" t="n">
        <f aca="false">IF(ISNUMBER(T46),T46*INDEX(LenF,MATCH($T$7,LenU,0)),IF(ISNUMBER(W46),W46*INDEX(LenF,MATCH($W$7,LenU,0))/CC_PitchRatio,0))</f>
        <v>0</v>
      </c>
      <c r="AQ46" s="27" t="n">
        <f aca="false">IF(ISNUMBER(N46),PI()/4*(N46*INDEX(LenF,MATCH($N$7,LenU,0)))^2,IF(AND(ISNUMBER(S46),ISNUMBER(W46),X46&lt;&gt;""),S46*(W46*INDEX(LenF,MATCH($W$7,LenU,0)))^2*INDEX(LayoutF,MATCH(X46,LayoutU,0)),0))</f>
        <v>0</v>
      </c>
      <c r="AR46" s="27" t="n">
        <f aca="false">IF(ISNUMBER(O46),O46*INDEX(LenF,MATCH($O$7,LenU,0)),IF(ISNUMBER(V46),V46*INDEX(LenF,MATCH($V$7,LenU,0)),0))</f>
        <v>0</v>
      </c>
      <c r="AS46" s="27" t="str">
        <f aca="false">IF(ISNUMBER(L46),L46*INDEX(LenF,MATCH($L$7,LenU,0))*1000,IF(OR(J46="",K46=""),"",IFERROR(IF(INDEX(PipeWT,MATCH(J46,NPSU,0),MATCH(K46,SchU,0))="","Sch n/a",INDEX(PipeOD,MATCH(J46,NPSU,0))-2*INDEX(PipeWT,MATCH(J46,NPSU,0),MATCH(K46,SchU,0))),"")))</f>
        <v/>
      </c>
      <c r="AT46" s="27" t="n">
        <f aca="false">IF(ISNUMBER(AI46),AI46,IFERROR(INDEX(IF(CC_JobType="Decontamination",CC_TypeFillDC,CC_TypeFillCC),MATCH(E46,CC_TypeL,0)),1))</f>
        <v>1</v>
      </c>
      <c r="AU46" s="27" t="n">
        <v>2</v>
      </c>
    </row>
    <row r="47" customFormat="false" ht="15" hidden="false" customHeight="false" outlineLevel="0" collapsed="false">
      <c r="A47" s="36" t="n">
        <v>5</v>
      </c>
      <c r="B47" s="40"/>
      <c r="C47" s="32"/>
      <c r="D47" s="32"/>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1" t="str">
        <f aca="false">IF(E47="Exchanger",IF(AND(ISNUMBER(S47),ISNUMBER(U47),ISNUMBER(V47)),S47*PI()/4*(U47*INDEX(LenF,MATCH($U$7,LenU,0)))^2*V47*INDEX(LenF,MATCH($V$7,LenU,0)),0)+IF(ISNUMBER(Y47),PI()/4*(Y47*INDEX(LenF,MATCH($Y$7,LenU,0)))^2*N(Z47)*INDEX(LenF,MATCH($Z$7,LenU,0))+IF(AA47="",0,IF(AA47="Conical",PI()/12*(Y47*INDEX(LenF,MATCH($Y$7,LenU,0)))^2*(0),INDEX(HeadK,MATCH(AA47,HeadU,0))*(Y47*INDEX(LenF,MATCH($Y$7,LenU,0)))^3)),0)+IF(ISNUMBER(Y47),PI()/4*(Y47*INDEX(LenF,MATCH($Y$7,LenU,0)))^2*N(AB47)*INDEX(LenF,MATCH($AB$7,LenU,0))+IF(AC47="",0,IF(AC47="Conical",PI()/12*(Y47*INDEX(LenF,MATCH($Y$7,LenU,0)))^2*(0),INDEX(HeadK,MATCH(AC47,HeadU,0))*(Y47*INDEX(LenF,MATCH($Y$7,LenU,0)))^3)),0),"")</f>
        <v/>
      </c>
      <c r="AE47" s="41" t="str">
        <f aca="false">IF(OR(E47="",E47="Piping"),"",IF(E47="Exchanger",AQ47*AR47+IF(P47="",0,IF(P47="Conical",PI()/12*(SQRT(4*AQ47/PI()))^2*(0),INDEX(HeadK,MATCH(P47,HeadU,0))*(SQRT(4*AQ47/PI()))^3))-IF(AND(ISNUMBER(S47),ISNUMBER(V47)),S47*PI()/4*AP47^2*V47*INDEX(LenF,MATCH($V$7,LenU,0)),0),IF(ISNUMBER(N47),PI()/4*(N47*INDEX(LenF,MATCH($N$7,LenU,0)))^2*N(O47)*INDEX(LenF,MATCH($O$7,LenU,0))+IF(P47="",0,IF(P47="Conical",PI()/12*(N47*INDEX(LenF,MATCH($N$7,LenU,0)))^2*(N(R47)*INDEX(LenF,MATCH($R$7,LenU,0))),INDEX(HeadK,MATCH(P47,HeadU,0))*(N47*INDEX(LenF,MATCH($N$7,LenU,0)))^3))+IF(Q47="",0,IF(Q47="Conical",PI()/12*(N47*INDEX(LenF,MATCH($N$7,LenU,0)))^2*(N(R47)*INDEX(LenF,MATCH($R$7,LenU,0))),INDEX(HeadK,MATCH(Q47,HeadU,0))*(N47*INDEX(LenF,MATCH($N$7,LenU,0)))^3)),0)))</f>
        <v/>
      </c>
      <c r="AF47" s="41" t="str">
        <f aca="false">IF(E47&lt;&gt;"Piping","",IF(AND(ISNUMBER(AS47),ISNUMBER(M47)),PI()/4*(AS47/1000)^2*M47*INDEX(LenF,MATCH($M$7,LenU,0)),0))</f>
        <v/>
      </c>
      <c r="AG47" s="41" t="str">
        <f aca="false">IF(E47="","",N(AD47)+N(AE47)+N(AF47))</f>
        <v/>
      </c>
      <c r="AH47" s="41" t="str">
        <f aca="false">IF(ISNUMBER(I47),I47*INDEX(WtF,MATCH($I$7,WtU,0))/CC_WaterRho,"")</f>
        <v/>
      </c>
      <c r="AI47" s="31"/>
      <c r="AJ47" s="31"/>
      <c r="AK47" s="40"/>
      <c r="AL47" s="31"/>
      <c r="AM47" s="41" t="str">
        <f aca="false">IF(AO47="","",AO47*IF(ISNUMBER(AK47),AK47,CC_DefFills)*(1+IF(ISNUMBER(AL47),AL47,CC_DefAllow)))</f>
        <v/>
      </c>
      <c r="AN47" s="42" t="str">
        <f aca="false">IF(G47="Given volume",IF(ISNUMBER(H47),H47*INDEX(VolF,MATCH($H$7,VolU,0)),""),IF(G47="Water weight",AH47,IF(N(AG47)=0,"",AG47)))</f>
        <v/>
      </c>
      <c r="AO47" s="42" t="str">
        <f aca="false">IF(N(AN47)=0,"",AN47*AT47*IF(ISNUMBER(AJ47),AJ47,CC_DefCirc))</f>
        <v/>
      </c>
      <c r="AP47" s="27" t="n">
        <f aca="false">IF(ISNUMBER(T47),T47*INDEX(LenF,MATCH($T$7,LenU,0)),IF(ISNUMBER(W47),W47*INDEX(LenF,MATCH($W$7,LenU,0))/CC_PitchRatio,0))</f>
        <v>0</v>
      </c>
      <c r="AQ47" s="27" t="n">
        <f aca="false">IF(ISNUMBER(N47),PI()/4*(N47*INDEX(LenF,MATCH($N$7,LenU,0)))^2,IF(AND(ISNUMBER(S47),ISNUMBER(W47),X47&lt;&gt;""),S47*(W47*INDEX(LenF,MATCH($W$7,LenU,0)))^2*INDEX(LayoutF,MATCH(X47,LayoutU,0)),0))</f>
        <v>0</v>
      </c>
      <c r="AR47" s="27" t="n">
        <f aca="false">IF(ISNUMBER(O47),O47*INDEX(LenF,MATCH($O$7,LenU,0)),IF(ISNUMBER(V47),V47*INDEX(LenF,MATCH($V$7,LenU,0)),0))</f>
        <v>0</v>
      </c>
      <c r="AS47" s="27" t="str">
        <f aca="false">IF(ISNUMBER(L47),L47*INDEX(LenF,MATCH($L$7,LenU,0))*1000,IF(OR(J47="",K47=""),"",IFERROR(IF(INDEX(PipeWT,MATCH(J47,NPSU,0),MATCH(K47,SchU,0))="","Sch n/a",INDEX(PipeOD,MATCH(J47,NPSU,0))-2*INDEX(PipeWT,MATCH(J47,NPSU,0),MATCH(K47,SchU,0))),"")))</f>
        <v/>
      </c>
      <c r="AT47" s="27" t="n">
        <f aca="false">IF(ISNUMBER(AI47),AI47,IFERROR(INDEX(IF(CC_JobType="Decontamination",CC_TypeFillDC,CC_TypeFillCC),MATCH(E47,CC_TypeL,0)),1))</f>
        <v>1</v>
      </c>
      <c r="AU47" s="27" t="n">
        <v>2</v>
      </c>
    </row>
    <row r="48" customFormat="false" ht="15" hidden="false" customHeight="false" outlineLevel="0" collapsed="false">
      <c r="A48" s="36" t="n">
        <v>6</v>
      </c>
      <c r="B48" s="40"/>
      <c r="C48" s="32"/>
      <c r="D48" s="32"/>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1" t="str">
        <f aca="false">IF(E48="Exchanger",IF(AND(ISNUMBER(S48),ISNUMBER(U48),ISNUMBER(V48)),S48*PI()/4*(U48*INDEX(LenF,MATCH($U$7,LenU,0)))^2*V48*INDEX(LenF,MATCH($V$7,LenU,0)),0)+IF(ISNUMBER(Y48),PI()/4*(Y48*INDEX(LenF,MATCH($Y$7,LenU,0)))^2*N(Z48)*INDEX(LenF,MATCH($Z$7,LenU,0))+IF(AA48="",0,IF(AA48="Conical",PI()/12*(Y48*INDEX(LenF,MATCH($Y$7,LenU,0)))^2*(0),INDEX(HeadK,MATCH(AA48,HeadU,0))*(Y48*INDEX(LenF,MATCH($Y$7,LenU,0)))^3)),0)+IF(ISNUMBER(Y48),PI()/4*(Y48*INDEX(LenF,MATCH($Y$7,LenU,0)))^2*N(AB48)*INDEX(LenF,MATCH($AB$7,LenU,0))+IF(AC48="",0,IF(AC48="Conical",PI()/12*(Y48*INDEX(LenF,MATCH($Y$7,LenU,0)))^2*(0),INDEX(HeadK,MATCH(AC48,HeadU,0))*(Y48*INDEX(LenF,MATCH($Y$7,LenU,0)))^3)),0),"")</f>
        <v/>
      </c>
      <c r="AE48" s="41" t="str">
        <f aca="false">IF(OR(E48="",E48="Piping"),"",IF(E48="Exchanger",AQ48*AR48+IF(P48="",0,IF(P48="Conical",PI()/12*(SQRT(4*AQ48/PI()))^2*(0),INDEX(HeadK,MATCH(P48,HeadU,0))*(SQRT(4*AQ48/PI()))^3))-IF(AND(ISNUMBER(S48),ISNUMBER(V48)),S48*PI()/4*AP48^2*V48*INDEX(LenF,MATCH($V$7,LenU,0)),0),IF(ISNUMBER(N48),PI()/4*(N48*INDEX(LenF,MATCH($N$7,LenU,0)))^2*N(O48)*INDEX(LenF,MATCH($O$7,LenU,0))+IF(P48="",0,IF(P48="Conical",PI()/12*(N48*INDEX(LenF,MATCH($N$7,LenU,0)))^2*(N(R48)*INDEX(LenF,MATCH($R$7,LenU,0))),INDEX(HeadK,MATCH(P48,HeadU,0))*(N48*INDEX(LenF,MATCH($N$7,LenU,0)))^3))+IF(Q48="",0,IF(Q48="Conical",PI()/12*(N48*INDEX(LenF,MATCH($N$7,LenU,0)))^2*(N(R48)*INDEX(LenF,MATCH($R$7,LenU,0))),INDEX(HeadK,MATCH(Q48,HeadU,0))*(N48*INDEX(LenF,MATCH($N$7,LenU,0)))^3)),0)))</f>
        <v/>
      </c>
      <c r="AF48" s="41" t="str">
        <f aca="false">IF(E48&lt;&gt;"Piping","",IF(AND(ISNUMBER(AS48),ISNUMBER(M48)),PI()/4*(AS48/1000)^2*M48*INDEX(LenF,MATCH($M$7,LenU,0)),0))</f>
        <v/>
      </c>
      <c r="AG48" s="41" t="str">
        <f aca="false">IF(E48="","",N(AD48)+N(AE48)+N(AF48))</f>
        <v/>
      </c>
      <c r="AH48" s="41" t="str">
        <f aca="false">IF(ISNUMBER(I48),I48*INDEX(WtF,MATCH($I$7,WtU,0))/CC_WaterRho,"")</f>
        <v/>
      </c>
      <c r="AI48" s="31"/>
      <c r="AJ48" s="31"/>
      <c r="AK48" s="40"/>
      <c r="AL48" s="31"/>
      <c r="AM48" s="41" t="str">
        <f aca="false">IF(AO48="","",AO48*IF(ISNUMBER(AK48),AK48,CC_DefFills)*(1+IF(ISNUMBER(AL48),AL48,CC_DefAllow)))</f>
        <v/>
      </c>
      <c r="AN48" s="42" t="str">
        <f aca="false">IF(G48="Given volume",IF(ISNUMBER(H48),H48*INDEX(VolF,MATCH($H$7,VolU,0)),""),IF(G48="Water weight",AH48,IF(N(AG48)=0,"",AG48)))</f>
        <v/>
      </c>
      <c r="AO48" s="42" t="str">
        <f aca="false">IF(N(AN48)=0,"",AN48*AT48*IF(ISNUMBER(AJ48),AJ48,CC_DefCirc))</f>
        <v/>
      </c>
      <c r="AP48" s="27" t="n">
        <f aca="false">IF(ISNUMBER(T48),T48*INDEX(LenF,MATCH($T$7,LenU,0)),IF(ISNUMBER(W48),W48*INDEX(LenF,MATCH($W$7,LenU,0))/CC_PitchRatio,0))</f>
        <v>0</v>
      </c>
      <c r="AQ48" s="27" t="n">
        <f aca="false">IF(ISNUMBER(N48),PI()/4*(N48*INDEX(LenF,MATCH($N$7,LenU,0)))^2,IF(AND(ISNUMBER(S48),ISNUMBER(W48),X48&lt;&gt;""),S48*(W48*INDEX(LenF,MATCH($W$7,LenU,0)))^2*INDEX(LayoutF,MATCH(X48,LayoutU,0)),0))</f>
        <v>0</v>
      </c>
      <c r="AR48" s="27" t="n">
        <f aca="false">IF(ISNUMBER(O48),O48*INDEX(LenF,MATCH($O$7,LenU,0)),IF(ISNUMBER(V48),V48*INDEX(LenF,MATCH($V$7,LenU,0)),0))</f>
        <v>0</v>
      </c>
      <c r="AS48" s="27" t="str">
        <f aca="false">IF(ISNUMBER(L48),L48*INDEX(LenF,MATCH($L$7,LenU,0))*1000,IF(OR(J48="",K48=""),"",IFERROR(IF(INDEX(PipeWT,MATCH(J48,NPSU,0),MATCH(K48,SchU,0))="","Sch n/a",INDEX(PipeOD,MATCH(J48,NPSU,0))-2*INDEX(PipeWT,MATCH(J48,NPSU,0),MATCH(K48,SchU,0))),"")))</f>
        <v/>
      </c>
      <c r="AT48" s="27" t="n">
        <f aca="false">IF(ISNUMBER(AI48),AI48,IFERROR(INDEX(IF(CC_JobType="Decontamination",CC_TypeFillDC,CC_TypeFillCC),MATCH(E48,CC_TypeL,0)),1))</f>
        <v>1</v>
      </c>
      <c r="AU48" s="27" t="n">
        <v>2</v>
      </c>
    </row>
    <row r="49" customFormat="false" ht="15" hidden="false" customHeight="false" outlineLevel="0" collapsed="false">
      <c r="A49" s="36" t="n">
        <v>7</v>
      </c>
      <c r="B49" s="40"/>
      <c r="C49" s="32"/>
      <c r="D49" s="32"/>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1" t="str">
        <f aca="false">IF(E49="Exchanger",IF(AND(ISNUMBER(S49),ISNUMBER(U49),ISNUMBER(V49)),S49*PI()/4*(U49*INDEX(LenF,MATCH($U$7,LenU,0)))^2*V49*INDEX(LenF,MATCH($V$7,LenU,0)),0)+IF(ISNUMBER(Y49),PI()/4*(Y49*INDEX(LenF,MATCH($Y$7,LenU,0)))^2*N(Z49)*INDEX(LenF,MATCH($Z$7,LenU,0))+IF(AA49="",0,IF(AA49="Conical",PI()/12*(Y49*INDEX(LenF,MATCH($Y$7,LenU,0)))^2*(0),INDEX(HeadK,MATCH(AA49,HeadU,0))*(Y49*INDEX(LenF,MATCH($Y$7,LenU,0)))^3)),0)+IF(ISNUMBER(Y49),PI()/4*(Y49*INDEX(LenF,MATCH($Y$7,LenU,0)))^2*N(AB49)*INDEX(LenF,MATCH($AB$7,LenU,0))+IF(AC49="",0,IF(AC49="Conical",PI()/12*(Y49*INDEX(LenF,MATCH($Y$7,LenU,0)))^2*(0),INDEX(HeadK,MATCH(AC49,HeadU,0))*(Y49*INDEX(LenF,MATCH($Y$7,LenU,0)))^3)),0),"")</f>
        <v/>
      </c>
      <c r="AE49" s="41" t="str">
        <f aca="false">IF(OR(E49="",E49="Piping"),"",IF(E49="Exchanger",AQ49*AR49+IF(P49="",0,IF(P49="Conical",PI()/12*(SQRT(4*AQ49/PI()))^2*(0),INDEX(HeadK,MATCH(P49,HeadU,0))*(SQRT(4*AQ49/PI()))^3))-IF(AND(ISNUMBER(S49),ISNUMBER(V49)),S49*PI()/4*AP49^2*V49*INDEX(LenF,MATCH($V$7,LenU,0)),0),IF(ISNUMBER(N49),PI()/4*(N49*INDEX(LenF,MATCH($N$7,LenU,0)))^2*N(O49)*INDEX(LenF,MATCH($O$7,LenU,0))+IF(P49="",0,IF(P49="Conical",PI()/12*(N49*INDEX(LenF,MATCH($N$7,LenU,0)))^2*(N(R49)*INDEX(LenF,MATCH($R$7,LenU,0))),INDEX(HeadK,MATCH(P49,HeadU,0))*(N49*INDEX(LenF,MATCH($N$7,LenU,0)))^3))+IF(Q49="",0,IF(Q49="Conical",PI()/12*(N49*INDEX(LenF,MATCH($N$7,LenU,0)))^2*(N(R49)*INDEX(LenF,MATCH($R$7,LenU,0))),INDEX(HeadK,MATCH(Q49,HeadU,0))*(N49*INDEX(LenF,MATCH($N$7,LenU,0)))^3)),0)))</f>
        <v/>
      </c>
      <c r="AF49" s="41" t="str">
        <f aca="false">IF(E49&lt;&gt;"Piping","",IF(AND(ISNUMBER(AS49),ISNUMBER(M49)),PI()/4*(AS49/1000)^2*M49*INDEX(LenF,MATCH($M$7,LenU,0)),0))</f>
        <v/>
      </c>
      <c r="AG49" s="41" t="str">
        <f aca="false">IF(E49="","",N(AD49)+N(AE49)+N(AF49))</f>
        <v/>
      </c>
      <c r="AH49" s="41" t="str">
        <f aca="false">IF(ISNUMBER(I49),I49*INDEX(WtF,MATCH($I$7,WtU,0))/CC_WaterRho,"")</f>
        <v/>
      </c>
      <c r="AI49" s="31"/>
      <c r="AJ49" s="31"/>
      <c r="AK49" s="40"/>
      <c r="AL49" s="31"/>
      <c r="AM49" s="41" t="str">
        <f aca="false">IF(AO49="","",AO49*IF(ISNUMBER(AK49),AK49,CC_DefFills)*(1+IF(ISNUMBER(AL49),AL49,CC_DefAllow)))</f>
        <v/>
      </c>
      <c r="AN49" s="42" t="str">
        <f aca="false">IF(G49="Given volume",IF(ISNUMBER(H49),H49*INDEX(VolF,MATCH($H$7,VolU,0)),""),IF(G49="Water weight",AH49,IF(N(AG49)=0,"",AG49)))</f>
        <v/>
      </c>
      <c r="AO49" s="42" t="str">
        <f aca="false">IF(N(AN49)=0,"",AN49*AT49*IF(ISNUMBER(AJ49),AJ49,CC_DefCirc))</f>
        <v/>
      </c>
      <c r="AP49" s="27" t="n">
        <f aca="false">IF(ISNUMBER(T49),T49*INDEX(LenF,MATCH($T$7,LenU,0)),IF(ISNUMBER(W49),W49*INDEX(LenF,MATCH($W$7,LenU,0))/CC_PitchRatio,0))</f>
        <v>0</v>
      </c>
      <c r="AQ49" s="27" t="n">
        <f aca="false">IF(ISNUMBER(N49),PI()/4*(N49*INDEX(LenF,MATCH($N$7,LenU,0)))^2,IF(AND(ISNUMBER(S49),ISNUMBER(W49),X49&lt;&gt;""),S49*(W49*INDEX(LenF,MATCH($W$7,LenU,0)))^2*INDEX(LayoutF,MATCH(X49,LayoutU,0)),0))</f>
        <v>0</v>
      </c>
      <c r="AR49" s="27" t="n">
        <f aca="false">IF(ISNUMBER(O49),O49*INDEX(LenF,MATCH($O$7,LenU,0)),IF(ISNUMBER(V49),V49*INDEX(LenF,MATCH($V$7,LenU,0)),0))</f>
        <v>0</v>
      </c>
      <c r="AS49" s="27" t="str">
        <f aca="false">IF(ISNUMBER(L49),L49*INDEX(LenF,MATCH($L$7,LenU,0))*1000,IF(OR(J49="",K49=""),"",IFERROR(IF(INDEX(PipeWT,MATCH(J49,NPSU,0),MATCH(K49,SchU,0))="","Sch n/a",INDEX(PipeOD,MATCH(J49,NPSU,0))-2*INDEX(PipeWT,MATCH(J49,NPSU,0),MATCH(K49,SchU,0))),"")))</f>
        <v/>
      </c>
      <c r="AT49" s="27" t="n">
        <f aca="false">IF(ISNUMBER(AI49),AI49,IFERROR(INDEX(IF(CC_JobType="Decontamination",CC_TypeFillDC,CC_TypeFillCC),MATCH(E49,CC_TypeL,0)),1))</f>
        <v>1</v>
      </c>
      <c r="AU49" s="27" t="n">
        <v>2</v>
      </c>
    </row>
    <row r="50" customFormat="false" ht="15" hidden="false" customHeight="false" outlineLevel="0" collapsed="false">
      <c r="A50" s="36" t="n">
        <v>8</v>
      </c>
      <c r="B50" s="40"/>
      <c r="C50" s="32"/>
      <c r="D50" s="32"/>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1" t="str">
        <f aca="false">IF(E50="Exchanger",IF(AND(ISNUMBER(S50),ISNUMBER(U50),ISNUMBER(V50)),S50*PI()/4*(U50*INDEX(LenF,MATCH($U$7,LenU,0)))^2*V50*INDEX(LenF,MATCH($V$7,LenU,0)),0)+IF(ISNUMBER(Y50),PI()/4*(Y50*INDEX(LenF,MATCH($Y$7,LenU,0)))^2*N(Z50)*INDEX(LenF,MATCH($Z$7,LenU,0))+IF(AA50="",0,IF(AA50="Conical",PI()/12*(Y50*INDEX(LenF,MATCH($Y$7,LenU,0)))^2*(0),INDEX(HeadK,MATCH(AA50,HeadU,0))*(Y50*INDEX(LenF,MATCH($Y$7,LenU,0)))^3)),0)+IF(ISNUMBER(Y50),PI()/4*(Y50*INDEX(LenF,MATCH($Y$7,LenU,0)))^2*N(AB50)*INDEX(LenF,MATCH($AB$7,LenU,0))+IF(AC50="",0,IF(AC50="Conical",PI()/12*(Y50*INDEX(LenF,MATCH($Y$7,LenU,0)))^2*(0),INDEX(HeadK,MATCH(AC50,HeadU,0))*(Y50*INDEX(LenF,MATCH($Y$7,LenU,0)))^3)),0),"")</f>
        <v/>
      </c>
      <c r="AE50" s="41" t="str">
        <f aca="false">IF(OR(E50="",E50="Piping"),"",IF(E50="Exchanger",AQ50*AR50+IF(P50="",0,IF(P50="Conical",PI()/12*(SQRT(4*AQ50/PI()))^2*(0),INDEX(HeadK,MATCH(P50,HeadU,0))*(SQRT(4*AQ50/PI()))^3))-IF(AND(ISNUMBER(S50),ISNUMBER(V50)),S50*PI()/4*AP50^2*V50*INDEX(LenF,MATCH($V$7,LenU,0)),0),IF(ISNUMBER(N50),PI()/4*(N50*INDEX(LenF,MATCH($N$7,LenU,0)))^2*N(O50)*INDEX(LenF,MATCH($O$7,LenU,0))+IF(P50="",0,IF(P50="Conical",PI()/12*(N50*INDEX(LenF,MATCH($N$7,LenU,0)))^2*(N(R50)*INDEX(LenF,MATCH($R$7,LenU,0))),INDEX(HeadK,MATCH(P50,HeadU,0))*(N50*INDEX(LenF,MATCH($N$7,LenU,0)))^3))+IF(Q50="",0,IF(Q50="Conical",PI()/12*(N50*INDEX(LenF,MATCH($N$7,LenU,0)))^2*(N(R50)*INDEX(LenF,MATCH($R$7,LenU,0))),INDEX(HeadK,MATCH(Q50,HeadU,0))*(N50*INDEX(LenF,MATCH($N$7,LenU,0)))^3)),0)))</f>
        <v/>
      </c>
      <c r="AF50" s="41" t="str">
        <f aca="false">IF(E50&lt;&gt;"Piping","",IF(AND(ISNUMBER(AS50),ISNUMBER(M50)),PI()/4*(AS50/1000)^2*M50*INDEX(LenF,MATCH($M$7,LenU,0)),0))</f>
        <v/>
      </c>
      <c r="AG50" s="41" t="str">
        <f aca="false">IF(E50="","",N(AD50)+N(AE50)+N(AF50))</f>
        <v/>
      </c>
      <c r="AH50" s="41" t="str">
        <f aca="false">IF(ISNUMBER(I50),I50*INDEX(WtF,MATCH($I$7,WtU,0))/CC_WaterRho,"")</f>
        <v/>
      </c>
      <c r="AI50" s="31"/>
      <c r="AJ50" s="31"/>
      <c r="AK50" s="40"/>
      <c r="AL50" s="31"/>
      <c r="AM50" s="41" t="str">
        <f aca="false">IF(AO50="","",AO50*IF(ISNUMBER(AK50),AK50,CC_DefFills)*(1+IF(ISNUMBER(AL50),AL50,CC_DefAllow)))</f>
        <v/>
      </c>
      <c r="AN50" s="42" t="str">
        <f aca="false">IF(G50="Given volume",IF(ISNUMBER(H50),H50*INDEX(VolF,MATCH($H$7,VolU,0)),""),IF(G50="Water weight",AH50,IF(N(AG50)=0,"",AG50)))</f>
        <v/>
      </c>
      <c r="AO50" s="42" t="str">
        <f aca="false">IF(N(AN50)=0,"",AN50*AT50*IF(ISNUMBER(AJ50),AJ50,CC_DefCirc))</f>
        <v/>
      </c>
      <c r="AP50" s="27" t="n">
        <f aca="false">IF(ISNUMBER(T50),T50*INDEX(LenF,MATCH($T$7,LenU,0)),IF(ISNUMBER(W50),W50*INDEX(LenF,MATCH($W$7,LenU,0))/CC_PitchRatio,0))</f>
        <v>0</v>
      </c>
      <c r="AQ50" s="27" t="n">
        <f aca="false">IF(ISNUMBER(N50),PI()/4*(N50*INDEX(LenF,MATCH($N$7,LenU,0)))^2,IF(AND(ISNUMBER(S50),ISNUMBER(W50),X50&lt;&gt;""),S50*(W50*INDEX(LenF,MATCH($W$7,LenU,0)))^2*INDEX(LayoutF,MATCH(X50,LayoutU,0)),0))</f>
        <v>0</v>
      </c>
      <c r="AR50" s="27" t="n">
        <f aca="false">IF(ISNUMBER(O50),O50*INDEX(LenF,MATCH($O$7,LenU,0)),IF(ISNUMBER(V50),V50*INDEX(LenF,MATCH($V$7,LenU,0)),0))</f>
        <v>0</v>
      </c>
      <c r="AS50" s="27" t="str">
        <f aca="false">IF(ISNUMBER(L50),L50*INDEX(LenF,MATCH($L$7,LenU,0))*1000,IF(OR(J50="",K50=""),"",IFERROR(IF(INDEX(PipeWT,MATCH(J50,NPSU,0),MATCH(K50,SchU,0))="","Sch n/a",INDEX(PipeOD,MATCH(J50,NPSU,0))-2*INDEX(PipeWT,MATCH(J50,NPSU,0),MATCH(K50,SchU,0))),"")))</f>
        <v/>
      </c>
      <c r="AT50" s="27" t="n">
        <f aca="false">IF(ISNUMBER(AI50),AI50,IFERROR(INDEX(IF(CC_JobType="Decontamination",CC_TypeFillDC,CC_TypeFillCC),MATCH(E50,CC_TypeL,0)),1))</f>
        <v>1</v>
      </c>
      <c r="AU50" s="27" t="n">
        <v>2</v>
      </c>
    </row>
    <row r="51" customFormat="false" ht="15" hidden="false" customHeight="false" outlineLevel="0" collapsed="false">
      <c r="A51" s="36" t="n">
        <v>9</v>
      </c>
      <c r="B51" s="40"/>
      <c r="C51" s="32"/>
      <c r="D51" s="32"/>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1" t="str">
        <f aca="false">IF(E51="Exchanger",IF(AND(ISNUMBER(S51),ISNUMBER(U51),ISNUMBER(V51)),S51*PI()/4*(U51*INDEX(LenF,MATCH($U$7,LenU,0)))^2*V51*INDEX(LenF,MATCH($V$7,LenU,0)),0)+IF(ISNUMBER(Y51),PI()/4*(Y51*INDEX(LenF,MATCH($Y$7,LenU,0)))^2*N(Z51)*INDEX(LenF,MATCH($Z$7,LenU,0))+IF(AA51="",0,IF(AA51="Conical",PI()/12*(Y51*INDEX(LenF,MATCH($Y$7,LenU,0)))^2*(0),INDEX(HeadK,MATCH(AA51,HeadU,0))*(Y51*INDEX(LenF,MATCH($Y$7,LenU,0)))^3)),0)+IF(ISNUMBER(Y51),PI()/4*(Y51*INDEX(LenF,MATCH($Y$7,LenU,0)))^2*N(AB51)*INDEX(LenF,MATCH($AB$7,LenU,0))+IF(AC51="",0,IF(AC51="Conical",PI()/12*(Y51*INDEX(LenF,MATCH($Y$7,LenU,0)))^2*(0),INDEX(HeadK,MATCH(AC51,HeadU,0))*(Y51*INDEX(LenF,MATCH($Y$7,LenU,0)))^3)),0),"")</f>
        <v/>
      </c>
      <c r="AE51" s="41" t="str">
        <f aca="false">IF(OR(E51="",E51="Piping"),"",IF(E51="Exchanger",AQ51*AR51+IF(P51="",0,IF(P51="Conical",PI()/12*(SQRT(4*AQ51/PI()))^2*(0),INDEX(HeadK,MATCH(P51,HeadU,0))*(SQRT(4*AQ51/PI()))^3))-IF(AND(ISNUMBER(S51),ISNUMBER(V51)),S51*PI()/4*AP51^2*V51*INDEX(LenF,MATCH($V$7,LenU,0)),0),IF(ISNUMBER(N51),PI()/4*(N51*INDEX(LenF,MATCH($N$7,LenU,0)))^2*N(O51)*INDEX(LenF,MATCH($O$7,LenU,0))+IF(P51="",0,IF(P51="Conical",PI()/12*(N51*INDEX(LenF,MATCH($N$7,LenU,0)))^2*(N(R51)*INDEX(LenF,MATCH($R$7,LenU,0))),INDEX(HeadK,MATCH(P51,HeadU,0))*(N51*INDEX(LenF,MATCH($N$7,LenU,0)))^3))+IF(Q51="",0,IF(Q51="Conical",PI()/12*(N51*INDEX(LenF,MATCH($N$7,LenU,0)))^2*(N(R51)*INDEX(LenF,MATCH($R$7,LenU,0))),INDEX(HeadK,MATCH(Q51,HeadU,0))*(N51*INDEX(LenF,MATCH($N$7,LenU,0)))^3)),0)))</f>
        <v/>
      </c>
      <c r="AF51" s="41" t="str">
        <f aca="false">IF(E51&lt;&gt;"Piping","",IF(AND(ISNUMBER(AS51),ISNUMBER(M51)),PI()/4*(AS51/1000)^2*M51*INDEX(LenF,MATCH($M$7,LenU,0)),0))</f>
        <v/>
      </c>
      <c r="AG51" s="41" t="str">
        <f aca="false">IF(E51="","",N(AD51)+N(AE51)+N(AF51))</f>
        <v/>
      </c>
      <c r="AH51" s="41" t="str">
        <f aca="false">IF(ISNUMBER(I51),I51*INDEX(WtF,MATCH($I$7,WtU,0))/CC_WaterRho,"")</f>
        <v/>
      </c>
      <c r="AI51" s="31"/>
      <c r="AJ51" s="31"/>
      <c r="AK51" s="40"/>
      <c r="AL51" s="31"/>
      <c r="AM51" s="41" t="str">
        <f aca="false">IF(AO51="","",AO51*IF(ISNUMBER(AK51),AK51,CC_DefFills)*(1+IF(ISNUMBER(AL51),AL51,CC_DefAllow)))</f>
        <v/>
      </c>
      <c r="AN51" s="42" t="str">
        <f aca="false">IF(G51="Given volume",IF(ISNUMBER(H51),H51*INDEX(VolF,MATCH($H$7,VolU,0)),""),IF(G51="Water weight",AH51,IF(N(AG51)=0,"",AG51)))</f>
        <v/>
      </c>
      <c r="AO51" s="42" t="str">
        <f aca="false">IF(N(AN51)=0,"",AN51*AT51*IF(ISNUMBER(AJ51),AJ51,CC_DefCirc))</f>
        <v/>
      </c>
      <c r="AP51" s="27" t="n">
        <f aca="false">IF(ISNUMBER(T51),T51*INDEX(LenF,MATCH($T$7,LenU,0)),IF(ISNUMBER(W51),W51*INDEX(LenF,MATCH($W$7,LenU,0))/CC_PitchRatio,0))</f>
        <v>0</v>
      </c>
      <c r="AQ51" s="27" t="n">
        <f aca="false">IF(ISNUMBER(N51),PI()/4*(N51*INDEX(LenF,MATCH($N$7,LenU,0)))^2,IF(AND(ISNUMBER(S51),ISNUMBER(W51),X51&lt;&gt;""),S51*(W51*INDEX(LenF,MATCH($W$7,LenU,0)))^2*INDEX(LayoutF,MATCH(X51,LayoutU,0)),0))</f>
        <v>0</v>
      </c>
      <c r="AR51" s="27" t="n">
        <f aca="false">IF(ISNUMBER(O51),O51*INDEX(LenF,MATCH($O$7,LenU,0)),IF(ISNUMBER(V51),V51*INDEX(LenF,MATCH($V$7,LenU,0)),0))</f>
        <v>0</v>
      </c>
      <c r="AS51" s="27" t="str">
        <f aca="false">IF(ISNUMBER(L51),L51*INDEX(LenF,MATCH($L$7,LenU,0))*1000,IF(OR(J51="",K51=""),"",IFERROR(IF(INDEX(PipeWT,MATCH(J51,NPSU,0),MATCH(K51,SchU,0))="","Sch n/a",INDEX(PipeOD,MATCH(J51,NPSU,0))-2*INDEX(PipeWT,MATCH(J51,NPSU,0),MATCH(K51,SchU,0))),"")))</f>
        <v/>
      </c>
      <c r="AT51" s="27" t="n">
        <f aca="false">IF(ISNUMBER(AI51),AI51,IFERROR(INDEX(IF(CC_JobType="Decontamination",CC_TypeFillDC,CC_TypeFillCC),MATCH(E51,CC_TypeL,0)),1))</f>
        <v>1</v>
      </c>
      <c r="AU51" s="27" t="n">
        <v>2</v>
      </c>
    </row>
    <row r="52" customFormat="false" ht="15" hidden="false" customHeight="false" outlineLevel="0" collapsed="false">
      <c r="A52" s="36" t="n">
        <v>10</v>
      </c>
      <c r="B52" s="40"/>
      <c r="C52" s="32"/>
      <c r="D52" s="32"/>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1" t="str">
        <f aca="false">IF(E52="Exchanger",IF(AND(ISNUMBER(S52),ISNUMBER(U52),ISNUMBER(V52)),S52*PI()/4*(U52*INDEX(LenF,MATCH($U$7,LenU,0)))^2*V52*INDEX(LenF,MATCH($V$7,LenU,0)),0)+IF(ISNUMBER(Y52),PI()/4*(Y52*INDEX(LenF,MATCH($Y$7,LenU,0)))^2*N(Z52)*INDEX(LenF,MATCH($Z$7,LenU,0))+IF(AA52="",0,IF(AA52="Conical",PI()/12*(Y52*INDEX(LenF,MATCH($Y$7,LenU,0)))^2*(0),INDEX(HeadK,MATCH(AA52,HeadU,0))*(Y52*INDEX(LenF,MATCH($Y$7,LenU,0)))^3)),0)+IF(ISNUMBER(Y52),PI()/4*(Y52*INDEX(LenF,MATCH($Y$7,LenU,0)))^2*N(AB52)*INDEX(LenF,MATCH($AB$7,LenU,0))+IF(AC52="",0,IF(AC52="Conical",PI()/12*(Y52*INDEX(LenF,MATCH($Y$7,LenU,0)))^2*(0),INDEX(HeadK,MATCH(AC52,HeadU,0))*(Y52*INDEX(LenF,MATCH($Y$7,LenU,0)))^3)),0),"")</f>
        <v/>
      </c>
      <c r="AE52" s="41" t="str">
        <f aca="false">IF(OR(E52="",E52="Piping"),"",IF(E52="Exchanger",AQ52*AR52+IF(P52="",0,IF(P52="Conical",PI()/12*(SQRT(4*AQ52/PI()))^2*(0),INDEX(HeadK,MATCH(P52,HeadU,0))*(SQRT(4*AQ52/PI()))^3))-IF(AND(ISNUMBER(S52),ISNUMBER(V52)),S52*PI()/4*AP52^2*V52*INDEX(LenF,MATCH($V$7,LenU,0)),0),IF(ISNUMBER(N52),PI()/4*(N52*INDEX(LenF,MATCH($N$7,LenU,0)))^2*N(O52)*INDEX(LenF,MATCH($O$7,LenU,0))+IF(P52="",0,IF(P52="Conical",PI()/12*(N52*INDEX(LenF,MATCH($N$7,LenU,0)))^2*(N(R52)*INDEX(LenF,MATCH($R$7,LenU,0))),INDEX(HeadK,MATCH(P52,HeadU,0))*(N52*INDEX(LenF,MATCH($N$7,LenU,0)))^3))+IF(Q52="",0,IF(Q52="Conical",PI()/12*(N52*INDEX(LenF,MATCH($N$7,LenU,0)))^2*(N(R52)*INDEX(LenF,MATCH($R$7,LenU,0))),INDEX(HeadK,MATCH(Q52,HeadU,0))*(N52*INDEX(LenF,MATCH($N$7,LenU,0)))^3)),0)))</f>
        <v/>
      </c>
      <c r="AF52" s="41" t="str">
        <f aca="false">IF(E52&lt;&gt;"Piping","",IF(AND(ISNUMBER(AS52),ISNUMBER(M52)),PI()/4*(AS52/1000)^2*M52*INDEX(LenF,MATCH($M$7,LenU,0)),0))</f>
        <v/>
      </c>
      <c r="AG52" s="41" t="str">
        <f aca="false">IF(E52="","",N(AD52)+N(AE52)+N(AF52))</f>
        <v/>
      </c>
      <c r="AH52" s="41" t="str">
        <f aca="false">IF(ISNUMBER(I52),I52*INDEX(WtF,MATCH($I$7,WtU,0))/CC_WaterRho,"")</f>
        <v/>
      </c>
      <c r="AI52" s="31"/>
      <c r="AJ52" s="31"/>
      <c r="AK52" s="40"/>
      <c r="AL52" s="31"/>
      <c r="AM52" s="41" t="str">
        <f aca="false">IF(AO52="","",AO52*IF(ISNUMBER(AK52),AK52,CC_DefFills)*(1+IF(ISNUMBER(AL52),AL52,CC_DefAllow)))</f>
        <v/>
      </c>
      <c r="AN52" s="42" t="str">
        <f aca="false">IF(G52="Given volume",IF(ISNUMBER(H52),H52*INDEX(VolF,MATCH($H$7,VolU,0)),""),IF(G52="Water weight",AH52,IF(N(AG52)=0,"",AG52)))</f>
        <v/>
      </c>
      <c r="AO52" s="42" t="str">
        <f aca="false">IF(N(AN52)=0,"",AN52*AT52*IF(ISNUMBER(AJ52),AJ52,CC_DefCirc))</f>
        <v/>
      </c>
      <c r="AP52" s="27" t="n">
        <f aca="false">IF(ISNUMBER(T52),T52*INDEX(LenF,MATCH($T$7,LenU,0)),IF(ISNUMBER(W52),W52*INDEX(LenF,MATCH($W$7,LenU,0))/CC_PitchRatio,0))</f>
        <v>0</v>
      </c>
      <c r="AQ52" s="27" t="n">
        <f aca="false">IF(ISNUMBER(N52),PI()/4*(N52*INDEX(LenF,MATCH($N$7,LenU,0)))^2,IF(AND(ISNUMBER(S52),ISNUMBER(W52),X52&lt;&gt;""),S52*(W52*INDEX(LenF,MATCH($W$7,LenU,0)))^2*INDEX(LayoutF,MATCH(X52,LayoutU,0)),0))</f>
        <v>0</v>
      </c>
      <c r="AR52" s="27" t="n">
        <f aca="false">IF(ISNUMBER(O52),O52*INDEX(LenF,MATCH($O$7,LenU,0)),IF(ISNUMBER(V52),V52*INDEX(LenF,MATCH($V$7,LenU,0)),0))</f>
        <v>0</v>
      </c>
      <c r="AS52" s="27" t="str">
        <f aca="false">IF(ISNUMBER(L52),L52*INDEX(LenF,MATCH($L$7,LenU,0))*1000,IF(OR(J52="",K52=""),"",IFERROR(IF(INDEX(PipeWT,MATCH(J52,NPSU,0),MATCH(K52,SchU,0))="","Sch n/a",INDEX(PipeOD,MATCH(J52,NPSU,0))-2*INDEX(PipeWT,MATCH(J52,NPSU,0),MATCH(K52,SchU,0))),"")))</f>
        <v/>
      </c>
      <c r="AT52" s="27" t="n">
        <f aca="false">IF(ISNUMBER(AI52),AI52,IFERROR(INDEX(IF(CC_JobType="Decontamination",CC_TypeFillDC,CC_TypeFillCC),MATCH(E52,CC_TypeL,0)),1))</f>
        <v>1</v>
      </c>
      <c r="AU52" s="27" t="n">
        <v>2</v>
      </c>
    </row>
    <row r="53" customFormat="false" ht="15" hidden="false" customHeight="false" outlineLevel="0" collapsed="false">
      <c r="A53" s="36" t="n">
        <v>11</v>
      </c>
      <c r="B53" s="40"/>
      <c r="C53" s="32"/>
      <c r="D53" s="32"/>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1" t="str">
        <f aca="false">IF(E53="Exchanger",IF(AND(ISNUMBER(S53),ISNUMBER(U53),ISNUMBER(V53)),S53*PI()/4*(U53*INDEX(LenF,MATCH($U$7,LenU,0)))^2*V53*INDEX(LenF,MATCH($V$7,LenU,0)),0)+IF(ISNUMBER(Y53),PI()/4*(Y53*INDEX(LenF,MATCH($Y$7,LenU,0)))^2*N(Z53)*INDEX(LenF,MATCH($Z$7,LenU,0))+IF(AA53="",0,IF(AA53="Conical",PI()/12*(Y53*INDEX(LenF,MATCH($Y$7,LenU,0)))^2*(0),INDEX(HeadK,MATCH(AA53,HeadU,0))*(Y53*INDEX(LenF,MATCH($Y$7,LenU,0)))^3)),0)+IF(ISNUMBER(Y53),PI()/4*(Y53*INDEX(LenF,MATCH($Y$7,LenU,0)))^2*N(AB53)*INDEX(LenF,MATCH($AB$7,LenU,0))+IF(AC53="",0,IF(AC53="Conical",PI()/12*(Y53*INDEX(LenF,MATCH($Y$7,LenU,0)))^2*(0),INDEX(HeadK,MATCH(AC53,HeadU,0))*(Y53*INDEX(LenF,MATCH($Y$7,LenU,0)))^3)),0),"")</f>
        <v/>
      </c>
      <c r="AE53" s="41" t="str">
        <f aca="false">IF(OR(E53="",E53="Piping"),"",IF(E53="Exchanger",AQ53*AR53+IF(P53="",0,IF(P53="Conical",PI()/12*(SQRT(4*AQ53/PI()))^2*(0),INDEX(HeadK,MATCH(P53,HeadU,0))*(SQRT(4*AQ53/PI()))^3))-IF(AND(ISNUMBER(S53),ISNUMBER(V53)),S53*PI()/4*AP53^2*V53*INDEX(LenF,MATCH($V$7,LenU,0)),0),IF(ISNUMBER(N53),PI()/4*(N53*INDEX(LenF,MATCH($N$7,LenU,0)))^2*N(O53)*INDEX(LenF,MATCH($O$7,LenU,0))+IF(P53="",0,IF(P53="Conical",PI()/12*(N53*INDEX(LenF,MATCH($N$7,LenU,0)))^2*(N(R53)*INDEX(LenF,MATCH($R$7,LenU,0))),INDEX(HeadK,MATCH(P53,HeadU,0))*(N53*INDEX(LenF,MATCH($N$7,LenU,0)))^3))+IF(Q53="",0,IF(Q53="Conical",PI()/12*(N53*INDEX(LenF,MATCH($N$7,LenU,0)))^2*(N(R53)*INDEX(LenF,MATCH($R$7,LenU,0))),INDEX(HeadK,MATCH(Q53,HeadU,0))*(N53*INDEX(LenF,MATCH($N$7,LenU,0)))^3)),0)))</f>
        <v/>
      </c>
      <c r="AF53" s="41" t="str">
        <f aca="false">IF(E53&lt;&gt;"Piping","",IF(AND(ISNUMBER(AS53),ISNUMBER(M53)),PI()/4*(AS53/1000)^2*M53*INDEX(LenF,MATCH($M$7,LenU,0)),0))</f>
        <v/>
      </c>
      <c r="AG53" s="41" t="str">
        <f aca="false">IF(E53="","",N(AD53)+N(AE53)+N(AF53))</f>
        <v/>
      </c>
      <c r="AH53" s="41" t="str">
        <f aca="false">IF(ISNUMBER(I53),I53*INDEX(WtF,MATCH($I$7,WtU,0))/CC_WaterRho,"")</f>
        <v/>
      </c>
      <c r="AI53" s="31"/>
      <c r="AJ53" s="31"/>
      <c r="AK53" s="40"/>
      <c r="AL53" s="31"/>
      <c r="AM53" s="41" t="str">
        <f aca="false">IF(AO53="","",AO53*IF(ISNUMBER(AK53),AK53,CC_DefFills)*(1+IF(ISNUMBER(AL53),AL53,CC_DefAllow)))</f>
        <v/>
      </c>
      <c r="AN53" s="42" t="str">
        <f aca="false">IF(G53="Given volume",IF(ISNUMBER(H53),H53*INDEX(VolF,MATCH($H$7,VolU,0)),""),IF(G53="Water weight",AH53,IF(N(AG53)=0,"",AG53)))</f>
        <v/>
      </c>
      <c r="AO53" s="42" t="str">
        <f aca="false">IF(N(AN53)=0,"",AN53*AT53*IF(ISNUMBER(AJ53),AJ53,CC_DefCirc))</f>
        <v/>
      </c>
      <c r="AP53" s="27" t="n">
        <f aca="false">IF(ISNUMBER(T53),T53*INDEX(LenF,MATCH($T$7,LenU,0)),IF(ISNUMBER(W53),W53*INDEX(LenF,MATCH($W$7,LenU,0))/CC_PitchRatio,0))</f>
        <v>0</v>
      </c>
      <c r="AQ53" s="27" t="n">
        <f aca="false">IF(ISNUMBER(N53),PI()/4*(N53*INDEX(LenF,MATCH($N$7,LenU,0)))^2,IF(AND(ISNUMBER(S53),ISNUMBER(W53),X53&lt;&gt;""),S53*(W53*INDEX(LenF,MATCH($W$7,LenU,0)))^2*INDEX(LayoutF,MATCH(X53,LayoutU,0)),0))</f>
        <v>0</v>
      </c>
      <c r="AR53" s="27" t="n">
        <f aca="false">IF(ISNUMBER(O53),O53*INDEX(LenF,MATCH($O$7,LenU,0)),IF(ISNUMBER(V53),V53*INDEX(LenF,MATCH($V$7,LenU,0)),0))</f>
        <v>0</v>
      </c>
      <c r="AS53" s="27" t="str">
        <f aca="false">IF(ISNUMBER(L53),L53*INDEX(LenF,MATCH($L$7,LenU,0))*1000,IF(OR(J53="",K53=""),"",IFERROR(IF(INDEX(PipeWT,MATCH(J53,NPSU,0),MATCH(K53,SchU,0))="","Sch n/a",INDEX(PipeOD,MATCH(J53,NPSU,0))-2*INDEX(PipeWT,MATCH(J53,NPSU,0),MATCH(K53,SchU,0))),"")))</f>
        <v/>
      </c>
      <c r="AT53" s="27" t="n">
        <f aca="false">IF(ISNUMBER(AI53),AI53,IFERROR(INDEX(IF(CC_JobType="Decontamination",CC_TypeFillDC,CC_TypeFillCC),MATCH(E53,CC_TypeL,0)),1))</f>
        <v>1</v>
      </c>
      <c r="AU53" s="27" t="n">
        <v>2</v>
      </c>
    </row>
    <row r="54" customFormat="false" ht="15" hidden="false" customHeight="false" outlineLevel="0" collapsed="false">
      <c r="A54" s="36" t="n">
        <v>12</v>
      </c>
      <c r="B54" s="40"/>
      <c r="C54" s="32"/>
      <c r="D54" s="32"/>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1" t="str">
        <f aca="false">IF(E54="Exchanger",IF(AND(ISNUMBER(S54),ISNUMBER(U54),ISNUMBER(V54)),S54*PI()/4*(U54*INDEX(LenF,MATCH($U$7,LenU,0)))^2*V54*INDEX(LenF,MATCH($V$7,LenU,0)),0)+IF(ISNUMBER(Y54),PI()/4*(Y54*INDEX(LenF,MATCH($Y$7,LenU,0)))^2*N(Z54)*INDEX(LenF,MATCH($Z$7,LenU,0))+IF(AA54="",0,IF(AA54="Conical",PI()/12*(Y54*INDEX(LenF,MATCH($Y$7,LenU,0)))^2*(0),INDEX(HeadK,MATCH(AA54,HeadU,0))*(Y54*INDEX(LenF,MATCH($Y$7,LenU,0)))^3)),0)+IF(ISNUMBER(Y54),PI()/4*(Y54*INDEX(LenF,MATCH($Y$7,LenU,0)))^2*N(AB54)*INDEX(LenF,MATCH($AB$7,LenU,0))+IF(AC54="",0,IF(AC54="Conical",PI()/12*(Y54*INDEX(LenF,MATCH($Y$7,LenU,0)))^2*(0),INDEX(HeadK,MATCH(AC54,HeadU,0))*(Y54*INDEX(LenF,MATCH($Y$7,LenU,0)))^3)),0),"")</f>
        <v/>
      </c>
      <c r="AE54" s="41" t="str">
        <f aca="false">IF(OR(E54="",E54="Piping"),"",IF(E54="Exchanger",AQ54*AR54+IF(P54="",0,IF(P54="Conical",PI()/12*(SQRT(4*AQ54/PI()))^2*(0),INDEX(HeadK,MATCH(P54,HeadU,0))*(SQRT(4*AQ54/PI()))^3))-IF(AND(ISNUMBER(S54),ISNUMBER(V54)),S54*PI()/4*AP54^2*V54*INDEX(LenF,MATCH($V$7,LenU,0)),0),IF(ISNUMBER(N54),PI()/4*(N54*INDEX(LenF,MATCH($N$7,LenU,0)))^2*N(O54)*INDEX(LenF,MATCH($O$7,LenU,0))+IF(P54="",0,IF(P54="Conical",PI()/12*(N54*INDEX(LenF,MATCH($N$7,LenU,0)))^2*(N(R54)*INDEX(LenF,MATCH($R$7,LenU,0))),INDEX(HeadK,MATCH(P54,HeadU,0))*(N54*INDEX(LenF,MATCH($N$7,LenU,0)))^3))+IF(Q54="",0,IF(Q54="Conical",PI()/12*(N54*INDEX(LenF,MATCH($N$7,LenU,0)))^2*(N(R54)*INDEX(LenF,MATCH($R$7,LenU,0))),INDEX(HeadK,MATCH(Q54,HeadU,0))*(N54*INDEX(LenF,MATCH($N$7,LenU,0)))^3)),0)))</f>
        <v/>
      </c>
      <c r="AF54" s="41" t="str">
        <f aca="false">IF(E54&lt;&gt;"Piping","",IF(AND(ISNUMBER(AS54),ISNUMBER(M54)),PI()/4*(AS54/1000)^2*M54*INDEX(LenF,MATCH($M$7,LenU,0)),0))</f>
        <v/>
      </c>
      <c r="AG54" s="41" t="str">
        <f aca="false">IF(E54="","",N(AD54)+N(AE54)+N(AF54))</f>
        <v/>
      </c>
      <c r="AH54" s="41" t="str">
        <f aca="false">IF(ISNUMBER(I54),I54*INDEX(WtF,MATCH($I$7,WtU,0))/CC_WaterRho,"")</f>
        <v/>
      </c>
      <c r="AI54" s="31"/>
      <c r="AJ54" s="31"/>
      <c r="AK54" s="40"/>
      <c r="AL54" s="31"/>
      <c r="AM54" s="41" t="str">
        <f aca="false">IF(AO54="","",AO54*IF(ISNUMBER(AK54),AK54,CC_DefFills)*(1+IF(ISNUMBER(AL54),AL54,CC_DefAllow)))</f>
        <v/>
      </c>
      <c r="AN54" s="42" t="str">
        <f aca="false">IF(G54="Given volume",IF(ISNUMBER(H54),H54*INDEX(VolF,MATCH($H$7,VolU,0)),""),IF(G54="Water weight",AH54,IF(N(AG54)=0,"",AG54)))</f>
        <v/>
      </c>
      <c r="AO54" s="42" t="str">
        <f aca="false">IF(N(AN54)=0,"",AN54*AT54*IF(ISNUMBER(AJ54),AJ54,CC_DefCirc))</f>
        <v/>
      </c>
      <c r="AP54" s="27" t="n">
        <f aca="false">IF(ISNUMBER(T54),T54*INDEX(LenF,MATCH($T$7,LenU,0)),IF(ISNUMBER(W54),W54*INDEX(LenF,MATCH($W$7,LenU,0))/CC_PitchRatio,0))</f>
        <v>0</v>
      </c>
      <c r="AQ54" s="27" t="n">
        <f aca="false">IF(ISNUMBER(N54),PI()/4*(N54*INDEX(LenF,MATCH($N$7,LenU,0)))^2,IF(AND(ISNUMBER(S54),ISNUMBER(W54),X54&lt;&gt;""),S54*(W54*INDEX(LenF,MATCH($W$7,LenU,0)))^2*INDEX(LayoutF,MATCH(X54,LayoutU,0)),0))</f>
        <v>0</v>
      </c>
      <c r="AR54" s="27" t="n">
        <f aca="false">IF(ISNUMBER(O54),O54*INDEX(LenF,MATCH($O$7,LenU,0)),IF(ISNUMBER(V54),V54*INDEX(LenF,MATCH($V$7,LenU,0)),0))</f>
        <v>0</v>
      </c>
      <c r="AS54" s="27" t="str">
        <f aca="false">IF(ISNUMBER(L54),L54*INDEX(LenF,MATCH($L$7,LenU,0))*1000,IF(OR(J54="",K54=""),"",IFERROR(IF(INDEX(PipeWT,MATCH(J54,NPSU,0),MATCH(K54,SchU,0))="","Sch n/a",INDEX(PipeOD,MATCH(J54,NPSU,0))-2*INDEX(PipeWT,MATCH(J54,NPSU,0),MATCH(K54,SchU,0))),"")))</f>
        <v/>
      </c>
      <c r="AT54" s="27" t="n">
        <f aca="false">IF(ISNUMBER(AI54),AI54,IFERROR(INDEX(IF(CC_JobType="Decontamination",CC_TypeFillDC,CC_TypeFillCC),MATCH(E54,CC_TypeL,0)),1))</f>
        <v>1</v>
      </c>
      <c r="AU54" s="27" t="n">
        <v>2</v>
      </c>
    </row>
    <row r="55" customFormat="false" ht="15" hidden="false" customHeight="false" outlineLevel="0" collapsed="false">
      <c r="A55" s="36" t="n">
        <v>13</v>
      </c>
      <c r="B55" s="40"/>
      <c r="C55" s="32"/>
      <c r="D55" s="32"/>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1" t="str">
        <f aca="false">IF(E55="Exchanger",IF(AND(ISNUMBER(S55),ISNUMBER(U55),ISNUMBER(V55)),S55*PI()/4*(U55*INDEX(LenF,MATCH($U$7,LenU,0)))^2*V55*INDEX(LenF,MATCH($V$7,LenU,0)),0)+IF(ISNUMBER(Y55),PI()/4*(Y55*INDEX(LenF,MATCH($Y$7,LenU,0)))^2*N(Z55)*INDEX(LenF,MATCH($Z$7,LenU,0))+IF(AA55="",0,IF(AA55="Conical",PI()/12*(Y55*INDEX(LenF,MATCH($Y$7,LenU,0)))^2*(0),INDEX(HeadK,MATCH(AA55,HeadU,0))*(Y55*INDEX(LenF,MATCH($Y$7,LenU,0)))^3)),0)+IF(ISNUMBER(Y55),PI()/4*(Y55*INDEX(LenF,MATCH($Y$7,LenU,0)))^2*N(AB55)*INDEX(LenF,MATCH($AB$7,LenU,0))+IF(AC55="",0,IF(AC55="Conical",PI()/12*(Y55*INDEX(LenF,MATCH($Y$7,LenU,0)))^2*(0),INDEX(HeadK,MATCH(AC55,HeadU,0))*(Y55*INDEX(LenF,MATCH($Y$7,LenU,0)))^3)),0),"")</f>
        <v/>
      </c>
      <c r="AE55" s="41" t="str">
        <f aca="false">IF(OR(E55="",E55="Piping"),"",IF(E55="Exchanger",AQ55*AR55+IF(P55="",0,IF(P55="Conical",PI()/12*(SQRT(4*AQ55/PI()))^2*(0),INDEX(HeadK,MATCH(P55,HeadU,0))*(SQRT(4*AQ55/PI()))^3))-IF(AND(ISNUMBER(S55),ISNUMBER(V55)),S55*PI()/4*AP55^2*V55*INDEX(LenF,MATCH($V$7,LenU,0)),0),IF(ISNUMBER(N55),PI()/4*(N55*INDEX(LenF,MATCH($N$7,LenU,0)))^2*N(O55)*INDEX(LenF,MATCH($O$7,LenU,0))+IF(P55="",0,IF(P55="Conical",PI()/12*(N55*INDEX(LenF,MATCH($N$7,LenU,0)))^2*(N(R55)*INDEX(LenF,MATCH($R$7,LenU,0))),INDEX(HeadK,MATCH(P55,HeadU,0))*(N55*INDEX(LenF,MATCH($N$7,LenU,0)))^3))+IF(Q55="",0,IF(Q55="Conical",PI()/12*(N55*INDEX(LenF,MATCH($N$7,LenU,0)))^2*(N(R55)*INDEX(LenF,MATCH($R$7,LenU,0))),INDEX(HeadK,MATCH(Q55,HeadU,0))*(N55*INDEX(LenF,MATCH($N$7,LenU,0)))^3)),0)))</f>
        <v/>
      </c>
      <c r="AF55" s="41" t="str">
        <f aca="false">IF(E55&lt;&gt;"Piping","",IF(AND(ISNUMBER(AS55),ISNUMBER(M55)),PI()/4*(AS55/1000)^2*M55*INDEX(LenF,MATCH($M$7,LenU,0)),0))</f>
        <v/>
      </c>
      <c r="AG55" s="41" t="str">
        <f aca="false">IF(E55="","",N(AD55)+N(AE55)+N(AF55))</f>
        <v/>
      </c>
      <c r="AH55" s="41" t="str">
        <f aca="false">IF(ISNUMBER(I55),I55*INDEX(WtF,MATCH($I$7,WtU,0))/CC_WaterRho,"")</f>
        <v/>
      </c>
      <c r="AI55" s="31"/>
      <c r="AJ55" s="31"/>
      <c r="AK55" s="40"/>
      <c r="AL55" s="31"/>
      <c r="AM55" s="41" t="str">
        <f aca="false">IF(AO55="","",AO55*IF(ISNUMBER(AK55),AK55,CC_DefFills)*(1+IF(ISNUMBER(AL55),AL55,CC_DefAllow)))</f>
        <v/>
      </c>
      <c r="AN55" s="42" t="str">
        <f aca="false">IF(G55="Given volume",IF(ISNUMBER(H55),H55*INDEX(VolF,MATCH($H$7,VolU,0)),""),IF(G55="Water weight",AH55,IF(N(AG55)=0,"",AG55)))</f>
        <v/>
      </c>
      <c r="AO55" s="42" t="str">
        <f aca="false">IF(N(AN55)=0,"",AN55*AT55*IF(ISNUMBER(AJ55),AJ55,CC_DefCirc))</f>
        <v/>
      </c>
      <c r="AP55" s="27" t="n">
        <f aca="false">IF(ISNUMBER(T55),T55*INDEX(LenF,MATCH($T$7,LenU,0)),IF(ISNUMBER(W55),W55*INDEX(LenF,MATCH($W$7,LenU,0))/CC_PitchRatio,0))</f>
        <v>0</v>
      </c>
      <c r="AQ55" s="27" t="n">
        <f aca="false">IF(ISNUMBER(N55),PI()/4*(N55*INDEX(LenF,MATCH($N$7,LenU,0)))^2,IF(AND(ISNUMBER(S55),ISNUMBER(W55),X55&lt;&gt;""),S55*(W55*INDEX(LenF,MATCH($W$7,LenU,0)))^2*INDEX(LayoutF,MATCH(X55,LayoutU,0)),0))</f>
        <v>0</v>
      </c>
      <c r="AR55" s="27" t="n">
        <f aca="false">IF(ISNUMBER(O55),O55*INDEX(LenF,MATCH($O$7,LenU,0)),IF(ISNUMBER(V55),V55*INDEX(LenF,MATCH($V$7,LenU,0)),0))</f>
        <v>0</v>
      </c>
      <c r="AS55" s="27" t="str">
        <f aca="false">IF(ISNUMBER(L55),L55*INDEX(LenF,MATCH($L$7,LenU,0))*1000,IF(OR(J55="",K55=""),"",IFERROR(IF(INDEX(PipeWT,MATCH(J55,NPSU,0),MATCH(K55,SchU,0))="","Sch n/a",INDEX(PipeOD,MATCH(J55,NPSU,0))-2*INDEX(PipeWT,MATCH(J55,NPSU,0),MATCH(K55,SchU,0))),"")))</f>
        <v/>
      </c>
      <c r="AT55" s="27" t="n">
        <f aca="false">IF(ISNUMBER(AI55),AI55,IFERROR(INDEX(IF(CC_JobType="Decontamination",CC_TypeFillDC,CC_TypeFillCC),MATCH(E55,CC_TypeL,0)),1))</f>
        <v>1</v>
      </c>
      <c r="AU55" s="27" t="n">
        <v>2</v>
      </c>
    </row>
    <row r="56" customFormat="false" ht="15" hidden="false" customHeight="false" outlineLevel="0" collapsed="false">
      <c r="A56" s="36" t="n">
        <v>14</v>
      </c>
      <c r="B56" s="40"/>
      <c r="C56" s="32"/>
      <c r="D56" s="32"/>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1" t="str">
        <f aca="false">IF(E56="Exchanger",IF(AND(ISNUMBER(S56),ISNUMBER(U56),ISNUMBER(V56)),S56*PI()/4*(U56*INDEX(LenF,MATCH($U$7,LenU,0)))^2*V56*INDEX(LenF,MATCH($V$7,LenU,0)),0)+IF(ISNUMBER(Y56),PI()/4*(Y56*INDEX(LenF,MATCH($Y$7,LenU,0)))^2*N(Z56)*INDEX(LenF,MATCH($Z$7,LenU,0))+IF(AA56="",0,IF(AA56="Conical",PI()/12*(Y56*INDEX(LenF,MATCH($Y$7,LenU,0)))^2*(0),INDEX(HeadK,MATCH(AA56,HeadU,0))*(Y56*INDEX(LenF,MATCH($Y$7,LenU,0)))^3)),0)+IF(ISNUMBER(Y56),PI()/4*(Y56*INDEX(LenF,MATCH($Y$7,LenU,0)))^2*N(AB56)*INDEX(LenF,MATCH($AB$7,LenU,0))+IF(AC56="",0,IF(AC56="Conical",PI()/12*(Y56*INDEX(LenF,MATCH($Y$7,LenU,0)))^2*(0),INDEX(HeadK,MATCH(AC56,HeadU,0))*(Y56*INDEX(LenF,MATCH($Y$7,LenU,0)))^3)),0),"")</f>
        <v/>
      </c>
      <c r="AE56" s="41" t="str">
        <f aca="false">IF(OR(E56="",E56="Piping"),"",IF(E56="Exchanger",AQ56*AR56+IF(P56="",0,IF(P56="Conical",PI()/12*(SQRT(4*AQ56/PI()))^2*(0),INDEX(HeadK,MATCH(P56,HeadU,0))*(SQRT(4*AQ56/PI()))^3))-IF(AND(ISNUMBER(S56),ISNUMBER(V56)),S56*PI()/4*AP56^2*V56*INDEX(LenF,MATCH($V$7,LenU,0)),0),IF(ISNUMBER(N56),PI()/4*(N56*INDEX(LenF,MATCH($N$7,LenU,0)))^2*N(O56)*INDEX(LenF,MATCH($O$7,LenU,0))+IF(P56="",0,IF(P56="Conical",PI()/12*(N56*INDEX(LenF,MATCH($N$7,LenU,0)))^2*(N(R56)*INDEX(LenF,MATCH($R$7,LenU,0))),INDEX(HeadK,MATCH(P56,HeadU,0))*(N56*INDEX(LenF,MATCH($N$7,LenU,0)))^3))+IF(Q56="",0,IF(Q56="Conical",PI()/12*(N56*INDEX(LenF,MATCH($N$7,LenU,0)))^2*(N(R56)*INDEX(LenF,MATCH($R$7,LenU,0))),INDEX(HeadK,MATCH(Q56,HeadU,0))*(N56*INDEX(LenF,MATCH($N$7,LenU,0)))^3)),0)))</f>
        <v/>
      </c>
      <c r="AF56" s="41" t="str">
        <f aca="false">IF(E56&lt;&gt;"Piping","",IF(AND(ISNUMBER(AS56),ISNUMBER(M56)),PI()/4*(AS56/1000)^2*M56*INDEX(LenF,MATCH($M$7,LenU,0)),0))</f>
        <v/>
      </c>
      <c r="AG56" s="41" t="str">
        <f aca="false">IF(E56="","",N(AD56)+N(AE56)+N(AF56))</f>
        <v/>
      </c>
      <c r="AH56" s="41" t="str">
        <f aca="false">IF(ISNUMBER(I56),I56*INDEX(WtF,MATCH($I$7,WtU,0))/CC_WaterRho,"")</f>
        <v/>
      </c>
      <c r="AI56" s="31"/>
      <c r="AJ56" s="31"/>
      <c r="AK56" s="40"/>
      <c r="AL56" s="31"/>
      <c r="AM56" s="41" t="str">
        <f aca="false">IF(AO56="","",AO56*IF(ISNUMBER(AK56),AK56,CC_DefFills)*(1+IF(ISNUMBER(AL56),AL56,CC_DefAllow)))</f>
        <v/>
      </c>
      <c r="AN56" s="42" t="str">
        <f aca="false">IF(G56="Given volume",IF(ISNUMBER(H56),H56*INDEX(VolF,MATCH($H$7,VolU,0)),""),IF(G56="Water weight",AH56,IF(N(AG56)=0,"",AG56)))</f>
        <v/>
      </c>
      <c r="AO56" s="42" t="str">
        <f aca="false">IF(N(AN56)=0,"",AN56*AT56*IF(ISNUMBER(AJ56),AJ56,CC_DefCirc))</f>
        <v/>
      </c>
      <c r="AP56" s="27" t="n">
        <f aca="false">IF(ISNUMBER(T56),T56*INDEX(LenF,MATCH($T$7,LenU,0)),IF(ISNUMBER(W56),W56*INDEX(LenF,MATCH($W$7,LenU,0))/CC_PitchRatio,0))</f>
        <v>0</v>
      </c>
      <c r="AQ56" s="27" t="n">
        <f aca="false">IF(ISNUMBER(N56),PI()/4*(N56*INDEX(LenF,MATCH($N$7,LenU,0)))^2,IF(AND(ISNUMBER(S56),ISNUMBER(W56),X56&lt;&gt;""),S56*(W56*INDEX(LenF,MATCH($W$7,LenU,0)))^2*INDEX(LayoutF,MATCH(X56,LayoutU,0)),0))</f>
        <v>0</v>
      </c>
      <c r="AR56" s="27" t="n">
        <f aca="false">IF(ISNUMBER(O56),O56*INDEX(LenF,MATCH($O$7,LenU,0)),IF(ISNUMBER(V56),V56*INDEX(LenF,MATCH($V$7,LenU,0)),0))</f>
        <v>0</v>
      </c>
      <c r="AS56" s="27" t="str">
        <f aca="false">IF(ISNUMBER(L56),L56*INDEX(LenF,MATCH($L$7,LenU,0))*1000,IF(OR(J56="",K56=""),"",IFERROR(IF(INDEX(PipeWT,MATCH(J56,NPSU,0),MATCH(K56,SchU,0))="","Sch n/a",INDEX(PipeOD,MATCH(J56,NPSU,0))-2*INDEX(PipeWT,MATCH(J56,NPSU,0),MATCH(K56,SchU,0))),"")))</f>
        <v/>
      </c>
      <c r="AT56" s="27" t="n">
        <f aca="false">IF(ISNUMBER(AI56),AI56,IFERROR(INDEX(IF(CC_JobType="Decontamination",CC_TypeFillDC,CC_TypeFillCC),MATCH(E56,CC_TypeL,0)),1))</f>
        <v>1</v>
      </c>
      <c r="AU56" s="27" t="n">
        <v>2</v>
      </c>
    </row>
    <row r="57" customFormat="false" ht="15" hidden="false" customHeight="false" outlineLevel="0" collapsed="false">
      <c r="A57" s="36" t="n">
        <v>15</v>
      </c>
      <c r="B57" s="40"/>
      <c r="C57" s="32"/>
      <c r="D57" s="32"/>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1" t="str">
        <f aca="false">IF(E57="Exchanger",IF(AND(ISNUMBER(S57),ISNUMBER(U57),ISNUMBER(V57)),S57*PI()/4*(U57*INDEX(LenF,MATCH($U$7,LenU,0)))^2*V57*INDEX(LenF,MATCH($V$7,LenU,0)),0)+IF(ISNUMBER(Y57),PI()/4*(Y57*INDEX(LenF,MATCH($Y$7,LenU,0)))^2*N(Z57)*INDEX(LenF,MATCH($Z$7,LenU,0))+IF(AA57="",0,IF(AA57="Conical",PI()/12*(Y57*INDEX(LenF,MATCH($Y$7,LenU,0)))^2*(0),INDEX(HeadK,MATCH(AA57,HeadU,0))*(Y57*INDEX(LenF,MATCH($Y$7,LenU,0)))^3)),0)+IF(ISNUMBER(Y57),PI()/4*(Y57*INDEX(LenF,MATCH($Y$7,LenU,0)))^2*N(AB57)*INDEX(LenF,MATCH($AB$7,LenU,0))+IF(AC57="",0,IF(AC57="Conical",PI()/12*(Y57*INDEX(LenF,MATCH($Y$7,LenU,0)))^2*(0),INDEX(HeadK,MATCH(AC57,HeadU,0))*(Y57*INDEX(LenF,MATCH($Y$7,LenU,0)))^3)),0),"")</f>
        <v/>
      </c>
      <c r="AE57" s="41" t="str">
        <f aca="false">IF(OR(E57="",E57="Piping"),"",IF(E57="Exchanger",AQ57*AR57+IF(P57="",0,IF(P57="Conical",PI()/12*(SQRT(4*AQ57/PI()))^2*(0),INDEX(HeadK,MATCH(P57,HeadU,0))*(SQRT(4*AQ57/PI()))^3))-IF(AND(ISNUMBER(S57),ISNUMBER(V57)),S57*PI()/4*AP57^2*V57*INDEX(LenF,MATCH($V$7,LenU,0)),0),IF(ISNUMBER(N57),PI()/4*(N57*INDEX(LenF,MATCH($N$7,LenU,0)))^2*N(O57)*INDEX(LenF,MATCH($O$7,LenU,0))+IF(P57="",0,IF(P57="Conical",PI()/12*(N57*INDEX(LenF,MATCH($N$7,LenU,0)))^2*(N(R57)*INDEX(LenF,MATCH($R$7,LenU,0))),INDEX(HeadK,MATCH(P57,HeadU,0))*(N57*INDEX(LenF,MATCH($N$7,LenU,0)))^3))+IF(Q57="",0,IF(Q57="Conical",PI()/12*(N57*INDEX(LenF,MATCH($N$7,LenU,0)))^2*(N(R57)*INDEX(LenF,MATCH($R$7,LenU,0))),INDEX(HeadK,MATCH(Q57,HeadU,0))*(N57*INDEX(LenF,MATCH($N$7,LenU,0)))^3)),0)))</f>
        <v/>
      </c>
      <c r="AF57" s="41" t="str">
        <f aca="false">IF(E57&lt;&gt;"Piping","",IF(AND(ISNUMBER(AS57),ISNUMBER(M57)),PI()/4*(AS57/1000)^2*M57*INDEX(LenF,MATCH($M$7,LenU,0)),0))</f>
        <v/>
      </c>
      <c r="AG57" s="41" t="str">
        <f aca="false">IF(E57="","",N(AD57)+N(AE57)+N(AF57))</f>
        <v/>
      </c>
      <c r="AH57" s="41" t="str">
        <f aca="false">IF(ISNUMBER(I57),I57*INDEX(WtF,MATCH($I$7,WtU,0))/CC_WaterRho,"")</f>
        <v/>
      </c>
      <c r="AI57" s="31"/>
      <c r="AJ57" s="31"/>
      <c r="AK57" s="40"/>
      <c r="AL57" s="31"/>
      <c r="AM57" s="41" t="str">
        <f aca="false">IF(AO57="","",AO57*IF(ISNUMBER(AK57),AK57,CC_DefFills)*(1+IF(ISNUMBER(AL57),AL57,CC_DefAllow)))</f>
        <v/>
      </c>
      <c r="AN57" s="42" t="str">
        <f aca="false">IF(G57="Given volume",IF(ISNUMBER(H57),H57*INDEX(VolF,MATCH($H$7,VolU,0)),""),IF(G57="Water weight",AH57,IF(N(AG57)=0,"",AG57)))</f>
        <v/>
      </c>
      <c r="AO57" s="42" t="str">
        <f aca="false">IF(N(AN57)=0,"",AN57*AT57*IF(ISNUMBER(AJ57),AJ57,CC_DefCirc))</f>
        <v/>
      </c>
      <c r="AP57" s="27" t="n">
        <f aca="false">IF(ISNUMBER(T57),T57*INDEX(LenF,MATCH($T$7,LenU,0)),IF(ISNUMBER(W57),W57*INDEX(LenF,MATCH($W$7,LenU,0))/CC_PitchRatio,0))</f>
        <v>0</v>
      </c>
      <c r="AQ57" s="27" t="n">
        <f aca="false">IF(ISNUMBER(N57),PI()/4*(N57*INDEX(LenF,MATCH($N$7,LenU,0)))^2,IF(AND(ISNUMBER(S57),ISNUMBER(W57),X57&lt;&gt;""),S57*(W57*INDEX(LenF,MATCH($W$7,LenU,0)))^2*INDEX(LayoutF,MATCH(X57,LayoutU,0)),0))</f>
        <v>0</v>
      </c>
      <c r="AR57" s="27" t="n">
        <f aca="false">IF(ISNUMBER(O57),O57*INDEX(LenF,MATCH($O$7,LenU,0)),IF(ISNUMBER(V57),V57*INDEX(LenF,MATCH($V$7,LenU,0)),0))</f>
        <v>0</v>
      </c>
      <c r="AS57" s="27" t="str">
        <f aca="false">IF(ISNUMBER(L57),L57*INDEX(LenF,MATCH($L$7,LenU,0))*1000,IF(OR(J57="",K57=""),"",IFERROR(IF(INDEX(PipeWT,MATCH(J57,NPSU,0),MATCH(K57,SchU,0))="","Sch n/a",INDEX(PipeOD,MATCH(J57,NPSU,0))-2*INDEX(PipeWT,MATCH(J57,NPSU,0),MATCH(K57,SchU,0))),"")))</f>
        <v/>
      </c>
      <c r="AT57" s="27" t="n">
        <f aca="false">IF(ISNUMBER(AI57),AI57,IFERROR(INDEX(IF(CC_JobType="Decontamination",CC_TypeFillDC,CC_TypeFillCC),MATCH(E57,CC_TypeL,0)),1))</f>
        <v>1</v>
      </c>
      <c r="AU57" s="27" t="n">
        <v>2</v>
      </c>
    </row>
    <row r="58" customFormat="false" ht="15" hidden="false" customHeight="false" outlineLevel="0" collapsed="false">
      <c r="A58" s="36" t="n">
        <v>16</v>
      </c>
      <c r="B58" s="40"/>
      <c r="C58" s="32"/>
      <c r="D58" s="32"/>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1" t="str">
        <f aca="false">IF(E58="Exchanger",IF(AND(ISNUMBER(S58),ISNUMBER(U58),ISNUMBER(V58)),S58*PI()/4*(U58*INDEX(LenF,MATCH($U$7,LenU,0)))^2*V58*INDEX(LenF,MATCH($V$7,LenU,0)),0)+IF(ISNUMBER(Y58),PI()/4*(Y58*INDEX(LenF,MATCH($Y$7,LenU,0)))^2*N(Z58)*INDEX(LenF,MATCH($Z$7,LenU,0))+IF(AA58="",0,IF(AA58="Conical",PI()/12*(Y58*INDEX(LenF,MATCH($Y$7,LenU,0)))^2*(0),INDEX(HeadK,MATCH(AA58,HeadU,0))*(Y58*INDEX(LenF,MATCH($Y$7,LenU,0)))^3)),0)+IF(ISNUMBER(Y58),PI()/4*(Y58*INDEX(LenF,MATCH($Y$7,LenU,0)))^2*N(AB58)*INDEX(LenF,MATCH($AB$7,LenU,0))+IF(AC58="",0,IF(AC58="Conical",PI()/12*(Y58*INDEX(LenF,MATCH($Y$7,LenU,0)))^2*(0),INDEX(HeadK,MATCH(AC58,HeadU,0))*(Y58*INDEX(LenF,MATCH($Y$7,LenU,0)))^3)),0),"")</f>
        <v/>
      </c>
      <c r="AE58" s="41" t="str">
        <f aca="false">IF(OR(E58="",E58="Piping"),"",IF(E58="Exchanger",AQ58*AR58+IF(P58="",0,IF(P58="Conical",PI()/12*(SQRT(4*AQ58/PI()))^2*(0),INDEX(HeadK,MATCH(P58,HeadU,0))*(SQRT(4*AQ58/PI()))^3))-IF(AND(ISNUMBER(S58),ISNUMBER(V58)),S58*PI()/4*AP58^2*V58*INDEX(LenF,MATCH($V$7,LenU,0)),0),IF(ISNUMBER(N58),PI()/4*(N58*INDEX(LenF,MATCH($N$7,LenU,0)))^2*N(O58)*INDEX(LenF,MATCH($O$7,LenU,0))+IF(P58="",0,IF(P58="Conical",PI()/12*(N58*INDEX(LenF,MATCH($N$7,LenU,0)))^2*(N(R58)*INDEX(LenF,MATCH($R$7,LenU,0))),INDEX(HeadK,MATCH(P58,HeadU,0))*(N58*INDEX(LenF,MATCH($N$7,LenU,0)))^3))+IF(Q58="",0,IF(Q58="Conical",PI()/12*(N58*INDEX(LenF,MATCH($N$7,LenU,0)))^2*(N(R58)*INDEX(LenF,MATCH($R$7,LenU,0))),INDEX(HeadK,MATCH(Q58,HeadU,0))*(N58*INDEX(LenF,MATCH($N$7,LenU,0)))^3)),0)))</f>
        <v/>
      </c>
      <c r="AF58" s="41" t="str">
        <f aca="false">IF(E58&lt;&gt;"Piping","",IF(AND(ISNUMBER(AS58),ISNUMBER(M58)),PI()/4*(AS58/1000)^2*M58*INDEX(LenF,MATCH($M$7,LenU,0)),0))</f>
        <v/>
      </c>
      <c r="AG58" s="41" t="str">
        <f aca="false">IF(E58="","",N(AD58)+N(AE58)+N(AF58))</f>
        <v/>
      </c>
      <c r="AH58" s="41" t="str">
        <f aca="false">IF(ISNUMBER(I58),I58*INDEX(WtF,MATCH($I$7,WtU,0))/CC_WaterRho,"")</f>
        <v/>
      </c>
      <c r="AI58" s="31"/>
      <c r="AJ58" s="31"/>
      <c r="AK58" s="40"/>
      <c r="AL58" s="31"/>
      <c r="AM58" s="41" t="str">
        <f aca="false">IF(AO58="","",AO58*IF(ISNUMBER(AK58),AK58,CC_DefFills)*(1+IF(ISNUMBER(AL58),AL58,CC_DefAllow)))</f>
        <v/>
      </c>
      <c r="AN58" s="42" t="str">
        <f aca="false">IF(G58="Given volume",IF(ISNUMBER(H58),H58*INDEX(VolF,MATCH($H$7,VolU,0)),""),IF(G58="Water weight",AH58,IF(N(AG58)=0,"",AG58)))</f>
        <v/>
      </c>
      <c r="AO58" s="42" t="str">
        <f aca="false">IF(N(AN58)=0,"",AN58*AT58*IF(ISNUMBER(AJ58),AJ58,CC_DefCirc))</f>
        <v/>
      </c>
      <c r="AP58" s="27" t="n">
        <f aca="false">IF(ISNUMBER(T58),T58*INDEX(LenF,MATCH($T$7,LenU,0)),IF(ISNUMBER(W58),W58*INDEX(LenF,MATCH($W$7,LenU,0))/CC_PitchRatio,0))</f>
        <v>0</v>
      </c>
      <c r="AQ58" s="27" t="n">
        <f aca="false">IF(ISNUMBER(N58),PI()/4*(N58*INDEX(LenF,MATCH($N$7,LenU,0)))^2,IF(AND(ISNUMBER(S58),ISNUMBER(W58),X58&lt;&gt;""),S58*(W58*INDEX(LenF,MATCH($W$7,LenU,0)))^2*INDEX(LayoutF,MATCH(X58,LayoutU,0)),0))</f>
        <v>0</v>
      </c>
      <c r="AR58" s="27" t="n">
        <f aca="false">IF(ISNUMBER(O58),O58*INDEX(LenF,MATCH($O$7,LenU,0)),IF(ISNUMBER(V58),V58*INDEX(LenF,MATCH($V$7,LenU,0)),0))</f>
        <v>0</v>
      </c>
      <c r="AS58" s="27" t="str">
        <f aca="false">IF(ISNUMBER(L58),L58*INDEX(LenF,MATCH($L$7,LenU,0))*1000,IF(OR(J58="",K58=""),"",IFERROR(IF(INDEX(PipeWT,MATCH(J58,NPSU,0),MATCH(K58,SchU,0))="","Sch n/a",INDEX(PipeOD,MATCH(J58,NPSU,0))-2*INDEX(PipeWT,MATCH(J58,NPSU,0),MATCH(K58,SchU,0))),"")))</f>
        <v/>
      </c>
      <c r="AT58" s="27" t="n">
        <f aca="false">IF(ISNUMBER(AI58),AI58,IFERROR(INDEX(IF(CC_JobType="Decontamination",CC_TypeFillDC,CC_TypeFillCC),MATCH(E58,CC_TypeL,0)),1))</f>
        <v>1</v>
      </c>
      <c r="AU58" s="27" t="n">
        <v>2</v>
      </c>
    </row>
    <row r="59" customFormat="false" ht="15" hidden="false" customHeight="false" outlineLevel="0" collapsed="false">
      <c r="A59" s="36" t="n">
        <v>17</v>
      </c>
      <c r="B59" s="40"/>
      <c r="C59" s="32"/>
      <c r="D59" s="32"/>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1" t="str">
        <f aca="false">IF(E59="Exchanger",IF(AND(ISNUMBER(S59),ISNUMBER(U59),ISNUMBER(V59)),S59*PI()/4*(U59*INDEX(LenF,MATCH($U$7,LenU,0)))^2*V59*INDEX(LenF,MATCH($V$7,LenU,0)),0)+IF(ISNUMBER(Y59),PI()/4*(Y59*INDEX(LenF,MATCH($Y$7,LenU,0)))^2*N(Z59)*INDEX(LenF,MATCH($Z$7,LenU,0))+IF(AA59="",0,IF(AA59="Conical",PI()/12*(Y59*INDEX(LenF,MATCH($Y$7,LenU,0)))^2*(0),INDEX(HeadK,MATCH(AA59,HeadU,0))*(Y59*INDEX(LenF,MATCH($Y$7,LenU,0)))^3)),0)+IF(ISNUMBER(Y59),PI()/4*(Y59*INDEX(LenF,MATCH($Y$7,LenU,0)))^2*N(AB59)*INDEX(LenF,MATCH($AB$7,LenU,0))+IF(AC59="",0,IF(AC59="Conical",PI()/12*(Y59*INDEX(LenF,MATCH($Y$7,LenU,0)))^2*(0),INDEX(HeadK,MATCH(AC59,HeadU,0))*(Y59*INDEX(LenF,MATCH($Y$7,LenU,0)))^3)),0),"")</f>
        <v/>
      </c>
      <c r="AE59" s="41" t="str">
        <f aca="false">IF(OR(E59="",E59="Piping"),"",IF(E59="Exchanger",AQ59*AR59+IF(P59="",0,IF(P59="Conical",PI()/12*(SQRT(4*AQ59/PI()))^2*(0),INDEX(HeadK,MATCH(P59,HeadU,0))*(SQRT(4*AQ59/PI()))^3))-IF(AND(ISNUMBER(S59),ISNUMBER(V59)),S59*PI()/4*AP59^2*V59*INDEX(LenF,MATCH($V$7,LenU,0)),0),IF(ISNUMBER(N59),PI()/4*(N59*INDEX(LenF,MATCH($N$7,LenU,0)))^2*N(O59)*INDEX(LenF,MATCH($O$7,LenU,0))+IF(P59="",0,IF(P59="Conical",PI()/12*(N59*INDEX(LenF,MATCH($N$7,LenU,0)))^2*(N(R59)*INDEX(LenF,MATCH($R$7,LenU,0))),INDEX(HeadK,MATCH(P59,HeadU,0))*(N59*INDEX(LenF,MATCH($N$7,LenU,0)))^3))+IF(Q59="",0,IF(Q59="Conical",PI()/12*(N59*INDEX(LenF,MATCH($N$7,LenU,0)))^2*(N(R59)*INDEX(LenF,MATCH($R$7,LenU,0))),INDEX(HeadK,MATCH(Q59,HeadU,0))*(N59*INDEX(LenF,MATCH($N$7,LenU,0)))^3)),0)))</f>
        <v/>
      </c>
      <c r="AF59" s="41" t="str">
        <f aca="false">IF(E59&lt;&gt;"Piping","",IF(AND(ISNUMBER(AS59),ISNUMBER(M59)),PI()/4*(AS59/1000)^2*M59*INDEX(LenF,MATCH($M$7,LenU,0)),0))</f>
        <v/>
      </c>
      <c r="AG59" s="41" t="str">
        <f aca="false">IF(E59="","",N(AD59)+N(AE59)+N(AF59))</f>
        <v/>
      </c>
      <c r="AH59" s="41" t="str">
        <f aca="false">IF(ISNUMBER(I59),I59*INDEX(WtF,MATCH($I$7,WtU,0))/CC_WaterRho,"")</f>
        <v/>
      </c>
      <c r="AI59" s="31"/>
      <c r="AJ59" s="31"/>
      <c r="AK59" s="40"/>
      <c r="AL59" s="31"/>
      <c r="AM59" s="41" t="str">
        <f aca="false">IF(AO59="","",AO59*IF(ISNUMBER(AK59),AK59,CC_DefFills)*(1+IF(ISNUMBER(AL59),AL59,CC_DefAllow)))</f>
        <v/>
      </c>
      <c r="AN59" s="42" t="str">
        <f aca="false">IF(G59="Given volume",IF(ISNUMBER(H59),H59*INDEX(VolF,MATCH($H$7,VolU,0)),""),IF(G59="Water weight",AH59,IF(N(AG59)=0,"",AG59)))</f>
        <v/>
      </c>
      <c r="AO59" s="42" t="str">
        <f aca="false">IF(N(AN59)=0,"",AN59*AT59*IF(ISNUMBER(AJ59),AJ59,CC_DefCirc))</f>
        <v/>
      </c>
      <c r="AP59" s="27" t="n">
        <f aca="false">IF(ISNUMBER(T59),T59*INDEX(LenF,MATCH($T$7,LenU,0)),IF(ISNUMBER(W59),W59*INDEX(LenF,MATCH($W$7,LenU,0))/CC_PitchRatio,0))</f>
        <v>0</v>
      </c>
      <c r="AQ59" s="27" t="n">
        <f aca="false">IF(ISNUMBER(N59),PI()/4*(N59*INDEX(LenF,MATCH($N$7,LenU,0)))^2,IF(AND(ISNUMBER(S59),ISNUMBER(W59),X59&lt;&gt;""),S59*(W59*INDEX(LenF,MATCH($W$7,LenU,0)))^2*INDEX(LayoutF,MATCH(X59,LayoutU,0)),0))</f>
        <v>0</v>
      </c>
      <c r="AR59" s="27" t="n">
        <f aca="false">IF(ISNUMBER(O59),O59*INDEX(LenF,MATCH($O$7,LenU,0)),IF(ISNUMBER(V59),V59*INDEX(LenF,MATCH($V$7,LenU,0)),0))</f>
        <v>0</v>
      </c>
      <c r="AS59" s="27" t="str">
        <f aca="false">IF(ISNUMBER(L59),L59*INDEX(LenF,MATCH($L$7,LenU,0))*1000,IF(OR(J59="",K59=""),"",IFERROR(IF(INDEX(PipeWT,MATCH(J59,NPSU,0),MATCH(K59,SchU,0))="","Sch n/a",INDEX(PipeOD,MATCH(J59,NPSU,0))-2*INDEX(PipeWT,MATCH(J59,NPSU,0),MATCH(K59,SchU,0))),"")))</f>
        <v/>
      </c>
      <c r="AT59" s="27" t="n">
        <f aca="false">IF(ISNUMBER(AI59),AI59,IFERROR(INDEX(IF(CC_JobType="Decontamination",CC_TypeFillDC,CC_TypeFillCC),MATCH(E59,CC_TypeL,0)),1))</f>
        <v>1</v>
      </c>
      <c r="AU59" s="27" t="n">
        <v>2</v>
      </c>
    </row>
    <row r="60" customFormat="false" ht="15" hidden="false" customHeight="false" outlineLevel="0" collapsed="false">
      <c r="A60" s="36" t="n">
        <v>18</v>
      </c>
      <c r="B60" s="40"/>
      <c r="C60" s="32"/>
      <c r="D60" s="32"/>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1" t="str">
        <f aca="false">IF(E60="Exchanger",IF(AND(ISNUMBER(S60),ISNUMBER(U60),ISNUMBER(V60)),S60*PI()/4*(U60*INDEX(LenF,MATCH($U$7,LenU,0)))^2*V60*INDEX(LenF,MATCH($V$7,LenU,0)),0)+IF(ISNUMBER(Y60),PI()/4*(Y60*INDEX(LenF,MATCH($Y$7,LenU,0)))^2*N(Z60)*INDEX(LenF,MATCH($Z$7,LenU,0))+IF(AA60="",0,IF(AA60="Conical",PI()/12*(Y60*INDEX(LenF,MATCH($Y$7,LenU,0)))^2*(0),INDEX(HeadK,MATCH(AA60,HeadU,0))*(Y60*INDEX(LenF,MATCH($Y$7,LenU,0)))^3)),0)+IF(ISNUMBER(Y60),PI()/4*(Y60*INDEX(LenF,MATCH($Y$7,LenU,0)))^2*N(AB60)*INDEX(LenF,MATCH($AB$7,LenU,0))+IF(AC60="",0,IF(AC60="Conical",PI()/12*(Y60*INDEX(LenF,MATCH($Y$7,LenU,0)))^2*(0),INDEX(HeadK,MATCH(AC60,HeadU,0))*(Y60*INDEX(LenF,MATCH($Y$7,LenU,0)))^3)),0),"")</f>
        <v/>
      </c>
      <c r="AE60" s="41" t="str">
        <f aca="false">IF(OR(E60="",E60="Piping"),"",IF(E60="Exchanger",AQ60*AR60+IF(P60="",0,IF(P60="Conical",PI()/12*(SQRT(4*AQ60/PI()))^2*(0),INDEX(HeadK,MATCH(P60,HeadU,0))*(SQRT(4*AQ60/PI()))^3))-IF(AND(ISNUMBER(S60),ISNUMBER(V60)),S60*PI()/4*AP60^2*V60*INDEX(LenF,MATCH($V$7,LenU,0)),0),IF(ISNUMBER(N60),PI()/4*(N60*INDEX(LenF,MATCH($N$7,LenU,0)))^2*N(O60)*INDEX(LenF,MATCH($O$7,LenU,0))+IF(P60="",0,IF(P60="Conical",PI()/12*(N60*INDEX(LenF,MATCH($N$7,LenU,0)))^2*(N(R60)*INDEX(LenF,MATCH($R$7,LenU,0))),INDEX(HeadK,MATCH(P60,HeadU,0))*(N60*INDEX(LenF,MATCH($N$7,LenU,0)))^3))+IF(Q60="",0,IF(Q60="Conical",PI()/12*(N60*INDEX(LenF,MATCH($N$7,LenU,0)))^2*(N(R60)*INDEX(LenF,MATCH($R$7,LenU,0))),INDEX(HeadK,MATCH(Q60,HeadU,0))*(N60*INDEX(LenF,MATCH($N$7,LenU,0)))^3)),0)))</f>
        <v/>
      </c>
      <c r="AF60" s="41" t="str">
        <f aca="false">IF(E60&lt;&gt;"Piping","",IF(AND(ISNUMBER(AS60),ISNUMBER(M60)),PI()/4*(AS60/1000)^2*M60*INDEX(LenF,MATCH($M$7,LenU,0)),0))</f>
        <v/>
      </c>
      <c r="AG60" s="41" t="str">
        <f aca="false">IF(E60="","",N(AD60)+N(AE60)+N(AF60))</f>
        <v/>
      </c>
      <c r="AH60" s="41" t="str">
        <f aca="false">IF(ISNUMBER(I60),I60*INDEX(WtF,MATCH($I$7,WtU,0))/CC_WaterRho,"")</f>
        <v/>
      </c>
      <c r="AI60" s="31"/>
      <c r="AJ60" s="31"/>
      <c r="AK60" s="40"/>
      <c r="AL60" s="31"/>
      <c r="AM60" s="41" t="str">
        <f aca="false">IF(AO60="","",AO60*IF(ISNUMBER(AK60),AK60,CC_DefFills)*(1+IF(ISNUMBER(AL60),AL60,CC_DefAllow)))</f>
        <v/>
      </c>
      <c r="AN60" s="42" t="str">
        <f aca="false">IF(G60="Given volume",IF(ISNUMBER(H60),H60*INDEX(VolF,MATCH($H$7,VolU,0)),""),IF(G60="Water weight",AH60,IF(N(AG60)=0,"",AG60)))</f>
        <v/>
      </c>
      <c r="AO60" s="42" t="str">
        <f aca="false">IF(N(AN60)=0,"",AN60*AT60*IF(ISNUMBER(AJ60),AJ60,CC_DefCirc))</f>
        <v/>
      </c>
      <c r="AP60" s="27" t="n">
        <f aca="false">IF(ISNUMBER(T60),T60*INDEX(LenF,MATCH($T$7,LenU,0)),IF(ISNUMBER(W60),W60*INDEX(LenF,MATCH($W$7,LenU,0))/CC_PitchRatio,0))</f>
        <v>0</v>
      </c>
      <c r="AQ60" s="27" t="n">
        <f aca="false">IF(ISNUMBER(N60),PI()/4*(N60*INDEX(LenF,MATCH($N$7,LenU,0)))^2,IF(AND(ISNUMBER(S60),ISNUMBER(W60),X60&lt;&gt;""),S60*(W60*INDEX(LenF,MATCH($W$7,LenU,0)))^2*INDEX(LayoutF,MATCH(X60,LayoutU,0)),0))</f>
        <v>0</v>
      </c>
      <c r="AR60" s="27" t="n">
        <f aca="false">IF(ISNUMBER(O60),O60*INDEX(LenF,MATCH($O$7,LenU,0)),IF(ISNUMBER(V60),V60*INDEX(LenF,MATCH($V$7,LenU,0)),0))</f>
        <v>0</v>
      </c>
      <c r="AS60" s="27" t="str">
        <f aca="false">IF(ISNUMBER(L60),L60*INDEX(LenF,MATCH($L$7,LenU,0))*1000,IF(OR(J60="",K60=""),"",IFERROR(IF(INDEX(PipeWT,MATCH(J60,NPSU,0),MATCH(K60,SchU,0))="","Sch n/a",INDEX(PipeOD,MATCH(J60,NPSU,0))-2*INDEX(PipeWT,MATCH(J60,NPSU,0),MATCH(K60,SchU,0))),"")))</f>
        <v/>
      </c>
      <c r="AT60" s="27" t="n">
        <f aca="false">IF(ISNUMBER(AI60),AI60,IFERROR(INDEX(IF(CC_JobType="Decontamination",CC_TypeFillDC,CC_TypeFillCC),MATCH(E60,CC_TypeL,0)),1))</f>
        <v>1</v>
      </c>
      <c r="AU60" s="27" t="n">
        <v>2</v>
      </c>
    </row>
    <row r="61" customFormat="false" ht="15" hidden="false" customHeight="false" outlineLevel="0" collapsed="false">
      <c r="A61" s="36" t="n">
        <v>19</v>
      </c>
      <c r="B61" s="40"/>
      <c r="C61" s="32"/>
      <c r="D61" s="32"/>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1" t="str">
        <f aca="false">IF(E61="Exchanger",IF(AND(ISNUMBER(S61),ISNUMBER(U61),ISNUMBER(V61)),S61*PI()/4*(U61*INDEX(LenF,MATCH($U$7,LenU,0)))^2*V61*INDEX(LenF,MATCH($V$7,LenU,0)),0)+IF(ISNUMBER(Y61),PI()/4*(Y61*INDEX(LenF,MATCH($Y$7,LenU,0)))^2*N(Z61)*INDEX(LenF,MATCH($Z$7,LenU,0))+IF(AA61="",0,IF(AA61="Conical",PI()/12*(Y61*INDEX(LenF,MATCH($Y$7,LenU,0)))^2*(0),INDEX(HeadK,MATCH(AA61,HeadU,0))*(Y61*INDEX(LenF,MATCH($Y$7,LenU,0)))^3)),0)+IF(ISNUMBER(Y61),PI()/4*(Y61*INDEX(LenF,MATCH($Y$7,LenU,0)))^2*N(AB61)*INDEX(LenF,MATCH($AB$7,LenU,0))+IF(AC61="",0,IF(AC61="Conical",PI()/12*(Y61*INDEX(LenF,MATCH($Y$7,LenU,0)))^2*(0),INDEX(HeadK,MATCH(AC61,HeadU,0))*(Y61*INDEX(LenF,MATCH($Y$7,LenU,0)))^3)),0),"")</f>
        <v/>
      </c>
      <c r="AE61" s="41" t="str">
        <f aca="false">IF(OR(E61="",E61="Piping"),"",IF(E61="Exchanger",AQ61*AR61+IF(P61="",0,IF(P61="Conical",PI()/12*(SQRT(4*AQ61/PI()))^2*(0),INDEX(HeadK,MATCH(P61,HeadU,0))*(SQRT(4*AQ61/PI()))^3))-IF(AND(ISNUMBER(S61),ISNUMBER(V61)),S61*PI()/4*AP61^2*V61*INDEX(LenF,MATCH($V$7,LenU,0)),0),IF(ISNUMBER(N61),PI()/4*(N61*INDEX(LenF,MATCH($N$7,LenU,0)))^2*N(O61)*INDEX(LenF,MATCH($O$7,LenU,0))+IF(P61="",0,IF(P61="Conical",PI()/12*(N61*INDEX(LenF,MATCH($N$7,LenU,0)))^2*(N(R61)*INDEX(LenF,MATCH($R$7,LenU,0))),INDEX(HeadK,MATCH(P61,HeadU,0))*(N61*INDEX(LenF,MATCH($N$7,LenU,0)))^3))+IF(Q61="",0,IF(Q61="Conical",PI()/12*(N61*INDEX(LenF,MATCH($N$7,LenU,0)))^2*(N(R61)*INDEX(LenF,MATCH($R$7,LenU,0))),INDEX(HeadK,MATCH(Q61,HeadU,0))*(N61*INDEX(LenF,MATCH($N$7,LenU,0)))^3)),0)))</f>
        <v/>
      </c>
      <c r="AF61" s="41" t="str">
        <f aca="false">IF(E61&lt;&gt;"Piping","",IF(AND(ISNUMBER(AS61),ISNUMBER(M61)),PI()/4*(AS61/1000)^2*M61*INDEX(LenF,MATCH($M$7,LenU,0)),0))</f>
        <v/>
      </c>
      <c r="AG61" s="41" t="str">
        <f aca="false">IF(E61="","",N(AD61)+N(AE61)+N(AF61))</f>
        <v/>
      </c>
      <c r="AH61" s="41" t="str">
        <f aca="false">IF(ISNUMBER(I61),I61*INDEX(WtF,MATCH($I$7,WtU,0))/CC_WaterRho,"")</f>
        <v/>
      </c>
      <c r="AI61" s="31"/>
      <c r="AJ61" s="31"/>
      <c r="AK61" s="40"/>
      <c r="AL61" s="31"/>
      <c r="AM61" s="41" t="str">
        <f aca="false">IF(AO61="","",AO61*IF(ISNUMBER(AK61),AK61,CC_DefFills)*(1+IF(ISNUMBER(AL61),AL61,CC_DefAllow)))</f>
        <v/>
      </c>
      <c r="AN61" s="42" t="str">
        <f aca="false">IF(G61="Given volume",IF(ISNUMBER(H61),H61*INDEX(VolF,MATCH($H$7,VolU,0)),""),IF(G61="Water weight",AH61,IF(N(AG61)=0,"",AG61)))</f>
        <v/>
      </c>
      <c r="AO61" s="42" t="str">
        <f aca="false">IF(N(AN61)=0,"",AN61*AT61*IF(ISNUMBER(AJ61),AJ61,CC_DefCirc))</f>
        <v/>
      </c>
      <c r="AP61" s="27" t="n">
        <f aca="false">IF(ISNUMBER(T61),T61*INDEX(LenF,MATCH($T$7,LenU,0)),IF(ISNUMBER(W61),W61*INDEX(LenF,MATCH($W$7,LenU,0))/CC_PitchRatio,0))</f>
        <v>0</v>
      </c>
      <c r="AQ61" s="27" t="n">
        <f aca="false">IF(ISNUMBER(N61),PI()/4*(N61*INDEX(LenF,MATCH($N$7,LenU,0)))^2,IF(AND(ISNUMBER(S61),ISNUMBER(W61),X61&lt;&gt;""),S61*(W61*INDEX(LenF,MATCH($W$7,LenU,0)))^2*INDEX(LayoutF,MATCH(X61,LayoutU,0)),0))</f>
        <v>0</v>
      </c>
      <c r="AR61" s="27" t="n">
        <f aca="false">IF(ISNUMBER(O61),O61*INDEX(LenF,MATCH($O$7,LenU,0)),IF(ISNUMBER(V61),V61*INDEX(LenF,MATCH($V$7,LenU,0)),0))</f>
        <v>0</v>
      </c>
      <c r="AS61" s="27" t="str">
        <f aca="false">IF(ISNUMBER(L61),L61*INDEX(LenF,MATCH($L$7,LenU,0))*1000,IF(OR(J61="",K61=""),"",IFERROR(IF(INDEX(PipeWT,MATCH(J61,NPSU,0),MATCH(K61,SchU,0))="","Sch n/a",INDEX(PipeOD,MATCH(J61,NPSU,0))-2*INDEX(PipeWT,MATCH(J61,NPSU,0),MATCH(K61,SchU,0))),"")))</f>
        <v/>
      </c>
      <c r="AT61" s="27" t="n">
        <f aca="false">IF(ISNUMBER(AI61),AI61,IFERROR(INDEX(IF(CC_JobType="Decontamination",CC_TypeFillDC,CC_TypeFillCC),MATCH(E61,CC_TypeL,0)),1))</f>
        <v>1</v>
      </c>
      <c r="AU61" s="27" t="n">
        <v>2</v>
      </c>
    </row>
    <row r="62" customFormat="false" ht="15" hidden="false" customHeight="false" outlineLevel="0" collapsed="false">
      <c r="A62" s="36" t="n">
        <v>20</v>
      </c>
      <c r="B62" s="40"/>
      <c r="C62" s="32"/>
      <c r="D62" s="32"/>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1" t="str">
        <f aca="false">IF(E62="Exchanger",IF(AND(ISNUMBER(S62),ISNUMBER(U62),ISNUMBER(V62)),S62*PI()/4*(U62*INDEX(LenF,MATCH($U$7,LenU,0)))^2*V62*INDEX(LenF,MATCH($V$7,LenU,0)),0)+IF(ISNUMBER(Y62),PI()/4*(Y62*INDEX(LenF,MATCH($Y$7,LenU,0)))^2*N(Z62)*INDEX(LenF,MATCH($Z$7,LenU,0))+IF(AA62="",0,IF(AA62="Conical",PI()/12*(Y62*INDEX(LenF,MATCH($Y$7,LenU,0)))^2*(0),INDEX(HeadK,MATCH(AA62,HeadU,0))*(Y62*INDEX(LenF,MATCH($Y$7,LenU,0)))^3)),0)+IF(ISNUMBER(Y62),PI()/4*(Y62*INDEX(LenF,MATCH($Y$7,LenU,0)))^2*N(AB62)*INDEX(LenF,MATCH($AB$7,LenU,0))+IF(AC62="",0,IF(AC62="Conical",PI()/12*(Y62*INDEX(LenF,MATCH($Y$7,LenU,0)))^2*(0),INDEX(HeadK,MATCH(AC62,HeadU,0))*(Y62*INDEX(LenF,MATCH($Y$7,LenU,0)))^3)),0),"")</f>
        <v/>
      </c>
      <c r="AE62" s="41" t="str">
        <f aca="false">IF(OR(E62="",E62="Piping"),"",IF(E62="Exchanger",AQ62*AR62+IF(P62="",0,IF(P62="Conical",PI()/12*(SQRT(4*AQ62/PI()))^2*(0),INDEX(HeadK,MATCH(P62,HeadU,0))*(SQRT(4*AQ62/PI()))^3))-IF(AND(ISNUMBER(S62),ISNUMBER(V62)),S62*PI()/4*AP62^2*V62*INDEX(LenF,MATCH($V$7,LenU,0)),0),IF(ISNUMBER(N62),PI()/4*(N62*INDEX(LenF,MATCH($N$7,LenU,0)))^2*N(O62)*INDEX(LenF,MATCH($O$7,LenU,0))+IF(P62="",0,IF(P62="Conical",PI()/12*(N62*INDEX(LenF,MATCH($N$7,LenU,0)))^2*(N(R62)*INDEX(LenF,MATCH($R$7,LenU,0))),INDEX(HeadK,MATCH(P62,HeadU,0))*(N62*INDEX(LenF,MATCH($N$7,LenU,0)))^3))+IF(Q62="",0,IF(Q62="Conical",PI()/12*(N62*INDEX(LenF,MATCH($N$7,LenU,0)))^2*(N(R62)*INDEX(LenF,MATCH($R$7,LenU,0))),INDEX(HeadK,MATCH(Q62,HeadU,0))*(N62*INDEX(LenF,MATCH($N$7,LenU,0)))^3)),0)))</f>
        <v/>
      </c>
      <c r="AF62" s="41" t="str">
        <f aca="false">IF(E62&lt;&gt;"Piping","",IF(AND(ISNUMBER(AS62),ISNUMBER(M62)),PI()/4*(AS62/1000)^2*M62*INDEX(LenF,MATCH($M$7,LenU,0)),0))</f>
        <v/>
      </c>
      <c r="AG62" s="41" t="str">
        <f aca="false">IF(E62="","",N(AD62)+N(AE62)+N(AF62))</f>
        <v/>
      </c>
      <c r="AH62" s="41" t="str">
        <f aca="false">IF(ISNUMBER(I62),I62*INDEX(WtF,MATCH($I$7,WtU,0))/CC_WaterRho,"")</f>
        <v/>
      </c>
      <c r="AI62" s="31"/>
      <c r="AJ62" s="31"/>
      <c r="AK62" s="40"/>
      <c r="AL62" s="31"/>
      <c r="AM62" s="41" t="str">
        <f aca="false">IF(AO62="","",AO62*IF(ISNUMBER(AK62),AK62,CC_DefFills)*(1+IF(ISNUMBER(AL62),AL62,CC_DefAllow)))</f>
        <v/>
      </c>
      <c r="AN62" s="42" t="str">
        <f aca="false">IF(G62="Given volume",IF(ISNUMBER(H62),H62*INDEX(VolF,MATCH($H$7,VolU,0)),""),IF(G62="Water weight",AH62,IF(N(AG62)=0,"",AG62)))</f>
        <v/>
      </c>
      <c r="AO62" s="42" t="str">
        <f aca="false">IF(N(AN62)=0,"",AN62*AT62*IF(ISNUMBER(AJ62),AJ62,CC_DefCirc))</f>
        <v/>
      </c>
      <c r="AP62" s="27" t="n">
        <f aca="false">IF(ISNUMBER(T62),T62*INDEX(LenF,MATCH($T$7,LenU,0)),IF(ISNUMBER(W62),W62*INDEX(LenF,MATCH($W$7,LenU,0))/CC_PitchRatio,0))</f>
        <v>0</v>
      </c>
      <c r="AQ62" s="27" t="n">
        <f aca="false">IF(ISNUMBER(N62),PI()/4*(N62*INDEX(LenF,MATCH($N$7,LenU,0)))^2,IF(AND(ISNUMBER(S62),ISNUMBER(W62),X62&lt;&gt;""),S62*(W62*INDEX(LenF,MATCH($W$7,LenU,0)))^2*INDEX(LayoutF,MATCH(X62,LayoutU,0)),0))</f>
        <v>0</v>
      </c>
      <c r="AR62" s="27" t="n">
        <f aca="false">IF(ISNUMBER(O62),O62*INDEX(LenF,MATCH($O$7,LenU,0)),IF(ISNUMBER(V62),V62*INDEX(LenF,MATCH($V$7,LenU,0)),0))</f>
        <v>0</v>
      </c>
      <c r="AS62" s="27" t="str">
        <f aca="false">IF(ISNUMBER(L62),L62*INDEX(LenF,MATCH($L$7,LenU,0))*1000,IF(OR(J62="",K62=""),"",IFERROR(IF(INDEX(PipeWT,MATCH(J62,NPSU,0),MATCH(K62,SchU,0))="","Sch n/a",INDEX(PipeOD,MATCH(J62,NPSU,0))-2*INDEX(PipeWT,MATCH(J62,NPSU,0),MATCH(K62,SchU,0))),"")))</f>
        <v/>
      </c>
      <c r="AT62" s="27" t="n">
        <f aca="false">IF(ISNUMBER(AI62),AI62,IFERROR(INDEX(IF(CC_JobType="Decontamination",CC_TypeFillDC,CC_TypeFillCC),MATCH(E62,CC_TypeL,0)),1))</f>
        <v>1</v>
      </c>
      <c r="AU62" s="27" t="n">
        <v>2</v>
      </c>
    </row>
    <row r="63" customFormat="false" ht="15" hidden="false" customHeight="false" outlineLevel="0" collapsed="false">
      <c r="A63" s="36" t="n">
        <v>21</v>
      </c>
      <c r="B63" s="40"/>
      <c r="C63" s="32"/>
      <c r="D63" s="32"/>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1" t="str">
        <f aca="false">IF(E63="Exchanger",IF(AND(ISNUMBER(S63),ISNUMBER(U63),ISNUMBER(V63)),S63*PI()/4*(U63*INDEX(LenF,MATCH($U$7,LenU,0)))^2*V63*INDEX(LenF,MATCH($V$7,LenU,0)),0)+IF(ISNUMBER(Y63),PI()/4*(Y63*INDEX(LenF,MATCH($Y$7,LenU,0)))^2*N(Z63)*INDEX(LenF,MATCH($Z$7,LenU,0))+IF(AA63="",0,IF(AA63="Conical",PI()/12*(Y63*INDEX(LenF,MATCH($Y$7,LenU,0)))^2*(0),INDEX(HeadK,MATCH(AA63,HeadU,0))*(Y63*INDEX(LenF,MATCH($Y$7,LenU,0)))^3)),0)+IF(ISNUMBER(Y63),PI()/4*(Y63*INDEX(LenF,MATCH($Y$7,LenU,0)))^2*N(AB63)*INDEX(LenF,MATCH($AB$7,LenU,0))+IF(AC63="",0,IF(AC63="Conical",PI()/12*(Y63*INDEX(LenF,MATCH($Y$7,LenU,0)))^2*(0),INDEX(HeadK,MATCH(AC63,HeadU,0))*(Y63*INDEX(LenF,MATCH($Y$7,LenU,0)))^3)),0),"")</f>
        <v/>
      </c>
      <c r="AE63" s="41" t="str">
        <f aca="false">IF(OR(E63="",E63="Piping"),"",IF(E63="Exchanger",AQ63*AR63+IF(P63="",0,IF(P63="Conical",PI()/12*(SQRT(4*AQ63/PI()))^2*(0),INDEX(HeadK,MATCH(P63,HeadU,0))*(SQRT(4*AQ63/PI()))^3))-IF(AND(ISNUMBER(S63),ISNUMBER(V63)),S63*PI()/4*AP63^2*V63*INDEX(LenF,MATCH($V$7,LenU,0)),0),IF(ISNUMBER(N63),PI()/4*(N63*INDEX(LenF,MATCH($N$7,LenU,0)))^2*N(O63)*INDEX(LenF,MATCH($O$7,LenU,0))+IF(P63="",0,IF(P63="Conical",PI()/12*(N63*INDEX(LenF,MATCH($N$7,LenU,0)))^2*(N(R63)*INDEX(LenF,MATCH($R$7,LenU,0))),INDEX(HeadK,MATCH(P63,HeadU,0))*(N63*INDEX(LenF,MATCH($N$7,LenU,0)))^3))+IF(Q63="",0,IF(Q63="Conical",PI()/12*(N63*INDEX(LenF,MATCH($N$7,LenU,0)))^2*(N(R63)*INDEX(LenF,MATCH($R$7,LenU,0))),INDEX(HeadK,MATCH(Q63,HeadU,0))*(N63*INDEX(LenF,MATCH($N$7,LenU,0)))^3)),0)))</f>
        <v/>
      </c>
      <c r="AF63" s="41" t="str">
        <f aca="false">IF(E63&lt;&gt;"Piping","",IF(AND(ISNUMBER(AS63),ISNUMBER(M63)),PI()/4*(AS63/1000)^2*M63*INDEX(LenF,MATCH($M$7,LenU,0)),0))</f>
        <v/>
      </c>
      <c r="AG63" s="41" t="str">
        <f aca="false">IF(E63="","",N(AD63)+N(AE63)+N(AF63))</f>
        <v/>
      </c>
      <c r="AH63" s="41" t="str">
        <f aca="false">IF(ISNUMBER(I63),I63*INDEX(WtF,MATCH($I$7,WtU,0))/CC_WaterRho,"")</f>
        <v/>
      </c>
      <c r="AI63" s="31"/>
      <c r="AJ63" s="31"/>
      <c r="AK63" s="40"/>
      <c r="AL63" s="31"/>
      <c r="AM63" s="41" t="str">
        <f aca="false">IF(AO63="","",AO63*IF(ISNUMBER(AK63),AK63,CC_DefFills)*(1+IF(ISNUMBER(AL63),AL63,CC_DefAllow)))</f>
        <v/>
      </c>
      <c r="AN63" s="42" t="str">
        <f aca="false">IF(G63="Given volume",IF(ISNUMBER(H63),H63*INDEX(VolF,MATCH($H$7,VolU,0)),""),IF(G63="Water weight",AH63,IF(N(AG63)=0,"",AG63)))</f>
        <v/>
      </c>
      <c r="AO63" s="42" t="str">
        <f aca="false">IF(N(AN63)=0,"",AN63*AT63*IF(ISNUMBER(AJ63),AJ63,CC_DefCirc))</f>
        <v/>
      </c>
      <c r="AP63" s="27" t="n">
        <f aca="false">IF(ISNUMBER(T63),T63*INDEX(LenF,MATCH($T$7,LenU,0)),IF(ISNUMBER(W63),W63*INDEX(LenF,MATCH($W$7,LenU,0))/CC_PitchRatio,0))</f>
        <v>0</v>
      </c>
      <c r="AQ63" s="27" t="n">
        <f aca="false">IF(ISNUMBER(N63),PI()/4*(N63*INDEX(LenF,MATCH($N$7,LenU,0)))^2,IF(AND(ISNUMBER(S63),ISNUMBER(W63),X63&lt;&gt;""),S63*(W63*INDEX(LenF,MATCH($W$7,LenU,0)))^2*INDEX(LayoutF,MATCH(X63,LayoutU,0)),0))</f>
        <v>0</v>
      </c>
      <c r="AR63" s="27" t="n">
        <f aca="false">IF(ISNUMBER(O63),O63*INDEX(LenF,MATCH($O$7,LenU,0)),IF(ISNUMBER(V63),V63*INDEX(LenF,MATCH($V$7,LenU,0)),0))</f>
        <v>0</v>
      </c>
      <c r="AS63" s="27" t="str">
        <f aca="false">IF(ISNUMBER(L63),L63*INDEX(LenF,MATCH($L$7,LenU,0))*1000,IF(OR(J63="",K63=""),"",IFERROR(IF(INDEX(PipeWT,MATCH(J63,NPSU,0),MATCH(K63,SchU,0))="","Sch n/a",INDEX(PipeOD,MATCH(J63,NPSU,0))-2*INDEX(PipeWT,MATCH(J63,NPSU,0),MATCH(K63,SchU,0))),"")))</f>
        <v/>
      </c>
      <c r="AT63" s="27" t="n">
        <f aca="false">IF(ISNUMBER(AI63),AI63,IFERROR(INDEX(IF(CC_JobType="Decontamination",CC_TypeFillDC,CC_TypeFillCC),MATCH(E63,CC_TypeL,0)),1))</f>
        <v>1</v>
      </c>
      <c r="AU63" s="27" t="n">
        <v>2</v>
      </c>
    </row>
    <row r="64" customFormat="false" ht="15" hidden="false" customHeight="false" outlineLevel="0" collapsed="false">
      <c r="A64" s="36" t="n">
        <v>22</v>
      </c>
      <c r="B64" s="40"/>
      <c r="C64" s="32"/>
      <c r="D64" s="32"/>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1" t="str">
        <f aca="false">IF(E64="Exchanger",IF(AND(ISNUMBER(S64),ISNUMBER(U64),ISNUMBER(V64)),S64*PI()/4*(U64*INDEX(LenF,MATCH($U$7,LenU,0)))^2*V64*INDEX(LenF,MATCH($V$7,LenU,0)),0)+IF(ISNUMBER(Y64),PI()/4*(Y64*INDEX(LenF,MATCH($Y$7,LenU,0)))^2*N(Z64)*INDEX(LenF,MATCH($Z$7,LenU,0))+IF(AA64="",0,IF(AA64="Conical",PI()/12*(Y64*INDEX(LenF,MATCH($Y$7,LenU,0)))^2*(0),INDEX(HeadK,MATCH(AA64,HeadU,0))*(Y64*INDEX(LenF,MATCH($Y$7,LenU,0)))^3)),0)+IF(ISNUMBER(Y64),PI()/4*(Y64*INDEX(LenF,MATCH($Y$7,LenU,0)))^2*N(AB64)*INDEX(LenF,MATCH($AB$7,LenU,0))+IF(AC64="",0,IF(AC64="Conical",PI()/12*(Y64*INDEX(LenF,MATCH($Y$7,LenU,0)))^2*(0),INDEX(HeadK,MATCH(AC64,HeadU,0))*(Y64*INDEX(LenF,MATCH($Y$7,LenU,0)))^3)),0),"")</f>
        <v/>
      </c>
      <c r="AE64" s="41" t="str">
        <f aca="false">IF(OR(E64="",E64="Piping"),"",IF(E64="Exchanger",AQ64*AR64+IF(P64="",0,IF(P64="Conical",PI()/12*(SQRT(4*AQ64/PI()))^2*(0),INDEX(HeadK,MATCH(P64,HeadU,0))*(SQRT(4*AQ64/PI()))^3))-IF(AND(ISNUMBER(S64),ISNUMBER(V64)),S64*PI()/4*AP64^2*V64*INDEX(LenF,MATCH($V$7,LenU,0)),0),IF(ISNUMBER(N64),PI()/4*(N64*INDEX(LenF,MATCH($N$7,LenU,0)))^2*N(O64)*INDEX(LenF,MATCH($O$7,LenU,0))+IF(P64="",0,IF(P64="Conical",PI()/12*(N64*INDEX(LenF,MATCH($N$7,LenU,0)))^2*(N(R64)*INDEX(LenF,MATCH($R$7,LenU,0))),INDEX(HeadK,MATCH(P64,HeadU,0))*(N64*INDEX(LenF,MATCH($N$7,LenU,0)))^3))+IF(Q64="",0,IF(Q64="Conical",PI()/12*(N64*INDEX(LenF,MATCH($N$7,LenU,0)))^2*(N(R64)*INDEX(LenF,MATCH($R$7,LenU,0))),INDEX(HeadK,MATCH(Q64,HeadU,0))*(N64*INDEX(LenF,MATCH($N$7,LenU,0)))^3)),0)))</f>
        <v/>
      </c>
      <c r="AF64" s="41" t="str">
        <f aca="false">IF(E64&lt;&gt;"Piping","",IF(AND(ISNUMBER(AS64),ISNUMBER(M64)),PI()/4*(AS64/1000)^2*M64*INDEX(LenF,MATCH($M$7,LenU,0)),0))</f>
        <v/>
      </c>
      <c r="AG64" s="41" t="str">
        <f aca="false">IF(E64="","",N(AD64)+N(AE64)+N(AF64))</f>
        <v/>
      </c>
      <c r="AH64" s="41" t="str">
        <f aca="false">IF(ISNUMBER(I64),I64*INDEX(WtF,MATCH($I$7,WtU,0))/CC_WaterRho,"")</f>
        <v/>
      </c>
      <c r="AI64" s="31"/>
      <c r="AJ64" s="31"/>
      <c r="AK64" s="40"/>
      <c r="AL64" s="31"/>
      <c r="AM64" s="41" t="str">
        <f aca="false">IF(AO64="","",AO64*IF(ISNUMBER(AK64),AK64,CC_DefFills)*(1+IF(ISNUMBER(AL64),AL64,CC_DefAllow)))</f>
        <v/>
      </c>
      <c r="AN64" s="42" t="str">
        <f aca="false">IF(G64="Given volume",IF(ISNUMBER(H64),H64*INDEX(VolF,MATCH($H$7,VolU,0)),""),IF(G64="Water weight",AH64,IF(N(AG64)=0,"",AG64)))</f>
        <v/>
      </c>
      <c r="AO64" s="42" t="str">
        <f aca="false">IF(N(AN64)=0,"",AN64*AT64*IF(ISNUMBER(AJ64),AJ64,CC_DefCirc))</f>
        <v/>
      </c>
      <c r="AP64" s="27" t="n">
        <f aca="false">IF(ISNUMBER(T64),T64*INDEX(LenF,MATCH($T$7,LenU,0)),IF(ISNUMBER(W64),W64*INDEX(LenF,MATCH($W$7,LenU,0))/CC_PitchRatio,0))</f>
        <v>0</v>
      </c>
      <c r="AQ64" s="27" t="n">
        <f aca="false">IF(ISNUMBER(N64),PI()/4*(N64*INDEX(LenF,MATCH($N$7,LenU,0)))^2,IF(AND(ISNUMBER(S64),ISNUMBER(W64),X64&lt;&gt;""),S64*(W64*INDEX(LenF,MATCH($W$7,LenU,0)))^2*INDEX(LayoutF,MATCH(X64,LayoutU,0)),0))</f>
        <v>0</v>
      </c>
      <c r="AR64" s="27" t="n">
        <f aca="false">IF(ISNUMBER(O64),O64*INDEX(LenF,MATCH($O$7,LenU,0)),IF(ISNUMBER(V64),V64*INDEX(LenF,MATCH($V$7,LenU,0)),0))</f>
        <v>0</v>
      </c>
      <c r="AS64" s="27" t="str">
        <f aca="false">IF(ISNUMBER(L64),L64*INDEX(LenF,MATCH($L$7,LenU,0))*1000,IF(OR(J64="",K64=""),"",IFERROR(IF(INDEX(PipeWT,MATCH(J64,NPSU,0),MATCH(K64,SchU,0))="","Sch n/a",INDEX(PipeOD,MATCH(J64,NPSU,0))-2*INDEX(PipeWT,MATCH(J64,NPSU,0),MATCH(K64,SchU,0))),"")))</f>
        <v/>
      </c>
      <c r="AT64" s="27" t="n">
        <f aca="false">IF(ISNUMBER(AI64),AI64,IFERROR(INDEX(IF(CC_JobType="Decontamination",CC_TypeFillDC,CC_TypeFillCC),MATCH(E64,CC_TypeL,0)),1))</f>
        <v>1</v>
      </c>
      <c r="AU64" s="27" t="n">
        <v>2</v>
      </c>
    </row>
    <row r="65" customFormat="false" ht="15" hidden="false" customHeight="false" outlineLevel="0" collapsed="false">
      <c r="A65" s="36" t="n">
        <v>23</v>
      </c>
      <c r="B65" s="40"/>
      <c r="C65" s="32"/>
      <c r="D65" s="32"/>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1" t="str">
        <f aca="false">IF(E65="Exchanger",IF(AND(ISNUMBER(S65),ISNUMBER(U65),ISNUMBER(V65)),S65*PI()/4*(U65*INDEX(LenF,MATCH($U$7,LenU,0)))^2*V65*INDEX(LenF,MATCH($V$7,LenU,0)),0)+IF(ISNUMBER(Y65),PI()/4*(Y65*INDEX(LenF,MATCH($Y$7,LenU,0)))^2*N(Z65)*INDEX(LenF,MATCH($Z$7,LenU,0))+IF(AA65="",0,IF(AA65="Conical",PI()/12*(Y65*INDEX(LenF,MATCH($Y$7,LenU,0)))^2*(0),INDEX(HeadK,MATCH(AA65,HeadU,0))*(Y65*INDEX(LenF,MATCH($Y$7,LenU,0)))^3)),0)+IF(ISNUMBER(Y65),PI()/4*(Y65*INDEX(LenF,MATCH($Y$7,LenU,0)))^2*N(AB65)*INDEX(LenF,MATCH($AB$7,LenU,0))+IF(AC65="",0,IF(AC65="Conical",PI()/12*(Y65*INDEX(LenF,MATCH($Y$7,LenU,0)))^2*(0),INDEX(HeadK,MATCH(AC65,HeadU,0))*(Y65*INDEX(LenF,MATCH($Y$7,LenU,0)))^3)),0),"")</f>
        <v/>
      </c>
      <c r="AE65" s="41" t="str">
        <f aca="false">IF(OR(E65="",E65="Piping"),"",IF(E65="Exchanger",AQ65*AR65+IF(P65="",0,IF(P65="Conical",PI()/12*(SQRT(4*AQ65/PI()))^2*(0),INDEX(HeadK,MATCH(P65,HeadU,0))*(SQRT(4*AQ65/PI()))^3))-IF(AND(ISNUMBER(S65),ISNUMBER(V65)),S65*PI()/4*AP65^2*V65*INDEX(LenF,MATCH($V$7,LenU,0)),0),IF(ISNUMBER(N65),PI()/4*(N65*INDEX(LenF,MATCH($N$7,LenU,0)))^2*N(O65)*INDEX(LenF,MATCH($O$7,LenU,0))+IF(P65="",0,IF(P65="Conical",PI()/12*(N65*INDEX(LenF,MATCH($N$7,LenU,0)))^2*(N(R65)*INDEX(LenF,MATCH($R$7,LenU,0))),INDEX(HeadK,MATCH(P65,HeadU,0))*(N65*INDEX(LenF,MATCH($N$7,LenU,0)))^3))+IF(Q65="",0,IF(Q65="Conical",PI()/12*(N65*INDEX(LenF,MATCH($N$7,LenU,0)))^2*(N(R65)*INDEX(LenF,MATCH($R$7,LenU,0))),INDEX(HeadK,MATCH(Q65,HeadU,0))*(N65*INDEX(LenF,MATCH($N$7,LenU,0)))^3)),0)))</f>
        <v/>
      </c>
      <c r="AF65" s="41" t="str">
        <f aca="false">IF(E65&lt;&gt;"Piping","",IF(AND(ISNUMBER(AS65),ISNUMBER(M65)),PI()/4*(AS65/1000)^2*M65*INDEX(LenF,MATCH($M$7,LenU,0)),0))</f>
        <v/>
      </c>
      <c r="AG65" s="41" t="str">
        <f aca="false">IF(E65="","",N(AD65)+N(AE65)+N(AF65))</f>
        <v/>
      </c>
      <c r="AH65" s="41" t="str">
        <f aca="false">IF(ISNUMBER(I65),I65*INDEX(WtF,MATCH($I$7,WtU,0))/CC_WaterRho,"")</f>
        <v/>
      </c>
      <c r="AI65" s="31"/>
      <c r="AJ65" s="31"/>
      <c r="AK65" s="40"/>
      <c r="AL65" s="31"/>
      <c r="AM65" s="41" t="str">
        <f aca="false">IF(AO65="","",AO65*IF(ISNUMBER(AK65),AK65,CC_DefFills)*(1+IF(ISNUMBER(AL65),AL65,CC_DefAllow)))</f>
        <v/>
      </c>
      <c r="AN65" s="42" t="str">
        <f aca="false">IF(G65="Given volume",IF(ISNUMBER(H65),H65*INDEX(VolF,MATCH($H$7,VolU,0)),""),IF(G65="Water weight",AH65,IF(N(AG65)=0,"",AG65)))</f>
        <v/>
      </c>
      <c r="AO65" s="42" t="str">
        <f aca="false">IF(N(AN65)=0,"",AN65*AT65*IF(ISNUMBER(AJ65),AJ65,CC_DefCirc))</f>
        <v/>
      </c>
      <c r="AP65" s="27" t="n">
        <f aca="false">IF(ISNUMBER(T65),T65*INDEX(LenF,MATCH($T$7,LenU,0)),IF(ISNUMBER(W65),W65*INDEX(LenF,MATCH($W$7,LenU,0))/CC_PitchRatio,0))</f>
        <v>0</v>
      </c>
      <c r="AQ65" s="27" t="n">
        <f aca="false">IF(ISNUMBER(N65),PI()/4*(N65*INDEX(LenF,MATCH($N$7,LenU,0)))^2,IF(AND(ISNUMBER(S65),ISNUMBER(W65),X65&lt;&gt;""),S65*(W65*INDEX(LenF,MATCH($W$7,LenU,0)))^2*INDEX(LayoutF,MATCH(X65,LayoutU,0)),0))</f>
        <v>0</v>
      </c>
      <c r="AR65" s="27" t="n">
        <f aca="false">IF(ISNUMBER(O65),O65*INDEX(LenF,MATCH($O$7,LenU,0)),IF(ISNUMBER(V65),V65*INDEX(LenF,MATCH($V$7,LenU,0)),0))</f>
        <v>0</v>
      </c>
      <c r="AS65" s="27" t="str">
        <f aca="false">IF(ISNUMBER(L65),L65*INDEX(LenF,MATCH($L$7,LenU,0))*1000,IF(OR(J65="",K65=""),"",IFERROR(IF(INDEX(PipeWT,MATCH(J65,NPSU,0),MATCH(K65,SchU,0))="","Sch n/a",INDEX(PipeOD,MATCH(J65,NPSU,0))-2*INDEX(PipeWT,MATCH(J65,NPSU,0),MATCH(K65,SchU,0))),"")))</f>
        <v/>
      </c>
      <c r="AT65" s="27" t="n">
        <f aca="false">IF(ISNUMBER(AI65),AI65,IFERROR(INDEX(IF(CC_JobType="Decontamination",CC_TypeFillDC,CC_TypeFillCC),MATCH(E65,CC_TypeL,0)),1))</f>
        <v>1</v>
      </c>
      <c r="AU65" s="27" t="n">
        <v>2</v>
      </c>
    </row>
    <row r="66" customFormat="false" ht="15" hidden="false" customHeight="false" outlineLevel="0" collapsed="false">
      <c r="A66" s="36" t="n">
        <v>24</v>
      </c>
      <c r="B66" s="40"/>
      <c r="C66" s="32"/>
      <c r="D66" s="32"/>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1" t="str">
        <f aca="false">IF(E66="Exchanger",IF(AND(ISNUMBER(S66),ISNUMBER(U66),ISNUMBER(V66)),S66*PI()/4*(U66*INDEX(LenF,MATCH($U$7,LenU,0)))^2*V66*INDEX(LenF,MATCH($V$7,LenU,0)),0)+IF(ISNUMBER(Y66),PI()/4*(Y66*INDEX(LenF,MATCH($Y$7,LenU,0)))^2*N(Z66)*INDEX(LenF,MATCH($Z$7,LenU,0))+IF(AA66="",0,IF(AA66="Conical",PI()/12*(Y66*INDEX(LenF,MATCH($Y$7,LenU,0)))^2*(0),INDEX(HeadK,MATCH(AA66,HeadU,0))*(Y66*INDEX(LenF,MATCH($Y$7,LenU,0)))^3)),0)+IF(ISNUMBER(Y66),PI()/4*(Y66*INDEX(LenF,MATCH($Y$7,LenU,0)))^2*N(AB66)*INDEX(LenF,MATCH($AB$7,LenU,0))+IF(AC66="",0,IF(AC66="Conical",PI()/12*(Y66*INDEX(LenF,MATCH($Y$7,LenU,0)))^2*(0),INDEX(HeadK,MATCH(AC66,HeadU,0))*(Y66*INDEX(LenF,MATCH($Y$7,LenU,0)))^3)),0),"")</f>
        <v/>
      </c>
      <c r="AE66" s="41" t="str">
        <f aca="false">IF(OR(E66="",E66="Piping"),"",IF(E66="Exchanger",AQ66*AR66+IF(P66="",0,IF(P66="Conical",PI()/12*(SQRT(4*AQ66/PI()))^2*(0),INDEX(HeadK,MATCH(P66,HeadU,0))*(SQRT(4*AQ66/PI()))^3))-IF(AND(ISNUMBER(S66),ISNUMBER(V66)),S66*PI()/4*AP66^2*V66*INDEX(LenF,MATCH($V$7,LenU,0)),0),IF(ISNUMBER(N66),PI()/4*(N66*INDEX(LenF,MATCH($N$7,LenU,0)))^2*N(O66)*INDEX(LenF,MATCH($O$7,LenU,0))+IF(P66="",0,IF(P66="Conical",PI()/12*(N66*INDEX(LenF,MATCH($N$7,LenU,0)))^2*(N(R66)*INDEX(LenF,MATCH($R$7,LenU,0))),INDEX(HeadK,MATCH(P66,HeadU,0))*(N66*INDEX(LenF,MATCH($N$7,LenU,0)))^3))+IF(Q66="",0,IF(Q66="Conical",PI()/12*(N66*INDEX(LenF,MATCH($N$7,LenU,0)))^2*(N(R66)*INDEX(LenF,MATCH($R$7,LenU,0))),INDEX(HeadK,MATCH(Q66,HeadU,0))*(N66*INDEX(LenF,MATCH($N$7,LenU,0)))^3)),0)))</f>
        <v/>
      </c>
      <c r="AF66" s="41" t="str">
        <f aca="false">IF(E66&lt;&gt;"Piping","",IF(AND(ISNUMBER(AS66),ISNUMBER(M66)),PI()/4*(AS66/1000)^2*M66*INDEX(LenF,MATCH($M$7,LenU,0)),0))</f>
        <v/>
      </c>
      <c r="AG66" s="41" t="str">
        <f aca="false">IF(E66="","",N(AD66)+N(AE66)+N(AF66))</f>
        <v/>
      </c>
      <c r="AH66" s="41" t="str">
        <f aca="false">IF(ISNUMBER(I66),I66*INDEX(WtF,MATCH($I$7,WtU,0))/CC_WaterRho,"")</f>
        <v/>
      </c>
      <c r="AI66" s="31"/>
      <c r="AJ66" s="31"/>
      <c r="AK66" s="40"/>
      <c r="AL66" s="31"/>
      <c r="AM66" s="41" t="str">
        <f aca="false">IF(AO66="","",AO66*IF(ISNUMBER(AK66),AK66,CC_DefFills)*(1+IF(ISNUMBER(AL66),AL66,CC_DefAllow)))</f>
        <v/>
      </c>
      <c r="AN66" s="42" t="str">
        <f aca="false">IF(G66="Given volume",IF(ISNUMBER(H66),H66*INDEX(VolF,MATCH($H$7,VolU,0)),""),IF(G66="Water weight",AH66,IF(N(AG66)=0,"",AG66)))</f>
        <v/>
      </c>
      <c r="AO66" s="42" t="str">
        <f aca="false">IF(N(AN66)=0,"",AN66*AT66*IF(ISNUMBER(AJ66),AJ66,CC_DefCirc))</f>
        <v/>
      </c>
      <c r="AP66" s="27" t="n">
        <f aca="false">IF(ISNUMBER(T66),T66*INDEX(LenF,MATCH($T$7,LenU,0)),IF(ISNUMBER(W66),W66*INDEX(LenF,MATCH($W$7,LenU,0))/CC_PitchRatio,0))</f>
        <v>0</v>
      </c>
      <c r="AQ66" s="27" t="n">
        <f aca="false">IF(ISNUMBER(N66),PI()/4*(N66*INDEX(LenF,MATCH($N$7,LenU,0)))^2,IF(AND(ISNUMBER(S66),ISNUMBER(W66),X66&lt;&gt;""),S66*(W66*INDEX(LenF,MATCH($W$7,LenU,0)))^2*INDEX(LayoutF,MATCH(X66,LayoutU,0)),0))</f>
        <v>0</v>
      </c>
      <c r="AR66" s="27" t="n">
        <f aca="false">IF(ISNUMBER(O66),O66*INDEX(LenF,MATCH($O$7,LenU,0)),IF(ISNUMBER(V66),V66*INDEX(LenF,MATCH($V$7,LenU,0)),0))</f>
        <v>0</v>
      </c>
      <c r="AS66" s="27" t="str">
        <f aca="false">IF(ISNUMBER(L66),L66*INDEX(LenF,MATCH($L$7,LenU,0))*1000,IF(OR(J66="",K66=""),"",IFERROR(IF(INDEX(PipeWT,MATCH(J66,NPSU,0),MATCH(K66,SchU,0))="","Sch n/a",INDEX(PipeOD,MATCH(J66,NPSU,0))-2*INDEX(PipeWT,MATCH(J66,NPSU,0),MATCH(K66,SchU,0))),"")))</f>
        <v/>
      </c>
      <c r="AT66" s="27" t="n">
        <f aca="false">IF(ISNUMBER(AI66),AI66,IFERROR(INDEX(IF(CC_JobType="Decontamination",CC_TypeFillDC,CC_TypeFillCC),MATCH(E66,CC_TypeL,0)),1))</f>
        <v>1</v>
      </c>
      <c r="AU66" s="27" t="n">
        <v>2</v>
      </c>
    </row>
    <row r="67" customFormat="false" ht="15" hidden="false" customHeight="false" outlineLevel="0" collapsed="false">
      <c r="A67" s="36" t="n">
        <v>25</v>
      </c>
      <c r="B67" s="40"/>
      <c r="C67" s="32"/>
      <c r="D67" s="32"/>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1" t="str">
        <f aca="false">IF(E67="Exchanger",IF(AND(ISNUMBER(S67),ISNUMBER(U67),ISNUMBER(V67)),S67*PI()/4*(U67*INDEX(LenF,MATCH($U$7,LenU,0)))^2*V67*INDEX(LenF,MATCH($V$7,LenU,0)),0)+IF(ISNUMBER(Y67),PI()/4*(Y67*INDEX(LenF,MATCH($Y$7,LenU,0)))^2*N(Z67)*INDEX(LenF,MATCH($Z$7,LenU,0))+IF(AA67="",0,IF(AA67="Conical",PI()/12*(Y67*INDEX(LenF,MATCH($Y$7,LenU,0)))^2*(0),INDEX(HeadK,MATCH(AA67,HeadU,0))*(Y67*INDEX(LenF,MATCH($Y$7,LenU,0)))^3)),0)+IF(ISNUMBER(Y67),PI()/4*(Y67*INDEX(LenF,MATCH($Y$7,LenU,0)))^2*N(AB67)*INDEX(LenF,MATCH($AB$7,LenU,0))+IF(AC67="",0,IF(AC67="Conical",PI()/12*(Y67*INDEX(LenF,MATCH($Y$7,LenU,0)))^2*(0),INDEX(HeadK,MATCH(AC67,HeadU,0))*(Y67*INDEX(LenF,MATCH($Y$7,LenU,0)))^3)),0),"")</f>
        <v/>
      </c>
      <c r="AE67" s="41" t="str">
        <f aca="false">IF(OR(E67="",E67="Piping"),"",IF(E67="Exchanger",AQ67*AR67+IF(P67="",0,IF(P67="Conical",PI()/12*(SQRT(4*AQ67/PI()))^2*(0),INDEX(HeadK,MATCH(P67,HeadU,0))*(SQRT(4*AQ67/PI()))^3))-IF(AND(ISNUMBER(S67),ISNUMBER(V67)),S67*PI()/4*AP67^2*V67*INDEX(LenF,MATCH($V$7,LenU,0)),0),IF(ISNUMBER(N67),PI()/4*(N67*INDEX(LenF,MATCH($N$7,LenU,0)))^2*N(O67)*INDEX(LenF,MATCH($O$7,LenU,0))+IF(P67="",0,IF(P67="Conical",PI()/12*(N67*INDEX(LenF,MATCH($N$7,LenU,0)))^2*(N(R67)*INDEX(LenF,MATCH($R$7,LenU,0))),INDEX(HeadK,MATCH(P67,HeadU,0))*(N67*INDEX(LenF,MATCH($N$7,LenU,0)))^3))+IF(Q67="",0,IF(Q67="Conical",PI()/12*(N67*INDEX(LenF,MATCH($N$7,LenU,0)))^2*(N(R67)*INDEX(LenF,MATCH($R$7,LenU,0))),INDEX(HeadK,MATCH(Q67,HeadU,0))*(N67*INDEX(LenF,MATCH($N$7,LenU,0)))^3)),0)))</f>
        <v/>
      </c>
      <c r="AF67" s="41" t="str">
        <f aca="false">IF(E67&lt;&gt;"Piping","",IF(AND(ISNUMBER(AS67),ISNUMBER(M67)),PI()/4*(AS67/1000)^2*M67*INDEX(LenF,MATCH($M$7,LenU,0)),0))</f>
        <v/>
      </c>
      <c r="AG67" s="41" t="str">
        <f aca="false">IF(E67="","",N(AD67)+N(AE67)+N(AF67))</f>
        <v/>
      </c>
      <c r="AH67" s="41" t="str">
        <f aca="false">IF(ISNUMBER(I67),I67*INDEX(WtF,MATCH($I$7,WtU,0))/CC_WaterRho,"")</f>
        <v/>
      </c>
      <c r="AI67" s="31"/>
      <c r="AJ67" s="31"/>
      <c r="AK67" s="40"/>
      <c r="AL67" s="31"/>
      <c r="AM67" s="41" t="str">
        <f aca="false">IF(AO67="","",AO67*IF(ISNUMBER(AK67),AK67,CC_DefFills)*(1+IF(ISNUMBER(AL67),AL67,CC_DefAllow)))</f>
        <v/>
      </c>
      <c r="AN67" s="42" t="str">
        <f aca="false">IF(G67="Given volume",IF(ISNUMBER(H67),H67*INDEX(VolF,MATCH($H$7,VolU,0)),""),IF(G67="Water weight",AH67,IF(N(AG67)=0,"",AG67)))</f>
        <v/>
      </c>
      <c r="AO67" s="42" t="str">
        <f aca="false">IF(N(AN67)=0,"",AN67*AT67*IF(ISNUMBER(AJ67),AJ67,CC_DefCirc))</f>
        <v/>
      </c>
      <c r="AP67" s="27" t="n">
        <f aca="false">IF(ISNUMBER(T67),T67*INDEX(LenF,MATCH($T$7,LenU,0)),IF(ISNUMBER(W67),W67*INDEX(LenF,MATCH($W$7,LenU,0))/CC_PitchRatio,0))</f>
        <v>0</v>
      </c>
      <c r="AQ67" s="27" t="n">
        <f aca="false">IF(ISNUMBER(N67),PI()/4*(N67*INDEX(LenF,MATCH($N$7,LenU,0)))^2,IF(AND(ISNUMBER(S67),ISNUMBER(W67),X67&lt;&gt;""),S67*(W67*INDEX(LenF,MATCH($W$7,LenU,0)))^2*INDEX(LayoutF,MATCH(X67,LayoutU,0)),0))</f>
        <v>0</v>
      </c>
      <c r="AR67" s="27" t="n">
        <f aca="false">IF(ISNUMBER(O67),O67*INDEX(LenF,MATCH($O$7,LenU,0)),IF(ISNUMBER(V67),V67*INDEX(LenF,MATCH($V$7,LenU,0)),0))</f>
        <v>0</v>
      </c>
      <c r="AS67" s="27" t="str">
        <f aca="false">IF(ISNUMBER(L67),L67*INDEX(LenF,MATCH($L$7,LenU,0))*1000,IF(OR(J67="",K67=""),"",IFERROR(IF(INDEX(PipeWT,MATCH(J67,NPSU,0),MATCH(K67,SchU,0))="","Sch n/a",INDEX(PipeOD,MATCH(J67,NPSU,0))-2*INDEX(PipeWT,MATCH(J67,NPSU,0),MATCH(K67,SchU,0))),"")))</f>
        <v/>
      </c>
      <c r="AT67" s="27" t="n">
        <f aca="false">IF(ISNUMBER(AI67),AI67,IFERROR(INDEX(IF(CC_JobType="Decontamination",CC_TypeFillDC,CC_TypeFillCC),MATCH(E67,CC_TypeL,0)),1))</f>
        <v>1</v>
      </c>
      <c r="AU67" s="27" t="n">
        <v>2</v>
      </c>
    </row>
    <row r="68" customFormat="false" ht="15" hidden="false" customHeight="false" outlineLevel="0" collapsed="false">
      <c r="A68" s="36" t="n">
        <v>26</v>
      </c>
      <c r="B68" s="40"/>
      <c r="C68" s="32"/>
      <c r="D68" s="32"/>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1" t="str">
        <f aca="false">IF(E68="Exchanger",IF(AND(ISNUMBER(S68),ISNUMBER(U68),ISNUMBER(V68)),S68*PI()/4*(U68*INDEX(LenF,MATCH($U$7,LenU,0)))^2*V68*INDEX(LenF,MATCH($V$7,LenU,0)),0)+IF(ISNUMBER(Y68),PI()/4*(Y68*INDEX(LenF,MATCH($Y$7,LenU,0)))^2*N(Z68)*INDEX(LenF,MATCH($Z$7,LenU,0))+IF(AA68="",0,IF(AA68="Conical",PI()/12*(Y68*INDEX(LenF,MATCH($Y$7,LenU,0)))^2*(0),INDEX(HeadK,MATCH(AA68,HeadU,0))*(Y68*INDEX(LenF,MATCH($Y$7,LenU,0)))^3)),0)+IF(ISNUMBER(Y68),PI()/4*(Y68*INDEX(LenF,MATCH($Y$7,LenU,0)))^2*N(AB68)*INDEX(LenF,MATCH($AB$7,LenU,0))+IF(AC68="",0,IF(AC68="Conical",PI()/12*(Y68*INDEX(LenF,MATCH($Y$7,LenU,0)))^2*(0),INDEX(HeadK,MATCH(AC68,HeadU,0))*(Y68*INDEX(LenF,MATCH($Y$7,LenU,0)))^3)),0),"")</f>
        <v/>
      </c>
      <c r="AE68" s="41" t="str">
        <f aca="false">IF(OR(E68="",E68="Piping"),"",IF(E68="Exchanger",AQ68*AR68+IF(P68="",0,IF(P68="Conical",PI()/12*(SQRT(4*AQ68/PI()))^2*(0),INDEX(HeadK,MATCH(P68,HeadU,0))*(SQRT(4*AQ68/PI()))^3))-IF(AND(ISNUMBER(S68),ISNUMBER(V68)),S68*PI()/4*AP68^2*V68*INDEX(LenF,MATCH($V$7,LenU,0)),0),IF(ISNUMBER(N68),PI()/4*(N68*INDEX(LenF,MATCH($N$7,LenU,0)))^2*N(O68)*INDEX(LenF,MATCH($O$7,LenU,0))+IF(P68="",0,IF(P68="Conical",PI()/12*(N68*INDEX(LenF,MATCH($N$7,LenU,0)))^2*(N(R68)*INDEX(LenF,MATCH($R$7,LenU,0))),INDEX(HeadK,MATCH(P68,HeadU,0))*(N68*INDEX(LenF,MATCH($N$7,LenU,0)))^3))+IF(Q68="",0,IF(Q68="Conical",PI()/12*(N68*INDEX(LenF,MATCH($N$7,LenU,0)))^2*(N(R68)*INDEX(LenF,MATCH($R$7,LenU,0))),INDEX(HeadK,MATCH(Q68,HeadU,0))*(N68*INDEX(LenF,MATCH($N$7,LenU,0)))^3)),0)))</f>
        <v/>
      </c>
      <c r="AF68" s="41" t="str">
        <f aca="false">IF(E68&lt;&gt;"Piping","",IF(AND(ISNUMBER(AS68),ISNUMBER(M68)),PI()/4*(AS68/1000)^2*M68*INDEX(LenF,MATCH($M$7,LenU,0)),0))</f>
        <v/>
      </c>
      <c r="AG68" s="41" t="str">
        <f aca="false">IF(E68="","",N(AD68)+N(AE68)+N(AF68))</f>
        <v/>
      </c>
      <c r="AH68" s="41" t="str">
        <f aca="false">IF(ISNUMBER(I68),I68*INDEX(WtF,MATCH($I$7,WtU,0))/CC_WaterRho,"")</f>
        <v/>
      </c>
      <c r="AI68" s="31"/>
      <c r="AJ68" s="31"/>
      <c r="AK68" s="40"/>
      <c r="AL68" s="31"/>
      <c r="AM68" s="41" t="str">
        <f aca="false">IF(AO68="","",AO68*IF(ISNUMBER(AK68),AK68,CC_DefFills)*(1+IF(ISNUMBER(AL68),AL68,CC_DefAllow)))</f>
        <v/>
      </c>
      <c r="AN68" s="42" t="str">
        <f aca="false">IF(G68="Given volume",IF(ISNUMBER(H68),H68*INDEX(VolF,MATCH($H$7,VolU,0)),""),IF(G68="Water weight",AH68,IF(N(AG68)=0,"",AG68)))</f>
        <v/>
      </c>
      <c r="AO68" s="42" t="str">
        <f aca="false">IF(N(AN68)=0,"",AN68*AT68*IF(ISNUMBER(AJ68),AJ68,CC_DefCirc))</f>
        <v/>
      </c>
      <c r="AP68" s="27" t="n">
        <f aca="false">IF(ISNUMBER(T68),T68*INDEX(LenF,MATCH($T$7,LenU,0)),IF(ISNUMBER(W68),W68*INDEX(LenF,MATCH($W$7,LenU,0))/CC_PitchRatio,0))</f>
        <v>0</v>
      </c>
      <c r="AQ68" s="27" t="n">
        <f aca="false">IF(ISNUMBER(N68),PI()/4*(N68*INDEX(LenF,MATCH($N$7,LenU,0)))^2,IF(AND(ISNUMBER(S68),ISNUMBER(W68),X68&lt;&gt;""),S68*(W68*INDEX(LenF,MATCH($W$7,LenU,0)))^2*INDEX(LayoutF,MATCH(X68,LayoutU,0)),0))</f>
        <v>0</v>
      </c>
      <c r="AR68" s="27" t="n">
        <f aca="false">IF(ISNUMBER(O68),O68*INDEX(LenF,MATCH($O$7,LenU,0)),IF(ISNUMBER(V68),V68*INDEX(LenF,MATCH($V$7,LenU,0)),0))</f>
        <v>0</v>
      </c>
      <c r="AS68" s="27" t="str">
        <f aca="false">IF(ISNUMBER(L68),L68*INDEX(LenF,MATCH($L$7,LenU,0))*1000,IF(OR(J68="",K68=""),"",IFERROR(IF(INDEX(PipeWT,MATCH(J68,NPSU,0),MATCH(K68,SchU,0))="","Sch n/a",INDEX(PipeOD,MATCH(J68,NPSU,0))-2*INDEX(PipeWT,MATCH(J68,NPSU,0),MATCH(K68,SchU,0))),"")))</f>
        <v/>
      </c>
      <c r="AT68" s="27" t="n">
        <f aca="false">IF(ISNUMBER(AI68),AI68,IFERROR(INDEX(IF(CC_JobType="Decontamination",CC_TypeFillDC,CC_TypeFillCC),MATCH(E68,CC_TypeL,0)),1))</f>
        <v>1</v>
      </c>
      <c r="AU68" s="27" t="n">
        <v>2</v>
      </c>
    </row>
    <row r="69" customFormat="false" ht="15" hidden="false" customHeight="false" outlineLevel="0" collapsed="false">
      <c r="A69" s="36" t="n">
        <v>27</v>
      </c>
      <c r="B69" s="40"/>
      <c r="C69" s="32"/>
      <c r="D69" s="32"/>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1" t="str">
        <f aca="false">IF(E69="Exchanger",IF(AND(ISNUMBER(S69),ISNUMBER(U69),ISNUMBER(V69)),S69*PI()/4*(U69*INDEX(LenF,MATCH($U$7,LenU,0)))^2*V69*INDEX(LenF,MATCH($V$7,LenU,0)),0)+IF(ISNUMBER(Y69),PI()/4*(Y69*INDEX(LenF,MATCH($Y$7,LenU,0)))^2*N(Z69)*INDEX(LenF,MATCH($Z$7,LenU,0))+IF(AA69="",0,IF(AA69="Conical",PI()/12*(Y69*INDEX(LenF,MATCH($Y$7,LenU,0)))^2*(0),INDEX(HeadK,MATCH(AA69,HeadU,0))*(Y69*INDEX(LenF,MATCH($Y$7,LenU,0)))^3)),0)+IF(ISNUMBER(Y69),PI()/4*(Y69*INDEX(LenF,MATCH($Y$7,LenU,0)))^2*N(AB69)*INDEX(LenF,MATCH($AB$7,LenU,0))+IF(AC69="",0,IF(AC69="Conical",PI()/12*(Y69*INDEX(LenF,MATCH($Y$7,LenU,0)))^2*(0),INDEX(HeadK,MATCH(AC69,HeadU,0))*(Y69*INDEX(LenF,MATCH($Y$7,LenU,0)))^3)),0),"")</f>
        <v/>
      </c>
      <c r="AE69" s="41" t="str">
        <f aca="false">IF(OR(E69="",E69="Piping"),"",IF(E69="Exchanger",AQ69*AR69+IF(P69="",0,IF(P69="Conical",PI()/12*(SQRT(4*AQ69/PI()))^2*(0),INDEX(HeadK,MATCH(P69,HeadU,0))*(SQRT(4*AQ69/PI()))^3))-IF(AND(ISNUMBER(S69),ISNUMBER(V69)),S69*PI()/4*AP69^2*V69*INDEX(LenF,MATCH($V$7,LenU,0)),0),IF(ISNUMBER(N69),PI()/4*(N69*INDEX(LenF,MATCH($N$7,LenU,0)))^2*N(O69)*INDEX(LenF,MATCH($O$7,LenU,0))+IF(P69="",0,IF(P69="Conical",PI()/12*(N69*INDEX(LenF,MATCH($N$7,LenU,0)))^2*(N(R69)*INDEX(LenF,MATCH($R$7,LenU,0))),INDEX(HeadK,MATCH(P69,HeadU,0))*(N69*INDEX(LenF,MATCH($N$7,LenU,0)))^3))+IF(Q69="",0,IF(Q69="Conical",PI()/12*(N69*INDEX(LenF,MATCH($N$7,LenU,0)))^2*(N(R69)*INDEX(LenF,MATCH($R$7,LenU,0))),INDEX(HeadK,MATCH(Q69,HeadU,0))*(N69*INDEX(LenF,MATCH($N$7,LenU,0)))^3)),0)))</f>
        <v/>
      </c>
      <c r="AF69" s="41" t="str">
        <f aca="false">IF(E69&lt;&gt;"Piping","",IF(AND(ISNUMBER(AS69),ISNUMBER(M69)),PI()/4*(AS69/1000)^2*M69*INDEX(LenF,MATCH($M$7,LenU,0)),0))</f>
        <v/>
      </c>
      <c r="AG69" s="41" t="str">
        <f aca="false">IF(E69="","",N(AD69)+N(AE69)+N(AF69))</f>
        <v/>
      </c>
      <c r="AH69" s="41" t="str">
        <f aca="false">IF(ISNUMBER(I69),I69*INDEX(WtF,MATCH($I$7,WtU,0))/CC_WaterRho,"")</f>
        <v/>
      </c>
      <c r="AI69" s="31"/>
      <c r="AJ69" s="31"/>
      <c r="AK69" s="40"/>
      <c r="AL69" s="31"/>
      <c r="AM69" s="41" t="str">
        <f aca="false">IF(AO69="","",AO69*IF(ISNUMBER(AK69),AK69,CC_DefFills)*(1+IF(ISNUMBER(AL69),AL69,CC_DefAllow)))</f>
        <v/>
      </c>
      <c r="AN69" s="42" t="str">
        <f aca="false">IF(G69="Given volume",IF(ISNUMBER(H69),H69*INDEX(VolF,MATCH($H$7,VolU,0)),""),IF(G69="Water weight",AH69,IF(N(AG69)=0,"",AG69)))</f>
        <v/>
      </c>
      <c r="AO69" s="42" t="str">
        <f aca="false">IF(N(AN69)=0,"",AN69*AT69*IF(ISNUMBER(AJ69),AJ69,CC_DefCirc))</f>
        <v/>
      </c>
      <c r="AP69" s="27" t="n">
        <f aca="false">IF(ISNUMBER(T69),T69*INDEX(LenF,MATCH($T$7,LenU,0)),IF(ISNUMBER(W69),W69*INDEX(LenF,MATCH($W$7,LenU,0))/CC_PitchRatio,0))</f>
        <v>0</v>
      </c>
      <c r="AQ69" s="27" t="n">
        <f aca="false">IF(ISNUMBER(N69),PI()/4*(N69*INDEX(LenF,MATCH($N$7,LenU,0)))^2,IF(AND(ISNUMBER(S69),ISNUMBER(W69),X69&lt;&gt;""),S69*(W69*INDEX(LenF,MATCH($W$7,LenU,0)))^2*INDEX(LayoutF,MATCH(X69,LayoutU,0)),0))</f>
        <v>0</v>
      </c>
      <c r="AR69" s="27" t="n">
        <f aca="false">IF(ISNUMBER(O69),O69*INDEX(LenF,MATCH($O$7,LenU,0)),IF(ISNUMBER(V69),V69*INDEX(LenF,MATCH($V$7,LenU,0)),0))</f>
        <v>0</v>
      </c>
      <c r="AS69" s="27" t="str">
        <f aca="false">IF(ISNUMBER(L69),L69*INDEX(LenF,MATCH($L$7,LenU,0))*1000,IF(OR(J69="",K69=""),"",IFERROR(IF(INDEX(PipeWT,MATCH(J69,NPSU,0),MATCH(K69,SchU,0))="","Sch n/a",INDEX(PipeOD,MATCH(J69,NPSU,0))-2*INDEX(PipeWT,MATCH(J69,NPSU,0),MATCH(K69,SchU,0))),"")))</f>
        <v/>
      </c>
      <c r="AT69" s="27" t="n">
        <f aca="false">IF(ISNUMBER(AI69),AI69,IFERROR(INDEX(IF(CC_JobType="Decontamination",CC_TypeFillDC,CC_TypeFillCC),MATCH(E69,CC_TypeL,0)),1))</f>
        <v>1</v>
      </c>
      <c r="AU69" s="27" t="n">
        <v>2</v>
      </c>
    </row>
    <row r="70" customFormat="false" ht="15" hidden="false" customHeight="false" outlineLevel="0" collapsed="false">
      <c r="A70" s="36" t="n">
        <v>28</v>
      </c>
      <c r="B70" s="40"/>
      <c r="C70" s="32"/>
      <c r="D70" s="32"/>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1" t="str">
        <f aca="false">IF(E70="Exchanger",IF(AND(ISNUMBER(S70),ISNUMBER(U70),ISNUMBER(V70)),S70*PI()/4*(U70*INDEX(LenF,MATCH($U$7,LenU,0)))^2*V70*INDEX(LenF,MATCH($V$7,LenU,0)),0)+IF(ISNUMBER(Y70),PI()/4*(Y70*INDEX(LenF,MATCH($Y$7,LenU,0)))^2*N(Z70)*INDEX(LenF,MATCH($Z$7,LenU,0))+IF(AA70="",0,IF(AA70="Conical",PI()/12*(Y70*INDEX(LenF,MATCH($Y$7,LenU,0)))^2*(0),INDEX(HeadK,MATCH(AA70,HeadU,0))*(Y70*INDEX(LenF,MATCH($Y$7,LenU,0)))^3)),0)+IF(ISNUMBER(Y70),PI()/4*(Y70*INDEX(LenF,MATCH($Y$7,LenU,0)))^2*N(AB70)*INDEX(LenF,MATCH($AB$7,LenU,0))+IF(AC70="",0,IF(AC70="Conical",PI()/12*(Y70*INDEX(LenF,MATCH($Y$7,LenU,0)))^2*(0),INDEX(HeadK,MATCH(AC70,HeadU,0))*(Y70*INDEX(LenF,MATCH($Y$7,LenU,0)))^3)),0),"")</f>
        <v/>
      </c>
      <c r="AE70" s="41" t="str">
        <f aca="false">IF(OR(E70="",E70="Piping"),"",IF(E70="Exchanger",AQ70*AR70+IF(P70="",0,IF(P70="Conical",PI()/12*(SQRT(4*AQ70/PI()))^2*(0),INDEX(HeadK,MATCH(P70,HeadU,0))*(SQRT(4*AQ70/PI()))^3))-IF(AND(ISNUMBER(S70),ISNUMBER(V70)),S70*PI()/4*AP70^2*V70*INDEX(LenF,MATCH($V$7,LenU,0)),0),IF(ISNUMBER(N70),PI()/4*(N70*INDEX(LenF,MATCH($N$7,LenU,0)))^2*N(O70)*INDEX(LenF,MATCH($O$7,LenU,0))+IF(P70="",0,IF(P70="Conical",PI()/12*(N70*INDEX(LenF,MATCH($N$7,LenU,0)))^2*(N(R70)*INDEX(LenF,MATCH($R$7,LenU,0))),INDEX(HeadK,MATCH(P70,HeadU,0))*(N70*INDEX(LenF,MATCH($N$7,LenU,0)))^3))+IF(Q70="",0,IF(Q70="Conical",PI()/12*(N70*INDEX(LenF,MATCH($N$7,LenU,0)))^2*(N(R70)*INDEX(LenF,MATCH($R$7,LenU,0))),INDEX(HeadK,MATCH(Q70,HeadU,0))*(N70*INDEX(LenF,MATCH($N$7,LenU,0)))^3)),0)))</f>
        <v/>
      </c>
      <c r="AF70" s="41" t="str">
        <f aca="false">IF(E70&lt;&gt;"Piping","",IF(AND(ISNUMBER(AS70),ISNUMBER(M70)),PI()/4*(AS70/1000)^2*M70*INDEX(LenF,MATCH($M$7,LenU,0)),0))</f>
        <v/>
      </c>
      <c r="AG70" s="41" t="str">
        <f aca="false">IF(E70="","",N(AD70)+N(AE70)+N(AF70))</f>
        <v/>
      </c>
      <c r="AH70" s="41" t="str">
        <f aca="false">IF(ISNUMBER(I70),I70*INDEX(WtF,MATCH($I$7,WtU,0))/CC_WaterRho,"")</f>
        <v/>
      </c>
      <c r="AI70" s="31"/>
      <c r="AJ70" s="31"/>
      <c r="AK70" s="40"/>
      <c r="AL70" s="31"/>
      <c r="AM70" s="41" t="str">
        <f aca="false">IF(AO70="","",AO70*IF(ISNUMBER(AK70),AK70,CC_DefFills)*(1+IF(ISNUMBER(AL70),AL70,CC_DefAllow)))</f>
        <v/>
      </c>
      <c r="AN70" s="42" t="str">
        <f aca="false">IF(G70="Given volume",IF(ISNUMBER(H70),H70*INDEX(VolF,MATCH($H$7,VolU,0)),""),IF(G70="Water weight",AH70,IF(N(AG70)=0,"",AG70)))</f>
        <v/>
      </c>
      <c r="AO70" s="42" t="str">
        <f aca="false">IF(N(AN70)=0,"",AN70*AT70*IF(ISNUMBER(AJ70),AJ70,CC_DefCirc))</f>
        <v/>
      </c>
      <c r="AP70" s="27" t="n">
        <f aca="false">IF(ISNUMBER(T70),T70*INDEX(LenF,MATCH($T$7,LenU,0)),IF(ISNUMBER(W70),W70*INDEX(LenF,MATCH($W$7,LenU,0))/CC_PitchRatio,0))</f>
        <v>0</v>
      </c>
      <c r="AQ70" s="27" t="n">
        <f aca="false">IF(ISNUMBER(N70),PI()/4*(N70*INDEX(LenF,MATCH($N$7,LenU,0)))^2,IF(AND(ISNUMBER(S70),ISNUMBER(W70),X70&lt;&gt;""),S70*(W70*INDEX(LenF,MATCH($W$7,LenU,0)))^2*INDEX(LayoutF,MATCH(X70,LayoutU,0)),0))</f>
        <v>0</v>
      </c>
      <c r="AR70" s="27" t="n">
        <f aca="false">IF(ISNUMBER(O70),O70*INDEX(LenF,MATCH($O$7,LenU,0)),IF(ISNUMBER(V70),V70*INDEX(LenF,MATCH($V$7,LenU,0)),0))</f>
        <v>0</v>
      </c>
      <c r="AS70" s="27" t="str">
        <f aca="false">IF(ISNUMBER(L70),L70*INDEX(LenF,MATCH($L$7,LenU,0))*1000,IF(OR(J70="",K70=""),"",IFERROR(IF(INDEX(PipeWT,MATCH(J70,NPSU,0),MATCH(K70,SchU,0))="","Sch n/a",INDEX(PipeOD,MATCH(J70,NPSU,0))-2*INDEX(PipeWT,MATCH(J70,NPSU,0),MATCH(K70,SchU,0))),"")))</f>
        <v/>
      </c>
      <c r="AT70" s="27" t="n">
        <f aca="false">IF(ISNUMBER(AI70),AI70,IFERROR(INDEX(IF(CC_JobType="Decontamination",CC_TypeFillDC,CC_TypeFillCC),MATCH(E70,CC_TypeL,0)),1))</f>
        <v>1</v>
      </c>
      <c r="AU70" s="27" t="n">
        <v>2</v>
      </c>
    </row>
    <row r="71" customFormat="false" ht="15" hidden="false" customHeight="false" outlineLevel="0" collapsed="false">
      <c r="A71" s="36" t="n">
        <v>29</v>
      </c>
      <c r="B71" s="40"/>
      <c r="C71" s="32"/>
      <c r="D71" s="32"/>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1" t="str">
        <f aca="false">IF(E71="Exchanger",IF(AND(ISNUMBER(S71),ISNUMBER(U71),ISNUMBER(V71)),S71*PI()/4*(U71*INDEX(LenF,MATCH($U$7,LenU,0)))^2*V71*INDEX(LenF,MATCH($V$7,LenU,0)),0)+IF(ISNUMBER(Y71),PI()/4*(Y71*INDEX(LenF,MATCH($Y$7,LenU,0)))^2*N(Z71)*INDEX(LenF,MATCH($Z$7,LenU,0))+IF(AA71="",0,IF(AA71="Conical",PI()/12*(Y71*INDEX(LenF,MATCH($Y$7,LenU,0)))^2*(0),INDEX(HeadK,MATCH(AA71,HeadU,0))*(Y71*INDEX(LenF,MATCH($Y$7,LenU,0)))^3)),0)+IF(ISNUMBER(Y71),PI()/4*(Y71*INDEX(LenF,MATCH($Y$7,LenU,0)))^2*N(AB71)*INDEX(LenF,MATCH($AB$7,LenU,0))+IF(AC71="",0,IF(AC71="Conical",PI()/12*(Y71*INDEX(LenF,MATCH($Y$7,LenU,0)))^2*(0),INDEX(HeadK,MATCH(AC71,HeadU,0))*(Y71*INDEX(LenF,MATCH($Y$7,LenU,0)))^3)),0),"")</f>
        <v/>
      </c>
      <c r="AE71" s="41" t="str">
        <f aca="false">IF(OR(E71="",E71="Piping"),"",IF(E71="Exchanger",AQ71*AR71+IF(P71="",0,IF(P71="Conical",PI()/12*(SQRT(4*AQ71/PI()))^2*(0),INDEX(HeadK,MATCH(P71,HeadU,0))*(SQRT(4*AQ71/PI()))^3))-IF(AND(ISNUMBER(S71),ISNUMBER(V71)),S71*PI()/4*AP71^2*V71*INDEX(LenF,MATCH($V$7,LenU,0)),0),IF(ISNUMBER(N71),PI()/4*(N71*INDEX(LenF,MATCH($N$7,LenU,0)))^2*N(O71)*INDEX(LenF,MATCH($O$7,LenU,0))+IF(P71="",0,IF(P71="Conical",PI()/12*(N71*INDEX(LenF,MATCH($N$7,LenU,0)))^2*(N(R71)*INDEX(LenF,MATCH($R$7,LenU,0))),INDEX(HeadK,MATCH(P71,HeadU,0))*(N71*INDEX(LenF,MATCH($N$7,LenU,0)))^3))+IF(Q71="",0,IF(Q71="Conical",PI()/12*(N71*INDEX(LenF,MATCH($N$7,LenU,0)))^2*(N(R71)*INDEX(LenF,MATCH($R$7,LenU,0))),INDEX(HeadK,MATCH(Q71,HeadU,0))*(N71*INDEX(LenF,MATCH($N$7,LenU,0)))^3)),0)))</f>
        <v/>
      </c>
      <c r="AF71" s="41" t="str">
        <f aca="false">IF(E71&lt;&gt;"Piping","",IF(AND(ISNUMBER(AS71),ISNUMBER(M71)),PI()/4*(AS71/1000)^2*M71*INDEX(LenF,MATCH($M$7,LenU,0)),0))</f>
        <v/>
      </c>
      <c r="AG71" s="41" t="str">
        <f aca="false">IF(E71="","",N(AD71)+N(AE71)+N(AF71))</f>
        <v/>
      </c>
      <c r="AH71" s="41" t="str">
        <f aca="false">IF(ISNUMBER(I71),I71*INDEX(WtF,MATCH($I$7,WtU,0))/CC_WaterRho,"")</f>
        <v/>
      </c>
      <c r="AI71" s="31"/>
      <c r="AJ71" s="31"/>
      <c r="AK71" s="40"/>
      <c r="AL71" s="31"/>
      <c r="AM71" s="41" t="str">
        <f aca="false">IF(AO71="","",AO71*IF(ISNUMBER(AK71),AK71,CC_DefFills)*(1+IF(ISNUMBER(AL71),AL71,CC_DefAllow)))</f>
        <v/>
      </c>
      <c r="AN71" s="42" t="str">
        <f aca="false">IF(G71="Given volume",IF(ISNUMBER(H71),H71*INDEX(VolF,MATCH($H$7,VolU,0)),""),IF(G71="Water weight",AH71,IF(N(AG71)=0,"",AG71)))</f>
        <v/>
      </c>
      <c r="AO71" s="42" t="str">
        <f aca="false">IF(N(AN71)=0,"",AN71*AT71*IF(ISNUMBER(AJ71),AJ71,CC_DefCirc))</f>
        <v/>
      </c>
      <c r="AP71" s="27" t="n">
        <f aca="false">IF(ISNUMBER(T71),T71*INDEX(LenF,MATCH($T$7,LenU,0)),IF(ISNUMBER(W71),W71*INDEX(LenF,MATCH($W$7,LenU,0))/CC_PitchRatio,0))</f>
        <v>0</v>
      </c>
      <c r="AQ71" s="27" t="n">
        <f aca="false">IF(ISNUMBER(N71),PI()/4*(N71*INDEX(LenF,MATCH($N$7,LenU,0)))^2,IF(AND(ISNUMBER(S71),ISNUMBER(W71),X71&lt;&gt;""),S71*(W71*INDEX(LenF,MATCH($W$7,LenU,0)))^2*INDEX(LayoutF,MATCH(X71,LayoutU,0)),0))</f>
        <v>0</v>
      </c>
      <c r="AR71" s="27" t="n">
        <f aca="false">IF(ISNUMBER(O71),O71*INDEX(LenF,MATCH($O$7,LenU,0)),IF(ISNUMBER(V71),V71*INDEX(LenF,MATCH($V$7,LenU,0)),0))</f>
        <v>0</v>
      </c>
      <c r="AS71" s="27" t="str">
        <f aca="false">IF(ISNUMBER(L71),L71*INDEX(LenF,MATCH($L$7,LenU,0))*1000,IF(OR(J71="",K71=""),"",IFERROR(IF(INDEX(PipeWT,MATCH(J71,NPSU,0),MATCH(K71,SchU,0))="","Sch n/a",INDEX(PipeOD,MATCH(J71,NPSU,0))-2*INDEX(PipeWT,MATCH(J71,NPSU,0),MATCH(K71,SchU,0))),"")))</f>
        <v/>
      </c>
      <c r="AT71" s="27" t="n">
        <f aca="false">IF(ISNUMBER(AI71),AI71,IFERROR(INDEX(IF(CC_JobType="Decontamination",CC_TypeFillDC,CC_TypeFillCC),MATCH(E71,CC_TypeL,0)),1))</f>
        <v>1</v>
      </c>
      <c r="AU71" s="27" t="n">
        <v>2</v>
      </c>
    </row>
    <row r="72" customFormat="false" ht="15" hidden="false" customHeight="false" outlineLevel="0" collapsed="false">
      <c r="A72" s="36" t="n">
        <v>30</v>
      </c>
      <c r="B72" s="40"/>
      <c r="C72" s="32"/>
      <c r="D72" s="32"/>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1" t="str">
        <f aca="false">IF(E72="Exchanger",IF(AND(ISNUMBER(S72),ISNUMBER(U72),ISNUMBER(V72)),S72*PI()/4*(U72*INDEX(LenF,MATCH($U$7,LenU,0)))^2*V72*INDEX(LenF,MATCH($V$7,LenU,0)),0)+IF(ISNUMBER(Y72),PI()/4*(Y72*INDEX(LenF,MATCH($Y$7,LenU,0)))^2*N(Z72)*INDEX(LenF,MATCH($Z$7,LenU,0))+IF(AA72="",0,IF(AA72="Conical",PI()/12*(Y72*INDEX(LenF,MATCH($Y$7,LenU,0)))^2*(0),INDEX(HeadK,MATCH(AA72,HeadU,0))*(Y72*INDEX(LenF,MATCH($Y$7,LenU,0)))^3)),0)+IF(ISNUMBER(Y72),PI()/4*(Y72*INDEX(LenF,MATCH($Y$7,LenU,0)))^2*N(AB72)*INDEX(LenF,MATCH($AB$7,LenU,0))+IF(AC72="",0,IF(AC72="Conical",PI()/12*(Y72*INDEX(LenF,MATCH($Y$7,LenU,0)))^2*(0),INDEX(HeadK,MATCH(AC72,HeadU,0))*(Y72*INDEX(LenF,MATCH($Y$7,LenU,0)))^3)),0),"")</f>
        <v/>
      </c>
      <c r="AE72" s="41" t="str">
        <f aca="false">IF(OR(E72="",E72="Piping"),"",IF(E72="Exchanger",AQ72*AR72+IF(P72="",0,IF(P72="Conical",PI()/12*(SQRT(4*AQ72/PI()))^2*(0),INDEX(HeadK,MATCH(P72,HeadU,0))*(SQRT(4*AQ72/PI()))^3))-IF(AND(ISNUMBER(S72),ISNUMBER(V72)),S72*PI()/4*AP72^2*V72*INDEX(LenF,MATCH($V$7,LenU,0)),0),IF(ISNUMBER(N72),PI()/4*(N72*INDEX(LenF,MATCH($N$7,LenU,0)))^2*N(O72)*INDEX(LenF,MATCH($O$7,LenU,0))+IF(P72="",0,IF(P72="Conical",PI()/12*(N72*INDEX(LenF,MATCH($N$7,LenU,0)))^2*(N(R72)*INDEX(LenF,MATCH($R$7,LenU,0))),INDEX(HeadK,MATCH(P72,HeadU,0))*(N72*INDEX(LenF,MATCH($N$7,LenU,0)))^3))+IF(Q72="",0,IF(Q72="Conical",PI()/12*(N72*INDEX(LenF,MATCH($N$7,LenU,0)))^2*(N(R72)*INDEX(LenF,MATCH($R$7,LenU,0))),INDEX(HeadK,MATCH(Q72,HeadU,0))*(N72*INDEX(LenF,MATCH($N$7,LenU,0)))^3)),0)))</f>
        <v/>
      </c>
      <c r="AF72" s="41" t="str">
        <f aca="false">IF(E72&lt;&gt;"Piping","",IF(AND(ISNUMBER(AS72),ISNUMBER(M72)),PI()/4*(AS72/1000)^2*M72*INDEX(LenF,MATCH($M$7,LenU,0)),0))</f>
        <v/>
      </c>
      <c r="AG72" s="41" t="str">
        <f aca="false">IF(E72="","",N(AD72)+N(AE72)+N(AF72))</f>
        <v/>
      </c>
      <c r="AH72" s="41" t="str">
        <f aca="false">IF(ISNUMBER(I72),I72*INDEX(WtF,MATCH($I$7,WtU,0))/CC_WaterRho,"")</f>
        <v/>
      </c>
      <c r="AI72" s="31"/>
      <c r="AJ72" s="31"/>
      <c r="AK72" s="40"/>
      <c r="AL72" s="31"/>
      <c r="AM72" s="41" t="str">
        <f aca="false">IF(AO72="","",AO72*IF(ISNUMBER(AK72),AK72,CC_DefFills)*(1+IF(ISNUMBER(AL72),AL72,CC_DefAllow)))</f>
        <v/>
      </c>
      <c r="AN72" s="42" t="str">
        <f aca="false">IF(G72="Given volume",IF(ISNUMBER(H72),H72*INDEX(VolF,MATCH($H$7,VolU,0)),""),IF(G72="Water weight",AH72,IF(N(AG72)=0,"",AG72)))</f>
        <v/>
      </c>
      <c r="AO72" s="42" t="str">
        <f aca="false">IF(N(AN72)=0,"",AN72*AT72*IF(ISNUMBER(AJ72),AJ72,CC_DefCirc))</f>
        <v/>
      </c>
      <c r="AP72" s="27" t="n">
        <f aca="false">IF(ISNUMBER(T72),T72*INDEX(LenF,MATCH($T$7,LenU,0)),IF(ISNUMBER(W72),W72*INDEX(LenF,MATCH($W$7,LenU,0))/CC_PitchRatio,0))</f>
        <v>0</v>
      </c>
      <c r="AQ72" s="27" t="n">
        <f aca="false">IF(ISNUMBER(N72),PI()/4*(N72*INDEX(LenF,MATCH($N$7,LenU,0)))^2,IF(AND(ISNUMBER(S72),ISNUMBER(W72),X72&lt;&gt;""),S72*(W72*INDEX(LenF,MATCH($W$7,LenU,0)))^2*INDEX(LayoutF,MATCH(X72,LayoutU,0)),0))</f>
        <v>0</v>
      </c>
      <c r="AR72" s="27" t="n">
        <f aca="false">IF(ISNUMBER(O72),O72*INDEX(LenF,MATCH($O$7,LenU,0)),IF(ISNUMBER(V72),V72*INDEX(LenF,MATCH($V$7,LenU,0)),0))</f>
        <v>0</v>
      </c>
      <c r="AS72" s="27" t="str">
        <f aca="false">IF(ISNUMBER(L72),L72*INDEX(LenF,MATCH($L$7,LenU,0))*1000,IF(OR(J72="",K72=""),"",IFERROR(IF(INDEX(PipeWT,MATCH(J72,NPSU,0),MATCH(K72,SchU,0))="","Sch n/a",INDEX(PipeOD,MATCH(J72,NPSU,0))-2*INDEX(PipeWT,MATCH(J72,NPSU,0),MATCH(K72,SchU,0))),"")))</f>
        <v/>
      </c>
      <c r="AT72" s="27" t="n">
        <f aca="false">IF(ISNUMBER(AI72),AI72,IFERROR(INDEX(IF(CC_JobType="Decontamination",CC_TypeFillDC,CC_TypeFillCC),MATCH(E72,CC_TypeL,0)),1))</f>
        <v>1</v>
      </c>
      <c r="AU72" s="27" t="n">
        <v>2</v>
      </c>
    </row>
    <row r="73" customFormat="false" ht="15" hidden="false" customHeight="false" outlineLevel="0" collapsed="false">
      <c r="A73" s="44" t="str">
        <f aca="false">"TOTAL – "&amp;INDEX(CC_UnitNames,2)</f>
        <v>TOTAL – Unit 2</v>
      </c>
      <c r="B73" s="44"/>
      <c r="C73" s="44"/>
      <c r="D73" s="44"/>
      <c r="E73" s="45"/>
      <c r="F73" s="45"/>
      <c r="G73" s="45"/>
      <c r="H73" s="45"/>
      <c r="I73" s="45"/>
      <c r="J73" s="45"/>
      <c r="K73" s="45"/>
      <c r="L73" s="45"/>
      <c r="M73" s="45"/>
      <c r="N73" s="45"/>
      <c r="O73" s="45"/>
      <c r="P73" s="45"/>
      <c r="Q73" s="45"/>
      <c r="R73" s="45"/>
      <c r="S73" s="46" t="str">
        <f aca="false">COUNT(AN43:AN72)&amp;" items"</f>
        <v>0 items</v>
      </c>
      <c r="T73" s="45"/>
      <c r="U73" s="45"/>
      <c r="V73" s="45"/>
      <c r="W73" s="45"/>
      <c r="X73" s="45"/>
      <c r="Y73" s="45"/>
      <c r="Z73" s="45"/>
      <c r="AA73" s="45"/>
      <c r="AB73" s="45"/>
      <c r="AC73" s="45"/>
      <c r="AD73" s="47" t="n">
        <f aca="false">SUM(AD43:AD72)</f>
        <v>0</v>
      </c>
      <c r="AE73" s="47" t="n">
        <f aca="false">SUM(AE43:AE72)</f>
        <v>0</v>
      </c>
      <c r="AF73" s="47" t="n">
        <f aca="false">SUM(AF43:AF72)</f>
        <v>0</v>
      </c>
      <c r="AG73" s="47" t="n">
        <f aca="false">SUM(AG43:AG72)</f>
        <v>0</v>
      </c>
      <c r="AH73" s="47" t="n">
        <f aca="false">SUM(AH43:AH72)</f>
        <v>0</v>
      </c>
      <c r="AI73" s="45"/>
      <c r="AJ73" s="45"/>
      <c r="AK73" s="45"/>
      <c r="AL73" s="45"/>
      <c r="AM73" s="47" t="n">
        <f aca="false">SUM(AM43:AM72)</f>
        <v>0</v>
      </c>
      <c r="AN73" s="47" t="n">
        <f aca="false">SUM(AN43:AN72)</f>
        <v>0</v>
      </c>
      <c r="AO73" s="47" t="n">
        <f aca="false">SUM(AO43:AO72)</f>
        <v>0</v>
      </c>
    </row>
    <row r="75" customFormat="false" ht="15" hidden="false" customHeight="false" outlineLevel="0" collapsed="false">
      <c r="A75" s="38" t="str">
        <f aca="false">"UNIT 3:  "&amp;INDEX(CC_UnitNames,3)</f>
        <v>UNIT 3:  Unit 3</v>
      </c>
      <c r="B75" s="38"/>
      <c r="C75" s="38"/>
      <c r="D75" s="38"/>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row>
    <row r="76" customFormat="false" ht="15" hidden="false" customHeight="false" outlineLevel="0" collapsed="false">
      <c r="A76" s="36" t="n">
        <v>1</v>
      </c>
      <c r="B76" s="40"/>
      <c r="C76" s="32"/>
      <c r="D76" s="32"/>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1" t="str">
        <f aca="false">IF(E76="Exchanger",IF(AND(ISNUMBER(S76),ISNUMBER(U76),ISNUMBER(V76)),S76*PI()/4*(U76*INDEX(LenF,MATCH($U$7,LenU,0)))^2*V76*INDEX(LenF,MATCH($V$7,LenU,0)),0)+IF(ISNUMBER(Y76),PI()/4*(Y76*INDEX(LenF,MATCH($Y$7,LenU,0)))^2*N(Z76)*INDEX(LenF,MATCH($Z$7,LenU,0))+IF(AA76="",0,IF(AA76="Conical",PI()/12*(Y76*INDEX(LenF,MATCH($Y$7,LenU,0)))^2*(0),INDEX(HeadK,MATCH(AA76,HeadU,0))*(Y76*INDEX(LenF,MATCH($Y$7,LenU,0)))^3)),0)+IF(ISNUMBER(Y76),PI()/4*(Y76*INDEX(LenF,MATCH($Y$7,LenU,0)))^2*N(AB76)*INDEX(LenF,MATCH($AB$7,LenU,0))+IF(AC76="",0,IF(AC76="Conical",PI()/12*(Y76*INDEX(LenF,MATCH($Y$7,LenU,0)))^2*(0),INDEX(HeadK,MATCH(AC76,HeadU,0))*(Y76*INDEX(LenF,MATCH($Y$7,LenU,0)))^3)),0),"")</f>
        <v/>
      </c>
      <c r="AE76" s="41" t="str">
        <f aca="false">IF(OR(E76="",E76="Piping"),"",IF(E76="Exchanger",AQ76*AR76+IF(P76="",0,IF(P76="Conical",PI()/12*(SQRT(4*AQ76/PI()))^2*(0),INDEX(HeadK,MATCH(P76,HeadU,0))*(SQRT(4*AQ76/PI()))^3))-IF(AND(ISNUMBER(S76),ISNUMBER(V76)),S76*PI()/4*AP76^2*V76*INDEX(LenF,MATCH($V$7,LenU,0)),0),IF(ISNUMBER(N76),PI()/4*(N76*INDEX(LenF,MATCH($N$7,LenU,0)))^2*N(O76)*INDEX(LenF,MATCH($O$7,LenU,0))+IF(P76="",0,IF(P76="Conical",PI()/12*(N76*INDEX(LenF,MATCH($N$7,LenU,0)))^2*(N(R76)*INDEX(LenF,MATCH($R$7,LenU,0))),INDEX(HeadK,MATCH(P76,HeadU,0))*(N76*INDEX(LenF,MATCH($N$7,LenU,0)))^3))+IF(Q76="",0,IF(Q76="Conical",PI()/12*(N76*INDEX(LenF,MATCH($N$7,LenU,0)))^2*(N(R76)*INDEX(LenF,MATCH($R$7,LenU,0))),INDEX(HeadK,MATCH(Q76,HeadU,0))*(N76*INDEX(LenF,MATCH($N$7,LenU,0)))^3)),0)))</f>
        <v/>
      </c>
      <c r="AF76" s="41" t="str">
        <f aca="false">IF(E76&lt;&gt;"Piping","",IF(AND(ISNUMBER(AS76),ISNUMBER(M76)),PI()/4*(AS76/1000)^2*M76*INDEX(LenF,MATCH($M$7,LenU,0)),0))</f>
        <v/>
      </c>
      <c r="AG76" s="41" t="str">
        <f aca="false">IF(E76="","",N(AD76)+N(AE76)+N(AF76))</f>
        <v/>
      </c>
      <c r="AH76" s="41" t="str">
        <f aca="false">IF(ISNUMBER(I76),I76*INDEX(WtF,MATCH($I$7,WtU,0))/CC_WaterRho,"")</f>
        <v/>
      </c>
      <c r="AI76" s="31"/>
      <c r="AJ76" s="31"/>
      <c r="AK76" s="40"/>
      <c r="AL76" s="31"/>
      <c r="AM76" s="41" t="str">
        <f aca="false">IF(AO76="","",AO76*IF(ISNUMBER(AK76),AK76,CC_DefFills)*(1+IF(ISNUMBER(AL76),AL76,CC_DefAllow)))</f>
        <v/>
      </c>
      <c r="AN76" s="42" t="str">
        <f aca="false">IF(G76="Given volume",IF(ISNUMBER(H76),H76*INDEX(VolF,MATCH($H$7,VolU,0)),""),IF(G76="Water weight",AH76,IF(N(AG76)=0,"",AG76)))</f>
        <v/>
      </c>
      <c r="AO76" s="42" t="str">
        <f aca="false">IF(N(AN76)=0,"",AN76*AT76*IF(ISNUMBER(AJ76),AJ76,CC_DefCirc))</f>
        <v/>
      </c>
      <c r="AP76" s="27" t="n">
        <f aca="false">IF(ISNUMBER(T76),T76*INDEX(LenF,MATCH($T$7,LenU,0)),IF(ISNUMBER(W76),W76*INDEX(LenF,MATCH($W$7,LenU,0))/CC_PitchRatio,0))</f>
        <v>0</v>
      </c>
      <c r="AQ76" s="27" t="n">
        <f aca="false">IF(ISNUMBER(N76),PI()/4*(N76*INDEX(LenF,MATCH($N$7,LenU,0)))^2,IF(AND(ISNUMBER(S76),ISNUMBER(W76),X76&lt;&gt;""),S76*(W76*INDEX(LenF,MATCH($W$7,LenU,0)))^2*INDEX(LayoutF,MATCH(X76,LayoutU,0)),0))</f>
        <v>0</v>
      </c>
      <c r="AR76" s="27" t="n">
        <f aca="false">IF(ISNUMBER(O76),O76*INDEX(LenF,MATCH($O$7,LenU,0)),IF(ISNUMBER(V76),V76*INDEX(LenF,MATCH($V$7,LenU,0)),0))</f>
        <v>0</v>
      </c>
      <c r="AS76" s="27" t="str">
        <f aca="false">IF(ISNUMBER(L76),L76*INDEX(LenF,MATCH($L$7,LenU,0))*1000,IF(OR(J76="",K76=""),"",IFERROR(IF(INDEX(PipeWT,MATCH(J76,NPSU,0),MATCH(K76,SchU,0))="","Sch n/a",INDEX(PipeOD,MATCH(J76,NPSU,0))-2*INDEX(PipeWT,MATCH(J76,NPSU,0),MATCH(K76,SchU,0))),"")))</f>
        <v/>
      </c>
      <c r="AT76" s="27" t="n">
        <f aca="false">IF(ISNUMBER(AI76),AI76,IFERROR(INDEX(IF(CC_JobType="Decontamination",CC_TypeFillDC,CC_TypeFillCC),MATCH(E76,CC_TypeL,0)),1))</f>
        <v>1</v>
      </c>
      <c r="AU76" s="27" t="n">
        <v>3</v>
      </c>
    </row>
    <row r="77" customFormat="false" ht="15" hidden="false" customHeight="false" outlineLevel="0" collapsed="false">
      <c r="A77" s="36" t="n">
        <v>2</v>
      </c>
      <c r="B77" s="40"/>
      <c r="C77" s="32"/>
      <c r="D77" s="32"/>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1" t="str">
        <f aca="false">IF(E77="Exchanger",IF(AND(ISNUMBER(S77),ISNUMBER(U77),ISNUMBER(V77)),S77*PI()/4*(U77*INDEX(LenF,MATCH($U$7,LenU,0)))^2*V77*INDEX(LenF,MATCH($V$7,LenU,0)),0)+IF(ISNUMBER(Y77),PI()/4*(Y77*INDEX(LenF,MATCH($Y$7,LenU,0)))^2*N(Z77)*INDEX(LenF,MATCH($Z$7,LenU,0))+IF(AA77="",0,IF(AA77="Conical",PI()/12*(Y77*INDEX(LenF,MATCH($Y$7,LenU,0)))^2*(0),INDEX(HeadK,MATCH(AA77,HeadU,0))*(Y77*INDEX(LenF,MATCH($Y$7,LenU,0)))^3)),0)+IF(ISNUMBER(Y77),PI()/4*(Y77*INDEX(LenF,MATCH($Y$7,LenU,0)))^2*N(AB77)*INDEX(LenF,MATCH($AB$7,LenU,0))+IF(AC77="",0,IF(AC77="Conical",PI()/12*(Y77*INDEX(LenF,MATCH($Y$7,LenU,0)))^2*(0),INDEX(HeadK,MATCH(AC77,HeadU,0))*(Y77*INDEX(LenF,MATCH($Y$7,LenU,0)))^3)),0),"")</f>
        <v/>
      </c>
      <c r="AE77" s="41" t="str">
        <f aca="false">IF(OR(E77="",E77="Piping"),"",IF(E77="Exchanger",AQ77*AR77+IF(P77="",0,IF(P77="Conical",PI()/12*(SQRT(4*AQ77/PI()))^2*(0),INDEX(HeadK,MATCH(P77,HeadU,0))*(SQRT(4*AQ77/PI()))^3))-IF(AND(ISNUMBER(S77),ISNUMBER(V77)),S77*PI()/4*AP77^2*V77*INDEX(LenF,MATCH($V$7,LenU,0)),0),IF(ISNUMBER(N77),PI()/4*(N77*INDEX(LenF,MATCH($N$7,LenU,0)))^2*N(O77)*INDEX(LenF,MATCH($O$7,LenU,0))+IF(P77="",0,IF(P77="Conical",PI()/12*(N77*INDEX(LenF,MATCH($N$7,LenU,0)))^2*(N(R77)*INDEX(LenF,MATCH($R$7,LenU,0))),INDEX(HeadK,MATCH(P77,HeadU,0))*(N77*INDEX(LenF,MATCH($N$7,LenU,0)))^3))+IF(Q77="",0,IF(Q77="Conical",PI()/12*(N77*INDEX(LenF,MATCH($N$7,LenU,0)))^2*(N(R77)*INDEX(LenF,MATCH($R$7,LenU,0))),INDEX(HeadK,MATCH(Q77,HeadU,0))*(N77*INDEX(LenF,MATCH($N$7,LenU,0)))^3)),0)))</f>
        <v/>
      </c>
      <c r="AF77" s="41" t="str">
        <f aca="false">IF(E77&lt;&gt;"Piping","",IF(AND(ISNUMBER(AS77),ISNUMBER(M77)),PI()/4*(AS77/1000)^2*M77*INDEX(LenF,MATCH($M$7,LenU,0)),0))</f>
        <v/>
      </c>
      <c r="AG77" s="41" t="str">
        <f aca="false">IF(E77="","",N(AD77)+N(AE77)+N(AF77))</f>
        <v/>
      </c>
      <c r="AH77" s="41" t="str">
        <f aca="false">IF(ISNUMBER(I77),I77*INDEX(WtF,MATCH($I$7,WtU,0))/CC_WaterRho,"")</f>
        <v/>
      </c>
      <c r="AI77" s="31"/>
      <c r="AJ77" s="31"/>
      <c r="AK77" s="40"/>
      <c r="AL77" s="31"/>
      <c r="AM77" s="41" t="str">
        <f aca="false">IF(AO77="","",AO77*IF(ISNUMBER(AK77),AK77,CC_DefFills)*(1+IF(ISNUMBER(AL77),AL77,CC_DefAllow)))</f>
        <v/>
      </c>
      <c r="AN77" s="42" t="str">
        <f aca="false">IF(G77="Given volume",IF(ISNUMBER(H77),H77*INDEX(VolF,MATCH($H$7,VolU,0)),""),IF(G77="Water weight",AH77,IF(N(AG77)=0,"",AG77)))</f>
        <v/>
      </c>
      <c r="AO77" s="42" t="str">
        <f aca="false">IF(N(AN77)=0,"",AN77*AT77*IF(ISNUMBER(AJ77),AJ77,CC_DefCirc))</f>
        <v/>
      </c>
      <c r="AP77" s="27" t="n">
        <f aca="false">IF(ISNUMBER(T77),T77*INDEX(LenF,MATCH($T$7,LenU,0)),IF(ISNUMBER(W77),W77*INDEX(LenF,MATCH($W$7,LenU,0))/CC_PitchRatio,0))</f>
        <v>0</v>
      </c>
      <c r="AQ77" s="27" t="n">
        <f aca="false">IF(ISNUMBER(N77),PI()/4*(N77*INDEX(LenF,MATCH($N$7,LenU,0)))^2,IF(AND(ISNUMBER(S77),ISNUMBER(W77),X77&lt;&gt;""),S77*(W77*INDEX(LenF,MATCH($W$7,LenU,0)))^2*INDEX(LayoutF,MATCH(X77,LayoutU,0)),0))</f>
        <v>0</v>
      </c>
      <c r="AR77" s="27" t="n">
        <f aca="false">IF(ISNUMBER(O77),O77*INDEX(LenF,MATCH($O$7,LenU,0)),IF(ISNUMBER(V77),V77*INDEX(LenF,MATCH($V$7,LenU,0)),0))</f>
        <v>0</v>
      </c>
      <c r="AS77" s="27" t="str">
        <f aca="false">IF(ISNUMBER(L77),L77*INDEX(LenF,MATCH($L$7,LenU,0))*1000,IF(OR(J77="",K77=""),"",IFERROR(IF(INDEX(PipeWT,MATCH(J77,NPSU,0),MATCH(K77,SchU,0))="","Sch n/a",INDEX(PipeOD,MATCH(J77,NPSU,0))-2*INDEX(PipeWT,MATCH(J77,NPSU,0),MATCH(K77,SchU,0))),"")))</f>
        <v/>
      </c>
      <c r="AT77" s="27" t="n">
        <f aca="false">IF(ISNUMBER(AI77),AI77,IFERROR(INDEX(IF(CC_JobType="Decontamination",CC_TypeFillDC,CC_TypeFillCC),MATCH(E77,CC_TypeL,0)),1))</f>
        <v>1</v>
      </c>
      <c r="AU77" s="27" t="n">
        <v>3</v>
      </c>
    </row>
    <row r="78" customFormat="false" ht="15" hidden="false" customHeight="false" outlineLevel="0" collapsed="false">
      <c r="A78" s="36" t="n">
        <v>3</v>
      </c>
      <c r="B78" s="40"/>
      <c r="C78" s="32"/>
      <c r="D78" s="32"/>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1" t="str">
        <f aca="false">IF(E78="Exchanger",IF(AND(ISNUMBER(S78),ISNUMBER(U78),ISNUMBER(V78)),S78*PI()/4*(U78*INDEX(LenF,MATCH($U$7,LenU,0)))^2*V78*INDEX(LenF,MATCH($V$7,LenU,0)),0)+IF(ISNUMBER(Y78),PI()/4*(Y78*INDEX(LenF,MATCH($Y$7,LenU,0)))^2*N(Z78)*INDEX(LenF,MATCH($Z$7,LenU,0))+IF(AA78="",0,IF(AA78="Conical",PI()/12*(Y78*INDEX(LenF,MATCH($Y$7,LenU,0)))^2*(0),INDEX(HeadK,MATCH(AA78,HeadU,0))*(Y78*INDEX(LenF,MATCH($Y$7,LenU,0)))^3)),0)+IF(ISNUMBER(Y78),PI()/4*(Y78*INDEX(LenF,MATCH($Y$7,LenU,0)))^2*N(AB78)*INDEX(LenF,MATCH($AB$7,LenU,0))+IF(AC78="",0,IF(AC78="Conical",PI()/12*(Y78*INDEX(LenF,MATCH($Y$7,LenU,0)))^2*(0),INDEX(HeadK,MATCH(AC78,HeadU,0))*(Y78*INDEX(LenF,MATCH($Y$7,LenU,0)))^3)),0),"")</f>
        <v/>
      </c>
      <c r="AE78" s="41" t="str">
        <f aca="false">IF(OR(E78="",E78="Piping"),"",IF(E78="Exchanger",AQ78*AR78+IF(P78="",0,IF(P78="Conical",PI()/12*(SQRT(4*AQ78/PI()))^2*(0),INDEX(HeadK,MATCH(P78,HeadU,0))*(SQRT(4*AQ78/PI()))^3))-IF(AND(ISNUMBER(S78),ISNUMBER(V78)),S78*PI()/4*AP78^2*V78*INDEX(LenF,MATCH($V$7,LenU,0)),0),IF(ISNUMBER(N78),PI()/4*(N78*INDEX(LenF,MATCH($N$7,LenU,0)))^2*N(O78)*INDEX(LenF,MATCH($O$7,LenU,0))+IF(P78="",0,IF(P78="Conical",PI()/12*(N78*INDEX(LenF,MATCH($N$7,LenU,0)))^2*(N(R78)*INDEX(LenF,MATCH($R$7,LenU,0))),INDEX(HeadK,MATCH(P78,HeadU,0))*(N78*INDEX(LenF,MATCH($N$7,LenU,0)))^3))+IF(Q78="",0,IF(Q78="Conical",PI()/12*(N78*INDEX(LenF,MATCH($N$7,LenU,0)))^2*(N(R78)*INDEX(LenF,MATCH($R$7,LenU,0))),INDEX(HeadK,MATCH(Q78,HeadU,0))*(N78*INDEX(LenF,MATCH($N$7,LenU,0)))^3)),0)))</f>
        <v/>
      </c>
      <c r="AF78" s="41" t="str">
        <f aca="false">IF(E78&lt;&gt;"Piping","",IF(AND(ISNUMBER(AS78),ISNUMBER(M78)),PI()/4*(AS78/1000)^2*M78*INDEX(LenF,MATCH($M$7,LenU,0)),0))</f>
        <v/>
      </c>
      <c r="AG78" s="41" t="str">
        <f aca="false">IF(E78="","",N(AD78)+N(AE78)+N(AF78))</f>
        <v/>
      </c>
      <c r="AH78" s="41" t="str">
        <f aca="false">IF(ISNUMBER(I78),I78*INDEX(WtF,MATCH($I$7,WtU,0))/CC_WaterRho,"")</f>
        <v/>
      </c>
      <c r="AI78" s="31"/>
      <c r="AJ78" s="31"/>
      <c r="AK78" s="40"/>
      <c r="AL78" s="31"/>
      <c r="AM78" s="41" t="str">
        <f aca="false">IF(AO78="","",AO78*IF(ISNUMBER(AK78),AK78,CC_DefFills)*(1+IF(ISNUMBER(AL78),AL78,CC_DefAllow)))</f>
        <v/>
      </c>
      <c r="AN78" s="42" t="str">
        <f aca="false">IF(G78="Given volume",IF(ISNUMBER(H78),H78*INDEX(VolF,MATCH($H$7,VolU,0)),""),IF(G78="Water weight",AH78,IF(N(AG78)=0,"",AG78)))</f>
        <v/>
      </c>
      <c r="AO78" s="42" t="str">
        <f aca="false">IF(N(AN78)=0,"",AN78*AT78*IF(ISNUMBER(AJ78),AJ78,CC_DefCirc))</f>
        <v/>
      </c>
      <c r="AP78" s="27" t="n">
        <f aca="false">IF(ISNUMBER(T78),T78*INDEX(LenF,MATCH($T$7,LenU,0)),IF(ISNUMBER(W78),W78*INDEX(LenF,MATCH($W$7,LenU,0))/CC_PitchRatio,0))</f>
        <v>0</v>
      </c>
      <c r="AQ78" s="27" t="n">
        <f aca="false">IF(ISNUMBER(N78),PI()/4*(N78*INDEX(LenF,MATCH($N$7,LenU,0)))^2,IF(AND(ISNUMBER(S78),ISNUMBER(W78),X78&lt;&gt;""),S78*(W78*INDEX(LenF,MATCH($W$7,LenU,0)))^2*INDEX(LayoutF,MATCH(X78,LayoutU,0)),0))</f>
        <v>0</v>
      </c>
      <c r="AR78" s="27" t="n">
        <f aca="false">IF(ISNUMBER(O78),O78*INDEX(LenF,MATCH($O$7,LenU,0)),IF(ISNUMBER(V78),V78*INDEX(LenF,MATCH($V$7,LenU,0)),0))</f>
        <v>0</v>
      </c>
      <c r="AS78" s="27" t="str">
        <f aca="false">IF(ISNUMBER(L78),L78*INDEX(LenF,MATCH($L$7,LenU,0))*1000,IF(OR(J78="",K78=""),"",IFERROR(IF(INDEX(PipeWT,MATCH(J78,NPSU,0),MATCH(K78,SchU,0))="","Sch n/a",INDEX(PipeOD,MATCH(J78,NPSU,0))-2*INDEX(PipeWT,MATCH(J78,NPSU,0),MATCH(K78,SchU,0))),"")))</f>
        <v/>
      </c>
      <c r="AT78" s="27" t="n">
        <f aca="false">IF(ISNUMBER(AI78),AI78,IFERROR(INDEX(IF(CC_JobType="Decontamination",CC_TypeFillDC,CC_TypeFillCC),MATCH(E78,CC_TypeL,0)),1))</f>
        <v>1</v>
      </c>
      <c r="AU78" s="27" t="n">
        <v>3</v>
      </c>
    </row>
    <row r="79" customFormat="false" ht="15" hidden="false" customHeight="false" outlineLevel="0" collapsed="false">
      <c r="A79" s="36" t="n">
        <v>4</v>
      </c>
      <c r="B79" s="40"/>
      <c r="C79" s="32"/>
      <c r="D79" s="32"/>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1" t="str">
        <f aca="false">IF(E79="Exchanger",IF(AND(ISNUMBER(S79),ISNUMBER(U79),ISNUMBER(V79)),S79*PI()/4*(U79*INDEX(LenF,MATCH($U$7,LenU,0)))^2*V79*INDEX(LenF,MATCH($V$7,LenU,0)),0)+IF(ISNUMBER(Y79),PI()/4*(Y79*INDEX(LenF,MATCH($Y$7,LenU,0)))^2*N(Z79)*INDEX(LenF,MATCH($Z$7,LenU,0))+IF(AA79="",0,IF(AA79="Conical",PI()/12*(Y79*INDEX(LenF,MATCH($Y$7,LenU,0)))^2*(0),INDEX(HeadK,MATCH(AA79,HeadU,0))*(Y79*INDEX(LenF,MATCH($Y$7,LenU,0)))^3)),0)+IF(ISNUMBER(Y79),PI()/4*(Y79*INDEX(LenF,MATCH($Y$7,LenU,0)))^2*N(AB79)*INDEX(LenF,MATCH($AB$7,LenU,0))+IF(AC79="",0,IF(AC79="Conical",PI()/12*(Y79*INDEX(LenF,MATCH($Y$7,LenU,0)))^2*(0),INDEX(HeadK,MATCH(AC79,HeadU,0))*(Y79*INDEX(LenF,MATCH($Y$7,LenU,0)))^3)),0),"")</f>
        <v/>
      </c>
      <c r="AE79" s="41" t="str">
        <f aca="false">IF(OR(E79="",E79="Piping"),"",IF(E79="Exchanger",AQ79*AR79+IF(P79="",0,IF(P79="Conical",PI()/12*(SQRT(4*AQ79/PI()))^2*(0),INDEX(HeadK,MATCH(P79,HeadU,0))*(SQRT(4*AQ79/PI()))^3))-IF(AND(ISNUMBER(S79),ISNUMBER(V79)),S79*PI()/4*AP79^2*V79*INDEX(LenF,MATCH($V$7,LenU,0)),0),IF(ISNUMBER(N79),PI()/4*(N79*INDEX(LenF,MATCH($N$7,LenU,0)))^2*N(O79)*INDEX(LenF,MATCH($O$7,LenU,0))+IF(P79="",0,IF(P79="Conical",PI()/12*(N79*INDEX(LenF,MATCH($N$7,LenU,0)))^2*(N(R79)*INDEX(LenF,MATCH($R$7,LenU,0))),INDEX(HeadK,MATCH(P79,HeadU,0))*(N79*INDEX(LenF,MATCH($N$7,LenU,0)))^3))+IF(Q79="",0,IF(Q79="Conical",PI()/12*(N79*INDEX(LenF,MATCH($N$7,LenU,0)))^2*(N(R79)*INDEX(LenF,MATCH($R$7,LenU,0))),INDEX(HeadK,MATCH(Q79,HeadU,0))*(N79*INDEX(LenF,MATCH($N$7,LenU,0)))^3)),0)))</f>
        <v/>
      </c>
      <c r="AF79" s="41" t="str">
        <f aca="false">IF(E79&lt;&gt;"Piping","",IF(AND(ISNUMBER(AS79),ISNUMBER(M79)),PI()/4*(AS79/1000)^2*M79*INDEX(LenF,MATCH($M$7,LenU,0)),0))</f>
        <v/>
      </c>
      <c r="AG79" s="41" t="str">
        <f aca="false">IF(E79="","",N(AD79)+N(AE79)+N(AF79))</f>
        <v/>
      </c>
      <c r="AH79" s="41" t="str">
        <f aca="false">IF(ISNUMBER(I79),I79*INDEX(WtF,MATCH($I$7,WtU,0))/CC_WaterRho,"")</f>
        <v/>
      </c>
      <c r="AI79" s="31"/>
      <c r="AJ79" s="31"/>
      <c r="AK79" s="40"/>
      <c r="AL79" s="31"/>
      <c r="AM79" s="41" t="str">
        <f aca="false">IF(AO79="","",AO79*IF(ISNUMBER(AK79),AK79,CC_DefFills)*(1+IF(ISNUMBER(AL79),AL79,CC_DefAllow)))</f>
        <v/>
      </c>
      <c r="AN79" s="42" t="str">
        <f aca="false">IF(G79="Given volume",IF(ISNUMBER(H79),H79*INDEX(VolF,MATCH($H$7,VolU,0)),""),IF(G79="Water weight",AH79,IF(N(AG79)=0,"",AG79)))</f>
        <v/>
      </c>
      <c r="AO79" s="42" t="str">
        <f aca="false">IF(N(AN79)=0,"",AN79*AT79*IF(ISNUMBER(AJ79),AJ79,CC_DefCirc))</f>
        <v/>
      </c>
      <c r="AP79" s="27" t="n">
        <f aca="false">IF(ISNUMBER(T79),T79*INDEX(LenF,MATCH($T$7,LenU,0)),IF(ISNUMBER(W79),W79*INDEX(LenF,MATCH($W$7,LenU,0))/CC_PitchRatio,0))</f>
        <v>0</v>
      </c>
      <c r="AQ79" s="27" t="n">
        <f aca="false">IF(ISNUMBER(N79),PI()/4*(N79*INDEX(LenF,MATCH($N$7,LenU,0)))^2,IF(AND(ISNUMBER(S79),ISNUMBER(W79),X79&lt;&gt;""),S79*(W79*INDEX(LenF,MATCH($W$7,LenU,0)))^2*INDEX(LayoutF,MATCH(X79,LayoutU,0)),0))</f>
        <v>0</v>
      </c>
      <c r="AR79" s="27" t="n">
        <f aca="false">IF(ISNUMBER(O79),O79*INDEX(LenF,MATCH($O$7,LenU,0)),IF(ISNUMBER(V79),V79*INDEX(LenF,MATCH($V$7,LenU,0)),0))</f>
        <v>0</v>
      </c>
      <c r="AS79" s="27" t="str">
        <f aca="false">IF(ISNUMBER(L79),L79*INDEX(LenF,MATCH($L$7,LenU,0))*1000,IF(OR(J79="",K79=""),"",IFERROR(IF(INDEX(PipeWT,MATCH(J79,NPSU,0),MATCH(K79,SchU,0))="","Sch n/a",INDEX(PipeOD,MATCH(J79,NPSU,0))-2*INDEX(PipeWT,MATCH(J79,NPSU,0),MATCH(K79,SchU,0))),"")))</f>
        <v/>
      </c>
      <c r="AT79" s="27" t="n">
        <f aca="false">IF(ISNUMBER(AI79),AI79,IFERROR(INDEX(IF(CC_JobType="Decontamination",CC_TypeFillDC,CC_TypeFillCC),MATCH(E79,CC_TypeL,0)),1))</f>
        <v>1</v>
      </c>
      <c r="AU79" s="27" t="n">
        <v>3</v>
      </c>
    </row>
    <row r="80" customFormat="false" ht="15" hidden="false" customHeight="false" outlineLevel="0" collapsed="false">
      <c r="A80" s="36" t="n">
        <v>5</v>
      </c>
      <c r="B80" s="40"/>
      <c r="C80" s="32"/>
      <c r="D80" s="32"/>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1" t="str">
        <f aca="false">IF(E80="Exchanger",IF(AND(ISNUMBER(S80),ISNUMBER(U80),ISNUMBER(V80)),S80*PI()/4*(U80*INDEX(LenF,MATCH($U$7,LenU,0)))^2*V80*INDEX(LenF,MATCH($V$7,LenU,0)),0)+IF(ISNUMBER(Y80),PI()/4*(Y80*INDEX(LenF,MATCH($Y$7,LenU,0)))^2*N(Z80)*INDEX(LenF,MATCH($Z$7,LenU,0))+IF(AA80="",0,IF(AA80="Conical",PI()/12*(Y80*INDEX(LenF,MATCH($Y$7,LenU,0)))^2*(0),INDEX(HeadK,MATCH(AA80,HeadU,0))*(Y80*INDEX(LenF,MATCH($Y$7,LenU,0)))^3)),0)+IF(ISNUMBER(Y80),PI()/4*(Y80*INDEX(LenF,MATCH($Y$7,LenU,0)))^2*N(AB80)*INDEX(LenF,MATCH($AB$7,LenU,0))+IF(AC80="",0,IF(AC80="Conical",PI()/12*(Y80*INDEX(LenF,MATCH($Y$7,LenU,0)))^2*(0),INDEX(HeadK,MATCH(AC80,HeadU,0))*(Y80*INDEX(LenF,MATCH($Y$7,LenU,0)))^3)),0),"")</f>
        <v/>
      </c>
      <c r="AE80" s="41" t="str">
        <f aca="false">IF(OR(E80="",E80="Piping"),"",IF(E80="Exchanger",AQ80*AR80+IF(P80="",0,IF(P80="Conical",PI()/12*(SQRT(4*AQ80/PI()))^2*(0),INDEX(HeadK,MATCH(P80,HeadU,0))*(SQRT(4*AQ80/PI()))^3))-IF(AND(ISNUMBER(S80),ISNUMBER(V80)),S80*PI()/4*AP80^2*V80*INDEX(LenF,MATCH($V$7,LenU,0)),0),IF(ISNUMBER(N80),PI()/4*(N80*INDEX(LenF,MATCH($N$7,LenU,0)))^2*N(O80)*INDEX(LenF,MATCH($O$7,LenU,0))+IF(P80="",0,IF(P80="Conical",PI()/12*(N80*INDEX(LenF,MATCH($N$7,LenU,0)))^2*(N(R80)*INDEX(LenF,MATCH($R$7,LenU,0))),INDEX(HeadK,MATCH(P80,HeadU,0))*(N80*INDEX(LenF,MATCH($N$7,LenU,0)))^3))+IF(Q80="",0,IF(Q80="Conical",PI()/12*(N80*INDEX(LenF,MATCH($N$7,LenU,0)))^2*(N(R80)*INDEX(LenF,MATCH($R$7,LenU,0))),INDEX(HeadK,MATCH(Q80,HeadU,0))*(N80*INDEX(LenF,MATCH($N$7,LenU,0)))^3)),0)))</f>
        <v/>
      </c>
      <c r="AF80" s="41" t="str">
        <f aca="false">IF(E80&lt;&gt;"Piping","",IF(AND(ISNUMBER(AS80),ISNUMBER(M80)),PI()/4*(AS80/1000)^2*M80*INDEX(LenF,MATCH($M$7,LenU,0)),0))</f>
        <v/>
      </c>
      <c r="AG80" s="41" t="str">
        <f aca="false">IF(E80="","",N(AD80)+N(AE80)+N(AF80))</f>
        <v/>
      </c>
      <c r="AH80" s="41" t="str">
        <f aca="false">IF(ISNUMBER(I80),I80*INDEX(WtF,MATCH($I$7,WtU,0))/CC_WaterRho,"")</f>
        <v/>
      </c>
      <c r="AI80" s="31"/>
      <c r="AJ80" s="31"/>
      <c r="AK80" s="40"/>
      <c r="AL80" s="31"/>
      <c r="AM80" s="41" t="str">
        <f aca="false">IF(AO80="","",AO80*IF(ISNUMBER(AK80),AK80,CC_DefFills)*(1+IF(ISNUMBER(AL80),AL80,CC_DefAllow)))</f>
        <v/>
      </c>
      <c r="AN80" s="42" t="str">
        <f aca="false">IF(G80="Given volume",IF(ISNUMBER(H80),H80*INDEX(VolF,MATCH($H$7,VolU,0)),""),IF(G80="Water weight",AH80,IF(N(AG80)=0,"",AG80)))</f>
        <v/>
      </c>
      <c r="AO80" s="42" t="str">
        <f aca="false">IF(N(AN80)=0,"",AN80*AT80*IF(ISNUMBER(AJ80),AJ80,CC_DefCirc))</f>
        <v/>
      </c>
      <c r="AP80" s="27" t="n">
        <f aca="false">IF(ISNUMBER(T80),T80*INDEX(LenF,MATCH($T$7,LenU,0)),IF(ISNUMBER(W80),W80*INDEX(LenF,MATCH($W$7,LenU,0))/CC_PitchRatio,0))</f>
        <v>0</v>
      </c>
      <c r="AQ80" s="27" t="n">
        <f aca="false">IF(ISNUMBER(N80),PI()/4*(N80*INDEX(LenF,MATCH($N$7,LenU,0)))^2,IF(AND(ISNUMBER(S80),ISNUMBER(W80),X80&lt;&gt;""),S80*(W80*INDEX(LenF,MATCH($W$7,LenU,0)))^2*INDEX(LayoutF,MATCH(X80,LayoutU,0)),0))</f>
        <v>0</v>
      </c>
      <c r="AR80" s="27" t="n">
        <f aca="false">IF(ISNUMBER(O80),O80*INDEX(LenF,MATCH($O$7,LenU,0)),IF(ISNUMBER(V80),V80*INDEX(LenF,MATCH($V$7,LenU,0)),0))</f>
        <v>0</v>
      </c>
      <c r="AS80" s="27" t="str">
        <f aca="false">IF(ISNUMBER(L80),L80*INDEX(LenF,MATCH($L$7,LenU,0))*1000,IF(OR(J80="",K80=""),"",IFERROR(IF(INDEX(PipeWT,MATCH(J80,NPSU,0),MATCH(K80,SchU,0))="","Sch n/a",INDEX(PipeOD,MATCH(J80,NPSU,0))-2*INDEX(PipeWT,MATCH(J80,NPSU,0),MATCH(K80,SchU,0))),"")))</f>
        <v/>
      </c>
      <c r="AT80" s="27" t="n">
        <f aca="false">IF(ISNUMBER(AI80),AI80,IFERROR(INDEX(IF(CC_JobType="Decontamination",CC_TypeFillDC,CC_TypeFillCC),MATCH(E80,CC_TypeL,0)),1))</f>
        <v>1</v>
      </c>
      <c r="AU80" s="27" t="n">
        <v>3</v>
      </c>
    </row>
    <row r="81" customFormat="false" ht="15" hidden="false" customHeight="false" outlineLevel="0" collapsed="false">
      <c r="A81" s="36" t="n">
        <v>6</v>
      </c>
      <c r="B81" s="40"/>
      <c r="C81" s="32"/>
      <c r="D81" s="32"/>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1" t="str">
        <f aca="false">IF(E81="Exchanger",IF(AND(ISNUMBER(S81),ISNUMBER(U81),ISNUMBER(V81)),S81*PI()/4*(U81*INDEX(LenF,MATCH($U$7,LenU,0)))^2*V81*INDEX(LenF,MATCH($V$7,LenU,0)),0)+IF(ISNUMBER(Y81),PI()/4*(Y81*INDEX(LenF,MATCH($Y$7,LenU,0)))^2*N(Z81)*INDEX(LenF,MATCH($Z$7,LenU,0))+IF(AA81="",0,IF(AA81="Conical",PI()/12*(Y81*INDEX(LenF,MATCH($Y$7,LenU,0)))^2*(0),INDEX(HeadK,MATCH(AA81,HeadU,0))*(Y81*INDEX(LenF,MATCH($Y$7,LenU,0)))^3)),0)+IF(ISNUMBER(Y81),PI()/4*(Y81*INDEX(LenF,MATCH($Y$7,LenU,0)))^2*N(AB81)*INDEX(LenF,MATCH($AB$7,LenU,0))+IF(AC81="",0,IF(AC81="Conical",PI()/12*(Y81*INDEX(LenF,MATCH($Y$7,LenU,0)))^2*(0),INDEX(HeadK,MATCH(AC81,HeadU,0))*(Y81*INDEX(LenF,MATCH($Y$7,LenU,0)))^3)),0),"")</f>
        <v/>
      </c>
      <c r="AE81" s="41" t="str">
        <f aca="false">IF(OR(E81="",E81="Piping"),"",IF(E81="Exchanger",AQ81*AR81+IF(P81="",0,IF(P81="Conical",PI()/12*(SQRT(4*AQ81/PI()))^2*(0),INDEX(HeadK,MATCH(P81,HeadU,0))*(SQRT(4*AQ81/PI()))^3))-IF(AND(ISNUMBER(S81),ISNUMBER(V81)),S81*PI()/4*AP81^2*V81*INDEX(LenF,MATCH($V$7,LenU,0)),0),IF(ISNUMBER(N81),PI()/4*(N81*INDEX(LenF,MATCH($N$7,LenU,0)))^2*N(O81)*INDEX(LenF,MATCH($O$7,LenU,0))+IF(P81="",0,IF(P81="Conical",PI()/12*(N81*INDEX(LenF,MATCH($N$7,LenU,0)))^2*(N(R81)*INDEX(LenF,MATCH($R$7,LenU,0))),INDEX(HeadK,MATCH(P81,HeadU,0))*(N81*INDEX(LenF,MATCH($N$7,LenU,0)))^3))+IF(Q81="",0,IF(Q81="Conical",PI()/12*(N81*INDEX(LenF,MATCH($N$7,LenU,0)))^2*(N(R81)*INDEX(LenF,MATCH($R$7,LenU,0))),INDEX(HeadK,MATCH(Q81,HeadU,0))*(N81*INDEX(LenF,MATCH($N$7,LenU,0)))^3)),0)))</f>
        <v/>
      </c>
      <c r="AF81" s="41" t="str">
        <f aca="false">IF(E81&lt;&gt;"Piping","",IF(AND(ISNUMBER(AS81),ISNUMBER(M81)),PI()/4*(AS81/1000)^2*M81*INDEX(LenF,MATCH($M$7,LenU,0)),0))</f>
        <v/>
      </c>
      <c r="AG81" s="41" t="str">
        <f aca="false">IF(E81="","",N(AD81)+N(AE81)+N(AF81))</f>
        <v/>
      </c>
      <c r="AH81" s="41" t="str">
        <f aca="false">IF(ISNUMBER(I81),I81*INDEX(WtF,MATCH($I$7,WtU,0))/CC_WaterRho,"")</f>
        <v/>
      </c>
      <c r="AI81" s="31"/>
      <c r="AJ81" s="31"/>
      <c r="AK81" s="40"/>
      <c r="AL81" s="31"/>
      <c r="AM81" s="41" t="str">
        <f aca="false">IF(AO81="","",AO81*IF(ISNUMBER(AK81),AK81,CC_DefFills)*(1+IF(ISNUMBER(AL81),AL81,CC_DefAllow)))</f>
        <v/>
      </c>
      <c r="AN81" s="42" t="str">
        <f aca="false">IF(G81="Given volume",IF(ISNUMBER(H81),H81*INDEX(VolF,MATCH($H$7,VolU,0)),""),IF(G81="Water weight",AH81,IF(N(AG81)=0,"",AG81)))</f>
        <v/>
      </c>
      <c r="AO81" s="42" t="str">
        <f aca="false">IF(N(AN81)=0,"",AN81*AT81*IF(ISNUMBER(AJ81),AJ81,CC_DefCirc))</f>
        <v/>
      </c>
      <c r="AP81" s="27" t="n">
        <f aca="false">IF(ISNUMBER(T81),T81*INDEX(LenF,MATCH($T$7,LenU,0)),IF(ISNUMBER(W81),W81*INDEX(LenF,MATCH($W$7,LenU,0))/CC_PitchRatio,0))</f>
        <v>0</v>
      </c>
      <c r="AQ81" s="27" t="n">
        <f aca="false">IF(ISNUMBER(N81),PI()/4*(N81*INDEX(LenF,MATCH($N$7,LenU,0)))^2,IF(AND(ISNUMBER(S81),ISNUMBER(W81),X81&lt;&gt;""),S81*(W81*INDEX(LenF,MATCH($W$7,LenU,0)))^2*INDEX(LayoutF,MATCH(X81,LayoutU,0)),0))</f>
        <v>0</v>
      </c>
      <c r="AR81" s="27" t="n">
        <f aca="false">IF(ISNUMBER(O81),O81*INDEX(LenF,MATCH($O$7,LenU,0)),IF(ISNUMBER(V81),V81*INDEX(LenF,MATCH($V$7,LenU,0)),0))</f>
        <v>0</v>
      </c>
      <c r="AS81" s="27" t="str">
        <f aca="false">IF(ISNUMBER(L81),L81*INDEX(LenF,MATCH($L$7,LenU,0))*1000,IF(OR(J81="",K81=""),"",IFERROR(IF(INDEX(PipeWT,MATCH(J81,NPSU,0),MATCH(K81,SchU,0))="","Sch n/a",INDEX(PipeOD,MATCH(J81,NPSU,0))-2*INDEX(PipeWT,MATCH(J81,NPSU,0),MATCH(K81,SchU,0))),"")))</f>
        <v/>
      </c>
      <c r="AT81" s="27" t="n">
        <f aca="false">IF(ISNUMBER(AI81),AI81,IFERROR(INDEX(IF(CC_JobType="Decontamination",CC_TypeFillDC,CC_TypeFillCC),MATCH(E81,CC_TypeL,0)),1))</f>
        <v>1</v>
      </c>
      <c r="AU81" s="27" t="n">
        <v>3</v>
      </c>
    </row>
    <row r="82" customFormat="false" ht="15" hidden="false" customHeight="false" outlineLevel="0" collapsed="false">
      <c r="A82" s="36" t="n">
        <v>7</v>
      </c>
      <c r="B82" s="40"/>
      <c r="C82" s="32"/>
      <c r="D82" s="32"/>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1" t="str">
        <f aca="false">IF(E82="Exchanger",IF(AND(ISNUMBER(S82),ISNUMBER(U82),ISNUMBER(V82)),S82*PI()/4*(U82*INDEX(LenF,MATCH($U$7,LenU,0)))^2*V82*INDEX(LenF,MATCH($V$7,LenU,0)),0)+IF(ISNUMBER(Y82),PI()/4*(Y82*INDEX(LenF,MATCH($Y$7,LenU,0)))^2*N(Z82)*INDEX(LenF,MATCH($Z$7,LenU,0))+IF(AA82="",0,IF(AA82="Conical",PI()/12*(Y82*INDEX(LenF,MATCH($Y$7,LenU,0)))^2*(0),INDEX(HeadK,MATCH(AA82,HeadU,0))*(Y82*INDEX(LenF,MATCH($Y$7,LenU,0)))^3)),0)+IF(ISNUMBER(Y82),PI()/4*(Y82*INDEX(LenF,MATCH($Y$7,LenU,0)))^2*N(AB82)*INDEX(LenF,MATCH($AB$7,LenU,0))+IF(AC82="",0,IF(AC82="Conical",PI()/12*(Y82*INDEX(LenF,MATCH($Y$7,LenU,0)))^2*(0),INDEX(HeadK,MATCH(AC82,HeadU,0))*(Y82*INDEX(LenF,MATCH($Y$7,LenU,0)))^3)),0),"")</f>
        <v/>
      </c>
      <c r="AE82" s="41" t="str">
        <f aca="false">IF(OR(E82="",E82="Piping"),"",IF(E82="Exchanger",AQ82*AR82+IF(P82="",0,IF(P82="Conical",PI()/12*(SQRT(4*AQ82/PI()))^2*(0),INDEX(HeadK,MATCH(P82,HeadU,0))*(SQRT(4*AQ82/PI()))^3))-IF(AND(ISNUMBER(S82),ISNUMBER(V82)),S82*PI()/4*AP82^2*V82*INDEX(LenF,MATCH($V$7,LenU,0)),0),IF(ISNUMBER(N82),PI()/4*(N82*INDEX(LenF,MATCH($N$7,LenU,0)))^2*N(O82)*INDEX(LenF,MATCH($O$7,LenU,0))+IF(P82="",0,IF(P82="Conical",PI()/12*(N82*INDEX(LenF,MATCH($N$7,LenU,0)))^2*(N(R82)*INDEX(LenF,MATCH($R$7,LenU,0))),INDEX(HeadK,MATCH(P82,HeadU,0))*(N82*INDEX(LenF,MATCH($N$7,LenU,0)))^3))+IF(Q82="",0,IF(Q82="Conical",PI()/12*(N82*INDEX(LenF,MATCH($N$7,LenU,0)))^2*(N(R82)*INDEX(LenF,MATCH($R$7,LenU,0))),INDEX(HeadK,MATCH(Q82,HeadU,0))*(N82*INDEX(LenF,MATCH($N$7,LenU,0)))^3)),0)))</f>
        <v/>
      </c>
      <c r="AF82" s="41" t="str">
        <f aca="false">IF(E82&lt;&gt;"Piping","",IF(AND(ISNUMBER(AS82),ISNUMBER(M82)),PI()/4*(AS82/1000)^2*M82*INDEX(LenF,MATCH($M$7,LenU,0)),0))</f>
        <v/>
      </c>
      <c r="AG82" s="41" t="str">
        <f aca="false">IF(E82="","",N(AD82)+N(AE82)+N(AF82))</f>
        <v/>
      </c>
      <c r="AH82" s="41" t="str">
        <f aca="false">IF(ISNUMBER(I82),I82*INDEX(WtF,MATCH($I$7,WtU,0))/CC_WaterRho,"")</f>
        <v/>
      </c>
      <c r="AI82" s="31"/>
      <c r="AJ82" s="31"/>
      <c r="AK82" s="40"/>
      <c r="AL82" s="31"/>
      <c r="AM82" s="41" t="str">
        <f aca="false">IF(AO82="","",AO82*IF(ISNUMBER(AK82),AK82,CC_DefFills)*(1+IF(ISNUMBER(AL82),AL82,CC_DefAllow)))</f>
        <v/>
      </c>
      <c r="AN82" s="42" t="str">
        <f aca="false">IF(G82="Given volume",IF(ISNUMBER(H82),H82*INDEX(VolF,MATCH($H$7,VolU,0)),""),IF(G82="Water weight",AH82,IF(N(AG82)=0,"",AG82)))</f>
        <v/>
      </c>
      <c r="AO82" s="42" t="str">
        <f aca="false">IF(N(AN82)=0,"",AN82*AT82*IF(ISNUMBER(AJ82),AJ82,CC_DefCirc))</f>
        <v/>
      </c>
      <c r="AP82" s="27" t="n">
        <f aca="false">IF(ISNUMBER(T82),T82*INDEX(LenF,MATCH($T$7,LenU,0)),IF(ISNUMBER(W82),W82*INDEX(LenF,MATCH($W$7,LenU,0))/CC_PitchRatio,0))</f>
        <v>0</v>
      </c>
      <c r="AQ82" s="27" t="n">
        <f aca="false">IF(ISNUMBER(N82),PI()/4*(N82*INDEX(LenF,MATCH($N$7,LenU,0)))^2,IF(AND(ISNUMBER(S82),ISNUMBER(W82),X82&lt;&gt;""),S82*(W82*INDEX(LenF,MATCH($W$7,LenU,0)))^2*INDEX(LayoutF,MATCH(X82,LayoutU,0)),0))</f>
        <v>0</v>
      </c>
      <c r="AR82" s="27" t="n">
        <f aca="false">IF(ISNUMBER(O82),O82*INDEX(LenF,MATCH($O$7,LenU,0)),IF(ISNUMBER(V82),V82*INDEX(LenF,MATCH($V$7,LenU,0)),0))</f>
        <v>0</v>
      </c>
      <c r="AS82" s="27" t="str">
        <f aca="false">IF(ISNUMBER(L82),L82*INDEX(LenF,MATCH($L$7,LenU,0))*1000,IF(OR(J82="",K82=""),"",IFERROR(IF(INDEX(PipeWT,MATCH(J82,NPSU,0),MATCH(K82,SchU,0))="","Sch n/a",INDEX(PipeOD,MATCH(J82,NPSU,0))-2*INDEX(PipeWT,MATCH(J82,NPSU,0),MATCH(K82,SchU,0))),"")))</f>
        <v/>
      </c>
      <c r="AT82" s="27" t="n">
        <f aca="false">IF(ISNUMBER(AI82),AI82,IFERROR(INDEX(IF(CC_JobType="Decontamination",CC_TypeFillDC,CC_TypeFillCC),MATCH(E82,CC_TypeL,0)),1))</f>
        <v>1</v>
      </c>
      <c r="AU82" s="27" t="n">
        <v>3</v>
      </c>
    </row>
    <row r="83" customFormat="false" ht="15" hidden="false" customHeight="false" outlineLevel="0" collapsed="false">
      <c r="A83" s="36" t="n">
        <v>8</v>
      </c>
      <c r="B83" s="40"/>
      <c r="C83" s="32"/>
      <c r="D83" s="32"/>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1" t="str">
        <f aca="false">IF(E83="Exchanger",IF(AND(ISNUMBER(S83),ISNUMBER(U83),ISNUMBER(V83)),S83*PI()/4*(U83*INDEX(LenF,MATCH($U$7,LenU,0)))^2*V83*INDEX(LenF,MATCH($V$7,LenU,0)),0)+IF(ISNUMBER(Y83),PI()/4*(Y83*INDEX(LenF,MATCH($Y$7,LenU,0)))^2*N(Z83)*INDEX(LenF,MATCH($Z$7,LenU,0))+IF(AA83="",0,IF(AA83="Conical",PI()/12*(Y83*INDEX(LenF,MATCH($Y$7,LenU,0)))^2*(0),INDEX(HeadK,MATCH(AA83,HeadU,0))*(Y83*INDEX(LenF,MATCH($Y$7,LenU,0)))^3)),0)+IF(ISNUMBER(Y83),PI()/4*(Y83*INDEX(LenF,MATCH($Y$7,LenU,0)))^2*N(AB83)*INDEX(LenF,MATCH($AB$7,LenU,0))+IF(AC83="",0,IF(AC83="Conical",PI()/12*(Y83*INDEX(LenF,MATCH($Y$7,LenU,0)))^2*(0),INDEX(HeadK,MATCH(AC83,HeadU,0))*(Y83*INDEX(LenF,MATCH($Y$7,LenU,0)))^3)),0),"")</f>
        <v/>
      </c>
      <c r="AE83" s="41" t="str">
        <f aca="false">IF(OR(E83="",E83="Piping"),"",IF(E83="Exchanger",AQ83*AR83+IF(P83="",0,IF(P83="Conical",PI()/12*(SQRT(4*AQ83/PI()))^2*(0),INDEX(HeadK,MATCH(P83,HeadU,0))*(SQRT(4*AQ83/PI()))^3))-IF(AND(ISNUMBER(S83),ISNUMBER(V83)),S83*PI()/4*AP83^2*V83*INDEX(LenF,MATCH($V$7,LenU,0)),0),IF(ISNUMBER(N83),PI()/4*(N83*INDEX(LenF,MATCH($N$7,LenU,0)))^2*N(O83)*INDEX(LenF,MATCH($O$7,LenU,0))+IF(P83="",0,IF(P83="Conical",PI()/12*(N83*INDEX(LenF,MATCH($N$7,LenU,0)))^2*(N(R83)*INDEX(LenF,MATCH($R$7,LenU,0))),INDEX(HeadK,MATCH(P83,HeadU,0))*(N83*INDEX(LenF,MATCH($N$7,LenU,0)))^3))+IF(Q83="",0,IF(Q83="Conical",PI()/12*(N83*INDEX(LenF,MATCH($N$7,LenU,0)))^2*(N(R83)*INDEX(LenF,MATCH($R$7,LenU,0))),INDEX(HeadK,MATCH(Q83,HeadU,0))*(N83*INDEX(LenF,MATCH($N$7,LenU,0)))^3)),0)))</f>
        <v/>
      </c>
      <c r="AF83" s="41" t="str">
        <f aca="false">IF(E83&lt;&gt;"Piping","",IF(AND(ISNUMBER(AS83),ISNUMBER(M83)),PI()/4*(AS83/1000)^2*M83*INDEX(LenF,MATCH($M$7,LenU,0)),0))</f>
        <v/>
      </c>
      <c r="AG83" s="41" t="str">
        <f aca="false">IF(E83="","",N(AD83)+N(AE83)+N(AF83))</f>
        <v/>
      </c>
      <c r="AH83" s="41" t="str">
        <f aca="false">IF(ISNUMBER(I83),I83*INDEX(WtF,MATCH($I$7,WtU,0))/CC_WaterRho,"")</f>
        <v/>
      </c>
      <c r="AI83" s="31"/>
      <c r="AJ83" s="31"/>
      <c r="AK83" s="40"/>
      <c r="AL83" s="31"/>
      <c r="AM83" s="41" t="str">
        <f aca="false">IF(AO83="","",AO83*IF(ISNUMBER(AK83),AK83,CC_DefFills)*(1+IF(ISNUMBER(AL83),AL83,CC_DefAllow)))</f>
        <v/>
      </c>
      <c r="AN83" s="42" t="str">
        <f aca="false">IF(G83="Given volume",IF(ISNUMBER(H83),H83*INDEX(VolF,MATCH($H$7,VolU,0)),""),IF(G83="Water weight",AH83,IF(N(AG83)=0,"",AG83)))</f>
        <v/>
      </c>
      <c r="AO83" s="42" t="str">
        <f aca="false">IF(N(AN83)=0,"",AN83*AT83*IF(ISNUMBER(AJ83),AJ83,CC_DefCirc))</f>
        <v/>
      </c>
      <c r="AP83" s="27" t="n">
        <f aca="false">IF(ISNUMBER(T83),T83*INDEX(LenF,MATCH($T$7,LenU,0)),IF(ISNUMBER(W83),W83*INDEX(LenF,MATCH($W$7,LenU,0))/CC_PitchRatio,0))</f>
        <v>0</v>
      </c>
      <c r="AQ83" s="27" t="n">
        <f aca="false">IF(ISNUMBER(N83),PI()/4*(N83*INDEX(LenF,MATCH($N$7,LenU,0)))^2,IF(AND(ISNUMBER(S83),ISNUMBER(W83),X83&lt;&gt;""),S83*(W83*INDEX(LenF,MATCH($W$7,LenU,0)))^2*INDEX(LayoutF,MATCH(X83,LayoutU,0)),0))</f>
        <v>0</v>
      </c>
      <c r="AR83" s="27" t="n">
        <f aca="false">IF(ISNUMBER(O83),O83*INDEX(LenF,MATCH($O$7,LenU,0)),IF(ISNUMBER(V83),V83*INDEX(LenF,MATCH($V$7,LenU,0)),0))</f>
        <v>0</v>
      </c>
      <c r="AS83" s="27" t="str">
        <f aca="false">IF(ISNUMBER(L83),L83*INDEX(LenF,MATCH($L$7,LenU,0))*1000,IF(OR(J83="",K83=""),"",IFERROR(IF(INDEX(PipeWT,MATCH(J83,NPSU,0),MATCH(K83,SchU,0))="","Sch n/a",INDEX(PipeOD,MATCH(J83,NPSU,0))-2*INDEX(PipeWT,MATCH(J83,NPSU,0),MATCH(K83,SchU,0))),"")))</f>
        <v/>
      </c>
      <c r="AT83" s="27" t="n">
        <f aca="false">IF(ISNUMBER(AI83),AI83,IFERROR(INDEX(IF(CC_JobType="Decontamination",CC_TypeFillDC,CC_TypeFillCC),MATCH(E83,CC_TypeL,0)),1))</f>
        <v>1</v>
      </c>
      <c r="AU83" s="27" t="n">
        <v>3</v>
      </c>
    </row>
    <row r="84" customFormat="false" ht="15" hidden="false" customHeight="false" outlineLevel="0" collapsed="false">
      <c r="A84" s="36" t="n">
        <v>9</v>
      </c>
      <c r="B84" s="40"/>
      <c r="C84" s="32"/>
      <c r="D84" s="32"/>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1" t="str">
        <f aca="false">IF(E84="Exchanger",IF(AND(ISNUMBER(S84),ISNUMBER(U84),ISNUMBER(V84)),S84*PI()/4*(U84*INDEX(LenF,MATCH($U$7,LenU,0)))^2*V84*INDEX(LenF,MATCH($V$7,LenU,0)),0)+IF(ISNUMBER(Y84),PI()/4*(Y84*INDEX(LenF,MATCH($Y$7,LenU,0)))^2*N(Z84)*INDEX(LenF,MATCH($Z$7,LenU,0))+IF(AA84="",0,IF(AA84="Conical",PI()/12*(Y84*INDEX(LenF,MATCH($Y$7,LenU,0)))^2*(0),INDEX(HeadK,MATCH(AA84,HeadU,0))*(Y84*INDEX(LenF,MATCH($Y$7,LenU,0)))^3)),0)+IF(ISNUMBER(Y84),PI()/4*(Y84*INDEX(LenF,MATCH($Y$7,LenU,0)))^2*N(AB84)*INDEX(LenF,MATCH($AB$7,LenU,0))+IF(AC84="",0,IF(AC84="Conical",PI()/12*(Y84*INDEX(LenF,MATCH($Y$7,LenU,0)))^2*(0),INDEX(HeadK,MATCH(AC84,HeadU,0))*(Y84*INDEX(LenF,MATCH($Y$7,LenU,0)))^3)),0),"")</f>
        <v/>
      </c>
      <c r="AE84" s="41" t="str">
        <f aca="false">IF(OR(E84="",E84="Piping"),"",IF(E84="Exchanger",AQ84*AR84+IF(P84="",0,IF(P84="Conical",PI()/12*(SQRT(4*AQ84/PI()))^2*(0),INDEX(HeadK,MATCH(P84,HeadU,0))*(SQRT(4*AQ84/PI()))^3))-IF(AND(ISNUMBER(S84),ISNUMBER(V84)),S84*PI()/4*AP84^2*V84*INDEX(LenF,MATCH($V$7,LenU,0)),0),IF(ISNUMBER(N84),PI()/4*(N84*INDEX(LenF,MATCH($N$7,LenU,0)))^2*N(O84)*INDEX(LenF,MATCH($O$7,LenU,0))+IF(P84="",0,IF(P84="Conical",PI()/12*(N84*INDEX(LenF,MATCH($N$7,LenU,0)))^2*(N(R84)*INDEX(LenF,MATCH($R$7,LenU,0))),INDEX(HeadK,MATCH(P84,HeadU,0))*(N84*INDEX(LenF,MATCH($N$7,LenU,0)))^3))+IF(Q84="",0,IF(Q84="Conical",PI()/12*(N84*INDEX(LenF,MATCH($N$7,LenU,0)))^2*(N(R84)*INDEX(LenF,MATCH($R$7,LenU,0))),INDEX(HeadK,MATCH(Q84,HeadU,0))*(N84*INDEX(LenF,MATCH($N$7,LenU,0)))^3)),0)))</f>
        <v/>
      </c>
      <c r="AF84" s="41" t="str">
        <f aca="false">IF(E84&lt;&gt;"Piping","",IF(AND(ISNUMBER(AS84),ISNUMBER(M84)),PI()/4*(AS84/1000)^2*M84*INDEX(LenF,MATCH($M$7,LenU,0)),0))</f>
        <v/>
      </c>
      <c r="AG84" s="41" t="str">
        <f aca="false">IF(E84="","",N(AD84)+N(AE84)+N(AF84))</f>
        <v/>
      </c>
      <c r="AH84" s="41" t="str">
        <f aca="false">IF(ISNUMBER(I84),I84*INDEX(WtF,MATCH($I$7,WtU,0))/CC_WaterRho,"")</f>
        <v/>
      </c>
      <c r="AI84" s="31"/>
      <c r="AJ84" s="31"/>
      <c r="AK84" s="40"/>
      <c r="AL84" s="31"/>
      <c r="AM84" s="41" t="str">
        <f aca="false">IF(AO84="","",AO84*IF(ISNUMBER(AK84),AK84,CC_DefFills)*(1+IF(ISNUMBER(AL84),AL84,CC_DefAllow)))</f>
        <v/>
      </c>
      <c r="AN84" s="42" t="str">
        <f aca="false">IF(G84="Given volume",IF(ISNUMBER(H84),H84*INDEX(VolF,MATCH($H$7,VolU,0)),""),IF(G84="Water weight",AH84,IF(N(AG84)=0,"",AG84)))</f>
        <v/>
      </c>
      <c r="AO84" s="42" t="str">
        <f aca="false">IF(N(AN84)=0,"",AN84*AT84*IF(ISNUMBER(AJ84),AJ84,CC_DefCirc))</f>
        <v/>
      </c>
      <c r="AP84" s="27" t="n">
        <f aca="false">IF(ISNUMBER(T84),T84*INDEX(LenF,MATCH($T$7,LenU,0)),IF(ISNUMBER(W84),W84*INDEX(LenF,MATCH($W$7,LenU,0))/CC_PitchRatio,0))</f>
        <v>0</v>
      </c>
      <c r="AQ84" s="27" t="n">
        <f aca="false">IF(ISNUMBER(N84),PI()/4*(N84*INDEX(LenF,MATCH($N$7,LenU,0)))^2,IF(AND(ISNUMBER(S84),ISNUMBER(W84),X84&lt;&gt;""),S84*(W84*INDEX(LenF,MATCH($W$7,LenU,0)))^2*INDEX(LayoutF,MATCH(X84,LayoutU,0)),0))</f>
        <v>0</v>
      </c>
      <c r="AR84" s="27" t="n">
        <f aca="false">IF(ISNUMBER(O84),O84*INDEX(LenF,MATCH($O$7,LenU,0)),IF(ISNUMBER(V84),V84*INDEX(LenF,MATCH($V$7,LenU,0)),0))</f>
        <v>0</v>
      </c>
      <c r="AS84" s="27" t="str">
        <f aca="false">IF(ISNUMBER(L84),L84*INDEX(LenF,MATCH($L$7,LenU,0))*1000,IF(OR(J84="",K84=""),"",IFERROR(IF(INDEX(PipeWT,MATCH(J84,NPSU,0),MATCH(K84,SchU,0))="","Sch n/a",INDEX(PipeOD,MATCH(J84,NPSU,0))-2*INDEX(PipeWT,MATCH(J84,NPSU,0),MATCH(K84,SchU,0))),"")))</f>
        <v/>
      </c>
      <c r="AT84" s="27" t="n">
        <f aca="false">IF(ISNUMBER(AI84),AI84,IFERROR(INDEX(IF(CC_JobType="Decontamination",CC_TypeFillDC,CC_TypeFillCC),MATCH(E84,CC_TypeL,0)),1))</f>
        <v>1</v>
      </c>
      <c r="AU84" s="27" t="n">
        <v>3</v>
      </c>
    </row>
    <row r="85" customFormat="false" ht="15" hidden="false" customHeight="false" outlineLevel="0" collapsed="false">
      <c r="A85" s="36" t="n">
        <v>10</v>
      </c>
      <c r="B85" s="40"/>
      <c r="C85" s="32"/>
      <c r="D85" s="32"/>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1" t="str">
        <f aca="false">IF(E85="Exchanger",IF(AND(ISNUMBER(S85),ISNUMBER(U85),ISNUMBER(V85)),S85*PI()/4*(U85*INDEX(LenF,MATCH($U$7,LenU,0)))^2*V85*INDEX(LenF,MATCH($V$7,LenU,0)),0)+IF(ISNUMBER(Y85),PI()/4*(Y85*INDEX(LenF,MATCH($Y$7,LenU,0)))^2*N(Z85)*INDEX(LenF,MATCH($Z$7,LenU,0))+IF(AA85="",0,IF(AA85="Conical",PI()/12*(Y85*INDEX(LenF,MATCH($Y$7,LenU,0)))^2*(0),INDEX(HeadK,MATCH(AA85,HeadU,0))*(Y85*INDEX(LenF,MATCH($Y$7,LenU,0)))^3)),0)+IF(ISNUMBER(Y85),PI()/4*(Y85*INDEX(LenF,MATCH($Y$7,LenU,0)))^2*N(AB85)*INDEX(LenF,MATCH($AB$7,LenU,0))+IF(AC85="",0,IF(AC85="Conical",PI()/12*(Y85*INDEX(LenF,MATCH($Y$7,LenU,0)))^2*(0),INDEX(HeadK,MATCH(AC85,HeadU,0))*(Y85*INDEX(LenF,MATCH($Y$7,LenU,0)))^3)),0),"")</f>
        <v/>
      </c>
      <c r="AE85" s="41" t="str">
        <f aca="false">IF(OR(E85="",E85="Piping"),"",IF(E85="Exchanger",AQ85*AR85+IF(P85="",0,IF(P85="Conical",PI()/12*(SQRT(4*AQ85/PI()))^2*(0),INDEX(HeadK,MATCH(P85,HeadU,0))*(SQRT(4*AQ85/PI()))^3))-IF(AND(ISNUMBER(S85),ISNUMBER(V85)),S85*PI()/4*AP85^2*V85*INDEX(LenF,MATCH($V$7,LenU,0)),0),IF(ISNUMBER(N85),PI()/4*(N85*INDEX(LenF,MATCH($N$7,LenU,0)))^2*N(O85)*INDEX(LenF,MATCH($O$7,LenU,0))+IF(P85="",0,IF(P85="Conical",PI()/12*(N85*INDEX(LenF,MATCH($N$7,LenU,0)))^2*(N(R85)*INDEX(LenF,MATCH($R$7,LenU,0))),INDEX(HeadK,MATCH(P85,HeadU,0))*(N85*INDEX(LenF,MATCH($N$7,LenU,0)))^3))+IF(Q85="",0,IF(Q85="Conical",PI()/12*(N85*INDEX(LenF,MATCH($N$7,LenU,0)))^2*(N(R85)*INDEX(LenF,MATCH($R$7,LenU,0))),INDEX(HeadK,MATCH(Q85,HeadU,0))*(N85*INDEX(LenF,MATCH($N$7,LenU,0)))^3)),0)))</f>
        <v/>
      </c>
      <c r="AF85" s="41" t="str">
        <f aca="false">IF(E85&lt;&gt;"Piping","",IF(AND(ISNUMBER(AS85),ISNUMBER(M85)),PI()/4*(AS85/1000)^2*M85*INDEX(LenF,MATCH($M$7,LenU,0)),0))</f>
        <v/>
      </c>
      <c r="AG85" s="41" t="str">
        <f aca="false">IF(E85="","",N(AD85)+N(AE85)+N(AF85))</f>
        <v/>
      </c>
      <c r="AH85" s="41" t="str">
        <f aca="false">IF(ISNUMBER(I85),I85*INDEX(WtF,MATCH($I$7,WtU,0))/CC_WaterRho,"")</f>
        <v/>
      </c>
      <c r="AI85" s="31"/>
      <c r="AJ85" s="31"/>
      <c r="AK85" s="40"/>
      <c r="AL85" s="31"/>
      <c r="AM85" s="41" t="str">
        <f aca="false">IF(AO85="","",AO85*IF(ISNUMBER(AK85),AK85,CC_DefFills)*(1+IF(ISNUMBER(AL85),AL85,CC_DefAllow)))</f>
        <v/>
      </c>
      <c r="AN85" s="42" t="str">
        <f aca="false">IF(G85="Given volume",IF(ISNUMBER(H85),H85*INDEX(VolF,MATCH($H$7,VolU,0)),""),IF(G85="Water weight",AH85,IF(N(AG85)=0,"",AG85)))</f>
        <v/>
      </c>
      <c r="AO85" s="42" t="str">
        <f aca="false">IF(N(AN85)=0,"",AN85*AT85*IF(ISNUMBER(AJ85),AJ85,CC_DefCirc))</f>
        <v/>
      </c>
      <c r="AP85" s="27" t="n">
        <f aca="false">IF(ISNUMBER(T85),T85*INDEX(LenF,MATCH($T$7,LenU,0)),IF(ISNUMBER(W85),W85*INDEX(LenF,MATCH($W$7,LenU,0))/CC_PitchRatio,0))</f>
        <v>0</v>
      </c>
      <c r="AQ85" s="27" t="n">
        <f aca="false">IF(ISNUMBER(N85),PI()/4*(N85*INDEX(LenF,MATCH($N$7,LenU,0)))^2,IF(AND(ISNUMBER(S85),ISNUMBER(W85),X85&lt;&gt;""),S85*(W85*INDEX(LenF,MATCH($W$7,LenU,0)))^2*INDEX(LayoutF,MATCH(X85,LayoutU,0)),0))</f>
        <v>0</v>
      </c>
      <c r="AR85" s="27" t="n">
        <f aca="false">IF(ISNUMBER(O85),O85*INDEX(LenF,MATCH($O$7,LenU,0)),IF(ISNUMBER(V85),V85*INDEX(LenF,MATCH($V$7,LenU,0)),0))</f>
        <v>0</v>
      </c>
      <c r="AS85" s="27" t="str">
        <f aca="false">IF(ISNUMBER(L85),L85*INDEX(LenF,MATCH($L$7,LenU,0))*1000,IF(OR(J85="",K85=""),"",IFERROR(IF(INDEX(PipeWT,MATCH(J85,NPSU,0),MATCH(K85,SchU,0))="","Sch n/a",INDEX(PipeOD,MATCH(J85,NPSU,0))-2*INDEX(PipeWT,MATCH(J85,NPSU,0),MATCH(K85,SchU,0))),"")))</f>
        <v/>
      </c>
      <c r="AT85" s="27" t="n">
        <f aca="false">IF(ISNUMBER(AI85),AI85,IFERROR(INDEX(IF(CC_JobType="Decontamination",CC_TypeFillDC,CC_TypeFillCC),MATCH(E85,CC_TypeL,0)),1))</f>
        <v>1</v>
      </c>
      <c r="AU85" s="27" t="n">
        <v>3</v>
      </c>
    </row>
    <row r="86" customFormat="false" ht="15" hidden="false" customHeight="false" outlineLevel="0" collapsed="false">
      <c r="A86" s="36" t="n">
        <v>11</v>
      </c>
      <c r="B86" s="40"/>
      <c r="C86" s="32"/>
      <c r="D86" s="32"/>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1" t="str">
        <f aca="false">IF(E86="Exchanger",IF(AND(ISNUMBER(S86),ISNUMBER(U86),ISNUMBER(V86)),S86*PI()/4*(U86*INDEX(LenF,MATCH($U$7,LenU,0)))^2*V86*INDEX(LenF,MATCH($V$7,LenU,0)),0)+IF(ISNUMBER(Y86),PI()/4*(Y86*INDEX(LenF,MATCH($Y$7,LenU,0)))^2*N(Z86)*INDEX(LenF,MATCH($Z$7,LenU,0))+IF(AA86="",0,IF(AA86="Conical",PI()/12*(Y86*INDEX(LenF,MATCH($Y$7,LenU,0)))^2*(0),INDEX(HeadK,MATCH(AA86,HeadU,0))*(Y86*INDEX(LenF,MATCH($Y$7,LenU,0)))^3)),0)+IF(ISNUMBER(Y86),PI()/4*(Y86*INDEX(LenF,MATCH($Y$7,LenU,0)))^2*N(AB86)*INDEX(LenF,MATCH($AB$7,LenU,0))+IF(AC86="",0,IF(AC86="Conical",PI()/12*(Y86*INDEX(LenF,MATCH($Y$7,LenU,0)))^2*(0),INDEX(HeadK,MATCH(AC86,HeadU,0))*(Y86*INDEX(LenF,MATCH($Y$7,LenU,0)))^3)),0),"")</f>
        <v/>
      </c>
      <c r="AE86" s="41" t="str">
        <f aca="false">IF(OR(E86="",E86="Piping"),"",IF(E86="Exchanger",AQ86*AR86+IF(P86="",0,IF(P86="Conical",PI()/12*(SQRT(4*AQ86/PI()))^2*(0),INDEX(HeadK,MATCH(P86,HeadU,0))*(SQRT(4*AQ86/PI()))^3))-IF(AND(ISNUMBER(S86),ISNUMBER(V86)),S86*PI()/4*AP86^2*V86*INDEX(LenF,MATCH($V$7,LenU,0)),0),IF(ISNUMBER(N86),PI()/4*(N86*INDEX(LenF,MATCH($N$7,LenU,0)))^2*N(O86)*INDEX(LenF,MATCH($O$7,LenU,0))+IF(P86="",0,IF(P86="Conical",PI()/12*(N86*INDEX(LenF,MATCH($N$7,LenU,0)))^2*(N(R86)*INDEX(LenF,MATCH($R$7,LenU,0))),INDEX(HeadK,MATCH(P86,HeadU,0))*(N86*INDEX(LenF,MATCH($N$7,LenU,0)))^3))+IF(Q86="",0,IF(Q86="Conical",PI()/12*(N86*INDEX(LenF,MATCH($N$7,LenU,0)))^2*(N(R86)*INDEX(LenF,MATCH($R$7,LenU,0))),INDEX(HeadK,MATCH(Q86,HeadU,0))*(N86*INDEX(LenF,MATCH($N$7,LenU,0)))^3)),0)))</f>
        <v/>
      </c>
      <c r="AF86" s="41" t="str">
        <f aca="false">IF(E86&lt;&gt;"Piping","",IF(AND(ISNUMBER(AS86),ISNUMBER(M86)),PI()/4*(AS86/1000)^2*M86*INDEX(LenF,MATCH($M$7,LenU,0)),0))</f>
        <v/>
      </c>
      <c r="AG86" s="41" t="str">
        <f aca="false">IF(E86="","",N(AD86)+N(AE86)+N(AF86))</f>
        <v/>
      </c>
      <c r="AH86" s="41" t="str">
        <f aca="false">IF(ISNUMBER(I86),I86*INDEX(WtF,MATCH($I$7,WtU,0))/CC_WaterRho,"")</f>
        <v/>
      </c>
      <c r="AI86" s="31"/>
      <c r="AJ86" s="31"/>
      <c r="AK86" s="40"/>
      <c r="AL86" s="31"/>
      <c r="AM86" s="41" t="str">
        <f aca="false">IF(AO86="","",AO86*IF(ISNUMBER(AK86),AK86,CC_DefFills)*(1+IF(ISNUMBER(AL86),AL86,CC_DefAllow)))</f>
        <v/>
      </c>
      <c r="AN86" s="42" t="str">
        <f aca="false">IF(G86="Given volume",IF(ISNUMBER(H86),H86*INDEX(VolF,MATCH($H$7,VolU,0)),""),IF(G86="Water weight",AH86,IF(N(AG86)=0,"",AG86)))</f>
        <v/>
      </c>
      <c r="AO86" s="42" t="str">
        <f aca="false">IF(N(AN86)=0,"",AN86*AT86*IF(ISNUMBER(AJ86),AJ86,CC_DefCirc))</f>
        <v/>
      </c>
      <c r="AP86" s="27" t="n">
        <f aca="false">IF(ISNUMBER(T86),T86*INDEX(LenF,MATCH($T$7,LenU,0)),IF(ISNUMBER(W86),W86*INDEX(LenF,MATCH($W$7,LenU,0))/CC_PitchRatio,0))</f>
        <v>0</v>
      </c>
      <c r="AQ86" s="27" t="n">
        <f aca="false">IF(ISNUMBER(N86),PI()/4*(N86*INDEX(LenF,MATCH($N$7,LenU,0)))^2,IF(AND(ISNUMBER(S86),ISNUMBER(W86),X86&lt;&gt;""),S86*(W86*INDEX(LenF,MATCH($W$7,LenU,0)))^2*INDEX(LayoutF,MATCH(X86,LayoutU,0)),0))</f>
        <v>0</v>
      </c>
      <c r="AR86" s="27" t="n">
        <f aca="false">IF(ISNUMBER(O86),O86*INDEX(LenF,MATCH($O$7,LenU,0)),IF(ISNUMBER(V86),V86*INDEX(LenF,MATCH($V$7,LenU,0)),0))</f>
        <v>0</v>
      </c>
      <c r="AS86" s="27" t="str">
        <f aca="false">IF(ISNUMBER(L86),L86*INDEX(LenF,MATCH($L$7,LenU,0))*1000,IF(OR(J86="",K86=""),"",IFERROR(IF(INDEX(PipeWT,MATCH(J86,NPSU,0),MATCH(K86,SchU,0))="","Sch n/a",INDEX(PipeOD,MATCH(J86,NPSU,0))-2*INDEX(PipeWT,MATCH(J86,NPSU,0),MATCH(K86,SchU,0))),"")))</f>
        <v/>
      </c>
      <c r="AT86" s="27" t="n">
        <f aca="false">IF(ISNUMBER(AI86),AI86,IFERROR(INDEX(IF(CC_JobType="Decontamination",CC_TypeFillDC,CC_TypeFillCC),MATCH(E86,CC_TypeL,0)),1))</f>
        <v>1</v>
      </c>
      <c r="AU86" s="27" t="n">
        <v>3</v>
      </c>
    </row>
    <row r="87" customFormat="false" ht="15" hidden="false" customHeight="false" outlineLevel="0" collapsed="false">
      <c r="A87" s="36" t="n">
        <v>12</v>
      </c>
      <c r="B87" s="40"/>
      <c r="C87" s="32"/>
      <c r="D87" s="32"/>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1" t="str">
        <f aca="false">IF(E87="Exchanger",IF(AND(ISNUMBER(S87),ISNUMBER(U87),ISNUMBER(V87)),S87*PI()/4*(U87*INDEX(LenF,MATCH($U$7,LenU,0)))^2*V87*INDEX(LenF,MATCH($V$7,LenU,0)),0)+IF(ISNUMBER(Y87),PI()/4*(Y87*INDEX(LenF,MATCH($Y$7,LenU,0)))^2*N(Z87)*INDEX(LenF,MATCH($Z$7,LenU,0))+IF(AA87="",0,IF(AA87="Conical",PI()/12*(Y87*INDEX(LenF,MATCH($Y$7,LenU,0)))^2*(0),INDEX(HeadK,MATCH(AA87,HeadU,0))*(Y87*INDEX(LenF,MATCH($Y$7,LenU,0)))^3)),0)+IF(ISNUMBER(Y87),PI()/4*(Y87*INDEX(LenF,MATCH($Y$7,LenU,0)))^2*N(AB87)*INDEX(LenF,MATCH($AB$7,LenU,0))+IF(AC87="",0,IF(AC87="Conical",PI()/12*(Y87*INDEX(LenF,MATCH($Y$7,LenU,0)))^2*(0),INDEX(HeadK,MATCH(AC87,HeadU,0))*(Y87*INDEX(LenF,MATCH($Y$7,LenU,0)))^3)),0),"")</f>
        <v/>
      </c>
      <c r="AE87" s="41" t="str">
        <f aca="false">IF(OR(E87="",E87="Piping"),"",IF(E87="Exchanger",AQ87*AR87+IF(P87="",0,IF(P87="Conical",PI()/12*(SQRT(4*AQ87/PI()))^2*(0),INDEX(HeadK,MATCH(P87,HeadU,0))*(SQRT(4*AQ87/PI()))^3))-IF(AND(ISNUMBER(S87),ISNUMBER(V87)),S87*PI()/4*AP87^2*V87*INDEX(LenF,MATCH($V$7,LenU,0)),0),IF(ISNUMBER(N87),PI()/4*(N87*INDEX(LenF,MATCH($N$7,LenU,0)))^2*N(O87)*INDEX(LenF,MATCH($O$7,LenU,0))+IF(P87="",0,IF(P87="Conical",PI()/12*(N87*INDEX(LenF,MATCH($N$7,LenU,0)))^2*(N(R87)*INDEX(LenF,MATCH($R$7,LenU,0))),INDEX(HeadK,MATCH(P87,HeadU,0))*(N87*INDEX(LenF,MATCH($N$7,LenU,0)))^3))+IF(Q87="",0,IF(Q87="Conical",PI()/12*(N87*INDEX(LenF,MATCH($N$7,LenU,0)))^2*(N(R87)*INDEX(LenF,MATCH($R$7,LenU,0))),INDEX(HeadK,MATCH(Q87,HeadU,0))*(N87*INDEX(LenF,MATCH($N$7,LenU,0)))^3)),0)))</f>
        <v/>
      </c>
      <c r="AF87" s="41" t="str">
        <f aca="false">IF(E87&lt;&gt;"Piping","",IF(AND(ISNUMBER(AS87),ISNUMBER(M87)),PI()/4*(AS87/1000)^2*M87*INDEX(LenF,MATCH($M$7,LenU,0)),0))</f>
        <v/>
      </c>
      <c r="AG87" s="41" t="str">
        <f aca="false">IF(E87="","",N(AD87)+N(AE87)+N(AF87))</f>
        <v/>
      </c>
      <c r="AH87" s="41" t="str">
        <f aca="false">IF(ISNUMBER(I87),I87*INDEX(WtF,MATCH($I$7,WtU,0))/CC_WaterRho,"")</f>
        <v/>
      </c>
      <c r="AI87" s="31"/>
      <c r="AJ87" s="31"/>
      <c r="AK87" s="40"/>
      <c r="AL87" s="31"/>
      <c r="AM87" s="41" t="str">
        <f aca="false">IF(AO87="","",AO87*IF(ISNUMBER(AK87),AK87,CC_DefFills)*(1+IF(ISNUMBER(AL87),AL87,CC_DefAllow)))</f>
        <v/>
      </c>
      <c r="AN87" s="42" t="str">
        <f aca="false">IF(G87="Given volume",IF(ISNUMBER(H87),H87*INDEX(VolF,MATCH($H$7,VolU,0)),""),IF(G87="Water weight",AH87,IF(N(AG87)=0,"",AG87)))</f>
        <v/>
      </c>
      <c r="AO87" s="42" t="str">
        <f aca="false">IF(N(AN87)=0,"",AN87*AT87*IF(ISNUMBER(AJ87),AJ87,CC_DefCirc))</f>
        <v/>
      </c>
      <c r="AP87" s="27" t="n">
        <f aca="false">IF(ISNUMBER(T87),T87*INDEX(LenF,MATCH($T$7,LenU,0)),IF(ISNUMBER(W87),W87*INDEX(LenF,MATCH($W$7,LenU,0))/CC_PitchRatio,0))</f>
        <v>0</v>
      </c>
      <c r="AQ87" s="27" t="n">
        <f aca="false">IF(ISNUMBER(N87),PI()/4*(N87*INDEX(LenF,MATCH($N$7,LenU,0)))^2,IF(AND(ISNUMBER(S87),ISNUMBER(W87),X87&lt;&gt;""),S87*(W87*INDEX(LenF,MATCH($W$7,LenU,0)))^2*INDEX(LayoutF,MATCH(X87,LayoutU,0)),0))</f>
        <v>0</v>
      </c>
      <c r="AR87" s="27" t="n">
        <f aca="false">IF(ISNUMBER(O87),O87*INDEX(LenF,MATCH($O$7,LenU,0)),IF(ISNUMBER(V87),V87*INDEX(LenF,MATCH($V$7,LenU,0)),0))</f>
        <v>0</v>
      </c>
      <c r="AS87" s="27" t="str">
        <f aca="false">IF(ISNUMBER(L87),L87*INDEX(LenF,MATCH($L$7,LenU,0))*1000,IF(OR(J87="",K87=""),"",IFERROR(IF(INDEX(PipeWT,MATCH(J87,NPSU,0),MATCH(K87,SchU,0))="","Sch n/a",INDEX(PipeOD,MATCH(J87,NPSU,0))-2*INDEX(PipeWT,MATCH(J87,NPSU,0),MATCH(K87,SchU,0))),"")))</f>
        <v/>
      </c>
      <c r="AT87" s="27" t="n">
        <f aca="false">IF(ISNUMBER(AI87),AI87,IFERROR(INDEX(IF(CC_JobType="Decontamination",CC_TypeFillDC,CC_TypeFillCC),MATCH(E87,CC_TypeL,0)),1))</f>
        <v>1</v>
      </c>
      <c r="AU87" s="27" t="n">
        <v>3</v>
      </c>
    </row>
    <row r="88" customFormat="false" ht="15" hidden="false" customHeight="false" outlineLevel="0" collapsed="false">
      <c r="A88" s="36" t="n">
        <v>13</v>
      </c>
      <c r="B88" s="40"/>
      <c r="C88" s="32"/>
      <c r="D88" s="32"/>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1" t="str">
        <f aca="false">IF(E88="Exchanger",IF(AND(ISNUMBER(S88),ISNUMBER(U88),ISNUMBER(V88)),S88*PI()/4*(U88*INDEX(LenF,MATCH($U$7,LenU,0)))^2*V88*INDEX(LenF,MATCH($V$7,LenU,0)),0)+IF(ISNUMBER(Y88),PI()/4*(Y88*INDEX(LenF,MATCH($Y$7,LenU,0)))^2*N(Z88)*INDEX(LenF,MATCH($Z$7,LenU,0))+IF(AA88="",0,IF(AA88="Conical",PI()/12*(Y88*INDEX(LenF,MATCH($Y$7,LenU,0)))^2*(0),INDEX(HeadK,MATCH(AA88,HeadU,0))*(Y88*INDEX(LenF,MATCH($Y$7,LenU,0)))^3)),0)+IF(ISNUMBER(Y88),PI()/4*(Y88*INDEX(LenF,MATCH($Y$7,LenU,0)))^2*N(AB88)*INDEX(LenF,MATCH($AB$7,LenU,0))+IF(AC88="",0,IF(AC88="Conical",PI()/12*(Y88*INDEX(LenF,MATCH($Y$7,LenU,0)))^2*(0),INDEX(HeadK,MATCH(AC88,HeadU,0))*(Y88*INDEX(LenF,MATCH($Y$7,LenU,0)))^3)),0),"")</f>
        <v/>
      </c>
      <c r="AE88" s="41" t="str">
        <f aca="false">IF(OR(E88="",E88="Piping"),"",IF(E88="Exchanger",AQ88*AR88+IF(P88="",0,IF(P88="Conical",PI()/12*(SQRT(4*AQ88/PI()))^2*(0),INDEX(HeadK,MATCH(P88,HeadU,0))*(SQRT(4*AQ88/PI()))^3))-IF(AND(ISNUMBER(S88),ISNUMBER(V88)),S88*PI()/4*AP88^2*V88*INDEX(LenF,MATCH($V$7,LenU,0)),0),IF(ISNUMBER(N88),PI()/4*(N88*INDEX(LenF,MATCH($N$7,LenU,0)))^2*N(O88)*INDEX(LenF,MATCH($O$7,LenU,0))+IF(P88="",0,IF(P88="Conical",PI()/12*(N88*INDEX(LenF,MATCH($N$7,LenU,0)))^2*(N(R88)*INDEX(LenF,MATCH($R$7,LenU,0))),INDEX(HeadK,MATCH(P88,HeadU,0))*(N88*INDEX(LenF,MATCH($N$7,LenU,0)))^3))+IF(Q88="",0,IF(Q88="Conical",PI()/12*(N88*INDEX(LenF,MATCH($N$7,LenU,0)))^2*(N(R88)*INDEX(LenF,MATCH($R$7,LenU,0))),INDEX(HeadK,MATCH(Q88,HeadU,0))*(N88*INDEX(LenF,MATCH($N$7,LenU,0)))^3)),0)))</f>
        <v/>
      </c>
      <c r="AF88" s="41" t="str">
        <f aca="false">IF(E88&lt;&gt;"Piping","",IF(AND(ISNUMBER(AS88),ISNUMBER(M88)),PI()/4*(AS88/1000)^2*M88*INDEX(LenF,MATCH($M$7,LenU,0)),0))</f>
        <v/>
      </c>
      <c r="AG88" s="41" t="str">
        <f aca="false">IF(E88="","",N(AD88)+N(AE88)+N(AF88))</f>
        <v/>
      </c>
      <c r="AH88" s="41" t="str">
        <f aca="false">IF(ISNUMBER(I88),I88*INDEX(WtF,MATCH($I$7,WtU,0))/CC_WaterRho,"")</f>
        <v/>
      </c>
      <c r="AI88" s="31"/>
      <c r="AJ88" s="31"/>
      <c r="AK88" s="40"/>
      <c r="AL88" s="31"/>
      <c r="AM88" s="41" t="str">
        <f aca="false">IF(AO88="","",AO88*IF(ISNUMBER(AK88),AK88,CC_DefFills)*(1+IF(ISNUMBER(AL88),AL88,CC_DefAllow)))</f>
        <v/>
      </c>
      <c r="AN88" s="42" t="str">
        <f aca="false">IF(G88="Given volume",IF(ISNUMBER(H88),H88*INDEX(VolF,MATCH($H$7,VolU,0)),""),IF(G88="Water weight",AH88,IF(N(AG88)=0,"",AG88)))</f>
        <v/>
      </c>
      <c r="AO88" s="42" t="str">
        <f aca="false">IF(N(AN88)=0,"",AN88*AT88*IF(ISNUMBER(AJ88),AJ88,CC_DefCirc))</f>
        <v/>
      </c>
      <c r="AP88" s="27" t="n">
        <f aca="false">IF(ISNUMBER(T88),T88*INDEX(LenF,MATCH($T$7,LenU,0)),IF(ISNUMBER(W88),W88*INDEX(LenF,MATCH($W$7,LenU,0))/CC_PitchRatio,0))</f>
        <v>0</v>
      </c>
      <c r="AQ88" s="27" t="n">
        <f aca="false">IF(ISNUMBER(N88),PI()/4*(N88*INDEX(LenF,MATCH($N$7,LenU,0)))^2,IF(AND(ISNUMBER(S88),ISNUMBER(W88),X88&lt;&gt;""),S88*(W88*INDEX(LenF,MATCH($W$7,LenU,0)))^2*INDEX(LayoutF,MATCH(X88,LayoutU,0)),0))</f>
        <v>0</v>
      </c>
      <c r="AR88" s="27" t="n">
        <f aca="false">IF(ISNUMBER(O88),O88*INDEX(LenF,MATCH($O$7,LenU,0)),IF(ISNUMBER(V88),V88*INDEX(LenF,MATCH($V$7,LenU,0)),0))</f>
        <v>0</v>
      </c>
      <c r="AS88" s="27" t="str">
        <f aca="false">IF(ISNUMBER(L88),L88*INDEX(LenF,MATCH($L$7,LenU,0))*1000,IF(OR(J88="",K88=""),"",IFERROR(IF(INDEX(PipeWT,MATCH(J88,NPSU,0),MATCH(K88,SchU,0))="","Sch n/a",INDEX(PipeOD,MATCH(J88,NPSU,0))-2*INDEX(PipeWT,MATCH(J88,NPSU,0),MATCH(K88,SchU,0))),"")))</f>
        <v/>
      </c>
      <c r="AT88" s="27" t="n">
        <f aca="false">IF(ISNUMBER(AI88),AI88,IFERROR(INDEX(IF(CC_JobType="Decontamination",CC_TypeFillDC,CC_TypeFillCC),MATCH(E88,CC_TypeL,0)),1))</f>
        <v>1</v>
      </c>
      <c r="AU88" s="27" t="n">
        <v>3</v>
      </c>
    </row>
    <row r="89" customFormat="false" ht="15" hidden="false" customHeight="false" outlineLevel="0" collapsed="false">
      <c r="A89" s="36" t="n">
        <v>14</v>
      </c>
      <c r="B89" s="40"/>
      <c r="C89" s="32"/>
      <c r="D89" s="32"/>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1" t="str">
        <f aca="false">IF(E89="Exchanger",IF(AND(ISNUMBER(S89),ISNUMBER(U89),ISNUMBER(V89)),S89*PI()/4*(U89*INDEX(LenF,MATCH($U$7,LenU,0)))^2*V89*INDEX(LenF,MATCH($V$7,LenU,0)),0)+IF(ISNUMBER(Y89),PI()/4*(Y89*INDEX(LenF,MATCH($Y$7,LenU,0)))^2*N(Z89)*INDEX(LenF,MATCH($Z$7,LenU,0))+IF(AA89="",0,IF(AA89="Conical",PI()/12*(Y89*INDEX(LenF,MATCH($Y$7,LenU,0)))^2*(0),INDEX(HeadK,MATCH(AA89,HeadU,0))*(Y89*INDEX(LenF,MATCH($Y$7,LenU,0)))^3)),0)+IF(ISNUMBER(Y89),PI()/4*(Y89*INDEX(LenF,MATCH($Y$7,LenU,0)))^2*N(AB89)*INDEX(LenF,MATCH($AB$7,LenU,0))+IF(AC89="",0,IF(AC89="Conical",PI()/12*(Y89*INDEX(LenF,MATCH($Y$7,LenU,0)))^2*(0),INDEX(HeadK,MATCH(AC89,HeadU,0))*(Y89*INDEX(LenF,MATCH($Y$7,LenU,0)))^3)),0),"")</f>
        <v/>
      </c>
      <c r="AE89" s="41" t="str">
        <f aca="false">IF(OR(E89="",E89="Piping"),"",IF(E89="Exchanger",AQ89*AR89+IF(P89="",0,IF(P89="Conical",PI()/12*(SQRT(4*AQ89/PI()))^2*(0),INDEX(HeadK,MATCH(P89,HeadU,0))*(SQRT(4*AQ89/PI()))^3))-IF(AND(ISNUMBER(S89),ISNUMBER(V89)),S89*PI()/4*AP89^2*V89*INDEX(LenF,MATCH($V$7,LenU,0)),0),IF(ISNUMBER(N89),PI()/4*(N89*INDEX(LenF,MATCH($N$7,LenU,0)))^2*N(O89)*INDEX(LenF,MATCH($O$7,LenU,0))+IF(P89="",0,IF(P89="Conical",PI()/12*(N89*INDEX(LenF,MATCH($N$7,LenU,0)))^2*(N(R89)*INDEX(LenF,MATCH($R$7,LenU,0))),INDEX(HeadK,MATCH(P89,HeadU,0))*(N89*INDEX(LenF,MATCH($N$7,LenU,0)))^3))+IF(Q89="",0,IF(Q89="Conical",PI()/12*(N89*INDEX(LenF,MATCH($N$7,LenU,0)))^2*(N(R89)*INDEX(LenF,MATCH($R$7,LenU,0))),INDEX(HeadK,MATCH(Q89,HeadU,0))*(N89*INDEX(LenF,MATCH($N$7,LenU,0)))^3)),0)))</f>
        <v/>
      </c>
      <c r="AF89" s="41" t="str">
        <f aca="false">IF(E89&lt;&gt;"Piping","",IF(AND(ISNUMBER(AS89),ISNUMBER(M89)),PI()/4*(AS89/1000)^2*M89*INDEX(LenF,MATCH($M$7,LenU,0)),0))</f>
        <v/>
      </c>
      <c r="AG89" s="41" t="str">
        <f aca="false">IF(E89="","",N(AD89)+N(AE89)+N(AF89))</f>
        <v/>
      </c>
      <c r="AH89" s="41" t="str">
        <f aca="false">IF(ISNUMBER(I89),I89*INDEX(WtF,MATCH($I$7,WtU,0))/CC_WaterRho,"")</f>
        <v/>
      </c>
      <c r="AI89" s="31"/>
      <c r="AJ89" s="31"/>
      <c r="AK89" s="40"/>
      <c r="AL89" s="31"/>
      <c r="AM89" s="41" t="str">
        <f aca="false">IF(AO89="","",AO89*IF(ISNUMBER(AK89),AK89,CC_DefFills)*(1+IF(ISNUMBER(AL89),AL89,CC_DefAllow)))</f>
        <v/>
      </c>
      <c r="AN89" s="42" t="str">
        <f aca="false">IF(G89="Given volume",IF(ISNUMBER(H89),H89*INDEX(VolF,MATCH($H$7,VolU,0)),""),IF(G89="Water weight",AH89,IF(N(AG89)=0,"",AG89)))</f>
        <v/>
      </c>
      <c r="AO89" s="42" t="str">
        <f aca="false">IF(N(AN89)=0,"",AN89*AT89*IF(ISNUMBER(AJ89),AJ89,CC_DefCirc))</f>
        <v/>
      </c>
      <c r="AP89" s="27" t="n">
        <f aca="false">IF(ISNUMBER(T89),T89*INDEX(LenF,MATCH($T$7,LenU,0)),IF(ISNUMBER(W89),W89*INDEX(LenF,MATCH($W$7,LenU,0))/CC_PitchRatio,0))</f>
        <v>0</v>
      </c>
      <c r="AQ89" s="27" t="n">
        <f aca="false">IF(ISNUMBER(N89),PI()/4*(N89*INDEX(LenF,MATCH($N$7,LenU,0)))^2,IF(AND(ISNUMBER(S89),ISNUMBER(W89),X89&lt;&gt;""),S89*(W89*INDEX(LenF,MATCH($W$7,LenU,0)))^2*INDEX(LayoutF,MATCH(X89,LayoutU,0)),0))</f>
        <v>0</v>
      </c>
      <c r="AR89" s="27" t="n">
        <f aca="false">IF(ISNUMBER(O89),O89*INDEX(LenF,MATCH($O$7,LenU,0)),IF(ISNUMBER(V89),V89*INDEX(LenF,MATCH($V$7,LenU,0)),0))</f>
        <v>0</v>
      </c>
      <c r="AS89" s="27" t="str">
        <f aca="false">IF(ISNUMBER(L89),L89*INDEX(LenF,MATCH($L$7,LenU,0))*1000,IF(OR(J89="",K89=""),"",IFERROR(IF(INDEX(PipeWT,MATCH(J89,NPSU,0),MATCH(K89,SchU,0))="","Sch n/a",INDEX(PipeOD,MATCH(J89,NPSU,0))-2*INDEX(PipeWT,MATCH(J89,NPSU,0),MATCH(K89,SchU,0))),"")))</f>
        <v/>
      </c>
      <c r="AT89" s="27" t="n">
        <f aca="false">IF(ISNUMBER(AI89),AI89,IFERROR(INDEX(IF(CC_JobType="Decontamination",CC_TypeFillDC,CC_TypeFillCC),MATCH(E89,CC_TypeL,0)),1))</f>
        <v>1</v>
      </c>
      <c r="AU89" s="27" t="n">
        <v>3</v>
      </c>
    </row>
    <row r="90" customFormat="false" ht="15" hidden="false" customHeight="false" outlineLevel="0" collapsed="false">
      <c r="A90" s="36" t="n">
        <v>15</v>
      </c>
      <c r="B90" s="40"/>
      <c r="C90" s="32"/>
      <c r="D90" s="32"/>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1" t="str">
        <f aca="false">IF(E90="Exchanger",IF(AND(ISNUMBER(S90),ISNUMBER(U90),ISNUMBER(V90)),S90*PI()/4*(U90*INDEX(LenF,MATCH($U$7,LenU,0)))^2*V90*INDEX(LenF,MATCH($V$7,LenU,0)),0)+IF(ISNUMBER(Y90),PI()/4*(Y90*INDEX(LenF,MATCH($Y$7,LenU,0)))^2*N(Z90)*INDEX(LenF,MATCH($Z$7,LenU,0))+IF(AA90="",0,IF(AA90="Conical",PI()/12*(Y90*INDEX(LenF,MATCH($Y$7,LenU,0)))^2*(0),INDEX(HeadK,MATCH(AA90,HeadU,0))*(Y90*INDEX(LenF,MATCH($Y$7,LenU,0)))^3)),0)+IF(ISNUMBER(Y90),PI()/4*(Y90*INDEX(LenF,MATCH($Y$7,LenU,0)))^2*N(AB90)*INDEX(LenF,MATCH($AB$7,LenU,0))+IF(AC90="",0,IF(AC90="Conical",PI()/12*(Y90*INDEX(LenF,MATCH($Y$7,LenU,0)))^2*(0),INDEX(HeadK,MATCH(AC90,HeadU,0))*(Y90*INDEX(LenF,MATCH($Y$7,LenU,0)))^3)),0),"")</f>
        <v/>
      </c>
      <c r="AE90" s="41" t="str">
        <f aca="false">IF(OR(E90="",E90="Piping"),"",IF(E90="Exchanger",AQ90*AR90+IF(P90="",0,IF(P90="Conical",PI()/12*(SQRT(4*AQ90/PI()))^2*(0),INDEX(HeadK,MATCH(P90,HeadU,0))*(SQRT(4*AQ90/PI()))^3))-IF(AND(ISNUMBER(S90),ISNUMBER(V90)),S90*PI()/4*AP90^2*V90*INDEX(LenF,MATCH($V$7,LenU,0)),0),IF(ISNUMBER(N90),PI()/4*(N90*INDEX(LenF,MATCH($N$7,LenU,0)))^2*N(O90)*INDEX(LenF,MATCH($O$7,LenU,0))+IF(P90="",0,IF(P90="Conical",PI()/12*(N90*INDEX(LenF,MATCH($N$7,LenU,0)))^2*(N(R90)*INDEX(LenF,MATCH($R$7,LenU,0))),INDEX(HeadK,MATCH(P90,HeadU,0))*(N90*INDEX(LenF,MATCH($N$7,LenU,0)))^3))+IF(Q90="",0,IF(Q90="Conical",PI()/12*(N90*INDEX(LenF,MATCH($N$7,LenU,0)))^2*(N(R90)*INDEX(LenF,MATCH($R$7,LenU,0))),INDEX(HeadK,MATCH(Q90,HeadU,0))*(N90*INDEX(LenF,MATCH($N$7,LenU,0)))^3)),0)))</f>
        <v/>
      </c>
      <c r="AF90" s="41" t="str">
        <f aca="false">IF(E90&lt;&gt;"Piping","",IF(AND(ISNUMBER(AS90),ISNUMBER(M90)),PI()/4*(AS90/1000)^2*M90*INDEX(LenF,MATCH($M$7,LenU,0)),0))</f>
        <v/>
      </c>
      <c r="AG90" s="41" t="str">
        <f aca="false">IF(E90="","",N(AD90)+N(AE90)+N(AF90))</f>
        <v/>
      </c>
      <c r="AH90" s="41" t="str">
        <f aca="false">IF(ISNUMBER(I90),I90*INDEX(WtF,MATCH($I$7,WtU,0))/CC_WaterRho,"")</f>
        <v/>
      </c>
      <c r="AI90" s="31"/>
      <c r="AJ90" s="31"/>
      <c r="AK90" s="40"/>
      <c r="AL90" s="31"/>
      <c r="AM90" s="41" t="str">
        <f aca="false">IF(AO90="","",AO90*IF(ISNUMBER(AK90),AK90,CC_DefFills)*(1+IF(ISNUMBER(AL90),AL90,CC_DefAllow)))</f>
        <v/>
      </c>
      <c r="AN90" s="42" t="str">
        <f aca="false">IF(G90="Given volume",IF(ISNUMBER(H90),H90*INDEX(VolF,MATCH($H$7,VolU,0)),""),IF(G90="Water weight",AH90,IF(N(AG90)=0,"",AG90)))</f>
        <v/>
      </c>
      <c r="AO90" s="42" t="str">
        <f aca="false">IF(N(AN90)=0,"",AN90*AT90*IF(ISNUMBER(AJ90),AJ90,CC_DefCirc))</f>
        <v/>
      </c>
      <c r="AP90" s="27" t="n">
        <f aca="false">IF(ISNUMBER(T90),T90*INDEX(LenF,MATCH($T$7,LenU,0)),IF(ISNUMBER(W90),W90*INDEX(LenF,MATCH($W$7,LenU,0))/CC_PitchRatio,0))</f>
        <v>0</v>
      </c>
      <c r="AQ90" s="27" t="n">
        <f aca="false">IF(ISNUMBER(N90),PI()/4*(N90*INDEX(LenF,MATCH($N$7,LenU,0)))^2,IF(AND(ISNUMBER(S90),ISNUMBER(W90),X90&lt;&gt;""),S90*(W90*INDEX(LenF,MATCH($W$7,LenU,0)))^2*INDEX(LayoutF,MATCH(X90,LayoutU,0)),0))</f>
        <v>0</v>
      </c>
      <c r="AR90" s="27" t="n">
        <f aca="false">IF(ISNUMBER(O90),O90*INDEX(LenF,MATCH($O$7,LenU,0)),IF(ISNUMBER(V90),V90*INDEX(LenF,MATCH($V$7,LenU,0)),0))</f>
        <v>0</v>
      </c>
      <c r="AS90" s="27" t="str">
        <f aca="false">IF(ISNUMBER(L90),L90*INDEX(LenF,MATCH($L$7,LenU,0))*1000,IF(OR(J90="",K90=""),"",IFERROR(IF(INDEX(PipeWT,MATCH(J90,NPSU,0),MATCH(K90,SchU,0))="","Sch n/a",INDEX(PipeOD,MATCH(J90,NPSU,0))-2*INDEX(PipeWT,MATCH(J90,NPSU,0),MATCH(K90,SchU,0))),"")))</f>
        <v/>
      </c>
      <c r="AT90" s="27" t="n">
        <f aca="false">IF(ISNUMBER(AI90),AI90,IFERROR(INDEX(IF(CC_JobType="Decontamination",CC_TypeFillDC,CC_TypeFillCC),MATCH(E90,CC_TypeL,0)),1))</f>
        <v>1</v>
      </c>
      <c r="AU90" s="27" t="n">
        <v>3</v>
      </c>
    </row>
    <row r="91" customFormat="false" ht="15" hidden="false" customHeight="false" outlineLevel="0" collapsed="false">
      <c r="A91" s="36" t="n">
        <v>16</v>
      </c>
      <c r="B91" s="40"/>
      <c r="C91" s="32"/>
      <c r="D91" s="32"/>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1" t="str">
        <f aca="false">IF(E91="Exchanger",IF(AND(ISNUMBER(S91),ISNUMBER(U91),ISNUMBER(V91)),S91*PI()/4*(U91*INDEX(LenF,MATCH($U$7,LenU,0)))^2*V91*INDEX(LenF,MATCH($V$7,LenU,0)),0)+IF(ISNUMBER(Y91),PI()/4*(Y91*INDEX(LenF,MATCH($Y$7,LenU,0)))^2*N(Z91)*INDEX(LenF,MATCH($Z$7,LenU,0))+IF(AA91="",0,IF(AA91="Conical",PI()/12*(Y91*INDEX(LenF,MATCH($Y$7,LenU,0)))^2*(0),INDEX(HeadK,MATCH(AA91,HeadU,0))*(Y91*INDEX(LenF,MATCH($Y$7,LenU,0)))^3)),0)+IF(ISNUMBER(Y91),PI()/4*(Y91*INDEX(LenF,MATCH($Y$7,LenU,0)))^2*N(AB91)*INDEX(LenF,MATCH($AB$7,LenU,0))+IF(AC91="",0,IF(AC91="Conical",PI()/12*(Y91*INDEX(LenF,MATCH($Y$7,LenU,0)))^2*(0),INDEX(HeadK,MATCH(AC91,HeadU,0))*(Y91*INDEX(LenF,MATCH($Y$7,LenU,0)))^3)),0),"")</f>
        <v/>
      </c>
      <c r="AE91" s="41" t="str">
        <f aca="false">IF(OR(E91="",E91="Piping"),"",IF(E91="Exchanger",AQ91*AR91+IF(P91="",0,IF(P91="Conical",PI()/12*(SQRT(4*AQ91/PI()))^2*(0),INDEX(HeadK,MATCH(P91,HeadU,0))*(SQRT(4*AQ91/PI()))^3))-IF(AND(ISNUMBER(S91),ISNUMBER(V91)),S91*PI()/4*AP91^2*V91*INDEX(LenF,MATCH($V$7,LenU,0)),0),IF(ISNUMBER(N91),PI()/4*(N91*INDEX(LenF,MATCH($N$7,LenU,0)))^2*N(O91)*INDEX(LenF,MATCH($O$7,LenU,0))+IF(P91="",0,IF(P91="Conical",PI()/12*(N91*INDEX(LenF,MATCH($N$7,LenU,0)))^2*(N(R91)*INDEX(LenF,MATCH($R$7,LenU,0))),INDEX(HeadK,MATCH(P91,HeadU,0))*(N91*INDEX(LenF,MATCH($N$7,LenU,0)))^3))+IF(Q91="",0,IF(Q91="Conical",PI()/12*(N91*INDEX(LenF,MATCH($N$7,LenU,0)))^2*(N(R91)*INDEX(LenF,MATCH($R$7,LenU,0))),INDEX(HeadK,MATCH(Q91,HeadU,0))*(N91*INDEX(LenF,MATCH($N$7,LenU,0)))^3)),0)))</f>
        <v/>
      </c>
      <c r="AF91" s="41" t="str">
        <f aca="false">IF(E91&lt;&gt;"Piping","",IF(AND(ISNUMBER(AS91),ISNUMBER(M91)),PI()/4*(AS91/1000)^2*M91*INDEX(LenF,MATCH($M$7,LenU,0)),0))</f>
        <v/>
      </c>
      <c r="AG91" s="41" t="str">
        <f aca="false">IF(E91="","",N(AD91)+N(AE91)+N(AF91))</f>
        <v/>
      </c>
      <c r="AH91" s="41" t="str">
        <f aca="false">IF(ISNUMBER(I91),I91*INDEX(WtF,MATCH($I$7,WtU,0))/CC_WaterRho,"")</f>
        <v/>
      </c>
      <c r="AI91" s="31"/>
      <c r="AJ91" s="31"/>
      <c r="AK91" s="40"/>
      <c r="AL91" s="31"/>
      <c r="AM91" s="41" t="str">
        <f aca="false">IF(AO91="","",AO91*IF(ISNUMBER(AK91),AK91,CC_DefFills)*(1+IF(ISNUMBER(AL91),AL91,CC_DefAllow)))</f>
        <v/>
      </c>
      <c r="AN91" s="42" t="str">
        <f aca="false">IF(G91="Given volume",IF(ISNUMBER(H91),H91*INDEX(VolF,MATCH($H$7,VolU,0)),""),IF(G91="Water weight",AH91,IF(N(AG91)=0,"",AG91)))</f>
        <v/>
      </c>
      <c r="AO91" s="42" t="str">
        <f aca="false">IF(N(AN91)=0,"",AN91*AT91*IF(ISNUMBER(AJ91),AJ91,CC_DefCirc))</f>
        <v/>
      </c>
      <c r="AP91" s="27" t="n">
        <f aca="false">IF(ISNUMBER(T91),T91*INDEX(LenF,MATCH($T$7,LenU,0)),IF(ISNUMBER(W91),W91*INDEX(LenF,MATCH($W$7,LenU,0))/CC_PitchRatio,0))</f>
        <v>0</v>
      </c>
      <c r="AQ91" s="27" t="n">
        <f aca="false">IF(ISNUMBER(N91),PI()/4*(N91*INDEX(LenF,MATCH($N$7,LenU,0)))^2,IF(AND(ISNUMBER(S91),ISNUMBER(W91),X91&lt;&gt;""),S91*(W91*INDEX(LenF,MATCH($W$7,LenU,0)))^2*INDEX(LayoutF,MATCH(X91,LayoutU,0)),0))</f>
        <v>0</v>
      </c>
      <c r="AR91" s="27" t="n">
        <f aca="false">IF(ISNUMBER(O91),O91*INDEX(LenF,MATCH($O$7,LenU,0)),IF(ISNUMBER(V91),V91*INDEX(LenF,MATCH($V$7,LenU,0)),0))</f>
        <v>0</v>
      </c>
      <c r="AS91" s="27" t="str">
        <f aca="false">IF(ISNUMBER(L91),L91*INDEX(LenF,MATCH($L$7,LenU,0))*1000,IF(OR(J91="",K91=""),"",IFERROR(IF(INDEX(PipeWT,MATCH(J91,NPSU,0),MATCH(K91,SchU,0))="","Sch n/a",INDEX(PipeOD,MATCH(J91,NPSU,0))-2*INDEX(PipeWT,MATCH(J91,NPSU,0),MATCH(K91,SchU,0))),"")))</f>
        <v/>
      </c>
      <c r="AT91" s="27" t="n">
        <f aca="false">IF(ISNUMBER(AI91),AI91,IFERROR(INDEX(IF(CC_JobType="Decontamination",CC_TypeFillDC,CC_TypeFillCC),MATCH(E91,CC_TypeL,0)),1))</f>
        <v>1</v>
      </c>
      <c r="AU91" s="27" t="n">
        <v>3</v>
      </c>
    </row>
    <row r="92" customFormat="false" ht="15" hidden="false" customHeight="false" outlineLevel="0" collapsed="false">
      <c r="A92" s="36" t="n">
        <v>17</v>
      </c>
      <c r="B92" s="40"/>
      <c r="C92" s="32"/>
      <c r="D92" s="32"/>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1" t="str">
        <f aca="false">IF(E92="Exchanger",IF(AND(ISNUMBER(S92),ISNUMBER(U92),ISNUMBER(V92)),S92*PI()/4*(U92*INDEX(LenF,MATCH($U$7,LenU,0)))^2*V92*INDEX(LenF,MATCH($V$7,LenU,0)),0)+IF(ISNUMBER(Y92),PI()/4*(Y92*INDEX(LenF,MATCH($Y$7,LenU,0)))^2*N(Z92)*INDEX(LenF,MATCH($Z$7,LenU,0))+IF(AA92="",0,IF(AA92="Conical",PI()/12*(Y92*INDEX(LenF,MATCH($Y$7,LenU,0)))^2*(0),INDEX(HeadK,MATCH(AA92,HeadU,0))*(Y92*INDEX(LenF,MATCH($Y$7,LenU,0)))^3)),0)+IF(ISNUMBER(Y92),PI()/4*(Y92*INDEX(LenF,MATCH($Y$7,LenU,0)))^2*N(AB92)*INDEX(LenF,MATCH($AB$7,LenU,0))+IF(AC92="",0,IF(AC92="Conical",PI()/12*(Y92*INDEX(LenF,MATCH($Y$7,LenU,0)))^2*(0),INDEX(HeadK,MATCH(AC92,HeadU,0))*(Y92*INDEX(LenF,MATCH($Y$7,LenU,0)))^3)),0),"")</f>
        <v/>
      </c>
      <c r="AE92" s="41" t="str">
        <f aca="false">IF(OR(E92="",E92="Piping"),"",IF(E92="Exchanger",AQ92*AR92+IF(P92="",0,IF(P92="Conical",PI()/12*(SQRT(4*AQ92/PI()))^2*(0),INDEX(HeadK,MATCH(P92,HeadU,0))*(SQRT(4*AQ92/PI()))^3))-IF(AND(ISNUMBER(S92),ISNUMBER(V92)),S92*PI()/4*AP92^2*V92*INDEX(LenF,MATCH($V$7,LenU,0)),0),IF(ISNUMBER(N92),PI()/4*(N92*INDEX(LenF,MATCH($N$7,LenU,0)))^2*N(O92)*INDEX(LenF,MATCH($O$7,LenU,0))+IF(P92="",0,IF(P92="Conical",PI()/12*(N92*INDEX(LenF,MATCH($N$7,LenU,0)))^2*(N(R92)*INDEX(LenF,MATCH($R$7,LenU,0))),INDEX(HeadK,MATCH(P92,HeadU,0))*(N92*INDEX(LenF,MATCH($N$7,LenU,0)))^3))+IF(Q92="",0,IF(Q92="Conical",PI()/12*(N92*INDEX(LenF,MATCH($N$7,LenU,0)))^2*(N(R92)*INDEX(LenF,MATCH($R$7,LenU,0))),INDEX(HeadK,MATCH(Q92,HeadU,0))*(N92*INDEX(LenF,MATCH($N$7,LenU,0)))^3)),0)))</f>
        <v/>
      </c>
      <c r="AF92" s="41" t="str">
        <f aca="false">IF(E92&lt;&gt;"Piping","",IF(AND(ISNUMBER(AS92),ISNUMBER(M92)),PI()/4*(AS92/1000)^2*M92*INDEX(LenF,MATCH($M$7,LenU,0)),0))</f>
        <v/>
      </c>
      <c r="AG92" s="41" t="str">
        <f aca="false">IF(E92="","",N(AD92)+N(AE92)+N(AF92))</f>
        <v/>
      </c>
      <c r="AH92" s="41" t="str">
        <f aca="false">IF(ISNUMBER(I92),I92*INDEX(WtF,MATCH($I$7,WtU,0))/CC_WaterRho,"")</f>
        <v/>
      </c>
      <c r="AI92" s="31"/>
      <c r="AJ92" s="31"/>
      <c r="AK92" s="40"/>
      <c r="AL92" s="31"/>
      <c r="AM92" s="41" t="str">
        <f aca="false">IF(AO92="","",AO92*IF(ISNUMBER(AK92),AK92,CC_DefFills)*(1+IF(ISNUMBER(AL92),AL92,CC_DefAllow)))</f>
        <v/>
      </c>
      <c r="AN92" s="42" t="str">
        <f aca="false">IF(G92="Given volume",IF(ISNUMBER(H92),H92*INDEX(VolF,MATCH($H$7,VolU,0)),""),IF(G92="Water weight",AH92,IF(N(AG92)=0,"",AG92)))</f>
        <v/>
      </c>
      <c r="AO92" s="42" t="str">
        <f aca="false">IF(N(AN92)=0,"",AN92*AT92*IF(ISNUMBER(AJ92),AJ92,CC_DefCirc))</f>
        <v/>
      </c>
      <c r="AP92" s="27" t="n">
        <f aca="false">IF(ISNUMBER(T92),T92*INDEX(LenF,MATCH($T$7,LenU,0)),IF(ISNUMBER(W92),W92*INDEX(LenF,MATCH($W$7,LenU,0))/CC_PitchRatio,0))</f>
        <v>0</v>
      </c>
      <c r="AQ92" s="27" t="n">
        <f aca="false">IF(ISNUMBER(N92),PI()/4*(N92*INDEX(LenF,MATCH($N$7,LenU,0)))^2,IF(AND(ISNUMBER(S92),ISNUMBER(W92),X92&lt;&gt;""),S92*(W92*INDEX(LenF,MATCH($W$7,LenU,0)))^2*INDEX(LayoutF,MATCH(X92,LayoutU,0)),0))</f>
        <v>0</v>
      </c>
      <c r="AR92" s="27" t="n">
        <f aca="false">IF(ISNUMBER(O92),O92*INDEX(LenF,MATCH($O$7,LenU,0)),IF(ISNUMBER(V92),V92*INDEX(LenF,MATCH($V$7,LenU,0)),0))</f>
        <v>0</v>
      </c>
      <c r="AS92" s="27" t="str">
        <f aca="false">IF(ISNUMBER(L92),L92*INDEX(LenF,MATCH($L$7,LenU,0))*1000,IF(OR(J92="",K92=""),"",IFERROR(IF(INDEX(PipeWT,MATCH(J92,NPSU,0),MATCH(K92,SchU,0))="","Sch n/a",INDEX(PipeOD,MATCH(J92,NPSU,0))-2*INDEX(PipeWT,MATCH(J92,NPSU,0),MATCH(K92,SchU,0))),"")))</f>
        <v/>
      </c>
      <c r="AT92" s="27" t="n">
        <f aca="false">IF(ISNUMBER(AI92),AI92,IFERROR(INDEX(IF(CC_JobType="Decontamination",CC_TypeFillDC,CC_TypeFillCC),MATCH(E92,CC_TypeL,0)),1))</f>
        <v>1</v>
      </c>
      <c r="AU92" s="27" t="n">
        <v>3</v>
      </c>
    </row>
    <row r="93" customFormat="false" ht="15" hidden="false" customHeight="false" outlineLevel="0" collapsed="false">
      <c r="A93" s="36" t="n">
        <v>18</v>
      </c>
      <c r="B93" s="40"/>
      <c r="C93" s="32"/>
      <c r="D93" s="32"/>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1" t="str">
        <f aca="false">IF(E93="Exchanger",IF(AND(ISNUMBER(S93),ISNUMBER(U93),ISNUMBER(V93)),S93*PI()/4*(U93*INDEX(LenF,MATCH($U$7,LenU,0)))^2*V93*INDEX(LenF,MATCH($V$7,LenU,0)),0)+IF(ISNUMBER(Y93),PI()/4*(Y93*INDEX(LenF,MATCH($Y$7,LenU,0)))^2*N(Z93)*INDEX(LenF,MATCH($Z$7,LenU,0))+IF(AA93="",0,IF(AA93="Conical",PI()/12*(Y93*INDEX(LenF,MATCH($Y$7,LenU,0)))^2*(0),INDEX(HeadK,MATCH(AA93,HeadU,0))*(Y93*INDEX(LenF,MATCH($Y$7,LenU,0)))^3)),0)+IF(ISNUMBER(Y93),PI()/4*(Y93*INDEX(LenF,MATCH($Y$7,LenU,0)))^2*N(AB93)*INDEX(LenF,MATCH($AB$7,LenU,0))+IF(AC93="",0,IF(AC93="Conical",PI()/12*(Y93*INDEX(LenF,MATCH($Y$7,LenU,0)))^2*(0),INDEX(HeadK,MATCH(AC93,HeadU,0))*(Y93*INDEX(LenF,MATCH($Y$7,LenU,0)))^3)),0),"")</f>
        <v/>
      </c>
      <c r="AE93" s="41" t="str">
        <f aca="false">IF(OR(E93="",E93="Piping"),"",IF(E93="Exchanger",AQ93*AR93+IF(P93="",0,IF(P93="Conical",PI()/12*(SQRT(4*AQ93/PI()))^2*(0),INDEX(HeadK,MATCH(P93,HeadU,0))*(SQRT(4*AQ93/PI()))^3))-IF(AND(ISNUMBER(S93),ISNUMBER(V93)),S93*PI()/4*AP93^2*V93*INDEX(LenF,MATCH($V$7,LenU,0)),0),IF(ISNUMBER(N93),PI()/4*(N93*INDEX(LenF,MATCH($N$7,LenU,0)))^2*N(O93)*INDEX(LenF,MATCH($O$7,LenU,0))+IF(P93="",0,IF(P93="Conical",PI()/12*(N93*INDEX(LenF,MATCH($N$7,LenU,0)))^2*(N(R93)*INDEX(LenF,MATCH($R$7,LenU,0))),INDEX(HeadK,MATCH(P93,HeadU,0))*(N93*INDEX(LenF,MATCH($N$7,LenU,0)))^3))+IF(Q93="",0,IF(Q93="Conical",PI()/12*(N93*INDEX(LenF,MATCH($N$7,LenU,0)))^2*(N(R93)*INDEX(LenF,MATCH($R$7,LenU,0))),INDEX(HeadK,MATCH(Q93,HeadU,0))*(N93*INDEX(LenF,MATCH($N$7,LenU,0)))^3)),0)))</f>
        <v/>
      </c>
      <c r="AF93" s="41" t="str">
        <f aca="false">IF(E93&lt;&gt;"Piping","",IF(AND(ISNUMBER(AS93),ISNUMBER(M93)),PI()/4*(AS93/1000)^2*M93*INDEX(LenF,MATCH($M$7,LenU,0)),0))</f>
        <v/>
      </c>
      <c r="AG93" s="41" t="str">
        <f aca="false">IF(E93="","",N(AD93)+N(AE93)+N(AF93))</f>
        <v/>
      </c>
      <c r="AH93" s="41" t="str">
        <f aca="false">IF(ISNUMBER(I93),I93*INDEX(WtF,MATCH($I$7,WtU,0))/CC_WaterRho,"")</f>
        <v/>
      </c>
      <c r="AI93" s="31"/>
      <c r="AJ93" s="31"/>
      <c r="AK93" s="40"/>
      <c r="AL93" s="31"/>
      <c r="AM93" s="41" t="str">
        <f aca="false">IF(AO93="","",AO93*IF(ISNUMBER(AK93),AK93,CC_DefFills)*(1+IF(ISNUMBER(AL93),AL93,CC_DefAllow)))</f>
        <v/>
      </c>
      <c r="AN93" s="42" t="str">
        <f aca="false">IF(G93="Given volume",IF(ISNUMBER(H93),H93*INDEX(VolF,MATCH($H$7,VolU,0)),""),IF(G93="Water weight",AH93,IF(N(AG93)=0,"",AG93)))</f>
        <v/>
      </c>
      <c r="AO93" s="42" t="str">
        <f aca="false">IF(N(AN93)=0,"",AN93*AT93*IF(ISNUMBER(AJ93),AJ93,CC_DefCirc))</f>
        <v/>
      </c>
      <c r="AP93" s="27" t="n">
        <f aca="false">IF(ISNUMBER(T93),T93*INDEX(LenF,MATCH($T$7,LenU,0)),IF(ISNUMBER(W93),W93*INDEX(LenF,MATCH($W$7,LenU,0))/CC_PitchRatio,0))</f>
        <v>0</v>
      </c>
      <c r="AQ93" s="27" t="n">
        <f aca="false">IF(ISNUMBER(N93),PI()/4*(N93*INDEX(LenF,MATCH($N$7,LenU,0)))^2,IF(AND(ISNUMBER(S93),ISNUMBER(W93),X93&lt;&gt;""),S93*(W93*INDEX(LenF,MATCH($W$7,LenU,0)))^2*INDEX(LayoutF,MATCH(X93,LayoutU,0)),0))</f>
        <v>0</v>
      </c>
      <c r="AR93" s="27" t="n">
        <f aca="false">IF(ISNUMBER(O93),O93*INDEX(LenF,MATCH($O$7,LenU,0)),IF(ISNUMBER(V93),V93*INDEX(LenF,MATCH($V$7,LenU,0)),0))</f>
        <v>0</v>
      </c>
      <c r="AS93" s="27" t="str">
        <f aca="false">IF(ISNUMBER(L93),L93*INDEX(LenF,MATCH($L$7,LenU,0))*1000,IF(OR(J93="",K93=""),"",IFERROR(IF(INDEX(PipeWT,MATCH(J93,NPSU,0),MATCH(K93,SchU,0))="","Sch n/a",INDEX(PipeOD,MATCH(J93,NPSU,0))-2*INDEX(PipeWT,MATCH(J93,NPSU,0),MATCH(K93,SchU,0))),"")))</f>
        <v/>
      </c>
      <c r="AT93" s="27" t="n">
        <f aca="false">IF(ISNUMBER(AI93),AI93,IFERROR(INDEX(IF(CC_JobType="Decontamination",CC_TypeFillDC,CC_TypeFillCC),MATCH(E93,CC_TypeL,0)),1))</f>
        <v>1</v>
      </c>
      <c r="AU93" s="27" t="n">
        <v>3</v>
      </c>
    </row>
    <row r="94" customFormat="false" ht="15" hidden="false" customHeight="false" outlineLevel="0" collapsed="false">
      <c r="A94" s="36" t="n">
        <v>19</v>
      </c>
      <c r="B94" s="40"/>
      <c r="C94" s="32"/>
      <c r="D94" s="32"/>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1" t="str">
        <f aca="false">IF(E94="Exchanger",IF(AND(ISNUMBER(S94),ISNUMBER(U94),ISNUMBER(V94)),S94*PI()/4*(U94*INDEX(LenF,MATCH($U$7,LenU,0)))^2*V94*INDEX(LenF,MATCH($V$7,LenU,0)),0)+IF(ISNUMBER(Y94),PI()/4*(Y94*INDEX(LenF,MATCH($Y$7,LenU,0)))^2*N(Z94)*INDEX(LenF,MATCH($Z$7,LenU,0))+IF(AA94="",0,IF(AA94="Conical",PI()/12*(Y94*INDEX(LenF,MATCH($Y$7,LenU,0)))^2*(0),INDEX(HeadK,MATCH(AA94,HeadU,0))*(Y94*INDEX(LenF,MATCH($Y$7,LenU,0)))^3)),0)+IF(ISNUMBER(Y94),PI()/4*(Y94*INDEX(LenF,MATCH($Y$7,LenU,0)))^2*N(AB94)*INDEX(LenF,MATCH($AB$7,LenU,0))+IF(AC94="",0,IF(AC94="Conical",PI()/12*(Y94*INDEX(LenF,MATCH($Y$7,LenU,0)))^2*(0),INDEX(HeadK,MATCH(AC94,HeadU,0))*(Y94*INDEX(LenF,MATCH($Y$7,LenU,0)))^3)),0),"")</f>
        <v/>
      </c>
      <c r="AE94" s="41" t="str">
        <f aca="false">IF(OR(E94="",E94="Piping"),"",IF(E94="Exchanger",AQ94*AR94+IF(P94="",0,IF(P94="Conical",PI()/12*(SQRT(4*AQ94/PI()))^2*(0),INDEX(HeadK,MATCH(P94,HeadU,0))*(SQRT(4*AQ94/PI()))^3))-IF(AND(ISNUMBER(S94),ISNUMBER(V94)),S94*PI()/4*AP94^2*V94*INDEX(LenF,MATCH($V$7,LenU,0)),0),IF(ISNUMBER(N94),PI()/4*(N94*INDEX(LenF,MATCH($N$7,LenU,0)))^2*N(O94)*INDEX(LenF,MATCH($O$7,LenU,0))+IF(P94="",0,IF(P94="Conical",PI()/12*(N94*INDEX(LenF,MATCH($N$7,LenU,0)))^2*(N(R94)*INDEX(LenF,MATCH($R$7,LenU,0))),INDEX(HeadK,MATCH(P94,HeadU,0))*(N94*INDEX(LenF,MATCH($N$7,LenU,0)))^3))+IF(Q94="",0,IF(Q94="Conical",PI()/12*(N94*INDEX(LenF,MATCH($N$7,LenU,0)))^2*(N(R94)*INDEX(LenF,MATCH($R$7,LenU,0))),INDEX(HeadK,MATCH(Q94,HeadU,0))*(N94*INDEX(LenF,MATCH($N$7,LenU,0)))^3)),0)))</f>
        <v/>
      </c>
      <c r="AF94" s="41" t="str">
        <f aca="false">IF(E94&lt;&gt;"Piping","",IF(AND(ISNUMBER(AS94),ISNUMBER(M94)),PI()/4*(AS94/1000)^2*M94*INDEX(LenF,MATCH($M$7,LenU,0)),0))</f>
        <v/>
      </c>
      <c r="AG94" s="41" t="str">
        <f aca="false">IF(E94="","",N(AD94)+N(AE94)+N(AF94))</f>
        <v/>
      </c>
      <c r="AH94" s="41" t="str">
        <f aca="false">IF(ISNUMBER(I94),I94*INDEX(WtF,MATCH($I$7,WtU,0))/CC_WaterRho,"")</f>
        <v/>
      </c>
      <c r="AI94" s="31"/>
      <c r="AJ94" s="31"/>
      <c r="AK94" s="40"/>
      <c r="AL94" s="31"/>
      <c r="AM94" s="41" t="str">
        <f aca="false">IF(AO94="","",AO94*IF(ISNUMBER(AK94),AK94,CC_DefFills)*(1+IF(ISNUMBER(AL94),AL94,CC_DefAllow)))</f>
        <v/>
      </c>
      <c r="AN94" s="42" t="str">
        <f aca="false">IF(G94="Given volume",IF(ISNUMBER(H94),H94*INDEX(VolF,MATCH($H$7,VolU,0)),""),IF(G94="Water weight",AH94,IF(N(AG94)=0,"",AG94)))</f>
        <v/>
      </c>
      <c r="AO94" s="42" t="str">
        <f aca="false">IF(N(AN94)=0,"",AN94*AT94*IF(ISNUMBER(AJ94),AJ94,CC_DefCirc))</f>
        <v/>
      </c>
      <c r="AP94" s="27" t="n">
        <f aca="false">IF(ISNUMBER(T94),T94*INDEX(LenF,MATCH($T$7,LenU,0)),IF(ISNUMBER(W94),W94*INDEX(LenF,MATCH($W$7,LenU,0))/CC_PitchRatio,0))</f>
        <v>0</v>
      </c>
      <c r="AQ94" s="27" t="n">
        <f aca="false">IF(ISNUMBER(N94),PI()/4*(N94*INDEX(LenF,MATCH($N$7,LenU,0)))^2,IF(AND(ISNUMBER(S94),ISNUMBER(W94),X94&lt;&gt;""),S94*(W94*INDEX(LenF,MATCH($W$7,LenU,0)))^2*INDEX(LayoutF,MATCH(X94,LayoutU,0)),0))</f>
        <v>0</v>
      </c>
      <c r="AR94" s="27" t="n">
        <f aca="false">IF(ISNUMBER(O94),O94*INDEX(LenF,MATCH($O$7,LenU,0)),IF(ISNUMBER(V94),V94*INDEX(LenF,MATCH($V$7,LenU,0)),0))</f>
        <v>0</v>
      </c>
      <c r="AS94" s="27" t="str">
        <f aca="false">IF(ISNUMBER(L94),L94*INDEX(LenF,MATCH($L$7,LenU,0))*1000,IF(OR(J94="",K94=""),"",IFERROR(IF(INDEX(PipeWT,MATCH(J94,NPSU,0),MATCH(K94,SchU,0))="","Sch n/a",INDEX(PipeOD,MATCH(J94,NPSU,0))-2*INDEX(PipeWT,MATCH(J94,NPSU,0),MATCH(K94,SchU,0))),"")))</f>
        <v/>
      </c>
      <c r="AT94" s="27" t="n">
        <f aca="false">IF(ISNUMBER(AI94),AI94,IFERROR(INDEX(IF(CC_JobType="Decontamination",CC_TypeFillDC,CC_TypeFillCC),MATCH(E94,CC_TypeL,0)),1))</f>
        <v>1</v>
      </c>
      <c r="AU94" s="27" t="n">
        <v>3</v>
      </c>
    </row>
    <row r="95" customFormat="false" ht="15" hidden="false" customHeight="false" outlineLevel="0" collapsed="false">
      <c r="A95" s="36" t="n">
        <v>20</v>
      </c>
      <c r="B95" s="40"/>
      <c r="C95" s="32"/>
      <c r="D95" s="32"/>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1" t="str">
        <f aca="false">IF(E95="Exchanger",IF(AND(ISNUMBER(S95),ISNUMBER(U95),ISNUMBER(V95)),S95*PI()/4*(U95*INDEX(LenF,MATCH($U$7,LenU,0)))^2*V95*INDEX(LenF,MATCH($V$7,LenU,0)),0)+IF(ISNUMBER(Y95),PI()/4*(Y95*INDEX(LenF,MATCH($Y$7,LenU,0)))^2*N(Z95)*INDEX(LenF,MATCH($Z$7,LenU,0))+IF(AA95="",0,IF(AA95="Conical",PI()/12*(Y95*INDEX(LenF,MATCH($Y$7,LenU,0)))^2*(0),INDEX(HeadK,MATCH(AA95,HeadU,0))*(Y95*INDEX(LenF,MATCH($Y$7,LenU,0)))^3)),0)+IF(ISNUMBER(Y95),PI()/4*(Y95*INDEX(LenF,MATCH($Y$7,LenU,0)))^2*N(AB95)*INDEX(LenF,MATCH($AB$7,LenU,0))+IF(AC95="",0,IF(AC95="Conical",PI()/12*(Y95*INDEX(LenF,MATCH($Y$7,LenU,0)))^2*(0),INDEX(HeadK,MATCH(AC95,HeadU,0))*(Y95*INDEX(LenF,MATCH($Y$7,LenU,0)))^3)),0),"")</f>
        <v/>
      </c>
      <c r="AE95" s="41" t="str">
        <f aca="false">IF(OR(E95="",E95="Piping"),"",IF(E95="Exchanger",AQ95*AR95+IF(P95="",0,IF(P95="Conical",PI()/12*(SQRT(4*AQ95/PI()))^2*(0),INDEX(HeadK,MATCH(P95,HeadU,0))*(SQRT(4*AQ95/PI()))^3))-IF(AND(ISNUMBER(S95),ISNUMBER(V95)),S95*PI()/4*AP95^2*V95*INDEX(LenF,MATCH($V$7,LenU,0)),0),IF(ISNUMBER(N95),PI()/4*(N95*INDEX(LenF,MATCH($N$7,LenU,0)))^2*N(O95)*INDEX(LenF,MATCH($O$7,LenU,0))+IF(P95="",0,IF(P95="Conical",PI()/12*(N95*INDEX(LenF,MATCH($N$7,LenU,0)))^2*(N(R95)*INDEX(LenF,MATCH($R$7,LenU,0))),INDEX(HeadK,MATCH(P95,HeadU,0))*(N95*INDEX(LenF,MATCH($N$7,LenU,0)))^3))+IF(Q95="",0,IF(Q95="Conical",PI()/12*(N95*INDEX(LenF,MATCH($N$7,LenU,0)))^2*(N(R95)*INDEX(LenF,MATCH($R$7,LenU,0))),INDEX(HeadK,MATCH(Q95,HeadU,0))*(N95*INDEX(LenF,MATCH($N$7,LenU,0)))^3)),0)))</f>
        <v/>
      </c>
      <c r="AF95" s="41" t="str">
        <f aca="false">IF(E95&lt;&gt;"Piping","",IF(AND(ISNUMBER(AS95),ISNUMBER(M95)),PI()/4*(AS95/1000)^2*M95*INDEX(LenF,MATCH($M$7,LenU,0)),0))</f>
        <v/>
      </c>
      <c r="AG95" s="41" t="str">
        <f aca="false">IF(E95="","",N(AD95)+N(AE95)+N(AF95))</f>
        <v/>
      </c>
      <c r="AH95" s="41" t="str">
        <f aca="false">IF(ISNUMBER(I95),I95*INDEX(WtF,MATCH($I$7,WtU,0))/CC_WaterRho,"")</f>
        <v/>
      </c>
      <c r="AI95" s="31"/>
      <c r="AJ95" s="31"/>
      <c r="AK95" s="40"/>
      <c r="AL95" s="31"/>
      <c r="AM95" s="41" t="str">
        <f aca="false">IF(AO95="","",AO95*IF(ISNUMBER(AK95),AK95,CC_DefFills)*(1+IF(ISNUMBER(AL95),AL95,CC_DefAllow)))</f>
        <v/>
      </c>
      <c r="AN95" s="42" t="str">
        <f aca="false">IF(G95="Given volume",IF(ISNUMBER(H95),H95*INDEX(VolF,MATCH($H$7,VolU,0)),""),IF(G95="Water weight",AH95,IF(N(AG95)=0,"",AG95)))</f>
        <v/>
      </c>
      <c r="AO95" s="42" t="str">
        <f aca="false">IF(N(AN95)=0,"",AN95*AT95*IF(ISNUMBER(AJ95),AJ95,CC_DefCirc))</f>
        <v/>
      </c>
      <c r="AP95" s="27" t="n">
        <f aca="false">IF(ISNUMBER(T95),T95*INDEX(LenF,MATCH($T$7,LenU,0)),IF(ISNUMBER(W95),W95*INDEX(LenF,MATCH($W$7,LenU,0))/CC_PitchRatio,0))</f>
        <v>0</v>
      </c>
      <c r="AQ95" s="27" t="n">
        <f aca="false">IF(ISNUMBER(N95),PI()/4*(N95*INDEX(LenF,MATCH($N$7,LenU,0)))^2,IF(AND(ISNUMBER(S95),ISNUMBER(W95),X95&lt;&gt;""),S95*(W95*INDEX(LenF,MATCH($W$7,LenU,0)))^2*INDEX(LayoutF,MATCH(X95,LayoutU,0)),0))</f>
        <v>0</v>
      </c>
      <c r="AR95" s="27" t="n">
        <f aca="false">IF(ISNUMBER(O95),O95*INDEX(LenF,MATCH($O$7,LenU,0)),IF(ISNUMBER(V95),V95*INDEX(LenF,MATCH($V$7,LenU,0)),0))</f>
        <v>0</v>
      </c>
      <c r="AS95" s="27" t="str">
        <f aca="false">IF(ISNUMBER(L95),L95*INDEX(LenF,MATCH($L$7,LenU,0))*1000,IF(OR(J95="",K95=""),"",IFERROR(IF(INDEX(PipeWT,MATCH(J95,NPSU,0),MATCH(K95,SchU,0))="","Sch n/a",INDEX(PipeOD,MATCH(J95,NPSU,0))-2*INDEX(PipeWT,MATCH(J95,NPSU,0),MATCH(K95,SchU,0))),"")))</f>
        <v/>
      </c>
      <c r="AT95" s="27" t="n">
        <f aca="false">IF(ISNUMBER(AI95),AI95,IFERROR(INDEX(IF(CC_JobType="Decontamination",CC_TypeFillDC,CC_TypeFillCC),MATCH(E95,CC_TypeL,0)),1))</f>
        <v>1</v>
      </c>
      <c r="AU95" s="27" t="n">
        <v>3</v>
      </c>
    </row>
    <row r="96" customFormat="false" ht="15" hidden="false" customHeight="false" outlineLevel="0" collapsed="false">
      <c r="A96" s="36" t="n">
        <v>21</v>
      </c>
      <c r="B96" s="40"/>
      <c r="C96" s="32"/>
      <c r="D96" s="32"/>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1" t="str">
        <f aca="false">IF(E96="Exchanger",IF(AND(ISNUMBER(S96),ISNUMBER(U96),ISNUMBER(V96)),S96*PI()/4*(U96*INDEX(LenF,MATCH($U$7,LenU,0)))^2*V96*INDEX(LenF,MATCH($V$7,LenU,0)),0)+IF(ISNUMBER(Y96),PI()/4*(Y96*INDEX(LenF,MATCH($Y$7,LenU,0)))^2*N(Z96)*INDEX(LenF,MATCH($Z$7,LenU,0))+IF(AA96="",0,IF(AA96="Conical",PI()/12*(Y96*INDEX(LenF,MATCH($Y$7,LenU,0)))^2*(0),INDEX(HeadK,MATCH(AA96,HeadU,0))*(Y96*INDEX(LenF,MATCH($Y$7,LenU,0)))^3)),0)+IF(ISNUMBER(Y96),PI()/4*(Y96*INDEX(LenF,MATCH($Y$7,LenU,0)))^2*N(AB96)*INDEX(LenF,MATCH($AB$7,LenU,0))+IF(AC96="",0,IF(AC96="Conical",PI()/12*(Y96*INDEX(LenF,MATCH($Y$7,LenU,0)))^2*(0),INDEX(HeadK,MATCH(AC96,HeadU,0))*(Y96*INDEX(LenF,MATCH($Y$7,LenU,0)))^3)),0),"")</f>
        <v/>
      </c>
      <c r="AE96" s="41" t="str">
        <f aca="false">IF(OR(E96="",E96="Piping"),"",IF(E96="Exchanger",AQ96*AR96+IF(P96="",0,IF(P96="Conical",PI()/12*(SQRT(4*AQ96/PI()))^2*(0),INDEX(HeadK,MATCH(P96,HeadU,0))*(SQRT(4*AQ96/PI()))^3))-IF(AND(ISNUMBER(S96),ISNUMBER(V96)),S96*PI()/4*AP96^2*V96*INDEX(LenF,MATCH($V$7,LenU,0)),0),IF(ISNUMBER(N96),PI()/4*(N96*INDEX(LenF,MATCH($N$7,LenU,0)))^2*N(O96)*INDEX(LenF,MATCH($O$7,LenU,0))+IF(P96="",0,IF(P96="Conical",PI()/12*(N96*INDEX(LenF,MATCH($N$7,LenU,0)))^2*(N(R96)*INDEX(LenF,MATCH($R$7,LenU,0))),INDEX(HeadK,MATCH(P96,HeadU,0))*(N96*INDEX(LenF,MATCH($N$7,LenU,0)))^3))+IF(Q96="",0,IF(Q96="Conical",PI()/12*(N96*INDEX(LenF,MATCH($N$7,LenU,0)))^2*(N(R96)*INDEX(LenF,MATCH($R$7,LenU,0))),INDEX(HeadK,MATCH(Q96,HeadU,0))*(N96*INDEX(LenF,MATCH($N$7,LenU,0)))^3)),0)))</f>
        <v/>
      </c>
      <c r="AF96" s="41" t="str">
        <f aca="false">IF(E96&lt;&gt;"Piping","",IF(AND(ISNUMBER(AS96),ISNUMBER(M96)),PI()/4*(AS96/1000)^2*M96*INDEX(LenF,MATCH($M$7,LenU,0)),0))</f>
        <v/>
      </c>
      <c r="AG96" s="41" t="str">
        <f aca="false">IF(E96="","",N(AD96)+N(AE96)+N(AF96))</f>
        <v/>
      </c>
      <c r="AH96" s="41" t="str">
        <f aca="false">IF(ISNUMBER(I96),I96*INDEX(WtF,MATCH($I$7,WtU,0))/CC_WaterRho,"")</f>
        <v/>
      </c>
      <c r="AI96" s="31"/>
      <c r="AJ96" s="31"/>
      <c r="AK96" s="40"/>
      <c r="AL96" s="31"/>
      <c r="AM96" s="41" t="str">
        <f aca="false">IF(AO96="","",AO96*IF(ISNUMBER(AK96),AK96,CC_DefFills)*(1+IF(ISNUMBER(AL96),AL96,CC_DefAllow)))</f>
        <v/>
      </c>
      <c r="AN96" s="42" t="str">
        <f aca="false">IF(G96="Given volume",IF(ISNUMBER(H96),H96*INDEX(VolF,MATCH($H$7,VolU,0)),""),IF(G96="Water weight",AH96,IF(N(AG96)=0,"",AG96)))</f>
        <v/>
      </c>
      <c r="AO96" s="42" t="str">
        <f aca="false">IF(N(AN96)=0,"",AN96*AT96*IF(ISNUMBER(AJ96),AJ96,CC_DefCirc))</f>
        <v/>
      </c>
      <c r="AP96" s="27" t="n">
        <f aca="false">IF(ISNUMBER(T96),T96*INDEX(LenF,MATCH($T$7,LenU,0)),IF(ISNUMBER(W96),W96*INDEX(LenF,MATCH($W$7,LenU,0))/CC_PitchRatio,0))</f>
        <v>0</v>
      </c>
      <c r="AQ96" s="27" t="n">
        <f aca="false">IF(ISNUMBER(N96),PI()/4*(N96*INDEX(LenF,MATCH($N$7,LenU,0)))^2,IF(AND(ISNUMBER(S96),ISNUMBER(W96),X96&lt;&gt;""),S96*(W96*INDEX(LenF,MATCH($W$7,LenU,0)))^2*INDEX(LayoutF,MATCH(X96,LayoutU,0)),0))</f>
        <v>0</v>
      </c>
      <c r="AR96" s="27" t="n">
        <f aca="false">IF(ISNUMBER(O96),O96*INDEX(LenF,MATCH($O$7,LenU,0)),IF(ISNUMBER(V96),V96*INDEX(LenF,MATCH($V$7,LenU,0)),0))</f>
        <v>0</v>
      </c>
      <c r="AS96" s="27" t="str">
        <f aca="false">IF(ISNUMBER(L96),L96*INDEX(LenF,MATCH($L$7,LenU,0))*1000,IF(OR(J96="",K96=""),"",IFERROR(IF(INDEX(PipeWT,MATCH(J96,NPSU,0),MATCH(K96,SchU,0))="","Sch n/a",INDEX(PipeOD,MATCH(J96,NPSU,0))-2*INDEX(PipeWT,MATCH(J96,NPSU,0),MATCH(K96,SchU,0))),"")))</f>
        <v/>
      </c>
      <c r="AT96" s="27" t="n">
        <f aca="false">IF(ISNUMBER(AI96),AI96,IFERROR(INDEX(IF(CC_JobType="Decontamination",CC_TypeFillDC,CC_TypeFillCC),MATCH(E96,CC_TypeL,0)),1))</f>
        <v>1</v>
      </c>
      <c r="AU96" s="27" t="n">
        <v>3</v>
      </c>
    </row>
    <row r="97" customFormat="false" ht="15" hidden="false" customHeight="false" outlineLevel="0" collapsed="false">
      <c r="A97" s="36" t="n">
        <v>22</v>
      </c>
      <c r="B97" s="40"/>
      <c r="C97" s="32"/>
      <c r="D97" s="32"/>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1" t="str">
        <f aca="false">IF(E97="Exchanger",IF(AND(ISNUMBER(S97),ISNUMBER(U97),ISNUMBER(V97)),S97*PI()/4*(U97*INDEX(LenF,MATCH($U$7,LenU,0)))^2*V97*INDEX(LenF,MATCH($V$7,LenU,0)),0)+IF(ISNUMBER(Y97),PI()/4*(Y97*INDEX(LenF,MATCH($Y$7,LenU,0)))^2*N(Z97)*INDEX(LenF,MATCH($Z$7,LenU,0))+IF(AA97="",0,IF(AA97="Conical",PI()/12*(Y97*INDEX(LenF,MATCH($Y$7,LenU,0)))^2*(0),INDEX(HeadK,MATCH(AA97,HeadU,0))*(Y97*INDEX(LenF,MATCH($Y$7,LenU,0)))^3)),0)+IF(ISNUMBER(Y97),PI()/4*(Y97*INDEX(LenF,MATCH($Y$7,LenU,0)))^2*N(AB97)*INDEX(LenF,MATCH($AB$7,LenU,0))+IF(AC97="",0,IF(AC97="Conical",PI()/12*(Y97*INDEX(LenF,MATCH($Y$7,LenU,0)))^2*(0),INDEX(HeadK,MATCH(AC97,HeadU,0))*(Y97*INDEX(LenF,MATCH($Y$7,LenU,0)))^3)),0),"")</f>
        <v/>
      </c>
      <c r="AE97" s="41" t="str">
        <f aca="false">IF(OR(E97="",E97="Piping"),"",IF(E97="Exchanger",AQ97*AR97+IF(P97="",0,IF(P97="Conical",PI()/12*(SQRT(4*AQ97/PI()))^2*(0),INDEX(HeadK,MATCH(P97,HeadU,0))*(SQRT(4*AQ97/PI()))^3))-IF(AND(ISNUMBER(S97),ISNUMBER(V97)),S97*PI()/4*AP97^2*V97*INDEX(LenF,MATCH($V$7,LenU,0)),0),IF(ISNUMBER(N97),PI()/4*(N97*INDEX(LenF,MATCH($N$7,LenU,0)))^2*N(O97)*INDEX(LenF,MATCH($O$7,LenU,0))+IF(P97="",0,IF(P97="Conical",PI()/12*(N97*INDEX(LenF,MATCH($N$7,LenU,0)))^2*(N(R97)*INDEX(LenF,MATCH($R$7,LenU,0))),INDEX(HeadK,MATCH(P97,HeadU,0))*(N97*INDEX(LenF,MATCH($N$7,LenU,0)))^3))+IF(Q97="",0,IF(Q97="Conical",PI()/12*(N97*INDEX(LenF,MATCH($N$7,LenU,0)))^2*(N(R97)*INDEX(LenF,MATCH($R$7,LenU,0))),INDEX(HeadK,MATCH(Q97,HeadU,0))*(N97*INDEX(LenF,MATCH($N$7,LenU,0)))^3)),0)))</f>
        <v/>
      </c>
      <c r="AF97" s="41" t="str">
        <f aca="false">IF(E97&lt;&gt;"Piping","",IF(AND(ISNUMBER(AS97),ISNUMBER(M97)),PI()/4*(AS97/1000)^2*M97*INDEX(LenF,MATCH($M$7,LenU,0)),0))</f>
        <v/>
      </c>
      <c r="AG97" s="41" t="str">
        <f aca="false">IF(E97="","",N(AD97)+N(AE97)+N(AF97))</f>
        <v/>
      </c>
      <c r="AH97" s="41" t="str">
        <f aca="false">IF(ISNUMBER(I97),I97*INDEX(WtF,MATCH($I$7,WtU,0))/CC_WaterRho,"")</f>
        <v/>
      </c>
      <c r="AI97" s="31"/>
      <c r="AJ97" s="31"/>
      <c r="AK97" s="40"/>
      <c r="AL97" s="31"/>
      <c r="AM97" s="41" t="str">
        <f aca="false">IF(AO97="","",AO97*IF(ISNUMBER(AK97),AK97,CC_DefFills)*(1+IF(ISNUMBER(AL97),AL97,CC_DefAllow)))</f>
        <v/>
      </c>
      <c r="AN97" s="42" t="str">
        <f aca="false">IF(G97="Given volume",IF(ISNUMBER(H97),H97*INDEX(VolF,MATCH($H$7,VolU,0)),""),IF(G97="Water weight",AH97,IF(N(AG97)=0,"",AG97)))</f>
        <v/>
      </c>
      <c r="AO97" s="42" t="str">
        <f aca="false">IF(N(AN97)=0,"",AN97*AT97*IF(ISNUMBER(AJ97),AJ97,CC_DefCirc))</f>
        <v/>
      </c>
      <c r="AP97" s="27" t="n">
        <f aca="false">IF(ISNUMBER(T97),T97*INDEX(LenF,MATCH($T$7,LenU,0)),IF(ISNUMBER(W97),W97*INDEX(LenF,MATCH($W$7,LenU,0))/CC_PitchRatio,0))</f>
        <v>0</v>
      </c>
      <c r="AQ97" s="27" t="n">
        <f aca="false">IF(ISNUMBER(N97),PI()/4*(N97*INDEX(LenF,MATCH($N$7,LenU,0)))^2,IF(AND(ISNUMBER(S97),ISNUMBER(W97),X97&lt;&gt;""),S97*(W97*INDEX(LenF,MATCH($W$7,LenU,0)))^2*INDEX(LayoutF,MATCH(X97,LayoutU,0)),0))</f>
        <v>0</v>
      </c>
      <c r="AR97" s="27" t="n">
        <f aca="false">IF(ISNUMBER(O97),O97*INDEX(LenF,MATCH($O$7,LenU,0)),IF(ISNUMBER(V97),V97*INDEX(LenF,MATCH($V$7,LenU,0)),0))</f>
        <v>0</v>
      </c>
      <c r="AS97" s="27" t="str">
        <f aca="false">IF(ISNUMBER(L97),L97*INDEX(LenF,MATCH($L$7,LenU,0))*1000,IF(OR(J97="",K97=""),"",IFERROR(IF(INDEX(PipeWT,MATCH(J97,NPSU,0),MATCH(K97,SchU,0))="","Sch n/a",INDEX(PipeOD,MATCH(J97,NPSU,0))-2*INDEX(PipeWT,MATCH(J97,NPSU,0),MATCH(K97,SchU,0))),"")))</f>
        <v/>
      </c>
      <c r="AT97" s="27" t="n">
        <f aca="false">IF(ISNUMBER(AI97),AI97,IFERROR(INDEX(IF(CC_JobType="Decontamination",CC_TypeFillDC,CC_TypeFillCC),MATCH(E97,CC_TypeL,0)),1))</f>
        <v>1</v>
      </c>
      <c r="AU97" s="27" t="n">
        <v>3</v>
      </c>
    </row>
    <row r="98" customFormat="false" ht="15" hidden="false" customHeight="false" outlineLevel="0" collapsed="false">
      <c r="A98" s="36" t="n">
        <v>23</v>
      </c>
      <c r="B98" s="40"/>
      <c r="C98" s="32"/>
      <c r="D98" s="32"/>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1" t="str">
        <f aca="false">IF(E98="Exchanger",IF(AND(ISNUMBER(S98),ISNUMBER(U98),ISNUMBER(V98)),S98*PI()/4*(U98*INDEX(LenF,MATCH($U$7,LenU,0)))^2*V98*INDEX(LenF,MATCH($V$7,LenU,0)),0)+IF(ISNUMBER(Y98),PI()/4*(Y98*INDEX(LenF,MATCH($Y$7,LenU,0)))^2*N(Z98)*INDEX(LenF,MATCH($Z$7,LenU,0))+IF(AA98="",0,IF(AA98="Conical",PI()/12*(Y98*INDEX(LenF,MATCH($Y$7,LenU,0)))^2*(0),INDEX(HeadK,MATCH(AA98,HeadU,0))*(Y98*INDEX(LenF,MATCH($Y$7,LenU,0)))^3)),0)+IF(ISNUMBER(Y98),PI()/4*(Y98*INDEX(LenF,MATCH($Y$7,LenU,0)))^2*N(AB98)*INDEX(LenF,MATCH($AB$7,LenU,0))+IF(AC98="",0,IF(AC98="Conical",PI()/12*(Y98*INDEX(LenF,MATCH($Y$7,LenU,0)))^2*(0),INDEX(HeadK,MATCH(AC98,HeadU,0))*(Y98*INDEX(LenF,MATCH($Y$7,LenU,0)))^3)),0),"")</f>
        <v/>
      </c>
      <c r="AE98" s="41" t="str">
        <f aca="false">IF(OR(E98="",E98="Piping"),"",IF(E98="Exchanger",AQ98*AR98+IF(P98="",0,IF(P98="Conical",PI()/12*(SQRT(4*AQ98/PI()))^2*(0),INDEX(HeadK,MATCH(P98,HeadU,0))*(SQRT(4*AQ98/PI()))^3))-IF(AND(ISNUMBER(S98),ISNUMBER(V98)),S98*PI()/4*AP98^2*V98*INDEX(LenF,MATCH($V$7,LenU,0)),0),IF(ISNUMBER(N98),PI()/4*(N98*INDEX(LenF,MATCH($N$7,LenU,0)))^2*N(O98)*INDEX(LenF,MATCH($O$7,LenU,0))+IF(P98="",0,IF(P98="Conical",PI()/12*(N98*INDEX(LenF,MATCH($N$7,LenU,0)))^2*(N(R98)*INDEX(LenF,MATCH($R$7,LenU,0))),INDEX(HeadK,MATCH(P98,HeadU,0))*(N98*INDEX(LenF,MATCH($N$7,LenU,0)))^3))+IF(Q98="",0,IF(Q98="Conical",PI()/12*(N98*INDEX(LenF,MATCH($N$7,LenU,0)))^2*(N(R98)*INDEX(LenF,MATCH($R$7,LenU,0))),INDEX(HeadK,MATCH(Q98,HeadU,0))*(N98*INDEX(LenF,MATCH($N$7,LenU,0)))^3)),0)))</f>
        <v/>
      </c>
      <c r="AF98" s="41" t="str">
        <f aca="false">IF(E98&lt;&gt;"Piping","",IF(AND(ISNUMBER(AS98),ISNUMBER(M98)),PI()/4*(AS98/1000)^2*M98*INDEX(LenF,MATCH($M$7,LenU,0)),0))</f>
        <v/>
      </c>
      <c r="AG98" s="41" t="str">
        <f aca="false">IF(E98="","",N(AD98)+N(AE98)+N(AF98))</f>
        <v/>
      </c>
      <c r="AH98" s="41" t="str">
        <f aca="false">IF(ISNUMBER(I98),I98*INDEX(WtF,MATCH($I$7,WtU,0))/CC_WaterRho,"")</f>
        <v/>
      </c>
      <c r="AI98" s="31"/>
      <c r="AJ98" s="31"/>
      <c r="AK98" s="40"/>
      <c r="AL98" s="31"/>
      <c r="AM98" s="41" t="str">
        <f aca="false">IF(AO98="","",AO98*IF(ISNUMBER(AK98),AK98,CC_DefFills)*(1+IF(ISNUMBER(AL98),AL98,CC_DefAllow)))</f>
        <v/>
      </c>
      <c r="AN98" s="42" t="str">
        <f aca="false">IF(G98="Given volume",IF(ISNUMBER(H98),H98*INDEX(VolF,MATCH($H$7,VolU,0)),""),IF(G98="Water weight",AH98,IF(N(AG98)=0,"",AG98)))</f>
        <v/>
      </c>
      <c r="AO98" s="42" t="str">
        <f aca="false">IF(N(AN98)=0,"",AN98*AT98*IF(ISNUMBER(AJ98),AJ98,CC_DefCirc))</f>
        <v/>
      </c>
      <c r="AP98" s="27" t="n">
        <f aca="false">IF(ISNUMBER(T98),T98*INDEX(LenF,MATCH($T$7,LenU,0)),IF(ISNUMBER(W98),W98*INDEX(LenF,MATCH($W$7,LenU,0))/CC_PitchRatio,0))</f>
        <v>0</v>
      </c>
      <c r="AQ98" s="27" t="n">
        <f aca="false">IF(ISNUMBER(N98),PI()/4*(N98*INDEX(LenF,MATCH($N$7,LenU,0)))^2,IF(AND(ISNUMBER(S98),ISNUMBER(W98),X98&lt;&gt;""),S98*(W98*INDEX(LenF,MATCH($W$7,LenU,0)))^2*INDEX(LayoutF,MATCH(X98,LayoutU,0)),0))</f>
        <v>0</v>
      </c>
      <c r="AR98" s="27" t="n">
        <f aca="false">IF(ISNUMBER(O98),O98*INDEX(LenF,MATCH($O$7,LenU,0)),IF(ISNUMBER(V98),V98*INDEX(LenF,MATCH($V$7,LenU,0)),0))</f>
        <v>0</v>
      </c>
      <c r="AS98" s="27" t="str">
        <f aca="false">IF(ISNUMBER(L98),L98*INDEX(LenF,MATCH($L$7,LenU,0))*1000,IF(OR(J98="",K98=""),"",IFERROR(IF(INDEX(PipeWT,MATCH(J98,NPSU,0),MATCH(K98,SchU,0))="","Sch n/a",INDEX(PipeOD,MATCH(J98,NPSU,0))-2*INDEX(PipeWT,MATCH(J98,NPSU,0),MATCH(K98,SchU,0))),"")))</f>
        <v/>
      </c>
      <c r="AT98" s="27" t="n">
        <f aca="false">IF(ISNUMBER(AI98),AI98,IFERROR(INDEX(IF(CC_JobType="Decontamination",CC_TypeFillDC,CC_TypeFillCC),MATCH(E98,CC_TypeL,0)),1))</f>
        <v>1</v>
      </c>
      <c r="AU98" s="27" t="n">
        <v>3</v>
      </c>
    </row>
    <row r="99" customFormat="false" ht="15" hidden="false" customHeight="false" outlineLevel="0" collapsed="false">
      <c r="A99" s="36" t="n">
        <v>24</v>
      </c>
      <c r="B99" s="40"/>
      <c r="C99" s="32"/>
      <c r="D99" s="32"/>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1" t="str">
        <f aca="false">IF(E99="Exchanger",IF(AND(ISNUMBER(S99),ISNUMBER(U99),ISNUMBER(V99)),S99*PI()/4*(U99*INDEX(LenF,MATCH($U$7,LenU,0)))^2*V99*INDEX(LenF,MATCH($V$7,LenU,0)),0)+IF(ISNUMBER(Y99),PI()/4*(Y99*INDEX(LenF,MATCH($Y$7,LenU,0)))^2*N(Z99)*INDEX(LenF,MATCH($Z$7,LenU,0))+IF(AA99="",0,IF(AA99="Conical",PI()/12*(Y99*INDEX(LenF,MATCH($Y$7,LenU,0)))^2*(0),INDEX(HeadK,MATCH(AA99,HeadU,0))*(Y99*INDEX(LenF,MATCH($Y$7,LenU,0)))^3)),0)+IF(ISNUMBER(Y99),PI()/4*(Y99*INDEX(LenF,MATCH($Y$7,LenU,0)))^2*N(AB99)*INDEX(LenF,MATCH($AB$7,LenU,0))+IF(AC99="",0,IF(AC99="Conical",PI()/12*(Y99*INDEX(LenF,MATCH($Y$7,LenU,0)))^2*(0),INDEX(HeadK,MATCH(AC99,HeadU,0))*(Y99*INDEX(LenF,MATCH($Y$7,LenU,0)))^3)),0),"")</f>
        <v/>
      </c>
      <c r="AE99" s="41" t="str">
        <f aca="false">IF(OR(E99="",E99="Piping"),"",IF(E99="Exchanger",AQ99*AR99+IF(P99="",0,IF(P99="Conical",PI()/12*(SQRT(4*AQ99/PI()))^2*(0),INDEX(HeadK,MATCH(P99,HeadU,0))*(SQRT(4*AQ99/PI()))^3))-IF(AND(ISNUMBER(S99),ISNUMBER(V99)),S99*PI()/4*AP99^2*V99*INDEX(LenF,MATCH($V$7,LenU,0)),0),IF(ISNUMBER(N99),PI()/4*(N99*INDEX(LenF,MATCH($N$7,LenU,0)))^2*N(O99)*INDEX(LenF,MATCH($O$7,LenU,0))+IF(P99="",0,IF(P99="Conical",PI()/12*(N99*INDEX(LenF,MATCH($N$7,LenU,0)))^2*(N(R99)*INDEX(LenF,MATCH($R$7,LenU,0))),INDEX(HeadK,MATCH(P99,HeadU,0))*(N99*INDEX(LenF,MATCH($N$7,LenU,0)))^3))+IF(Q99="",0,IF(Q99="Conical",PI()/12*(N99*INDEX(LenF,MATCH($N$7,LenU,0)))^2*(N(R99)*INDEX(LenF,MATCH($R$7,LenU,0))),INDEX(HeadK,MATCH(Q99,HeadU,0))*(N99*INDEX(LenF,MATCH($N$7,LenU,0)))^3)),0)))</f>
        <v/>
      </c>
      <c r="AF99" s="41" t="str">
        <f aca="false">IF(E99&lt;&gt;"Piping","",IF(AND(ISNUMBER(AS99),ISNUMBER(M99)),PI()/4*(AS99/1000)^2*M99*INDEX(LenF,MATCH($M$7,LenU,0)),0))</f>
        <v/>
      </c>
      <c r="AG99" s="41" t="str">
        <f aca="false">IF(E99="","",N(AD99)+N(AE99)+N(AF99))</f>
        <v/>
      </c>
      <c r="AH99" s="41" t="str">
        <f aca="false">IF(ISNUMBER(I99),I99*INDEX(WtF,MATCH($I$7,WtU,0))/CC_WaterRho,"")</f>
        <v/>
      </c>
      <c r="AI99" s="31"/>
      <c r="AJ99" s="31"/>
      <c r="AK99" s="40"/>
      <c r="AL99" s="31"/>
      <c r="AM99" s="41" t="str">
        <f aca="false">IF(AO99="","",AO99*IF(ISNUMBER(AK99),AK99,CC_DefFills)*(1+IF(ISNUMBER(AL99),AL99,CC_DefAllow)))</f>
        <v/>
      </c>
      <c r="AN99" s="42" t="str">
        <f aca="false">IF(G99="Given volume",IF(ISNUMBER(H99),H99*INDEX(VolF,MATCH($H$7,VolU,0)),""),IF(G99="Water weight",AH99,IF(N(AG99)=0,"",AG99)))</f>
        <v/>
      </c>
      <c r="AO99" s="42" t="str">
        <f aca="false">IF(N(AN99)=0,"",AN99*AT99*IF(ISNUMBER(AJ99),AJ99,CC_DefCirc))</f>
        <v/>
      </c>
      <c r="AP99" s="27" t="n">
        <f aca="false">IF(ISNUMBER(T99),T99*INDEX(LenF,MATCH($T$7,LenU,0)),IF(ISNUMBER(W99),W99*INDEX(LenF,MATCH($W$7,LenU,0))/CC_PitchRatio,0))</f>
        <v>0</v>
      </c>
      <c r="AQ99" s="27" t="n">
        <f aca="false">IF(ISNUMBER(N99),PI()/4*(N99*INDEX(LenF,MATCH($N$7,LenU,0)))^2,IF(AND(ISNUMBER(S99),ISNUMBER(W99),X99&lt;&gt;""),S99*(W99*INDEX(LenF,MATCH($W$7,LenU,0)))^2*INDEX(LayoutF,MATCH(X99,LayoutU,0)),0))</f>
        <v>0</v>
      </c>
      <c r="AR99" s="27" t="n">
        <f aca="false">IF(ISNUMBER(O99),O99*INDEX(LenF,MATCH($O$7,LenU,0)),IF(ISNUMBER(V99),V99*INDEX(LenF,MATCH($V$7,LenU,0)),0))</f>
        <v>0</v>
      </c>
      <c r="AS99" s="27" t="str">
        <f aca="false">IF(ISNUMBER(L99),L99*INDEX(LenF,MATCH($L$7,LenU,0))*1000,IF(OR(J99="",K99=""),"",IFERROR(IF(INDEX(PipeWT,MATCH(J99,NPSU,0),MATCH(K99,SchU,0))="","Sch n/a",INDEX(PipeOD,MATCH(J99,NPSU,0))-2*INDEX(PipeWT,MATCH(J99,NPSU,0),MATCH(K99,SchU,0))),"")))</f>
        <v/>
      </c>
      <c r="AT99" s="27" t="n">
        <f aca="false">IF(ISNUMBER(AI99),AI99,IFERROR(INDEX(IF(CC_JobType="Decontamination",CC_TypeFillDC,CC_TypeFillCC),MATCH(E99,CC_TypeL,0)),1))</f>
        <v>1</v>
      </c>
      <c r="AU99" s="27" t="n">
        <v>3</v>
      </c>
    </row>
    <row r="100" customFormat="false" ht="15" hidden="false" customHeight="false" outlineLevel="0" collapsed="false">
      <c r="A100" s="36" t="n">
        <v>25</v>
      </c>
      <c r="B100" s="40"/>
      <c r="C100" s="32"/>
      <c r="D100" s="32"/>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1" t="str">
        <f aca="false">IF(E100="Exchanger",IF(AND(ISNUMBER(S100),ISNUMBER(U100),ISNUMBER(V100)),S100*PI()/4*(U100*INDEX(LenF,MATCH($U$7,LenU,0)))^2*V100*INDEX(LenF,MATCH($V$7,LenU,0)),0)+IF(ISNUMBER(Y100),PI()/4*(Y100*INDEX(LenF,MATCH($Y$7,LenU,0)))^2*N(Z100)*INDEX(LenF,MATCH($Z$7,LenU,0))+IF(AA100="",0,IF(AA100="Conical",PI()/12*(Y100*INDEX(LenF,MATCH($Y$7,LenU,0)))^2*(0),INDEX(HeadK,MATCH(AA100,HeadU,0))*(Y100*INDEX(LenF,MATCH($Y$7,LenU,0)))^3)),0)+IF(ISNUMBER(Y100),PI()/4*(Y100*INDEX(LenF,MATCH($Y$7,LenU,0)))^2*N(AB100)*INDEX(LenF,MATCH($AB$7,LenU,0))+IF(AC100="",0,IF(AC100="Conical",PI()/12*(Y100*INDEX(LenF,MATCH($Y$7,LenU,0)))^2*(0),INDEX(HeadK,MATCH(AC100,HeadU,0))*(Y100*INDEX(LenF,MATCH($Y$7,LenU,0)))^3)),0),"")</f>
        <v/>
      </c>
      <c r="AE100" s="41" t="str">
        <f aca="false">IF(OR(E100="",E100="Piping"),"",IF(E100="Exchanger",AQ100*AR100+IF(P100="",0,IF(P100="Conical",PI()/12*(SQRT(4*AQ100/PI()))^2*(0),INDEX(HeadK,MATCH(P100,HeadU,0))*(SQRT(4*AQ100/PI()))^3))-IF(AND(ISNUMBER(S100),ISNUMBER(V100)),S100*PI()/4*AP100^2*V100*INDEX(LenF,MATCH($V$7,LenU,0)),0),IF(ISNUMBER(N100),PI()/4*(N100*INDEX(LenF,MATCH($N$7,LenU,0)))^2*N(O100)*INDEX(LenF,MATCH($O$7,LenU,0))+IF(P100="",0,IF(P100="Conical",PI()/12*(N100*INDEX(LenF,MATCH($N$7,LenU,0)))^2*(N(R100)*INDEX(LenF,MATCH($R$7,LenU,0))),INDEX(HeadK,MATCH(P100,HeadU,0))*(N100*INDEX(LenF,MATCH($N$7,LenU,0)))^3))+IF(Q100="",0,IF(Q100="Conical",PI()/12*(N100*INDEX(LenF,MATCH($N$7,LenU,0)))^2*(N(R100)*INDEX(LenF,MATCH($R$7,LenU,0))),INDEX(HeadK,MATCH(Q100,HeadU,0))*(N100*INDEX(LenF,MATCH($N$7,LenU,0)))^3)),0)))</f>
        <v/>
      </c>
      <c r="AF100" s="41" t="str">
        <f aca="false">IF(E100&lt;&gt;"Piping","",IF(AND(ISNUMBER(AS100),ISNUMBER(M100)),PI()/4*(AS100/1000)^2*M100*INDEX(LenF,MATCH($M$7,LenU,0)),0))</f>
        <v/>
      </c>
      <c r="AG100" s="41" t="str">
        <f aca="false">IF(E100="","",N(AD100)+N(AE100)+N(AF100))</f>
        <v/>
      </c>
      <c r="AH100" s="41" t="str">
        <f aca="false">IF(ISNUMBER(I100),I100*INDEX(WtF,MATCH($I$7,WtU,0))/CC_WaterRho,"")</f>
        <v/>
      </c>
      <c r="AI100" s="31"/>
      <c r="AJ100" s="31"/>
      <c r="AK100" s="40"/>
      <c r="AL100" s="31"/>
      <c r="AM100" s="41" t="str">
        <f aca="false">IF(AO100="","",AO100*IF(ISNUMBER(AK100),AK100,CC_DefFills)*(1+IF(ISNUMBER(AL100),AL100,CC_DefAllow)))</f>
        <v/>
      </c>
      <c r="AN100" s="42" t="str">
        <f aca="false">IF(G100="Given volume",IF(ISNUMBER(H100),H100*INDEX(VolF,MATCH($H$7,VolU,0)),""),IF(G100="Water weight",AH100,IF(N(AG100)=0,"",AG100)))</f>
        <v/>
      </c>
      <c r="AO100" s="42" t="str">
        <f aca="false">IF(N(AN100)=0,"",AN100*AT100*IF(ISNUMBER(AJ100),AJ100,CC_DefCirc))</f>
        <v/>
      </c>
      <c r="AP100" s="27" t="n">
        <f aca="false">IF(ISNUMBER(T100),T100*INDEX(LenF,MATCH($T$7,LenU,0)),IF(ISNUMBER(W100),W100*INDEX(LenF,MATCH($W$7,LenU,0))/CC_PitchRatio,0))</f>
        <v>0</v>
      </c>
      <c r="AQ100" s="27" t="n">
        <f aca="false">IF(ISNUMBER(N100),PI()/4*(N100*INDEX(LenF,MATCH($N$7,LenU,0)))^2,IF(AND(ISNUMBER(S100),ISNUMBER(W100),X100&lt;&gt;""),S100*(W100*INDEX(LenF,MATCH($W$7,LenU,0)))^2*INDEX(LayoutF,MATCH(X100,LayoutU,0)),0))</f>
        <v>0</v>
      </c>
      <c r="AR100" s="27" t="n">
        <f aca="false">IF(ISNUMBER(O100),O100*INDEX(LenF,MATCH($O$7,LenU,0)),IF(ISNUMBER(V100),V100*INDEX(LenF,MATCH($V$7,LenU,0)),0))</f>
        <v>0</v>
      </c>
      <c r="AS100" s="27" t="str">
        <f aca="false">IF(ISNUMBER(L100),L100*INDEX(LenF,MATCH($L$7,LenU,0))*1000,IF(OR(J100="",K100=""),"",IFERROR(IF(INDEX(PipeWT,MATCH(J100,NPSU,0),MATCH(K100,SchU,0))="","Sch n/a",INDEX(PipeOD,MATCH(J100,NPSU,0))-2*INDEX(PipeWT,MATCH(J100,NPSU,0),MATCH(K100,SchU,0))),"")))</f>
        <v/>
      </c>
      <c r="AT100" s="27" t="n">
        <f aca="false">IF(ISNUMBER(AI100),AI100,IFERROR(INDEX(IF(CC_JobType="Decontamination",CC_TypeFillDC,CC_TypeFillCC),MATCH(E100,CC_TypeL,0)),1))</f>
        <v>1</v>
      </c>
      <c r="AU100" s="27" t="n">
        <v>3</v>
      </c>
    </row>
    <row r="101" customFormat="false" ht="15" hidden="false" customHeight="false" outlineLevel="0" collapsed="false">
      <c r="A101" s="36" t="n">
        <v>26</v>
      </c>
      <c r="B101" s="40"/>
      <c r="C101" s="32"/>
      <c r="D101" s="32"/>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1" t="str">
        <f aca="false">IF(E101="Exchanger",IF(AND(ISNUMBER(S101),ISNUMBER(U101),ISNUMBER(V101)),S101*PI()/4*(U101*INDEX(LenF,MATCH($U$7,LenU,0)))^2*V101*INDEX(LenF,MATCH($V$7,LenU,0)),0)+IF(ISNUMBER(Y101),PI()/4*(Y101*INDEX(LenF,MATCH($Y$7,LenU,0)))^2*N(Z101)*INDEX(LenF,MATCH($Z$7,LenU,0))+IF(AA101="",0,IF(AA101="Conical",PI()/12*(Y101*INDEX(LenF,MATCH($Y$7,LenU,0)))^2*(0),INDEX(HeadK,MATCH(AA101,HeadU,0))*(Y101*INDEX(LenF,MATCH($Y$7,LenU,0)))^3)),0)+IF(ISNUMBER(Y101),PI()/4*(Y101*INDEX(LenF,MATCH($Y$7,LenU,0)))^2*N(AB101)*INDEX(LenF,MATCH($AB$7,LenU,0))+IF(AC101="",0,IF(AC101="Conical",PI()/12*(Y101*INDEX(LenF,MATCH($Y$7,LenU,0)))^2*(0),INDEX(HeadK,MATCH(AC101,HeadU,0))*(Y101*INDEX(LenF,MATCH($Y$7,LenU,0)))^3)),0),"")</f>
        <v/>
      </c>
      <c r="AE101" s="41" t="str">
        <f aca="false">IF(OR(E101="",E101="Piping"),"",IF(E101="Exchanger",AQ101*AR101+IF(P101="",0,IF(P101="Conical",PI()/12*(SQRT(4*AQ101/PI()))^2*(0),INDEX(HeadK,MATCH(P101,HeadU,0))*(SQRT(4*AQ101/PI()))^3))-IF(AND(ISNUMBER(S101),ISNUMBER(V101)),S101*PI()/4*AP101^2*V101*INDEX(LenF,MATCH($V$7,LenU,0)),0),IF(ISNUMBER(N101),PI()/4*(N101*INDEX(LenF,MATCH($N$7,LenU,0)))^2*N(O101)*INDEX(LenF,MATCH($O$7,LenU,0))+IF(P101="",0,IF(P101="Conical",PI()/12*(N101*INDEX(LenF,MATCH($N$7,LenU,0)))^2*(N(R101)*INDEX(LenF,MATCH($R$7,LenU,0))),INDEX(HeadK,MATCH(P101,HeadU,0))*(N101*INDEX(LenF,MATCH($N$7,LenU,0)))^3))+IF(Q101="",0,IF(Q101="Conical",PI()/12*(N101*INDEX(LenF,MATCH($N$7,LenU,0)))^2*(N(R101)*INDEX(LenF,MATCH($R$7,LenU,0))),INDEX(HeadK,MATCH(Q101,HeadU,0))*(N101*INDEX(LenF,MATCH($N$7,LenU,0)))^3)),0)))</f>
        <v/>
      </c>
      <c r="AF101" s="41" t="str">
        <f aca="false">IF(E101&lt;&gt;"Piping","",IF(AND(ISNUMBER(AS101),ISNUMBER(M101)),PI()/4*(AS101/1000)^2*M101*INDEX(LenF,MATCH($M$7,LenU,0)),0))</f>
        <v/>
      </c>
      <c r="AG101" s="41" t="str">
        <f aca="false">IF(E101="","",N(AD101)+N(AE101)+N(AF101))</f>
        <v/>
      </c>
      <c r="AH101" s="41" t="str">
        <f aca="false">IF(ISNUMBER(I101),I101*INDEX(WtF,MATCH($I$7,WtU,0))/CC_WaterRho,"")</f>
        <v/>
      </c>
      <c r="AI101" s="31"/>
      <c r="AJ101" s="31"/>
      <c r="AK101" s="40"/>
      <c r="AL101" s="31"/>
      <c r="AM101" s="41" t="str">
        <f aca="false">IF(AO101="","",AO101*IF(ISNUMBER(AK101),AK101,CC_DefFills)*(1+IF(ISNUMBER(AL101),AL101,CC_DefAllow)))</f>
        <v/>
      </c>
      <c r="AN101" s="42" t="str">
        <f aca="false">IF(G101="Given volume",IF(ISNUMBER(H101),H101*INDEX(VolF,MATCH($H$7,VolU,0)),""),IF(G101="Water weight",AH101,IF(N(AG101)=0,"",AG101)))</f>
        <v/>
      </c>
      <c r="AO101" s="42" t="str">
        <f aca="false">IF(N(AN101)=0,"",AN101*AT101*IF(ISNUMBER(AJ101),AJ101,CC_DefCirc))</f>
        <v/>
      </c>
      <c r="AP101" s="27" t="n">
        <f aca="false">IF(ISNUMBER(T101),T101*INDEX(LenF,MATCH($T$7,LenU,0)),IF(ISNUMBER(W101),W101*INDEX(LenF,MATCH($W$7,LenU,0))/CC_PitchRatio,0))</f>
        <v>0</v>
      </c>
      <c r="AQ101" s="27" t="n">
        <f aca="false">IF(ISNUMBER(N101),PI()/4*(N101*INDEX(LenF,MATCH($N$7,LenU,0)))^2,IF(AND(ISNUMBER(S101),ISNUMBER(W101),X101&lt;&gt;""),S101*(W101*INDEX(LenF,MATCH($W$7,LenU,0)))^2*INDEX(LayoutF,MATCH(X101,LayoutU,0)),0))</f>
        <v>0</v>
      </c>
      <c r="AR101" s="27" t="n">
        <f aca="false">IF(ISNUMBER(O101),O101*INDEX(LenF,MATCH($O$7,LenU,0)),IF(ISNUMBER(V101),V101*INDEX(LenF,MATCH($V$7,LenU,0)),0))</f>
        <v>0</v>
      </c>
      <c r="AS101" s="27" t="str">
        <f aca="false">IF(ISNUMBER(L101),L101*INDEX(LenF,MATCH($L$7,LenU,0))*1000,IF(OR(J101="",K101=""),"",IFERROR(IF(INDEX(PipeWT,MATCH(J101,NPSU,0),MATCH(K101,SchU,0))="","Sch n/a",INDEX(PipeOD,MATCH(J101,NPSU,0))-2*INDEX(PipeWT,MATCH(J101,NPSU,0),MATCH(K101,SchU,0))),"")))</f>
        <v/>
      </c>
      <c r="AT101" s="27" t="n">
        <f aca="false">IF(ISNUMBER(AI101),AI101,IFERROR(INDEX(IF(CC_JobType="Decontamination",CC_TypeFillDC,CC_TypeFillCC),MATCH(E101,CC_TypeL,0)),1))</f>
        <v>1</v>
      </c>
      <c r="AU101" s="27" t="n">
        <v>3</v>
      </c>
    </row>
    <row r="102" customFormat="false" ht="15" hidden="false" customHeight="false" outlineLevel="0" collapsed="false">
      <c r="A102" s="36" t="n">
        <v>27</v>
      </c>
      <c r="B102" s="40"/>
      <c r="C102" s="32"/>
      <c r="D102" s="32"/>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1" t="str">
        <f aca="false">IF(E102="Exchanger",IF(AND(ISNUMBER(S102),ISNUMBER(U102),ISNUMBER(V102)),S102*PI()/4*(U102*INDEX(LenF,MATCH($U$7,LenU,0)))^2*V102*INDEX(LenF,MATCH($V$7,LenU,0)),0)+IF(ISNUMBER(Y102),PI()/4*(Y102*INDEX(LenF,MATCH($Y$7,LenU,0)))^2*N(Z102)*INDEX(LenF,MATCH($Z$7,LenU,0))+IF(AA102="",0,IF(AA102="Conical",PI()/12*(Y102*INDEX(LenF,MATCH($Y$7,LenU,0)))^2*(0),INDEX(HeadK,MATCH(AA102,HeadU,0))*(Y102*INDEX(LenF,MATCH($Y$7,LenU,0)))^3)),0)+IF(ISNUMBER(Y102),PI()/4*(Y102*INDEX(LenF,MATCH($Y$7,LenU,0)))^2*N(AB102)*INDEX(LenF,MATCH($AB$7,LenU,0))+IF(AC102="",0,IF(AC102="Conical",PI()/12*(Y102*INDEX(LenF,MATCH($Y$7,LenU,0)))^2*(0),INDEX(HeadK,MATCH(AC102,HeadU,0))*(Y102*INDEX(LenF,MATCH($Y$7,LenU,0)))^3)),0),"")</f>
        <v/>
      </c>
      <c r="AE102" s="41" t="str">
        <f aca="false">IF(OR(E102="",E102="Piping"),"",IF(E102="Exchanger",AQ102*AR102+IF(P102="",0,IF(P102="Conical",PI()/12*(SQRT(4*AQ102/PI()))^2*(0),INDEX(HeadK,MATCH(P102,HeadU,0))*(SQRT(4*AQ102/PI()))^3))-IF(AND(ISNUMBER(S102),ISNUMBER(V102)),S102*PI()/4*AP102^2*V102*INDEX(LenF,MATCH($V$7,LenU,0)),0),IF(ISNUMBER(N102),PI()/4*(N102*INDEX(LenF,MATCH($N$7,LenU,0)))^2*N(O102)*INDEX(LenF,MATCH($O$7,LenU,0))+IF(P102="",0,IF(P102="Conical",PI()/12*(N102*INDEX(LenF,MATCH($N$7,LenU,0)))^2*(N(R102)*INDEX(LenF,MATCH($R$7,LenU,0))),INDEX(HeadK,MATCH(P102,HeadU,0))*(N102*INDEX(LenF,MATCH($N$7,LenU,0)))^3))+IF(Q102="",0,IF(Q102="Conical",PI()/12*(N102*INDEX(LenF,MATCH($N$7,LenU,0)))^2*(N(R102)*INDEX(LenF,MATCH($R$7,LenU,0))),INDEX(HeadK,MATCH(Q102,HeadU,0))*(N102*INDEX(LenF,MATCH($N$7,LenU,0)))^3)),0)))</f>
        <v/>
      </c>
      <c r="AF102" s="41" t="str">
        <f aca="false">IF(E102&lt;&gt;"Piping","",IF(AND(ISNUMBER(AS102),ISNUMBER(M102)),PI()/4*(AS102/1000)^2*M102*INDEX(LenF,MATCH($M$7,LenU,0)),0))</f>
        <v/>
      </c>
      <c r="AG102" s="41" t="str">
        <f aca="false">IF(E102="","",N(AD102)+N(AE102)+N(AF102))</f>
        <v/>
      </c>
      <c r="AH102" s="41" t="str">
        <f aca="false">IF(ISNUMBER(I102),I102*INDEX(WtF,MATCH($I$7,WtU,0))/CC_WaterRho,"")</f>
        <v/>
      </c>
      <c r="AI102" s="31"/>
      <c r="AJ102" s="31"/>
      <c r="AK102" s="40"/>
      <c r="AL102" s="31"/>
      <c r="AM102" s="41" t="str">
        <f aca="false">IF(AO102="","",AO102*IF(ISNUMBER(AK102),AK102,CC_DefFills)*(1+IF(ISNUMBER(AL102),AL102,CC_DefAllow)))</f>
        <v/>
      </c>
      <c r="AN102" s="42" t="str">
        <f aca="false">IF(G102="Given volume",IF(ISNUMBER(H102),H102*INDEX(VolF,MATCH($H$7,VolU,0)),""),IF(G102="Water weight",AH102,IF(N(AG102)=0,"",AG102)))</f>
        <v/>
      </c>
      <c r="AO102" s="42" t="str">
        <f aca="false">IF(N(AN102)=0,"",AN102*AT102*IF(ISNUMBER(AJ102),AJ102,CC_DefCirc))</f>
        <v/>
      </c>
      <c r="AP102" s="27" t="n">
        <f aca="false">IF(ISNUMBER(T102),T102*INDEX(LenF,MATCH($T$7,LenU,0)),IF(ISNUMBER(W102),W102*INDEX(LenF,MATCH($W$7,LenU,0))/CC_PitchRatio,0))</f>
        <v>0</v>
      </c>
      <c r="AQ102" s="27" t="n">
        <f aca="false">IF(ISNUMBER(N102),PI()/4*(N102*INDEX(LenF,MATCH($N$7,LenU,0)))^2,IF(AND(ISNUMBER(S102),ISNUMBER(W102),X102&lt;&gt;""),S102*(W102*INDEX(LenF,MATCH($W$7,LenU,0)))^2*INDEX(LayoutF,MATCH(X102,LayoutU,0)),0))</f>
        <v>0</v>
      </c>
      <c r="AR102" s="27" t="n">
        <f aca="false">IF(ISNUMBER(O102),O102*INDEX(LenF,MATCH($O$7,LenU,0)),IF(ISNUMBER(V102),V102*INDEX(LenF,MATCH($V$7,LenU,0)),0))</f>
        <v>0</v>
      </c>
      <c r="AS102" s="27" t="str">
        <f aca="false">IF(ISNUMBER(L102),L102*INDEX(LenF,MATCH($L$7,LenU,0))*1000,IF(OR(J102="",K102=""),"",IFERROR(IF(INDEX(PipeWT,MATCH(J102,NPSU,0),MATCH(K102,SchU,0))="","Sch n/a",INDEX(PipeOD,MATCH(J102,NPSU,0))-2*INDEX(PipeWT,MATCH(J102,NPSU,0),MATCH(K102,SchU,0))),"")))</f>
        <v/>
      </c>
      <c r="AT102" s="27" t="n">
        <f aca="false">IF(ISNUMBER(AI102),AI102,IFERROR(INDEX(IF(CC_JobType="Decontamination",CC_TypeFillDC,CC_TypeFillCC),MATCH(E102,CC_TypeL,0)),1))</f>
        <v>1</v>
      </c>
      <c r="AU102" s="27" t="n">
        <v>3</v>
      </c>
    </row>
    <row r="103" customFormat="false" ht="15" hidden="false" customHeight="false" outlineLevel="0" collapsed="false">
      <c r="A103" s="36" t="n">
        <v>28</v>
      </c>
      <c r="B103" s="40"/>
      <c r="C103" s="32"/>
      <c r="D103" s="32"/>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1" t="str">
        <f aca="false">IF(E103="Exchanger",IF(AND(ISNUMBER(S103),ISNUMBER(U103),ISNUMBER(V103)),S103*PI()/4*(U103*INDEX(LenF,MATCH($U$7,LenU,0)))^2*V103*INDEX(LenF,MATCH($V$7,LenU,0)),0)+IF(ISNUMBER(Y103),PI()/4*(Y103*INDEX(LenF,MATCH($Y$7,LenU,0)))^2*N(Z103)*INDEX(LenF,MATCH($Z$7,LenU,0))+IF(AA103="",0,IF(AA103="Conical",PI()/12*(Y103*INDEX(LenF,MATCH($Y$7,LenU,0)))^2*(0),INDEX(HeadK,MATCH(AA103,HeadU,0))*(Y103*INDEX(LenF,MATCH($Y$7,LenU,0)))^3)),0)+IF(ISNUMBER(Y103),PI()/4*(Y103*INDEX(LenF,MATCH($Y$7,LenU,0)))^2*N(AB103)*INDEX(LenF,MATCH($AB$7,LenU,0))+IF(AC103="",0,IF(AC103="Conical",PI()/12*(Y103*INDEX(LenF,MATCH($Y$7,LenU,0)))^2*(0),INDEX(HeadK,MATCH(AC103,HeadU,0))*(Y103*INDEX(LenF,MATCH($Y$7,LenU,0)))^3)),0),"")</f>
        <v/>
      </c>
      <c r="AE103" s="41" t="str">
        <f aca="false">IF(OR(E103="",E103="Piping"),"",IF(E103="Exchanger",AQ103*AR103+IF(P103="",0,IF(P103="Conical",PI()/12*(SQRT(4*AQ103/PI()))^2*(0),INDEX(HeadK,MATCH(P103,HeadU,0))*(SQRT(4*AQ103/PI()))^3))-IF(AND(ISNUMBER(S103),ISNUMBER(V103)),S103*PI()/4*AP103^2*V103*INDEX(LenF,MATCH($V$7,LenU,0)),0),IF(ISNUMBER(N103),PI()/4*(N103*INDEX(LenF,MATCH($N$7,LenU,0)))^2*N(O103)*INDEX(LenF,MATCH($O$7,LenU,0))+IF(P103="",0,IF(P103="Conical",PI()/12*(N103*INDEX(LenF,MATCH($N$7,LenU,0)))^2*(N(R103)*INDEX(LenF,MATCH($R$7,LenU,0))),INDEX(HeadK,MATCH(P103,HeadU,0))*(N103*INDEX(LenF,MATCH($N$7,LenU,0)))^3))+IF(Q103="",0,IF(Q103="Conical",PI()/12*(N103*INDEX(LenF,MATCH($N$7,LenU,0)))^2*(N(R103)*INDEX(LenF,MATCH($R$7,LenU,0))),INDEX(HeadK,MATCH(Q103,HeadU,0))*(N103*INDEX(LenF,MATCH($N$7,LenU,0)))^3)),0)))</f>
        <v/>
      </c>
      <c r="AF103" s="41" t="str">
        <f aca="false">IF(E103&lt;&gt;"Piping","",IF(AND(ISNUMBER(AS103),ISNUMBER(M103)),PI()/4*(AS103/1000)^2*M103*INDEX(LenF,MATCH($M$7,LenU,0)),0))</f>
        <v/>
      </c>
      <c r="AG103" s="41" t="str">
        <f aca="false">IF(E103="","",N(AD103)+N(AE103)+N(AF103))</f>
        <v/>
      </c>
      <c r="AH103" s="41" t="str">
        <f aca="false">IF(ISNUMBER(I103),I103*INDEX(WtF,MATCH($I$7,WtU,0))/CC_WaterRho,"")</f>
        <v/>
      </c>
      <c r="AI103" s="31"/>
      <c r="AJ103" s="31"/>
      <c r="AK103" s="40"/>
      <c r="AL103" s="31"/>
      <c r="AM103" s="41" t="str">
        <f aca="false">IF(AO103="","",AO103*IF(ISNUMBER(AK103),AK103,CC_DefFills)*(1+IF(ISNUMBER(AL103),AL103,CC_DefAllow)))</f>
        <v/>
      </c>
      <c r="AN103" s="42" t="str">
        <f aca="false">IF(G103="Given volume",IF(ISNUMBER(H103),H103*INDEX(VolF,MATCH($H$7,VolU,0)),""),IF(G103="Water weight",AH103,IF(N(AG103)=0,"",AG103)))</f>
        <v/>
      </c>
      <c r="AO103" s="42" t="str">
        <f aca="false">IF(N(AN103)=0,"",AN103*AT103*IF(ISNUMBER(AJ103),AJ103,CC_DefCirc))</f>
        <v/>
      </c>
      <c r="AP103" s="27" t="n">
        <f aca="false">IF(ISNUMBER(T103),T103*INDEX(LenF,MATCH($T$7,LenU,0)),IF(ISNUMBER(W103),W103*INDEX(LenF,MATCH($W$7,LenU,0))/CC_PitchRatio,0))</f>
        <v>0</v>
      </c>
      <c r="AQ103" s="27" t="n">
        <f aca="false">IF(ISNUMBER(N103),PI()/4*(N103*INDEX(LenF,MATCH($N$7,LenU,0)))^2,IF(AND(ISNUMBER(S103),ISNUMBER(W103),X103&lt;&gt;""),S103*(W103*INDEX(LenF,MATCH($W$7,LenU,0)))^2*INDEX(LayoutF,MATCH(X103,LayoutU,0)),0))</f>
        <v>0</v>
      </c>
      <c r="AR103" s="27" t="n">
        <f aca="false">IF(ISNUMBER(O103),O103*INDEX(LenF,MATCH($O$7,LenU,0)),IF(ISNUMBER(V103),V103*INDEX(LenF,MATCH($V$7,LenU,0)),0))</f>
        <v>0</v>
      </c>
      <c r="AS103" s="27" t="str">
        <f aca="false">IF(ISNUMBER(L103),L103*INDEX(LenF,MATCH($L$7,LenU,0))*1000,IF(OR(J103="",K103=""),"",IFERROR(IF(INDEX(PipeWT,MATCH(J103,NPSU,0),MATCH(K103,SchU,0))="","Sch n/a",INDEX(PipeOD,MATCH(J103,NPSU,0))-2*INDEX(PipeWT,MATCH(J103,NPSU,0),MATCH(K103,SchU,0))),"")))</f>
        <v/>
      </c>
      <c r="AT103" s="27" t="n">
        <f aca="false">IF(ISNUMBER(AI103),AI103,IFERROR(INDEX(IF(CC_JobType="Decontamination",CC_TypeFillDC,CC_TypeFillCC),MATCH(E103,CC_TypeL,0)),1))</f>
        <v>1</v>
      </c>
      <c r="AU103" s="27" t="n">
        <v>3</v>
      </c>
    </row>
    <row r="104" customFormat="false" ht="15" hidden="false" customHeight="false" outlineLevel="0" collapsed="false">
      <c r="A104" s="36" t="n">
        <v>29</v>
      </c>
      <c r="B104" s="40"/>
      <c r="C104" s="32"/>
      <c r="D104" s="32"/>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1" t="str">
        <f aca="false">IF(E104="Exchanger",IF(AND(ISNUMBER(S104),ISNUMBER(U104),ISNUMBER(V104)),S104*PI()/4*(U104*INDEX(LenF,MATCH($U$7,LenU,0)))^2*V104*INDEX(LenF,MATCH($V$7,LenU,0)),0)+IF(ISNUMBER(Y104),PI()/4*(Y104*INDEX(LenF,MATCH($Y$7,LenU,0)))^2*N(Z104)*INDEX(LenF,MATCH($Z$7,LenU,0))+IF(AA104="",0,IF(AA104="Conical",PI()/12*(Y104*INDEX(LenF,MATCH($Y$7,LenU,0)))^2*(0),INDEX(HeadK,MATCH(AA104,HeadU,0))*(Y104*INDEX(LenF,MATCH($Y$7,LenU,0)))^3)),0)+IF(ISNUMBER(Y104),PI()/4*(Y104*INDEX(LenF,MATCH($Y$7,LenU,0)))^2*N(AB104)*INDEX(LenF,MATCH($AB$7,LenU,0))+IF(AC104="",0,IF(AC104="Conical",PI()/12*(Y104*INDEX(LenF,MATCH($Y$7,LenU,0)))^2*(0),INDEX(HeadK,MATCH(AC104,HeadU,0))*(Y104*INDEX(LenF,MATCH($Y$7,LenU,0)))^3)),0),"")</f>
        <v/>
      </c>
      <c r="AE104" s="41" t="str">
        <f aca="false">IF(OR(E104="",E104="Piping"),"",IF(E104="Exchanger",AQ104*AR104+IF(P104="",0,IF(P104="Conical",PI()/12*(SQRT(4*AQ104/PI()))^2*(0),INDEX(HeadK,MATCH(P104,HeadU,0))*(SQRT(4*AQ104/PI()))^3))-IF(AND(ISNUMBER(S104),ISNUMBER(V104)),S104*PI()/4*AP104^2*V104*INDEX(LenF,MATCH($V$7,LenU,0)),0),IF(ISNUMBER(N104),PI()/4*(N104*INDEX(LenF,MATCH($N$7,LenU,0)))^2*N(O104)*INDEX(LenF,MATCH($O$7,LenU,0))+IF(P104="",0,IF(P104="Conical",PI()/12*(N104*INDEX(LenF,MATCH($N$7,LenU,0)))^2*(N(R104)*INDEX(LenF,MATCH($R$7,LenU,0))),INDEX(HeadK,MATCH(P104,HeadU,0))*(N104*INDEX(LenF,MATCH($N$7,LenU,0)))^3))+IF(Q104="",0,IF(Q104="Conical",PI()/12*(N104*INDEX(LenF,MATCH($N$7,LenU,0)))^2*(N(R104)*INDEX(LenF,MATCH($R$7,LenU,0))),INDEX(HeadK,MATCH(Q104,HeadU,0))*(N104*INDEX(LenF,MATCH($N$7,LenU,0)))^3)),0)))</f>
        <v/>
      </c>
      <c r="AF104" s="41" t="str">
        <f aca="false">IF(E104&lt;&gt;"Piping","",IF(AND(ISNUMBER(AS104),ISNUMBER(M104)),PI()/4*(AS104/1000)^2*M104*INDEX(LenF,MATCH($M$7,LenU,0)),0))</f>
        <v/>
      </c>
      <c r="AG104" s="41" t="str">
        <f aca="false">IF(E104="","",N(AD104)+N(AE104)+N(AF104))</f>
        <v/>
      </c>
      <c r="AH104" s="41" t="str">
        <f aca="false">IF(ISNUMBER(I104),I104*INDEX(WtF,MATCH($I$7,WtU,0))/CC_WaterRho,"")</f>
        <v/>
      </c>
      <c r="AI104" s="31"/>
      <c r="AJ104" s="31"/>
      <c r="AK104" s="40"/>
      <c r="AL104" s="31"/>
      <c r="AM104" s="41" t="str">
        <f aca="false">IF(AO104="","",AO104*IF(ISNUMBER(AK104),AK104,CC_DefFills)*(1+IF(ISNUMBER(AL104),AL104,CC_DefAllow)))</f>
        <v/>
      </c>
      <c r="AN104" s="42" t="str">
        <f aca="false">IF(G104="Given volume",IF(ISNUMBER(H104),H104*INDEX(VolF,MATCH($H$7,VolU,0)),""),IF(G104="Water weight",AH104,IF(N(AG104)=0,"",AG104)))</f>
        <v/>
      </c>
      <c r="AO104" s="42" t="str">
        <f aca="false">IF(N(AN104)=0,"",AN104*AT104*IF(ISNUMBER(AJ104),AJ104,CC_DefCirc))</f>
        <v/>
      </c>
      <c r="AP104" s="27" t="n">
        <f aca="false">IF(ISNUMBER(T104),T104*INDEX(LenF,MATCH($T$7,LenU,0)),IF(ISNUMBER(W104),W104*INDEX(LenF,MATCH($W$7,LenU,0))/CC_PitchRatio,0))</f>
        <v>0</v>
      </c>
      <c r="AQ104" s="27" t="n">
        <f aca="false">IF(ISNUMBER(N104),PI()/4*(N104*INDEX(LenF,MATCH($N$7,LenU,0)))^2,IF(AND(ISNUMBER(S104),ISNUMBER(W104),X104&lt;&gt;""),S104*(W104*INDEX(LenF,MATCH($W$7,LenU,0)))^2*INDEX(LayoutF,MATCH(X104,LayoutU,0)),0))</f>
        <v>0</v>
      </c>
      <c r="AR104" s="27" t="n">
        <f aca="false">IF(ISNUMBER(O104),O104*INDEX(LenF,MATCH($O$7,LenU,0)),IF(ISNUMBER(V104),V104*INDEX(LenF,MATCH($V$7,LenU,0)),0))</f>
        <v>0</v>
      </c>
      <c r="AS104" s="27" t="str">
        <f aca="false">IF(ISNUMBER(L104),L104*INDEX(LenF,MATCH($L$7,LenU,0))*1000,IF(OR(J104="",K104=""),"",IFERROR(IF(INDEX(PipeWT,MATCH(J104,NPSU,0),MATCH(K104,SchU,0))="","Sch n/a",INDEX(PipeOD,MATCH(J104,NPSU,0))-2*INDEX(PipeWT,MATCH(J104,NPSU,0),MATCH(K104,SchU,0))),"")))</f>
        <v/>
      </c>
      <c r="AT104" s="27" t="n">
        <f aca="false">IF(ISNUMBER(AI104),AI104,IFERROR(INDEX(IF(CC_JobType="Decontamination",CC_TypeFillDC,CC_TypeFillCC),MATCH(E104,CC_TypeL,0)),1))</f>
        <v>1</v>
      </c>
      <c r="AU104" s="27" t="n">
        <v>3</v>
      </c>
    </row>
    <row r="105" customFormat="false" ht="15" hidden="false" customHeight="false" outlineLevel="0" collapsed="false">
      <c r="A105" s="36" t="n">
        <v>30</v>
      </c>
      <c r="B105" s="40"/>
      <c r="C105" s="32"/>
      <c r="D105" s="32"/>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1" t="str">
        <f aca="false">IF(E105="Exchanger",IF(AND(ISNUMBER(S105),ISNUMBER(U105),ISNUMBER(V105)),S105*PI()/4*(U105*INDEX(LenF,MATCH($U$7,LenU,0)))^2*V105*INDEX(LenF,MATCH($V$7,LenU,0)),0)+IF(ISNUMBER(Y105),PI()/4*(Y105*INDEX(LenF,MATCH($Y$7,LenU,0)))^2*N(Z105)*INDEX(LenF,MATCH($Z$7,LenU,0))+IF(AA105="",0,IF(AA105="Conical",PI()/12*(Y105*INDEX(LenF,MATCH($Y$7,LenU,0)))^2*(0),INDEX(HeadK,MATCH(AA105,HeadU,0))*(Y105*INDEX(LenF,MATCH($Y$7,LenU,0)))^3)),0)+IF(ISNUMBER(Y105),PI()/4*(Y105*INDEX(LenF,MATCH($Y$7,LenU,0)))^2*N(AB105)*INDEX(LenF,MATCH($AB$7,LenU,0))+IF(AC105="",0,IF(AC105="Conical",PI()/12*(Y105*INDEX(LenF,MATCH($Y$7,LenU,0)))^2*(0),INDEX(HeadK,MATCH(AC105,HeadU,0))*(Y105*INDEX(LenF,MATCH($Y$7,LenU,0)))^3)),0),"")</f>
        <v/>
      </c>
      <c r="AE105" s="41" t="str">
        <f aca="false">IF(OR(E105="",E105="Piping"),"",IF(E105="Exchanger",AQ105*AR105+IF(P105="",0,IF(P105="Conical",PI()/12*(SQRT(4*AQ105/PI()))^2*(0),INDEX(HeadK,MATCH(P105,HeadU,0))*(SQRT(4*AQ105/PI()))^3))-IF(AND(ISNUMBER(S105),ISNUMBER(V105)),S105*PI()/4*AP105^2*V105*INDEX(LenF,MATCH($V$7,LenU,0)),0),IF(ISNUMBER(N105),PI()/4*(N105*INDEX(LenF,MATCH($N$7,LenU,0)))^2*N(O105)*INDEX(LenF,MATCH($O$7,LenU,0))+IF(P105="",0,IF(P105="Conical",PI()/12*(N105*INDEX(LenF,MATCH($N$7,LenU,0)))^2*(N(R105)*INDEX(LenF,MATCH($R$7,LenU,0))),INDEX(HeadK,MATCH(P105,HeadU,0))*(N105*INDEX(LenF,MATCH($N$7,LenU,0)))^3))+IF(Q105="",0,IF(Q105="Conical",PI()/12*(N105*INDEX(LenF,MATCH($N$7,LenU,0)))^2*(N(R105)*INDEX(LenF,MATCH($R$7,LenU,0))),INDEX(HeadK,MATCH(Q105,HeadU,0))*(N105*INDEX(LenF,MATCH($N$7,LenU,0)))^3)),0)))</f>
        <v/>
      </c>
      <c r="AF105" s="41" t="str">
        <f aca="false">IF(E105&lt;&gt;"Piping","",IF(AND(ISNUMBER(AS105),ISNUMBER(M105)),PI()/4*(AS105/1000)^2*M105*INDEX(LenF,MATCH($M$7,LenU,0)),0))</f>
        <v/>
      </c>
      <c r="AG105" s="41" t="str">
        <f aca="false">IF(E105="","",N(AD105)+N(AE105)+N(AF105))</f>
        <v/>
      </c>
      <c r="AH105" s="41" t="str">
        <f aca="false">IF(ISNUMBER(I105),I105*INDEX(WtF,MATCH($I$7,WtU,0))/CC_WaterRho,"")</f>
        <v/>
      </c>
      <c r="AI105" s="31"/>
      <c r="AJ105" s="31"/>
      <c r="AK105" s="40"/>
      <c r="AL105" s="31"/>
      <c r="AM105" s="41" t="str">
        <f aca="false">IF(AO105="","",AO105*IF(ISNUMBER(AK105),AK105,CC_DefFills)*(1+IF(ISNUMBER(AL105),AL105,CC_DefAllow)))</f>
        <v/>
      </c>
      <c r="AN105" s="42" t="str">
        <f aca="false">IF(G105="Given volume",IF(ISNUMBER(H105),H105*INDEX(VolF,MATCH($H$7,VolU,0)),""),IF(G105="Water weight",AH105,IF(N(AG105)=0,"",AG105)))</f>
        <v/>
      </c>
      <c r="AO105" s="42" t="str">
        <f aca="false">IF(N(AN105)=0,"",AN105*AT105*IF(ISNUMBER(AJ105),AJ105,CC_DefCirc))</f>
        <v/>
      </c>
      <c r="AP105" s="27" t="n">
        <f aca="false">IF(ISNUMBER(T105),T105*INDEX(LenF,MATCH($T$7,LenU,0)),IF(ISNUMBER(W105),W105*INDEX(LenF,MATCH($W$7,LenU,0))/CC_PitchRatio,0))</f>
        <v>0</v>
      </c>
      <c r="AQ105" s="27" t="n">
        <f aca="false">IF(ISNUMBER(N105),PI()/4*(N105*INDEX(LenF,MATCH($N$7,LenU,0)))^2,IF(AND(ISNUMBER(S105),ISNUMBER(W105),X105&lt;&gt;""),S105*(W105*INDEX(LenF,MATCH($W$7,LenU,0)))^2*INDEX(LayoutF,MATCH(X105,LayoutU,0)),0))</f>
        <v>0</v>
      </c>
      <c r="AR105" s="27" t="n">
        <f aca="false">IF(ISNUMBER(O105),O105*INDEX(LenF,MATCH($O$7,LenU,0)),IF(ISNUMBER(V105),V105*INDEX(LenF,MATCH($V$7,LenU,0)),0))</f>
        <v>0</v>
      </c>
      <c r="AS105" s="27" t="str">
        <f aca="false">IF(ISNUMBER(L105),L105*INDEX(LenF,MATCH($L$7,LenU,0))*1000,IF(OR(J105="",K105=""),"",IFERROR(IF(INDEX(PipeWT,MATCH(J105,NPSU,0),MATCH(K105,SchU,0))="","Sch n/a",INDEX(PipeOD,MATCH(J105,NPSU,0))-2*INDEX(PipeWT,MATCH(J105,NPSU,0),MATCH(K105,SchU,0))),"")))</f>
        <v/>
      </c>
      <c r="AT105" s="27" t="n">
        <f aca="false">IF(ISNUMBER(AI105),AI105,IFERROR(INDEX(IF(CC_JobType="Decontamination",CC_TypeFillDC,CC_TypeFillCC),MATCH(E105,CC_TypeL,0)),1))</f>
        <v>1</v>
      </c>
      <c r="AU105" s="27" t="n">
        <v>3</v>
      </c>
    </row>
    <row r="106" customFormat="false" ht="15" hidden="false" customHeight="false" outlineLevel="0" collapsed="false">
      <c r="A106" s="44" t="str">
        <f aca="false">"TOTAL – "&amp;INDEX(CC_UnitNames,3)</f>
        <v>TOTAL – Unit 3</v>
      </c>
      <c r="B106" s="44"/>
      <c r="C106" s="44"/>
      <c r="D106" s="44"/>
      <c r="E106" s="45"/>
      <c r="F106" s="45"/>
      <c r="G106" s="45"/>
      <c r="H106" s="45"/>
      <c r="I106" s="45"/>
      <c r="J106" s="45"/>
      <c r="K106" s="45"/>
      <c r="L106" s="45"/>
      <c r="M106" s="45"/>
      <c r="N106" s="45"/>
      <c r="O106" s="45"/>
      <c r="P106" s="45"/>
      <c r="Q106" s="45"/>
      <c r="R106" s="45"/>
      <c r="S106" s="46" t="str">
        <f aca="false">COUNT(AN76:AN105)&amp;" items"</f>
        <v>0 items</v>
      </c>
      <c r="T106" s="45"/>
      <c r="U106" s="45"/>
      <c r="V106" s="45"/>
      <c r="W106" s="45"/>
      <c r="X106" s="45"/>
      <c r="Y106" s="45"/>
      <c r="Z106" s="45"/>
      <c r="AA106" s="45"/>
      <c r="AB106" s="45"/>
      <c r="AC106" s="45"/>
      <c r="AD106" s="47" t="n">
        <f aca="false">SUM(AD76:AD105)</f>
        <v>0</v>
      </c>
      <c r="AE106" s="47" t="n">
        <f aca="false">SUM(AE76:AE105)</f>
        <v>0</v>
      </c>
      <c r="AF106" s="47" t="n">
        <f aca="false">SUM(AF76:AF105)</f>
        <v>0</v>
      </c>
      <c r="AG106" s="47" t="n">
        <f aca="false">SUM(AG76:AG105)</f>
        <v>0</v>
      </c>
      <c r="AH106" s="47" t="n">
        <f aca="false">SUM(AH76:AH105)</f>
        <v>0</v>
      </c>
      <c r="AI106" s="45"/>
      <c r="AJ106" s="45"/>
      <c r="AK106" s="45"/>
      <c r="AL106" s="45"/>
      <c r="AM106" s="47" t="n">
        <f aca="false">SUM(AM76:AM105)</f>
        <v>0</v>
      </c>
      <c r="AN106" s="47" t="n">
        <f aca="false">SUM(AN76:AN105)</f>
        <v>0</v>
      </c>
      <c r="AO106" s="47" t="n">
        <f aca="false">SUM(AO76:AO105)</f>
        <v>0</v>
      </c>
    </row>
    <row r="108" customFormat="false" ht="15" hidden="false" customHeight="false" outlineLevel="0" collapsed="false">
      <c r="A108" s="38" t="str">
        <f aca="false">"UNIT 4:  "&amp;INDEX(CC_UnitNames,4)</f>
        <v>UNIT 4:  Unit 4</v>
      </c>
      <c r="B108" s="38"/>
      <c r="C108" s="38"/>
      <c r="D108" s="38"/>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row>
    <row r="109" customFormat="false" ht="15" hidden="false" customHeight="false" outlineLevel="0" collapsed="false">
      <c r="A109" s="36" t="n">
        <v>1</v>
      </c>
      <c r="B109" s="40"/>
      <c r="C109" s="32"/>
      <c r="D109" s="32"/>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1" t="str">
        <f aca="false">IF(E109="Exchanger",IF(AND(ISNUMBER(S109),ISNUMBER(U109),ISNUMBER(V109)),S109*PI()/4*(U109*INDEX(LenF,MATCH($U$7,LenU,0)))^2*V109*INDEX(LenF,MATCH($V$7,LenU,0)),0)+IF(ISNUMBER(Y109),PI()/4*(Y109*INDEX(LenF,MATCH($Y$7,LenU,0)))^2*N(Z109)*INDEX(LenF,MATCH($Z$7,LenU,0))+IF(AA109="",0,IF(AA109="Conical",PI()/12*(Y109*INDEX(LenF,MATCH($Y$7,LenU,0)))^2*(0),INDEX(HeadK,MATCH(AA109,HeadU,0))*(Y109*INDEX(LenF,MATCH($Y$7,LenU,0)))^3)),0)+IF(ISNUMBER(Y109),PI()/4*(Y109*INDEX(LenF,MATCH($Y$7,LenU,0)))^2*N(AB109)*INDEX(LenF,MATCH($AB$7,LenU,0))+IF(AC109="",0,IF(AC109="Conical",PI()/12*(Y109*INDEX(LenF,MATCH($Y$7,LenU,0)))^2*(0),INDEX(HeadK,MATCH(AC109,HeadU,0))*(Y109*INDEX(LenF,MATCH($Y$7,LenU,0)))^3)),0),"")</f>
        <v/>
      </c>
      <c r="AE109" s="41" t="str">
        <f aca="false">IF(OR(E109="",E109="Piping"),"",IF(E109="Exchanger",AQ109*AR109+IF(P109="",0,IF(P109="Conical",PI()/12*(SQRT(4*AQ109/PI()))^2*(0),INDEX(HeadK,MATCH(P109,HeadU,0))*(SQRT(4*AQ109/PI()))^3))-IF(AND(ISNUMBER(S109),ISNUMBER(V109)),S109*PI()/4*AP109^2*V109*INDEX(LenF,MATCH($V$7,LenU,0)),0),IF(ISNUMBER(N109),PI()/4*(N109*INDEX(LenF,MATCH($N$7,LenU,0)))^2*N(O109)*INDEX(LenF,MATCH($O$7,LenU,0))+IF(P109="",0,IF(P109="Conical",PI()/12*(N109*INDEX(LenF,MATCH($N$7,LenU,0)))^2*(N(R109)*INDEX(LenF,MATCH($R$7,LenU,0))),INDEX(HeadK,MATCH(P109,HeadU,0))*(N109*INDEX(LenF,MATCH($N$7,LenU,0)))^3))+IF(Q109="",0,IF(Q109="Conical",PI()/12*(N109*INDEX(LenF,MATCH($N$7,LenU,0)))^2*(N(R109)*INDEX(LenF,MATCH($R$7,LenU,0))),INDEX(HeadK,MATCH(Q109,HeadU,0))*(N109*INDEX(LenF,MATCH($N$7,LenU,0)))^3)),0)))</f>
        <v/>
      </c>
      <c r="AF109" s="41" t="str">
        <f aca="false">IF(E109&lt;&gt;"Piping","",IF(AND(ISNUMBER(AS109),ISNUMBER(M109)),PI()/4*(AS109/1000)^2*M109*INDEX(LenF,MATCH($M$7,LenU,0)),0))</f>
        <v/>
      </c>
      <c r="AG109" s="41" t="str">
        <f aca="false">IF(E109="","",N(AD109)+N(AE109)+N(AF109))</f>
        <v/>
      </c>
      <c r="AH109" s="41" t="str">
        <f aca="false">IF(ISNUMBER(I109),I109*INDEX(WtF,MATCH($I$7,WtU,0))/CC_WaterRho,"")</f>
        <v/>
      </c>
      <c r="AI109" s="31"/>
      <c r="AJ109" s="31"/>
      <c r="AK109" s="40"/>
      <c r="AL109" s="31"/>
      <c r="AM109" s="41" t="str">
        <f aca="false">IF(AO109="","",AO109*IF(ISNUMBER(AK109),AK109,CC_DefFills)*(1+IF(ISNUMBER(AL109),AL109,CC_DefAllow)))</f>
        <v/>
      </c>
      <c r="AN109" s="42" t="str">
        <f aca="false">IF(G109="Given volume",IF(ISNUMBER(H109),H109*INDEX(VolF,MATCH($H$7,VolU,0)),""),IF(G109="Water weight",AH109,IF(N(AG109)=0,"",AG109)))</f>
        <v/>
      </c>
      <c r="AO109" s="42" t="str">
        <f aca="false">IF(N(AN109)=0,"",AN109*AT109*IF(ISNUMBER(AJ109),AJ109,CC_DefCirc))</f>
        <v/>
      </c>
      <c r="AP109" s="27" t="n">
        <f aca="false">IF(ISNUMBER(T109),T109*INDEX(LenF,MATCH($T$7,LenU,0)),IF(ISNUMBER(W109),W109*INDEX(LenF,MATCH($W$7,LenU,0))/CC_PitchRatio,0))</f>
        <v>0</v>
      </c>
      <c r="AQ109" s="27" t="n">
        <f aca="false">IF(ISNUMBER(N109),PI()/4*(N109*INDEX(LenF,MATCH($N$7,LenU,0)))^2,IF(AND(ISNUMBER(S109),ISNUMBER(W109),X109&lt;&gt;""),S109*(W109*INDEX(LenF,MATCH($W$7,LenU,0)))^2*INDEX(LayoutF,MATCH(X109,LayoutU,0)),0))</f>
        <v>0</v>
      </c>
      <c r="AR109" s="27" t="n">
        <f aca="false">IF(ISNUMBER(O109),O109*INDEX(LenF,MATCH($O$7,LenU,0)),IF(ISNUMBER(V109),V109*INDEX(LenF,MATCH($V$7,LenU,0)),0))</f>
        <v>0</v>
      </c>
      <c r="AS109" s="27" t="str">
        <f aca="false">IF(ISNUMBER(L109),L109*INDEX(LenF,MATCH($L$7,LenU,0))*1000,IF(OR(J109="",K109=""),"",IFERROR(IF(INDEX(PipeWT,MATCH(J109,NPSU,0),MATCH(K109,SchU,0))="","Sch n/a",INDEX(PipeOD,MATCH(J109,NPSU,0))-2*INDEX(PipeWT,MATCH(J109,NPSU,0),MATCH(K109,SchU,0))),"")))</f>
        <v/>
      </c>
      <c r="AT109" s="27" t="n">
        <f aca="false">IF(ISNUMBER(AI109),AI109,IFERROR(INDEX(IF(CC_JobType="Decontamination",CC_TypeFillDC,CC_TypeFillCC),MATCH(E109,CC_TypeL,0)),1))</f>
        <v>1</v>
      </c>
      <c r="AU109" s="27" t="n">
        <v>4</v>
      </c>
    </row>
    <row r="110" customFormat="false" ht="15" hidden="false" customHeight="false" outlineLevel="0" collapsed="false">
      <c r="A110" s="36" t="n">
        <v>2</v>
      </c>
      <c r="B110" s="40"/>
      <c r="C110" s="32"/>
      <c r="D110" s="32"/>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1" t="str">
        <f aca="false">IF(E110="Exchanger",IF(AND(ISNUMBER(S110),ISNUMBER(U110),ISNUMBER(V110)),S110*PI()/4*(U110*INDEX(LenF,MATCH($U$7,LenU,0)))^2*V110*INDEX(LenF,MATCH($V$7,LenU,0)),0)+IF(ISNUMBER(Y110),PI()/4*(Y110*INDEX(LenF,MATCH($Y$7,LenU,0)))^2*N(Z110)*INDEX(LenF,MATCH($Z$7,LenU,0))+IF(AA110="",0,IF(AA110="Conical",PI()/12*(Y110*INDEX(LenF,MATCH($Y$7,LenU,0)))^2*(0),INDEX(HeadK,MATCH(AA110,HeadU,0))*(Y110*INDEX(LenF,MATCH($Y$7,LenU,0)))^3)),0)+IF(ISNUMBER(Y110),PI()/4*(Y110*INDEX(LenF,MATCH($Y$7,LenU,0)))^2*N(AB110)*INDEX(LenF,MATCH($AB$7,LenU,0))+IF(AC110="",0,IF(AC110="Conical",PI()/12*(Y110*INDEX(LenF,MATCH($Y$7,LenU,0)))^2*(0),INDEX(HeadK,MATCH(AC110,HeadU,0))*(Y110*INDEX(LenF,MATCH($Y$7,LenU,0)))^3)),0),"")</f>
        <v/>
      </c>
      <c r="AE110" s="41" t="str">
        <f aca="false">IF(OR(E110="",E110="Piping"),"",IF(E110="Exchanger",AQ110*AR110+IF(P110="",0,IF(P110="Conical",PI()/12*(SQRT(4*AQ110/PI()))^2*(0),INDEX(HeadK,MATCH(P110,HeadU,0))*(SQRT(4*AQ110/PI()))^3))-IF(AND(ISNUMBER(S110),ISNUMBER(V110)),S110*PI()/4*AP110^2*V110*INDEX(LenF,MATCH($V$7,LenU,0)),0),IF(ISNUMBER(N110),PI()/4*(N110*INDEX(LenF,MATCH($N$7,LenU,0)))^2*N(O110)*INDEX(LenF,MATCH($O$7,LenU,0))+IF(P110="",0,IF(P110="Conical",PI()/12*(N110*INDEX(LenF,MATCH($N$7,LenU,0)))^2*(N(R110)*INDEX(LenF,MATCH($R$7,LenU,0))),INDEX(HeadK,MATCH(P110,HeadU,0))*(N110*INDEX(LenF,MATCH($N$7,LenU,0)))^3))+IF(Q110="",0,IF(Q110="Conical",PI()/12*(N110*INDEX(LenF,MATCH($N$7,LenU,0)))^2*(N(R110)*INDEX(LenF,MATCH($R$7,LenU,0))),INDEX(HeadK,MATCH(Q110,HeadU,0))*(N110*INDEX(LenF,MATCH($N$7,LenU,0)))^3)),0)))</f>
        <v/>
      </c>
      <c r="AF110" s="41" t="str">
        <f aca="false">IF(E110&lt;&gt;"Piping","",IF(AND(ISNUMBER(AS110),ISNUMBER(M110)),PI()/4*(AS110/1000)^2*M110*INDEX(LenF,MATCH($M$7,LenU,0)),0))</f>
        <v/>
      </c>
      <c r="AG110" s="41" t="str">
        <f aca="false">IF(E110="","",N(AD110)+N(AE110)+N(AF110))</f>
        <v/>
      </c>
      <c r="AH110" s="41" t="str">
        <f aca="false">IF(ISNUMBER(I110),I110*INDEX(WtF,MATCH($I$7,WtU,0))/CC_WaterRho,"")</f>
        <v/>
      </c>
      <c r="AI110" s="31"/>
      <c r="AJ110" s="31"/>
      <c r="AK110" s="40"/>
      <c r="AL110" s="31"/>
      <c r="AM110" s="41" t="str">
        <f aca="false">IF(AO110="","",AO110*IF(ISNUMBER(AK110),AK110,CC_DefFills)*(1+IF(ISNUMBER(AL110),AL110,CC_DefAllow)))</f>
        <v/>
      </c>
      <c r="AN110" s="42" t="str">
        <f aca="false">IF(G110="Given volume",IF(ISNUMBER(H110),H110*INDEX(VolF,MATCH($H$7,VolU,0)),""),IF(G110="Water weight",AH110,IF(N(AG110)=0,"",AG110)))</f>
        <v/>
      </c>
      <c r="AO110" s="42" t="str">
        <f aca="false">IF(N(AN110)=0,"",AN110*AT110*IF(ISNUMBER(AJ110),AJ110,CC_DefCirc))</f>
        <v/>
      </c>
      <c r="AP110" s="27" t="n">
        <f aca="false">IF(ISNUMBER(T110),T110*INDEX(LenF,MATCH($T$7,LenU,0)),IF(ISNUMBER(W110),W110*INDEX(LenF,MATCH($W$7,LenU,0))/CC_PitchRatio,0))</f>
        <v>0</v>
      </c>
      <c r="AQ110" s="27" t="n">
        <f aca="false">IF(ISNUMBER(N110),PI()/4*(N110*INDEX(LenF,MATCH($N$7,LenU,0)))^2,IF(AND(ISNUMBER(S110),ISNUMBER(W110),X110&lt;&gt;""),S110*(W110*INDEX(LenF,MATCH($W$7,LenU,0)))^2*INDEX(LayoutF,MATCH(X110,LayoutU,0)),0))</f>
        <v>0</v>
      </c>
      <c r="AR110" s="27" t="n">
        <f aca="false">IF(ISNUMBER(O110),O110*INDEX(LenF,MATCH($O$7,LenU,0)),IF(ISNUMBER(V110),V110*INDEX(LenF,MATCH($V$7,LenU,0)),0))</f>
        <v>0</v>
      </c>
      <c r="AS110" s="27" t="str">
        <f aca="false">IF(ISNUMBER(L110),L110*INDEX(LenF,MATCH($L$7,LenU,0))*1000,IF(OR(J110="",K110=""),"",IFERROR(IF(INDEX(PipeWT,MATCH(J110,NPSU,0),MATCH(K110,SchU,0))="","Sch n/a",INDEX(PipeOD,MATCH(J110,NPSU,0))-2*INDEX(PipeWT,MATCH(J110,NPSU,0),MATCH(K110,SchU,0))),"")))</f>
        <v/>
      </c>
      <c r="AT110" s="27" t="n">
        <f aca="false">IF(ISNUMBER(AI110),AI110,IFERROR(INDEX(IF(CC_JobType="Decontamination",CC_TypeFillDC,CC_TypeFillCC),MATCH(E110,CC_TypeL,0)),1))</f>
        <v>1</v>
      </c>
      <c r="AU110" s="27" t="n">
        <v>4</v>
      </c>
    </row>
    <row r="111" customFormat="false" ht="15" hidden="false" customHeight="false" outlineLevel="0" collapsed="false">
      <c r="A111" s="36" t="n">
        <v>3</v>
      </c>
      <c r="B111" s="40"/>
      <c r="C111" s="32"/>
      <c r="D111" s="32"/>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1" t="str">
        <f aca="false">IF(E111="Exchanger",IF(AND(ISNUMBER(S111),ISNUMBER(U111),ISNUMBER(V111)),S111*PI()/4*(U111*INDEX(LenF,MATCH($U$7,LenU,0)))^2*V111*INDEX(LenF,MATCH($V$7,LenU,0)),0)+IF(ISNUMBER(Y111),PI()/4*(Y111*INDEX(LenF,MATCH($Y$7,LenU,0)))^2*N(Z111)*INDEX(LenF,MATCH($Z$7,LenU,0))+IF(AA111="",0,IF(AA111="Conical",PI()/12*(Y111*INDEX(LenF,MATCH($Y$7,LenU,0)))^2*(0),INDEX(HeadK,MATCH(AA111,HeadU,0))*(Y111*INDEX(LenF,MATCH($Y$7,LenU,0)))^3)),0)+IF(ISNUMBER(Y111),PI()/4*(Y111*INDEX(LenF,MATCH($Y$7,LenU,0)))^2*N(AB111)*INDEX(LenF,MATCH($AB$7,LenU,0))+IF(AC111="",0,IF(AC111="Conical",PI()/12*(Y111*INDEX(LenF,MATCH($Y$7,LenU,0)))^2*(0),INDEX(HeadK,MATCH(AC111,HeadU,0))*(Y111*INDEX(LenF,MATCH($Y$7,LenU,0)))^3)),0),"")</f>
        <v/>
      </c>
      <c r="AE111" s="41" t="str">
        <f aca="false">IF(OR(E111="",E111="Piping"),"",IF(E111="Exchanger",AQ111*AR111+IF(P111="",0,IF(P111="Conical",PI()/12*(SQRT(4*AQ111/PI()))^2*(0),INDEX(HeadK,MATCH(P111,HeadU,0))*(SQRT(4*AQ111/PI()))^3))-IF(AND(ISNUMBER(S111),ISNUMBER(V111)),S111*PI()/4*AP111^2*V111*INDEX(LenF,MATCH($V$7,LenU,0)),0),IF(ISNUMBER(N111),PI()/4*(N111*INDEX(LenF,MATCH($N$7,LenU,0)))^2*N(O111)*INDEX(LenF,MATCH($O$7,LenU,0))+IF(P111="",0,IF(P111="Conical",PI()/12*(N111*INDEX(LenF,MATCH($N$7,LenU,0)))^2*(N(R111)*INDEX(LenF,MATCH($R$7,LenU,0))),INDEX(HeadK,MATCH(P111,HeadU,0))*(N111*INDEX(LenF,MATCH($N$7,LenU,0)))^3))+IF(Q111="",0,IF(Q111="Conical",PI()/12*(N111*INDEX(LenF,MATCH($N$7,LenU,0)))^2*(N(R111)*INDEX(LenF,MATCH($R$7,LenU,0))),INDEX(HeadK,MATCH(Q111,HeadU,0))*(N111*INDEX(LenF,MATCH($N$7,LenU,0)))^3)),0)))</f>
        <v/>
      </c>
      <c r="AF111" s="41" t="str">
        <f aca="false">IF(E111&lt;&gt;"Piping","",IF(AND(ISNUMBER(AS111),ISNUMBER(M111)),PI()/4*(AS111/1000)^2*M111*INDEX(LenF,MATCH($M$7,LenU,0)),0))</f>
        <v/>
      </c>
      <c r="AG111" s="41" t="str">
        <f aca="false">IF(E111="","",N(AD111)+N(AE111)+N(AF111))</f>
        <v/>
      </c>
      <c r="AH111" s="41" t="str">
        <f aca="false">IF(ISNUMBER(I111),I111*INDEX(WtF,MATCH($I$7,WtU,0))/CC_WaterRho,"")</f>
        <v/>
      </c>
      <c r="AI111" s="31"/>
      <c r="AJ111" s="31"/>
      <c r="AK111" s="40"/>
      <c r="AL111" s="31"/>
      <c r="AM111" s="41" t="str">
        <f aca="false">IF(AO111="","",AO111*IF(ISNUMBER(AK111),AK111,CC_DefFills)*(1+IF(ISNUMBER(AL111),AL111,CC_DefAllow)))</f>
        <v/>
      </c>
      <c r="AN111" s="42" t="str">
        <f aca="false">IF(G111="Given volume",IF(ISNUMBER(H111),H111*INDEX(VolF,MATCH($H$7,VolU,0)),""),IF(G111="Water weight",AH111,IF(N(AG111)=0,"",AG111)))</f>
        <v/>
      </c>
      <c r="AO111" s="42" t="str">
        <f aca="false">IF(N(AN111)=0,"",AN111*AT111*IF(ISNUMBER(AJ111),AJ111,CC_DefCirc))</f>
        <v/>
      </c>
      <c r="AP111" s="27" t="n">
        <f aca="false">IF(ISNUMBER(T111),T111*INDEX(LenF,MATCH($T$7,LenU,0)),IF(ISNUMBER(W111),W111*INDEX(LenF,MATCH($W$7,LenU,0))/CC_PitchRatio,0))</f>
        <v>0</v>
      </c>
      <c r="AQ111" s="27" t="n">
        <f aca="false">IF(ISNUMBER(N111),PI()/4*(N111*INDEX(LenF,MATCH($N$7,LenU,0)))^2,IF(AND(ISNUMBER(S111),ISNUMBER(W111),X111&lt;&gt;""),S111*(W111*INDEX(LenF,MATCH($W$7,LenU,0)))^2*INDEX(LayoutF,MATCH(X111,LayoutU,0)),0))</f>
        <v>0</v>
      </c>
      <c r="AR111" s="27" t="n">
        <f aca="false">IF(ISNUMBER(O111),O111*INDEX(LenF,MATCH($O$7,LenU,0)),IF(ISNUMBER(V111),V111*INDEX(LenF,MATCH($V$7,LenU,0)),0))</f>
        <v>0</v>
      </c>
      <c r="AS111" s="27" t="str">
        <f aca="false">IF(ISNUMBER(L111),L111*INDEX(LenF,MATCH($L$7,LenU,0))*1000,IF(OR(J111="",K111=""),"",IFERROR(IF(INDEX(PipeWT,MATCH(J111,NPSU,0),MATCH(K111,SchU,0))="","Sch n/a",INDEX(PipeOD,MATCH(J111,NPSU,0))-2*INDEX(PipeWT,MATCH(J111,NPSU,0),MATCH(K111,SchU,0))),"")))</f>
        <v/>
      </c>
      <c r="AT111" s="27" t="n">
        <f aca="false">IF(ISNUMBER(AI111),AI111,IFERROR(INDEX(IF(CC_JobType="Decontamination",CC_TypeFillDC,CC_TypeFillCC),MATCH(E111,CC_TypeL,0)),1))</f>
        <v>1</v>
      </c>
      <c r="AU111" s="27" t="n">
        <v>4</v>
      </c>
    </row>
    <row r="112" customFormat="false" ht="15" hidden="false" customHeight="false" outlineLevel="0" collapsed="false">
      <c r="A112" s="36" t="n">
        <v>4</v>
      </c>
      <c r="B112" s="40"/>
      <c r="C112" s="32"/>
      <c r="D112" s="32"/>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1" t="str">
        <f aca="false">IF(E112="Exchanger",IF(AND(ISNUMBER(S112),ISNUMBER(U112),ISNUMBER(V112)),S112*PI()/4*(U112*INDEX(LenF,MATCH($U$7,LenU,0)))^2*V112*INDEX(LenF,MATCH($V$7,LenU,0)),0)+IF(ISNUMBER(Y112),PI()/4*(Y112*INDEX(LenF,MATCH($Y$7,LenU,0)))^2*N(Z112)*INDEX(LenF,MATCH($Z$7,LenU,0))+IF(AA112="",0,IF(AA112="Conical",PI()/12*(Y112*INDEX(LenF,MATCH($Y$7,LenU,0)))^2*(0),INDEX(HeadK,MATCH(AA112,HeadU,0))*(Y112*INDEX(LenF,MATCH($Y$7,LenU,0)))^3)),0)+IF(ISNUMBER(Y112),PI()/4*(Y112*INDEX(LenF,MATCH($Y$7,LenU,0)))^2*N(AB112)*INDEX(LenF,MATCH($AB$7,LenU,0))+IF(AC112="",0,IF(AC112="Conical",PI()/12*(Y112*INDEX(LenF,MATCH($Y$7,LenU,0)))^2*(0),INDEX(HeadK,MATCH(AC112,HeadU,0))*(Y112*INDEX(LenF,MATCH($Y$7,LenU,0)))^3)),0),"")</f>
        <v/>
      </c>
      <c r="AE112" s="41" t="str">
        <f aca="false">IF(OR(E112="",E112="Piping"),"",IF(E112="Exchanger",AQ112*AR112+IF(P112="",0,IF(P112="Conical",PI()/12*(SQRT(4*AQ112/PI()))^2*(0),INDEX(HeadK,MATCH(P112,HeadU,0))*(SQRT(4*AQ112/PI()))^3))-IF(AND(ISNUMBER(S112),ISNUMBER(V112)),S112*PI()/4*AP112^2*V112*INDEX(LenF,MATCH($V$7,LenU,0)),0),IF(ISNUMBER(N112),PI()/4*(N112*INDEX(LenF,MATCH($N$7,LenU,0)))^2*N(O112)*INDEX(LenF,MATCH($O$7,LenU,0))+IF(P112="",0,IF(P112="Conical",PI()/12*(N112*INDEX(LenF,MATCH($N$7,LenU,0)))^2*(N(R112)*INDEX(LenF,MATCH($R$7,LenU,0))),INDEX(HeadK,MATCH(P112,HeadU,0))*(N112*INDEX(LenF,MATCH($N$7,LenU,0)))^3))+IF(Q112="",0,IF(Q112="Conical",PI()/12*(N112*INDEX(LenF,MATCH($N$7,LenU,0)))^2*(N(R112)*INDEX(LenF,MATCH($R$7,LenU,0))),INDEX(HeadK,MATCH(Q112,HeadU,0))*(N112*INDEX(LenF,MATCH($N$7,LenU,0)))^3)),0)))</f>
        <v/>
      </c>
      <c r="AF112" s="41" t="str">
        <f aca="false">IF(E112&lt;&gt;"Piping","",IF(AND(ISNUMBER(AS112),ISNUMBER(M112)),PI()/4*(AS112/1000)^2*M112*INDEX(LenF,MATCH($M$7,LenU,0)),0))</f>
        <v/>
      </c>
      <c r="AG112" s="41" t="str">
        <f aca="false">IF(E112="","",N(AD112)+N(AE112)+N(AF112))</f>
        <v/>
      </c>
      <c r="AH112" s="41" t="str">
        <f aca="false">IF(ISNUMBER(I112),I112*INDEX(WtF,MATCH($I$7,WtU,0))/CC_WaterRho,"")</f>
        <v/>
      </c>
      <c r="AI112" s="31"/>
      <c r="AJ112" s="31"/>
      <c r="AK112" s="40"/>
      <c r="AL112" s="31"/>
      <c r="AM112" s="41" t="str">
        <f aca="false">IF(AO112="","",AO112*IF(ISNUMBER(AK112),AK112,CC_DefFills)*(1+IF(ISNUMBER(AL112),AL112,CC_DefAllow)))</f>
        <v/>
      </c>
      <c r="AN112" s="42" t="str">
        <f aca="false">IF(G112="Given volume",IF(ISNUMBER(H112),H112*INDEX(VolF,MATCH($H$7,VolU,0)),""),IF(G112="Water weight",AH112,IF(N(AG112)=0,"",AG112)))</f>
        <v/>
      </c>
      <c r="AO112" s="42" t="str">
        <f aca="false">IF(N(AN112)=0,"",AN112*AT112*IF(ISNUMBER(AJ112),AJ112,CC_DefCirc))</f>
        <v/>
      </c>
      <c r="AP112" s="27" t="n">
        <f aca="false">IF(ISNUMBER(T112),T112*INDEX(LenF,MATCH($T$7,LenU,0)),IF(ISNUMBER(W112),W112*INDEX(LenF,MATCH($W$7,LenU,0))/CC_PitchRatio,0))</f>
        <v>0</v>
      </c>
      <c r="AQ112" s="27" t="n">
        <f aca="false">IF(ISNUMBER(N112),PI()/4*(N112*INDEX(LenF,MATCH($N$7,LenU,0)))^2,IF(AND(ISNUMBER(S112),ISNUMBER(W112),X112&lt;&gt;""),S112*(W112*INDEX(LenF,MATCH($W$7,LenU,0)))^2*INDEX(LayoutF,MATCH(X112,LayoutU,0)),0))</f>
        <v>0</v>
      </c>
      <c r="AR112" s="27" t="n">
        <f aca="false">IF(ISNUMBER(O112),O112*INDEX(LenF,MATCH($O$7,LenU,0)),IF(ISNUMBER(V112),V112*INDEX(LenF,MATCH($V$7,LenU,0)),0))</f>
        <v>0</v>
      </c>
      <c r="AS112" s="27" t="str">
        <f aca="false">IF(ISNUMBER(L112),L112*INDEX(LenF,MATCH($L$7,LenU,0))*1000,IF(OR(J112="",K112=""),"",IFERROR(IF(INDEX(PipeWT,MATCH(J112,NPSU,0),MATCH(K112,SchU,0))="","Sch n/a",INDEX(PipeOD,MATCH(J112,NPSU,0))-2*INDEX(PipeWT,MATCH(J112,NPSU,0),MATCH(K112,SchU,0))),"")))</f>
        <v/>
      </c>
      <c r="AT112" s="27" t="n">
        <f aca="false">IF(ISNUMBER(AI112),AI112,IFERROR(INDEX(IF(CC_JobType="Decontamination",CC_TypeFillDC,CC_TypeFillCC),MATCH(E112,CC_TypeL,0)),1))</f>
        <v>1</v>
      </c>
      <c r="AU112" s="27" t="n">
        <v>4</v>
      </c>
    </row>
    <row r="113" customFormat="false" ht="15" hidden="false" customHeight="false" outlineLevel="0" collapsed="false">
      <c r="A113" s="36" t="n">
        <v>5</v>
      </c>
      <c r="B113" s="40"/>
      <c r="C113" s="32"/>
      <c r="D113" s="32"/>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1" t="str">
        <f aca="false">IF(E113="Exchanger",IF(AND(ISNUMBER(S113),ISNUMBER(U113),ISNUMBER(V113)),S113*PI()/4*(U113*INDEX(LenF,MATCH($U$7,LenU,0)))^2*V113*INDEX(LenF,MATCH($V$7,LenU,0)),0)+IF(ISNUMBER(Y113),PI()/4*(Y113*INDEX(LenF,MATCH($Y$7,LenU,0)))^2*N(Z113)*INDEX(LenF,MATCH($Z$7,LenU,0))+IF(AA113="",0,IF(AA113="Conical",PI()/12*(Y113*INDEX(LenF,MATCH($Y$7,LenU,0)))^2*(0),INDEX(HeadK,MATCH(AA113,HeadU,0))*(Y113*INDEX(LenF,MATCH($Y$7,LenU,0)))^3)),0)+IF(ISNUMBER(Y113),PI()/4*(Y113*INDEX(LenF,MATCH($Y$7,LenU,0)))^2*N(AB113)*INDEX(LenF,MATCH($AB$7,LenU,0))+IF(AC113="",0,IF(AC113="Conical",PI()/12*(Y113*INDEX(LenF,MATCH($Y$7,LenU,0)))^2*(0),INDEX(HeadK,MATCH(AC113,HeadU,0))*(Y113*INDEX(LenF,MATCH($Y$7,LenU,0)))^3)),0),"")</f>
        <v/>
      </c>
      <c r="AE113" s="41" t="str">
        <f aca="false">IF(OR(E113="",E113="Piping"),"",IF(E113="Exchanger",AQ113*AR113+IF(P113="",0,IF(P113="Conical",PI()/12*(SQRT(4*AQ113/PI()))^2*(0),INDEX(HeadK,MATCH(P113,HeadU,0))*(SQRT(4*AQ113/PI()))^3))-IF(AND(ISNUMBER(S113),ISNUMBER(V113)),S113*PI()/4*AP113^2*V113*INDEX(LenF,MATCH($V$7,LenU,0)),0),IF(ISNUMBER(N113),PI()/4*(N113*INDEX(LenF,MATCH($N$7,LenU,0)))^2*N(O113)*INDEX(LenF,MATCH($O$7,LenU,0))+IF(P113="",0,IF(P113="Conical",PI()/12*(N113*INDEX(LenF,MATCH($N$7,LenU,0)))^2*(N(R113)*INDEX(LenF,MATCH($R$7,LenU,0))),INDEX(HeadK,MATCH(P113,HeadU,0))*(N113*INDEX(LenF,MATCH($N$7,LenU,0)))^3))+IF(Q113="",0,IF(Q113="Conical",PI()/12*(N113*INDEX(LenF,MATCH($N$7,LenU,0)))^2*(N(R113)*INDEX(LenF,MATCH($R$7,LenU,0))),INDEX(HeadK,MATCH(Q113,HeadU,0))*(N113*INDEX(LenF,MATCH($N$7,LenU,0)))^3)),0)))</f>
        <v/>
      </c>
      <c r="AF113" s="41" t="str">
        <f aca="false">IF(E113&lt;&gt;"Piping","",IF(AND(ISNUMBER(AS113),ISNUMBER(M113)),PI()/4*(AS113/1000)^2*M113*INDEX(LenF,MATCH($M$7,LenU,0)),0))</f>
        <v/>
      </c>
      <c r="AG113" s="41" t="str">
        <f aca="false">IF(E113="","",N(AD113)+N(AE113)+N(AF113))</f>
        <v/>
      </c>
      <c r="AH113" s="41" t="str">
        <f aca="false">IF(ISNUMBER(I113),I113*INDEX(WtF,MATCH($I$7,WtU,0))/CC_WaterRho,"")</f>
        <v/>
      </c>
      <c r="AI113" s="31"/>
      <c r="AJ113" s="31"/>
      <c r="AK113" s="40"/>
      <c r="AL113" s="31"/>
      <c r="AM113" s="41" t="str">
        <f aca="false">IF(AO113="","",AO113*IF(ISNUMBER(AK113),AK113,CC_DefFills)*(1+IF(ISNUMBER(AL113),AL113,CC_DefAllow)))</f>
        <v/>
      </c>
      <c r="AN113" s="42" t="str">
        <f aca="false">IF(G113="Given volume",IF(ISNUMBER(H113),H113*INDEX(VolF,MATCH($H$7,VolU,0)),""),IF(G113="Water weight",AH113,IF(N(AG113)=0,"",AG113)))</f>
        <v/>
      </c>
      <c r="AO113" s="42" t="str">
        <f aca="false">IF(N(AN113)=0,"",AN113*AT113*IF(ISNUMBER(AJ113),AJ113,CC_DefCirc))</f>
        <v/>
      </c>
      <c r="AP113" s="27" t="n">
        <f aca="false">IF(ISNUMBER(T113),T113*INDEX(LenF,MATCH($T$7,LenU,0)),IF(ISNUMBER(W113),W113*INDEX(LenF,MATCH($W$7,LenU,0))/CC_PitchRatio,0))</f>
        <v>0</v>
      </c>
      <c r="AQ113" s="27" t="n">
        <f aca="false">IF(ISNUMBER(N113),PI()/4*(N113*INDEX(LenF,MATCH($N$7,LenU,0)))^2,IF(AND(ISNUMBER(S113),ISNUMBER(W113),X113&lt;&gt;""),S113*(W113*INDEX(LenF,MATCH($W$7,LenU,0)))^2*INDEX(LayoutF,MATCH(X113,LayoutU,0)),0))</f>
        <v>0</v>
      </c>
      <c r="AR113" s="27" t="n">
        <f aca="false">IF(ISNUMBER(O113),O113*INDEX(LenF,MATCH($O$7,LenU,0)),IF(ISNUMBER(V113),V113*INDEX(LenF,MATCH($V$7,LenU,0)),0))</f>
        <v>0</v>
      </c>
      <c r="AS113" s="27" t="str">
        <f aca="false">IF(ISNUMBER(L113),L113*INDEX(LenF,MATCH($L$7,LenU,0))*1000,IF(OR(J113="",K113=""),"",IFERROR(IF(INDEX(PipeWT,MATCH(J113,NPSU,0),MATCH(K113,SchU,0))="","Sch n/a",INDEX(PipeOD,MATCH(J113,NPSU,0))-2*INDEX(PipeWT,MATCH(J113,NPSU,0),MATCH(K113,SchU,0))),"")))</f>
        <v/>
      </c>
      <c r="AT113" s="27" t="n">
        <f aca="false">IF(ISNUMBER(AI113),AI113,IFERROR(INDEX(IF(CC_JobType="Decontamination",CC_TypeFillDC,CC_TypeFillCC),MATCH(E113,CC_TypeL,0)),1))</f>
        <v>1</v>
      </c>
      <c r="AU113" s="27" t="n">
        <v>4</v>
      </c>
    </row>
    <row r="114" customFormat="false" ht="15" hidden="false" customHeight="false" outlineLevel="0" collapsed="false">
      <c r="A114" s="36" t="n">
        <v>6</v>
      </c>
      <c r="B114" s="40"/>
      <c r="C114" s="32"/>
      <c r="D114" s="32"/>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1" t="str">
        <f aca="false">IF(E114="Exchanger",IF(AND(ISNUMBER(S114),ISNUMBER(U114),ISNUMBER(V114)),S114*PI()/4*(U114*INDEX(LenF,MATCH($U$7,LenU,0)))^2*V114*INDEX(LenF,MATCH($V$7,LenU,0)),0)+IF(ISNUMBER(Y114),PI()/4*(Y114*INDEX(LenF,MATCH($Y$7,LenU,0)))^2*N(Z114)*INDEX(LenF,MATCH($Z$7,LenU,0))+IF(AA114="",0,IF(AA114="Conical",PI()/12*(Y114*INDEX(LenF,MATCH($Y$7,LenU,0)))^2*(0),INDEX(HeadK,MATCH(AA114,HeadU,0))*(Y114*INDEX(LenF,MATCH($Y$7,LenU,0)))^3)),0)+IF(ISNUMBER(Y114),PI()/4*(Y114*INDEX(LenF,MATCH($Y$7,LenU,0)))^2*N(AB114)*INDEX(LenF,MATCH($AB$7,LenU,0))+IF(AC114="",0,IF(AC114="Conical",PI()/12*(Y114*INDEX(LenF,MATCH($Y$7,LenU,0)))^2*(0),INDEX(HeadK,MATCH(AC114,HeadU,0))*(Y114*INDEX(LenF,MATCH($Y$7,LenU,0)))^3)),0),"")</f>
        <v/>
      </c>
      <c r="AE114" s="41" t="str">
        <f aca="false">IF(OR(E114="",E114="Piping"),"",IF(E114="Exchanger",AQ114*AR114+IF(P114="",0,IF(P114="Conical",PI()/12*(SQRT(4*AQ114/PI()))^2*(0),INDEX(HeadK,MATCH(P114,HeadU,0))*(SQRT(4*AQ114/PI()))^3))-IF(AND(ISNUMBER(S114),ISNUMBER(V114)),S114*PI()/4*AP114^2*V114*INDEX(LenF,MATCH($V$7,LenU,0)),0),IF(ISNUMBER(N114),PI()/4*(N114*INDEX(LenF,MATCH($N$7,LenU,0)))^2*N(O114)*INDEX(LenF,MATCH($O$7,LenU,0))+IF(P114="",0,IF(P114="Conical",PI()/12*(N114*INDEX(LenF,MATCH($N$7,LenU,0)))^2*(N(R114)*INDEX(LenF,MATCH($R$7,LenU,0))),INDEX(HeadK,MATCH(P114,HeadU,0))*(N114*INDEX(LenF,MATCH($N$7,LenU,0)))^3))+IF(Q114="",0,IF(Q114="Conical",PI()/12*(N114*INDEX(LenF,MATCH($N$7,LenU,0)))^2*(N(R114)*INDEX(LenF,MATCH($R$7,LenU,0))),INDEX(HeadK,MATCH(Q114,HeadU,0))*(N114*INDEX(LenF,MATCH($N$7,LenU,0)))^3)),0)))</f>
        <v/>
      </c>
      <c r="AF114" s="41" t="str">
        <f aca="false">IF(E114&lt;&gt;"Piping","",IF(AND(ISNUMBER(AS114),ISNUMBER(M114)),PI()/4*(AS114/1000)^2*M114*INDEX(LenF,MATCH($M$7,LenU,0)),0))</f>
        <v/>
      </c>
      <c r="AG114" s="41" t="str">
        <f aca="false">IF(E114="","",N(AD114)+N(AE114)+N(AF114))</f>
        <v/>
      </c>
      <c r="AH114" s="41" t="str">
        <f aca="false">IF(ISNUMBER(I114),I114*INDEX(WtF,MATCH($I$7,WtU,0))/CC_WaterRho,"")</f>
        <v/>
      </c>
      <c r="AI114" s="31"/>
      <c r="AJ114" s="31"/>
      <c r="AK114" s="40"/>
      <c r="AL114" s="31"/>
      <c r="AM114" s="41" t="str">
        <f aca="false">IF(AO114="","",AO114*IF(ISNUMBER(AK114),AK114,CC_DefFills)*(1+IF(ISNUMBER(AL114),AL114,CC_DefAllow)))</f>
        <v/>
      </c>
      <c r="AN114" s="42" t="str">
        <f aca="false">IF(G114="Given volume",IF(ISNUMBER(H114),H114*INDEX(VolF,MATCH($H$7,VolU,0)),""),IF(G114="Water weight",AH114,IF(N(AG114)=0,"",AG114)))</f>
        <v/>
      </c>
      <c r="AO114" s="42" t="str">
        <f aca="false">IF(N(AN114)=0,"",AN114*AT114*IF(ISNUMBER(AJ114),AJ114,CC_DefCirc))</f>
        <v/>
      </c>
      <c r="AP114" s="27" t="n">
        <f aca="false">IF(ISNUMBER(T114),T114*INDEX(LenF,MATCH($T$7,LenU,0)),IF(ISNUMBER(W114),W114*INDEX(LenF,MATCH($W$7,LenU,0))/CC_PitchRatio,0))</f>
        <v>0</v>
      </c>
      <c r="AQ114" s="27" t="n">
        <f aca="false">IF(ISNUMBER(N114),PI()/4*(N114*INDEX(LenF,MATCH($N$7,LenU,0)))^2,IF(AND(ISNUMBER(S114),ISNUMBER(W114),X114&lt;&gt;""),S114*(W114*INDEX(LenF,MATCH($W$7,LenU,0)))^2*INDEX(LayoutF,MATCH(X114,LayoutU,0)),0))</f>
        <v>0</v>
      </c>
      <c r="AR114" s="27" t="n">
        <f aca="false">IF(ISNUMBER(O114),O114*INDEX(LenF,MATCH($O$7,LenU,0)),IF(ISNUMBER(V114),V114*INDEX(LenF,MATCH($V$7,LenU,0)),0))</f>
        <v>0</v>
      </c>
      <c r="AS114" s="27" t="str">
        <f aca="false">IF(ISNUMBER(L114),L114*INDEX(LenF,MATCH($L$7,LenU,0))*1000,IF(OR(J114="",K114=""),"",IFERROR(IF(INDEX(PipeWT,MATCH(J114,NPSU,0),MATCH(K114,SchU,0))="","Sch n/a",INDEX(PipeOD,MATCH(J114,NPSU,0))-2*INDEX(PipeWT,MATCH(J114,NPSU,0),MATCH(K114,SchU,0))),"")))</f>
        <v/>
      </c>
      <c r="AT114" s="27" t="n">
        <f aca="false">IF(ISNUMBER(AI114),AI114,IFERROR(INDEX(IF(CC_JobType="Decontamination",CC_TypeFillDC,CC_TypeFillCC),MATCH(E114,CC_TypeL,0)),1))</f>
        <v>1</v>
      </c>
      <c r="AU114" s="27" t="n">
        <v>4</v>
      </c>
    </row>
    <row r="115" customFormat="false" ht="15" hidden="false" customHeight="false" outlineLevel="0" collapsed="false">
      <c r="A115" s="36" t="n">
        <v>7</v>
      </c>
      <c r="B115" s="40"/>
      <c r="C115" s="32"/>
      <c r="D115" s="32"/>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1" t="str">
        <f aca="false">IF(E115="Exchanger",IF(AND(ISNUMBER(S115),ISNUMBER(U115),ISNUMBER(V115)),S115*PI()/4*(U115*INDEX(LenF,MATCH($U$7,LenU,0)))^2*V115*INDEX(LenF,MATCH($V$7,LenU,0)),0)+IF(ISNUMBER(Y115),PI()/4*(Y115*INDEX(LenF,MATCH($Y$7,LenU,0)))^2*N(Z115)*INDEX(LenF,MATCH($Z$7,LenU,0))+IF(AA115="",0,IF(AA115="Conical",PI()/12*(Y115*INDEX(LenF,MATCH($Y$7,LenU,0)))^2*(0),INDEX(HeadK,MATCH(AA115,HeadU,0))*(Y115*INDEX(LenF,MATCH($Y$7,LenU,0)))^3)),0)+IF(ISNUMBER(Y115),PI()/4*(Y115*INDEX(LenF,MATCH($Y$7,LenU,0)))^2*N(AB115)*INDEX(LenF,MATCH($AB$7,LenU,0))+IF(AC115="",0,IF(AC115="Conical",PI()/12*(Y115*INDEX(LenF,MATCH($Y$7,LenU,0)))^2*(0),INDEX(HeadK,MATCH(AC115,HeadU,0))*(Y115*INDEX(LenF,MATCH($Y$7,LenU,0)))^3)),0),"")</f>
        <v/>
      </c>
      <c r="AE115" s="41" t="str">
        <f aca="false">IF(OR(E115="",E115="Piping"),"",IF(E115="Exchanger",AQ115*AR115+IF(P115="",0,IF(P115="Conical",PI()/12*(SQRT(4*AQ115/PI()))^2*(0),INDEX(HeadK,MATCH(P115,HeadU,0))*(SQRT(4*AQ115/PI()))^3))-IF(AND(ISNUMBER(S115),ISNUMBER(V115)),S115*PI()/4*AP115^2*V115*INDEX(LenF,MATCH($V$7,LenU,0)),0),IF(ISNUMBER(N115),PI()/4*(N115*INDEX(LenF,MATCH($N$7,LenU,0)))^2*N(O115)*INDEX(LenF,MATCH($O$7,LenU,0))+IF(P115="",0,IF(P115="Conical",PI()/12*(N115*INDEX(LenF,MATCH($N$7,LenU,0)))^2*(N(R115)*INDEX(LenF,MATCH($R$7,LenU,0))),INDEX(HeadK,MATCH(P115,HeadU,0))*(N115*INDEX(LenF,MATCH($N$7,LenU,0)))^3))+IF(Q115="",0,IF(Q115="Conical",PI()/12*(N115*INDEX(LenF,MATCH($N$7,LenU,0)))^2*(N(R115)*INDEX(LenF,MATCH($R$7,LenU,0))),INDEX(HeadK,MATCH(Q115,HeadU,0))*(N115*INDEX(LenF,MATCH($N$7,LenU,0)))^3)),0)))</f>
        <v/>
      </c>
      <c r="AF115" s="41" t="str">
        <f aca="false">IF(E115&lt;&gt;"Piping","",IF(AND(ISNUMBER(AS115),ISNUMBER(M115)),PI()/4*(AS115/1000)^2*M115*INDEX(LenF,MATCH($M$7,LenU,0)),0))</f>
        <v/>
      </c>
      <c r="AG115" s="41" t="str">
        <f aca="false">IF(E115="","",N(AD115)+N(AE115)+N(AF115))</f>
        <v/>
      </c>
      <c r="AH115" s="41" t="str">
        <f aca="false">IF(ISNUMBER(I115),I115*INDEX(WtF,MATCH($I$7,WtU,0))/CC_WaterRho,"")</f>
        <v/>
      </c>
      <c r="AI115" s="31"/>
      <c r="AJ115" s="31"/>
      <c r="AK115" s="40"/>
      <c r="AL115" s="31"/>
      <c r="AM115" s="41" t="str">
        <f aca="false">IF(AO115="","",AO115*IF(ISNUMBER(AK115),AK115,CC_DefFills)*(1+IF(ISNUMBER(AL115),AL115,CC_DefAllow)))</f>
        <v/>
      </c>
      <c r="AN115" s="42" t="str">
        <f aca="false">IF(G115="Given volume",IF(ISNUMBER(H115),H115*INDEX(VolF,MATCH($H$7,VolU,0)),""),IF(G115="Water weight",AH115,IF(N(AG115)=0,"",AG115)))</f>
        <v/>
      </c>
      <c r="AO115" s="42" t="str">
        <f aca="false">IF(N(AN115)=0,"",AN115*AT115*IF(ISNUMBER(AJ115),AJ115,CC_DefCirc))</f>
        <v/>
      </c>
      <c r="AP115" s="27" t="n">
        <f aca="false">IF(ISNUMBER(T115),T115*INDEX(LenF,MATCH($T$7,LenU,0)),IF(ISNUMBER(W115),W115*INDEX(LenF,MATCH($W$7,LenU,0))/CC_PitchRatio,0))</f>
        <v>0</v>
      </c>
      <c r="AQ115" s="27" t="n">
        <f aca="false">IF(ISNUMBER(N115),PI()/4*(N115*INDEX(LenF,MATCH($N$7,LenU,0)))^2,IF(AND(ISNUMBER(S115),ISNUMBER(W115),X115&lt;&gt;""),S115*(W115*INDEX(LenF,MATCH($W$7,LenU,0)))^2*INDEX(LayoutF,MATCH(X115,LayoutU,0)),0))</f>
        <v>0</v>
      </c>
      <c r="AR115" s="27" t="n">
        <f aca="false">IF(ISNUMBER(O115),O115*INDEX(LenF,MATCH($O$7,LenU,0)),IF(ISNUMBER(V115),V115*INDEX(LenF,MATCH($V$7,LenU,0)),0))</f>
        <v>0</v>
      </c>
      <c r="AS115" s="27" t="str">
        <f aca="false">IF(ISNUMBER(L115),L115*INDEX(LenF,MATCH($L$7,LenU,0))*1000,IF(OR(J115="",K115=""),"",IFERROR(IF(INDEX(PipeWT,MATCH(J115,NPSU,0),MATCH(K115,SchU,0))="","Sch n/a",INDEX(PipeOD,MATCH(J115,NPSU,0))-2*INDEX(PipeWT,MATCH(J115,NPSU,0),MATCH(K115,SchU,0))),"")))</f>
        <v/>
      </c>
      <c r="AT115" s="27" t="n">
        <f aca="false">IF(ISNUMBER(AI115),AI115,IFERROR(INDEX(IF(CC_JobType="Decontamination",CC_TypeFillDC,CC_TypeFillCC),MATCH(E115,CC_TypeL,0)),1))</f>
        <v>1</v>
      </c>
      <c r="AU115" s="27" t="n">
        <v>4</v>
      </c>
    </row>
    <row r="116" customFormat="false" ht="15" hidden="false" customHeight="false" outlineLevel="0" collapsed="false">
      <c r="A116" s="36" t="n">
        <v>8</v>
      </c>
      <c r="B116" s="40"/>
      <c r="C116" s="32"/>
      <c r="D116" s="32"/>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1" t="str">
        <f aca="false">IF(E116="Exchanger",IF(AND(ISNUMBER(S116),ISNUMBER(U116),ISNUMBER(V116)),S116*PI()/4*(U116*INDEX(LenF,MATCH($U$7,LenU,0)))^2*V116*INDEX(LenF,MATCH($V$7,LenU,0)),0)+IF(ISNUMBER(Y116),PI()/4*(Y116*INDEX(LenF,MATCH($Y$7,LenU,0)))^2*N(Z116)*INDEX(LenF,MATCH($Z$7,LenU,0))+IF(AA116="",0,IF(AA116="Conical",PI()/12*(Y116*INDEX(LenF,MATCH($Y$7,LenU,0)))^2*(0),INDEX(HeadK,MATCH(AA116,HeadU,0))*(Y116*INDEX(LenF,MATCH($Y$7,LenU,0)))^3)),0)+IF(ISNUMBER(Y116),PI()/4*(Y116*INDEX(LenF,MATCH($Y$7,LenU,0)))^2*N(AB116)*INDEX(LenF,MATCH($AB$7,LenU,0))+IF(AC116="",0,IF(AC116="Conical",PI()/12*(Y116*INDEX(LenF,MATCH($Y$7,LenU,0)))^2*(0),INDEX(HeadK,MATCH(AC116,HeadU,0))*(Y116*INDEX(LenF,MATCH($Y$7,LenU,0)))^3)),0),"")</f>
        <v/>
      </c>
      <c r="AE116" s="41" t="str">
        <f aca="false">IF(OR(E116="",E116="Piping"),"",IF(E116="Exchanger",AQ116*AR116+IF(P116="",0,IF(P116="Conical",PI()/12*(SQRT(4*AQ116/PI()))^2*(0),INDEX(HeadK,MATCH(P116,HeadU,0))*(SQRT(4*AQ116/PI()))^3))-IF(AND(ISNUMBER(S116),ISNUMBER(V116)),S116*PI()/4*AP116^2*V116*INDEX(LenF,MATCH($V$7,LenU,0)),0),IF(ISNUMBER(N116),PI()/4*(N116*INDEX(LenF,MATCH($N$7,LenU,0)))^2*N(O116)*INDEX(LenF,MATCH($O$7,LenU,0))+IF(P116="",0,IF(P116="Conical",PI()/12*(N116*INDEX(LenF,MATCH($N$7,LenU,0)))^2*(N(R116)*INDEX(LenF,MATCH($R$7,LenU,0))),INDEX(HeadK,MATCH(P116,HeadU,0))*(N116*INDEX(LenF,MATCH($N$7,LenU,0)))^3))+IF(Q116="",0,IF(Q116="Conical",PI()/12*(N116*INDEX(LenF,MATCH($N$7,LenU,0)))^2*(N(R116)*INDEX(LenF,MATCH($R$7,LenU,0))),INDEX(HeadK,MATCH(Q116,HeadU,0))*(N116*INDEX(LenF,MATCH($N$7,LenU,0)))^3)),0)))</f>
        <v/>
      </c>
      <c r="AF116" s="41" t="str">
        <f aca="false">IF(E116&lt;&gt;"Piping","",IF(AND(ISNUMBER(AS116),ISNUMBER(M116)),PI()/4*(AS116/1000)^2*M116*INDEX(LenF,MATCH($M$7,LenU,0)),0))</f>
        <v/>
      </c>
      <c r="AG116" s="41" t="str">
        <f aca="false">IF(E116="","",N(AD116)+N(AE116)+N(AF116))</f>
        <v/>
      </c>
      <c r="AH116" s="41" t="str">
        <f aca="false">IF(ISNUMBER(I116),I116*INDEX(WtF,MATCH($I$7,WtU,0))/CC_WaterRho,"")</f>
        <v/>
      </c>
      <c r="AI116" s="31"/>
      <c r="AJ116" s="31"/>
      <c r="AK116" s="40"/>
      <c r="AL116" s="31"/>
      <c r="AM116" s="41" t="str">
        <f aca="false">IF(AO116="","",AO116*IF(ISNUMBER(AK116),AK116,CC_DefFills)*(1+IF(ISNUMBER(AL116),AL116,CC_DefAllow)))</f>
        <v/>
      </c>
      <c r="AN116" s="42" t="str">
        <f aca="false">IF(G116="Given volume",IF(ISNUMBER(H116),H116*INDEX(VolF,MATCH($H$7,VolU,0)),""),IF(G116="Water weight",AH116,IF(N(AG116)=0,"",AG116)))</f>
        <v/>
      </c>
      <c r="AO116" s="42" t="str">
        <f aca="false">IF(N(AN116)=0,"",AN116*AT116*IF(ISNUMBER(AJ116),AJ116,CC_DefCirc))</f>
        <v/>
      </c>
      <c r="AP116" s="27" t="n">
        <f aca="false">IF(ISNUMBER(T116),T116*INDEX(LenF,MATCH($T$7,LenU,0)),IF(ISNUMBER(W116),W116*INDEX(LenF,MATCH($W$7,LenU,0))/CC_PitchRatio,0))</f>
        <v>0</v>
      </c>
      <c r="AQ116" s="27" t="n">
        <f aca="false">IF(ISNUMBER(N116),PI()/4*(N116*INDEX(LenF,MATCH($N$7,LenU,0)))^2,IF(AND(ISNUMBER(S116),ISNUMBER(W116),X116&lt;&gt;""),S116*(W116*INDEX(LenF,MATCH($W$7,LenU,0)))^2*INDEX(LayoutF,MATCH(X116,LayoutU,0)),0))</f>
        <v>0</v>
      </c>
      <c r="AR116" s="27" t="n">
        <f aca="false">IF(ISNUMBER(O116),O116*INDEX(LenF,MATCH($O$7,LenU,0)),IF(ISNUMBER(V116),V116*INDEX(LenF,MATCH($V$7,LenU,0)),0))</f>
        <v>0</v>
      </c>
      <c r="AS116" s="27" t="str">
        <f aca="false">IF(ISNUMBER(L116),L116*INDEX(LenF,MATCH($L$7,LenU,0))*1000,IF(OR(J116="",K116=""),"",IFERROR(IF(INDEX(PipeWT,MATCH(J116,NPSU,0),MATCH(K116,SchU,0))="","Sch n/a",INDEX(PipeOD,MATCH(J116,NPSU,0))-2*INDEX(PipeWT,MATCH(J116,NPSU,0),MATCH(K116,SchU,0))),"")))</f>
        <v/>
      </c>
      <c r="AT116" s="27" t="n">
        <f aca="false">IF(ISNUMBER(AI116),AI116,IFERROR(INDEX(IF(CC_JobType="Decontamination",CC_TypeFillDC,CC_TypeFillCC),MATCH(E116,CC_TypeL,0)),1))</f>
        <v>1</v>
      </c>
      <c r="AU116" s="27" t="n">
        <v>4</v>
      </c>
    </row>
    <row r="117" customFormat="false" ht="15" hidden="false" customHeight="false" outlineLevel="0" collapsed="false">
      <c r="A117" s="36" t="n">
        <v>9</v>
      </c>
      <c r="B117" s="40"/>
      <c r="C117" s="32"/>
      <c r="D117" s="32"/>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1" t="str">
        <f aca="false">IF(E117="Exchanger",IF(AND(ISNUMBER(S117),ISNUMBER(U117),ISNUMBER(V117)),S117*PI()/4*(U117*INDEX(LenF,MATCH($U$7,LenU,0)))^2*V117*INDEX(LenF,MATCH($V$7,LenU,0)),0)+IF(ISNUMBER(Y117),PI()/4*(Y117*INDEX(LenF,MATCH($Y$7,LenU,0)))^2*N(Z117)*INDEX(LenF,MATCH($Z$7,LenU,0))+IF(AA117="",0,IF(AA117="Conical",PI()/12*(Y117*INDEX(LenF,MATCH($Y$7,LenU,0)))^2*(0),INDEX(HeadK,MATCH(AA117,HeadU,0))*(Y117*INDEX(LenF,MATCH($Y$7,LenU,0)))^3)),0)+IF(ISNUMBER(Y117),PI()/4*(Y117*INDEX(LenF,MATCH($Y$7,LenU,0)))^2*N(AB117)*INDEX(LenF,MATCH($AB$7,LenU,0))+IF(AC117="",0,IF(AC117="Conical",PI()/12*(Y117*INDEX(LenF,MATCH($Y$7,LenU,0)))^2*(0),INDEX(HeadK,MATCH(AC117,HeadU,0))*(Y117*INDEX(LenF,MATCH($Y$7,LenU,0)))^3)),0),"")</f>
        <v/>
      </c>
      <c r="AE117" s="41" t="str">
        <f aca="false">IF(OR(E117="",E117="Piping"),"",IF(E117="Exchanger",AQ117*AR117+IF(P117="",0,IF(P117="Conical",PI()/12*(SQRT(4*AQ117/PI()))^2*(0),INDEX(HeadK,MATCH(P117,HeadU,0))*(SQRT(4*AQ117/PI()))^3))-IF(AND(ISNUMBER(S117),ISNUMBER(V117)),S117*PI()/4*AP117^2*V117*INDEX(LenF,MATCH($V$7,LenU,0)),0),IF(ISNUMBER(N117),PI()/4*(N117*INDEX(LenF,MATCH($N$7,LenU,0)))^2*N(O117)*INDEX(LenF,MATCH($O$7,LenU,0))+IF(P117="",0,IF(P117="Conical",PI()/12*(N117*INDEX(LenF,MATCH($N$7,LenU,0)))^2*(N(R117)*INDEX(LenF,MATCH($R$7,LenU,0))),INDEX(HeadK,MATCH(P117,HeadU,0))*(N117*INDEX(LenF,MATCH($N$7,LenU,0)))^3))+IF(Q117="",0,IF(Q117="Conical",PI()/12*(N117*INDEX(LenF,MATCH($N$7,LenU,0)))^2*(N(R117)*INDEX(LenF,MATCH($R$7,LenU,0))),INDEX(HeadK,MATCH(Q117,HeadU,0))*(N117*INDEX(LenF,MATCH($N$7,LenU,0)))^3)),0)))</f>
        <v/>
      </c>
      <c r="AF117" s="41" t="str">
        <f aca="false">IF(E117&lt;&gt;"Piping","",IF(AND(ISNUMBER(AS117),ISNUMBER(M117)),PI()/4*(AS117/1000)^2*M117*INDEX(LenF,MATCH($M$7,LenU,0)),0))</f>
        <v/>
      </c>
      <c r="AG117" s="41" t="str">
        <f aca="false">IF(E117="","",N(AD117)+N(AE117)+N(AF117))</f>
        <v/>
      </c>
      <c r="AH117" s="41" t="str">
        <f aca="false">IF(ISNUMBER(I117),I117*INDEX(WtF,MATCH($I$7,WtU,0))/CC_WaterRho,"")</f>
        <v/>
      </c>
      <c r="AI117" s="31"/>
      <c r="AJ117" s="31"/>
      <c r="AK117" s="40"/>
      <c r="AL117" s="31"/>
      <c r="AM117" s="41" t="str">
        <f aca="false">IF(AO117="","",AO117*IF(ISNUMBER(AK117),AK117,CC_DefFills)*(1+IF(ISNUMBER(AL117),AL117,CC_DefAllow)))</f>
        <v/>
      </c>
      <c r="AN117" s="42" t="str">
        <f aca="false">IF(G117="Given volume",IF(ISNUMBER(H117),H117*INDEX(VolF,MATCH($H$7,VolU,0)),""),IF(G117="Water weight",AH117,IF(N(AG117)=0,"",AG117)))</f>
        <v/>
      </c>
      <c r="AO117" s="42" t="str">
        <f aca="false">IF(N(AN117)=0,"",AN117*AT117*IF(ISNUMBER(AJ117),AJ117,CC_DefCirc))</f>
        <v/>
      </c>
      <c r="AP117" s="27" t="n">
        <f aca="false">IF(ISNUMBER(T117),T117*INDEX(LenF,MATCH($T$7,LenU,0)),IF(ISNUMBER(W117),W117*INDEX(LenF,MATCH($W$7,LenU,0))/CC_PitchRatio,0))</f>
        <v>0</v>
      </c>
      <c r="AQ117" s="27" t="n">
        <f aca="false">IF(ISNUMBER(N117),PI()/4*(N117*INDEX(LenF,MATCH($N$7,LenU,0)))^2,IF(AND(ISNUMBER(S117),ISNUMBER(W117),X117&lt;&gt;""),S117*(W117*INDEX(LenF,MATCH($W$7,LenU,0)))^2*INDEX(LayoutF,MATCH(X117,LayoutU,0)),0))</f>
        <v>0</v>
      </c>
      <c r="AR117" s="27" t="n">
        <f aca="false">IF(ISNUMBER(O117),O117*INDEX(LenF,MATCH($O$7,LenU,0)),IF(ISNUMBER(V117),V117*INDEX(LenF,MATCH($V$7,LenU,0)),0))</f>
        <v>0</v>
      </c>
      <c r="AS117" s="27" t="str">
        <f aca="false">IF(ISNUMBER(L117),L117*INDEX(LenF,MATCH($L$7,LenU,0))*1000,IF(OR(J117="",K117=""),"",IFERROR(IF(INDEX(PipeWT,MATCH(J117,NPSU,0),MATCH(K117,SchU,0))="","Sch n/a",INDEX(PipeOD,MATCH(J117,NPSU,0))-2*INDEX(PipeWT,MATCH(J117,NPSU,0),MATCH(K117,SchU,0))),"")))</f>
        <v/>
      </c>
      <c r="AT117" s="27" t="n">
        <f aca="false">IF(ISNUMBER(AI117),AI117,IFERROR(INDEX(IF(CC_JobType="Decontamination",CC_TypeFillDC,CC_TypeFillCC),MATCH(E117,CC_TypeL,0)),1))</f>
        <v>1</v>
      </c>
      <c r="AU117" s="27" t="n">
        <v>4</v>
      </c>
    </row>
    <row r="118" customFormat="false" ht="15" hidden="false" customHeight="false" outlineLevel="0" collapsed="false">
      <c r="A118" s="36" t="n">
        <v>10</v>
      </c>
      <c r="B118" s="40"/>
      <c r="C118" s="32"/>
      <c r="D118" s="32"/>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1" t="str">
        <f aca="false">IF(E118="Exchanger",IF(AND(ISNUMBER(S118),ISNUMBER(U118),ISNUMBER(V118)),S118*PI()/4*(U118*INDEX(LenF,MATCH($U$7,LenU,0)))^2*V118*INDEX(LenF,MATCH($V$7,LenU,0)),0)+IF(ISNUMBER(Y118),PI()/4*(Y118*INDEX(LenF,MATCH($Y$7,LenU,0)))^2*N(Z118)*INDEX(LenF,MATCH($Z$7,LenU,0))+IF(AA118="",0,IF(AA118="Conical",PI()/12*(Y118*INDEX(LenF,MATCH($Y$7,LenU,0)))^2*(0),INDEX(HeadK,MATCH(AA118,HeadU,0))*(Y118*INDEX(LenF,MATCH($Y$7,LenU,0)))^3)),0)+IF(ISNUMBER(Y118),PI()/4*(Y118*INDEX(LenF,MATCH($Y$7,LenU,0)))^2*N(AB118)*INDEX(LenF,MATCH($AB$7,LenU,0))+IF(AC118="",0,IF(AC118="Conical",PI()/12*(Y118*INDEX(LenF,MATCH($Y$7,LenU,0)))^2*(0),INDEX(HeadK,MATCH(AC118,HeadU,0))*(Y118*INDEX(LenF,MATCH($Y$7,LenU,0)))^3)),0),"")</f>
        <v/>
      </c>
      <c r="AE118" s="41" t="str">
        <f aca="false">IF(OR(E118="",E118="Piping"),"",IF(E118="Exchanger",AQ118*AR118+IF(P118="",0,IF(P118="Conical",PI()/12*(SQRT(4*AQ118/PI()))^2*(0),INDEX(HeadK,MATCH(P118,HeadU,0))*(SQRT(4*AQ118/PI()))^3))-IF(AND(ISNUMBER(S118),ISNUMBER(V118)),S118*PI()/4*AP118^2*V118*INDEX(LenF,MATCH($V$7,LenU,0)),0),IF(ISNUMBER(N118),PI()/4*(N118*INDEX(LenF,MATCH($N$7,LenU,0)))^2*N(O118)*INDEX(LenF,MATCH($O$7,LenU,0))+IF(P118="",0,IF(P118="Conical",PI()/12*(N118*INDEX(LenF,MATCH($N$7,LenU,0)))^2*(N(R118)*INDEX(LenF,MATCH($R$7,LenU,0))),INDEX(HeadK,MATCH(P118,HeadU,0))*(N118*INDEX(LenF,MATCH($N$7,LenU,0)))^3))+IF(Q118="",0,IF(Q118="Conical",PI()/12*(N118*INDEX(LenF,MATCH($N$7,LenU,0)))^2*(N(R118)*INDEX(LenF,MATCH($R$7,LenU,0))),INDEX(HeadK,MATCH(Q118,HeadU,0))*(N118*INDEX(LenF,MATCH($N$7,LenU,0)))^3)),0)))</f>
        <v/>
      </c>
      <c r="AF118" s="41" t="str">
        <f aca="false">IF(E118&lt;&gt;"Piping","",IF(AND(ISNUMBER(AS118),ISNUMBER(M118)),PI()/4*(AS118/1000)^2*M118*INDEX(LenF,MATCH($M$7,LenU,0)),0))</f>
        <v/>
      </c>
      <c r="AG118" s="41" t="str">
        <f aca="false">IF(E118="","",N(AD118)+N(AE118)+N(AF118))</f>
        <v/>
      </c>
      <c r="AH118" s="41" t="str">
        <f aca="false">IF(ISNUMBER(I118),I118*INDEX(WtF,MATCH($I$7,WtU,0))/CC_WaterRho,"")</f>
        <v/>
      </c>
      <c r="AI118" s="31"/>
      <c r="AJ118" s="31"/>
      <c r="AK118" s="40"/>
      <c r="AL118" s="31"/>
      <c r="AM118" s="41" t="str">
        <f aca="false">IF(AO118="","",AO118*IF(ISNUMBER(AK118),AK118,CC_DefFills)*(1+IF(ISNUMBER(AL118),AL118,CC_DefAllow)))</f>
        <v/>
      </c>
      <c r="AN118" s="42" t="str">
        <f aca="false">IF(G118="Given volume",IF(ISNUMBER(H118),H118*INDEX(VolF,MATCH($H$7,VolU,0)),""),IF(G118="Water weight",AH118,IF(N(AG118)=0,"",AG118)))</f>
        <v/>
      </c>
      <c r="AO118" s="42" t="str">
        <f aca="false">IF(N(AN118)=0,"",AN118*AT118*IF(ISNUMBER(AJ118),AJ118,CC_DefCirc))</f>
        <v/>
      </c>
      <c r="AP118" s="27" t="n">
        <f aca="false">IF(ISNUMBER(T118),T118*INDEX(LenF,MATCH($T$7,LenU,0)),IF(ISNUMBER(W118),W118*INDEX(LenF,MATCH($W$7,LenU,0))/CC_PitchRatio,0))</f>
        <v>0</v>
      </c>
      <c r="AQ118" s="27" t="n">
        <f aca="false">IF(ISNUMBER(N118),PI()/4*(N118*INDEX(LenF,MATCH($N$7,LenU,0)))^2,IF(AND(ISNUMBER(S118),ISNUMBER(W118),X118&lt;&gt;""),S118*(W118*INDEX(LenF,MATCH($W$7,LenU,0)))^2*INDEX(LayoutF,MATCH(X118,LayoutU,0)),0))</f>
        <v>0</v>
      </c>
      <c r="AR118" s="27" t="n">
        <f aca="false">IF(ISNUMBER(O118),O118*INDEX(LenF,MATCH($O$7,LenU,0)),IF(ISNUMBER(V118),V118*INDEX(LenF,MATCH($V$7,LenU,0)),0))</f>
        <v>0</v>
      </c>
      <c r="AS118" s="27" t="str">
        <f aca="false">IF(ISNUMBER(L118),L118*INDEX(LenF,MATCH($L$7,LenU,0))*1000,IF(OR(J118="",K118=""),"",IFERROR(IF(INDEX(PipeWT,MATCH(J118,NPSU,0),MATCH(K118,SchU,0))="","Sch n/a",INDEX(PipeOD,MATCH(J118,NPSU,0))-2*INDEX(PipeWT,MATCH(J118,NPSU,0),MATCH(K118,SchU,0))),"")))</f>
        <v/>
      </c>
      <c r="AT118" s="27" t="n">
        <f aca="false">IF(ISNUMBER(AI118),AI118,IFERROR(INDEX(IF(CC_JobType="Decontamination",CC_TypeFillDC,CC_TypeFillCC),MATCH(E118,CC_TypeL,0)),1))</f>
        <v>1</v>
      </c>
      <c r="AU118" s="27" t="n">
        <v>4</v>
      </c>
    </row>
    <row r="119" customFormat="false" ht="15" hidden="false" customHeight="false" outlineLevel="0" collapsed="false">
      <c r="A119" s="36" t="n">
        <v>11</v>
      </c>
      <c r="B119" s="40"/>
      <c r="C119" s="32"/>
      <c r="D119" s="32"/>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1" t="str">
        <f aca="false">IF(E119="Exchanger",IF(AND(ISNUMBER(S119),ISNUMBER(U119),ISNUMBER(V119)),S119*PI()/4*(U119*INDEX(LenF,MATCH($U$7,LenU,0)))^2*V119*INDEX(LenF,MATCH($V$7,LenU,0)),0)+IF(ISNUMBER(Y119),PI()/4*(Y119*INDEX(LenF,MATCH($Y$7,LenU,0)))^2*N(Z119)*INDEX(LenF,MATCH($Z$7,LenU,0))+IF(AA119="",0,IF(AA119="Conical",PI()/12*(Y119*INDEX(LenF,MATCH($Y$7,LenU,0)))^2*(0),INDEX(HeadK,MATCH(AA119,HeadU,0))*(Y119*INDEX(LenF,MATCH($Y$7,LenU,0)))^3)),0)+IF(ISNUMBER(Y119),PI()/4*(Y119*INDEX(LenF,MATCH($Y$7,LenU,0)))^2*N(AB119)*INDEX(LenF,MATCH($AB$7,LenU,0))+IF(AC119="",0,IF(AC119="Conical",PI()/12*(Y119*INDEX(LenF,MATCH($Y$7,LenU,0)))^2*(0),INDEX(HeadK,MATCH(AC119,HeadU,0))*(Y119*INDEX(LenF,MATCH($Y$7,LenU,0)))^3)),0),"")</f>
        <v/>
      </c>
      <c r="AE119" s="41" t="str">
        <f aca="false">IF(OR(E119="",E119="Piping"),"",IF(E119="Exchanger",AQ119*AR119+IF(P119="",0,IF(P119="Conical",PI()/12*(SQRT(4*AQ119/PI()))^2*(0),INDEX(HeadK,MATCH(P119,HeadU,0))*(SQRT(4*AQ119/PI()))^3))-IF(AND(ISNUMBER(S119),ISNUMBER(V119)),S119*PI()/4*AP119^2*V119*INDEX(LenF,MATCH($V$7,LenU,0)),0),IF(ISNUMBER(N119),PI()/4*(N119*INDEX(LenF,MATCH($N$7,LenU,0)))^2*N(O119)*INDEX(LenF,MATCH($O$7,LenU,0))+IF(P119="",0,IF(P119="Conical",PI()/12*(N119*INDEX(LenF,MATCH($N$7,LenU,0)))^2*(N(R119)*INDEX(LenF,MATCH($R$7,LenU,0))),INDEX(HeadK,MATCH(P119,HeadU,0))*(N119*INDEX(LenF,MATCH($N$7,LenU,0)))^3))+IF(Q119="",0,IF(Q119="Conical",PI()/12*(N119*INDEX(LenF,MATCH($N$7,LenU,0)))^2*(N(R119)*INDEX(LenF,MATCH($R$7,LenU,0))),INDEX(HeadK,MATCH(Q119,HeadU,0))*(N119*INDEX(LenF,MATCH($N$7,LenU,0)))^3)),0)))</f>
        <v/>
      </c>
      <c r="AF119" s="41" t="str">
        <f aca="false">IF(E119&lt;&gt;"Piping","",IF(AND(ISNUMBER(AS119),ISNUMBER(M119)),PI()/4*(AS119/1000)^2*M119*INDEX(LenF,MATCH($M$7,LenU,0)),0))</f>
        <v/>
      </c>
      <c r="AG119" s="41" t="str">
        <f aca="false">IF(E119="","",N(AD119)+N(AE119)+N(AF119))</f>
        <v/>
      </c>
      <c r="AH119" s="41" t="str">
        <f aca="false">IF(ISNUMBER(I119),I119*INDEX(WtF,MATCH($I$7,WtU,0))/CC_WaterRho,"")</f>
        <v/>
      </c>
      <c r="AI119" s="31"/>
      <c r="AJ119" s="31"/>
      <c r="AK119" s="40"/>
      <c r="AL119" s="31"/>
      <c r="AM119" s="41" t="str">
        <f aca="false">IF(AO119="","",AO119*IF(ISNUMBER(AK119),AK119,CC_DefFills)*(1+IF(ISNUMBER(AL119),AL119,CC_DefAllow)))</f>
        <v/>
      </c>
      <c r="AN119" s="42" t="str">
        <f aca="false">IF(G119="Given volume",IF(ISNUMBER(H119),H119*INDEX(VolF,MATCH($H$7,VolU,0)),""),IF(G119="Water weight",AH119,IF(N(AG119)=0,"",AG119)))</f>
        <v/>
      </c>
      <c r="AO119" s="42" t="str">
        <f aca="false">IF(N(AN119)=0,"",AN119*AT119*IF(ISNUMBER(AJ119),AJ119,CC_DefCirc))</f>
        <v/>
      </c>
      <c r="AP119" s="27" t="n">
        <f aca="false">IF(ISNUMBER(T119),T119*INDEX(LenF,MATCH($T$7,LenU,0)),IF(ISNUMBER(W119),W119*INDEX(LenF,MATCH($W$7,LenU,0))/CC_PitchRatio,0))</f>
        <v>0</v>
      </c>
      <c r="AQ119" s="27" t="n">
        <f aca="false">IF(ISNUMBER(N119),PI()/4*(N119*INDEX(LenF,MATCH($N$7,LenU,0)))^2,IF(AND(ISNUMBER(S119),ISNUMBER(W119),X119&lt;&gt;""),S119*(W119*INDEX(LenF,MATCH($W$7,LenU,0)))^2*INDEX(LayoutF,MATCH(X119,LayoutU,0)),0))</f>
        <v>0</v>
      </c>
      <c r="AR119" s="27" t="n">
        <f aca="false">IF(ISNUMBER(O119),O119*INDEX(LenF,MATCH($O$7,LenU,0)),IF(ISNUMBER(V119),V119*INDEX(LenF,MATCH($V$7,LenU,0)),0))</f>
        <v>0</v>
      </c>
      <c r="AS119" s="27" t="str">
        <f aca="false">IF(ISNUMBER(L119),L119*INDEX(LenF,MATCH($L$7,LenU,0))*1000,IF(OR(J119="",K119=""),"",IFERROR(IF(INDEX(PipeWT,MATCH(J119,NPSU,0),MATCH(K119,SchU,0))="","Sch n/a",INDEX(PipeOD,MATCH(J119,NPSU,0))-2*INDEX(PipeWT,MATCH(J119,NPSU,0),MATCH(K119,SchU,0))),"")))</f>
        <v/>
      </c>
      <c r="AT119" s="27" t="n">
        <f aca="false">IF(ISNUMBER(AI119),AI119,IFERROR(INDEX(IF(CC_JobType="Decontamination",CC_TypeFillDC,CC_TypeFillCC),MATCH(E119,CC_TypeL,0)),1))</f>
        <v>1</v>
      </c>
      <c r="AU119" s="27" t="n">
        <v>4</v>
      </c>
    </row>
    <row r="120" customFormat="false" ht="15" hidden="false" customHeight="false" outlineLevel="0" collapsed="false">
      <c r="A120" s="36" t="n">
        <v>12</v>
      </c>
      <c r="B120" s="40"/>
      <c r="C120" s="32"/>
      <c r="D120" s="32"/>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1" t="str">
        <f aca="false">IF(E120="Exchanger",IF(AND(ISNUMBER(S120),ISNUMBER(U120),ISNUMBER(V120)),S120*PI()/4*(U120*INDEX(LenF,MATCH($U$7,LenU,0)))^2*V120*INDEX(LenF,MATCH($V$7,LenU,0)),0)+IF(ISNUMBER(Y120),PI()/4*(Y120*INDEX(LenF,MATCH($Y$7,LenU,0)))^2*N(Z120)*INDEX(LenF,MATCH($Z$7,LenU,0))+IF(AA120="",0,IF(AA120="Conical",PI()/12*(Y120*INDEX(LenF,MATCH($Y$7,LenU,0)))^2*(0),INDEX(HeadK,MATCH(AA120,HeadU,0))*(Y120*INDEX(LenF,MATCH($Y$7,LenU,0)))^3)),0)+IF(ISNUMBER(Y120),PI()/4*(Y120*INDEX(LenF,MATCH($Y$7,LenU,0)))^2*N(AB120)*INDEX(LenF,MATCH($AB$7,LenU,0))+IF(AC120="",0,IF(AC120="Conical",PI()/12*(Y120*INDEX(LenF,MATCH($Y$7,LenU,0)))^2*(0),INDEX(HeadK,MATCH(AC120,HeadU,0))*(Y120*INDEX(LenF,MATCH($Y$7,LenU,0)))^3)),0),"")</f>
        <v/>
      </c>
      <c r="AE120" s="41" t="str">
        <f aca="false">IF(OR(E120="",E120="Piping"),"",IF(E120="Exchanger",AQ120*AR120+IF(P120="",0,IF(P120="Conical",PI()/12*(SQRT(4*AQ120/PI()))^2*(0),INDEX(HeadK,MATCH(P120,HeadU,0))*(SQRT(4*AQ120/PI()))^3))-IF(AND(ISNUMBER(S120),ISNUMBER(V120)),S120*PI()/4*AP120^2*V120*INDEX(LenF,MATCH($V$7,LenU,0)),0),IF(ISNUMBER(N120),PI()/4*(N120*INDEX(LenF,MATCH($N$7,LenU,0)))^2*N(O120)*INDEX(LenF,MATCH($O$7,LenU,0))+IF(P120="",0,IF(P120="Conical",PI()/12*(N120*INDEX(LenF,MATCH($N$7,LenU,0)))^2*(N(R120)*INDEX(LenF,MATCH($R$7,LenU,0))),INDEX(HeadK,MATCH(P120,HeadU,0))*(N120*INDEX(LenF,MATCH($N$7,LenU,0)))^3))+IF(Q120="",0,IF(Q120="Conical",PI()/12*(N120*INDEX(LenF,MATCH($N$7,LenU,0)))^2*(N(R120)*INDEX(LenF,MATCH($R$7,LenU,0))),INDEX(HeadK,MATCH(Q120,HeadU,0))*(N120*INDEX(LenF,MATCH($N$7,LenU,0)))^3)),0)))</f>
        <v/>
      </c>
      <c r="AF120" s="41" t="str">
        <f aca="false">IF(E120&lt;&gt;"Piping","",IF(AND(ISNUMBER(AS120),ISNUMBER(M120)),PI()/4*(AS120/1000)^2*M120*INDEX(LenF,MATCH($M$7,LenU,0)),0))</f>
        <v/>
      </c>
      <c r="AG120" s="41" t="str">
        <f aca="false">IF(E120="","",N(AD120)+N(AE120)+N(AF120))</f>
        <v/>
      </c>
      <c r="AH120" s="41" t="str">
        <f aca="false">IF(ISNUMBER(I120),I120*INDEX(WtF,MATCH($I$7,WtU,0))/CC_WaterRho,"")</f>
        <v/>
      </c>
      <c r="AI120" s="31"/>
      <c r="AJ120" s="31"/>
      <c r="AK120" s="40"/>
      <c r="AL120" s="31"/>
      <c r="AM120" s="41" t="str">
        <f aca="false">IF(AO120="","",AO120*IF(ISNUMBER(AK120),AK120,CC_DefFills)*(1+IF(ISNUMBER(AL120),AL120,CC_DefAllow)))</f>
        <v/>
      </c>
      <c r="AN120" s="42" t="str">
        <f aca="false">IF(G120="Given volume",IF(ISNUMBER(H120),H120*INDEX(VolF,MATCH($H$7,VolU,0)),""),IF(G120="Water weight",AH120,IF(N(AG120)=0,"",AG120)))</f>
        <v/>
      </c>
      <c r="AO120" s="42" t="str">
        <f aca="false">IF(N(AN120)=0,"",AN120*AT120*IF(ISNUMBER(AJ120),AJ120,CC_DefCirc))</f>
        <v/>
      </c>
      <c r="AP120" s="27" t="n">
        <f aca="false">IF(ISNUMBER(T120),T120*INDEX(LenF,MATCH($T$7,LenU,0)),IF(ISNUMBER(W120),W120*INDEX(LenF,MATCH($W$7,LenU,0))/CC_PitchRatio,0))</f>
        <v>0</v>
      </c>
      <c r="AQ120" s="27" t="n">
        <f aca="false">IF(ISNUMBER(N120),PI()/4*(N120*INDEX(LenF,MATCH($N$7,LenU,0)))^2,IF(AND(ISNUMBER(S120),ISNUMBER(W120),X120&lt;&gt;""),S120*(W120*INDEX(LenF,MATCH($W$7,LenU,0)))^2*INDEX(LayoutF,MATCH(X120,LayoutU,0)),0))</f>
        <v>0</v>
      </c>
      <c r="AR120" s="27" t="n">
        <f aca="false">IF(ISNUMBER(O120),O120*INDEX(LenF,MATCH($O$7,LenU,0)),IF(ISNUMBER(V120),V120*INDEX(LenF,MATCH($V$7,LenU,0)),0))</f>
        <v>0</v>
      </c>
      <c r="AS120" s="27" t="str">
        <f aca="false">IF(ISNUMBER(L120),L120*INDEX(LenF,MATCH($L$7,LenU,0))*1000,IF(OR(J120="",K120=""),"",IFERROR(IF(INDEX(PipeWT,MATCH(J120,NPSU,0),MATCH(K120,SchU,0))="","Sch n/a",INDEX(PipeOD,MATCH(J120,NPSU,0))-2*INDEX(PipeWT,MATCH(J120,NPSU,0),MATCH(K120,SchU,0))),"")))</f>
        <v/>
      </c>
      <c r="AT120" s="27" t="n">
        <f aca="false">IF(ISNUMBER(AI120),AI120,IFERROR(INDEX(IF(CC_JobType="Decontamination",CC_TypeFillDC,CC_TypeFillCC),MATCH(E120,CC_TypeL,0)),1))</f>
        <v>1</v>
      </c>
      <c r="AU120" s="27" t="n">
        <v>4</v>
      </c>
    </row>
    <row r="121" customFormat="false" ht="15" hidden="false" customHeight="false" outlineLevel="0" collapsed="false">
      <c r="A121" s="36" t="n">
        <v>13</v>
      </c>
      <c r="B121" s="40"/>
      <c r="C121" s="32"/>
      <c r="D121" s="32"/>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1" t="str">
        <f aca="false">IF(E121="Exchanger",IF(AND(ISNUMBER(S121),ISNUMBER(U121),ISNUMBER(V121)),S121*PI()/4*(U121*INDEX(LenF,MATCH($U$7,LenU,0)))^2*V121*INDEX(LenF,MATCH($V$7,LenU,0)),0)+IF(ISNUMBER(Y121),PI()/4*(Y121*INDEX(LenF,MATCH($Y$7,LenU,0)))^2*N(Z121)*INDEX(LenF,MATCH($Z$7,LenU,0))+IF(AA121="",0,IF(AA121="Conical",PI()/12*(Y121*INDEX(LenF,MATCH($Y$7,LenU,0)))^2*(0),INDEX(HeadK,MATCH(AA121,HeadU,0))*(Y121*INDEX(LenF,MATCH($Y$7,LenU,0)))^3)),0)+IF(ISNUMBER(Y121),PI()/4*(Y121*INDEX(LenF,MATCH($Y$7,LenU,0)))^2*N(AB121)*INDEX(LenF,MATCH($AB$7,LenU,0))+IF(AC121="",0,IF(AC121="Conical",PI()/12*(Y121*INDEX(LenF,MATCH($Y$7,LenU,0)))^2*(0),INDEX(HeadK,MATCH(AC121,HeadU,0))*(Y121*INDEX(LenF,MATCH($Y$7,LenU,0)))^3)),0),"")</f>
        <v/>
      </c>
      <c r="AE121" s="41" t="str">
        <f aca="false">IF(OR(E121="",E121="Piping"),"",IF(E121="Exchanger",AQ121*AR121+IF(P121="",0,IF(P121="Conical",PI()/12*(SQRT(4*AQ121/PI()))^2*(0),INDEX(HeadK,MATCH(P121,HeadU,0))*(SQRT(4*AQ121/PI()))^3))-IF(AND(ISNUMBER(S121),ISNUMBER(V121)),S121*PI()/4*AP121^2*V121*INDEX(LenF,MATCH($V$7,LenU,0)),0),IF(ISNUMBER(N121),PI()/4*(N121*INDEX(LenF,MATCH($N$7,LenU,0)))^2*N(O121)*INDEX(LenF,MATCH($O$7,LenU,0))+IF(P121="",0,IF(P121="Conical",PI()/12*(N121*INDEX(LenF,MATCH($N$7,LenU,0)))^2*(N(R121)*INDEX(LenF,MATCH($R$7,LenU,0))),INDEX(HeadK,MATCH(P121,HeadU,0))*(N121*INDEX(LenF,MATCH($N$7,LenU,0)))^3))+IF(Q121="",0,IF(Q121="Conical",PI()/12*(N121*INDEX(LenF,MATCH($N$7,LenU,0)))^2*(N(R121)*INDEX(LenF,MATCH($R$7,LenU,0))),INDEX(HeadK,MATCH(Q121,HeadU,0))*(N121*INDEX(LenF,MATCH($N$7,LenU,0)))^3)),0)))</f>
        <v/>
      </c>
      <c r="AF121" s="41" t="str">
        <f aca="false">IF(E121&lt;&gt;"Piping","",IF(AND(ISNUMBER(AS121),ISNUMBER(M121)),PI()/4*(AS121/1000)^2*M121*INDEX(LenF,MATCH($M$7,LenU,0)),0))</f>
        <v/>
      </c>
      <c r="AG121" s="41" t="str">
        <f aca="false">IF(E121="","",N(AD121)+N(AE121)+N(AF121))</f>
        <v/>
      </c>
      <c r="AH121" s="41" t="str">
        <f aca="false">IF(ISNUMBER(I121),I121*INDEX(WtF,MATCH($I$7,WtU,0))/CC_WaterRho,"")</f>
        <v/>
      </c>
      <c r="AI121" s="31"/>
      <c r="AJ121" s="31"/>
      <c r="AK121" s="40"/>
      <c r="AL121" s="31"/>
      <c r="AM121" s="41" t="str">
        <f aca="false">IF(AO121="","",AO121*IF(ISNUMBER(AK121),AK121,CC_DefFills)*(1+IF(ISNUMBER(AL121),AL121,CC_DefAllow)))</f>
        <v/>
      </c>
      <c r="AN121" s="42" t="str">
        <f aca="false">IF(G121="Given volume",IF(ISNUMBER(H121),H121*INDEX(VolF,MATCH($H$7,VolU,0)),""),IF(G121="Water weight",AH121,IF(N(AG121)=0,"",AG121)))</f>
        <v/>
      </c>
      <c r="AO121" s="42" t="str">
        <f aca="false">IF(N(AN121)=0,"",AN121*AT121*IF(ISNUMBER(AJ121),AJ121,CC_DefCirc))</f>
        <v/>
      </c>
      <c r="AP121" s="27" t="n">
        <f aca="false">IF(ISNUMBER(T121),T121*INDEX(LenF,MATCH($T$7,LenU,0)),IF(ISNUMBER(W121),W121*INDEX(LenF,MATCH($W$7,LenU,0))/CC_PitchRatio,0))</f>
        <v>0</v>
      </c>
      <c r="AQ121" s="27" t="n">
        <f aca="false">IF(ISNUMBER(N121),PI()/4*(N121*INDEX(LenF,MATCH($N$7,LenU,0)))^2,IF(AND(ISNUMBER(S121),ISNUMBER(W121),X121&lt;&gt;""),S121*(W121*INDEX(LenF,MATCH($W$7,LenU,0)))^2*INDEX(LayoutF,MATCH(X121,LayoutU,0)),0))</f>
        <v>0</v>
      </c>
      <c r="AR121" s="27" t="n">
        <f aca="false">IF(ISNUMBER(O121),O121*INDEX(LenF,MATCH($O$7,LenU,0)),IF(ISNUMBER(V121),V121*INDEX(LenF,MATCH($V$7,LenU,0)),0))</f>
        <v>0</v>
      </c>
      <c r="AS121" s="27" t="str">
        <f aca="false">IF(ISNUMBER(L121),L121*INDEX(LenF,MATCH($L$7,LenU,0))*1000,IF(OR(J121="",K121=""),"",IFERROR(IF(INDEX(PipeWT,MATCH(J121,NPSU,0),MATCH(K121,SchU,0))="","Sch n/a",INDEX(PipeOD,MATCH(J121,NPSU,0))-2*INDEX(PipeWT,MATCH(J121,NPSU,0),MATCH(K121,SchU,0))),"")))</f>
        <v/>
      </c>
      <c r="AT121" s="27" t="n">
        <f aca="false">IF(ISNUMBER(AI121),AI121,IFERROR(INDEX(IF(CC_JobType="Decontamination",CC_TypeFillDC,CC_TypeFillCC),MATCH(E121,CC_TypeL,0)),1))</f>
        <v>1</v>
      </c>
      <c r="AU121" s="27" t="n">
        <v>4</v>
      </c>
    </row>
    <row r="122" customFormat="false" ht="15" hidden="false" customHeight="false" outlineLevel="0" collapsed="false">
      <c r="A122" s="36" t="n">
        <v>14</v>
      </c>
      <c r="B122" s="40"/>
      <c r="C122" s="32"/>
      <c r="D122" s="32"/>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1" t="str">
        <f aca="false">IF(E122="Exchanger",IF(AND(ISNUMBER(S122),ISNUMBER(U122),ISNUMBER(V122)),S122*PI()/4*(U122*INDEX(LenF,MATCH($U$7,LenU,0)))^2*V122*INDEX(LenF,MATCH($V$7,LenU,0)),0)+IF(ISNUMBER(Y122),PI()/4*(Y122*INDEX(LenF,MATCH($Y$7,LenU,0)))^2*N(Z122)*INDEX(LenF,MATCH($Z$7,LenU,0))+IF(AA122="",0,IF(AA122="Conical",PI()/12*(Y122*INDEX(LenF,MATCH($Y$7,LenU,0)))^2*(0),INDEX(HeadK,MATCH(AA122,HeadU,0))*(Y122*INDEX(LenF,MATCH($Y$7,LenU,0)))^3)),0)+IF(ISNUMBER(Y122),PI()/4*(Y122*INDEX(LenF,MATCH($Y$7,LenU,0)))^2*N(AB122)*INDEX(LenF,MATCH($AB$7,LenU,0))+IF(AC122="",0,IF(AC122="Conical",PI()/12*(Y122*INDEX(LenF,MATCH($Y$7,LenU,0)))^2*(0),INDEX(HeadK,MATCH(AC122,HeadU,0))*(Y122*INDEX(LenF,MATCH($Y$7,LenU,0)))^3)),0),"")</f>
        <v/>
      </c>
      <c r="AE122" s="41" t="str">
        <f aca="false">IF(OR(E122="",E122="Piping"),"",IF(E122="Exchanger",AQ122*AR122+IF(P122="",0,IF(P122="Conical",PI()/12*(SQRT(4*AQ122/PI()))^2*(0),INDEX(HeadK,MATCH(P122,HeadU,0))*(SQRT(4*AQ122/PI()))^3))-IF(AND(ISNUMBER(S122),ISNUMBER(V122)),S122*PI()/4*AP122^2*V122*INDEX(LenF,MATCH($V$7,LenU,0)),0),IF(ISNUMBER(N122),PI()/4*(N122*INDEX(LenF,MATCH($N$7,LenU,0)))^2*N(O122)*INDEX(LenF,MATCH($O$7,LenU,0))+IF(P122="",0,IF(P122="Conical",PI()/12*(N122*INDEX(LenF,MATCH($N$7,LenU,0)))^2*(N(R122)*INDEX(LenF,MATCH($R$7,LenU,0))),INDEX(HeadK,MATCH(P122,HeadU,0))*(N122*INDEX(LenF,MATCH($N$7,LenU,0)))^3))+IF(Q122="",0,IF(Q122="Conical",PI()/12*(N122*INDEX(LenF,MATCH($N$7,LenU,0)))^2*(N(R122)*INDEX(LenF,MATCH($R$7,LenU,0))),INDEX(HeadK,MATCH(Q122,HeadU,0))*(N122*INDEX(LenF,MATCH($N$7,LenU,0)))^3)),0)))</f>
        <v/>
      </c>
      <c r="AF122" s="41" t="str">
        <f aca="false">IF(E122&lt;&gt;"Piping","",IF(AND(ISNUMBER(AS122),ISNUMBER(M122)),PI()/4*(AS122/1000)^2*M122*INDEX(LenF,MATCH($M$7,LenU,0)),0))</f>
        <v/>
      </c>
      <c r="AG122" s="41" t="str">
        <f aca="false">IF(E122="","",N(AD122)+N(AE122)+N(AF122))</f>
        <v/>
      </c>
      <c r="AH122" s="41" t="str">
        <f aca="false">IF(ISNUMBER(I122),I122*INDEX(WtF,MATCH($I$7,WtU,0))/CC_WaterRho,"")</f>
        <v/>
      </c>
      <c r="AI122" s="31"/>
      <c r="AJ122" s="31"/>
      <c r="AK122" s="40"/>
      <c r="AL122" s="31"/>
      <c r="AM122" s="41" t="str">
        <f aca="false">IF(AO122="","",AO122*IF(ISNUMBER(AK122),AK122,CC_DefFills)*(1+IF(ISNUMBER(AL122),AL122,CC_DefAllow)))</f>
        <v/>
      </c>
      <c r="AN122" s="42" t="str">
        <f aca="false">IF(G122="Given volume",IF(ISNUMBER(H122),H122*INDEX(VolF,MATCH($H$7,VolU,0)),""),IF(G122="Water weight",AH122,IF(N(AG122)=0,"",AG122)))</f>
        <v/>
      </c>
      <c r="AO122" s="42" t="str">
        <f aca="false">IF(N(AN122)=0,"",AN122*AT122*IF(ISNUMBER(AJ122),AJ122,CC_DefCirc))</f>
        <v/>
      </c>
      <c r="AP122" s="27" t="n">
        <f aca="false">IF(ISNUMBER(T122),T122*INDEX(LenF,MATCH($T$7,LenU,0)),IF(ISNUMBER(W122),W122*INDEX(LenF,MATCH($W$7,LenU,0))/CC_PitchRatio,0))</f>
        <v>0</v>
      </c>
      <c r="AQ122" s="27" t="n">
        <f aca="false">IF(ISNUMBER(N122),PI()/4*(N122*INDEX(LenF,MATCH($N$7,LenU,0)))^2,IF(AND(ISNUMBER(S122),ISNUMBER(W122),X122&lt;&gt;""),S122*(W122*INDEX(LenF,MATCH($W$7,LenU,0)))^2*INDEX(LayoutF,MATCH(X122,LayoutU,0)),0))</f>
        <v>0</v>
      </c>
      <c r="AR122" s="27" t="n">
        <f aca="false">IF(ISNUMBER(O122),O122*INDEX(LenF,MATCH($O$7,LenU,0)),IF(ISNUMBER(V122),V122*INDEX(LenF,MATCH($V$7,LenU,0)),0))</f>
        <v>0</v>
      </c>
      <c r="AS122" s="27" t="str">
        <f aca="false">IF(ISNUMBER(L122),L122*INDEX(LenF,MATCH($L$7,LenU,0))*1000,IF(OR(J122="",K122=""),"",IFERROR(IF(INDEX(PipeWT,MATCH(J122,NPSU,0),MATCH(K122,SchU,0))="","Sch n/a",INDEX(PipeOD,MATCH(J122,NPSU,0))-2*INDEX(PipeWT,MATCH(J122,NPSU,0),MATCH(K122,SchU,0))),"")))</f>
        <v/>
      </c>
      <c r="AT122" s="27" t="n">
        <f aca="false">IF(ISNUMBER(AI122),AI122,IFERROR(INDEX(IF(CC_JobType="Decontamination",CC_TypeFillDC,CC_TypeFillCC),MATCH(E122,CC_TypeL,0)),1))</f>
        <v>1</v>
      </c>
      <c r="AU122" s="27" t="n">
        <v>4</v>
      </c>
    </row>
    <row r="123" customFormat="false" ht="15" hidden="false" customHeight="false" outlineLevel="0" collapsed="false">
      <c r="A123" s="36" t="n">
        <v>15</v>
      </c>
      <c r="B123" s="40"/>
      <c r="C123" s="32"/>
      <c r="D123" s="32"/>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1" t="str">
        <f aca="false">IF(E123="Exchanger",IF(AND(ISNUMBER(S123),ISNUMBER(U123),ISNUMBER(V123)),S123*PI()/4*(U123*INDEX(LenF,MATCH($U$7,LenU,0)))^2*V123*INDEX(LenF,MATCH($V$7,LenU,0)),0)+IF(ISNUMBER(Y123),PI()/4*(Y123*INDEX(LenF,MATCH($Y$7,LenU,0)))^2*N(Z123)*INDEX(LenF,MATCH($Z$7,LenU,0))+IF(AA123="",0,IF(AA123="Conical",PI()/12*(Y123*INDEX(LenF,MATCH($Y$7,LenU,0)))^2*(0),INDEX(HeadK,MATCH(AA123,HeadU,0))*(Y123*INDEX(LenF,MATCH($Y$7,LenU,0)))^3)),0)+IF(ISNUMBER(Y123),PI()/4*(Y123*INDEX(LenF,MATCH($Y$7,LenU,0)))^2*N(AB123)*INDEX(LenF,MATCH($AB$7,LenU,0))+IF(AC123="",0,IF(AC123="Conical",PI()/12*(Y123*INDEX(LenF,MATCH($Y$7,LenU,0)))^2*(0),INDEX(HeadK,MATCH(AC123,HeadU,0))*(Y123*INDEX(LenF,MATCH($Y$7,LenU,0)))^3)),0),"")</f>
        <v/>
      </c>
      <c r="AE123" s="41" t="str">
        <f aca="false">IF(OR(E123="",E123="Piping"),"",IF(E123="Exchanger",AQ123*AR123+IF(P123="",0,IF(P123="Conical",PI()/12*(SQRT(4*AQ123/PI()))^2*(0),INDEX(HeadK,MATCH(P123,HeadU,0))*(SQRT(4*AQ123/PI()))^3))-IF(AND(ISNUMBER(S123),ISNUMBER(V123)),S123*PI()/4*AP123^2*V123*INDEX(LenF,MATCH($V$7,LenU,0)),0),IF(ISNUMBER(N123),PI()/4*(N123*INDEX(LenF,MATCH($N$7,LenU,0)))^2*N(O123)*INDEX(LenF,MATCH($O$7,LenU,0))+IF(P123="",0,IF(P123="Conical",PI()/12*(N123*INDEX(LenF,MATCH($N$7,LenU,0)))^2*(N(R123)*INDEX(LenF,MATCH($R$7,LenU,0))),INDEX(HeadK,MATCH(P123,HeadU,0))*(N123*INDEX(LenF,MATCH($N$7,LenU,0)))^3))+IF(Q123="",0,IF(Q123="Conical",PI()/12*(N123*INDEX(LenF,MATCH($N$7,LenU,0)))^2*(N(R123)*INDEX(LenF,MATCH($R$7,LenU,0))),INDEX(HeadK,MATCH(Q123,HeadU,0))*(N123*INDEX(LenF,MATCH($N$7,LenU,0)))^3)),0)))</f>
        <v/>
      </c>
      <c r="AF123" s="41" t="str">
        <f aca="false">IF(E123&lt;&gt;"Piping","",IF(AND(ISNUMBER(AS123),ISNUMBER(M123)),PI()/4*(AS123/1000)^2*M123*INDEX(LenF,MATCH($M$7,LenU,0)),0))</f>
        <v/>
      </c>
      <c r="AG123" s="41" t="str">
        <f aca="false">IF(E123="","",N(AD123)+N(AE123)+N(AF123))</f>
        <v/>
      </c>
      <c r="AH123" s="41" t="str">
        <f aca="false">IF(ISNUMBER(I123),I123*INDEX(WtF,MATCH($I$7,WtU,0))/CC_WaterRho,"")</f>
        <v/>
      </c>
      <c r="AI123" s="31"/>
      <c r="AJ123" s="31"/>
      <c r="AK123" s="40"/>
      <c r="AL123" s="31"/>
      <c r="AM123" s="41" t="str">
        <f aca="false">IF(AO123="","",AO123*IF(ISNUMBER(AK123),AK123,CC_DefFills)*(1+IF(ISNUMBER(AL123),AL123,CC_DefAllow)))</f>
        <v/>
      </c>
      <c r="AN123" s="42" t="str">
        <f aca="false">IF(G123="Given volume",IF(ISNUMBER(H123),H123*INDEX(VolF,MATCH($H$7,VolU,0)),""),IF(G123="Water weight",AH123,IF(N(AG123)=0,"",AG123)))</f>
        <v/>
      </c>
      <c r="AO123" s="42" t="str">
        <f aca="false">IF(N(AN123)=0,"",AN123*AT123*IF(ISNUMBER(AJ123),AJ123,CC_DefCirc))</f>
        <v/>
      </c>
      <c r="AP123" s="27" t="n">
        <f aca="false">IF(ISNUMBER(T123),T123*INDEX(LenF,MATCH($T$7,LenU,0)),IF(ISNUMBER(W123),W123*INDEX(LenF,MATCH($W$7,LenU,0))/CC_PitchRatio,0))</f>
        <v>0</v>
      </c>
      <c r="AQ123" s="27" t="n">
        <f aca="false">IF(ISNUMBER(N123),PI()/4*(N123*INDEX(LenF,MATCH($N$7,LenU,0)))^2,IF(AND(ISNUMBER(S123),ISNUMBER(W123),X123&lt;&gt;""),S123*(W123*INDEX(LenF,MATCH($W$7,LenU,0)))^2*INDEX(LayoutF,MATCH(X123,LayoutU,0)),0))</f>
        <v>0</v>
      </c>
      <c r="AR123" s="27" t="n">
        <f aca="false">IF(ISNUMBER(O123),O123*INDEX(LenF,MATCH($O$7,LenU,0)),IF(ISNUMBER(V123),V123*INDEX(LenF,MATCH($V$7,LenU,0)),0))</f>
        <v>0</v>
      </c>
      <c r="AS123" s="27" t="str">
        <f aca="false">IF(ISNUMBER(L123),L123*INDEX(LenF,MATCH($L$7,LenU,0))*1000,IF(OR(J123="",K123=""),"",IFERROR(IF(INDEX(PipeWT,MATCH(J123,NPSU,0),MATCH(K123,SchU,0))="","Sch n/a",INDEX(PipeOD,MATCH(J123,NPSU,0))-2*INDEX(PipeWT,MATCH(J123,NPSU,0),MATCH(K123,SchU,0))),"")))</f>
        <v/>
      </c>
      <c r="AT123" s="27" t="n">
        <f aca="false">IF(ISNUMBER(AI123),AI123,IFERROR(INDEX(IF(CC_JobType="Decontamination",CC_TypeFillDC,CC_TypeFillCC),MATCH(E123,CC_TypeL,0)),1))</f>
        <v>1</v>
      </c>
      <c r="AU123" s="27" t="n">
        <v>4</v>
      </c>
    </row>
    <row r="124" customFormat="false" ht="15" hidden="false" customHeight="false" outlineLevel="0" collapsed="false">
      <c r="A124" s="36" t="n">
        <v>16</v>
      </c>
      <c r="B124" s="40"/>
      <c r="C124" s="32"/>
      <c r="D124" s="32"/>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1" t="str">
        <f aca="false">IF(E124="Exchanger",IF(AND(ISNUMBER(S124),ISNUMBER(U124),ISNUMBER(V124)),S124*PI()/4*(U124*INDEX(LenF,MATCH($U$7,LenU,0)))^2*V124*INDEX(LenF,MATCH($V$7,LenU,0)),0)+IF(ISNUMBER(Y124),PI()/4*(Y124*INDEX(LenF,MATCH($Y$7,LenU,0)))^2*N(Z124)*INDEX(LenF,MATCH($Z$7,LenU,0))+IF(AA124="",0,IF(AA124="Conical",PI()/12*(Y124*INDEX(LenF,MATCH($Y$7,LenU,0)))^2*(0),INDEX(HeadK,MATCH(AA124,HeadU,0))*(Y124*INDEX(LenF,MATCH($Y$7,LenU,0)))^3)),0)+IF(ISNUMBER(Y124),PI()/4*(Y124*INDEX(LenF,MATCH($Y$7,LenU,0)))^2*N(AB124)*INDEX(LenF,MATCH($AB$7,LenU,0))+IF(AC124="",0,IF(AC124="Conical",PI()/12*(Y124*INDEX(LenF,MATCH($Y$7,LenU,0)))^2*(0),INDEX(HeadK,MATCH(AC124,HeadU,0))*(Y124*INDEX(LenF,MATCH($Y$7,LenU,0)))^3)),0),"")</f>
        <v/>
      </c>
      <c r="AE124" s="41" t="str">
        <f aca="false">IF(OR(E124="",E124="Piping"),"",IF(E124="Exchanger",AQ124*AR124+IF(P124="",0,IF(P124="Conical",PI()/12*(SQRT(4*AQ124/PI()))^2*(0),INDEX(HeadK,MATCH(P124,HeadU,0))*(SQRT(4*AQ124/PI()))^3))-IF(AND(ISNUMBER(S124),ISNUMBER(V124)),S124*PI()/4*AP124^2*V124*INDEX(LenF,MATCH($V$7,LenU,0)),0),IF(ISNUMBER(N124),PI()/4*(N124*INDEX(LenF,MATCH($N$7,LenU,0)))^2*N(O124)*INDEX(LenF,MATCH($O$7,LenU,0))+IF(P124="",0,IF(P124="Conical",PI()/12*(N124*INDEX(LenF,MATCH($N$7,LenU,0)))^2*(N(R124)*INDEX(LenF,MATCH($R$7,LenU,0))),INDEX(HeadK,MATCH(P124,HeadU,0))*(N124*INDEX(LenF,MATCH($N$7,LenU,0)))^3))+IF(Q124="",0,IF(Q124="Conical",PI()/12*(N124*INDEX(LenF,MATCH($N$7,LenU,0)))^2*(N(R124)*INDEX(LenF,MATCH($R$7,LenU,0))),INDEX(HeadK,MATCH(Q124,HeadU,0))*(N124*INDEX(LenF,MATCH($N$7,LenU,0)))^3)),0)))</f>
        <v/>
      </c>
      <c r="AF124" s="41" t="str">
        <f aca="false">IF(E124&lt;&gt;"Piping","",IF(AND(ISNUMBER(AS124),ISNUMBER(M124)),PI()/4*(AS124/1000)^2*M124*INDEX(LenF,MATCH($M$7,LenU,0)),0))</f>
        <v/>
      </c>
      <c r="AG124" s="41" t="str">
        <f aca="false">IF(E124="","",N(AD124)+N(AE124)+N(AF124))</f>
        <v/>
      </c>
      <c r="AH124" s="41" t="str">
        <f aca="false">IF(ISNUMBER(I124),I124*INDEX(WtF,MATCH($I$7,WtU,0))/CC_WaterRho,"")</f>
        <v/>
      </c>
      <c r="AI124" s="31"/>
      <c r="AJ124" s="31"/>
      <c r="AK124" s="40"/>
      <c r="AL124" s="31"/>
      <c r="AM124" s="41" t="str">
        <f aca="false">IF(AO124="","",AO124*IF(ISNUMBER(AK124),AK124,CC_DefFills)*(1+IF(ISNUMBER(AL124),AL124,CC_DefAllow)))</f>
        <v/>
      </c>
      <c r="AN124" s="42" t="str">
        <f aca="false">IF(G124="Given volume",IF(ISNUMBER(H124),H124*INDEX(VolF,MATCH($H$7,VolU,0)),""),IF(G124="Water weight",AH124,IF(N(AG124)=0,"",AG124)))</f>
        <v/>
      </c>
      <c r="AO124" s="42" t="str">
        <f aca="false">IF(N(AN124)=0,"",AN124*AT124*IF(ISNUMBER(AJ124),AJ124,CC_DefCirc))</f>
        <v/>
      </c>
      <c r="AP124" s="27" t="n">
        <f aca="false">IF(ISNUMBER(T124),T124*INDEX(LenF,MATCH($T$7,LenU,0)),IF(ISNUMBER(W124),W124*INDEX(LenF,MATCH($W$7,LenU,0))/CC_PitchRatio,0))</f>
        <v>0</v>
      </c>
      <c r="AQ124" s="27" t="n">
        <f aca="false">IF(ISNUMBER(N124),PI()/4*(N124*INDEX(LenF,MATCH($N$7,LenU,0)))^2,IF(AND(ISNUMBER(S124),ISNUMBER(W124),X124&lt;&gt;""),S124*(W124*INDEX(LenF,MATCH($W$7,LenU,0)))^2*INDEX(LayoutF,MATCH(X124,LayoutU,0)),0))</f>
        <v>0</v>
      </c>
      <c r="AR124" s="27" t="n">
        <f aca="false">IF(ISNUMBER(O124),O124*INDEX(LenF,MATCH($O$7,LenU,0)),IF(ISNUMBER(V124),V124*INDEX(LenF,MATCH($V$7,LenU,0)),0))</f>
        <v>0</v>
      </c>
      <c r="AS124" s="27" t="str">
        <f aca="false">IF(ISNUMBER(L124),L124*INDEX(LenF,MATCH($L$7,LenU,0))*1000,IF(OR(J124="",K124=""),"",IFERROR(IF(INDEX(PipeWT,MATCH(J124,NPSU,0),MATCH(K124,SchU,0))="","Sch n/a",INDEX(PipeOD,MATCH(J124,NPSU,0))-2*INDEX(PipeWT,MATCH(J124,NPSU,0),MATCH(K124,SchU,0))),"")))</f>
        <v/>
      </c>
      <c r="AT124" s="27" t="n">
        <f aca="false">IF(ISNUMBER(AI124),AI124,IFERROR(INDEX(IF(CC_JobType="Decontamination",CC_TypeFillDC,CC_TypeFillCC),MATCH(E124,CC_TypeL,0)),1))</f>
        <v>1</v>
      </c>
      <c r="AU124" s="27" t="n">
        <v>4</v>
      </c>
    </row>
    <row r="125" customFormat="false" ht="15" hidden="false" customHeight="false" outlineLevel="0" collapsed="false">
      <c r="A125" s="36" t="n">
        <v>17</v>
      </c>
      <c r="B125" s="40"/>
      <c r="C125" s="32"/>
      <c r="D125" s="32"/>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1" t="str">
        <f aca="false">IF(E125="Exchanger",IF(AND(ISNUMBER(S125),ISNUMBER(U125),ISNUMBER(V125)),S125*PI()/4*(U125*INDEX(LenF,MATCH($U$7,LenU,0)))^2*V125*INDEX(LenF,MATCH($V$7,LenU,0)),0)+IF(ISNUMBER(Y125),PI()/4*(Y125*INDEX(LenF,MATCH($Y$7,LenU,0)))^2*N(Z125)*INDEX(LenF,MATCH($Z$7,LenU,0))+IF(AA125="",0,IF(AA125="Conical",PI()/12*(Y125*INDEX(LenF,MATCH($Y$7,LenU,0)))^2*(0),INDEX(HeadK,MATCH(AA125,HeadU,0))*(Y125*INDEX(LenF,MATCH($Y$7,LenU,0)))^3)),0)+IF(ISNUMBER(Y125),PI()/4*(Y125*INDEX(LenF,MATCH($Y$7,LenU,0)))^2*N(AB125)*INDEX(LenF,MATCH($AB$7,LenU,0))+IF(AC125="",0,IF(AC125="Conical",PI()/12*(Y125*INDEX(LenF,MATCH($Y$7,LenU,0)))^2*(0),INDEX(HeadK,MATCH(AC125,HeadU,0))*(Y125*INDEX(LenF,MATCH($Y$7,LenU,0)))^3)),0),"")</f>
        <v/>
      </c>
      <c r="AE125" s="41" t="str">
        <f aca="false">IF(OR(E125="",E125="Piping"),"",IF(E125="Exchanger",AQ125*AR125+IF(P125="",0,IF(P125="Conical",PI()/12*(SQRT(4*AQ125/PI()))^2*(0),INDEX(HeadK,MATCH(P125,HeadU,0))*(SQRT(4*AQ125/PI()))^3))-IF(AND(ISNUMBER(S125),ISNUMBER(V125)),S125*PI()/4*AP125^2*V125*INDEX(LenF,MATCH($V$7,LenU,0)),0),IF(ISNUMBER(N125),PI()/4*(N125*INDEX(LenF,MATCH($N$7,LenU,0)))^2*N(O125)*INDEX(LenF,MATCH($O$7,LenU,0))+IF(P125="",0,IF(P125="Conical",PI()/12*(N125*INDEX(LenF,MATCH($N$7,LenU,0)))^2*(N(R125)*INDEX(LenF,MATCH($R$7,LenU,0))),INDEX(HeadK,MATCH(P125,HeadU,0))*(N125*INDEX(LenF,MATCH($N$7,LenU,0)))^3))+IF(Q125="",0,IF(Q125="Conical",PI()/12*(N125*INDEX(LenF,MATCH($N$7,LenU,0)))^2*(N(R125)*INDEX(LenF,MATCH($R$7,LenU,0))),INDEX(HeadK,MATCH(Q125,HeadU,0))*(N125*INDEX(LenF,MATCH($N$7,LenU,0)))^3)),0)))</f>
        <v/>
      </c>
      <c r="AF125" s="41" t="str">
        <f aca="false">IF(E125&lt;&gt;"Piping","",IF(AND(ISNUMBER(AS125),ISNUMBER(M125)),PI()/4*(AS125/1000)^2*M125*INDEX(LenF,MATCH($M$7,LenU,0)),0))</f>
        <v/>
      </c>
      <c r="AG125" s="41" t="str">
        <f aca="false">IF(E125="","",N(AD125)+N(AE125)+N(AF125))</f>
        <v/>
      </c>
      <c r="AH125" s="41" t="str">
        <f aca="false">IF(ISNUMBER(I125),I125*INDEX(WtF,MATCH($I$7,WtU,0))/CC_WaterRho,"")</f>
        <v/>
      </c>
      <c r="AI125" s="31"/>
      <c r="AJ125" s="31"/>
      <c r="AK125" s="40"/>
      <c r="AL125" s="31"/>
      <c r="AM125" s="41" t="str">
        <f aca="false">IF(AO125="","",AO125*IF(ISNUMBER(AK125),AK125,CC_DefFills)*(1+IF(ISNUMBER(AL125),AL125,CC_DefAllow)))</f>
        <v/>
      </c>
      <c r="AN125" s="42" t="str">
        <f aca="false">IF(G125="Given volume",IF(ISNUMBER(H125),H125*INDEX(VolF,MATCH($H$7,VolU,0)),""),IF(G125="Water weight",AH125,IF(N(AG125)=0,"",AG125)))</f>
        <v/>
      </c>
      <c r="AO125" s="42" t="str">
        <f aca="false">IF(N(AN125)=0,"",AN125*AT125*IF(ISNUMBER(AJ125),AJ125,CC_DefCirc))</f>
        <v/>
      </c>
      <c r="AP125" s="27" t="n">
        <f aca="false">IF(ISNUMBER(T125),T125*INDEX(LenF,MATCH($T$7,LenU,0)),IF(ISNUMBER(W125),W125*INDEX(LenF,MATCH($W$7,LenU,0))/CC_PitchRatio,0))</f>
        <v>0</v>
      </c>
      <c r="AQ125" s="27" t="n">
        <f aca="false">IF(ISNUMBER(N125),PI()/4*(N125*INDEX(LenF,MATCH($N$7,LenU,0)))^2,IF(AND(ISNUMBER(S125),ISNUMBER(W125),X125&lt;&gt;""),S125*(W125*INDEX(LenF,MATCH($W$7,LenU,0)))^2*INDEX(LayoutF,MATCH(X125,LayoutU,0)),0))</f>
        <v>0</v>
      </c>
      <c r="AR125" s="27" t="n">
        <f aca="false">IF(ISNUMBER(O125),O125*INDEX(LenF,MATCH($O$7,LenU,0)),IF(ISNUMBER(V125),V125*INDEX(LenF,MATCH($V$7,LenU,0)),0))</f>
        <v>0</v>
      </c>
      <c r="AS125" s="27" t="str">
        <f aca="false">IF(ISNUMBER(L125),L125*INDEX(LenF,MATCH($L$7,LenU,0))*1000,IF(OR(J125="",K125=""),"",IFERROR(IF(INDEX(PipeWT,MATCH(J125,NPSU,0),MATCH(K125,SchU,0))="","Sch n/a",INDEX(PipeOD,MATCH(J125,NPSU,0))-2*INDEX(PipeWT,MATCH(J125,NPSU,0),MATCH(K125,SchU,0))),"")))</f>
        <v/>
      </c>
      <c r="AT125" s="27" t="n">
        <f aca="false">IF(ISNUMBER(AI125),AI125,IFERROR(INDEX(IF(CC_JobType="Decontamination",CC_TypeFillDC,CC_TypeFillCC),MATCH(E125,CC_TypeL,0)),1))</f>
        <v>1</v>
      </c>
      <c r="AU125" s="27" t="n">
        <v>4</v>
      </c>
    </row>
    <row r="126" customFormat="false" ht="15" hidden="false" customHeight="false" outlineLevel="0" collapsed="false">
      <c r="A126" s="36" t="n">
        <v>18</v>
      </c>
      <c r="B126" s="40"/>
      <c r="C126" s="32"/>
      <c r="D126" s="32"/>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1" t="str">
        <f aca="false">IF(E126="Exchanger",IF(AND(ISNUMBER(S126),ISNUMBER(U126),ISNUMBER(V126)),S126*PI()/4*(U126*INDEX(LenF,MATCH($U$7,LenU,0)))^2*V126*INDEX(LenF,MATCH($V$7,LenU,0)),0)+IF(ISNUMBER(Y126),PI()/4*(Y126*INDEX(LenF,MATCH($Y$7,LenU,0)))^2*N(Z126)*INDEX(LenF,MATCH($Z$7,LenU,0))+IF(AA126="",0,IF(AA126="Conical",PI()/12*(Y126*INDEX(LenF,MATCH($Y$7,LenU,0)))^2*(0),INDEX(HeadK,MATCH(AA126,HeadU,0))*(Y126*INDEX(LenF,MATCH($Y$7,LenU,0)))^3)),0)+IF(ISNUMBER(Y126),PI()/4*(Y126*INDEX(LenF,MATCH($Y$7,LenU,0)))^2*N(AB126)*INDEX(LenF,MATCH($AB$7,LenU,0))+IF(AC126="",0,IF(AC126="Conical",PI()/12*(Y126*INDEX(LenF,MATCH($Y$7,LenU,0)))^2*(0),INDEX(HeadK,MATCH(AC126,HeadU,0))*(Y126*INDEX(LenF,MATCH($Y$7,LenU,0)))^3)),0),"")</f>
        <v/>
      </c>
      <c r="AE126" s="41" t="str">
        <f aca="false">IF(OR(E126="",E126="Piping"),"",IF(E126="Exchanger",AQ126*AR126+IF(P126="",0,IF(P126="Conical",PI()/12*(SQRT(4*AQ126/PI()))^2*(0),INDEX(HeadK,MATCH(P126,HeadU,0))*(SQRT(4*AQ126/PI()))^3))-IF(AND(ISNUMBER(S126),ISNUMBER(V126)),S126*PI()/4*AP126^2*V126*INDEX(LenF,MATCH($V$7,LenU,0)),0),IF(ISNUMBER(N126),PI()/4*(N126*INDEX(LenF,MATCH($N$7,LenU,0)))^2*N(O126)*INDEX(LenF,MATCH($O$7,LenU,0))+IF(P126="",0,IF(P126="Conical",PI()/12*(N126*INDEX(LenF,MATCH($N$7,LenU,0)))^2*(N(R126)*INDEX(LenF,MATCH($R$7,LenU,0))),INDEX(HeadK,MATCH(P126,HeadU,0))*(N126*INDEX(LenF,MATCH($N$7,LenU,0)))^3))+IF(Q126="",0,IF(Q126="Conical",PI()/12*(N126*INDEX(LenF,MATCH($N$7,LenU,0)))^2*(N(R126)*INDEX(LenF,MATCH($R$7,LenU,0))),INDEX(HeadK,MATCH(Q126,HeadU,0))*(N126*INDEX(LenF,MATCH($N$7,LenU,0)))^3)),0)))</f>
        <v/>
      </c>
      <c r="AF126" s="41" t="str">
        <f aca="false">IF(E126&lt;&gt;"Piping","",IF(AND(ISNUMBER(AS126),ISNUMBER(M126)),PI()/4*(AS126/1000)^2*M126*INDEX(LenF,MATCH($M$7,LenU,0)),0))</f>
        <v/>
      </c>
      <c r="AG126" s="41" t="str">
        <f aca="false">IF(E126="","",N(AD126)+N(AE126)+N(AF126))</f>
        <v/>
      </c>
      <c r="AH126" s="41" t="str">
        <f aca="false">IF(ISNUMBER(I126),I126*INDEX(WtF,MATCH($I$7,WtU,0))/CC_WaterRho,"")</f>
        <v/>
      </c>
      <c r="AI126" s="31"/>
      <c r="AJ126" s="31"/>
      <c r="AK126" s="40"/>
      <c r="AL126" s="31"/>
      <c r="AM126" s="41" t="str">
        <f aca="false">IF(AO126="","",AO126*IF(ISNUMBER(AK126),AK126,CC_DefFills)*(1+IF(ISNUMBER(AL126),AL126,CC_DefAllow)))</f>
        <v/>
      </c>
      <c r="AN126" s="42" t="str">
        <f aca="false">IF(G126="Given volume",IF(ISNUMBER(H126),H126*INDEX(VolF,MATCH($H$7,VolU,0)),""),IF(G126="Water weight",AH126,IF(N(AG126)=0,"",AG126)))</f>
        <v/>
      </c>
      <c r="AO126" s="42" t="str">
        <f aca="false">IF(N(AN126)=0,"",AN126*AT126*IF(ISNUMBER(AJ126),AJ126,CC_DefCirc))</f>
        <v/>
      </c>
      <c r="AP126" s="27" t="n">
        <f aca="false">IF(ISNUMBER(T126),T126*INDEX(LenF,MATCH($T$7,LenU,0)),IF(ISNUMBER(W126),W126*INDEX(LenF,MATCH($W$7,LenU,0))/CC_PitchRatio,0))</f>
        <v>0</v>
      </c>
      <c r="AQ126" s="27" t="n">
        <f aca="false">IF(ISNUMBER(N126),PI()/4*(N126*INDEX(LenF,MATCH($N$7,LenU,0)))^2,IF(AND(ISNUMBER(S126),ISNUMBER(W126),X126&lt;&gt;""),S126*(W126*INDEX(LenF,MATCH($W$7,LenU,0)))^2*INDEX(LayoutF,MATCH(X126,LayoutU,0)),0))</f>
        <v>0</v>
      </c>
      <c r="AR126" s="27" t="n">
        <f aca="false">IF(ISNUMBER(O126),O126*INDEX(LenF,MATCH($O$7,LenU,0)),IF(ISNUMBER(V126),V126*INDEX(LenF,MATCH($V$7,LenU,0)),0))</f>
        <v>0</v>
      </c>
      <c r="AS126" s="27" t="str">
        <f aca="false">IF(ISNUMBER(L126),L126*INDEX(LenF,MATCH($L$7,LenU,0))*1000,IF(OR(J126="",K126=""),"",IFERROR(IF(INDEX(PipeWT,MATCH(J126,NPSU,0),MATCH(K126,SchU,0))="","Sch n/a",INDEX(PipeOD,MATCH(J126,NPSU,0))-2*INDEX(PipeWT,MATCH(J126,NPSU,0),MATCH(K126,SchU,0))),"")))</f>
        <v/>
      </c>
      <c r="AT126" s="27" t="n">
        <f aca="false">IF(ISNUMBER(AI126),AI126,IFERROR(INDEX(IF(CC_JobType="Decontamination",CC_TypeFillDC,CC_TypeFillCC),MATCH(E126,CC_TypeL,0)),1))</f>
        <v>1</v>
      </c>
      <c r="AU126" s="27" t="n">
        <v>4</v>
      </c>
    </row>
    <row r="127" customFormat="false" ht="15" hidden="false" customHeight="false" outlineLevel="0" collapsed="false">
      <c r="A127" s="36" t="n">
        <v>19</v>
      </c>
      <c r="B127" s="40"/>
      <c r="C127" s="32"/>
      <c r="D127" s="32"/>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1" t="str">
        <f aca="false">IF(E127="Exchanger",IF(AND(ISNUMBER(S127),ISNUMBER(U127),ISNUMBER(V127)),S127*PI()/4*(U127*INDEX(LenF,MATCH($U$7,LenU,0)))^2*V127*INDEX(LenF,MATCH($V$7,LenU,0)),0)+IF(ISNUMBER(Y127),PI()/4*(Y127*INDEX(LenF,MATCH($Y$7,LenU,0)))^2*N(Z127)*INDEX(LenF,MATCH($Z$7,LenU,0))+IF(AA127="",0,IF(AA127="Conical",PI()/12*(Y127*INDEX(LenF,MATCH($Y$7,LenU,0)))^2*(0),INDEX(HeadK,MATCH(AA127,HeadU,0))*(Y127*INDEX(LenF,MATCH($Y$7,LenU,0)))^3)),0)+IF(ISNUMBER(Y127),PI()/4*(Y127*INDEX(LenF,MATCH($Y$7,LenU,0)))^2*N(AB127)*INDEX(LenF,MATCH($AB$7,LenU,0))+IF(AC127="",0,IF(AC127="Conical",PI()/12*(Y127*INDEX(LenF,MATCH($Y$7,LenU,0)))^2*(0),INDEX(HeadK,MATCH(AC127,HeadU,0))*(Y127*INDEX(LenF,MATCH($Y$7,LenU,0)))^3)),0),"")</f>
        <v/>
      </c>
      <c r="AE127" s="41" t="str">
        <f aca="false">IF(OR(E127="",E127="Piping"),"",IF(E127="Exchanger",AQ127*AR127+IF(P127="",0,IF(P127="Conical",PI()/12*(SQRT(4*AQ127/PI()))^2*(0),INDEX(HeadK,MATCH(P127,HeadU,0))*(SQRT(4*AQ127/PI()))^3))-IF(AND(ISNUMBER(S127),ISNUMBER(V127)),S127*PI()/4*AP127^2*V127*INDEX(LenF,MATCH($V$7,LenU,0)),0),IF(ISNUMBER(N127),PI()/4*(N127*INDEX(LenF,MATCH($N$7,LenU,0)))^2*N(O127)*INDEX(LenF,MATCH($O$7,LenU,0))+IF(P127="",0,IF(P127="Conical",PI()/12*(N127*INDEX(LenF,MATCH($N$7,LenU,0)))^2*(N(R127)*INDEX(LenF,MATCH($R$7,LenU,0))),INDEX(HeadK,MATCH(P127,HeadU,0))*(N127*INDEX(LenF,MATCH($N$7,LenU,0)))^3))+IF(Q127="",0,IF(Q127="Conical",PI()/12*(N127*INDEX(LenF,MATCH($N$7,LenU,0)))^2*(N(R127)*INDEX(LenF,MATCH($R$7,LenU,0))),INDEX(HeadK,MATCH(Q127,HeadU,0))*(N127*INDEX(LenF,MATCH($N$7,LenU,0)))^3)),0)))</f>
        <v/>
      </c>
      <c r="AF127" s="41" t="str">
        <f aca="false">IF(E127&lt;&gt;"Piping","",IF(AND(ISNUMBER(AS127),ISNUMBER(M127)),PI()/4*(AS127/1000)^2*M127*INDEX(LenF,MATCH($M$7,LenU,0)),0))</f>
        <v/>
      </c>
      <c r="AG127" s="41" t="str">
        <f aca="false">IF(E127="","",N(AD127)+N(AE127)+N(AF127))</f>
        <v/>
      </c>
      <c r="AH127" s="41" t="str">
        <f aca="false">IF(ISNUMBER(I127),I127*INDEX(WtF,MATCH($I$7,WtU,0))/CC_WaterRho,"")</f>
        <v/>
      </c>
      <c r="AI127" s="31"/>
      <c r="AJ127" s="31"/>
      <c r="AK127" s="40"/>
      <c r="AL127" s="31"/>
      <c r="AM127" s="41" t="str">
        <f aca="false">IF(AO127="","",AO127*IF(ISNUMBER(AK127),AK127,CC_DefFills)*(1+IF(ISNUMBER(AL127),AL127,CC_DefAllow)))</f>
        <v/>
      </c>
      <c r="AN127" s="42" t="str">
        <f aca="false">IF(G127="Given volume",IF(ISNUMBER(H127),H127*INDEX(VolF,MATCH($H$7,VolU,0)),""),IF(G127="Water weight",AH127,IF(N(AG127)=0,"",AG127)))</f>
        <v/>
      </c>
      <c r="AO127" s="42" t="str">
        <f aca="false">IF(N(AN127)=0,"",AN127*AT127*IF(ISNUMBER(AJ127),AJ127,CC_DefCirc))</f>
        <v/>
      </c>
      <c r="AP127" s="27" t="n">
        <f aca="false">IF(ISNUMBER(T127),T127*INDEX(LenF,MATCH($T$7,LenU,0)),IF(ISNUMBER(W127),W127*INDEX(LenF,MATCH($W$7,LenU,0))/CC_PitchRatio,0))</f>
        <v>0</v>
      </c>
      <c r="AQ127" s="27" t="n">
        <f aca="false">IF(ISNUMBER(N127),PI()/4*(N127*INDEX(LenF,MATCH($N$7,LenU,0)))^2,IF(AND(ISNUMBER(S127),ISNUMBER(W127),X127&lt;&gt;""),S127*(W127*INDEX(LenF,MATCH($W$7,LenU,0)))^2*INDEX(LayoutF,MATCH(X127,LayoutU,0)),0))</f>
        <v>0</v>
      </c>
      <c r="AR127" s="27" t="n">
        <f aca="false">IF(ISNUMBER(O127),O127*INDEX(LenF,MATCH($O$7,LenU,0)),IF(ISNUMBER(V127),V127*INDEX(LenF,MATCH($V$7,LenU,0)),0))</f>
        <v>0</v>
      </c>
      <c r="AS127" s="27" t="str">
        <f aca="false">IF(ISNUMBER(L127),L127*INDEX(LenF,MATCH($L$7,LenU,0))*1000,IF(OR(J127="",K127=""),"",IFERROR(IF(INDEX(PipeWT,MATCH(J127,NPSU,0),MATCH(K127,SchU,0))="","Sch n/a",INDEX(PipeOD,MATCH(J127,NPSU,0))-2*INDEX(PipeWT,MATCH(J127,NPSU,0),MATCH(K127,SchU,0))),"")))</f>
        <v/>
      </c>
      <c r="AT127" s="27" t="n">
        <f aca="false">IF(ISNUMBER(AI127),AI127,IFERROR(INDEX(IF(CC_JobType="Decontamination",CC_TypeFillDC,CC_TypeFillCC),MATCH(E127,CC_TypeL,0)),1))</f>
        <v>1</v>
      </c>
      <c r="AU127" s="27" t="n">
        <v>4</v>
      </c>
    </row>
    <row r="128" customFormat="false" ht="15" hidden="false" customHeight="false" outlineLevel="0" collapsed="false">
      <c r="A128" s="36" t="n">
        <v>20</v>
      </c>
      <c r="B128" s="40"/>
      <c r="C128" s="32"/>
      <c r="D128" s="32"/>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1" t="str">
        <f aca="false">IF(E128="Exchanger",IF(AND(ISNUMBER(S128),ISNUMBER(U128),ISNUMBER(V128)),S128*PI()/4*(U128*INDEX(LenF,MATCH($U$7,LenU,0)))^2*V128*INDEX(LenF,MATCH($V$7,LenU,0)),0)+IF(ISNUMBER(Y128),PI()/4*(Y128*INDEX(LenF,MATCH($Y$7,LenU,0)))^2*N(Z128)*INDEX(LenF,MATCH($Z$7,LenU,0))+IF(AA128="",0,IF(AA128="Conical",PI()/12*(Y128*INDEX(LenF,MATCH($Y$7,LenU,0)))^2*(0),INDEX(HeadK,MATCH(AA128,HeadU,0))*(Y128*INDEX(LenF,MATCH($Y$7,LenU,0)))^3)),0)+IF(ISNUMBER(Y128),PI()/4*(Y128*INDEX(LenF,MATCH($Y$7,LenU,0)))^2*N(AB128)*INDEX(LenF,MATCH($AB$7,LenU,0))+IF(AC128="",0,IF(AC128="Conical",PI()/12*(Y128*INDEX(LenF,MATCH($Y$7,LenU,0)))^2*(0),INDEX(HeadK,MATCH(AC128,HeadU,0))*(Y128*INDEX(LenF,MATCH($Y$7,LenU,0)))^3)),0),"")</f>
        <v/>
      </c>
      <c r="AE128" s="41" t="str">
        <f aca="false">IF(OR(E128="",E128="Piping"),"",IF(E128="Exchanger",AQ128*AR128+IF(P128="",0,IF(P128="Conical",PI()/12*(SQRT(4*AQ128/PI()))^2*(0),INDEX(HeadK,MATCH(P128,HeadU,0))*(SQRT(4*AQ128/PI()))^3))-IF(AND(ISNUMBER(S128),ISNUMBER(V128)),S128*PI()/4*AP128^2*V128*INDEX(LenF,MATCH($V$7,LenU,0)),0),IF(ISNUMBER(N128),PI()/4*(N128*INDEX(LenF,MATCH($N$7,LenU,0)))^2*N(O128)*INDEX(LenF,MATCH($O$7,LenU,0))+IF(P128="",0,IF(P128="Conical",PI()/12*(N128*INDEX(LenF,MATCH($N$7,LenU,0)))^2*(N(R128)*INDEX(LenF,MATCH($R$7,LenU,0))),INDEX(HeadK,MATCH(P128,HeadU,0))*(N128*INDEX(LenF,MATCH($N$7,LenU,0)))^3))+IF(Q128="",0,IF(Q128="Conical",PI()/12*(N128*INDEX(LenF,MATCH($N$7,LenU,0)))^2*(N(R128)*INDEX(LenF,MATCH($R$7,LenU,0))),INDEX(HeadK,MATCH(Q128,HeadU,0))*(N128*INDEX(LenF,MATCH($N$7,LenU,0)))^3)),0)))</f>
        <v/>
      </c>
      <c r="AF128" s="41" t="str">
        <f aca="false">IF(E128&lt;&gt;"Piping","",IF(AND(ISNUMBER(AS128),ISNUMBER(M128)),PI()/4*(AS128/1000)^2*M128*INDEX(LenF,MATCH($M$7,LenU,0)),0))</f>
        <v/>
      </c>
      <c r="AG128" s="41" t="str">
        <f aca="false">IF(E128="","",N(AD128)+N(AE128)+N(AF128))</f>
        <v/>
      </c>
      <c r="AH128" s="41" t="str">
        <f aca="false">IF(ISNUMBER(I128),I128*INDEX(WtF,MATCH($I$7,WtU,0))/CC_WaterRho,"")</f>
        <v/>
      </c>
      <c r="AI128" s="31"/>
      <c r="AJ128" s="31"/>
      <c r="AK128" s="40"/>
      <c r="AL128" s="31"/>
      <c r="AM128" s="41" t="str">
        <f aca="false">IF(AO128="","",AO128*IF(ISNUMBER(AK128),AK128,CC_DefFills)*(1+IF(ISNUMBER(AL128),AL128,CC_DefAllow)))</f>
        <v/>
      </c>
      <c r="AN128" s="42" t="str">
        <f aca="false">IF(G128="Given volume",IF(ISNUMBER(H128),H128*INDEX(VolF,MATCH($H$7,VolU,0)),""),IF(G128="Water weight",AH128,IF(N(AG128)=0,"",AG128)))</f>
        <v/>
      </c>
      <c r="AO128" s="42" t="str">
        <f aca="false">IF(N(AN128)=0,"",AN128*AT128*IF(ISNUMBER(AJ128),AJ128,CC_DefCirc))</f>
        <v/>
      </c>
      <c r="AP128" s="27" t="n">
        <f aca="false">IF(ISNUMBER(T128),T128*INDEX(LenF,MATCH($T$7,LenU,0)),IF(ISNUMBER(W128),W128*INDEX(LenF,MATCH($W$7,LenU,0))/CC_PitchRatio,0))</f>
        <v>0</v>
      </c>
      <c r="AQ128" s="27" t="n">
        <f aca="false">IF(ISNUMBER(N128),PI()/4*(N128*INDEX(LenF,MATCH($N$7,LenU,0)))^2,IF(AND(ISNUMBER(S128),ISNUMBER(W128),X128&lt;&gt;""),S128*(W128*INDEX(LenF,MATCH($W$7,LenU,0)))^2*INDEX(LayoutF,MATCH(X128,LayoutU,0)),0))</f>
        <v>0</v>
      </c>
      <c r="AR128" s="27" t="n">
        <f aca="false">IF(ISNUMBER(O128),O128*INDEX(LenF,MATCH($O$7,LenU,0)),IF(ISNUMBER(V128),V128*INDEX(LenF,MATCH($V$7,LenU,0)),0))</f>
        <v>0</v>
      </c>
      <c r="AS128" s="27" t="str">
        <f aca="false">IF(ISNUMBER(L128),L128*INDEX(LenF,MATCH($L$7,LenU,0))*1000,IF(OR(J128="",K128=""),"",IFERROR(IF(INDEX(PipeWT,MATCH(J128,NPSU,0),MATCH(K128,SchU,0))="","Sch n/a",INDEX(PipeOD,MATCH(J128,NPSU,0))-2*INDEX(PipeWT,MATCH(J128,NPSU,0),MATCH(K128,SchU,0))),"")))</f>
        <v/>
      </c>
      <c r="AT128" s="27" t="n">
        <f aca="false">IF(ISNUMBER(AI128),AI128,IFERROR(INDEX(IF(CC_JobType="Decontamination",CC_TypeFillDC,CC_TypeFillCC),MATCH(E128,CC_TypeL,0)),1))</f>
        <v>1</v>
      </c>
      <c r="AU128" s="27" t="n">
        <v>4</v>
      </c>
    </row>
    <row r="129" customFormat="false" ht="15" hidden="false" customHeight="false" outlineLevel="0" collapsed="false">
      <c r="A129" s="36" t="n">
        <v>21</v>
      </c>
      <c r="B129" s="40"/>
      <c r="C129" s="32"/>
      <c r="D129" s="32"/>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1" t="str">
        <f aca="false">IF(E129="Exchanger",IF(AND(ISNUMBER(S129),ISNUMBER(U129),ISNUMBER(V129)),S129*PI()/4*(U129*INDEX(LenF,MATCH($U$7,LenU,0)))^2*V129*INDEX(LenF,MATCH($V$7,LenU,0)),0)+IF(ISNUMBER(Y129),PI()/4*(Y129*INDEX(LenF,MATCH($Y$7,LenU,0)))^2*N(Z129)*INDEX(LenF,MATCH($Z$7,LenU,0))+IF(AA129="",0,IF(AA129="Conical",PI()/12*(Y129*INDEX(LenF,MATCH($Y$7,LenU,0)))^2*(0),INDEX(HeadK,MATCH(AA129,HeadU,0))*(Y129*INDEX(LenF,MATCH($Y$7,LenU,0)))^3)),0)+IF(ISNUMBER(Y129),PI()/4*(Y129*INDEX(LenF,MATCH($Y$7,LenU,0)))^2*N(AB129)*INDEX(LenF,MATCH($AB$7,LenU,0))+IF(AC129="",0,IF(AC129="Conical",PI()/12*(Y129*INDEX(LenF,MATCH($Y$7,LenU,0)))^2*(0),INDEX(HeadK,MATCH(AC129,HeadU,0))*(Y129*INDEX(LenF,MATCH($Y$7,LenU,0)))^3)),0),"")</f>
        <v/>
      </c>
      <c r="AE129" s="41" t="str">
        <f aca="false">IF(OR(E129="",E129="Piping"),"",IF(E129="Exchanger",AQ129*AR129+IF(P129="",0,IF(P129="Conical",PI()/12*(SQRT(4*AQ129/PI()))^2*(0),INDEX(HeadK,MATCH(P129,HeadU,0))*(SQRT(4*AQ129/PI()))^3))-IF(AND(ISNUMBER(S129),ISNUMBER(V129)),S129*PI()/4*AP129^2*V129*INDEX(LenF,MATCH($V$7,LenU,0)),0),IF(ISNUMBER(N129),PI()/4*(N129*INDEX(LenF,MATCH($N$7,LenU,0)))^2*N(O129)*INDEX(LenF,MATCH($O$7,LenU,0))+IF(P129="",0,IF(P129="Conical",PI()/12*(N129*INDEX(LenF,MATCH($N$7,LenU,0)))^2*(N(R129)*INDEX(LenF,MATCH($R$7,LenU,0))),INDEX(HeadK,MATCH(P129,HeadU,0))*(N129*INDEX(LenF,MATCH($N$7,LenU,0)))^3))+IF(Q129="",0,IF(Q129="Conical",PI()/12*(N129*INDEX(LenF,MATCH($N$7,LenU,0)))^2*(N(R129)*INDEX(LenF,MATCH($R$7,LenU,0))),INDEX(HeadK,MATCH(Q129,HeadU,0))*(N129*INDEX(LenF,MATCH($N$7,LenU,0)))^3)),0)))</f>
        <v/>
      </c>
      <c r="AF129" s="41" t="str">
        <f aca="false">IF(E129&lt;&gt;"Piping","",IF(AND(ISNUMBER(AS129),ISNUMBER(M129)),PI()/4*(AS129/1000)^2*M129*INDEX(LenF,MATCH($M$7,LenU,0)),0))</f>
        <v/>
      </c>
      <c r="AG129" s="41" t="str">
        <f aca="false">IF(E129="","",N(AD129)+N(AE129)+N(AF129))</f>
        <v/>
      </c>
      <c r="AH129" s="41" t="str">
        <f aca="false">IF(ISNUMBER(I129),I129*INDEX(WtF,MATCH($I$7,WtU,0))/CC_WaterRho,"")</f>
        <v/>
      </c>
      <c r="AI129" s="31"/>
      <c r="AJ129" s="31"/>
      <c r="AK129" s="40"/>
      <c r="AL129" s="31"/>
      <c r="AM129" s="41" t="str">
        <f aca="false">IF(AO129="","",AO129*IF(ISNUMBER(AK129),AK129,CC_DefFills)*(1+IF(ISNUMBER(AL129),AL129,CC_DefAllow)))</f>
        <v/>
      </c>
      <c r="AN129" s="42" t="str">
        <f aca="false">IF(G129="Given volume",IF(ISNUMBER(H129),H129*INDEX(VolF,MATCH($H$7,VolU,0)),""),IF(G129="Water weight",AH129,IF(N(AG129)=0,"",AG129)))</f>
        <v/>
      </c>
      <c r="AO129" s="42" t="str">
        <f aca="false">IF(N(AN129)=0,"",AN129*AT129*IF(ISNUMBER(AJ129),AJ129,CC_DefCirc))</f>
        <v/>
      </c>
      <c r="AP129" s="27" t="n">
        <f aca="false">IF(ISNUMBER(T129),T129*INDEX(LenF,MATCH($T$7,LenU,0)),IF(ISNUMBER(W129),W129*INDEX(LenF,MATCH($W$7,LenU,0))/CC_PitchRatio,0))</f>
        <v>0</v>
      </c>
      <c r="AQ129" s="27" t="n">
        <f aca="false">IF(ISNUMBER(N129),PI()/4*(N129*INDEX(LenF,MATCH($N$7,LenU,0)))^2,IF(AND(ISNUMBER(S129),ISNUMBER(W129),X129&lt;&gt;""),S129*(W129*INDEX(LenF,MATCH($W$7,LenU,0)))^2*INDEX(LayoutF,MATCH(X129,LayoutU,0)),0))</f>
        <v>0</v>
      </c>
      <c r="AR129" s="27" t="n">
        <f aca="false">IF(ISNUMBER(O129),O129*INDEX(LenF,MATCH($O$7,LenU,0)),IF(ISNUMBER(V129),V129*INDEX(LenF,MATCH($V$7,LenU,0)),0))</f>
        <v>0</v>
      </c>
      <c r="AS129" s="27" t="str">
        <f aca="false">IF(ISNUMBER(L129),L129*INDEX(LenF,MATCH($L$7,LenU,0))*1000,IF(OR(J129="",K129=""),"",IFERROR(IF(INDEX(PipeWT,MATCH(J129,NPSU,0),MATCH(K129,SchU,0))="","Sch n/a",INDEX(PipeOD,MATCH(J129,NPSU,0))-2*INDEX(PipeWT,MATCH(J129,NPSU,0),MATCH(K129,SchU,0))),"")))</f>
        <v/>
      </c>
      <c r="AT129" s="27" t="n">
        <f aca="false">IF(ISNUMBER(AI129),AI129,IFERROR(INDEX(IF(CC_JobType="Decontamination",CC_TypeFillDC,CC_TypeFillCC),MATCH(E129,CC_TypeL,0)),1))</f>
        <v>1</v>
      </c>
      <c r="AU129" s="27" t="n">
        <v>4</v>
      </c>
    </row>
    <row r="130" customFormat="false" ht="15" hidden="false" customHeight="false" outlineLevel="0" collapsed="false">
      <c r="A130" s="36" t="n">
        <v>22</v>
      </c>
      <c r="B130" s="40"/>
      <c r="C130" s="32"/>
      <c r="D130" s="32"/>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1" t="str">
        <f aca="false">IF(E130="Exchanger",IF(AND(ISNUMBER(S130),ISNUMBER(U130),ISNUMBER(V130)),S130*PI()/4*(U130*INDEX(LenF,MATCH($U$7,LenU,0)))^2*V130*INDEX(LenF,MATCH($V$7,LenU,0)),0)+IF(ISNUMBER(Y130),PI()/4*(Y130*INDEX(LenF,MATCH($Y$7,LenU,0)))^2*N(Z130)*INDEX(LenF,MATCH($Z$7,LenU,0))+IF(AA130="",0,IF(AA130="Conical",PI()/12*(Y130*INDEX(LenF,MATCH($Y$7,LenU,0)))^2*(0),INDEX(HeadK,MATCH(AA130,HeadU,0))*(Y130*INDEX(LenF,MATCH($Y$7,LenU,0)))^3)),0)+IF(ISNUMBER(Y130),PI()/4*(Y130*INDEX(LenF,MATCH($Y$7,LenU,0)))^2*N(AB130)*INDEX(LenF,MATCH($AB$7,LenU,0))+IF(AC130="",0,IF(AC130="Conical",PI()/12*(Y130*INDEX(LenF,MATCH($Y$7,LenU,0)))^2*(0),INDEX(HeadK,MATCH(AC130,HeadU,0))*(Y130*INDEX(LenF,MATCH($Y$7,LenU,0)))^3)),0),"")</f>
        <v/>
      </c>
      <c r="AE130" s="41" t="str">
        <f aca="false">IF(OR(E130="",E130="Piping"),"",IF(E130="Exchanger",AQ130*AR130+IF(P130="",0,IF(P130="Conical",PI()/12*(SQRT(4*AQ130/PI()))^2*(0),INDEX(HeadK,MATCH(P130,HeadU,0))*(SQRT(4*AQ130/PI()))^3))-IF(AND(ISNUMBER(S130),ISNUMBER(V130)),S130*PI()/4*AP130^2*V130*INDEX(LenF,MATCH($V$7,LenU,0)),0),IF(ISNUMBER(N130),PI()/4*(N130*INDEX(LenF,MATCH($N$7,LenU,0)))^2*N(O130)*INDEX(LenF,MATCH($O$7,LenU,0))+IF(P130="",0,IF(P130="Conical",PI()/12*(N130*INDEX(LenF,MATCH($N$7,LenU,0)))^2*(N(R130)*INDEX(LenF,MATCH($R$7,LenU,0))),INDEX(HeadK,MATCH(P130,HeadU,0))*(N130*INDEX(LenF,MATCH($N$7,LenU,0)))^3))+IF(Q130="",0,IF(Q130="Conical",PI()/12*(N130*INDEX(LenF,MATCH($N$7,LenU,0)))^2*(N(R130)*INDEX(LenF,MATCH($R$7,LenU,0))),INDEX(HeadK,MATCH(Q130,HeadU,0))*(N130*INDEX(LenF,MATCH($N$7,LenU,0)))^3)),0)))</f>
        <v/>
      </c>
      <c r="AF130" s="41" t="str">
        <f aca="false">IF(E130&lt;&gt;"Piping","",IF(AND(ISNUMBER(AS130),ISNUMBER(M130)),PI()/4*(AS130/1000)^2*M130*INDEX(LenF,MATCH($M$7,LenU,0)),0))</f>
        <v/>
      </c>
      <c r="AG130" s="41" t="str">
        <f aca="false">IF(E130="","",N(AD130)+N(AE130)+N(AF130))</f>
        <v/>
      </c>
      <c r="AH130" s="41" t="str">
        <f aca="false">IF(ISNUMBER(I130),I130*INDEX(WtF,MATCH($I$7,WtU,0))/CC_WaterRho,"")</f>
        <v/>
      </c>
      <c r="AI130" s="31"/>
      <c r="AJ130" s="31"/>
      <c r="AK130" s="40"/>
      <c r="AL130" s="31"/>
      <c r="AM130" s="41" t="str">
        <f aca="false">IF(AO130="","",AO130*IF(ISNUMBER(AK130),AK130,CC_DefFills)*(1+IF(ISNUMBER(AL130),AL130,CC_DefAllow)))</f>
        <v/>
      </c>
      <c r="AN130" s="42" t="str">
        <f aca="false">IF(G130="Given volume",IF(ISNUMBER(H130),H130*INDEX(VolF,MATCH($H$7,VolU,0)),""),IF(G130="Water weight",AH130,IF(N(AG130)=0,"",AG130)))</f>
        <v/>
      </c>
      <c r="AO130" s="42" t="str">
        <f aca="false">IF(N(AN130)=0,"",AN130*AT130*IF(ISNUMBER(AJ130),AJ130,CC_DefCirc))</f>
        <v/>
      </c>
      <c r="AP130" s="27" t="n">
        <f aca="false">IF(ISNUMBER(T130),T130*INDEX(LenF,MATCH($T$7,LenU,0)),IF(ISNUMBER(W130),W130*INDEX(LenF,MATCH($W$7,LenU,0))/CC_PitchRatio,0))</f>
        <v>0</v>
      </c>
      <c r="AQ130" s="27" t="n">
        <f aca="false">IF(ISNUMBER(N130),PI()/4*(N130*INDEX(LenF,MATCH($N$7,LenU,0)))^2,IF(AND(ISNUMBER(S130),ISNUMBER(W130),X130&lt;&gt;""),S130*(W130*INDEX(LenF,MATCH($W$7,LenU,0)))^2*INDEX(LayoutF,MATCH(X130,LayoutU,0)),0))</f>
        <v>0</v>
      </c>
      <c r="AR130" s="27" t="n">
        <f aca="false">IF(ISNUMBER(O130),O130*INDEX(LenF,MATCH($O$7,LenU,0)),IF(ISNUMBER(V130),V130*INDEX(LenF,MATCH($V$7,LenU,0)),0))</f>
        <v>0</v>
      </c>
      <c r="AS130" s="27" t="str">
        <f aca="false">IF(ISNUMBER(L130),L130*INDEX(LenF,MATCH($L$7,LenU,0))*1000,IF(OR(J130="",K130=""),"",IFERROR(IF(INDEX(PipeWT,MATCH(J130,NPSU,0),MATCH(K130,SchU,0))="","Sch n/a",INDEX(PipeOD,MATCH(J130,NPSU,0))-2*INDEX(PipeWT,MATCH(J130,NPSU,0),MATCH(K130,SchU,0))),"")))</f>
        <v/>
      </c>
      <c r="AT130" s="27" t="n">
        <f aca="false">IF(ISNUMBER(AI130),AI130,IFERROR(INDEX(IF(CC_JobType="Decontamination",CC_TypeFillDC,CC_TypeFillCC),MATCH(E130,CC_TypeL,0)),1))</f>
        <v>1</v>
      </c>
      <c r="AU130" s="27" t="n">
        <v>4</v>
      </c>
    </row>
    <row r="131" customFormat="false" ht="15" hidden="false" customHeight="false" outlineLevel="0" collapsed="false">
      <c r="A131" s="36" t="n">
        <v>23</v>
      </c>
      <c r="B131" s="40"/>
      <c r="C131" s="32"/>
      <c r="D131" s="32"/>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1" t="str">
        <f aca="false">IF(E131="Exchanger",IF(AND(ISNUMBER(S131),ISNUMBER(U131),ISNUMBER(V131)),S131*PI()/4*(U131*INDEX(LenF,MATCH($U$7,LenU,0)))^2*V131*INDEX(LenF,MATCH($V$7,LenU,0)),0)+IF(ISNUMBER(Y131),PI()/4*(Y131*INDEX(LenF,MATCH($Y$7,LenU,0)))^2*N(Z131)*INDEX(LenF,MATCH($Z$7,LenU,0))+IF(AA131="",0,IF(AA131="Conical",PI()/12*(Y131*INDEX(LenF,MATCH($Y$7,LenU,0)))^2*(0),INDEX(HeadK,MATCH(AA131,HeadU,0))*(Y131*INDEX(LenF,MATCH($Y$7,LenU,0)))^3)),0)+IF(ISNUMBER(Y131),PI()/4*(Y131*INDEX(LenF,MATCH($Y$7,LenU,0)))^2*N(AB131)*INDEX(LenF,MATCH($AB$7,LenU,0))+IF(AC131="",0,IF(AC131="Conical",PI()/12*(Y131*INDEX(LenF,MATCH($Y$7,LenU,0)))^2*(0),INDEX(HeadK,MATCH(AC131,HeadU,0))*(Y131*INDEX(LenF,MATCH($Y$7,LenU,0)))^3)),0),"")</f>
        <v/>
      </c>
      <c r="AE131" s="41" t="str">
        <f aca="false">IF(OR(E131="",E131="Piping"),"",IF(E131="Exchanger",AQ131*AR131+IF(P131="",0,IF(P131="Conical",PI()/12*(SQRT(4*AQ131/PI()))^2*(0),INDEX(HeadK,MATCH(P131,HeadU,0))*(SQRT(4*AQ131/PI()))^3))-IF(AND(ISNUMBER(S131),ISNUMBER(V131)),S131*PI()/4*AP131^2*V131*INDEX(LenF,MATCH($V$7,LenU,0)),0),IF(ISNUMBER(N131),PI()/4*(N131*INDEX(LenF,MATCH($N$7,LenU,0)))^2*N(O131)*INDEX(LenF,MATCH($O$7,LenU,0))+IF(P131="",0,IF(P131="Conical",PI()/12*(N131*INDEX(LenF,MATCH($N$7,LenU,0)))^2*(N(R131)*INDEX(LenF,MATCH($R$7,LenU,0))),INDEX(HeadK,MATCH(P131,HeadU,0))*(N131*INDEX(LenF,MATCH($N$7,LenU,0)))^3))+IF(Q131="",0,IF(Q131="Conical",PI()/12*(N131*INDEX(LenF,MATCH($N$7,LenU,0)))^2*(N(R131)*INDEX(LenF,MATCH($R$7,LenU,0))),INDEX(HeadK,MATCH(Q131,HeadU,0))*(N131*INDEX(LenF,MATCH($N$7,LenU,0)))^3)),0)))</f>
        <v/>
      </c>
      <c r="AF131" s="41" t="str">
        <f aca="false">IF(E131&lt;&gt;"Piping","",IF(AND(ISNUMBER(AS131),ISNUMBER(M131)),PI()/4*(AS131/1000)^2*M131*INDEX(LenF,MATCH($M$7,LenU,0)),0))</f>
        <v/>
      </c>
      <c r="AG131" s="41" t="str">
        <f aca="false">IF(E131="","",N(AD131)+N(AE131)+N(AF131))</f>
        <v/>
      </c>
      <c r="AH131" s="41" t="str">
        <f aca="false">IF(ISNUMBER(I131),I131*INDEX(WtF,MATCH($I$7,WtU,0))/CC_WaterRho,"")</f>
        <v/>
      </c>
      <c r="AI131" s="31"/>
      <c r="AJ131" s="31"/>
      <c r="AK131" s="40"/>
      <c r="AL131" s="31"/>
      <c r="AM131" s="41" t="str">
        <f aca="false">IF(AO131="","",AO131*IF(ISNUMBER(AK131),AK131,CC_DefFills)*(1+IF(ISNUMBER(AL131),AL131,CC_DefAllow)))</f>
        <v/>
      </c>
      <c r="AN131" s="42" t="str">
        <f aca="false">IF(G131="Given volume",IF(ISNUMBER(H131),H131*INDEX(VolF,MATCH($H$7,VolU,0)),""),IF(G131="Water weight",AH131,IF(N(AG131)=0,"",AG131)))</f>
        <v/>
      </c>
      <c r="AO131" s="42" t="str">
        <f aca="false">IF(N(AN131)=0,"",AN131*AT131*IF(ISNUMBER(AJ131),AJ131,CC_DefCirc))</f>
        <v/>
      </c>
      <c r="AP131" s="27" t="n">
        <f aca="false">IF(ISNUMBER(T131),T131*INDEX(LenF,MATCH($T$7,LenU,0)),IF(ISNUMBER(W131),W131*INDEX(LenF,MATCH($W$7,LenU,0))/CC_PitchRatio,0))</f>
        <v>0</v>
      </c>
      <c r="AQ131" s="27" t="n">
        <f aca="false">IF(ISNUMBER(N131),PI()/4*(N131*INDEX(LenF,MATCH($N$7,LenU,0)))^2,IF(AND(ISNUMBER(S131),ISNUMBER(W131),X131&lt;&gt;""),S131*(W131*INDEX(LenF,MATCH($W$7,LenU,0)))^2*INDEX(LayoutF,MATCH(X131,LayoutU,0)),0))</f>
        <v>0</v>
      </c>
      <c r="AR131" s="27" t="n">
        <f aca="false">IF(ISNUMBER(O131),O131*INDEX(LenF,MATCH($O$7,LenU,0)),IF(ISNUMBER(V131),V131*INDEX(LenF,MATCH($V$7,LenU,0)),0))</f>
        <v>0</v>
      </c>
      <c r="AS131" s="27" t="str">
        <f aca="false">IF(ISNUMBER(L131),L131*INDEX(LenF,MATCH($L$7,LenU,0))*1000,IF(OR(J131="",K131=""),"",IFERROR(IF(INDEX(PipeWT,MATCH(J131,NPSU,0),MATCH(K131,SchU,0))="","Sch n/a",INDEX(PipeOD,MATCH(J131,NPSU,0))-2*INDEX(PipeWT,MATCH(J131,NPSU,0),MATCH(K131,SchU,0))),"")))</f>
        <v/>
      </c>
      <c r="AT131" s="27" t="n">
        <f aca="false">IF(ISNUMBER(AI131),AI131,IFERROR(INDEX(IF(CC_JobType="Decontamination",CC_TypeFillDC,CC_TypeFillCC),MATCH(E131,CC_TypeL,0)),1))</f>
        <v>1</v>
      </c>
      <c r="AU131" s="27" t="n">
        <v>4</v>
      </c>
    </row>
    <row r="132" customFormat="false" ht="15" hidden="false" customHeight="false" outlineLevel="0" collapsed="false">
      <c r="A132" s="36" t="n">
        <v>24</v>
      </c>
      <c r="B132" s="40"/>
      <c r="C132" s="32"/>
      <c r="D132" s="32"/>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1" t="str">
        <f aca="false">IF(E132="Exchanger",IF(AND(ISNUMBER(S132),ISNUMBER(U132),ISNUMBER(V132)),S132*PI()/4*(U132*INDEX(LenF,MATCH($U$7,LenU,0)))^2*V132*INDEX(LenF,MATCH($V$7,LenU,0)),0)+IF(ISNUMBER(Y132),PI()/4*(Y132*INDEX(LenF,MATCH($Y$7,LenU,0)))^2*N(Z132)*INDEX(LenF,MATCH($Z$7,LenU,0))+IF(AA132="",0,IF(AA132="Conical",PI()/12*(Y132*INDEX(LenF,MATCH($Y$7,LenU,0)))^2*(0),INDEX(HeadK,MATCH(AA132,HeadU,0))*(Y132*INDEX(LenF,MATCH($Y$7,LenU,0)))^3)),0)+IF(ISNUMBER(Y132),PI()/4*(Y132*INDEX(LenF,MATCH($Y$7,LenU,0)))^2*N(AB132)*INDEX(LenF,MATCH($AB$7,LenU,0))+IF(AC132="",0,IF(AC132="Conical",PI()/12*(Y132*INDEX(LenF,MATCH($Y$7,LenU,0)))^2*(0),INDEX(HeadK,MATCH(AC132,HeadU,0))*(Y132*INDEX(LenF,MATCH($Y$7,LenU,0)))^3)),0),"")</f>
        <v/>
      </c>
      <c r="AE132" s="41" t="str">
        <f aca="false">IF(OR(E132="",E132="Piping"),"",IF(E132="Exchanger",AQ132*AR132+IF(P132="",0,IF(P132="Conical",PI()/12*(SQRT(4*AQ132/PI()))^2*(0),INDEX(HeadK,MATCH(P132,HeadU,0))*(SQRT(4*AQ132/PI()))^3))-IF(AND(ISNUMBER(S132),ISNUMBER(V132)),S132*PI()/4*AP132^2*V132*INDEX(LenF,MATCH($V$7,LenU,0)),0),IF(ISNUMBER(N132),PI()/4*(N132*INDEX(LenF,MATCH($N$7,LenU,0)))^2*N(O132)*INDEX(LenF,MATCH($O$7,LenU,0))+IF(P132="",0,IF(P132="Conical",PI()/12*(N132*INDEX(LenF,MATCH($N$7,LenU,0)))^2*(N(R132)*INDEX(LenF,MATCH($R$7,LenU,0))),INDEX(HeadK,MATCH(P132,HeadU,0))*(N132*INDEX(LenF,MATCH($N$7,LenU,0)))^3))+IF(Q132="",0,IF(Q132="Conical",PI()/12*(N132*INDEX(LenF,MATCH($N$7,LenU,0)))^2*(N(R132)*INDEX(LenF,MATCH($R$7,LenU,0))),INDEX(HeadK,MATCH(Q132,HeadU,0))*(N132*INDEX(LenF,MATCH($N$7,LenU,0)))^3)),0)))</f>
        <v/>
      </c>
      <c r="AF132" s="41" t="str">
        <f aca="false">IF(E132&lt;&gt;"Piping","",IF(AND(ISNUMBER(AS132),ISNUMBER(M132)),PI()/4*(AS132/1000)^2*M132*INDEX(LenF,MATCH($M$7,LenU,0)),0))</f>
        <v/>
      </c>
      <c r="AG132" s="41" t="str">
        <f aca="false">IF(E132="","",N(AD132)+N(AE132)+N(AF132))</f>
        <v/>
      </c>
      <c r="AH132" s="41" t="str">
        <f aca="false">IF(ISNUMBER(I132),I132*INDEX(WtF,MATCH($I$7,WtU,0))/CC_WaterRho,"")</f>
        <v/>
      </c>
      <c r="AI132" s="31"/>
      <c r="AJ132" s="31"/>
      <c r="AK132" s="40"/>
      <c r="AL132" s="31"/>
      <c r="AM132" s="41" t="str">
        <f aca="false">IF(AO132="","",AO132*IF(ISNUMBER(AK132),AK132,CC_DefFills)*(1+IF(ISNUMBER(AL132),AL132,CC_DefAllow)))</f>
        <v/>
      </c>
      <c r="AN132" s="42" t="str">
        <f aca="false">IF(G132="Given volume",IF(ISNUMBER(H132),H132*INDEX(VolF,MATCH($H$7,VolU,0)),""),IF(G132="Water weight",AH132,IF(N(AG132)=0,"",AG132)))</f>
        <v/>
      </c>
      <c r="AO132" s="42" t="str">
        <f aca="false">IF(N(AN132)=0,"",AN132*AT132*IF(ISNUMBER(AJ132),AJ132,CC_DefCirc))</f>
        <v/>
      </c>
      <c r="AP132" s="27" t="n">
        <f aca="false">IF(ISNUMBER(T132),T132*INDEX(LenF,MATCH($T$7,LenU,0)),IF(ISNUMBER(W132),W132*INDEX(LenF,MATCH($W$7,LenU,0))/CC_PitchRatio,0))</f>
        <v>0</v>
      </c>
      <c r="AQ132" s="27" t="n">
        <f aca="false">IF(ISNUMBER(N132),PI()/4*(N132*INDEX(LenF,MATCH($N$7,LenU,0)))^2,IF(AND(ISNUMBER(S132),ISNUMBER(W132),X132&lt;&gt;""),S132*(W132*INDEX(LenF,MATCH($W$7,LenU,0)))^2*INDEX(LayoutF,MATCH(X132,LayoutU,0)),0))</f>
        <v>0</v>
      </c>
      <c r="AR132" s="27" t="n">
        <f aca="false">IF(ISNUMBER(O132),O132*INDEX(LenF,MATCH($O$7,LenU,0)),IF(ISNUMBER(V132),V132*INDEX(LenF,MATCH($V$7,LenU,0)),0))</f>
        <v>0</v>
      </c>
      <c r="AS132" s="27" t="str">
        <f aca="false">IF(ISNUMBER(L132),L132*INDEX(LenF,MATCH($L$7,LenU,0))*1000,IF(OR(J132="",K132=""),"",IFERROR(IF(INDEX(PipeWT,MATCH(J132,NPSU,0),MATCH(K132,SchU,0))="","Sch n/a",INDEX(PipeOD,MATCH(J132,NPSU,0))-2*INDEX(PipeWT,MATCH(J132,NPSU,0),MATCH(K132,SchU,0))),"")))</f>
        <v/>
      </c>
      <c r="AT132" s="27" t="n">
        <f aca="false">IF(ISNUMBER(AI132),AI132,IFERROR(INDEX(IF(CC_JobType="Decontamination",CC_TypeFillDC,CC_TypeFillCC),MATCH(E132,CC_TypeL,0)),1))</f>
        <v>1</v>
      </c>
      <c r="AU132" s="27" t="n">
        <v>4</v>
      </c>
    </row>
    <row r="133" customFormat="false" ht="15" hidden="false" customHeight="false" outlineLevel="0" collapsed="false">
      <c r="A133" s="36" t="n">
        <v>25</v>
      </c>
      <c r="B133" s="40"/>
      <c r="C133" s="32"/>
      <c r="D133" s="32"/>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1" t="str">
        <f aca="false">IF(E133="Exchanger",IF(AND(ISNUMBER(S133),ISNUMBER(U133),ISNUMBER(V133)),S133*PI()/4*(U133*INDEX(LenF,MATCH($U$7,LenU,0)))^2*V133*INDEX(LenF,MATCH($V$7,LenU,0)),0)+IF(ISNUMBER(Y133),PI()/4*(Y133*INDEX(LenF,MATCH($Y$7,LenU,0)))^2*N(Z133)*INDEX(LenF,MATCH($Z$7,LenU,0))+IF(AA133="",0,IF(AA133="Conical",PI()/12*(Y133*INDEX(LenF,MATCH($Y$7,LenU,0)))^2*(0),INDEX(HeadK,MATCH(AA133,HeadU,0))*(Y133*INDEX(LenF,MATCH($Y$7,LenU,0)))^3)),0)+IF(ISNUMBER(Y133),PI()/4*(Y133*INDEX(LenF,MATCH($Y$7,LenU,0)))^2*N(AB133)*INDEX(LenF,MATCH($AB$7,LenU,0))+IF(AC133="",0,IF(AC133="Conical",PI()/12*(Y133*INDEX(LenF,MATCH($Y$7,LenU,0)))^2*(0),INDEX(HeadK,MATCH(AC133,HeadU,0))*(Y133*INDEX(LenF,MATCH($Y$7,LenU,0)))^3)),0),"")</f>
        <v/>
      </c>
      <c r="AE133" s="41" t="str">
        <f aca="false">IF(OR(E133="",E133="Piping"),"",IF(E133="Exchanger",AQ133*AR133+IF(P133="",0,IF(P133="Conical",PI()/12*(SQRT(4*AQ133/PI()))^2*(0),INDEX(HeadK,MATCH(P133,HeadU,0))*(SQRT(4*AQ133/PI()))^3))-IF(AND(ISNUMBER(S133),ISNUMBER(V133)),S133*PI()/4*AP133^2*V133*INDEX(LenF,MATCH($V$7,LenU,0)),0),IF(ISNUMBER(N133),PI()/4*(N133*INDEX(LenF,MATCH($N$7,LenU,0)))^2*N(O133)*INDEX(LenF,MATCH($O$7,LenU,0))+IF(P133="",0,IF(P133="Conical",PI()/12*(N133*INDEX(LenF,MATCH($N$7,LenU,0)))^2*(N(R133)*INDEX(LenF,MATCH($R$7,LenU,0))),INDEX(HeadK,MATCH(P133,HeadU,0))*(N133*INDEX(LenF,MATCH($N$7,LenU,0)))^3))+IF(Q133="",0,IF(Q133="Conical",PI()/12*(N133*INDEX(LenF,MATCH($N$7,LenU,0)))^2*(N(R133)*INDEX(LenF,MATCH($R$7,LenU,0))),INDEX(HeadK,MATCH(Q133,HeadU,0))*(N133*INDEX(LenF,MATCH($N$7,LenU,0)))^3)),0)))</f>
        <v/>
      </c>
      <c r="AF133" s="41" t="str">
        <f aca="false">IF(E133&lt;&gt;"Piping","",IF(AND(ISNUMBER(AS133),ISNUMBER(M133)),PI()/4*(AS133/1000)^2*M133*INDEX(LenF,MATCH($M$7,LenU,0)),0))</f>
        <v/>
      </c>
      <c r="AG133" s="41" t="str">
        <f aca="false">IF(E133="","",N(AD133)+N(AE133)+N(AF133))</f>
        <v/>
      </c>
      <c r="AH133" s="41" t="str">
        <f aca="false">IF(ISNUMBER(I133),I133*INDEX(WtF,MATCH($I$7,WtU,0))/CC_WaterRho,"")</f>
        <v/>
      </c>
      <c r="AI133" s="31"/>
      <c r="AJ133" s="31"/>
      <c r="AK133" s="40"/>
      <c r="AL133" s="31"/>
      <c r="AM133" s="41" t="str">
        <f aca="false">IF(AO133="","",AO133*IF(ISNUMBER(AK133),AK133,CC_DefFills)*(1+IF(ISNUMBER(AL133),AL133,CC_DefAllow)))</f>
        <v/>
      </c>
      <c r="AN133" s="42" t="str">
        <f aca="false">IF(G133="Given volume",IF(ISNUMBER(H133),H133*INDEX(VolF,MATCH($H$7,VolU,0)),""),IF(G133="Water weight",AH133,IF(N(AG133)=0,"",AG133)))</f>
        <v/>
      </c>
      <c r="AO133" s="42" t="str">
        <f aca="false">IF(N(AN133)=0,"",AN133*AT133*IF(ISNUMBER(AJ133),AJ133,CC_DefCirc))</f>
        <v/>
      </c>
      <c r="AP133" s="27" t="n">
        <f aca="false">IF(ISNUMBER(T133),T133*INDEX(LenF,MATCH($T$7,LenU,0)),IF(ISNUMBER(W133),W133*INDEX(LenF,MATCH($W$7,LenU,0))/CC_PitchRatio,0))</f>
        <v>0</v>
      </c>
      <c r="AQ133" s="27" t="n">
        <f aca="false">IF(ISNUMBER(N133),PI()/4*(N133*INDEX(LenF,MATCH($N$7,LenU,0)))^2,IF(AND(ISNUMBER(S133),ISNUMBER(W133),X133&lt;&gt;""),S133*(W133*INDEX(LenF,MATCH($W$7,LenU,0)))^2*INDEX(LayoutF,MATCH(X133,LayoutU,0)),0))</f>
        <v>0</v>
      </c>
      <c r="AR133" s="27" t="n">
        <f aca="false">IF(ISNUMBER(O133),O133*INDEX(LenF,MATCH($O$7,LenU,0)),IF(ISNUMBER(V133),V133*INDEX(LenF,MATCH($V$7,LenU,0)),0))</f>
        <v>0</v>
      </c>
      <c r="AS133" s="27" t="str">
        <f aca="false">IF(ISNUMBER(L133),L133*INDEX(LenF,MATCH($L$7,LenU,0))*1000,IF(OR(J133="",K133=""),"",IFERROR(IF(INDEX(PipeWT,MATCH(J133,NPSU,0),MATCH(K133,SchU,0))="","Sch n/a",INDEX(PipeOD,MATCH(J133,NPSU,0))-2*INDEX(PipeWT,MATCH(J133,NPSU,0),MATCH(K133,SchU,0))),"")))</f>
        <v/>
      </c>
      <c r="AT133" s="27" t="n">
        <f aca="false">IF(ISNUMBER(AI133),AI133,IFERROR(INDEX(IF(CC_JobType="Decontamination",CC_TypeFillDC,CC_TypeFillCC),MATCH(E133,CC_TypeL,0)),1))</f>
        <v>1</v>
      </c>
      <c r="AU133" s="27" t="n">
        <v>4</v>
      </c>
    </row>
    <row r="134" customFormat="false" ht="15" hidden="false" customHeight="false" outlineLevel="0" collapsed="false">
      <c r="A134" s="36" t="n">
        <v>26</v>
      </c>
      <c r="B134" s="40"/>
      <c r="C134" s="32"/>
      <c r="D134" s="32"/>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1" t="str">
        <f aca="false">IF(E134="Exchanger",IF(AND(ISNUMBER(S134),ISNUMBER(U134),ISNUMBER(V134)),S134*PI()/4*(U134*INDEX(LenF,MATCH($U$7,LenU,0)))^2*V134*INDEX(LenF,MATCH($V$7,LenU,0)),0)+IF(ISNUMBER(Y134),PI()/4*(Y134*INDEX(LenF,MATCH($Y$7,LenU,0)))^2*N(Z134)*INDEX(LenF,MATCH($Z$7,LenU,0))+IF(AA134="",0,IF(AA134="Conical",PI()/12*(Y134*INDEX(LenF,MATCH($Y$7,LenU,0)))^2*(0),INDEX(HeadK,MATCH(AA134,HeadU,0))*(Y134*INDEX(LenF,MATCH($Y$7,LenU,0)))^3)),0)+IF(ISNUMBER(Y134),PI()/4*(Y134*INDEX(LenF,MATCH($Y$7,LenU,0)))^2*N(AB134)*INDEX(LenF,MATCH($AB$7,LenU,0))+IF(AC134="",0,IF(AC134="Conical",PI()/12*(Y134*INDEX(LenF,MATCH($Y$7,LenU,0)))^2*(0),INDEX(HeadK,MATCH(AC134,HeadU,0))*(Y134*INDEX(LenF,MATCH($Y$7,LenU,0)))^3)),0),"")</f>
        <v/>
      </c>
      <c r="AE134" s="41" t="str">
        <f aca="false">IF(OR(E134="",E134="Piping"),"",IF(E134="Exchanger",AQ134*AR134+IF(P134="",0,IF(P134="Conical",PI()/12*(SQRT(4*AQ134/PI()))^2*(0),INDEX(HeadK,MATCH(P134,HeadU,0))*(SQRT(4*AQ134/PI()))^3))-IF(AND(ISNUMBER(S134),ISNUMBER(V134)),S134*PI()/4*AP134^2*V134*INDEX(LenF,MATCH($V$7,LenU,0)),0),IF(ISNUMBER(N134),PI()/4*(N134*INDEX(LenF,MATCH($N$7,LenU,0)))^2*N(O134)*INDEX(LenF,MATCH($O$7,LenU,0))+IF(P134="",0,IF(P134="Conical",PI()/12*(N134*INDEX(LenF,MATCH($N$7,LenU,0)))^2*(N(R134)*INDEX(LenF,MATCH($R$7,LenU,0))),INDEX(HeadK,MATCH(P134,HeadU,0))*(N134*INDEX(LenF,MATCH($N$7,LenU,0)))^3))+IF(Q134="",0,IF(Q134="Conical",PI()/12*(N134*INDEX(LenF,MATCH($N$7,LenU,0)))^2*(N(R134)*INDEX(LenF,MATCH($R$7,LenU,0))),INDEX(HeadK,MATCH(Q134,HeadU,0))*(N134*INDEX(LenF,MATCH($N$7,LenU,0)))^3)),0)))</f>
        <v/>
      </c>
      <c r="AF134" s="41" t="str">
        <f aca="false">IF(E134&lt;&gt;"Piping","",IF(AND(ISNUMBER(AS134),ISNUMBER(M134)),PI()/4*(AS134/1000)^2*M134*INDEX(LenF,MATCH($M$7,LenU,0)),0))</f>
        <v/>
      </c>
      <c r="AG134" s="41" t="str">
        <f aca="false">IF(E134="","",N(AD134)+N(AE134)+N(AF134))</f>
        <v/>
      </c>
      <c r="AH134" s="41" t="str">
        <f aca="false">IF(ISNUMBER(I134),I134*INDEX(WtF,MATCH($I$7,WtU,0))/CC_WaterRho,"")</f>
        <v/>
      </c>
      <c r="AI134" s="31"/>
      <c r="AJ134" s="31"/>
      <c r="AK134" s="40"/>
      <c r="AL134" s="31"/>
      <c r="AM134" s="41" t="str">
        <f aca="false">IF(AO134="","",AO134*IF(ISNUMBER(AK134),AK134,CC_DefFills)*(1+IF(ISNUMBER(AL134),AL134,CC_DefAllow)))</f>
        <v/>
      </c>
      <c r="AN134" s="42" t="str">
        <f aca="false">IF(G134="Given volume",IF(ISNUMBER(H134),H134*INDEX(VolF,MATCH($H$7,VolU,0)),""),IF(G134="Water weight",AH134,IF(N(AG134)=0,"",AG134)))</f>
        <v/>
      </c>
      <c r="AO134" s="42" t="str">
        <f aca="false">IF(N(AN134)=0,"",AN134*AT134*IF(ISNUMBER(AJ134),AJ134,CC_DefCirc))</f>
        <v/>
      </c>
      <c r="AP134" s="27" t="n">
        <f aca="false">IF(ISNUMBER(T134),T134*INDEX(LenF,MATCH($T$7,LenU,0)),IF(ISNUMBER(W134),W134*INDEX(LenF,MATCH($W$7,LenU,0))/CC_PitchRatio,0))</f>
        <v>0</v>
      </c>
      <c r="AQ134" s="27" t="n">
        <f aca="false">IF(ISNUMBER(N134),PI()/4*(N134*INDEX(LenF,MATCH($N$7,LenU,0)))^2,IF(AND(ISNUMBER(S134),ISNUMBER(W134),X134&lt;&gt;""),S134*(W134*INDEX(LenF,MATCH($W$7,LenU,0)))^2*INDEX(LayoutF,MATCH(X134,LayoutU,0)),0))</f>
        <v>0</v>
      </c>
      <c r="AR134" s="27" t="n">
        <f aca="false">IF(ISNUMBER(O134),O134*INDEX(LenF,MATCH($O$7,LenU,0)),IF(ISNUMBER(V134),V134*INDEX(LenF,MATCH($V$7,LenU,0)),0))</f>
        <v>0</v>
      </c>
      <c r="AS134" s="27" t="str">
        <f aca="false">IF(ISNUMBER(L134),L134*INDEX(LenF,MATCH($L$7,LenU,0))*1000,IF(OR(J134="",K134=""),"",IFERROR(IF(INDEX(PipeWT,MATCH(J134,NPSU,0),MATCH(K134,SchU,0))="","Sch n/a",INDEX(PipeOD,MATCH(J134,NPSU,0))-2*INDEX(PipeWT,MATCH(J134,NPSU,0),MATCH(K134,SchU,0))),"")))</f>
        <v/>
      </c>
      <c r="AT134" s="27" t="n">
        <f aca="false">IF(ISNUMBER(AI134),AI134,IFERROR(INDEX(IF(CC_JobType="Decontamination",CC_TypeFillDC,CC_TypeFillCC),MATCH(E134,CC_TypeL,0)),1))</f>
        <v>1</v>
      </c>
      <c r="AU134" s="27" t="n">
        <v>4</v>
      </c>
    </row>
    <row r="135" customFormat="false" ht="15" hidden="false" customHeight="false" outlineLevel="0" collapsed="false">
      <c r="A135" s="36" t="n">
        <v>27</v>
      </c>
      <c r="B135" s="40"/>
      <c r="C135" s="32"/>
      <c r="D135" s="32"/>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1" t="str">
        <f aca="false">IF(E135="Exchanger",IF(AND(ISNUMBER(S135),ISNUMBER(U135),ISNUMBER(V135)),S135*PI()/4*(U135*INDEX(LenF,MATCH($U$7,LenU,0)))^2*V135*INDEX(LenF,MATCH($V$7,LenU,0)),0)+IF(ISNUMBER(Y135),PI()/4*(Y135*INDEX(LenF,MATCH($Y$7,LenU,0)))^2*N(Z135)*INDEX(LenF,MATCH($Z$7,LenU,0))+IF(AA135="",0,IF(AA135="Conical",PI()/12*(Y135*INDEX(LenF,MATCH($Y$7,LenU,0)))^2*(0),INDEX(HeadK,MATCH(AA135,HeadU,0))*(Y135*INDEX(LenF,MATCH($Y$7,LenU,0)))^3)),0)+IF(ISNUMBER(Y135),PI()/4*(Y135*INDEX(LenF,MATCH($Y$7,LenU,0)))^2*N(AB135)*INDEX(LenF,MATCH($AB$7,LenU,0))+IF(AC135="",0,IF(AC135="Conical",PI()/12*(Y135*INDEX(LenF,MATCH($Y$7,LenU,0)))^2*(0),INDEX(HeadK,MATCH(AC135,HeadU,0))*(Y135*INDEX(LenF,MATCH($Y$7,LenU,0)))^3)),0),"")</f>
        <v/>
      </c>
      <c r="AE135" s="41" t="str">
        <f aca="false">IF(OR(E135="",E135="Piping"),"",IF(E135="Exchanger",AQ135*AR135+IF(P135="",0,IF(P135="Conical",PI()/12*(SQRT(4*AQ135/PI()))^2*(0),INDEX(HeadK,MATCH(P135,HeadU,0))*(SQRT(4*AQ135/PI()))^3))-IF(AND(ISNUMBER(S135),ISNUMBER(V135)),S135*PI()/4*AP135^2*V135*INDEX(LenF,MATCH($V$7,LenU,0)),0),IF(ISNUMBER(N135),PI()/4*(N135*INDEX(LenF,MATCH($N$7,LenU,0)))^2*N(O135)*INDEX(LenF,MATCH($O$7,LenU,0))+IF(P135="",0,IF(P135="Conical",PI()/12*(N135*INDEX(LenF,MATCH($N$7,LenU,0)))^2*(N(R135)*INDEX(LenF,MATCH($R$7,LenU,0))),INDEX(HeadK,MATCH(P135,HeadU,0))*(N135*INDEX(LenF,MATCH($N$7,LenU,0)))^3))+IF(Q135="",0,IF(Q135="Conical",PI()/12*(N135*INDEX(LenF,MATCH($N$7,LenU,0)))^2*(N(R135)*INDEX(LenF,MATCH($R$7,LenU,0))),INDEX(HeadK,MATCH(Q135,HeadU,0))*(N135*INDEX(LenF,MATCH($N$7,LenU,0)))^3)),0)))</f>
        <v/>
      </c>
      <c r="AF135" s="41" t="str">
        <f aca="false">IF(E135&lt;&gt;"Piping","",IF(AND(ISNUMBER(AS135),ISNUMBER(M135)),PI()/4*(AS135/1000)^2*M135*INDEX(LenF,MATCH($M$7,LenU,0)),0))</f>
        <v/>
      </c>
      <c r="AG135" s="41" t="str">
        <f aca="false">IF(E135="","",N(AD135)+N(AE135)+N(AF135))</f>
        <v/>
      </c>
      <c r="AH135" s="41" t="str">
        <f aca="false">IF(ISNUMBER(I135),I135*INDEX(WtF,MATCH($I$7,WtU,0))/CC_WaterRho,"")</f>
        <v/>
      </c>
      <c r="AI135" s="31"/>
      <c r="AJ135" s="31"/>
      <c r="AK135" s="40"/>
      <c r="AL135" s="31"/>
      <c r="AM135" s="41" t="str">
        <f aca="false">IF(AO135="","",AO135*IF(ISNUMBER(AK135),AK135,CC_DefFills)*(1+IF(ISNUMBER(AL135),AL135,CC_DefAllow)))</f>
        <v/>
      </c>
      <c r="AN135" s="42" t="str">
        <f aca="false">IF(G135="Given volume",IF(ISNUMBER(H135),H135*INDEX(VolF,MATCH($H$7,VolU,0)),""),IF(G135="Water weight",AH135,IF(N(AG135)=0,"",AG135)))</f>
        <v/>
      </c>
      <c r="AO135" s="42" t="str">
        <f aca="false">IF(N(AN135)=0,"",AN135*AT135*IF(ISNUMBER(AJ135),AJ135,CC_DefCirc))</f>
        <v/>
      </c>
      <c r="AP135" s="27" t="n">
        <f aca="false">IF(ISNUMBER(T135),T135*INDEX(LenF,MATCH($T$7,LenU,0)),IF(ISNUMBER(W135),W135*INDEX(LenF,MATCH($W$7,LenU,0))/CC_PitchRatio,0))</f>
        <v>0</v>
      </c>
      <c r="AQ135" s="27" t="n">
        <f aca="false">IF(ISNUMBER(N135),PI()/4*(N135*INDEX(LenF,MATCH($N$7,LenU,0)))^2,IF(AND(ISNUMBER(S135),ISNUMBER(W135),X135&lt;&gt;""),S135*(W135*INDEX(LenF,MATCH($W$7,LenU,0)))^2*INDEX(LayoutF,MATCH(X135,LayoutU,0)),0))</f>
        <v>0</v>
      </c>
      <c r="AR135" s="27" t="n">
        <f aca="false">IF(ISNUMBER(O135),O135*INDEX(LenF,MATCH($O$7,LenU,0)),IF(ISNUMBER(V135),V135*INDEX(LenF,MATCH($V$7,LenU,0)),0))</f>
        <v>0</v>
      </c>
      <c r="AS135" s="27" t="str">
        <f aca="false">IF(ISNUMBER(L135),L135*INDEX(LenF,MATCH($L$7,LenU,0))*1000,IF(OR(J135="",K135=""),"",IFERROR(IF(INDEX(PipeWT,MATCH(J135,NPSU,0),MATCH(K135,SchU,0))="","Sch n/a",INDEX(PipeOD,MATCH(J135,NPSU,0))-2*INDEX(PipeWT,MATCH(J135,NPSU,0),MATCH(K135,SchU,0))),"")))</f>
        <v/>
      </c>
      <c r="AT135" s="27" t="n">
        <f aca="false">IF(ISNUMBER(AI135),AI135,IFERROR(INDEX(IF(CC_JobType="Decontamination",CC_TypeFillDC,CC_TypeFillCC),MATCH(E135,CC_TypeL,0)),1))</f>
        <v>1</v>
      </c>
      <c r="AU135" s="27" t="n">
        <v>4</v>
      </c>
    </row>
    <row r="136" customFormat="false" ht="15" hidden="false" customHeight="false" outlineLevel="0" collapsed="false">
      <c r="A136" s="36" t="n">
        <v>28</v>
      </c>
      <c r="B136" s="40"/>
      <c r="C136" s="32"/>
      <c r="D136" s="32"/>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1" t="str">
        <f aca="false">IF(E136="Exchanger",IF(AND(ISNUMBER(S136),ISNUMBER(U136),ISNUMBER(V136)),S136*PI()/4*(U136*INDEX(LenF,MATCH($U$7,LenU,0)))^2*V136*INDEX(LenF,MATCH($V$7,LenU,0)),0)+IF(ISNUMBER(Y136),PI()/4*(Y136*INDEX(LenF,MATCH($Y$7,LenU,0)))^2*N(Z136)*INDEX(LenF,MATCH($Z$7,LenU,0))+IF(AA136="",0,IF(AA136="Conical",PI()/12*(Y136*INDEX(LenF,MATCH($Y$7,LenU,0)))^2*(0),INDEX(HeadK,MATCH(AA136,HeadU,0))*(Y136*INDEX(LenF,MATCH($Y$7,LenU,0)))^3)),0)+IF(ISNUMBER(Y136),PI()/4*(Y136*INDEX(LenF,MATCH($Y$7,LenU,0)))^2*N(AB136)*INDEX(LenF,MATCH($AB$7,LenU,0))+IF(AC136="",0,IF(AC136="Conical",PI()/12*(Y136*INDEX(LenF,MATCH($Y$7,LenU,0)))^2*(0),INDEX(HeadK,MATCH(AC136,HeadU,0))*(Y136*INDEX(LenF,MATCH($Y$7,LenU,0)))^3)),0),"")</f>
        <v/>
      </c>
      <c r="AE136" s="41" t="str">
        <f aca="false">IF(OR(E136="",E136="Piping"),"",IF(E136="Exchanger",AQ136*AR136+IF(P136="",0,IF(P136="Conical",PI()/12*(SQRT(4*AQ136/PI()))^2*(0),INDEX(HeadK,MATCH(P136,HeadU,0))*(SQRT(4*AQ136/PI()))^3))-IF(AND(ISNUMBER(S136),ISNUMBER(V136)),S136*PI()/4*AP136^2*V136*INDEX(LenF,MATCH($V$7,LenU,0)),0),IF(ISNUMBER(N136),PI()/4*(N136*INDEX(LenF,MATCH($N$7,LenU,0)))^2*N(O136)*INDEX(LenF,MATCH($O$7,LenU,0))+IF(P136="",0,IF(P136="Conical",PI()/12*(N136*INDEX(LenF,MATCH($N$7,LenU,0)))^2*(N(R136)*INDEX(LenF,MATCH($R$7,LenU,0))),INDEX(HeadK,MATCH(P136,HeadU,0))*(N136*INDEX(LenF,MATCH($N$7,LenU,0)))^3))+IF(Q136="",0,IF(Q136="Conical",PI()/12*(N136*INDEX(LenF,MATCH($N$7,LenU,0)))^2*(N(R136)*INDEX(LenF,MATCH($R$7,LenU,0))),INDEX(HeadK,MATCH(Q136,HeadU,0))*(N136*INDEX(LenF,MATCH($N$7,LenU,0)))^3)),0)))</f>
        <v/>
      </c>
      <c r="AF136" s="41" t="str">
        <f aca="false">IF(E136&lt;&gt;"Piping","",IF(AND(ISNUMBER(AS136),ISNUMBER(M136)),PI()/4*(AS136/1000)^2*M136*INDEX(LenF,MATCH($M$7,LenU,0)),0))</f>
        <v/>
      </c>
      <c r="AG136" s="41" t="str">
        <f aca="false">IF(E136="","",N(AD136)+N(AE136)+N(AF136))</f>
        <v/>
      </c>
      <c r="AH136" s="41" t="str">
        <f aca="false">IF(ISNUMBER(I136),I136*INDEX(WtF,MATCH($I$7,WtU,0))/CC_WaterRho,"")</f>
        <v/>
      </c>
      <c r="AI136" s="31"/>
      <c r="AJ136" s="31"/>
      <c r="AK136" s="40"/>
      <c r="AL136" s="31"/>
      <c r="AM136" s="41" t="str">
        <f aca="false">IF(AO136="","",AO136*IF(ISNUMBER(AK136),AK136,CC_DefFills)*(1+IF(ISNUMBER(AL136),AL136,CC_DefAllow)))</f>
        <v/>
      </c>
      <c r="AN136" s="42" t="str">
        <f aca="false">IF(G136="Given volume",IF(ISNUMBER(H136),H136*INDEX(VolF,MATCH($H$7,VolU,0)),""),IF(G136="Water weight",AH136,IF(N(AG136)=0,"",AG136)))</f>
        <v/>
      </c>
      <c r="AO136" s="42" t="str">
        <f aca="false">IF(N(AN136)=0,"",AN136*AT136*IF(ISNUMBER(AJ136),AJ136,CC_DefCirc))</f>
        <v/>
      </c>
      <c r="AP136" s="27" t="n">
        <f aca="false">IF(ISNUMBER(T136),T136*INDEX(LenF,MATCH($T$7,LenU,0)),IF(ISNUMBER(W136),W136*INDEX(LenF,MATCH($W$7,LenU,0))/CC_PitchRatio,0))</f>
        <v>0</v>
      </c>
      <c r="AQ136" s="27" t="n">
        <f aca="false">IF(ISNUMBER(N136),PI()/4*(N136*INDEX(LenF,MATCH($N$7,LenU,0)))^2,IF(AND(ISNUMBER(S136),ISNUMBER(W136),X136&lt;&gt;""),S136*(W136*INDEX(LenF,MATCH($W$7,LenU,0)))^2*INDEX(LayoutF,MATCH(X136,LayoutU,0)),0))</f>
        <v>0</v>
      </c>
      <c r="AR136" s="27" t="n">
        <f aca="false">IF(ISNUMBER(O136),O136*INDEX(LenF,MATCH($O$7,LenU,0)),IF(ISNUMBER(V136),V136*INDEX(LenF,MATCH($V$7,LenU,0)),0))</f>
        <v>0</v>
      </c>
      <c r="AS136" s="27" t="str">
        <f aca="false">IF(ISNUMBER(L136),L136*INDEX(LenF,MATCH($L$7,LenU,0))*1000,IF(OR(J136="",K136=""),"",IFERROR(IF(INDEX(PipeWT,MATCH(J136,NPSU,0),MATCH(K136,SchU,0))="","Sch n/a",INDEX(PipeOD,MATCH(J136,NPSU,0))-2*INDEX(PipeWT,MATCH(J136,NPSU,0),MATCH(K136,SchU,0))),"")))</f>
        <v/>
      </c>
      <c r="AT136" s="27" t="n">
        <f aca="false">IF(ISNUMBER(AI136),AI136,IFERROR(INDEX(IF(CC_JobType="Decontamination",CC_TypeFillDC,CC_TypeFillCC),MATCH(E136,CC_TypeL,0)),1))</f>
        <v>1</v>
      </c>
      <c r="AU136" s="27" t="n">
        <v>4</v>
      </c>
    </row>
    <row r="137" customFormat="false" ht="15" hidden="false" customHeight="false" outlineLevel="0" collapsed="false">
      <c r="A137" s="36" t="n">
        <v>29</v>
      </c>
      <c r="B137" s="40"/>
      <c r="C137" s="32"/>
      <c r="D137" s="32"/>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1" t="str">
        <f aca="false">IF(E137="Exchanger",IF(AND(ISNUMBER(S137),ISNUMBER(U137),ISNUMBER(V137)),S137*PI()/4*(U137*INDEX(LenF,MATCH($U$7,LenU,0)))^2*V137*INDEX(LenF,MATCH($V$7,LenU,0)),0)+IF(ISNUMBER(Y137),PI()/4*(Y137*INDEX(LenF,MATCH($Y$7,LenU,0)))^2*N(Z137)*INDEX(LenF,MATCH($Z$7,LenU,0))+IF(AA137="",0,IF(AA137="Conical",PI()/12*(Y137*INDEX(LenF,MATCH($Y$7,LenU,0)))^2*(0),INDEX(HeadK,MATCH(AA137,HeadU,0))*(Y137*INDEX(LenF,MATCH($Y$7,LenU,0)))^3)),0)+IF(ISNUMBER(Y137),PI()/4*(Y137*INDEX(LenF,MATCH($Y$7,LenU,0)))^2*N(AB137)*INDEX(LenF,MATCH($AB$7,LenU,0))+IF(AC137="",0,IF(AC137="Conical",PI()/12*(Y137*INDEX(LenF,MATCH($Y$7,LenU,0)))^2*(0),INDEX(HeadK,MATCH(AC137,HeadU,0))*(Y137*INDEX(LenF,MATCH($Y$7,LenU,0)))^3)),0),"")</f>
        <v/>
      </c>
      <c r="AE137" s="41" t="str">
        <f aca="false">IF(OR(E137="",E137="Piping"),"",IF(E137="Exchanger",AQ137*AR137+IF(P137="",0,IF(P137="Conical",PI()/12*(SQRT(4*AQ137/PI()))^2*(0),INDEX(HeadK,MATCH(P137,HeadU,0))*(SQRT(4*AQ137/PI()))^3))-IF(AND(ISNUMBER(S137),ISNUMBER(V137)),S137*PI()/4*AP137^2*V137*INDEX(LenF,MATCH($V$7,LenU,0)),0),IF(ISNUMBER(N137),PI()/4*(N137*INDEX(LenF,MATCH($N$7,LenU,0)))^2*N(O137)*INDEX(LenF,MATCH($O$7,LenU,0))+IF(P137="",0,IF(P137="Conical",PI()/12*(N137*INDEX(LenF,MATCH($N$7,LenU,0)))^2*(N(R137)*INDEX(LenF,MATCH($R$7,LenU,0))),INDEX(HeadK,MATCH(P137,HeadU,0))*(N137*INDEX(LenF,MATCH($N$7,LenU,0)))^3))+IF(Q137="",0,IF(Q137="Conical",PI()/12*(N137*INDEX(LenF,MATCH($N$7,LenU,0)))^2*(N(R137)*INDEX(LenF,MATCH($R$7,LenU,0))),INDEX(HeadK,MATCH(Q137,HeadU,0))*(N137*INDEX(LenF,MATCH($N$7,LenU,0)))^3)),0)))</f>
        <v/>
      </c>
      <c r="AF137" s="41" t="str">
        <f aca="false">IF(E137&lt;&gt;"Piping","",IF(AND(ISNUMBER(AS137),ISNUMBER(M137)),PI()/4*(AS137/1000)^2*M137*INDEX(LenF,MATCH($M$7,LenU,0)),0))</f>
        <v/>
      </c>
      <c r="AG137" s="41" t="str">
        <f aca="false">IF(E137="","",N(AD137)+N(AE137)+N(AF137))</f>
        <v/>
      </c>
      <c r="AH137" s="41" t="str">
        <f aca="false">IF(ISNUMBER(I137),I137*INDEX(WtF,MATCH($I$7,WtU,0))/CC_WaterRho,"")</f>
        <v/>
      </c>
      <c r="AI137" s="31"/>
      <c r="AJ137" s="31"/>
      <c r="AK137" s="40"/>
      <c r="AL137" s="31"/>
      <c r="AM137" s="41" t="str">
        <f aca="false">IF(AO137="","",AO137*IF(ISNUMBER(AK137),AK137,CC_DefFills)*(1+IF(ISNUMBER(AL137),AL137,CC_DefAllow)))</f>
        <v/>
      </c>
      <c r="AN137" s="42" t="str">
        <f aca="false">IF(G137="Given volume",IF(ISNUMBER(H137),H137*INDEX(VolF,MATCH($H$7,VolU,0)),""),IF(G137="Water weight",AH137,IF(N(AG137)=0,"",AG137)))</f>
        <v/>
      </c>
      <c r="AO137" s="42" t="str">
        <f aca="false">IF(N(AN137)=0,"",AN137*AT137*IF(ISNUMBER(AJ137),AJ137,CC_DefCirc))</f>
        <v/>
      </c>
      <c r="AP137" s="27" t="n">
        <f aca="false">IF(ISNUMBER(T137),T137*INDEX(LenF,MATCH($T$7,LenU,0)),IF(ISNUMBER(W137),W137*INDEX(LenF,MATCH($W$7,LenU,0))/CC_PitchRatio,0))</f>
        <v>0</v>
      </c>
      <c r="AQ137" s="27" t="n">
        <f aca="false">IF(ISNUMBER(N137),PI()/4*(N137*INDEX(LenF,MATCH($N$7,LenU,0)))^2,IF(AND(ISNUMBER(S137),ISNUMBER(W137),X137&lt;&gt;""),S137*(W137*INDEX(LenF,MATCH($W$7,LenU,0)))^2*INDEX(LayoutF,MATCH(X137,LayoutU,0)),0))</f>
        <v>0</v>
      </c>
      <c r="AR137" s="27" t="n">
        <f aca="false">IF(ISNUMBER(O137),O137*INDEX(LenF,MATCH($O$7,LenU,0)),IF(ISNUMBER(V137),V137*INDEX(LenF,MATCH($V$7,LenU,0)),0))</f>
        <v>0</v>
      </c>
      <c r="AS137" s="27" t="str">
        <f aca="false">IF(ISNUMBER(L137),L137*INDEX(LenF,MATCH($L$7,LenU,0))*1000,IF(OR(J137="",K137=""),"",IFERROR(IF(INDEX(PipeWT,MATCH(J137,NPSU,0),MATCH(K137,SchU,0))="","Sch n/a",INDEX(PipeOD,MATCH(J137,NPSU,0))-2*INDEX(PipeWT,MATCH(J137,NPSU,0),MATCH(K137,SchU,0))),"")))</f>
        <v/>
      </c>
      <c r="AT137" s="27" t="n">
        <f aca="false">IF(ISNUMBER(AI137),AI137,IFERROR(INDEX(IF(CC_JobType="Decontamination",CC_TypeFillDC,CC_TypeFillCC),MATCH(E137,CC_TypeL,0)),1))</f>
        <v>1</v>
      </c>
      <c r="AU137" s="27" t="n">
        <v>4</v>
      </c>
    </row>
    <row r="138" customFormat="false" ht="15" hidden="false" customHeight="false" outlineLevel="0" collapsed="false">
      <c r="A138" s="36" t="n">
        <v>30</v>
      </c>
      <c r="B138" s="40"/>
      <c r="C138" s="32"/>
      <c r="D138" s="32"/>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1" t="str">
        <f aca="false">IF(E138="Exchanger",IF(AND(ISNUMBER(S138),ISNUMBER(U138),ISNUMBER(V138)),S138*PI()/4*(U138*INDEX(LenF,MATCH($U$7,LenU,0)))^2*V138*INDEX(LenF,MATCH($V$7,LenU,0)),0)+IF(ISNUMBER(Y138),PI()/4*(Y138*INDEX(LenF,MATCH($Y$7,LenU,0)))^2*N(Z138)*INDEX(LenF,MATCH($Z$7,LenU,0))+IF(AA138="",0,IF(AA138="Conical",PI()/12*(Y138*INDEX(LenF,MATCH($Y$7,LenU,0)))^2*(0),INDEX(HeadK,MATCH(AA138,HeadU,0))*(Y138*INDEX(LenF,MATCH($Y$7,LenU,0)))^3)),0)+IF(ISNUMBER(Y138),PI()/4*(Y138*INDEX(LenF,MATCH($Y$7,LenU,0)))^2*N(AB138)*INDEX(LenF,MATCH($AB$7,LenU,0))+IF(AC138="",0,IF(AC138="Conical",PI()/12*(Y138*INDEX(LenF,MATCH($Y$7,LenU,0)))^2*(0),INDEX(HeadK,MATCH(AC138,HeadU,0))*(Y138*INDEX(LenF,MATCH($Y$7,LenU,0)))^3)),0),"")</f>
        <v/>
      </c>
      <c r="AE138" s="41" t="str">
        <f aca="false">IF(OR(E138="",E138="Piping"),"",IF(E138="Exchanger",AQ138*AR138+IF(P138="",0,IF(P138="Conical",PI()/12*(SQRT(4*AQ138/PI()))^2*(0),INDEX(HeadK,MATCH(P138,HeadU,0))*(SQRT(4*AQ138/PI()))^3))-IF(AND(ISNUMBER(S138),ISNUMBER(V138)),S138*PI()/4*AP138^2*V138*INDEX(LenF,MATCH($V$7,LenU,0)),0),IF(ISNUMBER(N138),PI()/4*(N138*INDEX(LenF,MATCH($N$7,LenU,0)))^2*N(O138)*INDEX(LenF,MATCH($O$7,LenU,0))+IF(P138="",0,IF(P138="Conical",PI()/12*(N138*INDEX(LenF,MATCH($N$7,LenU,0)))^2*(N(R138)*INDEX(LenF,MATCH($R$7,LenU,0))),INDEX(HeadK,MATCH(P138,HeadU,0))*(N138*INDEX(LenF,MATCH($N$7,LenU,0)))^3))+IF(Q138="",0,IF(Q138="Conical",PI()/12*(N138*INDEX(LenF,MATCH($N$7,LenU,0)))^2*(N(R138)*INDEX(LenF,MATCH($R$7,LenU,0))),INDEX(HeadK,MATCH(Q138,HeadU,0))*(N138*INDEX(LenF,MATCH($N$7,LenU,0)))^3)),0)))</f>
        <v/>
      </c>
      <c r="AF138" s="41" t="str">
        <f aca="false">IF(E138&lt;&gt;"Piping","",IF(AND(ISNUMBER(AS138),ISNUMBER(M138)),PI()/4*(AS138/1000)^2*M138*INDEX(LenF,MATCH($M$7,LenU,0)),0))</f>
        <v/>
      </c>
      <c r="AG138" s="41" t="str">
        <f aca="false">IF(E138="","",N(AD138)+N(AE138)+N(AF138))</f>
        <v/>
      </c>
      <c r="AH138" s="41" t="str">
        <f aca="false">IF(ISNUMBER(I138),I138*INDEX(WtF,MATCH($I$7,WtU,0))/CC_WaterRho,"")</f>
        <v/>
      </c>
      <c r="AI138" s="31"/>
      <c r="AJ138" s="31"/>
      <c r="AK138" s="40"/>
      <c r="AL138" s="31"/>
      <c r="AM138" s="41" t="str">
        <f aca="false">IF(AO138="","",AO138*IF(ISNUMBER(AK138),AK138,CC_DefFills)*(1+IF(ISNUMBER(AL138),AL138,CC_DefAllow)))</f>
        <v/>
      </c>
      <c r="AN138" s="42" t="str">
        <f aca="false">IF(G138="Given volume",IF(ISNUMBER(H138),H138*INDEX(VolF,MATCH($H$7,VolU,0)),""),IF(G138="Water weight",AH138,IF(N(AG138)=0,"",AG138)))</f>
        <v/>
      </c>
      <c r="AO138" s="42" t="str">
        <f aca="false">IF(N(AN138)=0,"",AN138*AT138*IF(ISNUMBER(AJ138),AJ138,CC_DefCirc))</f>
        <v/>
      </c>
      <c r="AP138" s="27" t="n">
        <f aca="false">IF(ISNUMBER(T138),T138*INDEX(LenF,MATCH($T$7,LenU,0)),IF(ISNUMBER(W138),W138*INDEX(LenF,MATCH($W$7,LenU,0))/CC_PitchRatio,0))</f>
        <v>0</v>
      </c>
      <c r="AQ138" s="27" t="n">
        <f aca="false">IF(ISNUMBER(N138),PI()/4*(N138*INDEX(LenF,MATCH($N$7,LenU,0)))^2,IF(AND(ISNUMBER(S138),ISNUMBER(W138),X138&lt;&gt;""),S138*(W138*INDEX(LenF,MATCH($W$7,LenU,0)))^2*INDEX(LayoutF,MATCH(X138,LayoutU,0)),0))</f>
        <v>0</v>
      </c>
      <c r="AR138" s="27" t="n">
        <f aca="false">IF(ISNUMBER(O138),O138*INDEX(LenF,MATCH($O$7,LenU,0)),IF(ISNUMBER(V138),V138*INDEX(LenF,MATCH($V$7,LenU,0)),0))</f>
        <v>0</v>
      </c>
      <c r="AS138" s="27" t="str">
        <f aca="false">IF(ISNUMBER(L138),L138*INDEX(LenF,MATCH($L$7,LenU,0))*1000,IF(OR(J138="",K138=""),"",IFERROR(IF(INDEX(PipeWT,MATCH(J138,NPSU,0),MATCH(K138,SchU,0))="","Sch n/a",INDEX(PipeOD,MATCH(J138,NPSU,0))-2*INDEX(PipeWT,MATCH(J138,NPSU,0),MATCH(K138,SchU,0))),"")))</f>
        <v/>
      </c>
      <c r="AT138" s="27" t="n">
        <f aca="false">IF(ISNUMBER(AI138),AI138,IFERROR(INDEX(IF(CC_JobType="Decontamination",CC_TypeFillDC,CC_TypeFillCC),MATCH(E138,CC_TypeL,0)),1))</f>
        <v>1</v>
      </c>
      <c r="AU138" s="27" t="n">
        <v>4</v>
      </c>
    </row>
    <row r="139" customFormat="false" ht="15" hidden="false" customHeight="false" outlineLevel="0" collapsed="false">
      <c r="A139" s="44" t="str">
        <f aca="false">"TOTAL – "&amp;INDEX(CC_UnitNames,4)</f>
        <v>TOTAL – Unit 4</v>
      </c>
      <c r="B139" s="44"/>
      <c r="C139" s="44"/>
      <c r="D139" s="44"/>
      <c r="E139" s="45"/>
      <c r="F139" s="45"/>
      <c r="G139" s="45"/>
      <c r="H139" s="45"/>
      <c r="I139" s="45"/>
      <c r="J139" s="45"/>
      <c r="K139" s="45"/>
      <c r="L139" s="45"/>
      <c r="M139" s="45"/>
      <c r="N139" s="45"/>
      <c r="O139" s="45"/>
      <c r="P139" s="45"/>
      <c r="Q139" s="45"/>
      <c r="R139" s="45"/>
      <c r="S139" s="46" t="str">
        <f aca="false">COUNT(AN109:AN138)&amp;" items"</f>
        <v>0 items</v>
      </c>
      <c r="T139" s="45"/>
      <c r="U139" s="45"/>
      <c r="V139" s="45"/>
      <c r="W139" s="45"/>
      <c r="X139" s="45"/>
      <c r="Y139" s="45"/>
      <c r="Z139" s="45"/>
      <c r="AA139" s="45"/>
      <c r="AB139" s="45"/>
      <c r="AC139" s="45"/>
      <c r="AD139" s="47" t="n">
        <f aca="false">SUM(AD109:AD138)</f>
        <v>0</v>
      </c>
      <c r="AE139" s="47" t="n">
        <f aca="false">SUM(AE109:AE138)</f>
        <v>0</v>
      </c>
      <c r="AF139" s="47" t="n">
        <f aca="false">SUM(AF109:AF138)</f>
        <v>0</v>
      </c>
      <c r="AG139" s="47" t="n">
        <f aca="false">SUM(AG109:AG138)</f>
        <v>0</v>
      </c>
      <c r="AH139" s="47" t="n">
        <f aca="false">SUM(AH109:AH138)</f>
        <v>0</v>
      </c>
      <c r="AI139" s="45"/>
      <c r="AJ139" s="45"/>
      <c r="AK139" s="45"/>
      <c r="AL139" s="45"/>
      <c r="AM139" s="47" t="n">
        <f aca="false">SUM(AM109:AM138)</f>
        <v>0</v>
      </c>
      <c r="AN139" s="47" t="n">
        <f aca="false">SUM(AN109:AN138)</f>
        <v>0</v>
      </c>
      <c r="AO139" s="47" t="n">
        <f aca="false">SUM(AO109:AO138)</f>
        <v>0</v>
      </c>
    </row>
    <row r="141" customFormat="false" ht="15" hidden="false" customHeight="false" outlineLevel="0" collapsed="false">
      <c r="A141" s="38" t="str">
        <f aca="false">"UNIT 5:  "&amp;INDEX(CC_UnitNames,5)</f>
        <v>UNIT 5:  Unit 5</v>
      </c>
      <c r="B141" s="38"/>
      <c r="C141" s="38"/>
      <c r="D141" s="38"/>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row>
    <row r="142" customFormat="false" ht="15" hidden="false" customHeight="false" outlineLevel="0" collapsed="false">
      <c r="A142" s="36" t="n">
        <v>1</v>
      </c>
      <c r="B142" s="40"/>
      <c r="C142" s="32"/>
      <c r="D142" s="32"/>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1" t="str">
        <f aca="false">IF(E142="Exchanger",IF(AND(ISNUMBER(S142),ISNUMBER(U142),ISNUMBER(V142)),S142*PI()/4*(U142*INDEX(LenF,MATCH($U$7,LenU,0)))^2*V142*INDEX(LenF,MATCH($V$7,LenU,0)),0)+IF(ISNUMBER(Y142),PI()/4*(Y142*INDEX(LenF,MATCH($Y$7,LenU,0)))^2*N(Z142)*INDEX(LenF,MATCH($Z$7,LenU,0))+IF(AA142="",0,IF(AA142="Conical",PI()/12*(Y142*INDEX(LenF,MATCH($Y$7,LenU,0)))^2*(0),INDEX(HeadK,MATCH(AA142,HeadU,0))*(Y142*INDEX(LenF,MATCH($Y$7,LenU,0)))^3)),0)+IF(ISNUMBER(Y142),PI()/4*(Y142*INDEX(LenF,MATCH($Y$7,LenU,0)))^2*N(AB142)*INDEX(LenF,MATCH($AB$7,LenU,0))+IF(AC142="",0,IF(AC142="Conical",PI()/12*(Y142*INDEX(LenF,MATCH($Y$7,LenU,0)))^2*(0),INDEX(HeadK,MATCH(AC142,HeadU,0))*(Y142*INDEX(LenF,MATCH($Y$7,LenU,0)))^3)),0),"")</f>
        <v/>
      </c>
      <c r="AE142" s="41" t="str">
        <f aca="false">IF(OR(E142="",E142="Piping"),"",IF(E142="Exchanger",AQ142*AR142+IF(P142="",0,IF(P142="Conical",PI()/12*(SQRT(4*AQ142/PI()))^2*(0),INDEX(HeadK,MATCH(P142,HeadU,0))*(SQRT(4*AQ142/PI()))^3))-IF(AND(ISNUMBER(S142),ISNUMBER(V142)),S142*PI()/4*AP142^2*V142*INDEX(LenF,MATCH($V$7,LenU,0)),0),IF(ISNUMBER(N142),PI()/4*(N142*INDEX(LenF,MATCH($N$7,LenU,0)))^2*N(O142)*INDEX(LenF,MATCH($O$7,LenU,0))+IF(P142="",0,IF(P142="Conical",PI()/12*(N142*INDEX(LenF,MATCH($N$7,LenU,0)))^2*(N(R142)*INDEX(LenF,MATCH($R$7,LenU,0))),INDEX(HeadK,MATCH(P142,HeadU,0))*(N142*INDEX(LenF,MATCH($N$7,LenU,0)))^3))+IF(Q142="",0,IF(Q142="Conical",PI()/12*(N142*INDEX(LenF,MATCH($N$7,LenU,0)))^2*(N(R142)*INDEX(LenF,MATCH($R$7,LenU,0))),INDEX(HeadK,MATCH(Q142,HeadU,0))*(N142*INDEX(LenF,MATCH($N$7,LenU,0)))^3)),0)))</f>
        <v/>
      </c>
      <c r="AF142" s="41" t="str">
        <f aca="false">IF(E142&lt;&gt;"Piping","",IF(AND(ISNUMBER(AS142),ISNUMBER(M142)),PI()/4*(AS142/1000)^2*M142*INDEX(LenF,MATCH($M$7,LenU,0)),0))</f>
        <v/>
      </c>
      <c r="AG142" s="41" t="str">
        <f aca="false">IF(E142="","",N(AD142)+N(AE142)+N(AF142))</f>
        <v/>
      </c>
      <c r="AH142" s="41" t="str">
        <f aca="false">IF(ISNUMBER(I142),I142*INDEX(WtF,MATCH($I$7,WtU,0))/CC_WaterRho,"")</f>
        <v/>
      </c>
      <c r="AI142" s="31"/>
      <c r="AJ142" s="31"/>
      <c r="AK142" s="40"/>
      <c r="AL142" s="31"/>
      <c r="AM142" s="41" t="str">
        <f aca="false">IF(AO142="","",AO142*IF(ISNUMBER(AK142),AK142,CC_DefFills)*(1+IF(ISNUMBER(AL142),AL142,CC_DefAllow)))</f>
        <v/>
      </c>
      <c r="AN142" s="42" t="str">
        <f aca="false">IF(G142="Given volume",IF(ISNUMBER(H142),H142*INDEX(VolF,MATCH($H$7,VolU,0)),""),IF(G142="Water weight",AH142,IF(N(AG142)=0,"",AG142)))</f>
        <v/>
      </c>
      <c r="AO142" s="42" t="str">
        <f aca="false">IF(N(AN142)=0,"",AN142*AT142*IF(ISNUMBER(AJ142),AJ142,CC_DefCirc))</f>
        <v/>
      </c>
      <c r="AP142" s="27" t="n">
        <f aca="false">IF(ISNUMBER(T142),T142*INDEX(LenF,MATCH($T$7,LenU,0)),IF(ISNUMBER(W142),W142*INDEX(LenF,MATCH($W$7,LenU,0))/CC_PitchRatio,0))</f>
        <v>0</v>
      </c>
      <c r="AQ142" s="27" t="n">
        <f aca="false">IF(ISNUMBER(N142),PI()/4*(N142*INDEX(LenF,MATCH($N$7,LenU,0)))^2,IF(AND(ISNUMBER(S142),ISNUMBER(W142),X142&lt;&gt;""),S142*(W142*INDEX(LenF,MATCH($W$7,LenU,0)))^2*INDEX(LayoutF,MATCH(X142,LayoutU,0)),0))</f>
        <v>0</v>
      </c>
      <c r="AR142" s="27" t="n">
        <f aca="false">IF(ISNUMBER(O142),O142*INDEX(LenF,MATCH($O$7,LenU,0)),IF(ISNUMBER(V142),V142*INDEX(LenF,MATCH($V$7,LenU,0)),0))</f>
        <v>0</v>
      </c>
      <c r="AS142" s="27" t="str">
        <f aca="false">IF(ISNUMBER(L142),L142*INDEX(LenF,MATCH($L$7,LenU,0))*1000,IF(OR(J142="",K142=""),"",IFERROR(IF(INDEX(PipeWT,MATCH(J142,NPSU,0),MATCH(K142,SchU,0))="","Sch n/a",INDEX(PipeOD,MATCH(J142,NPSU,0))-2*INDEX(PipeWT,MATCH(J142,NPSU,0),MATCH(K142,SchU,0))),"")))</f>
        <v/>
      </c>
      <c r="AT142" s="27" t="n">
        <f aca="false">IF(ISNUMBER(AI142),AI142,IFERROR(INDEX(IF(CC_JobType="Decontamination",CC_TypeFillDC,CC_TypeFillCC),MATCH(E142,CC_TypeL,0)),1))</f>
        <v>1</v>
      </c>
      <c r="AU142" s="27" t="n">
        <v>5</v>
      </c>
    </row>
    <row r="143" customFormat="false" ht="15" hidden="false" customHeight="false" outlineLevel="0" collapsed="false">
      <c r="A143" s="36" t="n">
        <v>2</v>
      </c>
      <c r="B143" s="40"/>
      <c r="C143" s="32"/>
      <c r="D143" s="32"/>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1" t="str">
        <f aca="false">IF(E143="Exchanger",IF(AND(ISNUMBER(S143),ISNUMBER(U143),ISNUMBER(V143)),S143*PI()/4*(U143*INDEX(LenF,MATCH($U$7,LenU,0)))^2*V143*INDEX(LenF,MATCH($V$7,LenU,0)),0)+IF(ISNUMBER(Y143),PI()/4*(Y143*INDEX(LenF,MATCH($Y$7,LenU,0)))^2*N(Z143)*INDEX(LenF,MATCH($Z$7,LenU,0))+IF(AA143="",0,IF(AA143="Conical",PI()/12*(Y143*INDEX(LenF,MATCH($Y$7,LenU,0)))^2*(0),INDEX(HeadK,MATCH(AA143,HeadU,0))*(Y143*INDEX(LenF,MATCH($Y$7,LenU,0)))^3)),0)+IF(ISNUMBER(Y143),PI()/4*(Y143*INDEX(LenF,MATCH($Y$7,LenU,0)))^2*N(AB143)*INDEX(LenF,MATCH($AB$7,LenU,0))+IF(AC143="",0,IF(AC143="Conical",PI()/12*(Y143*INDEX(LenF,MATCH($Y$7,LenU,0)))^2*(0),INDEX(HeadK,MATCH(AC143,HeadU,0))*(Y143*INDEX(LenF,MATCH($Y$7,LenU,0)))^3)),0),"")</f>
        <v/>
      </c>
      <c r="AE143" s="41" t="str">
        <f aca="false">IF(OR(E143="",E143="Piping"),"",IF(E143="Exchanger",AQ143*AR143+IF(P143="",0,IF(P143="Conical",PI()/12*(SQRT(4*AQ143/PI()))^2*(0),INDEX(HeadK,MATCH(P143,HeadU,0))*(SQRT(4*AQ143/PI()))^3))-IF(AND(ISNUMBER(S143),ISNUMBER(V143)),S143*PI()/4*AP143^2*V143*INDEX(LenF,MATCH($V$7,LenU,0)),0),IF(ISNUMBER(N143),PI()/4*(N143*INDEX(LenF,MATCH($N$7,LenU,0)))^2*N(O143)*INDEX(LenF,MATCH($O$7,LenU,0))+IF(P143="",0,IF(P143="Conical",PI()/12*(N143*INDEX(LenF,MATCH($N$7,LenU,0)))^2*(N(R143)*INDEX(LenF,MATCH($R$7,LenU,0))),INDEX(HeadK,MATCH(P143,HeadU,0))*(N143*INDEX(LenF,MATCH($N$7,LenU,0)))^3))+IF(Q143="",0,IF(Q143="Conical",PI()/12*(N143*INDEX(LenF,MATCH($N$7,LenU,0)))^2*(N(R143)*INDEX(LenF,MATCH($R$7,LenU,0))),INDEX(HeadK,MATCH(Q143,HeadU,0))*(N143*INDEX(LenF,MATCH($N$7,LenU,0)))^3)),0)))</f>
        <v/>
      </c>
      <c r="AF143" s="41" t="str">
        <f aca="false">IF(E143&lt;&gt;"Piping","",IF(AND(ISNUMBER(AS143),ISNUMBER(M143)),PI()/4*(AS143/1000)^2*M143*INDEX(LenF,MATCH($M$7,LenU,0)),0))</f>
        <v/>
      </c>
      <c r="AG143" s="41" t="str">
        <f aca="false">IF(E143="","",N(AD143)+N(AE143)+N(AF143))</f>
        <v/>
      </c>
      <c r="AH143" s="41" t="str">
        <f aca="false">IF(ISNUMBER(I143),I143*INDEX(WtF,MATCH($I$7,WtU,0))/CC_WaterRho,"")</f>
        <v/>
      </c>
      <c r="AI143" s="31"/>
      <c r="AJ143" s="31"/>
      <c r="AK143" s="40"/>
      <c r="AL143" s="31"/>
      <c r="AM143" s="41" t="str">
        <f aca="false">IF(AO143="","",AO143*IF(ISNUMBER(AK143),AK143,CC_DefFills)*(1+IF(ISNUMBER(AL143),AL143,CC_DefAllow)))</f>
        <v/>
      </c>
      <c r="AN143" s="42" t="str">
        <f aca="false">IF(G143="Given volume",IF(ISNUMBER(H143),H143*INDEX(VolF,MATCH($H$7,VolU,0)),""),IF(G143="Water weight",AH143,IF(N(AG143)=0,"",AG143)))</f>
        <v/>
      </c>
      <c r="AO143" s="42" t="str">
        <f aca="false">IF(N(AN143)=0,"",AN143*AT143*IF(ISNUMBER(AJ143),AJ143,CC_DefCirc))</f>
        <v/>
      </c>
      <c r="AP143" s="27" t="n">
        <f aca="false">IF(ISNUMBER(T143),T143*INDEX(LenF,MATCH($T$7,LenU,0)),IF(ISNUMBER(W143),W143*INDEX(LenF,MATCH($W$7,LenU,0))/CC_PitchRatio,0))</f>
        <v>0</v>
      </c>
      <c r="AQ143" s="27" t="n">
        <f aca="false">IF(ISNUMBER(N143),PI()/4*(N143*INDEX(LenF,MATCH($N$7,LenU,0)))^2,IF(AND(ISNUMBER(S143),ISNUMBER(W143),X143&lt;&gt;""),S143*(W143*INDEX(LenF,MATCH($W$7,LenU,0)))^2*INDEX(LayoutF,MATCH(X143,LayoutU,0)),0))</f>
        <v>0</v>
      </c>
      <c r="AR143" s="27" t="n">
        <f aca="false">IF(ISNUMBER(O143),O143*INDEX(LenF,MATCH($O$7,LenU,0)),IF(ISNUMBER(V143),V143*INDEX(LenF,MATCH($V$7,LenU,0)),0))</f>
        <v>0</v>
      </c>
      <c r="AS143" s="27" t="str">
        <f aca="false">IF(ISNUMBER(L143),L143*INDEX(LenF,MATCH($L$7,LenU,0))*1000,IF(OR(J143="",K143=""),"",IFERROR(IF(INDEX(PipeWT,MATCH(J143,NPSU,0),MATCH(K143,SchU,0))="","Sch n/a",INDEX(PipeOD,MATCH(J143,NPSU,0))-2*INDEX(PipeWT,MATCH(J143,NPSU,0),MATCH(K143,SchU,0))),"")))</f>
        <v/>
      </c>
      <c r="AT143" s="27" t="n">
        <f aca="false">IF(ISNUMBER(AI143),AI143,IFERROR(INDEX(IF(CC_JobType="Decontamination",CC_TypeFillDC,CC_TypeFillCC),MATCH(E143,CC_TypeL,0)),1))</f>
        <v>1</v>
      </c>
      <c r="AU143" s="27" t="n">
        <v>5</v>
      </c>
    </row>
    <row r="144" customFormat="false" ht="15" hidden="false" customHeight="false" outlineLevel="0" collapsed="false">
      <c r="A144" s="36" t="n">
        <v>3</v>
      </c>
      <c r="B144" s="40"/>
      <c r="C144" s="32"/>
      <c r="D144" s="32"/>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1" t="str">
        <f aca="false">IF(E144="Exchanger",IF(AND(ISNUMBER(S144),ISNUMBER(U144),ISNUMBER(V144)),S144*PI()/4*(U144*INDEX(LenF,MATCH($U$7,LenU,0)))^2*V144*INDEX(LenF,MATCH($V$7,LenU,0)),0)+IF(ISNUMBER(Y144),PI()/4*(Y144*INDEX(LenF,MATCH($Y$7,LenU,0)))^2*N(Z144)*INDEX(LenF,MATCH($Z$7,LenU,0))+IF(AA144="",0,IF(AA144="Conical",PI()/12*(Y144*INDEX(LenF,MATCH($Y$7,LenU,0)))^2*(0),INDEX(HeadK,MATCH(AA144,HeadU,0))*(Y144*INDEX(LenF,MATCH($Y$7,LenU,0)))^3)),0)+IF(ISNUMBER(Y144),PI()/4*(Y144*INDEX(LenF,MATCH($Y$7,LenU,0)))^2*N(AB144)*INDEX(LenF,MATCH($AB$7,LenU,0))+IF(AC144="",0,IF(AC144="Conical",PI()/12*(Y144*INDEX(LenF,MATCH($Y$7,LenU,0)))^2*(0),INDEX(HeadK,MATCH(AC144,HeadU,0))*(Y144*INDEX(LenF,MATCH($Y$7,LenU,0)))^3)),0),"")</f>
        <v/>
      </c>
      <c r="AE144" s="41" t="str">
        <f aca="false">IF(OR(E144="",E144="Piping"),"",IF(E144="Exchanger",AQ144*AR144+IF(P144="",0,IF(P144="Conical",PI()/12*(SQRT(4*AQ144/PI()))^2*(0),INDEX(HeadK,MATCH(P144,HeadU,0))*(SQRT(4*AQ144/PI()))^3))-IF(AND(ISNUMBER(S144),ISNUMBER(V144)),S144*PI()/4*AP144^2*V144*INDEX(LenF,MATCH($V$7,LenU,0)),0),IF(ISNUMBER(N144),PI()/4*(N144*INDEX(LenF,MATCH($N$7,LenU,0)))^2*N(O144)*INDEX(LenF,MATCH($O$7,LenU,0))+IF(P144="",0,IF(P144="Conical",PI()/12*(N144*INDEX(LenF,MATCH($N$7,LenU,0)))^2*(N(R144)*INDEX(LenF,MATCH($R$7,LenU,0))),INDEX(HeadK,MATCH(P144,HeadU,0))*(N144*INDEX(LenF,MATCH($N$7,LenU,0)))^3))+IF(Q144="",0,IF(Q144="Conical",PI()/12*(N144*INDEX(LenF,MATCH($N$7,LenU,0)))^2*(N(R144)*INDEX(LenF,MATCH($R$7,LenU,0))),INDEX(HeadK,MATCH(Q144,HeadU,0))*(N144*INDEX(LenF,MATCH($N$7,LenU,0)))^3)),0)))</f>
        <v/>
      </c>
      <c r="AF144" s="41" t="str">
        <f aca="false">IF(E144&lt;&gt;"Piping","",IF(AND(ISNUMBER(AS144),ISNUMBER(M144)),PI()/4*(AS144/1000)^2*M144*INDEX(LenF,MATCH($M$7,LenU,0)),0))</f>
        <v/>
      </c>
      <c r="AG144" s="41" t="str">
        <f aca="false">IF(E144="","",N(AD144)+N(AE144)+N(AF144))</f>
        <v/>
      </c>
      <c r="AH144" s="41" t="str">
        <f aca="false">IF(ISNUMBER(I144),I144*INDEX(WtF,MATCH($I$7,WtU,0))/CC_WaterRho,"")</f>
        <v/>
      </c>
      <c r="AI144" s="31"/>
      <c r="AJ144" s="31"/>
      <c r="AK144" s="40"/>
      <c r="AL144" s="31"/>
      <c r="AM144" s="41" t="str">
        <f aca="false">IF(AO144="","",AO144*IF(ISNUMBER(AK144),AK144,CC_DefFills)*(1+IF(ISNUMBER(AL144),AL144,CC_DefAllow)))</f>
        <v/>
      </c>
      <c r="AN144" s="42" t="str">
        <f aca="false">IF(G144="Given volume",IF(ISNUMBER(H144),H144*INDEX(VolF,MATCH($H$7,VolU,0)),""),IF(G144="Water weight",AH144,IF(N(AG144)=0,"",AG144)))</f>
        <v/>
      </c>
      <c r="AO144" s="42" t="str">
        <f aca="false">IF(N(AN144)=0,"",AN144*AT144*IF(ISNUMBER(AJ144),AJ144,CC_DefCirc))</f>
        <v/>
      </c>
      <c r="AP144" s="27" t="n">
        <f aca="false">IF(ISNUMBER(T144),T144*INDEX(LenF,MATCH($T$7,LenU,0)),IF(ISNUMBER(W144),W144*INDEX(LenF,MATCH($W$7,LenU,0))/CC_PitchRatio,0))</f>
        <v>0</v>
      </c>
      <c r="AQ144" s="27" t="n">
        <f aca="false">IF(ISNUMBER(N144),PI()/4*(N144*INDEX(LenF,MATCH($N$7,LenU,0)))^2,IF(AND(ISNUMBER(S144),ISNUMBER(W144),X144&lt;&gt;""),S144*(W144*INDEX(LenF,MATCH($W$7,LenU,0)))^2*INDEX(LayoutF,MATCH(X144,LayoutU,0)),0))</f>
        <v>0</v>
      </c>
      <c r="AR144" s="27" t="n">
        <f aca="false">IF(ISNUMBER(O144),O144*INDEX(LenF,MATCH($O$7,LenU,0)),IF(ISNUMBER(V144),V144*INDEX(LenF,MATCH($V$7,LenU,0)),0))</f>
        <v>0</v>
      </c>
      <c r="AS144" s="27" t="str">
        <f aca="false">IF(ISNUMBER(L144),L144*INDEX(LenF,MATCH($L$7,LenU,0))*1000,IF(OR(J144="",K144=""),"",IFERROR(IF(INDEX(PipeWT,MATCH(J144,NPSU,0),MATCH(K144,SchU,0))="","Sch n/a",INDEX(PipeOD,MATCH(J144,NPSU,0))-2*INDEX(PipeWT,MATCH(J144,NPSU,0),MATCH(K144,SchU,0))),"")))</f>
        <v/>
      </c>
      <c r="AT144" s="27" t="n">
        <f aca="false">IF(ISNUMBER(AI144),AI144,IFERROR(INDEX(IF(CC_JobType="Decontamination",CC_TypeFillDC,CC_TypeFillCC),MATCH(E144,CC_TypeL,0)),1))</f>
        <v>1</v>
      </c>
      <c r="AU144" s="27" t="n">
        <v>5</v>
      </c>
    </row>
    <row r="145" customFormat="false" ht="15" hidden="false" customHeight="false" outlineLevel="0" collapsed="false">
      <c r="A145" s="36" t="n">
        <v>4</v>
      </c>
      <c r="B145" s="40"/>
      <c r="C145" s="32"/>
      <c r="D145" s="32"/>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1" t="str">
        <f aca="false">IF(E145="Exchanger",IF(AND(ISNUMBER(S145),ISNUMBER(U145),ISNUMBER(V145)),S145*PI()/4*(U145*INDEX(LenF,MATCH($U$7,LenU,0)))^2*V145*INDEX(LenF,MATCH($V$7,LenU,0)),0)+IF(ISNUMBER(Y145),PI()/4*(Y145*INDEX(LenF,MATCH($Y$7,LenU,0)))^2*N(Z145)*INDEX(LenF,MATCH($Z$7,LenU,0))+IF(AA145="",0,IF(AA145="Conical",PI()/12*(Y145*INDEX(LenF,MATCH($Y$7,LenU,0)))^2*(0),INDEX(HeadK,MATCH(AA145,HeadU,0))*(Y145*INDEX(LenF,MATCH($Y$7,LenU,0)))^3)),0)+IF(ISNUMBER(Y145),PI()/4*(Y145*INDEX(LenF,MATCH($Y$7,LenU,0)))^2*N(AB145)*INDEX(LenF,MATCH($AB$7,LenU,0))+IF(AC145="",0,IF(AC145="Conical",PI()/12*(Y145*INDEX(LenF,MATCH($Y$7,LenU,0)))^2*(0),INDEX(HeadK,MATCH(AC145,HeadU,0))*(Y145*INDEX(LenF,MATCH($Y$7,LenU,0)))^3)),0),"")</f>
        <v/>
      </c>
      <c r="AE145" s="41" t="str">
        <f aca="false">IF(OR(E145="",E145="Piping"),"",IF(E145="Exchanger",AQ145*AR145+IF(P145="",0,IF(P145="Conical",PI()/12*(SQRT(4*AQ145/PI()))^2*(0),INDEX(HeadK,MATCH(P145,HeadU,0))*(SQRT(4*AQ145/PI()))^3))-IF(AND(ISNUMBER(S145),ISNUMBER(V145)),S145*PI()/4*AP145^2*V145*INDEX(LenF,MATCH($V$7,LenU,0)),0),IF(ISNUMBER(N145),PI()/4*(N145*INDEX(LenF,MATCH($N$7,LenU,0)))^2*N(O145)*INDEX(LenF,MATCH($O$7,LenU,0))+IF(P145="",0,IF(P145="Conical",PI()/12*(N145*INDEX(LenF,MATCH($N$7,LenU,0)))^2*(N(R145)*INDEX(LenF,MATCH($R$7,LenU,0))),INDEX(HeadK,MATCH(P145,HeadU,0))*(N145*INDEX(LenF,MATCH($N$7,LenU,0)))^3))+IF(Q145="",0,IF(Q145="Conical",PI()/12*(N145*INDEX(LenF,MATCH($N$7,LenU,0)))^2*(N(R145)*INDEX(LenF,MATCH($R$7,LenU,0))),INDEX(HeadK,MATCH(Q145,HeadU,0))*(N145*INDEX(LenF,MATCH($N$7,LenU,0)))^3)),0)))</f>
        <v/>
      </c>
      <c r="AF145" s="41" t="str">
        <f aca="false">IF(E145&lt;&gt;"Piping","",IF(AND(ISNUMBER(AS145),ISNUMBER(M145)),PI()/4*(AS145/1000)^2*M145*INDEX(LenF,MATCH($M$7,LenU,0)),0))</f>
        <v/>
      </c>
      <c r="AG145" s="41" t="str">
        <f aca="false">IF(E145="","",N(AD145)+N(AE145)+N(AF145))</f>
        <v/>
      </c>
      <c r="AH145" s="41" t="str">
        <f aca="false">IF(ISNUMBER(I145),I145*INDEX(WtF,MATCH($I$7,WtU,0))/CC_WaterRho,"")</f>
        <v/>
      </c>
      <c r="AI145" s="31"/>
      <c r="AJ145" s="31"/>
      <c r="AK145" s="40"/>
      <c r="AL145" s="31"/>
      <c r="AM145" s="41" t="str">
        <f aca="false">IF(AO145="","",AO145*IF(ISNUMBER(AK145),AK145,CC_DefFills)*(1+IF(ISNUMBER(AL145),AL145,CC_DefAllow)))</f>
        <v/>
      </c>
      <c r="AN145" s="42" t="str">
        <f aca="false">IF(G145="Given volume",IF(ISNUMBER(H145),H145*INDEX(VolF,MATCH($H$7,VolU,0)),""),IF(G145="Water weight",AH145,IF(N(AG145)=0,"",AG145)))</f>
        <v/>
      </c>
      <c r="AO145" s="42" t="str">
        <f aca="false">IF(N(AN145)=0,"",AN145*AT145*IF(ISNUMBER(AJ145),AJ145,CC_DefCirc))</f>
        <v/>
      </c>
      <c r="AP145" s="27" t="n">
        <f aca="false">IF(ISNUMBER(T145),T145*INDEX(LenF,MATCH($T$7,LenU,0)),IF(ISNUMBER(W145),W145*INDEX(LenF,MATCH($W$7,LenU,0))/CC_PitchRatio,0))</f>
        <v>0</v>
      </c>
      <c r="AQ145" s="27" t="n">
        <f aca="false">IF(ISNUMBER(N145),PI()/4*(N145*INDEX(LenF,MATCH($N$7,LenU,0)))^2,IF(AND(ISNUMBER(S145),ISNUMBER(W145),X145&lt;&gt;""),S145*(W145*INDEX(LenF,MATCH($W$7,LenU,0)))^2*INDEX(LayoutF,MATCH(X145,LayoutU,0)),0))</f>
        <v>0</v>
      </c>
      <c r="AR145" s="27" t="n">
        <f aca="false">IF(ISNUMBER(O145),O145*INDEX(LenF,MATCH($O$7,LenU,0)),IF(ISNUMBER(V145),V145*INDEX(LenF,MATCH($V$7,LenU,0)),0))</f>
        <v>0</v>
      </c>
      <c r="AS145" s="27" t="str">
        <f aca="false">IF(ISNUMBER(L145),L145*INDEX(LenF,MATCH($L$7,LenU,0))*1000,IF(OR(J145="",K145=""),"",IFERROR(IF(INDEX(PipeWT,MATCH(J145,NPSU,0),MATCH(K145,SchU,0))="","Sch n/a",INDEX(PipeOD,MATCH(J145,NPSU,0))-2*INDEX(PipeWT,MATCH(J145,NPSU,0),MATCH(K145,SchU,0))),"")))</f>
        <v/>
      </c>
      <c r="AT145" s="27" t="n">
        <f aca="false">IF(ISNUMBER(AI145),AI145,IFERROR(INDEX(IF(CC_JobType="Decontamination",CC_TypeFillDC,CC_TypeFillCC),MATCH(E145,CC_TypeL,0)),1))</f>
        <v>1</v>
      </c>
      <c r="AU145" s="27" t="n">
        <v>5</v>
      </c>
    </row>
    <row r="146" customFormat="false" ht="15" hidden="false" customHeight="false" outlineLevel="0" collapsed="false">
      <c r="A146" s="36" t="n">
        <v>5</v>
      </c>
      <c r="B146" s="40"/>
      <c r="C146" s="32"/>
      <c r="D146" s="32"/>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1" t="str">
        <f aca="false">IF(E146="Exchanger",IF(AND(ISNUMBER(S146),ISNUMBER(U146),ISNUMBER(V146)),S146*PI()/4*(U146*INDEX(LenF,MATCH($U$7,LenU,0)))^2*V146*INDEX(LenF,MATCH($V$7,LenU,0)),0)+IF(ISNUMBER(Y146),PI()/4*(Y146*INDEX(LenF,MATCH($Y$7,LenU,0)))^2*N(Z146)*INDEX(LenF,MATCH($Z$7,LenU,0))+IF(AA146="",0,IF(AA146="Conical",PI()/12*(Y146*INDEX(LenF,MATCH($Y$7,LenU,0)))^2*(0),INDEX(HeadK,MATCH(AA146,HeadU,0))*(Y146*INDEX(LenF,MATCH($Y$7,LenU,0)))^3)),0)+IF(ISNUMBER(Y146),PI()/4*(Y146*INDEX(LenF,MATCH($Y$7,LenU,0)))^2*N(AB146)*INDEX(LenF,MATCH($AB$7,LenU,0))+IF(AC146="",0,IF(AC146="Conical",PI()/12*(Y146*INDEX(LenF,MATCH($Y$7,LenU,0)))^2*(0),INDEX(HeadK,MATCH(AC146,HeadU,0))*(Y146*INDEX(LenF,MATCH($Y$7,LenU,0)))^3)),0),"")</f>
        <v/>
      </c>
      <c r="AE146" s="41" t="str">
        <f aca="false">IF(OR(E146="",E146="Piping"),"",IF(E146="Exchanger",AQ146*AR146+IF(P146="",0,IF(P146="Conical",PI()/12*(SQRT(4*AQ146/PI()))^2*(0),INDEX(HeadK,MATCH(P146,HeadU,0))*(SQRT(4*AQ146/PI()))^3))-IF(AND(ISNUMBER(S146),ISNUMBER(V146)),S146*PI()/4*AP146^2*V146*INDEX(LenF,MATCH($V$7,LenU,0)),0),IF(ISNUMBER(N146),PI()/4*(N146*INDEX(LenF,MATCH($N$7,LenU,0)))^2*N(O146)*INDEX(LenF,MATCH($O$7,LenU,0))+IF(P146="",0,IF(P146="Conical",PI()/12*(N146*INDEX(LenF,MATCH($N$7,LenU,0)))^2*(N(R146)*INDEX(LenF,MATCH($R$7,LenU,0))),INDEX(HeadK,MATCH(P146,HeadU,0))*(N146*INDEX(LenF,MATCH($N$7,LenU,0)))^3))+IF(Q146="",0,IF(Q146="Conical",PI()/12*(N146*INDEX(LenF,MATCH($N$7,LenU,0)))^2*(N(R146)*INDEX(LenF,MATCH($R$7,LenU,0))),INDEX(HeadK,MATCH(Q146,HeadU,0))*(N146*INDEX(LenF,MATCH($N$7,LenU,0)))^3)),0)))</f>
        <v/>
      </c>
      <c r="AF146" s="41" t="str">
        <f aca="false">IF(E146&lt;&gt;"Piping","",IF(AND(ISNUMBER(AS146),ISNUMBER(M146)),PI()/4*(AS146/1000)^2*M146*INDEX(LenF,MATCH($M$7,LenU,0)),0))</f>
        <v/>
      </c>
      <c r="AG146" s="41" t="str">
        <f aca="false">IF(E146="","",N(AD146)+N(AE146)+N(AF146))</f>
        <v/>
      </c>
      <c r="AH146" s="41" t="str">
        <f aca="false">IF(ISNUMBER(I146),I146*INDEX(WtF,MATCH($I$7,WtU,0))/CC_WaterRho,"")</f>
        <v/>
      </c>
      <c r="AI146" s="31"/>
      <c r="AJ146" s="31"/>
      <c r="AK146" s="40"/>
      <c r="AL146" s="31"/>
      <c r="AM146" s="41" t="str">
        <f aca="false">IF(AO146="","",AO146*IF(ISNUMBER(AK146),AK146,CC_DefFills)*(1+IF(ISNUMBER(AL146),AL146,CC_DefAllow)))</f>
        <v/>
      </c>
      <c r="AN146" s="42" t="str">
        <f aca="false">IF(G146="Given volume",IF(ISNUMBER(H146),H146*INDEX(VolF,MATCH($H$7,VolU,0)),""),IF(G146="Water weight",AH146,IF(N(AG146)=0,"",AG146)))</f>
        <v/>
      </c>
      <c r="AO146" s="42" t="str">
        <f aca="false">IF(N(AN146)=0,"",AN146*AT146*IF(ISNUMBER(AJ146),AJ146,CC_DefCirc))</f>
        <v/>
      </c>
      <c r="AP146" s="27" t="n">
        <f aca="false">IF(ISNUMBER(T146),T146*INDEX(LenF,MATCH($T$7,LenU,0)),IF(ISNUMBER(W146),W146*INDEX(LenF,MATCH($W$7,LenU,0))/CC_PitchRatio,0))</f>
        <v>0</v>
      </c>
      <c r="AQ146" s="27" t="n">
        <f aca="false">IF(ISNUMBER(N146),PI()/4*(N146*INDEX(LenF,MATCH($N$7,LenU,0)))^2,IF(AND(ISNUMBER(S146),ISNUMBER(W146),X146&lt;&gt;""),S146*(W146*INDEX(LenF,MATCH($W$7,LenU,0)))^2*INDEX(LayoutF,MATCH(X146,LayoutU,0)),0))</f>
        <v>0</v>
      </c>
      <c r="AR146" s="27" t="n">
        <f aca="false">IF(ISNUMBER(O146),O146*INDEX(LenF,MATCH($O$7,LenU,0)),IF(ISNUMBER(V146),V146*INDEX(LenF,MATCH($V$7,LenU,0)),0))</f>
        <v>0</v>
      </c>
      <c r="AS146" s="27" t="str">
        <f aca="false">IF(ISNUMBER(L146),L146*INDEX(LenF,MATCH($L$7,LenU,0))*1000,IF(OR(J146="",K146=""),"",IFERROR(IF(INDEX(PipeWT,MATCH(J146,NPSU,0),MATCH(K146,SchU,0))="","Sch n/a",INDEX(PipeOD,MATCH(J146,NPSU,0))-2*INDEX(PipeWT,MATCH(J146,NPSU,0),MATCH(K146,SchU,0))),"")))</f>
        <v/>
      </c>
      <c r="AT146" s="27" t="n">
        <f aca="false">IF(ISNUMBER(AI146),AI146,IFERROR(INDEX(IF(CC_JobType="Decontamination",CC_TypeFillDC,CC_TypeFillCC),MATCH(E146,CC_TypeL,0)),1))</f>
        <v>1</v>
      </c>
      <c r="AU146" s="27" t="n">
        <v>5</v>
      </c>
    </row>
    <row r="147" customFormat="false" ht="15" hidden="false" customHeight="false" outlineLevel="0" collapsed="false">
      <c r="A147" s="36" t="n">
        <v>6</v>
      </c>
      <c r="B147" s="40"/>
      <c r="C147" s="32"/>
      <c r="D147" s="32"/>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1" t="str">
        <f aca="false">IF(E147="Exchanger",IF(AND(ISNUMBER(S147),ISNUMBER(U147),ISNUMBER(V147)),S147*PI()/4*(U147*INDEX(LenF,MATCH($U$7,LenU,0)))^2*V147*INDEX(LenF,MATCH($V$7,LenU,0)),0)+IF(ISNUMBER(Y147),PI()/4*(Y147*INDEX(LenF,MATCH($Y$7,LenU,0)))^2*N(Z147)*INDEX(LenF,MATCH($Z$7,LenU,0))+IF(AA147="",0,IF(AA147="Conical",PI()/12*(Y147*INDEX(LenF,MATCH($Y$7,LenU,0)))^2*(0),INDEX(HeadK,MATCH(AA147,HeadU,0))*(Y147*INDEX(LenF,MATCH($Y$7,LenU,0)))^3)),0)+IF(ISNUMBER(Y147),PI()/4*(Y147*INDEX(LenF,MATCH($Y$7,LenU,0)))^2*N(AB147)*INDEX(LenF,MATCH($AB$7,LenU,0))+IF(AC147="",0,IF(AC147="Conical",PI()/12*(Y147*INDEX(LenF,MATCH($Y$7,LenU,0)))^2*(0),INDEX(HeadK,MATCH(AC147,HeadU,0))*(Y147*INDEX(LenF,MATCH($Y$7,LenU,0)))^3)),0),"")</f>
        <v/>
      </c>
      <c r="AE147" s="41" t="str">
        <f aca="false">IF(OR(E147="",E147="Piping"),"",IF(E147="Exchanger",AQ147*AR147+IF(P147="",0,IF(P147="Conical",PI()/12*(SQRT(4*AQ147/PI()))^2*(0),INDEX(HeadK,MATCH(P147,HeadU,0))*(SQRT(4*AQ147/PI()))^3))-IF(AND(ISNUMBER(S147),ISNUMBER(V147)),S147*PI()/4*AP147^2*V147*INDEX(LenF,MATCH($V$7,LenU,0)),0),IF(ISNUMBER(N147),PI()/4*(N147*INDEX(LenF,MATCH($N$7,LenU,0)))^2*N(O147)*INDEX(LenF,MATCH($O$7,LenU,0))+IF(P147="",0,IF(P147="Conical",PI()/12*(N147*INDEX(LenF,MATCH($N$7,LenU,0)))^2*(N(R147)*INDEX(LenF,MATCH($R$7,LenU,0))),INDEX(HeadK,MATCH(P147,HeadU,0))*(N147*INDEX(LenF,MATCH($N$7,LenU,0)))^3))+IF(Q147="",0,IF(Q147="Conical",PI()/12*(N147*INDEX(LenF,MATCH($N$7,LenU,0)))^2*(N(R147)*INDEX(LenF,MATCH($R$7,LenU,0))),INDEX(HeadK,MATCH(Q147,HeadU,0))*(N147*INDEX(LenF,MATCH($N$7,LenU,0)))^3)),0)))</f>
        <v/>
      </c>
      <c r="AF147" s="41" t="str">
        <f aca="false">IF(E147&lt;&gt;"Piping","",IF(AND(ISNUMBER(AS147),ISNUMBER(M147)),PI()/4*(AS147/1000)^2*M147*INDEX(LenF,MATCH($M$7,LenU,0)),0))</f>
        <v/>
      </c>
      <c r="AG147" s="41" t="str">
        <f aca="false">IF(E147="","",N(AD147)+N(AE147)+N(AF147))</f>
        <v/>
      </c>
      <c r="AH147" s="41" t="str">
        <f aca="false">IF(ISNUMBER(I147),I147*INDEX(WtF,MATCH($I$7,WtU,0))/CC_WaterRho,"")</f>
        <v/>
      </c>
      <c r="AI147" s="31"/>
      <c r="AJ147" s="31"/>
      <c r="AK147" s="40"/>
      <c r="AL147" s="31"/>
      <c r="AM147" s="41" t="str">
        <f aca="false">IF(AO147="","",AO147*IF(ISNUMBER(AK147),AK147,CC_DefFills)*(1+IF(ISNUMBER(AL147),AL147,CC_DefAllow)))</f>
        <v/>
      </c>
      <c r="AN147" s="42" t="str">
        <f aca="false">IF(G147="Given volume",IF(ISNUMBER(H147),H147*INDEX(VolF,MATCH($H$7,VolU,0)),""),IF(G147="Water weight",AH147,IF(N(AG147)=0,"",AG147)))</f>
        <v/>
      </c>
      <c r="AO147" s="42" t="str">
        <f aca="false">IF(N(AN147)=0,"",AN147*AT147*IF(ISNUMBER(AJ147),AJ147,CC_DefCirc))</f>
        <v/>
      </c>
      <c r="AP147" s="27" t="n">
        <f aca="false">IF(ISNUMBER(T147),T147*INDEX(LenF,MATCH($T$7,LenU,0)),IF(ISNUMBER(W147),W147*INDEX(LenF,MATCH($W$7,LenU,0))/CC_PitchRatio,0))</f>
        <v>0</v>
      </c>
      <c r="AQ147" s="27" t="n">
        <f aca="false">IF(ISNUMBER(N147),PI()/4*(N147*INDEX(LenF,MATCH($N$7,LenU,0)))^2,IF(AND(ISNUMBER(S147),ISNUMBER(W147),X147&lt;&gt;""),S147*(W147*INDEX(LenF,MATCH($W$7,LenU,0)))^2*INDEX(LayoutF,MATCH(X147,LayoutU,0)),0))</f>
        <v>0</v>
      </c>
      <c r="AR147" s="27" t="n">
        <f aca="false">IF(ISNUMBER(O147),O147*INDEX(LenF,MATCH($O$7,LenU,0)),IF(ISNUMBER(V147),V147*INDEX(LenF,MATCH($V$7,LenU,0)),0))</f>
        <v>0</v>
      </c>
      <c r="AS147" s="27" t="str">
        <f aca="false">IF(ISNUMBER(L147),L147*INDEX(LenF,MATCH($L$7,LenU,0))*1000,IF(OR(J147="",K147=""),"",IFERROR(IF(INDEX(PipeWT,MATCH(J147,NPSU,0),MATCH(K147,SchU,0))="","Sch n/a",INDEX(PipeOD,MATCH(J147,NPSU,0))-2*INDEX(PipeWT,MATCH(J147,NPSU,0),MATCH(K147,SchU,0))),"")))</f>
        <v/>
      </c>
      <c r="AT147" s="27" t="n">
        <f aca="false">IF(ISNUMBER(AI147),AI147,IFERROR(INDEX(IF(CC_JobType="Decontamination",CC_TypeFillDC,CC_TypeFillCC),MATCH(E147,CC_TypeL,0)),1))</f>
        <v>1</v>
      </c>
      <c r="AU147" s="27" t="n">
        <v>5</v>
      </c>
    </row>
    <row r="148" customFormat="false" ht="15" hidden="false" customHeight="false" outlineLevel="0" collapsed="false">
      <c r="A148" s="36" t="n">
        <v>7</v>
      </c>
      <c r="B148" s="40"/>
      <c r="C148" s="32"/>
      <c r="D148" s="32"/>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1" t="str">
        <f aca="false">IF(E148="Exchanger",IF(AND(ISNUMBER(S148),ISNUMBER(U148),ISNUMBER(V148)),S148*PI()/4*(U148*INDEX(LenF,MATCH($U$7,LenU,0)))^2*V148*INDEX(LenF,MATCH($V$7,LenU,0)),0)+IF(ISNUMBER(Y148),PI()/4*(Y148*INDEX(LenF,MATCH($Y$7,LenU,0)))^2*N(Z148)*INDEX(LenF,MATCH($Z$7,LenU,0))+IF(AA148="",0,IF(AA148="Conical",PI()/12*(Y148*INDEX(LenF,MATCH($Y$7,LenU,0)))^2*(0),INDEX(HeadK,MATCH(AA148,HeadU,0))*(Y148*INDEX(LenF,MATCH($Y$7,LenU,0)))^3)),0)+IF(ISNUMBER(Y148),PI()/4*(Y148*INDEX(LenF,MATCH($Y$7,LenU,0)))^2*N(AB148)*INDEX(LenF,MATCH($AB$7,LenU,0))+IF(AC148="",0,IF(AC148="Conical",PI()/12*(Y148*INDEX(LenF,MATCH($Y$7,LenU,0)))^2*(0),INDEX(HeadK,MATCH(AC148,HeadU,0))*(Y148*INDEX(LenF,MATCH($Y$7,LenU,0)))^3)),0),"")</f>
        <v/>
      </c>
      <c r="AE148" s="41" t="str">
        <f aca="false">IF(OR(E148="",E148="Piping"),"",IF(E148="Exchanger",AQ148*AR148+IF(P148="",0,IF(P148="Conical",PI()/12*(SQRT(4*AQ148/PI()))^2*(0),INDEX(HeadK,MATCH(P148,HeadU,0))*(SQRT(4*AQ148/PI()))^3))-IF(AND(ISNUMBER(S148),ISNUMBER(V148)),S148*PI()/4*AP148^2*V148*INDEX(LenF,MATCH($V$7,LenU,0)),0),IF(ISNUMBER(N148),PI()/4*(N148*INDEX(LenF,MATCH($N$7,LenU,0)))^2*N(O148)*INDEX(LenF,MATCH($O$7,LenU,0))+IF(P148="",0,IF(P148="Conical",PI()/12*(N148*INDEX(LenF,MATCH($N$7,LenU,0)))^2*(N(R148)*INDEX(LenF,MATCH($R$7,LenU,0))),INDEX(HeadK,MATCH(P148,HeadU,0))*(N148*INDEX(LenF,MATCH($N$7,LenU,0)))^3))+IF(Q148="",0,IF(Q148="Conical",PI()/12*(N148*INDEX(LenF,MATCH($N$7,LenU,0)))^2*(N(R148)*INDEX(LenF,MATCH($R$7,LenU,0))),INDEX(HeadK,MATCH(Q148,HeadU,0))*(N148*INDEX(LenF,MATCH($N$7,LenU,0)))^3)),0)))</f>
        <v/>
      </c>
      <c r="AF148" s="41" t="str">
        <f aca="false">IF(E148&lt;&gt;"Piping","",IF(AND(ISNUMBER(AS148),ISNUMBER(M148)),PI()/4*(AS148/1000)^2*M148*INDEX(LenF,MATCH($M$7,LenU,0)),0))</f>
        <v/>
      </c>
      <c r="AG148" s="41" t="str">
        <f aca="false">IF(E148="","",N(AD148)+N(AE148)+N(AF148))</f>
        <v/>
      </c>
      <c r="AH148" s="41" t="str">
        <f aca="false">IF(ISNUMBER(I148),I148*INDEX(WtF,MATCH($I$7,WtU,0))/CC_WaterRho,"")</f>
        <v/>
      </c>
      <c r="AI148" s="31"/>
      <c r="AJ148" s="31"/>
      <c r="AK148" s="40"/>
      <c r="AL148" s="31"/>
      <c r="AM148" s="41" t="str">
        <f aca="false">IF(AO148="","",AO148*IF(ISNUMBER(AK148),AK148,CC_DefFills)*(1+IF(ISNUMBER(AL148),AL148,CC_DefAllow)))</f>
        <v/>
      </c>
      <c r="AN148" s="42" t="str">
        <f aca="false">IF(G148="Given volume",IF(ISNUMBER(H148),H148*INDEX(VolF,MATCH($H$7,VolU,0)),""),IF(G148="Water weight",AH148,IF(N(AG148)=0,"",AG148)))</f>
        <v/>
      </c>
      <c r="AO148" s="42" t="str">
        <f aca="false">IF(N(AN148)=0,"",AN148*AT148*IF(ISNUMBER(AJ148),AJ148,CC_DefCirc))</f>
        <v/>
      </c>
      <c r="AP148" s="27" t="n">
        <f aca="false">IF(ISNUMBER(T148),T148*INDEX(LenF,MATCH($T$7,LenU,0)),IF(ISNUMBER(W148),W148*INDEX(LenF,MATCH($W$7,LenU,0))/CC_PitchRatio,0))</f>
        <v>0</v>
      </c>
      <c r="AQ148" s="27" t="n">
        <f aca="false">IF(ISNUMBER(N148),PI()/4*(N148*INDEX(LenF,MATCH($N$7,LenU,0)))^2,IF(AND(ISNUMBER(S148),ISNUMBER(W148),X148&lt;&gt;""),S148*(W148*INDEX(LenF,MATCH($W$7,LenU,0)))^2*INDEX(LayoutF,MATCH(X148,LayoutU,0)),0))</f>
        <v>0</v>
      </c>
      <c r="AR148" s="27" t="n">
        <f aca="false">IF(ISNUMBER(O148),O148*INDEX(LenF,MATCH($O$7,LenU,0)),IF(ISNUMBER(V148),V148*INDEX(LenF,MATCH($V$7,LenU,0)),0))</f>
        <v>0</v>
      </c>
      <c r="AS148" s="27" t="str">
        <f aca="false">IF(ISNUMBER(L148),L148*INDEX(LenF,MATCH($L$7,LenU,0))*1000,IF(OR(J148="",K148=""),"",IFERROR(IF(INDEX(PipeWT,MATCH(J148,NPSU,0),MATCH(K148,SchU,0))="","Sch n/a",INDEX(PipeOD,MATCH(J148,NPSU,0))-2*INDEX(PipeWT,MATCH(J148,NPSU,0),MATCH(K148,SchU,0))),"")))</f>
        <v/>
      </c>
      <c r="AT148" s="27" t="n">
        <f aca="false">IF(ISNUMBER(AI148),AI148,IFERROR(INDEX(IF(CC_JobType="Decontamination",CC_TypeFillDC,CC_TypeFillCC),MATCH(E148,CC_TypeL,0)),1))</f>
        <v>1</v>
      </c>
      <c r="AU148" s="27" t="n">
        <v>5</v>
      </c>
    </row>
    <row r="149" customFormat="false" ht="15" hidden="false" customHeight="false" outlineLevel="0" collapsed="false">
      <c r="A149" s="36" t="n">
        <v>8</v>
      </c>
      <c r="B149" s="40"/>
      <c r="C149" s="32"/>
      <c r="D149" s="32"/>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1" t="str">
        <f aca="false">IF(E149="Exchanger",IF(AND(ISNUMBER(S149),ISNUMBER(U149),ISNUMBER(V149)),S149*PI()/4*(U149*INDEX(LenF,MATCH($U$7,LenU,0)))^2*V149*INDEX(LenF,MATCH($V$7,LenU,0)),0)+IF(ISNUMBER(Y149),PI()/4*(Y149*INDEX(LenF,MATCH($Y$7,LenU,0)))^2*N(Z149)*INDEX(LenF,MATCH($Z$7,LenU,0))+IF(AA149="",0,IF(AA149="Conical",PI()/12*(Y149*INDEX(LenF,MATCH($Y$7,LenU,0)))^2*(0),INDEX(HeadK,MATCH(AA149,HeadU,0))*(Y149*INDEX(LenF,MATCH($Y$7,LenU,0)))^3)),0)+IF(ISNUMBER(Y149),PI()/4*(Y149*INDEX(LenF,MATCH($Y$7,LenU,0)))^2*N(AB149)*INDEX(LenF,MATCH($AB$7,LenU,0))+IF(AC149="",0,IF(AC149="Conical",PI()/12*(Y149*INDEX(LenF,MATCH($Y$7,LenU,0)))^2*(0),INDEX(HeadK,MATCH(AC149,HeadU,0))*(Y149*INDEX(LenF,MATCH($Y$7,LenU,0)))^3)),0),"")</f>
        <v/>
      </c>
      <c r="AE149" s="41" t="str">
        <f aca="false">IF(OR(E149="",E149="Piping"),"",IF(E149="Exchanger",AQ149*AR149+IF(P149="",0,IF(P149="Conical",PI()/12*(SQRT(4*AQ149/PI()))^2*(0),INDEX(HeadK,MATCH(P149,HeadU,0))*(SQRT(4*AQ149/PI()))^3))-IF(AND(ISNUMBER(S149),ISNUMBER(V149)),S149*PI()/4*AP149^2*V149*INDEX(LenF,MATCH($V$7,LenU,0)),0),IF(ISNUMBER(N149),PI()/4*(N149*INDEX(LenF,MATCH($N$7,LenU,0)))^2*N(O149)*INDEX(LenF,MATCH($O$7,LenU,0))+IF(P149="",0,IF(P149="Conical",PI()/12*(N149*INDEX(LenF,MATCH($N$7,LenU,0)))^2*(N(R149)*INDEX(LenF,MATCH($R$7,LenU,0))),INDEX(HeadK,MATCH(P149,HeadU,0))*(N149*INDEX(LenF,MATCH($N$7,LenU,0)))^3))+IF(Q149="",0,IF(Q149="Conical",PI()/12*(N149*INDEX(LenF,MATCH($N$7,LenU,0)))^2*(N(R149)*INDEX(LenF,MATCH($R$7,LenU,0))),INDEX(HeadK,MATCH(Q149,HeadU,0))*(N149*INDEX(LenF,MATCH($N$7,LenU,0)))^3)),0)))</f>
        <v/>
      </c>
      <c r="AF149" s="41" t="str">
        <f aca="false">IF(E149&lt;&gt;"Piping","",IF(AND(ISNUMBER(AS149),ISNUMBER(M149)),PI()/4*(AS149/1000)^2*M149*INDEX(LenF,MATCH($M$7,LenU,0)),0))</f>
        <v/>
      </c>
      <c r="AG149" s="41" t="str">
        <f aca="false">IF(E149="","",N(AD149)+N(AE149)+N(AF149))</f>
        <v/>
      </c>
      <c r="AH149" s="41" t="str">
        <f aca="false">IF(ISNUMBER(I149),I149*INDEX(WtF,MATCH($I$7,WtU,0))/CC_WaterRho,"")</f>
        <v/>
      </c>
      <c r="AI149" s="31"/>
      <c r="AJ149" s="31"/>
      <c r="AK149" s="40"/>
      <c r="AL149" s="31"/>
      <c r="AM149" s="41" t="str">
        <f aca="false">IF(AO149="","",AO149*IF(ISNUMBER(AK149),AK149,CC_DefFills)*(1+IF(ISNUMBER(AL149),AL149,CC_DefAllow)))</f>
        <v/>
      </c>
      <c r="AN149" s="42" t="str">
        <f aca="false">IF(G149="Given volume",IF(ISNUMBER(H149),H149*INDEX(VolF,MATCH($H$7,VolU,0)),""),IF(G149="Water weight",AH149,IF(N(AG149)=0,"",AG149)))</f>
        <v/>
      </c>
      <c r="AO149" s="42" t="str">
        <f aca="false">IF(N(AN149)=0,"",AN149*AT149*IF(ISNUMBER(AJ149),AJ149,CC_DefCirc))</f>
        <v/>
      </c>
      <c r="AP149" s="27" t="n">
        <f aca="false">IF(ISNUMBER(T149),T149*INDEX(LenF,MATCH($T$7,LenU,0)),IF(ISNUMBER(W149),W149*INDEX(LenF,MATCH($W$7,LenU,0))/CC_PitchRatio,0))</f>
        <v>0</v>
      </c>
      <c r="AQ149" s="27" t="n">
        <f aca="false">IF(ISNUMBER(N149),PI()/4*(N149*INDEX(LenF,MATCH($N$7,LenU,0)))^2,IF(AND(ISNUMBER(S149),ISNUMBER(W149),X149&lt;&gt;""),S149*(W149*INDEX(LenF,MATCH($W$7,LenU,0)))^2*INDEX(LayoutF,MATCH(X149,LayoutU,0)),0))</f>
        <v>0</v>
      </c>
      <c r="AR149" s="27" t="n">
        <f aca="false">IF(ISNUMBER(O149),O149*INDEX(LenF,MATCH($O$7,LenU,0)),IF(ISNUMBER(V149),V149*INDEX(LenF,MATCH($V$7,LenU,0)),0))</f>
        <v>0</v>
      </c>
      <c r="AS149" s="27" t="str">
        <f aca="false">IF(ISNUMBER(L149),L149*INDEX(LenF,MATCH($L$7,LenU,0))*1000,IF(OR(J149="",K149=""),"",IFERROR(IF(INDEX(PipeWT,MATCH(J149,NPSU,0),MATCH(K149,SchU,0))="","Sch n/a",INDEX(PipeOD,MATCH(J149,NPSU,0))-2*INDEX(PipeWT,MATCH(J149,NPSU,0),MATCH(K149,SchU,0))),"")))</f>
        <v/>
      </c>
      <c r="AT149" s="27" t="n">
        <f aca="false">IF(ISNUMBER(AI149),AI149,IFERROR(INDEX(IF(CC_JobType="Decontamination",CC_TypeFillDC,CC_TypeFillCC),MATCH(E149,CC_TypeL,0)),1))</f>
        <v>1</v>
      </c>
      <c r="AU149" s="27" t="n">
        <v>5</v>
      </c>
    </row>
    <row r="150" customFormat="false" ht="15" hidden="false" customHeight="false" outlineLevel="0" collapsed="false">
      <c r="A150" s="36" t="n">
        <v>9</v>
      </c>
      <c r="B150" s="40"/>
      <c r="C150" s="32"/>
      <c r="D150" s="32"/>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1" t="str">
        <f aca="false">IF(E150="Exchanger",IF(AND(ISNUMBER(S150),ISNUMBER(U150),ISNUMBER(V150)),S150*PI()/4*(U150*INDEX(LenF,MATCH($U$7,LenU,0)))^2*V150*INDEX(LenF,MATCH($V$7,LenU,0)),0)+IF(ISNUMBER(Y150),PI()/4*(Y150*INDEX(LenF,MATCH($Y$7,LenU,0)))^2*N(Z150)*INDEX(LenF,MATCH($Z$7,LenU,0))+IF(AA150="",0,IF(AA150="Conical",PI()/12*(Y150*INDEX(LenF,MATCH($Y$7,LenU,0)))^2*(0),INDEX(HeadK,MATCH(AA150,HeadU,0))*(Y150*INDEX(LenF,MATCH($Y$7,LenU,0)))^3)),0)+IF(ISNUMBER(Y150),PI()/4*(Y150*INDEX(LenF,MATCH($Y$7,LenU,0)))^2*N(AB150)*INDEX(LenF,MATCH($AB$7,LenU,0))+IF(AC150="",0,IF(AC150="Conical",PI()/12*(Y150*INDEX(LenF,MATCH($Y$7,LenU,0)))^2*(0),INDEX(HeadK,MATCH(AC150,HeadU,0))*(Y150*INDEX(LenF,MATCH($Y$7,LenU,0)))^3)),0),"")</f>
        <v/>
      </c>
      <c r="AE150" s="41" t="str">
        <f aca="false">IF(OR(E150="",E150="Piping"),"",IF(E150="Exchanger",AQ150*AR150+IF(P150="",0,IF(P150="Conical",PI()/12*(SQRT(4*AQ150/PI()))^2*(0),INDEX(HeadK,MATCH(P150,HeadU,0))*(SQRT(4*AQ150/PI()))^3))-IF(AND(ISNUMBER(S150),ISNUMBER(V150)),S150*PI()/4*AP150^2*V150*INDEX(LenF,MATCH($V$7,LenU,0)),0),IF(ISNUMBER(N150),PI()/4*(N150*INDEX(LenF,MATCH($N$7,LenU,0)))^2*N(O150)*INDEX(LenF,MATCH($O$7,LenU,0))+IF(P150="",0,IF(P150="Conical",PI()/12*(N150*INDEX(LenF,MATCH($N$7,LenU,0)))^2*(N(R150)*INDEX(LenF,MATCH($R$7,LenU,0))),INDEX(HeadK,MATCH(P150,HeadU,0))*(N150*INDEX(LenF,MATCH($N$7,LenU,0)))^3))+IF(Q150="",0,IF(Q150="Conical",PI()/12*(N150*INDEX(LenF,MATCH($N$7,LenU,0)))^2*(N(R150)*INDEX(LenF,MATCH($R$7,LenU,0))),INDEX(HeadK,MATCH(Q150,HeadU,0))*(N150*INDEX(LenF,MATCH($N$7,LenU,0)))^3)),0)))</f>
        <v/>
      </c>
      <c r="AF150" s="41" t="str">
        <f aca="false">IF(E150&lt;&gt;"Piping","",IF(AND(ISNUMBER(AS150),ISNUMBER(M150)),PI()/4*(AS150/1000)^2*M150*INDEX(LenF,MATCH($M$7,LenU,0)),0))</f>
        <v/>
      </c>
      <c r="AG150" s="41" t="str">
        <f aca="false">IF(E150="","",N(AD150)+N(AE150)+N(AF150))</f>
        <v/>
      </c>
      <c r="AH150" s="41" t="str">
        <f aca="false">IF(ISNUMBER(I150),I150*INDEX(WtF,MATCH($I$7,WtU,0))/CC_WaterRho,"")</f>
        <v/>
      </c>
      <c r="AI150" s="31"/>
      <c r="AJ150" s="31"/>
      <c r="AK150" s="40"/>
      <c r="AL150" s="31"/>
      <c r="AM150" s="41" t="str">
        <f aca="false">IF(AO150="","",AO150*IF(ISNUMBER(AK150),AK150,CC_DefFills)*(1+IF(ISNUMBER(AL150),AL150,CC_DefAllow)))</f>
        <v/>
      </c>
      <c r="AN150" s="42" t="str">
        <f aca="false">IF(G150="Given volume",IF(ISNUMBER(H150),H150*INDEX(VolF,MATCH($H$7,VolU,0)),""),IF(G150="Water weight",AH150,IF(N(AG150)=0,"",AG150)))</f>
        <v/>
      </c>
      <c r="AO150" s="42" t="str">
        <f aca="false">IF(N(AN150)=0,"",AN150*AT150*IF(ISNUMBER(AJ150),AJ150,CC_DefCirc))</f>
        <v/>
      </c>
      <c r="AP150" s="27" t="n">
        <f aca="false">IF(ISNUMBER(T150),T150*INDEX(LenF,MATCH($T$7,LenU,0)),IF(ISNUMBER(W150),W150*INDEX(LenF,MATCH($W$7,LenU,0))/CC_PitchRatio,0))</f>
        <v>0</v>
      </c>
      <c r="AQ150" s="27" t="n">
        <f aca="false">IF(ISNUMBER(N150),PI()/4*(N150*INDEX(LenF,MATCH($N$7,LenU,0)))^2,IF(AND(ISNUMBER(S150),ISNUMBER(W150),X150&lt;&gt;""),S150*(W150*INDEX(LenF,MATCH($W$7,LenU,0)))^2*INDEX(LayoutF,MATCH(X150,LayoutU,0)),0))</f>
        <v>0</v>
      </c>
      <c r="AR150" s="27" t="n">
        <f aca="false">IF(ISNUMBER(O150),O150*INDEX(LenF,MATCH($O$7,LenU,0)),IF(ISNUMBER(V150),V150*INDEX(LenF,MATCH($V$7,LenU,0)),0))</f>
        <v>0</v>
      </c>
      <c r="AS150" s="27" t="str">
        <f aca="false">IF(ISNUMBER(L150),L150*INDEX(LenF,MATCH($L$7,LenU,0))*1000,IF(OR(J150="",K150=""),"",IFERROR(IF(INDEX(PipeWT,MATCH(J150,NPSU,0),MATCH(K150,SchU,0))="","Sch n/a",INDEX(PipeOD,MATCH(J150,NPSU,0))-2*INDEX(PipeWT,MATCH(J150,NPSU,0),MATCH(K150,SchU,0))),"")))</f>
        <v/>
      </c>
      <c r="AT150" s="27" t="n">
        <f aca="false">IF(ISNUMBER(AI150),AI150,IFERROR(INDEX(IF(CC_JobType="Decontamination",CC_TypeFillDC,CC_TypeFillCC),MATCH(E150,CC_TypeL,0)),1))</f>
        <v>1</v>
      </c>
      <c r="AU150" s="27" t="n">
        <v>5</v>
      </c>
    </row>
    <row r="151" customFormat="false" ht="15" hidden="false" customHeight="false" outlineLevel="0" collapsed="false">
      <c r="A151" s="36" t="n">
        <v>10</v>
      </c>
      <c r="B151" s="40"/>
      <c r="C151" s="32"/>
      <c r="D151" s="32"/>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1" t="str">
        <f aca="false">IF(E151="Exchanger",IF(AND(ISNUMBER(S151),ISNUMBER(U151),ISNUMBER(V151)),S151*PI()/4*(U151*INDEX(LenF,MATCH($U$7,LenU,0)))^2*V151*INDEX(LenF,MATCH($V$7,LenU,0)),0)+IF(ISNUMBER(Y151),PI()/4*(Y151*INDEX(LenF,MATCH($Y$7,LenU,0)))^2*N(Z151)*INDEX(LenF,MATCH($Z$7,LenU,0))+IF(AA151="",0,IF(AA151="Conical",PI()/12*(Y151*INDEX(LenF,MATCH($Y$7,LenU,0)))^2*(0),INDEX(HeadK,MATCH(AA151,HeadU,0))*(Y151*INDEX(LenF,MATCH($Y$7,LenU,0)))^3)),0)+IF(ISNUMBER(Y151),PI()/4*(Y151*INDEX(LenF,MATCH($Y$7,LenU,0)))^2*N(AB151)*INDEX(LenF,MATCH($AB$7,LenU,0))+IF(AC151="",0,IF(AC151="Conical",PI()/12*(Y151*INDEX(LenF,MATCH($Y$7,LenU,0)))^2*(0),INDEX(HeadK,MATCH(AC151,HeadU,0))*(Y151*INDEX(LenF,MATCH($Y$7,LenU,0)))^3)),0),"")</f>
        <v/>
      </c>
      <c r="AE151" s="41" t="str">
        <f aca="false">IF(OR(E151="",E151="Piping"),"",IF(E151="Exchanger",AQ151*AR151+IF(P151="",0,IF(P151="Conical",PI()/12*(SQRT(4*AQ151/PI()))^2*(0),INDEX(HeadK,MATCH(P151,HeadU,0))*(SQRT(4*AQ151/PI()))^3))-IF(AND(ISNUMBER(S151),ISNUMBER(V151)),S151*PI()/4*AP151^2*V151*INDEX(LenF,MATCH($V$7,LenU,0)),0),IF(ISNUMBER(N151),PI()/4*(N151*INDEX(LenF,MATCH($N$7,LenU,0)))^2*N(O151)*INDEX(LenF,MATCH($O$7,LenU,0))+IF(P151="",0,IF(P151="Conical",PI()/12*(N151*INDEX(LenF,MATCH($N$7,LenU,0)))^2*(N(R151)*INDEX(LenF,MATCH($R$7,LenU,0))),INDEX(HeadK,MATCH(P151,HeadU,0))*(N151*INDEX(LenF,MATCH($N$7,LenU,0)))^3))+IF(Q151="",0,IF(Q151="Conical",PI()/12*(N151*INDEX(LenF,MATCH($N$7,LenU,0)))^2*(N(R151)*INDEX(LenF,MATCH($R$7,LenU,0))),INDEX(HeadK,MATCH(Q151,HeadU,0))*(N151*INDEX(LenF,MATCH($N$7,LenU,0)))^3)),0)))</f>
        <v/>
      </c>
      <c r="AF151" s="41" t="str">
        <f aca="false">IF(E151&lt;&gt;"Piping","",IF(AND(ISNUMBER(AS151),ISNUMBER(M151)),PI()/4*(AS151/1000)^2*M151*INDEX(LenF,MATCH($M$7,LenU,0)),0))</f>
        <v/>
      </c>
      <c r="AG151" s="41" t="str">
        <f aca="false">IF(E151="","",N(AD151)+N(AE151)+N(AF151))</f>
        <v/>
      </c>
      <c r="AH151" s="41" t="str">
        <f aca="false">IF(ISNUMBER(I151),I151*INDEX(WtF,MATCH($I$7,WtU,0))/CC_WaterRho,"")</f>
        <v/>
      </c>
      <c r="AI151" s="31"/>
      <c r="AJ151" s="31"/>
      <c r="AK151" s="40"/>
      <c r="AL151" s="31"/>
      <c r="AM151" s="41" t="str">
        <f aca="false">IF(AO151="","",AO151*IF(ISNUMBER(AK151),AK151,CC_DefFills)*(1+IF(ISNUMBER(AL151),AL151,CC_DefAllow)))</f>
        <v/>
      </c>
      <c r="AN151" s="42" t="str">
        <f aca="false">IF(G151="Given volume",IF(ISNUMBER(H151),H151*INDEX(VolF,MATCH($H$7,VolU,0)),""),IF(G151="Water weight",AH151,IF(N(AG151)=0,"",AG151)))</f>
        <v/>
      </c>
      <c r="AO151" s="42" t="str">
        <f aca="false">IF(N(AN151)=0,"",AN151*AT151*IF(ISNUMBER(AJ151),AJ151,CC_DefCirc))</f>
        <v/>
      </c>
      <c r="AP151" s="27" t="n">
        <f aca="false">IF(ISNUMBER(T151),T151*INDEX(LenF,MATCH($T$7,LenU,0)),IF(ISNUMBER(W151),W151*INDEX(LenF,MATCH($W$7,LenU,0))/CC_PitchRatio,0))</f>
        <v>0</v>
      </c>
      <c r="AQ151" s="27" t="n">
        <f aca="false">IF(ISNUMBER(N151),PI()/4*(N151*INDEX(LenF,MATCH($N$7,LenU,0)))^2,IF(AND(ISNUMBER(S151),ISNUMBER(W151),X151&lt;&gt;""),S151*(W151*INDEX(LenF,MATCH($W$7,LenU,0)))^2*INDEX(LayoutF,MATCH(X151,LayoutU,0)),0))</f>
        <v>0</v>
      </c>
      <c r="AR151" s="27" t="n">
        <f aca="false">IF(ISNUMBER(O151),O151*INDEX(LenF,MATCH($O$7,LenU,0)),IF(ISNUMBER(V151),V151*INDEX(LenF,MATCH($V$7,LenU,0)),0))</f>
        <v>0</v>
      </c>
      <c r="AS151" s="27" t="str">
        <f aca="false">IF(ISNUMBER(L151),L151*INDEX(LenF,MATCH($L$7,LenU,0))*1000,IF(OR(J151="",K151=""),"",IFERROR(IF(INDEX(PipeWT,MATCH(J151,NPSU,0),MATCH(K151,SchU,0))="","Sch n/a",INDEX(PipeOD,MATCH(J151,NPSU,0))-2*INDEX(PipeWT,MATCH(J151,NPSU,0),MATCH(K151,SchU,0))),"")))</f>
        <v/>
      </c>
      <c r="AT151" s="27" t="n">
        <f aca="false">IF(ISNUMBER(AI151),AI151,IFERROR(INDEX(IF(CC_JobType="Decontamination",CC_TypeFillDC,CC_TypeFillCC),MATCH(E151,CC_TypeL,0)),1))</f>
        <v>1</v>
      </c>
      <c r="AU151" s="27" t="n">
        <v>5</v>
      </c>
    </row>
    <row r="152" customFormat="false" ht="15" hidden="false" customHeight="false" outlineLevel="0" collapsed="false">
      <c r="A152" s="36" t="n">
        <v>11</v>
      </c>
      <c r="B152" s="40"/>
      <c r="C152" s="32"/>
      <c r="D152" s="32"/>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1" t="str">
        <f aca="false">IF(E152="Exchanger",IF(AND(ISNUMBER(S152),ISNUMBER(U152),ISNUMBER(V152)),S152*PI()/4*(U152*INDEX(LenF,MATCH($U$7,LenU,0)))^2*V152*INDEX(LenF,MATCH($V$7,LenU,0)),0)+IF(ISNUMBER(Y152),PI()/4*(Y152*INDEX(LenF,MATCH($Y$7,LenU,0)))^2*N(Z152)*INDEX(LenF,MATCH($Z$7,LenU,0))+IF(AA152="",0,IF(AA152="Conical",PI()/12*(Y152*INDEX(LenF,MATCH($Y$7,LenU,0)))^2*(0),INDEX(HeadK,MATCH(AA152,HeadU,0))*(Y152*INDEX(LenF,MATCH($Y$7,LenU,0)))^3)),0)+IF(ISNUMBER(Y152),PI()/4*(Y152*INDEX(LenF,MATCH($Y$7,LenU,0)))^2*N(AB152)*INDEX(LenF,MATCH($AB$7,LenU,0))+IF(AC152="",0,IF(AC152="Conical",PI()/12*(Y152*INDEX(LenF,MATCH($Y$7,LenU,0)))^2*(0),INDEX(HeadK,MATCH(AC152,HeadU,0))*(Y152*INDEX(LenF,MATCH($Y$7,LenU,0)))^3)),0),"")</f>
        <v/>
      </c>
      <c r="AE152" s="41" t="str">
        <f aca="false">IF(OR(E152="",E152="Piping"),"",IF(E152="Exchanger",AQ152*AR152+IF(P152="",0,IF(P152="Conical",PI()/12*(SQRT(4*AQ152/PI()))^2*(0),INDEX(HeadK,MATCH(P152,HeadU,0))*(SQRT(4*AQ152/PI()))^3))-IF(AND(ISNUMBER(S152),ISNUMBER(V152)),S152*PI()/4*AP152^2*V152*INDEX(LenF,MATCH($V$7,LenU,0)),0),IF(ISNUMBER(N152),PI()/4*(N152*INDEX(LenF,MATCH($N$7,LenU,0)))^2*N(O152)*INDEX(LenF,MATCH($O$7,LenU,0))+IF(P152="",0,IF(P152="Conical",PI()/12*(N152*INDEX(LenF,MATCH($N$7,LenU,0)))^2*(N(R152)*INDEX(LenF,MATCH($R$7,LenU,0))),INDEX(HeadK,MATCH(P152,HeadU,0))*(N152*INDEX(LenF,MATCH($N$7,LenU,0)))^3))+IF(Q152="",0,IF(Q152="Conical",PI()/12*(N152*INDEX(LenF,MATCH($N$7,LenU,0)))^2*(N(R152)*INDEX(LenF,MATCH($R$7,LenU,0))),INDEX(HeadK,MATCH(Q152,HeadU,0))*(N152*INDEX(LenF,MATCH($N$7,LenU,0)))^3)),0)))</f>
        <v/>
      </c>
      <c r="AF152" s="41" t="str">
        <f aca="false">IF(E152&lt;&gt;"Piping","",IF(AND(ISNUMBER(AS152),ISNUMBER(M152)),PI()/4*(AS152/1000)^2*M152*INDEX(LenF,MATCH($M$7,LenU,0)),0))</f>
        <v/>
      </c>
      <c r="AG152" s="41" t="str">
        <f aca="false">IF(E152="","",N(AD152)+N(AE152)+N(AF152))</f>
        <v/>
      </c>
      <c r="AH152" s="41" t="str">
        <f aca="false">IF(ISNUMBER(I152),I152*INDEX(WtF,MATCH($I$7,WtU,0))/CC_WaterRho,"")</f>
        <v/>
      </c>
      <c r="AI152" s="31"/>
      <c r="AJ152" s="31"/>
      <c r="AK152" s="40"/>
      <c r="AL152" s="31"/>
      <c r="AM152" s="41" t="str">
        <f aca="false">IF(AO152="","",AO152*IF(ISNUMBER(AK152),AK152,CC_DefFills)*(1+IF(ISNUMBER(AL152),AL152,CC_DefAllow)))</f>
        <v/>
      </c>
      <c r="AN152" s="42" t="str">
        <f aca="false">IF(G152="Given volume",IF(ISNUMBER(H152),H152*INDEX(VolF,MATCH($H$7,VolU,0)),""),IF(G152="Water weight",AH152,IF(N(AG152)=0,"",AG152)))</f>
        <v/>
      </c>
      <c r="AO152" s="42" t="str">
        <f aca="false">IF(N(AN152)=0,"",AN152*AT152*IF(ISNUMBER(AJ152),AJ152,CC_DefCirc))</f>
        <v/>
      </c>
      <c r="AP152" s="27" t="n">
        <f aca="false">IF(ISNUMBER(T152),T152*INDEX(LenF,MATCH($T$7,LenU,0)),IF(ISNUMBER(W152),W152*INDEX(LenF,MATCH($W$7,LenU,0))/CC_PitchRatio,0))</f>
        <v>0</v>
      </c>
      <c r="AQ152" s="27" t="n">
        <f aca="false">IF(ISNUMBER(N152),PI()/4*(N152*INDEX(LenF,MATCH($N$7,LenU,0)))^2,IF(AND(ISNUMBER(S152),ISNUMBER(W152),X152&lt;&gt;""),S152*(W152*INDEX(LenF,MATCH($W$7,LenU,0)))^2*INDEX(LayoutF,MATCH(X152,LayoutU,0)),0))</f>
        <v>0</v>
      </c>
      <c r="AR152" s="27" t="n">
        <f aca="false">IF(ISNUMBER(O152),O152*INDEX(LenF,MATCH($O$7,LenU,0)),IF(ISNUMBER(V152),V152*INDEX(LenF,MATCH($V$7,LenU,0)),0))</f>
        <v>0</v>
      </c>
      <c r="AS152" s="27" t="str">
        <f aca="false">IF(ISNUMBER(L152),L152*INDEX(LenF,MATCH($L$7,LenU,0))*1000,IF(OR(J152="",K152=""),"",IFERROR(IF(INDEX(PipeWT,MATCH(J152,NPSU,0),MATCH(K152,SchU,0))="","Sch n/a",INDEX(PipeOD,MATCH(J152,NPSU,0))-2*INDEX(PipeWT,MATCH(J152,NPSU,0),MATCH(K152,SchU,0))),"")))</f>
        <v/>
      </c>
      <c r="AT152" s="27" t="n">
        <f aca="false">IF(ISNUMBER(AI152),AI152,IFERROR(INDEX(IF(CC_JobType="Decontamination",CC_TypeFillDC,CC_TypeFillCC),MATCH(E152,CC_TypeL,0)),1))</f>
        <v>1</v>
      </c>
      <c r="AU152" s="27" t="n">
        <v>5</v>
      </c>
    </row>
    <row r="153" customFormat="false" ht="15" hidden="false" customHeight="false" outlineLevel="0" collapsed="false">
      <c r="A153" s="36" t="n">
        <v>12</v>
      </c>
      <c r="B153" s="40"/>
      <c r="C153" s="32"/>
      <c r="D153" s="32"/>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1" t="str">
        <f aca="false">IF(E153="Exchanger",IF(AND(ISNUMBER(S153),ISNUMBER(U153),ISNUMBER(V153)),S153*PI()/4*(U153*INDEX(LenF,MATCH($U$7,LenU,0)))^2*V153*INDEX(LenF,MATCH($V$7,LenU,0)),0)+IF(ISNUMBER(Y153),PI()/4*(Y153*INDEX(LenF,MATCH($Y$7,LenU,0)))^2*N(Z153)*INDEX(LenF,MATCH($Z$7,LenU,0))+IF(AA153="",0,IF(AA153="Conical",PI()/12*(Y153*INDEX(LenF,MATCH($Y$7,LenU,0)))^2*(0),INDEX(HeadK,MATCH(AA153,HeadU,0))*(Y153*INDEX(LenF,MATCH($Y$7,LenU,0)))^3)),0)+IF(ISNUMBER(Y153),PI()/4*(Y153*INDEX(LenF,MATCH($Y$7,LenU,0)))^2*N(AB153)*INDEX(LenF,MATCH($AB$7,LenU,0))+IF(AC153="",0,IF(AC153="Conical",PI()/12*(Y153*INDEX(LenF,MATCH($Y$7,LenU,0)))^2*(0),INDEX(HeadK,MATCH(AC153,HeadU,0))*(Y153*INDEX(LenF,MATCH($Y$7,LenU,0)))^3)),0),"")</f>
        <v/>
      </c>
      <c r="AE153" s="41" t="str">
        <f aca="false">IF(OR(E153="",E153="Piping"),"",IF(E153="Exchanger",AQ153*AR153+IF(P153="",0,IF(P153="Conical",PI()/12*(SQRT(4*AQ153/PI()))^2*(0),INDEX(HeadK,MATCH(P153,HeadU,0))*(SQRT(4*AQ153/PI()))^3))-IF(AND(ISNUMBER(S153),ISNUMBER(V153)),S153*PI()/4*AP153^2*V153*INDEX(LenF,MATCH($V$7,LenU,0)),0),IF(ISNUMBER(N153),PI()/4*(N153*INDEX(LenF,MATCH($N$7,LenU,0)))^2*N(O153)*INDEX(LenF,MATCH($O$7,LenU,0))+IF(P153="",0,IF(P153="Conical",PI()/12*(N153*INDEX(LenF,MATCH($N$7,LenU,0)))^2*(N(R153)*INDEX(LenF,MATCH($R$7,LenU,0))),INDEX(HeadK,MATCH(P153,HeadU,0))*(N153*INDEX(LenF,MATCH($N$7,LenU,0)))^3))+IF(Q153="",0,IF(Q153="Conical",PI()/12*(N153*INDEX(LenF,MATCH($N$7,LenU,0)))^2*(N(R153)*INDEX(LenF,MATCH($R$7,LenU,0))),INDEX(HeadK,MATCH(Q153,HeadU,0))*(N153*INDEX(LenF,MATCH($N$7,LenU,0)))^3)),0)))</f>
        <v/>
      </c>
      <c r="AF153" s="41" t="str">
        <f aca="false">IF(E153&lt;&gt;"Piping","",IF(AND(ISNUMBER(AS153),ISNUMBER(M153)),PI()/4*(AS153/1000)^2*M153*INDEX(LenF,MATCH($M$7,LenU,0)),0))</f>
        <v/>
      </c>
      <c r="AG153" s="41" t="str">
        <f aca="false">IF(E153="","",N(AD153)+N(AE153)+N(AF153))</f>
        <v/>
      </c>
      <c r="AH153" s="41" t="str">
        <f aca="false">IF(ISNUMBER(I153),I153*INDEX(WtF,MATCH($I$7,WtU,0))/CC_WaterRho,"")</f>
        <v/>
      </c>
      <c r="AI153" s="31"/>
      <c r="AJ153" s="31"/>
      <c r="AK153" s="40"/>
      <c r="AL153" s="31"/>
      <c r="AM153" s="41" t="str">
        <f aca="false">IF(AO153="","",AO153*IF(ISNUMBER(AK153),AK153,CC_DefFills)*(1+IF(ISNUMBER(AL153),AL153,CC_DefAllow)))</f>
        <v/>
      </c>
      <c r="AN153" s="42" t="str">
        <f aca="false">IF(G153="Given volume",IF(ISNUMBER(H153),H153*INDEX(VolF,MATCH($H$7,VolU,0)),""),IF(G153="Water weight",AH153,IF(N(AG153)=0,"",AG153)))</f>
        <v/>
      </c>
      <c r="AO153" s="42" t="str">
        <f aca="false">IF(N(AN153)=0,"",AN153*AT153*IF(ISNUMBER(AJ153),AJ153,CC_DefCirc))</f>
        <v/>
      </c>
      <c r="AP153" s="27" t="n">
        <f aca="false">IF(ISNUMBER(T153),T153*INDEX(LenF,MATCH($T$7,LenU,0)),IF(ISNUMBER(W153),W153*INDEX(LenF,MATCH($W$7,LenU,0))/CC_PitchRatio,0))</f>
        <v>0</v>
      </c>
      <c r="AQ153" s="27" t="n">
        <f aca="false">IF(ISNUMBER(N153),PI()/4*(N153*INDEX(LenF,MATCH($N$7,LenU,0)))^2,IF(AND(ISNUMBER(S153),ISNUMBER(W153),X153&lt;&gt;""),S153*(W153*INDEX(LenF,MATCH($W$7,LenU,0)))^2*INDEX(LayoutF,MATCH(X153,LayoutU,0)),0))</f>
        <v>0</v>
      </c>
      <c r="AR153" s="27" t="n">
        <f aca="false">IF(ISNUMBER(O153),O153*INDEX(LenF,MATCH($O$7,LenU,0)),IF(ISNUMBER(V153),V153*INDEX(LenF,MATCH($V$7,LenU,0)),0))</f>
        <v>0</v>
      </c>
      <c r="AS153" s="27" t="str">
        <f aca="false">IF(ISNUMBER(L153),L153*INDEX(LenF,MATCH($L$7,LenU,0))*1000,IF(OR(J153="",K153=""),"",IFERROR(IF(INDEX(PipeWT,MATCH(J153,NPSU,0),MATCH(K153,SchU,0))="","Sch n/a",INDEX(PipeOD,MATCH(J153,NPSU,0))-2*INDEX(PipeWT,MATCH(J153,NPSU,0),MATCH(K153,SchU,0))),"")))</f>
        <v/>
      </c>
      <c r="AT153" s="27" t="n">
        <f aca="false">IF(ISNUMBER(AI153),AI153,IFERROR(INDEX(IF(CC_JobType="Decontamination",CC_TypeFillDC,CC_TypeFillCC),MATCH(E153,CC_TypeL,0)),1))</f>
        <v>1</v>
      </c>
      <c r="AU153" s="27" t="n">
        <v>5</v>
      </c>
    </row>
    <row r="154" customFormat="false" ht="15" hidden="false" customHeight="false" outlineLevel="0" collapsed="false">
      <c r="A154" s="36" t="n">
        <v>13</v>
      </c>
      <c r="B154" s="40"/>
      <c r="C154" s="32"/>
      <c r="D154" s="32"/>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1" t="str">
        <f aca="false">IF(E154="Exchanger",IF(AND(ISNUMBER(S154),ISNUMBER(U154),ISNUMBER(V154)),S154*PI()/4*(U154*INDEX(LenF,MATCH($U$7,LenU,0)))^2*V154*INDEX(LenF,MATCH($V$7,LenU,0)),0)+IF(ISNUMBER(Y154),PI()/4*(Y154*INDEX(LenF,MATCH($Y$7,LenU,0)))^2*N(Z154)*INDEX(LenF,MATCH($Z$7,LenU,0))+IF(AA154="",0,IF(AA154="Conical",PI()/12*(Y154*INDEX(LenF,MATCH($Y$7,LenU,0)))^2*(0),INDEX(HeadK,MATCH(AA154,HeadU,0))*(Y154*INDEX(LenF,MATCH($Y$7,LenU,0)))^3)),0)+IF(ISNUMBER(Y154),PI()/4*(Y154*INDEX(LenF,MATCH($Y$7,LenU,0)))^2*N(AB154)*INDEX(LenF,MATCH($AB$7,LenU,0))+IF(AC154="",0,IF(AC154="Conical",PI()/12*(Y154*INDEX(LenF,MATCH($Y$7,LenU,0)))^2*(0),INDEX(HeadK,MATCH(AC154,HeadU,0))*(Y154*INDEX(LenF,MATCH($Y$7,LenU,0)))^3)),0),"")</f>
        <v/>
      </c>
      <c r="AE154" s="41" t="str">
        <f aca="false">IF(OR(E154="",E154="Piping"),"",IF(E154="Exchanger",AQ154*AR154+IF(P154="",0,IF(P154="Conical",PI()/12*(SQRT(4*AQ154/PI()))^2*(0),INDEX(HeadK,MATCH(P154,HeadU,0))*(SQRT(4*AQ154/PI()))^3))-IF(AND(ISNUMBER(S154),ISNUMBER(V154)),S154*PI()/4*AP154^2*V154*INDEX(LenF,MATCH($V$7,LenU,0)),0),IF(ISNUMBER(N154),PI()/4*(N154*INDEX(LenF,MATCH($N$7,LenU,0)))^2*N(O154)*INDEX(LenF,MATCH($O$7,LenU,0))+IF(P154="",0,IF(P154="Conical",PI()/12*(N154*INDEX(LenF,MATCH($N$7,LenU,0)))^2*(N(R154)*INDEX(LenF,MATCH($R$7,LenU,0))),INDEX(HeadK,MATCH(P154,HeadU,0))*(N154*INDEX(LenF,MATCH($N$7,LenU,0)))^3))+IF(Q154="",0,IF(Q154="Conical",PI()/12*(N154*INDEX(LenF,MATCH($N$7,LenU,0)))^2*(N(R154)*INDEX(LenF,MATCH($R$7,LenU,0))),INDEX(HeadK,MATCH(Q154,HeadU,0))*(N154*INDEX(LenF,MATCH($N$7,LenU,0)))^3)),0)))</f>
        <v/>
      </c>
      <c r="AF154" s="41" t="str">
        <f aca="false">IF(E154&lt;&gt;"Piping","",IF(AND(ISNUMBER(AS154),ISNUMBER(M154)),PI()/4*(AS154/1000)^2*M154*INDEX(LenF,MATCH($M$7,LenU,0)),0))</f>
        <v/>
      </c>
      <c r="AG154" s="41" t="str">
        <f aca="false">IF(E154="","",N(AD154)+N(AE154)+N(AF154))</f>
        <v/>
      </c>
      <c r="AH154" s="41" t="str">
        <f aca="false">IF(ISNUMBER(I154),I154*INDEX(WtF,MATCH($I$7,WtU,0))/CC_WaterRho,"")</f>
        <v/>
      </c>
      <c r="AI154" s="31"/>
      <c r="AJ154" s="31"/>
      <c r="AK154" s="40"/>
      <c r="AL154" s="31"/>
      <c r="AM154" s="41" t="str">
        <f aca="false">IF(AO154="","",AO154*IF(ISNUMBER(AK154),AK154,CC_DefFills)*(1+IF(ISNUMBER(AL154),AL154,CC_DefAllow)))</f>
        <v/>
      </c>
      <c r="AN154" s="42" t="str">
        <f aca="false">IF(G154="Given volume",IF(ISNUMBER(H154),H154*INDEX(VolF,MATCH($H$7,VolU,0)),""),IF(G154="Water weight",AH154,IF(N(AG154)=0,"",AG154)))</f>
        <v/>
      </c>
      <c r="AO154" s="42" t="str">
        <f aca="false">IF(N(AN154)=0,"",AN154*AT154*IF(ISNUMBER(AJ154),AJ154,CC_DefCirc))</f>
        <v/>
      </c>
      <c r="AP154" s="27" t="n">
        <f aca="false">IF(ISNUMBER(T154),T154*INDEX(LenF,MATCH($T$7,LenU,0)),IF(ISNUMBER(W154),W154*INDEX(LenF,MATCH($W$7,LenU,0))/CC_PitchRatio,0))</f>
        <v>0</v>
      </c>
      <c r="AQ154" s="27" t="n">
        <f aca="false">IF(ISNUMBER(N154),PI()/4*(N154*INDEX(LenF,MATCH($N$7,LenU,0)))^2,IF(AND(ISNUMBER(S154),ISNUMBER(W154),X154&lt;&gt;""),S154*(W154*INDEX(LenF,MATCH($W$7,LenU,0)))^2*INDEX(LayoutF,MATCH(X154,LayoutU,0)),0))</f>
        <v>0</v>
      </c>
      <c r="AR154" s="27" t="n">
        <f aca="false">IF(ISNUMBER(O154),O154*INDEX(LenF,MATCH($O$7,LenU,0)),IF(ISNUMBER(V154),V154*INDEX(LenF,MATCH($V$7,LenU,0)),0))</f>
        <v>0</v>
      </c>
      <c r="AS154" s="27" t="str">
        <f aca="false">IF(ISNUMBER(L154),L154*INDEX(LenF,MATCH($L$7,LenU,0))*1000,IF(OR(J154="",K154=""),"",IFERROR(IF(INDEX(PipeWT,MATCH(J154,NPSU,0),MATCH(K154,SchU,0))="","Sch n/a",INDEX(PipeOD,MATCH(J154,NPSU,0))-2*INDEX(PipeWT,MATCH(J154,NPSU,0),MATCH(K154,SchU,0))),"")))</f>
        <v/>
      </c>
      <c r="AT154" s="27" t="n">
        <f aca="false">IF(ISNUMBER(AI154),AI154,IFERROR(INDEX(IF(CC_JobType="Decontamination",CC_TypeFillDC,CC_TypeFillCC),MATCH(E154,CC_TypeL,0)),1))</f>
        <v>1</v>
      </c>
      <c r="AU154" s="27" t="n">
        <v>5</v>
      </c>
    </row>
    <row r="155" customFormat="false" ht="15" hidden="false" customHeight="false" outlineLevel="0" collapsed="false">
      <c r="A155" s="36" t="n">
        <v>14</v>
      </c>
      <c r="B155" s="40"/>
      <c r="C155" s="32"/>
      <c r="D155" s="32"/>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1" t="str">
        <f aca="false">IF(E155="Exchanger",IF(AND(ISNUMBER(S155),ISNUMBER(U155),ISNUMBER(V155)),S155*PI()/4*(U155*INDEX(LenF,MATCH($U$7,LenU,0)))^2*V155*INDEX(LenF,MATCH($V$7,LenU,0)),0)+IF(ISNUMBER(Y155),PI()/4*(Y155*INDEX(LenF,MATCH($Y$7,LenU,0)))^2*N(Z155)*INDEX(LenF,MATCH($Z$7,LenU,0))+IF(AA155="",0,IF(AA155="Conical",PI()/12*(Y155*INDEX(LenF,MATCH($Y$7,LenU,0)))^2*(0),INDEX(HeadK,MATCH(AA155,HeadU,0))*(Y155*INDEX(LenF,MATCH($Y$7,LenU,0)))^3)),0)+IF(ISNUMBER(Y155),PI()/4*(Y155*INDEX(LenF,MATCH($Y$7,LenU,0)))^2*N(AB155)*INDEX(LenF,MATCH($AB$7,LenU,0))+IF(AC155="",0,IF(AC155="Conical",PI()/12*(Y155*INDEX(LenF,MATCH($Y$7,LenU,0)))^2*(0),INDEX(HeadK,MATCH(AC155,HeadU,0))*(Y155*INDEX(LenF,MATCH($Y$7,LenU,0)))^3)),0),"")</f>
        <v/>
      </c>
      <c r="AE155" s="41" t="str">
        <f aca="false">IF(OR(E155="",E155="Piping"),"",IF(E155="Exchanger",AQ155*AR155+IF(P155="",0,IF(P155="Conical",PI()/12*(SQRT(4*AQ155/PI()))^2*(0),INDEX(HeadK,MATCH(P155,HeadU,0))*(SQRT(4*AQ155/PI()))^3))-IF(AND(ISNUMBER(S155),ISNUMBER(V155)),S155*PI()/4*AP155^2*V155*INDEX(LenF,MATCH($V$7,LenU,0)),0),IF(ISNUMBER(N155),PI()/4*(N155*INDEX(LenF,MATCH($N$7,LenU,0)))^2*N(O155)*INDEX(LenF,MATCH($O$7,LenU,0))+IF(P155="",0,IF(P155="Conical",PI()/12*(N155*INDEX(LenF,MATCH($N$7,LenU,0)))^2*(N(R155)*INDEX(LenF,MATCH($R$7,LenU,0))),INDEX(HeadK,MATCH(P155,HeadU,0))*(N155*INDEX(LenF,MATCH($N$7,LenU,0)))^3))+IF(Q155="",0,IF(Q155="Conical",PI()/12*(N155*INDEX(LenF,MATCH($N$7,LenU,0)))^2*(N(R155)*INDEX(LenF,MATCH($R$7,LenU,0))),INDEX(HeadK,MATCH(Q155,HeadU,0))*(N155*INDEX(LenF,MATCH($N$7,LenU,0)))^3)),0)))</f>
        <v/>
      </c>
      <c r="AF155" s="41" t="str">
        <f aca="false">IF(E155&lt;&gt;"Piping","",IF(AND(ISNUMBER(AS155),ISNUMBER(M155)),PI()/4*(AS155/1000)^2*M155*INDEX(LenF,MATCH($M$7,LenU,0)),0))</f>
        <v/>
      </c>
      <c r="AG155" s="41" t="str">
        <f aca="false">IF(E155="","",N(AD155)+N(AE155)+N(AF155))</f>
        <v/>
      </c>
      <c r="AH155" s="41" t="str">
        <f aca="false">IF(ISNUMBER(I155),I155*INDEX(WtF,MATCH($I$7,WtU,0))/CC_WaterRho,"")</f>
        <v/>
      </c>
      <c r="AI155" s="31"/>
      <c r="AJ155" s="31"/>
      <c r="AK155" s="40"/>
      <c r="AL155" s="31"/>
      <c r="AM155" s="41" t="str">
        <f aca="false">IF(AO155="","",AO155*IF(ISNUMBER(AK155),AK155,CC_DefFills)*(1+IF(ISNUMBER(AL155),AL155,CC_DefAllow)))</f>
        <v/>
      </c>
      <c r="AN155" s="42" t="str">
        <f aca="false">IF(G155="Given volume",IF(ISNUMBER(H155),H155*INDEX(VolF,MATCH($H$7,VolU,0)),""),IF(G155="Water weight",AH155,IF(N(AG155)=0,"",AG155)))</f>
        <v/>
      </c>
      <c r="AO155" s="42" t="str">
        <f aca="false">IF(N(AN155)=0,"",AN155*AT155*IF(ISNUMBER(AJ155),AJ155,CC_DefCirc))</f>
        <v/>
      </c>
      <c r="AP155" s="27" t="n">
        <f aca="false">IF(ISNUMBER(T155),T155*INDEX(LenF,MATCH($T$7,LenU,0)),IF(ISNUMBER(W155),W155*INDEX(LenF,MATCH($W$7,LenU,0))/CC_PitchRatio,0))</f>
        <v>0</v>
      </c>
      <c r="AQ155" s="27" t="n">
        <f aca="false">IF(ISNUMBER(N155),PI()/4*(N155*INDEX(LenF,MATCH($N$7,LenU,0)))^2,IF(AND(ISNUMBER(S155),ISNUMBER(W155),X155&lt;&gt;""),S155*(W155*INDEX(LenF,MATCH($W$7,LenU,0)))^2*INDEX(LayoutF,MATCH(X155,LayoutU,0)),0))</f>
        <v>0</v>
      </c>
      <c r="AR155" s="27" t="n">
        <f aca="false">IF(ISNUMBER(O155),O155*INDEX(LenF,MATCH($O$7,LenU,0)),IF(ISNUMBER(V155),V155*INDEX(LenF,MATCH($V$7,LenU,0)),0))</f>
        <v>0</v>
      </c>
      <c r="AS155" s="27" t="str">
        <f aca="false">IF(ISNUMBER(L155),L155*INDEX(LenF,MATCH($L$7,LenU,0))*1000,IF(OR(J155="",K155=""),"",IFERROR(IF(INDEX(PipeWT,MATCH(J155,NPSU,0),MATCH(K155,SchU,0))="","Sch n/a",INDEX(PipeOD,MATCH(J155,NPSU,0))-2*INDEX(PipeWT,MATCH(J155,NPSU,0),MATCH(K155,SchU,0))),"")))</f>
        <v/>
      </c>
      <c r="AT155" s="27" t="n">
        <f aca="false">IF(ISNUMBER(AI155),AI155,IFERROR(INDEX(IF(CC_JobType="Decontamination",CC_TypeFillDC,CC_TypeFillCC),MATCH(E155,CC_TypeL,0)),1))</f>
        <v>1</v>
      </c>
      <c r="AU155" s="27" t="n">
        <v>5</v>
      </c>
    </row>
    <row r="156" customFormat="false" ht="15" hidden="false" customHeight="false" outlineLevel="0" collapsed="false">
      <c r="A156" s="36" t="n">
        <v>15</v>
      </c>
      <c r="B156" s="40"/>
      <c r="C156" s="32"/>
      <c r="D156" s="32"/>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1" t="str">
        <f aca="false">IF(E156="Exchanger",IF(AND(ISNUMBER(S156),ISNUMBER(U156),ISNUMBER(V156)),S156*PI()/4*(U156*INDEX(LenF,MATCH($U$7,LenU,0)))^2*V156*INDEX(LenF,MATCH($V$7,LenU,0)),0)+IF(ISNUMBER(Y156),PI()/4*(Y156*INDEX(LenF,MATCH($Y$7,LenU,0)))^2*N(Z156)*INDEX(LenF,MATCH($Z$7,LenU,0))+IF(AA156="",0,IF(AA156="Conical",PI()/12*(Y156*INDEX(LenF,MATCH($Y$7,LenU,0)))^2*(0),INDEX(HeadK,MATCH(AA156,HeadU,0))*(Y156*INDEX(LenF,MATCH($Y$7,LenU,0)))^3)),0)+IF(ISNUMBER(Y156),PI()/4*(Y156*INDEX(LenF,MATCH($Y$7,LenU,0)))^2*N(AB156)*INDEX(LenF,MATCH($AB$7,LenU,0))+IF(AC156="",0,IF(AC156="Conical",PI()/12*(Y156*INDEX(LenF,MATCH($Y$7,LenU,0)))^2*(0),INDEX(HeadK,MATCH(AC156,HeadU,0))*(Y156*INDEX(LenF,MATCH($Y$7,LenU,0)))^3)),0),"")</f>
        <v/>
      </c>
      <c r="AE156" s="41" t="str">
        <f aca="false">IF(OR(E156="",E156="Piping"),"",IF(E156="Exchanger",AQ156*AR156+IF(P156="",0,IF(P156="Conical",PI()/12*(SQRT(4*AQ156/PI()))^2*(0),INDEX(HeadK,MATCH(P156,HeadU,0))*(SQRT(4*AQ156/PI()))^3))-IF(AND(ISNUMBER(S156),ISNUMBER(V156)),S156*PI()/4*AP156^2*V156*INDEX(LenF,MATCH($V$7,LenU,0)),0),IF(ISNUMBER(N156),PI()/4*(N156*INDEX(LenF,MATCH($N$7,LenU,0)))^2*N(O156)*INDEX(LenF,MATCH($O$7,LenU,0))+IF(P156="",0,IF(P156="Conical",PI()/12*(N156*INDEX(LenF,MATCH($N$7,LenU,0)))^2*(N(R156)*INDEX(LenF,MATCH($R$7,LenU,0))),INDEX(HeadK,MATCH(P156,HeadU,0))*(N156*INDEX(LenF,MATCH($N$7,LenU,0)))^3))+IF(Q156="",0,IF(Q156="Conical",PI()/12*(N156*INDEX(LenF,MATCH($N$7,LenU,0)))^2*(N(R156)*INDEX(LenF,MATCH($R$7,LenU,0))),INDEX(HeadK,MATCH(Q156,HeadU,0))*(N156*INDEX(LenF,MATCH($N$7,LenU,0)))^3)),0)))</f>
        <v/>
      </c>
      <c r="AF156" s="41" t="str">
        <f aca="false">IF(E156&lt;&gt;"Piping","",IF(AND(ISNUMBER(AS156),ISNUMBER(M156)),PI()/4*(AS156/1000)^2*M156*INDEX(LenF,MATCH($M$7,LenU,0)),0))</f>
        <v/>
      </c>
      <c r="AG156" s="41" t="str">
        <f aca="false">IF(E156="","",N(AD156)+N(AE156)+N(AF156))</f>
        <v/>
      </c>
      <c r="AH156" s="41" t="str">
        <f aca="false">IF(ISNUMBER(I156),I156*INDEX(WtF,MATCH($I$7,WtU,0))/CC_WaterRho,"")</f>
        <v/>
      </c>
      <c r="AI156" s="31"/>
      <c r="AJ156" s="31"/>
      <c r="AK156" s="40"/>
      <c r="AL156" s="31"/>
      <c r="AM156" s="41" t="str">
        <f aca="false">IF(AO156="","",AO156*IF(ISNUMBER(AK156),AK156,CC_DefFills)*(1+IF(ISNUMBER(AL156),AL156,CC_DefAllow)))</f>
        <v/>
      </c>
      <c r="AN156" s="42" t="str">
        <f aca="false">IF(G156="Given volume",IF(ISNUMBER(H156),H156*INDEX(VolF,MATCH($H$7,VolU,0)),""),IF(G156="Water weight",AH156,IF(N(AG156)=0,"",AG156)))</f>
        <v/>
      </c>
      <c r="AO156" s="42" t="str">
        <f aca="false">IF(N(AN156)=0,"",AN156*AT156*IF(ISNUMBER(AJ156),AJ156,CC_DefCirc))</f>
        <v/>
      </c>
      <c r="AP156" s="27" t="n">
        <f aca="false">IF(ISNUMBER(T156),T156*INDEX(LenF,MATCH($T$7,LenU,0)),IF(ISNUMBER(W156),W156*INDEX(LenF,MATCH($W$7,LenU,0))/CC_PitchRatio,0))</f>
        <v>0</v>
      </c>
      <c r="AQ156" s="27" t="n">
        <f aca="false">IF(ISNUMBER(N156),PI()/4*(N156*INDEX(LenF,MATCH($N$7,LenU,0)))^2,IF(AND(ISNUMBER(S156),ISNUMBER(W156),X156&lt;&gt;""),S156*(W156*INDEX(LenF,MATCH($W$7,LenU,0)))^2*INDEX(LayoutF,MATCH(X156,LayoutU,0)),0))</f>
        <v>0</v>
      </c>
      <c r="AR156" s="27" t="n">
        <f aca="false">IF(ISNUMBER(O156),O156*INDEX(LenF,MATCH($O$7,LenU,0)),IF(ISNUMBER(V156),V156*INDEX(LenF,MATCH($V$7,LenU,0)),0))</f>
        <v>0</v>
      </c>
      <c r="AS156" s="27" t="str">
        <f aca="false">IF(ISNUMBER(L156),L156*INDEX(LenF,MATCH($L$7,LenU,0))*1000,IF(OR(J156="",K156=""),"",IFERROR(IF(INDEX(PipeWT,MATCH(J156,NPSU,0),MATCH(K156,SchU,0))="","Sch n/a",INDEX(PipeOD,MATCH(J156,NPSU,0))-2*INDEX(PipeWT,MATCH(J156,NPSU,0),MATCH(K156,SchU,0))),"")))</f>
        <v/>
      </c>
      <c r="AT156" s="27" t="n">
        <f aca="false">IF(ISNUMBER(AI156),AI156,IFERROR(INDEX(IF(CC_JobType="Decontamination",CC_TypeFillDC,CC_TypeFillCC),MATCH(E156,CC_TypeL,0)),1))</f>
        <v>1</v>
      </c>
      <c r="AU156" s="27" t="n">
        <v>5</v>
      </c>
    </row>
    <row r="157" customFormat="false" ht="15" hidden="false" customHeight="false" outlineLevel="0" collapsed="false">
      <c r="A157" s="36" t="n">
        <v>16</v>
      </c>
      <c r="B157" s="40"/>
      <c r="C157" s="32"/>
      <c r="D157" s="32"/>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1" t="str">
        <f aca="false">IF(E157="Exchanger",IF(AND(ISNUMBER(S157),ISNUMBER(U157),ISNUMBER(V157)),S157*PI()/4*(U157*INDEX(LenF,MATCH($U$7,LenU,0)))^2*V157*INDEX(LenF,MATCH($V$7,LenU,0)),0)+IF(ISNUMBER(Y157),PI()/4*(Y157*INDEX(LenF,MATCH($Y$7,LenU,0)))^2*N(Z157)*INDEX(LenF,MATCH($Z$7,LenU,0))+IF(AA157="",0,IF(AA157="Conical",PI()/12*(Y157*INDEX(LenF,MATCH($Y$7,LenU,0)))^2*(0),INDEX(HeadK,MATCH(AA157,HeadU,0))*(Y157*INDEX(LenF,MATCH($Y$7,LenU,0)))^3)),0)+IF(ISNUMBER(Y157),PI()/4*(Y157*INDEX(LenF,MATCH($Y$7,LenU,0)))^2*N(AB157)*INDEX(LenF,MATCH($AB$7,LenU,0))+IF(AC157="",0,IF(AC157="Conical",PI()/12*(Y157*INDEX(LenF,MATCH($Y$7,LenU,0)))^2*(0),INDEX(HeadK,MATCH(AC157,HeadU,0))*(Y157*INDEX(LenF,MATCH($Y$7,LenU,0)))^3)),0),"")</f>
        <v/>
      </c>
      <c r="AE157" s="41" t="str">
        <f aca="false">IF(OR(E157="",E157="Piping"),"",IF(E157="Exchanger",AQ157*AR157+IF(P157="",0,IF(P157="Conical",PI()/12*(SQRT(4*AQ157/PI()))^2*(0),INDEX(HeadK,MATCH(P157,HeadU,0))*(SQRT(4*AQ157/PI()))^3))-IF(AND(ISNUMBER(S157),ISNUMBER(V157)),S157*PI()/4*AP157^2*V157*INDEX(LenF,MATCH($V$7,LenU,0)),0),IF(ISNUMBER(N157),PI()/4*(N157*INDEX(LenF,MATCH($N$7,LenU,0)))^2*N(O157)*INDEX(LenF,MATCH($O$7,LenU,0))+IF(P157="",0,IF(P157="Conical",PI()/12*(N157*INDEX(LenF,MATCH($N$7,LenU,0)))^2*(N(R157)*INDEX(LenF,MATCH($R$7,LenU,0))),INDEX(HeadK,MATCH(P157,HeadU,0))*(N157*INDEX(LenF,MATCH($N$7,LenU,0)))^3))+IF(Q157="",0,IF(Q157="Conical",PI()/12*(N157*INDEX(LenF,MATCH($N$7,LenU,0)))^2*(N(R157)*INDEX(LenF,MATCH($R$7,LenU,0))),INDEX(HeadK,MATCH(Q157,HeadU,0))*(N157*INDEX(LenF,MATCH($N$7,LenU,0)))^3)),0)))</f>
        <v/>
      </c>
      <c r="AF157" s="41" t="str">
        <f aca="false">IF(E157&lt;&gt;"Piping","",IF(AND(ISNUMBER(AS157),ISNUMBER(M157)),PI()/4*(AS157/1000)^2*M157*INDEX(LenF,MATCH($M$7,LenU,0)),0))</f>
        <v/>
      </c>
      <c r="AG157" s="41" t="str">
        <f aca="false">IF(E157="","",N(AD157)+N(AE157)+N(AF157))</f>
        <v/>
      </c>
      <c r="AH157" s="41" t="str">
        <f aca="false">IF(ISNUMBER(I157),I157*INDEX(WtF,MATCH($I$7,WtU,0))/CC_WaterRho,"")</f>
        <v/>
      </c>
      <c r="AI157" s="31"/>
      <c r="AJ157" s="31"/>
      <c r="AK157" s="40"/>
      <c r="AL157" s="31"/>
      <c r="AM157" s="41" t="str">
        <f aca="false">IF(AO157="","",AO157*IF(ISNUMBER(AK157),AK157,CC_DefFills)*(1+IF(ISNUMBER(AL157),AL157,CC_DefAllow)))</f>
        <v/>
      </c>
      <c r="AN157" s="42" t="str">
        <f aca="false">IF(G157="Given volume",IF(ISNUMBER(H157),H157*INDEX(VolF,MATCH($H$7,VolU,0)),""),IF(G157="Water weight",AH157,IF(N(AG157)=0,"",AG157)))</f>
        <v/>
      </c>
      <c r="AO157" s="42" t="str">
        <f aca="false">IF(N(AN157)=0,"",AN157*AT157*IF(ISNUMBER(AJ157),AJ157,CC_DefCirc))</f>
        <v/>
      </c>
      <c r="AP157" s="27" t="n">
        <f aca="false">IF(ISNUMBER(T157),T157*INDEX(LenF,MATCH($T$7,LenU,0)),IF(ISNUMBER(W157),W157*INDEX(LenF,MATCH($W$7,LenU,0))/CC_PitchRatio,0))</f>
        <v>0</v>
      </c>
      <c r="AQ157" s="27" t="n">
        <f aca="false">IF(ISNUMBER(N157),PI()/4*(N157*INDEX(LenF,MATCH($N$7,LenU,0)))^2,IF(AND(ISNUMBER(S157),ISNUMBER(W157),X157&lt;&gt;""),S157*(W157*INDEX(LenF,MATCH($W$7,LenU,0)))^2*INDEX(LayoutF,MATCH(X157,LayoutU,0)),0))</f>
        <v>0</v>
      </c>
      <c r="AR157" s="27" t="n">
        <f aca="false">IF(ISNUMBER(O157),O157*INDEX(LenF,MATCH($O$7,LenU,0)),IF(ISNUMBER(V157),V157*INDEX(LenF,MATCH($V$7,LenU,0)),0))</f>
        <v>0</v>
      </c>
      <c r="AS157" s="27" t="str">
        <f aca="false">IF(ISNUMBER(L157),L157*INDEX(LenF,MATCH($L$7,LenU,0))*1000,IF(OR(J157="",K157=""),"",IFERROR(IF(INDEX(PipeWT,MATCH(J157,NPSU,0),MATCH(K157,SchU,0))="","Sch n/a",INDEX(PipeOD,MATCH(J157,NPSU,0))-2*INDEX(PipeWT,MATCH(J157,NPSU,0),MATCH(K157,SchU,0))),"")))</f>
        <v/>
      </c>
      <c r="AT157" s="27" t="n">
        <f aca="false">IF(ISNUMBER(AI157),AI157,IFERROR(INDEX(IF(CC_JobType="Decontamination",CC_TypeFillDC,CC_TypeFillCC),MATCH(E157,CC_TypeL,0)),1))</f>
        <v>1</v>
      </c>
      <c r="AU157" s="27" t="n">
        <v>5</v>
      </c>
    </row>
    <row r="158" customFormat="false" ht="15" hidden="false" customHeight="false" outlineLevel="0" collapsed="false">
      <c r="A158" s="36" t="n">
        <v>17</v>
      </c>
      <c r="B158" s="40"/>
      <c r="C158" s="32"/>
      <c r="D158" s="32"/>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1" t="str">
        <f aca="false">IF(E158="Exchanger",IF(AND(ISNUMBER(S158),ISNUMBER(U158),ISNUMBER(V158)),S158*PI()/4*(U158*INDEX(LenF,MATCH($U$7,LenU,0)))^2*V158*INDEX(LenF,MATCH($V$7,LenU,0)),0)+IF(ISNUMBER(Y158),PI()/4*(Y158*INDEX(LenF,MATCH($Y$7,LenU,0)))^2*N(Z158)*INDEX(LenF,MATCH($Z$7,LenU,0))+IF(AA158="",0,IF(AA158="Conical",PI()/12*(Y158*INDEX(LenF,MATCH($Y$7,LenU,0)))^2*(0),INDEX(HeadK,MATCH(AA158,HeadU,0))*(Y158*INDEX(LenF,MATCH($Y$7,LenU,0)))^3)),0)+IF(ISNUMBER(Y158),PI()/4*(Y158*INDEX(LenF,MATCH($Y$7,LenU,0)))^2*N(AB158)*INDEX(LenF,MATCH($AB$7,LenU,0))+IF(AC158="",0,IF(AC158="Conical",PI()/12*(Y158*INDEX(LenF,MATCH($Y$7,LenU,0)))^2*(0),INDEX(HeadK,MATCH(AC158,HeadU,0))*(Y158*INDEX(LenF,MATCH($Y$7,LenU,0)))^3)),0),"")</f>
        <v/>
      </c>
      <c r="AE158" s="41" t="str">
        <f aca="false">IF(OR(E158="",E158="Piping"),"",IF(E158="Exchanger",AQ158*AR158+IF(P158="",0,IF(P158="Conical",PI()/12*(SQRT(4*AQ158/PI()))^2*(0),INDEX(HeadK,MATCH(P158,HeadU,0))*(SQRT(4*AQ158/PI()))^3))-IF(AND(ISNUMBER(S158),ISNUMBER(V158)),S158*PI()/4*AP158^2*V158*INDEX(LenF,MATCH($V$7,LenU,0)),0),IF(ISNUMBER(N158),PI()/4*(N158*INDEX(LenF,MATCH($N$7,LenU,0)))^2*N(O158)*INDEX(LenF,MATCH($O$7,LenU,0))+IF(P158="",0,IF(P158="Conical",PI()/12*(N158*INDEX(LenF,MATCH($N$7,LenU,0)))^2*(N(R158)*INDEX(LenF,MATCH($R$7,LenU,0))),INDEX(HeadK,MATCH(P158,HeadU,0))*(N158*INDEX(LenF,MATCH($N$7,LenU,0)))^3))+IF(Q158="",0,IF(Q158="Conical",PI()/12*(N158*INDEX(LenF,MATCH($N$7,LenU,0)))^2*(N(R158)*INDEX(LenF,MATCH($R$7,LenU,0))),INDEX(HeadK,MATCH(Q158,HeadU,0))*(N158*INDEX(LenF,MATCH($N$7,LenU,0)))^3)),0)))</f>
        <v/>
      </c>
      <c r="AF158" s="41" t="str">
        <f aca="false">IF(E158&lt;&gt;"Piping","",IF(AND(ISNUMBER(AS158),ISNUMBER(M158)),PI()/4*(AS158/1000)^2*M158*INDEX(LenF,MATCH($M$7,LenU,0)),0))</f>
        <v/>
      </c>
      <c r="AG158" s="41" t="str">
        <f aca="false">IF(E158="","",N(AD158)+N(AE158)+N(AF158))</f>
        <v/>
      </c>
      <c r="AH158" s="41" t="str">
        <f aca="false">IF(ISNUMBER(I158),I158*INDEX(WtF,MATCH($I$7,WtU,0))/CC_WaterRho,"")</f>
        <v/>
      </c>
      <c r="AI158" s="31"/>
      <c r="AJ158" s="31"/>
      <c r="AK158" s="40"/>
      <c r="AL158" s="31"/>
      <c r="AM158" s="41" t="str">
        <f aca="false">IF(AO158="","",AO158*IF(ISNUMBER(AK158),AK158,CC_DefFills)*(1+IF(ISNUMBER(AL158),AL158,CC_DefAllow)))</f>
        <v/>
      </c>
      <c r="AN158" s="42" t="str">
        <f aca="false">IF(G158="Given volume",IF(ISNUMBER(H158),H158*INDEX(VolF,MATCH($H$7,VolU,0)),""),IF(G158="Water weight",AH158,IF(N(AG158)=0,"",AG158)))</f>
        <v/>
      </c>
      <c r="AO158" s="42" t="str">
        <f aca="false">IF(N(AN158)=0,"",AN158*AT158*IF(ISNUMBER(AJ158),AJ158,CC_DefCirc))</f>
        <v/>
      </c>
      <c r="AP158" s="27" t="n">
        <f aca="false">IF(ISNUMBER(T158),T158*INDEX(LenF,MATCH($T$7,LenU,0)),IF(ISNUMBER(W158),W158*INDEX(LenF,MATCH($W$7,LenU,0))/CC_PitchRatio,0))</f>
        <v>0</v>
      </c>
      <c r="AQ158" s="27" t="n">
        <f aca="false">IF(ISNUMBER(N158),PI()/4*(N158*INDEX(LenF,MATCH($N$7,LenU,0)))^2,IF(AND(ISNUMBER(S158),ISNUMBER(W158),X158&lt;&gt;""),S158*(W158*INDEX(LenF,MATCH($W$7,LenU,0)))^2*INDEX(LayoutF,MATCH(X158,LayoutU,0)),0))</f>
        <v>0</v>
      </c>
      <c r="AR158" s="27" t="n">
        <f aca="false">IF(ISNUMBER(O158),O158*INDEX(LenF,MATCH($O$7,LenU,0)),IF(ISNUMBER(V158),V158*INDEX(LenF,MATCH($V$7,LenU,0)),0))</f>
        <v>0</v>
      </c>
      <c r="AS158" s="27" t="str">
        <f aca="false">IF(ISNUMBER(L158),L158*INDEX(LenF,MATCH($L$7,LenU,0))*1000,IF(OR(J158="",K158=""),"",IFERROR(IF(INDEX(PipeWT,MATCH(J158,NPSU,0),MATCH(K158,SchU,0))="","Sch n/a",INDEX(PipeOD,MATCH(J158,NPSU,0))-2*INDEX(PipeWT,MATCH(J158,NPSU,0),MATCH(K158,SchU,0))),"")))</f>
        <v/>
      </c>
      <c r="AT158" s="27" t="n">
        <f aca="false">IF(ISNUMBER(AI158),AI158,IFERROR(INDEX(IF(CC_JobType="Decontamination",CC_TypeFillDC,CC_TypeFillCC),MATCH(E158,CC_TypeL,0)),1))</f>
        <v>1</v>
      </c>
      <c r="AU158" s="27" t="n">
        <v>5</v>
      </c>
    </row>
    <row r="159" customFormat="false" ht="15" hidden="false" customHeight="false" outlineLevel="0" collapsed="false">
      <c r="A159" s="36" t="n">
        <v>18</v>
      </c>
      <c r="B159" s="40"/>
      <c r="C159" s="32"/>
      <c r="D159" s="32"/>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1" t="str">
        <f aca="false">IF(E159="Exchanger",IF(AND(ISNUMBER(S159),ISNUMBER(U159),ISNUMBER(V159)),S159*PI()/4*(U159*INDEX(LenF,MATCH($U$7,LenU,0)))^2*V159*INDEX(LenF,MATCH($V$7,LenU,0)),0)+IF(ISNUMBER(Y159),PI()/4*(Y159*INDEX(LenF,MATCH($Y$7,LenU,0)))^2*N(Z159)*INDEX(LenF,MATCH($Z$7,LenU,0))+IF(AA159="",0,IF(AA159="Conical",PI()/12*(Y159*INDEX(LenF,MATCH($Y$7,LenU,0)))^2*(0),INDEX(HeadK,MATCH(AA159,HeadU,0))*(Y159*INDEX(LenF,MATCH($Y$7,LenU,0)))^3)),0)+IF(ISNUMBER(Y159),PI()/4*(Y159*INDEX(LenF,MATCH($Y$7,LenU,0)))^2*N(AB159)*INDEX(LenF,MATCH($AB$7,LenU,0))+IF(AC159="",0,IF(AC159="Conical",PI()/12*(Y159*INDEX(LenF,MATCH($Y$7,LenU,0)))^2*(0),INDEX(HeadK,MATCH(AC159,HeadU,0))*(Y159*INDEX(LenF,MATCH($Y$7,LenU,0)))^3)),0),"")</f>
        <v/>
      </c>
      <c r="AE159" s="41" t="str">
        <f aca="false">IF(OR(E159="",E159="Piping"),"",IF(E159="Exchanger",AQ159*AR159+IF(P159="",0,IF(P159="Conical",PI()/12*(SQRT(4*AQ159/PI()))^2*(0),INDEX(HeadK,MATCH(P159,HeadU,0))*(SQRT(4*AQ159/PI()))^3))-IF(AND(ISNUMBER(S159),ISNUMBER(V159)),S159*PI()/4*AP159^2*V159*INDEX(LenF,MATCH($V$7,LenU,0)),0),IF(ISNUMBER(N159),PI()/4*(N159*INDEX(LenF,MATCH($N$7,LenU,0)))^2*N(O159)*INDEX(LenF,MATCH($O$7,LenU,0))+IF(P159="",0,IF(P159="Conical",PI()/12*(N159*INDEX(LenF,MATCH($N$7,LenU,0)))^2*(N(R159)*INDEX(LenF,MATCH($R$7,LenU,0))),INDEX(HeadK,MATCH(P159,HeadU,0))*(N159*INDEX(LenF,MATCH($N$7,LenU,0)))^3))+IF(Q159="",0,IF(Q159="Conical",PI()/12*(N159*INDEX(LenF,MATCH($N$7,LenU,0)))^2*(N(R159)*INDEX(LenF,MATCH($R$7,LenU,0))),INDEX(HeadK,MATCH(Q159,HeadU,0))*(N159*INDEX(LenF,MATCH($N$7,LenU,0)))^3)),0)))</f>
        <v/>
      </c>
      <c r="AF159" s="41" t="str">
        <f aca="false">IF(E159&lt;&gt;"Piping","",IF(AND(ISNUMBER(AS159),ISNUMBER(M159)),PI()/4*(AS159/1000)^2*M159*INDEX(LenF,MATCH($M$7,LenU,0)),0))</f>
        <v/>
      </c>
      <c r="AG159" s="41" t="str">
        <f aca="false">IF(E159="","",N(AD159)+N(AE159)+N(AF159))</f>
        <v/>
      </c>
      <c r="AH159" s="41" t="str">
        <f aca="false">IF(ISNUMBER(I159),I159*INDEX(WtF,MATCH($I$7,WtU,0))/CC_WaterRho,"")</f>
        <v/>
      </c>
      <c r="AI159" s="31"/>
      <c r="AJ159" s="31"/>
      <c r="AK159" s="40"/>
      <c r="AL159" s="31"/>
      <c r="AM159" s="41" t="str">
        <f aca="false">IF(AO159="","",AO159*IF(ISNUMBER(AK159),AK159,CC_DefFills)*(1+IF(ISNUMBER(AL159),AL159,CC_DefAllow)))</f>
        <v/>
      </c>
      <c r="AN159" s="42" t="str">
        <f aca="false">IF(G159="Given volume",IF(ISNUMBER(H159),H159*INDEX(VolF,MATCH($H$7,VolU,0)),""),IF(G159="Water weight",AH159,IF(N(AG159)=0,"",AG159)))</f>
        <v/>
      </c>
      <c r="AO159" s="42" t="str">
        <f aca="false">IF(N(AN159)=0,"",AN159*AT159*IF(ISNUMBER(AJ159),AJ159,CC_DefCirc))</f>
        <v/>
      </c>
      <c r="AP159" s="27" t="n">
        <f aca="false">IF(ISNUMBER(T159),T159*INDEX(LenF,MATCH($T$7,LenU,0)),IF(ISNUMBER(W159),W159*INDEX(LenF,MATCH($W$7,LenU,0))/CC_PitchRatio,0))</f>
        <v>0</v>
      </c>
      <c r="AQ159" s="27" t="n">
        <f aca="false">IF(ISNUMBER(N159),PI()/4*(N159*INDEX(LenF,MATCH($N$7,LenU,0)))^2,IF(AND(ISNUMBER(S159),ISNUMBER(W159),X159&lt;&gt;""),S159*(W159*INDEX(LenF,MATCH($W$7,LenU,0)))^2*INDEX(LayoutF,MATCH(X159,LayoutU,0)),0))</f>
        <v>0</v>
      </c>
      <c r="AR159" s="27" t="n">
        <f aca="false">IF(ISNUMBER(O159),O159*INDEX(LenF,MATCH($O$7,LenU,0)),IF(ISNUMBER(V159),V159*INDEX(LenF,MATCH($V$7,LenU,0)),0))</f>
        <v>0</v>
      </c>
      <c r="AS159" s="27" t="str">
        <f aca="false">IF(ISNUMBER(L159),L159*INDEX(LenF,MATCH($L$7,LenU,0))*1000,IF(OR(J159="",K159=""),"",IFERROR(IF(INDEX(PipeWT,MATCH(J159,NPSU,0),MATCH(K159,SchU,0))="","Sch n/a",INDEX(PipeOD,MATCH(J159,NPSU,0))-2*INDEX(PipeWT,MATCH(J159,NPSU,0),MATCH(K159,SchU,0))),"")))</f>
        <v/>
      </c>
      <c r="AT159" s="27" t="n">
        <f aca="false">IF(ISNUMBER(AI159),AI159,IFERROR(INDEX(IF(CC_JobType="Decontamination",CC_TypeFillDC,CC_TypeFillCC),MATCH(E159,CC_TypeL,0)),1))</f>
        <v>1</v>
      </c>
      <c r="AU159" s="27" t="n">
        <v>5</v>
      </c>
    </row>
    <row r="160" customFormat="false" ht="15" hidden="false" customHeight="false" outlineLevel="0" collapsed="false">
      <c r="A160" s="36" t="n">
        <v>19</v>
      </c>
      <c r="B160" s="40"/>
      <c r="C160" s="32"/>
      <c r="D160" s="32"/>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1" t="str">
        <f aca="false">IF(E160="Exchanger",IF(AND(ISNUMBER(S160),ISNUMBER(U160),ISNUMBER(V160)),S160*PI()/4*(U160*INDEX(LenF,MATCH($U$7,LenU,0)))^2*V160*INDEX(LenF,MATCH($V$7,LenU,0)),0)+IF(ISNUMBER(Y160),PI()/4*(Y160*INDEX(LenF,MATCH($Y$7,LenU,0)))^2*N(Z160)*INDEX(LenF,MATCH($Z$7,LenU,0))+IF(AA160="",0,IF(AA160="Conical",PI()/12*(Y160*INDEX(LenF,MATCH($Y$7,LenU,0)))^2*(0),INDEX(HeadK,MATCH(AA160,HeadU,0))*(Y160*INDEX(LenF,MATCH($Y$7,LenU,0)))^3)),0)+IF(ISNUMBER(Y160),PI()/4*(Y160*INDEX(LenF,MATCH($Y$7,LenU,0)))^2*N(AB160)*INDEX(LenF,MATCH($AB$7,LenU,0))+IF(AC160="",0,IF(AC160="Conical",PI()/12*(Y160*INDEX(LenF,MATCH($Y$7,LenU,0)))^2*(0),INDEX(HeadK,MATCH(AC160,HeadU,0))*(Y160*INDEX(LenF,MATCH($Y$7,LenU,0)))^3)),0),"")</f>
        <v/>
      </c>
      <c r="AE160" s="41" t="str">
        <f aca="false">IF(OR(E160="",E160="Piping"),"",IF(E160="Exchanger",AQ160*AR160+IF(P160="",0,IF(P160="Conical",PI()/12*(SQRT(4*AQ160/PI()))^2*(0),INDEX(HeadK,MATCH(P160,HeadU,0))*(SQRT(4*AQ160/PI()))^3))-IF(AND(ISNUMBER(S160),ISNUMBER(V160)),S160*PI()/4*AP160^2*V160*INDEX(LenF,MATCH($V$7,LenU,0)),0),IF(ISNUMBER(N160),PI()/4*(N160*INDEX(LenF,MATCH($N$7,LenU,0)))^2*N(O160)*INDEX(LenF,MATCH($O$7,LenU,0))+IF(P160="",0,IF(P160="Conical",PI()/12*(N160*INDEX(LenF,MATCH($N$7,LenU,0)))^2*(N(R160)*INDEX(LenF,MATCH($R$7,LenU,0))),INDEX(HeadK,MATCH(P160,HeadU,0))*(N160*INDEX(LenF,MATCH($N$7,LenU,0)))^3))+IF(Q160="",0,IF(Q160="Conical",PI()/12*(N160*INDEX(LenF,MATCH($N$7,LenU,0)))^2*(N(R160)*INDEX(LenF,MATCH($R$7,LenU,0))),INDEX(HeadK,MATCH(Q160,HeadU,0))*(N160*INDEX(LenF,MATCH($N$7,LenU,0)))^3)),0)))</f>
        <v/>
      </c>
      <c r="AF160" s="41" t="str">
        <f aca="false">IF(E160&lt;&gt;"Piping","",IF(AND(ISNUMBER(AS160),ISNUMBER(M160)),PI()/4*(AS160/1000)^2*M160*INDEX(LenF,MATCH($M$7,LenU,0)),0))</f>
        <v/>
      </c>
      <c r="AG160" s="41" t="str">
        <f aca="false">IF(E160="","",N(AD160)+N(AE160)+N(AF160))</f>
        <v/>
      </c>
      <c r="AH160" s="41" t="str">
        <f aca="false">IF(ISNUMBER(I160),I160*INDEX(WtF,MATCH($I$7,WtU,0))/CC_WaterRho,"")</f>
        <v/>
      </c>
      <c r="AI160" s="31"/>
      <c r="AJ160" s="31"/>
      <c r="AK160" s="40"/>
      <c r="AL160" s="31"/>
      <c r="AM160" s="41" t="str">
        <f aca="false">IF(AO160="","",AO160*IF(ISNUMBER(AK160),AK160,CC_DefFills)*(1+IF(ISNUMBER(AL160),AL160,CC_DefAllow)))</f>
        <v/>
      </c>
      <c r="AN160" s="42" t="str">
        <f aca="false">IF(G160="Given volume",IF(ISNUMBER(H160),H160*INDEX(VolF,MATCH($H$7,VolU,0)),""),IF(G160="Water weight",AH160,IF(N(AG160)=0,"",AG160)))</f>
        <v/>
      </c>
      <c r="AO160" s="42" t="str">
        <f aca="false">IF(N(AN160)=0,"",AN160*AT160*IF(ISNUMBER(AJ160),AJ160,CC_DefCirc))</f>
        <v/>
      </c>
      <c r="AP160" s="27" t="n">
        <f aca="false">IF(ISNUMBER(T160),T160*INDEX(LenF,MATCH($T$7,LenU,0)),IF(ISNUMBER(W160),W160*INDEX(LenF,MATCH($W$7,LenU,0))/CC_PitchRatio,0))</f>
        <v>0</v>
      </c>
      <c r="AQ160" s="27" t="n">
        <f aca="false">IF(ISNUMBER(N160),PI()/4*(N160*INDEX(LenF,MATCH($N$7,LenU,0)))^2,IF(AND(ISNUMBER(S160),ISNUMBER(W160),X160&lt;&gt;""),S160*(W160*INDEX(LenF,MATCH($W$7,LenU,0)))^2*INDEX(LayoutF,MATCH(X160,LayoutU,0)),0))</f>
        <v>0</v>
      </c>
      <c r="AR160" s="27" t="n">
        <f aca="false">IF(ISNUMBER(O160),O160*INDEX(LenF,MATCH($O$7,LenU,0)),IF(ISNUMBER(V160),V160*INDEX(LenF,MATCH($V$7,LenU,0)),0))</f>
        <v>0</v>
      </c>
      <c r="AS160" s="27" t="str">
        <f aca="false">IF(ISNUMBER(L160),L160*INDEX(LenF,MATCH($L$7,LenU,0))*1000,IF(OR(J160="",K160=""),"",IFERROR(IF(INDEX(PipeWT,MATCH(J160,NPSU,0),MATCH(K160,SchU,0))="","Sch n/a",INDEX(PipeOD,MATCH(J160,NPSU,0))-2*INDEX(PipeWT,MATCH(J160,NPSU,0),MATCH(K160,SchU,0))),"")))</f>
        <v/>
      </c>
      <c r="AT160" s="27" t="n">
        <f aca="false">IF(ISNUMBER(AI160),AI160,IFERROR(INDEX(IF(CC_JobType="Decontamination",CC_TypeFillDC,CC_TypeFillCC),MATCH(E160,CC_TypeL,0)),1))</f>
        <v>1</v>
      </c>
      <c r="AU160" s="27" t="n">
        <v>5</v>
      </c>
    </row>
    <row r="161" customFormat="false" ht="15" hidden="false" customHeight="false" outlineLevel="0" collapsed="false">
      <c r="A161" s="36" t="n">
        <v>20</v>
      </c>
      <c r="B161" s="40"/>
      <c r="C161" s="32"/>
      <c r="D161" s="32"/>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1" t="str">
        <f aca="false">IF(E161="Exchanger",IF(AND(ISNUMBER(S161),ISNUMBER(U161),ISNUMBER(V161)),S161*PI()/4*(U161*INDEX(LenF,MATCH($U$7,LenU,0)))^2*V161*INDEX(LenF,MATCH($V$7,LenU,0)),0)+IF(ISNUMBER(Y161),PI()/4*(Y161*INDEX(LenF,MATCH($Y$7,LenU,0)))^2*N(Z161)*INDEX(LenF,MATCH($Z$7,LenU,0))+IF(AA161="",0,IF(AA161="Conical",PI()/12*(Y161*INDEX(LenF,MATCH($Y$7,LenU,0)))^2*(0),INDEX(HeadK,MATCH(AA161,HeadU,0))*(Y161*INDEX(LenF,MATCH($Y$7,LenU,0)))^3)),0)+IF(ISNUMBER(Y161),PI()/4*(Y161*INDEX(LenF,MATCH($Y$7,LenU,0)))^2*N(AB161)*INDEX(LenF,MATCH($AB$7,LenU,0))+IF(AC161="",0,IF(AC161="Conical",PI()/12*(Y161*INDEX(LenF,MATCH($Y$7,LenU,0)))^2*(0),INDEX(HeadK,MATCH(AC161,HeadU,0))*(Y161*INDEX(LenF,MATCH($Y$7,LenU,0)))^3)),0),"")</f>
        <v/>
      </c>
      <c r="AE161" s="41" t="str">
        <f aca="false">IF(OR(E161="",E161="Piping"),"",IF(E161="Exchanger",AQ161*AR161+IF(P161="",0,IF(P161="Conical",PI()/12*(SQRT(4*AQ161/PI()))^2*(0),INDEX(HeadK,MATCH(P161,HeadU,0))*(SQRT(4*AQ161/PI()))^3))-IF(AND(ISNUMBER(S161),ISNUMBER(V161)),S161*PI()/4*AP161^2*V161*INDEX(LenF,MATCH($V$7,LenU,0)),0),IF(ISNUMBER(N161),PI()/4*(N161*INDEX(LenF,MATCH($N$7,LenU,0)))^2*N(O161)*INDEX(LenF,MATCH($O$7,LenU,0))+IF(P161="",0,IF(P161="Conical",PI()/12*(N161*INDEX(LenF,MATCH($N$7,LenU,0)))^2*(N(R161)*INDEX(LenF,MATCH($R$7,LenU,0))),INDEX(HeadK,MATCH(P161,HeadU,0))*(N161*INDEX(LenF,MATCH($N$7,LenU,0)))^3))+IF(Q161="",0,IF(Q161="Conical",PI()/12*(N161*INDEX(LenF,MATCH($N$7,LenU,0)))^2*(N(R161)*INDEX(LenF,MATCH($R$7,LenU,0))),INDEX(HeadK,MATCH(Q161,HeadU,0))*(N161*INDEX(LenF,MATCH($N$7,LenU,0)))^3)),0)))</f>
        <v/>
      </c>
      <c r="AF161" s="41" t="str">
        <f aca="false">IF(E161&lt;&gt;"Piping","",IF(AND(ISNUMBER(AS161),ISNUMBER(M161)),PI()/4*(AS161/1000)^2*M161*INDEX(LenF,MATCH($M$7,LenU,0)),0))</f>
        <v/>
      </c>
      <c r="AG161" s="41" t="str">
        <f aca="false">IF(E161="","",N(AD161)+N(AE161)+N(AF161))</f>
        <v/>
      </c>
      <c r="AH161" s="41" t="str">
        <f aca="false">IF(ISNUMBER(I161),I161*INDEX(WtF,MATCH($I$7,WtU,0))/CC_WaterRho,"")</f>
        <v/>
      </c>
      <c r="AI161" s="31"/>
      <c r="AJ161" s="31"/>
      <c r="AK161" s="40"/>
      <c r="AL161" s="31"/>
      <c r="AM161" s="41" t="str">
        <f aca="false">IF(AO161="","",AO161*IF(ISNUMBER(AK161),AK161,CC_DefFills)*(1+IF(ISNUMBER(AL161),AL161,CC_DefAllow)))</f>
        <v/>
      </c>
      <c r="AN161" s="42" t="str">
        <f aca="false">IF(G161="Given volume",IF(ISNUMBER(H161),H161*INDEX(VolF,MATCH($H$7,VolU,0)),""),IF(G161="Water weight",AH161,IF(N(AG161)=0,"",AG161)))</f>
        <v/>
      </c>
      <c r="AO161" s="42" t="str">
        <f aca="false">IF(N(AN161)=0,"",AN161*AT161*IF(ISNUMBER(AJ161),AJ161,CC_DefCirc))</f>
        <v/>
      </c>
      <c r="AP161" s="27" t="n">
        <f aca="false">IF(ISNUMBER(T161),T161*INDEX(LenF,MATCH($T$7,LenU,0)),IF(ISNUMBER(W161),W161*INDEX(LenF,MATCH($W$7,LenU,0))/CC_PitchRatio,0))</f>
        <v>0</v>
      </c>
      <c r="AQ161" s="27" t="n">
        <f aca="false">IF(ISNUMBER(N161),PI()/4*(N161*INDEX(LenF,MATCH($N$7,LenU,0)))^2,IF(AND(ISNUMBER(S161),ISNUMBER(W161),X161&lt;&gt;""),S161*(W161*INDEX(LenF,MATCH($W$7,LenU,0)))^2*INDEX(LayoutF,MATCH(X161,LayoutU,0)),0))</f>
        <v>0</v>
      </c>
      <c r="AR161" s="27" t="n">
        <f aca="false">IF(ISNUMBER(O161),O161*INDEX(LenF,MATCH($O$7,LenU,0)),IF(ISNUMBER(V161),V161*INDEX(LenF,MATCH($V$7,LenU,0)),0))</f>
        <v>0</v>
      </c>
      <c r="AS161" s="27" t="str">
        <f aca="false">IF(ISNUMBER(L161),L161*INDEX(LenF,MATCH($L$7,LenU,0))*1000,IF(OR(J161="",K161=""),"",IFERROR(IF(INDEX(PipeWT,MATCH(J161,NPSU,0),MATCH(K161,SchU,0))="","Sch n/a",INDEX(PipeOD,MATCH(J161,NPSU,0))-2*INDEX(PipeWT,MATCH(J161,NPSU,0),MATCH(K161,SchU,0))),"")))</f>
        <v/>
      </c>
      <c r="AT161" s="27" t="n">
        <f aca="false">IF(ISNUMBER(AI161),AI161,IFERROR(INDEX(IF(CC_JobType="Decontamination",CC_TypeFillDC,CC_TypeFillCC),MATCH(E161,CC_TypeL,0)),1))</f>
        <v>1</v>
      </c>
      <c r="AU161" s="27" t="n">
        <v>5</v>
      </c>
    </row>
    <row r="162" customFormat="false" ht="15" hidden="false" customHeight="false" outlineLevel="0" collapsed="false">
      <c r="A162" s="36" t="n">
        <v>21</v>
      </c>
      <c r="B162" s="40"/>
      <c r="C162" s="32"/>
      <c r="D162" s="32"/>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1" t="str">
        <f aca="false">IF(E162="Exchanger",IF(AND(ISNUMBER(S162),ISNUMBER(U162),ISNUMBER(V162)),S162*PI()/4*(U162*INDEX(LenF,MATCH($U$7,LenU,0)))^2*V162*INDEX(LenF,MATCH($V$7,LenU,0)),0)+IF(ISNUMBER(Y162),PI()/4*(Y162*INDEX(LenF,MATCH($Y$7,LenU,0)))^2*N(Z162)*INDEX(LenF,MATCH($Z$7,LenU,0))+IF(AA162="",0,IF(AA162="Conical",PI()/12*(Y162*INDEX(LenF,MATCH($Y$7,LenU,0)))^2*(0),INDEX(HeadK,MATCH(AA162,HeadU,0))*(Y162*INDEX(LenF,MATCH($Y$7,LenU,0)))^3)),0)+IF(ISNUMBER(Y162),PI()/4*(Y162*INDEX(LenF,MATCH($Y$7,LenU,0)))^2*N(AB162)*INDEX(LenF,MATCH($AB$7,LenU,0))+IF(AC162="",0,IF(AC162="Conical",PI()/12*(Y162*INDEX(LenF,MATCH($Y$7,LenU,0)))^2*(0),INDEX(HeadK,MATCH(AC162,HeadU,0))*(Y162*INDEX(LenF,MATCH($Y$7,LenU,0)))^3)),0),"")</f>
        <v/>
      </c>
      <c r="AE162" s="41" t="str">
        <f aca="false">IF(OR(E162="",E162="Piping"),"",IF(E162="Exchanger",AQ162*AR162+IF(P162="",0,IF(P162="Conical",PI()/12*(SQRT(4*AQ162/PI()))^2*(0),INDEX(HeadK,MATCH(P162,HeadU,0))*(SQRT(4*AQ162/PI()))^3))-IF(AND(ISNUMBER(S162),ISNUMBER(V162)),S162*PI()/4*AP162^2*V162*INDEX(LenF,MATCH($V$7,LenU,0)),0),IF(ISNUMBER(N162),PI()/4*(N162*INDEX(LenF,MATCH($N$7,LenU,0)))^2*N(O162)*INDEX(LenF,MATCH($O$7,LenU,0))+IF(P162="",0,IF(P162="Conical",PI()/12*(N162*INDEX(LenF,MATCH($N$7,LenU,0)))^2*(N(R162)*INDEX(LenF,MATCH($R$7,LenU,0))),INDEX(HeadK,MATCH(P162,HeadU,0))*(N162*INDEX(LenF,MATCH($N$7,LenU,0)))^3))+IF(Q162="",0,IF(Q162="Conical",PI()/12*(N162*INDEX(LenF,MATCH($N$7,LenU,0)))^2*(N(R162)*INDEX(LenF,MATCH($R$7,LenU,0))),INDEX(HeadK,MATCH(Q162,HeadU,0))*(N162*INDEX(LenF,MATCH($N$7,LenU,0)))^3)),0)))</f>
        <v/>
      </c>
      <c r="AF162" s="41" t="str">
        <f aca="false">IF(E162&lt;&gt;"Piping","",IF(AND(ISNUMBER(AS162),ISNUMBER(M162)),PI()/4*(AS162/1000)^2*M162*INDEX(LenF,MATCH($M$7,LenU,0)),0))</f>
        <v/>
      </c>
      <c r="AG162" s="41" t="str">
        <f aca="false">IF(E162="","",N(AD162)+N(AE162)+N(AF162))</f>
        <v/>
      </c>
      <c r="AH162" s="41" t="str">
        <f aca="false">IF(ISNUMBER(I162),I162*INDEX(WtF,MATCH($I$7,WtU,0))/CC_WaterRho,"")</f>
        <v/>
      </c>
      <c r="AI162" s="31"/>
      <c r="AJ162" s="31"/>
      <c r="AK162" s="40"/>
      <c r="AL162" s="31"/>
      <c r="AM162" s="41" t="str">
        <f aca="false">IF(AO162="","",AO162*IF(ISNUMBER(AK162),AK162,CC_DefFills)*(1+IF(ISNUMBER(AL162),AL162,CC_DefAllow)))</f>
        <v/>
      </c>
      <c r="AN162" s="42" t="str">
        <f aca="false">IF(G162="Given volume",IF(ISNUMBER(H162),H162*INDEX(VolF,MATCH($H$7,VolU,0)),""),IF(G162="Water weight",AH162,IF(N(AG162)=0,"",AG162)))</f>
        <v/>
      </c>
      <c r="AO162" s="42" t="str">
        <f aca="false">IF(N(AN162)=0,"",AN162*AT162*IF(ISNUMBER(AJ162),AJ162,CC_DefCirc))</f>
        <v/>
      </c>
      <c r="AP162" s="27" t="n">
        <f aca="false">IF(ISNUMBER(T162),T162*INDEX(LenF,MATCH($T$7,LenU,0)),IF(ISNUMBER(W162),W162*INDEX(LenF,MATCH($W$7,LenU,0))/CC_PitchRatio,0))</f>
        <v>0</v>
      </c>
      <c r="AQ162" s="27" t="n">
        <f aca="false">IF(ISNUMBER(N162),PI()/4*(N162*INDEX(LenF,MATCH($N$7,LenU,0)))^2,IF(AND(ISNUMBER(S162),ISNUMBER(W162),X162&lt;&gt;""),S162*(W162*INDEX(LenF,MATCH($W$7,LenU,0)))^2*INDEX(LayoutF,MATCH(X162,LayoutU,0)),0))</f>
        <v>0</v>
      </c>
      <c r="AR162" s="27" t="n">
        <f aca="false">IF(ISNUMBER(O162),O162*INDEX(LenF,MATCH($O$7,LenU,0)),IF(ISNUMBER(V162),V162*INDEX(LenF,MATCH($V$7,LenU,0)),0))</f>
        <v>0</v>
      </c>
      <c r="AS162" s="27" t="str">
        <f aca="false">IF(ISNUMBER(L162),L162*INDEX(LenF,MATCH($L$7,LenU,0))*1000,IF(OR(J162="",K162=""),"",IFERROR(IF(INDEX(PipeWT,MATCH(J162,NPSU,0),MATCH(K162,SchU,0))="","Sch n/a",INDEX(PipeOD,MATCH(J162,NPSU,0))-2*INDEX(PipeWT,MATCH(J162,NPSU,0),MATCH(K162,SchU,0))),"")))</f>
        <v/>
      </c>
      <c r="AT162" s="27" t="n">
        <f aca="false">IF(ISNUMBER(AI162),AI162,IFERROR(INDEX(IF(CC_JobType="Decontamination",CC_TypeFillDC,CC_TypeFillCC),MATCH(E162,CC_TypeL,0)),1))</f>
        <v>1</v>
      </c>
      <c r="AU162" s="27" t="n">
        <v>5</v>
      </c>
    </row>
    <row r="163" customFormat="false" ht="15" hidden="false" customHeight="false" outlineLevel="0" collapsed="false">
      <c r="A163" s="36" t="n">
        <v>22</v>
      </c>
      <c r="B163" s="40"/>
      <c r="C163" s="32"/>
      <c r="D163" s="32"/>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1" t="str">
        <f aca="false">IF(E163="Exchanger",IF(AND(ISNUMBER(S163),ISNUMBER(U163),ISNUMBER(V163)),S163*PI()/4*(U163*INDEX(LenF,MATCH($U$7,LenU,0)))^2*V163*INDEX(LenF,MATCH($V$7,LenU,0)),0)+IF(ISNUMBER(Y163),PI()/4*(Y163*INDEX(LenF,MATCH($Y$7,LenU,0)))^2*N(Z163)*INDEX(LenF,MATCH($Z$7,LenU,0))+IF(AA163="",0,IF(AA163="Conical",PI()/12*(Y163*INDEX(LenF,MATCH($Y$7,LenU,0)))^2*(0),INDEX(HeadK,MATCH(AA163,HeadU,0))*(Y163*INDEX(LenF,MATCH($Y$7,LenU,0)))^3)),0)+IF(ISNUMBER(Y163),PI()/4*(Y163*INDEX(LenF,MATCH($Y$7,LenU,0)))^2*N(AB163)*INDEX(LenF,MATCH($AB$7,LenU,0))+IF(AC163="",0,IF(AC163="Conical",PI()/12*(Y163*INDEX(LenF,MATCH($Y$7,LenU,0)))^2*(0),INDEX(HeadK,MATCH(AC163,HeadU,0))*(Y163*INDEX(LenF,MATCH($Y$7,LenU,0)))^3)),0),"")</f>
        <v/>
      </c>
      <c r="AE163" s="41" t="str">
        <f aca="false">IF(OR(E163="",E163="Piping"),"",IF(E163="Exchanger",AQ163*AR163+IF(P163="",0,IF(P163="Conical",PI()/12*(SQRT(4*AQ163/PI()))^2*(0),INDEX(HeadK,MATCH(P163,HeadU,0))*(SQRT(4*AQ163/PI()))^3))-IF(AND(ISNUMBER(S163),ISNUMBER(V163)),S163*PI()/4*AP163^2*V163*INDEX(LenF,MATCH($V$7,LenU,0)),0),IF(ISNUMBER(N163),PI()/4*(N163*INDEX(LenF,MATCH($N$7,LenU,0)))^2*N(O163)*INDEX(LenF,MATCH($O$7,LenU,0))+IF(P163="",0,IF(P163="Conical",PI()/12*(N163*INDEX(LenF,MATCH($N$7,LenU,0)))^2*(N(R163)*INDEX(LenF,MATCH($R$7,LenU,0))),INDEX(HeadK,MATCH(P163,HeadU,0))*(N163*INDEX(LenF,MATCH($N$7,LenU,0)))^3))+IF(Q163="",0,IF(Q163="Conical",PI()/12*(N163*INDEX(LenF,MATCH($N$7,LenU,0)))^2*(N(R163)*INDEX(LenF,MATCH($R$7,LenU,0))),INDEX(HeadK,MATCH(Q163,HeadU,0))*(N163*INDEX(LenF,MATCH($N$7,LenU,0)))^3)),0)))</f>
        <v/>
      </c>
      <c r="AF163" s="41" t="str">
        <f aca="false">IF(E163&lt;&gt;"Piping","",IF(AND(ISNUMBER(AS163),ISNUMBER(M163)),PI()/4*(AS163/1000)^2*M163*INDEX(LenF,MATCH($M$7,LenU,0)),0))</f>
        <v/>
      </c>
      <c r="AG163" s="41" t="str">
        <f aca="false">IF(E163="","",N(AD163)+N(AE163)+N(AF163))</f>
        <v/>
      </c>
      <c r="AH163" s="41" t="str">
        <f aca="false">IF(ISNUMBER(I163),I163*INDEX(WtF,MATCH($I$7,WtU,0))/CC_WaterRho,"")</f>
        <v/>
      </c>
      <c r="AI163" s="31"/>
      <c r="AJ163" s="31"/>
      <c r="AK163" s="40"/>
      <c r="AL163" s="31"/>
      <c r="AM163" s="41" t="str">
        <f aca="false">IF(AO163="","",AO163*IF(ISNUMBER(AK163),AK163,CC_DefFills)*(1+IF(ISNUMBER(AL163),AL163,CC_DefAllow)))</f>
        <v/>
      </c>
      <c r="AN163" s="42" t="str">
        <f aca="false">IF(G163="Given volume",IF(ISNUMBER(H163),H163*INDEX(VolF,MATCH($H$7,VolU,0)),""),IF(G163="Water weight",AH163,IF(N(AG163)=0,"",AG163)))</f>
        <v/>
      </c>
      <c r="AO163" s="42" t="str">
        <f aca="false">IF(N(AN163)=0,"",AN163*AT163*IF(ISNUMBER(AJ163),AJ163,CC_DefCirc))</f>
        <v/>
      </c>
      <c r="AP163" s="27" t="n">
        <f aca="false">IF(ISNUMBER(T163),T163*INDEX(LenF,MATCH($T$7,LenU,0)),IF(ISNUMBER(W163),W163*INDEX(LenF,MATCH($W$7,LenU,0))/CC_PitchRatio,0))</f>
        <v>0</v>
      </c>
      <c r="AQ163" s="27" t="n">
        <f aca="false">IF(ISNUMBER(N163),PI()/4*(N163*INDEX(LenF,MATCH($N$7,LenU,0)))^2,IF(AND(ISNUMBER(S163),ISNUMBER(W163),X163&lt;&gt;""),S163*(W163*INDEX(LenF,MATCH($W$7,LenU,0)))^2*INDEX(LayoutF,MATCH(X163,LayoutU,0)),0))</f>
        <v>0</v>
      </c>
      <c r="AR163" s="27" t="n">
        <f aca="false">IF(ISNUMBER(O163),O163*INDEX(LenF,MATCH($O$7,LenU,0)),IF(ISNUMBER(V163),V163*INDEX(LenF,MATCH($V$7,LenU,0)),0))</f>
        <v>0</v>
      </c>
      <c r="AS163" s="27" t="str">
        <f aca="false">IF(ISNUMBER(L163),L163*INDEX(LenF,MATCH($L$7,LenU,0))*1000,IF(OR(J163="",K163=""),"",IFERROR(IF(INDEX(PipeWT,MATCH(J163,NPSU,0),MATCH(K163,SchU,0))="","Sch n/a",INDEX(PipeOD,MATCH(J163,NPSU,0))-2*INDEX(PipeWT,MATCH(J163,NPSU,0),MATCH(K163,SchU,0))),"")))</f>
        <v/>
      </c>
      <c r="AT163" s="27" t="n">
        <f aca="false">IF(ISNUMBER(AI163),AI163,IFERROR(INDEX(IF(CC_JobType="Decontamination",CC_TypeFillDC,CC_TypeFillCC),MATCH(E163,CC_TypeL,0)),1))</f>
        <v>1</v>
      </c>
      <c r="AU163" s="27" t="n">
        <v>5</v>
      </c>
    </row>
    <row r="164" customFormat="false" ht="15" hidden="false" customHeight="false" outlineLevel="0" collapsed="false">
      <c r="A164" s="36" t="n">
        <v>23</v>
      </c>
      <c r="B164" s="40"/>
      <c r="C164" s="32"/>
      <c r="D164" s="32"/>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1" t="str">
        <f aca="false">IF(E164="Exchanger",IF(AND(ISNUMBER(S164),ISNUMBER(U164),ISNUMBER(V164)),S164*PI()/4*(U164*INDEX(LenF,MATCH($U$7,LenU,0)))^2*V164*INDEX(LenF,MATCH($V$7,LenU,0)),0)+IF(ISNUMBER(Y164),PI()/4*(Y164*INDEX(LenF,MATCH($Y$7,LenU,0)))^2*N(Z164)*INDEX(LenF,MATCH($Z$7,LenU,0))+IF(AA164="",0,IF(AA164="Conical",PI()/12*(Y164*INDEX(LenF,MATCH($Y$7,LenU,0)))^2*(0),INDEX(HeadK,MATCH(AA164,HeadU,0))*(Y164*INDEX(LenF,MATCH($Y$7,LenU,0)))^3)),0)+IF(ISNUMBER(Y164),PI()/4*(Y164*INDEX(LenF,MATCH($Y$7,LenU,0)))^2*N(AB164)*INDEX(LenF,MATCH($AB$7,LenU,0))+IF(AC164="",0,IF(AC164="Conical",PI()/12*(Y164*INDEX(LenF,MATCH($Y$7,LenU,0)))^2*(0),INDEX(HeadK,MATCH(AC164,HeadU,0))*(Y164*INDEX(LenF,MATCH($Y$7,LenU,0)))^3)),0),"")</f>
        <v/>
      </c>
      <c r="AE164" s="41" t="str">
        <f aca="false">IF(OR(E164="",E164="Piping"),"",IF(E164="Exchanger",AQ164*AR164+IF(P164="",0,IF(P164="Conical",PI()/12*(SQRT(4*AQ164/PI()))^2*(0),INDEX(HeadK,MATCH(P164,HeadU,0))*(SQRT(4*AQ164/PI()))^3))-IF(AND(ISNUMBER(S164),ISNUMBER(V164)),S164*PI()/4*AP164^2*V164*INDEX(LenF,MATCH($V$7,LenU,0)),0),IF(ISNUMBER(N164),PI()/4*(N164*INDEX(LenF,MATCH($N$7,LenU,0)))^2*N(O164)*INDEX(LenF,MATCH($O$7,LenU,0))+IF(P164="",0,IF(P164="Conical",PI()/12*(N164*INDEX(LenF,MATCH($N$7,LenU,0)))^2*(N(R164)*INDEX(LenF,MATCH($R$7,LenU,0))),INDEX(HeadK,MATCH(P164,HeadU,0))*(N164*INDEX(LenF,MATCH($N$7,LenU,0)))^3))+IF(Q164="",0,IF(Q164="Conical",PI()/12*(N164*INDEX(LenF,MATCH($N$7,LenU,0)))^2*(N(R164)*INDEX(LenF,MATCH($R$7,LenU,0))),INDEX(HeadK,MATCH(Q164,HeadU,0))*(N164*INDEX(LenF,MATCH($N$7,LenU,0)))^3)),0)))</f>
        <v/>
      </c>
      <c r="AF164" s="41" t="str">
        <f aca="false">IF(E164&lt;&gt;"Piping","",IF(AND(ISNUMBER(AS164),ISNUMBER(M164)),PI()/4*(AS164/1000)^2*M164*INDEX(LenF,MATCH($M$7,LenU,0)),0))</f>
        <v/>
      </c>
      <c r="AG164" s="41" t="str">
        <f aca="false">IF(E164="","",N(AD164)+N(AE164)+N(AF164))</f>
        <v/>
      </c>
      <c r="AH164" s="41" t="str">
        <f aca="false">IF(ISNUMBER(I164),I164*INDEX(WtF,MATCH($I$7,WtU,0))/CC_WaterRho,"")</f>
        <v/>
      </c>
      <c r="AI164" s="31"/>
      <c r="AJ164" s="31"/>
      <c r="AK164" s="40"/>
      <c r="AL164" s="31"/>
      <c r="AM164" s="41" t="str">
        <f aca="false">IF(AO164="","",AO164*IF(ISNUMBER(AK164),AK164,CC_DefFills)*(1+IF(ISNUMBER(AL164),AL164,CC_DefAllow)))</f>
        <v/>
      </c>
      <c r="AN164" s="42" t="str">
        <f aca="false">IF(G164="Given volume",IF(ISNUMBER(H164),H164*INDEX(VolF,MATCH($H$7,VolU,0)),""),IF(G164="Water weight",AH164,IF(N(AG164)=0,"",AG164)))</f>
        <v/>
      </c>
      <c r="AO164" s="42" t="str">
        <f aca="false">IF(N(AN164)=0,"",AN164*AT164*IF(ISNUMBER(AJ164),AJ164,CC_DefCirc))</f>
        <v/>
      </c>
      <c r="AP164" s="27" t="n">
        <f aca="false">IF(ISNUMBER(T164),T164*INDEX(LenF,MATCH($T$7,LenU,0)),IF(ISNUMBER(W164),W164*INDEX(LenF,MATCH($W$7,LenU,0))/CC_PitchRatio,0))</f>
        <v>0</v>
      </c>
      <c r="AQ164" s="27" t="n">
        <f aca="false">IF(ISNUMBER(N164),PI()/4*(N164*INDEX(LenF,MATCH($N$7,LenU,0)))^2,IF(AND(ISNUMBER(S164),ISNUMBER(W164),X164&lt;&gt;""),S164*(W164*INDEX(LenF,MATCH($W$7,LenU,0)))^2*INDEX(LayoutF,MATCH(X164,LayoutU,0)),0))</f>
        <v>0</v>
      </c>
      <c r="AR164" s="27" t="n">
        <f aca="false">IF(ISNUMBER(O164),O164*INDEX(LenF,MATCH($O$7,LenU,0)),IF(ISNUMBER(V164),V164*INDEX(LenF,MATCH($V$7,LenU,0)),0))</f>
        <v>0</v>
      </c>
      <c r="AS164" s="27" t="str">
        <f aca="false">IF(ISNUMBER(L164),L164*INDEX(LenF,MATCH($L$7,LenU,0))*1000,IF(OR(J164="",K164=""),"",IFERROR(IF(INDEX(PipeWT,MATCH(J164,NPSU,0),MATCH(K164,SchU,0))="","Sch n/a",INDEX(PipeOD,MATCH(J164,NPSU,0))-2*INDEX(PipeWT,MATCH(J164,NPSU,0),MATCH(K164,SchU,0))),"")))</f>
        <v/>
      </c>
      <c r="AT164" s="27" t="n">
        <f aca="false">IF(ISNUMBER(AI164),AI164,IFERROR(INDEX(IF(CC_JobType="Decontamination",CC_TypeFillDC,CC_TypeFillCC),MATCH(E164,CC_TypeL,0)),1))</f>
        <v>1</v>
      </c>
      <c r="AU164" s="27" t="n">
        <v>5</v>
      </c>
    </row>
    <row r="165" customFormat="false" ht="15" hidden="false" customHeight="false" outlineLevel="0" collapsed="false">
      <c r="A165" s="36" t="n">
        <v>24</v>
      </c>
      <c r="B165" s="40"/>
      <c r="C165" s="32"/>
      <c r="D165" s="32"/>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1" t="str">
        <f aca="false">IF(E165="Exchanger",IF(AND(ISNUMBER(S165),ISNUMBER(U165),ISNUMBER(V165)),S165*PI()/4*(U165*INDEX(LenF,MATCH($U$7,LenU,0)))^2*V165*INDEX(LenF,MATCH($V$7,LenU,0)),0)+IF(ISNUMBER(Y165),PI()/4*(Y165*INDEX(LenF,MATCH($Y$7,LenU,0)))^2*N(Z165)*INDEX(LenF,MATCH($Z$7,LenU,0))+IF(AA165="",0,IF(AA165="Conical",PI()/12*(Y165*INDEX(LenF,MATCH($Y$7,LenU,0)))^2*(0),INDEX(HeadK,MATCH(AA165,HeadU,0))*(Y165*INDEX(LenF,MATCH($Y$7,LenU,0)))^3)),0)+IF(ISNUMBER(Y165),PI()/4*(Y165*INDEX(LenF,MATCH($Y$7,LenU,0)))^2*N(AB165)*INDEX(LenF,MATCH($AB$7,LenU,0))+IF(AC165="",0,IF(AC165="Conical",PI()/12*(Y165*INDEX(LenF,MATCH($Y$7,LenU,0)))^2*(0),INDEX(HeadK,MATCH(AC165,HeadU,0))*(Y165*INDEX(LenF,MATCH($Y$7,LenU,0)))^3)),0),"")</f>
        <v/>
      </c>
      <c r="AE165" s="41" t="str">
        <f aca="false">IF(OR(E165="",E165="Piping"),"",IF(E165="Exchanger",AQ165*AR165+IF(P165="",0,IF(P165="Conical",PI()/12*(SQRT(4*AQ165/PI()))^2*(0),INDEX(HeadK,MATCH(P165,HeadU,0))*(SQRT(4*AQ165/PI()))^3))-IF(AND(ISNUMBER(S165),ISNUMBER(V165)),S165*PI()/4*AP165^2*V165*INDEX(LenF,MATCH($V$7,LenU,0)),0),IF(ISNUMBER(N165),PI()/4*(N165*INDEX(LenF,MATCH($N$7,LenU,0)))^2*N(O165)*INDEX(LenF,MATCH($O$7,LenU,0))+IF(P165="",0,IF(P165="Conical",PI()/12*(N165*INDEX(LenF,MATCH($N$7,LenU,0)))^2*(N(R165)*INDEX(LenF,MATCH($R$7,LenU,0))),INDEX(HeadK,MATCH(P165,HeadU,0))*(N165*INDEX(LenF,MATCH($N$7,LenU,0)))^3))+IF(Q165="",0,IF(Q165="Conical",PI()/12*(N165*INDEX(LenF,MATCH($N$7,LenU,0)))^2*(N(R165)*INDEX(LenF,MATCH($R$7,LenU,0))),INDEX(HeadK,MATCH(Q165,HeadU,0))*(N165*INDEX(LenF,MATCH($N$7,LenU,0)))^3)),0)))</f>
        <v/>
      </c>
      <c r="AF165" s="41" t="str">
        <f aca="false">IF(E165&lt;&gt;"Piping","",IF(AND(ISNUMBER(AS165),ISNUMBER(M165)),PI()/4*(AS165/1000)^2*M165*INDEX(LenF,MATCH($M$7,LenU,0)),0))</f>
        <v/>
      </c>
      <c r="AG165" s="41" t="str">
        <f aca="false">IF(E165="","",N(AD165)+N(AE165)+N(AF165))</f>
        <v/>
      </c>
      <c r="AH165" s="41" t="str">
        <f aca="false">IF(ISNUMBER(I165),I165*INDEX(WtF,MATCH($I$7,WtU,0))/CC_WaterRho,"")</f>
        <v/>
      </c>
      <c r="AI165" s="31"/>
      <c r="AJ165" s="31"/>
      <c r="AK165" s="40"/>
      <c r="AL165" s="31"/>
      <c r="AM165" s="41" t="str">
        <f aca="false">IF(AO165="","",AO165*IF(ISNUMBER(AK165),AK165,CC_DefFills)*(1+IF(ISNUMBER(AL165),AL165,CC_DefAllow)))</f>
        <v/>
      </c>
      <c r="AN165" s="42" t="str">
        <f aca="false">IF(G165="Given volume",IF(ISNUMBER(H165),H165*INDEX(VolF,MATCH($H$7,VolU,0)),""),IF(G165="Water weight",AH165,IF(N(AG165)=0,"",AG165)))</f>
        <v/>
      </c>
      <c r="AO165" s="42" t="str">
        <f aca="false">IF(N(AN165)=0,"",AN165*AT165*IF(ISNUMBER(AJ165),AJ165,CC_DefCirc))</f>
        <v/>
      </c>
      <c r="AP165" s="27" t="n">
        <f aca="false">IF(ISNUMBER(T165),T165*INDEX(LenF,MATCH($T$7,LenU,0)),IF(ISNUMBER(W165),W165*INDEX(LenF,MATCH($W$7,LenU,0))/CC_PitchRatio,0))</f>
        <v>0</v>
      </c>
      <c r="AQ165" s="27" t="n">
        <f aca="false">IF(ISNUMBER(N165),PI()/4*(N165*INDEX(LenF,MATCH($N$7,LenU,0)))^2,IF(AND(ISNUMBER(S165),ISNUMBER(W165),X165&lt;&gt;""),S165*(W165*INDEX(LenF,MATCH($W$7,LenU,0)))^2*INDEX(LayoutF,MATCH(X165,LayoutU,0)),0))</f>
        <v>0</v>
      </c>
      <c r="AR165" s="27" t="n">
        <f aca="false">IF(ISNUMBER(O165),O165*INDEX(LenF,MATCH($O$7,LenU,0)),IF(ISNUMBER(V165),V165*INDEX(LenF,MATCH($V$7,LenU,0)),0))</f>
        <v>0</v>
      </c>
      <c r="AS165" s="27" t="str">
        <f aca="false">IF(ISNUMBER(L165),L165*INDEX(LenF,MATCH($L$7,LenU,0))*1000,IF(OR(J165="",K165=""),"",IFERROR(IF(INDEX(PipeWT,MATCH(J165,NPSU,0),MATCH(K165,SchU,0))="","Sch n/a",INDEX(PipeOD,MATCH(J165,NPSU,0))-2*INDEX(PipeWT,MATCH(J165,NPSU,0),MATCH(K165,SchU,0))),"")))</f>
        <v/>
      </c>
      <c r="AT165" s="27" t="n">
        <f aca="false">IF(ISNUMBER(AI165),AI165,IFERROR(INDEX(IF(CC_JobType="Decontamination",CC_TypeFillDC,CC_TypeFillCC),MATCH(E165,CC_TypeL,0)),1))</f>
        <v>1</v>
      </c>
      <c r="AU165" s="27" t="n">
        <v>5</v>
      </c>
    </row>
    <row r="166" customFormat="false" ht="15" hidden="false" customHeight="false" outlineLevel="0" collapsed="false">
      <c r="A166" s="36" t="n">
        <v>25</v>
      </c>
      <c r="B166" s="40"/>
      <c r="C166" s="32"/>
      <c r="D166" s="32"/>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1" t="str">
        <f aca="false">IF(E166="Exchanger",IF(AND(ISNUMBER(S166),ISNUMBER(U166),ISNUMBER(V166)),S166*PI()/4*(U166*INDEX(LenF,MATCH($U$7,LenU,0)))^2*V166*INDEX(LenF,MATCH($V$7,LenU,0)),0)+IF(ISNUMBER(Y166),PI()/4*(Y166*INDEX(LenF,MATCH($Y$7,LenU,0)))^2*N(Z166)*INDEX(LenF,MATCH($Z$7,LenU,0))+IF(AA166="",0,IF(AA166="Conical",PI()/12*(Y166*INDEX(LenF,MATCH($Y$7,LenU,0)))^2*(0),INDEX(HeadK,MATCH(AA166,HeadU,0))*(Y166*INDEX(LenF,MATCH($Y$7,LenU,0)))^3)),0)+IF(ISNUMBER(Y166),PI()/4*(Y166*INDEX(LenF,MATCH($Y$7,LenU,0)))^2*N(AB166)*INDEX(LenF,MATCH($AB$7,LenU,0))+IF(AC166="",0,IF(AC166="Conical",PI()/12*(Y166*INDEX(LenF,MATCH($Y$7,LenU,0)))^2*(0),INDEX(HeadK,MATCH(AC166,HeadU,0))*(Y166*INDEX(LenF,MATCH($Y$7,LenU,0)))^3)),0),"")</f>
        <v/>
      </c>
      <c r="AE166" s="41" t="str">
        <f aca="false">IF(OR(E166="",E166="Piping"),"",IF(E166="Exchanger",AQ166*AR166+IF(P166="",0,IF(P166="Conical",PI()/12*(SQRT(4*AQ166/PI()))^2*(0),INDEX(HeadK,MATCH(P166,HeadU,0))*(SQRT(4*AQ166/PI()))^3))-IF(AND(ISNUMBER(S166),ISNUMBER(V166)),S166*PI()/4*AP166^2*V166*INDEX(LenF,MATCH($V$7,LenU,0)),0),IF(ISNUMBER(N166),PI()/4*(N166*INDEX(LenF,MATCH($N$7,LenU,0)))^2*N(O166)*INDEX(LenF,MATCH($O$7,LenU,0))+IF(P166="",0,IF(P166="Conical",PI()/12*(N166*INDEX(LenF,MATCH($N$7,LenU,0)))^2*(N(R166)*INDEX(LenF,MATCH($R$7,LenU,0))),INDEX(HeadK,MATCH(P166,HeadU,0))*(N166*INDEX(LenF,MATCH($N$7,LenU,0)))^3))+IF(Q166="",0,IF(Q166="Conical",PI()/12*(N166*INDEX(LenF,MATCH($N$7,LenU,0)))^2*(N(R166)*INDEX(LenF,MATCH($R$7,LenU,0))),INDEX(HeadK,MATCH(Q166,HeadU,0))*(N166*INDEX(LenF,MATCH($N$7,LenU,0)))^3)),0)))</f>
        <v/>
      </c>
      <c r="AF166" s="41" t="str">
        <f aca="false">IF(E166&lt;&gt;"Piping","",IF(AND(ISNUMBER(AS166),ISNUMBER(M166)),PI()/4*(AS166/1000)^2*M166*INDEX(LenF,MATCH($M$7,LenU,0)),0))</f>
        <v/>
      </c>
      <c r="AG166" s="41" t="str">
        <f aca="false">IF(E166="","",N(AD166)+N(AE166)+N(AF166))</f>
        <v/>
      </c>
      <c r="AH166" s="41" t="str">
        <f aca="false">IF(ISNUMBER(I166),I166*INDEX(WtF,MATCH($I$7,WtU,0))/CC_WaterRho,"")</f>
        <v/>
      </c>
      <c r="AI166" s="31"/>
      <c r="AJ166" s="31"/>
      <c r="AK166" s="40"/>
      <c r="AL166" s="31"/>
      <c r="AM166" s="41" t="str">
        <f aca="false">IF(AO166="","",AO166*IF(ISNUMBER(AK166),AK166,CC_DefFills)*(1+IF(ISNUMBER(AL166),AL166,CC_DefAllow)))</f>
        <v/>
      </c>
      <c r="AN166" s="42" t="str">
        <f aca="false">IF(G166="Given volume",IF(ISNUMBER(H166),H166*INDEX(VolF,MATCH($H$7,VolU,0)),""),IF(G166="Water weight",AH166,IF(N(AG166)=0,"",AG166)))</f>
        <v/>
      </c>
      <c r="AO166" s="42" t="str">
        <f aca="false">IF(N(AN166)=0,"",AN166*AT166*IF(ISNUMBER(AJ166),AJ166,CC_DefCirc))</f>
        <v/>
      </c>
      <c r="AP166" s="27" t="n">
        <f aca="false">IF(ISNUMBER(T166),T166*INDEX(LenF,MATCH($T$7,LenU,0)),IF(ISNUMBER(W166),W166*INDEX(LenF,MATCH($W$7,LenU,0))/CC_PitchRatio,0))</f>
        <v>0</v>
      </c>
      <c r="AQ166" s="27" t="n">
        <f aca="false">IF(ISNUMBER(N166),PI()/4*(N166*INDEX(LenF,MATCH($N$7,LenU,0)))^2,IF(AND(ISNUMBER(S166),ISNUMBER(W166),X166&lt;&gt;""),S166*(W166*INDEX(LenF,MATCH($W$7,LenU,0)))^2*INDEX(LayoutF,MATCH(X166,LayoutU,0)),0))</f>
        <v>0</v>
      </c>
      <c r="AR166" s="27" t="n">
        <f aca="false">IF(ISNUMBER(O166),O166*INDEX(LenF,MATCH($O$7,LenU,0)),IF(ISNUMBER(V166),V166*INDEX(LenF,MATCH($V$7,LenU,0)),0))</f>
        <v>0</v>
      </c>
      <c r="AS166" s="27" t="str">
        <f aca="false">IF(ISNUMBER(L166),L166*INDEX(LenF,MATCH($L$7,LenU,0))*1000,IF(OR(J166="",K166=""),"",IFERROR(IF(INDEX(PipeWT,MATCH(J166,NPSU,0),MATCH(K166,SchU,0))="","Sch n/a",INDEX(PipeOD,MATCH(J166,NPSU,0))-2*INDEX(PipeWT,MATCH(J166,NPSU,0),MATCH(K166,SchU,0))),"")))</f>
        <v/>
      </c>
      <c r="AT166" s="27" t="n">
        <f aca="false">IF(ISNUMBER(AI166),AI166,IFERROR(INDEX(IF(CC_JobType="Decontamination",CC_TypeFillDC,CC_TypeFillCC),MATCH(E166,CC_TypeL,0)),1))</f>
        <v>1</v>
      </c>
      <c r="AU166" s="27" t="n">
        <v>5</v>
      </c>
    </row>
    <row r="167" customFormat="false" ht="15" hidden="false" customHeight="false" outlineLevel="0" collapsed="false">
      <c r="A167" s="36" t="n">
        <v>26</v>
      </c>
      <c r="B167" s="40"/>
      <c r="C167" s="32"/>
      <c r="D167" s="32"/>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1" t="str">
        <f aca="false">IF(E167="Exchanger",IF(AND(ISNUMBER(S167),ISNUMBER(U167),ISNUMBER(V167)),S167*PI()/4*(U167*INDEX(LenF,MATCH($U$7,LenU,0)))^2*V167*INDEX(LenF,MATCH($V$7,LenU,0)),0)+IF(ISNUMBER(Y167),PI()/4*(Y167*INDEX(LenF,MATCH($Y$7,LenU,0)))^2*N(Z167)*INDEX(LenF,MATCH($Z$7,LenU,0))+IF(AA167="",0,IF(AA167="Conical",PI()/12*(Y167*INDEX(LenF,MATCH($Y$7,LenU,0)))^2*(0),INDEX(HeadK,MATCH(AA167,HeadU,0))*(Y167*INDEX(LenF,MATCH($Y$7,LenU,0)))^3)),0)+IF(ISNUMBER(Y167),PI()/4*(Y167*INDEX(LenF,MATCH($Y$7,LenU,0)))^2*N(AB167)*INDEX(LenF,MATCH($AB$7,LenU,0))+IF(AC167="",0,IF(AC167="Conical",PI()/12*(Y167*INDEX(LenF,MATCH($Y$7,LenU,0)))^2*(0),INDEX(HeadK,MATCH(AC167,HeadU,0))*(Y167*INDEX(LenF,MATCH($Y$7,LenU,0)))^3)),0),"")</f>
        <v/>
      </c>
      <c r="AE167" s="41" t="str">
        <f aca="false">IF(OR(E167="",E167="Piping"),"",IF(E167="Exchanger",AQ167*AR167+IF(P167="",0,IF(P167="Conical",PI()/12*(SQRT(4*AQ167/PI()))^2*(0),INDEX(HeadK,MATCH(P167,HeadU,0))*(SQRT(4*AQ167/PI()))^3))-IF(AND(ISNUMBER(S167),ISNUMBER(V167)),S167*PI()/4*AP167^2*V167*INDEX(LenF,MATCH($V$7,LenU,0)),0),IF(ISNUMBER(N167),PI()/4*(N167*INDEX(LenF,MATCH($N$7,LenU,0)))^2*N(O167)*INDEX(LenF,MATCH($O$7,LenU,0))+IF(P167="",0,IF(P167="Conical",PI()/12*(N167*INDEX(LenF,MATCH($N$7,LenU,0)))^2*(N(R167)*INDEX(LenF,MATCH($R$7,LenU,0))),INDEX(HeadK,MATCH(P167,HeadU,0))*(N167*INDEX(LenF,MATCH($N$7,LenU,0)))^3))+IF(Q167="",0,IF(Q167="Conical",PI()/12*(N167*INDEX(LenF,MATCH($N$7,LenU,0)))^2*(N(R167)*INDEX(LenF,MATCH($R$7,LenU,0))),INDEX(HeadK,MATCH(Q167,HeadU,0))*(N167*INDEX(LenF,MATCH($N$7,LenU,0)))^3)),0)))</f>
        <v/>
      </c>
      <c r="AF167" s="41" t="str">
        <f aca="false">IF(E167&lt;&gt;"Piping","",IF(AND(ISNUMBER(AS167),ISNUMBER(M167)),PI()/4*(AS167/1000)^2*M167*INDEX(LenF,MATCH($M$7,LenU,0)),0))</f>
        <v/>
      </c>
      <c r="AG167" s="41" t="str">
        <f aca="false">IF(E167="","",N(AD167)+N(AE167)+N(AF167))</f>
        <v/>
      </c>
      <c r="AH167" s="41" t="str">
        <f aca="false">IF(ISNUMBER(I167),I167*INDEX(WtF,MATCH($I$7,WtU,0))/CC_WaterRho,"")</f>
        <v/>
      </c>
      <c r="AI167" s="31"/>
      <c r="AJ167" s="31"/>
      <c r="AK167" s="40"/>
      <c r="AL167" s="31"/>
      <c r="AM167" s="41" t="str">
        <f aca="false">IF(AO167="","",AO167*IF(ISNUMBER(AK167),AK167,CC_DefFills)*(1+IF(ISNUMBER(AL167),AL167,CC_DefAllow)))</f>
        <v/>
      </c>
      <c r="AN167" s="42" t="str">
        <f aca="false">IF(G167="Given volume",IF(ISNUMBER(H167),H167*INDEX(VolF,MATCH($H$7,VolU,0)),""),IF(G167="Water weight",AH167,IF(N(AG167)=0,"",AG167)))</f>
        <v/>
      </c>
      <c r="AO167" s="42" t="str">
        <f aca="false">IF(N(AN167)=0,"",AN167*AT167*IF(ISNUMBER(AJ167),AJ167,CC_DefCirc))</f>
        <v/>
      </c>
      <c r="AP167" s="27" t="n">
        <f aca="false">IF(ISNUMBER(T167),T167*INDEX(LenF,MATCH($T$7,LenU,0)),IF(ISNUMBER(W167),W167*INDEX(LenF,MATCH($W$7,LenU,0))/CC_PitchRatio,0))</f>
        <v>0</v>
      </c>
      <c r="AQ167" s="27" t="n">
        <f aca="false">IF(ISNUMBER(N167),PI()/4*(N167*INDEX(LenF,MATCH($N$7,LenU,0)))^2,IF(AND(ISNUMBER(S167),ISNUMBER(W167),X167&lt;&gt;""),S167*(W167*INDEX(LenF,MATCH($W$7,LenU,0)))^2*INDEX(LayoutF,MATCH(X167,LayoutU,0)),0))</f>
        <v>0</v>
      </c>
      <c r="AR167" s="27" t="n">
        <f aca="false">IF(ISNUMBER(O167),O167*INDEX(LenF,MATCH($O$7,LenU,0)),IF(ISNUMBER(V167),V167*INDEX(LenF,MATCH($V$7,LenU,0)),0))</f>
        <v>0</v>
      </c>
      <c r="AS167" s="27" t="str">
        <f aca="false">IF(ISNUMBER(L167),L167*INDEX(LenF,MATCH($L$7,LenU,0))*1000,IF(OR(J167="",K167=""),"",IFERROR(IF(INDEX(PipeWT,MATCH(J167,NPSU,0),MATCH(K167,SchU,0))="","Sch n/a",INDEX(PipeOD,MATCH(J167,NPSU,0))-2*INDEX(PipeWT,MATCH(J167,NPSU,0),MATCH(K167,SchU,0))),"")))</f>
        <v/>
      </c>
      <c r="AT167" s="27" t="n">
        <f aca="false">IF(ISNUMBER(AI167),AI167,IFERROR(INDEX(IF(CC_JobType="Decontamination",CC_TypeFillDC,CC_TypeFillCC),MATCH(E167,CC_TypeL,0)),1))</f>
        <v>1</v>
      </c>
      <c r="AU167" s="27" t="n">
        <v>5</v>
      </c>
    </row>
    <row r="168" customFormat="false" ht="15" hidden="false" customHeight="false" outlineLevel="0" collapsed="false">
      <c r="A168" s="36" t="n">
        <v>27</v>
      </c>
      <c r="B168" s="40"/>
      <c r="C168" s="32"/>
      <c r="D168" s="32"/>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1" t="str">
        <f aca="false">IF(E168="Exchanger",IF(AND(ISNUMBER(S168),ISNUMBER(U168),ISNUMBER(V168)),S168*PI()/4*(U168*INDEX(LenF,MATCH($U$7,LenU,0)))^2*V168*INDEX(LenF,MATCH($V$7,LenU,0)),0)+IF(ISNUMBER(Y168),PI()/4*(Y168*INDEX(LenF,MATCH($Y$7,LenU,0)))^2*N(Z168)*INDEX(LenF,MATCH($Z$7,LenU,0))+IF(AA168="",0,IF(AA168="Conical",PI()/12*(Y168*INDEX(LenF,MATCH($Y$7,LenU,0)))^2*(0),INDEX(HeadK,MATCH(AA168,HeadU,0))*(Y168*INDEX(LenF,MATCH($Y$7,LenU,0)))^3)),0)+IF(ISNUMBER(Y168),PI()/4*(Y168*INDEX(LenF,MATCH($Y$7,LenU,0)))^2*N(AB168)*INDEX(LenF,MATCH($AB$7,LenU,0))+IF(AC168="",0,IF(AC168="Conical",PI()/12*(Y168*INDEX(LenF,MATCH($Y$7,LenU,0)))^2*(0),INDEX(HeadK,MATCH(AC168,HeadU,0))*(Y168*INDEX(LenF,MATCH($Y$7,LenU,0)))^3)),0),"")</f>
        <v/>
      </c>
      <c r="AE168" s="41" t="str">
        <f aca="false">IF(OR(E168="",E168="Piping"),"",IF(E168="Exchanger",AQ168*AR168+IF(P168="",0,IF(P168="Conical",PI()/12*(SQRT(4*AQ168/PI()))^2*(0),INDEX(HeadK,MATCH(P168,HeadU,0))*(SQRT(4*AQ168/PI()))^3))-IF(AND(ISNUMBER(S168),ISNUMBER(V168)),S168*PI()/4*AP168^2*V168*INDEX(LenF,MATCH($V$7,LenU,0)),0),IF(ISNUMBER(N168),PI()/4*(N168*INDEX(LenF,MATCH($N$7,LenU,0)))^2*N(O168)*INDEX(LenF,MATCH($O$7,LenU,0))+IF(P168="",0,IF(P168="Conical",PI()/12*(N168*INDEX(LenF,MATCH($N$7,LenU,0)))^2*(N(R168)*INDEX(LenF,MATCH($R$7,LenU,0))),INDEX(HeadK,MATCH(P168,HeadU,0))*(N168*INDEX(LenF,MATCH($N$7,LenU,0)))^3))+IF(Q168="",0,IF(Q168="Conical",PI()/12*(N168*INDEX(LenF,MATCH($N$7,LenU,0)))^2*(N(R168)*INDEX(LenF,MATCH($R$7,LenU,0))),INDEX(HeadK,MATCH(Q168,HeadU,0))*(N168*INDEX(LenF,MATCH($N$7,LenU,0)))^3)),0)))</f>
        <v/>
      </c>
      <c r="AF168" s="41" t="str">
        <f aca="false">IF(E168&lt;&gt;"Piping","",IF(AND(ISNUMBER(AS168),ISNUMBER(M168)),PI()/4*(AS168/1000)^2*M168*INDEX(LenF,MATCH($M$7,LenU,0)),0))</f>
        <v/>
      </c>
      <c r="AG168" s="41" t="str">
        <f aca="false">IF(E168="","",N(AD168)+N(AE168)+N(AF168))</f>
        <v/>
      </c>
      <c r="AH168" s="41" t="str">
        <f aca="false">IF(ISNUMBER(I168),I168*INDEX(WtF,MATCH($I$7,WtU,0))/CC_WaterRho,"")</f>
        <v/>
      </c>
      <c r="AI168" s="31"/>
      <c r="AJ168" s="31"/>
      <c r="AK168" s="40"/>
      <c r="AL168" s="31"/>
      <c r="AM168" s="41" t="str">
        <f aca="false">IF(AO168="","",AO168*IF(ISNUMBER(AK168),AK168,CC_DefFills)*(1+IF(ISNUMBER(AL168),AL168,CC_DefAllow)))</f>
        <v/>
      </c>
      <c r="AN168" s="42" t="str">
        <f aca="false">IF(G168="Given volume",IF(ISNUMBER(H168),H168*INDEX(VolF,MATCH($H$7,VolU,0)),""),IF(G168="Water weight",AH168,IF(N(AG168)=0,"",AG168)))</f>
        <v/>
      </c>
      <c r="AO168" s="42" t="str">
        <f aca="false">IF(N(AN168)=0,"",AN168*AT168*IF(ISNUMBER(AJ168),AJ168,CC_DefCirc))</f>
        <v/>
      </c>
      <c r="AP168" s="27" t="n">
        <f aca="false">IF(ISNUMBER(T168),T168*INDEX(LenF,MATCH($T$7,LenU,0)),IF(ISNUMBER(W168),W168*INDEX(LenF,MATCH($W$7,LenU,0))/CC_PitchRatio,0))</f>
        <v>0</v>
      </c>
      <c r="AQ168" s="27" t="n">
        <f aca="false">IF(ISNUMBER(N168),PI()/4*(N168*INDEX(LenF,MATCH($N$7,LenU,0)))^2,IF(AND(ISNUMBER(S168),ISNUMBER(W168),X168&lt;&gt;""),S168*(W168*INDEX(LenF,MATCH($W$7,LenU,0)))^2*INDEX(LayoutF,MATCH(X168,LayoutU,0)),0))</f>
        <v>0</v>
      </c>
      <c r="AR168" s="27" t="n">
        <f aca="false">IF(ISNUMBER(O168),O168*INDEX(LenF,MATCH($O$7,LenU,0)),IF(ISNUMBER(V168),V168*INDEX(LenF,MATCH($V$7,LenU,0)),0))</f>
        <v>0</v>
      </c>
      <c r="AS168" s="27" t="str">
        <f aca="false">IF(ISNUMBER(L168),L168*INDEX(LenF,MATCH($L$7,LenU,0))*1000,IF(OR(J168="",K168=""),"",IFERROR(IF(INDEX(PipeWT,MATCH(J168,NPSU,0),MATCH(K168,SchU,0))="","Sch n/a",INDEX(PipeOD,MATCH(J168,NPSU,0))-2*INDEX(PipeWT,MATCH(J168,NPSU,0),MATCH(K168,SchU,0))),"")))</f>
        <v/>
      </c>
      <c r="AT168" s="27" t="n">
        <f aca="false">IF(ISNUMBER(AI168),AI168,IFERROR(INDEX(IF(CC_JobType="Decontamination",CC_TypeFillDC,CC_TypeFillCC),MATCH(E168,CC_TypeL,0)),1))</f>
        <v>1</v>
      </c>
      <c r="AU168" s="27" t="n">
        <v>5</v>
      </c>
    </row>
    <row r="169" customFormat="false" ht="15" hidden="false" customHeight="false" outlineLevel="0" collapsed="false">
      <c r="A169" s="36" t="n">
        <v>28</v>
      </c>
      <c r="B169" s="40"/>
      <c r="C169" s="32"/>
      <c r="D169" s="32"/>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1" t="str">
        <f aca="false">IF(E169="Exchanger",IF(AND(ISNUMBER(S169),ISNUMBER(U169),ISNUMBER(V169)),S169*PI()/4*(U169*INDEX(LenF,MATCH($U$7,LenU,0)))^2*V169*INDEX(LenF,MATCH($V$7,LenU,0)),0)+IF(ISNUMBER(Y169),PI()/4*(Y169*INDEX(LenF,MATCH($Y$7,LenU,0)))^2*N(Z169)*INDEX(LenF,MATCH($Z$7,LenU,0))+IF(AA169="",0,IF(AA169="Conical",PI()/12*(Y169*INDEX(LenF,MATCH($Y$7,LenU,0)))^2*(0),INDEX(HeadK,MATCH(AA169,HeadU,0))*(Y169*INDEX(LenF,MATCH($Y$7,LenU,0)))^3)),0)+IF(ISNUMBER(Y169),PI()/4*(Y169*INDEX(LenF,MATCH($Y$7,LenU,0)))^2*N(AB169)*INDEX(LenF,MATCH($AB$7,LenU,0))+IF(AC169="",0,IF(AC169="Conical",PI()/12*(Y169*INDEX(LenF,MATCH($Y$7,LenU,0)))^2*(0),INDEX(HeadK,MATCH(AC169,HeadU,0))*(Y169*INDEX(LenF,MATCH($Y$7,LenU,0)))^3)),0),"")</f>
        <v/>
      </c>
      <c r="AE169" s="41" t="str">
        <f aca="false">IF(OR(E169="",E169="Piping"),"",IF(E169="Exchanger",AQ169*AR169+IF(P169="",0,IF(P169="Conical",PI()/12*(SQRT(4*AQ169/PI()))^2*(0),INDEX(HeadK,MATCH(P169,HeadU,0))*(SQRT(4*AQ169/PI()))^3))-IF(AND(ISNUMBER(S169),ISNUMBER(V169)),S169*PI()/4*AP169^2*V169*INDEX(LenF,MATCH($V$7,LenU,0)),0),IF(ISNUMBER(N169),PI()/4*(N169*INDEX(LenF,MATCH($N$7,LenU,0)))^2*N(O169)*INDEX(LenF,MATCH($O$7,LenU,0))+IF(P169="",0,IF(P169="Conical",PI()/12*(N169*INDEX(LenF,MATCH($N$7,LenU,0)))^2*(N(R169)*INDEX(LenF,MATCH($R$7,LenU,0))),INDEX(HeadK,MATCH(P169,HeadU,0))*(N169*INDEX(LenF,MATCH($N$7,LenU,0)))^3))+IF(Q169="",0,IF(Q169="Conical",PI()/12*(N169*INDEX(LenF,MATCH($N$7,LenU,0)))^2*(N(R169)*INDEX(LenF,MATCH($R$7,LenU,0))),INDEX(HeadK,MATCH(Q169,HeadU,0))*(N169*INDEX(LenF,MATCH($N$7,LenU,0)))^3)),0)))</f>
        <v/>
      </c>
      <c r="AF169" s="41" t="str">
        <f aca="false">IF(E169&lt;&gt;"Piping","",IF(AND(ISNUMBER(AS169),ISNUMBER(M169)),PI()/4*(AS169/1000)^2*M169*INDEX(LenF,MATCH($M$7,LenU,0)),0))</f>
        <v/>
      </c>
      <c r="AG169" s="41" t="str">
        <f aca="false">IF(E169="","",N(AD169)+N(AE169)+N(AF169))</f>
        <v/>
      </c>
      <c r="AH169" s="41" t="str">
        <f aca="false">IF(ISNUMBER(I169),I169*INDEX(WtF,MATCH($I$7,WtU,0))/CC_WaterRho,"")</f>
        <v/>
      </c>
      <c r="AI169" s="31"/>
      <c r="AJ169" s="31"/>
      <c r="AK169" s="40"/>
      <c r="AL169" s="31"/>
      <c r="AM169" s="41" t="str">
        <f aca="false">IF(AO169="","",AO169*IF(ISNUMBER(AK169),AK169,CC_DefFills)*(1+IF(ISNUMBER(AL169),AL169,CC_DefAllow)))</f>
        <v/>
      </c>
      <c r="AN169" s="42" t="str">
        <f aca="false">IF(G169="Given volume",IF(ISNUMBER(H169),H169*INDEX(VolF,MATCH($H$7,VolU,0)),""),IF(G169="Water weight",AH169,IF(N(AG169)=0,"",AG169)))</f>
        <v/>
      </c>
      <c r="AO169" s="42" t="str">
        <f aca="false">IF(N(AN169)=0,"",AN169*AT169*IF(ISNUMBER(AJ169),AJ169,CC_DefCirc))</f>
        <v/>
      </c>
      <c r="AP169" s="27" t="n">
        <f aca="false">IF(ISNUMBER(T169),T169*INDEX(LenF,MATCH($T$7,LenU,0)),IF(ISNUMBER(W169),W169*INDEX(LenF,MATCH($W$7,LenU,0))/CC_PitchRatio,0))</f>
        <v>0</v>
      </c>
      <c r="AQ169" s="27" t="n">
        <f aca="false">IF(ISNUMBER(N169),PI()/4*(N169*INDEX(LenF,MATCH($N$7,LenU,0)))^2,IF(AND(ISNUMBER(S169),ISNUMBER(W169),X169&lt;&gt;""),S169*(W169*INDEX(LenF,MATCH($W$7,LenU,0)))^2*INDEX(LayoutF,MATCH(X169,LayoutU,0)),0))</f>
        <v>0</v>
      </c>
      <c r="AR169" s="27" t="n">
        <f aca="false">IF(ISNUMBER(O169),O169*INDEX(LenF,MATCH($O$7,LenU,0)),IF(ISNUMBER(V169),V169*INDEX(LenF,MATCH($V$7,LenU,0)),0))</f>
        <v>0</v>
      </c>
      <c r="AS169" s="27" t="str">
        <f aca="false">IF(ISNUMBER(L169),L169*INDEX(LenF,MATCH($L$7,LenU,0))*1000,IF(OR(J169="",K169=""),"",IFERROR(IF(INDEX(PipeWT,MATCH(J169,NPSU,0),MATCH(K169,SchU,0))="","Sch n/a",INDEX(PipeOD,MATCH(J169,NPSU,0))-2*INDEX(PipeWT,MATCH(J169,NPSU,0),MATCH(K169,SchU,0))),"")))</f>
        <v/>
      </c>
      <c r="AT169" s="27" t="n">
        <f aca="false">IF(ISNUMBER(AI169),AI169,IFERROR(INDEX(IF(CC_JobType="Decontamination",CC_TypeFillDC,CC_TypeFillCC),MATCH(E169,CC_TypeL,0)),1))</f>
        <v>1</v>
      </c>
      <c r="AU169" s="27" t="n">
        <v>5</v>
      </c>
    </row>
    <row r="170" customFormat="false" ht="15" hidden="false" customHeight="false" outlineLevel="0" collapsed="false">
      <c r="A170" s="36" t="n">
        <v>29</v>
      </c>
      <c r="B170" s="40"/>
      <c r="C170" s="32"/>
      <c r="D170" s="32"/>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1" t="str">
        <f aca="false">IF(E170="Exchanger",IF(AND(ISNUMBER(S170),ISNUMBER(U170),ISNUMBER(V170)),S170*PI()/4*(U170*INDEX(LenF,MATCH($U$7,LenU,0)))^2*V170*INDEX(LenF,MATCH($V$7,LenU,0)),0)+IF(ISNUMBER(Y170),PI()/4*(Y170*INDEX(LenF,MATCH($Y$7,LenU,0)))^2*N(Z170)*INDEX(LenF,MATCH($Z$7,LenU,0))+IF(AA170="",0,IF(AA170="Conical",PI()/12*(Y170*INDEX(LenF,MATCH($Y$7,LenU,0)))^2*(0),INDEX(HeadK,MATCH(AA170,HeadU,0))*(Y170*INDEX(LenF,MATCH($Y$7,LenU,0)))^3)),0)+IF(ISNUMBER(Y170),PI()/4*(Y170*INDEX(LenF,MATCH($Y$7,LenU,0)))^2*N(AB170)*INDEX(LenF,MATCH($AB$7,LenU,0))+IF(AC170="",0,IF(AC170="Conical",PI()/12*(Y170*INDEX(LenF,MATCH($Y$7,LenU,0)))^2*(0),INDEX(HeadK,MATCH(AC170,HeadU,0))*(Y170*INDEX(LenF,MATCH($Y$7,LenU,0)))^3)),0),"")</f>
        <v/>
      </c>
      <c r="AE170" s="41" t="str">
        <f aca="false">IF(OR(E170="",E170="Piping"),"",IF(E170="Exchanger",AQ170*AR170+IF(P170="",0,IF(P170="Conical",PI()/12*(SQRT(4*AQ170/PI()))^2*(0),INDEX(HeadK,MATCH(P170,HeadU,0))*(SQRT(4*AQ170/PI()))^3))-IF(AND(ISNUMBER(S170),ISNUMBER(V170)),S170*PI()/4*AP170^2*V170*INDEX(LenF,MATCH($V$7,LenU,0)),0),IF(ISNUMBER(N170),PI()/4*(N170*INDEX(LenF,MATCH($N$7,LenU,0)))^2*N(O170)*INDEX(LenF,MATCH($O$7,LenU,0))+IF(P170="",0,IF(P170="Conical",PI()/12*(N170*INDEX(LenF,MATCH($N$7,LenU,0)))^2*(N(R170)*INDEX(LenF,MATCH($R$7,LenU,0))),INDEX(HeadK,MATCH(P170,HeadU,0))*(N170*INDEX(LenF,MATCH($N$7,LenU,0)))^3))+IF(Q170="",0,IF(Q170="Conical",PI()/12*(N170*INDEX(LenF,MATCH($N$7,LenU,0)))^2*(N(R170)*INDEX(LenF,MATCH($R$7,LenU,0))),INDEX(HeadK,MATCH(Q170,HeadU,0))*(N170*INDEX(LenF,MATCH($N$7,LenU,0)))^3)),0)))</f>
        <v/>
      </c>
      <c r="AF170" s="41" t="str">
        <f aca="false">IF(E170&lt;&gt;"Piping","",IF(AND(ISNUMBER(AS170),ISNUMBER(M170)),PI()/4*(AS170/1000)^2*M170*INDEX(LenF,MATCH($M$7,LenU,0)),0))</f>
        <v/>
      </c>
      <c r="AG170" s="41" t="str">
        <f aca="false">IF(E170="","",N(AD170)+N(AE170)+N(AF170))</f>
        <v/>
      </c>
      <c r="AH170" s="41" t="str">
        <f aca="false">IF(ISNUMBER(I170),I170*INDEX(WtF,MATCH($I$7,WtU,0))/CC_WaterRho,"")</f>
        <v/>
      </c>
      <c r="AI170" s="31"/>
      <c r="AJ170" s="31"/>
      <c r="AK170" s="40"/>
      <c r="AL170" s="31"/>
      <c r="AM170" s="41" t="str">
        <f aca="false">IF(AO170="","",AO170*IF(ISNUMBER(AK170),AK170,CC_DefFills)*(1+IF(ISNUMBER(AL170),AL170,CC_DefAllow)))</f>
        <v/>
      </c>
      <c r="AN170" s="42" t="str">
        <f aca="false">IF(G170="Given volume",IF(ISNUMBER(H170),H170*INDEX(VolF,MATCH($H$7,VolU,0)),""),IF(G170="Water weight",AH170,IF(N(AG170)=0,"",AG170)))</f>
        <v/>
      </c>
      <c r="AO170" s="42" t="str">
        <f aca="false">IF(N(AN170)=0,"",AN170*AT170*IF(ISNUMBER(AJ170),AJ170,CC_DefCirc))</f>
        <v/>
      </c>
      <c r="AP170" s="27" t="n">
        <f aca="false">IF(ISNUMBER(T170),T170*INDEX(LenF,MATCH($T$7,LenU,0)),IF(ISNUMBER(W170),W170*INDEX(LenF,MATCH($W$7,LenU,0))/CC_PitchRatio,0))</f>
        <v>0</v>
      </c>
      <c r="AQ170" s="27" t="n">
        <f aca="false">IF(ISNUMBER(N170),PI()/4*(N170*INDEX(LenF,MATCH($N$7,LenU,0)))^2,IF(AND(ISNUMBER(S170),ISNUMBER(W170),X170&lt;&gt;""),S170*(W170*INDEX(LenF,MATCH($W$7,LenU,0)))^2*INDEX(LayoutF,MATCH(X170,LayoutU,0)),0))</f>
        <v>0</v>
      </c>
      <c r="AR170" s="27" t="n">
        <f aca="false">IF(ISNUMBER(O170),O170*INDEX(LenF,MATCH($O$7,LenU,0)),IF(ISNUMBER(V170),V170*INDEX(LenF,MATCH($V$7,LenU,0)),0))</f>
        <v>0</v>
      </c>
      <c r="AS170" s="27" t="str">
        <f aca="false">IF(ISNUMBER(L170),L170*INDEX(LenF,MATCH($L$7,LenU,0))*1000,IF(OR(J170="",K170=""),"",IFERROR(IF(INDEX(PipeWT,MATCH(J170,NPSU,0),MATCH(K170,SchU,0))="","Sch n/a",INDEX(PipeOD,MATCH(J170,NPSU,0))-2*INDEX(PipeWT,MATCH(J170,NPSU,0),MATCH(K170,SchU,0))),"")))</f>
        <v/>
      </c>
      <c r="AT170" s="27" t="n">
        <f aca="false">IF(ISNUMBER(AI170),AI170,IFERROR(INDEX(IF(CC_JobType="Decontamination",CC_TypeFillDC,CC_TypeFillCC),MATCH(E170,CC_TypeL,0)),1))</f>
        <v>1</v>
      </c>
      <c r="AU170" s="27" t="n">
        <v>5</v>
      </c>
    </row>
    <row r="171" customFormat="false" ht="15" hidden="false" customHeight="false" outlineLevel="0" collapsed="false">
      <c r="A171" s="36" t="n">
        <v>30</v>
      </c>
      <c r="B171" s="40"/>
      <c r="C171" s="32"/>
      <c r="D171" s="32"/>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1" t="str">
        <f aca="false">IF(E171="Exchanger",IF(AND(ISNUMBER(S171),ISNUMBER(U171),ISNUMBER(V171)),S171*PI()/4*(U171*INDEX(LenF,MATCH($U$7,LenU,0)))^2*V171*INDEX(LenF,MATCH($V$7,LenU,0)),0)+IF(ISNUMBER(Y171),PI()/4*(Y171*INDEX(LenF,MATCH($Y$7,LenU,0)))^2*N(Z171)*INDEX(LenF,MATCH($Z$7,LenU,0))+IF(AA171="",0,IF(AA171="Conical",PI()/12*(Y171*INDEX(LenF,MATCH($Y$7,LenU,0)))^2*(0),INDEX(HeadK,MATCH(AA171,HeadU,0))*(Y171*INDEX(LenF,MATCH($Y$7,LenU,0)))^3)),0)+IF(ISNUMBER(Y171),PI()/4*(Y171*INDEX(LenF,MATCH($Y$7,LenU,0)))^2*N(AB171)*INDEX(LenF,MATCH($AB$7,LenU,0))+IF(AC171="",0,IF(AC171="Conical",PI()/12*(Y171*INDEX(LenF,MATCH($Y$7,LenU,0)))^2*(0),INDEX(HeadK,MATCH(AC171,HeadU,0))*(Y171*INDEX(LenF,MATCH($Y$7,LenU,0)))^3)),0),"")</f>
        <v/>
      </c>
      <c r="AE171" s="41" t="str">
        <f aca="false">IF(OR(E171="",E171="Piping"),"",IF(E171="Exchanger",AQ171*AR171+IF(P171="",0,IF(P171="Conical",PI()/12*(SQRT(4*AQ171/PI()))^2*(0),INDEX(HeadK,MATCH(P171,HeadU,0))*(SQRT(4*AQ171/PI()))^3))-IF(AND(ISNUMBER(S171),ISNUMBER(V171)),S171*PI()/4*AP171^2*V171*INDEX(LenF,MATCH($V$7,LenU,0)),0),IF(ISNUMBER(N171),PI()/4*(N171*INDEX(LenF,MATCH($N$7,LenU,0)))^2*N(O171)*INDEX(LenF,MATCH($O$7,LenU,0))+IF(P171="",0,IF(P171="Conical",PI()/12*(N171*INDEX(LenF,MATCH($N$7,LenU,0)))^2*(N(R171)*INDEX(LenF,MATCH($R$7,LenU,0))),INDEX(HeadK,MATCH(P171,HeadU,0))*(N171*INDEX(LenF,MATCH($N$7,LenU,0)))^3))+IF(Q171="",0,IF(Q171="Conical",PI()/12*(N171*INDEX(LenF,MATCH($N$7,LenU,0)))^2*(N(R171)*INDEX(LenF,MATCH($R$7,LenU,0))),INDEX(HeadK,MATCH(Q171,HeadU,0))*(N171*INDEX(LenF,MATCH($N$7,LenU,0)))^3)),0)))</f>
        <v/>
      </c>
      <c r="AF171" s="41" t="str">
        <f aca="false">IF(E171&lt;&gt;"Piping","",IF(AND(ISNUMBER(AS171),ISNUMBER(M171)),PI()/4*(AS171/1000)^2*M171*INDEX(LenF,MATCH($M$7,LenU,0)),0))</f>
        <v/>
      </c>
      <c r="AG171" s="41" t="str">
        <f aca="false">IF(E171="","",N(AD171)+N(AE171)+N(AF171))</f>
        <v/>
      </c>
      <c r="AH171" s="41" t="str">
        <f aca="false">IF(ISNUMBER(I171),I171*INDEX(WtF,MATCH($I$7,WtU,0))/CC_WaterRho,"")</f>
        <v/>
      </c>
      <c r="AI171" s="31"/>
      <c r="AJ171" s="31"/>
      <c r="AK171" s="40"/>
      <c r="AL171" s="31"/>
      <c r="AM171" s="41" t="str">
        <f aca="false">IF(AO171="","",AO171*IF(ISNUMBER(AK171),AK171,CC_DefFills)*(1+IF(ISNUMBER(AL171),AL171,CC_DefAllow)))</f>
        <v/>
      </c>
      <c r="AN171" s="42" t="str">
        <f aca="false">IF(G171="Given volume",IF(ISNUMBER(H171),H171*INDEX(VolF,MATCH($H$7,VolU,0)),""),IF(G171="Water weight",AH171,IF(N(AG171)=0,"",AG171)))</f>
        <v/>
      </c>
      <c r="AO171" s="42" t="str">
        <f aca="false">IF(N(AN171)=0,"",AN171*AT171*IF(ISNUMBER(AJ171),AJ171,CC_DefCirc))</f>
        <v/>
      </c>
      <c r="AP171" s="27" t="n">
        <f aca="false">IF(ISNUMBER(T171),T171*INDEX(LenF,MATCH($T$7,LenU,0)),IF(ISNUMBER(W171),W171*INDEX(LenF,MATCH($W$7,LenU,0))/CC_PitchRatio,0))</f>
        <v>0</v>
      </c>
      <c r="AQ171" s="27" t="n">
        <f aca="false">IF(ISNUMBER(N171),PI()/4*(N171*INDEX(LenF,MATCH($N$7,LenU,0)))^2,IF(AND(ISNUMBER(S171),ISNUMBER(W171),X171&lt;&gt;""),S171*(W171*INDEX(LenF,MATCH($W$7,LenU,0)))^2*INDEX(LayoutF,MATCH(X171,LayoutU,0)),0))</f>
        <v>0</v>
      </c>
      <c r="AR171" s="27" t="n">
        <f aca="false">IF(ISNUMBER(O171),O171*INDEX(LenF,MATCH($O$7,LenU,0)),IF(ISNUMBER(V171),V171*INDEX(LenF,MATCH($V$7,LenU,0)),0))</f>
        <v>0</v>
      </c>
      <c r="AS171" s="27" t="str">
        <f aca="false">IF(ISNUMBER(L171),L171*INDEX(LenF,MATCH($L$7,LenU,0))*1000,IF(OR(J171="",K171=""),"",IFERROR(IF(INDEX(PipeWT,MATCH(J171,NPSU,0),MATCH(K171,SchU,0))="","Sch n/a",INDEX(PipeOD,MATCH(J171,NPSU,0))-2*INDEX(PipeWT,MATCH(J171,NPSU,0),MATCH(K171,SchU,0))),"")))</f>
        <v/>
      </c>
      <c r="AT171" s="27" t="n">
        <f aca="false">IF(ISNUMBER(AI171),AI171,IFERROR(INDEX(IF(CC_JobType="Decontamination",CC_TypeFillDC,CC_TypeFillCC),MATCH(E171,CC_TypeL,0)),1))</f>
        <v>1</v>
      </c>
      <c r="AU171" s="27" t="n">
        <v>5</v>
      </c>
    </row>
    <row r="172" customFormat="false" ht="15" hidden="false" customHeight="false" outlineLevel="0" collapsed="false">
      <c r="A172" s="44" t="str">
        <f aca="false">"TOTAL – "&amp;INDEX(CC_UnitNames,5)</f>
        <v>TOTAL – Unit 5</v>
      </c>
      <c r="B172" s="44"/>
      <c r="C172" s="44"/>
      <c r="D172" s="44"/>
      <c r="E172" s="45"/>
      <c r="F172" s="45"/>
      <c r="G172" s="45"/>
      <c r="H172" s="45"/>
      <c r="I172" s="45"/>
      <c r="J172" s="45"/>
      <c r="K172" s="45"/>
      <c r="L172" s="45"/>
      <c r="M172" s="45"/>
      <c r="N172" s="45"/>
      <c r="O172" s="45"/>
      <c r="P172" s="45"/>
      <c r="Q172" s="45"/>
      <c r="R172" s="45"/>
      <c r="S172" s="46" t="str">
        <f aca="false">COUNT(AN142:AN171)&amp;" items"</f>
        <v>0 items</v>
      </c>
      <c r="T172" s="45"/>
      <c r="U172" s="45"/>
      <c r="V172" s="45"/>
      <c r="W172" s="45"/>
      <c r="X172" s="45"/>
      <c r="Y172" s="45"/>
      <c r="Z172" s="45"/>
      <c r="AA172" s="45"/>
      <c r="AB172" s="45"/>
      <c r="AC172" s="45"/>
      <c r="AD172" s="47" t="n">
        <f aca="false">SUM(AD142:AD171)</f>
        <v>0</v>
      </c>
      <c r="AE172" s="47" t="n">
        <f aca="false">SUM(AE142:AE171)</f>
        <v>0</v>
      </c>
      <c r="AF172" s="47" t="n">
        <f aca="false">SUM(AF142:AF171)</f>
        <v>0</v>
      </c>
      <c r="AG172" s="47" t="n">
        <f aca="false">SUM(AG142:AG171)</f>
        <v>0</v>
      </c>
      <c r="AH172" s="47" t="n">
        <f aca="false">SUM(AH142:AH171)</f>
        <v>0</v>
      </c>
      <c r="AI172" s="45"/>
      <c r="AJ172" s="45"/>
      <c r="AK172" s="45"/>
      <c r="AL172" s="45"/>
      <c r="AM172" s="47" t="n">
        <f aca="false">SUM(AM142:AM171)</f>
        <v>0</v>
      </c>
      <c r="AN172" s="47" t="n">
        <f aca="false">SUM(AN142:AN171)</f>
        <v>0</v>
      </c>
      <c r="AO172" s="47" t="n">
        <f aca="false">SUM(AO142:AO171)</f>
        <v>0</v>
      </c>
    </row>
    <row r="174" customFormat="false" ht="15" hidden="false" customHeight="false" outlineLevel="0" collapsed="false">
      <c r="A174" s="38" t="str">
        <f aca="false">"UNIT 6:  "&amp;INDEX(CC_UnitNames,6)</f>
        <v>UNIT 6:  Unit 6</v>
      </c>
      <c r="B174" s="38"/>
      <c r="C174" s="38"/>
      <c r="D174" s="38"/>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row>
    <row r="175" customFormat="false" ht="15" hidden="false" customHeight="false" outlineLevel="0" collapsed="false">
      <c r="A175" s="36" t="n">
        <v>1</v>
      </c>
      <c r="B175" s="40"/>
      <c r="C175" s="32"/>
      <c r="D175" s="32"/>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1" t="str">
        <f aca="false">IF(E175="Exchanger",IF(AND(ISNUMBER(S175),ISNUMBER(U175),ISNUMBER(V175)),S175*PI()/4*(U175*INDEX(LenF,MATCH($U$7,LenU,0)))^2*V175*INDEX(LenF,MATCH($V$7,LenU,0)),0)+IF(ISNUMBER(Y175),PI()/4*(Y175*INDEX(LenF,MATCH($Y$7,LenU,0)))^2*N(Z175)*INDEX(LenF,MATCH($Z$7,LenU,0))+IF(AA175="",0,IF(AA175="Conical",PI()/12*(Y175*INDEX(LenF,MATCH($Y$7,LenU,0)))^2*(0),INDEX(HeadK,MATCH(AA175,HeadU,0))*(Y175*INDEX(LenF,MATCH($Y$7,LenU,0)))^3)),0)+IF(ISNUMBER(Y175),PI()/4*(Y175*INDEX(LenF,MATCH($Y$7,LenU,0)))^2*N(AB175)*INDEX(LenF,MATCH($AB$7,LenU,0))+IF(AC175="",0,IF(AC175="Conical",PI()/12*(Y175*INDEX(LenF,MATCH($Y$7,LenU,0)))^2*(0),INDEX(HeadK,MATCH(AC175,HeadU,0))*(Y175*INDEX(LenF,MATCH($Y$7,LenU,0)))^3)),0),"")</f>
        <v/>
      </c>
      <c r="AE175" s="41" t="str">
        <f aca="false">IF(OR(E175="",E175="Piping"),"",IF(E175="Exchanger",AQ175*AR175+IF(P175="",0,IF(P175="Conical",PI()/12*(SQRT(4*AQ175/PI()))^2*(0),INDEX(HeadK,MATCH(P175,HeadU,0))*(SQRT(4*AQ175/PI()))^3))-IF(AND(ISNUMBER(S175),ISNUMBER(V175)),S175*PI()/4*AP175^2*V175*INDEX(LenF,MATCH($V$7,LenU,0)),0),IF(ISNUMBER(N175),PI()/4*(N175*INDEX(LenF,MATCH($N$7,LenU,0)))^2*N(O175)*INDEX(LenF,MATCH($O$7,LenU,0))+IF(P175="",0,IF(P175="Conical",PI()/12*(N175*INDEX(LenF,MATCH($N$7,LenU,0)))^2*(N(R175)*INDEX(LenF,MATCH($R$7,LenU,0))),INDEX(HeadK,MATCH(P175,HeadU,0))*(N175*INDEX(LenF,MATCH($N$7,LenU,0)))^3))+IF(Q175="",0,IF(Q175="Conical",PI()/12*(N175*INDEX(LenF,MATCH($N$7,LenU,0)))^2*(N(R175)*INDEX(LenF,MATCH($R$7,LenU,0))),INDEX(HeadK,MATCH(Q175,HeadU,0))*(N175*INDEX(LenF,MATCH($N$7,LenU,0)))^3)),0)))</f>
        <v/>
      </c>
      <c r="AF175" s="41" t="str">
        <f aca="false">IF(E175&lt;&gt;"Piping","",IF(AND(ISNUMBER(AS175),ISNUMBER(M175)),PI()/4*(AS175/1000)^2*M175*INDEX(LenF,MATCH($M$7,LenU,0)),0))</f>
        <v/>
      </c>
      <c r="AG175" s="41" t="str">
        <f aca="false">IF(E175="","",N(AD175)+N(AE175)+N(AF175))</f>
        <v/>
      </c>
      <c r="AH175" s="41" t="str">
        <f aca="false">IF(ISNUMBER(I175),I175*INDEX(WtF,MATCH($I$7,WtU,0))/CC_WaterRho,"")</f>
        <v/>
      </c>
      <c r="AI175" s="31"/>
      <c r="AJ175" s="31"/>
      <c r="AK175" s="40"/>
      <c r="AL175" s="31"/>
      <c r="AM175" s="41" t="str">
        <f aca="false">IF(AO175="","",AO175*IF(ISNUMBER(AK175),AK175,CC_DefFills)*(1+IF(ISNUMBER(AL175),AL175,CC_DefAllow)))</f>
        <v/>
      </c>
      <c r="AN175" s="42" t="str">
        <f aca="false">IF(G175="Given volume",IF(ISNUMBER(H175),H175*INDEX(VolF,MATCH($H$7,VolU,0)),""),IF(G175="Water weight",AH175,IF(N(AG175)=0,"",AG175)))</f>
        <v/>
      </c>
      <c r="AO175" s="42" t="str">
        <f aca="false">IF(N(AN175)=0,"",AN175*AT175*IF(ISNUMBER(AJ175),AJ175,CC_DefCirc))</f>
        <v/>
      </c>
      <c r="AP175" s="27" t="n">
        <f aca="false">IF(ISNUMBER(T175),T175*INDEX(LenF,MATCH($T$7,LenU,0)),IF(ISNUMBER(W175),W175*INDEX(LenF,MATCH($W$7,LenU,0))/CC_PitchRatio,0))</f>
        <v>0</v>
      </c>
      <c r="AQ175" s="27" t="n">
        <f aca="false">IF(ISNUMBER(N175),PI()/4*(N175*INDEX(LenF,MATCH($N$7,LenU,0)))^2,IF(AND(ISNUMBER(S175),ISNUMBER(W175),X175&lt;&gt;""),S175*(W175*INDEX(LenF,MATCH($W$7,LenU,0)))^2*INDEX(LayoutF,MATCH(X175,LayoutU,0)),0))</f>
        <v>0</v>
      </c>
      <c r="AR175" s="27" t="n">
        <f aca="false">IF(ISNUMBER(O175),O175*INDEX(LenF,MATCH($O$7,LenU,0)),IF(ISNUMBER(V175),V175*INDEX(LenF,MATCH($V$7,LenU,0)),0))</f>
        <v>0</v>
      </c>
      <c r="AS175" s="27" t="str">
        <f aca="false">IF(ISNUMBER(L175),L175*INDEX(LenF,MATCH($L$7,LenU,0))*1000,IF(OR(J175="",K175=""),"",IFERROR(IF(INDEX(PipeWT,MATCH(J175,NPSU,0),MATCH(K175,SchU,0))="","Sch n/a",INDEX(PipeOD,MATCH(J175,NPSU,0))-2*INDEX(PipeWT,MATCH(J175,NPSU,0),MATCH(K175,SchU,0))),"")))</f>
        <v/>
      </c>
      <c r="AT175" s="27" t="n">
        <f aca="false">IF(ISNUMBER(AI175),AI175,IFERROR(INDEX(IF(CC_JobType="Decontamination",CC_TypeFillDC,CC_TypeFillCC),MATCH(E175,CC_TypeL,0)),1))</f>
        <v>1</v>
      </c>
      <c r="AU175" s="27" t="n">
        <v>6</v>
      </c>
    </row>
    <row r="176" customFormat="false" ht="15" hidden="false" customHeight="false" outlineLevel="0" collapsed="false">
      <c r="A176" s="36" t="n">
        <v>2</v>
      </c>
      <c r="B176" s="40"/>
      <c r="C176" s="32"/>
      <c r="D176" s="32"/>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1" t="str">
        <f aca="false">IF(E176="Exchanger",IF(AND(ISNUMBER(S176),ISNUMBER(U176),ISNUMBER(V176)),S176*PI()/4*(U176*INDEX(LenF,MATCH($U$7,LenU,0)))^2*V176*INDEX(LenF,MATCH($V$7,LenU,0)),0)+IF(ISNUMBER(Y176),PI()/4*(Y176*INDEX(LenF,MATCH($Y$7,LenU,0)))^2*N(Z176)*INDEX(LenF,MATCH($Z$7,LenU,0))+IF(AA176="",0,IF(AA176="Conical",PI()/12*(Y176*INDEX(LenF,MATCH($Y$7,LenU,0)))^2*(0),INDEX(HeadK,MATCH(AA176,HeadU,0))*(Y176*INDEX(LenF,MATCH($Y$7,LenU,0)))^3)),0)+IF(ISNUMBER(Y176),PI()/4*(Y176*INDEX(LenF,MATCH($Y$7,LenU,0)))^2*N(AB176)*INDEX(LenF,MATCH($AB$7,LenU,0))+IF(AC176="",0,IF(AC176="Conical",PI()/12*(Y176*INDEX(LenF,MATCH($Y$7,LenU,0)))^2*(0),INDEX(HeadK,MATCH(AC176,HeadU,0))*(Y176*INDEX(LenF,MATCH($Y$7,LenU,0)))^3)),0),"")</f>
        <v/>
      </c>
      <c r="AE176" s="41" t="str">
        <f aca="false">IF(OR(E176="",E176="Piping"),"",IF(E176="Exchanger",AQ176*AR176+IF(P176="",0,IF(P176="Conical",PI()/12*(SQRT(4*AQ176/PI()))^2*(0),INDEX(HeadK,MATCH(P176,HeadU,0))*(SQRT(4*AQ176/PI()))^3))-IF(AND(ISNUMBER(S176),ISNUMBER(V176)),S176*PI()/4*AP176^2*V176*INDEX(LenF,MATCH($V$7,LenU,0)),0),IF(ISNUMBER(N176),PI()/4*(N176*INDEX(LenF,MATCH($N$7,LenU,0)))^2*N(O176)*INDEX(LenF,MATCH($O$7,LenU,0))+IF(P176="",0,IF(P176="Conical",PI()/12*(N176*INDEX(LenF,MATCH($N$7,LenU,0)))^2*(N(R176)*INDEX(LenF,MATCH($R$7,LenU,0))),INDEX(HeadK,MATCH(P176,HeadU,0))*(N176*INDEX(LenF,MATCH($N$7,LenU,0)))^3))+IF(Q176="",0,IF(Q176="Conical",PI()/12*(N176*INDEX(LenF,MATCH($N$7,LenU,0)))^2*(N(R176)*INDEX(LenF,MATCH($R$7,LenU,0))),INDEX(HeadK,MATCH(Q176,HeadU,0))*(N176*INDEX(LenF,MATCH($N$7,LenU,0)))^3)),0)))</f>
        <v/>
      </c>
      <c r="AF176" s="41" t="str">
        <f aca="false">IF(E176&lt;&gt;"Piping","",IF(AND(ISNUMBER(AS176),ISNUMBER(M176)),PI()/4*(AS176/1000)^2*M176*INDEX(LenF,MATCH($M$7,LenU,0)),0))</f>
        <v/>
      </c>
      <c r="AG176" s="41" t="str">
        <f aca="false">IF(E176="","",N(AD176)+N(AE176)+N(AF176))</f>
        <v/>
      </c>
      <c r="AH176" s="41" t="str">
        <f aca="false">IF(ISNUMBER(I176),I176*INDEX(WtF,MATCH($I$7,WtU,0))/CC_WaterRho,"")</f>
        <v/>
      </c>
      <c r="AI176" s="31"/>
      <c r="AJ176" s="31"/>
      <c r="AK176" s="40"/>
      <c r="AL176" s="31"/>
      <c r="AM176" s="41" t="str">
        <f aca="false">IF(AO176="","",AO176*IF(ISNUMBER(AK176),AK176,CC_DefFills)*(1+IF(ISNUMBER(AL176),AL176,CC_DefAllow)))</f>
        <v/>
      </c>
      <c r="AN176" s="42" t="str">
        <f aca="false">IF(G176="Given volume",IF(ISNUMBER(H176),H176*INDEX(VolF,MATCH($H$7,VolU,0)),""),IF(G176="Water weight",AH176,IF(N(AG176)=0,"",AG176)))</f>
        <v/>
      </c>
      <c r="AO176" s="42" t="str">
        <f aca="false">IF(N(AN176)=0,"",AN176*AT176*IF(ISNUMBER(AJ176),AJ176,CC_DefCirc))</f>
        <v/>
      </c>
      <c r="AP176" s="27" t="n">
        <f aca="false">IF(ISNUMBER(T176),T176*INDEX(LenF,MATCH($T$7,LenU,0)),IF(ISNUMBER(W176),W176*INDEX(LenF,MATCH($W$7,LenU,0))/CC_PitchRatio,0))</f>
        <v>0</v>
      </c>
      <c r="AQ176" s="27" t="n">
        <f aca="false">IF(ISNUMBER(N176),PI()/4*(N176*INDEX(LenF,MATCH($N$7,LenU,0)))^2,IF(AND(ISNUMBER(S176),ISNUMBER(W176),X176&lt;&gt;""),S176*(W176*INDEX(LenF,MATCH($W$7,LenU,0)))^2*INDEX(LayoutF,MATCH(X176,LayoutU,0)),0))</f>
        <v>0</v>
      </c>
      <c r="AR176" s="27" t="n">
        <f aca="false">IF(ISNUMBER(O176),O176*INDEX(LenF,MATCH($O$7,LenU,0)),IF(ISNUMBER(V176),V176*INDEX(LenF,MATCH($V$7,LenU,0)),0))</f>
        <v>0</v>
      </c>
      <c r="AS176" s="27" t="str">
        <f aca="false">IF(ISNUMBER(L176),L176*INDEX(LenF,MATCH($L$7,LenU,0))*1000,IF(OR(J176="",K176=""),"",IFERROR(IF(INDEX(PipeWT,MATCH(J176,NPSU,0),MATCH(K176,SchU,0))="","Sch n/a",INDEX(PipeOD,MATCH(J176,NPSU,0))-2*INDEX(PipeWT,MATCH(J176,NPSU,0),MATCH(K176,SchU,0))),"")))</f>
        <v/>
      </c>
      <c r="AT176" s="27" t="n">
        <f aca="false">IF(ISNUMBER(AI176),AI176,IFERROR(INDEX(IF(CC_JobType="Decontamination",CC_TypeFillDC,CC_TypeFillCC),MATCH(E176,CC_TypeL,0)),1))</f>
        <v>1</v>
      </c>
      <c r="AU176" s="27" t="n">
        <v>6</v>
      </c>
    </row>
    <row r="177" customFormat="false" ht="15" hidden="false" customHeight="false" outlineLevel="0" collapsed="false">
      <c r="A177" s="36" t="n">
        <v>3</v>
      </c>
      <c r="B177" s="40"/>
      <c r="C177" s="32"/>
      <c r="D177" s="32"/>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1" t="str">
        <f aca="false">IF(E177="Exchanger",IF(AND(ISNUMBER(S177),ISNUMBER(U177),ISNUMBER(V177)),S177*PI()/4*(U177*INDEX(LenF,MATCH($U$7,LenU,0)))^2*V177*INDEX(LenF,MATCH($V$7,LenU,0)),0)+IF(ISNUMBER(Y177),PI()/4*(Y177*INDEX(LenF,MATCH($Y$7,LenU,0)))^2*N(Z177)*INDEX(LenF,MATCH($Z$7,LenU,0))+IF(AA177="",0,IF(AA177="Conical",PI()/12*(Y177*INDEX(LenF,MATCH($Y$7,LenU,0)))^2*(0),INDEX(HeadK,MATCH(AA177,HeadU,0))*(Y177*INDEX(LenF,MATCH($Y$7,LenU,0)))^3)),0)+IF(ISNUMBER(Y177),PI()/4*(Y177*INDEX(LenF,MATCH($Y$7,LenU,0)))^2*N(AB177)*INDEX(LenF,MATCH($AB$7,LenU,0))+IF(AC177="",0,IF(AC177="Conical",PI()/12*(Y177*INDEX(LenF,MATCH($Y$7,LenU,0)))^2*(0),INDEX(HeadK,MATCH(AC177,HeadU,0))*(Y177*INDEX(LenF,MATCH($Y$7,LenU,0)))^3)),0),"")</f>
        <v/>
      </c>
      <c r="AE177" s="41" t="str">
        <f aca="false">IF(OR(E177="",E177="Piping"),"",IF(E177="Exchanger",AQ177*AR177+IF(P177="",0,IF(P177="Conical",PI()/12*(SQRT(4*AQ177/PI()))^2*(0),INDEX(HeadK,MATCH(P177,HeadU,0))*(SQRT(4*AQ177/PI()))^3))-IF(AND(ISNUMBER(S177),ISNUMBER(V177)),S177*PI()/4*AP177^2*V177*INDEX(LenF,MATCH($V$7,LenU,0)),0),IF(ISNUMBER(N177),PI()/4*(N177*INDEX(LenF,MATCH($N$7,LenU,0)))^2*N(O177)*INDEX(LenF,MATCH($O$7,LenU,0))+IF(P177="",0,IF(P177="Conical",PI()/12*(N177*INDEX(LenF,MATCH($N$7,LenU,0)))^2*(N(R177)*INDEX(LenF,MATCH($R$7,LenU,0))),INDEX(HeadK,MATCH(P177,HeadU,0))*(N177*INDEX(LenF,MATCH($N$7,LenU,0)))^3))+IF(Q177="",0,IF(Q177="Conical",PI()/12*(N177*INDEX(LenF,MATCH($N$7,LenU,0)))^2*(N(R177)*INDEX(LenF,MATCH($R$7,LenU,0))),INDEX(HeadK,MATCH(Q177,HeadU,0))*(N177*INDEX(LenF,MATCH($N$7,LenU,0)))^3)),0)))</f>
        <v/>
      </c>
      <c r="AF177" s="41" t="str">
        <f aca="false">IF(E177&lt;&gt;"Piping","",IF(AND(ISNUMBER(AS177),ISNUMBER(M177)),PI()/4*(AS177/1000)^2*M177*INDEX(LenF,MATCH($M$7,LenU,0)),0))</f>
        <v/>
      </c>
      <c r="AG177" s="41" t="str">
        <f aca="false">IF(E177="","",N(AD177)+N(AE177)+N(AF177))</f>
        <v/>
      </c>
      <c r="AH177" s="41" t="str">
        <f aca="false">IF(ISNUMBER(I177),I177*INDEX(WtF,MATCH($I$7,WtU,0))/CC_WaterRho,"")</f>
        <v/>
      </c>
      <c r="AI177" s="31"/>
      <c r="AJ177" s="31"/>
      <c r="AK177" s="40"/>
      <c r="AL177" s="31"/>
      <c r="AM177" s="41" t="str">
        <f aca="false">IF(AO177="","",AO177*IF(ISNUMBER(AK177),AK177,CC_DefFills)*(1+IF(ISNUMBER(AL177),AL177,CC_DefAllow)))</f>
        <v/>
      </c>
      <c r="AN177" s="42" t="str">
        <f aca="false">IF(G177="Given volume",IF(ISNUMBER(H177),H177*INDEX(VolF,MATCH($H$7,VolU,0)),""),IF(G177="Water weight",AH177,IF(N(AG177)=0,"",AG177)))</f>
        <v/>
      </c>
      <c r="AO177" s="42" t="str">
        <f aca="false">IF(N(AN177)=0,"",AN177*AT177*IF(ISNUMBER(AJ177),AJ177,CC_DefCirc))</f>
        <v/>
      </c>
      <c r="AP177" s="27" t="n">
        <f aca="false">IF(ISNUMBER(T177),T177*INDEX(LenF,MATCH($T$7,LenU,0)),IF(ISNUMBER(W177),W177*INDEX(LenF,MATCH($W$7,LenU,0))/CC_PitchRatio,0))</f>
        <v>0</v>
      </c>
      <c r="AQ177" s="27" t="n">
        <f aca="false">IF(ISNUMBER(N177),PI()/4*(N177*INDEX(LenF,MATCH($N$7,LenU,0)))^2,IF(AND(ISNUMBER(S177),ISNUMBER(W177),X177&lt;&gt;""),S177*(W177*INDEX(LenF,MATCH($W$7,LenU,0)))^2*INDEX(LayoutF,MATCH(X177,LayoutU,0)),0))</f>
        <v>0</v>
      </c>
      <c r="AR177" s="27" t="n">
        <f aca="false">IF(ISNUMBER(O177),O177*INDEX(LenF,MATCH($O$7,LenU,0)),IF(ISNUMBER(V177),V177*INDEX(LenF,MATCH($V$7,LenU,0)),0))</f>
        <v>0</v>
      </c>
      <c r="AS177" s="27" t="str">
        <f aca="false">IF(ISNUMBER(L177),L177*INDEX(LenF,MATCH($L$7,LenU,0))*1000,IF(OR(J177="",K177=""),"",IFERROR(IF(INDEX(PipeWT,MATCH(J177,NPSU,0),MATCH(K177,SchU,0))="","Sch n/a",INDEX(PipeOD,MATCH(J177,NPSU,0))-2*INDEX(PipeWT,MATCH(J177,NPSU,0),MATCH(K177,SchU,0))),"")))</f>
        <v/>
      </c>
      <c r="AT177" s="27" t="n">
        <f aca="false">IF(ISNUMBER(AI177),AI177,IFERROR(INDEX(IF(CC_JobType="Decontamination",CC_TypeFillDC,CC_TypeFillCC),MATCH(E177,CC_TypeL,0)),1))</f>
        <v>1</v>
      </c>
      <c r="AU177" s="27" t="n">
        <v>6</v>
      </c>
    </row>
    <row r="178" customFormat="false" ht="15" hidden="false" customHeight="false" outlineLevel="0" collapsed="false">
      <c r="A178" s="36" t="n">
        <v>4</v>
      </c>
      <c r="B178" s="40"/>
      <c r="C178" s="32"/>
      <c r="D178" s="32"/>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1" t="str">
        <f aca="false">IF(E178="Exchanger",IF(AND(ISNUMBER(S178),ISNUMBER(U178),ISNUMBER(V178)),S178*PI()/4*(U178*INDEX(LenF,MATCH($U$7,LenU,0)))^2*V178*INDEX(LenF,MATCH($V$7,LenU,0)),0)+IF(ISNUMBER(Y178),PI()/4*(Y178*INDEX(LenF,MATCH($Y$7,LenU,0)))^2*N(Z178)*INDEX(LenF,MATCH($Z$7,LenU,0))+IF(AA178="",0,IF(AA178="Conical",PI()/12*(Y178*INDEX(LenF,MATCH($Y$7,LenU,0)))^2*(0),INDEX(HeadK,MATCH(AA178,HeadU,0))*(Y178*INDEX(LenF,MATCH($Y$7,LenU,0)))^3)),0)+IF(ISNUMBER(Y178),PI()/4*(Y178*INDEX(LenF,MATCH($Y$7,LenU,0)))^2*N(AB178)*INDEX(LenF,MATCH($AB$7,LenU,0))+IF(AC178="",0,IF(AC178="Conical",PI()/12*(Y178*INDEX(LenF,MATCH($Y$7,LenU,0)))^2*(0),INDEX(HeadK,MATCH(AC178,HeadU,0))*(Y178*INDEX(LenF,MATCH($Y$7,LenU,0)))^3)),0),"")</f>
        <v/>
      </c>
      <c r="AE178" s="41" t="str">
        <f aca="false">IF(OR(E178="",E178="Piping"),"",IF(E178="Exchanger",AQ178*AR178+IF(P178="",0,IF(P178="Conical",PI()/12*(SQRT(4*AQ178/PI()))^2*(0),INDEX(HeadK,MATCH(P178,HeadU,0))*(SQRT(4*AQ178/PI()))^3))-IF(AND(ISNUMBER(S178),ISNUMBER(V178)),S178*PI()/4*AP178^2*V178*INDEX(LenF,MATCH($V$7,LenU,0)),0),IF(ISNUMBER(N178),PI()/4*(N178*INDEX(LenF,MATCH($N$7,LenU,0)))^2*N(O178)*INDEX(LenF,MATCH($O$7,LenU,0))+IF(P178="",0,IF(P178="Conical",PI()/12*(N178*INDEX(LenF,MATCH($N$7,LenU,0)))^2*(N(R178)*INDEX(LenF,MATCH($R$7,LenU,0))),INDEX(HeadK,MATCH(P178,HeadU,0))*(N178*INDEX(LenF,MATCH($N$7,LenU,0)))^3))+IF(Q178="",0,IF(Q178="Conical",PI()/12*(N178*INDEX(LenF,MATCH($N$7,LenU,0)))^2*(N(R178)*INDEX(LenF,MATCH($R$7,LenU,0))),INDEX(HeadK,MATCH(Q178,HeadU,0))*(N178*INDEX(LenF,MATCH($N$7,LenU,0)))^3)),0)))</f>
        <v/>
      </c>
      <c r="AF178" s="41" t="str">
        <f aca="false">IF(E178&lt;&gt;"Piping","",IF(AND(ISNUMBER(AS178),ISNUMBER(M178)),PI()/4*(AS178/1000)^2*M178*INDEX(LenF,MATCH($M$7,LenU,0)),0))</f>
        <v/>
      </c>
      <c r="AG178" s="41" t="str">
        <f aca="false">IF(E178="","",N(AD178)+N(AE178)+N(AF178))</f>
        <v/>
      </c>
      <c r="AH178" s="41" t="str">
        <f aca="false">IF(ISNUMBER(I178),I178*INDEX(WtF,MATCH($I$7,WtU,0))/CC_WaterRho,"")</f>
        <v/>
      </c>
      <c r="AI178" s="31"/>
      <c r="AJ178" s="31"/>
      <c r="AK178" s="40"/>
      <c r="AL178" s="31"/>
      <c r="AM178" s="41" t="str">
        <f aca="false">IF(AO178="","",AO178*IF(ISNUMBER(AK178),AK178,CC_DefFills)*(1+IF(ISNUMBER(AL178),AL178,CC_DefAllow)))</f>
        <v/>
      </c>
      <c r="AN178" s="42" t="str">
        <f aca="false">IF(G178="Given volume",IF(ISNUMBER(H178),H178*INDEX(VolF,MATCH($H$7,VolU,0)),""),IF(G178="Water weight",AH178,IF(N(AG178)=0,"",AG178)))</f>
        <v/>
      </c>
      <c r="AO178" s="42" t="str">
        <f aca="false">IF(N(AN178)=0,"",AN178*AT178*IF(ISNUMBER(AJ178),AJ178,CC_DefCirc))</f>
        <v/>
      </c>
      <c r="AP178" s="27" t="n">
        <f aca="false">IF(ISNUMBER(T178),T178*INDEX(LenF,MATCH($T$7,LenU,0)),IF(ISNUMBER(W178),W178*INDEX(LenF,MATCH($W$7,LenU,0))/CC_PitchRatio,0))</f>
        <v>0</v>
      </c>
      <c r="AQ178" s="27" t="n">
        <f aca="false">IF(ISNUMBER(N178),PI()/4*(N178*INDEX(LenF,MATCH($N$7,LenU,0)))^2,IF(AND(ISNUMBER(S178),ISNUMBER(W178),X178&lt;&gt;""),S178*(W178*INDEX(LenF,MATCH($W$7,LenU,0)))^2*INDEX(LayoutF,MATCH(X178,LayoutU,0)),0))</f>
        <v>0</v>
      </c>
      <c r="AR178" s="27" t="n">
        <f aca="false">IF(ISNUMBER(O178),O178*INDEX(LenF,MATCH($O$7,LenU,0)),IF(ISNUMBER(V178),V178*INDEX(LenF,MATCH($V$7,LenU,0)),0))</f>
        <v>0</v>
      </c>
      <c r="AS178" s="27" t="str">
        <f aca="false">IF(ISNUMBER(L178),L178*INDEX(LenF,MATCH($L$7,LenU,0))*1000,IF(OR(J178="",K178=""),"",IFERROR(IF(INDEX(PipeWT,MATCH(J178,NPSU,0),MATCH(K178,SchU,0))="","Sch n/a",INDEX(PipeOD,MATCH(J178,NPSU,0))-2*INDEX(PipeWT,MATCH(J178,NPSU,0),MATCH(K178,SchU,0))),"")))</f>
        <v/>
      </c>
      <c r="AT178" s="27" t="n">
        <f aca="false">IF(ISNUMBER(AI178),AI178,IFERROR(INDEX(IF(CC_JobType="Decontamination",CC_TypeFillDC,CC_TypeFillCC),MATCH(E178,CC_TypeL,0)),1))</f>
        <v>1</v>
      </c>
      <c r="AU178" s="27" t="n">
        <v>6</v>
      </c>
    </row>
    <row r="179" customFormat="false" ht="15" hidden="false" customHeight="false" outlineLevel="0" collapsed="false">
      <c r="A179" s="36" t="n">
        <v>5</v>
      </c>
      <c r="B179" s="40"/>
      <c r="C179" s="32"/>
      <c r="D179" s="32"/>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1" t="str">
        <f aca="false">IF(E179="Exchanger",IF(AND(ISNUMBER(S179),ISNUMBER(U179),ISNUMBER(V179)),S179*PI()/4*(U179*INDEX(LenF,MATCH($U$7,LenU,0)))^2*V179*INDEX(LenF,MATCH($V$7,LenU,0)),0)+IF(ISNUMBER(Y179),PI()/4*(Y179*INDEX(LenF,MATCH($Y$7,LenU,0)))^2*N(Z179)*INDEX(LenF,MATCH($Z$7,LenU,0))+IF(AA179="",0,IF(AA179="Conical",PI()/12*(Y179*INDEX(LenF,MATCH($Y$7,LenU,0)))^2*(0),INDEX(HeadK,MATCH(AA179,HeadU,0))*(Y179*INDEX(LenF,MATCH($Y$7,LenU,0)))^3)),0)+IF(ISNUMBER(Y179),PI()/4*(Y179*INDEX(LenF,MATCH($Y$7,LenU,0)))^2*N(AB179)*INDEX(LenF,MATCH($AB$7,LenU,0))+IF(AC179="",0,IF(AC179="Conical",PI()/12*(Y179*INDEX(LenF,MATCH($Y$7,LenU,0)))^2*(0),INDEX(HeadK,MATCH(AC179,HeadU,0))*(Y179*INDEX(LenF,MATCH($Y$7,LenU,0)))^3)),0),"")</f>
        <v/>
      </c>
      <c r="AE179" s="41" t="str">
        <f aca="false">IF(OR(E179="",E179="Piping"),"",IF(E179="Exchanger",AQ179*AR179+IF(P179="",0,IF(P179="Conical",PI()/12*(SQRT(4*AQ179/PI()))^2*(0),INDEX(HeadK,MATCH(P179,HeadU,0))*(SQRT(4*AQ179/PI()))^3))-IF(AND(ISNUMBER(S179),ISNUMBER(V179)),S179*PI()/4*AP179^2*V179*INDEX(LenF,MATCH($V$7,LenU,0)),0),IF(ISNUMBER(N179),PI()/4*(N179*INDEX(LenF,MATCH($N$7,LenU,0)))^2*N(O179)*INDEX(LenF,MATCH($O$7,LenU,0))+IF(P179="",0,IF(P179="Conical",PI()/12*(N179*INDEX(LenF,MATCH($N$7,LenU,0)))^2*(N(R179)*INDEX(LenF,MATCH($R$7,LenU,0))),INDEX(HeadK,MATCH(P179,HeadU,0))*(N179*INDEX(LenF,MATCH($N$7,LenU,0)))^3))+IF(Q179="",0,IF(Q179="Conical",PI()/12*(N179*INDEX(LenF,MATCH($N$7,LenU,0)))^2*(N(R179)*INDEX(LenF,MATCH($R$7,LenU,0))),INDEX(HeadK,MATCH(Q179,HeadU,0))*(N179*INDEX(LenF,MATCH($N$7,LenU,0)))^3)),0)))</f>
        <v/>
      </c>
      <c r="AF179" s="41" t="str">
        <f aca="false">IF(E179&lt;&gt;"Piping","",IF(AND(ISNUMBER(AS179),ISNUMBER(M179)),PI()/4*(AS179/1000)^2*M179*INDEX(LenF,MATCH($M$7,LenU,0)),0))</f>
        <v/>
      </c>
      <c r="AG179" s="41" t="str">
        <f aca="false">IF(E179="","",N(AD179)+N(AE179)+N(AF179))</f>
        <v/>
      </c>
      <c r="AH179" s="41" t="str">
        <f aca="false">IF(ISNUMBER(I179),I179*INDEX(WtF,MATCH($I$7,WtU,0))/CC_WaterRho,"")</f>
        <v/>
      </c>
      <c r="AI179" s="31"/>
      <c r="AJ179" s="31"/>
      <c r="AK179" s="40"/>
      <c r="AL179" s="31"/>
      <c r="AM179" s="41" t="str">
        <f aca="false">IF(AO179="","",AO179*IF(ISNUMBER(AK179),AK179,CC_DefFills)*(1+IF(ISNUMBER(AL179),AL179,CC_DefAllow)))</f>
        <v/>
      </c>
      <c r="AN179" s="42" t="str">
        <f aca="false">IF(G179="Given volume",IF(ISNUMBER(H179),H179*INDEX(VolF,MATCH($H$7,VolU,0)),""),IF(G179="Water weight",AH179,IF(N(AG179)=0,"",AG179)))</f>
        <v/>
      </c>
      <c r="AO179" s="42" t="str">
        <f aca="false">IF(N(AN179)=0,"",AN179*AT179*IF(ISNUMBER(AJ179),AJ179,CC_DefCirc))</f>
        <v/>
      </c>
      <c r="AP179" s="27" t="n">
        <f aca="false">IF(ISNUMBER(T179),T179*INDEX(LenF,MATCH($T$7,LenU,0)),IF(ISNUMBER(W179),W179*INDEX(LenF,MATCH($W$7,LenU,0))/CC_PitchRatio,0))</f>
        <v>0</v>
      </c>
      <c r="AQ179" s="27" t="n">
        <f aca="false">IF(ISNUMBER(N179),PI()/4*(N179*INDEX(LenF,MATCH($N$7,LenU,0)))^2,IF(AND(ISNUMBER(S179),ISNUMBER(W179),X179&lt;&gt;""),S179*(W179*INDEX(LenF,MATCH($W$7,LenU,0)))^2*INDEX(LayoutF,MATCH(X179,LayoutU,0)),0))</f>
        <v>0</v>
      </c>
      <c r="AR179" s="27" t="n">
        <f aca="false">IF(ISNUMBER(O179),O179*INDEX(LenF,MATCH($O$7,LenU,0)),IF(ISNUMBER(V179),V179*INDEX(LenF,MATCH($V$7,LenU,0)),0))</f>
        <v>0</v>
      </c>
      <c r="AS179" s="27" t="str">
        <f aca="false">IF(ISNUMBER(L179),L179*INDEX(LenF,MATCH($L$7,LenU,0))*1000,IF(OR(J179="",K179=""),"",IFERROR(IF(INDEX(PipeWT,MATCH(J179,NPSU,0),MATCH(K179,SchU,0))="","Sch n/a",INDEX(PipeOD,MATCH(J179,NPSU,0))-2*INDEX(PipeWT,MATCH(J179,NPSU,0),MATCH(K179,SchU,0))),"")))</f>
        <v/>
      </c>
      <c r="AT179" s="27" t="n">
        <f aca="false">IF(ISNUMBER(AI179),AI179,IFERROR(INDEX(IF(CC_JobType="Decontamination",CC_TypeFillDC,CC_TypeFillCC),MATCH(E179,CC_TypeL,0)),1))</f>
        <v>1</v>
      </c>
      <c r="AU179" s="27" t="n">
        <v>6</v>
      </c>
    </row>
    <row r="180" customFormat="false" ht="15" hidden="false" customHeight="false" outlineLevel="0" collapsed="false">
      <c r="A180" s="36" t="n">
        <v>6</v>
      </c>
      <c r="B180" s="40"/>
      <c r="C180" s="32"/>
      <c r="D180" s="32"/>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1" t="str">
        <f aca="false">IF(E180="Exchanger",IF(AND(ISNUMBER(S180),ISNUMBER(U180),ISNUMBER(V180)),S180*PI()/4*(U180*INDEX(LenF,MATCH($U$7,LenU,0)))^2*V180*INDEX(LenF,MATCH($V$7,LenU,0)),0)+IF(ISNUMBER(Y180),PI()/4*(Y180*INDEX(LenF,MATCH($Y$7,LenU,0)))^2*N(Z180)*INDEX(LenF,MATCH($Z$7,LenU,0))+IF(AA180="",0,IF(AA180="Conical",PI()/12*(Y180*INDEX(LenF,MATCH($Y$7,LenU,0)))^2*(0),INDEX(HeadK,MATCH(AA180,HeadU,0))*(Y180*INDEX(LenF,MATCH($Y$7,LenU,0)))^3)),0)+IF(ISNUMBER(Y180),PI()/4*(Y180*INDEX(LenF,MATCH($Y$7,LenU,0)))^2*N(AB180)*INDEX(LenF,MATCH($AB$7,LenU,0))+IF(AC180="",0,IF(AC180="Conical",PI()/12*(Y180*INDEX(LenF,MATCH($Y$7,LenU,0)))^2*(0),INDEX(HeadK,MATCH(AC180,HeadU,0))*(Y180*INDEX(LenF,MATCH($Y$7,LenU,0)))^3)),0),"")</f>
        <v/>
      </c>
      <c r="AE180" s="41" t="str">
        <f aca="false">IF(OR(E180="",E180="Piping"),"",IF(E180="Exchanger",AQ180*AR180+IF(P180="",0,IF(P180="Conical",PI()/12*(SQRT(4*AQ180/PI()))^2*(0),INDEX(HeadK,MATCH(P180,HeadU,0))*(SQRT(4*AQ180/PI()))^3))-IF(AND(ISNUMBER(S180),ISNUMBER(V180)),S180*PI()/4*AP180^2*V180*INDEX(LenF,MATCH($V$7,LenU,0)),0),IF(ISNUMBER(N180),PI()/4*(N180*INDEX(LenF,MATCH($N$7,LenU,0)))^2*N(O180)*INDEX(LenF,MATCH($O$7,LenU,0))+IF(P180="",0,IF(P180="Conical",PI()/12*(N180*INDEX(LenF,MATCH($N$7,LenU,0)))^2*(N(R180)*INDEX(LenF,MATCH($R$7,LenU,0))),INDEX(HeadK,MATCH(P180,HeadU,0))*(N180*INDEX(LenF,MATCH($N$7,LenU,0)))^3))+IF(Q180="",0,IF(Q180="Conical",PI()/12*(N180*INDEX(LenF,MATCH($N$7,LenU,0)))^2*(N(R180)*INDEX(LenF,MATCH($R$7,LenU,0))),INDEX(HeadK,MATCH(Q180,HeadU,0))*(N180*INDEX(LenF,MATCH($N$7,LenU,0)))^3)),0)))</f>
        <v/>
      </c>
      <c r="AF180" s="41" t="str">
        <f aca="false">IF(E180&lt;&gt;"Piping","",IF(AND(ISNUMBER(AS180),ISNUMBER(M180)),PI()/4*(AS180/1000)^2*M180*INDEX(LenF,MATCH($M$7,LenU,0)),0))</f>
        <v/>
      </c>
      <c r="AG180" s="41" t="str">
        <f aca="false">IF(E180="","",N(AD180)+N(AE180)+N(AF180))</f>
        <v/>
      </c>
      <c r="AH180" s="41" t="str">
        <f aca="false">IF(ISNUMBER(I180),I180*INDEX(WtF,MATCH($I$7,WtU,0))/CC_WaterRho,"")</f>
        <v/>
      </c>
      <c r="AI180" s="31"/>
      <c r="AJ180" s="31"/>
      <c r="AK180" s="40"/>
      <c r="AL180" s="31"/>
      <c r="AM180" s="41" t="str">
        <f aca="false">IF(AO180="","",AO180*IF(ISNUMBER(AK180),AK180,CC_DefFills)*(1+IF(ISNUMBER(AL180),AL180,CC_DefAllow)))</f>
        <v/>
      </c>
      <c r="AN180" s="42" t="str">
        <f aca="false">IF(G180="Given volume",IF(ISNUMBER(H180),H180*INDEX(VolF,MATCH($H$7,VolU,0)),""),IF(G180="Water weight",AH180,IF(N(AG180)=0,"",AG180)))</f>
        <v/>
      </c>
      <c r="AO180" s="42" t="str">
        <f aca="false">IF(N(AN180)=0,"",AN180*AT180*IF(ISNUMBER(AJ180),AJ180,CC_DefCirc))</f>
        <v/>
      </c>
      <c r="AP180" s="27" t="n">
        <f aca="false">IF(ISNUMBER(T180),T180*INDEX(LenF,MATCH($T$7,LenU,0)),IF(ISNUMBER(W180),W180*INDEX(LenF,MATCH($W$7,LenU,0))/CC_PitchRatio,0))</f>
        <v>0</v>
      </c>
      <c r="AQ180" s="27" t="n">
        <f aca="false">IF(ISNUMBER(N180),PI()/4*(N180*INDEX(LenF,MATCH($N$7,LenU,0)))^2,IF(AND(ISNUMBER(S180),ISNUMBER(W180),X180&lt;&gt;""),S180*(W180*INDEX(LenF,MATCH($W$7,LenU,0)))^2*INDEX(LayoutF,MATCH(X180,LayoutU,0)),0))</f>
        <v>0</v>
      </c>
      <c r="AR180" s="27" t="n">
        <f aca="false">IF(ISNUMBER(O180),O180*INDEX(LenF,MATCH($O$7,LenU,0)),IF(ISNUMBER(V180),V180*INDEX(LenF,MATCH($V$7,LenU,0)),0))</f>
        <v>0</v>
      </c>
      <c r="AS180" s="27" t="str">
        <f aca="false">IF(ISNUMBER(L180),L180*INDEX(LenF,MATCH($L$7,LenU,0))*1000,IF(OR(J180="",K180=""),"",IFERROR(IF(INDEX(PipeWT,MATCH(J180,NPSU,0),MATCH(K180,SchU,0))="","Sch n/a",INDEX(PipeOD,MATCH(J180,NPSU,0))-2*INDEX(PipeWT,MATCH(J180,NPSU,0),MATCH(K180,SchU,0))),"")))</f>
        <v/>
      </c>
      <c r="AT180" s="27" t="n">
        <f aca="false">IF(ISNUMBER(AI180),AI180,IFERROR(INDEX(IF(CC_JobType="Decontamination",CC_TypeFillDC,CC_TypeFillCC),MATCH(E180,CC_TypeL,0)),1))</f>
        <v>1</v>
      </c>
      <c r="AU180" s="27" t="n">
        <v>6</v>
      </c>
    </row>
    <row r="181" customFormat="false" ht="15" hidden="false" customHeight="false" outlineLevel="0" collapsed="false">
      <c r="A181" s="36" t="n">
        <v>7</v>
      </c>
      <c r="B181" s="40"/>
      <c r="C181" s="32"/>
      <c r="D181" s="32"/>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1" t="str">
        <f aca="false">IF(E181="Exchanger",IF(AND(ISNUMBER(S181),ISNUMBER(U181),ISNUMBER(V181)),S181*PI()/4*(U181*INDEX(LenF,MATCH($U$7,LenU,0)))^2*V181*INDEX(LenF,MATCH($V$7,LenU,0)),0)+IF(ISNUMBER(Y181),PI()/4*(Y181*INDEX(LenF,MATCH($Y$7,LenU,0)))^2*N(Z181)*INDEX(LenF,MATCH($Z$7,LenU,0))+IF(AA181="",0,IF(AA181="Conical",PI()/12*(Y181*INDEX(LenF,MATCH($Y$7,LenU,0)))^2*(0),INDEX(HeadK,MATCH(AA181,HeadU,0))*(Y181*INDEX(LenF,MATCH($Y$7,LenU,0)))^3)),0)+IF(ISNUMBER(Y181),PI()/4*(Y181*INDEX(LenF,MATCH($Y$7,LenU,0)))^2*N(AB181)*INDEX(LenF,MATCH($AB$7,LenU,0))+IF(AC181="",0,IF(AC181="Conical",PI()/12*(Y181*INDEX(LenF,MATCH($Y$7,LenU,0)))^2*(0),INDEX(HeadK,MATCH(AC181,HeadU,0))*(Y181*INDEX(LenF,MATCH($Y$7,LenU,0)))^3)),0),"")</f>
        <v/>
      </c>
      <c r="AE181" s="41" t="str">
        <f aca="false">IF(OR(E181="",E181="Piping"),"",IF(E181="Exchanger",AQ181*AR181+IF(P181="",0,IF(P181="Conical",PI()/12*(SQRT(4*AQ181/PI()))^2*(0),INDEX(HeadK,MATCH(P181,HeadU,0))*(SQRT(4*AQ181/PI()))^3))-IF(AND(ISNUMBER(S181),ISNUMBER(V181)),S181*PI()/4*AP181^2*V181*INDEX(LenF,MATCH($V$7,LenU,0)),0),IF(ISNUMBER(N181),PI()/4*(N181*INDEX(LenF,MATCH($N$7,LenU,0)))^2*N(O181)*INDEX(LenF,MATCH($O$7,LenU,0))+IF(P181="",0,IF(P181="Conical",PI()/12*(N181*INDEX(LenF,MATCH($N$7,LenU,0)))^2*(N(R181)*INDEX(LenF,MATCH($R$7,LenU,0))),INDEX(HeadK,MATCH(P181,HeadU,0))*(N181*INDEX(LenF,MATCH($N$7,LenU,0)))^3))+IF(Q181="",0,IF(Q181="Conical",PI()/12*(N181*INDEX(LenF,MATCH($N$7,LenU,0)))^2*(N(R181)*INDEX(LenF,MATCH($R$7,LenU,0))),INDEX(HeadK,MATCH(Q181,HeadU,0))*(N181*INDEX(LenF,MATCH($N$7,LenU,0)))^3)),0)))</f>
        <v/>
      </c>
      <c r="AF181" s="41" t="str">
        <f aca="false">IF(E181&lt;&gt;"Piping","",IF(AND(ISNUMBER(AS181),ISNUMBER(M181)),PI()/4*(AS181/1000)^2*M181*INDEX(LenF,MATCH($M$7,LenU,0)),0))</f>
        <v/>
      </c>
      <c r="AG181" s="41" t="str">
        <f aca="false">IF(E181="","",N(AD181)+N(AE181)+N(AF181))</f>
        <v/>
      </c>
      <c r="AH181" s="41" t="str">
        <f aca="false">IF(ISNUMBER(I181),I181*INDEX(WtF,MATCH($I$7,WtU,0))/CC_WaterRho,"")</f>
        <v/>
      </c>
      <c r="AI181" s="31"/>
      <c r="AJ181" s="31"/>
      <c r="AK181" s="40"/>
      <c r="AL181" s="31"/>
      <c r="AM181" s="41" t="str">
        <f aca="false">IF(AO181="","",AO181*IF(ISNUMBER(AK181),AK181,CC_DefFills)*(1+IF(ISNUMBER(AL181),AL181,CC_DefAllow)))</f>
        <v/>
      </c>
      <c r="AN181" s="42" t="str">
        <f aca="false">IF(G181="Given volume",IF(ISNUMBER(H181),H181*INDEX(VolF,MATCH($H$7,VolU,0)),""),IF(G181="Water weight",AH181,IF(N(AG181)=0,"",AG181)))</f>
        <v/>
      </c>
      <c r="AO181" s="42" t="str">
        <f aca="false">IF(N(AN181)=0,"",AN181*AT181*IF(ISNUMBER(AJ181),AJ181,CC_DefCirc))</f>
        <v/>
      </c>
      <c r="AP181" s="27" t="n">
        <f aca="false">IF(ISNUMBER(T181),T181*INDEX(LenF,MATCH($T$7,LenU,0)),IF(ISNUMBER(W181),W181*INDEX(LenF,MATCH($W$7,LenU,0))/CC_PitchRatio,0))</f>
        <v>0</v>
      </c>
      <c r="AQ181" s="27" t="n">
        <f aca="false">IF(ISNUMBER(N181),PI()/4*(N181*INDEX(LenF,MATCH($N$7,LenU,0)))^2,IF(AND(ISNUMBER(S181),ISNUMBER(W181),X181&lt;&gt;""),S181*(W181*INDEX(LenF,MATCH($W$7,LenU,0)))^2*INDEX(LayoutF,MATCH(X181,LayoutU,0)),0))</f>
        <v>0</v>
      </c>
      <c r="AR181" s="27" t="n">
        <f aca="false">IF(ISNUMBER(O181),O181*INDEX(LenF,MATCH($O$7,LenU,0)),IF(ISNUMBER(V181),V181*INDEX(LenF,MATCH($V$7,LenU,0)),0))</f>
        <v>0</v>
      </c>
      <c r="AS181" s="27" t="str">
        <f aca="false">IF(ISNUMBER(L181),L181*INDEX(LenF,MATCH($L$7,LenU,0))*1000,IF(OR(J181="",K181=""),"",IFERROR(IF(INDEX(PipeWT,MATCH(J181,NPSU,0),MATCH(K181,SchU,0))="","Sch n/a",INDEX(PipeOD,MATCH(J181,NPSU,0))-2*INDEX(PipeWT,MATCH(J181,NPSU,0),MATCH(K181,SchU,0))),"")))</f>
        <v/>
      </c>
      <c r="AT181" s="27" t="n">
        <f aca="false">IF(ISNUMBER(AI181),AI181,IFERROR(INDEX(IF(CC_JobType="Decontamination",CC_TypeFillDC,CC_TypeFillCC),MATCH(E181,CC_TypeL,0)),1))</f>
        <v>1</v>
      </c>
      <c r="AU181" s="27" t="n">
        <v>6</v>
      </c>
    </row>
    <row r="182" customFormat="false" ht="15" hidden="false" customHeight="false" outlineLevel="0" collapsed="false">
      <c r="A182" s="36" t="n">
        <v>8</v>
      </c>
      <c r="B182" s="40"/>
      <c r="C182" s="32"/>
      <c r="D182" s="32"/>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1" t="str">
        <f aca="false">IF(E182="Exchanger",IF(AND(ISNUMBER(S182),ISNUMBER(U182),ISNUMBER(V182)),S182*PI()/4*(U182*INDEX(LenF,MATCH($U$7,LenU,0)))^2*V182*INDEX(LenF,MATCH($V$7,LenU,0)),0)+IF(ISNUMBER(Y182),PI()/4*(Y182*INDEX(LenF,MATCH($Y$7,LenU,0)))^2*N(Z182)*INDEX(LenF,MATCH($Z$7,LenU,0))+IF(AA182="",0,IF(AA182="Conical",PI()/12*(Y182*INDEX(LenF,MATCH($Y$7,LenU,0)))^2*(0),INDEX(HeadK,MATCH(AA182,HeadU,0))*(Y182*INDEX(LenF,MATCH($Y$7,LenU,0)))^3)),0)+IF(ISNUMBER(Y182),PI()/4*(Y182*INDEX(LenF,MATCH($Y$7,LenU,0)))^2*N(AB182)*INDEX(LenF,MATCH($AB$7,LenU,0))+IF(AC182="",0,IF(AC182="Conical",PI()/12*(Y182*INDEX(LenF,MATCH($Y$7,LenU,0)))^2*(0),INDEX(HeadK,MATCH(AC182,HeadU,0))*(Y182*INDEX(LenF,MATCH($Y$7,LenU,0)))^3)),0),"")</f>
        <v/>
      </c>
      <c r="AE182" s="41" t="str">
        <f aca="false">IF(OR(E182="",E182="Piping"),"",IF(E182="Exchanger",AQ182*AR182+IF(P182="",0,IF(P182="Conical",PI()/12*(SQRT(4*AQ182/PI()))^2*(0),INDEX(HeadK,MATCH(P182,HeadU,0))*(SQRT(4*AQ182/PI()))^3))-IF(AND(ISNUMBER(S182),ISNUMBER(V182)),S182*PI()/4*AP182^2*V182*INDEX(LenF,MATCH($V$7,LenU,0)),0),IF(ISNUMBER(N182),PI()/4*(N182*INDEX(LenF,MATCH($N$7,LenU,0)))^2*N(O182)*INDEX(LenF,MATCH($O$7,LenU,0))+IF(P182="",0,IF(P182="Conical",PI()/12*(N182*INDEX(LenF,MATCH($N$7,LenU,0)))^2*(N(R182)*INDEX(LenF,MATCH($R$7,LenU,0))),INDEX(HeadK,MATCH(P182,HeadU,0))*(N182*INDEX(LenF,MATCH($N$7,LenU,0)))^3))+IF(Q182="",0,IF(Q182="Conical",PI()/12*(N182*INDEX(LenF,MATCH($N$7,LenU,0)))^2*(N(R182)*INDEX(LenF,MATCH($R$7,LenU,0))),INDEX(HeadK,MATCH(Q182,HeadU,0))*(N182*INDEX(LenF,MATCH($N$7,LenU,0)))^3)),0)))</f>
        <v/>
      </c>
      <c r="AF182" s="41" t="str">
        <f aca="false">IF(E182&lt;&gt;"Piping","",IF(AND(ISNUMBER(AS182),ISNUMBER(M182)),PI()/4*(AS182/1000)^2*M182*INDEX(LenF,MATCH($M$7,LenU,0)),0))</f>
        <v/>
      </c>
      <c r="AG182" s="41" t="str">
        <f aca="false">IF(E182="","",N(AD182)+N(AE182)+N(AF182))</f>
        <v/>
      </c>
      <c r="AH182" s="41" t="str">
        <f aca="false">IF(ISNUMBER(I182),I182*INDEX(WtF,MATCH($I$7,WtU,0))/CC_WaterRho,"")</f>
        <v/>
      </c>
      <c r="AI182" s="31"/>
      <c r="AJ182" s="31"/>
      <c r="AK182" s="40"/>
      <c r="AL182" s="31"/>
      <c r="AM182" s="41" t="str">
        <f aca="false">IF(AO182="","",AO182*IF(ISNUMBER(AK182),AK182,CC_DefFills)*(1+IF(ISNUMBER(AL182),AL182,CC_DefAllow)))</f>
        <v/>
      </c>
      <c r="AN182" s="42" t="str">
        <f aca="false">IF(G182="Given volume",IF(ISNUMBER(H182),H182*INDEX(VolF,MATCH($H$7,VolU,0)),""),IF(G182="Water weight",AH182,IF(N(AG182)=0,"",AG182)))</f>
        <v/>
      </c>
      <c r="AO182" s="42" t="str">
        <f aca="false">IF(N(AN182)=0,"",AN182*AT182*IF(ISNUMBER(AJ182),AJ182,CC_DefCirc))</f>
        <v/>
      </c>
      <c r="AP182" s="27" t="n">
        <f aca="false">IF(ISNUMBER(T182),T182*INDEX(LenF,MATCH($T$7,LenU,0)),IF(ISNUMBER(W182),W182*INDEX(LenF,MATCH($W$7,LenU,0))/CC_PitchRatio,0))</f>
        <v>0</v>
      </c>
      <c r="AQ182" s="27" t="n">
        <f aca="false">IF(ISNUMBER(N182),PI()/4*(N182*INDEX(LenF,MATCH($N$7,LenU,0)))^2,IF(AND(ISNUMBER(S182),ISNUMBER(W182),X182&lt;&gt;""),S182*(W182*INDEX(LenF,MATCH($W$7,LenU,0)))^2*INDEX(LayoutF,MATCH(X182,LayoutU,0)),0))</f>
        <v>0</v>
      </c>
      <c r="AR182" s="27" t="n">
        <f aca="false">IF(ISNUMBER(O182),O182*INDEX(LenF,MATCH($O$7,LenU,0)),IF(ISNUMBER(V182),V182*INDEX(LenF,MATCH($V$7,LenU,0)),0))</f>
        <v>0</v>
      </c>
      <c r="AS182" s="27" t="str">
        <f aca="false">IF(ISNUMBER(L182),L182*INDEX(LenF,MATCH($L$7,LenU,0))*1000,IF(OR(J182="",K182=""),"",IFERROR(IF(INDEX(PipeWT,MATCH(J182,NPSU,0),MATCH(K182,SchU,0))="","Sch n/a",INDEX(PipeOD,MATCH(J182,NPSU,0))-2*INDEX(PipeWT,MATCH(J182,NPSU,0),MATCH(K182,SchU,0))),"")))</f>
        <v/>
      </c>
      <c r="AT182" s="27" t="n">
        <f aca="false">IF(ISNUMBER(AI182),AI182,IFERROR(INDEX(IF(CC_JobType="Decontamination",CC_TypeFillDC,CC_TypeFillCC),MATCH(E182,CC_TypeL,0)),1))</f>
        <v>1</v>
      </c>
      <c r="AU182" s="27" t="n">
        <v>6</v>
      </c>
    </row>
    <row r="183" customFormat="false" ht="15" hidden="false" customHeight="false" outlineLevel="0" collapsed="false">
      <c r="A183" s="36" t="n">
        <v>9</v>
      </c>
      <c r="B183" s="40"/>
      <c r="C183" s="32"/>
      <c r="D183" s="32"/>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1" t="str">
        <f aca="false">IF(E183="Exchanger",IF(AND(ISNUMBER(S183),ISNUMBER(U183),ISNUMBER(V183)),S183*PI()/4*(U183*INDEX(LenF,MATCH($U$7,LenU,0)))^2*V183*INDEX(LenF,MATCH($V$7,LenU,0)),0)+IF(ISNUMBER(Y183),PI()/4*(Y183*INDEX(LenF,MATCH($Y$7,LenU,0)))^2*N(Z183)*INDEX(LenF,MATCH($Z$7,LenU,0))+IF(AA183="",0,IF(AA183="Conical",PI()/12*(Y183*INDEX(LenF,MATCH($Y$7,LenU,0)))^2*(0),INDEX(HeadK,MATCH(AA183,HeadU,0))*(Y183*INDEX(LenF,MATCH($Y$7,LenU,0)))^3)),0)+IF(ISNUMBER(Y183),PI()/4*(Y183*INDEX(LenF,MATCH($Y$7,LenU,0)))^2*N(AB183)*INDEX(LenF,MATCH($AB$7,LenU,0))+IF(AC183="",0,IF(AC183="Conical",PI()/12*(Y183*INDEX(LenF,MATCH($Y$7,LenU,0)))^2*(0),INDEX(HeadK,MATCH(AC183,HeadU,0))*(Y183*INDEX(LenF,MATCH($Y$7,LenU,0)))^3)),0),"")</f>
        <v/>
      </c>
      <c r="AE183" s="41" t="str">
        <f aca="false">IF(OR(E183="",E183="Piping"),"",IF(E183="Exchanger",AQ183*AR183+IF(P183="",0,IF(P183="Conical",PI()/12*(SQRT(4*AQ183/PI()))^2*(0),INDEX(HeadK,MATCH(P183,HeadU,0))*(SQRT(4*AQ183/PI()))^3))-IF(AND(ISNUMBER(S183),ISNUMBER(V183)),S183*PI()/4*AP183^2*V183*INDEX(LenF,MATCH($V$7,LenU,0)),0),IF(ISNUMBER(N183),PI()/4*(N183*INDEX(LenF,MATCH($N$7,LenU,0)))^2*N(O183)*INDEX(LenF,MATCH($O$7,LenU,0))+IF(P183="",0,IF(P183="Conical",PI()/12*(N183*INDEX(LenF,MATCH($N$7,LenU,0)))^2*(N(R183)*INDEX(LenF,MATCH($R$7,LenU,0))),INDEX(HeadK,MATCH(P183,HeadU,0))*(N183*INDEX(LenF,MATCH($N$7,LenU,0)))^3))+IF(Q183="",0,IF(Q183="Conical",PI()/12*(N183*INDEX(LenF,MATCH($N$7,LenU,0)))^2*(N(R183)*INDEX(LenF,MATCH($R$7,LenU,0))),INDEX(HeadK,MATCH(Q183,HeadU,0))*(N183*INDEX(LenF,MATCH($N$7,LenU,0)))^3)),0)))</f>
        <v/>
      </c>
      <c r="AF183" s="41" t="str">
        <f aca="false">IF(E183&lt;&gt;"Piping","",IF(AND(ISNUMBER(AS183),ISNUMBER(M183)),PI()/4*(AS183/1000)^2*M183*INDEX(LenF,MATCH($M$7,LenU,0)),0))</f>
        <v/>
      </c>
      <c r="AG183" s="41" t="str">
        <f aca="false">IF(E183="","",N(AD183)+N(AE183)+N(AF183))</f>
        <v/>
      </c>
      <c r="AH183" s="41" t="str">
        <f aca="false">IF(ISNUMBER(I183),I183*INDEX(WtF,MATCH($I$7,WtU,0))/CC_WaterRho,"")</f>
        <v/>
      </c>
      <c r="AI183" s="31"/>
      <c r="AJ183" s="31"/>
      <c r="AK183" s="40"/>
      <c r="AL183" s="31"/>
      <c r="AM183" s="41" t="str">
        <f aca="false">IF(AO183="","",AO183*IF(ISNUMBER(AK183),AK183,CC_DefFills)*(1+IF(ISNUMBER(AL183),AL183,CC_DefAllow)))</f>
        <v/>
      </c>
      <c r="AN183" s="42" t="str">
        <f aca="false">IF(G183="Given volume",IF(ISNUMBER(H183),H183*INDEX(VolF,MATCH($H$7,VolU,0)),""),IF(G183="Water weight",AH183,IF(N(AG183)=0,"",AG183)))</f>
        <v/>
      </c>
      <c r="AO183" s="42" t="str">
        <f aca="false">IF(N(AN183)=0,"",AN183*AT183*IF(ISNUMBER(AJ183),AJ183,CC_DefCirc))</f>
        <v/>
      </c>
      <c r="AP183" s="27" t="n">
        <f aca="false">IF(ISNUMBER(T183),T183*INDEX(LenF,MATCH($T$7,LenU,0)),IF(ISNUMBER(W183),W183*INDEX(LenF,MATCH($W$7,LenU,0))/CC_PitchRatio,0))</f>
        <v>0</v>
      </c>
      <c r="AQ183" s="27" t="n">
        <f aca="false">IF(ISNUMBER(N183),PI()/4*(N183*INDEX(LenF,MATCH($N$7,LenU,0)))^2,IF(AND(ISNUMBER(S183),ISNUMBER(W183),X183&lt;&gt;""),S183*(W183*INDEX(LenF,MATCH($W$7,LenU,0)))^2*INDEX(LayoutF,MATCH(X183,LayoutU,0)),0))</f>
        <v>0</v>
      </c>
      <c r="AR183" s="27" t="n">
        <f aca="false">IF(ISNUMBER(O183),O183*INDEX(LenF,MATCH($O$7,LenU,0)),IF(ISNUMBER(V183),V183*INDEX(LenF,MATCH($V$7,LenU,0)),0))</f>
        <v>0</v>
      </c>
      <c r="AS183" s="27" t="str">
        <f aca="false">IF(ISNUMBER(L183),L183*INDEX(LenF,MATCH($L$7,LenU,0))*1000,IF(OR(J183="",K183=""),"",IFERROR(IF(INDEX(PipeWT,MATCH(J183,NPSU,0),MATCH(K183,SchU,0))="","Sch n/a",INDEX(PipeOD,MATCH(J183,NPSU,0))-2*INDEX(PipeWT,MATCH(J183,NPSU,0),MATCH(K183,SchU,0))),"")))</f>
        <v/>
      </c>
      <c r="AT183" s="27" t="n">
        <f aca="false">IF(ISNUMBER(AI183),AI183,IFERROR(INDEX(IF(CC_JobType="Decontamination",CC_TypeFillDC,CC_TypeFillCC),MATCH(E183,CC_TypeL,0)),1))</f>
        <v>1</v>
      </c>
      <c r="AU183" s="27" t="n">
        <v>6</v>
      </c>
    </row>
    <row r="184" customFormat="false" ht="15" hidden="false" customHeight="false" outlineLevel="0" collapsed="false">
      <c r="A184" s="36" t="n">
        <v>10</v>
      </c>
      <c r="B184" s="40"/>
      <c r="C184" s="32"/>
      <c r="D184" s="32"/>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1" t="str">
        <f aca="false">IF(E184="Exchanger",IF(AND(ISNUMBER(S184),ISNUMBER(U184),ISNUMBER(V184)),S184*PI()/4*(U184*INDEX(LenF,MATCH($U$7,LenU,0)))^2*V184*INDEX(LenF,MATCH($V$7,LenU,0)),0)+IF(ISNUMBER(Y184),PI()/4*(Y184*INDEX(LenF,MATCH($Y$7,LenU,0)))^2*N(Z184)*INDEX(LenF,MATCH($Z$7,LenU,0))+IF(AA184="",0,IF(AA184="Conical",PI()/12*(Y184*INDEX(LenF,MATCH($Y$7,LenU,0)))^2*(0),INDEX(HeadK,MATCH(AA184,HeadU,0))*(Y184*INDEX(LenF,MATCH($Y$7,LenU,0)))^3)),0)+IF(ISNUMBER(Y184),PI()/4*(Y184*INDEX(LenF,MATCH($Y$7,LenU,0)))^2*N(AB184)*INDEX(LenF,MATCH($AB$7,LenU,0))+IF(AC184="",0,IF(AC184="Conical",PI()/12*(Y184*INDEX(LenF,MATCH($Y$7,LenU,0)))^2*(0),INDEX(HeadK,MATCH(AC184,HeadU,0))*(Y184*INDEX(LenF,MATCH($Y$7,LenU,0)))^3)),0),"")</f>
        <v/>
      </c>
      <c r="AE184" s="41" t="str">
        <f aca="false">IF(OR(E184="",E184="Piping"),"",IF(E184="Exchanger",AQ184*AR184+IF(P184="",0,IF(P184="Conical",PI()/12*(SQRT(4*AQ184/PI()))^2*(0),INDEX(HeadK,MATCH(P184,HeadU,0))*(SQRT(4*AQ184/PI()))^3))-IF(AND(ISNUMBER(S184),ISNUMBER(V184)),S184*PI()/4*AP184^2*V184*INDEX(LenF,MATCH($V$7,LenU,0)),0),IF(ISNUMBER(N184),PI()/4*(N184*INDEX(LenF,MATCH($N$7,LenU,0)))^2*N(O184)*INDEX(LenF,MATCH($O$7,LenU,0))+IF(P184="",0,IF(P184="Conical",PI()/12*(N184*INDEX(LenF,MATCH($N$7,LenU,0)))^2*(N(R184)*INDEX(LenF,MATCH($R$7,LenU,0))),INDEX(HeadK,MATCH(P184,HeadU,0))*(N184*INDEX(LenF,MATCH($N$7,LenU,0)))^3))+IF(Q184="",0,IF(Q184="Conical",PI()/12*(N184*INDEX(LenF,MATCH($N$7,LenU,0)))^2*(N(R184)*INDEX(LenF,MATCH($R$7,LenU,0))),INDEX(HeadK,MATCH(Q184,HeadU,0))*(N184*INDEX(LenF,MATCH($N$7,LenU,0)))^3)),0)))</f>
        <v/>
      </c>
      <c r="AF184" s="41" t="str">
        <f aca="false">IF(E184&lt;&gt;"Piping","",IF(AND(ISNUMBER(AS184),ISNUMBER(M184)),PI()/4*(AS184/1000)^2*M184*INDEX(LenF,MATCH($M$7,LenU,0)),0))</f>
        <v/>
      </c>
      <c r="AG184" s="41" t="str">
        <f aca="false">IF(E184="","",N(AD184)+N(AE184)+N(AF184))</f>
        <v/>
      </c>
      <c r="AH184" s="41" t="str">
        <f aca="false">IF(ISNUMBER(I184),I184*INDEX(WtF,MATCH($I$7,WtU,0))/CC_WaterRho,"")</f>
        <v/>
      </c>
      <c r="AI184" s="31"/>
      <c r="AJ184" s="31"/>
      <c r="AK184" s="40"/>
      <c r="AL184" s="31"/>
      <c r="AM184" s="41" t="str">
        <f aca="false">IF(AO184="","",AO184*IF(ISNUMBER(AK184),AK184,CC_DefFills)*(1+IF(ISNUMBER(AL184),AL184,CC_DefAllow)))</f>
        <v/>
      </c>
      <c r="AN184" s="42" t="str">
        <f aca="false">IF(G184="Given volume",IF(ISNUMBER(H184),H184*INDEX(VolF,MATCH($H$7,VolU,0)),""),IF(G184="Water weight",AH184,IF(N(AG184)=0,"",AG184)))</f>
        <v/>
      </c>
      <c r="AO184" s="42" t="str">
        <f aca="false">IF(N(AN184)=0,"",AN184*AT184*IF(ISNUMBER(AJ184),AJ184,CC_DefCirc))</f>
        <v/>
      </c>
      <c r="AP184" s="27" t="n">
        <f aca="false">IF(ISNUMBER(T184),T184*INDEX(LenF,MATCH($T$7,LenU,0)),IF(ISNUMBER(W184),W184*INDEX(LenF,MATCH($W$7,LenU,0))/CC_PitchRatio,0))</f>
        <v>0</v>
      </c>
      <c r="AQ184" s="27" t="n">
        <f aca="false">IF(ISNUMBER(N184),PI()/4*(N184*INDEX(LenF,MATCH($N$7,LenU,0)))^2,IF(AND(ISNUMBER(S184),ISNUMBER(W184),X184&lt;&gt;""),S184*(W184*INDEX(LenF,MATCH($W$7,LenU,0)))^2*INDEX(LayoutF,MATCH(X184,LayoutU,0)),0))</f>
        <v>0</v>
      </c>
      <c r="AR184" s="27" t="n">
        <f aca="false">IF(ISNUMBER(O184),O184*INDEX(LenF,MATCH($O$7,LenU,0)),IF(ISNUMBER(V184),V184*INDEX(LenF,MATCH($V$7,LenU,0)),0))</f>
        <v>0</v>
      </c>
      <c r="AS184" s="27" t="str">
        <f aca="false">IF(ISNUMBER(L184),L184*INDEX(LenF,MATCH($L$7,LenU,0))*1000,IF(OR(J184="",K184=""),"",IFERROR(IF(INDEX(PipeWT,MATCH(J184,NPSU,0),MATCH(K184,SchU,0))="","Sch n/a",INDEX(PipeOD,MATCH(J184,NPSU,0))-2*INDEX(PipeWT,MATCH(J184,NPSU,0),MATCH(K184,SchU,0))),"")))</f>
        <v/>
      </c>
      <c r="AT184" s="27" t="n">
        <f aca="false">IF(ISNUMBER(AI184),AI184,IFERROR(INDEX(IF(CC_JobType="Decontamination",CC_TypeFillDC,CC_TypeFillCC),MATCH(E184,CC_TypeL,0)),1))</f>
        <v>1</v>
      </c>
      <c r="AU184" s="27" t="n">
        <v>6</v>
      </c>
    </row>
    <row r="185" customFormat="false" ht="15" hidden="false" customHeight="false" outlineLevel="0" collapsed="false">
      <c r="A185" s="36" t="n">
        <v>11</v>
      </c>
      <c r="B185" s="40"/>
      <c r="C185" s="32"/>
      <c r="D185" s="32"/>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1" t="str">
        <f aca="false">IF(E185="Exchanger",IF(AND(ISNUMBER(S185),ISNUMBER(U185),ISNUMBER(V185)),S185*PI()/4*(U185*INDEX(LenF,MATCH($U$7,LenU,0)))^2*V185*INDEX(LenF,MATCH($V$7,LenU,0)),0)+IF(ISNUMBER(Y185),PI()/4*(Y185*INDEX(LenF,MATCH($Y$7,LenU,0)))^2*N(Z185)*INDEX(LenF,MATCH($Z$7,LenU,0))+IF(AA185="",0,IF(AA185="Conical",PI()/12*(Y185*INDEX(LenF,MATCH($Y$7,LenU,0)))^2*(0),INDEX(HeadK,MATCH(AA185,HeadU,0))*(Y185*INDEX(LenF,MATCH($Y$7,LenU,0)))^3)),0)+IF(ISNUMBER(Y185),PI()/4*(Y185*INDEX(LenF,MATCH($Y$7,LenU,0)))^2*N(AB185)*INDEX(LenF,MATCH($AB$7,LenU,0))+IF(AC185="",0,IF(AC185="Conical",PI()/12*(Y185*INDEX(LenF,MATCH($Y$7,LenU,0)))^2*(0),INDEX(HeadK,MATCH(AC185,HeadU,0))*(Y185*INDEX(LenF,MATCH($Y$7,LenU,0)))^3)),0),"")</f>
        <v/>
      </c>
      <c r="AE185" s="41" t="str">
        <f aca="false">IF(OR(E185="",E185="Piping"),"",IF(E185="Exchanger",AQ185*AR185+IF(P185="",0,IF(P185="Conical",PI()/12*(SQRT(4*AQ185/PI()))^2*(0),INDEX(HeadK,MATCH(P185,HeadU,0))*(SQRT(4*AQ185/PI()))^3))-IF(AND(ISNUMBER(S185),ISNUMBER(V185)),S185*PI()/4*AP185^2*V185*INDEX(LenF,MATCH($V$7,LenU,0)),0),IF(ISNUMBER(N185),PI()/4*(N185*INDEX(LenF,MATCH($N$7,LenU,0)))^2*N(O185)*INDEX(LenF,MATCH($O$7,LenU,0))+IF(P185="",0,IF(P185="Conical",PI()/12*(N185*INDEX(LenF,MATCH($N$7,LenU,0)))^2*(N(R185)*INDEX(LenF,MATCH($R$7,LenU,0))),INDEX(HeadK,MATCH(P185,HeadU,0))*(N185*INDEX(LenF,MATCH($N$7,LenU,0)))^3))+IF(Q185="",0,IF(Q185="Conical",PI()/12*(N185*INDEX(LenF,MATCH($N$7,LenU,0)))^2*(N(R185)*INDEX(LenF,MATCH($R$7,LenU,0))),INDEX(HeadK,MATCH(Q185,HeadU,0))*(N185*INDEX(LenF,MATCH($N$7,LenU,0)))^3)),0)))</f>
        <v/>
      </c>
      <c r="AF185" s="41" t="str">
        <f aca="false">IF(E185&lt;&gt;"Piping","",IF(AND(ISNUMBER(AS185),ISNUMBER(M185)),PI()/4*(AS185/1000)^2*M185*INDEX(LenF,MATCH($M$7,LenU,0)),0))</f>
        <v/>
      </c>
      <c r="AG185" s="41" t="str">
        <f aca="false">IF(E185="","",N(AD185)+N(AE185)+N(AF185))</f>
        <v/>
      </c>
      <c r="AH185" s="41" t="str">
        <f aca="false">IF(ISNUMBER(I185),I185*INDEX(WtF,MATCH($I$7,WtU,0))/CC_WaterRho,"")</f>
        <v/>
      </c>
      <c r="AI185" s="31"/>
      <c r="AJ185" s="31"/>
      <c r="AK185" s="40"/>
      <c r="AL185" s="31"/>
      <c r="AM185" s="41" t="str">
        <f aca="false">IF(AO185="","",AO185*IF(ISNUMBER(AK185),AK185,CC_DefFills)*(1+IF(ISNUMBER(AL185),AL185,CC_DefAllow)))</f>
        <v/>
      </c>
      <c r="AN185" s="42" t="str">
        <f aca="false">IF(G185="Given volume",IF(ISNUMBER(H185),H185*INDEX(VolF,MATCH($H$7,VolU,0)),""),IF(G185="Water weight",AH185,IF(N(AG185)=0,"",AG185)))</f>
        <v/>
      </c>
      <c r="AO185" s="42" t="str">
        <f aca="false">IF(N(AN185)=0,"",AN185*AT185*IF(ISNUMBER(AJ185),AJ185,CC_DefCirc))</f>
        <v/>
      </c>
      <c r="AP185" s="27" t="n">
        <f aca="false">IF(ISNUMBER(T185),T185*INDEX(LenF,MATCH($T$7,LenU,0)),IF(ISNUMBER(W185),W185*INDEX(LenF,MATCH($W$7,LenU,0))/CC_PitchRatio,0))</f>
        <v>0</v>
      </c>
      <c r="AQ185" s="27" t="n">
        <f aca="false">IF(ISNUMBER(N185),PI()/4*(N185*INDEX(LenF,MATCH($N$7,LenU,0)))^2,IF(AND(ISNUMBER(S185),ISNUMBER(W185),X185&lt;&gt;""),S185*(W185*INDEX(LenF,MATCH($W$7,LenU,0)))^2*INDEX(LayoutF,MATCH(X185,LayoutU,0)),0))</f>
        <v>0</v>
      </c>
      <c r="AR185" s="27" t="n">
        <f aca="false">IF(ISNUMBER(O185),O185*INDEX(LenF,MATCH($O$7,LenU,0)),IF(ISNUMBER(V185),V185*INDEX(LenF,MATCH($V$7,LenU,0)),0))</f>
        <v>0</v>
      </c>
      <c r="AS185" s="27" t="str">
        <f aca="false">IF(ISNUMBER(L185),L185*INDEX(LenF,MATCH($L$7,LenU,0))*1000,IF(OR(J185="",K185=""),"",IFERROR(IF(INDEX(PipeWT,MATCH(J185,NPSU,0),MATCH(K185,SchU,0))="","Sch n/a",INDEX(PipeOD,MATCH(J185,NPSU,0))-2*INDEX(PipeWT,MATCH(J185,NPSU,0),MATCH(K185,SchU,0))),"")))</f>
        <v/>
      </c>
      <c r="AT185" s="27" t="n">
        <f aca="false">IF(ISNUMBER(AI185),AI185,IFERROR(INDEX(IF(CC_JobType="Decontamination",CC_TypeFillDC,CC_TypeFillCC),MATCH(E185,CC_TypeL,0)),1))</f>
        <v>1</v>
      </c>
      <c r="AU185" s="27" t="n">
        <v>6</v>
      </c>
    </row>
    <row r="186" customFormat="false" ht="15" hidden="false" customHeight="false" outlineLevel="0" collapsed="false">
      <c r="A186" s="36" t="n">
        <v>12</v>
      </c>
      <c r="B186" s="40"/>
      <c r="C186" s="32"/>
      <c r="D186" s="32"/>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1" t="str">
        <f aca="false">IF(E186="Exchanger",IF(AND(ISNUMBER(S186),ISNUMBER(U186),ISNUMBER(V186)),S186*PI()/4*(U186*INDEX(LenF,MATCH($U$7,LenU,0)))^2*V186*INDEX(LenF,MATCH($V$7,LenU,0)),0)+IF(ISNUMBER(Y186),PI()/4*(Y186*INDEX(LenF,MATCH($Y$7,LenU,0)))^2*N(Z186)*INDEX(LenF,MATCH($Z$7,LenU,0))+IF(AA186="",0,IF(AA186="Conical",PI()/12*(Y186*INDEX(LenF,MATCH($Y$7,LenU,0)))^2*(0),INDEX(HeadK,MATCH(AA186,HeadU,0))*(Y186*INDEX(LenF,MATCH($Y$7,LenU,0)))^3)),0)+IF(ISNUMBER(Y186),PI()/4*(Y186*INDEX(LenF,MATCH($Y$7,LenU,0)))^2*N(AB186)*INDEX(LenF,MATCH($AB$7,LenU,0))+IF(AC186="",0,IF(AC186="Conical",PI()/12*(Y186*INDEX(LenF,MATCH($Y$7,LenU,0)))^2*(0),INDEX(HeadK,MATCH(AC186,HeadU,0))*(Y186*INDEX(LenF,MATCH($Y$7,LenU,0)))^3)),0),"")</f>
        <v/>
      </c>
      <c r="AE186" s="41" t="str">
        <f aca="false">IF(OR(E186="",E186="Piping"),"",IF(E186="Exchanger",AQ186*AR186+IF(P186="",0,IF(P186="Conical",PI()/12*(SQRT(4*AQ186/PI()))^2*(0),INDEX(HeadK,MATCH(P186,HeadU,0))*(SQRT(4*AQ186/PI()))^3))-IF(AND(ISNUMBER(S186),ISNUMBER(V186)),S186*PI()/4*AP186^2*V186*INDEX(LenF,MATCH($V$7,LenU,0)),0),IF(ISNUMBER(N186),PI()/4*(N186*INDEX(LenF,MATCH($N$7,LenU,0)))^2*N(O186)*INDEX(LenF,MATCH($O$7,LenU,0))+IF(P186="",0,IF(P186="Conical",PI()/12*(N186*INDEX(LenF,MATCH($N$7,LenU,0)))^2*(N(R186)*INDEX(LenF,MATCH($R$7,LenU,0))),INDEX(HeadK,MATCH(P186,HeadU,0))*(N186*INDEX(LenF,MATCH($N$7,LenU,0)))^3))+IF(Q186="",0,IF(Q186="Conical",PI()/12*(N186*INDEX(LenF,MATCH($N$7,LenU,0)))^2*(N(R186)*INDEX(LenF,MATCH($R$7,LenU,0))),INDEX(HeadK,MATCH(Q186,HeadU,0))*(N186*INDEX(LenF,MATCH($N$7,LenU,0)))^3)),0)))</f>
        <v/>
      </c>
      <c r="AF186" s="41" t="str">
        <f aca="false">IF(E186&lt;&gt;"Piping","",IF(AND(ISNUMBER(AS186),ISNUMBER(M186)),PI()/4*(AS186/1000)^2*M186*INDEX(LenF,MATCH($M$7,LenU,0)),0))</f>
        <v/>
      </c>
      <c r="AG186" s="41" t="str">
        <f aca="false">IF(E186="","",N(AD186)+N(AE186)+N(AF186))</f>
        <v/>
      </c>
      <c r="AH186" s="41" t="str">
        <f aca="false">IF(ISNUMBER(I186),I186*INDEX(WtF,MATCH($I$7,WtU,0))/CC_WaterRho,"")</f>
        <v/>
      </c>
      <c r="AI186" s="31"/>
      <c r="AJ186" s="31"/>
      <c r="AK186" s="40"/>
      <c r="AL186" s="31"/>
      <c r="AM186" s="41" t="str">
        <f aca="false">IF(AO186="","",AO186*IF(ISNUMBER(AK186),AK186,CC_DefFills)*(1+IF(ISNUMBER(AL186),AL186,CC_DefAllow)))</f>
        <v/>
      </c>
      <c r="AN186" s="42" t="str">
        <f aca="false">IF(G186="Given volume",IF(ISNUMBER(H186),H186*INDEX(VolF,MATCH($H$7,VolU,0)),""),IF(G186="Water weight",AH186,IF(N(AG186)=0,"",AG186)))</f>
        <v/>
      </c>
      <c r="AO186" s="42" t="str">
        <f aca="false">IF(N(AN186)=0,"",AN186*AT186*IF(ISNUMBER(AJ186),AJ186,CC_DefCirc))</f>
        <v/>
      </c>
      <c r="AP186" s="27" t="n">
        <f aca="false">IF(ISNUMBER(T186),T186*INDEX(LenF,MATCH($T$7,LenU,0)),IF(ISNUMBER(W186),W186*INDEX(LenF,MATCH($W$7,LenU,0))/CC_PitchRatio,0))</f>
        <v>0</v>
      </c>
      <c r="AQ186" s="27" t="n">
        <f aca="false">IF(ISNUMBER(N186),PI()/4*(N186*INDEX(LenF,MATCH($N$7,LenU,0)))^2,IF(AND(ISNUMBER(S186),ISNUMBER(W186),X186&lt;&gt;""),S186*(W186*INDEX(LenF,MATCH($W$7,LenU,0)))^2*INDEX(LayoutF,MATCH(X186,LayoutU,0)),0))</f>
        <v>0</v>
      </c>
      <c r="AR186" s="27" t="n">
        <f aca="false">IF(ISNUMBER(O186),O186*INDEX(LenF,MATCH($O$7,LenU,0)),IF(ISNUMBER(V186),V186*INDEX(LenF,MATCH($V$7,LenU,0)),0))</f>
        <v>0</v>
      </c>
      <c r="AS186" s="27" t="str">
        <f aca="false">IF(ISNUMBER(L186),L186*INDEX(LenF,MATCH($L$7,LenU,0))*1000,IF(OR(J186="",K186=""),"",IFERROR(IF(INDEX(PipeWT,MATCH(J186,NPSU,0),MATCH(K186,SchU,0))="","Sch n/a",INDEX(PipeOD,MATCH(J186,NPSU,0))-2*INDEX(PipeWT,MATCH(J186,NPSU,0),MATCH(K186,SchU,0))),"")))</f>
        <v/>
      </c>
      <c r="AT186" s="27" t="n">
        <f aca="false">IF(ISNUMBER(AI186),AI186,IFERROR(INDEX(IF(CC_JobType="Decontamination",CC_TypeFillDC,CC_TypeFillCC),MATCH(E186,CC_TypeL,0)),1))</f>
        <v>1</v>
      </c>
      <c r="AU186" s="27" t="n">
        <v>6</v>
      </c>
    </row>
    <row r="187" customFormat="false" ht="15" hidden="false" customHeight="false" outlineLevel="0" collapsed="false">
      <c r="A187" s="36" t="n">
        <v>13</v>
      </c>
      <c r="B187" s="40"/>
      <c r="C187" s="32"/>
      <c r="D187" s="32"/>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1" t="str">
        <f aca="false">IF(E187="Exchanger",IF(AND(ISNUMBER(S187),ISNUMBER(U187),ISNUMBER(V187)),S187*PI()/4*(U187*INDEX(LenF,MATCH($U$7,LenU,0)))^2*V187*INDEX(LenF,MATCH($V$7,LenU,0)),0)+IF(ISNUMBER(Y187),PI()/4*(Y187*INDEX(LenF,MATCH($Y$7,LenU,0)))^2*N(Z187)*INDEX(LenF,MATCH($Z$7,LenU,0))+IF(AA187="",0,IF(AA187="Conical",PI()/12*(Y187*INDEX(LenF,MATCH($Y$7,LenU,0)))^2*(0),INDEX(HeadK,MATCH(AA187,HeadU,0))*(Y187*INDEX(LenF,MATCH($Y$7,LenU,0)))^3)),0)+IF(ISNUMBER(Y187),PI()/4*(Y187*INDEX(LenF,MATCH($Y$7,LenU,0)))^2*N(AB187)*INDEX(LenF,MATCH($AB$7,LenU,0))+IF(AC187="",0,IF(AC187="Conical",PI()/12*(Y187*INDEX(LenF,MATCH($Y$7,LenU,0)))^2*(0),INDEX(HeadK,MATCH(AC187,HeadU,0))*(Y187*INDEX(LenF,MATCH($Y$7,LenU,0)))^3)),0),"")</f>
        <v/>
      </c>
      <c r="AE187" s="41" t="str">
        <f aca="false">IF(OR(E187="",E187="Piping"),"",IF(E187="Exchanger",AQ187*AR187+IF(P187="",0,IF(P187="Conical",PI()/12*(SQRT(4*AQ187/PI()))^2*(0),INDEX(HeadK,MATCH(P187,HeadU,0))*(SQRT(4*AQ187/PI()))^3))-IF(AND(ISNUMBER(S187),ISNUMBER(V187)),S187*PI()/4*AP187^2*V187*INDEX(LenF,MATCH($V$7,LenU,0)),0),IF(ISNUMBER(N187),PI()/4*(N187*INDEX(LenF,MATCH($N$7,LenU,0)))^2*N(O187)*INDEX(LenF,MATCH($O$7,LenU,0))+IF(P187="",0,IF(P187="Conical",PI()/12*(N187*INDEX(LenF,MATCH($N$7,LenU,0)))^2*(N(R187)*INDEX(LenF,MATCH($R$7,LenU,0))),INDEX(HeadK,MATCH(P187,HeadU,0))*(N187*INDEX(LenF,MATCH($N$7,LenU,0)))^3))+IF(Q187="",0,IF(Q187="Conical",PI()/12*(N187*INDEX(LenF,MATCH($N$7,LenU,0)))^2*(N(R187)*INDEX(LenF,MATCH($R$7,LenU,0))),INDEX(HeadK,MATCH(Q187,HeadU,0))*(N187*INDEX(LenF,MATCH($N$7,LenU,0)))^3)),0)))</f>
        <v/>
      </c>
      <c r="AF187" s="41" t="str">
        <f aca="false">IF(E187&lt;&gt;"Piping","",IF(AND(ISNUMBER(AS187),ISNUMBER(M187)),PI()/4*(AS187/1000)^2*M187*INDEX(LenF,MATCH($M$7,LenU,0)),0))</f>
        <v/>
      </c>
      <c r="AG187" s="41" t="str">
        <f aca="false">IF(E187="","",N(AD187)+N(AE187)+N(AF187))</f>
        <v/>
      </c>
      <c r="AH187" s="41" t="str">
        <f aca="false">IF(ISNUMBER(I187),I187*INDEX(WtF,MATCH($I$7,WtU,0))/CC_WaterRho,"")</f>
        <v/>
      </c>
      <c r="AI187" s="31"/>
      <c r="AJ187" s="31"/>
      <c r="AK187" s="40"/>
      <c r="AL187" s="31"/>
      <c r="AM187" s="41" t="str">
        <f aca="false">IF(AO187="","",AO187*IF(ISNUMBER(AK187),AK187,CC_DefFills)*(1+IF(ISNUMBER(AL187),AL187,CC_DefAllow)))</f>
        <v/>
      </c>
      <c r="AN187" s="42" t="str">
        <f aca="false">IF(G187="Given volume",IF(ISNUMBER(H187),H187*INDEX(VolF,MATCH($H$7,VolU,0)),""),IF(G187="Water weight",AH187,IF(N(AG187)=0,"",AG187)))</f>
        <v/>
      </c>
      <c r="AO187" s="42" t="str">
        <f aca="false">IF(N(AN187)=0,"",AN187*AT187*IF(ISNUMBER(AJ187),AJ187,CC_DefCirc))</f>
        <v/>
      </c>
      <c r="AP187" s="27" t="n">
        <f aca="false">IF(ISNUMBER(T187),T187*INDEX(LenF,MATCH($T$7,LenU,0)),IF(ISNUMBER(W187),W187*INDEX(LenF,MATCH($W$7,LenU,0))/CC_PitchRatio,0))</f>
        <v>0</v>
      </c>
      <c r="AQ187" s="27" t="n">
        <f aca="false">IF(ISNUMBER(N187),PI()/4*(N187*INDEX(LenF,MATCH($N$7,LenU,0)))^2,IF(AND(ISNUMBER(S187),ISNUMBER(W187),X187&lt;&gt;""),S187*(W187*INDEX(LenF,MATCH($W$7,LenU,0)))^2*INDEX(LayoutF,MATCH(X187,LayoutU,0)),0))</f>
        <v>0</v>
      </c>
      <c r="AR187" s="27" t="n">
        <f aca="false">IF(ISNUMBER(O187),O187*INDEX(LenF,MATCH($O$7,LenU,0)),IF(ISNUMBER(V187),V187*INDEX(LenF,MATCH($V$7,LenU,0)),0))</f>
        <v>0</v>
      </c>
      <c r="AS187" s="27" t="str">
        <f aca="false">IF(ISNUMBER(L187),L187*INDEX(LenF,MATCH($L$7,LenU,0))*1000,IF(OR(J187="",K187=""),"",IFERROR(IF(INDEX(PipeWT,MATCH(J187,NPSU,0),MATCH(K187,SchU,0))="","Sch n/a",INDEX(PipeOD,MATCH(J187,NPSU,0))-2*INDEX(PipeWT,MATCH(J187,NPSU,0),MATCH(K187,SchU,0))),"")))</f>
        <v/>
      </c>
      <c r="AT187" s="27" t="n">
        <f aca="false">IF(ISNUMBER(AI187),AI187,IFERROR(INDEX(IF(CC_JobType="Decontamination",CC_TypeFillDC,CC_TypeFillCC),MATCH(E187,CC_TypeL,0)),1))</f>
        <v>1</v>
      </c>
      <c r="AU187" s="27" t="n">
        <v>6</v>
      </c>
    </row>
    <row r="188" customFormat="false" ht="15" hidden="false" customHeight="false" outlineLevel="0" collapsed="false">
      <c r="A188" s="36" t="n">
        <v>14</v>
      </c>
      <c r="B188" s="40"/>
      <c r="C188" s="32"/>
      <c r="D188" s="32"/>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1" t="str">
        <f aca="false">IF(E188="Exchanger",IF(AND(ISNUMBER(S188),ISNUMBER(U188),ISNUMBER(V188)),S188*PI()/4*(U188*INDEX(LenF,MATCH($U$7,LenU,0)))^2*V188*INDEX(LenF,MATCH($V$7,LenU,0)),0)+IF(ISNUMBER(Y188),PI()/4*(Y188*INDEX(LenF,MATCH($Y$7,LenU,0)))^2*N(Z188)*INDEX(LenF,MATCH($Z$7,LenU,0))+IF(AA188="",0,IF(AA188="Conical",PI()/12*(Y188*INDEX(LenF,MATCH($Y$7,LenU,0)))^2*(0),INDEX(HeadK,MATCH(AA188,HeadU,0))*(Y188*INDEX(LenF,MATCH($Y$7,LenU,0)))^3)),0)+IF(ISNUMBER(Y188),PI()/4*(Y188*INDEX(LenF,MATCH($Y$7,LenU,0)))^2*N(AB188)*INDEX(LenF,MATCH($AB$7,LenU,0))+IF(AC188="",0,IF(AC188="Conical",PI()/12*(Y188*INDEX(LenF,MATCH($Y$7,LenU,0)))^2*(0),INDEX(HeadK,MATCH(AC188,HeadU,0))*(Y188*INDEX(LenF,MATCH($Y$7,LenU,0)))^3)),0),"")</f>
        <v/>
      </c>
      <c r="AE188" s="41" t="str">
        <f aca="false">IF(OR(E188="",E188="Piping"),"",IF(E188="Exchanger",AQ188*AR188+IF(P188="",0,IF(P188="Conical",PI()/12*(SQRT(4*AQ188/PI()))^2*(0),INDEX(HeadK,MATCH(P188,HeadU,0))*(SQRT(4*AQ188/PI()))^3))-IF(AND(ISNUMBER(S188),ISNUMBER(V188)),S188*PI()/4*AP188^2*V188*INDEX(LenF,MATCH($V$7,LenU,0)),0),IF(ISNUMBER(N188),PI()/4*(N188*INDEX(LenF,MATCH($N$7,LenU,0)))^2*N(O188)*INDEX(LenF,MATCH($O$7,LenU,0))+IF(P188="",0,IF(P188="Conical",PI()/12*(N188*INDEX(LenF,MATCH($N$7,LenU,0)))^2*(N(R188)*INDEX(LenF,MATCH($R$7,LenU,0))),INDEX(HeadK,MATCH(P188,HeadU,0))*(N188*INDEX(LenF,MATCH($N$7,LenU,0)))^3))+IF(Q188="",0,IF(Q188="Conical",PI()/12*(N188*INDEX(LenF,MATCH($N$7,LenU,0)))^2*(N(R188)*INDEX(LenF,MATCH($R$7,LenU,0))),INDEX(HeadK,MATCH(Q188,HeadU,0))*(N188*INDEX(LenF,MATCH($N$7,LenU,0)))^3)),0)))</f>
        <v/>
      </c>
      <c r="AF188" s="41" t="str">
        <f aca="false">IF(E188&lt;&gt;"Piping","",IF(AND(ISNUMBER(AS188),ISNUMBER(M188)),PI()/4*(AS188/1000)^2*M188*INDEX(LenF,MATCH($M$7,LenU,0)),0))</f>
        <v/>
      </c>
      <c r="AG188" s="41" t="str">
        <f aca="false">IF(E188="","",N(AD188)+N(AE188)+N(AF188))</f>
        <v/>
      </c>
      <c r="AH188" s="41" t="str">
        <f aca="false">IF(ISNUMBER(I188),I188*INDEX(WtF,MATCH($I$7,WtU,0))/CC_WaterRho,"")</f>
        <v/>
      </c>
      <c r="AI188" s="31"/>
      <c r="AJ188" s="31"/>
      <c r="AK188" s="40"/>
      <c r="AL188" s="31"/>
      <c r="AM188" s="41" t="str">
        <f aca="false">IF(AO188="","",AO188*IF(ISNUMBER(AK188),AK188,CC_DefFills)*(1+IF(ISNUMBER(AL188),AL188,CC_DefAllow)))</f>
        <v/>
      </c>
      <c r="AN188" s="42" t="str">
        <f aca="false">IF(G188="Given volume",IF(ISNUMBER(H188),H188*INDEX(VolF,MATCH($H$7,VolU,0)),""),IF(G188="Water weight",AH188,IF(N(AG188)=0,"",AG188)))</f>
        <v/>
      </c>
      <c r="AO188" s="42" t="str">
        <f aca="false">IF(N(AN188)=0,"",AN188*AT188*IF(ISNUMBER(AJ188),AJ188,CC_DefCirc))</f>
        <v/>
      </c>
      <c r="AP188" s="27" t="n">
        <f aca="false">IF(ISNUMBER(T188),T188*INDEX(LenF,MATCH($T$7,LenU,0)),IF(ISNUMBER(W188),W188*INDEX(LenF,MATCH($W$7,LenU,0))/CC_PitchRatio,0))</f>
        <v>0</v>
      </c>
      <c r="AQ188" s="27" t="n">
        <f aca="false">IF(ISNUMBER(N188),PI()/4*(N188*INDEX(LenF,MATCH($N$7,LenU,0)))^2,IF(AND(ISNUMBER(S188),ISNUMBER(W188),X188&lt;&gt;""),S188*(W188*INDEX(LenF,MATCH($W$7,LenU,0)))^2*INDEX(LayoutF,MATCH(X188,LayoutU,0)),0))</f>
        <v>0</v>
      </c>
      <c r="AR188" s="27" t="n">
        <f aca="false">IF(ISNUMBER(O188),O188*INDEX(LenF,MATCH($O$7,LenU,0)),IF(ISNUMBER(V188),V188*INDEX(LenF,MATCH($V$7,LenU,0)),0))</f>
        <v>0</v>
      </c>
      <c r="AS188" s="27" t="str">
        <f aca="false">IF(ISNUMBER(L188),L188*INDEX(LenF,MATCH($L$7,LenU,0))*1000,IF(OR(J188="",K188=""),"",IFERROR(IF(INDEX(PipeWT,MATCH(J188,NPSU,0),MATCH(K188,SchU,0))="","Sch n/a",INDEX(PipeOD,MATCH(J188,NPSU,0))-2*INDEX(PipeWT,MATCH(J188,NPSU,0),MATCH(K188,SchU,0))),"")))</f>
        <v/>
      </c>
      <c r="AT188" s="27" t="n">
        <f aca="false">IF(ISNUMBER(AI188),AI188,IFERROR(INDEX(IF(CC_JobType="Decontamination",CC_TypeFillDC,CC_TypeFillCC),MATCH(E188,CC_TypeL,0)),1))</f>
        <v>1</v>
      </c>
      <c r="AU188" s="27" t="n">
        <v>6</v>
      </c>
    </row>
    <row r="189" customFormat="false" ht="15" hidden="false" customHeight="false" outlineLevel="0" collapsed="false">
      <c r="A189" s="36" t="n">
        <v>15</v>
      </c>
      <c r="B189" s="40"/>
      <c r="C189" s="32"/>
      <c r="D189" s="32"/>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1" t="str">
        <f aca="false">IF(E189="Exchanger",IF(AND(ISNUMBER(S189),ISNUMBER(U189),ISNUMBER(V189)),S189*PI()/4*(U189*INDEX(LenF,MATCH($U$7,LenU,0)))^2*V189*INDEX(LenF,MATCH($V$7,LenU,0)),0)+IF(ISNUMBER(Y189),PI()/4*(Y189*INDEX(LenF,MATCH($Y$7,LenU,0)))^2*N(Z189)*INDEX(LenF,MATCH($Z$7,LenU,0))+IF(AA189="",0,IF(AA189="Conical",PI()/12*(Y189*INDEX(LenF,MATCH($Y$7,LenU,0)))^2*(0),INDEX(HeadK,MATCH(AA189,HeadU,0))*(Y189*INDEX(LenF,MATCH($Y$7,LenU,0)))^3)),0)+IF(ISNUMBER(Y189),PI()/4*(Y189*INDEX(LenF,MATCH($Y$7,LenU,0)))^2*N(AB189)*INDEX(LenF,MATCH($AB$7,LenU,0))+IF(AC189="",0,IF(AC189="Conical",PI()/12*(Y189*INDEX(LenF,MATCH($Y$7,LenU,0)))^2*(0),INDEX(HeadK,MATCH(AC189,HeadU,0))*(Y189*INDEX(LenF,MATCH($Y$7,LenU,0)))^3)),0),"")</f>
        <v/>
      </c>
      <c r="AE189" s="41" t="str">
        <f aca="false">IF(OR(E189="",E189="Piping"),"",IF(E189="Exchanger",AQ189*AR189+IF(P189="",0,IF(P189="Conical",PI()/12*(SQRT(4*AQ189/PI()))^2*(0),INDEX(HeadK,MATCH(P189,HeadU,0))*(SQRT(4*AQ189/PI()))^3))-IF(AND(ISNUMBER(S189),ISNUMBER(V189)),S189*PI()/4*AP189^2*V189*INDEX(LenF,MATCH($V$7,LenU,0)),0),IF(ISNUMBER(N189),PI()/4*(N189*INDEX(LenF,MATCH($N$7,LenU,0)))^2*N(O189)*INDEX(LenF,MATCH($O$7,LenU,0))+IF(P189="",0,IF(P189="Conical",PI()/12*(N189*INDEX(LenF,MATCH($N$7,LenU,0)))^2*(N(R189)*INDEX(LenF,MATCH($R$7,LenU,0))),INDEX(HeadK,MATCH(P189,HeadU,0))*(N189*INDEX(LenF,MATCH($N$7,LenU,0)))^3))+IF(Q189="",0,IF(Q189="Conical",PI()/12*(N189*INDEX(LenF,MATCH($N$7,LenU,0)))^2*(N(R189)*INDEX(LenF,MATCH($R$7,LenU,0))),INDEX(HeadK,MATCH(Q189,HeadU,0))*(N189*INDEX(LenF,MATCH($N$7,LenU,0)))^3)),0)))</f>
        <v/>
      </c>
      <c r="AF189" s="41" t="str">
        <f aca="false">IF(E189&lt;&gt;"Piping","",IF(AND(ISNUMBER(AS189),ISNUMBER(M189)),PI()/4*(AS189/1000)^2*M189*INDEX(LenF,MATCH($M$7,LenU,0)),0))</f>
        <v/>
      </c>
      <c r="AG189" s="41" t="str">
        <f aca="false">IF(E189="","",N(AD189)+N(AE189)+N(AF189))</f>
        <v/>
      </c>
      <c r="AH189" s="41" t="str">
        <f aca="false">IF(ISNUMBER(I189),I189*INDEX(WtF,MATCH($I$7,WtU,0))/CC_WaterRho,"")</f>
        <v/>
      </c>
      <c r="AI189" s="31"/>
      <c r="AJ189" s="31"/>
      <c r="AK189" s="40"/>
      <c r="AL189" s="31"/>
      <c r="AM189" s="41" t="str">
        <f aca="false">IF(AO189="","",AO189*IF(ISNUMBER(AK189),AK189,CC_DefFills)*(1+IF(ISNUMBER(AL189),AL189,CC_DefAllow)))</f>
        <v/>
      </c>
      <c r="AN189" s="42" t="str">
        <f aca="false">IF(G189="Given volume",IF(ISNUMBER(H189),H189*INDEX(VolF,MATCH($H$7,VolU,0)),""),IF(G189="Water weight",AH189,IF(N(AG189)=0,"",AG189)))</f>
        <v/>
      </c>
      <c r="AO189" s="42" t="str">
        <f aca="false">IF(N(AN189)=0,"",AN189*AT189*IF(ISNUMBER(AJ189),AJ189,CC_DefCirc))</f>
        <v/>
      </c>
      <c r="AP189" s="27" t="n">
        <f aca="false">IF(ISNUMBER(T189),T189*INDEX(LenF,MATCH($T$7,LenU,0)),IF(ISNUMBER(W189),W189*INDEX(LenF,MATCH($W$7,LenU,0))/CC_PitchRatio,0))</f>
        <v>0</v>
      </c>
      <c r="AQ189" s="27" t="n">
        <f aca="false">IF(ISNUMBER(N189),PI()/4*(N189*INDEX(LenF,MATCH($N$7,LenU,0)))^2,IF(AND(ISNUMBER(S189),ISNUMBER(W189),X189&lt;&gt;""),S189*(W189*INDEX(LenF,MATCH($W$7,LenU,0)))^2*INDEX(LayoutF,MATCH(X189,LayoutU,0)),0))</f>
        <v>0</v>
      </c>
      <c r="AR189" s="27" t="n">
        <f aca="false">IF(ISNUMBER(O189),O189*INDEX(LenF,MATCH($O$7,LenU,0)),IF(ISNUMBER(V189),V189*INDEX(LenF,MATCH($V$7,LenU,0)),0))</f>
        <v>0</v>
      </c>
      <c r="AS189" s="27" t="str">
        <f aca="false">IF(ISNUMBER(L189),L189*INDEX(LenF,MATCH($L$7,LenU,0))*1000,IF(OR(J189="",K189=""),"",IFERROR(IF(INDEX(PipeWT,MATCH(J189,NPSU,0),MATCH(K189,SchU,0))="","Sch n/a",INDEX(PipeOD,MATCH(J189,NPSU,0))-2*INDEX(PipeWT,MATCH(J189,NPSU,0),MATCH(K189,SchU,0))),"")))</f>
        <v/>
      </c>
      <c r="AT189" s="27" t="n">
        <f aca="false">IF(ISNUMBER(AI189),AI189,IFERROR(INDEX(IF(CC_JobType="Decontamination",CC_TypeFillDC,CC_TypeFillCC),MATCH(E189,CC_TypeL,0)),1))</f>
        <v>1</v>
      </c>
      <c r="AU189" s="27" t="n">
        <v>6</v>
      </c>
    </row>
    <row r="190" customFormat="false" ht="15" hidden="false" customHeight="false" outlineLevel="0" collapsed="false">
      <c r="A190" s="36" t="n">
        <v>16</v>
      </c>
      <c r="B190" s="40"/>
      <c r="C190" s="32"/>
      <c r="D190" s="32"/>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1" t="str">
        <f aca="false">IF(E190="Exchanger",IF(AND(ISNUMBER(S190),ISNUMBER(U190),ISNUMBER(V190)),S190*PI()/4*(U190*INDEX(LenF,MATCH($U$7,LenU,0)))^2*V190*INDEX(LenF,MATCH($V$7,LenU,0)),0)+IF(ISNUMBER(Y190),PI()/4*(Y190*INDEX(LenF,MATCH($Y$7,LenU,0)))^2*N(Z190)*INDEX(LenF,MATCH($Z$7,LenU,0))+IF(AA190="",0,IF(AA190="Conical",PI()/12*(Y190*INDEX(LenF,MATCH($Y$7,LenU,0)))^2*(0),INDEX(HeadK,MATCH(AA190,HeadU,0))*(Y190*INDEX(LenF,MATCH($Y$7,LenU,0)))^3)),0)+IF(ISNUMBER(Y190),PI()/4*(Y190*INDEX(LenF,MATCH($Y$7,LenU,0)))^2*N(AB190)*INDEX(LenF,MATCH($AB$7,LenU,0))+IF(AC190="",0,IF(AC190="Conical",PI()/12*(Y190*INDEX(LenF,MATCH($Y$7,LenU,0)))^2*(0),INDEX(HeadK,MATCH(AC190,HeadU,0))*(Y190*INDEX(LenF,MATCH($Y$7,LenU,0)))^3)),0),"")</f>
        <v/>
      </c>
      <c r="AE190" s="41" t="str">
        <f aca="false">IF(OR(E190="",E190="Piping"),"",IF(E190="Exchanger",AQ190*AR190+IF(P190="",0,IF(P190="Conical",PI()/12*(SQRT(4*AQ190/PI()))^2*(0),INDEX(HeadK,MATCH(P190,HeadU,0))*(SQRT(4*AQ190/PI()))^3))-IF(AND(ISNUMBER(S190),ISNUMBER(V190)),S190*PI()/4*AP190^2*V190*INDEX(LenF,MATCH($V$7,LenU,0)),0),IF(ISNUMBER(N190),PI()/4*(N190*INDEX(LenF,MATCH($N$7,LenU,0)))^2*N(O190)*INDEX(LenF,MATCH($O$7,LenU,0))+IF(P190="",0,IF(P190="Conical",PI()/12*(N190*INDEX(LenF,MATCH($N$7,LenU,0)))^2*(N(R190)*INDEX(LenF,MATCH($R$7,LenU,0))),INDEX(HeadK,MATCH(P190,HeadU,0))*(N190*INDEX(LenF,MATCH($N$7,LenU,0)))^3))+IF(Q190="",0,IF(Q190="Conical",PI()/12*(N190*INDEX(LenF,MATCH($N$7,LenU,0)))^2*(N(R190)*INDEX(LenF,MATCH($R$7,LenU,0))),INDEX(HeadK,MATCH(Q190,HeadU,0))*(N190*INDEX(LenF,MATCH($N$7,LenU,0)))^3)),0)))</f>
        <v/>
      </c>
      <c r="AF190" s="41" t="str">
        <f aca="false">IF(E190&lt;&gt;"Piping","",IF(AND(ISNUMBER(AS190),ISNUMBER(M190)),PI()/4*(AS190/1000)^2*M190*INDEX(LenF,MATCH($M$7,LenU,0)),0))</f>
        <v/>
      </c>
      <c r="AG190" s="41" t="str">
        <f aca="false">IF(E190="","",N(AD190)+N(AE190)+N(AF190))</f>
        <v/>
      </c>
      <c r="AH190" s="41" t="str">
        <f aca="false">IF(ISNUMBER(I190),I190*INDEX(WtF,MATCH($I$7,WtU,0))/CC_WaterRho,"")</f>
        <v/>
      </c>
      <c r="AI190" s="31"/>
      <c r="AJ190" s="31"/>
      <c r="AK190" s="40"/>
      <c r="AL190" s="31"/>
      <c r="AM190" s="41" t="str">
        <f aca="false">IF(AO190="","",AO190*IF(ISNUMBER(AK190),AK190,CC_DefFills)*(1+IF(ISNUMBER(AL190),AL190,CC_DefAllow)))</f>
        <v/>
      </c>
      <c r="AN190" s="42" t="str">
        <f aca="false">IF(G190="Given volume",IF(ISNUMBER(H190),H190*INDEX(VolF,MATCH($H$7,VolU,0)),""),IF(G190="Water weight",AH190,IF(N(AG190)=0,"",AG190)))</f>
        <v/>
      </c>
      <c r="AO190" s="42" t="str">
        <f aca="false">IF(N(AN190)=0,"",AN190*AT190*IF(ISNUMBER(AJ190),AJ190,CC_DefCirc))</f>
        <v/>
      </c>
      <c r="AP190" s="27" t="n">
        <f aca="false">IF(ISNUMBER(T190),T190*INDEX(LenF,MATCH($T$7,LenU,0)),IF(ISNUMBER(W190),W190*INDEX(LenF,MATCH($W$7,LenU,0))/CC_PitchRatio,0))</f>
        <v>0</v>
      </c>
      <c r="AQ190" s="27" t="n">
        <f aca="false">IF(ISNUMBER(N190),PI()/4*(N190*INDEX(LenF,MATCH($N$7,LenU,0)))^2,IF(AND(ISNUMBER(S190),ISNUMBER(W190),X190&lt;&gt;""),S190*(W190*INDEX(LenF,MATCH($W$7,LenU,0)))^2*INDEX(LayoutF,MATCH(X190,LayoutU,0)),0))</f>
        <v>0</v>
      </c>
      <c r="AR190" s="27" t="n">
        <f aca="false">IF(ISNUMBER(O190),O190*INDEX(LenF,MATCH($O$7,LenU,0)),IF(ISNUMBER(V190),V190*INDEX(LenF,MATCH($V$7,LenU,0)),0))</f>
        <v>0</v>
      </c>
      <c r="AS190" s="27" t="str">
        <f aca="false">IF(ISNUMBER(L190),L190*INDEX(LenF,MATCH($L$7,LenU,0))*1000,IF(OR(J190="",K190=""),"",IFERROR(IF(INDEX(PipeWT,MATCH(J190,NPSU,0),MATCH(K190,SchU,0))="","Sch n/a",INDEX(PipeOD,MATCH(J190,NPSU,0))-2*INDEX(PipeWT,MATCH(J190,NPSU,0),MATCH(K190,SchU,0))),"")))</f>
        <v/>
      </c>
      <c r="AT190" s="27" t="n">
        <f aca="false">IF(ISNUMBER(AI190),AI190,IFERROR(INDEX(IF(CC_JobType="Decontamination",CC_TypeFillDC,CC_TypeFillCC),MATCH(E190,CC_TypeL,0)),1))</f>
        <v>1</v>
      </c>
      <c r="AU190" s="27" t="n">
        <v>6</v>
      </c>
    </row>
    <row r="191" customFormat="false" ht="15" hidden="false" customHeight="false" outlineLevel="0" collapsed="false">
      <c r="A191" s="36" t="n">
        <v>17</v>
      </c>
      <c r="B191" s="40"/>
      <c r="C191" s="32"/>
      <c r="D191" s="32"/>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1" t="str">
        <f aca="false">IF(E191="Exchanger",IF(AND(ISNUMBER(S191),ISNUMBER(U191),ISNUMBER(V191)),S191*PI()/4*(U191*INDEX(LenF,MATCH($U$7,LenU,0)))^2*V191*INDEX(LenF,MATCH($V$7,LenU,0)),0)+IF(ISNUMBER(Y191),PI()/4*(Y191*INDEX(LenF,MATCH($Y$7,LenU,0)))^2*N(Z191)*INDEX(LenF,MATCH($Z$7,LenU,0))+IF(AA191="",0,IF(AA191="Conical",PI()/12*(Y191*INDEX(LenF,MATCH($Y$7,LenU,0)))^2*(0),INDEX(HeadK,MATCH(AA191,HeadU,0))*(Y191*INDEX(LenF,MATCH($Y$7,LenU,0)))^3)),0)+IF(ISNUMBER(Y191),PI()/4*(Y191*INDEX(LenF,MATCH($Y$7,LenU,0)))^2*N(AB191)*INDEX(LenF,MATCH($AB$7,LenU,0))+IF(AC191="",0,IF(AC191="Conical",PI()/12*(Y191*INDEX(LenF,MATCH($Y$7,LenU,0)))^2*(0),INDEX(HeadK,MATCH(AC191,HeadU,0))*(Y191*INDEX(LenF,MATCH($Y$7,LenU,0)))^3)),0),"")</f>
        <v/>
      </c>
      <c r="AE191" s="41" t="str">
        <f aca="false">IF(OR(E191="",E191="Piping"),"",IF(E191="Exchanger",AQ191*AR191+IF(P191="",0,IF(P191="Conical",PI()/12*(SQRT(4*AQ191/PI()))^2*(0),INDEX(HeadK,MATCH(P191,HeadU,0))*(SQRT(4*AQ191/PI()))^3))-IF(AND(ISNUMBER(S191),ISNUMBER(V191)),S191*PI()/4*AP191^2*V191*INDEX(LenF,MATCH($V$7,LenU,0)),0),IF(ISNUMBER(N191),PI()/4*(N191*INDEX(LenF,MATCH($N$7,LenU,0)))^2*N(O191)*INDEX(LenF,MATCH($O$7,LenU,0))+IF(P191="",0,IF(P191="Conical",PI()/12*(N191*INDEX(LenF,MATCH($N$7,LenU,0)))^2*(N(R191)*INDEX(LenF,MATCH($R$7,LenU,0))),INDEX(HeadK,MATCH(P191,HeadU,0))*(N191*INDEX(LenF,MATCH($N$7,LenU,0)))^3))+IF(Q191="",0,IF(Q191="Conical",PI()/12*(N191*INDEX(LenF,MATCH($N$7,LenU,0)))^2*(N(R191)*INDEX(LenF,MATCH($R$7,LenU,0))),INDEX(HeadK,MATCH(Q191,HeadU,0))*(N191*INDEX(LenF,MATCH($N$7,LenU,0)))^3)),0)))</f>
        <v/>
      </c>
      <c r="AF191" s="41" t="str">
        <f aca="false">IF(E191&lt;&gt;"Piping","",IF(AND(ISNUMBER(AS191),ISNUMBER(M191)),PI()/4*(AS191/1000)^2*M191*INDEX(LenF,MATCH($M$7,LenU,0)),0))</f>
        <v/>
      </c>
      <c r="AG191" s="41" t="str">
        <f aca="false">IF(E191="","",N(AD191)+N(AE191)+N(AF191))</f>
        <v/>
      </c>
      <c r="AH191" s="41" t="str">
        <f aca="false">IF(ISNUMBER(I191),I191*INDEX(WtF,MATCH($I$7,WtU,0))/CC_WaterRho,"")</f>
        <v/>
      </c>
      <c r="AI191" s="31"/>
      <c r="AJ191" s="31"/>
      <c r="AK191" s="40"/>
      <c r="AL191" s="31"/>
      <c r="AM191" s="41" t="str">
        <f aca="false">IF(AO191="","",AO191*IF(ISNUMBER(AK191),AK191,CC_DefFills)*(1+IF(ISNUMBER(AL191),AL191,CC_DefAllow)))</f>
        <v/>
      </c>
      <c r="AN191" s="42" t="str">
        <f aca="false">IF(G191="Given volume",IF(ISNUMBER(H191),H191*INDEX(VolF,MATCH($H$7,VolU,0)),""),IF(G191="Water weight",AH191,IF(N(AG191)=0,"",AG191)))</f>
        <v/>
      </c>
      <c r="AO191" s="42" t="str">
        <f aca="false">IF(N(AN191)=0,"",AN191*AT191*IF(ISNUMBER(AJ191),AJ191,CC_DefCirc))</f>
        <v/>
      </c>
      <c r="AP191" s="27" t="n">
        <f aca="false">IF(ISNUMBER(T191),T191*INDEX(LenF,MATCH($T$7,LenU,0)),IF(ISNUMBER(W191),W191*INDEX(LenF,MATCH($W$7,LenU,0))/CC_PitchRatio,0))</f>
        <v>0</v>
      </c>
      <c r="AQ191" s="27" t="n">
        <f aca="false">IF(ISNUMBER(N191),PI()/4*(N191*INDEX(LenF,MATCH($N$7,LenU,0)))^2,IF(AND(ISNUMBER(S191),ISNUMBER(W191),X191&lt;&gt;""),S191*(W191*INDEX(LenF,MATCH($W$7,LenU,0)))^2*INDEX(LayoutF,MATCH(X191,LayoutU,0)),0))</f>
        <v>0</v>
      </c>
      <c r="AR191" s="27" t="n">
        <f aca="false">IF(ISNUMBER(O191),O191*INDEX(LenF,MATCH($O$7,LenU,0)),IF(ISNUMBER(V191),V191*INDEX(LenF,MATCH($V$7,LenU,0)),0))</f>
        <v>0</v>
      </c>
      <c r="AS191" s="27" t="str">
        <f aca="false">IF(ISNUMBER(L191),L191*INDEX(LenF,MATCH($L$7,LenU,0))*1000,IF(OR(J191="",K191=""),"",IFERROR(IF(INDEX(PipeWT,MATCH(J191,NPSU,0),MATCH(K191,SchU,0))="","Sch n/a",INDEX(PipeOD,MATCH(J191,NPSU,0))-2*INDEX(PipeWT,MATCH(J191,NPSU,0),MATCH(K191,SchU,0))),"")))</f>
        <v/>
      </c>
      <c r="AT191" s="27" t="n">
        <f aca="false">IF(ISNUMBER(AI191),AI191,IFERROR(INDEX(IF(CC_JobType="Decontamination",CC_TypeFillDC,CC_TypeFillCC),MATCH(E191,CC_TypeL,0)),1))</f>
        <v>1</v>
      </c>
      <c r="AU191" s="27" t="n">
        <v>6</v>
      </c>
    </row>
    <row r="192" customFormat="false" ht="15" hidden="false" customHeight="false" outlineLevel="0" collapsed="false">
      <c r="A192" s="36" t="n">
        <v>18</v>
      </c>
      <c r="B192" s="40"/>
      <c r="C192" s="32"/>
      <c r="D192" s="32"/>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1" t="str">
        <f aca="false">IF(E192="Exchanger",IF(AND(ISNUMBER(S192),ISNUMBER(U192),ISNUMBER(V192)),S192*PI()/4*(U192*INDEX(LenF,MATCH($U$7,LenU,0)))^2*V192*INDEX(LenF,MATCH($V$7,LenU,0)),0)+IF(ISNUMBER(Y192),PI()/4*(Y192*INDEX(LenF,MATCH($Y$7,LenU,0)))^2*N(Z192)*INDEX(LenF,MATCH($Z$7,LenU,0))+IF(AA192="",0,IF(AA192="Conical",PI()/12*(Y192*INDEX(LenF,MATCH($Y$7,LenU,0)))^2*(0),INDEX(HeadK,MATCH(AA192,HeadU,0))*(Y192*INDEX(LenF,MATCH($Y$7,LenU,0)))^3)),0)+IF(ISNUMBER(Y192),PI()/4*(Y192*INDEX(LenF,MATCH($Y$7,LenU,0)))^2*N(AB192)*INDEX(LenF,MATCH($AB$7,LenU,0))+IF(AC192="",0,IF(AC192="Conical",PI()/12*(Y192*INDEX(LenF,MATCH($Y$7,LenU,0)))^2*(0),INDEX(HeadK,MATCH(AC192,HeadU,0))*(Y192*INDEX(LenF,MATCH($Y$7,LenU,0)))^3)),0),"")</f>
        <v/>
      </c>
      <c r="AE192" s="41" t="str">
        <f aca="false">IF(OR(E192="",E192="Piping"),"",IF(E192="Exchanger",AQ192*AR192+IF(P192="",0,IF(P192="Conical",PI()/12*(SQRT(4*AQ192/PI()))^2*(0),INDEX(HeadK,MATCH(P192,HeadU,0))*(SQRT(4*AQ192/PI()))^3))-IF(AND(ISNUMBER(S192),ISNUMBER(V192)),S192*PI()/4*AP192^2*V192*INDEX(LenF,MATCH($V$7,LenU,0)),0),IF(ISNUMBER(N192),PI()/4*(N192*INDEX(LenF,MATCH($N$7,LenU,0)))^2*N(O192)*INDEX(LenF,MATCH($O$7,LenU,0))+IF(P192="",0,IF(P192="Conical",PI()/12*(N192*INDEX(LenF,MATCH($N$7,LenU,0)))^2*(N(R192)*INDEX(LenF,MATCH($R$7,LenU,0))),INDEX(HeadK,MATCH(P192,HeadU,0))*(N192*INDEX(LenF,MATCH($N$7,LenU,0)))^3))+IF(Q192="",0,IF(Q192="Conical",PI()/12*(N192*INDEX(LenF,MATCH($N$7,LenU,0)))^2*(N(R192)*INDEX(LenF,MATCH($R$7,LenU,0))),INDEX(HeadK,MATCH(Q192,HeadU,0))*(N192*INDEX(LenF,MATCH($N$7,LenU,0)))^3)),0)))</f>
        <v/>
      </c>
      <c r="AF192" s="41" t="str">
        <f aca="false">IF(E192&lt;&gt;"Piping","",IF(AND(ISNUMBER(AS192),ISNUMBER(M192)),PI()/4*(AS192/1000)^2*M192*INDEX(LenF,MATCH($M$7,LenU,0)),0))</f>
        <v/>
      </c>
      <c r="AG192" s="41" t="str">
        <f aca="false">IF(E192="","",N(AD192)+N(AE192)+N(AF192))</f>
        <v/>
      </c>
      <c r="AH192" s="41" t="str">
        <f aca="false">IF(ISNUMBER(I192),I192*INDEX(WtF,MATCH($I$7,WtU,0))/CC_WaterRho,"")</f>
        <v/>
      </c>
      <c r="AI192" s="31"/>
      <c r="AJ192" s="31"/>
      <c r="AK192" s="40"/>
      <c r="AL192" s="31"/>
      <c r="AM192" s="41" t="str">
        <f aca="false">IF(AO192="","",AO192*IF(ISNUMBER(AK192),AK192,CC_DefFills)*(1+IF(ISNUMBER(AL192),AL192,CC_DefAllow)))</f>
        <v/>
      </c>
      <c r="AN192" s="42" t="str">
        <f aca="false">IF(G192="Given volume",IF(ISNUMBER(H192),H192*INDEX(VolF,MATCH($H$7,VolU,0)),""),IF(G192="Water weight",AH192,IF(N(AG192)=0,"",AG192)))</f>
        <v/>
      </c>
      <c r="AO192" s="42" t="str">
        <f aca="false">IF(N(AN192)=0,"",AN192*AT192*IF(ISNUMBER(AJ192),AJ192,CC_DefCirc))</f>
        <v/>
      </c>
      <c r="AP192" s="27" t="n">
        <f aca="false">IF(ISNUMBER(T192),T192*INDEX(LenF,MATCH($T$7,LenU,0)),IF(ISNUMBER(W192),W192*INDEX(LenF,MATCH($W$7,LenU,0))/CC_PitchRatio,0))</f>
        <v>0</v>
      </c>
      <c r="AQ192" s="27" t="n">
        <f aca="false">IF(ISNUMBER(N192),PI()/4*(N192*INDEX(LenF,MATCH($N$7,LenU,0)))^2,IF(AND(ISNUMBER(S192),ISNUMBER(W192),X192&lt;&gt;""),S192*(W192*INDEX(LenF,MATCH($W$7,LenU,0)))^2*INDEX(LayoutF,MATCH(X192,LayoutU,0)),0))</f>
        <v>0</v>
      </c>
      <c r="AR192" s="27" t="n">
        <f aca="false">IF(ISNUMBER(O192),O192*INDEX(LenF,MATCH($O$7,LenU,0)),IF(ISNUMBER(V192),V192*INDEX(LenF,MATCH($V$7,LenU,0)),0))</f>
        <v>0</v>
      </c>
      <c r="AS192" s="27" t="str">
        <f aca="false">IF(ISNUMBER(L192),L192*INDEX(LenF,MATCH($L$7,LenU,0))*1000,IF(OR(J192="",K192=""),"",IFERROR(IF(INDEX(PipeWT,MATCH(J192,NPSU,0),MATCH(K192,SchU,0))="","Sch n/a",INDEX(PipeOD,MATCH(J192,NPSU,0))-2*INDEX(PipeWT,MATCH(J192,NPSU,0),MATCH(K192,SchU,0))),"")))</f>
        <v/>
      </c>
      <c r="AT192" s="27" t="n">
        <f aca="false">IF(ISNUMBER(AI192),AI192,IFERROR(INDEX(IF(CC_JobType="Decontamination",CC_TypeFillDC,CC_TypeFillCC),MATCH(E192,CC_TypeL,0)),1))</f>
        <v>1</v>
      </c>
      <c r="AU192" s="27" t="n">
        <v>6</v>
      </c>
    </row>
    <row r="193" customFormat="false" ht="15" hidden="false" customHeight="false" outlineLevel="0" collapsed="false">
      <c r="A193" s="36" t="n">
        <v>19</v>
      </c>
      <c r="B193" s="40"/>
      <c r="C193" s="32"/>
      <c r="D193" s="32"/>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1" t="str">
        <f aca="false">IF(E193="Exchanger",IF(AND(ISNUMBER(S193),ISNUMBER(U193),ISNUMBER(V193)),S193*PI()/4*(U193*INDEX(LenF,MATCH($U$7,LenU,0)))^2*V193*INDEX(LenF,MATCH($V$7,LenU,0)),0)+IF(ISNUMBER(Y193),PI()/4*(Y193*INDEX(LenF,MATCH($Y$7,LenU,0)))^2*N(Z193)*INDEX(LenF,MATCH($Z$7,LenU,0))+IF(AA193="",0,IF(AA193="Conical",PI()/12*(Y193*INDEX(LenF,MATCH($Y$7,LenU,0)))^2*(0),INDEX(HeadK,MATCH(AA193,HeadU,0))*(Y193*INDEX(LenF,MATCH($Y$7,LenU,0)))^3)),0)+IF(ISNUMBER(Y193),PI()/4*(Y193*INDEX(LenF,MATCH($Y$7,LenU,0)))^2*N(AB193)*INDEX(LenF,MATCH($AB$7,LenU,0))+IF(AC193="",0,IF(AC193="Conical",PI()/12*(Y193*INDEX(LenF,MATCH($Y$7,LenU,0)))^2*(0),INDEX(HeadK,MATCH(AC193,HeadU,0))*(Y193*INDEX(LenF,MATCH($Y$7,LenU,0)))^3)),0),"")</f>
        <v/>
      </c>
      <c r="AE193" s="41" t="str">
        <f aca="false">IF(OR(E193="",E193="Piping"),"",IF(E193="Exchanger",AQ193*AR193+IF(P193="",0,IF(P193="Conical",PI()/12*(SQRT(4*AQ193/PI()))^2*(0),INDEX(HeadK,MATCH(P193,HeadU,0))*(SQRT(4*AQ193/PI()))^3))-IF(AND(ISNUMBER(S193),ISNUMBER(V193)),S193*PI()/4*AP193^2*V193*INDEX(LenF,MATCH($V$7,LenU,0)),0),IF(ISNUMBER(N193),PI()/4*(N193*INDEX(LenF,MATCH($N$7,LenU,0)))^2*N(O193)*INDEX(LenF,MATCH($O$7,LenU,0))+IF(P193="",0,IF(P193="Conical",PI()/12*(N193*INDEX(LenF,MATCH($N$7,LenU,0)))^2*(N(R193)*INDEX(LenF,MATCH($R$7,LenU,0))),INDEX(HeadK,MATCH(P193,HeadU,0))*(N193*INDEX(LenF,MATCH($N$7,LenU,0)))^3))+IF(Q193="",0,IF(Q193="Conical",PI()/12*(N193*INDEX(LenF,MATCH($N$7,LenU,0)))^2*(N(R193)*INDEX(LenF,MATCH($R$7,LenU,0))),INDEX(HeadK,MATCH(Q193,HeadU,0))*(N193*INDEX(LenF,MATCH($N$7,LenU,0)))^3)),0)))</f>
        <v/>
      </c>
      <c r="AF193" s="41" t="str">
        <f aca="false">IF(E193&lt;&gt;"Piping","",IF(AND(ISNUMBER(AS193),ISNUMBER(M193)),PI()/4*(AS193/1000)^2*M193*INDEX(LenF,MATCH($M$7,LenU,0)),0))</f>
        <v/>
      </c>
      <c r="AG193" s="41" t="str">
        <f aca="false">IF(E193="","",N(AD193)+N(AE193)+N(AF193))</f>
        <v/>
      </c>
      <c r="AH193" s="41" t="str">
        <f aca="false">IF(ISNUMBER(I193),I193*INDEX(WtF,MATCH($I$7,WtU,0))/CC_WaterRho,"")</f>
        <v/>
      </c>
      <c r="AI193" s="31"/>
      <c r="AJ193" s="31"/>
      <c r="AK193" s="40"/>
      <c r="AL193" s="31"/>
      <c r="AM193" s="41" t="str">
        <f aca="false">IF(AO193="","",AO193*IF(ISNUMBER(AK193),AK193,CC_DefFills)*(1+IF(ISNUMBER(AL193),AL193,CC_DefAllow)))</f>
        <v/>
      </c>
      <c r="AN193" s="42" t="str">
        <f aca="false">IF(G193="Given volume",IF(ISNUMBER(H193),H193*INDEX(VolF,MATCH($H$7,VolU,0)),""),IF(G193="Water weight",AH193,IF(N(AG193)=0,"",AG193)))</f>
        <v/>
      </c>
      <c r="AO193" s="42" t="str">
        <f aca="false">IF(N(AN193)=0,"",AN193*AT193*IF(ISNUMBER(AJ193),AJ193,CC_DefCirc))</f>
        <v/>
      </c>
      <c r="AP193" s="27" t="n">
        <f aca="false">IF(ISNUMBER(T193),T193*INDEX(LenF,MATCH($T$7,LenU,0)),IF(ISNUMBER(W193),W193*INDEX(LenF,MATCH($W$7,LenU,0))/CC_PitchRatio,0))</f>
        <v>0</v>
      </c>
      <c r="AQ193" s="27" t="n">
        <f aca="false">IF(ISNUMBER(N193),PI()/4*(N193*INDEX(LenF,MATCH($N$7,LenU,0)))^2,IF(AND(ISNUMBER(S193),ISNUMBER(W193),X193&lt;&gt;""),S193*(W193*INDEX(LenF,MATCH($W$7,LenU,0)))^2*INDEX(LayoutF,MATCH(X193,LayoutU,0)),0))</f>
        <v>0</v>
      </c>
      <c r="AR193" s="27" t="n">
        <f aca="false">IF(ISNUMBER(O193),O193*INDEX(LenF,MATCH($O$7,LenU,0)),IF(ISNUMBER(V193),V193*INDEX(LenF,MATCH($V$7,LenU,0)),0))</f>
        <v>0</v>
      </c>
      <c r="AS193" s="27" t="str">
        <f aca="false">IF(ISNUMBER(L193),L193*INDEX(LenF,MATCH($L$7,LenU,0))*1000,IF(OR(J193="",K193=""),"",IFERROR(IF(INDEX(PipeWT,MATCH(J193,NPSU,0),MATCH(K193,SchU,0))="","Sch n/a",INDEX(PipeOD,MATCH(J193,NPSU,0))-2*INDEX(PipeWT,MATCH(J193,NPSU,0),MATCH(K193,SchU,0))),"")))</f>
        <v/>
      </c>
      <c r="AT193" s="27" t="n">
        <f aca="false">IF(ISNUMBER(AI193),AI193,IFERROR(INDEX(IF(CC_JobType="Decontamination",CC_TypeFillDC,CC_TypeFillCC),MATCH(E193,CC_TypeL,0)),1))</f>
        <v>1</v>
      </c>
      <c r="AU193" s="27" t="n">
        <v>6</v>
      </c>
    </row>
    <row r="194" customFormat="false" ht="15" hidden="false" customHeight="false" outlineLevel="0" collapsed="false">
      <c r="A194" s="36" t="n">
        <v>20</v>
      </c>
      <c r="B194" s="40"/>
      <c r="C194" s="32"/>
      <c r="D194" s="32"/>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1" t="str">
        <f aca="false">IF(E194="Exchanger",IF(AND(ISNUMBER(S194),ISNUMBER(U194),ISNUMBER(V194)),S194*PI()/4*(U194*INDEX(LenF,MATCH($U$7,LenU,0)))^2*V194*INDEX(LenF,MATCH($V$7,LenU,0)),0)+IF(ISNUMBER(Y194),PI()/4*(Y194*INDEX(LenF,MATCH($Y$7,LenU,0)))^2*N(Z194)*INDEX(LenF,MATCH($Z$7,LenU,0))+IF(AA194="",0,IF(AA194="Conical",PI()/12*(Y194*INDEX(LenF,MATCH($Y$7,LenU,0)))^2*(0),INDEX(HeadK,MATCH(AA194,HeadU,0))*(Y194*INDEX(LenF,MATCH($Y$7,LenU,0)))^3)),0)+IF(ISNUMBER(Y194),PI()/4*(Y194*INDEX(LenF,MATCH($Y$7,LenU,0)))^2*N(AB194)*INDEX(LenF,MATCH($AB$7,LenU,0))+IF(AC194="",0,IF(AC194="Conical",PI()/12*(Y194*INDEX(LenF,MATCH($Y$7,LenU,0)))^2*(0),INDEX(HeadK,MATCH(AC194,HeadU,0))*(Y194*INDEX(LenF,MATCH($Y$7,LenU,0)))^3)),0),"")</f>
        <v/>
      </c>
      <c r="AE194" s="41" t="str">
        <f aca="false">IF(OR(E194="",E194="Piping"),"",IF(E194="Exchanger",AQ194*AR194+IF(P194="",0,IF(P194="Conical",PI()/12*(SQRT(4*AQ194/PI()))^2*(0),INDEX(HeadK,MATCH(P194,HeadU,0))*(SQRT(4*AQ194/PI()))^3))-IF(AND(ISNUMBER(S194),ISNUMBER(V194)),S194*PI()/4*AP194^2*V194*INDEX(LenF,MATCH($V$7,LenU,0)),0),IF(ISNUMBER(N194),PI()/4*(N194*INDEX(LenF,MATCH($N$7,LenU,0)))^2*N(O194)*INDEX(LenF,MATCH($O$7,LenU,0))+IF(P194="",0,IF(P194="Conical",PI()/12*(N194*INDEX(LenF,MATCH($N$7,LenU,0)))^2*(N(R194)*INDEX(LenF,MATCH($R$7,LenU,0))),INDEX(HeadK,MATCH(P194,HeadU,0))*(N194*INDEX(LenF,MATCH($N$7,LenU,0)))^3))+IF(Q194="",0,IF(Q194="Conical",PI()/12*(N194*INDEX(LenF,MATCH($N$7,LenU,0)))^2*(N(R194)*INDEX(LenF,MATCH($R$7,LenU,0))),INDEX(HeadK,MATCH(Q194,HeadU,0))*(N194*INDEX(LenF,MATCH($N$7,LenU,0)))^3)),0)))</f>
        <v/>
      </c>
      <c r="AF194" s="41" t="str">
        <f aca="false">IF(E194&lt;&gt;"Piping","",IF(AND(ISNUMBER(AS194),ISNUMBER(M194)),PI()/4*(AS194/1000)^2*M194*INDEX(LenF,MATCH($M$7,LenU,0)),0))</f>
        <v/>
      </c>
      <c r="AG194" s="41" t="str">
        <f aca="false">IF(E194="","",N(AD194)+N(AE194)+N(AF194))</f>
        <v/>
      </c>
      <c r="AH194" s="41" t="str">
        <f aca="false">IF(ISNUMBER(I194),I194*INDEX(WtF,MATCH($I$7,WtU,0))/CC_WaterRho,"")</f>
        <v/>
      </c>
      <c r="AI194" s="31"/>
      <c r="AJ194" s="31"/>
      <c r="AK194" s="40"/>
      <c r="AL194" s="31"/>
      <c r="AM194" s="41" t="str">
        <f aca="false">IF(AO194="","",AO194*IF(ISNUMBER(AK194),AK194,CC_DefFills)*(1+IF(ISNUMBER(AL194),AL194,CC_DefAllow)))</f>
        <v/>
      </c>
      <c r="AN194" s="42" t="str">
        <f aca="false">IF(G194="Given volume",IF(ISNUMBER(H194),H194*INDEX(VolF,MATCH($H$7,VolU,0)),""),IF(G194="Water weight",AH194,IF(N(AG194)=0,"",AG194)))</f>
        <v/>
      </c>
      <c r="AO194" s="42" t="str">
        <f aca="false">IF(N(AN194)=0,"",AN194*AT194*IF(ISNUMBER(AJ194),AJ194,CC_DefCirc))</f>
        <v/>
      </c>
      <c r="AP194" s="27" t="n">
        <f aca="false">IF(ISNUMBER(T194),T194*INDEX(LenF,MATCH($T$7,LenU,0)),IF(ISNUMBER(W194),W194*INDEX(LenF,MATCH($W$7,LenU,0))/CC_PitchRatio,0))</f>
        <v>0</v>
      </c>
      <c r="AQ194" s="27" t="n">
        <f aca="false">IF(ISNUMBER(N194),PI()/4*(N194*INDEX(LenF,MATCH($N$7,LenU,0)))^2,IF(AND(ISNUMBER(S194),ISNUMBER(W194),X194&lt;&gt;""),S194*(W194*INDEX(LenF,MATCH($W$7,LenU,0)))^2*INDEX(LayoutF,MATCH(X194,LayoutU,0)),0))</f>
        <v>0</v>
      </c>
      <c r="AR194" s="27" t="n">
        <f aca="false">IF(ISNUMBER(O194),O194*INDEX(LenF,MATCH($O$7,LenU,0)),IF(ISNUMBER(V194),V194*INDEX(LenF,MATCH($V$7,LenU,0)),0))</f>
        <v>0</v>
      </c>
      <c r="AS194" s="27" t="str">
        <f aca="false">IF(ISNUMBER(L194),L194*INDEX(LenF,MATCH($L$7,LenU,0))*1000,IF(OR(J194="",K194=""),"",IFERROR(IF(INDEX(PipeWT,MATCH(J194,NPSU,0),MATCH(K194,SchU,0))="","Sch n/a",INDEX(PipeOD,MATCH(J194,NPSU,0))-2*INDEX(PipeWT,MATCH(J194,NPSU,0),MATCH(K194,SchU,0))),"")))</f>
        <v/>
      </c>
      <c r="AT194" s="27" t="n">
        <f aca="false">IF(ISNUMBER(AI194),AI194,IFERROR(INDEX(IF(CC_JobType="Decontamination",CC_TypeFillDC,CC_TypeFillCC),MATCH(E194,CC_TypeL,0)),1))</f>
        <v>1</v>
      </c>
      <c r="AU194" s="27" t="n">
        <v>6</v>
      </c>
    </row>
    <row r="195" customFormat="false" ht="15" hidden="false" customHeight="false" outlineLevel="0" collapsed="false">
      <c r="A195" s="36" t="n">
        <v>21</v>
      </c>
      <c r="B195" s="40"/>
      <c r="C195" s="32"/>
      <c r="D195" s="32"/>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1" t="str">
        <f aca="false">IF(E195="Exchanger",IF(AND(ISNUMBER(S195),ISNUMBER(U195),ISNUMBER(V195)),S195*PI()/4*(U195*INDEX(LenF,MATCH($U$7,LenU,0)))^2*V195*INDEX(LenF,MATCH($V$7,LenU,0)),0)+IF(ISNUMBER(Y195),PI()/4*(Y195*INDEX(LenF,MATCH($Y$7,LenU,0)))^2*N(Z195)*INDEX(LenF,MATCH($Z$7,LenU,0))+IF(AA195="",0,IF(AA195="Conical",PI()/12*(Y195*INDEX(LenF,MATCH($Y$7,LenU,0)))^2*(0),INDEX(HeadK,MATCH(AA195,HeadU,0))*(Y195*INDEX(LenF,MATCH($Y$7,LenU,0)))^3)),0)+IF(ISNUMBER(Y195),PI()/4*(Y195*INDEX(LenF,MATCH($Y$7,LenU,0)))^2*N(AB195)*INDEX(LenF,MATCH($AB$7,LenU,0))+IF(AC195="",0,IF(AC195="Conical",PI()/12*(Y195*INDEX(LenF,MATCH($Y$7,LenU,0)))^2*(0),INDEX(HeadK,MATCH(AC195,HeadU,0))*(Y195*INDEX(LenF,MATCH($Y$7,LenU,0)))^3)),0),"")</f>
        <v/>
      </c>
      <c r="AE195" s="41" t="str">
        <f aca="false">IF(OR(E195="",E195="Piping"),"",IF(E195="Exchanger",AQ195*AR195+IF(P195="",0,IF(P195="Conical",PI()/12*(SQRT(4*AQ195/PI()))^2*(0),INDEX(HeadK,MATCH(P195,HeadU,0))*(SQRT(4*AQ195/PI()))^3))-IF(AND(ISNUMBER(S195),ISNUMBER(V195)),S195*PI()/4*AP195^2*V195*INDEX(LenF,MATCH($V$7,LenU,0)),0),IF(ISNUMBER(N195),PI()/4*(N195*INDEX(LenF,MATCH($N$7,LenU,0)))^2*N(O195)*INDEX(LenF,MATCH($O$7,LenU,0))+IF(P195="",0,IF(P195="Conical",PI()/12*(N195*INDEX(LenF,MATCH($N$7,LenU,0)))^2*(N(R195)*INDEX(LenF,MATCH($R$7,LenU,0))),INDEX(HeadK,MATCH(P195,HeadU,0))*(N195*INDEX(LenF,MATCH($N$7,LenU,0)))^3))+IF(Q195="",0,IF(Q195="Conical",PI()/12*(N195*INDEX(LenF,MATCH($N$7,LenU,0)))^2*(N(R195)*INDEX(LenF,MATCH($R$7,LenU,0))),INDEX(HeadK,MATCH(Q195,HeadU,0))*(N195*INDEX(LenF,MATCH($N$7,LenU,0)))^3)),0)))</f>
        <v/>
      </c>
      <c r="AF195" s="41" t="str">
        <f aca="false">IF(E195&lt;&gt;"Piping","",IF(AND(ISNUMBER(AS195),ISNUMBER(M195)),PI()/4*(AS195/1000)^2*M195*INDEX(LenF,MATCH($M$7,LenU,0)),0))</f>
        <v/>
      </c>
      <c r="AG195" s="41" t="str">
        <f aca="false">IF(E195="","",N(AD195)+N(AE195)+N(AF195))</f>
        <v/>
      </c>
      <c r="AH195" s="41" t="str">
        <f aca="false">IF(ISNUMBER(I195),I195*INDEX(WtF,MATCH($I$7,WtU,0))/CC_WaterRho,"")</f>
        <v/>
      </c>
      <c r="AI195" s="31"/>
      <c r="AJ195" s="31"/>
      <c r="AK195" s="40"/>
      <c r="AL195" s="31"/>
      <c r="AM195" s="41" t="str">
        <f aca="false">IF(AO195="","",AO195*IF(ISNUMBER(AK195),AK195,CC_DefFills)*(1+IF(ISNUMBER(AL195),AL195,CC_DefAllow)))</f>
        <v/>
      </c>
      <c r="AN195" s="42" t="str">
        <f aca="false">IF(G195="Given volume",IF(ISNUMBER(H195),H195*INDEX(VolF,MATCH($H$7,VolU,0)),""),IF(G195="Water weight",AH195,IF(N(AG195)=0,"",AG195)))</f>
        <v/>
      </c>
      <c r="AO195" s="42" t="str">
        <f aca="false">IF(N(AN195)=0,"",AN195*AT195*IF(ISNUMBER(AJ195),AJ195,CC_DefCirc))</f>
        <v/>
      </c>
      <c r="AP195" s="27" t="n">
        <f aca="false">IF(ISNUMBER(T195),T195*INDEX(LenF,MATCH($T$7,LenU,0)),IF(ISNUMBER(W195),W195*INDEX(LenF,MATCH($W$7,LenU,0))/CC_PitchRatio,0))</f>
        <v>0</v>
      </c>
      <c r="AQ195" s="27" t="n">
        <f aca="false">IF(ISNUMBER(N195),PI()/4*(N195*INDEX(LenF,MATCH($N$7,LenU,0)))^2,IF(AND(ISNUMBER(S195),ISNUMBER(W195),X195&lt;&gt;""),S195*(W195*INDEX(LenF,MATCH($W$7,LenU,0)))^2*INDEX(LayoutF,MATCH(X195,LayoutU,0)),0))</f>
        <v>0</v>
      </c>
      <c r="AR195" s="27" t="n">
        <f aca="false">IF(ISNUMBER(O195),O195*INDEX(LenF,MATCH($O$7,LenU,0)),IF(ISNUMBER(V195),V195*INDEX(LenF,MATCH($V$7,LenU,0)),0))</f>
        <v>0</v>
      </c>
      <c r="AS195" s="27" t="str">
        <f aca="false">IF(ISNUMBER(L195),L195*INDEX(LenF,MATCH($L$7,LenU,0))*1000,IF(OR(J195="",K195=""),"",IFERROR(IF(INDEX(PipeWT,MATCH(J195,NPSU,0),MATCH(K195,SchU,0))="","Sch n/a",INDEX(PipeOD,MATCH(J195,NPSU,0))-2*INDEX(PipeWT,MATCH(J195,NPSU,0),MATCH(K195,SchU,0))),"")))</f>
        <v/>
      </c>
      <c r="AT195" s="27" t="n">
        <f aca="false">IF(ISNUMBER(AI195),AI195,IFERROR(INDEX(IF(CC_JobType="Decontamination",CC_TypeFillDC,CC_TypeFillCC),MATCH(E195,CC_TypeL,0)),1))</f>
        <v>1</v>
      </c>
      <c r="AU195" s="27" t="n">
        <v>6</v>
      </c>
    </row>
    <row r="196" customFormat="false" ht="15" hidden="false" customHeight="false" outlineLevel="0" collapsed="false">
      <c r="A196" s="36" t="n">
        <v>22</v>
      </c>
      <c r="B196" s="40"/>
      <c r="C196" s="32"/>
      <c r="D196" s="32"/>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1" t="str">
        <f aca="false">IF(E196="Exchanger",IF(AND(ISNUMBER(S196),ISNUMBER(U196),ISNUMBER(V196)),S196*PI()/4*(U196*INDEX(LenF,MATCH($U$7,LenU,0)))^2*V196*INDEX(LenF,MATCH($V$7,LenU,0)),0)+IF(ISNUMBER(Y196),PI()/4*(Y196*INDEX(LenF,MATCH($Y$7,LenU,0)))^2*N(Z196)*INDEX(LenF,MATCH($Z$7,LenU,0))+IF(AA196="",0,IF(AA196="Conical",PI()/12*(Y196*INDEX(LenF,MATCH($Y$7,LenU,0)))^2*(0),INDEX(HeadK,MATCH(AA196,HeadU,0))*(Y196*INDEX(LenF,MATCH($Y$7,LenU,0)))^3)),0)+IF(ISNUMBER(Y196),PI()/4*(Y196*INDEX(LenF,MATCH($Y$7,LenU,0)))^2*N(AB196)*INDEX(LenF,MATCH($AB$7,LenU,0))+IF(AC196="",0,IF(AC196="Conical",PI()/12*(Y196*INDEX(LenF,MATCH($Y$7,LenU,0)))^2*(0),INDEX(HeadK,MATCH(AC196,HeadU,0))*(Y196*INDEX(LenF,MATCH($Y$7,LenU,0)))^3)),0),"")</f>
        <v/>
      </c>
      <c r="AE196" s="41" t="str">
        <f aca="false">IF(OR(E196="",E196="Piping"),"",IF(E196="Exchanger",AQ196*AR196+IF(P196="",0,IF(P196="Conical",PI()/12*(SQRT(4*AQ196/PI()))^2*(0),INDEX(HeadK,MATCH(P196,HeadU,0))*(SQRT(4*AQ196/PI()))^3))-IF(AND(ISNUMBER(S196),ISNUMBER(V196)),S196*PI()/4*AP196^2*V196*INDEX(LenF,MATCH($V$7,LenU,0)),0),IF(ISNUMBER(N196),PI()/4*(N196*INDEX(LenF,MATCH($N$7,LenU,0)))^2*N(O196)*INDEX(LenF,MATCH($O$7,LenU,0))+IF(P196="",0,IF(P196="Conical",PI()/12*(N196*INDEX(LenF,MATCH($N$7,LenU,0)))^2*(N(R196)*INDEX(LenF,MATCH($R$7,LenU,0))),INDEX(HeadK,MATCH(P196,HeadU,0))*(N196*INDEX(LenF,MATCH($N$7,LenU,0)))^3))+IF(Q196="",0,IF(Q196="Conical",PI()/12*(N196*INDEX(LenF,MATCH($N$7,LenU,0)))^2*(N(R196)*INDEX(LenF,MATCH($R$7,LenU,0))),INDEX(HeadK,MATCH(Q196,HeadU,0))*(N196*INDEX(LenF,MATCH($N$7,LenU,0)))^3)),0)))</f>
        <v/>
      </c>
      <c r="AF196" s="41" t="str">
        <f aca="false">IF(E196&lt;&gt;"Piping","",IF(AND(ISNUMBER(AS196),ISNUMBER(M196)),PI()/4*(AS196/1000)^2*M196*INDEX(LenF,MATCH($M$7,LenU,0)),0))</f>
        <v/>
      </c>
      <c r="AG196" s="41" t="str">
        <f aca="false">IF(E196="","",N(AD196)+N(AE196)+N(AF196))</f>
        <v/>
      </c>
      <c r="AH196" s="41" t="str">
        <f aca="false">IF(ISNUMBER(I196),I196*INDEX(WtF,MATCH($I$7,WtU,0))/CC_WaterRho,"")</f>
        <v/>
      </c>
      <c r="AI196" s="31"/>
      <c r="AJ196" s="31"/>
      <c r="AK196" s="40"/>
      <c r="AL196" s="31"/>
      <c r="AM196" s="41" t="str">
        <f aca="false">IF(AO196="","",AO196*IF(ISNUMBER(AK196),AK196,CC_DefFills)*(1+IF(ISNUMBER(AL196),AL196,CC_DefAllow)))</f>
        <v/>
      </c>
      <c r="AN196" s="42" t="str">
        <f aca="false">IF(G196="Given volume",IF(ISNUMBER(H196),H196*INDEX(VolF,MATCH($H$7,VolU,0)),""),IF(G196="Water weight",AH196,IF(N(AG196)=0,"",AG196)))</f>
        <v/>
      </c>
      <c r="AO196" s="42" t="str">
        <f aca="false">IF(N(AN196)=0,"",AN196*AT196*IF(ISNUMBER(AJ196),AJ196,CC_DefCirc))</f>
        <v/>
      </c>
      <c r="AP196" s="27" t="n">
        <f aca="false">IF(ISNUMBER(T196),T196*INDEX(LenF,MATCH($T$7,LenU,0)),IF(ISNUMBER(W196),W196*INDEX(LenF,MATCH($W$7,LenU,0))/CC_PitchRatio,0))</f>
        <v>0</v>
      </c>
      <c r="AQ196" s="27" t="n">
        <f aca="false">IF(ISNUMBER(N196),PI()/4*(N196*INDEX(LenF,MATCH($N$7,LenU,0)))^2,IF(AND(ISNUMBER(S196),ISNUMBER(W196),X196&lt;&gt;""),S196*(W196*INDEX(LenF,MATCH($W$7,LenU,0)))^2*INDEX(LayoutF,MATCH(X196,LayoutU,0)),0))</f>
        <v>0</v>
      </c>
      <c r="AR196" s="27" t="n">
        <f aca="false">IF(ISNUMBER(O196),O196*INDEX(LenF,MATCH($O$7,LenU,0)),IF(ISNUMBER(V196),V196*INDEX(LenF,MATCH($V$7,LenU,0)),0))</f>
        <v>0</v>
      </c>
      <c r="AS196" s="27" t="str">
        <f aca="false">IF(ISNUMBER(L196),L196*INDEX(LenF,MATCH($L$7,LenU,0))*1000,IF(OR(J196="",K196=""),"",IFERROR(IF(INDEX(PipeWT,MATCH(J196,NPSU,0),MATCH(K196,SchU,0))="","Sch n/a",INDEX(PipeOD,MATCH(J196,NPSU,0))-2*INDEX(PipeWT,MATCH(J196,NPSU,0),MATCH(K196,SchU,0))),"")))</f>
        <v/>
      </c>
      <c r="AT196" s="27" t="n">
        <f aca="false">IF(ISNUMBER(AI196),AI196,IFERROR(INDEX(IF(CC_JobType="Decontamination",CC_TypeFillDC,CC_TypeFillCC),MATCH(E196,CC_TypeL,0)),1))</f>
        <v>1</v>
      </c>
      <c r="AU196" s="27" t="n">
        <v>6</v>
      </c>
    </row>
    <row r="197" customFormat="false" ht="15" hidden="false" customHeight="false" outlineLevel="0" collapsed="false">
      <c r="A197" s="36" t="n">
        <v>23</v>
      </c>
      <c r="B197" s="40"/>
      <c r="C197" s="32"/>
      <c r="D197" s="32"/>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1" t="str">
        <f aca="false">IF(E197="Exchanger",IF(AND(ISNUMBER(S197),ISNUMBER(U197),ISNUMBER(V197)),S197*PI()/4*(U197*INDEX(LenF,MATCH($U$7,LenU,0)))^2*V197*INDEX(LenF,MATCH($V$7,LenU,0)),0)+IF(ISNUMBER(Y197),PI()/4*(Y197*INDEX(LenF,MATCH($Y$7,LenU,0)))^2*N(Z197)*INDEX(LenF,MATCH($Z$7,LenU,0))+IF(AA197="",0,IF(AA197="Conical",PI()/12*(Y197*INDEX(LenF,MATCH($Y$7,LenU,0)))^2*(0),INDEX(HeadK,MATCH(AA197,HeadU,0))*(Y197*INDEX(LenF,MATCH($Y$7,LenU,0)))^3)),0)+IF(ISNUMBER(Y197),PI()/4*(Y197*INDEX(LenF,MATCH($Y$7,LenU,0)))^2*N(AB197)*INDEX(LenF,MATCH($AB$7,LenU,0))+IF(AC197="",0,IF(AC197="Conical",PI()/12*(Y197*INDEX(LenF,MATCH($Y$7,LenU,0)))^2*(0),INDEX(HeadK,MATCH(AC197,HeadU,0))*(Y197*INDEX(LenF,MATCH($Y$7,LenU,0)))^3)),0),"")</f>
        <v/>
      </c>
      <c r="AE197" s="41" t="str">
        <f aca="false">IF(OR(E197="",E197="Piping"),"",IF(E197="Exchanger",AQ197*AR197+IF(P197="",0,IF(P197="Conical",PI()/12*(SQRT(4*AQ197/PI()))^2*(0),INDEX(HeadK,MATCH(P197,HeadU,0))*(SQRT(4*AQ197/PI()))^3))-IF(AND(ISNUMBER(S197),ISNUMBER(V197)),S197*PI()/4*AP197^2*V197*INDEX(LenF,MATCH($V$7,LenU,0)),0),IF(ISNUMBER(N197),PI()/4*(N197*INDEX(LenF,MATCH($N$7,LenU,0)))^2*N(O197)*INDEX(LenF,MATCH($O$7,LenU,0))+IF(P197="",0,IF(P197="Conical",PI()/12*(N197*INDEX(LenF,MATCH($N$7,LenU,0)))^2*(N(R197)*INDEX(LenF,MATCH($R$7,LenU,0))),INDEX(HeadK,MATCH(P197,HeadU,0))*(N197*INDEX(LenF,MATCH($N$7,LenU,0)))^3))+IF(Q197="",0,IF(Q197="Conical",PI()/12*(N197*INDEX(LenF,MATCH($N$7,LenU,0)))^2*(N(R197)*INDEX(LenF,MATCH($R$7,LenU,0))),INDEX(HeadK,MATCH(Q197,HeadU,0))*(N197*INDEX(LenF,MATCH($N$7,LenU,0)))^3)),0)))</f>
        <v/>
      </c>
      <c r="AF197" s="41" t="str">
        <f aca="false">IF(E197&lt;&gt;"Piping","",IF(AND(ISNUMBER(AS197),ISNUMBER(M197)),PI()/4*(AS197/1000)^2*M197*INDEX(LenF,MATCH($M$7,LenU,0)),0))</f>
        <v/>
      </c>
      <c r="AG197" s="41" t="str">
        <f aca="false">IF(E197="","",N(AD197)+N(AE197)+N(AF197))</f>
        <v/>
      </c>
      <c r="AH197" s="41" t="str">
        <f aca="false">IF(ISNUMBER(I197),I197*INDEX(WtF,MATCH($I$7,WtU,0))/CC_WaterRho,"")</f>
        <v/>
      </c>
      <c r="AI197" s="31"/>
      <c r="AJ197" s="31"/>
      <c r="AK197" s="40"/>
      <c r="AL197" s="31"/>
      <c r="AM197" s="41" t="str">
        <f aca="false">IF(AO197="","",AO197*IF(ISNUMBER(AK197),AK197,CC_DefFills)*(1+IF(ISNUMBER(AL197),AL197,CC_DefAllow)))</f>
        <v/>
      </c>
      <c r="AN197" s="42" t="str">
        <f aca="false">IF(G197="Given volume",IF(ISNUMBER(H197),H197*INDEX(VolF,MATCH($H$7,VolU,0)),""),IF(G197="Water weight",AH197,IF(N(AG197)=0,"",AG197)))</f>
        <v/>
      </c>
      <c r="AO197" s="42" t="str">
        <f aca="false">IF(N(AN197)=0,"",AN197*AT197*IF(ISNUMBER(AJ197),AJ197,CC_DefCirc))</f>
        <v/>
      </c>
      <c r="AP197" s="27" t="n">
        <f aca="false">IF(ISNUMBER(T197),T197*INDEX(LenF,MATCH($T$7,LenU,0)),IF(ISNUMBER(W197),W197*INDEX(LenF,MATCH($W$7,LenU,0))/CC_PitchRatio,0))</f>
        <v>0</v>
      </c>
      <c r="AQ197" s="27" t="n">
        <f aca="false">IF(ISNUMBER(N197),PI()/4*(N197*INDEX(LenF,MATCH($N$7,LenU,0)))^2,IF(AND(ISNUMBER(S197),ISNUMBER(W197),X197&lt;&gt;""),S197*(W197*INDEX(LenF,MATCH($W$7,LenU,0)))^2*INDEX(LayoutF,MATCH(X197,LayoutU,0)),0))</f>
        <v>0</v>
      </c>
      <c r="AR197" s="27" t="n">
        <f aca="false">IF(ISNUMBER(O197),O197*INDEX(LenF,MATCH($O$7,LenU,0)),IF(ISNUMBER(V197),V197*INDEX(LenF,MATCH($V$7,LenU,0)),0))</f>
        <v>0</v>
      </c>
      <c r="AS197" s="27" t="str">
        <f aca="false">IF(ISNUMBER(L197),L197*INDEX(LenF,MATCH($L$7,LenU,0))*1000,IF(OR(J197="",K197=""),"",IFERROR(IF(INDEX(PipeWT,MATCH(J197,NPSU,0),MATCH(K197,SchU,0))="","Sch n/a",INDEX(PipeOD,MATCH(J197,NPSU,0))-2*INDEX(PipeWT,MATCH(J197,NPSU,0),MATCH(K197,SchU,0))),"")))</f>
        <v/>
      </c>
      <c r="AT197" s="27" t="n">
        <f aca="false">IF(ISNUMBER(AI197),AI197,IFERROR(INDEX(IF(CC_JobType="Decontamination",CC_TypeFillDC,CC_TypeFillCC),MATCH(E197,CC_TypeL,0)),1))</f>
        <v>1</v>
      </c>
      <c r="AU197" s="27" t="n">
        <v>6</v>
      </c>
    </row>
    <row r="198" customFormat="false" ht="15" hidden="false" customHeight="false" outlineLevel="0" collapsed="false">
      <c r="A198" s="36" t="n">
        <v>24</v>
      </c>
      <c r="B198" s="40"/>
      <c r="C198" s="32"/>
      <c r="D198" s="32"/>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1" t="str">
        <f aca="false">IF(E198="Exchanger",IF(AND(ISNUMBER(S198),ISNUMBER(U198),ISNUMBER(V198)),S198*PI()/4*(U198*INDEX(LenF,MATCH($U$7,LenU,0)))^2*V198*INDEX(LenF,MATCH($V$7,LenU,0)),0)+IF(ISNUMBER(Y198),PI()/4*(Y198*INDEX(LenF,MATCH($Y$7,LenU,0)))^2*N(Z198)*INDEX(LenF,MATCH($Z$7,LenU,0))+IF(AA198="",0,IF(AA198="Conical",PI()/12*(Y198*INDEX(LenF,MATCH($Y$7,LenU,0)))^2*(0),INDEX(HeadK,MATCH(AA198,HeadU,0))*(Y198*INDEX(LenF,MATCH($Y$7,LenU,0)))^3)),0)+IF(ISNUMBER(Y198),PI()/4*(Y198*INDEX(LenF,MATCH($Y$7,LenU,0)))^2*N(AB198)*INDEX(LenF,MATCH($AB$7,LenU,0))+IF(AC198="",0,IF(AC198="Conical",PI()/12*(Y198*INDEX(LenF,MATCH($Y$7,LenU,0)))^2*(0),INDEX(HeadK,MATCH(AC198,HeadU,0))*(Y198*INDEX(LenF,MATCH($Y$7,LenU,0)))^3)),0),"")</f>
        <v/>
      </c>
      <c r="AE198" s="41" t="str">
        <f aca="false">IF(OR(E198="",E198="Piping"),"",IF(E198="Exchanger",AQ198*AR198+IF(P198="",0,IF(P198="Conical",PI()/12*(SQRT(4*AQ198/PI()))^2*(0),INDEX(HeadK,MATCH(P198,HeadU,0))*(SQRT(4*AQ198/PI()))^3))-IF(AND(ISNUMBER(S198),ISNUMBER(V198)),S198*PI()/4*AP198^2*V198*INDEX(LenF,MATCH($V$7,LenU,0)),0),IF(ISNUMBER(N198),PI()/4*(N198*INDEX(LenF,MATCH($N$7,LenU,0)))^2*N(O198)*INDEX(LenF,MATCH($O$7,LenU,0))+IF(P198="",0,IF(P198="Conical",PI()/12*(N198*INDEX(LenF,MATCH($N$7,LenU,0)))^2*(N(R198)*INDEX(LenF,MATCH($R$7,LenU,0))),INDEX(HeadK,MATCH(P198,HeadU,0))*(N198*INDEX(LenF,MATCH($N$7,LenU,0)))^3))+IF(Q198="",0,IF(Q198="Conical",PI()/12*(N198*INDEX(LenF,MATCH($N$7,LenU,0)))^2*(N(R198)*INDEX(LenF,MATCH($R$7,LenU,0))),INDEX(HeadK,MATCH(Q198,HeadU,0))*(N198*INDEX(LenF,MATCH($N$7,LenU,0)))^3)),0)))</f>
        <v/>
      </c>
      <c r="AF198" s="41" t="str">
        <f aca="false">IF(E198&lt;&gt;"Piping","",IF(AND(ISNUMBER(AS198),ISNUMBER(M198)),PI()/4*(AS198/1000)^2*M198*INDEX(LenF,MATCH($M$7,LenU,0)),0))</f>
        <v/>
      </c>
      <c r="AG198" s="41" t="str">
        <f aca="false">IF(E198="","",N(AD198)+N(AE198)+N(AF198))</f>
        <v/>
      </c>
      <c r="AH198" s="41" t="str">
        <f aca="false">IF(ISNUMBER(I198),I198*INDEX(WtF,MATCH($I$7,WtU,0))/CC_WaterRho,"")</f>
        <v/>
      </c>
      <c r="AI198" s="31"/>
      <c r="AJ198" s="31"/>
      <c r="AK198" s="40"/>
      <c r="AL198" s="31"/>
      <c r="AM198" s="41" t="str">
        <f aca="false">IF(AO198="","",AO198*IF(ISNUMBER(AK198),AK198,CC_DefFills)*(1+IF(ISNUMBER(AL198),AL198,CC_DefAllow)))</f>
        <v/>
      </c>
      <c r="AN198" s="42" t="str">
        <f aca="false">IF(G198="Given volume",IF(ISNUMBER(H198),H198*INDEX(VolF,MATCH($H$7,VolU,0)),""),IF(G198="Water weight",AH198,IF(N(AG198)=0,"",AG198)))</f>
        <v/>
      </c>
      <c r="AO198" s="42" t="str">
        <f aca="false">IF(N(AN198)=0,"",AN198*AT198*IF(ISNUMBER(AJ198),AJ198,CC_DefCirc))</f>
        <v/>
      </c>
      <c r="AP198" s="27" t="n">
        <f aca="false">IF(ISNUMBER(T198),T198*INDEX(LenF,MATCH($T$7,LenU,0)),IF(ISNUMBER(W198),W198*INDEX(LenF,MATCH($W$7,LenU,0))/CC_PitchRatio,0))</f>
        <v>0</v>
      </c>
      <c r="AQ198" s="27" t="n">
        <f aca="false">IF(ISNUMBER(N198),PI()/4*(N198*INDEX(LenF,MATCH($N$7,LenU,0)))^2,IF(AND(ISNUMBER(S198),ISNUMBER(W198),X198&lt;&gt;""),S198*(W198*INDEX(LenF,MATCH($W$7,LenU,0)))^2*INDEX(LayoutF,MATCH(X198,LayoutU,0)),0))</f>
        <v>0</v>
      </c>
      <c r="AR198" s="27" t="n">
        <f aca="false">IF(ISNUMBER(O198),O198*INDEX(LenF,MATCH($O$7,LenU,0)),IF(ISNUMBER(V198),V198*INDEX(LenF,MATCH($V$7,LenU,0)),0))</f>
        <v>0</v>
      </c>
      <c r="AS198" s="27" t="str">
        <f aca="false">IF(ISNUMBER(L198),L198*INDEX(LenF,MATCH($L$7,LenU,0))*1000,IF(OR(J198="",K198=""),"",IFERROR(IF(INDEX(PipeWT,MATCH(J198,NPSU,0),MATCH(K198,SchU,0))="","Sch n/a",INDEX(PipeOD,MATCH(J198,NPSU,0))-2*INDEX(PipeWT,MATCH(J198,NPSU,0),MATCH(K198,SchU,0))),"")))</f>
        <v/>
      </c>
      <c r="AT198" s="27" t="n">
        <f aca="false">IF(ISNUMBER(AI198),AI198,IFERROR(INDEX(IF(CC_JobType="Decontamination",CC_TypeFillDC,CC_TypeFillCC),MATCH(E198,CC_TypeL,0)),1))</f>
        <v>1</v>
      </c>
      <c r="AU198" s="27" t="n">
        <v>6</v>
      </c>
    </row>
    <row r="199" customFormat="false" ht="15" hidden="false" customHeight="false" outlineLevel="0" collapsed="false">
      <c r="A199" s="36" t="n">
        <v>25</v>
      </c>
      <c r="B199" s="40"/>
      <c r="C199" s="32"/>
      <c r="D199" s="32"/>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1" t="str">
        <f aca="false">IF(E199="Exchanger",IF(AND(ISNUMBER(S199),ISNUMBER(U199),ISNUMBER(V199)),S199*PI()/4*(U199*INDEX(LenF,MATCH($U$7,LenU,0)))^2*V199*INDEX(LenF,MATCH($V$7,LenU,0)),0)+IF(ISNUMBER(Y199),PI()/4*(Y199*INDEX(LenF,MATCH($Y$7,LenU,0)))^2*N(Z199)*INDEX(LenF,MATCH($Z$7,LenU,0))+IF(AA199="",0,IF(AA199="Conical",PI()/12*(Y199*INDEX(LenF,MATCH($Y$7,LenU,0)))^2*(0),INDEX(HeadK,MATCH(AA199,HeadU,0))*(Y199*INDEX(LenF,MATCH($Y$7,LenU,0)))^3)),0)+IF(ISNUMBER(Y199),PI()/4*(Y199*INDEX(LenF,MATCH($Y$7,LenU,0)))^2*N(AB199)*INDEX(LenF,MATCH($AB$7,LenU,0))+IF(AC199="",0,IF(AC199="Conical",PI()/12*(Y199*INDEX(LenF,MATCH($Y$7,LenU,0)))^2*(0),INDEX(HeadK,MATCH(AC199,HeadU,0))*(Y199*INDEX(LenF,MATCH($Y$7,LenU,0)))^3)),0),"")</f>
        <v/>
      </c>
      <c r="AE199" s="41" t="str">
        <f aca="false">IF(OR(E199="",E199="Piping"),"",IF(E199="Exchanger",AQ199*AR199+IF(P199="",0,IF(P199="Conical",PI()/12*(SQRT(4*AQ199/PI()))^2*(0),INDEX(HeadK,MATCH(P199,HeadU,0))*(SQRT(4*AQ199/PI()))^3))-IF(AND(ISNUMBER(S199),ISNUMBER(V199)),S199*PI()/4*AP199^2*V199*INDEX(LenF,MATCH($V$7,LenU,0)),0),IF(ISNUMBER(N199),PI()/4*(N199*INDEX(LenF,MATCH($N$7,LenU,0)))^2*N(O199)*INDEX(LenF,MATCH($O$7,LenU,0))+IF(P199="",0,IF(P199="Conical",PI()/12*(N199*INDEX(LenF,MATCH($N$7,LenU,0)))^2*(N(R199)*INDEX(LenF,MATCH($R$7,LenU,0))),INDEX(HeadK,MATCH(P199,HeadU,0))*(N199*INDEX(LenF,MATCH($N$7,LenU,0)))^3))+IF(Q199="",0,IF(Q199="Conical",PI()/12*(N199*INDEX(LenF,MATCH($N$7,LenU,0)))^2*(N(R199)*INDEX(LenF,MATCH($R$7,LenU,0))),INDEX(HeadK,MATCH(Q199,HeadU,0))*(N199*INDEX(LenF,MATCH($N$7,LenU,0)))^3)),0)))</f>
        <v/>
      </c>
      <c r="AF199" s="41" t="str">
        <f aca="false">IF(E199&lt;&gt;"Piping","",IF(AND(ISNUMBER(AS199),ISNUMBER(M199)),PI()/4*(AS199/1000)^2*M199*INDEX(LenF,MATCH($M$7,LenU,0)),0))</f>
        <v/>
      </c>
      <c r="AG199" s="41" t="str">
        <f aca="false">IF(E199="","",N(AD199)+N(AE199)+N(AF199))</f>
        <v/>
      </c>
      <c r="AH199" s="41" t="str">
        <f aca="false">IF(ISNUMBER(I199),I199*INDEX(WtF,MATCH($I$7,WtU,0))/CC_WaterRho,"")</f>
        <v/>
      </c>
      <c r="AI199" s="31"/>
      <c r="AJ199" s="31"/>
      <c r="AK199" s="40"/>
      <c r="AL199" s="31"/>
      <c r="AM199" s="41" t="str">
        <f aca="false">IF(AO199="","",AO199*IF(ISNUMBER(AK199),AK199,CC_DefFills)*(1+IF(ISNUMBER(AL199),AL199,CC_DefAllow)))</f>
        <v/>
      </c>
      <c r="AN199" s="42" t="str">
        <f aca="false">IF(G199="Given volume",IF(ISNUMBER(H199),H199*INDEX(VolF,MATCH($H$7,VolU,0)),""),IF(G199="Water weight",AH199,IF(N(AG199)=0,"",AG199)))</f>
        <v/>
      </c>
      <c r="AO199" s="42" t="str">
        <f aca="false">IF(N(AN199)=0,"",AN199*AT199*IF(ISNUMBER(AJ199),AJ199,CC_DefCirc))</f>
        <v/>
      </c>
      <c r="AP199" s="27" t="n">
        <f aca="false">IF(ISNUMBER(T199),T199*INDEX(LenF,MATCH($T$7,LenU,0)),IF(ISNUMBER(W199),W199*INDEX(LenF,MATCH($W$7,LenU,0))/CC_PitchRatio,0))</f>
        <v>0</v>
      </c>
      <c r="AQ199" s="27" t="n">
        <f aca="false">IF(ISNUMBER(N199),PI()/4*(N199*INDEX(LenF,MATCH($N$7,LenU,0)))^2,IF(AND(ISNUMBER(S199),ISNUMBER(W199),X199&lt;&gt;""),S199*(W199*INDEX(LenF,MATCH($W$7,LenU,0)))^2*INDEX(LayoutF,MATCH(X199,LayoutU,0)),0))</f>
        <v>0</v>
      </c>
      <c r="AR199" s="27" t="n">
        <f aca="false">IF(ISNUMBER(O199),O199*INDEX(LenF,MATCH($O$7,LenU,0)),IF(ISNUMBER(V199),V199*INDEX(LenF,MATCH($V$7,LenU,0)),0))</f>
        <v>0</v>
      </c>
      <c r="AS199" s="27" t="str">
        <f aca="false">IF(ISNUMBER(L199),L199*INDEX(LenF,MATCH($L$7,LenU,0))*1000,IF(OR(J199="",K199=""),"",IFERROR(IF(INDEX(PipeWT,MATCH(J199,NPSU,0),MATCH(K199,SchU,0))="","Sch n/a",INDEX(PipeOD,MATCH(J199,NPSU,0))-2*INDEX(PipeWT,MATCH(J199,NPSU,0),MATCH(K199,SchU,0))),"")))</f>
        <v/>
      </c>
      <c r="AT199" s="27" t="n">
        <f aca="false">IF(ISNUMBER(AI199),AI199,IFERROR(INDEX(IF(CC_JobType="Decontamination",CC_TypeFillDC,CC_TypeFillCC),MATCH(E199,CC_TypeL,0)),1))</f>
        <v>1</v>
      </c>
      <c r="AU199" s="27" t="n">
        <v>6</v>
      </c>
    </row>
    <row r="200" customFormat="false" ht="15" hidden="false" customHeight="false" outlineLevel="0" collapsed="false">
      <c r="A200" s="36" t="n">
        <v>26</v>
      </c>
      <c r="B200" s="40"/>
      <c r="C200" s="32"/>
      <c r="D200" s="32"/>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1" t="str">
        <f aca="false">IF(E200="Exchanger",IF(AND(ISNUMBER(S200),ISNUMBER(U200),ISNUMBER(V200)),S200*PI()/4*(U200*INDEX(LenF,MATCH($U$7,LenU,0)))^2*V200*INDEX(LenF,MATCH($V$7,LenU,0)),0)+IF(ISNUMBER(Y200),PI()/4*(Y200*INDEX(LenF,MATCH($Y$7,LenU,0)))^2*N(Z200)*INDEX(LenF,MATCH($Z$7,LenU,0))+IF(AA200="",0,IF(AA200="Conical",PI()/12*(Y200*INDEX(LenF,MATCH($Y$7,LenU,0)))^2*(0),INDEX(HeadK,MATCH(AA200,HeadU,0))*(Y200*INDEX(LenF,MATCH($Y$7,LenU,0)))^3)),0)+IF(ISNUMBER(Y200),PI()/4*(Y200*INDEX(LenF,MATCH($Y$7,LenU,0)))^2*N(AB200)*INDEX(LenF,MATCH($AB$7,LenU,0))+IF(AC200="",0,IF(AC200="Conical",PI()/12*(Y200*INDEX(LenF,MATCH($Y$7,LenU,0)))^2*(0),INDEX(HeadK,MATCH(AC200,HeadU,0))*(Y200*INDEX(LenF,MATCH($Y$7,LenU,0)))^3)),0),"")</f>
        <v/>
      </c>
      <c r="AE200" s="41" t="str">
        <f aca="false">IF(OR(E200="",E200="Piping"),"",IF(E200="Exchanger",AQ200*AR200+IF(P200="",0,IF(P200="Conical",PI()/12*(SQRT(4*AQ200/PI()))^2*(0),INDEX(HeadK,MATCH(P200,HeadU,0))*(SQRT(4*AQ200/PI()))^3))-IF(AND(ISNUMBER(S200),ISNUMBER(V200)),S200*PI()/4*AP200^2*V200*INDEX(LenF,MATCH($V$7,LenU,0)),0),IF(ISNUMBER(N200),PI()/4*(N200*INDEX(LenF,MATCH($N$7,LenU,0)))^2*N(O200)*INDEX(LenF,MATCH($O$7,LenU,0))+IF(P200="",0,IF(P200="Conical",PI()/12*(N200*INDEX(LenF,MATCH($N$7,LenU,0)))^2*(N(R200)*INDEX(LenF,MATCH($R$7,LenU,0))),INDEX(HeadK,MATCH(P200,HeadU,0))*(N200*INDEX(LenF,MATCH($N$7,LenU,0)))^3))+IF(Q200="",0,IF(Q200="Conical",PI()/12*(N200*INDEX(LenF,MATCH($N$7,LenU,0)))^2*(N(R200)*INDEX(LenF,MATCH($R$7,LenU,0))),INDEX(HeadK,MATCH(Q200,HeadU,0))*(N200*INDEX(LenF,MATCH($N$7,LenU,0)))^3)),0)))</f>
        <v/>
      </c>
      <c r="AF200" s="41" t="str">
        <f aca="false">IF(E200&lt;&gt;"Piping","",IF(AND(ISNUMBER(AS200),ISNUMBER(M200)),PI()/4*(AS200/1000)^2*M200*INDEX(LenF,MATCH($M$7,LenU,0)),0))</f>
        <v/>
      </c>
      <c r="AG200" s="41" t="str">
        <f aca="false">IF(E200="","",N(AD200)+N(AE200)+N(AF200))</f>
        <v/>
      </c>
      <c r="AH200" s="41" t="str">
        <f aca="false">IF(ISNUMBER(I200),I200*INDEX(WtF,MATCH($I$7,WtU,0))/CC_WaterRho,"")</f>
        <v/>
      </c>
      <c r="AI200" s="31"/>
      <c r="AJ200" s="31"/>
      <c r="AK200" s="40"/>
      <c r="AL200" s="31"/>
      <c r="AM200" s="41" t="str">
        <f aca="false">IF(AO200="","",AO200*IF(ISNUMBER(AK200),AK200,CC_DefFills)*(1+IF(ISNUMBER(AL200),AL200,CC_DefAllow)))</f>
        <v/>
      </c>
      <c r="AN200" s="42" t="str">
        <f aca="false">IF(G200="Given volume",IF(ISNUMBER(H200),H200*INDEX(VolF,MATCH($H$7,VolU,0)),""),IF(G200="Water weight",AH200,IF(N(AG200)=0,"",AG200)))</f>
        <v/>
      </c>
      <c r="AO200" s="42" t="str">
        <f aca="false">IF(N(AN200)=0,"",AN200*AT200*IF(ISNUMBER(AJ200),AJ200,CC_DefCirc))</f>
        <v/>
      </c>
      <c r="AP200" s="27" t="n">
        <f aca="false">IF(ISNUMBER(T200),T200*INDEX(LenF,MATCH($T$7,LenU,0)),IF(ISNUMBER(W200),W200*INDEX(LenF,MATCH($W$7,LenU,0))/CC_PitchRatio,0))</f>
        <v>0</v>
      </c>
      <c r="AQ200" s="27" t="n">
        <f aca="false">IF(ISNUMBER(N200),PI()/4*(N200*INDEX(LenF,MATCH($N$7,LenU,0)))^2,IF(AND(ISNUMBER(S200),ISNUMBER(W200),X200&lt;&gt;""),S200*(W200*INDEX(LenF,MATCH($W$7,LenU,0)))^2*INDEX(LayoutF,MATCH(X200,LayoutU,0)),0))</f>
        <v>0</v>
      </c>
      <c r="AR200" s="27" t="n">
        <f aca="false">IF(ISNUMBER(O200),O200*INDEX(LenF,MATCH($O$7,LenU,0)),IF(ISNUMBER(V200),V200*INDEX(LenF,MATCH($V$7,LenU,0)),0))</f>
        <v>0</v>
      </c>
      <c r="AS200" s="27" t="str">
        <f aca="false">IF(ISNUMBER(L200),L200*INDEX(LenF,MATCH($L$7,LenU,0))*1000,IF(OR(J200="",K200=""),"",IFERROR(IF(INDEX(PipeWT,MATCH(J200,NPSU,0),MATCH(K200,SchU,0))="","Sch n/a",INDEX(PipeOD,MATCH(J200,NPSU,0))-2*INDEX(PipeWT,MATCH(J200,NPSU,0),MATCH(K200,SchU,0))),"")))</f>
        <v/>
      </c>
      <c r="AT200" s="27" t="n">
        <f aca="false">IF(ISNUMBER(AI200),AI200,IFERROR(INDEX(IF(CC_JobType="Decontamination",CC_TypeFillDC,CC_TypeFillCC),MATCH(E200,CC_TypeL,0)),1))</f>
        <v>1</v>
      </c>
      <c r="AU200" s="27" t="n">
        <v>6</v>
      </c>
    </row>
    <row r="201" customFormat="false" ht="15" hidden="false" customHeight="false" outlineLevel="0" collapsed="false">
      <c r="A201" s="36" t="n">
        <v>27</v>
      </c>
      <c r="B201" s="40"/>
      <c r="C201" s="32"/>
      <c r="D201" s="32"/>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1" t="str">
        <f aca="false">IF(E201="Exchanger",IF(AND(ISNUMBER(S201),ISNUMBER(U201),ISNUMBER(V201)),S201*PI()/4*(U201*INDEX(LenF,MATCH($U$7,LenU,0)))^2*V201*INDEX(LenF,MATCH($V$7,LenU,0)),0)+IF(ISNUMBER(Y201),PI()/4*(Y201*INDEX(LenF,MATCH($Y$7,LenU,0)))^2*N(Z201)*INDEX(LenF,MATCH($Z$7,LenU,0))+IF(AA201="",0,IF(AA201="Conical",PI()/12*(Y201*INDEX(LenF,MATCH($Y$7,LenU,0)))^2*(0),INDEX(HeadK,MATCH(AA201,HeadU,0))*(Y201*INDEX(LenF,MATCH($Y$7,LenU,0)))^3)),0)+IF(ISNUMBER(Y201),PI()/4*(Y201*INDEX(LenF,MATCH($Y$7,LenU,0)))^2*N(AB201)*INDEX(LenF,MATCH($AB$7,LenU,0))+IF(AC201="",0,IF(AC201="Conical",PI()/12*(Y201*INDEX(LenF,MATCH($Y$7,LenU,0)))^2*(0),INDEX(HeadK,MATCH(AC201,HeadU,0))*(Y201*INDEX(LenF,MATCH($Y$7,LenU,0)))^3)),0),"")</f>
        <v/>
      </c>
      <c r="AE201" s="41" t="str">
        <f aca="false">IF(OR(E201="",E201="Piping"),"",IF(E201="Exchanger",AQ201*AR201+IF(P201="",0,IF(P201="Conical",PI()/12*(SQRT(4*AQ201/PI()))^2*(0),INDEX(HeadK,MATCH(P201,HeadU,0))*(SQRT(4*AQ201/PI()))^3))-IF(AND(ISNUMBER(S201),ISNUMBER(V201)),S201*PI()/4*AP201^2*V201*INDEX(LenF,MATCH($V$7,LenU,0)),0),IF(ISNUMBER(N201),PI()/4*(N201*INDEX(LenF,MATCH($N$7,LenU,0)))^2*N(O201)*INDEX(LenF,MATCH($O$7,LenU,0))+IF(P201="",0,IF(P201="Conical",PI()/12*(N201*INDEX(LenF,MATCH($N$7,LenU,0)))^2*(N(R201)*INDEX(LenF,MATCH($R$7,LenU,0))),INDEX(HeadK,MATCH(P201,HeadU,0))*(N201*INDEX(LenF,MATCH($N$7,LenU,0)))^3))+IF(Q201="",0,IF(Q201="Conical",PI()/12*(N201*INDEX(LenF,MATCH($N$7,LenU,0)))^2*(N(R201)*INDEX(LenF,MATCH($R$7,LenU,0))),INDEX(HeadK,MATCH(Q201,HeadU,0))*(N201*INDEX(LenF,MATCH($N$7,LenU,0)))^3)),0)))</f>
        <v/>
      </c>
      <c r="AF201" s="41" t="str">
        <f aca="false">IF(E201&lt;&gt;"Piping","",IF(AND(ISNUMBER(AS201),ISNUMBER(M201)),PI()/4*(AS201/1000)^2*M201*INDEX(LenF,MATCH($M$7,LenU,0)),0))</f>
        <v/>
      </c>
      <c r="AG201" s="41" t="str">
        <f aca="false">IF(E201="","",N(AD201)+N(AE201)+N(AF201))</f>
        <v/>
      </c>
      <c r="AH201" s="41" t="str">
        <f aca="false">IF(ISNUMBER(I201),I201*INDEX(WtF,MATCH($I$7,WtU,0))/CC_WaterRho,"")</f>
        <v/>
      </c>
      <c r="AI201" s="31"/>
      <c r="AJ201" s="31"/>
      <c r="AK201" s="40"/>
      <c r="AL201" s="31"/>
      <c r="AM201" s="41" t="str">
        <f aca="false">IF(AO201="","",AO201*IF(ISNUMBER(AK201),AK201,CC_DefFills)*(1+IF(ISNUMBER(AL201),AL201,CC_DefAllow)))</f>
        <v/>
      </c>
      <c r="AN201" s="42" t="str">
        <f aca="false">IF(G201="Given volume",IF(ISNUMBER(H201),H201*INDEX(VolF,MATCH($H$7,VolU,0)),""),IF(G201="Water weight",AH201,IF(N(AG201)=0,"",AG201)))</f>
        <v/>
      </c>
      <c r="AO201" s="42" t="str">
        <f aca="false">IF(N(AN201)=0,"",AN201*AT201*IF(ISNUMBER(AJ201),AJ201,CC_DefCirc))</f>
        <v/>
      </c>
      <c r="AP201" s="27" t="n">
        <f aca="false">IF(ISNUMBER(T201),T201*INDEX(LenF,MATCH($T$7,LenU,0)),IF(ISNUMBER(W201),W201*INDEX(LenF,MATCH($W$7,LenU,0))/CC_PitchRatio,0))</f>
        <v>0</v>
      </c>
      <c r="AQ201" s="27" t="n">
        <f aca="false">IF(ISNUMBER(N201),PI()/4*(N201*INDEX(LenF,MATCH($N$7,LenU,0)))^2,IF(AND(ISNUMBER(S201),ISNUMBER(W201),X201&lt;&gt;""),S201*(W201*INDEX(LenF,MATCH($W$7,LenU,0)))^2*INDEX(LayoutF,MATCH(X201,LayoutU,0)),0))</f>
        <v>0</v>
      </c>
      <c r="AR201" s="27" t="n">
        <f aca="false">IF(ISNUMBER(O201),O201*INDEX(LenF,MATCH($O$7,LenU,0)),IF(ISNUMBER(V201),V201*INDEX(LenF,MATCH($V$7,LenU,0)),0))</f>
        <v>0</v>
      </c>
      <c r="AS201" s="27" t="str">
        <f aca="false">IF(ISNUMBER(L201),L201*INDEX(LenF,MATCH($L$7,LenU,0))*1000,IF(OR(J201="",K201=""),"",IFERROR(IF(INDEX(PipeWT,MATCH(J201,NPSU,0),MATCH(K201,SchU,0))="","Sch n/a",INDEX(PipeOD,MATCH(J201,NPSU,0))-2*INDEX(PipeWT,MATCH(J201,NPSU,0),MATCH(K201,SchU,0))),"")))</f>
        <v/>
      </c>
      <c r="AT201" s="27" t="n">
        <f aca="false">IF(ISNUMBER(AI201),AI201,IFERROR(INDEX(IF(CC_JobType="Decontamination",CC_TypeFillDC,CC_TypeFillCC),MATCH(E201,CC_TypeL,0)),1))</f>
        <v>1</v>
      </c>
      <c r="AU201" s="27" t="n">
        <v>6</v>
      </c>
    </row>
    <row r="202" customFormat="false" ht="15" hidden="false" customHeight="false" outlineLevel="0" collapsed="false">
      <c r="A202" s="36" t="n">
        <v>28</v>
      </c>
      <c r="B202" s="40"/>
      <c r="C202" s="32"/>
      <c r="D202" s="32"/>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1" t="str">
        <f aca="false">IF(E202="Exchanger",IF(AND(ISNUMBER(S202),ISNUMBER(U202),ISNUMBER(V202)),S202*PI()/4*(U202*INDEX(LenF,MATCH($U$7,LenU,0)))^2*V202*INDEX(LenF,MATCH($V$7,LenU,0)),0)+IF(ISNUMBER(Y202),PI()/4*(Y202*INDEX(LenF,MATCH($Y$7,LenU,0)))^2*N(Z202)*INDEX(LenF,MATCH($Z$7,LenU,0))+IF(AA202="",0,IF(AA202="Conical",PI()/12*(Y202*INDEX(LenF,MATCH($Y$7,LenU,0)))^2*(0),INDEX(HeadK,MATCH(AA202,HeadU,0))*(Y202*INDEX(LenF,MATCH($Y$7,LenU,0)))^3)),0)+IF(ISNUMBER(Y202),PI()/4*(Y202*INDEX(LenF,MATCH($Y$7,LenU,0)))^2*N(AB202)*INDEX(LenF,MATCH($AB$7,LenU,0))+IF(AC202="",0,IF(AC202="Conical",PI()/12*(Y202*INDEX(LenF,MATCH($Y$7,LenU,0)))^2*(0),INDEX(HeadK,MATCH(AC202,HeadU,0))*(Y202*INDEX(LenF,MATCH($Y$7,LenU,0)))^3)),0),"")</f>
        <v/>
      </c>
      <c r="AE202" s="41" t="str">
        <f aca="false">IF(OR(E202="",E202="Piping"),"",IF(E202="Exchanger",AQ202*AR202+IF(P202="",0,IF(P202="Conical",PI()/12*(SQRT(4*AQ202/PI()))^2*(0),INDEX(HeadK,MATCH(P202,HeadU,0))*(SQRT(4*AQ202/PI()))^3))-IF(AND(ISNUMBER(S202),ISNUMBER(V202)),S202*PI()/4*AP202^2*V202*INDEX(LenF,MATCH($V$7,LenU,0)),0),IF(ISNUMBER(N202),PI()/4*(N202*INDEX(LenF,MATCH($N$7,LenU,0)))^2*N(O202)*INDEX(LenF,MATCH($O$7,LenU,0))+IF(P202="",0,IF(P202="Conical",PI()/12*(N202*INDEX(LenF,MATCH($N$7,LenU,0)))^2*(N(R202)*INDEX(LenF,MATCH($R$7,LenU,0))),INDEX(HeadK,MATCH(P202,HeadU,0))*(N202*INDEX(LenF,MATCH($N$7,LenU,0)))^3))+IF(Q202="",0,IF(Q202="Conical",PI()/12*(N202*INDEX(LenF,MATCH($N$7,LenU,0)))^2*(N(R202)*INDEX(LenF,MATCH($R$7,LenU,0))),INDEX(HeadK,MATCH(Q202,HeadU,0))*(N202*INDEX(LenF,MATCH($N$7,LenU,0)))^3)),0)))</f>
        <v/>
      </c>
      <c r="AF202" s="41" t="str">
        <f aca="false">IF(E202&lt;&gt;"Piping","",IF(AND(ISNUMBER(AS202),ISNUMBER(M202)),PI()/4*(AS202/1000)^2*M202*INDEX(LenF,MATCH($M$7,LenU,0)),0))</f>
        <v/>
      </c>
      <c r="AG202" s="41" t="str">
        <f aca="false">IF(E202="","",N(AD202)+N(AE202)+N(AF202))</f>
        <v/>
      </c>
      <c r="AH202" s="41" t="str">
        <f aca="false">IF(ISNUMBER(I202),I202*INDEX(WtF,MATCH($I$7,WtU,0))/CC_WaterRho,"")</f>
        <v/>
      </c>
      <c r="AI202" s="31"/>
      <c r="AJ202" s="31"/>
      <c r="AK202" s="40"/>
      <c r="AL202" s="31"/>
      <c r="AM202" s="41" t="str">
        <f aca="false">IF(AO202="","",AO202*IF(ISNUMBER(AK202),AK202,CC_DefFills)*(1+IF(ISNUMBER(AL202),AL202,CC_DefAllow)))</f>
        <v/>
      </c>
      <c r="AN202" s="42" t="str">
        <f aca="false">IF(G202="Given volume",IF(ISNUMBER(H202),H202*INDEX(VolF,MATCH($H$7,VolU,0)),""),IF(G202="Water weight",AH202,IF(N(AG202)=0,"",AG202)))</f>
        <v/>
      </c>
      <c r="AO202" s="42" t="str">
        <f aca="false">IF(N(AN202)=0,"",AN202*AT202*IF(ISNUMBER(AJ202),AJ202,CC_DefCirc))</f>
        <v/>
      </c>
      <c r="AP202" s="27" t="n">
        <f aca="false">IF(ISNUMBER(T202),T202*INDEX(LenF,MATCH($T$7,LenU,0)),IF(ISNUMBER(W202),W202*INDEX(LenF,MATCH($W$7,LenU,0))/CC_PitchRatio,0))</f>
        <v>0</v>
      </c>
      <c r="AQ202" s="27" t="n">
        <f aca="false">IF(ISNUMBER(N202),PI()/4*(N202*INDEX(LenF,MATCH($N$7,LenU,0)))^2,IF(AND(ISNUMBER(S202),ISNUMBER(W202),X202&lt;&gt;""),S202*(W202*INDEX(LenF,MATCH($W$7,LenU,0)))^2*INDEX(LayoutF,MATCH(X202,LayoutU,0)),0))</f>
        <v>0</v>
      </c>
      <c r="AR202" s="27" t="n">
        <f aca="false">IF(ISNUMBER(O202),O202*INDEX(LenF,MATCH($O$7,LenU,0)),IF(ISNUMBER(V202),V202*INDEX(LenF,MATCH($V$7,LenU,0)),0))</f>
        <v>0</v>
      </c>
      <c r="AS202" s="27" t="str">
        <f aca="false">IF(ISNUMBER(L202),L202*INDEX(LenF,MATCH($L$7,LenU,0))*1000,IF(OR(J202="",K202=""),"",IFERROR(IF(INDEX(PipeWT,MATCH(J202,NPSU,0),MATCH(K202,SchU,0))="","Sch n/a",INDEX(PipeOD,MATCH(J202,NPSU,0))-2*INDEX(PipeWT,MATCH(J202,NPSU,0),MATCH(K202,SchU,0))),"")))</f>
        <v/>
      </c>
      <c r="AT202" s="27" t="n">
        <f aca="false">IF(ISNUMBER(AI202),AI202,IFERROR(INDEX(IF(CC_JobType="Decontamination",CC_TypeFillDC,CC_TypeFillCC),MATCH(E202,CC_TypeL,0)),1))</f>
        <v>1</v>
      </c>
      <c r="AU202" s="27" t="n">
        <v>6</v>
      </c>
    </row>
    <row r="203" customFormat="false" ht="15" hidden="false" customHeight="false" outlineLevel="0" collapsed="false">
      <c r="A203" s="36" t="n">
        <v>29</v>
      </c>
      <c r="B203" s="40"/>
      <c r="C203" s="32"/>
      <c r="D203" s="32"/>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1" t="str">
        <f aca="false">IF(E203="Exchanger",IF(AND(ISNUMBER(S203),ISNUMBER(U203),ISNUMBER(V203)),S203*PI()/4*(U203*INDEX(LenF,MATCH($U$7,LenU,0)))^2*V203*INDEX(LenF,MATCH($V$7,LenU,0)),0)+IF(ISNUMBER(Y203),PI()/4*(Y203*INDEX(LenF,MATCH($Y$7,LenU,0)))^2*N(Z203)*INDEX(LenF,MATCH($Z$7,LenU,0))+IF(AA203="",0,IF(AA203="Conical",PI()/12*(Y203*INDEX(LenF,MATCH($Y$7,LenU,0)))^2*(0),INDEX(HeadK,MATCH(AA203,HeadU,0))*(Y203*INDEX(LenF,MATCH($Y$7,LenU,0)))^3)),0)+IF(ISNUMBER(Y203),PI()/4*(Y203*INDEX(LenF,MATCH($Y$7,LenU,0)))^2*N(AB203)*INDEX(LenF,MATCH($AB$7,LenU,0))+IF(AC203="",0,IF(AC203="Conical",PI()/12*(Y203*INDEX(LenF,MATCH($Y$7,LenU,0)))^2*(0),INDEX(HeadK,MATCH(AC203,HeadU,0))*(Y203*INDEX(LenF,MATCH($Y$7,LenU,0)))^3)),0),"")</f>
        <v/>
      </c>
      <c r="AE203" s="41" t="str">
        <f aca="false">IF(OR(E203="",E203="Piping"),"",IF(E203="Exchanger",AQ203*AR203+IF(P203="",0,IF(P203="Conical",PI()/12*(SQRT(4*AQ203/PI()))^2*(0),INDEX(HeadK,MATCH(P203,HeadU,0))*(SQRT(4*AQ203/PI()))^3))-IF(AND(ISNUMBER(S203),ISNUMBER(V203)),S203*PI()/4*AP203^2*V203*INDEX(LenF,MATCH($V$7,LenU,0)),0),IF(ISNUMBER(N203),PI()/4*(N203*INDEX(LenF,MATCH($N$7,LenU,0)))^2*N(O203)*INDEX(LenF,MATCH($O$7,LenU,0))+IF(P203="",0,IF(P203="Conical",PI()/12*(N203*INDEX(LenF,MATCH($N$7,LenU,0)))^2*(N(R203)*INDEX(LenF,MATCH($R$7,LenU,0))),INDEX(HeadK,MATCH(P203,HeadU,0))*(N203*INDEX(LenF,MATCH($N$7,LenU,0)))^3))+IF(Q203="",0,IF(Q203="Conical",PI()/12*(N203*INDEX(LenF,MATCH($N$7,LenU,0)))^2*(N(R203)*INDEX(LenF,MATCH($R$7,LenU,0))),INDEX(HeadK,MATCH(Q203,HeadU,0))*(N203*INDEX(LenF,MATCH($N$7,LenU,0)))^3)),0)))</f>
        <v/>
      </c>
      <c r="AF203" s="41" t="str">
        <f aca="false">IF(E203&lt;&gt;"Piping","",IF(AND(ISNUMBER(AS203),ISNUMBER(M203)),PI()/4*(AS203/1000)^2*M203*INDEX(LenF,MATCH($M$7,LenU,0)),0))</f>
        <v/>
      </c>
      <c r="AG203" s="41" t="str">
        <f aca="false">IF(E203="","",N(AD203)+N(AE203)+N(AF203))</f>
        <v/>
      </c>
      <c r="AH203" s="41" t="str">
        <f aca="false">IF(ISNUMBER(I203),I203*INDEX(WtF,MATCH($I$7,WtU,0))/CC_WaterRho,"")</f>
        <v/>
      </c>
      <c r="AI203" s="31"/>
      <c r="AJ203" s="31"/>
      <c r="AK203" s="40"/>
      <c r="AL203" s="31"/>
      <c r="AM203" s="41" t="str">
        <f aca="false">IF(AO203="","",AO203*IF(ISNUMBER(AK203),AK203,CC_DefFills)*(1+IF(ISNUMBER(AL203),AL203,CC_DefAllow)))</f>
        <v/>
      </c>
      <c r="AN203" s="42" t="str">
        <f aca="false">IF(G203="Given volume",IF(ISNUMBER(H203),H203*INDEX(VolF,MATCH($H$7,VolU,0)),""),IF(G203="Water weight",AH203,IF(N(AG203)=0,"",AG203)))</f>
        <v/>
      </c>
      <c r="AO203" s="42" t="str">
        <f aca="false">IF(N(AN203)=0,"",AN203*AT203*IF(ISNUMBER(AJ203),AJ203,CC_DefCirc))</f>
        <v/>
      </c>
      <c r="AP203" s="27" t="n">
        <f aca="false">IF(ISNUMBER(T203),T203*INDEX(LenF,MATCH($T$7,LenU,0)),IF(ISNUMBER(W203),W203*INDEX(LenF,MATCH($W$7,LenU,0))/CC_PitchRatio,0))</f>
        <v>0</v>
      </c>
      <c r="AQ203" s="27" t="n">
        <f aca="false">IF(ISNUMBER(N203),PI()/4*(N203*INDEX(LenF,MATCH($N$7,LenU,0)))^2,IF(AND(ISNUMBER(S203),ISNUMBER(W203),X203&lt;&gt;""),S203*(W203*INDEX(LenF,MATCH($W$7,LenU,0)))^2*INDEX(LayoutF,MATCH(X203,LayoutU,0)),0))</f>
        <v>0</v>
      </c>
      <c r="AR203" s="27" t="n">
        <f aca="false">IF(ISNUMBER(O203),O203*INDEX(LenF,MATCH($O$7,LenU,0)),IF(ISNUMBER(V203),V203*INDEX(LenF,MATCH($V$7,LenU,0)),0))</f>
        <v>0</v>
      </c>
      <c r="AS203" s="27" t="str">
        <f aca="false">IF(ISNUMBER(L203),L203*INDEX(LenF,MATCH($L$7,LenU,0))*1000,IF(OR(J203="",K203=""),"",IFERROR(IF(INDEX(PipeWT,MATCH(J203,NPSU,0),MATCH(K203,SchU,0))="","Sch n/a",INDEX(PipeOD,MATCH(J203,NPSU,0))-2*INDEX(PipeWT,MATCH(J203,NPSU,0),MATCH(K203,SchU,0))),"")))</f>
        <v/>
      </c>
      <c r="AT203" s="27" t="n">
        <f aca="false">IF(ISNUMBER(AI203),AI203,IFERROR(INDEX(IF(CC_JobType="Decontamination",CC_TypeFillDC,CC_TypeFillCC),MATCH(E203,CC_TypeL,0)),1))</f>
        <v>1</v>
      </c>
      <c r="AU203" s="27" t="n">
        <v>6</v>
      </c>
    </row>
    <row r="204" customFormat="false" ht="15" hidden="false" customHeight="false" outlineLevel="0" collapsed="false">
      <c r="A204" s="36" t="n">
        <v>30</v>
      </c>
      <c r="B204" s="40"/>
      <c r="C204" s="32"/>
      <c r="D204" s="32"/>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1" t="str">
        <f aca="false">IF(E204="Exchanger",IF(AND(ISNUMBER(S204),ISNUMBER(U204),ISNUMBER(V204)),S204*PI()/4*(U204*INDEX(LenF,MATCH($U$7,LenU,0)))^2*V204*INDEX(LenF,MATCH($V$7,LenU,0)),0)+IF(ISNUMBER(Y204),PI()/4*(Y204*INDEX(LenF,MATCH($Y$7,LenU,0)))^2*N(Z204)*INDEX(LenF,MATCH($Z$7,LenU,0))+IF(AA204="",0,IF(AA204="Conical",PI()/12*(Y204*INDEX(LenF,MATCH($Y$7,LenU,0)))^2*(0),INDEX(HeadK,MATCH(AA204,HeadU,0))*(Y204*INDEX(LenF,MATCH($Y$7,LenU,0)))^3)),0)+IF(ISNUMBER(Y204),PI()/4*(Y204*INDEX(LenF,MATCH($Y$7,LenU,0)))^2*N(AB204)*INDEX(LenF,MATCH($AB$7,LenU,0))+IF(AC204="",0,IF(AC204="Conical",PI()/12*(Y204*INDEX(LenF,MATCH($Y$7,LenU,0)))^2*(0),INDEX(HeadK,MATCH(AC204,HeadU,0))*(Y204*INDEX(LenF,MATCH($Y$7,LenU,0)))^3)),0),"")</f>
        <v/>
      </c>
      <c r="AE204" s="41" t="str">
        <f aca="false">IF(OR(E204="",E204="Piping"),"",IF(E204="Exchanger",AQ204*AR204+IF(P204="",0,IF(P204="Conical",PI()/12*(SQRT(4*AQ204/PI()))^2*(0),INDEX(HeadK,MATCH(P204,HeadU,0))*(SQRT(4*AQ204/PI()))^3))-IF(AND(ISNUMBER(S204),ISNUMBER(V204)),S204*PI()/4*AP204^2*V204*INDEX(LenF,MATCH($V$7,LenU,0)),0),IF(ISNUMBER(N204),PI()/4*(N204*INDEX(LenF,MATCH($N$7,LenU,0)))^2*N(O204)*INDEX(LenF,MATCH($O$7,LenU,0))+IF(P204="",0,IF(P204="Conical",PI()/12*(N204*INDEX(LenF,MATCH($N$7,LenU,0)))^2*(N(R204)*INDEX(LenF,MATCH($R$7,LenU,0))),INDEX(HeadK,MATCH(P204,HeadU,0))*(N204*INDEX(LenF,MATCH($N$7,LenU,0)))^3))+IF(Q204="",0,IF(Q204="Conical",PI()/12*(N204*INDEX(LenF,MATCH($N$7,LenU,0)))^2*(N(R204)*INDEX(LenF,MATCH($R$7,LenU,0))),INDEX(HeadK,MATCH(Q204,HeadU,0))*(N204*INDEX(LenF,MATCH($N$7,LenU,0)))^3)),0)))</f>
        <v/>
      </c>
      <c r="AF204" s="41" t="str">
        <f aca="false">IF(E204&lt;&gt;"Piping","",IF(AND(ISNUMBER(AS204),ISNUMBER(M204)),PI()/4*(AS204/1000)^2*M204*INDEX(LenF,MATCH($M$7,LenU,0)),0))</f>
        <v/>
      </c>
      <c r="AG204" s="41" t="str">
        <f aca="false">IF(E204="","",N(AD204)+N(AE204)+N(AF204))</f>
        <v/>
      </c>
      <c r="AH204" s="41" t="str">
        <f aca="false">IF(ISNUMBER(I204),I204*INDEX(WtF,MATCH($I$7,WtU,0))/CC_WaterRho,"")</f>
        <v/>
      </c>
      <c r="AI204" s="31"/>
      <c r="AJ204" s="31"/>
      <c r="AK204" s="40"/>
      <c r="AL204" s="31"/>
      <c r="AM204" s="41" t="str">
        <f aca="false">IF(AO204="","",AO204*IF(ISNUMBER(AK204),AK204,CC_DefFills)*(1+IF(ISNUMBER(AL204),AL204,CC_DefAllow)))</f>
        <v/>
      </c>
      <c r="AN204" s="42" t="str">
        <f aca="false">IF(G204="Given volume",IF(ISNUMBER(H204),H204*INDEX(VolF,MATCH($H$7,VolU,0)),""),IF(G204="Water weight",AH204,IF(N(AG204)=0,"",AG204)))</f>
        <v/>
      </c>
      <c r="AO204" s="42" t="str">
        <f aca="false">IF(N(AN204)=0,"",AN204*AT204*IF(ISNUMBER(AJ204),AJ204,CC_DefCirc))</f>
        <v/>
      </c>
      <c r="AP204" s="27" t="n">
        <f aca="false">IF(ISNUMBER(T204),T204*INDEX(LenF,MATCH($T$7,LenU,0)),IF(ISNUMBER(W204),W204*INDEX(LenF,MATCH($W$7,LenU,0))/CC_PitchRatio,0))</f>
        <v>0</v>
      </c>
      <c r="AQ204" s="27" t="n">
        <f aca="false">IF(ISNUMBER(N204),PI()/4*(N204*INDEX(LenF,MATCH($N$7,LenU,0)))^2,IF(AND(ISNUMBER(S204),ISNUMBER(W204),X204&lt;&gt;""),S204*(W204*INDEX(LenF,MATCH($W$7,LenU,0)))^2*INDEX(LayoutF,MATCH(X204,LayoutU,0)),0))</f>
        <v>0</v>
      </c>
      <c r="AR204" s="27" t="n">
        <f aca="false">IF(ISNUMBER(O204),O204*INDEX(LenF,MATCH($O$7,LenU,0)),IF(ISNUMBER(V204),V204*INDEX(LenF,MATCH($V$7,LenU,0)),0))</f>
        <v>0</v>
      </c>
      <c r="AS204" s="27" t="str">
        <f aca="false">IF(ISNUMBER(L204),L204*INDEX(LenF,MATCH($L$7,LenU,0))*1000,IF(OR(J204="",K204=""),"",IFERROR(IF(INDEX(PipeWT,MATCH(J204,NPSU,0),MATCH(K204,SchU,0))="","Sch n/a",INDEX(PipeOD,MATCH(J204,NPSU,0))-2*INDEX(PipeWT,MATCH(J204,NPSU,0),MATCH(K204,SchU,0))),"")))</f>
        <v/>
      </c>
      <c r="AT204" s="27" t="n">
        <f aca="false">IF(ISNUMBER(AI204),AI204,IFERROR(INDEX(IF(CC_JobType="Decontamination",CC_TypeFillDC,CC_TypeFillCC),MATCH(E204,CC_TypeL,0)),1))</f>
        <v>1</v>
      </c>
      <c r="AU204" s="27" t="n">
        <v>6</v>
      </c>
    </row>
    <row r="205" customFormat="false" ht="15" hidden="false" customHeight="false" outlineLevel="0" collapsed="false">
      <c r="A205" s="44" t="str">
        <f aca="false">"TOTAL – "&amp;INDEX(CC_UnitNames,6)</f>
        <v>TOTAL – Unit 6</v>
      </c>
      <c r="B205" s="44"/>
      <c r="C205" s="44"/>
      <c r="D205" s="44"/>
      <c r="E205" s="45"/>
      <c r="F205" s="45"/>
      <c r="G205" s="45"/>
      <c r="H205" s="45"/>
      <c r="I205" s="45"/>
      <c r="J205" s="45"/>
      <c r="K205" s="45"/>
      <c r="L205" s="45"/>
      <c r="M205" s="45"/>
      <c r="N205" s="45"/>
      <c r="O205" s="45"/>
      <c r="P205" s="45"/>
      <c r="Q205" s="45"/>
      <c r="R205" s="45"/>
      <c r="S205" s="46" t="str">
        <f aca="false">COUNT(AN175:AN204)&amp;" items"</f>
        <v>0 items</v>
      </c>
      <c r="T205" s="45"/>
      <c r="U205" s="45"/>
      <c r="V205" s="45"/>
      <c r="W205" s="45"/>
      <c r="X205" s="45"/>
      <c r="Y205" s="45"/>
      <c r="Z205" s="45"/>
      <c r="AA205" s="45"/>
      <c r="AB205" s="45"/>
      <c r="AC205" s="45"/>
      <c r="AD205" s="47" t="n">
        <f aca="false">SUM(AD175:AD204)</f>
        <v>0</v>
      </c>
      <c r="AE205" s="47" t="n">
        <f aca="false">SUM(AE175:AE204)</f>
        <v>0</v>
      </c>
      <c r="AF205" s="47" t="n">
        <f aca="false">SUM(AF175:AF204)</f>
        <v>0</v>
      </c>
      <c r="AG205" s="47" t="n">
        <f aca="false">SUM(AG175:AG204)</f>
        <v>0</v>
      </c>
      <c r="AH205" s="47" t="n">
        <f aca="false">SUM(AH175:AH204)</f>
        <v>0</v>
      </c>
      <c r="AI205" s="45"/>
      <c r="AJ205" s="45"/>
      <c r="AK205" s="45"/>
      <c r="AL205" s="45"/>
      <c r="AM205" s="47" t="n">
        <f aca="false">SUM(AM175:AM204)</f>
        <v>0</v>
      </c>
      <c r="AN205" s="47" t="n">
        <f aca="false">SUM(AN175:AN204)</f>
        <v>0</v>
      </c>
      <c r="AO205" s="47" t="n">
        <f aca="false">SUM(AO175:AO204)</f>
        <v>0</v>
      </c>
    </row>
    <row r="207" customFormat="false" ht="15" hidden="false" customHeight="false" outlineLevel="0" collapsed="false">
      <c r="A207" s="38" t="str">
        <f aca="false">"UNIT 7:  "&amp;INDEX(CC_UnitNames,7)</f>
        <v>UNIT 7:  Unit 7</v>
      </c>
      <c r="B207" s="38"/>
      <c r="C207" s="38"/>
      <c r="D207" s="38"/>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row>
    <row r="208" customFormat="false" ht="15" hidden="false" customHeight="false" outlineLevel="0" collapsed="false">
      <c r="A208" s="36" t="n">
        <v>1</v>
      </c>
      <c r="B208" s="40"/>
      <c r="C208" s="32"/>
      <c r="D208" s="32"/>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1" t="str">
        <f aca="false">IF(E208="Exchanger",IF(AND(ISNUMBER(S208),ISNUMBER(U208),ISNUMBER(V208)),S208*PI()/4*(U208*INDEX(LenF,MATCH($U$7,LenU,0)))^2*V208*INDEX(LenF,MATCH($V$7,LenU,0)),0)+IF(ISNUMBER(Y208),PI()/4*(Y208*INDEX(LenF,MATCH($Y$7,LenU,0)))^2*N(Z208)*INDEX(LenF,MATCH($Z$7,LenU,0))+IF(AA208="",0,IF(AA208="Conical",PI()/12*(Y208*INDEX(LenF,MATCH($Y$7,LenU,0)))^2*(0),INDEX(HeadK,MATCH(AA208,HeadU,0))*(Y208*INDEX(LenF,MATCH($Y$7,LenU,0)))^3)),0)+IF(ISNUMBER(Y208),PI()/4*(Y208*INDEX(LenF,MATCH($Y$7,LenU,0)))^2*N(AB208)*INDEX(LenF,MATCH($AB$7,LenU,0))+IF(AC208="",0,IF(AC208="Conical",PI()/12*(Y208*INDEX(LenF,MATCH($Y$7,LenU,0)))^2*(0),INDEX(HeadK,MATCH(AC208,HeadU,0))*(Y208*INDEX(LenF,MATCH($Y$7,LenU,0)))^3)),0),"")</f>
        <v/>
      </c>
      <c r="AE208" s="41" t="str">
        <f aca="false">IF(OR(E208="",E208="Piping"),"",IF(E208="Exchanger",AQ208*AR208+IF(P208="",0,IF(P208="Conical",PI()/12*(SQRT(4*AQ208/PI()))^2*(0),INDEX(HeadK,MATCH(P208,HeadU,0))*(SQRT(4*AQ208/PI()))^3))-IF(AND(ISNUMBER(S208),ISNUMBER(V208)),S208*PI()/4*AP208^2*V208*INDEX(LenF,MATCH($V$7,LenU,0)),0),IF(ISNUMBER(N208),PI()/4*(N208*INDEX(LenF,MATCH($N$7,LenU,0)))^2*N(O208)*INDEX(LenF,MATCH($O$7,LenU,0))+IF(P208="",0,IF(P208="Conical",PI()/12*(N208*INDEX(LenF,MATCH($N$7,LenU,0)))^2*(N(R208)*INDEX(LenF,MATCH($R$7,LenU,0))),INDEX(HeadK,MATCH(P208,HeadU,0))*(N208*INDEX(LenF,MATCH($N$7,LenU,0)))^3))+IF(Q208="",0,IF(Q208="Conical",PI()/12*(N208*INDEX(LenF,MATCH($N$7,LenU,0)))^2*(N(R208)*INDEX(LenF,MATCH($R$7,LenU,0))),INDEX(HeadK,MATCH(Q208,HeadU,0))*(N208*INDEX(LenF,MATCH($N$7,LenU,0)))^3)),0)))</f>
        <v/>
      </c>
      <c r="AF208" s="41" t="str">
        <f aca="false">IF(E208&lt;&gt;"Piping","",IF(AND(ISNUMBER(AS208),ISNUMBER(M208)),PI()/4*(AS208/1000)^2*M208*INDEX(LenF,MATCH($M$7,LenU,0)),0))</f>
        <v/>
      </c>
      <c r="AG208" s="41" t="str">
        <f aca="false">IF(E208="","",N(AD208)+N(AE208)+N(AF208))</f>
        <v/>
      </c>
      <c r="AH208" s="41" t="str">
        <f aca="false">IF(ISNUMBER(I208),I208*INDEX(WtF,MATCH($I$7,WtU,0))/CC_WaterRho,"")</f>
        <v/>
      </c>
      <c r="AI208" s="31"/>
      <c r="AJ208" s="31"/>
      <c r="AK208" s="40"/>
      <c r="AL208" s="31"/>
      <c r="AM208" s="41" t="str">
        <f aca="false">IF(AO208="","",AO208*IF(ISNUMBER(AK208),AK208,CC_DefFills)*(1+IF(ISNUMBER(AL208),AL208,CC_DefAllow)))</f>
        <v/>
      </c>
      <c r="AN208" s="42" t="str">
        <f aca="false">IF(G208="Given volume",IF(ISNUMBER(H208),H208*INDEX(VolF,MATCH($H$7,VolU,0)),""),IF(G208="Water weight",AH208,IF(N(AG208)=0,"",AG208)))</f>
        <v/>
      </c>
      <c r="AO208" s="42" t="str">
        <f aca="false">IF(N(AN208)=0,"",AN208*AT208*IF(ISNUMBER(AJ208),AJ208,CC_DefCirc))</f>
        <v/>
      </c>
      <c r="AP208" s="27" t="n">
        <f aca="false">IF(ISNUMBER(T208),T208*INDEX(LenF,MATCH($T$7,LenU,0)),IF(ISNUMBER(W208),W208*INDEX(LenF,MATCH($W$7,LenU,0))/CC_PitchRatio,0))</f>
        <v>0</v>
      </c>
      <c r="AQ208" s="27" t="n">
        <f aca="false">IF(ISNUMBER(N208),PI()/4*(N208*INDEX(LenF,MATCH($N$7,LenU,0)))^2,IF(AND(ISNUMBER(S208),ISNUMBER(W208),X208&lt;&gt;""),S208*(W208*INDEX(LenF,MATCH($W$7,LenU,0)))^2*INDEX(LayoutF,MATCH(X208,LayoutU,0)),0))</f>
        <v>0</v>
      </c>
      <c r="AR208" s="27" t="n">
        <f aca="false">IF(ISNUMBER(O208),O208*INDEX(LenF,MATCH($O$7,LenU,0)),IF(ISNUMBER(V208),V208*INDEX(LenF,MATCH($V$7,LenU,0)),0))</f>
        <v>0</v>
      </c>
      <c r="AS208" s="27" t="str">
        <f aca="false">IF(ISNUMBER(L208),L208*INDEX(LenF,MATCH($L$7,LenU,0))*1000,IF(OR(J208="",K208=""),"",IFERROR(IF(INDEX(PipeWT,MATCH(J208,NPSU,0),MATCH(K208,SchU,0))="","Sch n/a",INDEX(PipeOD,MATCH(J208,NPSU,0))-2*INDEX(PipeWT,MATCH(J208,NPSU,0),MATCH(K208,SchU,0))),"")))</f>
        <v/>
      </c>
      <c r="AT208" s="27" t="n">
        <f aca="false">IF(ISNUMBER(AI208),AI208,IFERROR(INDEX(IF(CC_JobType="Decontamination",CC_TypeFillDC,CC_TypeFillCC),MATCH(E208,CC_TypeL,0)),1))</f>
        <v>1</v>
      </c>
      <c r="AU208" s="27" t="n">
        <v>7</v>
      </c>
    </row>
    <row r="209" customFormat="false" ht="15" hidden="false" customHeight="false" outlineLevel="0" collapsed="false">
      <c r="A209" s="36" t="n">
        <v>2</v>
      </c>
      <c r="B209" s="40"/>
      <c r="C209" s="32"/>
      <c r="D209" s="32"/>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1" t="str">
        <f aca="false">IF(E209="Exchanger",IF(AND(ISNUMBER(S209),ISNUMBER(U209),ISNUMBER(V209)),S209*PI()/4*(U209*INDEX(LenF,MATCH($U$7,LenU,0)))^2*V209*INDEX(LenF,MATCH($V$7,LenU,0)),0)+IF(ISNUMBER(Y209),PI()/4*(Y209*INDEX(LenF,MATCH($Y$7,LenU,0)))^2*N(Z209)*INDEX(LenF,MATCH($Z$7,LenU,0))+IF(AA209="",0,IF(AA209="Conical",PI()/12*(Y209*INDEX(LenF,MATCH($Y$7,LenU,0)))^2*(0),INDEX(HeadK,MATCH(AA209,HeadU,0))*(Y209*INDEX(LenF,MATCH($Y$7,LenU,0)))^3)),0)+IF(ISNUMBER(Y209),PI()/4*(Y209*INDEX(LenF,MATCH($Y$7,LenU,0)))^2*N(AB209)*INDEX(LenF,MATCH($AB$7,LenU,0))+IF(AC209="",0,IF(AC209="Conical",PI()/12*(Y209*INDEX(LenF,MATCH($Y$7,LenU,0)))^2*(0),INDEX(HeadK,MATCH(AC209,HeadU,0))*(Y209*INDEX(LenF,MATCH($Y$7,LenU,0)))^3)),0),"")</f>
        <v/>
      </c>
      <c r="AE209" s="41" t="str">
        <f aca="false">IF(OR(E209="",E209="Piping"),"",IF(E209="Exchanger",AQ209*AR209+IF(P209="",0,IF(P209="Conical",PI()/12*(SQRT(4*AQ209/PI()))^2*(0),INDEX(HeadK,MATCH(P209,HeadU,0))*(SQRT(4*AQ209/PI()))^3))-IF(AND(ISNUMBER(S209),ISNUMBER(V209)),S209*PI()/4*AP209^2*V209*INDEX(LenF,MATCH($V$7,LenU,0)),0),IF(ISNUMBER(N209),PI()/4*(N209*INDEX(LenF,MATCH($N$7,LenU,0)))^2*N(O209)*INDEX(LenF,MATCH($O$7,LenU,0))+IF(P209="",0,IF(P209="Conical",PI()/12*(N209*INDEX(LenF,MATCH($N$7,LenU,0)))^2*(N(R209)*INDEX(LenF,MATCH($R$7,LenU,0))),INDEX(HeadK,MATCH(P209,HeadU,0))*(N209*INDEX(LenF,MATCH($N$7,LenU,0)))^3))+IF(Q209="",0,IF(Q209="Conical",PI()/12*(N209*INDEX(LenF,MATCH($N$7,LenU,0)))^2*(N(R209)*INDEX(LenF,MATCH($R$7,LenU,0))),INDEX(HeadK,MATCH(Q209,HeadU,0))*(N209*INDEX(LenF,MATCH($N$7,LenU,0)))^3)),0)))</f>
        <v/>
      </c>
      <c r="AF209" s="41" t="str">
        <f aca="false">IF(E209&lt;&gt;"Piping","",IF(AND(ISNUMBER(AS209),ISNUMBER(M209)),PI()/4*(AS209/1000)^2*M209*INDEX(LenF,MATCH($M$7,LenU,0)),0))</f>
        <v/>
      </c>
      <c r="AG209" s="41" t="str">
        <f aca="false">IF(E209="","",N(AD209)+N(AE209)+N(AF209))</f>
        <v/>
      </c>
      <c r="AH209" s="41" t="str">
        <f aca="false">IF(ISNUMBER(I209),I209*INDEX(WtF,MATCH($I$7,WtU,0))/CC_WaterRho,"")</f>
        <v/>
      </c>
      <c r="AI209" s="31"/>
      <c r="AJ209" s="31"/>
      <c r="AK209" s="40"/>
      <c r="AL209" s="31"/>
      <c r="AM209" s="41" t="str">
        <f aca="false">IF(AO209="","",AO209*IF(ISNUMBER(AK209),AK209,CC_DefFills)*(1+IF(ISNUMBER(AL209),AL209,CC_DefAllow)))</f>
        <v/>
      </c>
      <c r="AN209" s="42" t="str">
        <f aca="false">IF(G209="Given volume",IF(ISNUMBER(H209),H209*INDEX(VolF,MATCH($H$7,VolU,0)),""),IF(G209="Water weight",AH209,IF(N(AG209)=0,"",AG209)))</f>
        <v/>
      </c>
      <c r="AO209" s="42" t="str">
        <f aca="false">IF(N(AN209)=0,"",AN209*AT209*IF(ISNUMBER(AJ209),AJ209,CC_DefCirc))</f>
        <v/>
      </c>
      <c r="AP209" s="27" t="n">
        <f aca="false">IF(ISNUMBER(T209),T209*INDEX(LenF,MATCH($T$7,LenU,0)),IF(ISNUMBER(W209),W209*INDEX(LenF,MATCH($W$7,LenU,0))/CC_PitchRatio,0))</f>
        <v>0</v>
      </c>
      <c r="AQ209" s="27" t="n">
        <f aca="false">IF(ISNUMBER(N209),PI()/4*(N209*INDEX(LenF,MATCH($N$7,LenU,0)))^2,IF(AND(ISNUMBER(S209),ISNUMBER(W209),X209&lt;&gt;""),S209*(W209*INDEX(LenF,MATCH($W$7,LenU,0)))^2*INDEX(LayoutF,MATCH(X209,LayoutU,0)),0))</f>
        <v>0</v>
      </c>
      <c r="AR209" s="27" t="n">
        <f aca="false">IF(ISNUMBER(O209),O209*INDEX(LenF,MATCH($O$7,LenU,0)),IF(ISNUMBER(V209),V209*INDEX(LenF,MATCH($V$7,LenU,0)),0))</f>
        <v>0</v>
      </c>
      <c r="AS209" s="27" t="str">
        <f aca="false">IF(ISNUMBER(L209),L209*INDEX(LenF,MATCH($L$7,LenU,0))*1000,IF(OR(J209="",K209=""),"",IFERROR(IF(INDEX(PipeWT,MATCH(J209,NPSU,0),MATCH(K209,SchU,0))="","Sch n/a",INDEX(PipeOD,MATCH(J209,NPSU,0))-2*INDEX(PipeWT,MATCH(J209,NPSU,0),MATCH(K209,SchU,0))),"")))</f>
        <v/>
      </c>
      <c r="AT209" s="27" t="n">
        <f aca="false">IF(ISNUMBER(AI209),AI209,IFERROR(INDEX(IF(CC_JobType="Decontamination",CC_TypeFillDC,CC_TypeFillCC),MATCH(E209,CC_TypeL,0)),1))</f>
        <v>1</v>
      </c>
      <c r="AU209" s="27" t="n">
        <v>7</v>
      </c>
    </row>
    <row r="210" customFormat="false" ht="15" hidden="false" customHeight="false" outlineLevel="0" collapsed="false">
      <c r="A210" s="36" t="n">
        <v>3</v>
      </c>
      <c r="B210" s="40"/>
      <c r="C210" s="32"/>
      <c r="D210" s="32"/>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1" t="str">
        <f aca="false">IF(E210="Exchanger",IF(AND(ISNUMBER(S210),ISNUMBER(U210),ISNUMBER(V210)),S210*PI()/4*(U210*INDEX(LenF,MATCH($U$7,LenU,0)))^2*V210*INDEX(LenF,MATCH($V$7,LenU,0)),0)+IF(ISNUMBER(Y210),PI()/4*(Y210*INDEX(LenF,MATCH($Y$7,LenU,0)))^2*N(Z210)*INDEX(LenF,MATCH($Z$7,LenU,0))+IF(AA210="",0,IF(AA210="Conical",PI()/12*(Y210*INDEX(LenF,MATCH($Y$7,LenU,0)))^2*(0),INDEX(HeadK,MATCH(AA210,HeadU,0))*(Y210*INDEX(LenF,MATCH($Y$7,LenU,0)))^3)),0)+IF(ISNUMBER(Y210),PI()/4*(Y210*INDEX(LenF,MATCH($Y$7,LenU,0)))^2*N(AB210)*INDEX(LenF,MATCH($AB$7,LenU,0))+IF(AC210="",0,IF(AC210="Conical",PI()/12*(Y210*INDEX(LenF,MATCH($Y$7,LenU,0)))^2*(0),INDEX(HeadK,MATCH(AC210,HeadU,0))*(Y210*INDEX(LenF,MATCH($Y$7,LenU,0)))^3)),0),"")</f>
        <v/>
      </c>
      <c r="AE210" s="41" t="str">
        <f aca="false">IF(OR(E210="",E210="Piping"),"",IF(E210="Exchanger",AQ210*AR210+IF(P210="",0,IF(P210="Conical",PI()/12*(SQRT(4*AQ210/PI()))^2*(0),INDEX(HeadK,MATCH(P210,HeadU,0))*(SQRT(4*AQ210/PI()))^3))-IF(AND(ISNUMBER(S210),ISNUMBER(V210)),S210*PI()/4*AP210^2*V210*INDEX(LenF,MATCH($V$7,LenU,0)),0),IF(ISNUMBER(N210),PI()/4*(N210*INDEX(LenF,MATCH($N$7,LenU,0)))^2*N(O210)*INDEX(LenF,MATCH($O$7,LenU,0))+IF(P210="",0,IF(P210="Conical",PI()/12*(N210*INDEX(LenF,MATCH($N$7,LenU,0)))^2*(N(R210)*INDEX(LenF,MATCH($R$7,LenU,0))),INDEX(HeadK,MATCH(P210,HeadU,0))*(N210*INDEX(LenF,MATCH($N$7,LenU,0)))^3))+IF(Q210="",0,IF(Q210="Conical",PI()/12*(N210*INDEX(LenF,MATCH($N$7,LenU,0)))^2*(N(R210)*INDEX(LenF,MATCH($R$7,LenU,0))),INDEX(HeadK,MATCH(Q210,HeadU,0))*(N210*INDEX(LenF,MATCH($N$7,LenU,0)))^3)),0)))</f>
        <v/>
      </c>
      <c r="AF210" s="41" t="str">
        <f aca="false">IF(E210&lt;&gt;"Piping","",IF(AND(ISNUMBER(AS210),ISNUMBER(M210)),PI()/4*(AS210/1000)^2*M210*INDEX(LenF,MATCH($M$7,LenU,0)),0))</f>
        <v/>
      </c>
      <c r="AG210" s="41" t="str">
        <f aca="false">IF(E210="","",N(AD210)+N(AE210)+N(AF210))</f>
        <v/>
      </c>
      <c r="AH210" s="41" t="str">
        <f aca="false">IF(ISNUMBER(I210),I210*INDEX(WtF,MATCH($I$7,WtU,0))/CC_WaterRho,"")</f>
        <v/>
      </c>
      <c r="AI210" s="31"/>
      <c r="AJ210" s="31"/>
      <c r="AK210" s="40"/>
      <c r="AL210" s="31"/>
      <c r="AM210" s="41" t="str">
        <f aca="false">IF(AO210="","",AO210*IF(ISNUMBER(AK210),AK210,CC_DefFills)*(1+IF(ISNUMBER(AL210),AL210,CC_DefAllow)))</f>
        <v/>
      </c>
      <c r="AN210" s="42" t="str">
        <f aca="false">IF(G210="Given volume",IF(ISNUMBER(H210),H210*INDEX(VolF,MATCH($H$7,VolU,0)),""),IF(G210="Water weight",AH210,IF(N(AG210)=0,"",AG210)))</f>
        <v/>
      </c>
      <c r="AO210" s="42" t="str">
        <f aca="false">IF(N(AN210)=0,"",AN210*AT210*IF(ISNUMBER(AJ210),AJ210,CC_DefCirc))</f>
        <v/>
      </c>
      <c r="AP210" s="27" t="n">
        <f aca="false">IF(ISNUMBER(T210),T210*INDEX(LenF,MATCH($T$7,LenU,0)),IF(ISNUMBER(W210),W210*INDEX(LenF,MATCH($W$7,LenU,0))/CC_PitchRatio,0))</f>
        <v>0</v>
      </c>
      <c r="AQ210" s="27" t="n">
        <f aca="false">IF(ISNUMBER(N210),PI()/4*(N210*INDEX(LenF,MATCH($N$7,LenU,0)))^2,IF(AND(ISNUMBER(S210),ISNUMBER(W210),X210&lt;&gt;""),S210*(W210*INDEX(LenF,MATCH($W$7,LenU,0)))^2*INDEX(LayoutF,MATCH(X210,LayoutU,0)),0))</f>
        <v>0</v>
      </c>
      <c r="AR210" s="27" t="n">
        <f aca="false">IF(ISNUMBER(O210),O210*INDEX(LenF,MATCH($O$7,LenU,0)),IF(ISNUMBER(V210),V210*INDEX(LenF,MATCH($V$7,LenU,0)),0))</f>
        <v>0</v>
      </c>
      <c r="AS210" s="27" t="str">
        <f aca="false">IF(ISNUMBER(L210),L210*INDEX(LenF,MATCH($L$7,LenU,0))*1000,IF(OR(J210="",K210=""),"",IFERROR(IF(INDEX(PipeWT,MATCH(J210,NPSU,0),MATCH(K210,SchU,0))="","Sch n/a",INDEX(PipeOD,MATCH(J210,NPSU,0))-2*INDEX(PipeWT,MATCH(J210,NPSU,0),MATCH(K210,SchU,0))),"")))</f>
        <v/>
      </c>
      <c r="AT210" s="27" t="n">
        <f aca="false">IF(ISNUMBER(AI210),AI210,IFERROR(INDEX(IF(CC_JobType="Decontamination",CC_TypeFillDC,CC_TypeFillCC),MATCH(E210,CC_TypeL,0)),1))</f>
        <v>1</v>
      </c>
      <c r="AU210" s="27" t="n">
        <v>7</v>
      </c>
    </row>
    <row r="211" customFormat="false" ht="15" hidden="false" customHeight="false" outlineLevel="0" collapsed="false">
      <c r="A211" s="36" t="n">
        <v>4</v>
      </c>
      <c r="B211" s="40"/>
      <c r="C211" s="32"/>
      <c r="D211" s="32"/>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1" t="str">
        <f aca="false">IF(E211="Exchanger",IF(AND(ISNUMBER(S211),ISNUMBER(U211),ISNUMBER(V211)),S211*PI()/4*(U211*INDEX(LenF,MATCH($U$7,LenU,0)))^2*V211*INDEX(LenF,MATCH($V$7,LenU,0)),0)+IF(ISNUMBER(Y211),PI()/4*(Y211*INDEX(LenF,MATCH($Y$7,LenU,0)))^2*N(Z211)*INDEX(LenF,MATCH($Z$7,LenU,0))+IF(AA211="",0,IF(AA211="Conical",PI()/12*(Y211*INDEX(LenF,MATCH($Y$7,LenU,0)))^2*(0),INDEX(HeadK,MATCH(AA211,HeadU,0))*(Y211*INDEX(LenF,MATCH($Y$7,LenU,0)))^3)),0)+IF(ISNUMBER(Y211),PI()/4*(Y211*INDEX(LenF,MATCH($Y$7,LenU,0)))^2*N(AB211)*INDEX(LenF,MATCH($AB$7,LenU,0))+IF(AC211="",0,IF(AC211="Conical",PI()/12*(Y211*INDEX(LenF,MATCH($Y$7,LenU,0)))^2*(0),INDEX(HeadK,MATCH(AC211,HeadU,0))*(Y211*INDEX(LenF,MATCH($Y$7,LenU,0)))^3)),0),"")</f>
        <v/>
      </c>
      <c r="AE211" s="41" t="str">
        <f aca="false">IF(OR(E211="",E211="Piping"),"",IF(E211="Exchanger",AQ211*AR211+IF(P211="",0,IF(P211="Conical",PI()/12*(SQRT(4*AQ211/PI()))^2*(0),INDEX(HeadK,MATCH(P211,HeadU,0))*(SQRT(4*AQ211/PI()))^3))-IF(AND(ISNUMBER(S211),ISNUMBER(V211)),S211*PI()/4*AP211^2*V211*INDEX(LenF,MATCH($V$7,LenU,0)),0),IF(ISNUMBER(N211),PI()/4*(N211*INDEX(LenF,MATCH($N$7,LenU,0)))^2*N(O211)*INDEX(LenF,MATCH($O$7,LenU,0))+IF(P211="",0,IF(P211="Conical",PI()/12*(N211*INDEX(LenF,MATCH($N$7,LenU,0)))^2*(N(R211)*INDEX(LenF,MATCH($R$7,LenU,0))),INDEX(HeadK,MATCH(P211,HeadU,0))*(N211*INDEX(LenF,MATCH($N$7,LenU,0)))^3))+IF(Q211="",0,IF(Q211="Conical",PI()/12*(N211*INDEX(LenF,MATCH($N$7,LenU,0)))^2*(N(R211)*INDEX(LenF,MATCH($R$7,LenU,0))),INDEX(HeadK,MATCH(Q211,HeadU,0))*(N211*INDEX(LenF,MATCH($N$7,LenU,0)))^3)),0)))</f>
        <v/>
      </c>
      <c r="AF211" s="41" t="str">
        <f aca="false">IF(E211&lt;&gt;"Piping","",IF(AND(ISNUMBER(AS211),ISNUMBER(M211)),PI()/4*(AS211/1000)^2*M211*INDEX(LenF,MATCH($M$7,LenU,0)),0))</f>
        <v/>
      </c>
      <c r="AG211" s="41" t="str">
        <f aca="false">IF(E211="","",N(AD211)+N(AE211)+N(AF211))</f>
        <v/>
      </c>
      <c r="AH211" s="41" t="str">
        <f aca="false">IF(ISNUMBER(I211),I211*INDEX(WtF,MATCH($I$7,WtU,0))/CC_WaterRho,"")</f>
        <v/>
      </c>
      <c r="AI211" s="31"/>
      <c r="AJ211" s="31"/>
      <c r="AK211" s="40"/>
      <c r="AL211" s="31"/>
      <c r="AM211" s="41" t="str">
        <f aca="false">IF(AO211="","",AO211*IF(ISNUMBER(AK211),AK211,CC_DefFills)*(1+IF(ISNUMBER(AL211),AL211,CC_DefAllow)))</f>
        <v/>
      </c>
      <c r="AN211" s="42" t="str">
        <f aca="false">IF(G211="Given volume",IF(ISNUMBER(H211),H211*INDEX(VolF,MATCH($H$7,VolU,0)),""),IF(G211="Water weight",AH211,IF(N(AG211)=0,"",AG211)))</f>
        <v/>
      </c>
      <c r="AO211" s="42" t="str">
        <f aca="false">IF(N(AN211)=0,"",AN211*AT211*IF(ISNUMBER(AJ211),AJ211,CC_DefCirc))</f>
        <v/>
      </c>
      <c r="AP211" s="27" t="n">
        <f aca="false">IF(ISNUMBER(T211),T211*INDEX(LenF,MATCH($T$7,LenU,0)),IF(ISNUMBER(W211),W211*INDEX(LenF,MATCH($W$7,LenU,0))/CC_PitchRatio,0))</f>
        <v>0</v>
      </c>
      <c r="AQ211" s="27" t="n">
        <f aca="false">IF(ISNUMBER(N211),PI()/4*(N211*INDEX(LenF,MATCH($N$7,LenU,0)))^2,IF(AND(ISNUMBER(S211),ISNUMBER(W211),X211&lt;&gt;""),S211*(W211*INDEX(LenF,MATCH($W$7,LenU,0)))^2*INDEX(LayoutF,MATCH(X211,LayoutU,0)),0))</f>
        <v>0</v>
      </c>
      <c r="AR211" s="27" t="n">
        <f aca="false">IF(ISNUMBER(O211),O211*INDEX(LenF,MATCH($O$7,LenU,0)),IF(ISNUMBER(V211),V211*INDEX(LenF,MATCH($V$7,LenU,0)),0))</f>
        <v>0</v>
      </c>
      <c r="AS211" s="27" t="str">
        <f aca="false">IF(ISNUMBER(L211),L211*INDEX(LenF,MATCH($L$7,LenU,0))*1000,IF(OR(J211="",K211=""),"",IFERROR(IF(INDEX(PipeWT,MATCH(J211,NPSU,0),MATCH(K211,SchU,0))="","Sch n/a",INDEX(PipeOD,MATCH(J211,NPSU,0))-2*INDEX(PipeWT,MATCH(J211,NPSU,0),MATCH(K211,SchU,0))),"")))</f>
        <v/>
      </c>
      <c r="AT211" s="27" t="n">
        <f aca="false">IF(ISNUMBER(AI211),AI211,IFERROR(INDEX(IF(CC_JobType="Decontamination",CC_TypeFillDC,CC_TypeFillCC),MATCH(E211,CC_TypeL,0)),1))</f>
        <v>1</v>
      </c>
      <c r="AU211" s="27" t="n">
        <v>7</v>
      </c>
    </row>
    <row r="212" customFormat="false" ht="15" hidden="false" customHeight="false" outlineLevel="0" collapsed="false">
      <c r="A212" s="36" t="n">
        <v>5</v>
      </c>
      <c r="B212" s="40"/>
      <c r="C212" s="32"/>
      <c r="D212" s="32"/>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1" t="str">
        <f aca="false">IF(E212="Exchanger",IF(AND(ISNUMBER(S212),ISNUMBER(U212),ISNUMBER(V212)),S212*PI()/4*(U212*INDEX(LenF,MATCH($U$7,LenU,0)))^2*V212*INDEX(LenF,MATCH($V$7,LenU,0)),0)+IF(ISNUMBER(Y212),PI()/4*(Y212*INDEX(LenF,MATCH($Y$7,LenU,0)))^2*N(Z212)*INDEX(LenF,MATCH($Z$7,LenU,0))+IF(AA212="",0,IF(AA212="Conical",PI()/12*(Y212*INDEX(LenF,MATCH($Y$7,LenU,0)))^2*(0),INDEX(HeadK,MATCH(AA212,HeadU,0))*(Y212*INDEX(LenF,MATCH($Y$7,LenU,0)))^3)),0)+IF(ISNUMBER(Y212),PI()/4*(Y212*INDEX(LenF,MATCH($Y$7,LenU,0)))^2*N(AB212)*INDEX(LenF,MATCH($AB$7,LenU,0))+IF(AC212="",0,IF(AC212="Conical",PI()/12*(Y212*INDEX(LenF,MATCH($Y$7,LenU,0)))^2*(0),INDEX(HeadK,MATCH(AC212,HeadU,0))*(Y212*INDEX(LenF,MATCH($Y$7,LenU,0)))^3)),0),"")</f>
        <v/>
      </c>
      <c r="AE212" s="41" t="str">
        <f aca="false">IF(OR(E212="",E212="Piping"),"",IF(E212="Exchanger",AQ212*AR212+IF(P212="",0,IF(P212="Conical",PI()/12*(SQRT(4*AQ212/PI()))^2*(0),INDEX(HeadK,MATCH(P212,HeadU,0))*(SQRT(4*AQ212/PI()))^3))-IF(AND(ISNUMBER(S212),ISNUMBER(V212)),S212*PI()/4*AP212^2*V212*INDEX(LenF,MATCH($V$7,LenU,0)),0),IF(ISNUMBER(N212),PI()/4*(N212*INDEX(LenF,MATCH($N$7,LenU,0)))^2*N(O212)*INDEX(LenF,MATCH($O$7,LenU,0))+IF(P212="",0,IF(P212="Conical",PI()/12*(N212*INDEX(LenF,MATCH($N$7,LenU,0)))^2*(N(R212)*INDEX(LenF,MATCH($R$7,LenU,0))),INDEX(HeadK,MATCH(P212,HeadU,0))*(N212*INDEX(LenF,MATCH($N$7,LenU,0)))^3))+IF(Q212="",0,IF(Q212="Conical",PI()/12*(N212*INDEX(LenF,MATCH($N$7,LenU,0)))^2*(N(R212)*INDEX(LenF,MATCH($R$7,LenU,0))),INDEX(HeadK,MATCH(Q212,HeadU,0))*(N212*INDEX(LenF,MATCH($N$7,LenU,0)))^3)),0)))</f>
        <v/>
      </c>
      <c r="AF212" s="41" t="str">
        <f aca="false">IF(E212&lt;&gt;"Piping","",IF(AND(ISNUMBER(AS212),ISNUMBER(M212)),PI()/4*(AS212/1000)^2*M212*INDEX(LenF,MATCH($M$7,LenU,0)),0))</f>
        <v/>
      </c>
      <c r="AG212" s="41" t="str">
        <f aca="false">IF(E212="","",N(AD212)+N(AE212)+N(AF212))</f>
        <v/>
      </c>
      <c r="AH212" s="41" t="str">
        <f aca="false">IF(ISNUMBER(I212),I212*INDEX(WtF,MATCH($I$7,WtU,0))/CC_WaterRho,"")</f>
        <v/>
      </c>
      <c r="AI212" s="31"/>
      <c r="AJ212" s="31"/>
      <c r="AK212" s="40"/>
      <c r="AL212" s="31"/>
      <c r="AM212" s="41" t="str">
        <f aca="false">IF(AO212="","",AO212*IF(ISNUMBER(AK212),AK212,CC_DefFills)*(1+IF(ISNUMBER(AL212),AL212,CC_DefAllow)))</f>
        <v/>
      </c>
      <c r="AN212" s="42" t="str">
        <f aca="false">IF(G212="Given volume",IF(ISNUMBER(H212),H212*INDEX(VolF,MATCH($H$7,VolU,0)),""),IF(G212="Water weight",AH212,IF(N(AG212)=0,"",AG212)))</f>
        <v/>
      </c>
      <c r="AO212" s="42" t="str">
        <f aca="false">IF(N(AN212)=0,"",AN212*AT212*IF(ISNUMBER(AJ212),AJ212,CC_DefCirc))</f>
        <v/>
      </c>
      <c r="AP212" s="27" t="n">
        <f aca="false">IF(ISNUMBER(T212),T212*INDEX(LenF,MATCH($T$7,LenU,0)),IF(ISNUMBER(W212),W212*INDEX(LenF,MATCH($W$7,LenU,0))/CC_PitchRatio,0))</f>
        <v>0</v>
      </c>
      <c r="AQ212" s="27" t="n">
        <f aca="false">IF(ISNUMBER(N212),PI()/4*(N212*INDEX(LenF,MATCH($N$7,LenU,0)))^2,IF(AND(ISNUMBER(S212),ISNUMBER(W212),X212&lt;&gt;""),S212*(W212*INDEX(LenF,MATCH($W$7,LenU,0)))^2*INDEX(LayoutF,MATCH(X212,LayoutU,0)),0))</f>
        <v>0</v>
      </c>
      <c r="AR212" s="27" t="n">
        <f aca="false">IF(ISNUMBER(O212),O212*INDEX(LenF,MATCH($O$7,LenU,0)),IF(ISNUMBER(V212),V212*INDEX(LenF,MATCH($V$7,LenU,0)),0))</f>
        <v>0</v>
      </c>
      <c r="AS212" s="27" t="str">
        <f aca="false">IF(ISNUMBER(L212),L212*INDEX(LenF,MATCH($L$7,LenU,0))*1000,IF(OR(J212="",K212=""),"",IFERROR(IF(INDEX(PipeWT,MATCH(J212,NPSU,0),MATCH(K212,SchU,0))="","Sch n/a",INDEX(PipeOD,MATCH(J212,NPSU,0))-2*INDEX(PipeWT,MATCH(J212,NPSU,0),MATCH(K212,SchU,0))),"")))</f>
        <v/>
      </c>
      <c r="AT212" s="27" t="n">
        <f aca="false">IF(ISNUMBER(AI212),AI212,IFERROR(INDEX(IF(CC_JobType="Decontamination",CC_TypeFillDC,CC_TypeFillCC),MATCH(E212,CC_TypeL,0)),1))</f>
        <v>1</v>
      </c>
      <c r="AU212" s="27" t="n">
        <v>7</v>
      </c>
    </row>
    <row r="213" customFormat="false" ht="15" hidden="false" customHeight="false" outlineLevel="0" collapsed="false">
      <c r="A213" s="36" t="n">
        <v>6</v>
      </c>
      <c r="B213" s="40"/>
      <c r="C213" s="32"/>
      <c r="D213" s="32"/>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1" t="str">
        <f aca="false">IF(E213="Exchanger",IF(AND(ISNUMBER(S213),ISNUMBER(U213),ISNUMBER(V213)),S213*PI()/4*(U213*INDEX(LenF,MATCH($U$7,LenU,0)))^2*V213*INDEX(LenF,MATCH($V$7,LenU,0)),0)+IF(ISNUMBER(Y213),PI()/4*(Y213*INDEX(LenF,MATCH($Y$7,LenU,0)))^2*N(Z213)*INDEX(LenF,MATCH($Z$7,LenU,0))+IF(AA213="",0,IF(AA213="Conical",PI()/12*(Y213*INDEX(LenF,MATCH($Y$7,LenU,0)))^2*(0),INDEX(HeadK,MATCH(AA213,HeadU,0))*(Y213*INDEX(LenF,MATCH($Y$7,LenU,0)))^3)),0)+IF(ISNUMBER(Y213),PI()/4*(Y213*INDEX(LenF,MATCH($Y$7,LenU,0)))^2*N(AB213)*INDEX(LenF,MATCH($AB$7,LenU,0))+IF(AC213="",0,IF(AC213="Conical",PI()/12*(Y213*INDEX(LenF,MATCH($Y$7,LenU,0)))^2*(0),INDEX(HeadK,MATCH(AC213,HeadU,0))*(Y213*INDEX(LenF,MATCH($Y$7,LenU,0)))^3)),0),"")</f>
        <v/>
      </c>
      <c r="AE213" s="41" t="str">
        <f aca="false">IF(OR(E213="",E213="Piping"),"",IF(E213="Exchanger",AQ213*AR213+IF(P213="",0,IF(P213="Conical",PI()/12*(SQRT(4*AQ213/PI()))^2*(0),INDEX(HeadK,MATCH(P213,HeadU,0))*(SQRT(4*AQ213/PI()))^3))-IF(AND(ISNUMBER(S213),ISNUMBER(V213)),S213*PI()/4*AP213^2*V213*INDEX(LenF,MATCH($V$7,LenU,0)),0),IF(ISNUMBER(N213),PI()/4*(N213*INDEX(LenF,MATCH($N$7,LenU,0)))^2*N(O213)*INDEX(LenF,MATCH($O$7,LenU,0))+IF(P213="",0,IF(P213="Conical",PI()/12*(N213*INDEX(LenF,MATCH($N$7,LenU,0)))^2*(N(R213)*INDEX(LenF,MATCH($R$7,LenU,0))),INDEX(HeadK,MATCH(P213,HeadU,0))*(N213*INDEX(LenF,MATCH($N$7,LenU,0)))^3))+IF(Q213="",0,IF(Q213="Conical",PI()/12*(N213*INDEX(LenF,MATCH($N$7,LenU,0)))^2*(N(R213)*INDEX(LenF,MATCH($R$7,LenU,0))),INDEX(HeadK,MATCH(Q213,HeadU,0))*(N213*INDEX(LenF,MATCH($N$7,LenU,0)))^3)),0)))</f>
        <v/>
      </c>
      <c r="AF213" s="41" t="str">
        <f aca="false">IF(E213&lt;&gt;"Piping","",IF(AND(ISNUMBER(AS213),ISNUMBER(M213)),PI()/4*(AS213/1000)^2*M213*INDEX(LenF,MATCH($M$7,LenU,0)),0))</f>
        <v/>
      </c>
      <c r="AG213" s="41" t="str">
        <f aca="false">IF(E213="","",N(AD213)+N(AE213)+N(AF213))</f>
        <v/>
      </c>
      <c r="AH213" s="41" t="str">
        <f aca="false">IF(ISNUMBER(I213),I213*INDEX(WtF,MATCH($I$7,WtU,0))/CC_WaterRho,"")</f>
        <v/>
      </c>
      <c r="AI213" s="31"/>
      <c r="AJ213" s="31"/>
      <c r="AK213" s="40"/>
      <c r="AL213" s="31"/>
      <c r="AM213" s="41" t="str">
        <f aca="false">IF(AO213="","",AO213*IF(ISNUMBER(AK213),AK213,CC_DefFills)*(1+IF(ISNUMBER(AL213),AL213,CC_DefAllow)))</f>
        <v/>
      </c>
      <c r="AN213" s="42" t="str">
        <f aca="false">IF(G213="Given volume",IF(ISNUMBER(H213),H213*INDEX(VolF,MATCH($H$7,VolU,0)),""),IF(G213="Water weight",AH213,IF(N(AG213)=0,"",AG213)))</f>
        <v/>
      </c>
      <c r="AO213" s="42" t="str">
        <f aca="false">IF(N(AN213)=0,"",AN213*AT213*IF(ISNUMBER(AJ213),AJ213,CC_DefCirc))</f>
        <v/>
      </c>
      <c r="AP213" s="27" t="n">
        <f aca="false">IF(ISNUMBER(T213),T213*INDEX(LenF,MATCH($T$7,LenU,0)),IF(ISNUMBER(W213),W213*INDEX(LenF,MATCH($W$7,LenU,0))/CC_PitchRatio,0))</f>
        <v>0</v>
      </c>
      <c r="AQ213" s="27" t="n">
        <f aca="false">IF(ISNUMBER(N213),PI()/4*(N213*INDEX(LenF,MATCH($N$7,LenU,0)))^2,IF(AND(ISNUMBER(S213),ISNUMBER(W213),X213&lt;&gt;""),S213*(W213*INDEX(LenF,MATCH($W$7,LenU,0)))^2*INDEX(LayoutF,MATCH(X213,LayoutU,0)),0))</f>
        <v>0</v>
      </c>
      <c r="AR213" s="27" t="n">
        <f aca="false">IF(ISNUMBER(O213),O213*INDEX(LenF,MATCH($O$7,LenU,0)),IF(ISNUMBER(V213),V213*INDEX(LenF,MATCH($V$7,LenU,0)),0))</f>
        <v>0</v>
      </c>
      <c r="AS213" s="27" t="str">
        <f aca="false">IF(ISNUMBER(L213),L213*INDEX(LenF,MATCH($L$7,LenU,0))*1000,IF(OR(J213="",K213=""),"",IFERROR(IF(INDEX(PipeWT,MATCH(J213,NPSU,0),MATCH(K213,SchU,0))="","Sch n/a",INDEX(PipeOD,MATCH(J213,NPSU,0))-2*INDEX(PipeWT,MATCH(J213,NPSU,0),MATCH(K213,SchU,0))),"")))</f>
        <v/>
      </c>
      <c r="AT213" s="27" t="n">
        <f aca="false">IF(ISNUMBER(AI213),AI213,IFERROR(INDEX(IF(CC_JobType="Decontamination",CC_TypeFillDC,CC_TypeFillCC),MATCH(E213,CC_TypeL,0)),1))</f>
        <v>1</v>
      </c>
      <c r="AU213" s="27" t="n">
        <v>7</v>
      </c>
    </row>
    <row r="214" customFormat="false" ht="15" hidden="false" customHeight="false" outlineLevel="0" collapsed="false">
      <c r="A214" s="36" t="n">
        <v>7</v>
      </c>
      <c r="B214" s="40"/>
      <c r="C214" s="32"/>
      <c r="D214" s="32"/>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1" t="str">
        <f aca="false">IF(E214="Exchanger",IF(AND(ISNUMBER(S214),ISNUMBER(U214),ISNUMBER(V214)),S214*PI()/4*(U214*INDEX(LenF,MATCH($U$7,LenU,0)))^2*V214*INDEX(LenF,MATCH($V$7,LenU,0)),0)+IF(ISNUMBER(Y214),PI()/4*(Y214*INDEX(LenF,MATCH($Y$7,LenU,0)))^2*N(Z214)*INDEX(LenF,MATCH($Z$7,LenU,0))+IF(AA214="",0,IF(AA214="Conical",PI()/12*(Y214*INDEX(LenF,MATCH($Y$7,LenU,0)))^2*(0),INDEX(HeadK,MATCH(AA214,HeadU,0))*(Y214*INDEX(LenF,MATCH($Y$7,LenU,0)))^3)),0)+IF(ISNUMBER(Y214),PI()/4*(Y214*INDEX(LenF,MATCH($Y$7,LenU,0)))^2*N(AB214)*INDEX(LenF,MATCH($AB$7,LenU,0))+IF(AC214="",0,IF(AC214="Conical",PI()/12*(Y214*INDEX(LenF,MATCH($Y$7,LenU,0)))^2*(0),INDEX(HeadK,MATCH(AC214,HeadU,0))*(Y214*INDEX(LenF,MATCH($Y$7,LenU,0)))^3)),0),"")</f>
        <v/>
      </c>
      <c r="AE214" s="41" t="str">
        <f aca="false">IF(OR(E214="",E214="Piping"),"",IF(E214="Exchanger",AQ214*AR214+IF(P214="",0,IF(P214="Conical",PI()/12*(SQRT(4*AQ214/PI()))^2*(0),INDEX(HeadK,MATCH(P214,HeadU,0))*(SQRT(4*AQ214/PI()))^3))-IF(AND(ISNUMBER(S214),ISNUMBER(V214)),S214*PI()/4*AP214^2*V214*INDEX(LenF,MATCH($V$7,LenU,0)),0),IF(ISNUMBER(N214),PI()/4*(N214*INDEX(LenF,MATCH($N$7,LenU,0)))^2*N(O214)*INDEX(LenF,MATCH($O$7,LenU,0))+IF(P214="",0,IF(P214="Conical",PI()/12*(N214*INDEX(LenF,MATCH($N$7,LenU,0)))^2*(N(R214)*INDEX(LenF,MATCH($R$7,LenU,0))),INDEX(HeadK,MATCH(P214,HeadU,0))*(N214*INDEX(LenF,MATCH($N$7,LenU,0)))^3))+IF(Q214="",0,IF(Q214="Conical",PI()/12*(N214*INDEX(LenF,MATCH($N$7,LenU,0)))^2*(N(R214)*INDEX(LenF,MATCH($R$7,LenU,0))),INDEX(HeadK,MATCH(Q214,HeadU,0))*(N214*INDEX(LenF,MATCH($N$7,LenU,0)))^3)),0)))</f>
        <v/>
      </c>
      <c r="AF214" s="41" t="str">
        <f aca="false">IF(E214&lt;&gt;"Piping","",IF(AND(ISNUMBER(AS214),ISNUMBER(M214)),PI()/4*(AS214/1000)^2*M214*INDEX(LenF,MATCH($M$7,LenU,0)),0))</f>
        <v/>
      </c>
      <c r="AG214" s="41" t="str">
        <f aca="false">IF(E214="","",N(AD214)+N(AE214)+N(AF214))</f>
        <v/>
      </c>
      <c r="AH214" s="41" t="str">
        <f aca="false">IF(ISNUMBER(I214),I214*INDEX(WtF,MATCH($I$7,WtU,0))/CC_WaterRho,"")</f>
        <v/>
      </c>
      <c r="AI214" s="31"/>
      <c r="AJ214" s="31"/>
      <c r="AK214" s="40"/>
      <c r="AL214" s="31"/>
      <c r="AM214" s="41" t="str">
        <f aca="false">IF(AO214="","",AO214*IF(ISNUMBER(AK214),AK214,CC_DefFills)*(1+IF(ISNUMBER(AL214),AL214,CC_DefAllow)))</f>
        <v/>
      </c>
      <c r="AN214" s="42" t="str">
        <f aca="false">IF(G214="Given volume",IF(ISNUMBER(H214),H214*INDEX(VolF,MATCH($H$7,VolU,0)),""),IF(G214="Water weight",AH214,IF(N(AG214)=0,"",AG214)))</f>
        <v/>
      </c>
      <c r="AO214" s="42" t="str">
        <f aca="false">IF(N(AN214)=0,"",AN214*AT214*IF(ISNUMBER(AJ214),AJ214,CC_DefCirc))</f>
        <v/>
      </c>
      <c r="AP214" s="27" t="n">
        <f aca="false">IF(ISNUMBER(T214),T214*INDEX(LenF,MATCH($T$7,LenU,0)),IF(ISNUMBER(W214),W214*INDEX(LenF,MATCH($W$7,LenU,0))/CC_PitchRatio,0))</f>
        <v>0</v>
      </c>
      <c r="AQ214" s="27" t="n">
        <f aca="false">IF(ISNUMBER(N214),PI()/4*(N214*INDEX(LenF,MATCH($N$7,LenU,0)))^2,IF(AND(ISNUMBER(S214),ISNUMBER(W214),X214&lt;&gt;""),S214*(W214*INDEX(LenF,MATCH($W$7,LenU,0)))^2*INDEX(LayoutF,MATCH(X214,LayoutU,0)),0))</f>
        <v>0</v>
      </c>
      <c r="AR214" s="27" t="n">
        <f aca="false">IF(ISNUMBER(O214),O214*INDEX(LenF,MATCH($O$7,LenU,0)),IF(ISNUMBER(V214),V214*INDEX(LenF,MATCH($V$7,LenU,0)),0))</f>
        <v>0</v>
      </c>
      <c r="AS214" s="27" t="str">
        <f aca="false">IF(ISNUMBER(L214),L214*INDEX(LenF,MATCH($L$7,LenU,0))*1000,IF(OR(J214="",K214=""),"",IFERROR(IF(INDEX(PipeWT,MATCH(J214,NPSU,0),MATCH(K214,SchU,0))="","Sch n/a",INDEX(PipeOD,MATCH(J214,NPSU,0))-2*INDEX(PipeWT,MATCH(J214,NPSU,0),MATCH(K214,SchU,0))),"")))</f>
        <v/>
      </c>
      <c r="AT214" s="27" t="n">
        <f aca="false">IF(ISNUMBER(AI214),AI214,IFERROR(INDEX(IF(CC_JobType="Decontamination",CC_TypeFillDC,CC_TypeFillCC),MATCH(E214,CC_TypeL,0)),1))</f>
        <v>1</v>
      </c>
      <c r="AU214" s="27" t="n">
        <v>7</v>
      </c>
    </row>
    <row r="215" customFormat="false" ht="15" hidden="false" customHeight="false" outlineLevel="0" collapsed="false">
      <c r="A215" s="36" t="n">
        <v>8</v>
      </c>
      <c r="B215" s="40"/>
      <c r="C215" s="32"/>
      <c r="D215" s="32"/>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1" t="str">
        <f aca="false">IF(E215="Exchanger",IF(AND(ISNUMBER(S215),ISNUMBER(U215),ISNUMBER(V215)),S215*PI()/4*(U215*INDEX(LenF,MATCH($U$7,LenU,0)))^2*V215*INDEX(LenF,MATCH($V$7,LenU,0)),0)+IF(ISNUMBER(Y215),PI()/4*(Y215*INDEX(LenF,MATCH($Y$7,LenU,0)))^2*N(Z215)*INDEX(LenF,MATCH($Z$7,LenU,0))+IF(AA215="",0,IF(AA215="Conical",PI()/12*(Y215*INDEX(LenF,MATCH($Y$7,LenU,0)))^2*(0),INDEX(HeadK,MATCH(AA215,HeadU,0))*(Y215*INDEX(LenF,MATCH($Y$7,LenU,0)))^3)),0)+IF(ISNUMBER(Y215),PI()/4*(Y215*INDEX(LenF,MATCH($Y$7,LenU,0)))^2*N(AB215)*INDEX(LenF,MATCH($AB$7,LenU,0))+IF(AC215="",0,IF(AC215="Conical",PI()/12*(Y215*INDEX(LenF,MATCH($Y$7,LenU,0)))^2*(0),INDEX(HeadK,MATCH(AC215,HeadU,0))*(Y215*INDEX(LenF,MATCH($Y$7,LenU,0)))^3)),0),"")</f>
        <v/>
      </c>
      <c r="AE215" s="41" t="str">
        <f aca="false">IF(OR(E215="",E215="Piping"),"",IF(E215="Exchanger",AQ215*AR215+IF(P215="",0,IF(P215="Conical",PI()/12*(SQRT(4*AQ215/PI()))^2*(0),INDEX(HeadK,MATCH(P215,HeadU,0))*(SQRT(4*AQ215/PI()))^3))-IF(AND(ISNUMBER(S215),ISNUMBER(V215)),S215*PI()/4*AP215^2*V215*INDEX(LenF,MATCH($V$7,LenU,0)),0),IF(ISNUMBER(N215),PI()/4*(N215*INDEX(LenF,MATCH($N$7,LenU,0)))^2*N(O215)*INDEX(LenF,MATCH($O$7,LenU,0))+IF(P215="",0,IF(P215="Conical",PI()/12*(N215*INDEX(LenF,MATCH($N$7,LenU,0)))^2*(N(R215)*INDEX(LenF,MATCH($R$7,LenU,0))),INDEX(HeadK,MATCH(P215,HeadU,0))*(N215*INDEX(LenF,MATCH($N$7,LenU,0)))^3))+IF(Q215="",0,IF(Q215="Conical",PI()/12*(N215*INDEX(LenF,MATCH($N$7,LenU,0)))^2*(N(R215)*INDEX(LenF,MATCH($R$7,LenU,0))),INDEX(HeadK,MATCH(Q215,HeadU,0))*(N215*INDEX(LenF,MATCH($N$7,LenU,0)))^3)),0)))</f>
        <v/>
      </c>
      <c r="AF215" s="41" t="str">
        <f aca="false">IF(E215&lt;&gt;"Piping","",IF(AND(ISNUMBER(AS215),ISNUMBER(M215)),PI()/4*(AS215/1000)^2*M215*INDEX(LenF,MATCH($M$7,LenU,0)),0))</f>
        <v/>
      </c>
      <c r="AG215" s="41" t="str">
        <f aca="false">IF(E215="","",N(AD215)+N(AE215)+N(AF215))</f>
        <v/>
      </c>
      <c r="AH215" s="41" t="str">
        <f aca="false">IF(ISNUMBER(I215),I215*INDEX(WtF,MATCH($I$7,WtU,0))/CC_WaterRho,"")</f>
        <v/>
      </c>
      <c r="AI215" s="31"/>
      <c r="AJ215" s="31"/>
      <c r="AK215" s="40"/>
      <c r="AL215" s="31"/>
      <c r="AM215" s="41" t="str">
        <f aca="false">IF(AO215="","",AO215*IF(ISNUMBER(AK215),AK215,CC_DefFills)*(1+IF(ISNUMBER(AL215),AL215,CC_DefAllow)))</f>
        <v/>
      </c>
      <c r="AN215" s="42" t="str">
        <f aca="false">IF(G215="Given volume",IF(ISNUMBER(H215),H215*INDEX(VolF,MATCH($H$7,VolU,0)),""),IF(G215="Water weight",AH215,IF(N(AG215)=0,"",AG215)))</f>
        <v/>
      </c>
      <c r="AO215" s="42" t="str">
        <f aca="false">IF(N(AN215)=0,"",AN215*AT215*IF(ISNUMBER(AJ215),AJ215,CC_DefCirc))</f>
        <v/>
      </c>
      <c r="AP215" s="27" t="n">
        <f aca="false">IF(ISNUMBER(T215),T215*INDEX(LenF,MATCH($T$7,LenU,0)),IF(ISNUMBER(W215),W215*INDEX(LenF,MATCH($W$7,LenU,0))/CC_PitchRatio,0))</f>
        <v>0</v>
      </c>
      <c r="AQ215" s="27" t="n">
        <f aca="false">IF(ISNUMBER(N215),PI()/4*(N215*INDEX(LenF,MATCH($N$7,LenU,0)))^2,IF(AND(ISNUMBER(S215),ISNUMBER(W215),X215&lt;&gt;""),S215*(W215*INDEX(LenF,MATCH($W$7,LenU,0)))^2*INDEX(LayoutF,MATCH(X215,LayoutU,0)),0))</f>
        <v>0</v>
      </c>
      <c r="AR215" s="27" t="n">
        <f aca="false">IF(ISNUMBER(O215),O215*INDEX(LenF,MATCH($O$7,LenU,0)),IF(ISNUMBER(V215),V215*INDEX(LenF,MATCH($V$7,LenU,0)),0))</f>
        <v>0</v>
      </c>
      <c r="AS215" s="27" t="str">
        <f aca="false">IF(ISNUMBER(L215),L215*INDEX(LenF,MATCH($L$7,LenU,0))*1000,IF(OR(J215="",K215=""),"",IFERROR(IF(INDEX(PipeWT,MATCH(J215,NPSU,0),MATCH(K215,SchU,0))="","Sch n/a",INDEX(PipeOD,MATCH(J215,NPSU,0))-2*INDEX(PipeWT,MATCH(J215,NPSU,0),MATCH(K215,SchU,0))),"")))</f>
        <v/>
      </c>
      <c r="AT215" s="27" t="n">
        <f aca="false">IF(ISNUMBER(AI215),AI215,IFERROR(INDEX(IF(CC_JobType="Decontamination",CC_TypeFillDC,CC_TypeFillCC),MATCH(E215,CC_TypeL,0)),1))</f>
        <v>1</v>
      </c>
      <c r="AU215" s="27" t="n">
        <v>7</v>
      </c>
    </row>
    <row r="216" customFormat="false" ht="15" hidden="false" customHeight="false" outlineLevel="0" collapsed="false">
      <c r="A216" s="36" t="n">
        <v>9</v>
      </c>
      <c r="B216" s="40"/>
      <c r="C216" s="32"/>
      <c r="D216" s="32"/>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1" t="str">
        <f aca="false">IF(E216="Exchanger",IF(AND(ISNUMBER(S216),ISNUMBER(U216),ISNUMBER(V216)),S216*PI()/4*(U216*INDEX(LenF,MATCH($U$7,LenU,0)))^2*V216*INDEX(LenF,MATCH($V$7,LenU,0)),0)+IF(ISNUMBER(Y216),PI()/4*(Y216*INDEX(LenF,MATCH($Y$7,LenU,0)))^2*N(Z216)*INDEX(LenF,MATCH($Z$7,LenU,0))+IF(AA216="",0,IF(AA216="Conical",PI()/12*(Y216*INDEX(LenF,MATCH($Y$7,LenU,0)))^2*(0),INDEX(HeadK,MATCH(AA216,HeadU,0))*(Y216*INDEX(LenF,MATCH($Y$7,LenU,0)))^3)),0)+IF(ISNUMBER(Y216),PI()/4*(Y216*INDEX(LenF,MATCH($Y$7,LenU,0)))^2*N(AB216)*INDEX(LenF,MATCH($AB$7,LenU,0))+IF(AC216="",0,IF(AC216="Conical",PI()/12*(Y216*INDEX(LenF,MATCH($Y$7,LenU,0)))^2*(0),INDEX(HeadK,MATCH(AC216,HeadU,0))*(Y216*INDEX(LenF,MATCH($Y$7,LenU,0)))^3)),0),"")</f>
        <v/>
      </c>
      <c r="AE216" s="41" t="str">
        <f aca="false">IF(OR(E216="",E216="Piping"),"",IF(E216="Exchanger",AQ216*AR216+IF(P216="",0,IF(P216="Conical",PI()/12*(SQRT(4*AQ216/PI()))^2*(0),INDEX(HeadK,MATCH(P216,HeadU,0))*(SQRT(4*AQ216/PI()))^3))-IF(AND(ISNUMBER(S216),ISNUMBER(V216)),S216*PI()/4*AP216^2*V216*INDEX(LenF,MATCH($V$7,LenU,0)),0),IF(ISNUMBER(N216),PI()/4*(N216*INDEX(LenF,MATCH($N$7,LenU,0)))^2*N(O216)*INDEX(LenF,MATCH($O$7,LenU,0))+IF(P216="",0,IF(P216="Conical",PI()/12*(N216*INDEX(LenF,MATCH($N$7,LenU,0)))^2*(N(R216)*INDEX(LenF,MATCH($R$7,LenU,0))),INDEX(HeadK,MATCH(P216,HeadU,0))*(N216*INDEX(LenF,MATCH($N$7,LenU,0)))^3))+IF(Q216="",0,IF(Q216="Conical",PI()/12*(N216*INDEX(LenF,MATCH($N$7,LenU,0)))^2*(N(R216)*INDEX(LenF,MATCH($R$7,LenU,0))),INDEX(HeadK,MATCH(Q216,HeadU,0))*(N216*INDEX(LenF,MATCH($N$7,LenU,0)))^3)),0)))</f>
        <v/>
      </c>
      <c r="AF216" s="41" t="str">
        <f aca="false">IF(E216&lt;&gt;"Piping","",IF(AND(ISNUMBER(AS216),ISNUMBER(M216)),PI()/4*(AS216/1000)^2*M216*INDEX(LenF,MATCH($M$7,LenU,0)),0))</f>
        <v/>
      </c>
      <c r="AG216" s="41" t="str">
        <f aca="false">IF(E216="","",N(AD216)+N(AE216)+N(AF216))</f>
        <v/>
      </c>
      <c r="AH216" s="41" t="str">
        <f aca="false">IF(ISNUMBER(I216),I216*INDEX(WtF,MATCH($I$7,WtU,0))/CC_WaterRho,"")</f>
        <v/>
      </c>
      <c r="AI216" s="31"/>
      <c r="AJ216" s="31"/>
      <c r="AK216" s="40"/>
      <c r="AL216" s="31"/>
      <c r="AM216" s="41" t="str">
        <f aca="false">IF(AO216="","",AO216*IF(ISNUMBER(AK216),AK216,CC_DefFills)*(1+IF(ISNUMBER(AL216),AL216,CC_DefAllow)))</f>
        <v/>
      </c>
      <c r="AN216" s="42" t="str">
        <f aca="false">IF(G216="Given volume",IF(ISNUMBER(H216),H216*INDEX(VolF,MATCH($H$7,VolU,0)),""),IF(G216="Water weight",AH216,IF(N(AG216)=0,"",AG216)))</f>
        <v/>
      </c>
      <c r="AO216" s="42" t="str">
        <f aca="false">IF(N(AN216)=0,"",AN216*AT216*IF(ISNUMBER(AJ216),AJ216,CC_DefCirc))</f>
        <v/>
      </c>
      <c r="AP216" s="27" t="n">
        <f aca="false">IF(ISNUMBER(T216),T216*INDEX(LenF,MATCH($T$7,LenU,0)),IF(ISNUMBER(W216),W216*INDEX(LenF,MATCH($W$7,LenU,0))/CC_PitchRatio,0))</f>
        <v>0</v>
      </c>
      <c r="AQ216" s="27" t="n">
        <f aca="false">IF(ISNUMBER(N216),PI()/4*(N216*INDEX(LenF,MATCH($N$7,LenU,0)))^2,IF(AND(ISNUMBER(S216),ISNUMBER(W216),X216&lt;&gt;""),S216*(W216*INDEX(LenF,MATCH($W$7,LenU,0)))^2*INDEX(LayoutF,MATCH(X216,LayoutU,0)),0))</f>
        <v>0</v>
      </c>
      <c r="AR216" s="27" t="n">
        <f aca="false">IF(ISNUMBER(O216),O216*INDEX(LenF,MATCH($O$7,LenU,0)),IF(ISNUMBER(V216),V216*INDEX(LenF,MATCH($V$7,LenU,0)),0))</f>
        <v>0</v>
      </c>
      <c r="AS216" s="27" t="str">
        <f aca="false">IF(ISNUMBER(L216),L216*INDEX(LenF,MATCH($L$7,LenU,0))*1000,IF(OR(J216="",K216=""),"",IFERROR(IF(INDEX(PipeWT,MATCH(J216,NPSU,0),MATCH(K216,SchU,0))="","Sch n/a",INDEX(PipeOD,MATCH(J216,NPSU,0))-2*INDEX(PipeWT,MATCH(J216,NPSU,0),MATCH(K216,SchU,0))),"")))</f>
        <v/>
      </c>
      <c r="AT216" s="27" t="n">
        <f aca="false">IF(ISNUMBER(AI216),AI216,IFERROR(INDEX(IF(CC_JobType="Decontamination",CC_TypeFillDC,CC_TypeFillCC),MATCH(E216,CC_TypeL,0)),1))</f>
        <v>1</v>
      </c>
      <c r="AU216" s="27" t="n">
        <v>7</v>
      </c>
    </row>
    <row r="217" customFormat="false" ht="15" hidden="false" customHeight="false" outlineLevel="0" collapsed="false">
      <c r="A217" s="36" t="n">
        <v>10</v>
      </c>
      <c r="B217" s="40"/>
      <c r="C217" s="32"/>
      <c r="D217" s="32"/>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1" t="str">
        <f aca="false">IF(E217="Exchanger",IF(AND(ISNUMBER(S217),ISNUMBER(U217),ISNUMBER(V217)),S217*PI()/4*(U217*INDEX(LenF,MATCH($U$7,LenU,0)))^2*V217*INDEX(LenF,MATCH($V$7,LenU,0)),0)+IF(ISNUMBER(Y217),PI()/4*(Y217*INDEX(LenF,MATCH($Y$7,LenU,0)))^2*N(Z217)*INDEX(LenF,MATCH($Z$7,LenU,0))+IF(AA217="",0,IF(AA217="Conical",PI()/12*(Y217*INDEX(LenF,MATCH($Y$7,LenU,0)))^2*(0),INDEX(HeadK,MATCH(AA217,HeadU,0))*(Y217*INDEX(LenF,MATCH($Y$7,LenU,0)))^3)),0)+IF(ISNUMBER(Y217),PI()/4*(Y217*INDEX(LenF,MATCH($Y$7,LenU,0)))^2*N(AB217)*INDEX(LenF,MATCH($AB$7,LenU,0))+IF(AC217="",0,IF(AC217="Conical",PI()/12*(Y217*INDEX(LenF,MATCH($Y$7,LenU,0)))^2*(0),INDEX(HeadK,MATCH(AC217,HeadU,0))*(Y217*INDEX(LenF,MATCH($Y$7,LenU,0)))^3)),0),"")</f>
        <v/>
      </c>
      <c r="AE217" s="41" t="str">
        <f aca="false">IF(OR(E217="",E217="Piping"),"",IF(E217="Exchanger",AQ217*AR217+IF(P217="",0,IF(P217="Conical",PI()/12*(SQRT(4*AQ217/PI()))^2*(0),INDEX(HeadK,MATCH(P217,HeadU,0))*(SQRT(4*AQ217/PI()))^3))-IF(AND(ISNUMBER(S217),ISNUMBER(V217)),S217*PI()/4*AP217^2*V217*INDEX(LenF,MATCH($V$7,LenU,0)),0),IF(ISNUMBER(N217),PI()/4*(N217*INDEX(LenF,MATCH($N$7,LenU,0)))^2*N(O217)*INDEX(LenF,MATCH($O$7,LenU,0))+IF(P217="",0,IF(P217="Conical",PI()/12*(N217*INDEX(LenF,MATCH($N$7,LenU,0)))^2*(N(R217)*INDEX(LenF,MATCH($R$7,LenU,0))),INDEX(HeadK,MATCH(P217,HeadU,0))*(N217*INDEX(LenF,MATCH($N$7,LenU,0)))^3))+IF(Q217="",0,IF(Q217="Conical",PI()/12*(N217*INDEX(LenF,MATCH($N$7,LenU,0)))^2*(N(R217)*INDEX(LenF,MATCH($R$7,LenU,0))),INDEX(HeadK,MATCH(Q217,HeadU,0))*(N217*INDEX(LenF,MATCH($N$7,LenU,0)))^3)),0)))</f>
        <v/>
      </c>
      <c r="AF217" s="41" t="str">
        <f aca="false">IF(E217&lt;&gt;"Piping","",IF(AND(ISNUMBER(AS217),ISNUMBER(M217)),PI()/4*(AS217/1000)^2*M217*INDEX(LenF,MATCH($M$7,LenU,0)),0))</f>
        <v/>
      </c>
      <c r="AG217" s="41" t="str">
        <f aca="false">IF(E217="","",N(AD217)+N(AE217)+N(AF217))</f>
        <v/>
      </c>
      <c r="AH217" s="41" t="str">
        <f aca="false">IF(ISNUMBER(I217),I217*INDEX(WtF,MATCH($I$7,WtU,0))/CC_WaterRho,"")</f>
        <v/>
      </c>
      <c r="AI217" s="31"/>
      <c r="AJ217" s="31"/>
      <c r="AK217" s="40"/>
      <c r="AL217" s="31"/>
      <c r="AM217" s="41" t="str">
        <f aca="false">IF(AO217="","",AO217*IF(ISNUMBER(AK217),AK217,CC_DefFills)*(1+IF(ISNUMBER(AL217),AL217,CC_DefAllow)))</f>
        <v/>
      </c>
      <c r="AN217" s="42" t="str">
        <f aca="false">IF(G217="Given volume",IF(ISNUMBER(H217),H217*INDEX(VolF,MATCH($H$7,VolU,0)),""),IF(G217="Water weight",AH217,IF(N(AG217)=0,"",AG217)))</f>
        <v/>
      </c>
      <c r="AO217" s="42" t="str">
        <f aca="false">IF(N(AN217)=0,"",AN217*AT217*IF(ISNUMBER(AJ217),AJ217,CC_DefCirc))</f>
        <v/>
      </c>
      <c r="AP217" s="27" t="n">
        <f aca="false">IF(ISNUMBER(T217),T217*INDEX(LenF,MATCH($T$7,LenU,0)),IF(ISNUMBER(W217),W217*INDEX(LenF,MATCH($W$7,LenU,0))/CC_PitchRatio,0))</f>
        <v>0</v>
      </c>
      <c r="AQ217" s="27" t="n">
        <f aca="false">IF(ISNUMBER(N217),PI()/4*(N217*INDEX(LenF,MATCH($N$7,LenU,0)))^2,IF(AND(ISNUMBER(S217),ISNUMBER(W217),X217&lt;&gt;""),S217*(W217*INDEX(LenF,MATCH($W$7,LenU,0)))^2*INDEX(LayoutF,MATCH(X217,LayoutU,0)),0))</f>
        <v>0</v>
      </c>
      <c r="AR217" s="27" t="n">
        <f aca="false">IF(ISNUMBER(O217),O217*INDEX(LenF,MATCH($O$7,LenU,0)),IF(ISNUMBER(V217),V217*INDEX(LenF,MATCH($V$7,LenU,0)),0))</f>
        <v>0</v>
      </c>
      <c r="AS217" s="27" t="str">
        <f aca="false">IF(ISNUMBER(L217),L217*INDEX(LenF,MATCH($L$7,LenU,0))*1000,IF(OR(J217="",K217=""),"",IFERROR(IF(INDEX(PipeWT,MATCH(J217,NPSU,0),MATCH(K217,SchU,0))="","Sch n/a",INDEX(PipeOD,MATCH(J217,NPSU,0))-2*INDEX(PipeWT,MATCH(J217,NPSU,0),MATCH(K217,SchU,0))),"")))</f>
        <v/>
      </c>
      <c r="AT217" s="27" t="n">
        <f aca="false">IF(ISNUMBER(AI217),AI217,IFERROR(INDEX(IF(CC_JobType="Decontamination",CC_TypeFillDC,CC_TypeFillCC),MATCH(E217,CC_TypeL,0)),1))</f>
        <v>1</v>
      </c>
      <c r="AU217" s="27" t="n">
        <v>7</v>
      </c>
    </row>
    <row r="218" customFormat="false" ht="15" hidden="false" customHeight="false" outlineLevel="0" collapsed="false">
      <c r="A218" s="36" t="n">
        <v>11</v>
      </c>
      <c r="B218" s="40"/>
      <c r="C218" s="32"/>
      <c r="D218" s="32"/>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1" t="str">
        <f aca="false">IF(E218="Exchanger",IF(AND(ISNUMBER(S218),ISNUMBER(U218),ISNUMBER(V218)),S218*PI()/4*(U218*INDEX(LenF,MATCH($U$7,LenU,0)))^2*V218*INDEX(LenF,MATCH($V$7,LenU,0)),0)+IF(ISNUMBER(Y218),PI()/4*(Y218*INDEX(LenF,MATCH($Y$7,LenU,0)))^2*N(Z218)*INDEX(LenF,MATCH($Z$7,LenU,0))+IF(AA218="",0,IF(AA218="Conical",PI()/12*(Y218*INDEX(LenF,MATCH($Y$7,LenU,0)))^2*(0),INDEX(HeadK,MATCH(AA218,HeadU,0))*(Y218*INDEX(LenF,MATCH($Y$7,LenU,0)))^3)),0)+IF(ISNUMBER(Y218),PI()/4*(Y218*INDEX(LenF,MATCH($Y$7,LenU,0)))^2*N(AB218)*INDEX(LenF,MATCH($AB$7,LenU,0))+IF(AC218="",0,IF(AC218="Conical",PI()/12*(Y218*INDEX(LenF,MATCH($Y$7,LenU,0)))^2*(0),INDEX(HeadK,MATCH(AC218,HeadU,0))*(Y218*INDEX(LenF,MATCH($Y$7,LenU,0)))^3)),0),"")</f>
        <v/>
      </c>
      <c r="AE218" s="41" t="str">
        <f aca="false">IF(OR(E218="",E218="Piping"),"",IF(E218="Exchanger",AQ218*AR218+IF(P218="",0,IF(P218="Conical",PI()/12*(SQRT(4*AQ218/PI()))^2*(0),INDEX(HeadK,MATCH(P218,HeadU,0))*(SQRT(4*AQ218/PI()))^3))-IF(AND(ISNUMBER(S218),ISNUMBER(V218)),S218*PI()/4*AP218^2*V218*INDEX(LenF,MATCH($V$7,LenU,0)),0),IF(ISNUMBER(N218),PI()/4*(N218*INDEX(LenF,MATCH($N$7,LenU,0)))^2*N(O218)*INDEX(LenF,MATCH($O$7,LenU,0))+IF(P218="",0,IF(P218="Conical",PI()/12*(N218*INDEX(LenF,MATCH($N$7,LenU,0)))^2*(N(R218)*INDEX(LenF,MATCH($R$7,LenU,0))),INDEX(HeadK,MATCH(P218,HeadU,0))*(N218*INDEX(LenF,MATCH($N$7,LenU,0)))^3))+IF(Q218="",0,IF(Q218="Conical",PI()/12*(N218*INDEX(LenF,MATCH($N$7,LenU,0)))^2*(N(R218)*INDEX(LenF,MATCH($R$7,LenU,0))),INDEX(HeadK,MATCH(Q218,HeadU,0))*(N218*INDEX(LenF,MATCH($N$7,LenU,0)))^3)),0)))</f>
        <v/>
      </c>
      <c r="AF218" s="41" t="str">
        <f aca="false">IF(E218&lt;&gt;"Piping","",IF(AND(ISNUMBER(AS218),ISNUMBER(M218)),PI()/4*(AS218/1000)^2*M218*INDEX(LenF,MATCH($M$7,LenU,0)),0))</f>
        <v/>
      </c>
      <c r="AG218" s="41" t="str">
        <f aca="false">IF(E218="","",N(AD218)+N(AE218)+N(AF218))</f>
        <v/>
      </c>
      <c r="AH218" s="41" t="str">
        <f aca="false">IF(ISNUMBER(I218),I218*INDEX(WtF,MATCH($I$7,WtU,0))/CC_WaterRho,"")</f>
        <v/>
      </c>
      <c r="AI218" s="31"/>
      <c r="AJ218" s="31"/>
      <c r="AK218" s="40"/>
      <c r="AL218" s="31"/>
      <c r="AM218" s="41" t="str">
        <f aca="false">IF(AO218="","",AO218*IF(ISNUMBER(AK218),AK218,CC_DefFills)*(1+IF(ISNUMBER(AL218),AL218,CC_DefAllow)))</f>
        <v/>
      </c>
      <c r="AN218" s="42" t="str">
        <f aca="false">IF(G218="Given volume",IF(ISNUMBER(H218),H218*INDEX(VolF,MATCH($H$7,VolU,0)),""),IF(G218="Water weight",AH218,IF(N(AG218)=0,"",AG218)))</f>
        <v/>
      </c>
      <c r="AO218" s="42" t="str">
        <f aca="false">IF(N(AN218)=0,"",AN218*AT218*IF(ISNUMBER(AJ218),AJ218,CC_DefCirc))</f>
        <v/>
      </c>
      <c r="AP218" s="27" t="n">
        <f aca="false">IF(ISNUMBER(T218),T218*INDEX(LenF,MATCH($T$7,LenU,0)),IF(ISNUMBER(W218),W218*INDEX(LenF,MATCH($W$7,LenU,0))/CC_PitchRatio,0))</f>
        <v>0</v>
      </c>
      <c r="AQ218" s="27" t="n">
        <f aca="false">IF(ISNUMBER(N218),PI()/4*(N218*INDEX(LenF,MATCH($N$7,LenU,0)))^2,IF(AND(ISNUMBER(S218),ISNUMBER(W218),X218&lt;&gt;""),S218*(W218*INDEX(LenF,MATCH($W$7,LenU,0)))^2*INDEX(LayoutF,MATCH(X218,LayoutU,0)),0))</f>
        <v>0</v>
      </c>
      <c r="AR218" s="27" t="n">
        <f aca="false">IF(ISNUMBER(O218),O218*INDEX(LenF,MATCH($O$7,LenU,0)),IF(ISNUMBER(V218),V218*INDEX(LenF,MATCH($V$7,LenU,0)),0))</f>
        <v>0</v>
      </c>
      <c r="AS218" s="27" t="str">
        <f aca="false">IF(ISNUMBER(L218),L218*INDEX(LenF,MATCH($L$7,LenU,0))*1000,IF(OR(J218="",K218=""),"",IFERROR(IF(INDEX(PipeWT,MATCH(J218,NPSU,0),MATCH(K218,SchU,0))="","Sch n/a",INDEX(PipeOD,MATCH(J218,NPSU,0))-2*INDEX(PipeWT,MATCH(J218,NPSU,0),MATCH(K218,SchU,0))),"")))</f>
        <v/>
      </c>
      <c r="AT218" s="27" t="n">
        <f aca="false">IF(ISNUMBER(AI218),AI218,IFERROR(INDEX(IF(CC_JobType="Decontamination",CC_TypeFillDC,CC_TypeFillCC),MATCH(E218,CC_TypeL,0)),1))</f>
        <v>1</v>
      </c>
      <c r="AU218" s="27" t="n">
        <v>7</v>
      </c>
    </row>
    <row r="219" customFormat="false" ht="15" hidden="false" customHeight="false" outlineLevel="0" collapsed="false">
      <c r="A219" s="36" t="n">
        <v>12</v>
      </c>
      <c r="B219" s="40"/>
      <c r="C219" s="32"/>
      <c r="D219" s="32"/>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1" t="str">
        <f aca="false">IF(E219="Exchanger",IF(AND(ISNUMBER(S219),ISNUMBER(U219),ISNUMBER(V219)),S219*PI()/4*(U219*INDEX(LenF,MATCH($U$7,LenU,0)))^2*V219*INDEX(LenF,MATCH($V$7,LenU,0)),0)+IF(ISNUMBER(Y219),PI()/4*(Y219*INDEX(LenF,MATCH($Y$7,LenU,0)))^2*N(Z219)*INDEX(LenF,MATCH($Z$7,LenU,0))+IF(AA219="",0,IF(AA219="Conical",PI()/12*(Y219*INDEX(LenF,MATCH($Y$7,LenU,0)))^2*(0),INDEX(HeadK,MATCH(AA219,HeadU,0))*(Y219*INDEX(LenF,MATCH($Y$7,LenU,0)))^3)),0)+IF(ISNUMBER(Y219),PI()/4*(Y219*INDEX(LenF,MATCH($Y$7,LenU,0)))^2*N(AB219)*INDEX(LenF,MATCH($AB$7,LenU,0))+IF(AC219="",0,IF(AC219="Conical",PI()/12*(Y219*INDEX(LenF,MATCH($Y$7,LenU,0)))^2*(0),INDEX(HeadK,MATCH(AC219,HeadU,0))*(Y219*INDEX(LenF,MATCH($Y$7,LenU,0)))^3)),0),"")</f>
        <v/>
      </c>
      <c r="AE219" s="41" t="str">
        <f aca="false">IF(OR(E219="",E219="Piping"),"",IF(E219="Exchanger",AQ219*AR219+IF(P219="",0,IF(P219="Conical",PI()/12*(SQRT(4*AQ219/PI()))^2*(0),INDEX(HeadK,MATCH(P219,HeadU,0))*(SQRT(4*AQ219/PI()))^3))-IF(AND(ISNUMBER(S219),ISNUMBER(V219)),S219*PI()/4*AP219^2*V219*INDEX(LenF,MATCH($V$7,LenU,0)),0),IF(ISNUMBER(N219),PI()/4*(N219*INDEX(LenF,MATCH($N$7,LenU,0)))^2*N(O219)*INDEX(LenF,MATCH($O$7,LenU,0))+IF(P219="",0,IF(P219="Conical",PI()/12*(N219*INDEX(LenF,MATCH($N$7,LenU,0)))^2*(N(R219)*INDEX(LenF,MATCH($R$7,LenU,0))),INDEX(HeadK,MATCH(P219,HeadU,0))*(N219*INDEX(LenF,MATCH($N$7,LenU,0)))^3))+IF(Q219="",0,IF(Q219="Conical",PI()/12*(N219*INDEX(LenF,MATCH($N$7,LenU,0)))^2*(N(R219)*INDEX(LenF,MATCH($R$7,LenU,0))),INDEX(HeadK,MATCH(Q219,HeadU,0))*(N219*INDEX(LenF,MATCH($N$7,LenU,0)))^3)),0)))</f>
        <v/>
      </c>
      <c r="AF219" s="41" t="str">
        <f aca="false">IF(E219&lt;&gt;"Piping","",IF(AND(ISNUMBER(AS219),ISNUMBER(M219)),PI()/4*(AS219/1000)^2*M219*INDEX(LenF,MATCH($M$7,LenU,0)),0))</f>
        <v/>
      </c>
      <c r="AG219" s="41" t="str">
        <f aca="false">IF(E219="","",N(AD219)+N(AE219)+N(AF219))</f>
        <v/>
      </c>
      <c r="AH219" s="41" t="str">
        <f aca="false">IF(ISNUMBER(I219),I219*INDEX(WtF,MATCH($I$7,WtU,0))/CC_WaterRho,"")</f>
        <v/>
      </c>
      <c r="AI219" s="31"/>
      <c r="AJ219" s="31"/>
      <c r="AK219" s="40"/>
      <c r="AL219" s="31"/>
      <c r="AM219" s="41" t="str">
        <f aca="false">IF(AO219="","",AO219*IF(ISNUMBER(AK219),AK219,CC_DefFills)*(1+IF(ISNUMBER(AL219),AL219,CC_DefAllow)))</f>
        <v/>
      </c>
      <c r="AN219" s="42" t="str">
        <f aca="false">IF(G219="Given volume",IF(ISNUMBER(H219),H219*INDEX(VolF,MATCH($H$7,VolU,0)),""),IF(G219="Water weight",AH219,IF(N(AG219)=0,"",AG219)))</f>
        <v/>
      </c>
      <c r="AO219" s="42" t="str">
        <f aca="false">IF(N(AN219)=0,"",AN219*AT219*IF(ISNUMBER(AJ219),AJ219,CC_DefCirc))</f>
        <v/>
      </c>
      <c r="AP219" s="27" t="n">
        <f aca="false">IF(ISNUMBER(T219),T219*INDEX(LenF,MATCH($T$7,LenU,0)),IF(ISNUMBER(W219),W219*INDEX(LenF,MATCH($W$7,LenU,0))/CC_PitchRatio,0))</f>
        <v>0</v>
      </c>
      <c r="AQ219" s="27" t="n">
        <f aca="false">IF(ISNUMBER(N219),PI()/4*(N219*INDEX(LenF,MATCH($N$7,LenU,0)))^2,IF(AND(ISNUMBER(S219),ISNUMBER(W219),X219&lt;&gt;""),S219*(W219*INDEX(LenF,MATCH($W$7,LenU,0)))^2*INDEX(LayoutF,MATCH(X219,LayoutU,0)),0))</f>
        <v>0</v>
      </c>
      <c r="AR219" s="27" t="n">
        <f aca="false">IF(ISNUMBER(O219),O219*INDEX(LenF,MATCH($O$7,LenU,0)),IF(ISNUMBER(V219),V219*INDEX(LenF,MATCH($V$7,LenU,0)),0))</f>
        <v>0</v>
      </c>
      <c r="AS219" s="27" t="str">
        <f aca="false">IF(ISNUMBER(L219),L219*INDEX(LenF,MATCH($L$7,LenU,0))*1000,IF(OR(J219="",K219=""),"",IFERROR(IF(INDEX(PipeWT,MATCH(J219,NPSU,0),MATCH(K219,SchU,0))="","Sch n/a",INDEX(PipeOD,MATCH(J219,NPSU,0))-2*INDEX(PipeWT,MATCH(J219,NPSU,0),MATCH(K219,SchU,0))),"")))</f>
        <v/>
      </c>
      <c r="AT219" s="27" t="n">
        <f aca="false">IF(ISNUMBER(AI219),AI219,IFERROR(INDEX(IF(CC_JobType="Decontamination",CC_TypeFillDC,CC_TypeFillCC),MATCH(E219,CC_TypeL,0)),1))</f>
        <v>1</v>
      </c>
      <c r="AU219" s="27" t="n">
        <v>7</v>
      </c>
    </row>
    <row r="220" customFormat="false" ht="15" hidden="false" customHeight="false" outlineLevel="0" collapsed="false">
      <c r="A220" s="36" t="n">
        <v>13</v>
      </c>
      <c r="B220" s="40"/>
      <c r="C220" s="32"/>
      <c r="D220" s="32"/>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1" t="str">
        <f aca="false">IF(E220="Exchanger",IF(AND(ISNUMBER(S220),ISNUMBER(U220),ISNUMBER(V220)),S220*PI()/4*(U220*INDEX(LenF,MATCH($U$7,LenU,0)))^2*V220*INDEX(LenF,MATCH($V$7,LenU,0)),0)+IF(ISNUMBER(Y220),PI()/4*(Y220*INDEX(LenF,MATCH($Y$7,LenU,0)))^2*N(Z220)*INDEX(LenF,MATCH($Z$7,LenU,0))+IF(AA220="",0,IF(AA220="Conical",PI()/12*(Y220*INDEX(LenF,MATCH($Y$7,LenU,0)))^2*(0),INDEX(HeadK,MATCH(AA220,HeadU,0))*(Y220*INDEX(LenF,MATCH($Y$7,LenU,0)))^3)),0)+IF(ISNUMBER(Y220),PI()/4*(Y220*INDEX(LenF,MATCH($Y$7,LenU,0)))^2*N(AB220)*INDEX(LenF,MATCH($AB$7,LenU,0))+IF(AC220="",0,IF(AC220="Conical",PI()/12*(Y220*INDEX(LenF,MATCH($Y$7,LenU,0)))^2*(0),INDEX(HeadK,MATCH(AC220,HeadU,0))*(Y220*INDEX(LenF,MATCH($Y$7,LenU,0)))^3)),0),"")</f>
        <v/>
      </c>
      <c r="AE220" s="41" t="str">
        <f aca="false">IF(OR(E220="",E220="Piping"),"",IF(E220="Exchanger",AQ220*AR220+IF(P220="",0,IF(P220="Conical",PI()/12*(SQRT(4*AQ220/PI()))^2*(0),INDEX(HeadK,MATCH(P220,HeadU,0))*(SQRT(4*AQ220/PI()))^3))-IF(AND(ISNUMBER(S220),ISNUMBER(V220)),S220*PI()/4*AP220^2*V220*INDEX(LenF,MATCH($V$7,LenU,0)),0),IF(ISNUMBER(N220),PI()/4*(N220*INDEX(LenF,MATCH($N$7,LenU,0)))^2*N(O220)*INDEX(LenF,MATCH($O$7,LenU,0))+IF(P220="",0,IF(P220="Conical",PI()/12*(N220*INDEX(LenF,MATCH($N$7,LenU,0)))^2*(N(R220)*INDEX(LenF,MATCH($R$7,LenU,0))),INDEX(HeadK,MATCH(P220,HeadU,0))*(N220*INDEX(LenF,MATCH($N$7,LenU,0)))^3))+IF(Q220="",0,IF(Q220="Conical",PI()/12*(N220*INDEX(LenF,MATCH($N$7,LenU,0)))^2*(N(R220)*INDEX(LenF,MATCH($R$7,LenU,0))),INDEX(HeadK,MATCH(Q220,HeadU,0))*(N220*INDEX(LenF,MATCH($N$7,LenU,0)))^3)),0)))</f>
        <v/>
      </c>
      <c r="AF220" s="41" t="str">
        <f aca="false">IF(E220&lt;&gt;"Piping","",IF(AND(ISNUMBER(AS220),ISNUMBER(M220)),PI()/4*(AS220/1000)^2*M220*INDEX(LenF,MATCH($M$7,LenU,0)),0))</f>
        <v/>
      </c>
      <c r="AG220" s="41" t="str">
        <f aca="false">IF(E220="","",N(AD220)+N(AE220)+N(AF220))</f>
        <v/>
      </c>
      <c r="AH220" s="41" t="str">
        <f aca="false">IF(ISNUMBER(I220),I220*INDEX(WtF,MATCH($I$7,WtU,0))/CC_WaterRho,"")</f>
        <v/>
      </c>
      <c r="AI220" s="31"/>
      <c r="AJ220" s="31"/>
      <c r="AK220" s="40"/>
      <c r="AL220" s="31"/>
      <c r="AM220" s="41" t="str">
        <f aca="false">IF(AO220="","",AO220*IF(ISNUMBER(AK220),AK220,CC_DefFills)*(1+IF(ISNUMBER(AL220),AL220,CC_DefAllow)))</f>
        <v/>
      </c>
      <c r="AN220" s="42" t="str">
        <f aca="false">IF(G220="Given volume",IF(ISNUMBER(H220),H220*INDEX(VolF,MATCH($H$7,VolU,0)),""),IF(G220="Water weight",AH220,IF(N(AG220)=0,"",AG220)))</f>
        <v/>
      </c>
      <c r="AO220" s="42" t="str">
        <f aca="false">IF(N(AN220)=0,"",AN220*AT220*IF(ISNUMBER(AJ220),AJ220,CC_DefCirc))</f>
        <v/>
      </c>
      <c r="AP220" s="27" t="n">
        <f aca="false">IF(ISNUMBER(T220),T220*INDEX(LenF,MATCH($T$7,LenU,0)),IF(ISNUMBER(W220),W220*INDEX(LenF,MATCH($W$7,LenU,0))/CC_PitchRatio,0))</f>
        <v>0</v>
      </c>
      <c r="AQ220" s="27" t="n">
        <f aca="false">IF(ISNUMBER(N220),PI()/4*(N220*INDEX(LenF,MATCH($N$7,LenU,0)))^2,IF(AND(ISNUMBER(S220),ISNUMBER(W220),X220&lt;&gt;""),S220*(W220*INDEX(LenF,MATCH($W$7,LenU,0)))^2*INDEX(LayoutF,MATCH(X220,LayoutU,0)),0))</f>
        <v>0</v>
      </c>
      <c r="AR220" s="27" t="n">
        <f aca="false">IF(ISNUMBER(O220),O220*INDEX(LenF,MATCH($O$7,LenU,0)),IF(ISNUMBER(V220),V220*INDEX(LenF,MATCH($V$7,LenU,0)),0))</f>
        <v>0</v>
      </c>
      <c r="AS220" s="27" t="str">
        <f aca="false">IF(ISNUMBER(L220),L220*INDEX(LenF,MATCH($L$7,LenU,0))*1000,IF(OR(J220="",K220=""),"",IFERROR(IF(INDEX(PipeWT,MATCH(J220,NPSU,0),MATCH(K220,SchU,0))="","Sch n/a",INDEX(PipeOD,MATCH(J220,NPSU,0))-2*INDEX(PipeWT,MATCH(J220,NPSU,0),MATCH(K220,SchU,0))),"")))</f>
        <v/>
      </c>
      <c r="AT220" s="27" t="n">
        <f aca="false">IF(ISNUMBER(AI220),AI220,IFERROR(INDEX(IF(CC_JobType="Decontamination",CC_TypeFillDC,CC_TypeFillCC),MATCH(E220,CC_TypeL,0)),1))</f>
        <v>1</v>
      </c>
      <c r="AU220" s="27" t="n">
        <v>7</v>
      </c>
    </row>
    <row r="221" customFormat="false" ht="15" hidden="false" customHeight="false" outlineLevel="0" collapsed="false">
      <c r="A221" s="36" t="n">
        <v>14</v>
      </c>
      <c r="B221" s="40"/>
      <c r="C221" s="32"/>
      <c r="D221" s="32"/>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1" t="str">
        <f aca="false">IF(E221="Exchanger",IF(AND(ISNUMBER(S221),ISNUMBER(U221),ISNUMBER(V221)),S221*PI()/4*(U221*INDEX(LenF,MATCH($U$7,LenU,0)))^2*V221*INDEX(LenF,MATCH($V$7,LenU,0)),0)+IF(ISNUMBER(Y221),PI()/4*(Y221*INDEX(LenF,MATCH($Y$7,LenU,0)))^2*N(Z221)*INDEX(LenF,MATCH($Z$7,LenU,0))+IF(AA221="",0,IF(AA221="Conical",PI()/12*(Y221*INDEX(LenF,MATCH($Y$7,LenU,0)))^2*(0),INDEX(HeadK,MATCH(AA221,HeadU,0))*(Y221*INDEX(LenF,MATCH($Y$7,LenU,0)))^3)),0)+IF(ISNUMBER(Y221),PI()/4*(Y221*INDEX(LenF,MATCH($Y$7,LenU,0)))^2*N(AB221)*INDEX(LenF,MATCH($AB$7,LenU,0))+IF(AC221="",0,IF(AC221="Conical",PI()/12*(Y221*INDEX(LenF,MATCH($Y$7,LenU,0)))^2*(0),INDEX(HeadK,MATCH(AC221,HeadU,0))*(Y221*INDEX(LenF,MATCH($Y$7,LenU,0)))^3)),0),"")</f>
        <v/>
      </c>
      <c r="AE221" s="41" t="str">
        <f aca="false">IF(OR(E221="",E221="Piping"),"",IF(E221="Exchanger",AQ221*AR221+IF(P221="",0,IF(P221="Conical",PI()/12*(SQRT(4*AQ221/PI()))^2*(0),INDEX(HeadK,MATCH(P221,HeadU,0))*(SQRT(4*AQ221/PI()))^3))-IF(AND(ISNUMBER(S221),ISNUMBER(V221)),S221*PI()/4*AP221^2*V221*INDEX(LenF,MATCH($V$7,LenU,0)),0),IF(ISNUMBER(N221),PI()/4*(N221*INDEX(LenF,MATCH($N$7,LenU,0)))^2*N(O221)*INDEX(LenF,MATCH($O$7,LenU,0))+IF(P221="",0,IF(P221="Conical",PI()/12*(N221*INDEX(LenF,MATCH($N$7,LenU,0)))^2*(N(R221)*INDEX(LenF,MATCH($R$7,LenU,0))),INDEX(HeadK,MATCH(P221,HeadU,0))*(N221*INDEX(LenF,MATCH($N$7,LenU,0)))^3))+IF(Q221="",0,IF(Q221="Conical",PI()/12*(N221*INDEX(LenF,MATCH($N$7,LenU,0)))^2*(N(R221)*INDEX(LenF,MATCH($R$7,LenU,0))),INDEX(HeadK,MATCH(Q221,HeadU,0))*(N221*INDEX(LenF,MATCH($N$7,LenU,0)))^3)),0)))</f>
        <v/>
      </c>
      <c r="AF221" s="41" t="str">
        <f aca="false">IF(E221&lt;&gt;"Piping","",IF(AND(ISNUMBER(AS221),ISNUMBER(M221)),PI()/4*(AS221/1000)^2*M221*INDEX(LenF,MATCH($M$7,LenU,0)),0))</f>
        <v/>
      </c>
      <c r="AG221" s="41" t="str">
        <f aca="false">IF(E221="","",N(AD221)+N(AE221)+N(AF221))</f>
        <v/>
      </c>
      <c r="AH221" s="41" t="str">
        <f aca="false">IF(ISNUMBER(I221),I221*INDEX(WtF,MATCH($I$7,WtU,0))/CC_WaterRho,"")</f>
        <v/>
      </c>
      <c r="AI221" s="31"/>
      <c r="AJ221" s="31"/>
      <c r="AK221" s="40"/>
      <c r="AL221" s="31"/>
      <c r="AM221" s="41" t="str">
        <f aca="false">IF(AO221="","",AO221*IF(ISNUMBER(AK221),AK221,CC_DefFills)*(1+IF(ISNUMBER(AL221),AL221,CC_DefAllow)))</f>
        <v/>
      </c>
      <c r="AN221" s="42" t="str">
        <f aca="false">IF(G221="Given volume",IF(ISNUMBER(H221),H221*INDEX(VolF,MATCH($H$7,VolU,0)),""),IF(G221="Water weight",AH221,IF(N(AG221)=0,"",AG221)))</f>
        <v/>
      </c>
      <c r="AO221" s="42" t="str">
        <f aca="false">IF(N(AN221)=0,"",AN221*AT221*IF(ISNUMBER(AJ221),AJ221,CC_DefCirc))</f>
        <v/>
      </c>
      <c r="AP221" s="27" t="n">
        <f aca="false">IF(ISNUMBER(T221),T221*INDEX(LenF,MATCH($T$7,LenU,0)),IF(ISNUMBER(W221),W221*INDEX(LenF,MATCH($W$7,LenU,0))/CC_PitchRatio,0))</f>
        <v>0</v>
      </c>
      <c r="AQ221" s="27" t="n">
        <f aca="false">IF(ISNUMBER(N221),PI()/4*(N221*INDEX(LenF,MATCH($N$7,LenU,0)))^2,IF(AND(ISNUMBER(S221),ISNUMBER(W221),X221&lt;&gt;""),S221*(W221*INDEX(LenF,MATCH($W$7,LenU,0)))^2*INDEX(LayoutF,MATCH(X221,LayoutU,0)),0))</f>
        <v>0</v>
      </c>
      <c r="AR221" s="27" t="n">
        <f aca="false">IF(ISNUMBER(O221),O221*INDEX(LenF,MATCH($O$7,LenU,0)),IF(ISNUMBER(V221),V221*INDEX(LenF,MATCH($V$7,LenU,0)),0))</f>
        <v>0</v>
      </c>
      <c r="AS221" s="27" t="str">
        <f aca="false">IF(ISNUMBER(L221),L221*INDEX(LenF,MATCH($L$7,LenU,0))*1000,IF(OR(J221="",K221=""),"",IFERROR(IF(INDEX(PipeWT,MATCH(J221,NPSU,0),MATCH(K221,SchU,0))="","Sch n/a",INDEX(PipeOD,MATCH(J221,NPSU,0))-2*INDEX(PipeWT,MATCH(J221,NPSU,0),MATCH(K221,SchU,0))),"")))</f>
        <v/>
      </c>
      <c r="AT221" s="27" t="n">
        <f aca="false">IF(ISNUMBER(AI221),AI221,IFERROR(INDEX(IF(CC_JobType="Decontamination",CC_TypeFillDC,CC_TypeFillCC),MATCH(E221,CC_TypeL,0)),1))</f>
        <v>1</v>
      </c>
      <c r="AU221" s="27" t="n">
        <v>7</v>
      </c>
    </row>
    <row r="222" customFormat="false" ht="15" hidden="false" customHeight="false" outlineLevel="0" collapsed="false">
      <c r="A222" s="36" t="n">
        <v>15</v>
      </c>
      <c r="B222" s="40"/>
      <c r="C222" s="32"/>
      <c r="D222" s="32"/>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1" t="str">
        <f aca="false">IF(E222="Exchanger",IF(AND(ISNUMBER(S222),ISNUMBER(U222),ISNUMBER(V222)),S222*PI()/4*(U222*INDEX(LenF,MATCH($U$7,LenU,0)))^2*V222*INDEX(LenF,MATCH($V$7,LenU,0)),0)+IF(ISNUMBER(Y222),PI()/4*(Y222*INDEX(LenF,MATCH($Y$7,LenU,0)))^2*N(Z222)*INDEX(LenF,MATCH($Z$7,LenU,0))+IF(AA222="",0,IF(AA222="Conical",PI()/12*(Y222*INDEX(LenF,MATCH($Y$7,LenU,0)))^2*(0),INDEX(HeadK,MATCH(AA222,HeadU,0))*(Y222*INDEX(LenF,MATCH($Y$7,LenU,0)))^3)),0)+IF(ISNUMBER(Y222),PI()/4*(Y222*INDEX(LenF,MATCH($Y$7,LenU,0)))^2*N(AB222)*INDEX(LenF,MATCH($AB$7,LenU,0))+IF(AC222="",0,IF(AC222="Conical",PI()/12*(Y222*INDEX(LenF,MATCH($Y$7,LenU,0)))^2*(0),INDEX(HeadK,MATCH(AC222,HeadU,0))*(Y222*INDEX(LenF,MATCH($Y$7,LenU,0)))^3)),0),"")</f>
        <v/>
      </c>
      <c r="AE222" s="41" t="str">
        <f aca="false">IF(OR(E222="",E222="Piping"),"",IF(E222="Exchanger",AQ222*AR222+IF(P222="",0,IF(P222="Conical",PI()/12*(SQRT(4*AQ222/PI()))^2*(0),INDEX(HeadK,MATCH(P222,HeadU,0))*(SQRT(4*AQ222/PI()))^3))-IF(AND(ISNUMBER(S222),ISNUMBER(V222)),S222*PI()/4*AP222^2*V222*INDEX(LenF,MATCH($V$7,LenU,0)),0),IF(ISNUMBER(N222),PI()/4*(N222*INDEX(LenF,MATCH($N$7,LenU,0)))^2*N(O222)*INDEX(LenF,MATCH($O$7,LenU,0))+IF(P222="",0,IF(P222="Conical",PI()/12*(N222*INDEX(LenF,MATCH($N$7,LenU,0)))^2*(N(R222)*INDEX(LenF,MATCH($R$7,LenU,0))),INDEX(HeadK,MATCH(P222,HeadU,0))*(N222*INDEX(LenF,MATCH($N$7,LenU,0)))^3))+IF(Q222="",0,IF(Q222="Conical",PI()/12*(N222*INDEX(LenF,MATCH($N$7,LenU,0)))^2*(N(R222)*INDEX(LenF,MATCH($R$7,LenU,0))),INDEX(HeadK,MATCH(Q222,HeadU,0))*(N222*INDEX(LenF,MATCH($N$7,LenU,0)))^3)),0)))</f>
        <v/>
      </c>
      <c r="AF222" s="41" t="str">
        <f aca="false">IF(E222&lt;&gt;"Piping","",IF(AND(ISNUMBER(AS222),ISNUMBER(M222)),PI()/4*(AS222/1000)^2*M222*INDEX(LenF,MATCH($M$7,LenU,0)),0))</f>
        <v/>
      </c>
      <c r="AG222" s="41" t="str">
        <f aca="false">IF(E222="","",N(AD222)+N(AE222)+N(AF222))</f>
        <v/>
      </c>
      <c r="AH222" s="41" t="str">
        <f aca="false">IF(ISNUMBER(I222),I222*INDEX(WtF,MATCH($I$7,WtU,0))/CC_WaterRho,"")</f>
        <v/>
      </c>
      <c r="AI222" s="31"/>
      <c r="AJ222" s="31"/>
      <c r="AK222" s="40"/>
      <c r="AL222" s="31"/>
      <c r="AM222" s="41" t="str">
        <f aca="false">IF(AO222="","",AO222*IF(ISNUMBER(AK222),AK222,CC_DefFills)*(1+IF(ISNUMBER(AL222),AL222,CC_DefAllow)))</f>
        <v/>
      </c>
      <c r="AN222" s="42" t="str">
        <f aca="false">IF(G222="Given volume",IF(ISNUMBER(H222),H222*INDEX(VolF,MATCH($H$7,VolU,0)),""),IF(G222="Water weight",AH222,IF(N(AG222)=0,"",AG222)))</f>
        <v/>
      </c>
      <c r="AO222" s="42" t="str">
        <f aca="false">IF(N(AN222)=0,"",AN222*AT222*IF(ISNUMBER(AJ222),AJ222,CC_DefCirc))</f>
        <v/>
      </c>
      <c r="AP222" s="27" t="n">
        <f aca="false">IF(ISNUMBER(T222),T222*INDEX(LenF,MATCH($T$7,LenU,0)),IF(ISNUMBER(W222),W222*INDEX(LenF,MATCH($W$7,LenU,0))/CC_PitchRatio,0))</f>
        <v>0</v>
      </c>
      <c r="AQ222" s="27" t="n">
        <f aca="false">IF(ISNUMBER(N222),PI()/4*(N222*INDEX(LenF,MATCH($N$7,LenU,0)))^2,IF(AND(ISNUMBER(S222),ISNUMBER(W222),X222&lt;&gt;""),S222*(W222*INDEX(LenF,MATCH($W$7,LenU,0)))^2*INDEX(LayoutF,MATCH(X222,LayoutU,0)),0))</f>
        <v>0</v>
      </c>
      <c r="AR222" s="27" t="n">
        <f aca="false">IF(ISNUMBER(O222),O222*INDEX(LenF,MATCH($O$7,LenU,0)),IF(ISNUMBER(V222),V222*INDEX(LenF,MATCH($V$7,LenU,0)),0))</f>
        <v>0</v>
      </c>
      <c r="AS222" s="27" t="str">
        <f aca="false">IF(ISNUMBER(L222),L222*INDEX(LenF,MATCH($L$7,LenU,0))*1000,IF(OR(J222="",K222=""),"",IFERROR(IF(INDEX(PipeWT,MATCH(J222,NPSU,0),MATCH(K222,SchU,0))="","Sch n/a",INDEX(PipeOD,MATCH(J222,NPSU,0))-2*INDEX(PipeWT,MATCH(J222,NPSU,0),MATCH(K222,SchU,0))),"")))</f>
        <v/>
      </c>
      <c r="AT222" s="27" t="n">
        <f aca="false">IF(ISNUMBER(AI222),AI222,IFERROR(INDEX(IF(CC_JobType="Decontamination",CC_TypeFillDC,CC_TypeFillCC),MATCH(E222,CC_TypeL,0)),1))</f>
        <v>1</v>
      </c>
      <c r="AU222" s="27" t="n">
        <v>7</v>
      </c>
    </row>
    <row r="223" customFormat="false" ht="15" hidden="false" customHeight="false" outlineLevel="0" collapsed="false">
      <c r="A223" s="36" t="n">
        <v>16</v>
      </c>
      <c r="B223" s="40"/>
      <c r="C223" s="32"/>
      <c r="D223" s="32"/>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1" t="str">
        <f aca="false">IF(E223="Exchanger",IF(AND(ISNUMBER(S223),ISNUMBER(U223),ISNUMBER(V223)),S223*PI()/4*(U223*INDEX(LenF,MATCH($U$7,LenU,0)))^2*V223*INDEX(LenF,MATCH($V$7,LenU,0)),0)+IF(ISNUMBER(Y223),PI()/4*(Y223*INDEX(LenF,MATCH($Y$7,LenU,0)))^2*N(Z223)*INDEX(LenF,MATCH($Z$7,LenU,0))+IF(AA223="",0,IF(AA223="Conical",PI()/12*(Y223*INDEX(LenF,MATCH($Y$7,LenU,0)))^2*(0),INDEX(HeadK,MATCH(AA223,HeadU,0))*(Y223*INDEX(LenF,MATCH($Y$7,LenU,0)))^3)),0)+IF(ISNUMBER(Y223),PI()/4*(Y223*INDEX(LenF,MATCH($Y$7,LenU,0)))^2*N(AB223)*INDEX(LenF,MATCH($AB$7,LenU,0))+IF(AC223="",0,IF(AC223="Conical",PI()/12*(Y223*INDEX(LenF,MATCH($Y$7,LenU,0)))^2*(0),INDEX(HeadK,MATCH(AC223,HeadU,0))*(Y223*INDEX(LenF,MATCH($Y$7,LenU,0)))^3)),0),"")</f>
        <v/>
      </c>
      <c r="AE223" s="41" t="str">
        <f aca="false">IF(OR(E223="",E223="Piping"),"",IF(E223="Exchanger",AQ223*AR223+IF(P223="",0,IF(P223="Conical",PI()/12*(SQRT(4*AQ223/PI()))^2*(0),INDEX(HeadK,MATCH(P223,HeadU,0))*(SQRT(4*AQ223/PI()))^3))-IF(AND(ISNUMBER(S223),ISNUMBER(V223)),S223*PI()/4*AP223^2*V223*INDEX(LenF,MATCH($V$7,LenU,0)),0),IF(ISNUMBER(N223),PI()/4*(N223*INDEX(LenF,MATCH($N$7,LenU,0)))^2*N(O223)*INDEX(LenF,MATCH($O$7,LenU,0))+IF(P223="",0,IF(P223="Conical",PI()/12*(N223*INDEX(LenF,MATCH($N$7,LenU,0)))^2*(N(R223)*INDEX(LenF,MATCH($R$7,LenU,0))),INDEX(HeadK,MATCH(P223,HeadU,0))*(N223*INDEX(LenF,MATCH($N$7,LenU,0)))^3))+IF(Q223="",0,IF(Q223="Conical",PI()/12*(N223*INDEX(LenF,MATCH($N$7,LenU,0)))^2*(N(R223)*INDEX(LenF,MATCH($R$7,LenU,0))),INDEX(HeadK,MATCH(Q223,HeadU,0))*(N223*INDEX(LenF,MATCH($N$7,LenU,0)))^3)),0)))</f>
        <v/>
      </c>
      <c r="AF223" s="41" t="str">
        <f aca="false">IF(E223&lt;&gt;"Piping","",IF(AND(ISNUMBER(AS223),ISNUMBER(M223)),PI()/4*(AS223/1000)^2*M223*INDEX(LenF,MATCH($M$7,LenU,0)),0))</f>
        <v/>
      </c>
      <c r="AG223" s="41" t="str">
        <f aca="false">IF(E223="","",N(AD223)+N(AE223)+N(AF223))</f>
        <v/>
      </c>
      <c r="AH223" s="41" t="str">
        <f aca="false">IF(ISNUMBER(I223),I223*INDEX(WtF,MATCH($I$7,WtU,0))/CC_WaterRho,"")</f>
        <v/>
      </c>
      <c r="AI223" s="31"/>
      <c r="AJ223" s="31"/>
      <c r="AK223" s="40"/>
      <c r="AL223" s="31"/>
      <c r="AM223" s="41" t="str">
        <f aca="false">IF(AO223="","",AO223*IF(ISNUMBER(AK223),AK223,CC_DefFills)*(1+IF(ISNUMBER(AL223),AL223,CC_DefAllow)))</f>
        <v/>
      </c>
      <c r="AN223" s="42" t="str">
        <f aca="false">IF(G223="Given volume",IF(ISNUMBER(H223),H223*INDEX(VolF,MATCH($H$7,VolU,0)),""),IF(G223="Water weight",AH223,IF(N(AG223)=0,"",AG223)))</f>
        <v/>
      </c>
      <c r="AO223" s="42" t="str">
        <f aca="false">IF(N(AN223)=0,"",AN223*AT223*IF(ISNUMBER(AJ223),AJ223,CC_DefCirc))</f>
        <v/>
      </c>
      <c r="AP223" s="27" t="n">
        <f aca="false">IF(ISNUMBER(T223),T223*INDEX(LenF,MATCH($T$7,LenU,0)),IF(ISNUMBER(W223),W223*INDEX(LenF,MATCH($W$7,LenU,0))/CC_PitchRatio,0))</f>
        <v>0</v>
      </c>
      <c r="AQ223" s="27" t="n">
        <f aca="false">IF(ISNUMBER(N223),PI()/4*(N223*INDEX(LenF,MATCH($N$7,LenU,0)))^2,IF(AND(ISNUMBER(S223),ISNUMBER(W223),X223&lt;&gt;""),S223*(W223*INDEX(LenF,MATCH($W$7,LenU,0)))^2*INDEX(LayoutF,MATCH(X223,LayoutU,0)),0))</f>
        <v>0</v>
      </c>
      <c r="AR223" s="27" t="n">
        <f aca="false">IF(ISNUMBER(O223),O223*INDEX(LenF,MATCH($O$7,LenU,0)),IF(ISNUMBER(V223),V223*INDEX(LenF,MATCH($V$7,LenU,0)),0))</f>
        <v>0</v>
      </c>
      <c r="AS223" s="27" t="str">
        <f aca="false">IF(ISNUMBER(L223),L223*INDEX(LenF,MATCH($L$7,LenU,0))*1000,IF(OR(J223="",K223=""),"",IFERROR(IF(INDEX(PipeWT,MATCH(J223,NPSU,0),MATCH(K223,SchU,0))="","Sch n/a",INDEX(PipeOD,MATCH(J223,NPSU,0))-2*INDEX(PipeWT,MATCH(J223,NPSU,0),MATCH(K223,SchU,0))),"")))</f>
        <v/>
      </c>
      <c r="AT223" s="27" t="n">
        <f aca="false">IF(ISNUMBER(AI223),AI223,IFERROR(INDEX(IF(CC_JobType="Decontamination",CC_TypeFillDC,CC_TypeFillCC),MATCH(E223,CC_TypeL,0)),1))</f>
        <v>1</v>
      </c>
      <c r="AU223" s="27" t="n">
        <v>7</v>
      </c>
    </row>
    <row r="224" customFormat="false" ht="15" hidden="false" customHeight="false" outlineLevel="0" collapsed="false">
      <c r="A224" s="36" t="n">
        <v>17</v>
      </c>
      <c r="B224" s="40"/>
      <c r="C224" s="32"/>
      <c r="D224" s="32"/>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1" t="str">
        <f aca="false">IF(E224="Exchanger",IF(AND(ISNUMBER(S224),ISNUMBER(U224),ISNUMBER(V224)),S224*PI()/4*(U224*INDEX(LenF,MATCH($U$7,LenU,0)))^2*V224*INDEX(LenF,MATCH($V$7,LenU,0)),0)+IF(ISNUMBER(Y224),PI()/4*(Y224*INDEX(LenF,MATCH($Y$7,LenU,0)))^2*N(Z224)*INDEX(LenF,MATCH($Z$7,LenU,0))+IF(AA224="",0,IF(AA224="Conical",PI()/12*(Y224*INDEX(LenF,MATCH($Y$7,LenU,0)))^2*(0),INDEX(HeadK,MATCH(AA224,HeadU,0))*(Y224*INDEX(LenF,MATCH($Y$7,LenU,0)))^3)),0)+IF(ISNUMBER(Y224),PI()/4*(Y224*INDEX(LenF,MATCH($Y$7,LenU,0)))^2*N(AB224)*INDEX(LenF,MATCH($AB$7,LenU,0))+IF(AC224="",0,IF(AC224="Conical",PI()/12*(Y224*INDEX(LenF,MATCH($Y$7,LenU,0)))^2*(0),INDEX(HeadK,MATCH(AC224,HeadU,0))*(Y224*INDEX(LenF,MATCH($Y$7,LenU,0)))^3)),0),"")</f>
        <v/>
      </c>
      <c r="AE224" s="41" t="str">
        <f aca="false">IF(OR(E224="",E224="Piping"),"",IF(E224="Exchanger",AQ224*AR224+IF(P224="",0,IF(P224="Conical",PI()/12*(SQRT(4*AQ224/PI()))^2*(0),INDEX(HeadK,MATCH(P224,HeadU,0))*(SQRT(4*AQ224/PI()))^3))-IF(AND(ISNUMBER(S224),ISNUMBER(V224)),S224*PI()/4*AP224^2*V224*INDEX(LenF,MATCH($V$7,LenU,0)),0),IF(ISNUMBER(N224),PI()/4*(N224*INDEX(LenF,MATCH($N$7,LenU,0)))^2*N(O224)*INDEX(LenF,MATCH($O$7,LenU,0))+IF(P224="",0,IF(P224="Conical",PI()/12*(N224*INDEX(LenF,MATCH($N$7,LenU,0)))^2*(N(R224)*INDEX(LenF,MATCH($R$7,LenU,0))),INDEX(HeadK,MATCH(P224,HeadU,0))*(N224*INDEX(LenF,MATCH($N$7,LenU,0)))^3))+IF(Q224="",0,IF(Q224="Conical",PI()/12*(N224*INDEX(LenF,MATCH($N$7,LenU,0)))^2*(N(R224)*INDEX(LenF,MATCH($R$7,LenU,0))),INDEX(HeadK,MATCH(Q224,HeadU,0))*(N224*INDEX(LenF,MATCH($N$7,LenU,0)))^3)),0)))</f>
        <v/>
      </c>
      <c r="AF224" s="41" t="str">
        <f aca="false">IF(E224&lt;&gt;"Piping","",IF(AND(ISNUMBER(AS224),ISNUMBER(M224)),PI()/4*(AS224/1000)^2*M224*INDEX(LenF,MATCH($M$7,LenU,0)),0))</f>
        <v/>
      </c>
      <c r="AG224" s="41" t="str">
        <f aca="false">IF(E224="","",N(AD224)+N(AE224)+N(AF224))</f>
        <v/>
      </c>
      <c r="AH224" s="41" t="str">
        <f aca="false">IF(ISNUMBER(I224),I224*INDEX(WtF,MATCH($I$7,WtU,0))/CC_WaterRho,"")</f>
        <v/>
      </c>
      <c r="AI224" s="31"/>
      <c r="AJ224" s="31"/>
      <c r="AK224" s="40"/>
      <c r="AL224" s="31"/>
      <c r="AM224" s="41" t="str">
        <f aca="false">IF(AO224="","",AO224*IF(ISNUMBER(AK224),AK224,CC_DefFills)*(1+IF(ISNUMBER(AL224),AL224,CC_DefAllow)))</f>
        <v/>
      </c>
      <c r="AN224" s="42" t="str">
        <f aca="false">IF(G224="Given volume",IF(ISNUMBER(H224),H224*INDEX(VolF,MATCH($H$7,VolU,0)),""),IF(G224="Water weight",AH224,IF(N(AG224)=0,"",AG224)))</f>
        <v/>
      </c>
      <c r="AO224" s="42" t="str">
        <f aca="false">IF(N(AN224)=0,"",AN224*AT224*IF(ISNUMBER(AJ224),AJ224,CC_DefCirc))</f>
        <v/>
      </c>
      <c r="AP224" s="27" t="n">
        <f aca="false">IF(ISNUMBER(T224),T224*INDEX(LenF,MATCH($T$7,LenU,0)),IF(ISNUMBER(W224),W224*INDEX(LenF,MATCH($W$7,LenU,0))/CC_PitchRatio,0))</f>
        <v>0</v>
      </c>
      <c r="AQ224" s="27" t="n">
        <f aca="false">IF(ISNUMBER(N224),PI()/4*(N224*INDEX(LenF,MATCH($N$7,LenU,0)))^2,IF(AND(ISNUMBER(S224),ISNUMBER(W224),X224&lt;&gt;""),S224*(W224*INDEX(LenF,MATCH($W$7,LenU,0)))^2*INDEX(LayoutF,MATCH(X224,LayoutU,0)),0))</f>
        <v>0</v>
      </c>
      <c r="AR224" s="27" t="n">
        <f aca="false">IF(ISNUMBER(O224),O224*INDEX(LenF,MATCH($O$7,LenU,0)),IF(ISNUMBER(V224),V224*INDEX(LenF,MATCH($V$7,LenU,0)),0))</f>
        <v>0</v>
      </c>
      <c r="AS224" s="27" t="str">
        <f aca="false">IF(ISNUMBER(L224),L224*INDEX(LenF,MATCH($L$7,LenU,0))*1000,IF(OR(J224="",K224=""),"",IFERROR(IF(INDEX(PipeWT,MATCH(J224,NPSU,0),MATCH(K224,SchU,0))="","Sch n/a",INDEX(PipeOD,MATCH(J224,NPSU,0))-2*INDEX(PipeWT,MATCH(J224,NPSU,0),MATCH(K224,SchU,0))),"")))</f>
        <v/>
      </c>
      <c r="AT224" s="27" t="n">
        <f aca="false">IF(ISNUMBER(AI224),AI224,IFERROR(INDEX(IF(CC_JobType="Decontamination",CC_TypeFillDC,CC_TypeFillCC),MATCH(E224,CC_TypeL,0)),1))</f>
        <v>1</v>
      </c>
      <c r="AU224" s="27" t="n">
        <v>7</v>
      </c>
    </row>
    <row r="225" customFormat="false" ht="15" hidden="false" customHeight="false" outlineLevel="0" collapsed="false">
      <c r="A225" s="36" t="n">
        <v>18</v>
      </c>
      <c r="B225" s="40"/>
      <c r="C225" s="32"/>
      <c r="D225" s="32"/>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1" t="str">
        <f aca="false">IF(E225="Exchanger",IF(AND(ISNUMBER(S225),ISNUMBER(U225),ISNUMBER(V225)),S225*PI()/4*(U225*INDEX(LenF,MATCH($U$7,LenU,0)))^2*V225*INDEX(LenF,MATCH($V$7,LenU,0)),0)+IF(ISNUMBER(Y225),PI()/4*(Y225*INDEX(LenF,MATCH($Y$7,LenU,0)))^2*N(Z225)*INDEX(LenF,MATCH($Z$7,LenU,0))+IF(AA225="",0,IF(AA225="Conical",PI()/12*(Y225*INDEX(LenF,MATCH($Y$7,LenU,0)))^2*(0),INDEX(HeadK,MATCH(AA225,HeadU,0))*(Y225*INDEX(LenF,MATCH($Y$7,LenU,0)))^3)),0)+IF(ISNUMBER(Y225),PI()/4*(Y225*INDEX(LenF,MATCH($Y$7,LenU,0)))^2*N(AB225)*INDEX(LenF,MATCH($AB$7,LenU,0))+IF(AC225="",0,IF(AC225="Conical",PI()/12*(Y225*INDEX(LenF,MATCH($Y$7,LenU,0)))^2*(0),INDEX(HeadK,MATCH(AC225,HeadU,0))*(Y225*INDEX(LenF,MATCH($Y$7,LenU,0)))^3)),0),"")</f>
        <v/>
      </c>
      <c r="AE225" s="41" t="str">
        <f aca="false">IF(OR(E225="",E225="Piping"),"",IF(E225="Exchanger",AQ225*AR225+IF(P225="",0,IF(P225="Conical",PI()/12*(SQRT(4*AQ225/PI()))^2*(0),INDEX(HeadK,MATCH(P225,HeadU,0))*(SQRT(4*AQ225/PI()))^3))-IF(AND(ISNUMBER(S225),ISNUMBER(V225)),S225*PI()/4*AP225^2*V225*INDEX(LenF,MATCH($V$7,LenU,0)),0),IF(ISNUMBER(N225),PI()/4*(N225*INDEX(LenF,MATCH($N$7,LenU,0)))^2*N(O225)*INDEX(LenF,MATCH($O$7,LenU,0))+IF(P225="",0,IF(P225="Conical",PI()/12*(N225*INDEX(LenF,MATCH($N$7,LenU,0)))^2*(N(R225)*INDEX(LenF,MATCH($R$7,LenU,0))),INDEX(HeadK,MATCH(P225,HeadU,0))*(N225*INDEX(LenF,MATCH($N$7,LenU,0)))^3))+IF(Q225="",0,IF(Q225="Conical",PI()/12*(N225*INDEX(LenF,MATCH($N$7,LenU,0)))^2*(N(R225)*INDEX(LenF,MATCH($R$7,LenU,0))),INDEX(HeadK,MATCH(Q225,HeadU,0))*(N225*INDEX(LenF,MATCH($N$7,LenU,0)))^3)),0)))</f>
        <v/>
      </c>
      <c r="AF225" s="41" t="str">
        <f aca="false">IF(E225&lt;&gt;"Piping","",IF(AND(ISNUMBER(AS225),ISNUMBER(M225)),PI()/4*(AS225/1000)^2*M225*INDEX(LenF,MATCH($M$7,LenU,0)),0))</f>
        <v/>
      </c>
      <c r="AG225" s="41" t="str">
        <f aca="false">IF(E225="","",N(AD225)+N(AE225)+N(AF225))</f>
        <v/>
      </c>
      <c r="AH225" s="41" t="str">
        <f aca="false">IF(ISNUMBER(I225),I225*INDEX(WtF,MATCH($I$7,WtU,0))/CC_WaterRho,"")</f>
        <v/>
      </c>
      <c r="AI225" s="31"/>
      <c r="AJ225" s="31"/>
      <c r="AK225" s="40"/>
      <c r="AL225" s="31"/>
      <c r="AM225" s="41" t="str">
        <f aca="false">IF(AO225="","",AO225*IF(ISNUMBER(AK225),AK225,CC_DefFills)*(1+IF(ISNUMBER(AL225),AL225,CC_DefAllow)))</f>
        <v/>
      </c>
      <c r="AN225" s="42" t="str">
        <f aca="false">IF(G225="Given volume",IF(ISNUMBER(H225),H225*INDEX(VolF,MATCH($H$7,VolU,0)),""),IF(G225="Water weight",AH225,IF(N(AG225)=0,"",AG225)))</f>
        <v/>
      </c>
      <c r="AO225" s="42" t="str">
        <f aca="false">IF(N(AN225)=0,"",AN225*AT225*IF(ISNUMBER(AJ225),AJ225,CC_DefCirc))</f>
        <v/>
      </c>
      <c r="AP225" s="27" t="n">
        <f aca="false">IF(ISNUMBER(T225),T225*INDEX(LenF,MATCH($T$7,LenU,0)),IF(ISNUMBER(W225),W225*INDEX(LenF,MATCH($W$7,LenU,0))/CC_PitchRatio,0))</f>
        <v>0</v>
      </c>
      <c r="AQ225" s="27" t="n">
        <f aca="false">IF(ISNUMBER(N225),PI()/4*(N225*INDEX(LenF,MATCH($N$7,LenU,0)))^2,IF(AND(ISNUMBER(S225),ISNUMBER(W225),X225&lt;&gt;""),S225*(W225*INDEX(LenF,MATCH($W$7,LenU,0)))^2*INDEX(LayoutF,MATCH(X225,LayoutU,0)),0))</f>
        <v>0</v>
      </c>
      <c r="AR225" s="27" t="n">
        <f aca="false">IF(ISNUMBER(O225),O225*INDEX(LenF,MATCH($O$7,LenU,0)),IF(ISNUMBER(V225),V225*INDEX(LenF,MATCH($V$7,LenU,0)),0))</f>
        <v>0</v>
      </c>
      <c r="AS225" s="27" t="str">
        <f aca="false">IF(ISNUMBER(L225),L225*INDEX(LenF,MATCH($L$7,LenU,0))*1000,IF(OR(J225="",K225=""),"",IFERROR(IF(INDEX(PipeWT,MATCH(J225,NPSU,0),MATCH(K225,SchU,0))="","Sch n/a",INDEX(PipeOD,MATCH(J225,NPSU,0))-2*INDEX(PipeWT,MATCH(J225,NPSU,0),MATCH(K225,SchU,0))),"")))</f>
        <v/>
      </c>
      <c r="AT225" s="27" t="n">
        <f aca="false">IF(ISNUMBER(AI225),AI225,IFERROR(INDEX(IF(CC_JobType="Decontamination",CC_TypeFillDC,CC_TypeFillCC),MATCH(E225,CC_TypeL,0)),1))</f>
        <v>1</v>
      </c>
      <c r="AU225" s="27" t="n">
        <v>7</v>
      </c>
    </row>
    <row r="226" customFormat="false" ht="15" hidden="false" customHeight="false" outlineLevel="0" collapsed="false">
      <c r="A226" s="36" t="n">
        <v>19</v>
      </c>
      <c r="B226" s="40"/>
      <c r="C226" s="32"/>
      <c r="D226" s="32"/>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1" t="str">
        <f aca="false">IF(E226="Exchanger",IF(AND(ISNUMBER(S226),ISNUMBER(U226),ISNUMBER(V226)),S226*PI()/4*(U226*INDEX(LenF,MATCH($U$7,LenU,0)))^2*V226*INDEX(LenF,MATCH($V$7,LenU,0)),0)+IF(ISNUMBER(Y226),PI()/4*(Y226*INDEX(LenF,MATCH($Y$7,LenU,0)))^2*N(Z226)*INDEX(LenF,MATCH($Z$7,LenU,0))+IF(AA226="",0,IF(AA226="Conical",PI()/12*(Y226*INDEX(LenF,MATCH($Y$7,LenU,0)))^2*(0),INDEX(HeadK,MATCH(AA226,HeadU,0))*(Y226*INDEX(LenF,MATCH($Y$7,LenU,0)))^3)),0)+IF(ISNUMBER(Y226),PI()/4*(Y226*INDEX(LenF,MATCH($Y$7,LenU,0)))^2*N(AB226)*INDEX(LenF,MATCH($AB$7,LenU,0))+IF(AC226="",0,IF(AC226="Conical",PI()/12*(Y226*INDEX(LenF,MATCH($Y$7,LenU,0)))^2*(0),INDEX(HeadK,MATCH(AC226,HeadU,0))*(Y226*INDEX(LenF,MATCH($Y$7,LenU,0)))^3)),0),"")</f>
        <v/>
      </c>
      <c r="AE226" s="41" t="str">
        <f aca="false">IF(OR(E226="",E226="Piping"),"",IF(E226="Exchanger",AQ226*AR226+IF(P226="",0,IF(P226="Conical",PI()/12*(SQRT(4*AQ226/PI()))^2*(0),INDEX(HeadK,MATCH(P226,HeadU,0))*(SQRT(4*AQ226/PI()))^3))-IF(AND(ISNUMBER(S226),ISNUMBER(V226)),S226*PI()/4*AP226^2*V226*INDEX(LenF,MATCH($V$7,LenU,0)),0),IF(ISNUMBER(N226),PI()/4*(N226*INDEX(LenF,MATCH($N$7,LenU,0)))^2*N(O226)*INDEX(LenF,MATCH($O$7,LenU,0))+IF(P226="",0,IF(P226="Conical",PI()/12*(N226*INDEX(LenF,MATCH($N$7,LenU,0)))^2*(N(R226)*INDEX(LenF,MATCH($R$7,LenU,0))),INDEX(HeadK,MATCH(P226,HeadU,0))*(N226*INDEX(LenF,MATCH($N$7,LenU,0)))^3))+IF(Q226="",0,IF(Q226="Conical",PI()/12*(N226*INDEX(LenF,MATCH($N$7,LenU,0)))^2*(N(R226)*INDEX(LenF,MATCH($R$7,LenU,0))),INDEX(HeadK,MATCH(Q226,HeadU,0))*(N226*INDEX(LenF,MATCH($N$7,LenU,0)))^3)),0)))</f>
        <v/>
      </c>
      <c r="AF226" s="41" t="str">
        <f aca="false">IF(E226&lt;&gt;"Piping","",IF(AND(ISNUMBER(AS226),ISNUMBER(M226)),PI()/4*(AS226/1000)^2*M226*INDEX(LenF,MATCH($M$7,LenU,0)),0))</f>
        <v/>
      </c>
      <c r="AG226" s="41" t="str">
        <f aca="false">IF(E226="","",N(AD226)+N(AE226)+N(AF226))</f>
        <v/>
      </c>
      <c r="AH226" s="41" t="str">
        <f aca="false">IF(ISNUMBER(I226),I226*INDEX(WtF,MATCH($I$7,WtU,0))/CC_WaterRho,"")</f>
        <v/>
      </c>
      <c r="AI226" s="31"/>
      <c r="AJ226" s="31"/>
      <c r="AK226" s="40"/>
      <c r="AL226" s="31"/>
      <c r="AM226" s="41" t="str">
        <f aca="false">IF(AO226="","",AO226*IF(ISNUMBER(AK226),AK226,CC_DefFills)*(1+IF(ISNUMBER(AL226),AL226,CC_DefAllow)))</f>
        <v/>
      </c>
      <c r="AN226" s="42" t="str">
        <f aca="false">IF(G226="Given volume",IF(ISNUMBER(H226),H226*INDEX(VolF,MATCH($H$7,VolU,0)),""),IF(G226="Water weight",AH226,IF(N(AG226)=0,"",AG226)))</f>
        <v/>
      </c>
      <c r="AO226" s="42" t="str">
        <f aca="false">IF(N(AN226)=0,"",AN226*AT226*IF(ISNUMBER(AJ226),AJ226,CC_DefCirc))</f>
        <v/>
      </c>
      <c r="AP226" s="27" t="n">
        <f aca="false">IF(ISNUMBER(T226),T226*INDEX(LenF,MATCH($T$7,LenU,0)),IF(ISNUMBER(W226),W226*INDEX(LenF,MATCH($W$7,LenU,0))/CC_PitchRatio,0))</f>
        <v>0</v>
      </c>
      <c r="AQ226" s="27" t="n">
        <f aca="false">IF(ISNUMBER(N226),PI()/4*(N226*INDEX(LenF,MATCH($N$7,LenU,0)))^2,IF(AND(ISNUMBER(S226),ISNUMBER(W226),X226&lt;&gt;""),S226*(W226*INDEX(LenF,MATCH($W$7,LenU,0)))^2*INDEX(LayoutF,MATCH(X226,LayoutU,0)),0))</f>
        <v>0</v>
      </c>
      <c r="AR226" s="27" t="n">
        <f aca="false">IF(ISNUMBER(O226),O226*INDEX(LenF,MATCH($O$7,LenU,0)),IF(ISNUMBER(V226),V226*INDEX(LenF,MATCH($V$7,LenU,0)),0))</f>
        <v>0</v>
      </c>
      <c r="AS226" s="27" t="str">
        <f aca="false">IF(ISNUMBER(L226),L226*INDEX(LenF,MATCH($L$7,LenU,0))*1000,IF(OR(J226="",K226=""),"",IFERROR(IF(INDEX(PipeWT,MATCH(J226,NPSU,0),MATCH(K226,SchU,0))="","Sch n/a",INDEX(PipeOD,MATCH(J226,NPSU,0))-2*INDEX(PipeWT,MATCH(J226,NPSU,0),MATCH(K226,SchU,0))),"")))</f>
        <v/>
      </c>
      <c r="AT226" s="27" t="n">
        <f aca="false">IF(ISNUMBER(AI226),AI226,IFERROR(INDEX(IF(CC_JobType="Decontamination",CC_TypeFillDC,CC_TypeFillCC),MATCH(E226,CC_TypeL,0)),1))</f>
        <v>1</v>
      </c>
      <c r="AU226" s="27" t="n">
        <v>7</v>
      </c>
    </row>
    <row r="227" customFormat="false" ht="15" hidden="false" customHeight="false" outlineLevel="0" collapsed="false">
      <c r="A227" s="36" t="n">
        <v>20</v>
      </c>
      <c r="B227" s="40"/>
      <c r="C227" s="32"/>
      <c r="D227" s="32"/>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1" t="str">
        <f aca="false">IF(E227="Exchanger",IF(AND(ISNUMBER(S227),ISNUMBER(U227),ISNUMBER(V227)),S227*PI()/4*(U227*INDEX(LenF,MATCH($U$7,LenU,0)))^2*V227*INDEX(LenF,MATCH($V$7,LenU,0)),0)+IF(ISNUMBER(Y227),PI()/4*(Y227*INDEX(LenF,MATCH($Y$7,LenU,0)))^2*N(Z227)*INDEX(LenF,MATCH($Z$7,LenU,0))+IF(AA227="",0,IF(AA227="Conical",PI()/12*(Y227*INDEX(LenF,MATCH($Y$7,LenU,0)))^2*(0),INDEX(HeadK,MATCH(AA227,HeadU,0))*(Y227*INDEX(LenF,MATCH($Y$7,LenU,0)))^3)),0)+IF(ISNUMBER(Y227),PI()/4*(Y227*INDEX(LenF,MATCH($Y$7,LenU,0)))^2*N(AB227)*INDEX(LenF,MATCH($AB$7,LenU,0))+IF(AC227="",0,IF(AC227="Conical",PI()/12*(Y227*INDEX(LenF,MATCH($Y$7,LenU,0)))^2*(0),INDEX(HeadK,MATCH(AC227,HeadU,0))*(Y227*INDEX(LenF,MATCH($Y$7,LenU,0)))^3)),0),"")</f>
        <v/>
      </c>
      <c r="AE227" s="41" t="str">
        <f aca="false">IF(OR(E227="",E227="Piping"),"",IF(E227="Exchanger",AQ227*AR227+IF(P227="",0,IF(P227="Conical",PI()/12*(SQRT(4*AQ227/PI()))^2*(0),INDEX(HeadK,MATCH(P227,HeadU,0))*(SQRT(4*AQ227/PI()))^3))-IF(AND(ISNUMBER(S227),ISNUMBER(V227)),S227*PI()/4*AP227^2*V227*INDEX(LenF,MATCH($V$7,LenU,0)),0),IF(ISNUMBER(N227),PI()/4*(N227*INDEX(LenF,MATCH($N$7,LenU,0)))^2*N(O227)*INDEX(LenF,MATCH($O$7,LenU,0))+IF(P227="",0,IF(P227="Conical",PI()/12*(N227*INDEX(LenF,MATCH($N$7,LenU,0)))^2*(N(R227)*INDEX(LenF,MATCH($R$7,LenU,0))),INDEX(HeadK,MATCH(P227,HeadU,0))*(N227*INDEX(LenF,MATCH($N$7,LenU,0)))^3))+IF(Q227="",0,IF(Q227="Conical",PI()/12*(N227*INDEX(LenF,MATCH($N$7,LenU,0)))^2*(N(R227)*INDEX(LenF,MATCH($R$7,LenU,0))),INDEX(HeadK,MATCH(Q227,HeadU,0))*(N227*INDEX(LenF,MATCH($N$7,LenU,0)))^3)),0)))</f>
        <v/>
      </c>
      <c r="AF227" s="41" t="str">
        <f aca="false">IF(E227&lt;&gt;"Piping","",IF(AND(ISNUMBER(AS227),ISNUMBER(M227)),PI()/4*(AS227/1000)^2*M227*INDEX(LenF,MATCH($M$7,LenU,0)),0))</f>
        <v/>
      </c>
      <c r="AG227" s="41" t="str">
        <f aca="false">IF(E227="","",N(AD227)+N(AE227)+N(AF227))</f>
        <v/>
      </c>
      <c r="AH227" s="41" t="str">
        <f aca="false">IF(ISNUMBER(I227),I227*INDEX(WtF,MATCH($I$7,WtU,0))/CC_WaterRho,"")</f>
        <v/>
      </c>
      <c r="AI227" s="31"/>
      <c r="AJ227" s="31"/>
      <c r="AK227" s="40"/>
      <c r="AL227" s="31"/>
      <c r="AM227" s="41" t="str">
        <f aca="false">IF(AO227="","",AO227*IF(ISNUMBER(AK227),AK227,CC_DefFills)*(1+IF(ISNUMBER(AL227),AL227,CC_DefAllow)))</f>
        <v/>
      </c>
      <c r="AN227" s="42" t="str">
        <f aca="false">IF(G227="Given volume",IF(ISNUMBER(H227),H227*INDEX(VolF,MATCH($H$7,VolU,0)),""),IF(G227="Water weight",AH227,IF(N(AG227)=0,"",AG227)))</f>
        <v/>
      </c>
      <c r="AO227" s="42" t="str">
        <f aca="false">IF(N(AN227)=0,"",AN227*AT227*IF(ISNUMBER(AJ227),AJ227,CC_DefCirc))</f>
        <v/>
      </c>
      <c r="AP227" s="27" t="n">
        <f aca="false">IF(ISNUMBER(T227),T227*INDEX(LenF,MATCH($T$7,LenU,0)),IF(ISNUMBER(W227),W227*INDEX(LenF,MATCH($W$7,LenU,0))/CC_PitchRatio,0))</f>
        <v>0</v>
      </c>
      <c r="AQ227" s="27" t="n">
        <f aca="false">IF(ISNUMBER(N227),PI()/4*(N227*INDEX(LenF,MATCH($N$7,LenU,0)))^2,IF(AND(ISNUMBER(S227),ISNUMBER(W227),X227&lt;&gt;""),S227*(W227*INDEX(LenF,MATCH($W$7,LenU,0)))^2*INDEX(LayoutF,MATCH(X227,LayoutU,0)),0))</f>
        <v>0</v>
      </c>
      <c r="AR227" s="27" t="n">
        <f aca="false">IF(ISNUMBER(O227),O227*INDEX(LenF,MATCH($O$7,LenU,0)),IF(ISNUMBER(V227),V227*INDEX(LenF,MATCH($V$7,LenU,0)),0))</f>
        <v>0</v>
      </c>
      <c r="AS227" s="27" t="str">
        <f aca="false">IF(ISNUMBER(L227),L227*INDEX(LenF,MATCH($L$7,LenU,0))*1000,IF(OR(J227="",K227=""),"",IFERROR(IF(INDEX(PipeWT,MATCH(J227,NPSU,0),MATCH(K227,SchU,0))="","Sch n/a",INDEX(PipeOD,MATCH(J227,NPSU,0))-2*INDEX(PipeWT,MATCH(J227,NPSU,0),MATCH(K227,SchU,0))),"")))</f>
        <v/>
      </c>
      <c r="AT227" s="27" t="n">
        <f aca="false">IF(ISNUMBER(AI227),AI227,IFERROR(INDEX(IF(CC_JobType="Decontamination",CC_TypeFillDC,CC_TypeFillCC),MATCH(E227,CC_TypeL,0)),1))</f>
        <v>1</v>
      </c>
      <c r="AU227" s="27" t="n">
        <v>7</v>
      </c>
    </row>
    <row r="228" customFormat="false" ht="15" hidden="false" customHeight="false" outlineLevel="0" collapsed="false">
      <c r="A228" s="36" t="n">
        <v>21</v>
      </c>
      <c r="B228" s="40"/>
      <c r="C228" s="32"/>
      <c r="D228" s="32"/>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1" t="str">
        <f aca="false">IF(E228="Exchanger",IF(AND(ISNUMBER(S228),ISNUMBER(U228),ISNUMBER(V228)),S228*PI()/4*(U228*INDEX(LenF,MATCH($U$7,LenU,0)))^2*V228*INDEX(LenF,MATCH($V$7,LenU,0)),0)+IF(ISNUMBER(Y228),PI()/4*(Y228*INDEX(LenF,MATCH($Y$7,LenU,0)))^2*N(Z228)*INDEX(LenF,MATCH($Z$7,LenU,0))+IF(AA228="",0,IF(AA228="Conical",PI()/12*(Y228*INDEX(LenF,MATCH($Y$7,LenU,0)))^2*(0),INDEX(HeadK,MATCH(AA228,HeadU,0))*(Y228*INDEX(LenF,MATCH($Y$7,LenU,0)))^3)),0)+IF(ISNUMBER(Y228),PI()/4*(Y228*INDEX(LenF,MATCH($Y$7,LenU,0)))^2*N(AB228)*INDEX(LenF,MATCH($AB$7,LenU,0))+IF(AC228="",0,IF(AC228="Conical",PI()/12*(Y228*INDEX(LenF,MATCH($Y$7,LenU,0)))^2*(0),INDEX(HeadK,MATCH(AC228,HeadU,0))*(Y228*INDEX(LenF,MATCH($Y$7,LenU,0)))^3)),0),"")</f>
        <v/>
      </c>
      <c r="AE228" s="41" t="str">
        <f aca="false">IF(OR(E228="",E228="Piping"),"",IF(E228="Exchanger",AQ228*AR228+IF(P228="",0,IF(P228="Conical",PI()/12*(SQRT(4*AQ228/PI()))^2*(0),INDEX(HeadK,MATCH(P228,HeadU,0))*(SQRT(4*AQ228/PI()))^3))-IF(AND(ISNUMBER(S228),ISNUMBER(V228)),S228*PI()/4*AP228^2*V228*INDEX(LenF,MATCH($V$7,LenU,0)),0),IF(ISNUMBER(N228),PI()/4*(N228*INDEX(LenF,MATCH($N$7,LenU,0)))^2*N(O228)*INDEX(LenF,MATCH($O$7,LenU,0))+IF(P228="",0,IF(P228="Conical",PI()/12*(N228*INDEX(LenF,MATCH($N$7,LenU,0)))^2*(N(R228)*INDEX(LenF,MATCH($R$7,LenU,0))),INDEX(HeadK,MATCH(P228,HeadU,0))*(N228*INDEX(LenF,MATCH($N$7,LenU,0)))^3))+IF(Q228="",0,IF(Q228="Conical",PI()/12*(N228*INDEX(LenF,MATCH($N$7,LenU,0)))^2*(N(R228)*INDEX(LenF,MATCH($R$7,LenU,0))),INDEX(HeadK,MATCH(Q228,HeadU,0))*(N228*INDEX(LenF,MATCH($N$7,LenU,0)))^3)),0)))</f>
        <v/>
      </c>
      <c r="AF228" s="41" t="str">
        <f aca="false">IF(E228&lt;&gt;"Piping","",IF(AND(ISNUMBER(AS228),ISNUMBER(M228)),PI()/4*(AS228/1000)^2*M228*INDEX(LenF,MATCH($M$7,LenU,0)),0))</f>
        <v/>
      </c>
      <c r="AG228" s="41" t="str">
        <f aca="false">IF(E228="","",N(AD228)+N(AE228)+N(AF228))</f>
        <v/>
      </c>
      <c r="AH228" s="41" t="str">
        <f aca="false">IF(ISNUMBER(I228),I228*INDEX(WtF,MATCH($I$7,WtU,0))/CC_WaterRho,"")</f>
        <v/>
      </c>
      <c r="AI228" s="31"/>
      <c r="AJ228" s="31"/>
      <c r="AK228" s="40"/>
      <c r="AL228" s="31"/>
      <c r="AM228" s="41" t="str">
        <f aca="false">IF(AO228="","",AO228*IF(ISNUMBER(AK228),AK228,CC_DefFills)*(1+IF(ISNUMBER(AL228),AL228,CC_DefAllow)))</f>
        <v/>
      </c>
      <c r="AN228" s="42" t="str">
        <f aca="false">IF(G228="Given volume",IF(ISNUMBER(H228),H228*INDEX(VolF,MATCH($H$7,VolU,0)),""),IF(G228="Water weight",AH228,IF(N(AG228)=0,"",AG228)))</f>
        <v/>
      </c>
      <c r="AO228" s="42" t="str">
        <f aca="false">IF(N(AN228)=0,"",AN228*AT228*IF(ISNUMBER(AJ228),AJ228,CC_DefCirc))</f>
        <v/>
      </c>
      <c r="AP228" s="27" t="n">
        <f aca="false">IF(ISNUMBER(T228),T228*INDEX(LenF,MATCH($T$7,LenU,0)),IF(ISNUMBER(W228),W228*INDEX(LenF,MATCH($W$7,LenU,0))/CC_PitchRatio,0))</f>
        <v>0</v>
      </c>
      <c r="AQ228" s="27" t="n">
        <f aca="false">IF(ISNUMBER(N228),PI()/4*(N228*INDEX(LenF,MATCH($N$7,LenU,0)))^2,IF(AND(ISNUMBER(S228),ISNUMBER(W228),X228&lt;&gt;""),S228*(W228*INDEX(LenF,MATCH($W$7,LenU,0)))^2*INDEX(LayoutF,MATCH(X228,LayoutU,0)),0))</f>
        <v>0</v>
      </c>
      <c r="AR228" s="27" t="n">
        <f aca="false">IF(ISNUMBER(O228),O228*INDEX(LenF,MATCH($O$7,LenU,0)),IF(ISNUMBER(V228),V228*INDEX(LenF,MATCH($V$7,LenU,0)),0))</f>
        <v>0</v>
      </c>
      <c r="AS228" s="27" t="str">
        <f aca="false">IF(ISNUMBER(L228),L228*INDEX(LenF,MATCH($L$7,LenU,0))*1000,IF(OR(J228="",K228=""),"",IFERROR(IF(INDEX(PipeWT,MATCH(J228,NPSU,0),MATCH(K228,SchU,0))="","Sch n/a",INDEX(PipeOD,MATCH(J228,NPSU,0))-2*INDEX(PipeWT,MATCH(J228,NPSU,0),MATCH(K228,SchU,0))),"")))</f>
        <v/>
      </c>
      <c r="AT228" s="27" t="n">
        <f aca="false">IF(ISNUMBER(AI228),AI228,IFERROR(INDEX(IF(CC_JobType="Decontamination",CC_TypeFillDC,CC_TypeFillCC),MATCH(E228,CC_TypeL,0)),1))</f>
        <v>1</v>
      </c>
      <c r="AU228" s="27" t="n">
        <v>7</v>
      </c>
    </row>
    <row r="229" customFormat="false" ht="15" hidden="false" customHeight="false" outlineLevel="0" collapsed="false">
      <c r="A229" s="36" t="n">
        <v>22</v>
      </c>
      <c r="B229" s="40"/>
      <c r="C229" s="32"/>
      <c r="D229" s="32"/>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1" t="str">
        <f aca="false">IF(E229="Exchanger",IF(AND(ISNUMBER(S229),ISNUMBER(U229),ISNUMBER(V229)),S229*PI()/4*(U229*INDEX(LenF,MATCH($U$7,LenU,0)))^2*V229*INDEX(LenF,MATCH($V$7,LenU,0)),0)+IF(ISNUMBER(Y229),PI()/4*(Y229*INDEX(LenF,MATCH($Y$7,LenU,0)))^2*N(Z229)*INDEX(LenF,MATCH($Z$7,LenU,0))+IF(AA229="",0,IF(AA229="Conical",PI()/12*(Y229*INDEX(LenF,MATCH($Y$7,LenU,0)))^2*(0),INDEX(HeadK,MATCH(AA229,HeadU,0))*(Y229*INDEX(LenF,MATCH($Y$7,LenU,0)))^3)),0)+IF(ISNUMBER(Y229),PI()/4*(Y229*INDEX(LenF,MATCH($Y$7,LenU,0)))^2*N(AB229)*INDEX(LenF,MATCH($AB$7,LenU,0))+IF(AC229="",0,IF(AC229="Conical",PI()/12*(Y229*INDEX(LenF,MATCH($Y$7,LenU,0)))^2*(0),INDEX(HeadK,MATCH(AC229,HeadU,0))*(Y229*INDEX(LenF,MATCH($Y$7,LenU,0)))^3)),0),"")</f>
        <v/>
      </c>
      <c r="AE229" s="41" t="str">
        <f aca="false">IF(OR(E229="",E229="Piping"),"",IF(E229="Exchanger",AQ229*AR229+IF(P229="",0,IF(P229="Conical",PI()/12*(SQRT(4*AQ229/PI()))^2*(0),INDEX(HeadK,MATCH(P229,HeadU,0))*(SQRT(4*AQ229/PI()))^3))-IF(AND(ISNUMBER(S229),ISNUMBER(V229)),S229*PI()/4*AP229^2*V229*INDEX(LenF,MATCH($V$7,LenU,0)),0),IF(ISNUMBER(N229),PI()/4*(N229*INDEX(LenF,MATCH($N$7,LenU,0)))^2*N(O229)*INDEX(LenF,MATCH($O$7,LenU,0))+IF(P229="",0,IF(P229="Conical",PI()/12*(N229*INDEX(LenF,MATCH($N$7,LenU,0)))^2*(N(R229)*INDEX(LenF,MATCH($R$7,LenU,0))),INDEX(HeadK,MATCH(P229,HeadU,0))*(N229*INDEX(LenF,MATCH($N$7,LenU,0)))^3))+IF(Q229="",0,IF(Q229="Conical",PI()/12*(N229*INDEX(LenF,MATCH($N$7,LenU,0)))^2*(N(R229)*INDEX(LenF,MATCH($R$7,LenU,0))),INDEX(HeadK,MATCH(Q229,HeadU,0))*(N229*INDEX(LenF,MATCH($N$7,LenU,0)))^3)),0)))</f>
        <v/>
      </c>
      <c r="AF229" s="41" t="str">
        <f aca="false">IF(E229&lt;&gt;"Piping","",IF(AND(ISNUMBER(AS229),ISNUMBER(M229)),PI()/4*(AS229/1000)^2*M229*INDEX(LenF,MATCH($M$7,LenU,0)),0))</f>
        <v/>
      </c>
      <c r="AG229" s="41" t="str">
        <f aca="false">IF(E229="","",N(AD229)+N(AE229)+N(AF229))</f>
        <v/>
      </c>
      <c r="AH229" s="41" t="str">
        <f aca="false">IF(ISNUMBER(I229),I229*INDEX(WtF,MATCH($I$7,WtU,0))/CC_WaterRho,"")</f>
        <v/>
      </c>
      <c r="AI229" s="31"/>
      <c r="AJ229" s="31"/>
      <c r="AK229" s="40"/>
      <c r="AL229" s="31"/>
      <c r="AM229" s="41" t="str">
        <f aca="false">IF(AO229="","",AO229*IF(ISNUMBER(AK229),AK229,CC_DefFills)*(1+IF(ISNUMBER(AL229),AL229,CC_DefAllow)))</f>
        <v/>
      </c>
      <c r="AN229" s="42" t="str">
        <f aca="false">IF(G229="Given volume",IF(ISNUMBER(H229),H229*INDEX(VolF,MATCH($H$7,VolU,0)),""),IF(G229="Water weight",AH229,IF(N(AG229)=0,"",AG229)))</f>
        <v/>
      </c>
      <c r="AO229" s="42" t="str">
        <f aca="false">IF(N(AN229)=0,"",AN229*AT229*IF(ISNUMBER(AJ229),AJ229,CC_DefCirc))</f>
        <v/>
      </c>
      <c r="AP229" s="27" t="n">
        <f aca="false">IF(ISNUMBER(T229),T229*INDEX(LenF,MATCH($T$7,LenU,0)),IF(ISNUMBER(W229),W229*INDEX(LenF,MATCH($W$7,LenU,0))/CC_PitchRatio,0))</f>
        <v>0</v>
      </c>
      <c r="AQ229" s="27" t="n">
        <f aca="false">IF(ISNUMBER(N229),PI()/4*(N229*INDEX(LenF,MATCH($N$7,LenU,0)))^2,IF(AND(ISNUMBER(S229),ISNUMBER(W229),X229&lt;&gt;""),S229*(W229*INDEX(LenF,MATCH($W$7,LenU,0)))^2*INDEX(LayoutF,MATCH(X229,LayoutU,0)),0))</f>
        <v>0</v>
      </c>
      <c r="AR229" s="27" t="n">
        <f aca="false">IF(ISNUMBER(O229),O229*INDEX(LenF,MATCH($O$7,LenU,0)),IF(ISNUMBER(V229),V229*INDEX(LenF,MATCH($V$7,LenU,0)),0))</f>
        <v>0</v>
      </c>
      <c r="AS229" s="27" t="str">
        <f aca="false">IF(ISNUMBER(L229),L229*INDEX(LenF,MATCH($L$7,LenU,0))*1000,IF(OR(J229="",K229=""),"",IFERROR(IF(INDEX(PipeWT,MATCH(J229,NPSU,0),MATCH(K229,SchU,0))="","Sch n/a",INDEX(PipeOD,MATCH(J229,NPSU,0))-2*INDEX(PipeWT,MATCH(J229,NPSU,0),MATCH(K229,SchU,0))),"")))</f>
        <v/>
      </c>
      <c r="AT229" s="27" t="n">
        <f aca="false">IF(ISNUMBER(AI229),AI229,IFERROR(INDEX(IF(CC_JobType="Decontamination",CC_TypeFillDC,CC_TypeFillCC),MATCH(E229,CC_TypeL,0)),1))</f>
        <v>1</v>
      </c>
      <c r="AU229" s="27" t="n">
        <v>7</v>
      </c>
    </row>
    <row r="230" customFormat="false" ht="15" hidden="false" customHeight="false" outlineLevel="0" collapsed="false">
      <c r="A230" s="36" t="n">
        <v>23</v>
      </c>
      <c r="B230" s="40"/>
      <c r="C230" s="32"/>
      <c r="D230" s="32"/>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1" t="str">
        <f aca="false">IF(E230="Exchanger",IF(AND(ISNUMBER(S230),ISNUMBER(U230),ISNUMBER(V230)),S230*PI()/4*(U230*INDEX(LenF,MATCH($U$7,LenU,0)))^2*V230*INDEX(LenF,MATCH($V$7,LenU,0)),0)+IF(ISNUMBER(Y230),PI()/4*(Y230*INDEX(LenF,MATCH($Y$7,LenU,0)))^2*N(Z230)*INDEX(LenF,MATCH($Z$7,LenU,0))+IF(AA230="",0,IF(AA230="Conical",PI()/12*(Y230*INDEX(LenF,MATCH($Y$7,LenU,0)))^2*(0),INDEX(HeadK,MATCH(AA230,HeadU,0))*(Y230*INDEX(LenF,MATCH($Y$7,LenU,0)))^3)),0)+IF(ISNUMBER(Y230),PI()/4*(Y230*INDEX(LenF,MATCH($Y$7,LenU,0)))^2*N(AB230)*INDEX(LenF,MATCH($AB$7,LenU,0))+IF(AC230="",0,IF(AC230="Conical",PI()/12*(Y230*INDEX(LenF,MATCH($Y$7,LenU,0)))^2*(0),INDEX(HeadK,MATCH(AC230,HeadU,0))*(Y230*INDEX(LenF,MATCH($Y$7,LenU,0)))^3)),0),"")</f>
        <v/>
      </c>
      <c r="AE230" s="41" t="str">
        <f aca="false">IF(OR(E230="",E230="Piping"),"",IF(E230="Exchanger",AQ230*AR230+IF(P230="",0,IF(P230="Conical",PI()/12*(SQRT(4*AQ230/PI()))^2*(0),INDEX(HeadK,MATCH(P230,HeadU,0))*(SQRT(4*AQ230/PI()))^3))-IF(AND(ISNUMBER(S230),ISNUMBER(V230)),S230*PI()/4*AP230^2*V230*INDEX(LenF,MATCH($V$7,LenU,0)),0),IF(ISNUMBER(N230),PI()/4*(N230*INDEX(LenF,MATCH($N$7,LenU,0)))^2*N(O230)*INDEX(LenF,MATCH($O$7,LenU,0))+IF(P230="",0,IF(P230="Conical",PI()/12*(N230*INDEX(LenF,MATCH($N$7,LenU,0)))^2*(N(R230)*INDEX(LenF,MATCH($R$7,LenU,0))),INDEX(HeadK,MATCH(P230,HeadU,0))*(N230*INDEX(LenF,MATCH($N$7,LenU,0)))^3))+IF(Q230="",0,IF(Q230="Conical",PI()/12*(N230*INDEX(LenF,MATCH($N$7,LenU,0)))^2*(N(R230)*INDEX(LenF,MATCH($R$7,LenU,0))),INDEX(HeadK,MATCH(Q230,HeadU,0))*(N230*INDEX(LenF,MATCH($N$7,LenU,0)))^3)),0)))</f>
        <v/>
      </c>
      <c r="AF230" s="41" t="str">
        <f aca="false">IF(E230&lt;&gt;"Piping","",IF(AND(ISNUMBER(AS230),ISNUMBER(M230)),PI()/4*(AS230/1000)^2*M230*INDEX(LenF,MATCH($M$7,LenU,0)),0))</f>
        <v/>
      </c>
      <c r="AG230" s="41" t="str">
        <f aca="false">IF(E230="","",N(AD230)+N(AE230)+N(AF230))</f>
        <v/>
      </c>
      <c r="AH230" s="41" t="str">
        <f aca="false">IF(ISNUMBER(I230),I230*INDEX(WtF,MATCH($I$7,WtU,0))/CC_WaterRho,"")</f>
        <v/>
      </c>
      <c r="AI230" s="31"/>
      <c r="AJ230" s="31"/>
      <c r="AK230" s="40"/>
      <c r="AL230" s="31"/>
      <c r="AM230" s="41" t="str">
        <f aca="false">IF(AO230="","",AO230*IF(ISNUMBER(AK230),AK230,CC_DefFills)*(1+IF(ISNUMBER(AL230),AL230,CC_DefAllow)))</f>
        <v/>
      </c>
      <c r="AN230" s="42" t="str">
        <f aca="false">IF(G230="Given volume",IF(ISNUMBER(H230),H230*INDEX(VolF,MATCH($H$7,VolU,0)),""),IF(G230="Water weight",AH230,IF(N(AG230)=0,"",AG230)))</f>
        <v/>
      </c>
      <c r="AO230" s="42" t="str">
        <f aca="false">IF(N(AN230)=0,"",AN230*AT230*IF(ISNUMBER(AJ230),AJ230,CC_DefCirc))</f>
        <v/>
      </c>
      <c r="AP230" s="27" t="n">
        <f aca="false">IF(ISNUMBER(T230),T230*INDEX(LenF,MATCH($T$7,LenU,0)),IF(ISNUMBER(W230),W230*INDEX(LenF,MATCH($W$7,LenU,0))/CC_PitchRatio,0))</f>
        <v>0</v>
      </c>
      <c r="AQ230" s="27" t="n">
        <f aca="false">IF(ISNUMBER(N230),PI()/4*(N230*INDEX(LenF,MATCH($N$7,LenU,0)))^2,IF(AND(ISNUMBER(S230),ISNUMBER(W230),X230&lt;&gt;""),S230*(W230*INDEX(LenF,MATCH($W$7,LenU,0)))^2*INDEX(LayoutF,MATCH(X230,LayoutU,0)),0))</f>
        <v>0</v>
      </c>
      <c r="AR230" s="27" t="n">
        <f aca="false">IF(ISNUMBER(O230),O230*INDEX(LenF,MATCH($O$7,LenU,0)),IF(ISNUMBER(V230),V230*INDEX(LenF,MATCH($V$7,LenU,0)),0))</f>
        <v>0</v>
      </c>
      <c r="AS230" s="27" t="str">
        <f aca="false">IF(ISNUMBER(L230),L230*INDEX(LenF,MATCH($L$7,LenU,0))*1000,IF(OR(J230="",K230=""),"",IFERROR(IF(INDEX(PipeWT,MATCH(J230,NPSU,0),MATCH(K230,SchU,0))="","Sch n/a",INDEX(PipeOD,MATCH(J230,NPSU,0))-2*INDEX(PipeWT,MATCH(J230,NPSU,0),MATCH(K230,SchU,0))),"")))</f>
        <v/>
      </c>
      <c r="AT230" s="27" t="n">
        <f aca="false">IF(ISNUMBER(AI230),AI230,IFERROR(INDEX(IF(CC_JobType="Decontamination",CC_TypeFillDC,CC_TypeFillCC),MATCH(E230,CC_TypeL,0)),1))</f>
        <v>1</v>
      </c>
      <c r="AU230" s="27" t="n">
        <v>7</v>
      </c>
    </row>
    <row r="231" customFormat="false" ht="15" hidden="false" customHeight="false" outlineLevel="0" collapsed="false">
      <c r="A231" s="36" t="n">
        <v>24</v>
      </c>
      <c r="B231" s="40"/>
      <c r="C231" s="32"/>
      <c r="D231" s="32"/>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1" t="str">
        <f aca="false">IF(E231="Exchanger",IF(AND(ISNUMBER(S231),ISNUMBER(U231),ISNUMBER(V231)),S231*PI()/4*(U231*INDEX(LenF,MATCH($U$7,LenU,0)))^2*V231*INDEX(LenF,MATCH($V$7,LenU,0)),0)+IF(ISNUMBER(Y231),PI()/4*(Y231*INDEX(LenF,MATCH($Y$7,LenU,0)))^2*N(Z231)*INDEX(LenF,MATCH($Z$7,LenU,0))+IF(AA231="",0,IF(AA231="Conical",PI()/12*(Y231*INDEX(LenF,MATCH($Y$7,LenU,0)))^2*(0),INDEX(HeadK,MATCH(AA231,HeadU,0))*(Y231*INDEX(LenF,MATCH($Y$7,LenU,0)))^3)),0)+IF(ISNUMBER(Y231),PI()/4*(Y231*INDEX(LenF,MATCH($Y$7,LenU,0)))^2*N(AB231)*INDEX(LenF,MATCH($AB$7,LenU,0))+IF(AC231="",0,IF(AC231="Conical",PI()/12*(Y231*INDEX(LenF,MATCH($Y$7,LenU,0)))^2*(0),INDEX(HeadK,MATCH(AC231,HeadU,0))*(Y231*INDEX(LenF,MATCH($Y$7,LenU,0)))^3)),0),"")</f>
        <v/>
      </c>
      <c r="AE231" s="41" t="str">
        <f aca="false">IF(OR(E231="",E231="Piping"),"",IF(E231="Exchanger",AQ231*AR231+IF(P231="",0,IF(P231="Conical",PI()/12*(SQRT(4*AQ231/PI()))^2*(0),INDEX(HeadK,MATCH(P231,HeadU,0))*(SQRT(4*AQ231/PI()))^3))-IF(AND(ISNUMBER(S231),ISNUMBER(V231)),S231*PI()/4*AP231^2*V231*INDEX(LenF,MATCH($V$7,LenU,0)),0),IF(ISNUMBER(N231),PI()/4*(N231*INDEX(LenF,MATCH($N$7,LenU,0)))^2*N(O231)*INDEX(LenF,MATCH($O$7,LenU,0))+IF(P231="",0,IF(P231="Conical",PI()/12*(N231*INDEX(LenF,MATCH($N$7,LenU,0)))^2*(N(R231)*INDEX(LenF,MATCH($R$7,LenU,0))),INDEX(HeadK,MATCH(P231,HeadU,0))*(N231*INDEX(LenF,MATCH($N$7,LenU,0)))^3))+IF(Q231="",0,IF(Q231="Conical",PI()/12*(N231*INDEX(LenF,MATCH($N$7,LenU,0)))^2*(N(R231)*INDEX(LenF,MATCH($R$7,LenU,0))),INDEX(HeadK,MATCH(Q231,HeadU,0))*(N231*INDEX(LenF,MATCH($N$7,LenU,0)))^3)),0)))</f>
        <v/>
      </c>
      <c r="AF231" s="41" t="str">
        <f aca="false">IF(E231&lt;&gt;"Piping","",IF(AND(ISNUMBER(AS231),ISNUMBER(M231)),PI()/4*(AS231/1000)^2*M231*INDEX(LenF,MATCH($M$7,LenU,0)),0))</f>
        <v/>
      </c>
      <c r="AG231" s="41" t="str">
        <f aca="false">IF(E231="","",N(AD231)+N(AE231)+N(AF231))</f>
        <v/>
      </c>
      <c r="AH231" s="41" t="str">
        <f aca="false">IF(ISNUMBER(I231),I231*INDEX(WtF,MATCH($I$7,WtU,0))/CC_WaterRho,"")</f>
        <v/>
      </c>
      <c r="AI231" s="31"/>
      <c r="AJ231" s="31"/>
      <c r="AK231" s="40"/>
      <c r="AL231" s="31"/>
      <c r="AM231" s="41" t="str">
        <f aca="false">IF(AO231="","",AO231*IF(ISNUMBER(AK231),AK231,CC_DefFills)*(1+IF(ISNUMBER(AL231),AL231,CC_DefAllow)))</f>
        <v/>
      </c>
      <c r="AN231" s="42" t="str">
        <f aca="false">IF(G231="Given volume",IF(ISNUMBER(H231),H231*INDEX(VolF,MATCH($H$7,VolU,0)),""),IF(G231="Water weight",AH231,IF(N(AG231)=0,"",AG231)))</f>
        <v/>
      </c>
      <c r="AO231" s="42" t="str">
        <f aca="false">IF(N(AN231)=0,"",AN231*AT231*IF(ISNUMBER(AJ231),AJ231,CC_DefCirc))</f>
        <v/>
      </c>
      <c r="AP231" s="27" t="n">
        <f aca="false">IF(ISNUMBER(T231),T231*INDEX(LenF,MATCH($T$7,LenU,0)),IF(ISNUMBER(W231),W231*INDEX(LenF,MATCH($W$7,LenU,0))/CC_PitchRatio,0))</f>
        <v>0</v>
      </c>
      <c r="AQ231" s="27" t="n">
        <f aca="false">IF(ISNUMBER(N231),PI()/4*(N231*INDEX(LenF,MATCH($N$7,LenU,0)))^2,IF(AND(ISNUMBER(S231),ISNUMBER(W231),X231&lt;&gt;""),S231*(W231*INDEX(LenF,MATCH($W$7,LenU,0)))^2*INDEX(LayoutF,MATCH(X231,LayoutU,0)),0))</f>
        <v>0</v>
      </c>
      <c r="AR231" s="27" t="n">
        <f aca="false">IF(ISNUMBER(O231),O231*INDEX(LenF,MATCH($O$7,LenU,0)),IF(ISNUMBER(V231),V231*INDEX(LenF,MATCH($V$7,LenU,0)),0))</f>
        <v>0</v>
      </c>
      <c r="AS231" s="27" t="str">
        <f aca="false">IF(ISNUMBER(L231),L231*INDEX(LenF,MATCH($L$7,LenU,0))*1000,IF(OR(J231="",K231=""),"",IFERROR(IF(INDEX(PipeWT,MATCH(J231,NPSU,0),MATCH(K231,SchU,0))="","Sch n/a",INDEX(PipeOD,MATCH(J231,NPSU,0))-2*INDEX(PipeWT,MATCH(J231,NPSU,0),MATCH(K231,SchU,0))),"")))</f>
        <v/>
      </c>
      <c r="AT231" s="27" t="n">
        <f aca="false">IF(ISNUMBER(AI231),AI231,IFERROR(INDEX(IF(CC_JobType="Decontamination",CC_TypeFillDC,CC_TypeFillCC),MATCH(E231,CC_TypeL,0)),1))</f>
        <v>1</v>
      </c>
      <c r="AU231" s="27" t="n">
        <v>7</v>
      </c>
    </row>
    <row r="232" customFormat="false" ht="15" hidden="false" customHeight="false" outlineLevel="0" collapsed="false">
      <c r="A232" s="36" t="n">
        <v>25</v>
      </c>
      <c r="B232" s="40"/>
      <c r="C232" s="32"/>
      <c r="D232" s="32"/>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1" t="str">
        <f aca="false">IF(E232="Exchanger",IF(AND(ISNUMBER(S232),ISNUMBER(U232),ISNUMBER(V232)),S232*PI()/4*(U232*INDEX(LenF,MATCH($U$7,LenU,0)))^2*V232*INDEX(LenF,MATCH($V$7,LenU,0)),0)+IF(ISNUMBER(Y232),PI()/4*(Y232*INDEX(LenF,MATCH($Y$7,LenU,0)))^2*N(Z232)*INDEX(LenF,MATCH($Z$7,LenU,0))+IF(AA232="",0,IF(AA232="Conical",PI()/12*(Y232*INDEX(LenF,MATCH($Y$7,LenU,0)))^2*(0),INDEX(HeadK,MATCH(AA232,HeadU,0))*(Y232*INDEX(LenF,MATCH($Y$7,LenU,0)))^3)),0)+IF(ISNUMBER(Y232),PI()/4*(Y232*INDEX(LenF,MATCH($Y$7,LenU,0)))^2*N(AB232)*INDEX(LenF,MATCH($AB$7,LenU,0))+IF(AC232="",0,IF(AC232="Conical",PI()/12*(Y232*INDEX(LenF,MATCH($Y$7,LenU,0)))^2*(0),INDEX(HeadK,MATCH(AC232,HeadU,0))*(Y232*INDEX(LenF,MATCH($Y$7,LenU,0)))^3)),0),"")</f>
        <v/>
      </c>
      <c r="AE232" s="41" t="str">
        <f aca="false">IF(OR(E232="",E232="Piping"),"",IF(E232="Exchanger",AQ232*AR232+IF(P232="",0,IF(P232="Conical",PI()/12*(SQRT(4*AQ232/PI()))^2*(0),INDEX(HeadK,MATCH(P232,HeadU,0))*(SQRT(4*AQ232/PI()))^3))-IF(AND(ISNUMBER(S232),ISNUMBER(V232)),S232*PI()/4*AP232^2*V232*INDEX(LenF,MATCH($V$7,LenU,0)),0),IF(ISNUMBER(N232),PI()/4*(N232*INDEX(LenF,MATCH($N$7,LenU,0)))^2*N(O232)*INDEX(LenF,MATCH($O$7,LenU,0))+IF(P232="",0,IF(P232="Conical",PI()/12*(N232*INDEX(LenF,MATCH($N$7,LenU,0)))^2*(N(R232)*INDEX(LenF,MATCH($R$7,LenU,0))),INDEX(HeadK,MATCH(P232,HeadU,0))*(N232*INDEX(LenF,MATCH($N$7,LenU,0)))^3))+IF(Q232="",0,IF(Q232="Conical",PI()/12*(N232*INDEX(LenF,MATCH($N$7,LenU,0)))^2*(N(R232)*INDEX(LenF,MATCH($R$7,LenU,0))),INDEX(HeadK,MATCH(Q232,HeadU,0))*(N232*INDEX(LenF,MATCH($N$7,LenU,0)))^3)),0)))</f>
        <v/>
      </c>
      <c r="AF232" s="41" t="str">
        <f aca="false">IF(E232&lt;&gt;"Piping","",IF(AND(ISNUMBER(AS232),ISNUMBER(M232)),PI()/4*(AS232/1000)^2*M232*INDEX(LenF,MATCH($M$7,LenU,0)),0))</f>
        <v/>
      </c>
      <c r="AG232" s="41" t="str">
        <f aca="false">IF(E232="","",N(AD232)+N(AE232)+N(AF232))</f>
        <v/>
      </c>
      <c r="AH232" s="41" t="str">
        <f aca="false">IF(ISNUMBER(I232),I232*INDEX(WtF,MATCH($I$7,WtU,0))/CC_WaterRho,"")</f>
        <v/>
      </c>
      <c r="AI232" s="31"/>
      <c r="AJ232" s="31"/>
      <c r="AK232" s="40"/>
      <c r="AL232" s="31"/>
      <c r="AM232" s="41" t="str">
        <f aca="false">IF(AO232="","",AO232*IF(ISNUMBER(AK232),AK232,CC_DefFills)*(1+IF(ISNUMBER(AL232),AL232,CC_DefAllow)))</f>
        <v/>
      </c>
      <c r="AN232" s="42" t="str">
        <f aca="false">IF(G232="Given volume",IF(ISNUMBER(H232),H232*INDEX(VolF,MATCH($H$7,VolU,0)),""),IF(G232="Water weight",AH232,IF(N(AG232)=0,"",AG232)))</f>
        <v/>
      </c>
      <c r="AO232" s="42" t="str">
        <f aca="false">IF(N(AN232)=0,"",AN232*AT232*IF(ISNUMBER(AJ232),AJ232,CC_DefCirc))</f>
        <v/>
      </c>
      <c r="AP232" s="27" t="n">
        <f aca="false">IF(ISNUMBER(T232),T232*INDEX(LenF,MATCH($T$7,LenU,0)),IF(ISNUMBER(W232),W232*INDEX(LenF,MATCH($W$7,LenU,0))/CC_PitchRatio,0))</f>
        <v>0</v>
      </c>
      <c r="AQ232" s="27" t="n">
        <f aca="false">IF(ISNUMBER(N232),PI()/4*(N232*INDEX(LenF,MATCH($N$7,LenU,0)))^2,IF(AND(ISNUMBER(S232),ISNUMBER(W232),X232&lt;&gt;""),S232*(W232*INDEX(LenF,MATCH($W$7,LenU,0)))^2*INDEX(LayoutF,MATCH(X232,LayoutU,0)),0))</f>
        <v>0</v>
      </c>
      <c r="AR232" s="27" t="n">
        <f aca="false">IF(ISNUMBER(O232),O232*INDEX(LenF,MATCH($O$7,LenU,0)),IF(ISNUMBER(V232),V232*INDEX(LenF,MATCH($V$7,LenU,0)),0))</f>
        <v>0</v>
      </c>
      <c r="AS232" s="27" t="str">
        <f aca="false">IF(ISNUMBER(L232),L232*INDEX(LenF,MATCH($L$7,LenU,0))*1000,IF(OR(J232="",K232=""),"",IFERROR(IF(INDEX(PipeWT,MATCH(J232,NPSU,0),MATCH(K232,SchU,0))="","Sch n/a",INDEX(PipeOD,MATCH(J232,NPSU,0))-2*INDEX(PipeWT,MATCH(J232,NPSU,0),MATCH(K232,SchU,0))),"")))</f>
        <v/>
      </c>
      <c r="AT232" s="27" t="n">
        <f aca="false">IF(ISNUMBER(AI232),AI232,IFERROR(INDEX(IF(CC_JobType="Decontamination",CC_TypeFillDC,CC_TypeFillCC),MATCH(E232,CC_TypeL,0)),1))</f>
        <v>1</v>
      </c>
      <c r="AU232" s="27" t="n">
        <v>7</v>
      </c>
    </row>
    <row r="233" customFormat="false" ht="15" hidden="false" customHeight="false" outlineLevel="0" collapsed="false">
      <c r="A233" s="36" t="n">
        <v>26</v>
      </c>
      <c r="B233" s="40"/>
      <c r="C233" s="32"/>
      <c r="D233" s="32"/>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1" t="str">
        <f aca="false">IF(E233="Exchanger",IF(AND(ISNUMBER(S233),ISNUMBER(U233),ISNUMBER(V233)),S233*PI()/4*(U233*INDEX(LenF,MATCH($U$7,LenU,0)))^2*V233*INDEX(LenF,MATCH($V$7,LenU,0)),0)+IF(ISNUMBER(Y233),PI()/4*(Y233*INDEX(LenF,MATCH($Y$7,LenU,0)))^2*N(Z233)*INDEX(LenF,MATCH($Z$7,LenU,0))+IF(AA233="",0,IF(AA233="Conical",PI()/12*(Y233*INDEX(LenF,MATCH($Y$7,LenU,0)))^2*(0),INDEX(HeadK,MATCH(AA233,HeadU,0))*(Y233*INDEX(LenF,MATCH($Y$7,LenU,0)))^3)),0)+IF(ISNUMBER(Y233),PI()/4*(Y233*INDEX(LenF,MATCH($Y$7,LenU,0)))^2*N(AB233)*INDEX(LenF,MATCH($AB$7,LenU,0))+IF(AC233="",0,IF(AC233="Conical",PI()/12*(Y233*INDEX(LenF,MATCH($Y$7,LenU,0)))^2*(0),INDEX(HeadK,MATCH(AC233,HeadU,0))*(Y233*INDEX(LenF,MATCH($Y$7,LenU,0)))^3)),0),"")</f>
        <v/>
      </c>
      <c r="AE233" s="41" t="str">
        <f aca="false">IF(OR(E233="",E233="Piping"),"",IF(E233="Exchanger",AQ233*AR233+IF(P233="",0,IF(P233="Conical",PI()/12*(SQRT(4*AQ233/PI()))^2*(0),INDEX(HeadK,MATCH(P233,HeadU,0))*(SQRT(4*AQ233/PI()))^3))-IF(AND(ISNUMBER(S233),ISNUMBER(V233)),S233*PI()/4*AP233^2*V233*INDEX(LenF,MATCH($V$7,LenU,0)),0),IF(ISNUMBER(N233),PI()/4*(N233*INDEX(LenF,MATCH($N$7,LenU,0)))^2*N(O233)*INDEX(LenF,MATCH($O$7,LenU,0))+IF(P233="",0,IF(P233="Conical",PI()/12*(N233*INDEX(LenF,MATCH($N$7,LenU,0)))^2*(N(R233)*INDEX(LenF,MATCH($R$7,LenU,0))),INDEX(HeadK,MATCH(P233,HeadU,0))*(N233*INDEX(LenF,MATCH($N$7,LenU,0)))^3))+IF(Q233="",0,IF(Q233="Conical",PI()/12*(N233*INDEX(LenF,MATCH($N$7,LenU,0)))^2*(N(R233)*INDEX(LenF,MATCH($R$7,LenU,0))),INDEX(HeadK,MATCH(Q233,HeadU,0))*(N233*INDEX(LenF,MATCH($N$7,LenU,0)))^3)),0)))</f>
        <v/>
      </c>
      <c r="AF233" s="41" t="str">
        <f aca="false">IF(E233&lt;&gt;"Piping","",IF(AND(ISNUMBER(AS233),ISNUMBER(M233)),PI()/4*(AS233/1000)^2*M233*INDEX(LenF,MATCH($M$7,LenU,0)),0))</f>
        <v/>
      </c>
      <c r="AG233" s="41" t="str">
        <f aca="false">IF(E233="","",N(AD233)+N(AE233)+N(AF233))</f>
        <v/>
      </c>
      <c r="AH233" s="41" t="str">
        <f aca="false">IF(ISNUMBER(I233),I233*INDEX(WtF,MATCH($I$7,WtU,0))/CC_WaterRho,"")</f>
        <v/>
      </c>
      <c r="AI233" s="31"/>
      <c r="AJ233" s="31"/>
      <c r="AK233" s="40"/>
      <c r="AL233" s="31"/>
      <c r="AM233" s="41" t="str">
        <f aca="false">IF(AO233="","",AO233*IF(ISNUMBER(AK233),AK233,CC_DefFills)*(1+IF(ISNUMBER(AL233),AL233,CC_DefAllow)))</f>
        <v/>
      </c>
      <c r="AN233" s="42" t="str">
        <f aca="false">IF(G233="Given volume",IF(ISNUMBER(H233),H233*INDEX(VolF,MATCH($H$7,VolU,0)),""),IF(G233="Water weight",AH233,IF(N(AG233)=0,"",AG233)))</f>
        <v/>
      </c>
      <c r="AO233" s="42" t="str">
        <f aca="false">IF(N(AN233)=0,"",AN233*AT233*IF(ISNUMBER(AJ233),AJ233,CC_DefCirc))</f>
        <v/>
      </c>
      <c r="AP233" s="27" t="n">
        <f aca="false">IF(ISNUMBER(T233),T233*INDEX(LenF,MATCH($T$7,LenU,0)),IF(ISNUMBER(W233),W233*INDEX(LenF,MATCH($W$7,LenU,0))/CC_PitchRatio,0))</f>
        <v>0</v>
      </c>
      <c r="AQ233" s="27" t="n">
        <f aca="false">IF(ISNUMBER(N233),PI()/4*(N233*INDEX(LenF,MATCH($N$7,LenU,0)))^2,IF(AND(ISNUMBER(S233),ISNUMBER(W233),X233&lt;&gt;""),S233*(W233*INDEX(LenF,MATCH($W$7,LenU,0)))^2*INDEX(LayoutF,MATCH(X233,LayoutU,0)),0))</f>
        <v>0</v>
      </c>
      <c r="AR233" s="27" t="n">
        <f aca="false">IF(ISNUMBER(O233),O233*INDEX(LenF,MATCH($O$7,LenU,0)),IF(ISNUMBER(V233),V233*INDEX(LenF,MATCH($V$7,LenU,0)),0))</f>
        <v>0</v>
      </c>
      <c r="AS233" s="27" t="str">
        <f aca="false">IF(ISNUMBER(L233),L233*INDEX(LenF,MATCH($L$7,LenU,0))*1000,IF(OR(J233="",K233=""),"",IFERROR(IF(INDEX(PipeWT,MATCH(J233,NPSU,0),MATCH(K233,SchU,0))="","Sch n/a",INDEX(PipeOD,MATCH(J233,NPSU,0))-2*INDEX(PipeWT,MATCH(J233,NPSU,0),MATCH(K233,SchU,0))),"")))</f>
        <v/>
      </c>
      <c r="AT233" s="27" t="n">
        <f aca="false">IF(ISNUMBER(AI233),AI233,IFERROR(INDEX(IF(CC_JobType="Decontamination",CC_TypeFillDC,CC_TypeFillCC),MATCH(E233,CC_TypeL,0)),1))</f>
        <v>1</v>
      </c>
      <c r="AU233" s="27" t="n">
        <v>7</v>
      </c>
    </row>
    <row r="234" customFormat="false" ht="15" hidden="false" customHeight="false" outlineLevel="0" collapsed="false">
      <c r="A234" s="36" t="n">
        <v>27</v>
      </c>
      <c r="B234" s="40"/>
      <c r="C234" s="32"/>
      <c r="D234" s="32"/>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1" t="str">
        <f aca="false">IF(E234="Exchanger",IF(AND(ISNUMBER(S234),ISNUMBER(U234),ISNUMBER(V234)),S234*PI()/4*(U234*INDEX(LenF,MATCH($U$7,LenU,0)))^2*V234*INDEX(LenF,MATCH($V$7,LenU,0)),0)+IF(ISNUMBER(Y234),PI()/4*(Y234*INDEX(LenF,MATCH($Y$7,LenU,0)))^2*N(Z234)*INDEX(LenF,MATCH($Z$7,LenU,0))+IF(AA234="",0,IF(AA234="Conical",PI()/12*(Y234*INDEX(LenF,MATCH($Y$7,LenU,0)))^2*(0),INDEX(HeadK,MATCH(AA234,HeadU,0))*(Y234*INDEX(LenF,MATCH($Y$7,LenU,0)))^3)),0)+IF(ISNUMBER(Y234),PI()/4*(Y234*INDEX(LenF,MATCH($Y$7,LenU,0)))^2*N(AB234)*INDEX(LenF,MATCH($AB$7,LenU,0))+IF(AC234="",0,IF(AC234="Conical",PI()/12*(Y234*INDEX(LenF,MATCH($Y$7,LenU,0)))^2*(0),INDEX(HeadK,MATCH(AC234,HeadU,0))*(Y234*INDEX(LenF,MATCH($Y$7,LenU,0)))^3)),0),"")</f>
        <v/>
      </c>
      <c r="AE234" s="41" t="str">
        <f aca="false">IF(OR(E234="",E234="Piping"),"",IF(E234="Exchanger",AQ234*AR234+IF(P234="",0,IF(P234="Conical",PI()/12*(SQRT(4*AQ234/PI()))^2*(0),INDEX(HeadK,MATCH(P234,HeadU,0))*(SQRT(4*AQ234/PI()))^3))-IF(AND(ISNUMBER(S234),ISNUMBER(V234)),S234*PI()/4*AP234^2*V234*INDEX(LenF,MATCH($V$7,LenU,0)),0),IF(ISNUMBER(N234),PI()/4*(N234*INDEX(LenF,MATCH($N$7,LenU,0)))^2*N(O234)*INDEX(LenF,MATCH($O$7,LenU,0))+IF(P234="",0,IF(P234="Conical",PI()/12*(N234*INDEX(LenF,MATCH($N$7,LenU,0)))^2*(N(R234)*INDEX(LenF,MATCH($R$7,LenU,0))),INDEX(HeadK,MATCH(P234,HeadU,0))*(N234*INDEX(LenF,MATCH($N$7,LenU,0)))^3))+IF(Q234="",0,IF(Q234="Conical",PI()/12*(N234*INDEX(LenF,MATCH($N$7,LenU,0)))^2*(N(R234)*INDEX(LenF,MATCH($R$7,LenU,0))),INDEX(HeadK,MATCH(Q234,HeadU,0))*(N234*INDEX(LenF,MATCH($N$7,LenU,0)))^3)),0)))</f>
        <v/>
      </c>
      <c r="AF234" s="41" t="str">
        <f aca="false">IF(E234&lt;&gt;"Piping","",IF(AND(ISNUMBER(AS234),ISNUMBER(M234)),PI()/4*(AS234/1000)^2*M234*INDEX(LenF,MATCH($M$7,LenU,0)),0))</f>
        <v/>
      </c>
      <c r="AG234" s="41" t="str">
        <f aca="false">IF(E234="","",N(AD234)+N(AE234)+N(AF234))</f>
        <v/>
      </c>
      <c r="AH234" s="41" t="str">
        <f aca="false">IF(ISNUMBER(I234),I234*INDEX(WtF,MATCH($I$7,WtU,0))/CC_WaterRho,"")</f>
        <v/>
      </c>
      <c r="AI234" s="31"/>
      <c r="AJ234" s="31"/>
      <c r="AK234" s="40"/>
      <c r="AL234" s="31"/>
      <c r="AM234" s="41" t="str">
        <f aca="false">IF(AO234="","",AO234*IF(ISNUMBER(AK234),AK234,CC_DefFills)*(1+IF(ISNUMBER(AL234),AL234,CC_DefAllow)))</f>
        <v/>
      </c>
      <c r="AN234" s="42" t="str">
        <f aca="false">IF(G234="Given volume",IF(ISNUMBER(H234),H234*INDEX(VolF,MATCH($H$7,VolU,0)),""),IF(G234="Water weight",AH234,IF(N(AG234)=0,"",AG234)))</f>
        <v/>
      </c>
      <c r="AO234" s="42" t="str">
        <f aca="false">IF(N(AN234)=0,"",AN234*AT234*IF(ISNUMBER(AJ234),AJ234,CC_DefCirc))</f>
        <v/>
      </c>
      <c r="AP234" s="27" t="n">
        <f aca="false">IF(ISNUMBER(T234),T234*INDEX(LenF,MATCH($T$7,LenU,0)),IF(ISNUMBER(W234),W234*INDEX(LenF,MATCH($W$7,LenU,0))/CC_PitchRatio,0))</f>
        <v>0</v>
      </c>
      <c r="AQ234" s="27" t="n">
        <f aca="false">IF(ISNUMBER(N234),PI()/4*(N234*INDEX(LenF,MATCH($N$7,LenU,0)))^2,IF(AND(ISNUMBER(S234),ISNUMBER(W234),X234&lt;&gt;""),S234*(W234*INDEX(LenF,MATCH($W$7,LenU,0)))^2*INDEX(LayoutF,MATCH(X234,LayoutU,0)),0))</f>
        <v>0</v>
      </c>
      <c r="AR234" s="27" t="n">
        <f aca="false">IF(ISNUMBER(O234),O234*INDEX(LenF,MATCH($O$7,LenU,0)),IF(ISNUMBER(V234),V234*INDEX(LenF,MATCH($V$7,LenU,0)),0))</f>
        <v>0</v>
      </c>
      <c r="AS234" s="27" t="str">
        <f aca="false">IF(ISNUMBER(L234),L234*INDEX(LenF,MATCH($L$7,LenU,0))*1000,IF(OR(J234="",K234=""),"",IFERROR(IF(INDEX(PipeWT,MATCH(J234,NPSU,0),MATCH(K234,SchU,0))="","Sch n/a",INDEX(PipeOD,MATCH(J234,NPSU,0))-2*INDEX(PipeWT,MATCH(J234,NPSU,0),MATCH(K234,SchU,0))),"")))</f>
        <v/>
      </c>
      <c r="AT234" s="27" t="n">
        <f aca="false">IF(ISNUMBER(AI234),AI234,IFERROR(INDEX(IF(CC_JobType="Decontamination",CC_TypeFillDC,CC_TypeFillCC),MATCH(E234,CC_TypeL,0)),1))</f>
        <v>1</v>
      </c>
      <c r="AU234" s="27" t="n">
        <v>7</v>
      </c>
    </row>
    <row r="235" customFormat="false" ht="15" hidden="false" customHeight="false" outlineLevel="0" collapsed="false">
      <c r="A235" s="36" t="n">
        <v>28</v>
      </c>
      <c r="B235" s="40"/>
      <c r="C235" s="32"/>
      <c r="D235" s="32"/>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1" t="str">
        <f aca="false">IF(E235="Exchanger",IF(AND(ISNUMBER(S235),ISNUMBER(U235),ISNUMBER(V235)),S235*PI()/4*(U235*INDEX(LenF,MATCH($U$7,LenU,0)))^2*V235*INDEX(LenF,MATCH($V$7,LenU,0)),0)+IF(ISNUMBER(Y235),PI()/4*(Y235*INDEX(LenF,MATCH($Y$7,LenU,0)))^2*N(Z235)*INDEX(LenF,MATCH($Z$7,LenU,0))+IF(AA235="",0,IF(AA235="Conical",PI()/12*(Y235*INDEX(LenF,MATCH($Y$7,LenU,0)))^2*(0),INDEX(HeadK,MATCH(AA235,HeadU,0))*(Y235*INDEX(LenF,MATCH($Y$7,LenU,0)))^3)),0)+IF(ISNUMBER(Y235),PI()/4*(Y235*INDEX(LenF,MATCH($Y$7,LenU,0)))^2*N(AB235)*INDEX(LenF,MATCH($AB$7,LenU,0))+IF(AC235="",0,IF(AC235="Conical",PI()/12*(Y235*INDEX(LenF,MATCH($Y$7,LenU,0)))^2*(0),INDEX(HeadK,MATCH(AC235,HeadU,0))*(Y235*INDEX(LenF,MATCH($Y$7,LenU,0)))^3)),0),"")</f>
        <v/>
      </c>
      <c r="AE235" s="41" t="str">
        <f aca="false">IF(OR(E235="",E235="Piping"),"",IF(E235="Exchanger",AQ235*AR235+IF(P235="",0,IF(P235="Conical",PI()/12*(SQRT(4*AQ235/PI()))^2*(0),INDEX(HeadK,MATCH(P235,HeadU,0))*(SQRT(4*AQ235/PI()))^3))-IF(AND(ISNUMBER(S235),ISNUMBER(V235)),S235*PI()/4*AP235^2*V235*INDEX(LenF,MATCH($V$7,LenU,0)),0),IF(ISNUMBER(N235),PI()/4*(N235*INDEX(LenF,MATCH($N$7,LenU,0)))^2*N(O235)*INDEX(LenF,MATCH($O$7,LenU,0))+IF(P235="",0,IF(P235="Conical",PI()/12*(N235*INDEX(LenF,MATCH($N$7,LenU,0)))^2*(N(R235)*INDEX(LenF,MATCH($R$7,LenU,0))),INDEX(HeadK,MATCH(P235,HeadU,0))*(N235*INDEX(LenF,MATCH($N$7,LenU,0)))^3))+IF(Q235="",0,IF(Q235="Conical",PI()/12*(N235*INDEX(LenF,MATCH($N$7,LenU,0)))^2*(N(R235)*INDEX(LenF,MATCH($R$7,LenU,0))),INDEX(HeadK,MATCH(Q235,HeadU,0))*(N235*INDEX(LenF,MATCH($N$7,LenU,0)))^3)),0)))</f>
        <v/>
      </c>
      <c r="AF235" s="41" t="str">
        <f aca="false">IF(E235&lt;&gt;"Piping","",IF(AND(ISNUMBER(AS235),ISNUMBER(M235)),PI()/4*(AS235/1000)^2*M235*INDEX(LenF,MATCH($M$7,LenU,0)),0))</f>
        <v/>
      </c>
      <c r="AG235" s="41" t="str">
        <f aca="false">IF(E235="","",N(AD235)+N(AE235)+N(AF235))</f>
        <v/>
      </c>
      <c r="AH235" s="41" t="str">
        <f aca="false">IF(ISNUMBER(I235),I235*INDEX(WtF,MATCH($I$7,WtU,0))/CC_WaterRho,"")</f>
        <v/>
      </c>
      <c r="AI235" s="31"/>
      <c r="AJ235" s="31"/>
      <c r="AK235" s="40"/>
      <c r="AL235" s="31"/>
      <c r="AM235" s="41" t="str">
        <f aca="false">IF(AO235="","",AO235*IF(ISNUMBER(AK235),AK235,CC_DefFills)*(1+IF(ISNUMBER(AL235),AL235,CC_DefAllow)))</f>
        <v/>
      </c>
      <c r="AN235" s="42" t="str">
        <f aca="false">IF(G235="Given volume",IF(ISNUMBER(H235),H235*INDEX(VolF,MATCH($H$7,VolU,0)),""),IF(G235="Water weight",AH235,IF(N(AG235)=0,"",AG235)))</f>
        <v/>
      </c>
      <c r="AO235" s="42" t="str">
        <f aca="false">IF(N(AN235)=0,"",AN235*AT235*IF(ISNUMBER(AJ235),AJ235,CC_DefCirc))</f>
        <v/>
      </c>
      <c r="AP235" s="27" t="n">
        <f aca="false">IF(ISNUMBER(T235),T235*INDEX(LenF,MATCH($T$7,LenU,0)),IF(ISNUMBER(W235),W235*INDEX(LenF,MATCH($W$7,LenU,0))/CC_PitchRatio,0))</f>
        <v>0</v>
      </c>
      <c r="AQ235" s="27" t="n">
        <f aca="false">IF(ISNUMBER(N235),PI()/4*(N235*INDEX(LenF,MATCH($N$7,LenU,0)))^2,IF(AND(ISNUMBER(S235),ISNUMBER(W235),X235&lt;&gt;""),S235*(W235*INDEX(LenF,MATCH($W$7,LenU,0)))^2*INDEX(LayoutF,MATCH(X235,LayoutU,0)),0))</f>
        <v>0</v>
      </c>
      <c r="AR235" s="27" t="n">
        <f aca="false">IF(ISNUMBER(O235),O235*INDEX(LenF,MATCH($O$7,LenU,0)),IF(ISNUMBER(V235),V235*INDEX(LenF,MATCH($V$7,LenU,0)),0))</f>
        <v>0</v>
      </c>
      <c r="AS235" s="27" t="str">
        <f aca="false">IF(ISNUMBER(L235),L235*INDEX(LenF,MATCH($L$7,LenU,0))*1000,IF(OR(J235="",K235=""),"",IFERROR(IF(INDEX(PipeWT,MATCH(J235,NPSU,0),MATCH(K235,SchU,0))="","Sch n/a",INDEX(PipeOD,MATCH(J235,NPSU,0))-2*INDEX(PipeWT,MATCH(J235,NPSU,0),MATCH(K235,SchU,0))),"")))</f>
        <v/>
      </c>
      <c r="AT235" s="27" t="n">
        <f aca="false">IF(ISNUMBER(AI235),AI235,IFERROR(INDEX(IF(CC_JobType="Decontamination",CC_TypeFillDC,CC_TypeFillCC),MATCH(E235,CC_TypeL,0)),1))</f>
        <v>1</v>
      </c>
      <c r="AU235" s="27" t="n">
        <v>7</v>
      </c>
    </row>
    <row r="236" customFormat="false" ht="15" hidden="false" customHeight="false" outlineLevel="0" collapsed="false">
      <c r="A236" s="36" t="n">
        <v>29</v>
      </c>
      <c r="B236" s="40"/>
      <c r="C236" s="32"/>
      <c r="D236" s="32"/>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1" t="str">
        <f aca="false">IF(E236="Exchanger",IF(AND(ISNUMBER(S236),ISNUMBER(U236),ISNUMBER(V236)),S236*PI()/4*(U236*INDEX(LenF,MATCH($U$7,LenU,0)))^2*V236*INDEX(LenF,MATCH($V$7,LenU,0)),0)+IF(ISNUMBER(Y236),PI()/4*(Y236*INDEX(LenF,MATCH($Y$7,LenU,0)))^2*N(Z236)*INDEX(LenF,MATCH($Z$7,LenU,0))+IF(AA236="",0,IF(AA236="Conical",PI()/12*(Y236*INDEX(LenF,MATCH($Y$7,LenU,0)))^2*(0),INDEX(HeadK,MATCH(AA236,HeadU,0))*(Y236*INDEX(LenF,MATCH($Y$7,LenU,0)))^3)),0)+IF(ISNUMBER(Y236),PI()/4*(Y236*INDEX(LenF,MATCH($Y$7,LenU,0)))^2*N(AB236)*INDEX(LenF,MATCH($AB$7,LenU,0))+IF(AC236="",0,IF(AC236="Conical",PI()/12*(Y236*INDEX(LenF,MATCH($Y$7,LenU,0)))^2*(0),INDEX(HeadK,MATCH(AC236,HeadU,0))*(Y236*INDEX(LenF,MATCH($Y$7,LenU,0)))^3)),0),"")</f>
        <v/>
      </c>
      <c r="AE236" s="41" t="str">
        <f aca="false">IF(OR(E236="",E236="Piping"),"",IF(E236="Exchanger",AQ236*AR236+IF(P236="",0,IF(P236="Conical",PI()/12*(SQRT(4*AQ236/PI()))^2*(0),INDEX(HeadK,MATCH(P236,HeadU,0))*(SQRT(4*AQ236/PI()))^3))-IF(AND(ISNUMBER(S236),ISNUMBER(V236)),S236*PI()/4*AP236^2*V236*INDEX(LenF,MATCH($V$7,LenU,0)),0),IF(ISNUMBER(N236),PI()/4*(N236*INDEX(LenF,MATCH($N$7,LenU,0)))^2*N(O236)*INDEX(LenF,MATCH($O$7,LenU,0))+IF(P236="",0,IF(P236="Conical",PI()/12*(N236*INDEX(LenF,MATCH($N$7,LenU,0)))^2*(N(R236)*INDEX(LenF,MATCH($R$7,LenU,0))),INDEX(HeadK,MATCH(P236,HeadU,0))*(N236*INDEX(LenF,MATCH($N$7,LenU,0)))^3))+IF(Q236="",0,IF(Q236="Conical",PI()/12*(N236*INDEX(LenF,MATCH($N$7,LenU,0)))^2*(N(R236)*INDEX(LenF,MATCH($R$7,LenU,0))),INDEX(HeadK,MATCH(Q236,HeadU,0))*(N236*INDEX(LenF,MATCH($N$7,LenU,0)))^3)),0)))</f>
        <v/>
      </c>
      <c r="AF236" s="41" t="str">
        <f aca="false">IF(E236&lt;&gt;"Piping","",IF(AND(ISNUMBER(AS236),ISNUMBER(M236)),PI()/4*(AS236/1000)^2*M236*INDEX(LenF,MATCH($M$7,LenU,0)),0))</f>
        <v/>
      </c>
      <c r="AG236" s="41" t="str">
        <f aca="false">IF(E236="","",N(AD236)+N(AE236)+N(AF236))</f>
        <v/>
      </c>
      <c r="AH236" s="41" t="str">
        <f aca="false">IF(ISNUMBER(I236),I236*INDEX(WtF,MATCH($I$7,WtU,0))/CC_WaterRho,"")</f>
        <v/>
      </c>
      <c r="AI236" s="31"/>
      <c r="AJ236" s="31"/>
      <c r="AK236" s="40"/>
      <c r="AL236" s="31"/>
      <c r="AM236" s="41" t="str">
        <f aca="false">IF(AO236="","",AO236*IF(ISNUMBER(AK236),AK236,CC_DefFills)*(1+IF(ISNUMBER(AL236),AL236,CC_DefAllow)))</f>
        <v/>
      </c>
      <c r="AN236" s="42" t="str">
        <f aca="false">IF(G236="Given volume",IF(ISNUMBER(H236),H236*INDEX(VolF,MATCH($H$7,VolU,0)),""),IF(G236="Water weight",AH236,IF(N(AG236)=0,"",AG236)))</f>
        <v/>
      </c>
      <c r="AO236" s="42" t="str">
        <f aca="false">IF(N(AN236)=0,"",AN236*AT236*IF(ISNUMBER(AJ236),AJ236,CC_DefCirc))</f>
        <v/>
      </c>
      <c r="AP236" s="27" t="n">
        <f aca="false">IF(ISNUMBER(T236),T236*INDEX(LenF,MATCH($T$7,LenU,0)),IF(ISNUMBER(W236),W236*INDEX(LenF,MATCH($W$7,LenU,0))/CC_PitchRatio,0))</f>
        <v>0</v>
      </c>
      <c r="AQ236" s="27" t="n">
        <f aca="false">IF(ISNUMBER(N236),PI()/4*(N236*INDEX(LenF,MATCH($N$7,LenU,0)))^2,IF(AND(ISNUMBER(S236),ISNUMBER(W236),X236&lt;&gt;""),S236*(W236*INDEX(LenF,MATCH($W$7,LenU,0)))^2*INDEX(LayoutF,MATCH(X236,LayoutU,0)),0))</f>
        <v>0</v>
      </c>
      <c r="AR236" s="27" t="n">
        <f aca="false">IF(ISNUMBER(O236),O236*INDEX(LenF,MATCH($O$7,LenU,0)),IF(ISNUMBER(V236),V236*INDEX(LenF,MATCH($V$7,LenU,0)),0))</f>
        <v>0</v>
      </c>
      <c r="AS236" s="27" t="str">
        <f aca="false">IF(ISNUMBER(L236),L236*INDEX(LenF,MATCH($L$7,LenU,0))*1000,IF(OR(J236="",K236=""),"",IFERROR(IF(INDEX(PipeWT,MATCH(J236,NPSU,0),MATCH(K236,SchU,0))="","Sch n/a",INDEX(PipeOD,MATCH(J236,NPSU,0))-2*INDEX(PipeWT,MATCH(J236,NPSU,0),MATCH(K236,SchU,0))),"")))</f>
        <v/>
      </c>
      <c r="AT236" s="27" t="n">
        <f aca="false">IF(ISNUMBER(AI236),AI236,IFERROR(INDEX(IF(CC_JobType="Decontamination",CC_TypeFillDC,CC_TypeFillCC),MATCH(E236,CC_TypeL,0)),1))</f>
        <v>1</v>
      </c>
      <c r="AU236" s="27" t="n">
        <v>7</v>
      </c>
    </row>
    <row r="237" customFormat="false" ht="15" hidden="false" customHeight="false" outlineLevel="0" collapsed="false">
      <c r="A237" s="36" t="n">
        <v>30</v>
      </c>
      <c r="B237" s="40"/>
      <c r="C237" s="32"/>
      <c r="D237" s="32"/>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1" t="str">
        <f aca="false">IF(E237="Exchanger",IF(AND(ISNUMBER(S237),ISNUMBER(U237),ISNUMBER(V237)),S237*PI()/4*(U237*INDEX(LenF,MATCH($U$7,LenU,0)))^2*V237*INDEX(LenF,MATCH($V$7,LenU,0)),0)+IF(ISNUMBER(Y237),PI()/4*(Y237*INDEX(LenF,MATCH($Y$7,LenU,0)))^2*N(Z237)*INDEX(LenF,MATCH($Z$7,LenU,0))+IF(AA237="",0,IF(AA237="Conical",PI()/12*(Y237*INDEX(LenF,MATCH($Y$7,LenU,0)))^2*(0),INDEX(HeadK,MATCH(AA237,HeadU,0))*(Y237*INDEX(LenF,MATCH($Y$7,LenU,0)))^3)),0)+IF(ISNUMBER(Y237),PI()/4*(Y237*INDEX(LenF,MATCH($Y$7,LenU,0)))^2*N(AB237)*INDEX(LenF,MATCH($AB$7,LenU,0))+IF(AC237="",0,IF(AC237="Conical",PI()/12*(Y237*INDEX(LenF,MATCH($Y$7,LenU,0)))^2*(0),INDEX(HeadK,MATCH(AC237,HeadU,0))*(Y237*INDEX(LenF,MATCH($Y$7,LenU,0)))^3)),0),"")</f>
        <v/>
      </c>
      <c r="AE237" s="41" t="str">
        <f aca="false">IF(OR(E237="",E237="Piping"),"",IF(E237="Exchanger",AQ237*AR237+IF(P237="",0,IF(P237="Conical",PI()/12*(SQRT(4*AQ237/PI()))^2*(0),INDEX(HeadK,MATCH(P237,HeadU,0))*(SQRT(4*AQ237/PI()))^3))-IF(AND(ISNUMBER(S237),ISNUMBER(V237)),S237*PI()/4*AP237^2*V237*INDEX(LenF,MATCH($V$7,LenU,0)),0),IF(ISNUMBER(N237),PI()/4*(N237*INDEX(LenF,MATCH($N$7,LenU,0)))^2*N(O237)*INDEX(LenF,MATCH($O$7,LenU,0))+IF(P237="",0,IF(P237="Conical",PI()/12*(N237*INDEX(LenF,MATCH($N$7,LenU,0)))^2*(N(R237)*INDEX(LenF,MATCH($R$7,LenU,0))),INDEX(HeadK,MATCH(P237,HeadU,0))*(N237*INDEX(LenF,MATCH($N$7,LenU,0)))^3))+IF(Q237="",0,IF(Q237="Conical",PI()/12*(N237*INDEX(LenF,MATCH($N$7,LenU,0)))^2*(N(R237)*INDEX(LenF,MATCH($R$7,LenU,0))),INDEX(HeadK,MATCH(Q237,HeadU,0))*(N237*INDEX(LenF,MATCH($N$7,LenU,0)))^3)),0)))</f>
        <v/>
      </c>
      <c r="AF237" s="41" t="str">
        <f aca="false">IF(E237&lt;&gt;"Piping","",IF(AND(ISNUMBER(AS237),ISNUMBER(M237)),PI()/4*(AS237/1000)^2*M237*INDEX(LenF,MATCH($M$7,LenU,0)),0))</f>
        <v/>
      </c>
      <c r="AG237" s="41" t="str">
        <f aca="false">IF(E237="","",N(AD237)+N(AE237)+N(AF237))</f>
        <v/>
      </c>
      <c r="AH237" s="41" t="str">
        <f aca="false">IF(ISNUMBER(I237),I237*INDEX(WtF,MATCH($I$7,WtU,0))/CC_WaterRho,"")</f>
        <v/>
      </c>
      <c r="AI237" s="31"/>
      <c r="AJ237" s="31"/>
      <c r="AK237" s="40"/>
      <c r="AL237" s="31"/>
      <c r="AM237" s="41" t="str">
        <f aca="false">IF(AO237="","",AO237*IF(ISNUMBER(AK237),AK237,CC_DefFills)*(1+IF(ISNUMBER(AL237),AL237,CC_DefAllow)))</f>
        <v/>
      </c>
      <c r="AN237" s="42" t="str">
        <f aca="false">IF(G237="Given volume",IF(ISNUMBER(H237),H237*INDEX(VolF,MATCH($H$7,VolU,0)),""),IF(G237="Water weight",AH237,IF(N(AG237)=0,"",AG237)))</f>
        <v/>
      </c>
      <c r="AO237" s="42" t="str">
        <f aca="false">IF(N(AN237)=0,"",AN237*AT237*IF(ISNUMBER(AJ237),AJ237,CC_DefCirc))</f>
        <v/>
      </c>
      <c r="AP237" s="27" t="n">
        <f aca="false">IF(ISNUMBER(T237),T237*INDEX(LenF,MATCH($T$7,LenU,0)),IF(ISNUMBER(W237),W237*INDEX(LenF,MATCH($W$7,LenU,0))/CC_PitchRatio,0))</f>
        <v>0</v>
      </c>
      <c r="AQ237" s="27" t="n">
        <f aca="false">IF(ISNUMBER(N237),PI()/4*(N237*INDEX(LenF,MATCH($N$7,LenU,0)))^2,IF(AND(ISNUMBER(S237),ISNUMBER(W237),X237&lt;&gt;""),S237*(W237*INDEX(LenF,MATCH($W$7,LenU,0)))^2*INDEX(LayoutF,MATCH(X237,LayoutU,0)),0))</f>
        <v>0</v>
      </c>
      <c r="AR237" s="27" t="n">
        <f aca="false">IF(ISNUMBER(O237),O237*INDEX(LenF,MATCH($O$7,LenU,0)),IF(ISNUMBER(V237),V237*INDEX(LenF,MATCH($V$7,LenU,0)),0))</f>
        <v>0</v>
      </c>
      <c r="AS237" s="27" t="str">
        <f aca="false">IF(ISNUMBER(L237),L237*INDEX(LenF,MATCH($L$7,LenU,0))*1000,IF(OR(J237="",K237=""),"",IFERROR(IF(INDEX(PipeWT,MATCH(J237,NPSU,0),MATCH(K237,SchU,0))="","Sch n/a",INDEX(PipeOD,MATCH(J237,NPSU,0))-2*INDEX(PipeWT,MATCH(J237,NPSU,0),MATCH(K237,SchU,0))),"")))</f>
        <v/>
      </c>
      <c r="AT237" s="27" t="n">
        <f aca="false">IF(ISNUMBER(AI237),AI237,IFERROR(INDEX(IF(CC_JobType="Decontamination",CC_TypeFillDC,CC_TypeFillCC),MATCH(E237,CC_TypeL,0)),1))</f>
        <v>1</v>
      </c>
      <c r="AU237" s="27" t="n">
        <v>7</v>
      </c>
    </row>
    <row r="238" customFormat="false" ht="15" hidden="false" customHeight="false" outlineLevel="0" collapsed="false">
      <c r="A238" s="44" t="str">
        <f aca="false">"TOTAL – "&amp;INDEX(CC_UnitNames,7)</f>
        <v>TOTAL – Unit 7</v>
      </c>
      <c r="B238" s="44"/>
      <c r="C238" s="44"/>
      <c r="D238" s="44"/>
      <c r="E238" s="45"/>
      <c r="F238" s="45"/>
      <c r="G238" s="45"/>
      <c r="H238" s="45"/>
      <c r="I238" s="45"/>
      <c r="J238" s="45"/>
      <c r="K238" s="45"/>
      <c r="L238" s="45"/>
      <c r="M238" s="45"/>
      <c r="N238" s="45"/>
      <c r="O238" s="45"/>
      <c r="P238" s="45"/>
      <c r="Q238" s="45"/>
      <c r="R238" s="45"/>
      <c r="S238" s="46" t="str">
        <f aca="false">COUNT(AN208:AN237)&amp;" items"</f>
        <v>0 items</v>
      </c>
      <c r="T238" s="45"/>
      <c r="U238" s="45"/>
      <c r="V238" s="45"/>
      <c r="W238" s="45"/>
      <c r="X238" s="45"/>
      <c r="Y238" s="45"/>
      <c r="Z238" s="45"/>
      <c r="AA238" s="45"/>
      <c r="AB238" s="45"/>
      <c r="AC238" s="45"/>
      <c r="AD238" s="47" t="n">
        <f aca="false">SUM(AD208:AD237)</f>
        <v>0</v>
      </c>
      <c r="AE238" s="47" t="n">
        <f aca="false">SUM(AE208:AE237)</f>
        <v>0</v>
      </c>
      <c r="AF238" s="47" t="n">
        <f aca="false">SUM(AF208:AF237)</f>
        <v>0</v>
      </c>
      <c r="AG238" s="47" t="n">
        <f aca="false">SUM(AG208:AG237)</f>
        <v>0</v>
      </c>
      <c r="AH238" s="47" t="n">
        <f aca="false">SUM(AH208:AH237)</f>
        <v>0</v>
      </c>
      <c r="AI238" s="45"/>
      <c r="AJ238" s="45"/>
      <c r="AK238" s="45"/>
      <c r="AL238" s="45"/>
      <c r="AM238" s="47" t="n">
        <f aca="false">SUM(AM208:AM237)</f>
        <v>0</v>
      </c>
      <c r="AN238" s="47" t="n">
        <f aca="false">SUM(AN208:AN237)</f>
        <v>0</v>
      </c>
      <c r="AO238" s="47" t="n">
        <f aca="false">SUM(AO208:AO237)</f>
        <v>0</v>
      </c>
    </row>
    <row r="240" customFormat="false" ht="15" hidden="false" customHeight="false" outlineLevel="0" collapsed="false">
      <c r="A240" s="38" t="str">
        <f aca="false">"UNIT 8:  "&amp;INDEX(CC_UnitNames,8)</f>
        <v>UNIT 8:  Unit 8</v>
      </c>
      <c r="B240" s="38"/>
      <c r="C240" s="38"/>
      <c r="D240" s="38"/>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row>
    <row r="241" customFormat="false" ht="15" hidden="false" customHeight="false" outlineLevel="0" collapsed="false">
      <c r="A241" s="36" t="n">
        <v>1</v>
      </c>
      <c r="B241" s="40"/>
      <c r="C241" s="32"/>
      <c r="D241" s="32"/>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1" t="str">
        <f aca="false">IF(E241="Exchanger",IF(AND(ISNUMBER(S241),ISNUMBER(U241),ISNUMBER(V241)),S241*PI()/4*(U241*INDEX(LenF,MATCH($U$7,LenU,0)))^2*V241*INDEX(LenF,MATCH($V$7,LenU,0)),0)+IF(ISNUMBER(Y241),PI()/4*(Y241*INDEX(LenF,MATCH($Y$7,LenU,0)))^2*N(Z241)*INDEX(LenF,MATCH($Z$7,LenU,0))+IF(AA241="",0,IF(AA241="Conical",PI()/12*(Y241*INDEX(LenF,MATCH($Y$7,LenU,0)))^2*(0),INDEX(HeadK,MATCH(AA241,HeadU,0))*(Y241*INDEX(LenF,MATCH($Y$7,LenU,0)))^3)),0)+IF(ISNUMBER(Y241),PI()/4*(Y241*INDEX(LenF,MATCH($Y$7,LenU,0)))^2*N(AB241)*INDEX(LenF,MATCH($AB$7,LenU,0))+IF(AC241="",0,IF(AC241="Conical",PI()/12*(Y241*INDEX(LenF,MATCH($Y$7,LenU,0)))^2*(0),INDEX(HeadK,MATCH(AC241,HeadU,0))*(Y241*INDEX(LenF,MATCH($Y$7,LenU,0)))^3)),0),"")</f>
        <v/>
      </c>
      <c r="AE241" s="41" t="str">
        <f aca="false">IF(OR(E241="",E241="Piping"),"",IF(E241="Exchanger",AQ241*AR241+IF(P241="",0,IF(P241="Conical",PI()/12*(SQRT(4*AQ241/PI()))^2*(0),INDEX(HeadK,MATCH(P241,HeadU,0))*(SQRT(4*AQ241/PI()))^3))-IF(AND(ISNUMBER(S241),ISNUMBER(V241)),S241*PI()/4*AP241^2*V241*INDEX(LenF,MATCH($V$7,LenU,0)),0),IF(ISNUMBER(N241),PI()/4*(N241*INDEX(LenF,MATCH($N$7,LenU,0)))^2*N(O241)*INDEX(LenF,MATCH($O$7,LenU,0))+IF(P241="",0,IF(P241="Conical",PI()/12*(N241*INDEX(LenF,MATCH($N$7,LenU,0)))^2*(N(R241)*INDEX(LenF,MATCH($R$7,LenU,0))),INDEX(HeadK,MATCH(P241,HeadU,0))*(N241*INDEX(LenF,MATCH($N$7,LenU,0)))^3))+IF(Q241="",0,IF(Q241="Conical",PI()/12*(N241*INDEX(LenF,MATCH($N$7,LenU,0)))^2*(N(R241)*INDEX(LenF,MATCH($R$7,LenU,0))),INDEX(HeadK,MATCH(Q241,HeadU,0))*(N241*INDEX(LenF,MATCH($N$7,LenU,0)))^3)),0)))</f>
        <v/>
      </c>
      <c r="AF241" s="41" t="str">
        <f aca="false">IF(E241&lt;&gt;"Piping","",IF(AND(ISNUMBER(AS241),ISNUMBER(M241)),PI()/4*(AS241/1000)^2*M241*INDEX(LenF,MATCH($M$7,LenU,0)),0))</f>
        <v/>
      </c>
      <c r="AG241" s="41" t="str">
        <f aca="false">IF(E241="","",N(AD241)+N(AE241)+N(AF241))</f>
        <v/>
      </c>
      <c r="AH241" s="41" t="str">
        <f aca="false">IF(ISNUMBER(I241),I241*INDEX(WtF,MATCH($I$7,WtU,0))/CC_WaterRho,"")</f>
        <v/>
      </c>
      <c r="AI241" s="31"/>
      <c r="AJ241" s="31"/>
      <c r="AK241" s="40"/>
      <c r="AL241" s="31"/>
      <c r="AM241" s="41" t="str">
        <f aca="false">IF(AO241="","",AO241*IF(ISNUMBER(AK241),AK241,CC_DefFills)*(1+IF(ISNUMBER(AL241),AL241,CC_DefAllow)))</f>
        <v/>
      </c>
      <c r="AN241" s="42" t="str">
        <f aca="false">IF(G241="Given volume",IF(ISNUMBER(H241),H241*INDEX(VolF,MATCH($H$7,VolU,0)),""),IF(G241="Water weight",AH241,IF(N(AG241)=0,"",AG241)))</f>
        <v/>
      </c>
      <c r="AO241" s="42" t="str">
        <f aca="false">IF(N(AN241)=0,"",AN241*AT241*IF(ISNUMBER(AJ241),AJ241,CC_DefCirc))</f>
        <v/>
      </c>
      <c r="AP241" s="27" t="n">
        <f aca="false">IF(ISNUMBER(T241),T241*INDEX(LenF,MATCH($T$7,LenU,0)),IF(ISNUMBER(W241),W241*INDEX(LenF,MATCH($W$7,LenU,0))/CC_PitchRatio,0))</f>
        <v>0</v>
      </c>
      <c r="AQ241" s="27" t="n">
        <f aca="false">IF(ISNUMBER(N241),PI()/4*(N241*INDEX(LenF,MATCH($N$7,LenU,0)))^2,IF(AND(ISNUMBER(S241),ISNUMBER(W241),X241&lt;&gt;""),S241*(W241*INDEX(LenF,MATCH($W$7,LenU,0)))^2*INDEX(LayoutF,MATCH(X241,LayoutU,0)),0))</f>
        <v>0</v>
      </c>
      <c r="AR241" s="27" t="n">
        <f aca="false">IF(ISNUMBER(O241),O241*INDEX(LenF,MATCH($O$7,LenU,0)),IF(ISNUMBER(V241),V241*INDEX(LenF,MATCH($V$7,LenU,0)),0))</f>
        <v>0</v>
      </c>
      <c r="AS241" s="27" t="str">
        <f aca="false">IF(ISNUMBER(L241),L241*INDEX(LenF,MATCH($L$7,LenU,0))*1000,IF(OR(J241="",K241=""),"",IFERROR(IF(INDEX(PipeWT,MATCH(J241,NPSU,0),MATCH(K241,SchU,0))="","Sch n/a",INDEX(PipeOD,MATCH(J241,NPSU,0))-2*INDEX(PipeWT,MATCH(J241,NPSU,0),MATCH(K241,SchU,0))),"")))</f>
        <v/>
      </c>
      <c r="AT241" s="27" t="n">
        <f aca="false">IF(ISNUMBER(AI241),AI241,IFERROR(INDEX(IF(CC_JobType="Decontamination",CC_TypeFillDC,CC_TypeFillCC),MATCH(E241,CC_TypeL,0)),1))</f>
        <v>1</v>
      </c>
      <c r="AU241" s="27" t="n">
        <v>8</v>
      </c>
    </row>
    <row r="242" customFormat="false" ht="15" hidden="false" customHeight="false" outlineLevel="0" collapsed="false">
      <c r="A242" s="36" t="n">
        <v>2</v>
      </c>
      <c r="B242" s="40"/>
      <c r="C242" s="32"/>
      <c r="D242" s="32"/>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1" t="str">
        <f aca="false">IF(E242="Exchanger",IF(AND(ISNUMBER(S242),ISNUMBER(U242),ISNUMBER(V242)),S242*PI()/4*(U242*INDEX(LenF,MATCH($U$7,LenU,0)))^2*V242*INDEX(LenF,MATCH($V$7,LenU,0)),0)+IF(ISNUMBER(Y242),PI()/4*(Y242*INDEX(LenF,MATCH($Y$7,LenU,0)))^2*N(Z242)*INDEX(LenF,MATCH($Z$7,LenU,0))+IF(AA242="",0,IF(AA242="Conical",PI()/12*(Y242*INDEX(LenF,MATCH($Y$7,LenU,0)))^2*(0),INDEX(HeadK,MATCH(AA242,HeadU,0))*(Y242*INDEX(LenF,MATCH($Y$7,LenU,0)))^3)),0)+IF(ISNUMBER(Y242),PI()/4*(Y242*INDEX(LenF,MATCH($Y$7,LenU,0)))^2*N(AB242)*INDEX(LenF,MATCH($AB$7,LenU,0))+IF(AC242="",0,IF(AC242="Conical",PI()/12*(Y242*INDEX(LenF,MATCH($Y$7,LenU,0)))^2*(0),INDEX(HeadK,MATCH(AC242,HeadU,0))*(Y242*INDEX(LenF,MATCH($Y$7,LenU,0)))^3)),0),"")</f>
        <v/>
      </c>
      <c r="AE242" s="41" t="str">
        <f aca="false">IF(OR(E242="",E242="Piping"),"",IF(E242="Exchanger",AQ242*AR242+IF(P242="",0,IF(P242="Conical",PI()/12*(SQRT(4*AQ242/PI()))^2*(0),INDEX(HeadK,MATCH(P242,HeadU,0))*(SQRT(4*AQ242/PI()))^3))-IF(AND(ISNUMBER(S242),ISNUMBER(V242)),S242*PI()/4*AP242^2*V242*INDEX(LenF,MATCH($V$7,LenU,0)),0),IF(ISNUMBER(N242),PI()/4*(N242*INDEX(LenF,MATCH($N$7,LenU,0)))^2*N(O242)*INDEX(LenF,MATCH($O$7,LenU,0))+IF(P242="",0,IF(P242="Conical",PI()/12*(N242*INDEX(LenF,MATCH($N$7,LenU,0)))^2*(N(R242)*INDEX(LenF,MATCH($R$7,LenU,0))),INDEX(HeadK,MATCH(P242,HeadU,0))*(N242*INDEX(LenF,MATCH($N$7,LenU,0)))^3))+IF(Q242="",0,IF(Q242="Conical",PI()/12*(N242*INDEX(LenF,MATCH($N$7,LenU,0)))^2*(N(R242)*INDEX(LenF,MATCH($R$7,LenU,0))),INDEX(HeadK,MATCH(Q242,HeadU,0))*(N242*INDEX(LenF,MATCH($N$7,LenU,0)))^3)),0)))</f>
        <v/>
      </c>
      <c r="AF242" s="41" t="str">
        <f aca="false">IF(E242&lt;&gt;"Piping","",IF(AND(ISNUMBER(AS242),ISNUMBER(M242)),PI()/4*(AS242/1000)^2*M242*INDEX(LenF,MATCH($M$7,LenU,0)),0))</f>
        <v/>
      </c>
      <c r="AG242" s="41" t="str">
        <f aca="false">IF(E242="","",N(AD242)+N(AE242)+N(AF242))</f>
        <v/>
      </c>
      <c r="AH242" s="41" t="str">
        <f aca="false">IF(ISNUMBER(I242),I242*INDEX(WtF,MATCH($I$7,WtU,0))/CC_WaterRho,"")</f>
        <v/>
      </c>
      <c r="AI242" s="31"/>
      <c r="AJ242" s="31"/>
      <c r="AK242" s="40"/>
      <c r="AL242" s="31"/>
      <c r="AM242" s="41" t="str">
        <f aca="false">IF(AO242="","",AO242*IF(ISNUMBER(AK242),AK242,CC_DefFills)*(1+IF(ISNUMBER(AL242),AL242,CC_DefAllow)))</f>
        <v/>
      </c>
      <c r="AN242" s="42" t="str">
        <f aca="false">IF(G242="Given volume",IF(ISNUMBER(H242),H242*INDEX(VolF,MATCH($H$7,VolU,0)),""),IF(G242="Water weight",AH242,IF(N(AG242)=0,"",AG242)))</f>
        <v/>
      </c>
      <c r="AO242" s="42" t="str">
        <f aca="false">IF(N(AN242)=0,"",AN242*AT242*IF(ISNUMBER(AJ242),AJ242,CC_DefCirc))</f>
        <v/>
      </c>
      <c r="AP242" s="27" t="n">
        <f aca="false">IF(ISNUMBER(T242),T242*INDEX(LenF,MATCH($T$7,LenU,0)),IF(ISNUMBER(W242),W242*INDEX(LenF,MATCH($W$7,LenU,0))/CC_PitchRatio,0))</f>
        <v>0</v>
      </c>
      <c r="AQ242" s="27" t="n">
        <f aca="false">IF(ISNUMBER(N242),PI()/4*(N242*INDEX(LenF,MATCH($N$7,LenU,0)))^2,IF(AND(ISNUMBER(S242),ISNUMBER(W242),X242&lt;&gt;""),S242*(W242*INDEX(LenF,MATCH($W$7,LenU,0)))^2*INDEX(LayoutF,MATCH(X242,LayoutU,0)),0))</f>
        <v>0</v>
      </c>
      <c r="AR242" s="27" t="n">
        <f aca="false">IF(ISNUMBER(O242),O242*INDEX(LenF,MATCH($O$7,LenU,0)),IF(ISNUMBER(V242),V242*INDEX(LenF,MATCH($V$7,LenU,0)),0))</f>
        <v>0</v>
      </c>
      <c r="AS242" s="27" t="str">
        <f aca="false">IF(ISNUMBER(L242),L242*INDEX(LenF,MATCH($L$7,LenU,0))*1000,IF(OR(J242="",K242=""),"",IFERROR(IF(INDEX(PipeWT,MATCH(J242,NPSU,0),MATCH(K242,SchU,0))="","Sch n/a",INDEX(PipeOD,MATCH(J242,NPSU,0))-2*INDEX(PipeWT,MATCH(J242,NPSU,0),MATCH(K242,SchU,0))),"")))</f>
        <v/>
      </c>
      <c r="AT242" s="27" t="n">
        <f aca="false">IF(ISNUMBER(AI242),AI242,IFERROR(INDEX(IF(CC_JobType="Decontamination",CC_TypeFillDC,CC_TypeFillCC),MATCH(E242,CC_TypeL,0)),1))</f>
        <v>1</v>
      </c>
      <c r="AU242" s="27" t="n">
        <v>8</v>
      </c>
    </row>
    <row r="243" customFormat="false" ht="15" hidden="false" customHeight="false" outlineLevel="0" collapsed="false">
      <c r="A243" s="36" t="n">
        <v>3</v>
      </c>
      <c r="B243" s="40"/>
      <c r="C243" s="32"/>
      <c r="D243" s="32"/>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1" t="str">
        <f aca="false">IF(E243="Exchanger",IF(AND(ISNUMBER(S243),ISNUMBER(U243),ISNUMBER(V243)),S243*PI()/4*(U243*INDEX(LenF,MATCH($U$7,LenU,0)))^2*V243*INDEX(LenF,MATCH($V$7,LenU,0)),0)+IF(ISNUMBER(Y243),PI()/4*(Y243*INDEX(LenF,MATCH($Y$7,LenU,0)))^2*N(Z243)*INDEX(LenF,MATCH($Z$7,LenU,0))+IF(AA243="",0,IF(AA243="Conical",PI()/12*(Y243*INDEX(LenF,MATCH($Y$7,LenU,0)))^2*(0),INDEX(HeadK,MATCH(AA243,HeadU,0))*(Y243*INDEX(LenF,MATCH($Y$7,LenU,0)))^3)),0)+IF(ISNUMBER(Y243),PI()/4*(Y243*INDEX(LenF,MATCH($Y$7,LenU,0)))^2*N(AB243)*INDEX(LenF,MATCH($AB$7,LenU,0))+IF(AC243="",0,IF(AC243="Conical",PI()/12*(Y243*INDEX(LenF,MATCH($Y$7,LenU,0)))^2*(0),INDEX(HeadK,MATCH(AC243,HeadU,0))*(Y243*INDEX(LenF,MATCH($Y$7,LenU,0)))^3)),0),"")</f>
        <v/>
      </c>
      <c r="AE243" s="41" t="str">
        <f aca="false">IF(OR(E243="",E243="Piping"),"",IF(E243="Exchanger",AQ243*AR243+IF(P243="",0,IF(P243="Conical",PI()/12*(SQRT(4*AQ243/PI()))^2*(0),INDEX(HeadK,MATCH(P243,HeadU,0))*(SQRT(4*AQ243/PI()))^3))-IF(AND(ISNUMBER(S243),ISNUMBER(V243)),S243*PI()/4*AP243^2*V243*INDEX(LenF,MATCH($V$7,LenU,0)),0),IF(ISNUMBER(N243),PI()/4*(N243*INDEX(LenF,MATCH($N$7,LenU,0)))^2*N(O243)*INDEX(LenF,MATCH($O$7,LenU,0))+IF(P243="",0,IF(P243="Conical",PI()/12*(N243*INDEX(LenF,MATCH($N$7,LenU,0)))^2*(N(R243)*INDEX(LenF,MATCH($R$7,LenU,0))),INDEX(HeadK,MATCH(P243,HeadU,0))*(N243*INDEX(LenF,MATCH($N$7,LenU,0)))^3))+IF(Q243="",0,IF(Q243="Conical",PI()/12*(N243*INDEX(LenF,MATCH($N$7,LenU,0)))^2*(N(R243)*INDEX(LenF,MATCH($R$7,LenU,0))),INDEX(HeadK,MATCH(Q243,HeadU,0))*(N243*INDEX(LenF,MATCH($N$7,LenU,0)))^3)),0)))</f>
        <v/>
      </c>
      <c r="AF243" s="41" t="str">
        <f aca="false">IF(E243&lt;&gt;"Piping","",IF(AND(ISNUMBER(AS243),ISNUMBER(M243)),PI()/4*(AS243/1000)^2*M243*INDEX(LenF,MATCH($M$7,LenU,0)),0))</f>
        <v/>
      </c>
      <c r="AG243" s="41" t="str">
        <f aca="false">IF(E243="","",N(AD243)+N(AE243)+N(AF243))</f>
        <v/>
      </c>
      <c r="AH243" s="41" t="str">
        <f aca="false">IF(ISNUMBER(I243),I243*INDEX(WtF,MATCH($I$7,WtU,0))/CC_WaterRho,"")</f>
        <v/>
      </c>
      <c r="AI243" s="31"/>
      <c r="AJ243" s="31"/>
      <c r="AK243" s="40"/>
      <c r="AL243" s="31"/>
      <c r="AM243" s="41" t="str">
        <f aca="false">IF(AO243="","",AO243*IF(ISNUMBER(AK243),AK243,CC_DefFills)*(1+IF(ISNUMBER(AL243),AL243,CC_DefAllow)))</f>
        <v/>
      </c>
      <c r="AN243" s="42" t="str">
        <f aca="false">IF(G243="Given volume",IF(ISNUMBER(H243),H243*INDEX(VolF,MATCH($H$7,VolU,0)),""),IF(G243="Water weight",AH243,IF(N(AG243)=0,"",AG243)))</f>
        <v/>
      </c>
      <c r="AO243" s="42" t="str">
        <f aca="false">IF(N(AN243)=0,"",AN243*AT243*IF(ISNUMBER(AJ243),AJ243,CC_DefCirc))</f>
        <v/>
      </c>
      <c r="AP243" s="27" t="n">
        <f aca="false">IF(ISNUMBER(T243),T243*INDEX(LenF,MATCH($T$7,LenU,0)),IF(ISNUMBER(W243),W243*INDEX(LenF,MATCH($W$7,LenU,0))/CC_PitchRatio,0))</f>
        <v>0</v>
      </c>
      <c r="AQ243" s="27" t="n">
        <f aca="false">IF(ISNUMBER(N243),PI()/4*(N243*INDEX(LenF,MATCH($N$7,LenU,0)))^2,IF(AND(ISNUMBER(S243),ISNUMBER(W243),X243&lt;&gt;""),S243*(W243*INDEX(LenF,MATCH($W$7,LenU,0)))^2*INDEX(LayoutF,MATCH(X243,LayoutU,0)),0))</f>
        <v>0</v>
      </c>
      <c r="AR243" s="27" t="n">
        <f aca="false">IF(ISNUMBER(O243),O243*INDEX(LenF,MATCH($O$7,LenU,0)),IF(ISNUMBER(V243),V243*INDEX(LenF,MATCH($V$7,LenU,0)),0))</f>
        <v>0</v>
      </c>
      <c r="AS243" s="27" t="str">
        <f aca="false">IF(ISNUMBER(L243),L243*INDEX(LenF,MATCH($L$7,LenU,0))*1000,IF(OR(J243="",K243=""),"",IFERROR(IF(INDEX(PipeWT,MATCH(J243,NPSU,0),MATCH(K243,SchU,0))="","Sch n/a",INDEX(PipeOD,MATCH(J243,NPSU,0))-2*INDEX(PipeWT,MATCH(J243,NPSU,0),MATCH(K243,SchU,0))),"")))</f>
        <v/>
      </c>
      <c r="AT243" s="27" t="n">
        <f aca="false">IF(ISNUMBER(AI243),AI243,IFERROR(INDEX(IF(CC_JobType="Decontamination",CC_TypeFillDC,CC_TypeFillCC),MATCH(E243,CC_TypeL,0)),1))</f>
        <v>1</v>
      </c>
      <c r="AU243" s="27" t="n">
        <v>8</v>
      </c>
    </row>
    <row r="244" customFormat="false" ht="15" hidden="false" customHeight="false" outlineLevel="0" collapsed="false">
      <c r="A244" s="36" t="n">
        <v>4</v>
      </c>
      <c r="B244" s="40"/>
      <c r="C244" s="32"/>
      <c r="D244" s="32"/>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1" t="str">
        <f aca="false">IF(E244="Exchanger",IF(AND(ISNUMBER(S244),ISNUMBER(U244),ISNUMBER(V244)),S244*PI()/4*(U244*INDEX(LenF,MATCH($U$7,LenU,0)))^2*V244*INDEX(LenF,MATCH($V$7,LenU,0)),0)+IF(ISNUMBER(Y244),PI()/4*(Y244*INDEX(LenF,MATCH($Y$7,LenU,0)))^2*N(Z244)*INDEX(LenF,MATCH($Z$7,LenU,0))+IF(AA244="",0,IF(AA244="Conical",PI()/12*(Y244*INDEX(LenF,MATCH($Y$7,LenU,0)))^2*(0),INDEX(HeadK,MATCH(AA244,HeadU,0))*(Y244*INDEX(LenF,MATCH($Y$7,LenU,0)))^3)),0)+IF(ISNUMBER(Y244),PI()/4*(Y244*INDEX(LenF,MATCH($Y$7,LenU,0)))^2*N(AB244)*INDEX(LenF,MATCH($AB$7,LenU,0))+IF(AC244="",0,IF(AC244="Conical",PI()/12*(Y244*INDEX(LenF,MATCH($Y$7,LenU,0)))^2*(0),INDEX(HeadK,MATCH(AC244,HeadU,0))*(Y244*INDEX(LenF,MATCH($Y$7,LenU,0)))^3)),0),"")</f>
        <v/>
      </c>
      <c r="AE244" s="41" t="str">
        <f aca="false">IF(OR(E244="",E244="Piping"),"",IF(E244="Exchanger",AQ244*AR244+IF(P244="",0,IF(P244="Conical",PI()/12*(SQRT(4*AQ244/PI()))^2*(0),INDEX(HeadK,MATCH(P244,HeadU,0))*(SQRT(4*AQ244/PI()))^3))-IF(AND(ISNUMBER(S244),ISNUMBER(V244)),S244*PI()/4*AP244^2*V244*INDEX(LenF,MATCH($V$7,LenU,0)),0),IF(ISNUMBER(N244),PI()/4*(N244*INDEX(LenF,MATCH($N$7,LenU,0)))^2*N(O244)*INDEX(LenF,MATCH($O$7,LenU,0))+IF(P244="",0,IF(P244="Conical",PI()/12*(N244*INDEX(LenF,MATCH($N$7,LenU,0)))^2*(N(R244)*INDEX(LenF,MATCH($R$7,LenU,0))),INDEX(HeadK,MATCH(P244,HeadU,0))*(N244*INDEX(LenF,MATCH($N$7,LenU,0)))^3))+IF(Q244="",0,IF(Q244="Conical",PI()/12*(N244*INDEX(LenF,MATCH($N$7,LenU,0)))^2*(N(R244)*INDEX(LenF,MATCH($R$7,LenU,0))),INDEX(HeadK,MATCH(Q244,HeadU,0))*(N244*INDEX(LenF,MATCH($N$7,LenU,0)))^3)),0)))</f>
        <v/>
      </c>
      <c r="AF244" s="41" t="str">
        <f aca="false">IF(E244&lt;&gt;"Piping","",IF(AND(ISNUMBER(AS244),ISNUMBER(M244)),PI()/4*(AS244/1000)^2*M244*INDEX(LenF,MATCH($M$7,LenU,0)),0))</f>
        <v/>
      </c>
      <c r="AG244" s="41" t="str">
        <f aca="false">IF(E244="","",N(AD244)+N(AE244)+N(AF244))</f>
        <v/>
      </c>
      <c r="AH244" s="41" t="str">
        <f aca="false">IF(ISNUMBER(I244),I244*INDEX(WtF,MATCH($I$7,WtU,0))/CC_WaterRho,"")</f>
        <v/>
      </c>
      <c r="AI244" s="31"/>
      <c r="AJ244" s="31"/>
      <c r="AK244" s="40"/>
      <c r="AL244" s="31"/>
      <c r="AM244" s="41" t="str">
        <f aca="false">IF(AO244="","",AO244*IF(ISNUMBER(AK244),AK244,CC_DefFills)*(1+IF(ISNUMBER(AL244),AL244,CC_DefAllow)))</f>
        <v/>
      </c>
      <c r="AN244" s="42" t="str">
        <f aca="false">IF(G244="Given volume",IF(ISNUMBER(H244),H244*INDEX(VolF,MATCH($H$7,VolU,0)),""),IF(G244="Water weight",AH244,IF(N(AG244)=0,"",AG244)))</f>
        <v/>
      </c>
      <c r="AO244" s="42" t="str">
        <f aca="false">IF(N(AN244)=0,"",AN244*AT244*IF(ISNUMBER(AJ244),AJ244,CC_DefCirc))</f>
        <v/>
      </c>
      <c r="AP244" s="27" t="n">
        <f aca="false">IF(ISNUMBER(T244),T244*INDEX(LenF,MATCH($T$7,LenU,0)),IF(ISNUMBER(W244),W244*INDEX(LenF,MATCH($W$7,LenU,0))/CC_PitchRatio,0))</f>
        <v>0</v>
      </c>
      <c r="AQ244" s="27" t="n">
        <f aca="false">IF(ISNUMBER(N244),PI()/4*(N244*INDEX(LenF,MATCH($N$7,LenU,0)))^2,IF(AND(ISNUMBER(S244),ISNUMBER(W244),X244&lt;&gt;""),S244*(W244*INDEX(LenF,MATCH($W$7,LenU,0)))^2*INDEX(LayoutF,MATCH(X244,LayoutU,0)),0))</f>
        <v>0</v>
      </c>
      <c r="AR244" s="27" t="n">
        <f aca="false">IF(ISNUMBER(O244),O244*INDEX(LenF,MATCH($O$7,LenU,0)),IF(ISNUMBER(V244),V244*INDEX(LenF,MATCH($V$7,LenU,0)),0))</f>
        <v>0</v>
      </c>
      <c r="AS244" s="27" t="str">
        <f aca="false">IF(ISNUMBER(L244),L244*INDEX(LenF,MATCH($L$7,LenU,0))*1000,IF(OR(J244="",K244=""),"",IFERROR(IF(INDEX(PipeWT,MATCH(J244,NPSU,0),MATCH(K244,SchU,0))="","Sch n/a",INDEX(PipeOD,MATCH(J244,NPSU,0))-2*INDEX(PipeWT,MATCH(J244,NPSU,0),MATCH(K244,SchU,0))),"")))</f>
        <v/>
      </c>
      <c r="AT244" s="27" t="n">
        <f aca="false">IF(ISNUMBER(AI244),AI244,IFERROR(INDEX(IF(CC_JobType="Decontamination",CC_TypeFillDC,CC_TypeFillCC),MATCH(E244,CC_TypeL,0)),1))</f>
        <v>1</v>
      </c>
      <c r="AU244" s="27" t="n">
        <v>8</v>
      </c>
    </row>
    <row r="245" customFormat="false" ht="15" hidden="false" customHeight="false" outlineLevel="0" collapsed="false">
      <c r="A245" s="36" t="n">
        <v>5</v>
      </c>
      <c r="B245" s="40"/>
      <c r="C245" s="32"/>
      <c r="D245" s="32"/>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1" t="str">
        <f aca="false">IF(E245="Exchanger",IF(AND(ISNUMBER(S245),ISNUMBER(U245),ISNUMBER(V245)),S245*PI()/4*(U245*INDEX(LenF,MATCH($U$7,LenU,0)))^2*V245*INDEX(LenF,MATCH($V$7,LenU,0)),0)+IF(ISNUMBER(Y245),PI()/4*(Y245*INDEX(LenF,MATCH($Y$7,LenU,0)))^2*N(Z245)*INDEX(LenF,MATCH($Z$7,LenU,0))+IF(AA245="",0,IF(AA245="Conical",PI()/12*(Y245*INDEX(LenF,MATCH($Y$7,LenU,0)))^2*(0),INDEX(HeadK,MATCH(AA245,HeadU,0))*(Y245*INDEX(LenF,MATCH($Y$7,LenU,0)))^3)),0)+IF(ISNUMBER(Y245),PI()/4*(Y245*INDEX(LenF,MATCH($Y$7,LenU,0)))^2*N(AB245)*INDEX(LenF,MATCH($AB$7,LenU,0))+IF(AC245="",0,IF(AC245="Conical",PI()/12*(Y245*INDEX(LenF,MATCH($Y$7,LenU,0)))^2*(0),INDEX(HeadK,MATCH(AC245,HeadU,0))*(Y245*INDEX(LenF,MATCH($Y$7,LenU,0)))^3)),0),"")</f>
        <v/>
      </c>
      <c r="AE245" s="41" t="str">
        <f aca="false">IF(OR(E245="",E245="Piping"),"",IF(E245="Exchanger",AQ245*AR245+IF(P245="",0,IF(P245="Conical",PI()/12*(SQRT(4*AQ245/PI()))^2*(0),INDEX(HeadK,MATCH(P245,HeadU,0))*(SQRT(4*AQ245/PI()))^3))-IF(AND(ISNUMBER(S245),ISNUMBER(V245)),S245*PI()/4*AP245^2*V245*INDEX(LenF,MATCH($V$7,LenU,0)),0),IF(ISNUMBER(N245),PI()/4*(N245*INDEX(LenF,MATCH($N$7,LenU,0)))^2*N(O245)*INDEX(LenF,MATCH($O$7,LenU,0))+IF(P245="",0,IF(P245="Conical",PI()/12*(N245*INDEX(LenF,MATCH($N$7,LenU,0)))^2*(N(R245)*INDEX(LenF,MATCH($R$7,LenU,0))),INDEX(HeadK,MATCH(P245,HeadU,0))*(N245*INDEX(LenF,MATCH($N$7,LenU,0)))^3))+IF(Q245="",0,IF(Q245="Conical",PI()/12*(N245*INDEX(LenF,MATCH($N$7,LenU,0)))^2*(N(R245)*INDEX(LenF,MATCH($R$7,LenU,0))),INDEX(HeadK,MATCH(Q245,HeadU,0))*(N245*INDEX(LenF,MATCH($N$7,LenU,0)))^3)),0)))</f>
        <v/>
      </c>
      <c r="AF245" s="41" t="str">
        <f aca="false">IF(E245&lt;&gt;"Piping","",IF(AND(ISNUMBER(AS245),ISNUMBER(M245)),PI()/4*(AS245/1000)^2*M245*INDEX(LenF,MATCH($M$7,LenU,0)),0))</f>
        <v/>
      </c>
      <c r="AG245" s="41" t="str">
        <f aca="false">IF(E245="","",N(AD245)+N(AE245)+N(AF245))</f>
        <v/>
      </c>
      <c r="AH245" s="41" t="str">
        <f aca="false">IF(ISNUMBER(I245),I245*INDEX(WtF,MATCH($I$7,WtU,0))/CC_WaterRho,"")</f>
        <v/>
      </c>
      <c r="AI245" s="31"/>
      <c r="AJ245" s="31"/>
      <c r="AK245" s="40"/>
      <c r="AL245" s="31"/>
      <c r="AM245" s="41" t="str">
        <f aca="false">IF(AO245="","",AO245*IF(ISNUMBER(AK245),AK245,CC_DefFills)*(1+IF(ISNUMBER(AL245),AL245,CC_DefAllow)))</f>
        <v/>
      </c>
      <c r="AN245" s="42" t="str">
        <f aca="false">IF(G245="Given volume",IF(ISNUMBER(H245),H245*INDEX(VolF,MATCH($H$7,VolU,0)),""),IF(G245="Water weight",AH245,IF(N(AG245)=0,"",AG245)))</f>
        <v/>
      </c>
      <c r="AO245" s="42" t="str">
        <f aca="false">IF(N(AN245)=0,"",AN245*AT245*IF(ISNUMBER(AJ245),AJ245,CC_DefCirc))</f>
        <v/>
      </c>
      <c r="AP245" s="27" t="n">
        <f aca="false">IF(ISNUMBER(T245),T245*INDEX(LenF,MATCH($T$7,LenU,0)),IF(ISNUMBER(W245),W245*INDEX(LenF,MATCH($W$7,LenU,0))/CC_PitchRatio,0))</f>
        <v>0</v>
      </c>
      <c r="AQ245" s="27" t="n">
        <f aca="false">IF(ISNUMBER(N245),PI()/4*(N245*INDEX(LenF,MATCH($N$7,LenU,0)))^2,IF(AND(ISNUMBER(S245),ISNUMBER(W245),X245&lt;&gt;""),S245*(W245*INDEX(LenF,MATCH($W$7,LenU,0)))^2*INDEX(LayoutF,MATCH(X245,LayoutU,0)),0))</f>
        <v>0</v>
      </c>
      <c r="AR245" s="27" t="n">
        <f aca="false">IF(ISNUMBER(O245),O245*INDEX(LenF,MATCH($O$7,LenU,0)),IF(ISNUMBER(V245),V245*INDEX(LenF,MATCH($V$7,LenU,0)),0))</f>
        <v>0</v>
      </c>
      <c r="AS245" s="27" t="str">
        <f aca="false">IF(ISNUMBER(L245),L245*INDEX(LenF,MATCH($L$7,LenU,0))*1000,IF(OR(J245="",K245=""),"",IFERROR(IF(INDEX(PipeWT,MATCH(J245,NPSU,0),MATCH(K245,SchU,0))="","Sch n/a",INDEX(PipeOD,MATCH(J245,NPSU,0))-2*INDEX(PipeWT,MATCH(J245,NPSU,0),MATCH(K245,SchU,0))),"")))</f>
        <v/>
      </c>
      <c r="AT245" s="27" t="n">
        <f aca="false">IF(ISNUMBER(AI245),AI245,IFERROR(INDEX(IF(CC_JobType="Decontamination",CC_TypeFillDC,CC_TypeFillCC),MATCH(E245,CC_TypeL,0)),1))</f>
        <v>1</v>
      </c>
      <c r="AU245" s="27" t="n">
        <v>8</v>
      </c>
    </row>
    <row r="246" customFormat="false" ht="15" hidden="false" customHeight="false" outlineLevel="0" collapsed="false">
      <c r="A246" s="36" t="n">
        <v>6</v>
      </c>
      <c r="B246" s="40"/>
      <c r="C246" s="32"/>
      <c r="D246" s="32"/>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1" t="str">
        <f aca="false">IF(E246="Exchanger",IF(AND(ISNUMBER(S246),ISNUMBER(U246),ISNUMBER(V246)),S246*PI()/4*(U246*INDEX(LenF,MATCH($U$7,LenU,0)))^2*V246*INDEX(LenF,MATCH($V$7,LenU,0)),0)+IF(ISNUMBER(Y246),PI()/4*(Y246*INDEX(LenF,MATCH($Y$7,LenU,0)))^2*N(Z246)*INDEX(LenF,MATCH($Z$7,LenU,0))+IF(AA246="",0,IF(AA246="Conical",PI()/12*(Y246*INDEX(LenF,MATCH($Y$7,LenU,0)))^2*(0),INDEX(HeadK,MATCH(AA246,HeadU,0))*(Y246*INDEX(LenF,MATCH($Y$7,LenU,0)))^3)),0)+IF(ISNUMBER(Y246),PI()/4*(Y246*INDEX(LenF,MATCH($Y$7,LenU,0)))^2*N(AB246)*INDEX(LenF,MATCH($AB$7,LenU,0))+IF(AC246="",0,IF(AC246="Conical",PI()/12*(Y246*INDEX(LenF,MATCH($Y$7,LenU,0)))^2*(0),INDEX(HeadK,MATCH(AC246,HeadU,0))*(Y246*INDEX(LenF,MATCH($Y$7,LenU,0)))^3)),0),"")</f>
        <v/>
      </c>
      <c r="AE246" s="41" t="str">
        <f aca="false">IF(OR(E246="",E246="Piping"),"",IF(E246="Exchanger",AQ246*AR246+IF(P246="",0,IF(P246="Conical",PI()/12*(SQRT(4*AQ246/PI()))^2*(0),INDEX(HeadK,MATCH(P246,HeadU,0))*(SQRT(4*AQ246/PI()))^3))-IF(AND(ISNUMBER(S246),ISNUMBER(V246)),S246*PI()/4*AP246^2*V246*INDEX(LenF,MATCH($V$7,LenU,0)),0),IF(ISNUMBER(N246),PI()/4*(N246*INDEX(LenF,MATCH($N$7,LenU,0)))^2*N(O246)*INDEX(LenF,MATCH($O$7,LenU,0))+IF(P246="",0,IF(P246="Conical",PI()/12*(N246*INDEX(LenF,MATCH($N$7,LenU,0)))^2*(N(R246)*INDEX(LenF,MATCH($R$7,LenU,0))),INDEX(HeadK,MATCH(P246,HeadU,0))*(N246*INDEX(LenF,MATCH($N$7,LenU,0)))^3))+IF(Q246="",0,IF(Q246="Conical",PI()/12*(N246*INDEX(LenF,MATCH($N$7,LenU,0)))^2*(N(R246)*INDEX(LenF,MATCH($R$7,LenU,0))),INDEX(HeadK,MATCH(Q246,HeadU,0))*(N246*INDEX(LenF,MATCH($N$7,LenU,0)))^3)),0)))</f>
        <v/>
      </c>
      <c r="AF246" s="41" t="str">
        <f aca="false">IF(E246&lt;&gt;"Piping","",IF(AND(ISNUMBER(AS246),ISNUMBER(M246)),PI()/4*(AS246/1000)^2*M246*INDEX(LenF,MATCH($M$7,LenU,0)),0))</f>
        <v/>
      </c>
      <c r="AG246" s="41" t="str">
        <f aca="false">IF(E246="","",N(AD246)+N(AE246)+N(AF246))</f>
        <v/>
      </c>
      <c r="AH246" s="41" t="str">
        <f aca="false">IF(ISNUMBER(I246),I246*INDEX(WtF,MATCH($I$7,WtU,0))/CC_WaterRho,"")</f>
        <v/>
      </c>
      <c r="AI246" s="31"/>
      <c r="AJ246" s="31"/>
      <c r="AK246" s="40"/>
      <c r="AL246" s="31"/>
      <c r="AM246" s="41" t="str">
        <f aca="false">IF(AO246="","",AO246*IF(ISNUMBER(AK246),AK246,CC_DefFills)*(1+IF(ISNUMBER(AL246),AL246,CC_DefAllow)))</f>
        <v/>
      </c>
      <c r="AN246" s="42" t="str">
        <f aca="false">IF(G246="Given volume",IF(ISNUMBER(H246),H246*INDEX(VolF,MATCH($H$7,VolU,0)),""),IF(G246="Water weight",AH246,IF(N(AG246)=0,"",AG246)))</f>
        <v/>
      </c>
      <c r="AO246" s="42" t="str">
        <f aca="false">IF(N(AN246)=0,"",AN246*AT246*IF(ISNUMBER(AJ246),AJ246,CC_DefCirc))</f>
        <v/>
      </c>
      <c r="AP246" s="27" t="n">
        <f aca="false">IF(ISNUMBER(T246),T246*INDEX(LenF,MATCH($T$7,LenU,0)),IF(ISNUMBER(W246),W246*INDEX(LenF,MATCH($W$7,LenU,0))/CC_PitchRatio,0))</f>
        <v>0</v>
      </c>
      <c r="AQ246" s="27" t="n">
        <f aca="false">IF(ISNUMBER(N246),PI()/4*(N246*INDEX(LenF,MATCH($N$7,LenU,0)))^2,IF(AND(ISNUMBER(S246),ISNUMBER(W246),X246&lt;&gt;""),S246*(W246*INDEX(LenF,MATCH($W$7,LenU,0)))^2*INDEX(LayoutF,MATCH(X246,LayoutU,0)),0))</f>
        <v>0</v>
      </c>
      <c r="AR246" s="27" t="n">
        <f aca="false">IF(ISNUMBER(O246),O246*INDEX(LenF,MATCH($O$7,LenU,0)),IF(ISNUMBER(V246),V246*INDEX(LenF,MATCH($V$7,LenU,0)),0))</f>
        <v>0</v>
      </c>
      <c r="AS246" s="27" t="str">
        <f aca="false">IF(ISNUMBER(L246),L246*INDEX(LenF,MATCH($L$7,LenU,0))*1000,IF(OR(J246="",K246=""),"",IFERROR(IF(INDEX(PipeWT,MATCH(J246,NPSU,0),MATCH(K246,SchU,0))="","Sch n/a",INDEX(PipeOD,MATCH(J246,NPSU,0))-2*INDEX(PipeWT,MATCH(J246,NPSU,0),MATCH(K246,SchU,0))),"")))</f>
        <v/>
      </c>
      <c r="AT246" s="27" t="n">
        <f aca="false">IF(ISNUMBER(AI246),AI246,IFERROR(INDEX(IF(CC_JobType="Decontamination",CC_TypeFillDC,CC_TypeFillCC),MATCH(E246,CC_TypeL,0)),1))</f>
        <v>1</v>
      </c>
      <c r="AU246" s="27" t="n">
        <v>8</v>
      </c>
    </row>
    <row r="247" customFormat="false" ht="15" hidden="false" customHeight="false" outlineLevel="0" collapsed="false">
      <c r="A247" s="36" t="n">
        <v>7</v>
      </c>
      <c r="B247" s="40"/>
      <c r="C247" s="32"/>
      <c r="D247" s="32"/>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1" t="str">
        <f aca="false">IF(E247="Exchanger",IF(AND(ISNUMBER(S247),ISNUMBER(U247),ISNUMBER(V247)),S247*PI()/4*(U247*INDEX(LenF,MATCH($U$7,LenU,0)))^2*V247*INDEX(LenF,MATCH($V$7,LenU,0)),0)+IF(ISNUMBER(Y247),PI()/4*(Y247*INDEX(LenF,MATCH($Y$7,LenU,0)))^2*N(Z247)*INDEX(LenF,MATCH($Z$7,LenU,0))+IF(AA247="",0,IF(AA247="Conical",PI()/12*(Y247*INDEX(LenF,MATCH($Y$7,LenU,0)))^2*(0),INDEX(HeadK,MATCH(AA247,HeadU,0))*(Y247*INDEX(LenF,MATCH($Y$7,LenU,0)))^3)),0)+IF(ISNUMBER(Y247),PI()/4*(Y247*INDEX(LenF,MATCH($Y$7,LenU,0)))^2*N(AB247)*INDEX(LenF,MATCH($AB$7,LenU,0))+IF(AC247="",0,IF(AC247="Conical",PI()/12*(Y247*INDEX(LenF,MATCH($Y$7,LenU,0)))^2*(0),INDEX(HeadK,MATCH(AC247,HeadU,0))*(Y247*INDEX(LenF,MATCH($Y$7,LenU,0)))^3)),0),"")</f>
        <v/>
      </c>
      <c r="AE247" s="41" t="str">
        <f aca="false">IF(OR(E247="",E247="Piping"),"",IF(E247="Exchanger",AQ247*AR247+IF(P247="",0,IF(P247="Conical",PI()/12*(SQRT(4*AQ247/PI()))^2*(0),INDEX(HeadK,MATCH(P247,HeadU,0))*(SQRT(4*AQ247/PI()))^3))-IF(AND(ISNUMBER(S247),ISNUMBER(V247)),S247*PI()/4*AP247^2*V247*INDEX(LenF,MATCH($V$7,LenU,0)),0),IF(ISNUMBER(N247),PI()/4*(N247*INDEX(LenF,MATCH($N$7,LenU,0)))^2*N(O247)*INDEX(LenF,MATCH($O$7,LenU,0))+IF(P247="",0,IF(P247="Conical",PI()/12*(N247*INDEX(LenF,MATCH($N$7,LenU,0)))^2*(N(R247)*INDEX(LenF,MATCH($R$7,LenU,0))),INDEX(HeadK,MATCH(P247,HeadU,0))*(N247*INDEX(LenF,MATCH($N$7,LenU,0)))^3))+IF(Q247="",0,IF(Q247="Conical",PI()/12*(N247*INDEX(LenF,MATCH($N$7,LenU,0)))^2*(N(R247)*INDEX(LenF,MATCH($R$7,LenU,0))),INDEX(HeadK,MATCH(Q247,HeadU,0))*(N247*INDEX(LenF,MATCH($N$7,LenU,0)))^3)),0)))</f>
        <v/>
      </c>
      <c r="AF247" s="41" t="str">
        <f aca="false">IF(E247&lt;&gt;"Piping","",IF(AND(ISNUMBER(AS247),ISNUMBER(M247)),PI()/4*(AS247/1000)^2*M247*INDEX(LenF,MATCH($M$7,LenU,0)),0))</f>
        <v/>
      </c>
      <c r="AG247" s="41" t="str">
        <f aca="false">IF(E247="","",N(AD247)+N(AE247)+N(AF247))</f>
        <v/>
      </c>
      <c r="AH247" s="41" t="str">
        <f aca="false">IF(ISNUMBER(I247),I247*INDEX(WtF,MATCH($I$7,WtU,0))/CC_WaterRho,"")</f>
        <v/>
      </c>
      <c r="AI247" s="31"/>
      <c r="AJ247" s="31"/>
      <c r="AK247" s="40"/>
      <c r="AL247" s="31"/>
      <c r="AM247" s="41" t="str">
        <f aca="false">IF(AO247="","",AO247*IF(ISNUMBER(AK247),AK247,CC_DefFills)*(1+IF(ISNUMBER(AL247),AL247,CC_DefAllow)))</f>
        <v/>
      </c>
      <c r="AN247" s="42" t="str">
        <f aca="false">IF(G247="Given volume",IF(ISNUMBER(H247),H247*INDEX(VolF,MATCH($H$7,VolU,0)),""),IF(G247="Water weight",AH247,IF(N(AG247)=0,"",AG247)))</f>
        <v/>
      </c>
      <c r="AO247" s="42" t="str">
        <f aca="false">IF(N(AN247)=0,"",AN247*AT247*IF(ISNUMBER(AJ247),AJ247,CC_DefCirc))</f>
        <v/>
      </c>
      <c r="AP247" s="27" t="n">
        <f aca="false">IF(ISNUMBER(T247),T247*INDEX(LenF,MATCH($T$7,LenU,0)),IF(ISNUMBER(W247),W247*INDEX(LenF,MATCH($W$7,LenU,0))/CC_PitchRatio,0))</f>
        <v>0</v>
      </c>
      <c r="AQ247" s="27" t="n">
        <f aca="false">IF(ISNUMBER(N247),PI()/4*(N247*INDEX(LenF,MATCH($N$7,LenU,0)))^2,IF(AND(ISNUMBER(S247),ISNUMBER(W247),X247&lt;&gt;""),S247*(W247*INDEX(LenF,MATCH($W$7,LenU,0)))^2*INDEX(LayoutF,MATCH(X247,LayoutU,0)),0))</f>
        <v>0</v>
      </c>
      <c r="AR247" s="27" t="n">
        <f aca="false">IF(ISNUMBER(O247),O247*INDEX(LenF,MATCH($O$7,LenU,0)),IF(ISNUMBER(V247),V247*INDEX(LenF,MATCH($V$7,LenU,0)),0))</f>
        <v>0</v>
      </c>
      <c r="AS247" s="27" t="str">
        <f aca="false">IF(ISNUMBER(L247),L247*INDEX(LenF,MATCH($L$7,LenU,0))*1000,IF(OR(J247="",K247=""),"",IFERROR(IF(INDEX(PipeWT,MATCH(J247,NPSU,0),MATCH(K247,SchU,0))="","Sch n/a",INDEX(PipeOD,MATCH(J247,NPSU,0))-2*INDEX(PipeWT,MATCH(J247,NPSU,0),MATCH(K247,SchU,0))),"")))</f>
        <v/>
      </c>
      <c r="AT247" s="27" t="n">
        <f aca="false">IF(ISNUMBER(AI247),AI247,IFERROR(INDEX(IF(CC_JobType="Decontamination",CC_TypeFillDC,CC_TypeFillCC),MATCH(E247,CC_TypeL,0)),1))</f>
        <v>1</v>
      </c>
      <c r="AU247" s="27" t="n">
        <v>8</v>
      </c>
    </row>
    <row r="248" customFormat="false" ht="15" hidden="false" customHeight="false" outlineLevel="0" collapsed="false">
      <c r="A248" s="36" t="n">
        <v>8</v>
      </c>
      <c r="B248" s="40"/>
      <c r="C248" s="32"/>
      <c r="D248" s="32"/>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1" t="str">
        <f aca="false">IF(E248="Exchanger",IF(AND(ISNUMBER(S248),ISNUMBER(U248),ISNUMBER(V248)),S248*PI()/4*(U248*INDEX(LenF,MATCH($U$7,LenU,0)))^2*V248*INDEX(LenF,MATCH($V$7,LenU,0)),0)+IF(ISNUMBER(Y248),PI()/4*(Y248*INDEX(LenF,MATCH($Y$7,LenU,0)))^2*N(Z248)*INDEX(LenF,MATCH($Z$7,LenU,0))+IF(AA248="",0,IF(AA248="Conical",PI()/12*(Y248*INDEX(LenF,MATCH($Y$7,LenU,0)))^2*(0),INDEX(HeadK,MATCH(AA248,HeadU,0))*(Y248*INDEX(LenF,MATCH($Y$7,LenU,0)))^3)),0)+IF(ISNUMBER(Y248),PI()/4*(Y248*INDEX(LenF,MATCH($Y$7,LenU,0)))^2*N(AB248)*INDEX(LenF,MATCH($AB$7,LenU,0))+IF(AC248="",0,IF(AC248="Conical",PI()/12*(Y248*INDEX(LenF,MATCH($Y$7,LenU,0)))^2*(0),INDEX(HeadK,MATCH(AC248,HeadU,0))*(Y248*INDEX(LenF,MATCH($Y$7,LenU,0)))^3)),0),"")</f>
        <v/>
      </c>
      <c r="AE248" s="41" t="str">
        <f aca="false">IF(OR(E248="",E248="Piping"),"",IF(E248="Exchanger",AQ248*AR248+IF(P248="",0,IF(P248="Conical",PI()/12*(SQRT(4*AQ248/PI()))^2*(0),INDEX(HeadK,MATCH(P248,HeadU,0))*(SQRT(4*AQ248/PI()))^3))-IF(AND(ISNUMBER(S248),ISNUMBER(V248)),S248*PI()/4*AP248^2*V248*INDEX(LenF,MATCH($V$7,LenU,0)),0),IF(ISNUMBER(N248),PI()/4*(N248*INDEX(LenF,MATCH($N$7,LenU,0)))^2*N(O248)*INDEX(LenF,MATCH($O$7,LenU,0))+IF(P248="",0,IF(P248="Conical",PI()/12*(N248*INDEX(LenF,MATCH($N$7,LenU,0)))^2*(N(R248)*INDEX(LenF,MATCH($R$7,LenU,0))),INDEX(HeadK,MATCH(P248,HeadU,0))*(N248*INDEX(LenF,MATCH($N$7,LenU,0)))^3))+IF(Q248="",0,IF(Q248="Conical",PI()/12*(N248*INDEX(LenF,MATCH($N$7,LenU,0)))^2*(N(R248)*INDEX(LenF,MATCH($R$7,LenU,0))),INDEX(HeadK,MATCH(Q248,HeadU,0))*(N248*INDEX(LenF,MATCH($N$7,LenU,0)))^3)),0)))</f>
        <v/>
      </c>
      <c r="AF248" s="41" t="str">
        <f aca="false">IF(E248&lt;&gt;"Piping","",IF(AND(ISNUMBER(AS248),ISNUMBER(M248)),PI()/4*(AS248/1000)^2*M248*INDEX(LenF,MATCH($M$7,LenU,0)),0))</f>
        <v/>
      </c>
      <c r="AG248" s="41" t="str">
        <f aca="false">IF(E248="","",N(AD248)+N(AE248)+N(AF248))</f>
        <v/>
      </c>
      <c r="AH248" s="41" t="str">
        <f aca="false">IF(ISNUMBER(I248),I248*INDEX(WtF,MATCH($I$7,WtU,0))/CC_WaterRho,"")</f>
        <v/>
      </c>
      <c r="AI248" s="31"/>
      <c r="AJ248" s="31"/>
      <c r="AK248" s="40"/>
      <c r="AL248" s="31"/>
      <c r="AM248" s="41" t="str">
        <f aca="false">IF(AO248="","",AO248*IF(ISNUMBER(AK248),AK248,CC_DefFills)*(1+IF(ISNUMBER(AL248),AL248,CC_DefAllow)))</f>
        <v/>
      </c>
      <c r="AN248" s="42" t="str">
        <f aca="false">IF(G248="Given volume",IF(ISNUMBER(H248),H248*INDEX(VolF,MATCH($H$7,VolU,0)),""),IF(G248="Water weight",AH248,IF(N(AG248)=0,"",AG248)))</f>
        <v/>
      </c>
      <c r="AO248" s="42" t="str">
        <f aca="false">IF(N(AN248)=0,"",AN248*AT248*IF(ISNUMBER(AJ248),AJ248,CC_DefCirc))</f>
        <v/>
      </c>
      <c r="AP248" s="27" t="n">
        <f aca="false">IF(ISNUMBER(T248),T248*INDEX(LenF,MATCH($T$7,LenU,0)),IF(ISNUMBER(W248),W248*INDEX(LenF,MATCH($W$7,LenU,0))/CC_PitchRatio,0))</f>
        <v>0</v>
      </c>
      <c r="AQ248" s="27" t="n">
        <f aca="false">IF(ISNUMBER(N248),PI()/4*(N248*INDEX(LenF,MATCH($N$7,LenU,0)))^2,IF(AND(ISNUMBER(S248),ISNUMBER(W248),X248&lt;&gt;""),S248*(W248*INDEX(LenF,MATCH($W$7,LenU,0)))^2*INDEX(LayoutF,MATCH(X248,LayoutU,0)),0))</f>
        <v>0</v>
      </c>
      <c r="AR248" s="27" t="n">
        <f aca="false">IF(ISNUMBER(O248),O248*INDEX(LenF,MATCH($O$7,LenU,0)),IF(ISNUMBER(V248),V248*INDEX(LenF,MATCH($V$7,LenU,0)),0))</f>
        <v>0</v>
      </c>
      <c r="AS248" s="27" t="str">
        <f aca="false">IF(ISNUMBER(L248),L248*INDEX(LenF,MATCH($L$7,LenU,0))*1000,IF(OR(J248="",K248=""),"",IFERROR(IF(INDEX(PipeWT,MATCH(J248,NPSU,0),MATCH(K248,SchU,0))="","Sch n/a",INDEX(PipeOD,MATCH(J248,NPSU,0))-2*INDEX(PipeWT,MATCH(J248,NPSU,0),MATCH(K248,SchU,0))),"")))</f>
        <v/>
      </c>
      <c r="AT248" s="27" t="n">
        <f aca="false">IF(ISNUMBER(AI248),AI248,IFERROR(INDEX(IF(CC_JobType="Decontamination",CC_TypeFillDC,CC_TypeFillCC),MATCH(E248,CC_TypeL,0)),1))</f>
        <v>1</v>
      </c>
      <c r="AU248" s="27" t="n">
        <v>8</v>
      </c>
    </row>
    <row r="249" customFormat="false" ht="15" hidden="false" customHeight="false" outlineLevel="0" collapsed="false">
      <c r="A249" s="36" t="n">
        <v>9</v>
      </c>
      <c r="B249" s="40"/>
      <c r="C249" s="32"/>
      <c r="D249" s="32"/>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1" t="str">
        <f aca="false">IF(E249="Exchanger",IF(AND(ISNUMBER(S249),ISNUMBER(U249),ISNUMBER(V249)),S249*PI()/4*(U249*INDEX(LenF,MATCH($U$7,LenU,0)))^2*V249*INDEX(LenF,MATCH($V$7,LenU,0)),0)+IF(ISNUMBER(Y249),PI()/4*(Y249*INDEX(LenF,MATCH($Y$7,LenU,0)))^2*N(Z249)*INDEX(LenF,MATCH($Z$7,LenU,0))+IF(AA249="",0,IF(AA249="Conical",PI()/12*(Y249*INDEX(LenF,MATCH($Y$7,LenU,0)))^2*(0),INDEX(HeadK,MATCH(AA249,HeadU,0))*(Y249*INDEX(LenF,MATCH($Y$7,LenU,0)))^3)),0)+IF(ISNUMBER(Y249),PI()/4*(Y249*INDEX(LenF,MATCH($Y$7,LenU,0)))^2*N(AB249)*INDEX(LenF,MATCH($AB$7,LenU,0))+IF(AC249="",0,IF(AC249="Conical",PI()/12*(Y249*INDEX(LenF,MATCH($Y$7,LenU,0)))^2*(0),INDEX(HeadK,MATCH(AC249,HeadU,0))*(Y249*INDEX(LenF,MATCH($Y$7,LenU,0)))^3)),0),"")</f>
        <v/>
      </c>
      <c r="AE249" s="41" t="str">
        <f aca="false">IF(OR(E249="",E249="Piping"),"",IF(E249="Exchanger",AQ249*AR249+IF(P249="",0,IF(P249="Conical",PI()/12*(SQRT(4*AQ249/PI()))^2*(0),INDEX(HeadK,MATCH(P249,HeadU,0))*(SQRT(4*AQ249/PI()))^3))-IF(AND(ISNUMBER(S249),ISNUMBER(V249)),S249*PI()/4*AP249^2*V249*INDEX(LenF,MATCH($V$7,LenU,0)),0),IF(ISNUMBER(N249),PI()/4*(N249*INDEX(LenF,MATCH($N$7,LenU,0)))^2*N(O249)*INDEX(LenF,MATCH($O$7,LenU,0))+IF(P249="",0,IF(P249="Conical",PI()/12*(N249*INDEX(LenF,MATCH($N$7,LenU,0)))^2*(N(R249)*INDEX(LenF,MATCH($R$7,LenU,0))),INDEX(HeadK,MATCH(P249,HeadU,0))*(N249*INDEX(LenF,MATCH($N$7,LenU,0)))^3))+IF(Q249="",0,IF(Q249="Conical",PI()/12*(N249*INDEX(LenF,MATCH($N$7,LenU,0)))^2*(N(R249)*INDEX(LenF,MATCH($R$7,LenU,0))),INDEX(HeadK,MATCH(Q249,HeadU,0))*(N249*INDEX(LenF,MATCH($N$7,LenU,0)))^3)),0)))</f>
        <v/>
      </c>
      <c r="AF249" s="41" t="str">
        <f aca="false">IF(E249&lt;&gt;"Piping","",IF(AND(ISNUMBER(AS249),ISNUMBER(M249)),PI()/4*(AS249/1000)^2*M249*INDEX(LenF,MATCH($M$7,LenU,0)),0))</f>
        <v/>
      </c>
      <c r="AG249" s="41" t="str">
        <f aca="false">IF(E249="","",N(AD249)+N(AE249)+N(AF249))</f>
        <v/>
      </c>
      <c r="AH249" s="41" t="str">
        <f aca="false">IF(ISNUMBER(I249),I249*INDEX(WtF,MATCH($I$7,WtU,0))/CC_WaterRho,"")</f>
        <v/>
      </c>
      <c r="AI249" s="31"/>
      <c r="AJ249" s="31"/>
      <c r="AK249" s="40"/>
      <c r="AL249" s="31"/>
      <c r="AM249" s="41" t="str">
        <f aca="false">IF(AO249="","",AO249*IF(ISNUMBER(AK249),AK249,CC_DefFills)*(1+IF(ISNUMBER(AL249),AL249,CC_DefAllow)))</f>
        <v/>
      </c>
      <c r="AN249" s="42" t="str">
        <f aca="false">IF(G249="Given volume",IF(ISNUMBER(H249),H249*INDEX(VolF,MATCH($H$7,VolU,0)),""),IF(G249="Water weight",AH249,IF(N(AG249)=0,"",AG249)))</f>
        <v/>
      </c>
      <c r="AO249" s="42" t="str">
        <f aca="false">IF(N(AN249)=0,"",AN249*AT249*IF(ISNUMBER(AJ249),AJ249,CC_DefCirc))</f>
        <v/>
      </c>
      <c r="AP249" s="27" t="n">
        <f aca="false">IF(ISNUMBER(T249),T249*INDEX(LenF,MATCH($T$7,LenU,0)),IF(ISNUMBER(W249),W249*INDEX(LenF,MATCH($W$7,LenU,0))/CC_PitchRatio,0))</f>
        <v>0</v>
      </c>
      <c r="AQ249" s="27" t="n">
        <f aca="false">IF(ISNUMBER(N249),PI()/4*(N249*INDEX(LenF,MATCH($N$7,LenU,0)))^2,IF(AND(ISNUMBER(S249),ISNUMBER(W249),X249&lt;&gt;""),S249*(W249*INDEX(LenF,MATCH($W$7,LenU,0)))^2*INDEX(LayoutF,MATCH(X249,LayoutU,0)),0))</f>
        <v>0</v>
      </c>
      <c r="AR249" s="27" t="n">
        <f aca="false">IF(ISNUMBER(O249),O249*INDEX(LenF,MATCH($O$7,LenU,0)),IF(ISNUMBER(V249),V249*INDEX(LenF,MATCH($V$7,LenU,0)),0))</f>
        <v>0</v>
      </c>
      <c r="AS249" s="27" t="str">
        <f aca="false">IF(ISNUMBER(L249),L249*INDEX(LenF,MATCH($L$7,LenU,0))*1000,IF(OR(J249="",K249=""),"",IFERROR(IF(INDEX(PipeWT,MATCH(J249,NPSU,0),MATCH(K249,SchU,0))="","Sch n/a",INDEX(PipeOD,MATCH(J249,NPSU,0))-2*INDEX(PipeWT,MATCH(J249,NPSU,0),MATCH(K249,SchU,0))),"")))</f>
        <v/>
      </c>
      <c r="AT249" s="27" t="n">
        <f aca="false">IF(ISNUMBER(AI249),AI249,IFERROR(INDEX(IF(CC_JobType="Decontamination",CC_TypeFillDC,CC_TypeFillCC),MATCH(E249,CC_TypeL,0)),1))</f>
        <v>1</v>
      </c>
      <c r="AU249" s="27" t="n">
        <v>8</v>
      </c>
    </row>
    <row r="250" customFormat="false" ht="15" hidden="false" customHeight="false" outlineLevel="0" collapsed="false">
      <c r="A250" s="36" t="n">
        <v>10</v>
      </c>
      <c r="B250" s="40"/>
      <c r="C250" s="32"/>
      <c r="D250" s="32"/>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1" t="str">
        <f aca="false">IF(E250="Exchanger",IF(AND(ISNUMBER(S250),ISNUMBER(U250),ISNUMBER(V250)),S250*PI()/4*(U250*INDEX(LenF,MATCH($U$7,LenU,0)))^2*V250*INDEX(LenF,MATCH($V$7,LenU,0)),0)+IF(ISNUMBER(Y250),PI()/4*(Y250*INDEX(LenF,MATCH($Y$7,LenU,0)))^2*N(Z250)*INDEX(LenF,MATCH($Z$7,LenU,0))+IF(AA250="",0,IF(AA250="Conical",PI()/12*(Y250*INDEX(LenF,MATCH($Y$7,LenU,0)))^2*(0),INDEX(HeadK,MATCH(AA250,HeadU,0))*(Y250*INDEX(LenF,MATCH($Y$7,LenU,0)))^3)),0)+IF(ISNUMBER(Y250),PI()/4*(Y250*INDEX(LenF,MATCH($Y$7,LenU,0)))^2*N(AB250)*INDEX(LenF,MATCH($AB$7,LenU,0))+IF(AC250="",0,IF(AC250="Conical",PI()/12*(Y250*INDEX(LenF,MATCH($Y$7,LenU,0)))^2*(0),INDEX(HeadK,MATCH(AC250,HeadU,0))*(Y250*INDEX(LenF,MATCH($Y$7,LenU,0)))^3)),0),"")</f>
        <v/>
      </c>
      <c r="AE250" s="41" t="str">
        <f aca="false">IF(OR(E250="",E250="Piping"),"",IF(E250="Exchanger",AQ250*AR250+IF(P250="",0,IF(P250="Conical",PI()/12*(SQRT(4*AQ250/PI()))^2*(0),INDEX(HeadK,MATCH(P250,HeadU,0))*(SQRT(4*AQ250/PI()))^3))-IF(AND(ISNUMBER(S250),ISNUMBER(V250)),S250*PI()/4*AP250^2*V250*INDEX(LenF,MATCH($V$7,LenU,0)),0),IF(ISNUMBER(N250),PI()/4*(N250*INDEX(LenF,MATCH($N$7,LenU,0)))^2*N(O250)*INDEX(LenF,MATCH($O$7,LenU,0))+IF(P250="",0,IF(P250="Conical",PI()/12*(N250*INDEX(LenF,MATCH($N$7,LenU,0)))^2*(N(R250)*INDEX(LenF,MATCH($R$7,LenU,0))),INDEX(HeadK,MATCH(P250,HeadU,0))*(N250*INDEX(LenF,MATCH($N$7,LenU,0)))^3))+IF(Q250="",0,IF(Q250="Conical",PI()/12*(N250*INDEX(LenF,MATCH($N$7,LenU,0)))^2*(N(R250)*INDEX(LenF,MATCH($R$7,LenU,0))),INDEX(HeadK,MATCH(Q250,HeadU,0))*(N250*INDEX(LenF,MATCH($N$7,LenU,0)))^3)),0)))</f>
        <v/>
      </c>
      <c r="AF250" s="41" t="str">
        <f aca="false">IF(E250&lt;&gt;"Piping","",IF(AND(ISNUMBER(AS250),ISNUMBER(M250)),PI()/4*(AS250/1000)^2*M250*INDEX(LenF,MATCH($M$7,LenU,0)),0))</f>
        <v/>
      </c>
      <c r="AG250" s="41" t="str">
        <f aca="false">IF(E250="","",N(AD250)+N(AE250)+N(AF250))</f>
        <v/>
      </c>
      <c r="AH250" s="41" t="str">
        <f aca="false">IF(ISNUMBER(I250),I250*INDEX(WtF,MATCH($I$7,WtU,0))/CC_WaterRho,"")</f>
        <v/>
      </c>
      <c r="AI250" s="31"/>
      <c r="AJ250" s="31"/>
      <c r="AK250" s="40"/>
      <c r="AL250" s="31"/>
      <c r="AM250" s="41" t="str">
        <f aca="false">IF(AO250="","",AO250*IF(ISNUMBER(AK250),AK250,CC_DefFills)*(1+IF(ISNUMBER(AL250),AL250,CC_DefAllow)))</f>
        <v/>
      </c>
      <c r="AN250" s="42" t="str">
        <f aca="false">IF(G250="Given volume",IF(ISNUMBER(H250),H250*INDEX(VolF,MATCH($H$7,VolU,0)),""),IF(G250="Water weight",AH250,IF(N(AG250)=0,"",AG250)))</f>
        <v/>
      </c>
      <c r="AO250" s="42" t="str">
        <f aca="false">IF(N(AN250)=0,"",AN250*AT250*IF(ISNUMBER(AJ250),AJ250,CC_DefCirc))</f>
        <v/>
      </c>
      <c r="AP250" s="27" t="n">
        <f aca="false">IF(ISNUMBER(T250),T250*INDEX(LenF,MATCH($T$7,LenU,0)),IF(ISNUMBER(W250),W250*INDEX(LenF,MATCH($W$7,LenU,0))/CC_PitchRatio,0))</f>
        <v>0</v>
      </c>
      <c r="AQ250" s="27" t="n">
        <f aca="false">IF(ISNUMBER(N250),PI()/4*(N250*INDEX(LenF,MATCH($N$7,LenU,0)))^2,IF(AND(ISNUMBER(S250),ISNUMBER(W250),X250&lt;&gt;""),S250*(W250*INDEX(LenF,MATCH($W$7,LenU,0)))^2*INDEX(LayoutF,MATCH(X250,LayoutU,0)),0))</f>
        <v>0</v>
      </c>
      <c r="AR250" s="27" t="n">
        <f aca="false">IF(ISNUMBER(O250),O250*INDEX(LenF,MATCH($O$7,LenU,0)),IF(ISNUMBER(V250),V250*INDEX(LenF,MATCH($V$7,LenU,0)),0))</f>
        <v>0</v>
      </c>
      <c r="AS250" s="27" t="str">
        <f aca="false">IF(ISNUMBER(L250),L250*INDEX(LenF,MATCH($L$7,LenU,0))*1000,IF(OR(J250="",K250=""),"",IFERROR(IF(INDEX(PipeWT,MATCH(J250,NPSU,0),MATCH(K250,SchU,0))="","Sch n/a",INDEX(PipeOD,MATCH(J250,NPSU,0))-2*INDEX(PipeWT,MATCH(J250,NPSU,0),MATCH(K250,SchU,0))),"")))</f>
        <v/>
      </c>
      <c r="AT250" s="27" t="n">
        <f aca="false">IF(ISNUMBER(AI250),AI250,IFERROR(INDEX(IF(CC_JobType="Decontamination",CC_TypeFillDC,CC_TypeFillCC),MATCH(E250,CC_TypeL,0)),1))</f>
        <v>1</v>
      </c>
      <c r="AU250" s="27" t="n">
        <v>8</v>
      </c>
    </row>
    <row r="251" customFormat="false" ht="15" hidden="false" customHeight="false" outlineLevel="0" collapsed="false">
      <c r="A251" s="36" t="n">
        <v>11</v>
      </c>
      <c r="B251" s="40"/>
      <c r="C251" s="32"/>
      <c r="D251" s="32"/>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1" t="str">
        <f aca="false">IF(E251="Exchanger",IF(AND(ISNUMBER(S251),ISNUMBER(U251),ISNUMBER(V251)),S251*PI()/4*(U251*INDEX(LenF,MATCH($U$7,LenU,0)))^2*V251*INDEX(LenF,MATCH($V$7,LenU,0)),0)+IF(ISNUMBER(Y251),PI()/4*(Y251*INDEX(LenF,MATCH($Y$7,LenU,0)))^2*N(Z251)*INDEX(LenF,MATCH($Z$7,LenU,0))+IF(AA251="",0,IF(AA251="Conical",PI()/12*(Y251*INDEX(LenF,MATCH($Y$7,LenU,0)))^2*(0),INDEX(HeadK,MATCH(AA251,HeadU,0))*(Y251*INDEX(LenF,MATCH($Y$7,LenU,0)))^3)),0)+IF(ISNUMBER(Y251),PI()/4*(Y251*INDEX(LenF,MATCH($Y$7,LenU,0)))^2*N(AB251)*INDEX(LenF,MATCH($AB$7,LenU,0))+IF(AC251="",0,IF(AC251="Conical",PI()/12*(Y251*INDEX(LenF,MATCH($Y$7,LenU,0)))^2*(0),INDEX(HeadK,MATCH(AC251,HeadU,0))*(Y251*INDEX(LenF,MATCH($Y$7,LenU,0)))^3)),0),"")</f>
        <v/>
      </c>
      <c r="AE251" s="41" t="str">
        <f aca="false">IF(OR(E251="",E251="Piping"),"",IF(E251="Exchanger",AQ251*AR251+IF(P251="",0,IF(P251="Conical",PI()/12*(SQRT(4*AQ251/PI()))^2*(0),INDEX(HeadK,MATCH(P251,HeadU,0))*(SQRT(4*AQ251/PI()))^3))-IF(AND(ISNUMBER(S251),ISNUMBER(V251)),S251*PI()/4*AP251^2*V251*INDEX(LenF,MATCH($V$7,LenU,0)),0),IF(ISNUMBER(N251),PI()/4*(N251*INDEX(LenF,MATCH($N$7,LenU,0)))^2*N(O251)*INDEX(LenF,MATCH($O$7,LenU,0))+IF(P251="",0,IF(P251="Conical",PI()/12*(N251*INDEX(LenF,MATCH($N$7,LenU,0)))^2*(N(R251)*INDEX(LenF,MATCH($R$7,LenU,0))),INDEX(HeadK,MATCH(P251,HeadU,0))*(N251*INDEX(LenF,MATCH($N$7,LenU,0)))^3))+IF(Q251="",0,IF(Q251="Conical",PI()/12*(N251*INDEX(LenF,MATCH($N$7,LenU,0)))^2*(N(R251)*INDEX(LenF,MATCH($R$7,LenU,0))),INDEX(HeadK,MATCH(Q251,HeadU,0))*(N251*INDEX(LenF,MATCH($N$7,LenU,0)))^3)),0)))</f>
        <v/>
      </c>
      <c r="AF251" s="41" t="str">
        <f aca="false">IF(E251&lt;&gt;"Piping","",IF(AND(ISNUMBER(AS251),ISNUMBER(M251)),PI()/4*(AS251/1000)^2*M251*INDEX(LenF,MATCH($M$7,LenU,0)),0))</f>
        <v/>
      </c>
      <c r="AG251" s="41" t="str">
        <f aca="false">IF(E251="","",N(AD251)+N(AE251)+N(AF251))</f>
        <v/>
      </c>
      <c r="AH251" s="41" t="str">
        <f aca="false">IF(ISNUMBER(I251),I251*INDEX(WtF,MATCH($I$7,WtU,0))/CC_WaterRho,"")</f>
        <v/>
      </c>
      <c r="AI251" s="31"/>
      <c r="AJ251" s="31"/>
      <c r="AK251" s="40"/>
      <c r="AL251" s="31"/>
      <c r="AM251" s="41" t="str">
        <f aca="false">IF(AO251="","",AO251*IF(ISNUMBER(AK251),AK251,CC_DefFills)*(1+IF(ISNUMBER(AL251),AL251,CC_DefAllow)))</f>
        <v/>
      </c>
      <c r="AN251" s="42" t="str">
        <f aca="false">IF(G251="Given volume",IF(ISNUMBER(H251),H251*INDEX(VolF,MATCH($H$7,VolU,0)),""),IF(G251="Water weight",AH251,IF(N(AG251)=0,"",AG251)))</f>
        <v/>
      </c>
      <c r="AO251" s="42" t="str">
        <f aca="false">IF(N(AN251)=0,"",AN251*AT251*IF(ISNUMBER(AJ251),AJ251,CC_DefCirc))</f>
        <v/>
      </c>
      <c r="AP251" s="27" t="n">
        <f aca="false">IF(ISNUMBER(T251),T251*INDEX(LenF,MATCH($T$7,LenU,0)),IF(ISNUMBER(W251),W251*INDEX(LenF,MATCH($W$7,LenU,0))/CC_PitchRatio,0))</f>
        <v>0</v>
      </c>
      <c r="AQ251" s="27" t="n">
        <f aca="false">IF(ISNUMBER(N251),PI()/4*(N251*INDEX(LenF,MATCH($N$7,LenU,0)))^2,IF(AND(ISNUMBER(S251),ISNUMBER(W251),X251&lt;&gt;""),S251*(W251*INDEX(LenF,MATCH($W$7,LenU,0)))^2*INDEX(LayoutF,MATCH(X251,LayoutU,0)),0))</f>
        <v>0</v>
      </c>
      <c r="AR251" s="27" t="n">
        <f aca="false">IF(ISNUMBER(O251),O251*INDEX(LenF,MATCH($O$7,LenU,0)),IF(ISNUMBER(V251),V251*INDEX(LenF,MATCH($V$7,LenU,0)),0))</f>
        <v>0</v>
      </c>
      <c r="AS251" s="27" t="str">
        <f aca="false">IF(ISNUMBER(L251),L251*INDEX(LenF,MATCH($L$7,LenU,0))*1000,IF(OR(J251="",K251=""),"",IFERROR(IF(INDEX(PipeWT,MATCH(J251,NPSU,0),MATCH(K251,SchU,0))="","Sch n/a",INDEX(PipeOD,MATCH(J251,NPSU,0))-2*INDEX(PipeWT,MATCH(J251,NPSU,0),MATCH(K251,SchU,0))),"")))</f>
        <v/>
      </c>
      <c r="AT251" s="27" t="n">
        <f aca="false">IF(ISNUMBER(AI251),AI251,IFERROR(INDEX(IF(CC_JobType="Decontamination",CC_TypeFillDC,CC_TypeFillCC),MATCH(E251,CC_TypeL,0)),1))</f>
        <v>1</v>
      </c>
      <c r="AU251" s="27" t="n">
        <v>8</v>
      </c>
    </row>
    <row r="252" customFormat="false" ht="15" hidden="false" customHeight="false" outlineLevel="0" collapsed="false">
      <c r="A252" s="36" t="n">
        <v>12</v>
      </c>
      <c r="B252" s="40"/>
      <c r="C252" s="32"/>
      <c r="D252" s="32"/>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1" t="str">
        <f aca="false">IF(E252="Exchanger",IF(AND(ISNUMBER(S252),ISNUMBER(U252),ISNUMBER(V252)),S252*PI()/4*(U252*INDEX(LenF,MATCH($U$7,LenU,0)))^2*V252*INDEX(LenF,MATCH($V$7,LenU,0)),0)+IF(ISNUMBER(Y252),PI()/4*(Y252*INDEX(LenF,MATCH($Y$7,LenU,0)))^2*N(Z252)*INDEX(LenF,MATCH($Z$7,LenU,0))+IF(AA252="",0,IF(AA252="Conical",PI()/12*(Y252*INDEX(LenF,MATCH($Y$7,LenU,0)))^2*(0),INDEX(HeadK,MATCH(AA252,HeadU,0))*(Y252*INDEX(LenF,MATCH($Y$7,LenU,0)))^3)),0)+IF(ISNUMBER(Y252),PI()/4*(Y252*INDEX(LenF,MATCH($Y$7,LenU,0)))^2*N(AB252)*INDEX(LenF,MATCH($AB$7,LenU,0))+IF(AC252="",0,IF(AC252="Conical",PI()/12*(Y252*INDEX(LenF,MATCH($Y$7,LenU,0)))^2*(0),INDEX(HeadK,MATCH(AC252,HeadU,0))*(Y252*INDEX(LenF,MATCH($Y$7,LenU,0)))^3)),0),"")</f>
        <v/>
      </c>
      <c r="AE252" s="41" t="str">
        <f aca="false">IF(OR(E252="",E252="Piping"),"",IF(E252="Exchanger",AQ252*AR252+IF(P252="",0,IF(P252="Conical",PI()/12*(SQRT(4*AQ252/PI()))^2*(0),INDEX(HeadK,MATCH(P252,HeadU,0))*(SQRT(4*AQ252/PI()))^3))-IF(AND(ISNUMBER(S252),ISNUMBER(V252)),S252*PI()/4*AP252^2*V252*INDEX(LenF,MATCH($V$7,LenU,0)),0),IF(ISNUMBER(N252),PI()/4*(N252*INDEX(LenF,MATCH($N$7,LenU,0)))^2*N(O252)*INDEX(LenF,MATCH($O$7,LenU,0))+IF(P252="",0,IF(P252="Conical",PI()/12*(N252*INDEX(LenF,MATCH($N$7,LenU,0)))^2*(N(R252)*INDEX(LenF,MATCH($R$7,LenU,0))),INDEX(HeadK,MATCH(P252,HeadU,0))*(N252*INDEX(LenF,MATCH($N$7,LenU,0)))^3))+IF(Q252="",0,IF(Q252="Conical",PI()/12*(N252*INDEX(LenF,MATCH($N$7,LenU,0)))^2*(N(R252)*INDEX(LenF,MATCH($R$7,LenU,0))),INDEX(HeadK,MATCH(Q252,HeadU,0))*(N252*INDEX(LenF,MATCH($N$7,LenU,0)))^3)),0)))</f>
        <v/>
      </c>
      <c r="AF252" s="41" t="str">
        <f aca="false">IF(E252&lt;&gt;"Piping","",IF(AND(ISNUMBER(AS252),ISNUMBER(M252)),PI()/4*(AS252/1000)^2*M252*INDEX(LenF,MATCH($M$7,LenU,0)),0))</f>
        <v/>
      </c>
      <c r="AG252" s="41" t="str">
        <f aca="false">IF(E252="","",N(AD252)+N(AE252)+N(AF252))</f>
        <v/>
      </c>
      <c r="AH252" s="41" t="str">
        <f aca="false">IF(ISNUMBER(I252),I252*INDEX(WtF,MATCH($I$7,WtU,0))/CC_WaterRho,"")</f>
        <v/>
      </c>
      <c r="AI252" s="31"/>
      <c r="AJ252" s="31"/>
      <c r="AK252" s="40"/>
      <c r="AL252" s="31"/>
      <c r="AM252" s="41" t="str">
        <f aca="false">IF(AO252="","",AO252*IF(ISNUMBER(AK252),AK252,CC_DefFills)*(1+IF(ISNUMBER(AL252),AL252,CC_DefAllow)))</f>
        <v/>
      </c>
      <c r="AN252" s="42" t="str">
        <f aca="false">IF(G252="Given volume",IF(ISNUMBER(H252),H252*INDEX(VolF,MATCH($H$7,VolU,0)),""),IF(G252="Water weight",AH252,IF(N(AG252)=0,"",AG252)))</f>
        <v/>
      </c>
      <c r="AO252" s="42" t="str">
        <f aca="false">IF(N(AN252)=0,"",AN252*AT252*IF(ISNUMBER(AJ252),AJ252,CC_DefCirc))</f>
        <v/>
      </c>
      <c r="AP252" s="27" t="n">
        <f aca="false">IF(ISNUMBER(T252),T252*INDEX(LenF,MATCH($T$7,LenU,0)),IF(ISNUMBER(W252),W252*INDEX(LenF,MATCH($W$7,LenU,0))/CC_PitchRatio,0))</f>
        <v>0</v>
      </c>
      <c r="AQ252" s="27" t="n">
        <f aca="false">IF(ISNUMBER(N252),PI()/4*(N252*INDEX(LenF,MATCH($N$7,LenU,0)))^2,IF(AND(ISNUMBER(S252),ISNUMBER(W252),X252&lt;&gt;""),S252*(W252*INDEX(LenF,MATCH($W$7,LenU,0)))^2*INDEX(LayoutF,MATCH(X252,LayoutU,0)),0))</f>
        <v>0</v>
      </c>
      <c r="AR252" s="27" t="n">
        <f aca="false">IF(ISNUMBER(O252),O252*INDEX(LenF,MATCH($O$7,LenU,0)),IF(ISNUMBER(V252),V252*INDEX(LenF,MATCH($V$7,LenU,0)),0))</f>
        <v>0</v>
      </c>
      <c r="AS252" s="27" t="str">
        <f aca="false">IF(ISNUMBER(L252),L252*INDEX(LenF,MATCH($L$7,LenU,0))*1000,IF(OR(J252="",K252=""),"",IFERROR(IF(INDEX(PipeWT,MATCH(J252,NPSU,0),MATCH(K252,SchU,0))="","Sch n/a",INDEX(PipeOD,MATCH(J252,NPSU,0))-2*INDEX(PipeWT,MATCH(J252,NPSU,0),MATCH(K252,SchU,0))),"")))</f>
        <v/>
      </c>
      <c r="AT252" s="27" t="n">
        <f aca="false">IF(ISNUMBER(AI252),AI252,IFERROR(INDEX(IF(CC_JobType="Decontamination",CC_TypeFillDC,CC_TypeFillCC),MATCH(E252,CC_TypeL,0)),1))</f>
        <v>1</v>
      </c>
      <c r="AU252" s="27" t="n">
        <v>8</v>
      </c>
    </row>
    <row r="253" customFormat="false" ht="15" hidden="false" customHeight="false" outlineLevel="0" collapsed="false">
      <c r="A253" s="36" t="n">
        <v>13</v>
      </c>
      <c r="B253" s="40"/>
      <c r="C253" s="32"/>
      <c r="D253" s="32"/>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1" t="str">
        <f aca="false">IF(E253="Exchanger",IF(AND(ISNUMBER(S253),ISNUMBER(U253),ISNUMBER(V253)),S253*PI()/4*(U253*INDEX(LenF,MATCH($U$7,LenU,0)))^2*V253*INDEX(LenF,MATCH($V$7,LenU,0)),0)+IF(ISNUMBER(Y253),PI()/4*(Y253*INDEX(LenF,MATCH($Y$7,LenU,0)))^2*N(Z253)*INDEX(LenF,MATCH($Z$7,LenU,0))+IF(AA253="",0,IF(AA253="Conical",PI()/12*(Y253*INDEX(LenF,MATCH($Y$7,LenU,0)))^2*(0),INDEX(HeadK,MATCH(AA253,HeadU,0))*(Y253*INDEX(LenF,MATCH($Y$7,LenU,0)))^3)),0)+IF(ISNUMBER(Y253),PI()/4*(Y253*INDEX(LenF,MATCH($Y$7,LenU,0)))^2*N(AB253)*INDEX(LenF,MATCH($AB$7,LenU,0))+IF(AC253="",0,IF(AC253="Conical",PI()/12*(Y253*INDEX(LenF,MATCH($Y$7,LenU,0)))^2*(0),INDEX(HeadK,MATCH(AC253,HeadU,0))*(Y253*INDEX(LenF,MATCH($Y$7,LenU,0)))^3)),0),"")</f>
        <v/>
      </c>
      <c r="AE253" s="41" t="str">
        <f aca="false">IF(OR(E253="",E253="Piping"),"",IF(E253="Exchanger",AQ253*AR253+IF(P253="",0,IF(P253="Conical",PI()/12*(SQRT(4*AQ253/PI()))^2*(0),INDEX(HeadK,MATCH(P253,HeadU,0))*(SQRT(4*AQ253/PI()))^3))-IF(AND(ISNUMBER(S253),ISNUMBER(V253)),S253*PI()/4*AP253^2*V253*INDEX(LenF,MATCH($V$7,LenU,0)),0),IF(ISNUMBER(N253),PI()/4*(N253*INDEX(LenF,MATCH($N$7,LenU,0)))^2*N(O253)*INDEX(LenF,MATCH($O$7,LenU,0))+IF(P253="",0,IF(P253="Conical",PI()/12*(N253*INDEX(LenF,MATCH($N$7,LenU,0)))^2*(N(R253)*INDEX(LenF,MATCH($R$7,LenU,0))),INDEX(HeadK,MATCH(P253,HeadU,0))*(N253*INDEX(LenF,MATCH($N$7,LenU,0)))^3))+IF(Q253="",0,IF(Q253="Conical",PI()/12*(N253*INDEX(LenF,MATCH($N$7,LenU,0)))^2*(N(R253)*INDEX(LenF,MATCH($R$7,LenU,0))),INDEX(HeadK,MATCH(Q253,HeadU,0))*(N253*INDEX(LenF,MATCH($N$7,LenU,0)))^3)),0)))</f>
        <v/>
      </c>
      <c r="AF253" s="41" t="str">
        <f aca="false">IF(E253&lt;&gt;"Piping","",IF(AND(ISNUMBER(AS253),ISNUMBER(M253)),PI()/4*(AS253/1000)^2*M253*INDEX(LenF,MATCH($M$7,LenU,0)),0))</f>
        <v/>
      </c>
      <c r="AG253" s="41" t="str">
        <f aca="false">IF(E253="","",N(AD253)+N(AE253)+N(AF253))</f>
        <v/>
      </c>
      <c r="AH253" s="41" t="str">
        <f aca="false">IF(ISNUMBER(I253),I253*INDEX(WtF,MATCH($I$7,WtU,0))/CC_WaterRho,"")</f>
        <v/>
      </c>
      <c r="AI253" s="31"/>
      <c r="AJ253" s="31"/>
      <c r="AK253" s="40"/>
      <c r="AL253" s="31"/>
      <c r="AM253" s="41" t="str">
        <f aca="false">IF(AO253="","",AO253*IF(ISNUMBER(AK253),AK253,CC_DefFills)*(1+IF(ISNUMBER(AL253),AL253,CC_DefAllow)))</f>
        <v/>
      </c>
      <c r="AN253" s="42" t="str">
        <f aca="false">IF(G253="Given volume",IF(ISNUMBER(H253),H253*INDEX(VolF,MATCH($H$7,VolU,0)),""),IF(G253="Water weight",AH253,IF(N(AG253)=0,"",AG253)))</f>
        <v/>
      </c>
      <c r="AO253" s="42" t="str">
        <f aca="false">IF(N(AN253)=0,"",AN253*AT253*IF(ISNUMBER(AJ253),AJ253,CC_DefCirc))</f>
        <v/>
      </c>
      <c r="AP253" s="27" t="n">
        <f aca="false">IF(ISNUMBER(T253),T253*INDEX(LenF,MATCH($T$7,LenU,0)),IF(ISNUMBER(W253),W253*INDEX(LenF,MATCH($W$7,LenU,0))/CC_PitchRatio,0))</f>
        <v>0</v>
      </c>
      <c r="AQ253" s="27" t="n">
        <f aca="false">IF(ISNUMBER(N253),PI()/4*(N253*INDEX(LenF,MATCH($N$7,LenU,0)))^2,IF(AND(ISNUMBER(S253),ISNUMBER(W253),X253&lt;&gt;""),S253*(W253*INDEX(LenF,MATCH($W$7,LenU,0)))^2*INDEX(LayoutF,MATCH(X253,LayoutU,0)),0))</f>
        <v>0</v>
      </c>
      <c r="AR253" s="27" t="n">
        <f aca="false">IF(ISNUMBER(O253),O253*INDEX(LenF,MATCH($O$7,LenU,0)),IF(ISNUMBER(V253),V253*INDEX(LenF,MATCH($V$7,LenU,0)),0))</f>
        <v>0</v>
      </c>
      <c r="AS253" s="27" t="str">
        <f aca="false">IF(ISNUMBER(L253),L253*INDEX(LenF,MATCH($L$7,LenU,0))*1000,IF(OR(J253="",K253=""),"",IFERROR(IF(INDEX(PipeWT,MATCH(J253,NPSU,0),MATCH(K253,SchU,0))="","Sch n/a",INDEX(PipeOD,MATCH(J253,NPSU,0))-2*INDEX(PipeWT,MATCH(J253,NPSU,0),MATCH(K253,SchU,0))),"")))</f>
        <v/>
      </c>
      <c r="AT253" s="27" t="n">
        <f aca="false">IF(ISNUMBER(AI253),AI253,IFERROR(INDEX(IF(CC_JobType="Decontamination",CC_TypeFillDC,CC_TypeFillCC),MATCH(E253,CC_TypeL,0)),1))</f>
        <v>1</v>
      </c>
      <c r="AU253" s="27" t="n">
        <v>8</v>
      </c>
    </row>
    <row r="254" customFormat="false" ht="15" hidden="false" customHeight="false" outlineLevel="0" collapsed="false">
      <c r="A254" s="36" t="n">
        <v>14</v>
      </c>
      <c r="B254" s="40"/>
      <c r="C254" s="32"/>
      <c r="D254" s="32"/>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1" t="str">
        <f aca="false">IF(E254="Exchanger",IF(AND(ISNUMBER(S254),ISNUMBER(U254),ISNUMBER(V254)),S254*PI()/4*(U254*INDEX(LenF,MATCH($U$7,LenU,0)))^2*V254*INDEX(LenF,MATCH($V$7,LenU,0)),0)+IF(ISNUMBER(Y254),PI()/4*(Y254*INDEX(LenF,MATCH($Y$7,LenU,0)))^2*N(Z254)*INDEX(LenF,MATCH($Z$7,LenU,0))+IF(AA254="",0,IF(AA254="Conical",PI()/12*(Y254*INDEX(LenF,MATCH($Y$7,LenU,0)))^2*(0),INDEX(HeadK,MATCH(AA254,HeadU,0))*(Y254*INDEX(LenF,MATCH($Y$7,LenU,0)))^3)),0)+IF(ISNUMBER(Y254),PI()/4*(Y254*INDEX(LenF,MATCH($Y$7,LenU,0)))^2*N(AB254)*INDEX(LenF,MATCH($AB$7,LenU,0))+IF(AC254="",0,IF(AC254="Conical",PI()/12*(Y254*INDEX(LenF,MATCH($Y$7,LenU,0)))^2*(0),INDEX(HeadK,MATCH(AC254,HeadU,0))*(Y254*INDEX(LenF,MATCH($Y$7,LenU,0)))^3)),0),"")</f>
        <v/>
      </c>
      <c r="AE254" s="41" t="str">
        <f aca="false">IF(OR(E254="",E254="Piping"),"",IF(E254="Exchanger",AQ254*AR254+IF(P254="",0,IF(P254="Conical",PI()/12*(SQRT(4*AQ254/PI()))^2*(0),INDEX(HeadK,MATCH(P254,HeadU,0))*(SQRT(4*AQ254/PI()))^3))-IF(AND(ISNUMBER(S254),ISNUMBER(V254)),S254*PI()/4*AP254^2*V254*INDEX(LenF,MATCH($V$7,LenU,0)),0),IF(ISNUMBER(N254),PI()/4*(N254*INDEX(LenF,MATCH($N$7,LenU,0)))^2*N(O254)*INDEX(LenF,MATCH($O$7,LenU,0))+IF(P254="",0,IF(P254="Conical",PI()/12*(N254*INDEX(LenF,MATCH($N$7,LenU,0)))^2*(N(R254)*INDEX(LenF,MATCH($R$7,LenU,0))),INDEX(HeadK,MATCH(P254,HeadU,0))*(N254*INDEX(LenF,MATCH($N$7,LenU,0)))^3))+IF(Q254="",0,IF(Q254="Conical",PI()/12*(N254*INDEX(LenF,MATCH($N$7,LenU,0)))^2*(N(R254)*INDEX(LenF,MATCH($R$7,LenU,0))),INDEX(HeadK,MATCH(Q254,HeadU,0))*(N254*INDEX(LenF,MATCH($N$7,LenU,0)))^3)),0)))</f>
        <v/>
      </c>
      <c r="AF254" s="41" t="str">
        <f aca="false">IF(E254&lt;&gt;"Piping","",IF(AND(ISNUMBER(AS254),ISNUMBER(M254)),PI()/4*(AS254/1000)^2*M254*INDEX(LenF,MATCH($M$7,LenU,0)),0))</f>
        <v/>
      </c>
      <c r="AG254" s="41" t="str">
        <f aca="false">IF(E254="","",N(AD254)+N(AE254)+N(AF254))</f>
        <v/>
      </c>
      <c r="AH254" s="41" t="str">
        <f aca="false">IF(ISNUMBER(I254),I254*INDEX(WtF,MATCH($I$7,WtU,0))/CC_WaterRho,"")</f>
        <v/>
      </c>
      <c r="AI254" s="31"/>
      <c r="AJ254" s="31"/>
      <c r="AK254" s="40"/>
      <c r="AL254" s="31"/>
      <c r="AM254" s="41" t="str">
        <f aca="false">IF(AO254="","",AO254*IF(ISNUMBER(AK254),AK254,CC_DefFills)*(1+IF(ISNUMBER(AL254),AL254,CC_DefAllow)))</f>
        <v/>
      </c>
      <c r="AN254" s="42" t="str">
        <f aca="false">IF(G254="Given volume",IF(ISNUMBER(H254),H254*INDEX(VolF,MATCH($H$7,VolU,0)),""),IF(G254="Water weight",AH254,IF(N(AG254)=0,"",AG254)))</f>
        <v/>
      </c>
      <c r="AO254" s="42" t="str">
        <f aca="false">IF(N(AN254)=0,"",AN254*AT254*IF(ISNUMBER(AJ254),AJ254,CC_DefCirc))</f>
        <v/>
      </c>
      <c r="AP254" s="27" t="n">
        <f aca="false">IF(ISNUMBER(T254),T254*INDEX(LenF,MATCH($T$7,LenU,0)),IF(ISNUMBER(W254),W254*INDEX(LenF,MATCH($W$7,LenU,0))/CC_PitchRatio,0))</f>
        <v>0</v>
      </c>
      <c r="AQ254" s="27" t="n">
        <f aca="false">IF(ISNUMBER(N254),PI()/4*(N254*INDEX(LenF,MATCH($N$7,LenU,0)))^2,IF(AND(ISNUMBER(S254),ISNUMBER(W254),X254&lt;&gt;""),S254*(W254*INDEX(LenF,MATCH($W$7,LenU,0)))^2*INDEX(LayoutF,MATCH(X254,LayoutU,0)),0))</f>
        <v>0</v>
      </c>
      <c r="AR254" s="27" t="n">
        <f aca="false">IF(ISNUMBER(O254),O254*INDEX(LenF,MATCH($O$7,LenU,0)),IF(ISNUMBER(V254),V254*INDEX(LenF,MATCH($V$7,LenU,0)),0))</f>
        <v>0</v>
      </c>
      <c r="AS254" s="27" t="str">
        <f aca="false">IF(ISNUMBER(L254),L254*INDEX(LenF,MATCH($L$7,LenU,0))*1000,IF(OR(J254="",K254=""),"",IFERROR(IF(INDEX(PipeWT,MATCH(J254,NPSU,0),MATCH(K254,SchU,0))="","Sch n/a",INDEX(PipeOD,MATCH(J254,NPSU,0))-2*INDEX(PipeWT,MATCH(J254,NPSU,0),MATCH(K254,SchU,0))),"")))</f>
        <v/>
      </c>
      <c r="AT254" s="27" t="n">
        <f aca="false">IF(ISNUMBER(AI254),AI254,IFERROR(INDEX(IF(CC_JobType="Decontamination",CC_TypeFillDC,CC_TypeFillCC),MATCH(E254,CC_TypeL,0)),1))</f>
        <v>1</v>
      </c>
      <c r="AU254" s="27" t="n">
        <v>8</v>
      </c>
    </row>
    <row r="255" customFormat="false" ht="15" hidden="false" customHeight="false" outlineLevel="0" collapsed="false">
      <c r="A255" s="36" t="n">
        <v>15</v>
      </c>
      <c r="B255" s="40"/>
      <c r="C255" s="32"/>
      <c r="D255" s="32"/>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1" t="str">
        <f aca="false">IF(E255="Exchanger",IF(AND(ISNUMBER(S255),ISNUMBER(U255),ISNUMBER(V255)),S255*PI()/4*(U255*INDEX(LenF,MATCH($U$7,LenU,0)))^2*V255*INDEX(LenF,MATCH($V$7,LenU,0)),0)+IF(ISNUMBER(Y255),PI()/4*(Y255*INDEX(LenF,MATCH($Y$7,LenU,0)))^2*N(Z255)*INDEX(LenF,MATCH($Z$7,LenU,0))+IF(AA255="",0,IF(AA255="Conical",PI()/12*(Y255*INDEX(LenF,MATCH($Y$7,LenU,0)))^2*(0),INDEX(HeadK,MATCH(AA255,HeadU,0))*(Y255*INDEX(LenF,MATCH($Y$7,LenU,0)))^3)),0)+IF(ISNUMBER(Y255),PI()/4*(Y255*INDEX(LenF,MATCH($Y$7,LenU,0)))^2*N(AB255)*INDEX(LenF,MATCH($AB$7,LenU,0))+IF(AC255="",0,IF(AC255="Conical",PI()/12*(Y255*INDEX(LenF,MATCH($Y$7,LenU,0)))^2*(0),INDEX(HeadK,MATCH(AC255,HeadU,0))*(Y255*INDEX(LenF,MATCH($Y$7,LenU,0)))^3)),0),"")</f>
        <v/>
      </c>
      <c r="AE255" s="41" t="str">
        <f aca="false">IF(OR(E255="",E255="Piping"),"",IF(E255="Exchanger",AQ255*AR255+IF(P255="",0,IF(P255="Conical",PI()/12*(SQRT(4*AQ255/PI()))^2*(0),INDEX(HeadK,MATCH(P255,HeadU,0))*(SQRT(4*AQ255/PI()))^3))-IF(AND(ISNUMBER(S255),ISNUMBER(V255)),S255*PI()/4*AP255^2*V255*INDEX(LenF,MATCH($V$7,LenU,0)),0),IF(ISNUMBER(N255),PI()/4*(N255*INDEX(LenF,MATCH($N$7,LenU,0)))^2*N(O255)*INDEX(LenF,MATCH($O$7,LenU,0))+IF(P255="",0,IF(P255="Conical",PI()/12*(N255*INDEX(LenF,MATCH($N$7,LenU,0)))^2*(N(R255)*INDEX(LenF,MATCH($R$7,LenU,0))),INDEX(HeadK,MATCH(P255,HeadU,0))*(N255*INDEX(LenF,MATCH($N$7,LenU,0)))^3))+IF(Q255="",0,IF(Q255="Conical",PI()/12*(N255*INDEX(LenF,MATCH($N$7,LenU,0)))^2*(N(R255)*INDEX(LenF,MATCH($R$7,LenU,0))),INDEX(HeadK,MATCH(Q255,HeadU,0))*(N255*INDEX(LenF,MATCH($N$7,LenU,0)))^3)),0)))</f>
        <v/>
      </c>
      <c r="AF255" s="41" t="str">
        <f aca="false">IF(E255&lt;&gt;"Piping","",IF(AND(ISNUMBER(AS255),ISNUMBER(M255)),PI()/4*(AS255/1000)^2*M255*INDEX(LenF,MATCH($M$7,LenU,0)),0))</f>
        <v/>
      </c>
      <c r="AG255" s="41" t="str">
        <f aca="false">IF(E255="","",N(AD255)+N(AE255)+N(AF255))</f>
        <v/>
      </c>
      <c r="AH255" s="41" t="str">
        <f aca="false">IF(ISNUMBER(I255),I255*INDEX(WtF,MATCH($I$7,WtU,0))/CC_WaterRho,"")</f>
        <v/>
      </c>
      <c r="AI255" s="31"/>
      <c r="AJ255" s="31"/>
      <c r="AK255" s="40"/>
      <c r="AL255" s="31"/>
      <c r="AM255" s="41" t="str">
        <f aca="false">IF(AO255="","",AO255*IF(ISNUMBER(AK255),AK255,CC_DefFills)*(1+IF(ISNUMBER(AL255),AL255,CC_DefAllow)))</f>
        <v/>
      </c>
      <c r="AN255" s="42" t="str">
        <f aca="false">IF(G255="Given volume",IF(ISNUMBER(H255),H255*INDEX(VolF,MATCH($H$7,VolU,0)),""),IF(G255="Water weight",AH255,IF(N(AG255)=0,"",AG255)))</f>
        <v/>
      </c>
      <c r="AO255" s="42" t="str">
        <f aca="false">IF(N(AN255)=0,"",AN255*AT255*IF(ISNUMBER(AJ255),AJ255,CC_DefCirc))</f>
        <v/>
      </c>
      <c r="AP255" s="27" t="n">
        <f aca="false">IF(ISNUMBER(T255),T255*INDEX(LenF,MATCH($T$7,LenU,0)),IF(ISNUMBER(W255),W255*INDEX(LenF,MATCH($W$7,LenU,0))/CC_PitchRatio,0))</f>
        <v>0</v>
      </c>
      <c r="AQ255" s="27" t="n">
        <f aca="false">IF(ISNUMBER(N255),PI()/4*(N255*INDEX(LenF,MATCH($N$7,LenU,0)))^2,IF(AND(ISNUMBER(S255),ISNUMBER(W255),X255&lt;&gt;""),S255*(W255*INDEX(LenF,MATCH($W$7,LenU,0)))^2*INDEX(LayoutF,MATCH(X255,LayoutU,0)),0))</f>
        <v>0</v>
      </c>
      <c r="AR255" s="27" t="n">
        <f aca="false">IF(ISNUMBER(O255),O255*INDEX(LenF,MATCH($O$7,LenU,0)),IF(ISNUMBER(V255),V255*INDEX(LenF,MATCH($V$7,LenU,0)),0))</f>
        <v>0</v>
      </c>
      <c r="AS255" s="27" t="str">
        <f aca="false">IF(ISNUMBER(L255),L255*INDEX(LenF,MATCH($L$7,LenU,0))*1000,IF(OR(J255="",K255=""),"",IFERROR(IF(INDEX(PipeWT,MATCH(J255,NPSU,0),MATCH(K255,SchU,0))="","Sch n/a",INDEX(PipeOD,MATCH(J255,NPSU,0))-2*INDEX(PipeWT,MATCH(J255,NPSU,0),MATCH(K255,SchU,0))),"")))</f>
        <v/>
      </c>
      <c r="AT255" s="27" t="n">
        <f aca="false">IF(ISNUMBER(AI255),AI255,IFERROR(INDEX(IF(CC_JobType="Decontamination",CC_TypeFillDC,CC_TypeFillCC),MATCH(E255,CC_TypeL,0)),1))</f>
        <v>1</v>
      </c>
      <c r="AU255" s="27" t="n">
        <v>8</v>
      </c>
    </row>
    <row r="256" customFormat="false" ht="15" hidden="false" customHeight="false" outlineLevel="0" collapsed="false">
      <c r="A256" s="36" t="n">
        <v>16</v>
      </c>
      <c r="B256" s="40"/>
      <c r="C256" s="32"/>
      <c r="D256" s="32"/>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1" t="str">
        <f aca="false">IF(E256="Exchanger",IF(AND(ISNUMBER(S256),ISNUMBER(U256),ISNUMBER(V256)),S256*PI()/4*(U256*INDEX(LenF,MATCH($U$7,LenU,0)))^2*V256*INDEX(LenF,MATCH($V$7,LenU,0)),0)+IF(ISNUMBER(Y256),PI()/4*(Y256*INDEX(LenF,MATCH($Y$7,LenU,0)))^2*N(Z256)*INDEX(LenF,MATCH($Z$7,LenU,0))+IF(AA256="",0,IF(AA256="Conical",PI()/12*(Y256*INDEX(LenF,MATCH($Y$7,LenU,0)))^2*(0),INDEX(HeadK,MATCH(AA256,HeadU,0))*(Y256*INDEX(LenF,MATCH($Y$7,LenU,0)))^3)),0)+IF(ISNUMBER(Y256),PI()/4*(Y256*INDEX(LenF,MATCH($Y$7,LenU,0)))^2*N(AB256)*INDEX(LenF,MATCH($AB$7,LenU,0))+IF(AC256="",0,IF(AC256="Conical",PI()/12*(Y256*INDEX(LenF,MATCH($Y$7,LenU,0)))^2*(0),INDEX(HeadK,MATCH(AC256,HeadU,0))*(Y256*INDEX(LenF,MATCH($Y$7,LenU,0)))^3)),0),"")</f>
        <v/>
      </c>
      <c r="AE256" s="41" t="str">
        <f aca="false">IF(OR(E256="",E256="Piping"),"",IF(E256="Exchanger",AQ256*AR256+IF(P256="",0,IF(P256="Conical",PI()/12*(SQRT(4*AQ256/PI()))^2*(0),INDEX(HeadK,MATCH(P256,HeadU,0))*(SQRT(4*AQ256/PI()))^3))-IF(AND(ISNUMBER(S256),ISNUMBER(V256)),S256*PI()/4*AP256^2*V256*INDEX(LenF,MATCH($V$7,LenU,0)),0),IF(ISNUMBER(N256),PI()/4*(N256*INDEX(LenF,MATCH($N$7,LenU,0)))^2*N(O256)*INDEX(LenF,MATCH($O$7,LenU,0))+IF(P256="",0,IF(P256="Conical",PI()/12*(N256*INDEX(LenF,MATCH($N$7,LenU,0)))^2*(N(R256)*INDEX(LenF,MATCH($R$7,LenU,0))),INDEX(HeadK,MATCH(P256,HeadU,0))*(N256*INDEX(LenF,MATCH($N$7,LenU,0)))^3))+IF(Q256="",0,IF(Q256="Conical",PI()/12*(N256*INDEX(LenF,MATCH($N$7,LenU,0)))^2*(N(R256)*INDEX(LenF,MATCH($R$7,LenU,0))),INDEX(HeadK,MATCH(Q256,HeadU,0))*(N256*INDEX(LenF,MATCH($N$7,LenU,0)))^3)),0)))</f>
        <v/>
      </c>
      <c r="AF256" s="41" t="str">
        <f aca="false">IF(E256&lt;&gt;"Piping","",IF(AND(ISNUMBER(AS256),ISNUMBER(M256)),PI()/4*(AS256/1000)^2*M256*INDEX(LenF,MATCH($M$7,LenU,0)),0))</f>
        <v/>
      </c>
      <c r="AG256" s="41" t="str">
        <f aca="false">IF(E256="","",N(AD256)+N(AE256)+N(AF256))</f>
        <v/>
      </c>
      <c r="AH256" s="41" t="str">
        <f aca="false">IF(ISNUMBER(I256),I256*INDEX(WtF,MATCH($I$7,WtU,0))/CC_WaterRho,"")</f>
        <v/>
      </c>
      <c r="AI256" s="31"/>
      <c r="AJ256" s="31"/>
      <c r="AK256" s="40"/>
      <c r="AL256" s="31"/>
      <c r="AM256" s="41" t="str">
        <f aca="false">IF(AO256="","",AO256*IF(ISNUMBER(AK256),AK256,CC_DefFills)*(1+IF(ISNUMBER(AL256),AL256,CC_DefAllow)))</f>
        <v/>
      </c>
      <c r="AN256" s="42" t="str">
        <f aca="false">IF(G256="Given volume",IF(ISNUMBER(H256),H256*INDEX(VolF,MATCH($H$7,VolU,0)),""),IF(G256="Water weight",AH256,IF(N(AG256)=0,"",AG256)))</f>
        <v/>
      </c>
      <c r="AO256" s="42" t="str">
        <f aca="false">IF(N(AN256)=0,"",AN256*AT256*IF(ISNUMBER(AJ256),AJ256,CC_DefCirc))</f>
        <v/>
      </c>
      <c r="AP256" s="27" t="n">
        <f aca="false">IF(ISNUMBER(T256),T256*INDEX(LenF,MATCH($T$7,LenU,0)),IF(ISNUMBER(W256),W256*INDEX(LenF,MATCH($W$7,LenU,0))/CC_PitchRatio,0))</f>
        <v>0</v>
      </c>
      <c r="AQ256" s="27" t="n">
        <f aca="false">IF(ISNUMBER(N256),PI()/4*(N256*INDEX(LenF,MATCH($N$7,LenU,0)))^2,IF(AND(ISNUMBER(S256),ISNUMBER(W256),X256&lt;&gt;""),S256*(W256*INDEX(LenF,MATCH($W$7,LenU,0)))^2*INDEX(LayoutF,MATCH(X256,LayoutU,0)),0))</f>
        <v>0</v>
      </c>
      <c r="AR256" s="27" t="n">
        <f aca="false">IF(ISNUMBER(O256),O256*INDEX(LenF,MATCH($O$7,LenU,0)),IF(ISNUMBER(V256),V256*INDEX(LenF,MATCH($V$7,LenU,0)),0))</f>
        <v>0</v>
      </c>
      <c r="AS256" s="27" t="str">
        <f aca="false">IF(ISNUMBER(L256),L256*INDEX(LenF,MATCH($L$7,LenU,0))*1000,IF(OR(J256="",K256=""),"",IFERROR(IF(INDEX(PipeWT,MATCH(J256,NPSU,0),MATCH(K256,SchU,0))="","Sch n/a",INDEX(PipeOD,MATCH(J256,NPSU,0))-2*INDEX(PipeWT,MATCH(J256,NPSU,0),MATCH(K256,SchU,0))),"")))</f>
        <v/>
      </c>
      <c r="AT256" s="27" t="n">
        <f aca="false">IF(ISNUMBER(AI256),AI256,IFERROR(INDEX(IF(CC_JobType="Decontamination",CC_TypeFillDC,CC_TypeFillCC),MATCH(E256,CC_TypeL,0)),1))</f>
        <v>1</v>
      </c>
      <c r="AU256" s="27" t="n">
        <v>8</v>
      </c>
    </row>
    <row r="257" customFormat="false" ht="15" hidden="false" customHeight="false" outlineLevel="0" collapsed="false">
      <c r="A257" s="36" t="n">
        <v>17</v>
      </c>
      <c r="B257" s="40"/>
      <c r="C257" s="32"/>
      <c r="D257" s="32"/>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1" t="str">
        <f aca="false">IF(E257="Exchanger",IF(AND(ISNUMBER(S257),ISNUMBER(U257),ISNUMBER(V257)),S257*PI()/4*(U257*INDEX(LenF,MATCH($U$7,LenU,0)))^2*V257*INDEX(LenF,MATCH($V$7,LenU,0)),0)+IF(ISNUMBER(Y257),PI()/4*(Y257*INDEX(LenF,MATCH($Y$7,LenU,0)))^2*N(Z257)*INDEX(LenF,MATCH($Z$7,LenU,0))+IF(AA257="",0,IF(AA257="Conical",PI()/12*(Y257*INDEX(LenF,MATCH($Y$7,LenU,0)))^2*(0),INDEX(HeadK,MATCH(AA257,HeadU,0))*(Y257*INDEX(LenF,MATCH($Y$7,LenU,0)))^3)),0)+IF(ISNUMBER(Y257),PI()/4*(Y257*INDEX(LenF,MATCH($Y$7,LenU,0)))^2*N(AB257)*INDEX(LenF,MATCH($AB$7,LenU,0))+IF(AC257="",0,IF(AC257="Conical",PI()/12*(Y257*INDEX(LenF,MATCH($Y$7,LenU,0)))^2*(0),INDEX(HeadK,MATCH(AC257,HeadU,0))*(Y257*INDEX(LenF,MATCH($Y$7,LenU,0)))^3)),0),"")</f>
        <v/>
      </c>
      <c r="AE257" s="41" t="str">
        <f aca="false">IF(OR(E257="",E257="Piping"),"",IF(E257="Exchanger",AQ257*AR257+IF(P257="",0,IF(P257="Conical",PI()/12*(SQRT(4*AQ257/PI()))^2*(0),INDEX(HeadK,MATCH(P257,HeadU,0))*(SQRT(4*AQ257/PI()))^3))-IF(AND(ISNUMBER(S257),ISNUMBER(V257)),S257*PI()/4*AP257^2*V257*INDEX(LenF,MATCH($V$7,LenU,0)),0),IF(ISNUMBER(N257),PI()/4*(N257*INDEX(LenF,MATCH($N$7,LenU,0)))^2*N(O257)*INDEX(LenF,MATCH($O$7,LenU,0))+IF(P257="",0,IF(P257="Conical",PI()/12*(N257*INDEX(LenF,MATCH($N$7,LenU,0)))^2*(N(R257)*INDEX(LenF,MATCH($R$7,LenU,0))),INDEX(HeadK,MATCH(P257,HeadU,0))*(N257*INDEX(LenF,MATCH($N$7,LenU,0)))^3))+IF(Q257="",0,IF(Q257="Conical",PI()/12*(N257*INDEX(LenF,MATCH($N$7,LenU,0)))^2*(N(R257)*INDEX(LenF,MATCH($R$7,LenU,0))),INDEX(HeadK,MATCH(Q257,HeadU,0))*(N257*INDEX(LenF,MATCH($N$7,LenU,0)))^3)),0)))</f>
        <v/>
      </c>
      <c r="AF257" s="41" t="str">
        <f aca="false">IF(E257&lt;&gt;"Piping","",IF(AND(ISNUMBER(AS257),ISNUMBER(M257)),PI()/4*(AS257/1000)^2*M257*INDEX(LenF,MATCH($M$7,LenU,0)),0))</f>
        <v/>
      </c>
      <c r="AG257" s="41" t="str">
        <f aca="false">IF(E257="","",N(AD257)+N(AE257)+N(AF257))</f>
        <v/>
      </c>
      <c r="AH257" s="41" t="str">
        <f aca="false">IF(ISNUMBER(I257),I257*INDEX(WtF,MATCH($I$7,WtU,0))/CC_WaterRho,"")</f>
        <v/>
      </c>
      <c r="AI257" s="31"/>
      <c r="AJ257" s="31"/>
      <c r="AK257" s="40"/>
      <c r="AL257" s="31"/>
      <c r="AM257" s="41" t="str">
        <f aca="false">IF(AO257="","",AO257*IF(ISNUMBER(AK257),AK257,CC_DefFills)*(1+IF(ISNUMBER(AL257),AL257,CC_DefAllow)))</f>
        <v/>
      </c>
      <c r="AN257" s="42" t="str">
        <f aca="false">IF(G257="Given volume",IF(ISNUMBER(H257),H257*INDEX(VolF,MATCH($H$7,VolU,0)),""),IF(G257="Water weight",AH257,IF(N(AG257)=0,"",AG257)))</f>
        <v/>
      </c>
      <c r="AO257" s="42" t="str">
        <f aca="false">IF(N(AN257)=0,"",AN257*AT257*IF(ISNUMBER(AJ257),AJ257,CC_DefCirc))</f>
        <v/>
      </c>
      <c r="AP257" s="27" t="n">
        <f aca="false">IF(ISNUMBER(T257),T257*INDEX(LenF,MATCH($T$7,LenU,0)),IF(ISNUMBER(W257),W257*INDEX(LenF,MATCH($W$7,LenU,0))/CC_PitchRatio,0))</f>
        <v>0</v>
      </c>
      <c r="AQ257" s="27" t="n">
        <f aca="false">IF(ISNUMBER(N257),PI()/4*(N257*INDEX(LenF,MATCH($N$7,LenU,0)))^2,IF(AND(ISNUMBER(S257),ISNUMBER(W257),X257&lt;&gt;""),S257*(W257*INDEX(LenF,MATCH($W$7,LenU,0)))^2*INDEX(LayoutF,MATCH(X257,LayoutU,0)),0))</f>
        <v>0</v>
      </c>
      <c r="AR257" s="27" t="n">
        <f aca="false">IF(ISNUMBER(O257),O257*INDEX(LenF,MATCH($O$7,LenU,0)),IF(ISNUMBER(V257),V257*INDEX(LenF,MATCH($V$7,LenU,0)),0))</f>
        <v>0</v>
      </c>
      <c r="AS257" s="27" t="str">
        <f aca="false">IF(ISNUMBER(L257),L257*INDEX(LenF,MATCH($L$7,LenU,0))*1000,IF(OR(J257="",K257=""),"",IFERROR(IF(INDEX(PipeWT,MATCH(J257,NPSU,0),MATCH(K257,SchU,0))="","Sch n/a",INDEX(PipeOD,MATCH(J257,NPSU,0))-2*INDEX(PipeWT,MATCH(J257,NPSU,0),MATCH(K257,SchU,0))),"")))</f>
        <v/>
      </c>
      <c r="AT257" s="27" t="n">
        <f aca="false">IF(ISNUMBER(AI257),AI257,IFERROR(INDEX(IF(CC_JobType="Decontamination",CC_TypeFillDC,CC_TypeFillCC),MATCH(E257,CC_TypeL,0)),1))</f>
        <v>1</v>
      </c>
      <c r="AU257" s="27" t="n">
        <v>8</v>
      </c>
    </row>
    <row r="258" customFormat="false" ht="15" hidden="false" customHeight="false" outlineLevel="0" collapsed="false">
      <c r="A258" s="36" t="n">
        <v>18</v>
      </c>
      <c r="B258" s="40"/>
      <c r="C258" s="32"/>
      <c r="D258" s="32"/>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1" t="str">
        <f aca="false">IF(E258="Exchanger",IF(AND(ISNUMBER(S258),ISNUMBER(U258),ISNUMBER(V258)),S258*PI()/4*(U258*INDEX(LenF,MATCH($U$7,LenU,0)))^2*V258*INDEX(LenF,MATCH($V$7,LenU,0)),0)+IF(ISNUMBER(Y258),PI()/4*(Y258*INDEX(LenF,MATCH($Y$7,LenU,0)))^2*N(Z258)*INDEX(LenF,MATCH($Z$7,LenU,0))+IF(AA258="",0,IF(AA258="Conical",PI()/12*(Y258*INDEX(LenF,MATCH($Y$7,LenU,0)))^2*(0),INDEX(HeadK,MATCH(AA258,HeadU,0))*(Y258*INDEX(LenF,MATCH($Y$7,LenU,0)))^3)),0)+IF(ISNUMBER(Y258),PI()/4*(Y258*INDEX(LenF,MATCH($Y$7,LenU,0)))^2*N(AB258)*INDEX(LenF,MATCH($AB$7,LenU,0))+IF(AC258="",0,IF(AC258="Conical",PI()/12*(Y258*INDEX(LenF,MATCH($Y$7,LenU,0)))^2*(0),INDEX(HeadK,MATCH(AC258,HeadU,0))*(Y258*INDEX(LenF,MATCH($Y$7,LenU,0)))^3)),0),"")</f>
        <v/>
      </c>
      <c r="AE258" s="41" t="str">
        <f aca="false">IF(OR(E258="",E258="Piping"),"",IF(E258="Exchanger",AQ258*AR258+IF(P258="",0,IF(P258="Conical",PI()/12*(SQRT(4*AQ258/PI()))^2*(0),INDEX(HeadK,MATCH(P258,HeadU,0))*(SQRT(4*AQ258/PI()))^3))-IF(AND(ISNUMBER(S258),ISNUMBER(V258)),S258*PI()/4*AP258^2*V258*INDEX(LenF,MATCH($V$7,LenU,0)),0),IF(ISNUMBER(N258),PI()/4*(N258*INDEX(LenF,MATCH($N$7,LenU,0)))^2*N(O258)*INDEX(LenF,MATCH($O$7,LenU,0))+IF(P258="",0,IF(P258="Conical",PI()/12*(N258*INDEX(LenF,MATCH($N$7,LenU,0)))^2*(N(R258)*INDEX(LenF,MATCH($R$7,LenU,0))),INDEX(HeadK,MATCH(P258,HeadU,0))*(N258*INDEX(LenF,MATCH($N$7,LenU,0)))^3))+IF(Q258="",0,IF(Q258="Conical",PI()/12*(N258*INDEX(LenF,MATCH($N$7,LenU,0)))^2*(N(R258)*INDEX(LenF,MATCH($R$7,LenU,0))),INDEX(HeadK,MATCH(Q258,HeadU,0))*(N258*INDEX(LenF,MATCH($N$7,LenU,0)))^3)),0)))</f>
        <v/>
      </c>
      <c r="AF258" s="41" t="str">
        <f aca="false">IF(E258&lt;&gt;"Piping","",IF(AND(ISNUMBER(AS258),ISNUMBER(M258)),PI()/4*(AS258/1000)^2*M258*INDEX(LenF,MATCH($M$7,LenU,0)),0))</f>
        <v/>
      </c>
      <c r="AG258" s="41" t="str">
        <f aca="false">IF(E258="","",N(AD258)+N(AE258)+N(AF258))</f>
        <v/>
      </c>
      <c r="AH258" s="41" t="str">
        <f aca="false">IF(ISNUMBER(I258),I258*INDEX(WtF,MATCH($I$7,WtU,0))/CC_WaterRho,"")</f>
        <v/>
      </c>
      <c r="AI258" s="31"/>
      <c r="AJ258" s="31"/>
      <c r="AK258" s="40"/>
      <c r="AL258" s="31"/>
      <c r="AM258" s="41" t="str">
        <f aca="false">IF(AO258="","",AO258*IF(ISNUMBER(AK258),AK258,CC_DefFills)*(1+IF(ISNUMBER(AL258),AL258,CC_DefAllow)))</f>
        <v/>
      </c>
      <c r="AN258" s="42" t="str">
        <f aca="false">IF(G258="Given volume",IF(ISNUMBER(H258),H258*INDEX(VolF,MATCH($H$7,VolU,0)),""),IF(G258="Water weight",AH258,IF(N(AG258)=0,"",AG258)))</f>
        <v/>
      </c>
      <c r="AO258" s="42" t="str">
        <f aca="false">IF(N(AN258)=0,"",AN258*AT258*IF(ISNUMBER(AJ258),AJ258,CC_DefCirc))</f>
        <v/>
      </c>
      <c r="AP258" s="27" t="n">
        <f aca="false">IF(ISNUMBER(T258),T258*INDEX(LenF,MATCH($T$7,LenU,0)),IF(ISNUMBER(W258),W258*INDEX(LenF,MATCH($W$7,LenU,0))/CC_PitchRatio,0))</f>
        <v>0</v>
      </c>
      <c r="AQ258" s="27" t="n">
        <f aca="false">IF(ISNUMBER(N258),PI()/4*(N258*INDEX(LenF,MATCH($N$7,LenU,0)))^2,IF(AND(ISNUMBER(S258),ISNUMBER(W258),X258&lt;&gt;""),S258*(W258*INDEX(LenF,MATCH($W$7,LenU,0)))^2*INDEX(LayoutF,MATCH(X258,LayoutU,0)),0))</f>
        <v>0</v>
      </c>
      <c r="AR258" s="27" t="n">
        <f aca="false">IF(ISNUMBER(O258),O258*INDEX(LenF,MATCH($O$7,LenU,0)),IF(ISNUMBER(V258),V258*INDEX(LenF,MATCH($V$7,LenU,0)),0))</f>
        <v>0</v>
      </c>
      <c r="AS258" s="27" t="str">
        <f aca="false">IF(ISNUMBER(L258),L258*INDEX(LenF,MATCH($L$7,LenU,0))*1000,IF(OR(J258="",K258=""),"",IFERROR(IF(INDEX(PipeWT,MATCH(J258,NPSU,0),MATCH(K258,SchU,0))="","Sch n/a",INDEX(PipeOD,MATCH(J258,NPSU,0))-2*INDEX(PipeWT,MATCH(J258,NPSU,0),MATCH(K258,SchU,0))),"")))</f>
        <v/>
      </c>
      <c r="AT258" s="27" t="n">
        <f aca="false">IF(ISNUMBER(AI258),AI258,IFERROR(INDEX(IF(CC_JobType="Decontamination",CC_TypeFillDC,CC_TypeFillCC),MATCH(E258,CC_TypeL,0)),1))</f>
        <v>1</v>
      </c>
      <c r="AU258" s="27" t="n">
        <v>8</v>
      </c>
    </row>
    <row r="259" customFormat="false" ht="15" hidden="false" customHeight="false" outlineLevel="0" collapsed="false">
      <c r="A259" s="36" t="n">
        <v>19</v>
      </c>
      <c r="B259" s="40"/>
      <c r="C259" s="32"/>
      <c r="D259" s="32"/>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1" t="str">
        <f aca="false">IF(E259="Exchanger",IF(AND(ISNUMBER(S259),ISNUMBER(U259),ISNUMBER(V259)),S259*PI()/4*(U259*INDEX(LenF,MATCH($U$7,LenU,0)))^2*V259*INDEX(LenF,MATCH($V$7,LenU,0)),0)+IF(ISNUMBER(Y259),PI()/4*(Y259*INDEX(LenF,MATCH($Y$7,LenU,0)))^2*N(Z259)*INDEX(LenF,MATCH($Z$7,LenU,0))+IF(AA259="",0,IF(AA259="Conical",PI()/12*(Y259*INDEX(LenF,MATCH($Y$7,LenU,0)))^2*(0),INDEX(HeadK,MATCH(AA259,HeadU,0))*(Y259*INDEX(LenF,MATCH($Y$7,LenU,0)))^3)),0)+IF(ISNUMBER(Y259),PI()/4*(Y259*INDEX(LenF,MATCH($Y$7,LenU,0)))^2*N(AB259)*INDEX(LenF,MATCH($AB$7,LenU,0))+IF(AC259="",0,IF(AC259="Conical",PI()/12*(Y259*INDEX(LenF,MATCH($Y$7,LenU,0)))^2*(0),INDEX(HeadK,MATCH(AC259,HeadU,0))*(Y259*INDEX(LenF,MATCH($Y$7,LenU,0)))^3)),0),"")</f>
        <v/>
      </c>
      <c r="AE259" s="41" t="str">
        <f aca="false">IF(OR(E259="",E259="Piping"),"",IF(E259="Exchanger",AQ259*AR259+IF(P259="",0,IF(P259="Conical",PI()/12*(SQRT(4*AQ259/PI()))^2*(0),INDEX(HeadK,MATCH(P259,HeadU,0))*(SQRT(4*AQ259/PI()))^3))-IF(AND(ISNUMBER(S259),ISNUMBER(V259)),S259*PI()/4*AP259^2*V259*INDEX(LenF,MATCH($V$7,LenU,0)),0),IF(ISNUMBER(N259),PI()/4*(N259*INDEX(LenF,MATCH($N$7,LenU,0)))^2*N(O259)*INDEX(LenF,MATCH($O$7,LenU,0))+IF(P259="",0,IF(P259="Conical",PI()/12*(N259*INDEX(LenF,MATCH($N$7,LenU,0)))^2*(N(R259)*INDEX(LenF,MATCH($R$7,LenU,0))),INDEX(HeadK,MATCH(P259,HeadU,0))*(N259*INDEX(LenF,MATCH($N$7,LenU,0)))^3))+IF(Q259="",0,IF(Q259="Conical",PI()/12*(N259*INDEX(LenF,MATCH($N$7,LenU,0)))^2*(N(R259)*INDEX(LenF,MATCH($R$7,LenU,0))),INDEX(HeadK,MATCH(Q259,HeadU,0))*(N259*INDEX(LenF,MATCH($N$7,LenU,0)))^3)),0)))</f>
        <v/>
      </c>
      <c r="AF259" s="41" t="str">
        <f aca="false">IF(E259&lt;&gt;"Piping","",IF(AND(ISNUMBER(AS259),ISNUMBER(M259)),PI()/4*(AS259/1000)^2*M259*INDEX(LenF,MATCH($M$7,LenU,0)),0))</f>
        <v/>
      </c>
      <c r="AG259" s="41" t="str">
        <f aca="false">IF(E259="","",N(AD259)+N(AE259)+N(AF259))</f>
        <v/>
      </c>
      <c r="AH259" s="41" t="str">
        <f aca="false">IF(ISNUMBER(I259),I259*INDEX(WtF,MATCH($I$7,WtU,0))/CC_WaterRho,"")</f>
        <v/>
      </c>
      <c r="AI259" s="31"/>
      <c r="AJ259" s="31"/>
      <c r="AK259" s="40"/>
      <c r="AL259" s="31"/>
      <c r="AM259" s="41" t="str">
        <f aca="false">IF(AO259="","",AO259*IF(ISNUMBER(AK259),AK259,CC_DefFills)*(1+IF(ISNUMBER(AL259),AL259,CC_DefAllow)))</f>
        <v/>
      </c>
      <c r="AN259" s="42" t="str">
        <f aca="false">IF(G259="Given volume",IF(ISNUMBER(H259),H259*INDEX(VolF,MATCH($H$7,VolU,0)),""),IF(G259="Water weight",AH259,IF(N(AG259)=0,"",AG259)))</f>
        <v/>
      </c>
      <c r="AO259" s="42" t="str">
        <f aca="false">IF(N(AN259)=0,"",AN259*AT259*IF(ISNUMBER(AJ259),AJ259,CC_DefCirc))</f>
        <v/>
      </c>
      <c r="AP259" s="27" t="n">
        <f aca="false">IF(ISNUMBER(T259),T259*INDEX(LenF,MATCH($T$7,LenU,0)),IF(ISNUMBER(W259),W259*INDEX(LenF,MATCH($W$7,LenU,0))/CC_PitchRatio,0))</f>
        <v>0</v>
      </c>
      <c r="AQ259" s="27" t="n">
        <f aca="false">IF(ISNUMBER(N259),PI()/4*(N259*INDEX(LenF,MATCH($N$7,LenU,0)))^2,IF(AND(ISNUMBER(S259),ISNUMBER(W259),X259&lt;&gt;""),S259*(W259*INDEX(LenF,MATCH($W$7,LenU,0)))^2*INDEX(LayoutF,MATCH(X259,LayoutU,0)),0))</f>
        <v>0</v>
      </c>
      <c r="AR259" s="27" t="n">
        <f aca="false">IF(ISNUMBER(O259),O259*INDEX(LenF,MATCH($O$7,LenU,0)),IF(ISNUMBER(V259),V259*INDEX(LenF,MATCH($V$7,LenU,0)),0))</f>
        <v>0</v>
      </c>
      <c r="AS259" s="27" t="str">
        <f aca="false">IF(ISNUMBER(L259),L259*INDEX(LenF,MATCH($L$7,LenU,0))*1000,IF(OR(J259="",K259=""),"",IFERROR(IF(INDEX(PipeWT,MATCH(J259,NPSU,0),MATCH(K259,SchU,0))="","Sch n/a",INDEX(PipeOD,MATCH(J259,NPSU,0))-2*INDEX(PipeWT,MATCH(J259,NPSU,0),MATCH(K259,SchU,0))),"")))</f>
        <v/>
      </c>
      <c r="AT259" s="27" t="n">
        <f aca="false">IF(ISNUMBER(AI259),AI259,IFERROR(INDEX(IF(CC_JobType="Decontamination",CC_TypeFillDC,CC_TypeFillCC),MATCH(E259,CC_TypeL,0)),1))</f>
        <v>1</v>
      </c>
      <c r="AU259" s="27" t="n">
        <v>8</v>
      </c>
    </row>
    <row r="260" customFormat="false" ht="15" hidden="false" customHeight="false" outlineLevel="0" collapsed="false">
      <c r="A260" s="36" t="n">
        <v>20</v>
      </c>
      <c r="B260" s="40"/>
      <c r="C260" s="32"/>
      <c r="D260" s="32"/>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1" t="str">
        <f aca="false">IF(E260="Exchanger",IF(AND(ISNUMBER(S260),ISNUMBER(U260),ISNUMBER(V260)),S260*PI()/4*(U260*INDEX(LenF,MATCH($U$7,LenU,0)))^2*V260*INDEX(LenF,MATCH($V$7,LenU,0)),0)+IF(ISNUMBER(Y260),PI()/4*(Y260*INDEX(LenF,MATCH($Y$7,LenU,0)))^2*N(Z260)*INDEX(LenF,MATCH($Z$7,LenU,0))+IF(AA260="",0,IF(AA260="Conical",PI()/12*(Y260*INDEX(LenF,MATCH($Y$7,LenU,0)))^2*(0),INDEX(HeadK,MATCH(AA260,HeadU,0))*(Y260*INDEX(LenF,MATCH($Y$7,LenU,0)))^3)),0)+IF(ISNUMBER(Y260),PI()/4*(Y260*INDEX(LenF,MATCH($Y$7,LenU,0)))^2*N(AB260)*INDEX(LenF,MATCH($AB$7,LenU,0))+IF(AC260="",0,IF(AC260="Conical",PI()/12*(Y260*INDEX(LenF,MATCH($Y$7,LenU,0)))^2*(0),INDEX(HeadK,MATCH(AC260,HeadU,0))*(Y260*INDEX(LenF,MATCH($Y$7,LenU,0)))^3)),0),"")</f>
        <v/>
      </c>
      <c r="AE260" s="41" t="str">
        <f aca="false">IF(OR(E260="",E260="Piping"),"",IF(E260="Exchanger",AQ260*AR260+IF(P260="",0,IF(P260="Conical",PI()/12*(SQRT(4*AQ260/PI()))^2*(0),INDEX(HeadK,MATCH(P260,HeadU,0))*(SQRT(4*AQ260/PI()))^3))-IF(AND(ISNUMBER(S260),ISNUMBER(V260)),S260*PI()/4*AP260^2*V260*INDEX(LenF,MATCH($V$7,LenU,0)),0),IF(ISNUMBER(N260),PI()/4*(N260*INDEX(LenF,MATCH($N$7,LenU,0)))^2*N(O260)*INDEX(LenF,MATCH($O$7,LenU,0))+IF(P260="",0,IF(P260="Conical",PI()/12*(N260*INDEX(LenF,MATCH($N$7,LenU,0)))^2*(N(R260)*INDEX(LenF,MATCH($R$7,LenU,0))),INDEX(HeadK,MATCH(P260,HeadU,0))*(N260*INDEX(LenF,MATCH($N$7,LenU,0)))^3))+IF(Q260="",0,IF(Q260="Conical",PI()/12*(N260*INDEX(LenF,MATCH($N$7,LenU,0)))^2*(N(R260)*INDEX(LenF,MATCH($R$7,LenU,0))),INDEX(HeadK,MATCH(Q260,HeadU,0))*(N260*INDEX(LenF,MATCH($N$7,LenU,0)))^3)),0)))</f>
        <v/>
      </c>
      <c r="AF260" s="41" t="str">
        <f aca="false">IF(E260&lt;&gt;"Piping","",IF(AND(ISNUMBER(AS260),ISNUMBER(M260)),PI()/4*(AS260/1000)^2*M260*INDEX(LenF,MATCH($M$7,LenU,0)),0))</f>
        <v/>
      </c>
      <c r="AG260" s="41" t="str">
        <f aca="false">IF(E260="","",N(AD260)+N(AE260)+N(AF260))</f>
        <v/>
      </c>
      <c r="AH260" s="41" t="str">
        <f aca="false">IF(ISNUMBER(I260),I260*INDEX(WtF,MATCH($I$7,WtU,0))/CC_WaterRho,"")</f>
        <v/>
      </c>
      <c r="AI260" s="31"/>
      <c r="AJ260" s="31"/>
      <c r="AK260" s="40"/>
      <c r="AL260" s="31"/>
      <c r="AM260" s="41" t="str">
        <f aca="false">IF(AO260="","",AO260*IF(ISNUMBER(AK260),AK260,CC_DefFills)*(1+IF(ISNUMBER(AL260),AL260,CC_DefAllow)))</f>
        <v/>
      </c>
      <c r="AN260" s="42" t="str">
        <f aca="false">IF(G260="Given volume",IF(ISNUMBER(H260),H260*INDEX(VolF,MATCH($H$7,VolU,0)),""),IF(G260="Water weight",AH260,IF(N(AG260)=0,"",AG260)))</f>
        <v/>
      </c>
      <c r="AO260" s="42" t="str">
        <f aca="false">IF(N(AN260)=0,"",AN260*AT260*IF(ISNUMBER(AJ260),AJ260,CC_DefCirc))</f>
        <v/>
      </c>
      <c r="AP260" s="27" t="n">
        <f aca="false">IF(ISNUMBER(T260),T260*INDEX(LenF,MATCH($T$7,LenU,0)),IF(ISNUMBER(W260),W260*INDEX(LenF,MATCH($W$7,LenU,0))/CC_PitchRatio,0))</f>
        <v>0</v>
      </c>
      <c r="AQ260" s="27" t="n">
        <f aca="false">IF(ISNUMBER(N260),PI()/4*(N260*INDEX(LenF,MATCH($N$7,LenU,0)))^2,IF(AND(ISNUMBER(S260),ISNUMBER(W260),X260&lt;&gt;""),S260*(W260*INDEX(LenF,MATCH($W$7,LenU,0)))^2*INDEX(LayoutF,MATCH(X260,LayoutU,0)),0))</f>
        <v>0</v>
      </c>
      <c r="AR260" s="27" t="n">
        <f aca="false">IF(ISNUMBER(O260),O260*INDEX(LenF,MATCH($O$7,LenU,0)),IF(ISNUMBER(V260),V260*INDEX(LenF,MATCH($V$7,LenU,0)),0))</f>
        <v>0</v>
      </c>
      <c r="AS260" s="27" t="str">
        <f aca="false">IF(ISNUMBER(L260),L260*INDEX(LenF,MATCH($L$7,LenU,0))*1000,IF(OR(J260="",K260=""),"",IFERROR(IF(INDEX(PipeWT,MATCH(J260,NPSU,0),MATCH(K260,SchU,0))="","Sch n/a",INDEX(PipeOD,MATCH(J260,NPSU,0))-2*INDEX(PipeWT,MATCH(J260,NPSU,0),MATCH(K260,SchU,0))),"")))</f>
        <v/>
      </c>
      <c r="AT260" s="27" t="n">
        <f aca="false">IF(ISNUMBER(AI260),AI260,IFERROR(INDEX(IF(CC_JobType="Decontamination",CC_TypeFillDC,CC_TypeFillCC),MATCH(E260,CC_TypeL,0)),1))</f>
        <v>1</v>
      </c>
      <c r="AU260" s="27" t="n">
        <v>8</v>
      </c>
    </row>
    <row r="261" customFormat="false" ht="15" hidden="false" customHeight="false" outlineLevel="0" collapsed="false">
      <c r="A261" s="36" t="n">
        <v>21</v>
      </c>
      <c r="B261" s="40"/>
      <c r="C261" s="32"/>
      <c r="D261" s="32"/>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1" t="str">
        <f aca="false">IF(E261="Exchanger",IF(AND(ISNUMBER(S261),ISNUMBER(U261),ISNUMBER(V261)),S261*PI()/4*(U261*INDEX(LenF,MATCH($U$7,LenU,0)))^2*V261*INDEX(LenF,MATCH($V$7,LenU,0)),0)+IF(ISNUMBER(Y261),PI()/4*(Y261*INDEX(LenF,MATCH($Y$7,LenU,0)))^2*N(Z261)*INDEX(LenF,MATCH($Z$7,LenU,0))+IF(AA261="",0,IF(AA261="Conical",PI()/12*(Y261*INDEX(LenF,MATCH($Y$7,LenU,0)))^2*(0),INDEX(HeadK,MATCH(AA261,HeadU,0))*(Y261*INDEX(LenF,MATCH($Y$7,LenU,0)))^3)),0)+IF(ISNUMBER(Y261),PI()/4*(Y261*INDEX(LenF,MATCH($Y$7,LenU,0)))^2*N(AB261)*INDEX(LenF,MATCH($AB$7,LenU,0))+IF(AC261="",0,IF(AC261="Conical",PI()/12*(Y261*INDEX(LenF,MATCH($Y$7,LenU,0)))^2*(0),INDEX(HeadK,MATCH(AC261,HeadU,0))*(Y261*INDEX(LenF,MATCH($Y$7,LenU,0)))^3)),0),"")</f>
        <v/>
      </c>
      <c r="AE261" s="41" t="str">
        <f aca="false">IF(OR(E261="",E261="Piping"),"",IF(E261="Exchanger",AQ261*AR261+IF(P261="",0,IF(P261="Conical",PI()/12*(SQRT(4*AQ261/PI()))^2*(0),INDEX(HeadK,MATCH(P261,HeadU,0))*(SQRT(4*AQ261/PI()))^3))-IF(AND(ISNUMBER(S261),ISNUMBER(V261)),S261*PI()/4*AP261^2*V261*INDEX(LenF,MATCH($V$7,LenU,0)),0),IF(ISNUMBER(N261),PI()/4*(N261*INDEX(LenF,MATCH($N$7,LenU,0)))^2*N(O261)*INDEX(LenF,MATCH($O$7,LenU,0))+IF(P261="",0,IF(P261="Conical",PI()/12*(N261*INDEX(LenF,MATCH($N$7,LenU,0)))^2*(N(R261)*INDEX(LenF,MATCH($R$7,LenU,0))),INDEX(HeadK,MATCH(P261,HeadU,0))*(N261*INDEX(LenF,MATCH($N$7,LenU,0)))^3))+IF(Q261="",0,IF(Q261="Conical",PI()/12*(N261*INDEX(LenF,MATCH($N$7,LenU,0)))^2*(N(R261)*INDEX(LenF,MATCH($R$7,LenU,0))),INDEX(HeadK,MATCH(Q261,HeadU,0))*(N261*INDEX(LenF,MATCH($N$7,LenU,0)))^3)),0)))</f>
        <v/>
      </c>
      <c r="AF261" s="41" t="str">
        <f aca="false">IF(E261&lt;&gt;"Piping","",IF(AND(ISNUMBER(AS261),ISNUMBER(M261)),PI()/4*(AS261/1000)^2*M261*INDEX(LenF,MATCH($M$7,LenU,0)),0))</f>
        <v/>
      </c>
      <c r="AG261" s="41" t="str">
        <f aca="false">IF(E261="","",N(AD261)+N(AE261)+N(AF261))</f>
        <v/>
      </c>
      <c r="AH261" s="41" t="str">
        <f aca="false">IF(ISNUMBER(I261),I261*INDEX(WtF,MATCH($I$7,WtU,0))/CC_WaterRho,"")</f>
        <v/>
      </c>
      <c r="AI261" s="31"/>
      <c r="AJ261" s="31"/>
      <c r="AK261" s="40"/>
      <c r="AL261" s="31"/>
      <c r="AM261" s="41" t="str">
        <f aca="false">IF(AO261="","",AO261*IF(ISNUMBER(AK261),AK261,CC_DefFills)*(1+IF(ISNUMBER(AL261),AL261,CC_DefAllow)))</f>
        <v/>
      </c>
      <c r="AN261" s="42" t="str">
        <f aca="false">IF(G261="Given volume",IF(ISNUMBER(H261),H261*INDEX(VolF,MATCH($H$7,VolU,0)),""),IF(G261="Water weight",AH261,IF(N(AG261)=0,"",AG261)))</f>
        <v/>
      </c>
      <c r="AO261" s="42" t="str">
        <f aca="false">IF(N(AN261)=0,"",AN261*AT261*IF(ISNUMBER(AJ261),AJ261,CC_DefCirc))</f>
        <v/>
      </c>
      <c r="AP261" s="27" t="n">
        <f aca="false">IF(ISNUMBER(T261),T261*INDEX(LenF,MATCH($T$7,LenU,0)),IF(ISNUMBER(W261),W261*INDEX(LenF,MATCH($W$7,LenU,0))/CC_PitchRatio,0))</f>
        <v>0</v>
      </c>
      <c r="AQ261" s="27" t="n">
        <f aca="false">IF(ISNUMBER(N261),PI()/4*(N261*INDEX(LenF,MATCH($N$7,LenU,0)))^2,IF(AND(ISNUMBER(S261),ISNUMBER(W261),X261&lt;&gt;""),S261*(W261*INDEX(LenF,MATCH($W$7,LenU,0)))^2*INDEX(LayoutF,MATCH(X261,LayoutU,0)),0))</f>
        <v>0</v>
      </c>
      <c r="AR261" s="27" t="n">
        <f aca="false">IF(ISNUMBER(O261),O261*INDEX(LenF,MATCH($O$7,LenU,0)),IF(ISNUMBER(V261),V261*INDEX(LenF,MATCH($V$7,LenU,0)),0))</f>
        <v>0</v>
      </c>
      <c r="AS261" s="27" t="str">
        <f aca="false">IF(ISNUMBER(L261),L261*INDEX(LenF,MATCH($L$7,LenU,0))*1000,IF(OR(J261="",K261=""),"",IFERROR(IF(INDEX(PipeWT,MATCH(J261,NPSU,0),MATCH(K261,SchU,0))="","Sch n/a",INDEX(PipeOD,MATCH(J261,NPSU,0))-2*INDEX(PipeWT,MATCH(J261,NPSU,0),MATCH(K261,SchU,0))),"")))</f>
        <v/>
      </c>
      <c r="AT261" s="27" t="n">
        <f aca="false">IF(ISNUMBER(AI261),AI261,IFERROR(INDEX(IF(CC_JobType="Decontamination",CC_TypeFillDC,CC_TypeFillCC),MATCH(E261,CC_TypeL,0)),1))</f>
        <v>1</v>
      </c>
      <c r="AU261" s="27" t="n">
        <v>8</v>
      </c>
    </row>
    <row r="262" customFormat="false" ht="15" hidden="false" customHeight="false" outlineLevel="0" collapsed="false">
      <c r="A262" s="36" t="n">
        <v>22</v>
      </c>
      <c r="B262" s="40"/>
      <c r="C262" s="32"/>
      <c r="D262" s="32"/>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1" t="str">
        <f aca="false">IF(E262="Exchanger",IF(AND(ISNUMBER(S262),ISNUMBER(U262),ISNUMBER(V262)),S262*PI()/4*(U262*INDEX(LenF,MATCH($U$7,LenU,0)))^2*V262*INDEX(LenF,MATCH($V$7,LenU,0)),0)+IF(ISNUMBER(Y262),PI()/4*(Y262*INDEX(LenF,MATCH($Y$7,LenU,0)))^2*N(Z262)*INDEX(LenF,MATCH($Z$7,LenU,0))+IF(AA262="",0,IF(AA262="Conical",PI()/12*(Y262*INDEX(LenF,MATCH($Y$7,LenU,0)))^2*(0),INDEX(HeadK,MATCH(AA262,HeadU,0))*(Y262*INDEX(LenF,MATCH($Y$7,LenU,0)))^3)),0)+IF(ISNUMBER(Y262),PI()/4*(Y262*INDEX(LenF,MATCH($Y$7,LenU,0)))^2*N(AB262)*INDEX(LenF,MATCH($AB$7,LenU,0))+IF(AC262="",0,IF(AC262="Conical",PI()/12*(Y262*INDEX(LenF,MATCH($Y$7,LenU,0)))^2*(0),INDEX(HeadK,MATCH(AC262,HeadU,0))*(Y262*INDEX(LenF,MATCH($Y$7,LenU,0)))^3)),0),"")</f>
        <v/>
      </c>
      <c r="AE262" s="41" t="str">
        <f aca="false">IF(OR(E262="",E262="Piping"),"",IF(E262="Exchanger",AQ262*AR262+IF(P262="",0,IF(P262="Conical",PI()/12*(SQRT(4*AQ262/PI()))^2*(0),INDEX(HeadK,MATCH(P262,HeadU,0))*(SQRT(4*AQ262/PI()))^3))-IF(AND(ISNUMBER(S262),ISNUMBER(V262)),S262*PI()/4*AP262^2*V262*INDEX(LenF,MATCH($V$7,LenU,0)),0),IF(ISNUMBER(N262),PI()/4*(N262*INDEX(LenF,MATCH($N$7,LenU,0)))^2*N(O262)*INDEX(LenF,MATCH($O$7,LenU,0))+IF(P262="",0,IF(P262="Conical",PI()/12*(N262*INDEX(LenF,MATCH($N$7,LenU,0)))^2*(N(R262)*INDEX(LenF,MATCH($R$7,LenU,0))),INDEX(HeadK,MATCH(P262,HeadU,0))*(N262*INDEX(LenF,MATCH($N$7,LenU,0)))^3))+IF(Q262="",0,IF(Q262="Conical",PI()/12*(N262*INDEX(LenF,MATCH($N$7,LenU,0)))^2*(N(R262)*INDEX(LenF,MATCH($R$7,LenU,0))),INDEX(HeadK,MATCH(Q262,HeadU,0))*(N262*INDEX(LenF,MATCH($N$7,LenU,0)))^3)),0)))</f>
        <v/>
      </c>
      <c r="AF262" s="41" t="str">
        <f aca="false">IF(E262&lt;&gt;"Piping","",IF(AND(ISNUMBER(AS262),ISNUMBER(M262)),PI()/4*(AS262/1000)^2*M262*INDEX(LenF,MATCH($M$7,LenU,0)),0))</f>
        <v/>
      </c>
      <c r="AG262" s="41" t="str">
        <f aca="false">IF(E262="","",N(AD262)+N(AE262)+N(AF262))</f>
        <v/>
      </c>
      <c r="AH262" s="41" t="str">
        <f aca="false">IF(ISNUMBER(I262),I262*INDEX(WtF,MATCH($I$7,WtU,0))/CC_WaterRho,"")</f>
        <v/>
      </c>
      <c r="AI262" s="31"/>
      <c r="AJ262" s="31"/>
      <c r="AK262" s="40"/>
      <c r="AL262" s="31"/>
      <c r="AM262" s="41" t="str">
        <f aca="false">IF(AO262="","",AO262*IF(ISNUMBER(AK262),AK262,CC_DefFills)*(1+IF(ISNUMBER(AL262),AL262,CC_DefAllow)))</f>
        <v/>
      </c>
      <c r="AN262" s="42" t="str">
        <f aca="false">IF(G262="Given volume",IF(ISNUMBER(H262),H262*INDEX(VolF,MATCH($H$7,VolU,0)),""),IF(G262="Water weight",AH262,IF(N(AG262)=0,"",AG262)))</f>
        <v/>
      </c>
      <c r="AO262" s="42" t="str">
        <f aca="false">IF(N(AN262)=0,"",AN262*AT262*IF(ISNUMBER(AJ262),AJ262,CC_DefCirc))</f>
        <v/>
      </c>
      <c r="AP262" s="27" t="n">
        <f aca="false">IF(ISNUMBER(T262),T262*INDEX(LenF,MATCH($T$7,LenU,0)),IF(ISNUMBER(W262),W262*INDEX(LenF,MATCH($W$7,LenU,0))/CC_PitchRatio,0))</f>
        <v>0</v>
      </c>
      <c r="AQ262" s="27" t="n">
        <f aca="false">IF(ISNUMBER(N262),PI()/4*(N262*INDEX(LenF,MATCH($N$7,LenU,0)))^2,IF(AND(ISNUMBER(S262),ISNUMBER(W262),X262&lt;&gt;""),S262*(W262*INDEX(LenF,MATCH($W$7,LenU,0)))^2*INDEX(LayoutF,MATCH(X262,LayoutU,0)),0))</f>
        <v>0</v>
      </c>
      <c r="AR262" s="27" t="n">
        <f aca="false">IF(ISNUMBER(O262),O262*INDEX(LenF,MATCH($O$7,LenU,0)),IF(ISNUMBER(V262),V262*INDEX(LenF,MATCH($V$7,LenU,0)),0))</f>
        <v>0</v>
      </c>
      <c r="AS262" s="27" t="str">
        <f aca="false">IF(ISNUMBER(L262),L262*INDEX(LenF,MATCH($L$7,LenU,0))*1000,IF(OR(J262="",K262=""),"",IFERROR(IF(INDEX(PipeWT,MATCH(J262,NPSU,0),MATCH(K262,SchU,0))="","Sch n/a",INDEX(PipeOD,MATCH(J262,NPSU,0))-2*INDEX(PipeWT,MATCH(J262,NPSU,0),MATCH(K262,SchU,0))),"")))</f>
        <v/>
      </c>
      <c r="AT262" s="27" t="n">
        <f aca="false">IF(ISNUMBER(AI262),AI262,IFERROR(INDEX(IF(CC_JobType="Decontamination",CC_TypeFillDC,CC_TypeFillCC),MATCH(E262,CC_TypeL,0)),1))</f>
        <v>1</v>
      </c>
      <c r="AU262" s="27" t="n">
        <v>8</v>
      </c>
    </row>
    <row r="263" customFormat="false" ht="15" hidden="false" customHeight="false" outlineLevel="0" collapsed="false">
      <c r="A263" s="36" t="n">
        <v>23</v>
      </c>
      <c r="B263" s="40"/>
      <c r="C263" s="32"/>
      <c r="D263" s="32"/>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1" t="str">
        <f aca="false">IF(E263="Exchanger",IF(AND(ISNUMBER(S263),ISNUMBER(U263),ISNUMBER(V263)),S263*PI()/4*(U263*INDEX(LenF,MATCH($U$7,LenU,0)))^2*V263*INDEX(LenF,MATCH($V$7,LenU,0)),0)+IF(ISNUMBER(Y263),PI()/4*(Y263*INDEX(LenF,MATCH($Y$7,LenU,0)))^2*N(Z263)*INDEX(LenF,MATCH($Z$7,LenU,0))+IF(AA263="",0,IF(AA263="Conical",PI()/12*(Y263*INDEX(LenF,MATCH($Y$7,LenU,0)))^2*(0),INDEX(HeadK,MATCH(AA263,HeadU,0))*(Y263*INDEX(LenF,MATCH($Y$7,LenU,0)))^3)),0)+IF(ISNUMBER(Y263),PI()/4*(Y263*INDEX(LenF,MATCH($Y$7,LenU,0)))^2*N(AB263)*INDEX(LenF,MATCH($AB$7,LenU,0))+IF(AC263="",0,IF(AC263="Conical",PI()/12*(Y263*INDEX(LenF,MATCH($Y$7,LenU,0)))^2*(0),INDEX(HeadK,MATCH(AC263,HeadU,0))*(Y263*INDEX(LenF,MATCH($Y$7,LenU,0)))^3)),0),"")</f>
        <v/>
      </c>
      <c r="AE263" s="41" t="str">
        <f aca="false">IF(OR(E263="",E263="Piping"),"",IF(E263="Exchanger",AQ263*AR263+IF(P263="",0,IF(P263="Conical",PI()/12*(SQRT(4*AQ263/PI()))^2*(0),INDEX(HeadK,MATCH(P263,HeadU,0))*(SQRT(4*AQ263/PI()))^3))-IF(AND(ISNUMBER(S263),ISNUMBER(V263)),S263*PI()/4*AP263^2*V263*INDEX(LenF,MATCH($V$7,LenU,0)),0),IF(ISNUMBER(N263),PI()/4*(N263*INDEX(LenF,MATCH($N$7,LenU,0)))^2*N(O263)*INDEX(LenF,MATCH($O$7,LenU,0))+IF(P263="",0,IF(P263="Conical",PI()/12*(N263*INDEX(LenF,MATCH($N$7,LenU,0)))^2*(N(R263)*INDEX(LenF,MATCH($R$7,LenU,0))),INDEX(HeadK,MATCH(P263,HeadU,0))*(N263*INDEX(LenF,MATCH($N$7,LenU,0)))^3))+IF(Q263="",0,IF(Q263="Conical",PI()/12*(N263*INDEX(LenF,MATCH($N$7,LenU,0)))^2*(N(R263)*INDEX(LenF,MATCH($R$7,LenU,0))),INDEX(HeadK,MATCH(Q263,HeadU,0))*(N263*INDEX(LenF,MATCH($N$7,LenU,0)))^3)),0)))</f>
        <v/>
      </c>
      <c r="AF263" s="41" t="str">
        <f aca="false">IF(E263&lt;&gt;"Piping","",IF(AND(ISNUMBER(AS263),ISNUMBER(M263)),PI()/4*(AS263/1000)^2*M263*INDEX(LenF,MATCH($M$7,LenU,0)),0))</f>
        <v/>
      </c>
      <c r="AG263" s="41" t="str">
        <f aca="false">IF(E263="","",N(AD263)+N(AE263)+N(AF263))</f>
        <v/>
      </c>
      <c r="AH263" s="41" t="str">
        <f aca="false">IF(ISNUMBER(I263),I263*INDEX(WtF,MATCH($I$7,WtU,0))/CC_WaterRho,"")</f>
        <v/>
      </c>
      <c r="AI263" s="31"/>
      <c r="AJ263" s="31"/>
      <c r="AK263" s="40"/>
      <c r="AL263" s="31"/>
      <c r="AM263" s="41" t="str">
        <f aca="false">IF(AO263="","",AO263*IF(ISNUMBER(AK263),AK263,CC_DefFills)*(1+IF(ISNUMBER(AL263),AL263,CC_DefAllow)))</f>
        <v/>
      </c>
      <c r="AN263" s="42" t="str">
        <f aca="false">IF(G263="Given volume",IF(ISNUMBER(H263),H263*INDEX(VolF,MATCH($H$7,VolU,0)),""),IF(G263="Water weight",AH263,IF(N(AG263)=0,"",AG263)))</f>
        <v/>
      </c>
      <c r="AO263" s="42" t="str">
        <f aca="false">IF(N(AN263)=0,"",AN263*AT263*IF(ISNUMBER(AJ263),AJ263,CC_DefCirc))</f>
        <v/>
      </c>
      <c r="AP263" s="27" t="n">
        <f aca="false">IF(ISNUMBER(T263),T263*INDEX(LenF,MATCH($T$7,LenU,0)),IF(ISNUMBER(W263),W263*INDEX(LenF,MATCH($W$7,LenU,0))/CC_PitchRatio,0))</f>
        <v>0</v>
      </c>
      <c r="AQ263" s="27" t="n">
        <f aca="false">IF(ISNUMBER(N263),PI()/4*(N263*INDEX(LenF,MATCH($N$7,LenU,0)))^2,IF(AND(ISNUMBER(S263),ISNUMBER(W263),X263&lt;&gt;""),S263*(W263*INDEX(LenF,MATCH($W$7,LenU,0)))^2*INDEX(LayoutF,MATCH(X263,LayoutU,0)),0))</f>
        <v>0</v>
      </c>
      <c r="AR263" s="27" t="n">
        <f aca="false">IF(ISNUMBER(O263),O263*INDEX(LenF,MATCH($O$7,LenU,0)),IF(ISNUMBER(V263),V263*INDEX(LenF,MATCH($V$7,LenU,0)),0))</f>
        <v>0</v>
      </c>
      <c r="AS263" s="27" t="str">
        <f aca="false">IF(ISNUMBER(L263),L263*INDEX(LenF,MATCH($L$7,LenU,0))*1000,IF(OR(J263="",K263=""),"",IFERROR(IF(INDEX(PipeWT,MATCH(J263,NPSU,0),MATCH(K263,SchU,0))="","Sch n/a",INDEX(PipeOD,MATCH(J263,NPSU,0))-2*INDEX(PipeWT,MATCH(J263,NPSU,0),MATCH(K263,SchU,0))),"")))</f>
        <v/>
      </c>
      <c r="AT263" s="27" t="n">
        <f aca="false">IF(ISNUMBER(AI263),AI263,IFERROR(INDEX(IF(CC_JobType="Decontamination",CC_TypeFillDC,CC_TypeFillCC),MATCH(E263,CC_TypeL,0)),1))</f>
        <v>1</v>
      </c>
      <c r="AU263" s="27" t="n">
        <v>8</v>
      </c>
    </row>
    <row r="264" customFormat="false" ht="15" hidden="false" customHeight="false" outlineLevel="0" collapsed="false">
      <c r="A264" s="36" t="n">
        <v>24</v>
      </c>
      <c r="B264" s="40"/>
      <c r="C264" s="32"/>
      <c r="D264" s="32"/>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1" t="str">
        <f aca="false">IF(E264="Exchanger",IF(AND(ISNUMBER(S264),ISNUMBER(U264),ISNUMBER(V264)),S264*PI()/4*(U264*INDEX(LenF,MATCH($U$7,LenU,0)))^2*V264*INDEX(LenF,MATCH($V$7,LenU,0)),0)+IF(ISNUMBER(Y264),PI()/4*(Y264*INDEX(LenF,MATCH($Y$7,LenU,0)))^2*N(Z264)*INDEX(LenF,MATCH($Z$7,LenU,0))+IF(AA264="",0,IF(AA264="Conical",PI()/12*(Y264*INDEX(LenF,MATCH($Y$7,LenU,0)))^2*(0),INDEX(HeadK,MATCH(AA264,HeadU,0))*(Y264*INDEX(LenF,MATCH($Y$7,LenU,0)))^3)),0)+IF(ISNUMBER(Y264),PI()/4*(Y264*INDEX(LenF,MATCH($Y$7,LenU,0)))^2*N(AB264)*INDEX(LenF,MATCH($AB$7,LenU,0))+IF(AC264="",0,IF(AC264="Conical",PI()/12*(Y264*INDEX(LenF,MATCH($Y$7,LenU,0)))^2*(0),INDEX(HeadK,MATCH(AC264,HeadU,0))*(Y264*INDEX(LenF,MATCH($Y$7,LenU,0)))^3)),0),"")</f>
        <v/>
      </c>
      <c r="AE264" s="41" t="str">
        <f aca="false">IF(OR(E264="",E264="Piping"),"",IF(E264="Exchanger",AQ264*AR264+IF(P264="",0,IF(P264="Conical",PI()/12*(SQRT(4*AQ264/PI()))^2*(0),INDEX(HeadK,MATCH(P264,HeadU,0))*(SQRT(4*AQ264/PI()))^3))-IF(AND(ISNUMBER(S264),ISNUMBER(V264)),S264*PI()/4*AP264^2*V264*INDEX(LenF,MATCH($V$7,LenU,0)),0),IF(ISNUMBER(N264),PI()/4*(N264*INDEX(LenF,MATCH($N$7,LenU,0)))^2*N(O264)*INDEX(LenF,MATCH($O$7,LenU,0))+IF(P264="",0,IF(P264="Conical",PI()/12*(N264*INDEX(LenF,MATCH($N$7,LenU,0)))^2*(N(R264)*INDEX(LenF,MATCH($R$7,LenU,0))),INDEX(HeadK,MATCH(P264,HeadU,0))*(N264*INDEX(LenF,MATCH($N$7,LenU,0)))^3))+IF(Q264="",0,IF(Q264="Conical",PI()/12*(N264*INDEX(LenF,MATCH($N$7,LenU,0)))^2*(N(R264)*INDEX(LenF,MATCH($R$7,LenU,0))),INDEX(HeadK,MATCH(Q264,HeadU,0))*(N264*INDEX(LenF,MATCH($N$7,LenU,0)))^3)),0)))</f>
        <v/>
      </c>
      <c r="AF264" s="41" t="str">
        <f aca="false">IF(E264&lt;&gt;"Piping","",IF(AND(ISNUMBER(AS264),ISNUMBER(M264)),PI()/4*(AS264/1000)^2*M264*INDEX(LenF,MATCH($M$7,LenU,0)),0))</f>
        <v/>
      </c>
      <c r="AG264" s="41" t="str">
        <f aca="false">IF(E264="","",N(AD264)+N(AE264)+N(AF264))</f>
        <v/>
      </c>
      <c r="AH264" s="41" t="str">
        <f aca="false">IF(ISNUMBER(I264),I264*INDEX(WtF,MATCH($I$7,WtU,0))/CC_WaterRho,"")</f>
        <v/>
      </c>
      <c r="AI264" s="31"/>
      <c r="AJ264" s="31"/>
      <c r="AK264" s="40"/>
      <c r="AL264" s="31"/>
      <c r="AM264" s="41" t="str">
        <f aca="false">IF(AO264="","",AO264*IF(ISNUMBER(AK264),AK264,CC_DefFills)*(1+IF(ISNUMBER(AL264),AL264,CC_DefAllow)))</f>
        <v/>
      </c>
      <c r="AN264" s="42" t="str">
        <f aca="false">IF(G264="Given volume",IF(ISNUMBER(H264),H264*INDEX(VolF,MATCH($H$7,VolU,0)),""),IF(G264="Water weight",AH264,IF(N(AG264)=0,"",AG264)))</f>
        <v/>
      </c>
      <c r="AO264" s="42" t="str">
        <f aca="false">IF(N(AN264)=0,"",AN264*AT264*IF(ISNUMBER(AJ264),AJ264,CC_DefCirc))</f>
        <v/>
      </c>
      <c r="AP264" s="27" t="n">
        <f aca="false">IF(ISNUMBER(T264),T264*INDEX(LenF,MATCH($T$7,LenU,0)),IF(ISNUMBER(W264),W264*INDEX(LenF,MATCH($W$7,LenU,0))/CC_PitchRatio,0))</f>
        <v>0</v>
      </c>
      <c r="AQ264" s="27" t="n">
        <f aca="false">IF(ISNUMBER(N264),PI()/4*(N264*INDEX(LenF,MATCH($N$7,LenU,0)))^2,IF(AND(ISNUMBER(S264),ISNUMBER(W264),X264&lt;&gt;""),S264*(W264*INDEX(LenF,MATCH($W$7,LenU,0)))^2*INDEX(LayoutF,MATCH(X264,LayoutU,0)),0))</f>
        <v>0</v>
      </c>
      <c r="AR264" s="27" t="n">
        <f aca="false">IF(ISNUMBER(O264),O264*INDEX(LenF,MATCH($O$7,LenU,0)),IF(ISNUMBER(V264),V264*INDEX(LenF,MATCH($V$7,LenU,0)),0))</f>
        <v>0</v>
      </c>
      <c r="AS264" s="27" t="str">
        <f aca="false">IF(ISNUMBER(L264),L264*INDEX(LenF,MATCH($L$7,LenU,0))*1000,IF(OR(J264="",K264=""),"",IFERROR(IF(INDEX(PipeWT,MATCH(J264,NPSU,0),MATCH(K264,SchU,0))="","Sch n/a",INDEX(PipeOD,MATCH(J264,NPSU,0))-2*INDEX(PipeWT,MATCH(J264,NPSU,0),MATCH(K264,SchU,0))),"")))</f>
        <v/>
      </c>
      <c r="AT264" s="27" t="n">
        <f aca="false">IF(ISNUMBER(AI264),AI264,IFERROR(INDEX(IF(CC_JobType="Decontamination",CC_TypeFillDC,CC_TypeFillCC),MATCH(E264,CC_TypeL,0)),1))</f>
        <v>1</v>
      </c>
      <c r="AU264" s="27" t="n">
        <v>8</v>
      </c>
    </row>
    <row r="265" customFormat="false" ht="15" hidden="false" customHeight="false" outlineLevel="0" collapsed="false">
      <c r="A265" s="36" t="n">
        <v>25</v>
      </c>
      <c r="B265" s="40"/>
      <c r="C265" s="32"/>
      <c r="D265" s="32"/>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1" t="str">
        <f aca="false">IF(E265="Exchanger",IF(AND(ISNUMBER(S265),ISNUMBER(U265),ISNUMBER(V265)),S265*PI()/4*(U265*INDEX(LenF,MATCH($U$7,LenU,0)))^2*V265*INDEX(LenF,MATCH($V$7,LenU,0)),0)+IF(ISNUMBER(Y265),PI()/4*(Y265*INDEX(LenF,MATCH($Y$7,LenU,0)))^2*N(Z265)*INDEX(LenF,MATCH($Z$7,LenU,0))+IF(AA265="",0,IF(AA265="Conical",PI()/12*(Y265*INDEX(LenF,MATCH($Y$7,LenU,0)))^2*(0),INDEX(HeadK,MATCH(AA265,HeadU,0))*(Y265*INDEX(LenF,MATCH($Y$7,LenU,0)))^3)),0)+IF(ISNUMBER(Y265),PI()/4*(Y265*INDEX(LenF,MATCH($Y$7,LenU,0)))^2*N(AB265)*INDEX(LenF,MATCH($AB$7,LenU,0))+IF(AC265="",0,IF(AC265="Conical",PI()/12*(Y265*INDEX(LenF,MATCH($Y$7,LenU,0)))^2*(0),INDEX(HeadK,MATCH(AC265,HeadU,0))*(Y265*INDEX(LenF,MATCH($Y$7,LenU,0)))^3)),0),"")</f>
        <v/>
      </c>
      <c r="AE265" s="41" t="str">
        <f aca="false">IF(OR(E265="",E265="Piping"),"",IF(E265="Exchanger",AQ265*AR265+IF(P265="",0,IF(P265="Conical",PI()/12*(SQRT(4*AQ265/PI()))^2*(0),INDEX(HeadK,MATCH(P265,HeadU,0))*(SQRT(4*AQ265/PI()))^3))-IF(AND(ISNUMBER(S265),ISNUMBER(V265)),S265*PI()/4*AP265^2*V265*INDEX(LenF,MATCH($V$7,LenU,0)),0),IF(ISNUMBER(N265),PI()/4*(N265*INDEX(LenF,MATCH($N$7,LenU,0)))^2*N(O265)*INDEX(LenF,MATCH($O$7,LenU,0))+IF(P265="",0,IF(P265="Conical",PI()/12*(N265*INDEX(LenF,MATCH($N$7,LenU,0)))^2*(N(R265)*INDEX(LenF,MATCH($R$7,LenU,0))),INDEX(HeadK,MATCH(P265,HeadU,0))*(N265*INDEX(LenF,MATCH($N$7,LenU,0)))^3))+IF(Q265="",0,IF(Q265="Conical",PI()/12*(N265*INDEX(LenF,MATCH($N$7,LenU,0)))^2*(N(R265)*INDEX(LenF,MATCH($R$7,LenU,0))),INDEX(HeadK,MATCH(Q265,HeadU,0))*(N265*INDEX(LenF,MATCH($N$7,LenU,0)))^3)),0)))</f>
        <v/>
      </c>
      <c r="AF265" s="41" t="str">
        <f aca="false">IF(E265&lt;&gt;"Piping","",IF(AND(ISNUMBER(AS265),ISNUMBER(M265)),PI()/4*(AS265/1000)^2*M265*INDEX(LenF,MATCH($M$7,LenU,0)),0))</f>
        <v/>
      </c>
      <c r="AG265" s="41" t="str">
        <f aca="false">IF(E265="","",N(AD265)+N(AE265)+N(AF265))</f>
        <v/>
      </c>
      <c r="AH265" s="41" t="str">
        <f aca="false">IF(ISNUMBER(I265),I265*INDEX(WtF,MATCH($I$7,WtU,0))/CC_WaterRho,"")</f>
        <v/>
      </c>
      <c r="AI265" s="31"/>
      <c r="AJ265" s="31"/>
      <c r="AK265" s="40"/>
      <c r="AL265" s="31"/>
      <c r="AM265" s="41" t="str">
        <f aca="false">IF(AO265="","",AO265*IF(ISNUMBER(AK265),AK265,CC_DefFills)*(1+IF(ISNUMBER(AL265),AL265,CC_DefAllow)))</f>
        <v/>
      </c>
      <c r="AN265" s="42" t="str">
        <f aca="false">IF(G265="Given volume",IF(ISNUMBER(H265),H265*INDEX(VolF,MATCH($H$7,VolU,0)),""),IF(G265="Water weight",AH265,IF(N(AG265)=0,"",AG265)))</f>
        <v/>
      </c>
      <c r="AO265" s="42" t="str">
        <f aca="false">IF(N(AN265)=0,"",AN265*AT265*IF(ISNUMBER(AJ265),AJ265,CC_DefCirc))</f>
        <v/>
      </c>
      <c r="AP265" s="27" t="n">
        <f aca="false">IF(ISNUMBER(T265),T265*INDEX(LenF,MATCH($T$7,LenU,0)),IF(ISNUMBER(W265),W265*INDEX(LenF,MATCH($W$7,LenU,0))/CC_PitchRatio,0))</f>
        <v>0</v>
      </c>
      <c r="AQ265" s="27" t="n">
        <f aca="false">IF(ISNUMBER(N265),PI()/4*(N265*INDEX(LenF,MATCH($N$7,LenU,0)))^2,IF(AND(ISNUMBER(S265),ISNUMBER(W265),X265&lt;&gt;""),S265*(W265*INDEX(LenF,MATCH($W$7,LenU,0)))^2*INDEX(LayoutF,MATCH(X265,LayoutU,0)),0))</f>
        <v>0</v>
      </c>
      <c r="AR265" s="27" t="n">
        <f aca="false">IF(ISNUMBER(O265),O265*INDEX(LenF,MATCH($O$7,LenU,0)),IF(ISNUMBER(V265),V265*INDEX(LenF,MATCH($V$7,LenU,0)),0))</f>
        <v>0</v>
      </c>
      <c r="AS265" s="27" t="str">
        <f aca="false">IF(ISNUMBER(L265),L265*INDEX(LenF,MATCH($L$7,LenU,0))*1000,IF(OR(J265="",K265=""),"",IFERROR(IF(INDEX(PipeWT,MATCH(J265,NPSU,0),MATCH(K265,SchU,0))="","Sch n/a",INDEX(PipeOD,MATCH(J265,NPSU,0))-2*INDEX(PipeWT,MATCH(J265,NPSU,0),MATCH(K265,SchU,0))),"")))</f>
        <v/>
      </c>
      <c r="AT265" s="27" t="n">
        <f aca="false">IF(ISNUMBER(AI265),AI265,IFERROR(INDEX(IF(CC_JobType="Decontamination",CC_TypeFillDC,CC_TypeFillCC),MATCH(E265,CC_TypeL,0)),1))</f>
        <v>1</v>
      </c>
      <c r="AU265" s="27" t="n">
        <v>8</v>
      </c>
    </row>
    <row r="266" customFormat="false" ht="15" hidden="false" customHeight="false" outlineLevel="0" collapsed="false">
      <c r="A266" s="36" t="n">
        <v>26</v>
      </c>
      <c r="B266" s="40"/>
      <c r="C266" s="32"/>
      <c r="D266" s="32"/>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1" t="str">
        <f aca="false">IF(E266="Exchanger",IF(AND(ISNUMBER(S266),ISNUMBER(U266),ISNUMBER(V266)),S266*PI()/4*(U266*INDEX(LenF,MATCH($U$7,LenU,0)))^2*V266*INDEX(LenF,MATCH($V$7,LenU,0)),0)+IF(ISNUMBER(Y266),PI()/4*(Y266*INDEX(LenF,MATCH($Y$7,LenU,0)))^2*N(Z266)*INDEX(LenF,MATCH($Z$7,LenU,0))+IF(AA266="",0,IF(AA266="Conical",PI()/12*(Y266*INDEX(LenF,MATCH($Y$7,LenU,0)))^2*(0),INDEX(HeadK,MATCH(AA266,HeadU,0))*(Y266*INDEX(LenF,MATCH($Y$7,LenU,0)))^3)),0)+IF(ISNUMBER(Y266),PI()/4*(Y266*INDEX(LenF,MATCH($Y$7,LenU,0)))^2*N(AB266)*INDEX(LenF,MATCH($AB$7,LenU,0))+IF(AC266="",0,IF(AC266="Conical",PI()/12*(Y266*INDEX(LenF,MATCH($Y$7,LenU,0)))^2*(0),INDEX(HeadK,MATCH(AC266,HeadU,0))*(Y266*INDEX(LenF,MATCH($Y$7,LenU,0)))^3)),0),"")</f>
        <v/>
      </c>
      <c r="AE266" s="41" t="str">
        <f aca="false">IF(OR(E266="",E266="Piping"),"",IF(E266="Exchanger",AQ266*AR266+IF(P266="",0,IF(P266="Conical",PI()/12*(SQRT(4*AQ266/PI()))^2*(0),INDEX(HeadK,MATCH(P266,HeadU,0))*(SQRT(4*AQ266/PI()))^3))-IF(AND(ISNUMBER(S266),ISNUMBER(V266)),S266*PI()/4*AP266^2*V266*INDEX(LenF,MATCH($V$7,LenU,0)),0),IF(ISNUMBER(N266),PI()/4*(N266*INDEX(LenF,MATCH($N$7,LenU,0)))^2*N(O266)*INDEX(LenF,MATCH($O$7,LenU,0))+IF(P266="",0,IF(P266="Conical",PI()/12*(N266*INDEX(LenF,MATCH($N$7,LenU,0)))^2*(N(R266)*INDEX(LenF,MATCH($R$7,LenU,0))),INDEX(HeadK,MATCH(P266,HeadU,0))*(N266*INDEX(LenF,MATCH($N$7,LenU,0)))^3))+IF(Q266="",0,IF(Q266="Conical",PI()/12*(N266*INDEX(LenF,MATCH($N$7,LenU,0)))^2*(N(R266)*INDEX(LenF,MATCH($R$7,LenU,0))),INDEX(HeadK,MATCH(Q266,HeadU,0))*(N266*INDEX(LenF,MATCH($N$7,LenU,0)))^3)),0)))</f>
        <v/>
      </c>
      <c r="AF266" s="41" t="str">
        <f aca="false">IF(E266&lt;&gt;"Piping","",IF(AND(ISNUMBER(AS266),ISNUMBER(M266)),PI()/4*(AS266/1000)^2*M266*INDEX(LenF,MATCH($M$7,LenU,0)),0))</f>
        <v/>
      </c>
      <c r="AG266" s="41" t="str">
        <f aca="false">IF(E266="","",N(AD266)+N(AE266)+N(AF266))</f>
        <v/>
      </c>
      <c r="AH266" s="41" t="str">
        <f aca="false">IF(ISNUMBER(I266),I266*INDEX(WtF,MATCH($I$7,WtU,0))/CC_WaterRho,"")</f>
        <v/>
      </c>
      <c r="AI266" s="31"/>
      <c r="AJ266" s="31"/>
      <c r="AK266" s="40"/>
      <c r="AL266" s="31"/>
      <c r="AM266" s="41" t="str">
        <f aca="false">IF(AO266="","",AO266*IF(ISNUMBER(AK266),AK266,CC_DefFills)*(1+IF(ISNUMBER(AL266),AL266,CC_DefAllow)))</f>
        <v/>
      </c>
      <c r="AN266" s="42" t="str">
        <f aca="false">IF(G266="Given volume",IF(ISNUMBER(H266),H266*INDEX(VolF,MATCH($H$7,VolU,0)),""),IF(G266="Water weight",AH266,IF(N(AG266)=0,"",AG266)))</f>
        <v/>
      </c>
      <c r="AO266" s="42" t="str">
        <f aca="false">IF(N(AN266)=0,"",AN266*AT266*IF(ISNUMBER(AJ266),AJ266,CC_DefCirc))</f>
        <v/>
      </c>
      <c r="AP266" s="27" t="n">
        <f aca="false">IF(ISNUMBER(T266),T266*INDEX(LenF,MATCH($T$7,LenU,0)),IF(ISNUMBER(W266),W266*INDEX(LenF,MATCH($W$7,LenU,0))/CC_PitchRatio,0))</f>
        <v>0</v>
      </c>
      <c r="AQ266" s="27" t="n">
        <f aca="false">IF(ISNUMBER(N266),PI()/4*(N266*INDEX(LenF,MATCH($N$7,LenU,0)))^2,IF(AND(ISNUMBER(S266),ISNUMBER(W266),X266&lt;&gt;""),S266*(W266*INDEX(LenF,MATCH($W$7,LenU,0)))^2*INDEX(LayoutF,MATCH(X266,LayoutU,0)),0))</f>
        <v>0</v>
      </c>
      <c r="AR266" s="27" t="n">
        <f aca="false">IF(ISNUMBER(O266),O266*INDEX(LenF,MATCH($O$7,LenU,0)),IF(ISNUMBER(V266),V266*INDEX(LenF,MATCH($V$7,LenU,0)),0))</f>
        <v>0</v>
      </c>
      <c r="AS266" s="27" t="str">
        <f aca="false">IF(ISNUMBER(L266),L266*INDEX(LenF,MATCH($L$7,LenU,0))*1000,IF(OR(J266="",K266=""),"",IFERROR(IF(INDEX(PipeWT,MATCH(J266,NPSU,0),MATCH(K266,SchU,0))="","Sch n/a",INDEX(PipeOD,MATCH(J266,NPSU,0))-2*INDEX(PipeWT,MATCH(J266,NPSU,0),MATCH(K266,SchU,0))),"")))</f>
        <v/>
      </c>
      <c r="AT266" s="27" t="n">
        <f aca="false">IF(ISNUMBER(AI266),AI266,IFERROR(INDEX(IF(CC_JobType="Decontamination",CC_TypeFillDC,CC_TypeFillCC),MATCH(E266,CC_TypeL,0)),1))</f>
        <v>1</v>
      </c>
      <c r="AU266" s="27" t="n">
        <v>8</v>
      </c>
    </row>
    <row r="267" customFormat="false" ht="15" hidden="false" customHeight="false" outlineLevel="0" collapsed="false">
      <c r="A267" s="36" t="n">
        <v>27</v>
      </c>
      <c r="B267" s="40"/>
      <c r="C267" s="32"/>
      <c r="D267" s="32"/>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1" t="str">
        <f aca="false">IF(E267="Exchanger",IF(AND(ISNUMBER(S267),ISNUMBER(U267),ISNUMBER(V267)),S267*PI()/4*(U267*INDEX(LenF,MATCH($U$7,LenU,0)))^2*V267*INDEX(LenF,MATCH($V$7,LenU,0)),0)+IF(ISNUMBER(Y267),PI()/4*(Y267*INDEX(LenF,MATCH($Y$7,LenU,0)))^2*N(Z267)*INDEX(LenF,MATCH($Z$7,LenU,0))+IF(AA267="",0,IF(AA267="Conical",PI()/12*(Y267*INDEX(LenF,MATCH($Y$7,LenU,0)))^2*(0),INDEX(HeadK,MATCH(AA267,HeadU,0))*(Y267*INDEX(LenF,MATCH($Y$7,LenU,0)))^3)),0)+IF(ISNUMBER(Y267),PI()/4*(Y267*INDEX(LenF,MATCH($Y$7,LenU,0)))^2*N(AB267)*INDEX(LenF,MATCH($AB$7,LenU,0))+IF(AC267="",0,IF(AC267="Conical",PI()/12*(Y267*INDEX(LenF,MATCH($Y$7,LenU,0)))^2*(0),INDEX(HeadK,MATCH(AC267,HeadU,0))*(Y267*INDEX(LenF,MATCH($Y$7,LenU,0)))^3)),0),"")</f>
        <v/>
      </c>
      <c r="AE267" s="41" t="str">
        <f aca="false">IF(OR(E267="",E267="Piping"),"",IF(E267="Exchanger",AQ267*AR267+IF(P267="",0,IF(P267="Conical",PI()/12*(SQRT(4*AQ267/PI()))^2*(0),INDEX(HeadK,MATCH(P267,HeadU,0))*(SQRT(4*AQ267/PI()))^3))-IF(AND(ISNUMBER(S267),ISNUMBER(V267)),S267*PI()/4*AP267^2*V267*INDEX(LenF,MATCH($V$7,LenU,0)),0),IF(ISNUMBER(N267),PI()/4*(N267*INDEX(LenF,MATCH($N$7,LenU,0)))^2*N(O267)*INDEX(LenF,MATCH($O$7,LenU,0))+IF(P267="",0,IF(P267="Conical",PI()/12*(N267*INDEX(LenF,MATCH($N$7,LenU,0)))^2*(N(R267)*INDEX(LenF,MATCH($R$7,LenU,0))),INDEX(HeadK,MATCH(P267,HeadU,0))*(N267*INDEX(LenF,MATCH($N$7,LenU,0)))^3))+IF(Q267="",0,IF(Q267="Conical",PI()/12*(N267*INDEX(LenF,MATCH($N$7,LenU,0)))^2*(N(R267)*INDEX(LenF,MATCH($R$7,LenU,0))),INDEX(HeadK,MATCH(Q267,HeadU,0))*(N267*INDEX(LenF,MATCH($N$7,LenU,0)))^3)),0)))</f>
        <v/>
      </c>
      <c r="AF267" s="41" t="str">
        <f aca="false">IF(E267&lt;&gt;"Piping","",IF(AND(ISNUMBER(AS267),ISNUMBER(M267)),PI()/4*(AS267/1000)^2*M267*INDEX(LenF,MATCH($M$7,LenU,0)),0))</f>
        <v/>
      </c>
      <c r="AG267" s="41" t="str">
        <f aca="false">IF(E267="","",N(AD267)+N(AE267)+N(AF267))</f>
        <v/>
      </c>
      <c r="AH267" s="41" t="str">
        <f aca="false">IF(ISNUMBER(I267),I267*INDEX(WtF,MATCH($I$7,WtU,0))/CC_WaterRho,"")</f>
        <v/>
      </c>
      <c r="AI267" s="31"/>
      <c r="AJ267" s="31"/>
      <c r="AK267" s="40"/>
      <c r="AL267" s="31"/>
      <c r="AM267" s="41" t="str">
        <f aca="false">IF(AO267="","",AO267*IF(ISNUMBER(AK267),AK267,CC_DefFills)*(1+IF(ISNUMBER(AL267),AL267,CC_DefAllow)))</f>
        <v/>
      </c>
      <c r="AN267" s="42" t="str">
        <f aca="false">IF(G267="Given volume",IF(ISNUMBER(H267),H267*INDEX(VolF,MATCH($H$7,VolU,0)),""),IF(G267="Water weight",AH267,IF(N(AG267)=0,"",AG267)))</f>
        <v/>
      </c>
      <c r="AO267" s="42" t="str">
        <f aca="false">IF(N(AN267)=0,"",AN267*AT267*IF(ISNUMBER(AJ267),AJ267,CC_DefCirc))</f>
        <v/>
      </c>
      <c r="AP267" s="27" t="n">
        <f aca="false">IF(ISNUMBER(T267),T267*INDEX(LenF,MATCH($T$7,LenU,0)),IF(ISNUMBER(W267),W267*INDEX(LenF,MATCH($W$7,LenU,0))/CC_PitchRatio,0))</f>
        <v>0</v>
      </c>
      <c r="AQ267" s="27" t="n">
        <f aca="false">IF(ISNUMBER(N267),PI()/4*(N267*INDEX(LenF,MATCH($N$7,LenU,0)))^2,IF(AND(ISNUMBER(S267),ISNUMBER(W267),X267&lt;&gt;""),S267*(W267*INDEX(LenF,MATCH($W$7,LenU,0)))^2*INDEX(LayoutF,MATCH(X267,LayoutU,0)),0))</f>
        <v>0</v>
      </c>
      <c r="AR267" s="27" t="n">
        <f aca="false">IF(ISNUMBER(O267),O267*INDEX(LenF,MATCH($O$7,LenU,0)),IF(ISNUMBER(V267),V267*INDEX(LenF,MATCH($V$7,LenU,0)),0))</f>
        <v>0</v>
      </c>
      <c r="AS267" s="27" t="str">
        <f aca="false">IF(ISNUMBER(L267),L267*INDEX(LenF,MATCH($L$7,LenU,0))*1000,IF(OR(J267="",K267=""),"",IFERROR(IF(INDEX(PipeWT,MATCH(J267,NPSU,0),MATCH(K267,SchU,0))="","Sch n/a",INDEX(PipeOD,MATCH(J267,NPSU,0))-2*INDEX(PipeWT,MATCH(J267,NPSU,0),MATCH(K267,SchU,0))),"")))</f>
        <v/>
      </c>
      <c r="AT267" s="27" t="n">
        <f aca="false">IF(ISNUMBER(AI267),AI267,IFERROR(INDEX(IF(CC_JobType="Decontamination",CC_TypeFillDC,CC_TypeFillCC),MATCH(E267,CC_TypeL,0)),1))</f>
        <v>1</v>
      </c>
      <c r="AU267" s="27" t="n">
        <v>8</v>
      </c>
    </row>
    <row r="268" customFormat="false" ht="15" hidden="false" customHeight="false" outlineLevel="0" collapsed="false">
      <c r="A268" s="36" t="n">
        <v>28</v>
      </c>
      <c r="B268" s="40"/>
      <c r="C268" s="32"/>
      <c r="D268" s="32"/>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1" t="str">
        <f aca="false">IF(E268="Exchanger",IF(AND(ISNUMBER(S268),ISNUMBER(U268),ISNUMBER(V268)),S268*PI()/4*(U268*INDEX(LenF,MATCH($U$7,LenU,0)))^2*V268*INDEX(LenF,MATCH($V$7,LenU,0)),0)+IF(ISNUMBER(Y268),PI()/4*(Y268*INDEX(LenF,MATCH($Y$7,LenU,0)))^2*N(Z268)*INDEX(LenF,MATCH($Z$7,LenU,0))+IF(AA268="",0,IF(AA268="Conical",PI()/12*(Y268*INDEX(LenF,MATCH($Y$7,LenU,0)))^2*(0),INDEX(HeadK,MATCH(AA268,HeadU,0))*(Y268*INDEX(LenF,MATCH($Y$7,LenU,0)))^3)),0)+IF(ISNUMBER(Y268),PI()/4*(Y268*INDEX(LenF,MATCH($Y$7,LenU,0)))^2*N(AB268)*INDEX(LenF,MATCH($AB$7,LenU,0))+IF(AC268="",0,IF(AC268="Conical",PI()/12*(Y268*INDEX(LenF,MATCH($Y$7,LenU,0)))^2*(0),INDEX(HeadK,MATCH(AC268,HeadU,0))*(Y268*INDEX(LenF,MATCH($Y$7,LenU,0)))^3)),0),"")</f>
        <v/>
      </c>
      <c r="AE268" s="41" t="str">
        <f aca="false">IF(OR(E268="",E268="Piping"),"",IF(E268="Exchanger",AQ268*AR268+IF(P268="",0,IF(P268="Conical",PI()/12*(SQRT(4*AQ268/PI()))^2*(0),INDEX(HeadK,MATCH(P268,HeadU,0))*(SQRT(4*AQ268/PI()))^3))-IF(AND(ISNUMBER(S268),ISNUMBER(V268)),S268*PI()/4*AP268^2*V268*INDEX(LenF,MATCH($V$7,LenU,0)),0),IF(ISNUMBER(N268),PI()/4*(N268*INDEX(LenF,MATCH($N$7,LenU,0)))^2*N(O268)*INDEX(LenF,MATCH($O$7,LenU,0))+IF(P268="",0,IF(P268="Conical",PI()/12*(N268*INDEX(LenF,MATCH($N$7,LenU,0)))^2*(N(R268)*INDEX(LenF,MATCH($R$7,LenU,0))),INDEX(HeadK,MATCH(P268,HeadU,0))*(N268*INDEX(LenF,MATCH($N$7,LenU,0)))^3))+IF(Q268="",0,IF(Q268="Conical",PI()/12*(N268*INDEX(LenF,MATCH($N$7,LenU,0)))^2*(N(R268)*INDEX(LenF,MATCH($R$7,LenU,0))),INDEX(HeadK,MATCH(Q268,HeadU,0))*(N268*INDEX(LenF,MATCH($N$7,LenU,0)))^3)),0)))</f>
        <v/>
      </c>
      <c r="AF268" s="41" t="str">
        <f aca="false">IF(E268&lt;&gt;"Piping","",IF(AND(ISNUMBER(AS268),ISNUMBER(M268)),PI()/4*(AS268/1000)^2*M268*INDEX(LenF,MATCH($M$7,LenU,0)),0))</f>
        <v/>
      </c>
      <c r="AG268" s="41" t="str">
        <f aca="false">IF(E268="","",N(AD268)+N(AE268)+N(AF268))</f>
        <v/>
      </c>
      <c r="AH268" s="41" t="str">
        <f aca="false">IF(ISNUMBER(I268),I268*INDEX(WtF,MATCH($I$7,WtU,0))/CC_WaterRho,"")</f>
        <v/>
      </c>
      <c r="AI268" s="31"/>
      <c r="AJ268" s="31"/>
      <c r="AK268" s="40"/>
      <c r="AL268" s="31"/>
      <c r="AM268" s="41" t="str">
        <f aca="false">IF(AO268="","",AO268*IF(ISNUMBER(AK268),AK268,CC_DefFills)*(1+IF(ISNUMBER(AL268),AL268,CC_DefAllow)))</f>
        <v/>
      </c>
      <c r="AN268" s="42" t="str">
        <f aca="false">IF(G268="Given volume",IF(ISNUMBER(H268),H268*INDEX(VolF,MATCH($H$7,VolU,0)),""),IF(G268="Water weight",AH268,IF(N(AG268)=0,"",AG268)))</f>
        <v/>
      </c>
      <c r="AO268" s="42" t="str">
        <f aca="false">IF(N(AN268)=0,"",AN268*AT268*IF(ISNUMBER(AJ268),AJ268,CC_DefCirc))</f>
        <v/>
      </c>
      <c r="AP268" s="27" t="n">
        <f aca="false">IF(ISNUMBER(T268),T268*INDEX(LenF,MATCH($T$7,LenU,0)),IF(ISNUMBER(W268),W268*INDEX(LenF,MATCH($W$7,LenU,0))/CC_PitchRatio,0))</f>
        <v>0</v>
      </c>
      <c r="AQ268" s="27" t="n">
        <f aca="false">IF(ISNUMBER(N268),PI()/4*(N268*INDEX(LenF,MATCH($N$7,LenU,0)))^2,IF(AND(ISNUMBER(S268),ISNUMBER(W268),X268&lt;&gt;""),S268*(W268*INDEX(LenF,MATCH($W$7,LenU,0)))^2*INDEX(LayoutF,MATCH(X268,LayoutU,0)),0))</f>
        <v>0</v>
      </c>
      <c r="AR268" s="27" t="n">
        <f aca="false">IF(ISNUMBER(O268),O268*INDEX(LenF,MATCH($O$7,LenU,0)),IF(ISNUMBER(V268),V268*INDEX(LenF,MATCH($V$7,LenU,0)),0))</f>
        <v>0</v>
      </c>
      <c r="AS268" s="27" t="str">
        <f aca="false">IF(ISNUMBER(L268),L268*INDEX(LenF,MATCH($L$7,LenU,0))*1000,IF(OR(J268="",K268=""),"",IFERROR(IF(INDEX(PipeWT,MATCH(J268,NPSU,0),MATCH(K268,SchU,0))="","Sch n/a",INDEX(PipeOD,MATCH(J268,NPSU,0))-2*INDEX(PipeWT,MATCH(J268,NPSU,0),MATCH(K268,SchU,0))),"")))</f>
        <v/>
      </c>
      <c r="AT268" s="27" t="n">
        <f aca="false">IF(ISNUMBER(AI268),AI268,IFERROR(INDEX(IF(CC_JobType="Decontamination",CC_TypeFillDC,CC_TypeFillCC),MATCH(E268,CC_TypeL,0)),1))</f>
        <v>1</v>
      </c>
      <c r="AU268" s="27" t="n">
        <v>8</v>
      </c>
    </row>
    <row r="269" customFormat="false" ht="15" hidden="false" customHeight="false" outlineLevel="0" collapsed="false">
      <c r="A269" s="36" t="n">
        <v>29</v>
      </c>
      <c r="B269" s="40"/>
      <c r="C269" s="32"/>
      <c r="D269" s="32"/>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1" t="str">
        <f aca="false">IF(E269="Exchanger",IF(AND(ISNUMBER(S269),ISNUMBER(U269),ISNUMBER(V269)),S269*PI()/4*(U269*INDEX(LenF,MATCH($U$7,LenU,0)))^2*V269*INDEX(LenF,MATCH($V$7,LenU,0)),0)+IF(ISNUMBER(Y269),PI()/4*(Y269*INDEX(LenF,MATCH($Y$7,LenU,0)))^2*N(Z269)*INDEX(LenF,MATCH($Z$7,LenU,0))+IF(AA269="",0,IF(AA269="Conical",PI()/12*(Y269*INDEX(LenF,MATCH($Y$7,LenU,0)))^2*(0),INDEX(HeadK,MATCH(AA269,HeadU,0))*(Y269*INDEX(LenF,MATCH($Y$7,LenU,0)))^3)),0)+IF(ISNUMBER(Y269),PI()/4*(Y269*INDEX(LenF,MATCH($Y$7,LenU,0)))^2*N(AB269)*INDEX(LenF,MATCH($AB$7,LenU,0))+IF(AC269="",0,IF(AC269="Conical",PI()/12*(Y269*INDEX(LenF,MATCH($Y$7,LenU,0)))^2*(0),INDEX(HeadK,MATCH(AC269,HeadU,0))*(Y269*INDEX(LenF,MATCH($Y$7,LenU,0)))^3)),0),"")</f>
        <v/>
      </c>
      <c r="AE269" s="41" t="str">
        <f aca="false">IF(OR(E269="",E269="Piping"),"",IF(E269="Exchanger",AQ269*AR269+IF(P269="",0,IF(P269="Conical",PI()/12*(SQRT(4*AQ269/PI()))^2*(0),INDEX(HeadK,MATCH(P269,HeadU,0))*(SQRT(4*AQ269/PI()))^3))-IF(AND(ISNUMBER(S269),ISNUMBER(V269)),S269*PI()/4*AP269^2*V269*INDEX(LenF,MATCH($V$7,LenU,0)),0),IF(ISNUMBER(N269),PI()/4*(N269*INDEX(LenF,MATCH($N$7,LenU,0)))^2*N(O269)*INDEX(LenF,MATCH($O$7,LenU,0))+IF(P269="",0,IF(P269="Conical",PI()/12*(N269*INDEX(LenF,MATCH($N$7,LenU,0)))^2*(N(R269)*INDEX(LenF,MATCH($R$7,LenU,0))),INDEX(HeadK,MATCH(P269,HeadU,0))*(N269*INDEX(LenF,MATCH($N$7,LenU,0)))^3))+IF(Q269="",0,IF(Q269="Conical",PI()/12*(N269*INDEX(LenF,MATCH($N$7,LenU,0)))^2*(N(R269)*INDEX(LenF,MATCH($R$7,LenU,0))),INDEX(HeadK,MATCH(Q269,HeadU,0))*(N269*INDEX(LenF,MATCH($N$7,LenU,0)))^3)),0)))</f>
        <v/>
      </c>
      <c r="AF269" s="41" t="str">
        <f aca="false">IF(E269&lt;&gt;"Piping","",IF(AND(ISNUMBER(AS269),ISNUMBER(M269)),PI()/4*(AS269/1000)^2*M269*INDEX(LenF,MATCH($M$7,LenU,0)),0))</f>
        <v/>
      </c>
      <c r="AG269" s="41" t="str">
        <f aca="false">IF(E269="","",N(AD269)+N(AE269)+N(AF269))</f>
        <v/>
      </c>
      <c r="AH269" s="41" t="str">
        <f aca="false">IF(ISNUMBER(I269),I269*INDEX(WtF,MATCH($I$7,WtU,0))/CC_WaterRho,"")</f>
        <v/>
      </c>
      <c r="AI269" s="31"/>
      <c r="AJ269" s="31"/>
      <c r="AK269" s="40"/>
      <c r="AL269" s="31"/>
      <c r="AM269" s="41" t="str">
        <f aca="false">IF(AO269="","",AO269*IF(ISNUMBER(AK269),AK269,CC_DefFills)*(1+IF(ISNUMBER(AL269),AL269,CC_DefAllow)))</f>
        <v/>
      </c>
      <c r="AN269" s="42" t="str">
        <f aca="false">IF(G269="Given volume",IF(ISNUMBER(H269),H269*INDEX(VolF,MATCH($H$7,VolU,0)),""),IF(G269="Water weight",AH269,IF(N(AG269)=0,"",AG269)))</f>
        <v/>
      </c>
      <c r="AO269" s="42" t="str">
        <f aca="false">IF(N(AN269)=0,"",AN269*AT269*IF(ISNUMBER(AJ269),AJ269,CC_DefCirc))</f>
        <v/>
      </c>
      <c r="AP269" s="27" t="n">
        <f aca="false">IF(ISNUMBER(T269),T269*INDEX(LenF,MATCH($T$7,LenU,0)),IF(ISNUMBER(W269),W269*INDEX(LenF,MATCH($W$7,LenU,0))/CC_PitchRatio,0))</f>
        <v>0</v>
      </c>
      <c r="AQ269" s="27" t="n">
        <f aca="false">IF(ISNUMBER(N269),PI()/4*(N269*INDEX(LenF,MATCH($N$7,LenU,0)))^2,IF(AND(ISNUMBER(S269),ISNUMBER(W269),X269&lt;&gt;""),S269*(W269*INDEX(LenF,MATCH($W$7,LenU,0)))^2*INDEX(LayoutF,MATCH(X269,LayoutU,0)),0))</f>
        <v>0</v>
      </c>
      <c r="AR269" s="27" t="n">
        <f aca="false">IF(ISNUMBER(O269),O269*INDEX(LenF,MATCH($O$7,LenU,0)),IF(ISNUMBER(V269),V269*INDEX(LenF,MATCH($V$7,LenU,0)),0))</f>
        <v>0</v>
      </c>
      <c r="AS269" s="27" t="str">
        <f aca="false">IF(ISNUMBER(L269),L269*INDEX(LenF,MATCH($L$7,LenU,0))*1000,IF(OR(J269="",K269=""),"",IFERROR(IF(INDEX(PipeWT,MATCH(J269,NPSU,0),MATCH(K269,SchU,0))="","Sch n/a",INDEX(PipeOD,MATCH(J269,NPSU,0))-2*INDEX(PipeWT,MATCH(J269,NPSU,0),MATCH(K269,SchU,0))),"")))</f>
        <v/>
      </c>
      <c r="AT269" s="27" t="n">
        <f aca="false">IF(ISNUMBER(AI269),AI269,IFERROR(INDEX(IF(CC_JobType="Decontamination",CC_TypeFillDC,CC_TypeFillCC),MATCH(E269,CC_TypeL,0)),1))</f>
        <v>1</v>
      </c>
      <c r="AU269" s="27" t="n">
        <v>8</v>
      </c>
    </row>
    <row r="270" customFormat="false" ht="15" hidden="false" customHeight="false" outlineLevel="0" collapsed="false">
      <c r="A270" s="36" t="n">
        <v>30</v>
      </c>
      <c r="B270" s="40"/>
      <c r="C270" s="32"/>
      <c r="D270" s="32"/>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1" t="str">
        <f aca="false">IF(E270="Exchanger",IF(AND(ISNUMBER(S270),ISNUMBER(U270),ISNUMBER(V270)),S270*PI()/4*(U270*INDEX(LenF,MATCH($U$7,LenU,0)))^2*V270*INDEX(LenF,MATCH($V$7,LenU,0)),0)+IF(ISNUMBER(Y270),PI()/4*(Y270*INDEX(LenF,MATCH($Y$7,LenU,0)))^2*N(Z270)*INDEX(LenF,MATCH($Z$7,LenU,0))+IF(AA270="",0,IF(AA270="Conical",PI()/12*(Y270*INDEX(LenF,MATCH($Y$7,LenU,0)))^2*(0),INDEX(HeadK,MATCH(AA270,HeadU,0))*(Y270*INDEX(LenF,MATCH($Y$7,LenU,0)))^3)),0)+IF(ISNUMBER(Y270),PI()/4*(Y270*INDEX(LenF,MATCH($Y$7,LenU,0)))^2*N(AB270)*INDEX(LenF,MATCH($AB$7,LenU,0))+IF(AC270="",0,IF(AC270="Conical",PI()/12*(Y270*INDEX(LenF,MATCH($Y$7,LenU,0)))^2*(0),INDEX(HeadK,MATCH(AC270,HeadU,0))*(Y270*INDEX(LenF,MATCH($Y$7,LenU,0)))^3)),0),"")</f>
        <v/>
      </c>
      <c r="AE270" s="41" t="str">
        <f aca="false">IF(OR(E270="",E270="Piping"),"",IF(E270="Exchanger",AQ270*AR270+IF(P270="",0,IF(P270="Conical",PI()/12*(SQRT(4*AQ270/PI()))^2*(0),INDEX(HeadK,MATCH(P270,HeadU,0))*(SQRT(4*AQ270/PI()))^3))-IF(AND(ISNUMBER(S270),ISNUMBER(V270)),S270*PI()/4*AP270^2*V270*INDEX(LenF,MATCH($V$7,LenU,0)),0),IF(ISNUMBER(N270),PI()/4*(N270*INDEX(LenF,MATCH($N$7,LenU,0)))^2*N(O270)*INDEX(LenF,MATCH($O$7,LenU,0))+IF(P270="",0,IF(P270="Conical",PI()/12*(N270*INDEX(LenF,MATCH($N$7,LenU,0)))^2*(N(R270)*INDEX(LenF,MATCH($R$7,LenU,0))),INDEX(HeadK,MATCH(P270,HeadU,0))*(N270*INDEX(LenF,MATCH($N$7,LenU,0)))^3))+IF(Q270="",0,IF(Q270="Conical",PI()/12*(N270*INDEX(LenF,MATCH($N$7,LenU,0)))^2*(N(R270)*INDEX(LenF,MATCH($R$7,LenU,0))),INDEX(HeadK,MATCH(Q270,HeadU,0))*(N270*INDEX(LenF,MATCH($N$7,LenU,0)))^3)),0)))</f>
        <v/>
      </c>
      <c r="AF270" s="41" t="str">
        <f aca="false">IF(E270&lt;&gt;"Piping","",IF(AND(ISNUMBER(AS270),ISNUMBER(M270)),PI()/4*(AS270/1000)^2*M270*INDEX(LenF,MATCH($M$7,LenU,0)),0))</f>
        <v/>
      </c>
      <c r="AG270" s="41" t="str">
        <f aca="false">IF(E270="","",N(AD270)+N(AE270)+N(AF270))</f>
        <v/>
      </c>
      <c r="AH270" s="41" t="str">
        <f aca="false">IF(ISNUMBER(I270),I270*INDEX(WtF,MATCH($I$7,WtU,0))/CC_WaterRho,"")</f>
        <v/>
      </c>
      <c r="AI270" s="31"/>
      <c r="AJ270" s="31"/>
      <c r="AK270" s="40"/>
      <c r="AL270" s="31"/>
      <c r="AM270" s="41" t="str">
        <f aca="false">IF(AO270="","",AO270*IF(ISNUMBER(AK270),AK270,CC_DefFills)*(1+IF(ISNUMBER(AL270),AL270,CC_DefAllow)))</f>
        <v/>
      </c>
      <c r="AN270" s="42" t="str">
        <f aca="false">IF(G270="Given volume",IF(ISNUMBER(H270),H270*INDEX(VolF,MATCH($H$7,VolU,0)),""),IF(G270="Water weight",AH270,IF(N(AG270)=0,"",AG270)))</f>
        <v/>
      </c>
      <c r="AO270" s="42" t="str">
        <f aca="false">IF(N(AN270)=0,"",AN270*AT270*IF(ISNUMBER(AJ270),AJ270,CC_DefCirc))</f>
        <v/>
      </c>
      <c r="AP270" s="27" t="n">
        <f aca="false">IF(ISNUMBER(T270),T270*INDEX(LenF,MATCH($T$7,LenU,0)),IF(ISNUMBER(W270),W270*INDEX(LenF,MATCH($W$7,LenU,0))/CC_PitchRatio,0))</f>
        <v>0</v>
      </c>
      <c r="AQ270" s="27" t="n">
        <f aca="false">IF(ISNUMBER(N270),PI()/4*(N270*INDEX(LenF,MATCH($N$7,LenU,0)))^2,IF(AND(ISNUMBER(S270),ISNUMBER(W270),X270&lt;&gt;""),S270*(W270*INDEX(LenF,MATCH($W$7,LenU,0)))^2*INDEX(LayoutF,MATCH(X270,LayoutU,0)),0))</f>
        <v>0</v>
      </c>
      <c r="AR270" s="27" t="n">
        <f aca="false">IF(ISNUMBER(O270),O270*INDEX(LenF,MATCH($O$7,LenU,0)),IF(ISNUMBER(V270),V270*INDEX(LenF,MATCH($V$7,LenU,0)),0))</f>
        <v>0</v>
      </c>
      <c r="AS270" s="27" t="str">
        <f aca="false">IF(ISNUMBER(L270),L270*INDEX(LenF,MATCH($L$7,LenU,0))*1000,IF(OR(J270="",K270=""),"",IFERROR(IF(INDEX(PipeWT,MATCH(J270,NPSU,0),MATCH(K270,SchU,0))="","Sch n/a",INDEX(PipeOD,MATCH(J270,NPSU,0))-2*INDEX(PipeWT,MATCH(J270,NPSU,0),MATCH(K270,SchU,0))),"")))</f>
        <v/>
      </c>
      <c r="AT270" s="27" t="n">
        <f aca="false">IF(ISNUMBER(AI270),AI270,IFERROR(INDEX(IF(CC_JobType="Decontamination",CC_TypeFillDC,CC_TypeFillCC),MATCH(E270,CC_TypeL,0)),1))</f>
        <v>1</v>
      </c>
      <c r="AU270" s="27" t="n">
        <v>8</v>
      </c>
    </row>
    <row r="271" customFormat="false" ht="15" hidden="false" customHeight="false" outlineLevel="0" collapsed="false">
      <c r="A271" s="44" t="str">
        <f aca="false">"TOTAL – "&amp;INDEX(CC_UnitNames,8)</f>
        <v>TOTAL – Unit 8</v>
      </c>
      <c r="B271" s="44"/>
      <c r="C271" s="44"/>
      <c r="D271" s="44"/>
      <c r="E271" s="45"/>
      <c r="F271" s="45"/>
      <c r="G271" s="45"/>
      <c r="H271" s="45"/>
      <c r="I271" s="45"/>
      <c r="J271" s="45"/>
      <c r="K271" s="45"/>
      <c r="L271" s="45"/>
      <c r="M271" s="45"/>
      <c r="N271" s="45"/>
      <c r="O271" s="45"/>
      <c r="P271" s="45"/>
      <c r="Q271" s="45"/>
      <c r="R271" s="45"/>
      <c r="S271" s="46" t="str">
        <f aca="false">COUNT(AN241:AN270)&amp;" items"</f>
        <v>0 items</v>
      </c>
      <c r="T271" s="45"/>
      <c r="U271" s="45"/>
      <c r="V271" s="45"/>
      <c r="W271" s="45"/>
      <c r="X271" s="45"/>
      <c r="Y271" s="45"/>
      <c r="Z271" s="45"/>
      <c r="AA271" s="45"/>
      <c r="AB271" s="45"/>
      <c r="AC271" s="45"/>
      <c r="AD271" s="47" t="n">
        <f aca="false">SUM(AD241:AD270)</f>
        <v>0</v>
      </c>
      <c r="AE271" s="47" t="n">
        <f aca="false">SUM(AE241:AE270)</f>
        <v>0</v>
      </c>
      <c r="AF271" s="47" t="n">
        <f aca="false">SUM(AF241:AF270)</f>
        <v>0</v>
      </c>
      <c r="AG271" s="47" t="n">
        <f aca="false">SUM(AG241:AG270)</f>
        <v>0</v>
      </c>
      <c r="AH271" s="47" t="n">
        <f aca="false">SUM(AH241:AH270)</f>
        <v>0</v>
      </c>
      <c r="AI271" s="45"/>
      <c r="AJ271" s="45"/>
      <c r="AK271" s="45"/>
      <c r="AL271" s="45"/>
      <c r="AM271" s="47" t="n">
        <f aca="false">SUM(AM241:AM270)</f>
        <v>0</v>
      </c>
      <c r="AN271" s="47" t="n">
        <f aca="false">SUM(AN241:AN270)</f>
        <v>0</v>
      </c>
      <c r="AO271" s="47" t="n">
        <f aca="false">SUM(AO241:AO270)</f>
        <v>0</v>
      </c>
    </row>
    <row r="273" customFormat="false" ht="15" hidden="false" customHeight="false" outlineLevel="0" collapsed="false">
      <c r="A273" s="38" t="str">
        <f aca="false">"UNIT 9:  "&amp;INDEX(CC_UnitNames,9)</f>
        <v>UNIT 9:  Unit 9</v>
      </c>
      <c r="B273" s="38"/>
      <c r="C273" s="38"/>
      <c r="D273" s="38"/>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row>
    <row r="274" customFormat="false" ht="15" hidden="false" customHeight="false" outlineLevel="0" collapsed="false">
      <c r="A274" s="36" t="n">
        <v>1</v>
      </c>
      <c r="B274" s="40"/>
      <c r="C274" s="32"/>
      <c r="D274" s="32"/>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1" t="str">
        <f aca="false">IF(E274="Exchanger",IF(AND(ISNUMBER(S274),ISNUMBER(U274),ISNUMBER(V274)),S274*PI()/4*(U274*INDEX(LenF,MATCH($U$7,LenU,0)))^2*V274*INDEX(LenF,MATCH($V$7,LenU,0)),0)+IF(ISNUMBER(Y274),PI()/4*(Y274*INDEX(LenF,MATCH($Y$7,LenU,0)))^2*N(Z274)*INDEX(LenF,MATCH($Z$7,LenU,0))+IF(AA274="",0,IF(AA274="Conical",PI()/12*(Y274*INDEX(LenF,MATCH($Y$7,LenU,0)))^2*(0),INDEX(HeadK,MATCH(AA274,HeadU,0))*(Y274*INDEX(LenF,MATCH($Y$7,LenU,0)))^3)),0)+IF(ISNUMBER(Y274),PI()/4*(Y274*INDEX(LenF,MATCH($Y$7,LenU,0)))^2*N(AB274)*INDEX(LenF,MATCH($AB$7,LenU,0))+IF(AC274="",0,IF(AC274="Conical",PI()/12*(Y274*INDEX(LenF,MATCH($Y$7,LenU,0)))^2*(0),INDEX(HeadK,MATCH(AC274,HeadU,0))*(Y274*INDEX(LenF,MATCH($Y$7,LenU,0)))^3)),0),"")</f>
        <v/>
      </c>
      <c r="AE274" s="41" t="str">
        <f aca="false">IF(OR(E274="",E274="Piping"),"",IF(E274="Exchanger",AQ274*AR274+IF(P274="",0,IF(P274="Conical",PI()/12*(SQRT(4*AQ274/PI()))^2*(0),INDEX(HeadK,MATCH(P274,HeadU,0))*(SQRT(4*AQ274/PI()))^3))-IF(AND(ISNUMBER(S274),ISNUMBER(V274)),S274*PI()/4*AP274^2*V274*INDEX(LenF,MATCH($V$7,LenU,0)),0),IF(ISNUMBER(N274),PI()/4*(N274*INDEX(LenF,MATCH($N$7,LenU,0)))^2*N(O274)*INDEX(LenF,MATCH($O$7,LenU,0))+IF(P274="",0,IF(P274="Conical",PI()/12*(N274*INDEX(LenF,MATCH($N$7,LenU,0)))^2*(N(R274)*INDEX(LenF,MATCH($R$7,LenU,0))),INDEX(HeadK,MATCH(P274,HeadU,0))*(N274*INDEX(LenF,MATCH($N$7,LenU,0)))^3))+IF(Q274="",0,IF(Q274="Conical",PI()/12*(N274*INDEX(LenF,MATCH($N$7,LenU,0)))^2*(N(R274)*INDEX(LenF,MATCH($R$7,LenU,0))),INDEX(HeadK,MATCH(Q274,HeadU,0))*(N274*INDEX(LenF,MATCH($N$7,LenU,0)))^3)),0)))</f>
        <v/>
      </c>
      <c r="AF274" s="41" t="str">
        <f aca="false">IF(E274&lt;&gt;"Piping","",IF(AND(ISNUMBER(AS274),ISNUMBER(M274)),PI()/4*(AS274/1000)^2*M274*INDEX(LenF,MATCH($M$7,LenU,0)),0))</f>
        <v/>
      </c>
      <c r="AG274" s="41" t="str">
        <f aca="false">IF(E274="","",N(AD274)+N(AE274)+N(AF274))</f>
        <v/>
      </c>
      <c r="AH274" s="41" t="str">
        <f aca="false">IF(ISNUMBER(I274),I274*INDEX(WtF,MATCH($I$7,WtU,0))/CC_WaterRho,"")</f>
        <v/>
      </c>
      <c r="AI274" s="31"/>
      <c r="AJ274" s="31"/>
      <c r="AK274" s="40"/>
      <c r="AL274" s="31"/>
      <c r="AM274" s="41" t="str">
        <f aca="false">IF(AO274="","",AO274*IF(ISNUMBER(AK274),AK274,CC_DefFills)*(1+IF(ISNUMBER(AL274),AL274,CC_DefAllow)))</f>
        <v/>
      </c>
      <c r="AN274" s="42" t="str">
        <f aca="false">IF(G274="Given volume",IF(ISNUMBER(H274),H274*INDEX(VolF,MATCH($H$7,VolU,0)),""),IF(G274="Water weight",AH274,IF(N(AG274)=0,"",AG274)))</f>
        <v/>
      </c>
      <c r="AO274" s="42" t="str">
        <f aca="false">IF(N(AN274)=0,"",AN274*AT274*IF(ISNUMBER(AJ274),AJ274,CC_DefCirc))</f>
        <v/>
      </c>
      <c r="AP274" s="27" t="n">
        <f aca="false">IF(ISNUMBER(T274),T274*INDEX(LenF,MATCH($T$7,LenU,0)),IF(ISNUMBER(W274),W274*INDEX(LenF,MATCH($W$7,LenU,0))/CC_PitchRatio,0))</f>
        <v>0</v>
      </c>
      <c r="AQ274" s="27" t="n">
        <f aca="false">IF(ISNUMBER(N274),PI()/4*(N274*INDEX(LenF,MATCH($N$7,LenU,0)))^2,IF(AND(ISNUMBER(S274),ISNUMBER(W274),X274&lt;&gt;""),S274*(W274*INDEX(LenF,MATCH($W$7,LenU,0)))^2*INDEX(LayoutF,MATCH(X274,LayoutU,0)),0))</f>
        <v>0</v>
      </c>
      <c r="AR274" s="27" t="n">
        <f aca="false">IF(ISNUMBER(O274),O274*INDEX(LenF,MATCH($O$7,LenU,0)),IF(ISNUMBER(V274),V274*INDEX(LenF,MATCH($V$7,LenU,0)),0))</f>
        <v>0</v>
      </c>
      <c r="AS274" s="27" t="str">
        <f aca="false">IF(ISNUMBER(L274),L274*INDEX(LenF,MATCH($L$7,LenU,0))*1000,IF(OR(J274="",K274=""),"",IFERROR(IF(INDEX(PipeWT,MATCH(J274,NPSU,0),MATCH(K274,SchU,0))="","Sch n/a",INDEX(PipeOD,MATCH(J274,NPSU,0))-2*INDEX(PipeWT,MATCH(J274,NPSU,0),MATCH(K274,SchU,0))),"")))</f>
        <v/>
      </c>
      <c r="AT274" s="27" t="n">
        <f aca="false">IF(ISNUMBER(AI274),AI274,IFERROR(INDEX(IF(CC_JobType="Decontamination",CC_TypeFillDC,CC_TypeFillCC),MATCH(E274,CC_TypeL,0)),1))</f>
        <v>1</v>
      </c>
      <c r="AU274" s="27" t="n">
        <v>9</v>
      </c>
    </row>
    <row r="275" customFormat="false" ht="15" hidden="false" customHeight="false" outlineLevel="0" collapsed="false">
      <c r="A275" s="36" t="n">
        <v>2</v>
      </c>
      <c r="B275" s="40"/>
      <c r="C275" s="32"/>
      <c r="D275" s="32"/>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1" t="str">
        <f aca="false">IF(E275="Exchanger",IF(AND(ISNUMBER(S275),ISNUMBER(U275),ISNUMBER(V275)),S275*PI()/4*(U275*INDEX(LenF,MATCH($U$7,LenU,0)))^2*V275*INDEX(LenF,MATCH($V$7,LenU,0)),0)+IF(ISNUMBER(Y275),PI()/4*(Y275*INDEX(LenF,MATCH($Y$7,LenU,0)))^2*N(Z275)*INDEX(LenF,MATCH($Z$7,LenU,0))+IF(AA275="",0,IF(AA275="Conical",PI()/12*(Y275*INDEX(LenF,MATCH($Y$7,LenU,0)))^2*(0),INDEX(HeadK,MATCH(AA275,HeadU,0))*(Y275*INDEX(LenF,MATCH($Y$7,LenU,0)))^3)),0)+IF(ISNUMBER(Y275),PI()/4*(Y275*INDEX(LenF,MATCH($Y$7,LenU,0)))^2*N(AB275)*INDEX(LenF,MATCH($AB$7,LenU,0))+IF(AC275="",0,IF(AC275="Conical",PI()/12*(Y275*INDEX(LenF,MATCH($Y$7,LenU,0)))^2*(0),INDEX(HeadK,MATCH(AC275,HeadU,0))*(Y275*INDEX(LenF,MATCH($Y$7,LenU,0)))^3)),0),"")</f>
        <v/>
      </c>
      <c r="AE275" s="41" t="str">
        <f aca="false">IF(OR(E275="",E275="Piping"),"",IF(E275="Exchanger",AQ275*AR275+IF(P275="",0,IF(P275="Conical",PI()/12*(SQRT(4*AQ275/PI()))^2*(0),INDEX(HeadK,MATCH(P275,HeadU,0))*(SQRT(4*AQ275/PI()))^3))-IF(AND(ISNUMBER(S275),ISNUMBER(V275)),S275*PI()/4*AP275^2*V275*INDEX(LenF,MATCH($V$7,LenU,0)),0),IF(ISNUMBER(N275),PI()/4*(N275*INDEX(LenF,MATCH($N$7,LenU,0)))^2*N(O275)*INDEX(LenF,MATCH($O$7,LenU,0))+IF(P275="",0,IF(P275="Conical",PI()/12*(N275*INDEX(LenF,MATCH($N$7,LenU,0)))^2*(N(R275)*INDEX(LenF,MATCH($R$7,LenU,0))),INDEX(HeadK,MATCH(P275,HeadU,0))*(N275*INDEX(LenF,MATCH($N$7,LenU,0)))^3))+IF(Q275="",0,IF(Q275="Conical",PI()/12*(N275*INDEX(LenF,MATCH($N$7,LenU,0)))^2*(N(R275)*INDEX(LenF,MATCH($R$7,LenU,0))),INDEX(HeadK,MATCH(Q275,HeadU,0))*(N275*INDEX(LenF,MATCH($N$7,LenU,0)))^3)),0)))</f>
        <v/>
      </c>
      <c r="AF275" s="41" t="str">
        <f aca="false">IF(E275&lt;&gt;"Piping","",IF(AND(ISNUMBER(AS275),ISNUMBER(M275)),PI()/4*(AS275/1000)^2*M275*INDEX(LenF,MATCH($M$7,LenU,0)),0))</f>
        <v/>
      </c>
      <c r="AG275" s="41" t="str">
        <f aca="false">IF(E275="","",N(AD275)+N(AE275)+N(AF275))</f>
        <v/>
      </c>
      <c r="AH275" s="41" t="str">
        <f aca="false">IF(ISNUMBER(I275),I275*INDEX(WtF,MATCH($I$7,WtU,0))/CC_WaterRho,"")</f>
        <v/>
      </c>
      <c r="AI275" s="31"/>
      <c r="AJ275" s="31"/>
      <c r="AK275" s="40"/>
      <c r="AL275" s="31"/>
      <c r="AM275" s="41" t="str">
        <f aca="false">IF(AO275="","",AO275*IF(ISNUMBER(AK275),AK275,CC_DefFills)*(1+IF(ISNUMBER(AL275),AL275,CC_DefAllow)))</f>
        <v/>
      </c>
      <c r="AN275" s="42" t="str">
        <f aca="false">IF(G275="Given volume",IF(ISNUMBER(H275),H275*INDEX(VolF,MATCH($H$7,VolU,0)),""),IF(G275="Water weight",AH275,IF(N(AG275)=0,"",AG275)))</f>
        <v/>
      </c>
      <c r="AO275" s="42" t="str">
        <f aca="false">IF(N(AN275)=0,"",AN275*AT275*IF(ISNUMBER(AJ275),AJ275,CC_DefCirc))</f>
        <v/>
      </c>
      <c r="AP275" s="27" t="n">
        <f aca="false">IF(ISNUMBER(T275),T275*INDEX(LenF,MATCH($T$7,LenU,0)),IF(ISNUMBER(W275),W275*INDEX(LenF,MATCH($W$7,LenU,0))/CC_PitchRatio,0))</f>
        <v>0</v>
      </c>
      <c r="AQ275" s="27" t="n">
        <f aca="false">IF(ISNUMBER(N275),PI()/4*(N275*INDEX(LenF,MATCH($N$7,LenU,0)))^2,IF(AND(ISNUMBER(S275),ISNUMBER(W275),X275&lt;&gt;""),S275*(W275*INDEX(LenF,MATCH($W$7,LenU,0)))^2*INDEX(LayoutF,MATCH(X275,LayoutU,0)),0))</f>
        <v>0</v>
      </c>
      <c r="AR275" s="27" t="n">
        <f aca="false">IF(ISNUMBER(O275),O275*INDEX(LenF,MATCH($O$7,LenU,0)),IF(ISNUMBER(V275),V275*INDEX(LenF,MATCH($V$7,LenU,0)),0))</f>
        <v>0</v>
      </c>
      <c r="AS275" s="27" t="str">
        <f aca="false">IF(ISNUMBER(L275),L275*INDEX(LenF,MATCH($L$7,LenU,0))*1000,IF(OR(J275="",K275=""),"",IFERROR(IF(INDEX(PipeWT,MATCH(J275,NPSU,0),MATCH(K275,SchU,0))="","Sch n/a",INDEX(PipeOD,MATCH(J275,NPSU,0))-2*INDEX(PipeWT,MATCH(J275,NPSU,0),MATCH(K275,SchU,0))),"")))</f>
        <v/>
      </c>
      <c r="AT275" s="27" t="n">
        <f aca="false">IF(ISNUMBER(AI275),AI275,IFERROR(INDEX(IF(CC_JobType="Decontamination",CC_TypeFillDC,CC_TypeFillCC),MATCH(E275,CC_TypeL,0)),1))</f>
        <v>1</v>
      </c>
      <c r="AU275" s="27" t="n">
        <v>9</v>
      </c>
    </row>
    <row r="276" customFormat="false" ht="15" hidden="false" customHeight="false" outlineLevel="0" collapsed="false">
      <c r="A276" s="36" t="n">
        <v>3</v>
      </c>
      <c r="B276" s="40"/>
      <c r="C276" s="32"/>
      <c r="D276" s="32"/>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1" t="str">
        <f aca="false">IF(E276="Exchanger",IF(AND(ISNUMBER(S276),ISNUMBER(U276),ISNUMBER(V276)),S276*PI()/4*(U276*INDEX(LenF,MATCH($U$7,LenU,0)))^2*V276*INDEX(LenF,MATCH($V$7,LenU,0)),0)+IF(ISNUMBER(Y276),PI()/4*(Y276*INDEX(LenF,MATCH($Y$7,LenU,0)))^2*N(Z276)*INDEX(LenF,MATCH($Z$7,LenU,0))+IF(AA276="",0,IF(AA276="Conical",PI()/12*(Y276*INDEX(LenF,MATCH($Y$7,LenU,0)))^2*(0),INDEX(HeadK,MATCH(AA276,HeadU,0))*(Y276*INDEX(LenF,MATCH($Y$7,LenU,0)))^3)),0)+IF(ISNUMBER(Y276),PI()/4*(Y276*INDEX(LenF,MATCH($Y$7,LenU,0)))^2*N(AB276)*INDEX(LenF,MATCH($AB$7,LenU,0))+IF(AC276="",0,IF(AC276="Conical",PI()/12*(Y276*INDEX(LenF,MATCH($Y$7,LenU,0)))^2*(0),INDEX(HeadK,MATCH(AC276,HeadU,0))*(Y276*INDEX(LenF,MATCH($Y$7,LenU,0)))^3)),0),"")</f>
        <v/>
      </c>
      <c r="AE276" s="41" t="str">
        <f aca="false">IF(OR(E276="",E276="Piping"),"",IF(E276="Exchanger",AQ276*AR276+IF(P276="",0,IF(P276="Conical",PI()/12*(SQRT(4*AQ276/PI()))^2*(0),INDEX(HeadK,MATCH(P276,HeadU,0))*(SQRT(4*AQ276/PI()))^3))-IF(AND(ISNUMBER(S276),ISNUMBER(V276)),S276*PI()/4*AP276^2*V276*INDEX(LenF,MATCH($V$7,LenU,0)),0),IF(ISNUMBER(N276),PI()/4*(N276*INDEX(LenF,MATCH($N$7,LenU,0)))^2*N(O276)*INDEX(LenF,MATCH($O$7,LenU,0))+IF(P276="",0,IF(P276="Conical",PI()/12*(N276*INDEX(LenF,MATCH($N$7,LenU,0)))^2*(N(R276)*INDEX(LenF,MATCH($R$7,LenU,0))),INDEX(HeadK,MATCH(P276,HeadU,0))*(N276*INDEX(LenF,MATCH($N$7,LenU,0)))^3))+IF(Q276="",0,IF(Q276="Conical",PI()/12*(N276*INDEX(LenF,MATCH($N$7,LenU,0)))^2*(N(R276)*INDEX(LenF,MATCH($R$7,LenU,0))),INDEX(HeadK,MATCH(Q276,HeadU,0))*(N276*INDEX(LenF,MATCH($N$7,LenU,0)))^3)),0)))</f>
        <v/>
      </c>
      <c r="AF276" s="41" t="str">
        <f aca="false">IF(E276&lt;&gt;"Piping","",IF(AND(ISNUMBER(AS276),ISNUMBER(M276)),PI()/4*(AS276/1000)^2*M276*INDEX(LenF,MATCH($M$7,LenU,0)),0))</f>
        <v/>
      </c>
      <c r="AG276" s="41" t="str">
        <f aca="false">IF(E276="","",N(AD276)+N(AE276)+N(AF276))</f>
        <v/>
      </c>
      <c r="AH276" s="41" t="str">
        <f aca="false">IF(ISNUMBER(I276),I276*INDEX(WtF,MATCH($I$7,WtU,0))/CC_WaterRho,"")</f>
        <v/>
      </c>
      <c r="AI276" s="31"/>
      <c r="AJ276" s="31"/>
      <c r="AK276" s="40"/>
      <c r="AL276" s="31"/>
      <c r="AM276" s="41" t="str">
        <f aca="false">IF(AO276="","",AO276*IF(ISNUMBER(AK276),AK276,CC_DefFills)*(1+IF(ISNUMBER(AL276),AL276,CC_DefAllow)))</f>
        <v/>
      </c>
      <c r="AN276" s="42" t="str">
        <f aca="false">IF(G276="Given volume",IF(ISNUMBER(H276),H276*INDEX(VolF,MATCH($H$7,VolU,0)),""),IF(G276="Water weight",AH276,IF(N(AG276)=0,"",AG276)))</f>
        <v/>
      </c>
      <c r="AO276" s="42" t="str">
        <f aca="false">IF(N(AN276)=0,"",AN276*AT276*IF(ISNUMBER(AJ276),AJ276,CC_DefCirc))</f>
        <v/>
      </c>
      <c r="AP276" s="27" t="n">
        <f aca="false">IF(ISNUMBER(T276),T276*INDEX(LenF,MATCH($T$7,LenU,0)),IF(ISNUMBER(W276),W276*INDEX(LenF,MATCH($W$7,LenU,0))/CC_PitchRatio,0))</f>
        <v>0</v>
      </c>
      <c r="AQ276" s="27" t="n">
        <f aca="false">IF(ISNUMBER(N276),PI()/4*(N276*INDEX(LenF,MATCH($N$7,LenU,0)))^2,IF(AND(ISNUMBER(S276),ISNUMBER(W276),X276&lt;&gt;""),S276*(W276*INDEX(LenF,MATCH($W$7,LenU,0)))^2*INDEX(LayoutF,MATCH(X276,LayoutU,0)),0))</f>
        <v>0</v>
      </c>
      <c r="AR276" s="27" t="n">
        <f aca="false">IF(ISNUMBER(O276),O276*INDEX(LenF,MATCH($O$7,LenU,0)),IF(ISNUMBER(V276),V276*INDEX(LenF,MATCH($V$7,LenU,0)),0))</f>
        <v>0</v>
      </c>
      <c r="AS276" s="27" t="str">
        <f aca="false">IF(ISNUMBER(L276),L276*INDEX(LenF,MATCH($L$7,LenU,0))*1000,IF(OR(J276="",K276=""),"",IFERROR(IF(INDEX(PipeWT,MATCH(J276,NPSU,0),MATCH(K276,SchU,0))="","Sch n/a",INDEX(PipeOD,MATCH(J276,NPSU,0))-2*INDEX(PipeWT,MATCH(J276,NPSU,0),MATCH(K276,SchU,0))),"")))</f>
        <v/>
      </c>
      <c r="AT276" s="27" t="n">
        <f aca="false">IF(ISNUMBER(AI276),AI276,IFERROR(INDEX(IF(CC_JobType="Decontamination",CC_TypeFillDC,CC_TypeFillCC),MATCH(E276,CC_TypeL,0)),1))</f>
        <v>1</v>
      </c>
      <c r="AU276" s="27" t="n">
        <v>9</v>
      </c>
    </row>
    <row r="277" customFormat="false" ht="15" hidden="false" customHeight="false" outlineLevel="0" collapsed="false">
      <c r="A277" s="36" t="n">
        <v>4</v>
      </c>
      <c r="B277" s="40"/>
      <c r="C277" s="32"/>
      <c r="D277" s="32"/>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1" t="str">
        <f aca="false">IF(E277="Exchanger",IF(AND(ISNUMBER(S277),ISNUMBER(U277),ISNUMBER(V277)),S277*PI()/4*(U277*INDEX(LenF,MATCH($U$7,LenU,0)))^2*V277*INDEX(LenF,MATCH($V$7,LenU,0)),0)+IF(ISNUMBER(Y277),PI()/4*(Y277*INDEX(LenF,MATCH($Y$7,LenU,0)))^2*N(Z277)*INDEX(LenF,MATCH($Z$7,LenU,0))+IF(AA277="",0,IF(AA277="Conical",PI()/12*(Y277*INDEX(LenF,MATCH($Y$7,LenU,0)))^2*(0),INDEX(HeadK,MATCH(AA277,HeadU,0))*(Y277*INDEX(LenF,MATCH($Y$7,LenU,0)))^3)),0)+IF(ISNUMBER(Y277),PI()/4*(Y277*INDEX(LenF,MATCH($Y$7,LenU,0)))^2*N(AB277)*INDEX(LenF,MATCH($AB$7,LenU,0))+IF(AC277="",0,IF(AC277="Conical",PI()/12*(Y277*INDEX(LenF,MATCH($Y$7,LenU,0)))^2*(0),INDEX(HeadK,MATCH(AC277,HeadU,0))*(Y277*INDEX(LenF,MATCH($Y$7,LenU,0)))^3)),0),"")</f>
        <v/>
      </c>
      <c r="AE277" s="41" t="str">
        <f aca="false">IF(OR(E277="",E277="Piping"),"",IF(E277="Exchanger",AQ277*AR277+IF(P277="",0,IF(P277="Conical",PI()/12*(SQRT(4*AQ277/PI()))^2*(0),INDEX(HeadK,MATCH(P277,HeadU,0))*(SQRT(4*AQ277/PI()))^3))-IF(AND(ISNUMBER(S277),ISNUMBER(V277)),S277*PI()/4*AP277^2*V277*INDEX(LenF,MATCH($V$7,LenU,0)),0),IF(ISNUMBER(N277),PI()/4*(N277*INDEX(LenF,MATCH($N$7,LenU,0)))^2*N(O277)*INDEX(LenF,MATCH($O$7,LenU,0))+IF(P277="",0,IF(P277="Conical",PI()/12*(N277*INDEX(LenF,MATCH($N$7,LenU,0)))^2*(N(R277)*INDEX(LenF,MATCH($R$7,LenU,0))),INDEX(HeadK,MATCH(P277,HeadU,0))*(N277*INDEX(LenF,MATCH($N$7,LenU,0)))^3))+IF(Q277="",0,IF(Q277="Conical",PI()/12*(N277*INDEX(LenF,MATCH($N$7,LenU,0)))^2*(N(R277)*INDEX(LenF,MATCH($R$7,LenU,0))),INDEX(HeadK,MATCH(Q277,HeadU,0))*(N277*INDEX(LenF,MATCH($N$7,LenU,0)))^3)),0)))</f>
        <v/>
      </c>
      <c r="AF277" s="41" t="str">
        <f aca="false">IF(E277&lt;&gt;"Piping","",IF(AND(ISNUMBER(AS277),ISNUMBER(M277)),PI()/4*(AS277/1000)^2*M277*INDEX(LenF,MATCH($M$7,LenU,0)),0))</f>
        <v/>
      </c>
      <c r="AG277" s="41" t="str">
        <f aca="false">IF(E277="","",N(AD277)+N(AE277)+N(AF277))</f>
        <v/>
      </c>
      <c r="AH277" s="41" t="str">
        <f aca="false">IF(ISNUMBER(I277),I277*INDEX(WtF,MATCH($I$7,WtU,0))/CC_WaterRho,"")</f>
        <v/>
      </c>
      <c r="AI277" s="31"/>
      <c r="AJ277" s="31"/>
      <c r="AK277" s="40"/>
      <c r="AL277" s="31"/>
      <c r="AM277" s="41" t="str">
        <f aca="false">IF(AO277="","",AO277*IF(ISNUMBER(AK277),AK277,CC_DefFills)*(1+IF(ISNUMBER(AL277),AL277,CC_DefAllow)))</f>
        <v/>
      </c>
      <c r="AN277" s="42" t="str">
        <f aca="false">IF(G277="Given volume",IF(ISNUMBER(H277),H277*INDEX(VolF,MATCH($H$7,VolU,0)),""),IF(G277="Water weight",AH277,IF(N(AG277)=0,"",AG277)))</f>
        <v/>
      </c>
      <c r="AO277" s="42" t="str">
        <f aca="false">IF(N(AN277)=0,"",AN277*AT277*IF(ISNUMBER(AJ277),AJ277,CC_DefCirc))</f>
        <v/>
      </c>
      <c r="AP277" s="27" t="n">
        <f aca="false">IF(ISNUMBER(T277),T277*INDEX(LenF,MATCH($T$7,LenU,0)),IF(ISNUMBER(W277),W277*INDEX(LenF,MATCH($W$7,LenU,0))/CC_PitchRatio,0))</f>
        <v>0</v>
      </c>
      <c r="AQ277" s="27" t="n">
        <f aca="false">IF(ISNUMBER(N277),PI()/4*(N277*INDEX(LenF,MATCH($N$7,LenU,0)))^2,IF(AND(ISNUMBER(S277),ISNUMBER(W277),X277&lt;&gt;""),S277*(W277*INDEX(LenF,MATCH($W$7,LenU,0)))^2*INDEX(LayoutF,MATCH(X277,LayoutU,0)),0))</f>
        <v>0</v>
      </c>
      <c r="AR277" s="27" t="n">
        <f aca="false">IF(ISNUMBER(O277),O277*INDEX(LenF,MATCH($O$7,LenU,0)),IF(ISNUMBER(V277),V277*INDEX(LenF,MATCH($V$7,LenU,0)),0))</f>
        <v>0</v>
      </c>
      <c r="AS277" s="27" t="str">
        <f aca="false">IF(ISNUMBER(L277),L277*INDEX(LenF,MATCH($L$7,LenU,0))*1000,IF(OR(J277="",K277=""),"",IFERROR(IF(INDEX(PipeWT,MATCH(J277,NPSU,0),MATCH(K277,SchU,0))="","Sch n/a",INDEX(PipeOD,MATCH(J277,NPSU,0))-2*INDEX(PipeWT,MATCH(J277,NPSU,0),MATCH(K277,SchU,0))),"")))</f>
        <v/>
      </c>
      <c r="AT277" s="27" t="n">
        <f aca="false">IF(ISNUMBER(AI277),AI277,IFERROR(INDEX(IF(CC_JobType="Decontamination",CC_TypeFillDC,CC_TypeFillCC),MATCH(E277,CC_TypeL,0)),1))</f>
        <v>1</v>
      </c>
      <c r="AU277" s="27" t="n">
        <v>9</v>
      </c>
    </row>
    <row r="278" customFormat="false" ht="15" hidden="false" customHeight="false" outlineLevel="0" collapsed="false">
      <c r="A278" s="36" t="n">
        <v>5</v>
      </c>
      <c r="B278" s="40"/>
      <c r="C278" s="32"/>
      <c r="D278" s="32"/>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1" t="str">
        <f aca="false">IF(E278="Exchanger",IF(AND(ISNUMBER(S278),ISNUMBER(U278),ISNUMBER(V278)),S278*PI()/4*(U278*INDEX(LenF,MATCH($U$7,LenU,0)))^2*V278*INDEX(LenF,MATCH($V$7,LenU,0)),0)+IF(ISNUMBER(Y278),PI()/4*(Y278*INDEX(LenF,MATCH($Y$7,LenU,0)))^2*N(Z278)*INDEX(LenF,MATCH($Z$7,LenU,0))+IF(AA278="",0,IF(AA278="Conical",PI()/12*(Y278*INDEX(LenF,MATCH($Y$7,LenU,0)))^2*(0),INDEX(HeadK,MATCH(AA278,HeadU,0))*(Y278*INDEX(LenF,MATCH($Y$7,LenU,0)))^3)),0)+IF(ISNUMBER(Y278),PI()/4*(Y278*INDEX(LenF,MATCH($Y$7,LenU,0)))^2*N(AB278)*INDEX(LenF,MATCH($AB$7,LenU,0))+IF(AC278="",0,IF(AC278="Conical",PI()/12*(Y278*INDEX(LenF,MATCH($Y$7,LenU,0)))^2*(0),INDEX(HeadK,MATCH(AC278,HeadU,0))*(Y278*INDEX(LenF,MATCH($Y$7,LenU,0)))^3)),0),"")</f>
        <v/>
      </c>
      <c r="AE278" s="41" t="str">
        <f aca="false">IF(OR(E278="",E278="Piping"),"",IF(E278="Exchanger",AQ278*AR278+IF(P278="",0,IF(P278="Conical",PI()/12*(SQRT(4*AQ278/PI()))^2*(0),INDEX(HeadK,MATCH(P278,HeadU,0))*(SQRT(4*AQ278/PI()))^3))-IF(AND(ISNUMBER(S278),ISNUMBER(V278)),S278*PI()/4*AP278^2*V278*INDEX(LenF,MATCH($V$7,LenU,0)),0),IF(ISNUMBER(N278),PI()/4*(N278*INDEX(LenF,MATCH($N$7,LenU,0)))^2*N(O278)*INDEX(LenF,MATCH($O$7,LenU,0))+IF(P278="",0,IF(P278="Conical",PI()/12*(N278*INDEX(LenF,MATCH($N$7,LenU,0)))^2*(N(R278)*INDEX(LenF,MATCH($R$7,LenU,0))),INDEX(HeadK,MATCH(P278,HeadU,0))*(N278*INDEX(LenF,MATCH($N$7,LenU,0)))^3))+IF(Q278="",0,IF(Q278="Conical",PI()/12*(N278*INDEX(LenF,MATCH($N$7,LenU,0)))^2*(N(R278)*INDEX(LenF,MATCH($R$7,LenU,0))),INDEX(HeadK,MATCH(Q278,HeadU,0))*(N278*INDEX(LenF,MATCH($N$7,LenU,0)))^3)),0)))</f>
        <v/>
      </c>
      <c r="AF278" s="41" t="str">
        <f aca="false">IF(E278&lt;&gt;"Piping","",IF(AND(ISNUMBER(AS278),ISNUMBER(M278)),PI()/4*(AS278/1000)^2*M278*INDEX(LenF,MATCH($M$7,LenU,0)),0))</f>
        <v/>
      </c>
      <c r="AG278" s="41" t="str">
        <f aca="false">IF(E278="","",N(AD278)+N(AE278)+N(AF278))</f>
        <v/>
      </c>
      <c r="AH278" s="41" t="str">
        <f aca="false">IF(ISNUMBER(I278),I278*INDEX(WtF,MATCH($I$7,WtU,0))/CC_WaterRho,"")</f>
        <v/>
      </c>
      <c r="AI278" s="31"/>
      <c r="AJ278" s="31"/>
      <c r="AK278" s="40"/>
      <c r="AL278" s="31"/>
      <c r="AM278" s="41" t="str">
        <f aca="false">IF(AO278="","",AO278*IF(ISNUMBER(AK278),AK278,CC_DefFills)*(1+IF(ISNUMBER(AL278),AL278,CC_DefAllow)))</f>
        <v/>
      </c>
      <c r="AN278" s="42" t="str">
        <f aca="false">IF(G278="Given volume",IF(ISNUMBER(H278),H278*INDEX(VolF,MATCH($H$7,VolU,0)),""),IF(G278="Water weight",AH278,IF(N(AG278)=0,"",AG278)))</f>
        <v/>
      </c>
      <c r="AO278" s="42" t="str">
        <f aca="false">IF(N(AN278)=0,"",AN278*AT278*IF(ISNUMBER(AJ278),AJ278,CC_DefCirc))</f>
        <v/>
      </c>
      <c r="AP278" s="27" t="n">
        <f aca="false">IF(ISNUMBER(T278),T278*INDEX(LenF,MATCH($T$7,LenU,0)),IF(ISNUMBER(W278),W278*INDEX(LenF,MATCH($W$7,LenU,0))/CC_PitchRatio,0))</f>
        <v>0</v>
      </c>
      <c r="AQ278" s="27" t="n">
        <f aca="false">IF(ISNUMBER(N278),PI()/4*(N278*INDEX(LenF,MATCH($N$7,LenU,0)))^2,IF(AND(ISNUMBER(S278),ISNUMBER(W278),X278&lt;&gt;""),S278*(W278*INDEX(LenF,MATCH($W$7,LenU,0)))^2*INDEX(LayoutF,MATCH(X278,LayoutU,0)),0))</f>
        <v>0</v>
      </c>
      <c r="AR278" s="27" t="n">
        <f aca="false">IF(ISNUMBER(O278),O278*INDEX(LenF,MATCH($O$7,LenU,0)),IF(ISNUMBER(V278),V278*INDEX(LenF,MATCH($V$7,LenU,0)),0))</f>
        <v>0</v>
      </c>
      <c r="AS278" s="27" t="str">
        <f aca="false">IF(ISNUMBER(L278),L278*INDEX(LenF,MATCH($L$7,LenU,0))*1000,IF(OR(J278="",K278=""),"",IFERROR(IF(INDEX(PipeWT,MATCH(J278,NPSU,0),MATCH(K278,SchU,0))="","Sch n/a",INDEX(PipeOD,MATCH(J278,NPSU,0))-2*INDEX(PipeWT,MATCH(J278,NPSU,0),MATCH(K278,SchU,0))),"")))</f>
        <v/>
      </c>
      <c r="AT278" s="27" t="n">
        <f aca="false">IF(ISNUMBER(AI278),AI278,IFERROR(INDEX(IF(CC_JobType="Decontamination",CC_TypeFillDC,CC_TypeFillCC),MATCH(E278,CC_TypeL,0)),1))</f>
        <v>1</v>
      </c>
      <c r="AU278" s="27" t="n">
        <v>9</v>
      </c>
    </row>
    <row r="279" customFormat="false" ht="15" hidden="false" customHeight="false" outlineLevel="0" collapsed="false">
      <c r="A279" s="36" t="n">
        <v>6</v>
      </c>
      <c r="B279" s="40"/>
      <c r="C279" s="32"/>
      <c r="D279" s="32"/>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1" t="str">
        <f aca="false">IF(E279="Exchanger",IF(AND(ISNUMBER(S279),ISNUMBER(U279),ISNUMBER(V279)),S279*PI()/4*(U279*INDEX(LenF,MATCH($U$7,LenU,0)))^2*V279*INDEX(LenF,MATCH($V$7,LenU,0)),0)+IF(ISNUMBER(Y279),PI()/4*(Y279*INDEX(LenF,MATCH($Y$7,LenU,0)))^2*N(Z279)*INDEX(LenF,MATCH($Z$7,LenU,0))+IF(AA279="",0,IF(AA279="Conical",PI()/12*(Y279*INDEX(LenF,MATCH($Y$7,LenU,0)))^2*(0),INDEX(HeadK,MATCH(AA279,HeadU,0))*(Y279*INDEX(LenF,MATCH($Y$7,LenU,0)))^3)),0)+IF(ISNUMBER(Y279),PI()/4*(Y279*INDEX(LenF,MATCH($Y$7,LenU,0)))^2*N(AB279)*INDEX(LenF,MATCH($AB$7,LenU,0))+IF(AC279="",0,IF(AC279="Conical",PI()/12*(Y279*INDEX(LenF,MATCH($Y$7,LenU,0)))^2*(0),INDEX(HeadK,MATCH(AC279,HeadU,0))*(Y279*INDEX(LenF,MATCH($Y$7,LenU,0)))^3)),0),"")</f>
        <v/>
      </c>
      <c r="AE279" s="41" t="str">
        <f aca="false">IF(OR(E279="",E279="Piping"),"",IF(E279="Exchanger",AQ279*AR279+IF(P279="",0,IF(P279="Conical",PI()/12*(SQRT(4*AQ279/PI()))^2*(0),INDEX(HeadK,MATCH(P279,HeadU,0))*(SQRT(4*AQ279/PI()))^3))-IF(AND(ISNUMBER(S279),ISNUMBER(V279)),S279*PI()/4*AP279^2*V279*INDEX(LenF,MATCH($V$7,LenU,0)),0),IF(ISNUMBER(N279),PI()/4*(N279*INDEX(LenF,MATCH($N$7,LenU,0)))^2*N(O279)*INDEX(LenF,MATCH($O$7,LenU,0))+IF(P279="",0,IF(P279="Conical",PI()/12*(N279*INDEX(LenF,MATCH($N$7,LenU,0)))^2*(N(R279)*INDEX(LenF,MATCH($R$7,LenU,0))),INDEX(HeadK,MATCH(P279,HeadU,0))*(N279*INDEX(LenF,MATCH($N$7,LenU,0)))^3))+IF(Q279="",0,IF(Q279="Conical",PI()/12*(N279*INDEX(LenF,MATCH($N$7,LenU,0)))^2*(N(R279)*INDEX(LenF,MATCH($R$7,LenU,0))),INDEX(HeadK,MATCH(Q279,HeadU,0))*(N279*INDEX(LenF,MATCH($N$7,LenU,0)))^3)),0)))</f>
        <v/>
      </c>
      <c r="AF279" s="41" t="str">
        <f aca="false">IF(E279&lt;&gt;"Piping","",IF(AND(ISNUMBER(AS279),ISNUMBER(M279)),PI()/4*(AS279/1000)^2*M279*INDEX(LenF,MATCH($M$7,LenU,0)),0))</f>
        <v/>
      </c>
      <c r="AG279" s="41" t="str">
        <f aca="false">IF(E279="","",N(AD279)+N(AE279)+N(AF279))</f>
        <v/>
      </c>
      <c r="AH279" s="41" t="str">
        <f aca="false">IF(ISNUMBER(I279),I279*INDEX(WtF,MATCH($I$7,WtU,0))/CC_WaterRho,"")</f>
        <v/>
      </c>
      <c r="AI279" s="31"/>
      <c r="AJ279" s="31"/>
      <c r="AK279" s="40"/>
      <c r="AL279" s="31"/>
      <c r="AM279" s="41" t="str">
        <f aca="false">IF(AO279="","",AO279*IF(ISNUMBER(AK279),AK279,CC_DefFills)*(1+IF(ISNUMBER(AL279),AL279,CC_DefAllow)))</f>
        <v/>
      </c>
      <c r="AN279" s="42" t="str">
        <f aca="false">IF(G279="Given volume",IF(ISNUMBER(H279),H279*INDEX(VolF,MATCH($H$7,VolU,0)),""),IF(G279="Water weight",AH279,IF(N(AG279)=0,"",AG279)))</f>
        <v/>
      </c>
      <c r="AO279" s="42" t="str">
        <f aca="false">IF(N(AN279)=0,"",AN279*AT279*IF(ISNUMBER(AJ279),AJ279,CC_DefCirc))</f>
        <v/>
      </c>
      <c r="AP279" s="27" t="n">
        <f aca="false">IF(ISNUMBER(T279),T279*INDEX(LenF,MATCH($T$7,LenU,0)),IF(ISNUMBER(W279),W279*INDEX(LenF,MATCH($W$7,LenU,0))/CC_PitchRatio,0))</f>
        <v>0</v>
      </c>
      <c r="AQ279" s="27" t="n">
        <f aca="false">IF(ISNUMBER(N279),PI()/4*(N279*INDEX(LenF,MATCH($N$7,LenU,0)))^2,IF(AND(ISNUMBER(S279),ISNUMBER(W279),X279&lt;&gt;""),S279*(W279*INDEX(LenF,MATCH($W$7,LenU,0)))^2*INDEX(LayoutF,MATCH(X279,LayoutU,0)),0))</f>
        <v>0</v>
      </c>
      <c r="AR279" s="27" t="n">
        <f aca="false">IF(ISNUMBER(O279),O279*INDEX(LenF,MATCH($O$7,LenU,0)),IF(ISNUMBER(V279),V279*INDEX(LenF,MATCH($V$7,LenU,0)),0))</f>
        <v>0</v>
      </c>
      <c r="AS279" s="27" t="str">
        <f aca="false">IF(ISNUMBER(L279),L279*INDEX(LenF,MATCH($L$7,LenU,0))*1000,IF(OR(J279="",K279=""),"",IFERROR(IF(INDEX(PipeWT,MATCH(J279,NPSU,0),MATCH(K279,SchU,0))="","Sch n/a",INDEX(PipeOD,MATCH(J279,NPSU,0))-2*INDEX(PipeWT,MATCH(J279,NPSU,0),MATCH(K279,SchU,0))),"")))</f>
        <v/>
      </c>
      <c r="AT279" s="27" t="n">
        <f aca="false">IF(ISNUMBER(AI279),AI279,IFERROR(INDEX(IF(CC_JobType="Decontamination",CC_TypeFillDC,CC_TypeFillCC),MATCH(E279,CC_TypeL,0)),1))</f>
        <v>1</v>
      </c>
      <c r="AU279" s="27" t="n">
        <v>9</v>
      </c>
    </row>
    <row r="280" customFormat="false" ht="15" hidden="false" customHeight="false" outlineLevel="0" collapsed="false">
      <c r="A280" s="36" t="n">
        <v>7</v>
      </c>
      <c r="B280" s="40"/>
      <c r="C280" s="32"/>
      <c r="D280" s="32"/>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1" t="str">
        <f aca="false">IF(E280="Exchanger",IF(AND(ISNUMBER(S280),ISNUMBER(U280),ISNUMBER(V280)),S280*PI()/4*(U280*INDEX(LenF,MATCH($U$7,LenU,0)))^2*V280*INDEX(LenF,MATCH($V$7,LenU,0)),0)+IF(ISNUMBER(Y280),PI()/4*(Y280*INDEX(LenF,MATCH($Y$7,LenU,0)))^2*N(Z280)*INDEX(LenF,MATCH($Z$7,LenU,0))+IF(AA280="",0,IF(AA280="Conical",PI()/12*(Y280*INDEX(LenF,MATCH($Y$7,LenU,0)))^2*(0),INDEX(HeadK,MATCH(AA280,HeadU,0))*(Y280*INDEX(LenF,MATCH($Y$7,LenU,0)))^3)),0)+IF(ISNUMBER(Y280),PI()/4*(Y280*INDEX(LenF,MATCH($Y$7,LenU,0)))^2*N(AB280)*INDEX(LenF,MATCH($AB$7,LenU,0))+IF(AC280="",0,IF(AC280="Conical",PI()/12*(Y280*INDEX(LenF,MATCH($Y$7,LenU,0)))^2*(0),INDEX(HeadK,MATCH(AC280,HeadU,0))*(Y280*INDEX(LenF,MATCH($Y$7,LenU,0)))^3)),0),"")</f>
        <v/>
      </c>
      <c r="AE280" s="41" t="str">
        <f aca="false">IF(OR(E280="",E280="Piping"),"",IF(E280="Exchanger",AQ280*AR280+IF(P280="",0,IF(P280="Conical",PI()/12*(SQRT(4*AQ280/PI()))^2*(0),INDEX(HeadK,MATCH(P280,HeadU,0))*(SQRT(4*AQ280/PI()))^3))-IF(AND(ISNUMBER(S280),ISNUMBER(V280)),S280*PI()/4*AP280^2*V280*INDEX(LenF,MATCH($V$7,LenU,0)),0),IF(ISNUMBER(N280),PI()/4*(N280*INDEX(LenF,MATCH($N$7,LenU,0)))^2*N(O280)*INDEX(LenF,MATCH($O$7,LenU,0))+IF(P280="",0,IF(P280="Conical",PI()/12*(N280*INDEX(LenF,MATCH($N$7,LenU,0)))^2*(N(R280)*INDEX(LenF,MATCH($R$7,LenU,0))),INDEX(HeadK,MATCH(P280,HeadU,0))*(N280*INDEX(LenF,MATCH($N$7,LenU,0)))^3))+IF(Q280="",0,IF(Q280="Conical",PI()/12*(N280*INDEX(LenF,MATCH($N$7,LenU,0)))^2*(N(R280)*INDEX(LenF,MATCH($R$7,LenU,0))),INDEX(HeadK,MATCH(Q280,HeadU,0))*(N280*INDEX(LenF,MATCH($N$7,LenU,0)))^3)),0)))</f>
        <v/>
      </c>
      <c r="AF280" s="41" t="str">
        <f aca="false">IF(E280&lt;&gt;"Piping","",IF(AND(ISNUMBER(AS280),ISNUMBER(M280)),PI()/4*(AS280/1000)^2*M280*INDEX(LenF,MATCH($M$7,LenU,0)),0))</f>
        <v/>
      </c>
      <c r="AG280" s="41" t="str">
        <f aca="false">IF(E280="","",N(AD280)+N(AE280)+N(AF280))</f>
        <v/>
      </c>
      <c r="AH280" s="41" t="str">
        <f aca="false">IF(ISNUMBER(I280),I280*INDEX(WtF,MATCH($I$7,WtU,0))/CC_WaterRho,"")</f>
        <v/>
      </c>
      <c r="AI280" s="31"/>
      <c r="AJ280" s="31"/>
      <c r="AK280" s="40"/>
      <c r="AL280" s="31"/>
      <c r="AM280" s="41" t="str">
        <f aca="false">IF(AO280="","",AO280*IF(ISNUMBER(AK280),AK280,CC_DefFills)*(1+IF(ISNUMBER(AL280),AL280,CC_DefAllow)))</f>
        <v/>
      </c>
      <c r="AN280" s="42" t="str">
        <f aca="false">IF(G280="Given volume",IF(ISNUMBER(H280),H280*INDEX(VolF,MATCH($H$7,VolU,0)),""),IF(G280="Water weight",AH280,IF(N(AG280)=0,"",AG280)))</f>
        <v/>
      </c>
      <c r="AO280" s="42" t="str">
        <f aca="false">IF(N(AN280)=0,"",AN280*AT280*IF(ISNUMBER(AJ280),AJ280,CC_DefCirc))</f>
        <v/>
      </c>
      <c r="AP280" s="27" t="n">
        <f aca="false">IF(ISNUMBER(T280),T280*INDEX(LenF,MATCH($T$7,LenU,0)),IF(ISNUMBER(W280),W280*INDEX(LenF,MATCH($W$7,LenU,0))/CC_PitchRatio,0))</f>
        <v>0</v>
      </c>
      <c r="AQ280" s="27" t="n">
        <f aca="false">IF(ISNUMBER(N280),PI()/4*(N280*INDEX(LenF,MATCH($N$7,LenU,0)))^2,IF(AND(ISNUMBER(S280),ISNUMBER(W280),X280&lt;&gt;""),S280*(W280*INDEX(LenF,MATCH($W$7,LenU,0)))^2*INDEX(LayoutF,MATCH(X280,LayoutU,0)),0))</f>
        <v>0</v>
      </c>
      <c r="AR280" s="27" t="n">
        <f aca="false">IF(ISNUMBER(O280),O280*INDEX(LenF,MATCH($O$7,LenU,0)),IF(ISNUMBER(V280),V280*INDEX(LenF,MATCH($V$7,LenU,0)),0))</f>
        <v>0</v>
      </c>
      <c r="AS280" s="27" t="str">
        <f aca="false">IF(ISNUMBER(L280),L280*INDEX(LenF,MATCH($L$7,LenU,0))*1000,IF(OR(J280="",K280=""),"",IFERROR(IF(INDEX(PipeWT,MATCH(J280,NPSU,0),MATCH(K280,SchU,0))="","Sch n/a",INDEX(PipeOD,MATCH(J280,NPSU,0))-2*INDEX(PipeWT,MATCH(J280,NPSU,0),MATCH(K280,SchU,0))),"")))</f>
        <v/>
      </c>
      <c r="AT280" s="27" t="n">
        <f aca="false">IF(ISNUMBER(AI280),AI280,IFERROR(INDEX(IF(CC_JobType="Decontamination",CC_TypeFillDC,CC_TypeFillCC),MATCH(E280,CC_TypeL,0)),1))</f>
        <v>1</v>
      </c>
      <c r="AU280" s="27" t="n">
        <v>9</v>
      </c>
    </row>
    <row r="281" customFormat="false" ht="15" hidden="false" customHeight="false" outlineLevel="0" collapsed="false">
      <c r="A281" s="36" t="n">
        <v>8</v>
      </c>
      <c r="B281" s="40"/>
      <c r="C281" s="32"/>
      <c r="D281" s="32"/>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1" t="str">
        <f aca="false">IF(E281="Exchanger",IF(AND(ISNUMBER(S281),ISNUMBER(U281),ISNUMBER(V281)),S281*PI()/4*(U281*INDEX(LenF,MATCH($U$7,LenU,0)))^2*V281*INDEX(LenF,MATCH($V$7,LenU,0)),0)+IF(ISNUMBER(Y281),PI()/4*(Y281*INDEX(LenF,MATCH($Y$7,LenU,0)))^2*N(Z281)*INDEX(LenF,MATCH($Z$7,LenU,0))+IF(AA281="",0,IF(AA281="Conical",PI()/12*(Y281*INDEX(LenF,MATCH($Y$7,LenU,0)))^2*(0),INDEX(HeadK,MATCH(AA281,HeadU,0))*(Y281*INDEX(LenF,MATCH($Y$7,LenU,0)))^3)),0)+IF(ISNUMBER(Y281),PI()/4*(Y281*INDEX(LenF,MATCH($Y$7,LenU,0)))^2*N(AB281)*INDEX(LenF,MATCH($AB$7,LenU,0))+IF(AC281="",0,IF(AC281="Conical",PI()/12*(Y281*INDEX(LenF,MATCH($Y$7,LenU,0)))^2*(0),INDEX(HeadK,MATCH(AC281,HeadU,0))*(Y281*INDEX(LenF,MATCH($Y$7,LenU,0)))^3)),0),"")</f>
        <v/>
      </c>
      <c r="AE281" s="41" t="str">
        <f aca="false">IF(OR(E281="",E281="Piping"),"",IF(E281="Exchanger",AQ281*AR281+IF(P281="",0,IF(P281="Conical",PI()/12*(SQRT(4*AQ281/PI()))^2*(0),INDEX(HeadK,MATCH(P281,HeadU,0))*(SQRT(4*AQ281/PI()))^3))-IF(AND(ISNUMBER(S281),ISNUMBER(V281)),S281*PI()/4*AP281^2*V281*INDEX(LenF,MATCH($V$7,LenU,0)),0),IF(ISNUMBER(N281),PI()/4*(N281*INDEX(LenF,MATCH($N$7,LenU,0)))^2*N(O281)*INDEX(LenF,MATCH($O$7,LenU,0))+IF(P281="",0,IF(P281="Conical",PI()/12*(N281*INDEX(LenF,MATCH($N$7,LenU,0)))^2*(N(R281)*INDEX(LenF,MATCH($R$7,LenU,0))),INDEX(HeadK,MATCH(P281,HeadU,0))*(N281*INDEX(LenF,MATCH($N$7,LenU,0)))^3))+IF(Q281="",0,IF(Q281="Conical",PI()/12*(N281*INDEX(LenF,MATCH($N$7,LenU,0)))^2*(N(R281)*INDEX(LenF,MATCH($R$7,LenU,0))),INDEX(HeadK,MATCH(Q281,HeadU,0))*(N281*INDEX(LenF,MATCH($N$7,LenU,0)))^3)),0)))</f>
        <v/>
      </c>
      <c r="AF281" s="41" t="str">
        <f aca="false">IF(E281&lt;&gt;"Piping","",IF(AND(ISNUMBER(AS281),ISNUMBER(M281)),PI()/4*(AS281/1000)^2*M281*INDEX(LenF,MATCH($M$7,LenU,0)),0))</f>
        <v/>
      </c>
      <c r="AG281" s="41" t="str">
        <f aca="false">IF(E281="","",N(AD281)+N(AE281)+N(AF281))</f>
        <v/>
      </c>
      <c r="AH281" s="41" t="str">
        <f aca="false">IF(ISNUMBER(I281),I281*INDEX(WtF,MATCH($I$7,WtU,0))/CC_WaterRho,"")</f>
        <v/>
      </c>
      <c r="AI281" s="31"/>
      <c r="AJ281" s="31"/>
      <c r="AK281" s="40"/>
      <c r="AL281" s="31"/>
      <c r="AM281" s="41" t="str">
        <f aca="false">IF(AO281="","",AO281*IF(ISNUMBER(AK281),AK281,CC_DefFills)*(1+IF(ISNUMBER(AL281),AL281,CC_DefAllow)))</f>
        <v/>
      </c>
      <c r="AN281" s="42" t="str">
        <f aca="false">IF(G281="Given volume",IF(ISNUMBER(H281),H281*INDEX(VolF,MATCH($H$7,VolU,0)),""),IF(G281="Water weight",AH281,IF(N(AG281)=0,"",AG281)))</f>
        <v/>
      </c>
      <c r="AO281" s="42" t="str">
        <f aca="false">IF(N(AN281)=0,"",AN281*AT281*IF(ISNUMBER(AJ281),AJ281,CC_DefCirc))</f>
        <v/>
      </c>
      <c r="AP281" s="27" t="n">
        <f aca="false">IF(ISNUMBER(T281),T281*INDEX(LenF,MATCH($T$7,LenU,0)),IF(ISNUMBER(W281),W281*INDEX(LenF,MATCH($W$7,LenU,0))/CC_PitchRatio,0))</f>
        <v>0</v>
      </c>
      <c r="AQ281" s="27" t="n">
        <f aca="false">IF(ISNUMBER(N281),PI()/4*(N281*INDEX(LenF,MATCH($N$7,LenU,0)))^2,IF(AND(ISNUMBER(S281),ISNUMBER(W281),X281&lt;&gt;""),S281*(W281*INDEX(LenF,MATCH($W$7,LenU,0)))^2*INDEX(LayoutF,MATCH(X281,LayoutU,0)),0))</f>
        <v>0</v>
      </c>
      <c r="AR281" s="27" t="n">
        <f aca="false">IF(ISNUMBER(O281),O281*INDEX(LenF,MATCH($O$7,LenU,0)),IF(ISNUMBER(V281),V281*INDEX(LenF,MATCH($V$7,LenU,0)),0))</f>
        <v>0</v>
      </c>
      <c r="AS281" s="27" t="str">
        <f aca="false">IF(ISNUMBER(L281),L281*INDEX(LenF,MATCH($L$7,LenU,0))*1000,IF(OR(J281="",K281=""),"",IFERROR(IF(INDEX(PipeWT,MATCH(J281,NPSU,0),MATCH(K281,SchU,0))="","Sch n/a",INDEX(PipeOD,MATCH(J281,NPSU,0))-2*INDEX(PipeWT,MATCH(J281,NPSU,0),MATCH(K281,SchU,0))),"")))</f>
        <v/>
      </c>
      <c r="AT281" s="27" t="n">
        <f aca="false">IF(ISNUMBER(AI281),AI281,IFERROR(INDEX(IF(CC_JobType="Decontamination",CC_TypeFillDC,CC_TypeFillCC),MATCH(E281,CC_TypeL,0)),1))</f>
        <v>1</v>
      </c>
      <c r="AU281" s="27" t="n">
        <v>9</v>
      </c>
    </row>
    <row r="282" customFormat="false" ht="15" hidden="false" customHeight="false" outlineLevel="0" collapsed="false">
      <c r="A282" s="36" t="n">
        <v>9</v>
      </c>
      <c r="B282" s="40"/>
      <c r="C282" s="32"/>
      <c r="D282" s="32"/>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1" t="str">
        <f aca="false">IF(E282="Exchanger",IF(AND(ISNUMBER(S282),ISNUMBER(U282),ISNUMBER(V282)),S282*PI()/4*(U282*INDEX(LenF,MATCH($U$7,LenU,0)))^2*V282*INDEX(LenF,MATCH($V$7,LenU,0)),0)+IF(ISNUMBER(Y282),PI()/4*(Y282*INDEX(LenF,MATCH($Y$7,LenU,0)))^2*N(Z282)*INDEX(LenF,MATCH($Z$7,LenU,0))+IF(AA282="",0,IF(AA282="Conical",PI()/12*(Y282*INDEX(LenF,MATCH($Y$7,LenU,0)))^2*(0),INDEX(HeadK,MATCH(AA282,HeadU,0))*(Y282*INDEX(LenF,MATCH($Y$7,LenU,0)))^3)),0)+IF(ISNUMBER(Y282),PI()/4*(Y282*INDEX(LenF,MATCH($Y$7,LenU,0)))^2*N(AB282)*INDEX(LenF,MATCH($AB$7,LenU,0))+IF(AC282="",0,IF(AC282="Conical",PI()/12*(Y282*INDEX(LenF,MATCH($Y$7,LenU,0)))^2*(0),INDEX(HeadK,MATCH(AC282,HeadU,0))*(Y282*INDEX(LenF,MATCH($Y$7,LenU,0)))^3)),0),"")</f>
        <v/>
      </c>
      <c r="AE282" s="41" t="str">
        <f aca="false">IF(OR(E282="",E282="Piping"),"",IF(E282="Exchanger",AQ282*AR282+IF(P282="",0,IF(P282="Conical",PI()/12*(SQRT(4*AQ282/PI()))^2*(0),INDEX(HeadK,MATCH(P282,HeadU,0))*(SQRT(4*AQ282/PI()))^3))-IF(AND(ISNUMBER(S282),ISNUMBER(V282)),S282*PI()/4*AP282^2*V282*INDEX(LenF,MATCH($V$7,LenU,0)),0),IF(ISNUMBER(N282),PI()/4*(N282*INDEX(LenF,MATCH($N$7,LenU,0)))^2*N(O282)*INDEX(LenF,MATCH($O$7,LenU,0))+IF(P282="",0,IF(P282="Conical",PI()/12*(N282*INDEX(LenF,MATCH($N$7,LenU,0)))^2*(N(R282)*INDEX(LenF,MATCH($R$7,LenU,0))),INDEX(HeadK,MATCH(P282,HeadU,0))*(N282*INDEX(LenF,MATCH($N$7,LenU,0)))^3))+IF(Q282="",0,IF(Q282="Conical",PI()/12*(N282*INDEX(LenF,MATCH($N$7,LenU,0)))^2*(N(R282)*INDEX(LenF,MATCH($R$7,LenU,0))),INDEX(HeadK,MATCH(Q282,HeadU,0))*(N282*INDEX(LenF,MATCH($N$7,LenU,0)))^3)),0)))</f>
        <v/>
      </c>
      <c r="AF282" s="41" t="str">
        <f aca="false">IF(E282&lt;&gt;"Piping","",IF(AND(ISNUMBER(AS282),ISNUMBER(M282)),PI()/4*(AS282/1000)^2*M282*INDEX(LenF,MATCH($M$7,LenU,0)),0))</f>
        <v/>
      </c>
      <c r="AG282" s="41" t="str">
        <f aca="false">IF(E282="","",N(AD282)+N(AE282)+N(AF282))</f>
        <v/>
      </c>
      <c r="AH282" s="41" t="str">
        <f aca="false">IF(ISNUMBER(I282),I282*INDEX(WtF,MATCH($I$7,WtU,0))/CC_WaterRho,"")</f>
        <v/>
      </c>
      <c r="AI282" s="31"/>
      <c r="AJ282" s="31"/>
      <c r="AK282" s="40"/>
      <c r="AL282" s="31"/>
      <c r="AM282" s="41" t="str">
        <f aca="false">IF(AO282="","",AO282*IF(ISNUMBER(AK282),AK282,CC_DefFills)*(1+IF(ISNUMBER(AL282),AL282,CC_DefAllow)))</f>
        <v/>
      </c>
      <c r="AN282" s="42" t="str">
        <f aca="false">IF(G282="Given volume",IF(ISNUMBER(H282),H282*INDEX(VolF,MATCH($H$7,VolU,0)),""),IF(G282="Water weight",AH282,IF(N(AG282)=0,"",AG282)))</f>
        <v/>
      </c>
      <c r="AO282" s="42" t="str">
        <f aca="false">IF(N(AN282)=0,"",AN282*AT282*IF(ISNUMBER(AJ282),AJ282,CC_DefCirc))</f>
        <v/>
      </c>
      <c r="AP282" s="27" t="n">
        <f aca="false">IF(ISNUMBER(T282),T282*INDEX(LenF,MATCH($T$7,LenU,0)),IF(ISNUMBER(W282),W282*INDEX(LenF,MATCH($W$7,LenU,0))/CC_PitchRatio,0))</f>
        <v>0</v>
      </c>
      <c r="AQ282" s="27" t="n">
        <f aca="false">IF(ISNUMBER(N282),PI()/4*(N282*INDEX(LenF,MATCH($N$7,LenU,0)))^2,IF(AND(ISNUMBER(S282),ISNUMBER(W282),X282&lt;&gt;""),S282*(W282*INDEX(LenF,MATCH($W$7,LenU,0)))^2*INDEX(LayoutF,MATCH(X282,LayoutU,0)),0))</f>
        <v>0</v>
      </c>
      <c r="AR282" s="27" t="n">
        <f aca="false">IF(ISNUMBER(O282),O282*INDEX(LenF,MATCH($O$7,LenU,0)),IF(ISNUMBER(V282),V282*INDEX(LenF,MATCH($V$7,LenU,0)),0))</f>
        <v>0</v>
      </c>
      <c r="AS282" s="27" t="str">
        <f aca="false">IF(ISNUMBER(L282),L282*INDEX(LenF,MATCH($L$7,LenU,0))*1000,IF(OR(J282="",K282=""),"",IFERROR(IF(INDEX(PipeWT,MATCH(J282,NPSU,0),MATCH(K282,SchU,0))="","Sch n/a",INDEX(PipeOD,MATCH(J282,NPSU,0))-2*INDEX(PipeWT,MATCH(J282,NPSU,0),MATCH(K282,SchU,0))),"")))</f>
        <v/>
      </c>
      <c r="AT282" s="27" t="n">
        <f aca="false">IF(ISNUMBER(AI282),AI282,IFERROR(INDEX(IF(CC_JobType="Decontamination",CC_TypeFillDC,CC_TypeFillCC),MATCH(E282,CC_TypeL,0)),1))</f>
        <v>1</v>
      </c>
      <c r="AU282" s="27" t="n">
        <v>9</v>
      </c>
    </row>
    <row r="283" customFormat="false" ht="15" hidden="false" customHeight="false" outlineLevel="0" collapsed="false">
      <c r="A283" s="36" t="n">
        <v>10</v>
      </c>
      <c r="B283" s="40"/>
      <c r="C283" s="32"/>
      <c r="D283" s="32"/>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1" t="str">
        <f aca="false">IF(E283="Exchanger",IF(AND(ISNUMBER(S283),ISNUMBER(U283),ISNUMBER(V283)),S283*PI()/4*(U283*INDEX(LenF,MATCH($U$7,LenU,0)))^2*V283*INDEX(LenF,MATCH($V$7,LenU,0)),0)+IF(ISNUMBER(Y283),PI()/4*(Y283*INDEX(LenF,MATCH($Y$7,LenU,0)))^2*N(Z283)*INDEX(LenF,MATCH($Z$7,LenU,0))+IF(AA283="",0,IF(AA283="Conical",PI()/12*(Y283*INDEX(LenF,MATCH($Y$7,LenU,0)))^2*(0),INDEX(HeadK,MATCH(AA283,HeadU,0))*(Y283*INDEX(LenF,MATCH($Y$7,LenU,0)))^3)),0)+IF(ISNUMBER(Y283),PI()/4*(Y283*INDEX(LenF,MATCH($Y$7,LenU,0)))^2*N(AB283)*INDEX(LenF,MATCH($AB$7,LenU,0))+IF(AC283="",0,IF(AC283="Conical",PI()/12*(Y283*INDEX(LenF,MATCH($Y$7,LenU,0)))^2*(0),INDEX(HeadK,MATCH(AC283,HeadU,0))*(Y283*INDEX(LenF,MATCH($Y$7,LenU,0)))^3)),0),"")</f>
        <v/>
      </c>
      <c r="AE283" s="41" t="str">
        <f aca="false">IF(OR(E283="",E283="Piping"),"",IF(E283="Exchanger",AQ283*AR283+IF(P283="",0,IF(P283="Conical",PI()/12*(SQRT(4*AQ283/PI()))^2*(0),INDEX(HeadK,MATCH(P283,HeadU,0))*(SQRT(4*AQ283/PI()))^3))-IF(AND(ISNUMBER(S283),ISNUMBER(V283)),S283*PI()/4*AP283^2*V283*INDEX(LenF,MATCH($V$7,LenU,0)),0),IF(ISNUMBER(N283),PI()/4*(N283*INDEX(LenF,MATCH($N$7,LenU,0)))^2*N(O283)*INDEX(LenF,MATCH($O$7,LenU,0))+IF(P283="",0,IF(P283="Conical",PI()/12*(N283*INDEX(LenF,MATCH($N$7,LenU,0)))^2*(N(R283)*INDEX(LenF,MATCH($R$7,LenU,0))),INDEX(HeadK,MATCH(P283,HeadU,0))*(N283*INDEX(LenF,MATCH($N$7,LenU,0)))^3))+IF(Q283="",0,IF(Q283="Conical",PI()/12*(N283*INDEX(LenF,MATCH($N$7,LenU,0)))^2*(N(R283)*INDEX(LenF,MATCH($R$7,LenU,0))),INDEX(HeadK,MATCH(Q283,HeadU,0))*(N283*INDEX(LenF,MATCH($N$7,LenU,0)))^3)),0)))</f>
        <v/>
      </c>
      <c r="AF283" s="41" t="str">
        <f aca="false">IF(E283&lt;&gt;"Piping","",IF(AND(ISNUMBER(AS283),ISNUMBER(M283)),PI()/4*(AS283/1000)^2*M283*INDEX(LenF,MATCH($M$7,LenU,0)),0))</f>
        <v/>
      </c>
      <c r="AG283" s="41" t="str">
        <f aca="false">IF(E283="","",N(AD283)+N(AE283)+N(AF283))</f>
        <v/>
      </c>
      <c r="AH283" s="41" t="str">
        <f aca="false">IF(ISNUMBER(I283),I283*INDEX(WtF,MATCH($I$7,WtU,0))/CC_WaterRho,"")</f>
        <v/>
      </c>
      <c r="AI283" s="31"/>
      <c r="AJ283" s="31"/>
      <c r="AK283" s="40"/>
      <c r="AL283" s="31"/>
      <c r="AM283" s="41" t="str">
        <f aca="false">IF(AO283="","",AO283*IF(ISNUMBER(AK283),AK283,CC_DefFills)*(1+IF(ISNUMBER(AL283),AL283,CC_DefAllow)))</f>
        <v/>
      </c>
      <c r="AN283" s="42" t="str">
        <f aca="false">IF(G283="Given volume",IF(ISNUMBER(H283),H283*INDEX(VolF,MATCH($H$7,VolU,0)),""),IF(G283="Water weight",AH283,IF(N(AG283)=0,"",AG283)))</f>
        <v/>
      </c>
      <c r="AO283" s="42" t="str">
        <f aca="false">IF(N(AN283)=0,"",AN283*AT283*IF(ISNUMBER(AJ283),AJ283,CC_DefCirc))</f>
        <v/>
      </c>
      <c r="AP283" s="27" t="n">
        <f aca="false">IF(ISNUMBER(T283),T283*INDEX(LenF,MATCH($T$7,LenU,0)),IF(ISNUMBER(W283),W283*INDEX(LenF,MATCH($W$7,LenU,0))/CC_PitchRatio,0))</f>
        <v>0</v>
      </c>
      <c r="AQ283" s="27" t="n">
        <f aca="false">IF(ISNUMBER(N283),PI()/4*(N283*INDEX(LenF,MATCH($N$7,LenU,0)))^2,IF(AND(ISNUMBER(S283),ISNUMBER(W283),X283&lt;&gt;""),S283*(W283*INDEX(LenF,MATCH($W$7,LenU,0)))^2*INDEX(LayoutF,MATCH(X283,LayoutU,0)),0))</f>
        <v>0</v>
      </c>
      <c r="AR283" s="27" t="n">
        <f aca="false">IF(ISNUMBER(O283),O283*INDEX(LenF,MATCH($O$7,LenU,0)),IF(ISNUMBER(V283),V283*INDEX(LenF,MATCH($V$7,LenU,0)),0))</f>
        <v>0</v>
      </c>
      <c r="AS283" s="27" t="str">
        <f aca="false">IF(ISNUMBER(L283),L283*INDEX(LenF,MATCH($L$7,LenU,0))*1000,IF(OR(J283="",K283=""),"",IFERROR(IF(INDEX(PipeWT,MATCH(J283,NPSU,0),MATCH(K283,SchU,0))="","Sch n/a",INDEX(PipeOD,MATCH(J283,NPSU,0))-2*INDEX(PipeWT,MATCH(J283,NPSU,0),MATCH(K283,SchU,0))),"")))</f>
        <v/>
      </c>
      <c r="AT283" s="27" t="n">
        <f aca="false">IF(ISNUMBER(AI283),AI283,IFERROR(INDEX(IF(CC_JobType="Decontamination",CC_TypeFillDC,CC_TypeFillCC),MATCH(E283,CC_TypeL,0)),1))</f>
        <v>1</v>
      </c>
      <c r="AU283" s="27" t="n">
        <v>9</v>
      </c>
    </row>
    <row r="284" customFormat="false" ht="15" hidden="false" customHeight="false" outlineLevel="0" collapsed="false">
      <c r="A284" s="36" t="n">
        <v>11</v>
      </c>
      <c r="B284" s="40"/>
      <c r="C284" s="32"/>
      <c r="D284" s="32"/>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1" t="str">
        <f aca="false">IF(E284="Exchanger",IF(AND(ISNUMBER(S284),ISNUMBER(U284),ISNUMBER(V284)),S284*PI()/4*(U284*INDEX(LenF,MATCH($U$7,LenU,0)))^2*V284*INDEX(LenF,MATCH($V$7,LenU,0)),0)+IF(ISNUMBER(Y284),PI()/4*(Y284*INDEX(LenF,MATCH($Y$7,LenU,0)))^2*N(Z284)*INDEX(LenF,MATCH($Z$7,LenU,0))+IF(AA284="",0,IF(AA284="Conical",PI()/12*(Y284*INDEX(LenF,MATCH($Y$7,LenU,0)))^2*(0),INDEX(HeadK,MATCH(AA284,HeadU,0))*(Y284*INDEX(LenF,MATCH($Y$7,LenU,0)))^3)),0)+IF(ISNUMBER(Y284),PI()/4*(Y284*INDEX(LenF,MATCH($Y$7,LenU,0)))^2*N(AB284)*INDEX(LenF,MATCH($AB$7,LenU,0))+IF(AC284="",0,IF(AC284="Conical",PI()/12*(Y284*INDEX(LenF,MATCH($Y$7,LenU,0)))^2*(0),INDEX(HeadK,MATCH(AC284,HeadU,0))*(Y284*INDEX(LenF,MATCH($Y$7,LenU,0)))^3)),0),"")</f>
        <v/>
      </c>
      <c r="AE284" s="41" t="str">
        <f aca="false">IF(OR(E284="",E284="Piping"),"",IF(E284="Exchanger",AQ284*AR284+IF(P284="",0,IF(P284="Conical",PI()/12*(SQRT(4*AQ284/PI()))^2*(0),INDEX(HeadK,MATCH(P284,HeadU,0))*(SQRT(4*AQ284/PI()))^3))-IF(AND(ISNUMBER(S284),ISNUMBER(V284)),S284*PI()/4*AP284^2*V284*INDEX(LenF,MATCH($V$7,LenU,0)),0),IF(ISNUMBER(N284),PI()/4*(N284*INDEX(LenF,MATCH($N$7,LenU,0)))^2*N(O284)*INDEX(LenF,MATCH($O$7,LenU,0))+IF(P284="",0,IF(P284="Conical",PI()/12*(N284*INDEX(LenF,MATCH($N$7,LenU,0)))^2*(N(R284)*INDEX(LenF,MATCH($R$7,LenU,0))),INDEX(HeadK,MATCH(P284,HeadU,0))*(N284*INDEX(LenF,MATCH($N$7,LenU,0)))^3))+IF(Q284="",0,IF(Q284="Conical",PI()/12*(N284*INDEX(LenF,MATCH($N$7,LenU,0)))^2*(N(R284)*INDEX(LenF,MATCH($R$7,LenU,0))),INDEX(HeadK,MATCH(Q284,HeadU,0))*(N284*INDEX(LenF,MATCH($N$7,LenU,0)))^3)),0)))</f>
        <v/>
      </c>
      <c r="AF284" s="41" t="str">
        <f aca="false">IF(E284&lt;&gt;"Piping","",IF(AND(ISNUMBER(AS284),ISNUMBER(M284)),PI()/4*(AS284/1000)^2*M284*INDEX(LenF,MATCH($M$7,LenU,0)),0))</f>
        <v/>
      </c>
      <c r="AG284" s="41" t="str">
        <f aca="false">IF(E284="","",N(AD284)+N(AE284)+N(AF284))</f>
        <v/>
      </c>
      <c r="AH284" s="41" t="str">
        <f aca="false">IF(ISNUMBER(I284),I284*INDEX(WtF,MATCH($I$7,WtU,0))/CC_WaterRho,"")</f>
        <v/>
      </c>
      <c r="AI284" s="31"/>
      <c r="AJ284" s="31"/>
      <c r="AK284" s="40"/>
      <c r="AL284" s="31"/>
      <c r="AM284" s="41" t="str">
        <f aca="false">IF(AO284="","",AO284*IF(ISNUMBER(AK284),AK284,CC_DefFills)*(1+IF(ISNUMBER(AL284),AL284,CC_DefAllow)))</f>
        <v/>
      </c>
      <c r="AN284" s="42" t="str">
        <f aca="false">IF(G284="Given volume",IF(ISNUMBER(H284),H284*INDEX(VolF,MATCH($H$7,VolU,0)),""),IF(G284="Water weight",AH284,IF(N(AG284)=0,"",AG284)))</f>
        <v/>
      </c>
      <c r="AO284" s="42" t="str">
        <f aca="false">IF(N(AN284)=0,"",AN284*AT284*IF(ISNUMBER(AJ284),AJ284,CC_DefCirc))</f>
        <v/>
      </c>
      <c r="AP284" s="27" t="n">
        <f aca="false">IF(ISNUMBER(T284),T284*INDEX(LenF,MATCH($T$7,LenU,0)),IF(ISNUMBER(W284),W284*INDEX(LenF,MATCH($W$7,LenU,0))/CC_PitchRatio,0))</f>
        <v>0</v>
      </c>
      <c r="AQ284" s="27" t="n">
        <f aca="false">IF(ISNUMBER(N284),PI()/4*(N284*INDEX(LenF,MATCH($N$7,LenU,0)))^2,IF(AND(ISNUMBER(S284),ISNUMBER(W284),X284&lt;&gt;""),S284*(W284*INDEX(LenF,MATCH($W$7,LenU,0)))^2*INDEX(LayoutF,MATCH(X284,LayoutU,0)),0))</f>
        <v>0</v>
      </c>
      <c r="AR284" s="27" t="n">
        <f aca="false">IF(ISNUMBER(O284),O284*INDEX(LenF,MATCH($O$7,LenU,0)),IF(ISNUMBER(V284),V284*INDEX(LenF,MATCH($V$7,LenU,0)),0))</f>
        <v>0</v>
      </c>
      <c r="AS284" s="27" t="str">
        <f aca="false">IF(ISNUMBER(L284),L284*INDEX(LenF,MATCH($L$7,LenU,0))*1000,IF(OR(J284="",K284=""),"",IFERROR(IF(INDEX(PipeWT,MATCH(J284,NPSU,0),MATCH(K284,SchU,0))="","Sch n/a",INDEX(PipeOD,MATCH(J284,NPSU,0))-2*INDEX(PipeWT,MATCH(J284,NPSU,0),MATCH(K284,SchU,0))),"")))</f>
        <v/>
      </c>
      <c r="AT284" s="27" t="n">
        <f aca="false">IF(ISNUMBER(AI284),AI284,IFERROR(INDEX(IF(CC_JobType="Decontamination",CC_TypeFillDC,CC_TypeFillCC),MATCH(E284,CC_TypeL,0)),1))</f>
        <v>1</v>
      </c>
      <c r="AU284" s="27" t="n">
        <v>9</v>
      </c>
    </row>
    <row r="285" customFormat="false" ht="15" hidden="false" customHeight="false" outlineLevel="0" collapsed="false">
      <c r="A285" s="36" t="n">
        <v>12</v>
      </c>
      <c r="B285" s="40"/>
      <c r="C285" s="32"/>
      <c r="D285" s="32"/>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1" t="str">
        <f aca="false">IF(E285="Exchanger",IF(AND(ISNUMBER(S285),ISNUMBER(U285),ISNUMBER(V285)),S285*PI()/4*(U285*INDEX(LenF,MATCH($U$7,LenU,0)))^2*V285*INDEX(LenF,MATCH($V$7,LenU,0)),0)+IF(ISNUMBER(Y285),PI()/4*(Y285*INDEX(LenF,MATCH($Y$7,LenU,0)))^2*N(Z285)*INDEX(LenF,MATCH($Z$7,LenU,0))+IF(AA285="",0,IF(AA285="Conical",PI()/12*(Y285*INDEX(LenF,MATCH($Y$7,LenU,0)))^2*(0),INDEX(HeadK,MATCH(AA285,HeadU,0))*(Y285*INDEX(LenF,MATCH($Y$7,LenU,0)))^3)),0)+IF(ISNUMBER(Y285),PI()/4*(Y285*INDEX(LenF,MATCH($Y$7,LenU,0)))^2*N(AB285)*INDEX(LenF,MATCH($AB$7,LenU,0))+IF(AC285="",0,IF(AC285="Conical",PI()/12*(Y285*INDEX(LenF,MATCH($Y$7,LenU,0)))^2*(0),INDEX(HeadK,MATCH(AC285,HeadU,0))*(Y285*INDEX(LenF,MATCH($Y$7,LenU,0)))^3)),0),"")</f>
        <v/>
      </c>
      <c r="AE285" s="41" t="str">
        <f aca="false">IF(OR(E285="",E285="Piping"),"",IF(E285="Exchanger",AQ285*AR285+IF(P285="",0,IF(P285="Conical",PI()/12*(SQRT(4*AQ285/PI()))^2*(0),INDEX(HeadK,MATCH(P285,HeadU,0))*(SQRT(4*AQ285/PI()))^3))-IF(AND(ISNUMBER(S285),ISNUMBER(V285)),S285*PI()/4*AP285^2*V285*INDEX(LenF,MATCH($V$7,LenU,0)),0),IF(ISNUMBER(N285),PI()/4*(N285*INDEX(LenF,MATCH($N$7,LenU,0)))^2*N(O285)*INDEX(LenF,MATCH($O$7,LenU,0))+IF(P285="",0,IF(P285="Conical",PI()/12*(N285*INDEX(LenF,MATCH($N$7,LenU,0)))^2*(N(R285)*INDEX(LenF,MATCH($R$7,LenU,0))),INDEX(HeadK,MATCH(P285,HeadU,0))*(N285*INDEX(LenF,MATCH($N$7,LenU,0)))^3))+IF(Q285="",0,IF(Q285="Conical",PI()/12*(N285*INDEX(LenF,MATCH($N$7,LenU,0)))^2*(N(R285)*INDEX(LenF,MATCH($R$7,LenU,0))),INDEX(HeadK,MATCH(Q285,HeadU,0))*(N285*INDEX(LenF,MATCH($N$7,LenU,0)))^3)),0)))</f>
        <v/>
      </c>
      <c r="AF285" s="41" t="str">
        <f aca="false">IF(E285&lt;&gt;"Piping","",IF(AND(ISNUMBER(AS285),ISNUMBER(M285)),PI()/4*(AS285/1000)^2*M285*INDEX(LenF,MATCH($M$7,LenU,0)),0))</f>
        <v/>
      </c>
      <c r="AG285" s="41" t="str">
        <f aca="false">IF(E285="","",N(AD285)+N(AE285)+N(AF285))</f>
        <v/>
      </c>
      <c r="AH285" s="41" t="str">
        <f aca="false">IF(ISNUMBER(I285),I285*INDEX(WtF,MATCH($I$7,WtU,0))/CC_WaterRho,"")</f>
        <v/>
      </c>
      <c r="AI285" s="31"/>
      <c r="AJ285" s="31"/>
      <c r="AK285" s="40"/>
      <c r="AL285" s="31"/>
      <c r="AM285" s="41" t="str">
        <f aca="false">IF(AO285="","",AO285*IF(ISNUMBER(AK285),AK285,CC_DefFills)*(1+IF(ISNUMBER(AL285),AL285,CC_DefAllow)))</f>
        <v/>
      </c>
      <c r="AN285" s="42" t="str">
        <f aca="false">IF(G285="Given volume",IF(ISNUMBER(H285),H285*INDEX(VolF,MATCH($H$7,VolU,0)),""),IF(G285="Water weight",AH285,IF(N(AG285)=0,"",AG285)))</f>
        <v/>
      </c>
      <c r="AO285" s="42" t="str">
        <f aca="false">IF(N(AN285)=0,"",AN285*AT285*IF(ISNUMBER(AJ285),AJ285,CC_DefCirc))</f>
        <v/>
      </c>
      <c r="AP285" s="27" t="n">
        <f aca="false">IF(ISNUMBER(T285),T285*INDEX(LenF,MATCH($T$7,LenU,0)),IF(ISNUMBER(W285),W285*INDEX(LenF,MATCH($W$7,LenU,0))/CC_PitchRatio,0))</f>
        <v>0</v>
      </c>
      <c r="AQ285" s="27" t="n">
        <f aca="false">IF(ISNUMBER(N285),PI()/4*(N285*INDEX(LenF,MATCH($N$7,LenU,0)))^2,IF(AND(ISNUMBER(S285),ISNUMBER(W285),X285&lt;&gt;""),S285*(W285*INDEX(LenF,MATCH($W$7,LenU,0)))^2*INDEX(LayoutF,MATCH(X285,LayoutU,0)),0))</f>
        <v>0</v>
      </c>
      <c r="AR285" s="27" t="n">
        <f aca="false">IF(ISNUMBER(O285),O285*INDEX(LenF,MATCH($O$7,LenU,0)),IF(ISNUMBER(V285),V285*INDEX(LenF,MATCH($V$7,LenU,0)),0))</f>
        <v>0</v>
      </c>
      <c r="AS285" s="27" t="str">
        <f aca="false">IF(ISNUMBER(L285),L285*INDEX(LenF,MATCH($L$7,LenU,0))*1000,IF(OR(J285="",K285=""),"",IFERROR(IF(INDEX(PipeWT,MATCH(J285,NPSU,0),MATCH(K285,SchU,0))="","Sch n/a",INDEX(PipeOD,MATCH(J285,NPSU,0))-2*INDEX(PipeWT,MATCH(J285,NPSU,0),MATCH(K285,SchU,0))),"")))</f>
        <v/>
      </c>
      <c r="AT285" s="27" t="n">
        <f aca="false">IF(ISNUMBER(AI285),AI285,IFERROR(INDEX(IF(CC_JobType="Decontamination",CC_TypeFillDC,CC_TypeFillCC),MATCH(E285,CC_TypeL,0)),1))</f>
        <v>1</v>
      </c>
      <c r="AU285" s="27" t="n">
        <v>9</v>
      </c>
    </row>
    <row r="286" customFormat="false" ht="15" hidden="false" customHeight="false" outlineLevel="0" collapsed="false">
      <c r="A286" s="36" t="n">
        <v>13</v>
      </c>
      <c r="B286" s="40"/>
      <c r="C286" s="32"/>
      <c r="D286" s="32"/>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1" t="str">
        <f aca="false">IF(E286="Exchanger",IF(AND(ISNUMBER(S286),ISNUMBER(U286),ISNUMBER(V286)),S286*PI()/4*(U286*INDEX(LenF,MATCH($U$7,LenU,0)))^2*V286*INDEX(LenF,MATCH($V$7,LenU,0)),0)+IF(ISNUMBER(Y286),PI()/4*(Y286*INDEX(LenF,MATCH($Y$7,LenU,0)))^2*N(Z286)*INDEX(LenF,MATCH($Z$7,LenU,0))+IF(AA286="",0,IF(AA286="Conical",PI()/12*(Y286*INDEX(LenF,MATCH($Y$7,LenU,0)))^2*(0),INDEX(HeadK,MATCH(AA286,HeadU,0))*(Y286*INDEX(LenF,MATCH($Y$7,LenU,0)))^3)),0)+IF(ISNUMBER(Y286),PI()/4*(Y286*INDEX(LenF,MATCH($Y$7,LenU,0)))^2*N(AB286)*INDEX(LenF,MATCH($AB$7,LenU,0))+IF(AC286="",0,IF(AC286="Conical",PI()/12*(Y286*INDEX(LenF,MATCH($Y$7,LenU,0)))^2*(0),INDEX(HeadK,MATCH(AC286,HeadU,0))*(Y286*INDEX(LenF,MATCH($Y$7,LenU,0)))^3)),0),"")</f>
        <v/>
      </c>
      <c r="AE286" s="41" t="str">
        <f aca="false">IF(OR(E286="",E286="Piping"),"",IF(E286="Exchanger",AQ286*AR286+IF(P286="",0,IF(P286="Conical",PI()/12*(SQRT(4*AQ286/PI()))^2*(0),INDEX(HeadK,MATCH(P286,HeadU,0))*(SQRT(4*AQ286/PI()))^3))-IF(AND(ISNUMBER(S286),ISNUMBER(V286)),S286*PI()/4*AP286^2*V286*INDEX(LenF,MATCH($V$7,LenU,0)),0),IF(ISNUMBER(N286),PI()/4*(N286*INDEX(LenF,MATCH($N$7,LenU,0)))^2*N(O286)*INDEX(LenF,MATCH($O$7,LenU,0))+IF(P286="",0,IF(P286="Conical",PI()/12*(N286*INDEX(LenF,MATCH($N$7,LenU,0)))^2*(N(R286)*INDEX(LenF,MATCH($R$7,LenU,0))),INDEX(HeadK,MATCH(P286,HeadU,0))*(N286*INDEX(LenF,MATCH($N$7,LenU,0)))^3))+IF(Q286="",0,IF(Q286="Conical",PI()/12*(N286*INDEX(LenF,MATCH($N$7,LenU,0)))^2*(N(R286)*INDEX(LenF,MATCH($R$7,LenU,0))),INDEX(HeadK,MATCH(Q286,HeadU,0))*(N286*INDEX(LenF,MATCH($N$7,LenU,0)))^3)),0)))</f>
        <v/>
      </c>
      <c r="AF286" s="41" t="str">
        <f aca="false">IF(E286&lt;&gt;"Piping","",IF(AND(ISNUMBER(AS286),ISNUMBER(M286)),PI()/4*(AS286/1000)^2*M286*INDEX(LenF,MATCH($M$7,LenU,0)),0))</f>
        <v/>
      </c>
      <c r="AG286" s="41" t="str">
        <f aca="false">IF(E286="","",N(AD286)+N(AE286)+N(AF286))</f>
        <v/>
      </c>
      <c r="AH286" s="41" t="str">
        <f aca="false">IF(ISNUMBER(I286),I286*INDEX(WtF,MATCH($I$7,WtU,0))/CC_WaterRho,"")</f>
        <v/>
      </c>
      <c r="AI286" s="31"/>
      <c r="AJ286" s="31"/>
      <c r="AK286" s="40"/>
      <c r="AL286" s="31"/>
      <c r="AM286" s="41" t="str">
        <f aca="false">IF(AO286="","",AO286*IF(ISNUMBER(AK286),AK286,CC_DefFills)*(1+IF(ISNUMBER(AL286),AL286,CC_DefAllow)))</f>
        <v/>
      </c>
      <c r="AN286" s="42" t="str">
        <f aca="false">IF(G286="Given volume",IF(ISNUMBER(H286),H286*INDEX(VolF,MATCH($H$7,VolU,0)),""),IF(G286="Water weight",AH286,IF(N(AG286)=0,"",AG286)))</f>
        <v/>
      </c>
      <c r="AO286" s="42" t="str">
        <f aca="false">IF(N(AN286)=0,"",AN286*AT286*IF(ISNUMBER(AJ286),AJ286,CC_DefCirc))</f>
        <v/>
      </c>
      <c r="AP286" s="27" t="n">
        <f aca="false">IF(ISNUMBER(T286),T286*INDEX(LenF,MATCH($T$7,LenU,0)),IF(ISNUMBER(W286),W286*INDEX(LenF,MATCH($W$7,LenU,0))/CC_PitchRatio,0))</f>
        <v>0</v>
      </c>
      <c r="AQ286" s="27" t="n">
        <f aca="false">IF(ISNUMBER(N286),PI()/4*(N286*INDEX(LenF,MATCH($N$7,LenU,0)))^2,IF(AND(ISNUMBER(S286),ISNUMBER(W286),X286&lt;&gt;""),S286*(W286*INDEX(LenF,MATCH($W$7,LenU,0)))^2*INDEX(LayoutF,MATCH(X286,LayoutU,0)),0))</f>
        <v>0</v>
      </c>
      <c r="AR286" s="27" t="n">
        <f aca="false">IF(ISNUMBER(O286),O286*INDEX(LenF,MATCH($O$7,LenU,0)),IF(ISNUMBER(V286),V286*INDEX(LenF,MATCH($V$7,LenU,0)),0))</f>
        <v>0</v>
      </c>
      <c r="AS286" s="27" t="str">
        <f aca="false">IF(ISNUMBER(L286),L286*INDEX(LenF,MATCH($L$7,LenU,0))*1000,IF(OR(J286="",K286=""),"",IFERROR(IF(INDEX(PipeWT,MATCH(J286,NPSU,0),MATCH(K286,SchU,0))="","Sch n/a",INDEX(PipeOD,MATCH(J286,NPSU,0))-2*INDEX(PipeWT,MATCH(J286,NPSU,0),MATCH(K286,SchU,0))),"")))</f>
        <v/>
      </c>
      <c r="AT286" s="27" t="n">
        <f aca="false">IF(ISNUMBER(AI286),AI286,IFERROR(INDEX(IF(CC_JobType="Decontamination",CC_TypeFillDC,CC_TypeFillCC),MATCH(E286,CC_TypeL,0)),1))</f>
        <v>1</v>
      </c>
      <c r="AU286" s="27" t="n">
        <v>9</v>
      </c>
    </row>
    <row r="287" customFormat="false" ht="15" hidden="false" customHeight="false" outlineLevel="0" collapsed="false">
      <c r="A287" s="36" t="n">
        <v>14</v>
      </c>
      <c r="B287" s="40"/>
      <c r="C287" s="32"/>
      <c r="D287" s="32"/>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1" t="str">
        <f aca="false">IF(E287="Exchanger",IF(AND(ISNUMBER(S287),ISNUMBER(U287),ISNUMBER(V287)),S287*PI()/4*(U287*INDEX(LenF,MATCH($U$7,LenU,0)))^2*V287*INDEX(LenF,MATCH($V$7,LenU,0)),0)+IF(ISNUMBER(Y287),PI()/4*(Y287*INDEX(LenF,MATCH($Y$7,LenU,0)))^2*N(Z287)*INDEX(LenF,MATCH($Z$7,LenU,0))+IF(AA287="",0,IF(AA287="Conical",PI()/12*(Y287*INDEX(LenF,MATCH($Y$7,LenU,0)))^2*(0),INDEX(HeadK,MATCH(AA287,HeadU,0))*(Y287*INDEX(LenF,MATCH($Y$7,LenU,0)))^3)),0)+IF(ISNUMBER(Y287),PI()/4*(Y287*INDEX(LenF,MATCH($Y$7,LenU,0)))^2*N(AB287)*INDEX(LenF,MATCH($AB$7,LenU,0))+IF(AC287="",0,IF(AC287="Conical",PI()/12*(Y287*INDEX(LenF,MATCH($Y$7,LenU,0)))^2*(0),INDEX(HeadK,MATCH(AC287,HeadU,0))*(Y287*INDEX(LenF,MATCH($Y$7,LenU,0)))^3)),0),"")</f>
        <v/>
      </c>
      <c r="AE287" s="41" t="str">
        <f aca="false">IF(OR(E287="",E287="Piping"),"",IF(E287="Exchanger",AQ287*AR287+IF(P287="",0,IF(P287="Conical",PI()/12*(SQRT(4*AQ287/PI()))^2*(0),INDEX(HeadK,MATCH(P287,HeadU,0))*(SQRT(4*AQ287/PI()))^3))-IF(AND(ISNUMBER(S287),ISNUMBER(V287)),S287*PI()/4*AP287^2*V287*INDEX(LenF,MATCH($V$7,LenU,0)),0),IF(ISNUMBER(N287),PI()/4*(N287*INDEX(LenF,MATCH($N$7,LenU,0)))^2*N(O287)*INDEX(LenF,MATCH($O$7,LenU,0))+IF(P287="",0,IF(P287="Conical",PI()/12*(N287*INDEX(LenF,MATCH($N$7,LenU,0)))^2*(N(R287)*INDEX(LenF,MATCH($R$7,LenU,0))),INDEX(HeadK,MATCH(P287,HeadU,0))*(N287*INDEX(LenF,MATCH($N$7,LenU,0)))^3))+IF(Q287="",0,IF(Q287="Conical",PI()/12*(N287*INDEX(LenF,MATCH($N$7,LenU,0)))^2*(N(R287)*INDEX(LenF,MATCH($R$7,LenU,0))),INDEX(HeadK,MATCH(Q287,HeadU,0))*(N287*INDEX(LenF,MATCH($N$7,LenU,0)))^3)),0)))</f>
        <v/>
      </c>
      <c r="AF287" s="41" t="str">
        <f aca="false">IF(E287&lt;&gt;"Piping","",IF(AND(ISNUMBER(AS287),ISNUMBER(M287)),PI()/4*(AS287/1000)^2*M287*INDEX(LenF,MATCH($M$7,LenU,0)),0))</f>
        <v/>
      </c>
      <c r="AG287" s="41" t="str">
        <f aca="false">IF(E287="","",N(AD287)+N(AE287)+N(AF287))</f>
        <v/>
      </c>
      <c r="AH287" s="41" t="str">
        <f aca="false">IF(ISNUMBER(I287),I287*INDEX(WtF,MATCH($I$7,WtU,0))/CC_WaterRho,"")</f>
        <v/>
      </c>
      <c r="AI287" s="31"/>
      <c r="AJ287" s="31"/>
      <c r="AK287" s="40"/>
      <c r="AL287" s="31"/>
      <c r="AM287" s="41" t="str">
        <f aca="false">IF(AO287="","",AO287*IF(ISNUMBER(AK287),AK287,CC_DefFills)*(1+IF(ISNUMBER(AL287),AL287,CC_DefAllow)))</f>
        <v/>
      </c>
      <c r="AN287" s="42" t="str">
        <f aca="false">IF(G287="Given volume",IF(ISNUMBER(H287),H287*INDEX(VolF,MATCH($H$7,VolU,0)),""),IF(G287="Water weight",AH287,IF(N(AG287)=0,"",AG287)))</f>
        <v/>
      </c>
      <c r="AO287" s="42" t="str">
        <f aca="false">IF(N(AN287)=0,"",AN287*AT287*IF(ISNUMBER(AJ287),AJ287,CC_DefCirc))</f>
        <v/>
      </c>
      <c r="AP287" s="27" t="n">
        <f aca="false">IF(ISNUMBER(T287),T287*INDEX(LenF,MATCH($T$7,LenU,0)),IF(ISNUMBER(W287),W287*INDEX(LenF,MATCH($W$7,LenU,0))/CC_PitchRatio,0))</f>
        <v>0</v>
      </c>
      <c r="AQ287" s="27" t="n">
        <f aca="false">IF(ISNUMBER(N287),PI()/4*(N287*INDEX(LenF,MATCH($N$7,LenU,0)))^2,IF(AND(ISNUMBER(S287),ISNUMBER(W287),X287&lt;&gt;""),S287*(W287*INDEX(LenF,MATCH($W$7,LenU,0)))^2*INDEX(LayoutF,MATCH(X287,LayoutU,0)),0))</f>
        <v>0</v>
      </c>
      <c r="AR287" s="27" t="n">
        <f aca="false">IF(ISNUMBER(O287),O287*INDEX(LenF,MATCH($O$7,LenU,0)),IF(ISNUMBER(V287),V287*INDEX(LenF,MATCH($V$7,LenU,0)),0))</f>
        <v>0</v>
      </c>
      <c r="AS287" s="27" t="str">
        <f aca="false">IF(ISNUMBER(L287),L287*INDEX(LenF,MATCH($L$7,LenU,0))*1000,IF(OR(J287="",K287=""),"",IFERROR(IF(INDEX(PipeWT,MATCH(J287,NPSU,0),MATCH(K287,SchU,0))="","Sch n/a",INDEX(PipeOD,MATCH(J287,NPSU,0))-2*INDEX(PipeWT,MATCH(J287,NPSU,0),MATCH(K287,SchU,0))),"")))</f>
        <v/>
      </c>
      <c r="AT287" s="27" t="n">
        <f aca="false">IF(ISNUMBER(AI287),AI287,IFERROR(INDEX(IF(CC_JobType="Decontamination",CC_TypeFillDC,CC_TypeFillCC),MATCH(E287,CC_TypeL,0)),1))</f>
        <v>1</v>
      </c>
      <c r="AU287" s="27" t="n">
        <v>9</v>
      </c>
    </row>
    <row r="288" customFormat="false" ht="15" hidden="false" customHeight="false" outlineLevel="0" collapsed="false">
      <c r="A288" s="36" t="n">
        <v>15</v>
      </c>
      <c r="B288" s="40"/>
      <c r="C288" s="32"/>
      <c r="D288" s="32"/>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1" t="str">
        <f aca="false">IF(E288="Exchanger",IF(AND(ISNUMBER(S288),ISNUMBER(U288),ISNUMBER(V288)),S288*PI()/4*(U288*INDEX(LenF,MATCH($U$7,LenU,0)))^2*V288*INDEX(LenF,MATCH($V$7,LenU,0)),0)+IF(ISNUMBER(Y288),PI()/4*(Y288*INDEX(LenF,MATCH($Y$7,LenU,0)))^2*N(Z288)*INDEX(LenF,MATCH($Z$7,LenU,0))+IF(AA288="",0,IF(AA288="Conical",PI()/12*(Y288*INDEX(LenF,MATCH($Y$7,LenU,0)))^2*(0),INDEX(HeadK,MATCH(AA288,HeadU,0))*(Y288*INDEX(LenF,MATCH($Y$7,LenU,0)))^3)),0)+IF(ISNUMBER(Y288),PI()/4*(Y288*INDEX(LenF,MATCH($Y$7,LenU,0)))^2*N(AB288)*INDEX(LenF,MATCH($AB$7,LenU,0))+IF(AC288="",0,IF(AC288="Conical",PI()/12*(Y288*INDEX(LenF,MATCH($Y$7,LenU,0)))^2*(0),INDEX(HeadK,MATCH(AC288,HeadU,0))*(Y288*INDEX(LenF,MATCH($Y$7,LenU,0)))^3)),0),"")</f>
        <v/>
      </c>
      <c r="AE288" s="41" t="str">
        <f aca="false">IF(OR(E288="",E288="Piping"),"",IF(E288="Exchanger",AQ288*AR288+IF(P288="",0,IF(P288="Conical",PI()/12*(SQRT(4*AQ288/PI()))^2*(0),INDEX(HeadK,MATCH(P288,HeadU,0))*(SQRT(4*AQ288/PI()))^3))-IF(AND(ISNUMBER(S288),ISNUMBER(V288)),S288*PI()/4*AP288^2*V288*INDEX(LenF,MATCH($V$7,LenU,0)),0),IF(ISNUMBER(N288),PI()/4*(N288*INDEX(LenF,MATCH($N$7,LenU,0)))^2*N(O288)*INDEX(LenF,MATCH($O$7,LenU,0))+IF(P288="",0,IF(P288="Conical",PI()/12*(N288*INDEX(LenF,MATCH($N$7,LenU,0)))^2*(N(R288)*INDEX(LenF,MATCH($R$7,LenU,0))),INDEX(HeadK,MATCH(P288,HeadU,0))*(N288*INDEX(LenF,MATCH($N$7,LenU,0)))^3))+IF(Q288="",0,IF(Q288="Conical",PI()/12*(N288*INDEX(LenF,MATCH($N$7,LenU,0)))^2*(N(R288)*INDEX(LenF,MATCH($R$7,LenU,0))),INDEX(HeadK,MATCH(Q288,HeadU,0))*(N288*INDEX(LenF,MATCH($N$7,LenU,0)))^3)),0)))</f>
        <v/>
      </c>
      <c r="AF288" s="41" t="str">
        <f aca="false">IF(E288&lt;&gt;"Piping","",IF(AND(ISNUMBER(AS288),ISNUMBER(M288)),PI()/4*(AS288/1000)^2*M288*INDEX(LenF,MATCH($M$7,LenU,0)),0))</f>
        <v/>
      </c>
      <c r="AG288" s="41" t="str">
        <f aca="false">IF(E288="","",N(AD288)+N(AE288)+N(AF288))</f>
        <v/>
      </c>
      <c r="AH288" s="41" t="str">
        <f aca="false">IF(ISNUMBER(I288),I288*INDEX(WtF,MATCH($I$7,WtU,0))/CC_WaterRho,"")</f>
        <v/>
      </c>
      <c r="AI288" s="31"/>
      <c r="AJ288" s="31"/>
      <c r="AK288" s="40"/>
      <c r="AL288" s="31"/>
      <c r="AM288" s="41" t="str">
        <f aca="false">IF(AO288="","",AO288*IF(ISNUMBER(AK288),AK288,CC_DefFills)*(1+IF(ISNUMBER(AL288),AL288,CC_DefAllow)))</f>
        <v/>
      </c>
      <c r="AN288" s="42" t="str">
        <f aca="false">IF(G288="Given volume",IF(ISNUMBER(H288),H288*INDEX(VolF,MATCH($H$7,VolU,0)),""),IF(G288="Water weight",AH288,IF(N(AG288)=0,"",AG288)))</f>
        <v/>
      </c>
      <c r="AO288" s="42" t="str">
        <f aca="false">IF(N(AN288)=0,"",AN288*AT288*IF(ISNUMBER(AJ288),AJ288,CC_DefCirc))</f>
        <v/>
      </c>
      <c r="AP288" s="27" t="n">
        <f aca="false">IF(ISNUMBER(T288),T288*INDEX(LenF,MATCH($T$7,LenU,0)),IF(ISNUMBER(W288),W288*INDEX(LenF,MATCH($W$7,LenU,0))/CC_PitchRatio,0))</f>
        <v>0</v>
      </c>
      <c r="AQ288" s="27" t="n">
        <f aca="false">IF(ISNUMBER(N288),PI()/4*(N288*INDEX(LenF,MATCH($N$7,LenU,0)))^2,IF(AND(ISNUMBER(S288),ISNUMBER(W288),X288&lt;&gt;""),S288*(W288*INDEX(LenF,MATCH($W$7,LenU,0)))^2*INDEX(LayoutF,MATCH(X288,LayoutU,0)),0))</f>
        <v>0</v>
      </c>
      <c r="AR288" s="27" t="n">
        <f aca="false">IF(ISNUMBER(O288),O288*INDEX(LenF,MATCH($O$7,LenU,0)),IF(ISNUMBER(V288),V288*INDEX(LenF,MATCH($V$7,LenU,0)),0))</f>
        <v>0</v>
      </c>
      <c r="AS288" s="27" t="str">
        <f aca="false">IF(ISNUMBER(L288),L288*INDEX(LenF,MATCH($L$7,LenU,0))*1000,IF(OR(J288="",K288=""),"",IFERROR(IF(INDEX(PipeWT,MATCH(J288,NPSU,0),MATCH(K288,SchU,0))="","Sch n/a",INDEX(PipeOD,MATCH(J288,NPSU,0))-2*INDEX(PipeWT,MATCH(J288,NPSU,0),MATCH(K288,SchU,0))),"")))</f>
        <v/>
      </c>
      <c r="AT288" s="27" t="n">
        <f aca="false">IF(ISNUMBER(AI288),AI288,IFERROR(INDEX(IF(CC_JobType="Decontamination",CC_TypeFillDC,CC_TypeFillCC),MATCH(E288,CC_TypeL,0)),1))</f>
        <v>1</v>
      </c>
      <c r="AU288" s="27" t="n">
        <v>9</v>
      </c>
    </row>
    <row r="289" customFormat="false" ht="15" hidden="false" customHeight="false" outlineLevel="0" collapsed="false">
      <c r="A289" s="36" t="n">
        <v>16</v>
      </c>
      <c r="B289" s="40"/>
      <c r="C289" s="32"/>
      <c r="D289" s="32"/>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1" t="str">
        <f aca="false">IF(E289="Exchanger",IF(AND(ISNUMBER(S289),ISNUMBER(U289),ISNUMBER(V289)),S289*PI()/4*(U289*INDEX(LenF,MATCH($U$7,LenU,0)))^2*V289*INDEX(LenF,MATCH($V$7,LenU,0)),0)+IF(ISNUMBER(Y289),PI()/4*(Y289*INDEX(LenF,MATCH($Y$7,LenU,0)))^2*N(Z289)*INDEX(LenF,MATCH($Z$7,LenU,0))+IF(AA289="",0,IF(AA289="Conical",PI()/12*(Y289*INDEX(LenF,MATCH($Y$7,LenU,0)))^2*(0),INDEX(HeadK,MATCH(AA289,HeadU,0))*(Y289*INDEX(LenF,MATCH($Y$7,LenU,0)))^3)),0)+IF(ISNUMBER(Y289),PI()/4*(Y289*INDEX(LenF,MATCH($Y$7,LenU,0)))^2*N(AB289)*INDEX(LenF,MATCH($AB$7,LenU,0))+IF(AC289="",0,IF(AC289="Conical",PI()/12*(Y289*INDEX(LenF,MATCH($Y$7,LenU,0)))^2*(0),INDEX(HeadK,MATCH(AC289,HeadU,0))*(Y289*INDEX(LenF,MATCH($Y$7,LenU,0)))^3)),0),"")</f>
        <v/>
      </c>
      <c r="AE289" s="41" t="str">
        <f aca="false">IF(OR(E289="",E289="Piping"),"",IF(E289="Exchanger",AQ289*AR289+IF(P289="",0,IF(P289="Conical",PI()/12*(SQRT(4*AQ289/PI()))^2*(0),INDEX(HeadK,MATCH(P289,HeadU,0))*(SQRT(4*AQ289/PI()))^3))-IF(AND(ISNUMBER(S289),ISNUMBER(V289)),S289*PI()/4*AP289^2*V289*INDEX(LenF,MATCH($V$7,LenU,0)),0),IF(ISNUMBER(N289),PI()/4*(N289*INDEX(LenF,MATCH($N$7,LenU,0)))^2*N(O289)*INDEX(LenF,MATCH($O$7,LenU,0))+IF(P289="",0,IF(P289="Conical",PI()/12*(N289*INDEX(LenF,MATCH($N$7,LenU,0)))^2*(N(R289)*INDEX(LenF,MATCH($R$7,LenU,0))),INDEX(HeadK,MATCH(P289,HeadU,0))*(N289*INDEX(LenF,MATCH($N$7,LenU,0)))^3))+IF(Q289="",0,IF(Q289="Conical",PI()/12*(N289*INDEX(LenF,MATCH($N$7,LenU,0)))^2*(N(R289)*INDEX(LenF,MATCH($R$7,LenU,0))),INDEX(HeadK,MATCH(Q289,HeadU,0))*(N289*INDEX(LenF,MATCH($N$7,LenU,0)))^3)),0)))</f>
        <v/>
      </c>
      <c r="AF289" s="41" t="str">
        <f aca="false">IF(E289&lt;&gt;"Piping","",IF(AND(ISNUMBER(AS289),ISNUMBER(M289)),PI()/4*(AS289/1000)^2*M289*INDEX(LenF,MATCH($M$7,LenU,0)),0))</f>
        <v/>
      </c>
      <c r="AG289" s="41" t="str">
        <f aca="false">IF(E289="","",N(AD289)+N(AE289)+N(AF289))</f>
        <v/>
      </c>
      <c r="AH289" s="41" t="str">
        <f aca="false">IF(ISNUMBER(I289),I289*INDEX(WtF,MATCH($I$7,WtU,0))/CC_WaterRho,"")</f>
        <v/>
      </c>
      <c r="AI289" s="31"/>
      <c r="AJ289" s="31"/>
      <c r="AK289" s="40"/>
      <c r="AL289" s="31"/>
      <c r="AM289" s="41" t="str">
        <f aca="false">IF(AO289="","",AO289*IF(ISNUMBER(AK289),AK289,CC_DefFills)*(1+IF(ISNUMBER(AL289),AL289,CC_DefAllow)))</f>
        <v/>
      </c>
      <c r="AN289" s="42" t="str">
        <f aca="false">IF(G289="Given volume",IF(ISNUMBER(H289),H289*INDEX(VolF,MATCH($H$7,VolU,0)),""),IF(G289="Water weight",AH289,IF(N(AG289)=0,"",AG289)))</f>
        <v/>
      </c>
      <c r="AO289" s="42" t="str">
        <f aca="false">IF(N(AN289)=0,"",AN289*AT289*IF(ISNUMBER(AJ289),AJ289,CC_DefCirc))</f>
        <v/>
      </c>
      <c r="AP289" s="27" t="n">
        <f aca="false">IF(ISNUMBER(T289),T289*INDEX(LenF,MATCH($T$7,LenU,0)),IF(ISNUMBER(W289),W289*INDEX(LenF,MATCH($W$7,LenU,0))/CC_PitchRatio,0))</f>
        <v>0</v>
      </c>
      <c r="AQ289" s="27" t="n">
        <f aca="false">IF(ISNUMBER(N289),PI()/4*(N289*INDEX(LenF,MATCH($N$7,LenU,0)))^2,IF(AND(ISNUMBER(S289),ISNUMBER(W289),X289&lt;&gt;""),S289*(W289*INDEX(LenF,MATCH($W$7,LenU,0)))^2*INDEX(LayoutF,MATCH(X289,LayoutU,0)),0))</f>
        <v>0</v>
      </c>
      <c r="AR289" s="27" t="n">
        <f aca="false">IF(ISNUMBER(O289),O289*INDEX(LenF,MATCH($O$7,LenU,0)),IF(ISNUMBER(V289),V289*INDEX(LenF,MATCH($V$7,LenU,0)),0))</f>
        <v>0</v>
      </c>
      <c r="AS289" s="27" t="str">
        <f aca="false">IF(ISNUMBER(L289),L289*INDEX(LenF,MATCH($L$7,LenU,0))*1000,IF(OR(J289="",K289=""),"",IFERROR(IF(INDEX(PipeWT,MATCH(J289,NPSU,0),MATCH(K289,SchU,0))="","Sch n/a",INDEX(PipeOD,MATCH(J289,NPSU,0))-2*INDEX(PipeWT,MATCH(J289,NPSU,0),MATCH(K289,SchU,0))),"")))</f>
        <v/>
      </c>
      <c r="AT289" s="27" t="n">
        <f aca="false">IF(ISNUMBER(AI289),AI289,IFERROR(INDEX(IF(CC_JobType="Decontamination",CC_TypeFillDC,CC_TypeFillCC),MATCH(E289,CC_TypeL,0)),1))</f>
        <v>1</v>
      </c>
      <c r="AU289" s="27" t="n">
        <v>9</v>
      </c>
    </row>
    <row r="290" customFormat="false" ht="15" hidden="false" customHeight="false" outlineLevel="0" collapsed="false">
      <c r="A290" s="36" t="n">
        <v>17</v>
      </c>
      <c r="B290" s="40"/>
      <c r="C290" s="32"/>
      <c r="D290" s="32"/>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1" t="str">
        <f aca="false">IF(E290="Exchanger",IF(AND(ISNUMBER(S290),ISNUMBER(U290),ISNUMBER(V290)),S290*PI()/4*(U290*INDEX(LenF,MATCH($U$7,LenU,0)))^2*V290*INDEX(LenF,MATCH($V$7,LenU,0)),0)+IF(ISNUMBER(Y290),PI()/4*(Y290*INDEX(LenF,MATCH($Y$7,LenU,0)))^2*N(Z290)*INDEX(LenF,MATCH($Z$7,LenU,0))+IF(AA290="",0,IF(AA290="Conical",PI()/12*(Y290*INDEX(LenF,MATCH($Y$7,LenU,0)))^2*(0),INDEX(HeadK,MATCH(AA290,HeadU,0))*(Y290*INDEX(LenF,MATCH($Y$7,LenU,0)))^3)),0)+IF(ISNUMBER(Y290),PI()/4*(Y290*INDEX(LenF,MATCH($Y$7,LenU,0)))^2*N(AB290)*INDEX(LenF,MATCH($AB$7,LenU,0))+IF(AC290="",0,IF(AC290="Conical",PI()/12*(Y290*INDEX(LenF,MATCH($Y$7,LenU,0)))^2*(0),INDEX(HeadK,MATCH(AC290,HeadU,0))*(Y290*INDEX(LenF,MATCH($Y$7,LenU,0)))^3)),0),"")</f>
        <v/>
      </c>
      <c r="AE290" s="41" t="str">
        <f aca="false">IF(OR(E290="",E290="Piping"),"",IF(E290="Exchanger",AQ290*AR290+IF(P290="",0,IF(P290="Conical",PI()/12*(SQRT(4*AQ290/PI()))^2*(0),INDEX(HeadK,MATCH(P290,HeadU,0))*(SQRT(4*AQ290/PI()))^3))-IF(AND(ISNUMBER(S290),ISNUMBER(V290)),S290*PI()/4*AP290^2*V290*INDEX(LenF,MATCH($V$7,LenU,0)),0),IF(ISNUMBER(N290),PI()/4*(N290*INDEX(LenF,MATCH($N$7,LenU,0)))^2*N(O290)*INDEX(LenF,MATCH($O$7,LenU,0))+IF(P290="",0,IF(P290="Conical",PI()/12*(N290*INDEX(LenF,MATCH($N$7,LenU,0)))^2*(N(R290)*INDEX(LenF,MATCH($R$7,LenU,0))),INDEX(HeadK,MATCH(P290,HeadU,0))*(N290*INDEX(LenF,MATCH($N$7,LenU,0)))^3))+IF(Q290="",0,IF(Q290="Conical",PI()/12*(N290*INDEX(LenF,MATCH($N$7,LenU,0)))^2*(N(R290)*INDEX(LenF,MATCH($R$7,LenU,0))),INDEX(HeadK,MATCH(Q290,HeadU,0))*(N290*INDEX(LenF,MATCH($N$7,LenU,0)))^3)),0)))</f>
        <v/>
      </c>
      <c r="AF290" s="41" t="str">
        <f aca="false">IF(E290&lt;&gt;"Piping","",IF(AND(ISNUMBER(AS290),ISNUMBER(M290)),PI()/4*(AS290/1000)^2*M290*INDEX(LenF,MATCH($M$7,LenU,0)),0))</f>
        <v/>
      </c>
      <c r="AG290" s="41" t="str">
        <f aca="false">IF(E290="","",N(AD290)+N(AE290)+N(AF290))</f>
        <v/>
      </c>
      <c r="AH290" s="41" t="str">
        <f aca="false">IF(ISNUMBER(I290),I290*INDEX(WtF,MATCH($I$7,WtU,0))/CC_WaterRho,"")</f>
        <v/>
      </c>
      <c r="AI290" s="31"/>
      <c r="AJ290" s="31"/>
      <c r="AK290" s="40"/>
      <c r="AL290" s="31"/>
      <c r="AM290" s="41" t="str">
        <f aca="false">IF(AO290="","",AO290*IF(ISNUMBER(AK290),AK290,CC_DefFills)*(1+IF(ISNUMBER(AL290),AL290,CC_DefAllow)))</f>
        <v/>
      </c>
      <c r="AN290" s="42" t="str">
        <f aca="false">IF(G290="Given volume",IF(ISNUMBER(H290),H290*INDEX(VolF,MATCH($H$7,VolU,0)),""),IF(G290="Water weight",AH290,IF(N(AG290)=0,"",AG290)))</f>
        <v/>
      </c>
      <c r="AO290" s="42" t="str">
        <f aca="false">IF(N(AN290)=0,"",AN290*AT290*IF(ISNUMBER(AJ290),AJ290,CC_DefCirc))</f>
        <v/>
      </c>
      <c r="AP290" s="27" t="n">
        <f aca="false">IF(ISNUMBER(T290),T290*INDEX(LenF,MATCH($T$7,LenU,0)),IF(ISNUMBER(W290),W290*INDEX(LenF,MATCH($W$7,LenU,0))/CC_PitchRatio,0))</f>
        <v>0</v>
      </c>
      <c r="AQ290" s="27" t="n">
        <f aca="false">IF(ISNUMBER(N290),PI()/4*(N290*INDEX(LenF,MATCH($N$7,LenU,0)))^2,IF(AND(ISNUMBER(S290),ISNUMBER(W290),X290&lt;&gt;""),S290*(W290*INDEX(LenF,MATCH($W$7,LenU,0)))^2*INDEX(LayoutF,MATCH(X290,LayoutU,0)),0))</f>
        <v>0</v>
      </c>
      <c r="AR290" s="27" t="n">
        <f aca="false">IF(ISNUMBER(O290),O290*INDEX(LenF,MATCH($O$7,LenU,0)),IF(ISNUMBER(V290),V290*INDEX(LenF,MATCH($V$7,LenU,0)),0))</f>
        <v>0</v>
      </c>
      <c r="AS290" s="27" t="str">
        <f aca="false">IF(ISNUMBER(L290),L290*INDEX(LenF,MATCH($L$7,LenU,0))*1000,IF(OR(J290="",K290=""),"",IFERROR(IF(INDEX(PipeWT,MATCH(J290,NPSU,0),MATCH(K290,SchU,0))="","Sch n/a",INDEX(PipeOD,MATCH(J290,NPSU,0))-2*INDEX(PipeWT,MATCH(J290,NPSU,0),MATCH(K290,SchU,0))),"")))</f>
        <v/>
      </c>
      <c r="AT290" s="27" t="n">
        <f aca="false">IF(ISNUMBER(AI290),AI290,IFERROR(INDEX(IF(CC_JobType="Decontamination",CC_TypeFillDC,CC_TypeFillCC),MATCH(E290,CC_TypeL,0)),1))</f>
        <v>1</v>
      </c>
      <c r="AU290" s="27" t="n">
        <v>9</v>
      </c>
    </row>
    <row r="291" customFormat="false" ht="15" hidden="false" customHeight="false" outlineLevel="0" collapsed="false">
      <c r="A291" s="36" t="n">
        <v>18</v>
      </c>
      <c r="B291" s="40"/>
      <c r="C291" s="32"/>
      <c r="D291" s="32"/>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1" t="str">
        <f aca="false">IF(E291="Exchanger",IF(AND(ISNUMBER(S291),ISNUMBER(U291),ISNUMBER(V291)),S291*PI()/4*(U291*INDEX(LenF,MATCH($U$7,LenU,0)))^2*V291*INDEX(LenF,MATCH($V$7,LenU,0)),0)+IF(ISNUMBER(Y291),PI()/4*(Y291*INDEX(LenF,MATCH($Y$7,LenU,0)))^2*N(Z291)*INDEX(LenF,MATCH($Z$7,LenU,0))+IF(AA291="",0,IF(AA291="Conical",PI()/12*(Y291*INDEX(LenF,MATCH($Y$7,LenU,0)))^2*(0),INDEX(HeadK,MATCH(AA291,HeadU,0))*(Y291*INDEX(LenF,MATCH($Y$7,LenU,0)))^3)),0)+IF(ISNUMBER(Y291),PI()/4*(Y291*INDEX(LenF,MATCH($Y$7,LenU,0)))^2*N(AB291)*INDEX(LenF,MATCH($AB$7,LenU,0))+IF(AC291="",0,IF(AC291="Conical",PI()/12*(Y291*INDEX(LenF,MATCH($Y$7,LenU,0)))^2*(0),INDEX(HeadK,MATCH(AC291,HeadU,0))*(Y291*INDEX(LenF,MATCH($Y$7,LenU,0)))^3)),0),"")</f>
        <v/>
      </c>
      <c r="AE291" s="41" t="str">
        <f aca="false">IF(OR(E291="",E291="Piping"),"",IF(E291="Exchanger",AQ291*AR291+IF(P291="",0,IF(P291="Conical",PI()/12*(SQRT(4*AQ291/PI()))^2*(0),INDEX(HeadK,MATCH(P291,HeadU,0))*(SQRT(4*AQ291/PI()))^3))-IF(AND(ISNUMBER(S291),ISNUMBER(V291)),S291*PI()/4*AP291^2*V291*INDEX(LenF,MATCH($V$7,LenU,0)),0),IF(ISNUMBER(N291),PI()/4*(N291*INDEX(LenF,MATCH($N$7,LenU,0)))^2*N(O291)*INDEX(LenF,MATCH($O$7,LenU,0))+IF(P291="",0,IF(P291="Conical",PI()/12*(N291*INDEX(LenF,MATCH($N$7,LenU,0)))^2*(N(R291)*INDEX(LenF,MATCH($R$7,LenU,0))),INDEX(HeadK,MATCH(P291,HeadU,0))*(N291*INDEX(LenF,MATCH($N$7,LenU,0)))^3))+IF(Q291="",0,IF(Q291="Conical",PI()/12*(N291*INDEX(LenF,MATCH($N$7,LenU,0)))^2*(N(R291)*INDEX(LenF,MATCH($R$7,LenU,0))),INDEX(HeadK,MATCH(Q291,HeadU,0))*(N291*INDEX(LenF,MATCH($N$7,LenU,0)))^3)),0)))</f>
        <v/>
      </c>
      <c r="AF291" s="41" t="str">
        <f aca="false">IF(E291&lt;&gt;"Piping","",IF(AND(ISNUMBER(AS291),ISNUMBER(M291)),PI()/4*(AS291/1000)^2*M291*INDEX(LenF,MATCH($M$7,LenU,0)),0))</f>
        <v/>
      </c>
      <c r="AG291" s="41" t="str">
        <f aca="false">IF(E291="","",N(AD291)+N(AE291)+N(AF291))</f>
        <v/>
      </c>
      <c r="AH291" s="41" t="str">
        <f aca="false">IF(ISNUMBER(I291),I291*INDEX(WtF,MATCH($I$7,WtU,0))/CC_WaterRho,"")</f>
        <v/>
      </c>
      <c r="AI291" s="31"/>
      <c r="AJ291" s="31"/>
      <c r="AK291" s="40"/>
      <c r="AL291" s="31"/>
      <c r="AM291" s="41" t="str">
        <f aca="false">IF(AO291="","",AO291*IF(ISNUMBER(AK291),AK291,CC_DefFills)*(1+IF(ISNUMBER(AL291),AL291,CC_DefAllow)))</f>
        <v/>
      </c>
      <c r="AN291" s="42" t="str">
        <f aca="false">IF(G291="Given volume",IF(ISNUMBER(H291),H291*INDEX(VolF,MATCH($H$7,VolU,0)),""),IF(G291="Water weight",AH291,IF(N(AG291)=0,"",AG291)))</f>
        <v/>
      </c>
      <c r="AO291" s="42" t="str">
        <f aca="false">IF(N(AN291)=0,"",AN291*AT291*IF(ISNUMBER(AJ291),AJ291,CC_DefCirc))</f>
        <v/>
      </c>
      <c r="AP291" s="27" t="n">
        <f aca="false">IF(ISNUMBER(T291),T291*INDEX(LenF,MATCH($T$7,LenU,0)),IF(ISNUMBER(W291),W291*INDEX(LenF,MATCH($W$7,LenU,0))/CC_PitchRatio,0))</f>
        <v>0</v>
      </c>
      <c r="AQ291" s="27" t="n">
        <f aca="false">IF(ISNUMBER(N291),PI()/4*(N291*INDEX(LenF,MATCH($N$7,LenU,0)))^2,IF(AND(ISNUMBER(S291),ISNUMBER(W291),X291&lt;&gt;""),S291*(W291*INDEX(LenF,MATCH($W$7,LenU,0)))^2*INDEX(LayoutF,MATCH(X291,LayoutU,0)),0))</f>
        <v>0</v>
      </c>
      <c r="AR291" s="27" t="n">
        <f aca="false">IF(ISNUMBER(O291),O291*INDEX(LenF,MATCH($O$7,LenU,0)),IF(ISNUMBER(V291),V291*INDEX(LenF,MATCH($V$7,LenU,0)),0))</f>
        <v>0</v>
      </c>
      <c r="AS291" s="27" t="str">
        <f aca="false">IF(ISNUMBER(L291),L291*INDEX(LenF,MATCH($L$7,LenU,0))*1000,IF(OR(J291="",K291=""),"",IFERROR(IF(INDEX(PipeWT,MATCH(J291,NPSU,0),MATCH(K291,SchU,0))="","Sch n/a",INDEX(PipeOD,MATCH(J291,NPSU,0))-2*INDEX(PipeWT,MATCH(J291,NPSU,0),MATCH(K291,SchU,0))),"")))</f>
        <v/>
      </c>
      <c r="AT291" s="27" t="n">
        <f aca="false">IF(ISNUMBER(AI291),AI291,IFERROR(INDEX(IF(CC_JobType="Decontamination",CC_TypeFillDC,CC_TypeFillCC),MATCH(E291,CC_TypeL,0)),1))</f>
        <v>1</v>
      </c>
      <c r="AU291" s="27" t="n">
        <v>9</v>
      </c>
    </row>
    <row r="292" customFormat="false" ht="15" hidden="false" customHeight="false" outlineLevel="0" collapsed="false">
      <c r="A292" s="36" t="n">
        <v>19</v>
      </c>
      <c r="B292" s="40"/>
      <c r="C292" s="32"/>
      <c r="D292" s="32"/>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1" t="str">
        <f aca="false">IF(E292="Exchanger",IF(AND(ISNUMBER(S292),ISNUMBER(U292),ISNUMBER(V292)),S292*PI()/4*(U292*INDEX(LenF,MATCH($U$7,LenU,0)))^2*V292*INDEX(LenF,MATCH($V$7,LenU,0)),0)+IF(ISNUMBER(Y292),PI()/4*(Y292*INDEX(LenF,MATCH($Y$7,LenU,0)))^2*N(Z292)*INDEX(LenF,MATCH($Z$7,LenU,0))+IF(AA292="",0,IF(AA292="Conical",PI()/12*(Y292*INDEX(LenF,MATCH($Y$7,LenU,0)))^2*(0),INDEX(HeadK,MATCH(AA292,HeadU,0))*(Y292*INDEX(LenF,MATCH($Y$7,LenU,0)))^3)),0)+IF(ISNUMBER(Y292),PI()/4*(Y292*INDEX(LenF,MATCH($Y$7,LenU,0)))^2*N(AB292)*INDEX(LenF,MATCH($AB$7,LenU,0))+IF(AC292="",0,IF(AC292="Conical",PI()/12*(Y292*INDEX(LenF,MATCH($Y$7,LenU,0)))^2*(0),INDEX(HeadK,MATCH(AC292,HeadU,0))*(Y292*INDEX(LenF,MATCH($Y$7,LenU,0)))^3)),0),"")</f>
        <v/>
      </c>
      <c r="AE292" s="41" t="str">
        <f aca="false">IF(OR(E292="",E292="Piping"),"",IF(E292="Exchanger",AQ292*AR292+IF(P292="",0,IF(P292="Conical",PI()/12*(SQRT(4*AQ292/PI()))^2*(0),INDEX(HeadK,MATCH(P292,HeadU,0))*(SQRT(4*AQ292/PI()))^3))-IF(AND(ISNUMBER(S292),ISNUMBER(V292)),S292*PI()/4*AP292^2*V292*INDEX(LenF,MATCH($V$7,LenU,0)),0),IF(ISNUMBER(N292),PI()/4*(N292*INDEX(LenF,MATCH($N$7,LenU,0)))^2*N(O292)*INDEX(LenF,MATCH($O$7,LenU,0))+IF(P292="",0,IF(P292="Conical",PI()/12*(N292*INDEX(LenF,MATCH($N$7,LenU,0)))^2*(N(R292)*INDEX(LenF,MATCH($R$7,LenU,0))),INDEX(HeadK,MATCH(P292,HeadU,0))*(N292*INDEX(LenF,MATCH($N$7,LenU,0)))^3))+IF(Q292="",0,IF(Q292="Conical",PI()/12*(N292*INDEX(LenF,MATCH($N$7,LenU,0)))^2*(N(R292)*INDEX(LenF,MATCH($R$7,LenU,0))),INDEX(HeadK,MATCH(Q292,HeadU,0))*(N292*INDEX(LenF,MATCH($N$7,LenU,0)))^3)),0)))</f>
        <v/>
      </c>
      <c r="AF292" s="41" t="str">
        <f aca="false">IF(E292&lt;&gt;"Piping","",IF(AND(ISNUMBER(AS292),ISNUMBER(M292)),PI()/4*(AS292/1000)^2*M292*INDEX(LenF,MATCH($M$7,LenU,0)),0))</f>
        <v/>
      </c>
      <c r="AG292" s="41" t="str">
        <f aca="false">IF(E292="","",N(AD292)+N(AE292)+N(AF292))</f>
        <v/>
      </c>
      <c r="AH292" s="41" t="str">
        <f aca="false">IF(ISNUMBER(I292),I292*INDEX(WtF,MATCH($I$7,WtU,0))/CC_WaterRho,"")</f>
        <v/>
      </c>
      <c r="AI292" s="31"/>
      <c r="AJ292" s="31"/>
      <c r="AK292" s="40"/>
      <c r="AL292" s="31"/>
      <c r="AM292" s="41" t="str">
        <f aca="false">IF(AO292="","",AO292*IF(ISNUMBER(AK292),AK292,CC_DefFills)*(1+IF(ISNUMBER(AL292),AL292,CC_DefAllow)))</f>
        <v/>
      </c>
      <c r="AN292" s="42" t="str">
        <f aca="false">IF(G292="Given volume",IF(ISNUMBER(H292),H292*INDEX(VolF,MATCH($H$7,VolU,0)),""),IF(G292="Water weight",AH292,IF(N(AG292)=0,"",AG292)))</f>
        <v/>
      </c>
      <c r="AO292" s="42" t="str">
        <f aca="false">IF(N(AN292)=0,"",AN292*AT292*IF(ISNUMBER(AJ292),AJ292,CC_DefCirc))</f>
        <v/>
      </c>
      <c r="AP292" s="27" t="n">
        <f aca="false">IF(ISNUMBER(T292),T292*INDEX(LenF,MATCH($T$7,LenU,0)),IF(ISNUMBER(W292),W292*INDEX(LenF,MATCH($W$7,LenU,0))/CC_PitchRatio,0))</f>
        <v>0</v>
      </c>
      <c r="AQ292" s="27" t="n">
        <f aca="false">IF(ISNUMBER(N292),PI()/4*(N292*INDEX(LenF,MATCH($N$7,LenU,0)))^2,IF(AND(ISNUMBER(S292),ISNUMBER(W292),X292&lt;&gt;""),S292*(W292*INDEX(LenF,MATCH($W$7,LenU,0)))^2*INDEX(LayoutF,MATCH(X292,LayoutU,0)),0))</f>
        <v>0</v>
      </c>
      <c r="AR292" s="27" t="n">
        <f aca="false">IF(ISNUMBER(O292),O292*INDEX(LenF,MATCH($O$7,LenU,0)),IF(ISNUMBER(V292),V292*INDEX(LenF,MATCH($V$7,LenU,0)),0))</f>
        <v>0</v>
      </c>
      <c r="AS292" s="27" t="str">
        <f aca="false">IF(ISNUMBER(L292),L292*INDEX(LenF,MATCH($L$7,LenU,0))*1000,IF(OR(J292="",K292=""),"",IFERROR(IF(INDEX(PipeWT,MATCH(J292,NPSU,0),MATCH(K292,SchU,0))="","Sch n/a",INDEX(PipeOD,MATCH(J292,NPSU,0))-2*INDEX(PipeWT,MATCH(J292,NPSU,0),MATCH(K292,SchU,0))),"")))</f>
        <v/>
      </c>
      <c r="AT292" s="27" t="n">
        <f aca="false">IF(ISNUMBER(AI292),AI292,IFERROR(INDEX(IF(CC_JobType="Decontamination",CC_TypeFillDC,CC_TypeFillCC),MATCH(E292,CC_TypeL,0)),1))</f>
        <v>1</v>
      </c>
      <c r="AU292" s="27" t="n">
        <v>9</v>
      </c>
    </row>
    <row r="293" customFormat="false" ht="15" hidden="false" customHeight="false" outlineLevel="0" collapsed="false">
      <c r="A293" s="36" t="n">
        <v>20</v>
      </c>
      <c r="B293" s="40"/>
      <c r="C293" s="32"/>
      <c r="D293" s="32"/>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1" t="str">
        <f aca="false">IF(E293="Exchanger",IF(AND(ISNUMBER(S293),ISNUMBER(U293),ISNUMBER(V293)),S293*PI()/4*(U293*INDEX(LenF,MATCH($U$7,LenU,0)))^2*V293*INDEX(LenF,MATCH($V$7,LenU,0)),0)+IF(ISNUMBER(Y293),PI()/4*(Y293*INDEX(LenF,MATCH($Y$7,LenU,0)))^2*N(Z293)*INDEX(LenF,MATCH($Z$7,LenU,0))+IF(AA293="",0,IF(AA293="Conical",PI()/12*(Y293*INDEX(LenF,MATCH($Y$7,LenU,0)))^2*(0),INDEX(HeadK,MATCH(AA293,HeadU,0))*(Y293*INDEX(LenF,MATCH($Y$7,LenU,0)))^3)),0)+IF(ISNUMBER(Y293),PI()/4*(Y293*INDEX(LenF,MATCH($Y$7,LenU,0)))^2*N(AB293)*INDEX(LenF,MATCH($AB$7,LenU,0))+IF(AC293="",0,IF(AC293="Conical",PI()/12*(Y293*INDEX(LenF,MATCH($Y$7,LenU,0)))^2*(0),INDEX(HeadK,MATCH(AC293,HeadU,0))*(Y293*INDEX(LenF,MATCH($Y$7,LenU,0)))^3)),0),"")</f>
        <v/>
      </c>
      <c r="AE293" s="41" t="str">
        <f aca="false">IF(OR(E293="",E293="Piping"),"",IF(E293="Exchanger",AQ293*AR293+IF(P293="",0,IF(P293="Conical",PI()/12*(SQRT(4*AQ293/PI()))^2*(0),INDEX(HeadK,MATCH(P293,HeadU,0))*(SQRT(4*AQ293/PI()))^3))-IF(AND(ISNUMBER(S293),ISNUMBER(V293)),S293*PI()/4*AP293^2*V293*INDEX(LenF,MATCH($V$7,LenU,0)),0),IF(ISNUMBER(N293),PI()/4*(N293*INDEX(LenF,MATCH($N$7,LenU,0)))^2*N(O293)*INDEX(LenF,MATCH($O$7,LenU,0))+IF(P293="",0,IF(P293="Conical",PI()/12*(N293*INDEX(LenF,MATCH($N$7,LenU,0)))^2*(N(R293)*INDEX(LenF,MATCH($R$7,LenU,0))),INDEX(HeadK,MATCH(P293,HeadU,0))*(N293*INDEX(LenF,MATCH($N$7,LenU,0)))^3))+IF(Q293="",0,IF(Q293="Conical",PI()/12*(N293*INDEX(LenF,MATCH($N$7,LenU,0)))^2*(N(R293)*INDEX(LenF,MATCH($R$7,LenU,0))),INDEX(HeadK,MATCH(Q293,HeadU,0))*(N293*INDEX(LenF,MATCH($N$7,LenU,0)))^3)),0)))</f>
        <v/>
      </c>
      <c r="AF293" s="41" t="str">
        <f aca="false">IF(E293&lt;&gt;"Piping","",IF(AND(ISNUMBER(AS293),ISNUMBER(M293)),PI()/4*(AS293/1000)^2*M293*INDEX(LenF,MATCH($M$7,LenU,0)),0))</f>
        <v/>
      </c>
      <c r="AG293" s="41" t="str">
        <f aca="false">IF(E293="","",N(AD293)+N(AE293)+N(AF293))</f>
        <v/>
      </c>
      <c r="AH293" s="41" t="str">
        <f aca="false">IF(ISNUMBER(I293),I293*INDEX(WtF,MATCH($I$7,WtU,0))/CC_WaterRho,"")</f>
        <v/>
      </c>
      <c r="AI293" s="31"/>
      <c r="AJ293" s="31"/>
      <c r="AK293" s="40"/>
      <c r="AL293" s="31"/>
      <c r="AM293" s="41" t="str">
        <f aca="false">IF(AO293="","",AO293*IF(ISNUMBER(AK293),AK293,CC_DefFills)*(1+IF(ISNUMBER(AL293),AL293,CC_DefAllow)))</f>
        <v/>
      </c>
      <c r="AN293" s="42" t="str">
        <f aca="false">IF(G293="Given volume",IF(ISNUMBER(H293),H293*INDEX(VolF,MATCH($H$7,VolU,0)),""),IF(G293="Water weight",AH293,IF(N(AG293)=0,"",AG293)))</f>
        <v/>
      </c>
      <c r="AO293" s="42" t="str">
        <f aca="false">IF(N(AN293)=0,"",AN293*AT293*IF(ISNUMBER(AJ293),AJ293,CC_DefCirc))</f>
        <v/>
      </c>
      <c r="AP293" s="27" t="n">
        <f aca="false">IF(ISNUMBER(T293),T293*INDEX(LenF,MATCH($T$7,LenU,0)),IF(ISNUMBER(W293),W293*INDEX(LenF,MATCH($W$7,LenU,0))/CC_PitchRatio,0))</f>
        <v>0</v>
      </c>
      <c r="AQ293" s="27" t="n">
        <f aca="false">IF(ISNUMBER(N293),PI()/4*(N293*INDEX(LenF,MATCH($N$7,LenU,0)))^2,IF(AND(ISNUMBER(S293),ISNUMBER(W293),X293&lt;&gt;""),S293*(W293*INDEX(LenF,MATCH($W$7,LenU,0)))^2*INDEX(LayoutF,MATCH(X293,LayoutU,0)),0))</f>
        <v>0</v>
      </c>
      <c r="AR293" s="27" t="n">
        <f aca="false">IF(ISNUMBER(O293),O293*INDEX(LenF,MATCH($O$7,LenU,0)),IF(ISNUMBER(V293),V293*INDEX(LenF,MATCH($V$7,LenU,0)),0))</f>
        <v>0</v>
      </c>
      <c r="AS293" s="27" t="str">
        <f aca="false">IF(ISNUMBER(L293),L293*INDEX(LenF,MATCH($L$7,LenU,0))*1000,IF(OR(J293="",K293=""),"",IFERROR(IF(INDEX(PipeWT,MATCH(J293,NPSU,0),MATCH(K293,SchU,0))="","Sch n/a",INDEX(PipeOD,MATCH(J293,NPSU,0))-2*INDEX(PipeWT,MATCH(J293,NPSU,0),MATCH(K293,SchU,0))),"")))</f>
        <v/>
      </c>
      <c r="AT293" s="27" t="n">
        <f aca="false">IF(ISNUMBER(AI293),AI293,IFERROR(INDEX(IF(CC_JobType="Decontamination",CC_TypeFillDC,CC_TypeFillCC),MATCH(E293,CC_TypeL,0)),1))</f>
        <v>1</v>
      </c>
      <c r="AU293" s="27" t="n">
        <v>9</v>
      </c>
    </row>
    <row r="294" customFormat="false" ht="15" hidden="false" customHeight="false" outlineLevel="0" collapsed="false">
      <c r="A294" s="36" t="n">
        <v>21</v>
      </c>
      <c r="B294" s="40"/>
      <c r="C294" s="32"/>
      <c r="D294" s="32"/>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1" t="str">
        <f aca="false">IF(E294="Exchanger",IF(AND(ISNUMBER(S294),ISNUMBER(U294),ISNUMBER(V294)),S294*PI()/4*(U294*INDEX(LenF,MATCH($U$7,LenU,0)))^2*V294*INDEX(LenF,MATCH($V$7,LenU,0)),0)+IF(ISNUMBER(Y294),PI()/4*(Y294*INDEX(LenF,MATCH($Y$7,LenU,0)))^2*N(Z294)*INDEX(LenF,MATCH($Z$7,LenU,0))+IF(AA294="",0,IF(AA294="Conical",PI()/12*(Y294*INDEX(LenF,MATCH($Y$7,LenU,0)))^2*(0),INDEX(HeadK,MATCH(AA294,HeadU,0))*(Y294*INDEX(LenF,MATCH($Y$7,LenU,0)))^3)),0)+IF(ISNUMBER(Y294),PI()/4*(Y294*INDEX(LenF,MATCH($Y$7,LenU,0)))^2*N(AB294)*INDEX(LenF,MATCH($AB$7,LenU,0))+IF(AC294="",0,IF(AC294="Conical",PI()/12*(Y294*INDEX(LenF,MATCH($Y$7,LenU,0)))^2*(0),INDEX(HeadK,MATCH(AC294,HeadU,0))*(Y294*INDEX(LenF,MATCH($Y$7,LenU,0)))^3)),0),"")</f>
        <v/>
      </c>
      <c r="AE294" s="41" t="str">
        <f aca="false">IF(OR(E294="",E294="Piping"),"",IF(E294="Exchanger",AQ294*AR294+IF(P294="",0,IF(P294="Conical",PI()/12*(SQRT(4*AQ294/PI()))^2*(0),INDEX(HeadK,MATCH(P294,HeadU,0))*(SQRT(4*AQ294/PI()))^3))-IF(AND(ISNUMBER(S294),ISNUMBER(V294)),S294*PI()/4*AP294^2*V294*INDEX(LenF,MATCH($V$7,LenU,0)),0),IF(ISNUMBER(N294),PI()/4*(N294*INDEX(LenF,MATCH($N$7,LenU,0)))^2*N(O294)*INDEX(LenF,MATCH($O$7,LenU,0))+IF(P294="",0,IF(P294="Conical",PI()/12*(N294*INDEX(LenF,MATCH($N$7,LenU,0)))^2*(N(R294)*INDEX(LenF,MATCH($R$7,LenU,0))),INDEX(HeadK,MATCH(P294,HeadU,0))*(N294*INDEX(LenF,MATCH($N$7,LenU,0)))^3))+IF(Q294="",0,IF(Q294="Conical",PI()/12*(N294*INDEX(LenF,MATCH($N$7,LenU,0)))^2*(N(R294)*INDEX(LenF,MATCH($R$7,LenU,0))),INDEX(HeadK,MATCH(Q294,HeadU,0))*(N294*INDEX(LenF,MATCH($N$7,LenU,0)))^3)),0)))</f>
        <v/>
      </c>
      <c r="AF294" s="41" t="str">
        <f aca="false">IF(E294&lt;&gt;"Piping","",IF(AND(ISNUMBER(AS294),ISNUMBER(M294)),PI()/4*(AS294/1000)^2*M294*INDEX(LenF,MATCH($M$7,LenU,0)),0))</f>
        <v/>
      </c>
      <c r="AG294" s="41" t="str">
        <f aca="false">IF(E294="","",N(AD294)+N(AE294)+N(AF294))</f>
        <v/>
      </c>
      <c r="AH294" s="41" t="str">
        <f aca="false">IF(ISNUMBER(I294),I294*INDEX(WtF,MATCH($I$7,WtU,0))/CC_WaterRho,"")</f>
        <v/>
      </c>
      <c r="AI294" s="31"/>
      <c r="AJ294" s="31"/>
      <c r="AK294" s="40"/>
      <c r="AL294" s="31"/>
      <c r="AM294" s="41" t="str">
        <f aca="false">IF(AO294="","",AO294*IF(ISNUMBER(AK294),AK294,CC_DefFills)*(1+IF(ISNUMBER(AL294),AL294,CC_DefAllow)))</f>
        <v/>
      </c>
      <c r="AN294" s="42" t="str">
        <f aca="false">IF(G294="Given volume",IF(ISNUMBER(H294),H294*INDEX(VolF,MATCH($H$7,VolU,0)),""),IF(G294="Water weight",AH294,IF(N(AG294)=0,"",AG294)))</f>
        <v/>
      </c>
      <c r="AO294" s="42" t="str">
        <f aca="false">IF(N(AN294)=0,"",AN294*AT294*IF(ISNUMBER(AJ294),AJ294,CC_DefCirc))</f>
        <v/>
      </c>
      <c r="AP294" s="27" t="n">
        <f aca="false">IF(ISNUMBER(T294),T294*INDEX(LenF,MATCH($T$7,LenU,0)),IF(ISNUMBER(W294),W294*INDEX(LenF,MATCH($W$7,LenU,0))/CC_PitchRatio,0))</f>
        <v>0</v>
      </c>
      <c r="AQ294" s="27" t="n">
        <f aca="false">IF(ISNUMBER(N294),PI()/4*(N294*INDEX(LenF,MATCH($N$7,LenU,0)))^2,IF(AND(ISNUMBER(S294),ISNUMBER(W294),X294&lt;&gt;""),S294*(W294*INDEX(LenF,MATCH($W$7,LenU,0)))^2*INDEX(LayoutF,MATCH(X294,LayoutU,0)),0))</f>
        <v>0</v>
      </c>
      <c r="AR294" s="27" t="n">
        <f aca="false">IF(ISNUMBER(O294),O294*INDEX(LenF,MATCH($O$7,LenU,0)),IF(ISNUMBER(V294),V294*INDEX(LenF,MATCH($V$7,LenU,0)),0))</f>
        <v>0</v>
      </c>
      <c r="AS294" s="27" t="str">
        <f aca="false">IF(ISNUMBER(L294),L294*INDEX(LenF,MATCH($L$7,LenU,0))*1000,IF(OR(J294="",K294=""),"",IFERROR(IF(INDEX(PipeWT,MATCH(J294,NPSU,0),MATCH(K294,SchU,0))="","Sch n/a",INDEX(PipeOD,MATCH(J294,NPSU,0))-2*INDEX(PipeWT,MATCH(J294,NPSU,0),MATCH(K294,SchU,0))),"")))</f>
        <v/>
      </c>
      <c r="AT294" s="27" t="n">
        <f aca="false">IF(ISNUMBER(AI294),AI294,IFERROR(INDEX(IF(CC_JobType="Decontamination",CC_TypeFillDC,CC_TypeFillCC),MATCH(E294,CC_TypeL,0)),1))</f>
        <v>1</v>
      </c>
      <c r="AU294" s="27" t="n">
        <v>9</v>
      </c>
    </row>
    <row r="295" customFormat="false" ht="15" hidden="false" customHeight="false" outlineLevel="0" collapsed="false">
      <c r="A295" s="36" t="n">
        <v>22</v>
      </c>
      <c r="B295" s="40"/>
      <c r="C295" s="32"/>
      <c r="D295" s="32"/>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1" t="str">
        <f aca="false">IF(E295="Exchanger",IF(AND(ISNUMBER(S295),ISNUMBER(U295),ISNUMBER(V295)),S295*PI()/4*(U295*INDEX(LenF,MATCH($U$7,LenU,0)))^2*V295*INDEX(LenF,MATCH($V$7,LenU,0)),0)+IF(ISNUMBER(Y295),PI()/4*(Y295*INDEX(LenF,MATCH($Y$7,LenU,0)))^2*N(Z295)*INDEX(LenF,MATCH($Z$7,LenU,0))+IF(AA295="",0,IF(AA295="Conical",PI()/12*(Y295*INDEX(LenF,MATCH($Y$7,LenU,0)))^2*(0),INDEX(HeadK,MATCH(AA295,HeadU,0))*(Y295*INDEX(LenF,MATCH($Y$7,LenU,0)))^3)),0)+IF(ISNUMBER(Y295),PI()/4*(Y295*INDEX(LenF,MATCH($Y$7,LenU,0)))^2*N(AB295)*INDEX(LenF,MATCH($AB$7,LenU,0))+IF(AC295="",0,IF(AC295="Conical",PI()/12*(Y295*INDEX(LenF,MATCH($Y$7,LenU,0)))^2*(0),INDEX(HeadK,MATCH(AC295,HeadU,0))*(Y295*INDEX(LenF,MATCH($Y$7,LenU,0)))^3)),0),"")</f>
        <v/>
      </c>
      <c r="AE295" s="41" t="str">
        <f aca="false">IF(OR(E295="",E295="Piping"),"",IF(E295="Exchanger",AQ295*AR295+IF(P295="",0,IF(P295="Conical",PI()/12*(SQRT(4*AQ295/PI()))^2*(0),INDEX(HeadK,MATCH(P295,HeadU,0))*(SQRT(4*AQ295/PI()))^3))-IF(AND(ISNUMBER(S295),ISNUMBER(V295)),S295*PI()/4*AP295^2*V295*INDEX(LenF,MATCH($V$7,LenU,0)),0),IF(ISNUMBER(N295),PI()/4*(N295*INDEX(LenF,MATCH($N$7,LenU,0)))^2*N(O295)*INDEX(LenF,MATCH($O$7,LenU,0))+IF(P295="",0,IF(P295="Conical",PI()/12*(N295*INDEX(LenF,MATCH($N$7,LenU,0)))^2*(N(R295)*INDEX(LenF,MATCH($R$7,LenU,0))),INDEX(HeadK,MATCH(P295,HeadU,0))*(N295*INDEX(LenF,MATCH($N$7,LenU,0)))^3))+IF(Q295="",0,IF(Q295="Conical",PI()/12*(N295*INDEX(LenF,MATCH($N$7,LenU,0)))^2*(N(R295)*INDEX(LenF,MATCH($R$7,LenU,0))),INDEX(HeadK,MATCH(Q295,HeadU,0))*(N295*INDEX(LenF,MATCH($N$7,LenU,0)))^3)),0)))</f>
        <v/>
      </c>
      <c r="AF295" s="41" t="str">
        <f aca="false">IF(E295&lt;&gt;"Piping","",IF(AND(ISNUMBER(AS295),ISNUMBER(M295)),PI()/4*(AS295/1000)^2*M295*INDEX(LenF,MATCH($M$7,LenU,0)),0))</f>
        <v/>
      </c>
      <c r="AG295" s="41" t="str">
        <f aca="false">IF(E295="","",N(AD295)+N(AE295)+N(AF295))</f>
        <v/>
      </c>
      <c r="AH295" s="41" t="str">
        <f aca="false">IF(ISNUMBER(I295),I295*INDEX(WtF,MATCH($I$7,WtU,0))/CC_WaterRho,"")</f>
        <v/>
      </c>
      <c r="AI295" s="31"/>
      <c r="AJ295" s="31"/>
      <c r="AK295" s="40"/>
      <c r="AL295" s="31"/>
      <c r="AM295" s="41" t="str">
        <f aca="false">IF(AO295="","",AO295*IF(ISNUMBER(AK295),AK295,CC_DefFills)*(1+IF(ISNUMBER(AL295),AL295,CC_DefAllow)))</f>
        <v/>
      </c>
      <c r="AN295" s="42" t="str">
        <f aca="false">IF(G295="Given volume",IF(ISNUMBER(H295),H295*INDEX(VolF,MATCH($H$7,VolU,0)),""),IF(G295="Water weight",AH295,IF(N(AG295)=0,"",AG295)))</f>
        <v/>
      </c>
      <c r="AO295" s="42" t="str">
        <f aca="false">IF(N(AN295)=0,"",AN295*AT295*IF(ISNUMBER(AJ295),AJ295,CC_DefCirc))</f>
        <v/>
      </c>
      <c r="AP295" s="27" t="n">
        <f aca="false">IF(ISNUMBER(T295),T295*INDEX(LenF,MATCH($T$7,LenU,0)),IF(ISNUMBER(W295),W295*INDEX(LenF,MATCH($W$7,LenU,0))/CC_PitchRatio,0))</f>
        <v>0</v>
      </c>
      <c r="AQ295" s="27" t="n">
        <f aca="false">IF(ISNUMBER(N295),PI()/4*(N295*INDEX(LenF,MATCH($N$7,LenU,0)))^2,IF(AND(ISNUMBER(S295),ISNUMBER(W295),X295&lt;&gt;""),S295*(W295*INDEX(LenF,MATCH($W$7,LenU,0)))^2*INDEX(LayoutF,MATCH(X295,LayoutU,0)),0))</f>
        <v>0</v>
      </c>
      <c r="AR295" s="27" t="n">
        <f aca="false">IF(ISNUMBER(O295),O295*INDEX(LenF,MATCH($O$7,LenU,0)),IF(ISNUMBER(V295),V295*INDEX(LenF,MATCH($V$7,LenU,0)),0))</f>
        <v>0</v>
      </c>
      <c r="AS295" s="27" t="str">
        <f aca="false">IF(ISNUMBER(L295),L295*INDEX(LenF,MATCH($L$7,LenU,0))*1000,IF(OR(J295="",K295=""),"",IFERROR(IF(INDEX(PipeWT,MATCH(J295,NPSU,0),MATCH(K295,SchU,0))="","Sch n/a",INDEX(PipeOD,MATCH(J295,NPSU,0))-2*INDEX(PipeWT,MATCH(J295,NPSU,0),MATCH(K295,SchU,0))),"")))</f>
        <v/>
      </c>
      <c r="AT295" s="27" t="n">
        <f aca="false">IF(ISNUMBER(AI295),AI295,IFERROR(INDEX(IF(CC_JobType="Decontamination",CC_TypeFillDC,CC_TypeFillCC),MATCH(E295,CC_TypeL,0)),1))</f>
        <v>1</v>
      </c>
      <c r="AU295" s="27" t="n">
        <v>9</v>
      </c>
    </row>
    <row r="296" customFormat="false" ht="15" hidden="false" customHeight="false" outlineLevel="0" collapsed="false">
      <c r="A296" s="36" t="n">
        <v>23</v>
      </c>
      <c r="B296" s="40"/>
      <c r="C296" s="32"/>
      <c r="D296" s="32"/>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1" t="str">
        <f aca="false">IF(E296="Exchanger",IF(AND(ISNUMBER(S296),ISNUMBER(U296),ISNUMBER(V296)),S296*PI()/4*(U296*INDEX(LenF,MATCH($U$7,LenU,0)))^2*V296*INDEX(LenF,MATCH($V$7,LenU,0)),0)+IF(ISNUMBER(Y296),PI()/4*(Y296*INDEX(LenF,MATCH($Y$7,LenU,0)))^2*N(Z296)*INDEX(LenF,MATCH($Z$7,LenU,0))+IF(AA296="",0,IF(AA296="Conical",PI()/12*(Y296*INDEX(LenF,MATCH($Y$7,LenU,0)))^2*(0),INDEX(HeadK,MATCH(AA296,HeadU,0))*(Y296*INDEX(LenF,MATCH($Y$7,LenU,0)))^3)),0)+IF(ISNUMBER(Y296),PI()/4*(Y296*INDEX(LenF,MATCH($Y$7,LenU,0)))^2*N(AB296)*INDEX(LenF,MATCH($AB$7,LenU,0))+IF(AC296="",0,IF(AC296="Conical",PI()/12*(Y296*INDEX(LenF,MATCH($Y$7,LenU,0)))^2*(0),INDEX(HeadK,MATCH(AC296,HeadU,0))*(Y296*INDEX(LenF,MATCH($Y$7,LenU,0)))^3)),0),"")</f>
        <v/>
      </c>
      <c r="AE296" s="41" t="str">
        <f aca="false">IF(OR(E296="",E296="Piping"),"",IF(E296="Exchanger",AQ296*AR296+IF(P296="",0,IF(P296="Conical",PI()/12*(SQRT(4*AQ296/PI()))^2*(0),INDEX(HeadK,MATCH(P296,HeadU,0))*(SQRT(4*AQ296/PI()))^3))-IF(AND(ISNUMBER(S296),ISNUMBER(V296)),S296*PI()/4*AP296^2*V296*INDEX(LenF,MATCH($V$7,LenU,0)),0),IF(ISNUMBER(N296),PI()/4*(N296*INDEX(LenF,MATCH($N$7,LenU,0)))^2*N(O296)*INDEX(LenF,MATCH($O$7,LenU,0))+IF(P296="",0,IF(P296="Conical",PI()/12*(N296*INDEX(LenF,MATCH($N$7,LenU,0)))^2*(N(R296)*INDEX(LenF,MATCH($R$7,LenU,0))),INDEX(HeadK,MATCH(P296,HeadU,0))*(N296*INDEX(LenF,MATCH($N$7,LenU,0)))^3))+IF(Q296="",0,IF(Q296="Conical",PI()/12*(N296*INDEX(LenF,MATCH($N$7,LenU,0)))^2*(N(R296)*INDEX(LenF,MATCH($R$7,LenU,0))),INDEX(HeadK,MATCH(Q296,HeadU,0))*(N296*INDEX(LenF,MATCH($N$7,LenU,0)))^3)),0)))</f>
        <v/>
      </c>
      <c r="AF296" s="41" t="str">
        <f aca="false">IF(E296&lt;&gt;"Piping","",IF(AND(ISNUMBER(AS296),ISNUMBER(M296)),PI()/4*(AS296/1000)^2*M296*INDEX(LenF,MATCH($M$7,LenU,0)),0))</f>
        <v/>
      </c>
      <c r="AG296" s="41" t="str">
        <f aca="false">IF(E296="","",N(AD296)+N(AE296)+N(AF296))</f>
        <v/>
      </c>
      <c r="AH296" s="41" t="str">
        <f aca="false">IF(ISNUMBER(I296),I296*INDEX(WtF,MATCH($I$7,WtU,0))/CC_WaterRho,"")</f>
        <v/>
      </c>
      <c r="AI296" s="31"/>
      <c r="AJ296" s="31"/>
      <c r="AK296" s="40"/>
      <c r="AL296" s="31"/>
      <c r="AM296" s="41" t="str">
        <f aca="false">IF(AO296="","",AO296*IF(ISNUMBER(AK296),AK296,CC_DefFills)*(1+IF(ISNUMBER(AL296),AL296,CC_DefAllow)))</f>
        <v/>
      </c>
      <c r="AN296" s="42" t="str">
        <f aca="false">IF(G296="Given volume",IF(ISNUMBER(H296),H296*INDEX(VolF,MATCH($H$7,VolU,0)),""),IF(G296="Water weight",AH296,IF(N(AG296)=0,"",AG296)))</f>
        <v/>
      </c>
      <c r="AO296" s="42" t="str">
        <f aca="false">IF(N(AN296)=0,"",AN296*AT296*IF(ISNUMBER(AJ296),AJ296,CC_DefCirc))</f>
        <v/>
      </c>
      <c r="AP296" s="27" t="n">
        <f aca="false">IF(ISNUMBER(T296),T296*INDEX(LenF,MATCH($T$7,LenU,0)),IF(ISNUMBER(W296),W296*INDEX(LenF,MATCH($W$7,LenU,0))/CC_PitchRatio,0))</f>
        <v>0</v>
      </c>
      <c r="AQ296" s="27" t="n">
        <f aca="false">IF(ISNUMBER(N296),PI()/4*(N296*INDEX(LenF,MATCH($N$7,LenU,0)))^2,IF(AND(ISNUMBER(S296),ISNUMBER(W296),X296&lt;&gt;""),S296*(W296*INDEX(LenF,MATCH($W$7,LenU,0)))^2*INDEX(LayoutF,MATCH(X296,LayoutU,0)),0))</f>
        <v>0</v>
      </c>
      <c r="AR296" s="27" t="n">
        <f aca="false">IF(ISNUMBER(O296),O296*INDEX(LenF,MATCH($O$7,LenU,0)),IF(ISNUMBER(V296),V296*INDEX(LenF,MATCH($V$7,LenU,0)),0))</f>
        <v>0</v>
      </c>
      <c r="AS296" s="27" t="str">
        <f aca="false">IF(ISNUMBER(L296),L296*INDEX(LenF,MATCH($L$7,LenU,0))*1000,IF(OR(J296="",K296=""),"",IFERROR(IF(INDEX(PipeWT,MATCH(J296,NPSU,0),MATCH(K296,SchU,0))="","Sch n/a",INDEX(PipeOD,MATCH(J296,NPSU,0))-2*INDEX(PipeWT,MATCH(J296,NPSU,0),MATCH(K296,SchU,0))),"")))</f>
        <v/>
      </c>
      <c r="AT296" s="27" t="n">
        <f aca="false">IF(ISNUMBER(AI296),AI296,IFERROR(INDEX(IF(CC_JobType="Decontamination",CC_TypeFillDC,CC_TypeFillCC),MATCH(E296,CC_TypeL,0)),1))</f>
        <v>1</v>
      </c>
      <c r="AU296" s="27" t="n">
        <v>9</v>
      </c>
    </row>
    <row r="297" customFormat="false" ht="15" hidden="false" customHeight="false" outlineLevel="0" collapsed="false">
      <c r="A297" s="36" t="n">
        <v>24</v>
      </c>
      <c r="B297" s="40"/>
      <c r="C297" s="32"/>
      <c r="D297" s="32"/>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1" t="str">
        <f aca="false">IF(E297="Exchanger",IF(AND(ISNUMBER(S297),ISNUMBER(U297),ISNUMBER(V297)),S297*PI()/4*(U297*INDEX(LenF,MATCH($U$7,LenU,0)))^2*V297*INDEX(LenF,MATCH($V$7,LenU,0)),0)+IF(ISNUMBER(Y297),PI()/4*(Y297*INDEX(LenF,MATCH($Y$7,LenU,0)))^2*N(Z297)*INDEX(LenF,MATCH($Z$7,LenU,0))+IF(AA297="",0,IF(AA297="Conical",PI()/12*(Y297*INDEX(LenF,MATCH($Y$7,LenU,0)))^2*(0),INDEX(HeadK,MATCH(AA297,HeadU,0))*(Y297*INDEX(LenF,MATCH($Y$7,LenU,0)))^3)),0)+IF(ISNUMBER(Y297),PI()/4*(Y297*INDEX(LenF,MATCH($Y$7,LenU,0)))^2*N(AB297)*INDEX(LenF,MATCH($AB$7,LenU,0))+IF(AC297="",0,IF(AC297="Conical",PI()/12*(Y297*INDEX(LenF,MATCH($Y$7,LenU,0)))^2*(0),INDEX(HeadK,MATCH(AC297,HeadU,0))*(Y297*INDEX(LenF,MATCH($Y$7,LenU,0)))^3)),0),"")</f>
        <v/>
      </c>
      <c r="AE297" s="41" t="str">
        <f aca="false">IF(OR(E297="",E297="Piping"),"",IF(E297="Exchanger",AQ297*AR297+IF(P297="",0,IF(P297="Conical",PI()/12*(SQRT(4*AQ297/PI()))^2*(0),INDEX(HeadK,MATCH(P297,HeadU,0))*(SQRT(4*AQ297/PI()))^3))-IF(AND(ISNUMBER(S297),ISNUMBER(V297)),S297*PI()/4*AP297^2*V297*INDEX(LenF,MATCH($V$7,LenU,0)),0),IF(ISNUMBER(N297),PI()/4*(N297*INDEX(LenF,MATCH($N$7,LenU,0)))^2*N(O297)*INDEX(LenF,MATCH($O$7,LenU,0))+IF(P297="",0,IF(P297="Conical",PI()/12*(N297*INDEX(LenF,MATCH($N$7,LenU,0)))^2*(N(R297)*INDEX(LenF,MATCH($R$7,LenU,0))),INDEX(HeadK,MATCH(P297,HeadU,0))*(N297*INDEX(LenF,MATCH($N$7,LenU,0)))^3))+IF(Q297="",0,IF(Q297="Conical",PI()/12*(N297*INDEX(LenF,MATCH($N$7,LenU,0)))^2*(N(R297)*INDEX(LenF,MATCH($R$7,LenU,0))),INDEX(HeadK,MATCH(Q297,HeadU,0))*(N297*INDEX(LenF,MATCH($N$7,LenU,0)))^3)),0)))</f>
        <v/>
      </c>
      <c r="AF297" s="41" t="str">
        <f aca="false">IF(E297&lt;&gt;"Piping","",IF(AND(ISNUMBER(AS297),ISNUMBER(M297)),PI()/4*(AS297/1000)^2*M297*INDEX(LenF,MATCH($M$7,LenU,0)),0))</f>
        <v/>
      </c>
      <c r="AG297" s="41" t="str">
        <f aca="false">IF(E297="","",N(AD297)+N(AE297)+N(AF297))</f>
        <v/>
      </c>
      <c r="AH297" s="41" t="str">
        <f aca="false">IF(ISNUMBER(I297),I297*INDEX(WtF,MATCH($I$7,WtU,0))/CC_WaterRho,"")</f>
        <v/>
      </c>
      <c r="AI297" s="31"/>
      <c r="AJ297" s="31"/>
      <c r="AK297" s="40"/>
      <c r="AL297" s="31"/>
      <c r="AM297" s="41" t="str">
        <f aca="false">IF(AO297="","",AO297*IF(ISNUMBER(AK297),AK297,CC_DefFills)*(1+IF(ISNUMBER(AL297),AL297,CC_DefAllow)))</f>
        <v/>
      </c>
      <c r="AN297" s="42" t="str">
        <f aca="false">IF(G297="Given volume",IF(ISNUMBER(H297),H297*INDEX(VolF,MATCH($H$7,VolU,0)),""),IF(G297="Water weight",AH297,IF(N(AG297)=0,"",AG297)))</f>
        <v/>
      </c>
      <c r="AO297" s="42" t="str">
        <f aca="false">IF(N(AN297)=0,"",AN297*AT297*IF(ISNUMBER(AJ297),AJ297,CC_DefCirc))</f>
        <v/>
      </c>
      <c r="AP297" s="27" t="n">
        <f aca="false">IF(ISNUMBER(T297),T297*INDEX(LenF,MATCH($T$7,LenU,0)),IF(ISNUMBER(W297),W297*INDEX(LenF,MATCH($W$7,LenU,0))/CC_PitchRatio,0))</f>
        <v>0</v>
      </c>
      <c r="AQ297" s="27" t="n">
        <f aca="false">IF(ISNUMBER(N297),PI()/4*(N297*INDEX(LenF,MATCH($N$7,LenU,0)))^2,IF(AND(ISNUMBER(S297),ISNUMBER(W297),X297&lt;&gt;""),S297*(W297*INDEX(LenF,MATCH($W$7,LenU,0)))^2*INDEX(LayoutF,MATCH(X297,LayoutU,0)),0))</f>
        <v>0</v>
      </c>
      <c r="AR297" s="27" t="n">
        <f aca="false">IF(ISNUMBER(O297),O297*INDEX(LenF,MATCH($O$7,LenU,0)),IF(ISNUMBER(V297),V297*INDEX(LenF,MATCH($V$7,LenU,0)),0))</f>
        <v>0</v>
      </c>
      <c r="AS297" s="27" t="str">
        <f aca="false">IF(ISNUMBER(L297),L297*INDEX(LenF,MATCH($L$7,LenU,0))*1000,IF(OR(J297="",K297=""),"",IFERROR(IF(INDEX(PipeWT,MATCH(J297,NPSU,0),MATCH(K297,SchU,0))="","Sch n/a",INDEX(PipeOD,MATCH(J297,NPSU,0))-2*INDEX(PipeWT,MATCH(J297,NPSU,0),MATCH(K297,SchU,0))),"")))</f>
        <v/>
      </c>
      <c r="AT297" s="27" t="n">
        <f aca="false">IF(ISNUMBER(AI297),AI297,IFERROR(INDEX(IF(CC_JobType="Decontamination",CC_TypeFillDC,CC_TypeFillCC),MATCH(E297,CC_TypeL,0)),1))</f>
        <v>1</v>
      </c>
      <c r="AU297" s="27" t="n">
        <v>9</v>
      </c>
    </row>
    <row r="298" customFormat="false" ht="15" hidden="false" customHeight="false" outlineLevel="0" collapsed="false">
      <c r="A298" s="36" t="n">
        <v>25</v>
      </c>
      <c r="B298" s="40"/>
      <c r="C298" s="32"/>
      <c r="D298" s="32"/>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1" t="str">
        <f aca="false">IF(E298="Exchanger",IF(AND(ISNUMBER(S298),ISNUMBER(U298),ISNUMBER(V298)),S298*PI()/4*(U298*INDEX(LenF,MATCH($U$7,LenU,0)))^2*V298*INDEX(LenF,MATCH($V$7,LenU,0)),0)+IF(ISNUMBER(Y298),PI()/4*(Y298*INDEX(LenF,MATCH($Y$7,LenU,0)))^2*N(Z298)*INDEX(LenF,MATCH($Z$7,LenU,0))+IF(AA298="",0,IF(AA298="Conical",PI()/12*(Y298*INDEX(LenF,MATCH($Y$7,LenU,0)))^2*(0),INDEX(HeadK,MATCH(AA298,HeadU,0))*(Y298*INDEX(LenF,MATCH($Y$7,LenU,0)))^3)),0)+IF(ISNUMBER(Y298),PI()/4*(Y298*INDEX(LenF,MATCH($Y$7,LenU,0)))^2*N(AB298)*INDEX(LenF,MATCH($AB$7,LenU,0))+IF(AC298="",0,IF(AC298="Conical",PI()/12*(Y298*INDEX(LenF,MATCH($Y$7,LenU,0)))^2*(0),INDEX(HeadK,MATCH(AC298,HeadU,0))*(Y298*INDEX(LenF,MATCH($Y$7,LenU,0)))^3)),0),"")</f>
        <v/>
      </c>
      <c r="AE298" s="41" t="str">
        <f aca="false">IF(OR(E298="",E298="Piping"),"",IF(E298="Exchanger",AQ298*AR298+IF(P298="",0,IF(P298="Conical",PI()/12*(SQRT(4*AQ298/PI()))^2*(0),INDEX(HeadK,MATCH(P298,HeadU,0))*(SQRT(4*AQ298/PI()))^3))-IF(AND(ISNUMBER(S298),ISNUMBER(V298)),S298*PI()/4*AP298^2*V298*INDEX(LenF,MATCH($V$7,LenU,0)),0),IF(ISNUMBER(N298),PI()/4*(N298*INDEX(LenF,MATCH($N$7,LenU,0)))^2*N(O298)*INDEX(LenF,MATCH($O$7,LenU,0))+IF(P298="",0,IF(P298="Conical",PI()/12*(N298*INDEX(LenF,MATCH($N$7,LenU,0)))^2*(N(R298)*INDEX(LenF,MATCH($R$7,LenU,0))),INDEX(HeadK,MATCH(P298,HeadU,0))*(N298*INDEX(LenF,MATCH($N$7,LenU,0)))^3))+IF(Q298="",0,IF(Q298="Conical",PI()/12*(N298*INDEX(LenF,MATCH($N$7,LenU,0)))^2*(N(R298)*INDEX(LenF,MATCH($R$7,LenU,0))),INDEX(HeadK,MATCH(Q298,HeadU,0))*(N298*INDEX(LenF,MATCH($N$7,LenU,0)))^3)),0)))</f>
        <v/>
      </c>
      <c r="AF298" s="41" t="str">
        <f aca="false">IF(E298&lt;&gt;"Piping","",IF(AND(ISNUMBER(AS298),ISNUMBER(M298)),PI()/4*(AS298/1000)^2*M298*INDEX(LenF,MATCH($M$7,LenU,0)),0))</f>
        <v/>
      </c>
      <c r="AG298" s="41" t="str">
        <f aca="false">IF(E298="","",N(AD298)+N(AE298)+N(AF298))</f>
        <v/>
      </c>
      <c r="AH298" s="41" t="str">
        <f aca="false">IF(ISNUMBER(I298),I298*INDEX(WtF,MATCH($I$7,WtU,0))/CC_WaterRho,"")</f>
        <v/>
      </c>
      <c r="AI298" s="31"/>
      <c r="AJ298" s="31"/>
      <c r="AK298" s="40"/>
      <c r="AL298" s="31"/>
      <c r="AM298" s="41" t="str">
        <f aca="false">IF(AO298="","",AO298*IF(ISNUMBER(AK298),AK298,CC_DefFills)*(1+IF(ISNUMBER(AL298),AL298,CC_DefAllow)))</f>
        <v/>
      </c>
      <c r="AN298" s="42" t="str">
        <f aca="false">IF(G298="Given volume",IF(ISNUMBER(H298),H298*INDEX(VolF,MATCH($H$7,VolU,0)),""),IF(G298="Water weight",AH298,IF(N(AG298)=0,"",AG298)))</f>
        <v/>
      </c>
      <c r="AO298" s="42" t="str">
        <f aca="false">IF(N(AN298)=0,"",AN298*AT298*IF(ISNUMBER(AJ298),AJ298,CC_DefCirc))</f>
        <v/>
      </c>
      <c r="AP298" s="27" t="n">
        <f aca="false">IF(ISNUMBER(T298),T298*INDEX(LenF,MATCH($T$7,LenU,0)),IF(ISNUMBER(W298),W298*INDEX(LenF,MATCH($W$7,LenU,0))/CC_PitchRatio,0))</f>
        <v>0</v>
      </c>
      <c r="AQ298" s="27" t="n">
        <f aca="false">IF(ISNUMBER(N298),PI()/4*(N298*INDEX(LenF,MATCH($N$7,LenU,0)))^2,IF(AND(ISNUMBER(S298),ISNUMBER(W298),X298&lt;&gt;""),S298*(W298*INDEX(LenF,MATCH($W$7,LenU,0)))^2*INDEX(LayoutF,MATCH(X298,LayoutU,0)),0))</f>
        <v>0</v>
      </c>
      <c r="AR298" s="27" t="n">
        <f aca="false">IF(ISNUMBER(O298),O298*INDEX(LenF,MATCH($O$7,LenU,0)),IF(ISNUMBER(V298),V298*INDEX(LenF,MATCH($V$7,LenU,0)),0))</f>
        <v>0</v>
      </c>
      <c r="AS298" s="27" t="str">
        <f aca="false">IF(ISNUMBER(L298),L298*INDEX(LenF,MATCH($L$7,LenU,0))*1000,IF(OR(J298="",K298=""),"",IFERROR(IF(INDEX(PipeWT,MATCH(J298,NPSU,0),MATCH(K298,SchU,0))="","Sch n/a",INDEX(PipeOD,MATCH(J298,NPSU,0))-2*INDEX(PipeWT,MATCH(J298,NPSU,0),MATCH(K298,SchU,0))),"")))</f>
        <v/>
      </c>
      <c r="AT298" s="27" t="n">
        <f aca="false">IF(ISNUMBER(AI298),AI298,IFERROR(INDEX(IF(CC_JobType="Decontamination",CC_TypeFillDC,CC_TypeFillCC),MATCH(E298,CC_TypeL,0)),1))</f>
        <v>1</v>
      </c>
      <c r="AU298" s="27" t="n">
        <v>9</v>
      </c>
    </row>
    <row r="299" customFormat="false" ht="15" hidden="false" customHeight="false" outlineLevel="0" collapsed="false">
      <c r="A299" s="36" t="n">
        <v>26</v>
      </c>
      <c r="B299" s="40"/>
      <c r="C299" s="32"/>
      <c r="D299" s="32"/>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1" t="str">
        <f aca="false">IF(E299="Exchanger",IF(AND(ISNUMBER(S299),ISNUMBER(U299),ISNUMBER(V299)),S299*PI()/4*(U299*INDEX(LenF,MATCH($U$7,LenU,0)))^2*V299*INDEX(LenF,MATCH($V$7,LenU,0)),0)+IF(ISNUMBER(Y299),PI()/4*(Y299*INDEX(LenF,MATCH($Y$7,LenU,0)))^2*N(Z299)*INDEX(LenF,MATCH($Z$7,LenU,0))+IF(AA299="",0,IF(AA299="Conical",PI()/12*(Y299*INDEX(LenF,MATCH($Y$7,LenU,0)))^2*(0),INDEX(HeadK,MATCH(AA299,HeadU,0))*(Y299*INDEX(LenF,MATCH($Y$7,LenU,0)))^3)),0)+IF(ISNUMBER(Y299),PI()/4*(Y299*INDEX(LenF,MATCH($Y$7,LenU,0)))^2*N(AB299)*INDEX(LenF,MATCH($AB$7,LenU,0))+IF(AC299="",0,IF(AC299="Conical",PI()/12*(Y299*INDEX(LenF,MATCH($Y$7,LenU,0)))^2*(0),INDEX(HeadK,MATCH(AC299,HeadU,0))*(Y299*INDEX(LenF,MATCH($Y$7,LenU,0)))^3)),0),"")</f>
        <v/>
      </c>
      <c r="AE299" s="41" t="str">
        <f aca="false">IF(OR(E299="",E299="Piping"),"",IF(E299="Exchanger",AQ299*AR299+IF(P299="",0,IF(P299="Conical",PI()/12*(SQRT(4*AQ299/PI()))^2*(0),INDEX(HeadK,MATCH(P299,HeadU,0))*(SQRT(4*AQ299/PI()))^3))-IF(AND(ISNUMBER(S299),ISNUMBER(V299)),S299*PI()/4*AP299^2*V299*INDEX(LenF,MATCH($V$7,LenU,0)),0),IF(ISNUMBER(N299),PI()/4*(N299*INDEX(LenF,MATCH($N$7,LenU,0)))^2*N(O299)*INDEX(LenF,MATCH($O$7,LenU,0))+IF(P299="",0,IF(P299="Conical",PI()/12*(N299*INDEX(LenF,MATCH($N$7,LenU,0)))^2*(N(R299)*INDEX(LenF,MATCH($R$7,LenU,0))),INDEX(HeadK,MATCH(P299,HeadU,0))*(N299*INDEX(LenF,MATCH($N$7,LenU,0)))^3))+IF(Q299="",0,IF(Q299="Conical",PI()/12*(N299*INDEX(LenF,MATCH($N$7,LenU,0)))^2*(N(R299)*INDEX(LenF,MATCH($R$7,LenU,0))),INDEX(HeadK,MATCH(Q299,HeadU,0))*(N299*INDEX(LenF,MATCH($N$7,LenU,0)))^3)),0)))</f>
        <v/>
      </c>
      <c r="AF299" s="41" t="str">
        <f aca="false">IF(E299&lt;&gt;"Piping","",IF(AND(ISNUMBER(AS299),ISNUMBER(M299)),PI()/4*(AS299/1000)^2*M299*INDEX(LenF,MATCH($M$7,LenU,0)),0))</f>
        <v/>
      </c>
      <c r="AG299" s="41" t="str">
        <f aca="false">IF(E299="","",N(AD299)+N(AE299)+N(AF299))</f>
        <v/>
      </c>
      <c r="AH299" s="41" t="str">
        <f aca="false">IF(ISNUMBER(I299),I299*INDEX(WtF,MATCH($I$7,WtU,0))/CC_WaterRho,"")</f>
        <v/>
      </c>
      <c r="AI299" s="31"/>
      <c r="AJ299" s="31"/>
      <c r="AK299" s="40"/>
      <c r="AL299" s="31"/>
      <c r="AM299" s="41" t="str">
        <f aca="false">IF(AO299="","",AO299*IF(ISNUMBER(AK299),AK299,CC_DefFills)*(1+IF(ISNUMBER(AL299),AL299,CC_DefAllow)))</f>
        <v/>
      </c>
      <c r="AN299" s="42" t="str">
        <f aca="false">IF(G299="Given volume",IF(ISNUMBER(H299),H299*INDEX(VolF,MATCH($H$7,VolU,0)),""),IF(G299="Water weight",AH299,IF(N(AG299)=0,"",AG299)))</f>
        <v/>
      </c>
      <c r="AO299" s="42" t="str">
        <f aca="false">IF(N(AN299)=0,"",AN299*AT299*IF(ISNUMBER(AJ299),AJ299,CC_DefCirc))</f>
        <v/>
      </c>
      <c r="AP299" s="27" t="n">
        <f aca="false">IF(ISNUMBER(T299),T299*INDEX(LenF,MATCH($T$7,LenU,0)),IF(ISNUMBER(W299),W299*INDEX(LenF,MATCH($W$7,LenU,0))/CC_PitchRatio,0))</f>
        <v>0</v>
      </c>
      <c r="AQ299" s="27" t="n">
        <f aca="false">IF(ISNUMBER(N299),PI()/4*(N299*INDEX(LenF,MATCH($N$7,LenU,0)))^2,IF(AND(ISNUMBER(S299),ISNUMBER(W299),X299&lt;&gt;""),S299*(W299*INDEX(LenF,MATCH($W$7,LenU,0)))^2*INDEX(LayoutF,MATCH(X299,LayoutU,0)),0))</f>
        <v>0</v>
      </c>
      <c r="AR299" s="27" t="n">
        <f aca="false">IF(ISNUMBER(O299),O299*INDEX(LenF,MATCH($O$7,LenU,0)),IF(ISNUMBER(V299),V299*INDEX(LenF,MATCH($V$7,LenU,0)),0))</f>
        <v>0</v>
      </c>
      <c r="AS299" s="27" t="str">
        <f aca="false">IF(ISNUMBER(L299),L299*INDEX(LenF,MATCH($L$7,LenU,0))*1000,IF(OR(J299="",K299=""),"",IFERROR(IF(INDEX(PipeWT,MATCH(J299,NPSU,0),MATCH(K299,SchU,0))="","Sch n/a",INDEX(PipeOD,MATCH(J299,NPSU,0))-2*INDEX(PipeWT,MATCH(J299,NPSU,0),MATCH(K299,SchU,0))),"")))</f>
        <v/>
      </c>
      <c r="AT299" s="27" t="n">
        <f aca="false">IF(ISNUMBER(AI299),AI299,IFERROR(INDEX(IF(CC_JobType="Decontamination",CC_TypeFillDC,CC_TypeFillCC),MATCH(E299,CC_TypeL,0)),1))</f>
        <v>1</v>
      </c>
      <c r="AU299" s="27" t="n">
        <v>9</v>
      </c>
    </row>
    <row r="300" customFormat="false" ht="15" hidden="false" customHeight="false" outlineLevel="0" collapsed="false">
      <c r="A300" s="36" t="n">
        <v>27</v>
      </c>
      <c r="B300" s="40"/>
      <c r="C300" s="32"/>
      <c r="D300" s="32"/>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1" t="str">
        <f aca="false">IF(E300="Exchanger",IF(AND(ISNUMBER(S300),ISNUMBER(U300),ISNUMBER(V300)),S300*PI()/4*(U300*INDEX(LenF,MATCH($U$7,LenU,0)))^2*V300*INDEX(LenF,MATCH($V$7,LenU,0)),0)+IF(ISNUMBER(Y300),PI()/4*(Y300*INDEX(LenF,MATCH($Y$7,LenU,0)))^2*N(Z300)*INDEX(LenF,MATCH($Z$7,LenU,0))+IF(AA300="",0,IF(AA300="Conical",PI()/12*(Y300*INDEX(LenF,MATCH($Y$7,LenU,0)))^2*(0),INDEX(HeadK,MATCH(AA300,HeadU,0))*(Y300*INDEX(LenF,MATCH($Y$7,LenU,0)))^3)),0)+IF(ISNUMBER(Y300),PI()/4*(Y300*INDEX(LenF,MATCH($Y$7,LenU,0)))^2*N(AB300)*INDEX(LenF,MATCH($AB$7,LenU,0))+IF(AC300="",0,IF(AC300="Conical",PI()/12*(Y300*INDEX(LenF,MATCH($Y$7,LenU,0)))^2*(0),INDEX(HeadK,MATCH(AC300,HeadU,0))*(Y300*INDEX(LenF,MATCH($Y$7,LenU,0)))^3)),0),"")</f>
        <v/>
      </c>
      <c r="AE300" s="41" t="str">
        <f aca="false">IF(OR(E300="",E300="Piping"),"",IF(E300="Exchanger",AQ300*AR300+IF(P300="",0,IF(P300="Conical",PI()/12*(SQRT(4*AQ300/PI()))^2*(0),INDEX(HeadK,MATCH(P300,HeadU,0))*(SQRT(4*AQ300/PI()))^3))-IF(AND(ISNUMBER(S300),ISNUMBER(V300)),S300*PI()/4*AP300^2*V300*INDEX(LenF,MATCH($V$7,LenU,0)),0),IF(ISNUMBER(N300),PI()/4*(N300*INDEX(LenF,MATCH($N$7,LenU,0)))^2*N(O300)*INDEX(LenF,MATCH($O$7,LenU,0))+IF(P300="",0,IF(P300="Conical",PI()/12*(N300*INDEX(LenF,MATCH($N$7,LenU,0)))^2*(N(R300)*INDEX(LenF,MATCH($R$7,LenU,0))),INDEX(HeadK,MATCH(P300,HeadU,0))*(N300*INDEX(LenF,MATCH($N$7,LenU,0)))^3))+IF(Q300="",0,IF(Q300="Conical",PI()/12*(N300*INDEX(LenF,MATCH($N$7,LenU,0)))^2*(N(R300)*INDEX(LenF,MATCH($R$7,LenU,0))),INDEX(HeadK,MATCH(Q300,HeadU,0))*(N300*INDEX(LenF,MATCH($N$7,LenU,0)))^3)),0)))</f>
        <v/>
      </c>
      <c r="AF300" s="41" t="str">
        <f aca="false">IF(E300&lt;&gt;"Piping","",IF(AND(ISNUMBER(AS300),ISNUMBER(M300)),PI()/4*(AS300/1000)^2*M300*INDEX(LenF,MATCH($M$7,LenU,0)),0))</f>
        <v/>
      </c>
      <c r="AG300" s="41" t="str">
        <f aca="false">IF(E300="","",N(AD300)+N(AE300)+N(AF300))</f>
        <v/>
      </c>
      <c r="AH300" s="41" t="str">
        <f aca="false">IF(ISNUMBER(I300),I300*INDEX(WtF,MATCH($I$7,WtU,0))/CC_WaterRho,"")</f>
        <v/>
      </c>
      <c r="AI300" s="31"/>
      <c r="AJ300" s="31"/>
      <c r="AK300" s="40"/>
      <c r="AL300" s="31"/>
      <c r="AM300" s="41" t="str">
        <f aca="false">IF(AO300="","",AO300*IF(ISNUMBER(AK300),AK300,CC_DefFills)*(1+IF(ISNUMBER(AL300),AL300,CC_DefAllow)))</f>
        <v/>
      </c>
      <c r="AN300" s="42" t="str">
        <f aca="false">IF(G300="Given volume",IF(ISNUMBER(H300),H300*INDEX(VolF,MATCH($H$7,VolU,0)),""),IF(G300="Water weight",AH300,IF(N(AG300)=0,"",AG300)))</f>
        <v/>
      </c>
      <c r="AO300" s="42" t="str">
        <f aca="false">IF(N(AN300)=0,"",AN300*AT300*IF(ISNUMBER(AJ300),AJ300,CC_DefCirc))</f>
        <v/>
      </c>
      <c r="AP300" s="27" t="n">
        <f aca="false">IF(ISNUMBER(T300),T300*INDEX(LenF,MATCH($T$7,LenU,0)),IF(ISNUMBER(W300),W300*INDEX(LenF,MATCH($W$7,LenU,0))/CC_PitchRatio,0))</f>
        <v>0</v>
      </c>
      <c r="AQ300" s="27" t="n">
        <f aca="false">IF(ISNUMBER(N300),PI()/4*(N300*INDEX(LenF,MATCH($N$7,LenU,0)))^2,IF(AND(ISNUMBER(S300),ISNUMBER(W300),X300&lt;&gt;""),S300*(W300*INDEX(LenF,MATCH($W$7,LenU,0)))^2*INDEX(LayoutF,MATCH(X300,LayoutU,0)),0))</f>
        <v>0</v>
      </c>
      <c r="AR300" s="27" t="n">
        <f aca="false">IF(ISNUMBER(O300),O300*INDEX(LenF,MATCH($O$7,LenU,0)),IF(ISNUMBER(V300),V300*INDEX(LenF,MATCH($V$7,LenU,0)),0))</f>
        <v>0</v>
      </c>
      <c r="AS300" s="27" t="str">
        <f aca="false">IF(ISNUMBER(L300),L300*INDEX(LenF,MATCH($L$7,LenU,0))*1000,IF(OR(J300="",K300=""),"",IFERROR(IF(INDEX(PipeWT,MATCH(J300,NPSU,0),MATCH(K300,SchU,0))="","Sch n/a",INDEX(PipeOD,MATCH(J300,NPSU,0))-2*INDEX(PipeWT,MATCH(J300,NPSU,0),MATCH(K300,SchU,0))),"")))</f>
        <v/>
      </c>
      <c r="AT300" s="27" t="n">
        <f aca="false">IF(ISNUMBER(AI300),AI300,IFERROR(INDEX(IF(CC_JobType="Decontamination",CC_TypeFillDC,CC_TypeFillCC),MATCH(E300,CC_TypeL,0)),1))</f>
        <v>1</v>
      </c>
      <c r="AU300" s="27" t="n">
        <v>9</v>
      </c>
    </row>
    <row r="301" customFormat="false" ht="15" hidden="false" customHeight="false" outlineLevel="0" collapsed="false">
      <c r="A301" s="36" t="n">
        <v>28</v>
      </c>
      <c r="B301" s="40"/>
      <c r="C301" s="32"/>
      <c r="D301" s="32"/>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1" t="str">
        <f aca="false">IF(E301="Exchanger",IF(AND(ISNUMBER(S301),ISNUMBER(U301),ISNUMBER(V301)),S301*PI()/4*(U301*INDEX(LenF,MATCH($U$7,LenU,0)))^2*V301*INDEX(LenF,MATCH($V$7,LenU,0)),0)+IF(ISNUMBER(Y301),PI()/4*(Y301*INDEX(LenF,MATCH($Y$7,LenU,0)))^2*N(Z301)*INDEX(LenF,MATCH($Z$7,LenU,0))+IF(AA301="",0,IF(AA301="Conical",PI()/12*(Y301*INDEX(LenF,MATCH($Y$7,LenU,0)))^2*(0),INDEX(HeadK,MATCH(AA301,HeadU,0))*(Y301*INDEX(LenF,MATCH($Y$7,LenU,0)))^3)),0)+IF(ISNUMBER(Y301),PI()/4*(Y301*INDEX(LenF,MATCH($Y$7,LenU,0)))^2*N(AB301)*INDEX(LenF,MATCH($AB$7,LenU,0))+IF(AC301="",0,IF(AC301="Conical",PI()/12*(Y301*INDEX(LenF,MATCH($Y$7,LenU,0)))^2*(0),INDEX(HeadK,MATCH(AC301,HeadU,0))*(Y301*INDEX(LenF,MATCH($Y$7,LenU,0)))^3)),0),"")</f>
        <v/>
      </c>
      <c r="AE301" s="41" t="str">
        <f aca="false">IF(OR(E301="",E301="Piping"),"",IF(E301="Exchanger",AQ301*AR301+IF(P301="",0,IF(P301="Conical",PI()/12*(SQRT(4*AQ301/PI()))^2*(0),INDEX(HeadK,MATCH(P301,HeadU,0))*(SQRT(4*AQ301/PI()))^3))-IF(AND(ISNUMBER(S301),ISNUMBER(V301)),S301*PI()/4*AP301^2*V301*INDEX(LenF,MATCH($V$7,LenU,0)),0),IF(ISNUMBER(N301),PI()/4*(N301*INDEX(LenF,MATCH($N$7,LenU,0)))^2*N(O301)*INDEX(LenF,MATCH($O$7,LenU,0))+IF(P301="",0,IF(P301="Conical",PI()/12*(N301*INDEX(LenF,MATCH($N$7,LenU,0)))^2*(N(R301)*INDEX(LenF,MATCH($R$7,LenU,0))),INDEX(HeadK,MATCH(P301,HeadU,0))*(N301*INDEX(LenF,MATCH($N$7,LenU,0)))^3))+IF(Q301="",0,IF(Q301="Conical",PI()/12*(N301*INDEX(LenF,MATCH($N$7,LenU,0)))^2*(N(R301)*INDEX(LenF,MATCH($R$7,LenU,0))),INDEX(HeadK,MATCH(Q301,HeadU,0))*(N301*INDEX(LenF,MATCH($N$7,LenU,0)))^3)),0)))</f>
        <v/>
      </c>
      <c r="AF301" s="41" t="str">
        <f aca="false">IF(E301&lt;&gt;"Piping","",IF(AND(ISNUMBER(AS301),ISNUMBER(M301)),PI()/4*(AS301/1000)^2*M301*INDEX(LenF,MATCH($M$7,LenU,0)),0))</f>
        <v/>
      </c>
      <c r="AG301" s="41" t="str">
        <f aca="false">IF(E301="","",N(AD301)+N(AE301)+N(AF301))</f>
        <v/>
      </c>
      <c r="AH301" s="41" t="str">
        <f aca="false">IF(ISNUMBER(I301),I301*INDEX(WtF,MATCH($I$7,WtU,0))/CC_WaterRho,"")</f>
        <v/>
      </c>
      <c r="AI301" s="31"/>
      <c r="AJ301" s="31"/>
      <c r="AK301" s="40"/>
      <c r="AL301" s="31"/>
      <c r="AM301" s="41" t="str">
        <f aca="false">IF(AO301="","",AO301*IF(ISNUMBER(AK301),AK301,CC_DefFills)*(1+IF(ISNUMBER(AL301),AL301,CC_DefAllow)))</f>
        <v/>
      </c>
      <c r="AN301" s="42" t="str">
        <f aca="false">IF(G301="Given volume",IF(ISNUMBER(H301),H301*INDEX(VolF,MATCH($H$7,VolU,0)),""),IF(G301="Water weight",AH301,IF(N(AG301)=0,"",AG301)))</f>
        <v/>
      </c>
      <c r="AO301" s="42" t="str">
        <f aca="false">IF(N(AN301)=0,"",AN301*AT301*IF(ISNUMBER(AJ301),AJ301,CC_DefCirc))</f>
        <v/>
      </c>
      <c r="AP301" s="27" t="n">
        <f aca="false">IF(ISNUMBER(T301),T301*INDEX(LenF,MATCH($T$7,LenU,0)),IF(ISNUMBER(W301),W301*INDEX(LenF,MATCH($W$7,LenU,0))/CC_PitchRatio,0))</f>
        <v>0</v>
      </c>
      <c r="AQ301" s="27" t="n">
        <f aca="false">IF(ISNUMBER(N301),PI()/4*(N301*INDEX(LenF,MATCH($N$7,LenU,0)))^2,IF(AND(ISNUMBER(S301),ISNUMBER(W301),X301&lt;&gt;""),S301*(W301*INDEX(LenF,MATCH($W$7,LenU,0)))^2*INDEX(LayoutF,MATCH(X301,LayoutU,0)),0))</f>
        <v>0</v>
      </c>
      <c r="AR301" s="27" t="n">
        <f aca="false">IF(ISNUMBER(O301),O301*INDEX(LenF,MATCH($O$7,LenU,0)),IF(ISNUMBER(V301),V301*INDEX(LenF,MATCH($V$7,LenU,0)),0))</f>
        <v>0</v>
      </c>
      <c r="AS301" s="27" t="str">
        <f aca="false">IF(ISNUMBER(L301),L301*INDEX(LenF,MATCH($L$7,LenU,0))*1000,IF(OR(J301="",K301=""),"",IFERROR(IF(INDEX(PipeWT,MATCH(J301,NPSU,0),MATCH(K301,SchU,0))="","Sch n/a",INDEX(PipeOD,MATCH(J301,NPSU,0))-2*INDEX(PipeWT,MATCH(J301,NPSU,0),MATCH(K301,SchU,0))),"")))</f>
        <v/>
      </c>
      <c r="AT301" s="27" t="n">
        <f aca="false">IF(ISNUMBER(AI301),AI301,IFERROR(INDEX(IF(CC_JobType="Decontamination",CC_TypeFillDC,CC_TypeFillCC),MATCH(E301,CC_TypeL,0)),1))</f>
        <v>1</v>
      </c>
      <c r="AU301" s="27" t="n">
        <v>9</v>
      </c>
    </row>
    <row r="302" customFormat="false" ht="15" hidden="false" customHeight="false" outlineLevel="0" collapsed="false">
      <c r="A302" s="36" t="n">
        <v>29</v>
      </c>
      <c r="B302" s="40"/>
      <c r="C302" s="32"/>
      <c r="D302" s="32"/>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1" t="str">
        <f aca="false">IF(E302="Exchanger",IF(AND(ISNUMBER(S302),ISNUMBER(U302),ISNUMBER(V302)),S302*PI()/4*(U302*INDEX(LenF,MATCH($U$7,LenU,0)))^2*V302*INDEX(LenF,MATCH($V$7,LenU,0)),0)+IF(ISNUMBER(Y302),PI()/4*(Y302*INDEX(LenF,MATCH($Y$7,LenU,0)))^2*N(Z302)*INDEX(LenF,MATCH($Z$7,LenU,0))+IF(AA302="",0,IF(AA302="Conical",PI()/12*(Y302*INDEX(LenF,MATCH($Y$7,LenU,0)))^2*(0),INDEX(HeadK,MATCH(AA302,HeadU,0))*(Y302*INDEX(LenF,MATCH($Y$7,LenU,0)))^3)),0)+IF(ISNUMBER(Y302),PI()/4*(Y302*INDEX(LenF,MATCH($Y$7,LenU,0)))^2*N(AB302)*INDEX(LenF,MATCH($AB$7,LenU,0))+IF(AC302="",0,IF(AC302="Conical",PI()/12*(Y302*INDEX(LenF,MATCH($Y$7,LenU,0)))^2*(0),INDEX(HeadK,MATCH(AC302,HeadU,0))*(Y302*INDEX(LenF,MATCH($Y$7,LenU,0)))^3)),0),"")</f>
        <v/>
      </c>
      <c r="AE302" s="41" t="str">
        <f aca="false">IF(OR(E302="",E302="Piping"),"",IF(E302="Exchanger",AQ302*AR302+IF(P302="",0,IF(P302="Conical",PI()/12*(SQRT(4*AQ302/PI()))^2*(0),INDEX(HeadK,MATCH(P302,HeadU,0))*(SQRT(4*AQ302/PI()))^3))-IF(AND(ISNUMBER(S302),ISNUMBER(V302)),S302*PI()/4*AP302^2*V302*INDEX(LenF,MATCH($V$7,LenU,0)),0),IF(ISNUMBER(N302),PI()/4*(N302*INDEX(LenF,MATCH($N$7,LenU,0)))^2*N(O302)*INDEX(LenF,MATCH($O$7,LenU,0))+IF(P302="",0,IF(P302="Conical",PI()/12*(N302*INDEX(LenF,MATCH($N$7,LenU,0)))^2*(N(R302)*INDEX(LenF,MATCH($R$7,LenU,0))),INDEX(HeadK,MATCH(P302,HeadU,0))*(N302*INDEX(LenF,MATCH($N$7,LenU,0)))^3))+IF(Q302="",0,IF(Q302="Conical",PI()/12*(N302*INDEX(LenF,MATCH($N$7,LenU,0)))^2*(N(R302)*INDEX(LenF,MATCH($R$7,LenU,0))),INDEX(HeadK,MATCH(Q302,HeadU,0))*(N302*INDEX(LenF,MATCH($N$7,LenU,0)))^3)),0)))</f>
        <v/>
      </c>
      <c r="AF302" s="41" t="str">
        <f aca="false">IF(E302&lt;&gt;"Piping","",IF(AND(ISNUMBER(AS302),ISNUMBER(M302)),PI()/4*(AS302/1000)^2*M302*INDEX(LenF,MATCH($M$7,LenU,0)),0))</f>
        <v/>
      </c>
      <c r="AG302" s="41" t="str">
        <f aca="false">IF(E302="","",N(AD302)+N(AE302)+N(AF302))</f>
        <v/>
      </c>
      <c r="AH302" s="41" t="str">
        <f aca="false">IF(ISNUMBER(I302),I302*INDEX(WtF,MATCH($I$7,WtU,0))/CC_WaterRho,"")</f>
        <v/>
      </c>
      <c r="AI302" s="31"/>
      <c r="AJ302" s="31"/>
      <c r="AK302" s="40"/>
      <c r="AL302" s="31"/>
      <c r="AM302" s="41" t="str">
        <f aca="false">IF(AO302="","",AO302*IF(ISNUMBER(AK302),AK302,CC_DefFills)*(1+IF(ISNUMBER(AL302),AL302,CC_DefAllow)))</f>
        <v/>
      </c>
      <c r="AN302" s="42" t="str">
        <f aca="false">IF(G302="Given volume",IF(ISNUMBER(H302),H302*INDEX(VolF,MATCH($H$7,VolU,0)),""),IF(G302="Water weight",AH302,IF(N(AG302)=0,"",AG302)))</f>
        <v/>
      </c>
      <c r="AO302" s="42" t="str">
        <f aca="false">IF(N(AN302)=0,"",AN302*AT302*IF(ISNUMBER(AJ302),AJ302,CC_DefCirc))</f>
        <v/>
      </c>
      <c r="AP302" s="27" t="n">
        <f aca="false">IF(ISNUMBER(T302),T302*INDEX(LenF,MATCH($T$7,LenU,0)),IF(ISNUMBER(W302),W302*INDEX(LenF,MATCH($W$7,LenU,0))/CC_PitchRatio,0))</f>
        <v>0</v>
      </c>
      <c r="AQ302" s="27" t="n">
        <f aca="false">IF(ISNUMBER(N302),PI()/4*(N302*INDEX(LenF,MATCH($N$7,LenU,0)))^2,IF(AND(ISNUMBER(S302),ISNUMBER(W302),X302&lt;&gt;""),S302*(W302*INDEX(LenF,MATCH($W$7,LenU,0)))^2*INDEX(LayoutF,MATCH(X302,LayoutU,0)),0))</f>
        <v>0</v>
      </c>
      <c r="AR302" s="27" t="n">
        <f aca="false">IF(ISNUMBER(O302),O302*INDEX(LenF,MATCH($O$7,LenU,0)),IF(ISNUMBER(V302),V302*INDEX(LenF,MATCH($V$7,LenU,0)),0))</f>
        <v>0</v>
      </c>
      <c r="AS302" s="27" t="str">
        <f aca="false">IF(ISNUMBER(L302),L302*INDEX(LenF,MATCH($L$7,LenU,0))*1000,IF(OR(J302="",K302=""),"",IFERROR(IF(INDEX(PipeWT,MATCH(J302,NPSU,0),MATCH(K302,SchU,0))="","Sch n/a",INDEX(PipeOD,MATCH(J302,NPSU,0))-2*INDEX(PipeWT,MATCH(J302,NPSU,0),MATCH(K302,SchU,0))),"")))</f>
        <v/>
      </c>
      <c r="AT302" s="27" t="n">
        <f aca="false">IF(ISNUMBER(AI302),AI302,IFERROR(INDEX(IF(CC_JobType="Decontamination",CC_TypeFillDC,CC_TypeFillCC),MATCH(E302,CC_TypeL,0)),1))</f>
        <v>1</v>
      </c>
      <c r="AU302" s="27" t="n">
        <v>9</v>
      </c>
    </row>
    <row r="303" customFormat="false" ht="15" hidden="false" customHeight="false" outlineLevel="0" collapsed="false">
      <c r="A303" s="36" t="n">
        <v>30</v>
      </c>
      <c r="B303" s="40"/>
      <c r="C303" s="32"/>
      <c r="D303" s="32"/>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1" t="str">
        <f aca="false">IF(E303="Exchanger",IF(AND(ISNUMBER(S303),ISNUMBER(U303),ISNUMBER(V303)),S303*PI()/4*(U303*INDEX(LenF,MATCH($U$7,LenU,0)))^2*V303*INDEX(LenF,MATCH($V$7,LenU,0)),0)+IF(ISNUMBER(Y303),PI()/4*(Y303*INDEX(LenF,MATCH($Y$7,LenU,0)))^2*N(Z303)*INDEX(LenF,MATCH($Z$7,LenU,0))+IF(AA303="",0,IF(AA303="Conical",PI()/12*(Y303*INDEX(LenF,MATCH($Y$7,LenU,0)))^2*(0),INDEX(HeadK,MATCH(AA303,HeadU,0))*(Y303*INDEX(LenF,MATCH($Y$7,LenU,0)))^3)),0)+IF(ISNUMBER(Y303),PI()/4*(Y303*INDEX(LenF,MATCH($Y$7,LenU,0)))^2*N(AB303)*INDEX(LenF,MATCH($AB$7,LenU,0))+IF(AC303="",0,IF(AC303="Conical",PI()/12*(Y303*INDEX(LenF,MATCH($Y$7,LenU,0)))^2*(0),INDEX(HeadK,MATCH(AC303,HeadU,0))*(Y303*INDEX(LenF,MATCH($Y$7,LenU,0)))^3)),0),"")</f>
        <v/>
      </c>
      <c r="AE303" s="41" t="str">
        <f aca="false">IF(OR(E303="",E303="Piping"),"",IF(E303="Exchanger",AQ303*AR303+IF(P303="",0,IF(P303="Conical",PI()/12*(SQRT(4*AQ303/PI()))^2*(0),INDEX(HeadK,MATCH(P303,HeadU,0))*(SQRT(4*AQ303/PI()))^3))-IF(AND(ISNUMBER(S303),ISNUMBER(V303)),S303*PI()/4*AP303^2*V303*INDEX(LenF,MATCH($V$7,LenU,0)),0),IF(ISNUMBER(N303),PI()/4*(N303*INDEX(LenF,MATCH($N$7,LenU,0)))^2*N(O303)*INDEX(LenF,MATCH($O$7,LenU,0))+IF(P303="",0,IF(P303="Conical",PI()/12*(N303*INDEX(LenF,MATCH($N$7,LenU,0)))^2*(N(R303)*INDEX(LenF,MATCH($R$7,LenU,0))),INDEX(HeadK,MATCH(P303,HeadU,0))*(N303*INDEX(LenF,MATCH($N$7,LenU,0)))^3))+IF(Q303="",0,IF(Q303="Conical",PI()/12*(N303*INDEX(LenF,MATCH($N$7,LenU,0)))^2*(N(R303)*INDEX(LenF,MATCH($R$7,LenU,0))),INDEX(HeadK,MATCH(Q303,HeadU,0))*(N303*INDEX(LenF,MATCH($N$7,LenU,0)))^3)),0)))</f>
        <v/>
      </c>
      <c r="AF303" s="41" t="str">
        <f aca="false">IF(E303&lt;&gt;"Piping","",IF(AND(ISNUMBER(AS303),ISNUMBER(M303)),PI()/4*(AS303/1000)^2*M303*INDEX(LenF,MATCH($M$7,LenU,0)),0))</f>
        <v/>
      </c>
      <c r="AG303" s="41" t="str">
        <f aca="false">IF(E303="","",N(AD303)+N(AE303)+N(AF303))</f>
        <v/>
      </c>
      <c r="AH303" s="41" t="str">
        <f aca="false">IF(ISNUMBER(I303),I303*INDEX(WtF,MATCH($I$7,WtU,0))/CC_WaterRho,"")</f>
        <v/>
      </c>
      <c r="AI303" s="31"/>
      <c r="AJ303" s="31"/>
      <c r="AK303" s="40"/>
      <c r="AL303" s="31"/>
      <c r="AM303" s="41" t="str">
        <f aca="false">IF(AO303="","",AO303*IF(ISNUMBER(AK303),AK303,CC_DefFills)*(1+IF(ISNUMBER(AL303),AL303,CC_DefAllow)))</f>
        <v/>
      </c>
      <c r="AN303" s="42" t="str">
        <f aca="false">IF(G303="Given volume",IF(ISNUMBER(H303),H303*INDEX(VolF,MATCH($H$7,VolU,0)),""),IF(G303="Water weight",AH303,IF(N(AG303)=0,"",AG303)))</f>
        <v/>
      </c>
      <c r="AO303" s="42" t="str">
        <f aca="false">IF(N(AN303)=0,"",AN303*AT303*IF(ISNUMBER(AJ303),AJ303,CC_DefCirc))</f>
        <v/>
      </c>
      <c r="AP303" s="27" t="n">
        <f aca="false">IF(ISNUMBER(T303),T303*INDEX(LenF,MATCH($T$7,LenU,0)),IF(ISNUMBER(W303),W303*INDEX(LenF,MATCH($W$7,LenU,0))/CC_PitchRatio,0))</f>
        <v>0</v>
      </c>
      <c r="AQ303" s="27" t="n">
        <f aca="false">IF(ISNUMBER(N303),PI()/4*(N303*INDEX(LenF,MATCH($N$7,LenU,0)))^2,IF(AND(ISNUMBER(S303),ISNUMBER(W303),X303&lt;&gt;""),S303*(W303*INDEX(LenF,MATCH($W$7,LenU,0)))^2*INDEX(LayoutF,MATCH(X303,LayoutU,0)),0))</f>
        <v>0</v>
      </c>
      <c r="AR303" s="27" t="n">
        <f aca="false">IF(ISNUMBER(O303),O303*INDEX(LenF,MATCH($O$7,LenU,0)),IF(ISNUMBER(V303),V303*INDEX(LenF,MATCH($V$7,LenU,0)),0))</f>
        <v>0</v>
      </c>
      <c r="AS303" s="27" t="str">
        <f aca="false">IF(ISNUMBER(L303),L303*INDEX(LenF,MATCH($L$7,LenU,0))*1000,IF(OR(J303="",K303=""),"",IFERROR(IF(INDEX(PipeWT,MATCH(J303,NPSU,0),MATCH(K303,SchU,0))="","Sch n/a",INDEX(PipeOD,MATCH(J303,NPSU,0))-2*INDEX(PipeWT,MATCH(J303,NPSU,0),MATCH(K303,SchU,0))),"")))</f>
        <v/>
      </c>
      <c r="AT303" s="27" t="n">
        <f aca="false">IF(ISNUMBER(AI303),AI303,IFERROR(INDEX(IF(CC_JobType="Decontamination",CC_TypeFillDC,CC_TypeFillCC),MATCH(E303,CC_TypeL,0)),1))</f>
        <v>1</v>
      </c>
      <c r="AU303" s="27" t="n">
        <v>9</v>
      </c>
    </row>
    <row r="304" customFormat="false" ht="15" hidden="false" customHeight="false" outlineLevel="0" collapsed="false">
      <c r="A304" s="44" t="str">
        <f aca="false">"TOTAL – "&amp;INDEX(CC_UnitNames,9)</f>
        <v>TOTAL – Unit 9</v>
      </c>
      <c r="B304" s="44"/>
      <c r="C304" s="44"/>
      <c r="D304" s="44"/>
      <c r="E304" s="45"/>
      <c r="F304" s="45"/>
      <c r="G304" s="45"/>
      <c r="H304" s="45"/>
      <c r="I304" s="45"/>
      <c r="J304" s="45"/>
      <c r="K304" s="45"/>
      <c r="L304" s="45"/>
      <c r="M304" s="45"/>
      <c r="N304" s="45"/>
      <c r="O304" s="45"/>
      <c r="P304" s="45"/>
      <c r="Q304" s="45"/>
      <c r="R304" s="45"/>
      <c r="S304" s="46" t="str">
        <f aca="false">COUNT(AN274:AN303)&amp;" items"</f>
        <v>0 items</v>
      </c>
      <c r="T304" s="45"/>
      <c r="U304" s="45"/>
      <c r="V304" s="45"/>
      <c r="W304" s="45"/>
      <c r="X304" s="45"/>
      <c r="Y304" s="45"/>
      <c r="Z304" s="45"/>
      <c r="AA304" s="45"/>
      <c r="AB304" s="45"/>
      <c r="AC304" s="45"/>
      <c r="AD304" s="47" t="n">
        <f aca="false">SUM(AD274:AD303)</f>
        <v>0</v>
      </c>
      <c r="AE304" s="47" t="n">
        <f aca="false">SUM(AE274:AE303)</f>
        <v>0</v>
      </c>
      <c r="AF304" s="47" t="n">
        <f aca="false">SUM(AF274:AF303)</f>
        <v>0</v>
      </c>
      <c r="AG304" s="47" t="n">
        <f aca="false">SUM(AG274:AG303)</f>
        <v>0</v>
      </c>
      <c r="AH304" s="47" t="n">
        <f aca="false">SUM(AH274:AH303)</f>
        <v>0</v>
      </c>
      <c r="AI304" s="45"/>
      <c r="AJ304" s="45"/>
      <c r="AK304" s="45"/>
      <c r="AL304" s="45"/>
      <c r="AM304" s="47" t="n">
        <f aca="false">SUM(AM274:AM303)</f>
        <v>0</v>
      </c>
      <c r="AN304" s="47" t="n">
        <f aca="false">SUM(AN274:AN303)</f>
        <v>0</v>
      </c>
      <c r="AO304" s="47" t="n">
        <f aca="false">SUM(AO274:AO303)</f>
        <v>0</v>
      </c>
    </row>
    <row r="306" customFormat="false" ht="15" hidden="false" customHeight="false" outlineLevel="0" collapsed="false">
      <c r="A306" s="38" t="str">
        <f aca="false">"UNIT 10:  "&amp;INDEX(CC_UnitNames,10)</f>
        <v>UNIT 10:  Unit 10</v>
      </c>
      <c r="B306" s="38"/>
      <c r="C306" s="38"/>
      <c r="D306" s="38"/>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row>
    <row r="307" customFormat="false" ht="15" hidden="false" customHeight="false" outlineLevel="0" collapsed="false">
      <c r="A307" s="36" t="n">
        <v>1</v>
      </c>
      <c r="B307" s="40"/>
      <c r="C307" s="32"/>
      <c r="D307" s="32"/>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1" t="str">
        <f aca="false">IF(E307="Exchanger",IF(AND(ISNUMBER(S307),ISNUMBER(U307),ISNUMBER(V307)),S307*PI()/4*(U307*INDEX(LenF,MATCH($U$7,LenU,0)))^2*V307*INDEX(LenF,MATCH($V$7,LenU,0)),0)+IF(ISNUMBER(Y307),PI()/4*(Y307*INDEX(LenF,MATCH($Y$7,LenU,0)))^2*N(Z307)*INDEX(LenF,MATCH($Z$7,LenU,0))+IF(AA307="",0,IF(AA307="Conical",PI()/12*(Y307*INDEX(LenF,MATCH($Y$7,LenU,0)))^2*(0),INDEX(HeadK,MATCH(AA307,HeadU,0))*(Y307*INDEX(LenF,MATCH($Y$7,LenU,0)))^3)),0)+IF(ISNUMBER(Y307),PI()/4*(Y307*INDEX(LenF,MATCH($Y$7,LenU,0)))^2*N(AB307)*INDEX(LenF,MATCH($AB$7,LenU,0))+IF(AC307="",0,IF(AC307="Conical",PI()/12*(Y307*INDEX(LenF,MATCH($Y$7,LenU,0)))^2*(0),INDEX(HeadK,MATCH(AC307,HeadU,0))*(Y307*INDEX(LenF,MATCH($Y$7,LenU,0)))^3)),0),"")</f>
        <v/>
      </c>
      <c r="AE307" s="41" t="str">
        <f aca="false">IF(OR(E307="",E307="Piping"),"",IF(E307="Exchanger",AQ307*AR307+IF(P307="",0,IF(P307="Conical",PI()/12*(SQRT(4*AQ307/PI()))^2*(0),INDEX(HeadK,MATCH(P307,HeadU,0))*(SQRT(4*AQ307/PI()))^3))-IF(AND(ISNUMBER(S307),ISNUMBER(V307)),S307*PI()/4*AP307^2*V307*INDEX(LenF,MATCH($V$7,LenU,0)),0),IF(ISNUMBER(N307),PI()/4*(N307*INDEX(LenF,MATCH($N$7,LenU,0)))^2*N(O307)*INDEX(LenF,MATCH($O$7,LenU,0))+IF(P307="",0,IF(P307="Conical",PI()/12*(N307*INDEX(LenF,MATCH($N$7,LenU,0)))^2*(N(R307)*INDEX(LenF,MATCH($R$7,LenU,0))),INDEX(HeadK,MATCH(P307,HeadU,0))*(N307*INDEX(LenF,MATCH($N$7,LenU,0)))^3))+IF(Q307="",0,IF(Q307="Conical",PI()/12*(N307*INDEX(LenF,MATCH($N$7,LenU,0)))^2*(N(R307)*INDEX(LenF,MATCH($R$7,LenU,0))),INDEX(HeadK,MATCH(Q307,HeadU,0))*(N307*INDEX(LenF,MATCH($N$7,LenU,0)))^3)),0)))</f>
        <v/>
      </c>
      <c r="AF307" s="41" t="str">
        <f aca="false">IF(E307&lt;&gt;"Piping","",IF(AND(ISNUMBER(AS307),ISNUMBER(M307)),PI()/4*(AS307/1000)^2*M307*INDEX(LenF,MATCH($M$7,LenU,0)),0))</f>
        <v/>
      </c>
      <c r="AG307" s="41" t="str">
        <f aca="false">IF(E307="","",N(AD307)+N(AE307)+N(AF307))</f>
        <v/>
      </c>
      <c r="AH307" s="41" t="str">
        <f aca="false">IF(ISNUMBER(I307),I307*INDEX(WtF,MATCH($I$7,WtU,0))/CC_WaterRho,"")</f>
        <v/>
      </c>
      <c r="AI307" s="31"/>
      <c r="AJ307" s="31"/>
      <c r="AK307" s="40"/>
      <c r="AL307" s="31"/>
      <c r="AM307" s="41" t="str">
        <f aca="false">IF(AO307="","",AO307*IF(ISNUMBER(AK307),AK307,CC_DefFills)*(1+IF(ISNUMBER(AL307),AL307,CC_DefAllow)))</f>
        <v/>
      </c>
      <c r="AN307" s="42" t="str">
        <f aca="false">IF(G307="Given volume",IF(ISNUMBER(H307),H307*INDEX(VolF,MATCH($H$7,VolU,0)),""),IF(G307="Water weight",AH307,IF(N(AG307)=0,"",AG307)))</f>
        <v/>
      </c>
      <c r="AO307" s="42" t="str">
        <f aca="false">IF(N(AN307)=0,"",AN307*AT307*IF(ISNUMBER(AJ307),AJ307,CC_DefCirc))</f>
        <v/>
      </c>
      <c r="AP307" s="27" t="n">
        <f aca="false">IF(ISNUMBER(T307),T307*INDEX(LenF,MATCH($T$7,LenU,0)),IF(ISNUMBER(W307),W307*INDEX(LenF,MATCH($W$7,LenU,0))/CC_PitchRatio,0))</f>
        <v>0</v>
      </c>
      <c r="AQ307" s="27" t="n">
        <f aca="false">IF(ISNUMBER(N307),PI()/4*(N307*INDEX(LenF,MATCH($N$7,LenU,0)))^2,IF(AND(ISNUMBER(S307),ISNUMBER(W307),X307&lt;&gt;""),S307*(W307*INDEX(LenF,MATCH($W$7,LenU,0)))^2*INDEX(LayoutF,MATCH(X307,LayoutU,0)),0))</f>
        <v>0</v>
      </c>
      <c r="AR307" s="27" t="n">
        <f aca="false">IF(ISNUMBER(O307),O307*INDEX(LenF,MATCH($O$7,LenU,0)),IF(ISNUMBER(V307),V307*INDEX(LenF,MATCH($V$7,LenU,0)),0))</f>
        <v>0</v>
      </c>
      <c r="AS307" s="27" t="str">
        <f aca="false">IF(ISNUMBER(L307),L307*INDEX(LenF,MATCH($L$7,LenU,0))*1000,IF(OR(J307="",K307=""),"",IFERROR(IF(INDEX(PipeWT,MATCH(J307,NPSU,0),MATCH(K307,SchU,0))="","Sch n/a",INDEX(PipeOD,MATCH(J307,NPSU,0))-2*INDEX(PipeWT,MATCH(J307,NPSU,0),MATCH(K307,SchU,0))),"")))</f>
        <v/>
      </c>
      <c r="AT307" s="27" t="n">
        <f aca="false">IF(ISNUMBER(AI307),AI307,IFERROR(INDEX(IF(CC_JobType="Decontamination",CC_TypeFillDC,CC_TypeFillCC),MATCH(E307,CC_TypeL,0)),1))</f>
        <v>1</v>
      </c>
      <c r="AU307" s="27" t="n">
        <v>10</v>
      </c>
    </row>
    <row r="308" customFormat="false" ht="15" hidden="false" customHeight="false" outlineLevel="0" collapsed="false">
      <c r="A308" s="36" t="n">
        <v>2</v>
      </c>
      <c r="B308" s="40"/>
      <c r="C308" s="32"/>
      <c r="D308" s="32"/>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1" t="str">
        <f aca="false">IF(E308="Exchanger",IF(AND(ISNUMBER(S308),ISNUMBER(U308),ISNUMBER(V308)),S308*PI()/4*(U308*INDEX(LenF,MATCH($U$7,LenU,0)))^2*V308*INDEX(LenF,MATCH($V$7,LenU,0)),0)+IF(ISNUMBER(Y308),PI()/4*(Y308*INDEX(LenF,MATCH($Y$7,LenU,0)))^2*N(Z308)*INDEX(LenF,MATCH($Z$7,LenU,0))+IF(AA308="",0,IF(AA308="Conical",PI()/12*(Y308*INDEX(LenF,MATCH($Y$7,LenU,0)))^2*(0),INDEX(HeadK,MATCH(AA308,HeadU,0))*(Y308*INDEX(LenF,MATCH($Y$7,LenU,0)))^3)),0)+IF(ISNUMBER(Y308),PI()/4*(Y308*INDEX(LenF,MATCH($Y$7,LenU,0)))^2*N(AB308)*INDEX(LenF,MATCH($AB$7,LenU,0))+IF(AC308="",0,IF(AC308="Conical",PI()/12*(Y308*INDEX(LenF,MATCH($Y$7,LenU,0)))^2*(0),INDEX(HeadK,MATCH(AC308,HeadU,0))*(Y308*INDEX(LenF,MATCH($Y$7,LenU,0)))^3)),0),"")</f>
        <v/>
      </c>
      <c r="AE308" s="41" t="str">
        <f aca="false">IF(OR(E308="",E308="Piping"),"",IF(E308="Exchanger",AQ308*AR308+IF(P308="",0,IF(P308="Conical",PI()/12*(SQRT(4*AQ308/PI()))^2*(0),INDEX(HeadK,MATCH(P308,HeadU,0))*(SQRT(4*AQ308/PI()))^3))-IF(AND(ISNUMBER(S308),ISNUMBER(V308)),S308*PI()/4*AP308^2*V308*INDEX(LenF,MATCH($V$7,LenU,0)),0),IF(ISNUMBER(N308),PI()/4*(N308*INDEX(LenF,MATCH($N$7,LenU,0)))^2*N(O308)*INDEX(LenF,MATCH($O$7,LenU,0))+IF(P308="",0,IF(P308="Conical",PI()/12*(N308*INDEX(LenF,MATCH($N$7,LenU,0)))^2*(N(R308)*INDEX(LenF,MATCH($R$7,LenU,0))),INDEX(HeadK,MATCH(P308,HeadU,0))*(N308*INDEX(LenF,MATCH($N$7,LenU,0)))^3))+IF(Q308="",0,IF(Q308="Conical",PI()/12*(N308*INDEX(LenF,MATCH($N$7,LenU,0)))^2*(N(R308)*INDEX(LenF,MATCH($R$7,LenU,0))),INDEX(HeadK,MATCH(Q308,HeadU,0))*(N308*INDEX(LenF,MATCH($N$7,LenU,0)))^3)),0)))</f>
        <v/>
      </c>
      <c r="AF308" s="41" t="str">
        <f aca="false">IF(E308&lt;&gt;"Piping","",IF(AND(ISNUMBER(AS308),ISNUMBER(M308)),PI()/4*(AS308/1000)^2*M308*INDEX(LenF,MATCH($M$7,LenU,0)),0))</f>
        <v/>
      </c>
      <c r="AG308" s="41" t="str">
        <f aca="false">IF(E308="","",N(AD308)+N(AE308)+N(AF308))</f>
        <v/>
      </c>
      <c r="AH308" s="41" t="str">
        <f aca="false">IF(ISNUMBER(I308),I308*INDEX(WtF,MATCH($I$7,WtU,0))/CC_WaterRho,"")</f>
        <v/>
      </c>
      <c r="AI308" s="31"/>
      <c r="AJ308" s="31"/>
      <c r="AK308" s="40"/>
      <c r="AL308" s="31"/>
      <c r="AM308" s="41" t="str">
        <f aca="false">IF(AO308="","",AO308*IF(ISNUMBER(AK308),AK308,CC_DefFills)*(1+IF(ISNUMBER(AL308),AL308,CC_DefAllow)))</f>
        <v/>
      </c>
      <c r="AN308" s="42" t="str">
        <f aca="false">IF(G308="Given volume",IF(ISNUMBER(H308),H308*INDEX(VolF,MATCH($H$7,VolU,0)),""),IF(G308="Water weight",AH308,IF(N(AG308)=0,"",AG308)))</f>
        <v/>
      </c>
      <c r="AO308" s="42" t="str">
        <f aca="false">IF(N(AN308)=0,"",AN308*AT308*IF(ISNUMBER(AJ308),AJ308,CC_DefCirc))</f>
        <v/>
      </c>
      <c r="AP308" s="27" t="n">
        <f aca="false">IF(ISNUMBER(T308),T308*INDEX(LenF,MATCH($T$7,LenU,0)),IF(ISNUMBER(W308),W308*INDEX(LenF,MATCH($W$7,LenU,0))/CC_PitchRatio,0))</f>
        <v>0</v>
      </c>
      <c r="AQ308" s="27" t="n">
        <f aca="false">IF(ISNUMBER(N308),PI()/4*(N308*INDEX(LenF,MATCH($N$7,LenU,0)))^2,IF(AND(ISNUMBER(S308),ISNUMBER(W308),X308&lt;&gt;""),S308*(W308*INDEX(LenF,MATCH($W$7,LenU,0)))^2*INDEX(LayoutF,MATCH(X308,LayoutU,0)),0))</f>
        <v>0</v>
      </c>
      <c r="AR308" s="27" t="n">
        <f aca="false">IF(ISNUMBER(O308),O308*INDEX(LenF,MATCH($O$7,LenU,0)),IF(ISNUMBER(V308),V308*INDEX(LenF,MATCH($V$7,LenU,0)),0))</f>
        <v>0</v>
      </c>
      <c r="AS308" s="27" t="str">
        <f aca="false">IF(ISNUMBER(L308),L308*INDEX(LenF,MATCH($L$7,LenU,0))*1000,IF(OR(J308="",K308=""),"",IFERROR(IF(INDEX(PipeWT,MATCH(J308,NPSU,0),MATCH(K308,SchU,0))="","Sch n/a",INDEX(PipeOD,MATCH(J308,NPSU,0))-2*INDEX(PipeWT,MATCH(J308,NPSU,0),MATCH(K308,SchU,0))),"")))</f>
        <v/>
      </c>
      <c r="AT308" s="27" t="n">
        <f aca="false">IF(ISNUMBER(AI308),AI308,IFERROR(INDEX(IF(CC_JobType="Decontamination",CC_TypeFillDC,CC_TypeFillCC),MATCH(E308,CC_TypeL,0)),1))</f>
        <v>1</v>
      </c>
      <c r="AU308" s="27" t="n">
        <v>10</v>
      </c>
    </row>
    <row r="309" customFormat="false" ht="15" hidden="false" customHeight="false" outlineLevel="0" collapsed="false">
      <c r="A309" s="36" t="n">
        <v>3</v>
      </c>
      <c r="B309" s="40"/>
      <c r="C309" s="32"/>
      <c r="D309" s="32"/>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1" t="str">
        <f aca="false">IF(E309="Exchanger",IF(AND(ISNUMBER(S309),ISNUMBER(U309),ISNUMBER(V309)),S309*PI()/4*(U309*INDEX(LenF,MATCH($U$7,LenU,0)))^2*V309*INDEX(LenF,MATCH($V$7,LenU,0)),0)+IF(ISNUMBER(Y309),PI()/4*(Y309*INDEX(LenF,MATCH($Y$7,LenU,0)))^2*N(Z309)*INDEX(LenF,MATCH($Z$7,LenU,0))+IF(AA309="",0,IF(AA309="Conical",PI()/12*(Y309*INDEX(LenF,MATCH($Y$7,LenU,0)))^2*(0),INDEX(HeadK,MATCH(AA309,HeadU,0))*(Y309*INDEX(LenF,MATCH($Y$7,LenU,0)))^3)),0)+IF(ISNUMBER(Y309),PI()/4*(Y309*INDEX(LenF,MATCH($Y$7,LenU,0)))^2*N(AB309)*INDEX(LenF,MATCH($AB$7,LenU,0))+IF(AC309="",0,IF(AC309="Conical",PI()/12*(Y309*INDEX(LenF,MATCH($Y$7,LenU,0)))^2*(0),INDEX(HeadK,MATCH(AC309,HeadU,0))*(Y309*INDEX(LenF,MATCH($Y$7,LenU,0)))^3)),0),"")</f>
        <v/>
      </c>
      <c r="AE309" s="41" t="str">
        <f aca="false">IF(OR(E309="",E309="Piping"),"",IF(E309="Exchanger",AQ309*AR309+IF(P309="",0,IF(P309="Conical",PI()/12*(SQRT(4*AQ309/PI()))^2*(0),INDEX(HeadK,MATCH(P309,HeadU,0))*(SQRT(4*AQ309/PI()))^3))-IF(AND(ISNUMBER(S309),ISNUMBER(V309)),S309*PI()/4*AP309^2*V309*INDEX(LenF,MATCH($V$7,LenU,0)),0),IF(ISNUMBER(N309),PI()/4*(N309*INDEX(LenF,MATCH($N$7,LenU,0)))^2*N(O309)*INDEX(LenF,MATCH($O$7,LenU,0))+IF(P309="",0,IF(P309="Conical",PI()/12*(N309*INDEX(LenF,MATCH($N$7,LenU,0)))^2*(N(R309)*INDEX(LenF,MATCH($R$7,LenU,0))),INDEX(HeadK,MATCH(P309,HeadU,0))*(N309*INDEX(LenF,MATCH($N$7,LenU,0)))^3))+IF(Q309="",0,IF(Q309="Conical",PI()/12*(N309*INDEX(LenF,MATCH($N$7,LenU,0)))^2*(N(R309)*INDEX(LenF,MATCH($R$7,LenU,0))),INDEX(HeadK,MATCH(Q309,HeadU,0))*(N309*INDEX(LenF,MATCH($N$7,LenU,0)))^3)),0)))</f>
        <v/>
      </c>
      <c r="AF309" s="41" t="str">
        <f aca="false">IF(E309&lt;&gt;"Piping","",IF(AND(ISNUMBER(AS309),ISNUMBER(M309)),PI()/4*(AS309/1000)^2*M309*INDEX(LenF,MATCH($M$7,LenU,0)),0))</f>
        <v/>
      </c>
      <c r="AG309" s="41" t="str">
        <f aca="false">IF(E309="","",N(AD309)+N(AE309)+N(AF309))</f>
        <v/>
      </c>
      <c r="AH309" s="41" t="str">
        <f aca="false">IF(ISNUMBER(I309),I309*INDEX(WtF,MATCH($I$7,WtU,0))/CC_WaterRho,"")</f>
        <v/>
      </c>
      <c r="AI309" s="31"/>
      <c r="AJ309" s="31"/>
      <c r="AK309" s="40"/>
      <c r="AL309" s="31"/>
      <c r="AM309" s="41" t="str">
        <f aca="false">IF(AO309="","",AO309*IF(ISNUMBER(AK309),AK309,CC_DefFills)*(1+IF(ISNUMBER(AL309),AL309,CC_DefAllow)))</f>
        <v/>
      </c>
      <c r="AN309" s="42" t="str">
        <f aca="false">IF(G309="Given volume",IF(ISNUMBER(H309),H309*INDEX(VolF,MATCH($H$7,VolU,0)),""),IF(G309="Water weight",AH309,IF(N(AG309)=0,"",AG309)))</f>
        <v/>
      </c>
      <c r="AO309" s="42" t="str">
        <f aca="false">IF(N(AN309)=0,"",AN309*AT309*IF(ISNUMBER(AJ309),AJ309,CC_DefCirc))</f>
        <v/>
      </c>
      <c r="AP309" s="27" t="n">
        <f aca="false">IF(ISNUMBER(T309),T309*INDEX(LenF,MATCH($T$7,LenU,0)),IF(ISNUMBER(W309),W309*INDEX(LenF,MATCH($W$7,LenU,0))/CC_PitchRatio,0))</f>
        <v>0</v>
      </c>
      <c r="AQ309" s="27" t="n">
        <f aca="false">IF(ISNUMBER(N309),PI()/4*(N309*INDEX(LenF,MATCH($N$7,LenU,0)))^2,IF(AND(ISNUMBER(S309),ISNUMBER(W309),X309&lt;&gt;""),S309*(W309*INDEX(LenF,MATCH($W$7,LenU,0)))^2*INDEX(LayoutF,MATCH(X309,LayoutU,0)),0))</f>
        <v>0</v>
      </c>
      <c r="AR309" s="27" t="n">
        <f aca="false">IF(ISNUMBER(O309),O309*INDEX(LenF,MATCH($O$7,LenU,0)),IF(ISNUMBER(V309),V309*INDEX(LenF,MATCH($V$7,LenU,0)),0))</f>
        <v>0</v>
      </c>
      <c r="AS309" s="27" t="str">
        <f aca="false">IF(ISNUMBER(L309),L309*INDEX(LenF,MATCH($L$7,LenU,0))*1000,IF(OR(J309="",K309=""),"",IFERROR(IF(INDEX(PipeWT,MATCH(J309,NPSU,0),MATCH(K309,SchU,0))="","Sch n/a",INDEX(PipeOD,MATCH(J309,NPSU,0))-2*INDEX(PipeWT,MATCH(J309,NPSU,0),MATCH(K309,SchU,0))),"")))</f>
        <v/>
      </c>
      <c r="AT309" s="27" t="n">
        <f aca="false">IF(ISNUMBER(AI309),AI309,IFERROR(INDEX(IF(CC_JobType="Decontamination",CC_TypeFillDC,CC_TypeFillCC),MATCH(E309,CC_TypeL,0)),1))</f>
        <v>1</v>
      </c>
      <c r="AU309" s="27" t="n">
        <v>10</v>
      </c>
    </row>
    <row r="310" customFormat="false" ht="15" hidden="false" customHeight="false" outlineLevel="0" collapsed="false">
      <c r="A310" s="36" t="n">
        <v>4</v>
      </c>
      <c r="B310" s="40"/>
      <c r="C310" s="32"/>
      <c r="D310" s="32"/>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1" t="str">
        <f aca="false">IF(E310="Exchanger",IF(AND(ISNUMBER(S310),ISNUMBER(U310),ISNUMBER(V310)),S310*PI()/4*(U310*INDEX(LenF,MATCH($U$7,LenU,0)))^2*V310*INDEX(LenF,MATCH($V$7,LenU,0)),0)+IF(ISNUMBER(Y310),PI()/4*(Y310*INDEX(LenF,MATCH($Y$7,LenU,0)))^2*N(Z310)*INDEX(LenF,MATCH($Z$7,LenU,0))+IF(AA310="",0,IF(AA310="Conical",PI()/12*(Y310*INDEX(LenF,MATCH($Y$7,LenU,0)))^2*(0),INDEX(HeadK,MATCH(AA310,HeadU,0))*(Y310*INDEX(LenF,MATCH($Y$7,LenU,0)))^3)),0)+IF(ISNUMBER(Y310),PI()/4*(Y310*INDEX(LenF,MATCH($Y$7,LenU,0)))^2*N(AB310)*INDEX(LenF,MATCH($AB$7,LenU,0))+IF(AC310="",0,IF(AC310="Conical",PI()/12*(Y310*INDEX(LenF,MATCH($Y$7,LenU,0)))^2*(0),INDEX(HeadK,MATCH(AC310,HeadU,0))*(Y310*INDEX(LenF,MATCH($Y$7,LenU,0)))^3)),0),"")</f>
        <v/>
      </c>
      <c r="AE310" s="41" t="str">
        <f aca="false">IF(OR(E310="",E310="Piping"),"",IF(E310="Exchanger",AQ310*AR310+IF(P310="",0,IF(P310="Conical",PI()/12*(SQRT(4*AQ310/PI()))^2*(0),INDEX(HeadK,MATCH(P310,HeadU,0))*(SQRT(4*AQ310/PI()))^3))-IF(AND(ISNUMBER(S310),ISNUMBER(V310)),S310*PI()/4*AP310^2*V310*INDEX(LenF,MATCH($V$7,LenU,0)),0),IF(ISNUMBER(N310),PI()/4*(N310*INDEX(LenF,MATCH($N$7,LenU,0)))^2*N(O310)*INDEX(LenF,MATCH($O$7,LenU,0))+IF(P310="",0,IF(P310="Conical",PI()/12*(N310*INDEX(LenF,MATCH($N$7,LenU,0)))^2*(N(R310)*INDEX(LenF,MATCH($R$7,LenU,0))),INDEX(HeadK,MATCH(P310,HeadU,0))*(N310*INDEX(LenF,MATCH($N$7,LenU,0)))^3))+IF(Q310="",0,IF(Q310="Conical",PI()/12*(N310*INDEX(LenF,MATCH($N$7,LenU,0)))^2*(N(R310)*INDEX(LenF,MATCH($R$7,LenU,0))),INDEX(HeadK,MATCH(Q310,HeadU,0))*(N310*INDEX(LenF,MATCH($N$7,LenU,0)))^3)),0)))</f>
        <v/>
      </c>
      <c r="AF310" s="41" t="str">
        <f aca="false">IF(E310&lt;&gt;"Piping","",IF(AND(ISNUMBER(AS310),ISNUMBER(M310)),PI()/4*(AS310/1000)^2*M310*INDEX(LenF,MATCH($M$7,LenU,0)),0))</f>
        <v/>
      </c>
      <c r="AG310" s="41" t="str">
        <f aca="false">IF(E310="","",N(AD310)+N(AE310)+N(AF310))</f>
        <v/>
      </c>
      <c r="AH310" s="41" t="str">
        <f aca="false">IF(ISNUMBER(I310),I310*INDEX(WtF,MATCH($I$7,WtU,0))/CC_WaterRho,"")</f>
        <v/>
      </c>
      <c r="AI310" s="31"/>
      <c r="AJ310" s="31"/>
      <c r="AK310" s="40"/>
      <c r="AL310" s="31"/>
      <c r="AM310" s="41" t="str">
        <f aca="false">IF(AO310="","",AO310*IF(ISNUMBER(AK310),AK310,CC_DefFills)*(1+IF(ISNUMBER(AL310),AL310,CC_DefAllow)))</f>
        <v/>
      </c>
      <c r="AN310" s="42" t="str">
        <f aca="false">IF(G310="Given volume",IF(ISNUMBER(H310),H310*INDEX(VolF,MATCH($H$7,VolU,0)),""),IF(G310="Water weight",AH310,IF(N(AG310)=0,"",AG310)))</f>
        <v/>
      </c>
      <c r="AO310" s="42" t="str">
        <f aca="false">IF(N(AN310)=0,"",AN310*AT310*IF(ISNUMBER(AJ310),AJ310,CC_DefCirc))</f>
        <v/>
      </c>
      <c r="AP310" s="27" t="n">
        <f aca="false">IF(ISNUMBER(T310),T310*INDEX(LenF,MATCH($T$7,LenU,0)),IF(ISNUMBER(W310),W310*INDEX(LenF,MATCH($W$7,LenU,0))/CC_PitchRatio,0))</f>
        <v>0</v>
      </c>
      <c r="AQ310" s="27" t="n">
        <f aca="false">IF(ISNUMBER(N310),PI()/4*(N310*INDEX(LenF,MATCH($N$7,LenU,0)))^2,IF(AND(ISNUMBER(S310),ISNUMBER(W310),X310&lt;&gt;""),S310*(W310*INDEX(LenF,MATCH($W$7,LenU,0)))^2*INDEX(LayoutF,MATCH(X310,LayoutU,0)),0))</f>
        <v>0</v>
      </c>
      <c r="AR310" s="27" t="n">
        <f aca="false">IF(ISNUMBER(O310),O310*INDEX(LenF,MATCH($O$7,LenU,0)),IF(ISNUMBER(V310),V310*INDEX(LenF,MATCH($V$7,LenU,0)),0))</f>
        <v>0</v>
      </c>
      <c r="AS310" s="27" t="str">
        <f aca="false">IF(ISNUMBER(L310),L310*INDEX(LenF,MATCH($L$7,LenU,0))*1000,IF(OR(J310="",K310=""),"",IFERROR(IF(INDEX(PipeWT,MATCH(J310,NPSU,0),MATCH(K310,SchU,0))="","Sch n/a",INDEX(PipeOD,MATCH(J310,NPSU,0))-2*INDEX(PipeWT,MATCH(J310,NPSU,0),MATCH(K310,SchU,0))),"")))</f>
        <v/>
      </c>
      <c r="AT310" s="27" t="n">
        <f aca="false">IF(ISNUMBER(AI310),AI310,IFERROR(INDEX(IF(CC_JobType="Decontamination",CC_TypeFillDC,CC_TypeFillCC),MATCH(E310,CC_TypeL,0)),1))</f>
        <v>1</v>
      </c>
      <c r="AU310" s="27" t="n">
        <v>10</v>
      </c>
    </row>
    <row r="311" customFormat="false" ht="15" hidden="false" customHeight="false" outlineLevel="0" collapsed="false">
      <c r="A311" s="36" t="n">
        <v>5</v>
      </c>
      <c r="B311" s="40"/>
      <c r="C311" s="32"/>
      <c r="D311" s="32"/>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1" t="str">
        <f aca="false">IF(E311="Exchanger",IF(AND(ISNUMBER(S311),ISNUMBER(U311),ISNUMBER(V311)),S311*PI()/4*(U311*INDEX(LenF,MATCH($U$7,LenU,0)))^2*V311*INDEX(LenF,MATCH($V$7,LenU,0)),0)+IF(ISNUMBER(Y311),PI()/4*(Y311*INDEX(LenF,MATCH($Y$7,LenU,0)))^2*N(Z311)*INDEX(LenF,MATCH($Z$7,LenU,0))+IF(AA311="",0,IF(AA311="Conical",PI()/12*(Y311*INDEX(LenF,MATCH($Y$7,LenU,0)))^2*(0),INDEX(HeadK,MATCH(AA311,HeadU,0))*(Y311*INDEX(LenF,MATCH($Y$7,LenU,0)))^3)),0)+IF(ISNUMBER(Y311),PI()/4*(Y311*INDEX(LenF,MATCH($Y$7,LenU,0)))^2*N(AB311)*INDEX(LenF,MATCH($AB$7,LenU,0))+IF(AC311="",0,IF(AC311="Conical",PI()/12*(Y311*INDEX(LenF,MATCH($Y$7,LenU,0)))^2*(0),INDEX(HeadK,MATCH(AC311,HeadU,0))*(Y311*INDEX(LenF,MATCH($Y$7,LenU,0)))^3)),0),"")</f>
        <v/>
      </c>
      <c r="AE311" s="41" t="str">
        <f aca="false">IF(OR(E311="",E311="Piping"),"",IF(E311="Exchanger",AQ311*AR311+IF(P311="",0,IF(P311="Conical",PI()/12*(SQRT(4*AQ311/PI()))^2*(0),INDEX(HeadK,MATCH(P311,HeadU,0))*(SQRT(4*AQ311/PI()))^3))-IF(AND(ISNUMBER(S311),ISNUMBER(V311)),S311*PI()/4*AP311^2*V311*INDEX(LenF,MATCH($V$7,LenU,0)),0),IF(ISNUMBER(N311),PI()/4*(N311*INDEX(LenF,MATCH($N$7,LenU,0)))^2*N(O311)*INDEX(LenF,MATCH($O$7,LenU,0))+IF(P311="",0,IF(P311="Conical",PI()/12*(N311*INDEX(LenF,MATCH($N$7,LenU,0)))^2*(N(R311)*INDEX(LenF,MATCH($R$7,LenU,0))),INDEX(HeadK,MATCH(P311,HeadU,0))*(N311*INDEX(LenF,MATCH($N$7,LenU,0)))^3))+IF(Q311="",0,IF(Q311="Conical",PI()/12*(N311*INDEX(LenF,MATCH($N$7,LenU,0)))^2*(N(R311)*INDEX(LenF,MATCH($R$7,LenU,0))),INDEX(HeadK,MATCH(Q311,HeadU,0))*(N311*INDEX(LenF,MATCH($N$7,LenU,0)))^3)),0)))</f>
        <v/>
      </c>
      <c r="AF311" s="41" t="str">
        <f aca="false">IF(E311&lt;&gt;"Piping","",IF(AND(ISNUMBER(AS311),ISNUMBER(M311)),PI()/4*(AS311/1000)^2*M311*INDEX(LenF,MATCH($M$7,LenU,0)),0))</f>
        <v/>
      </c>
      <c r="AG311" s="41" t="str">
        <f aca="false">IF(E311="","",N(AD311)+N(AE311)+N(AF311))</f>
        <v/>
      </c>
      <c r="AH311" s="41" t="str">
        <f aca="false">IF(ISNUMBER(I311),I311*INDEX(WtF,MATCH($I$7,WtU,0))/CC_WaterRho,"")</f>
        <v/>
      </c>
      <c r="AI311" s="31"/>
      <c r="AJ311" s="31"/>
      <c r="AK311" s="40"/>
      <c r="AL311" s="31"/>
      <c r="AM311" s="41" t="str">
        <f aca="false">IF(AO311="","",AO311*IF(ISNUMBER(AK311),AK311,CC_DefFills)*(1+IF(ISNUMBER(AL311),AL311,CC_DefAllow)))</f>
        <v/>
      </c>
      <c r="AN311" s="42" t="str">
        <f aca="false">IF(G311="Given volume",IF(ISNUMBER(H311),H311*INDEX(VolF,MATCH($H$7,VolU,0)),""),IF(G311="Water weight",AH311,IF(N(AG311)=0,"",AG311)))</f>
        <v/>
      </c>
      <c r="AO311" s="42" t="str">
        <f aca="false">IF(N(AN311)=0,"",AN311*AT311*IF(ISNUMBER(AJ311),AJ311,CC_DefCirc))</f>
        <v/>
      </c>
      <c r="AP311" s="27" t="n">
        <f aca="false">IF(ISNUMBER(T311),T311*INDEX(LenF,MATCH($T$7,LenU,0)),IF(ISNUMBER(W311),W311*INDEX(LenF,MATCH($W$7,LenU,0))/CC_PitchRatio,0))</f>
        <v>0</v>
      </c>
      <c r="AQ311" s="27" t="n">
        <f aca="false">IF(ISNUMBER(N311),PI()/4*(N311*INDEX(LenF,MATCH($N$7,LenU,0)))^2,IF(AND(ISNUMBER(S311),ISNUMBER(W311),X311&lt;&gt;""),S311*(W311*INDEX(LenF,MATCH($W$7,LenU,0)))^2*INDEX(LayoutF,MATCH(X311,LayoutU,0)),0))</f>
        <v>0</v>
      </c>
      <c r="AR311" s="27" t="n">
        <f aca="false">IF(ISNUMBER(O311),O311*INDEX(LenF,MATCH($O$7,LenU,0)),IF(ISNUMBER(V311),V311*INDEX(LenF,MATCH($V$7,LenU,0)),0))</f>
        <v>0</v>
      </c>
      <c r="AS311" s="27" t="str">
        <f aca="false">IF(ISNUMBER(L311),L311*INDEX(LenF,MATCH($L$7,LenU,0))*1000,IF(OR(J311="",K311=""),"",IFERROR(IF(INDEX(PipeWT,MATCH(J311,NPSU,0),MATCH(K311,SchU,0))="","Sch n/a",INDEX(PipeOD,MATCH(J311,NPSU,0))-2*INDEX(PipeWT,MATCH(J311,NPSU,0),MATCH(K311,SchU,0))),"")))</f>
        <v/>
      </c>
      <c r="AT311" s="27" t="n">
        <f aca="false">IF(ISNUMBER(AI311),AI311,IFERROR(INDEX(IF(CC_JobType="Decontamination",CC_TypeFillDC,CC_TypeFillCC),MATCH(E311,CC_TypeL,0)),1))</f>
        <v>1</v>
      </c>
      <c r="AU311" s="27" t="n">
        <v>10</v>
      </c>
    </row>
    <row r="312" customFormat="false" ht="15" hidden="false" customHeight="false" outlineLevel="0" collapsed="false">
      <c r="A312" s="36" t="n">
        <v>6</v>
      </c>
      <c r="B312" s="40"/>
      <c r="C312" s="32"/>
      <c r="D312" s="32"/>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1" t="str">
        <f aca="false">IF(E312="Exchanger",IF(AND(ISNUMBER(S312),ISNUMBER(U312),ISNUMBER(V312)),S312*PI()/4*(U312*INDEX(LenF,MATCH($U$7,LenU,0)))^2*V312*INDEX(LenF,MATCH($V$7,LenU,0)),0)+IF(ISNUMBER(Y312),PI()/4*(Y312*INDEX(LenF,MATCH($Y$7,LenU,0)))^2*N(Z312)*INDEX(LenF,MATCH($Z$7,LenU,0))+IF(AA312="",0,IF(AA312="Conical",PI()/12*(Y312*INDEX(LenF,MATCH($Y$7,LenU,0)))^2*(0),INDEX(HeadK,MATCH(AA312,HeadU,0))*(Y312*INDEX(LenF,MATCH($Y$7,LenU,0)))^3)),0)+IF(ISNUMBER(Y312),PI()/4*(Y312*INDEX(LenF,MATCH($Y$7,LenU,0)))^2*N(AB312)*INDEX(LenF,MATCH($AB$7,LenU,0))+IF(AC312="",0,IF(AC312="Conical",PI()/12*(Y312*INDEX(LenF,MATCH($Y$7,LenU,0)))^2*(0),INDEX(HeadK,MATCH(AC312,HeadU,0))*(Y312*INDEX(LenF,MATCH($Y$7,LenU,0)))^3)),0),"")</f>
        <v/>
      </c>
      <c r="AE312" s="41" t="str">
        <f aca="false">IF(OR(E312="",E312="Piping"),"",IF(E312="Exchanger",AQ312*AR312+IF(P312="",0,IF(P312="Conical",PI()/12*(SQRT(4*AQ312/PI()))^2*(0),INDEX(HeadK,MATCH(P312,HeadU,0))*(SQRT(4*AQ312/PI()))^3))-IF(AND(ISNUMBER(S312),ISNUMBER(V312)),S312*PI()/4*AP312^2*V312*INDEX(LenF,MATCH($V$7,LenU,0)),0),IF(ISNUMBER(N312),PI()/4*(N312*INDEX(LenF,MATCH($N$7,LenU,0)))^2*N(O312)*INDEX(LenF,MATCH($O$7,LenU,0))+IF(P312="",0,IF(P312="Conical",PI()/12*(N312*INDEX(LenF,MATCH($N$7,LenU,0)))^2*(N(R312)*INDEX(LenF,MATCH($R$7,LenU,0))),INDEX(HeadK,MATCH(P312,HeadU,0))*(N312*INDEX(LenF,MATCH($N$7,LenU,0)))^3))+IF(Q312="",0,IF(Q312="Conical",PI()/12*(N312*INDEX(LenF,MATCH($N$7,LenU,0)))^2*(N(R312)*INDEX(LenF,MATCH($R$7,LenU,0))),INDEX(HeadK,MATCH(Q312,HeadU,0))*(N312*INDEX(LenF,MATCH($N$7,LenU,0)))^3)),0)))</f>
        <v/>
      </c>
      <c r="AF312" s="41" t="str">
        <f aca="false">IF(E312&lt;&gt;"Piping","",IF(AND(ISNUMBER(AS312),ISNUMBER(M312)),PI()/4*(AS312/1000)^2*M312*INDEX(LenF,MATCH($M$7,LenU,0)),0))</f>
        <v/>
      </c>
      <c r="AG312" s="41" t="str">
        <f aca="false">IF(E312="","",N(AD312)+N(AE312)+N(AF312))</f>
        <v/>
      </c>
      <c r="AH312" s="41" t="str">
        <f aca="false">IF(ISNUMBER(I312),I312*INDEX(WtF,MATCH($I$7,WtU,0))/CC_WaterRho,"")</f>
        <v/>
      </c>
      <c r="AI312" s="31"/>
      <c r="AJ312" s="31"/>
      <c r="AK312" s="40"/>
      <c r="AL312" s="31"/>
      <c r="AM312" s="41" t="str">
        <f aca="false">IF(AO312="","",AO312*IF(ISNUMBER(AK312),AK312,CC_DefFills)*(1+IF(ISNUMBER(AL312),AL312,CC_DefAllow)))</f>
        <v/>
      </c>
      <c r="AN312" s="42" t="str">
        <f aca="false">IF(G312="Given volume",IF(ISNUMBER(H312),H312*INDEX(VolF,MATCH($H$7,VolU,0)),""),IF(G312="Water weight",AH312,IF(N(AG312)=0,"",AG312)))</f>
        <v/>
      </c>
      <c r="AO312" s="42" t="str">
        <f aca="false">IF(N(AN312)=0,"",AN312*AT312*IF(ISNUMBER(AJ312),AJ312,CC_DefCirc))</f>
        <v/>
      </c>
      <c r="AP312" s="27" t="n">
        <f aca="false">IF(ISNUMBER(T312),T312*INDEX(LenF,MATCH($T$7,LenU,0)),IF(ISNUMBER(W312),W312*INDEX(LenF,MATCH($W$7,LenU,0))/CC_PitchRatio,0))</f>
        <v>0</v>
      </c>
      <c r="AQ312" s="27" t="n">
        <f aca="false">IF(ISNUMBER(N312),PI()/4*(N312*INDEX(LenF,MATCH($N$7,LenU,0)))^2,IF(AND(ISNUMBER(S312),ISNUMBER(W312),X312&lt;&gt;""),S312*(W312*INDEX(LenF,MATCH($W$7,LenU,0)))^2*INDEX(LayoutF,MATCH(X312,LayoutU,0)),0))</f>
        <v>0</v>
      </c>
      <c r="AR312" s="27" t="n">
        <f aca="false">IF(ISNUMBER(O312),O312*INDEX(LenF,MATCH($O$7,LenU,0)),IF(ISNUMBER(V312),V312*INDEX(LenF,MATCH($V$7,LenU,0)),0))</f>
        <v>0</v>
      </c>
      <c r="AS312" s="27" t="str">
        <f aca="false">IF(ISNUMBER(L312),L312*INDEX(LenF,MATCH($L$7,LenU,0))*1000,IF(OR(J312="",K312=""),"",IFERROR(IF(INDEX(PipeWT,MATCH(J312,NPSU,0),MATCH(K312,SchU,0))="","Sch n/a",INDEX(PipeOD,MATCH(J312,NPSU,0))-2*INDEX(PipeWT,MATCH(J312,NPSU,0),MATCH(K312,SchU,0))),"")))</f>
        <v/>
      </c>
      <c r="AT312" s="27" t="n">
        <f aca="false">IF(ISNUMBER(AI312),AI312,IFERROR(INDEX(IF(CC_JobType="Decontamination",CC_TypeFillDC,CC_TypeFillCC),MATCH(E312,CC_TypeL,0)),1))</f>
        <v>1</v>
      </c>
      <c r="AU312" s="27" t="n">
        <v>10</v>
      </c>
    </row>
    <row r="313" customFormat="false" ht="15" hidden="false" customHeight="false" outlineLevel="0" collapsed="false">
      <c r="A313" s="36" t="n">
        <v>7</v>
      </c>
      <c r="B313" s="40"/>
      <c r="C313" s="32"/>
      <c r="D313" s="32"/>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1" t="str">
        <f aca="false">IF(E313="Exchanger",IF(AND(ISNUMBER(S313),ISNUMBER(U313),ISNUMBER(V313)),S313*PI()/4*(U313*INDEX(LenF,MATCH($U$7,LenU,0)))^2*V313*INDEX(LenF,MATCH($V$7,LenU,0)),0)+IF(ISNUMBER(Y313),PI()/4*(Y313*INDEX(LenF,MATCH($Y$7,LenU,0)))^2*N(Z313)*INDEX(LenF,MATCH($Z$7,LenU,0))+IF(AA313="",0,IF(AA313="Conical",PI()/12*(Y313*INDEX(LenF,MATCH($Y$7,LenU,0)))^2*(0),INDEX(HeadK,MATCH(AA313,HeadU,0))*(Y313*INDEX(LenF,MATCH($Y$7,LenU,0)))^3)),0)+IF(ISNUMBER(Y313),PI()/4*(Y313*INDEX(LenF,MATCH($Y$7,LenU,0)))^2*N(AB313)*INDEX(LenF,MATCH($AB$7,LenU,0))+IF(AC313="",0,IF(AC313="Conical",PI()/12*(Y313*INDEX(LenF,MATCH($Y$7,LenU,0)))^2*(0),INDEX(HeadK,MATCH(AC313,HeadU,0))*(Y313*INDEX(LenF,MATCH($Y$7,LenU,0)))^3)),0),"")</f>
        <v/>
      </c>
      <c r="AE313" s="41" t="str">
        <f aca="false">IF(OR(E313="",E313="Piping"),"",IF(E313="Exchanger",AQ313*AR313+IF(P313="",0,IF(P313="Conical",PI()/12*(SQRT(4*AQ313/PI()))^2*(0),INDEX(HeadK,MATCH(P313,HeadU,0))*(SQRT(4*AQ313/PI()))^3))-IF(AND(ISNUMBER(S313),ISNUMBER(V313)),S313*PI()/4*AP313^2*V313*INDEX(LenF,MATCH($V$7,LenU,0)),0),IF(ISNUMBER(N313),PI()/4*(N313*INDEX(LenF,MATCH($N$7,LenU,0)))^2*N(O313)*INDEX(LenF,MATCH($O$7,LenU,0))+IF(P313="",0,IF(P313="Conical",PI()/12*(N313*INDEX(LenF,MATCH($N$7,LenU,0)))^2*(N(R313)*INDEX(LenF,MATCH($R$7,LenU,0))),INDEX(HeadK,MATCH(P313,HeadU,0))*(N313*INDEX(LenF,MATCH($N$7,LenU,0)))^3))+IF(Q313="",0,IF(Q313="Conical",PI()/12*(N313*INDEX(LenF,MATCH($N$7,LenU,0)))^2*(N(R313)*INDEX(LenF,MATCH($R$7,LenU,0))),INDEX(HeadK,MATCH(Q313,HeadU,0))*(N313*INDEX(LenF,MATCH($N$7,LenU,0)))^3)),0)))</f>
        <v/>
      </c>
      <c r="AF313" s="41" t="str">
        <f aca="false">IF(E313&lt;&gt;"Piping","",IF(AND(ISNUMBER(AS313),ISNUMBER(M313)),PI()/4*(AS313/1000)^2*M313*INDEX(LenF,MATCH($M$7,LenU,0)),0))</f>
        <v/>
      </c>
      <c r="AG313" s="41" t="str">
        <f aca="false">IF(E313="","",N(AD313)+N(AE313)+N(AF313))</f>
        <v/>
      </c>
      <c r="AH313" s="41" t="str">
        <f aca="false">IF(ISNUMBER(I313),I313*INDEX(WtF,MATCH($I$7,WtU,0))/CC_WaterRho,"")</f>
        <v/>
      </c>
      <c r="AI313" s="31"/>
      <c r="AJ313" s="31"/>
      <c r="AK313" s="40"/>
      <c r="AL313" s="31"/>
      <c r="AM313" s="41" t="str">
        <f aca="false">IF(AO313="","",AO313*IF(ISNUMBER(AK313),AK313,CC_DefFills)*(1+IF(ISNUMBER(AL313),AL313,CC_DefAllow)))</f>
        <v/>
      </c>
      <c r="AN313" s="42" t="str">
        <f aca="false">IF(G313="Given volume",IF(ISNUMBER(H313),H313*INDEX(VolF,MATCH($H$7,VolU,0)),""),IF(G313="Water weight",AH313,IF(N(AG313)=0,"",AG313)))</f>
        <v/>
      </c>
      <c r="AO313" s="42" t="str">
        <f aca="false">IF(N(AN313)=0,"",AN313*AT313*IF(ISNUMBER(AJ313),AJ313,CC_DefCirc))</f>
        <v/>
      </c>
      <c r="AP313" s="27" t="n">
        <f aca="false">IF(ISNUMBER(T313),T313*INDEX(LenF,MATCH($T$7,LenU,0)),IF(ISNUMBER(W313),W313*INDEX(LenF,MATCH($W$7,LenU,0))/CC_PitchRatio,0))</f>
        <v>0</v>
      </c>
      <c r="AQ313" s="27" t="n">
        <f aca="false">IF(ISNUMBER(N313),PI()/4*(N313*INDEX(LenF,MATCH($N$7,LenU,0)))^2,IF(AND(ISNUMBER(S313),ISNUMBER(W313),X313&lt;&gt;""),S313*(W313*INDEX(LenF,MATCH($W$7,LenU,0)))^2*INDEX(LayoutF,MATCH(X313,LayoutU,0)),0))</f>
        <v>0</v>
      </c>
      <c r="AR313" s="27" t="n">
        <f aca="false">IF(ISNUMBER(O313),O313*INDEX(LenF,MATCH($O$7,LenU,0)),IF(ISNUMBER(V313),V313*INDEX(LenF,MATCH($V$7,LenU,0)),0))</f>
        <v>0</v>
      </c>
      <c r="AS313" s="27" t="str">
        <f aca="false">IF(ISNUMBER(L313),L313*INDEX(LenF,MATCH($L$7,LenU,0))*1000,IF(OR(J313="",K313=""),"",IFERROR(IF(INDEX(PipeWT,MATCH(J313,NPSU,0),MATCH(K313,SchU,0))="","Sch n/a",INDEX(PipeOD,MATCH(J313,NPSU,0))-2*INDEX(PipeWT,MATCH(J313,NPSU,0),MATCH(K313,SchU,0))),"")))</f>
        <v/>
      </c>
      <c r="AT313" s="27" t="n">
        <f aca="false">IF(ISNUMBER(AI313),AI313,IFERROR(INDEX(IF(CC_JobType="Decontamination",CC_TypeFillDC,CC_TypeFillCC),MATCH(E313,CC_TypeL,0)),1))</f>
        <v>1</v>
      </c>
      <c r="AU313" s="27" t="n">
        <v>10</v>
      </c>
    </row>
    <row r="314" customFormat="false" ht="15" hidden="false" customHeight="false" outlineLevel="0" collapsed="false">
      <c r="A314" s="36" t="n">
        <v>8</v>
      </c>
      <c r="B314" s="40"/>
      <c r="C314" s="32"/>
      <c r="D314" s="32"/>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1" t="str">
        <f aca="false">IF(E314="Exchanger",IF(AND(ISNUMBER(S314),ISNUMBER(U314),ISNUMBER(V314)),S314*PI()/4*(U314*INDEX(LenF,MATCH($U$7,LenU,0)))^2*V314*INDEX(LenF,MATCH($V$7,LenU,0)),0)+IF(ISNUMBER(Y314),PI()/4*(Y314*INDEX(LenF,MATCH($Y$7,LenU,0)))^2*N(Z314)*INDEX(LenF,MATCH($Z$7,LenU,0))+IF(AA314="",0,IF(AA314="Conical",PI()/12*(Y314*INDEX(LenF,MATCH($Y$7,LenU,0)))^2*(0),INDEX(HeadK,MATCH(AA314,HeadU,0))*(Y314*INDEX(LenF,MATCH($Y$7,LenU,0)))^3)),0)+IF(ISNUMBER(Y314),PI()/4*(Y314*INDEX(LenF,MATCH($Y$7,LenU,0)))^2*N(AB314)*INDEX(LenF,MATCH($AB$7,LenU,0))+IF(AC314="",0,IF(AC314="Conical",PI()/12*(Y314*INDEX(LenF,MATCH($Y$7,LenU,0)))^2*(0),INDEX(HeadK,MATCH(AC314,HeadU,0))*(Y314*INDEX(LenF,MATCH($Y$7,LenU,0)))^3)),0),"")</f>
        <v/>
      </c>
      <c r="AE314" s="41" t="str">
        <f aca="false">IF(OR(E314="",E314="Piping"),"",IF(E314="Exchanger",AQ314*AR314+IF(P314="",0,IF(P314="Conical",PI()/12*(SQRT(4*AQ314/PI()))^2*(0),INDEX(HeadK,MATCH(P314,HeadU,0))*(SQRT(4*AQ314/PI()))^3))-IF(AND(ISNUMBER(S314),ISNUMBER(V314)),S314*PI()/4*AP314^2*V314*INDEX(LenF,MATCH($V$7,LenU,0)),0),IF(ISNUMBER(N314),PI()/4*(N314*INDEX(LenF,MATCH($N$7,LenU,0)))^2*N(O314)*INDEX(LenF,MATCH($O$7,LenU,0))+IF(P314="",0,IF(P314="Conical",PI()/12*(N314*INDEX(LenF,MATCH($N$7,LenU,0)))^2*(N(R314)*INDEX(LenF,MATCH($R$7,LenU,0))),INDEX(HeadK,MATCH(P314,HeadU,0))*(N314*INDEX(LenF,MATCH($N$7,LenU,0)))^3))+IF(Q314="",0,IF(Q314="Conical",PI()/12*(N314*INDEX(LenF,MATCH($N$7,LenU,0)))^2*(N(R314)*INDEX(LenF,MATCH($R$7,LenU,0))),INDEX(HeadK,MATCH(Q314,HeadU,0))*(N314*INDEX(LenF,MATCH($N$7,LenU,0)))^3)),0)))</f>
        <v/>
      </c>
      <c r="AF314" s="41" t="str">
        <f aca="false">IF(E314&lt;&gt;"Piping","",IF(AND(ISNUMBER(AS314),ISNUMBER(M314)),PI()/4*(AS314/1000)^2*M314*INDEX(LenF,MATCH($M$7,LenU,0)),0))</f>
        <v/>
      </c>
      <c r="AG314" s="41" t="str">
        <f aca="false">IF(E314="","",N(AD314)+N(AE314)+N(AF314))</f>
        <v/>
      </c>
      <c r="AH314" s="41" t="str">
        <f aca="false">IF(ISNUMBER(I314),I314*INDEX(WtF,MATCH($I$7,WtU,0))/CC_WaterRho,"")</f>
        <v/>
      </c>
      <c r="AI314" s="31"/>
      <c r="AJ314" s="31"/>
      <c r="AK314" s="40"/>
      <c r="AL314" s="31"/>
      <c r="AM314" s="41" t="str">
        <f aca="false">IF(AO314="","",AO314*IF(ISNUMBER(AK314),AK314,CC_DefFills)*(1+IF(ISNUMBER(AL314),AL314,CC_DefAllow)))</f>
        <v/>
      </c>
      <c r="AN314" s="42" t="str">
        <f aca="false">IF(G314="Given volume",IF(ISNUMBER(H314),H314*INDEX(VolF,MATCH($H$7,VolU,0)),""),IF(G314="Water weight",AH314,IF(N(AG314)=0,"",AG314)))</f>
        <v/>
      </c>
      <c r="AO314" s="42" t="str">
        <f aca="false">IF(N(AN314)=0,"",AN314*AT314*IF(ISNUMBER(AJ314),AJ314,CC_DefCirc))</f>
        <v/>
      </c>
      <c r="AP314" s="27" t="n">
        <f aca="false">IF(ISNUMBER(T314),T314*INDEX(LenF,MATCH($T$7,LenU,0)),IF(ISNUMBER(W314),W314*INDEX(LenF,MATCH($W$7,LenU,0))/CC_PitchRatio,0))</f>
        <v>0</v>
      </c>
      <c r="AQ314" s="27" t="n">
        <f aca="false">IF(ISNUMBER(N314),PI()/4*(N314*INDEX(LenF,MATCH($N$7,LenU,0)))^2,IF(AND(ISNUMBER(S314),ISNUMBER(W314),X314&lt;&gt;""),S314*(W314*INDEX(LenF,MATCH($W$7,LenU,0)))^2*INDEX(LayoutF,MATCH(X314,LayoutU,0)),0))</f>
        <v>0</v>
      </c>
      <c r="AR314" s="27" t="n">
        <f aca="false">IF(ISNUMBER(O314),O314*INDEX(LenF,MATCH($O$7,LenU,0)),IF(ISNUMBER(V314),V314*INDEX(LenF,MATCH($V$7,LenU,0)),0))</f>
        <v>0</v>
      </c>
      <c r="AS314" s="27" t="str">
        <f aca="false">IF(ISNUMBER(L314),L314*INDEX(LenF,MATCH($L$7,LenU,0))*1000,IF(OR(J314="",K314=""),"",IFERROR(IF(INDEX(PipeWT,MATCH(J314,NPSU,0),MATCH(K314,SchU,0))="","Sch n/a",INDEX(PipeOD,MATCH(J314,NPSU,0))-2*INDEX(PipeWT,MATCH(J314,NPSU,0),MATCH(K314,SchU,0))),"")))</f>
        <v/>
      </c>
      <c r="AT314" s="27" t="n">
        <f aca="false">IF(ISNUMBER(AI314),AI314,IFERROR(INDEX(IF(CC_JobType="Decontamination",CC_TypeFillDC,CC_TypeFillCC),MATCH(E314,CC_TypeL,0)),1))</f>
        <v>1</v>
      </c>
      <c r="AU314" s="27" t="n">
        <v>10</v>
      </c>
    </row>
    <row r="315" customFormat="false" ht="15" hidden="false" customHeight="false" outlineLevel="0" collapsed="false">
      <c r="A315" s="36" t="n">
        <v>9</v>
      </c>
      <c r="B315" s="40"/>
      <c r="C315" s="32"/>
      <c r="D315" s="32"/>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1" t="str">
        <f aca="false">IF(E315="Exchanger",IF(AND(ISNUMBER(S315),ISNUMBER(U315),ISNUMBER(V315)),S315*PI()/4*(U315*INDEX(LenF,MATCH($U$7,LenU,0)))^2*V315*INDEX(LenF,MATCH($V$7,LenU,0)),0)+IF(ISNUMBER(Y315),PI()/4*(Y315*INDEX(LenF,MATCH($Y$7,LenU,0)))^2*N(Z315)*INDEX(LenF,MATCH($Z$7,LenU,0))+IF(AA315="",0,IF(AA315="Conical",PI()/12*(Y315*INDEX(LenF,MATCH($Y$7,LenU,0)))^2*(0),INDEX(HeadK,MATCH(AA315,HeadU,0))*(Y315*INDEX(LenF,MATCH($Y$7,LenU,0)))^3)),0)+IF(ISNUMBER(Y315),PI()/4*(Y315*INDEX(LenF,MATCH($Y$7,LenU,0)))^2*N(AB315)*INDEX(LenF,MATCH($AB$7,LenU,0))+IF(AC315="",0,IF(AC315="Conical",PI()/12*(Y315*INDEX(LenF,MATCH($Y$7,LenU,0)))^2*(0),INDEX(HeadK,MATCH(AC315,HeadU,0))*(Y315*INDEX(LenF,MATCH($Y$7,LenU,0)))^3)),0),"")</f>
        <v/>
      </c>
      <c r="AE315" s="41" t="str">
        <f aca="false">IF(OR(E315="",E315="Piping"),"",IF(E315="Exchanger",AQ315*AR315+IF(P315="",0,IF(P315="Conical",PI()/12*(SQRT(4*AQ315/PI()))^2*(0),INDEX(HeadK,MATCH(P315,HeadU,0))*(SQRT(4*AQ315/PI()))^3))-IF(AND(ISNUMBER(S315),ISNUMBER(V315)),S315*PI()/4*AP315^2*V315*INDEX(LenF,MATCH($V$7,LenU,0)),0),IF(ISNUMBER(N315),PI()/4*(N315*INDEX(LenF,MATCH($N$7,LenU,0)))^2*N(O315)*INDEX(LenF,MATCH($O$7,LenU,0))+IF(P315="",0,IF(P315="Conical",PI()/12*(N315*INDEX(LenF,MATCH($N$7,LenU,0)))^2*(N(R315)*INDEX(LenF,MATCH($R$7,LenU,0))),INDEX(HeadK,MATCH(P315,HeadU,0))*(N315*INDEX(LenF,MATCH($N$7,LenU,0)))^3))+IF(Q315="",0,IF(Q315="Conical",PI()/12*(N315*INDEX(LenF,MATCH($N$7,LenU,0)))^2*(N(R315)*INDEX(LenF,MATCH($R$7,LenU,0))),INDEX(HeadK,MATCH(Q315,HeadU,0))*(N315*INDEX(LenF,MATCH($N$7,LenU,0)))^3)),0)))</f>
        <v/>
      </c>
      <c r="AF315" s="41" t="str">
        <f aca="false">IF(E315&lt;&gt;"Piping","",IF(AND(ISNUMBER(AS315),ISNUMBER(M315)),PI()/4*(AS315/1000)^2*M315*INDEX(LenF,MATCH($M$7,LenU,0)),0))</f>
        <v/>
      </c>
      <c r="AG315" s="41" t="str">
        <f aca="false">IF(E315="","",N(AD315)+N(AE315)+N(AF315))</f>
        <v/>
      </c>
      <c r="AH315" s="41" t="str">
        <f aca="false">IF(ISNUMBER(I315),I315*INDEX(WtF,MATCH($I$7,WtU,0))/CC_WaterRho,"")</f>
        <v/>
      </c>
      <c r="AI315" s="31"/>
      <c r="AJ315" s="31"/>
      <c r="AK315" s="40"/>
      <c r="AL315" s="31"/>
      <c r="AM315" s="41" t="str">
        <f aca="false">IF(AO315="","",AO315*IF(ISNUMBER(AK315),AK315,CC_DefFills)*(1+IF(ISNUMBER(AL315),AL315,CC_DefAllow)))</f>
        <v/>
      </c>
      <c r="AN315" s="42" t="str">
        <f aca="false">IF(G315="Given volume",IF(ISNUMBER(H315),H315*INDEX(VolF,MATCH($H$7,VolU,0)),""),IF(G315="Water weight",AH315,IF(N(AG315)=0,"",AG315)))</f>
        <v/>
      </c>
      <c r="AO315" s="42" t="str">
        <f aca="false">IF(N(AN315)=0,"",AN315*AT315*IF(ISNUMBER(AJ315),AJ315,CC_DefCirc))</f>
        <v/>
      </c>
      <c r="AP315" s="27" t="n">
        <f aca="false">IF(ISNUMBER(T315),T315*INDEX(LenF,MATCH($T$7,LenU,0)),IF(ISNUMBER(W315),W315*INDEX(LenF,MATCH($W$7,LenU,0))/CC_PitchRatio,0))</f>
        <v>0</v>
      </c>
      <c r="AQ315" s="27" t="n">
        <f aca="false">IF(ISNUMBER(N315),PI()/4*(N315*INDEX(LenF,MATCH($N$7,LenU,0)))^2,IF(AND(ISNUMBER(S315),ISNUMBER(W315),X315&lt;&gt;""),S315*(W315*INDEX(LenF,MATCH($W$7,LenU,0)))^2*INDEX(LayoutF,MATCH(X315,LayoutU,0)),0))</f>
        <v>0</v>
      </c>
      <c r="AR315" s="27" t="n">
        <f aca="false">IF(ISNUMBER(O315),O315*INDEX(LenF,MATCH($O$7,LenU,0)),IF(ISNUMBER(V315),V315*INDEX(LenF,MATCH($V$7,LenU,0)),0))</f>
        <v>0</v>
      </c>
      <c r="AS315" s="27" t="str">
        <f aca="false">IF(ISNUMBER(L315),L315*INDEX(LenF,MATCH($L$7,LenU,0))*1000,IF(OR(J315="",K315=""),"",IFERROR(IF(INDEX(PipeWT,MATCH(J315,NPSU,0),MATCH(K315,SchU,0))="","Sch n/a",INDEX(PipeOD,MATCH(J315,NPSU,0))-2*INDEX(PipeWT,MATCH(J315,NPSU,0),MATCH(K315,SchU,0))),"")))</f>
        <v/>
      </c>
      <c r="AT315" s="27" t="n">
        <f aca="false">IF(ISNUMBER(AI315),AI315,IFERROR(INDEX(IF(CC_JobType="Decontamination",CC_TypeFillDC,CC_TypeFillCC),MATCH(E315,CC_TypeL,0)),1))</f>
        <v>1</v>
      </c>
      <c r="AU315" s="27" t="n">
        <v>10</v>
      </c>
    </row>
    <row r="316" customFormat="false" ht="15" hidden="false" customHeight="false" outlineLevel="0" collapsed="false">
      <c r="A316" s="36" t="n">
        <v>10</v>
      </c>
      <c r="B316" s="40"/>
      <c r="C316" s="32"/>
      <c r="D316" s="32"/>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1" t="str">
        <f aca="false">IF(E316="Exchanger",IF(AND(ISNUMBER(S316),ISNUMBER(U316),ISNUMBER(V316)),S316*PI()/4*(U316*INDEX(LenF,MATCH($U$7,LenU,0)))^2*V316*INDEX(LenF,MATCH($V$7,LenU,0)),0)+IF(ISNUMBER(Y316),PI()/4*(Y316*INDEX(LenF,MATCH($Y$7,LenU,0)))^2*N(Z316)*INDEX(LenF,MATCH($Z$7,LenU,0))+IF(AA316="",0,IF(AA316="Conical",PI()/12*(Y316*INDEX(LenF,MATCH($Y$7,LenU,0)))^2*(0),INDEX(HeadK,MATCH(AA316,HeadU,0))*(Y316*INDEX(LenF,MATCH($Y$7,LenU,0)))^3)),0)+IF(ISNUMBER(Y316),PI()/4*(Y316*INDEX(LenF,MATCH($Y$7,LenU,0)))^2*N(AB316)*INDEX(LenF,MATCH($AB$7,LenU,0))+IF(AC316="",0,IF(AC316="Conical",PI()/12*(Y316*INDEX(LenF,MATCH($Y$7,LenU,0)))^2*(0),INDEX(HeadK,MATCH(AC316,HeadU,0))*(Y316*INDEX(LenF,MATCH($Y$7,LenU,0)))^3)),0),"")</f>
        <v/>
      </c>
      <c r="AE316" s="41" t="str">
        <f aca="false">IF(OR(E316="",E316="Piping"),"",IF(E316="Exchanger",AQ316*AR316+IF(P316="",0,IF(P316="Conical",PI()/12*(SQRT(4*AQ316/PI()))^2*(0),INDEX(HeadK,MATCH(P316,HeadU,0))*(SQRT(4*AQ316/PI()))^3))-IF(AND(ISNUMBER(S316),ISNUMBER(V316)),S316*PI()/4*AP316^2*V316*INDEX(LenF,MATCH($V$7,LenU,0)),0),IF(ISNUMBER(N316),PI()/4*(N316*INDEX(LenF,MATCH($N$7,LenU,0)))^2*N(O316)*INDEX(LenF,MATCH($O$7,LenU,0))+IF(P316="",0,IF(P316="Conical",PI()/12*(N316*INDEX(LenF,MATCH($N$7,LenU,0)))^2*(N(R316)*INDEX(LenF,MATCH($R$7,LenU,0))),INDEX(HeadK,MATCH(P316,HeadU,0))*(N316*INDEX(LenF,MATCH($N$7,LenU,0)))^3))+IF(Q316="",0,IF(Q316="Conical",PI()/12*(N316*INDEX(LenF,MATCH($N$7,LenU,0)))^2*(N(R316)*INDEX(LenF,MATCH($R$7,LenU,0))),INDEX(HeadK,MATCH(Q316,HeadU,0))*(N316*INDEX(LenF,MATCH($N$7,LenU,0)))^3)),0)))</f>
        <v/>
      </c>
      <c r="AF316" s="41" t="str">
        <f aca="false">IF(E316&lt;&gt;"Piping","",IF(AND(ISNUMBER(AS316),ISNUMBER(M316)),PI()/4*(AS316/1000)^2*M316*INDEX(LenF,MATCH($M$7,LenU,0)),0))</f>
        <v/>
      </c>
      <c r="AG316" s="41" t="str">
        <f aca="false">IF(E316="","",N(AD316)+N(AE316)+N(AF316))</f>
        <v/>
      </c>
      <c r="AH316" s="41" t="str">
        <f aca="false">IF(ISNUMBER(I316),I316*INDEX(WtF,MATCH($I$7,WtU,0))/CC_WaterRho,"")</f>
        <v/>
      </c>
      <c r="AI316" s="31"/>
      <c r="AJ316" s="31"/>
      <c r="AK316" s="40"/>
      <c r="AL316" s="31"/>
      <c r="AM316" s="41" t="str">
        <f aca="false">IF(AO316="","",AO316*IF(ISNUMBER(AK316),AK316,CC_DefFills)*(1+IF(ISNUMBER(AL316),AL316,CC_DefAllow)))</f>
        <v/>
      </c>
      <c r="AN316" s="42" t="str">
        <f aca="false">IF(G316="Given volume",IF(ISNUMBER(H316),H316*INDEX(VolF,MATCH($H$7,VolU,0)),""),IF(G316="Water weight",AH316,IF(N(AG316)=0,"",AG316)))</f>
        <v/>
      </c>
      <c r="AO316" s="42" t="str">
        <f aca="false">IF(N(AN316)=0,"",AN316*AT316*IF(ISNUMBER(AJ316),AJ316,CC_DefCirc))</f>
        <v/>
      </c>
      <c r="AP316" s="27" t="n">
        <f aca="false">IF(ISNUMBER(T316),T316*INDEX(LenF,MATCH($T$7,LenU,0)),IF(ISNUMBER(W316),W316*INDEX(LenF,MATCH($W$7,LenU,0))/CC_PitchRatio,0))</f>
        <v>0</v>
      </c>
      <c r="AQ316" s="27" t="n">
        <f aca="false">IF(ISNUMBER(N316),PI()/4*(N316*INDEX(LenF,MATCH($N$7,LenU,0)))^2,IF(AND(ISNUMBER(S316),ISNUMBER(W316),X316&lt;&gt;""),S316*(W316*INDEX(LenF,MATCH($W$7,LenU,0)))^2*INDEX(LayoutF,MATCH(X316,LayoutU,0)),0))</f>
        <v>0</v>
      </c>
      <c r="AR316" s="27" t="n">
        <f aca="false">IF(ISNUMBER(O316),O316*INDEX(LenF,MATCH($O$7,LenU,0)),IF(ISNUMBER(V316),V316*INDEX(LenF,MATCH($V$7,LenU,0)),0))</f>
        <v>0</v>
      </c>
      <c r="AS316" s="27" t="str">
        <f aca="false">IF(ISNUMBER(L316),L316*INDEX(LenF,MATCH($L$7,LenU,0))*1000,IF(OR(J316="",K316=""),"",IFERROR(IF(INDEX(PipeWT,MATCH(J316,NPSU,0),MATCH(K316,SchU,0))="","Sch n/a",INDEX(PipeOD,MATCH(J316,NPSU,0))-2*INDEX(PipeWT,MATCH(J316,NPSU,0),MATCH(K316,SchU,0))),"")))</f>
        <v/>
      </c>
      <c r="AT316" s="27" t="n">
        <f aca="false">IF(ISNUMBER(AI316),AI316,IFERROR(INDEX(IF(CC_JobType="Decontamination",CC_TypeFillDC,CC_TypeFillCC),MATCH(E316,CC_TypeL,0)),1))</f>
        <v>1</v>
      </c>
      <c r="AU316" s="27" t="n">
        <v>10</v>
      </c>
    </row>
    <row r="317" customFormat="false" ht="15" hidden="false" customHeight="false" outlineLevel="0" collapsed="false">
      <c r="A317" s="36" t="n">
        <v>11</v>
      </c>
      <c r="B317" s="40"/>
      <c r="C317" s="32"/>
      <c r="D317" s="32"/>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1" t="str">
        <f aca="false">IF(E317="Exchanger",IF(AND(ISNUMBER(S317),ISNUMBER(U317),ISNUMBER(V317)),S317*PI()/4*(U317*INDEX(LenF,MATCH($U$7,LenU,0)))^2*V317*INDEX(LenF,MATCH($V$7,LenU,0)),0)+IF(ISNUMBER(Y317),PI()/4*(Y317*INDEX(LenF,MATCH($Y$7,LenU,0)))^2*N(Z317)*INDEX(LenF,MATCH($Z$7,LenU,0))+IF(AA317="",0,IF(AA317="Conical",PI()/12*(Y317*INDEX(LenF,MATCH($Y$7,LenU,0)))^2*(0),INDEX(HeadK,MATCH(AA317,HeadU,0))*(Y317*INDEX(LenF,MATCH($Y$7,LenU,0)))^3)),0)+IF(ISNUMBER(Y317),PI()/4*(Y317*INDEX(LenF,MATCH($Y$7,LenU,0)))^2*N(AB317)*INDEX(LenF,MATCH($AB$7,LenU,0))+IF(AC317="",0,IF(AC317="Conical",PI()/12*(Y317*INDEX(LenF,MATCH($Y$7,LenU,0)))^2*(0),INDEX(HeadK,MATCH(AC317,HeadU,0))*(Y317*INDEX(LenF,MATCH($Y$7,LenU,0)))^3)),0),"")</f>
        <v/>
      </c>
      <c r="AE317" s="41" t="str">
        <f aca="false">IF(OR(E317="",E317="Piping"),"",IF(E317="Exchanger",AQ317*AR317+IF(P317="",0,IF(P317="Conical",PI()/12*(SQRT(4*AQ317/PI()))^2*(0),INDEX(HeadK,MATCH(P317,HeadU,0))*(SQRT(4*AQ317/PI()))^3))-IF(AND(ISNUMBER(S317),ISNUMBER(V317)),S317*PI()/4*AP317^2*V317*INDEX(LenF,MATCH($V$7,LenU,0)),0),IF(ISNUMBER(N317),PI()/4*(N317*INDEX(LenF,MATCH($N$7,LenU,0)))^2*N(O317)*INDEX(LenF,MATCH($O$7,LenU,0))+IF(P317="",0,IF(P317="Conical",PI()/12*(N317*INDEX(LenF,MATCH($N$7,LenU,0)))^2*(N(R317)*INDEX(LenF,MATCH($R$7,LenU,0))),INDEX(HeadK,MATCH(P317,HeadU,0))*(N317*INDEX(LenF,MATCH($N$7,LenU,0)))^3))+IF(Q317="",0,IF(Q317="Conical",PI()/12*(N317*INDEX(LenF,MATCH($N$7,LenU,0)))^2*(N(R317)*INDEX(LenF,MATCH($R$7,LenU,0))),INDEX(HeadK,MATCH(Q317,HeadU,0))*(N317*INDEX(LenF,MATCH($N$7,LenU,0)))^3)),0)))</f>
        <v/>
      </c>
      <c r="AF317" s="41" t="str">
        <f aca="false">IF(E317&lt;&gt;"Piping","",IF(AND(ISNUMBER(AS317),ISNUMBER(M317)),PI()/4*(AS317/1000)^2*M317*INDEX(LenF,MATCH($M$7,LenU,0)),0))</f>
        <v/>
      </c>
      <c r="AG317" s="41" t="str">
        <f aca="false">IF(E317="","",N(AD317)+N(AE317)+N(AF317))</f>
        <v/>
      </c>
      <c r="AH317" s="41" t="str">
        <f aca="false">IF(ISNUMBER(I317),I317*INDEX(WtF,MATCH($I$7,WtU,0))/CC_WaterRho,"")</f>
        <v/>
      </c>
      <c r="AI317" s="31"/>
      <c r="AJ317" s="31"/>
      <c r="AK317" s="40"/>
      <c r="AL317" s="31"/>
      <c r="AM317" s="41" t="str">
        <f aca="false">IF(AO317="","",AO317*IF(ISNUMBER(AK317),AK317,CC_DefFills)*(1+IF(ISNUMBER(AL317),AL317,CC_DefAllow)))</f>
        <v/>
      </c>
      <c r="AN317" s="42" t="str">
        <f aca="false">IF(G317="Given volume",IF(ISNUMBER(H317),H317*INDEX(VolF,MATCH($H$7,VolU,0)),""),IF(G317="Water weight",AH317,IF(N(AG317)=0,"",AG317)))</f>
        <v/>
      </c>
      <c r="AO317" s="42" t="str">
        <f aca="false">IF(N(AN317)=0,"",AN317*AT317*IF(ISNUMBER(AJ317),AJ317,CC_DefCirc))</f>
        <v/>
      </c>
      <c r="AP317" s="27" t="n">
        <f aca="false">IF(ISNUMBER(T317),T317*INDEX(LenF,MATCH($T$7,LenU,0)),IF(ISNUMBER(W317),W317*INDEX(LenF,MATCH($W$7,LenU,0))/CC_PitchRatio,0))</f>
        <v>0</v>
      </c>
      <c r="AQ317" s="27" t="n">
        <f aca="false">IF(ISNUMBER(N317),PI()/4*(N317*INDEX(LenF,MATCH($N$7,LenU,0)))^2,IF(AND(ISNUMBER(S317),ISNUMBER(W317),X317&lt;&gt;""),S317*(W317*INDEX(LenF,MATCH($W$7,LenU,0)))^2*INDEX(LayoutF,MATCH(X317,LayoutU,0)),0))</f>
        <v>0</v>
      </c>
      <c r="AR317" s="27" t="n">
        <f aca="false">IF(ISNUMBER(O317),O317*INDEX(LenF,MATCH($O$7,LenU,0)),IF(ISNUMBER(V317),V317*INDEX(LenF,MATCH($V$7,LenU,0)),0))</f>
        <v>0</v>
      </c>
      <c r="AS317" s="27" t="str">
        <f aca="false">IF(ISNUMBER(L317),L317*INDEX(LenF,MATCH($L$7,LenU,0))*1000,IF(OR(J317="",K317=""),"",IFERROR(IF(INDEX(PipeWT,MATCH(J317,NPSU,0),MATCH(K317,SchU,0))="","Sch n/a",INDEX(PipeOD,MATCH(J317,NPSU,0))-2*INDEX(PipeWT,MATCH(J317,NPSU,0),MATCH(K317,SchU,0))),"")))</f>
        <v/>
      </c>
      <c r="AT317" s="27" t="n">
        <f aca="false">IF(ISNUMBER(AI317),AI317,IFERROR(INDEX(IF(CC_JobType="Decontamination",CC_TypeFillDC,CC_TypeFillCC),MATCH(E317,CC_TypeL,0)),1))</f>
        <v>1</v>
      </c>
      <c r="AU317" s="27" t="n">
        <v>10</v>
      </c>
    </row>
    <row r="318" customFormat="false" ht="15" hidden="false" customHeight="false" outlineLevel="0" collapsed="false">
      <c r="A318" s="36" t="n">
        <v>12</v>
      </c>
      <c r="B318" s="40"/>
      <c r="C318" s="32"/>
      <c r="D318" s="32"/>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1" t="str">
        <f aca="false">IF(E318="Exchanger",IF(AND(ISNUMBER(S318),ISNUMBER(U318),ISNUMBER(V318)),S318*PI()/4*(U318*INDEX(LenF,MATCH($U$7,LenU,0)))^2*V318*INDEX(LenF,MATCH($V$7,LenU,0)),0)+IF(ISNUMBER(Y318),PI()/4*(Y318*INDEX(LenF,MATCH($Y$7,LenU,0)))^2*N(Z318)*INDEX(LenF,MATCH($Z$7,LenU,0))+IF(AA318="",0,IF(AA318="Conical",PI()/12*(Y318*INDEX(LenF,MATCH($Y$7,LenU,0)))^2*(0),INDEX(HeadK,MATCH(AA318,HeadU,0))*(Y318*INDEX(LenF,MATCH($Y$7,LenU,0)))^3)),0)+IF(ISNUMBER(Y318),PI()/4*(Y318*INDEX(LenF,MATCH($Y$7,LenU,0)))^2*N(AB318)*INDEX(LenF,MATCH($AB$7,LenU,0))+IF(AC318="",0,IF(AC318="Conical",PI()/12*(Y318*INDEX(LenF,MATCH($Y$7,LenU,0)))^2*(0),INDEX(HeadK,MATCH(AC318,HeadU,0))*(Y318*INDEX(LenF,MATCH($Y$7,LenU,0)))^3)),0),"")</f>
        <v/>
      </c>
      <c r="AE318" s="41" t="str">
        <f aca="false">IF(OR(E318="",E318="Piping"),"",IF(E318="Exchanger",AQ318*AR318+IF(P318="",0,IF(P318="Conical",PI()/12*(SQRT(4*AQ318/PI()))^2*(0),INDEX(HeadK,MATCH(P318,HeadU,0))*(SQRT(4*AQ318/PI()))^3))-IF(AND(ISNUMBER(S318),ISNUMBER(V318)),S318*PI()/4*AP318^2*V318*INDEX(LenF,MATCH($V$7,LenU,0)),0),IF(ISNUMBER(N318),PI()/4*(N318*INDEX(LenF,MATCH($N$7,LenU,0)))^2*N(O318)*INDEX(LenF,MATCH($O$7,LenU,0))+IF(P318="",0,IF(P318="Conical",PI()/12*(N318*INDEX(LenF,MATCH($N$7,LenU,0)))^2*(N(R318)*INDEX(LenF,MATCH($R$7,LenU,0))),INDEX(HeadK,MATCH(P318,HeadU,0))*(N318*INDEX(LenF,MATCH($N$7,LenU,0)))^3))+IF(Q318="",0,IF(Q318="Conical",PI()/12*(N318*INDEX(LenF,MATCH($N$7,LenU,0)))^2*(N(R318)*INDEX(LenF,MATCH($R$7,LenU,0))),INDEX(HeadK,MATCH(Q318,HeadU,0))*(N318*INDEX(LenF,MATCH($N$7,LenU,0)))^3)),0)))</f>
        <v/>
      </c>
      <c r="AF318" s="41" t="str">
        <f aca="false">IF(E318&lt;&gt;"Piping","",IF(AND(ISNUMBER(AS318),ISNUMBER(M318)),PI()/4*(AS318/1000)^2*M318*INDEX(LenF,MATCH($M$7,LenU,0)),0))</f>
        <v/>
      </c>
      <c r="AG318" s="41" t="str">
        <f aca="false">IF(E318="","",N(AD318)+N(AE318)+N(AF318))</f>
        <v/>
      </c>
      <c r="AH318" s="41" t="str">
        <f aca="false">IF(ISNUMBER(I318),I318*INDEX(WtF,MATCH($I$7,WtU,0))/CC_WaterRho,"")</f>
        <v/>
      </c>
      <c r="AI318" s="31"/>
      <c r="AJ318" s="31"/>
      <c r="AK318" s="40"/>
      <c r="AL318" s="31"/>
      <c r="AM318" s="41" t="str">
        <f aca="false">IF(AO318="","",AO318*IF(ISNUMBER(AK318),AK318,CC_DefFills)*(1+IF(ISNUMBER(AL318),AL318,CC_DefAllow)))</f>
        <v/>
      </c>
      <c r="AN318" s="42" t="str">
        <f aca="false">IF(G318="Given volume",IF(ISNUMBER(H318),H318*INDEX(VolF,MATCH($H$7,VolU,0)),""),IF(G318="Water weight",AH318,IF(N(AG318)=0,"",AG318)))</f>
        <v/>
      </c>
      <c r="AO318" s="42" t="str">
        <f aca="false">IF(N(AN318)=0,"",AN318*AT318*IF(ISNUMBER(AJ318),AJ318,CC_DefCirc))</f>
        <v/>
      </c>
      <c r="AP318" s="27" t="n">
        <f aca="false">IF(ISNUMBER(T318),T318*INDEX(LenF,MATCH($T$7,LenU,0)),IF(ISNUMBER(W318),W318*INDEX(LenF,MATCH($W$7,LenU,0))/CC_PitchRatio,0))</f>
        <v>0</v>
      </c>
      <c r="AQ318" s="27" t="n">
        <f aca="false">IF(ISNUMBER(N318),PI()/4*(N318*INDEX(LenF,MATCH($N$7,LenU,0)))^2,IF(AND(ISNUMBER(S318),ISNUMBER(W318),X318&lt;&gt;""),S318*(W318*INDEX(LenF,MATCH($W$7,LenU,0)))^2*INDEX(LayoutF,MATCH(X318,LayoutU,0)),0))</f>
        <v>0</v>
      </c>
      <c r="AR318" s="27" t="n">
        <f aca="false">IF(ISNUMBER(O318),O318*INDEX(LenF,MATCH($O$7,LenU,0)),IF(ISNUMBER(V318),V318*INDEX(LenF,MATCH($V$7,LenU,0)),0))</f>
        <v>0</v>
      </c>
      <c r="AS318" s="27" t="str">
        <f aca="false">IF(ISNUMBER(L318),L318*INDEX(LenF,MATCH($L$7,LenU,0))*1000,IF(OR(J318="",K318=""),"",IFERROR(IF(INDEX(PipeWT,MATCH(J318,NPSU,0),MATCH(K318,SchU,0))="","Sch n/a",INDEX(PipeOD,MATCH(J318,NPSU,0))-2*INDEX(PipeWT,MATCH(J318,NPSU,0),MATCH(K318,SchU,0))),"")))</f>
        <v/>
      </c>
      <c r="AT318" s="27" t="n">
        <f aca="false">IF(ISNUMBER(AI318),AI318,IFERROR(INDEX(IF(CC_JobType="Decontamination",CC_TypeFillDC,CC_TypeFillCC),MATCH(E318,CC_TypeL,0)),1))</f>
        <v>1</v>
      </c>
      <c r="AU318" s="27" t="n">
        <v>10</v>
      </c>
    </row>
    <row r="319" customFormat="false" ht="15" hidden="false" customHeight="false" outlineLevel="0" collapsed="false">
      <c r="A319" s="36" t="n">
        <v>13</v>
      </c>
      <c r="B319" s="40"/>
      <c r="C319" s="32"/>
      <c r="D319" s="32"/>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1" t="str">
        <f aca="false">IF(E319="Exchanger",IF(AND(ISNUMBER(S319),ISNUMBER(U319),ISNUMBER(V319)),S319*PI()/4*(U319*INDEX(LenF,MATCH($U$7,LenU,0)))^2*V319*INDEX(LenF,MATCH($V$7,LenU,0)),0)+IF(ISNUMBER(Y319),PI()/4*(Y319*INDEX(LenF,MATCH($Y$7,LenU,0)))^2*N(Z319)*INDEX(LenF,MATCH($Z$7,LenU,0))+IF(AA319="",0,IF(AA319="Conical",PI()/12*(Y319*INDEX(LenF,MATCH($Y$7,LenU,0)))^2*(0),INDEX(HeadK,MATCH(AA319,HeadU,0))*(Y319*INDEX(LenF,MATCH($Y$7,LenU,0)))^3)),0)+IF(ISNUMBER(Y319),PI()/4*(Y319*INDEX(LenF,MATCH($Y$7,LenU,0)))^2*N(AB319)*INDEX(LenF,MATCH($AB$7,LenU,0))+IF(AC319="",0,IF(AC319="Conical",PI()/12*(Y319*INDEX(LenF,MATCH($Y$7,LenU,0)))^2*(0),INDEX(HeadK,MATCH(AC319,HeadU,0))*(Y319*INDEX(LenF,MATCH($Y$7,LenU,0)))^3)),0),"")</f>
        <v/>
      </c>
      <c r="AE319" s="41" t="str">
        <f aca="false">IF(OR(E319="",E319="Piping"),"",IF(E319="Exchanger",AQ319*AR319+IF(P319="",0,IF(P319="Conical",PI()/12*(SQRT(4*AQ319/PI()))^2*(0),INDEX(HeadK,MATCH(P319,HeadU,0))*(SQRT(4*AQ319/PI()))^3))-IF(AND(ISNUMBER(S319),ISNUMBER(V319)),S319*PI()/4*AP319^2*V319*INDEX(LenF,MATCH($V$7,LenU,0)),0),IF(ISNUMBER(N319),PI()/4*(N319*INDEX(LenF,MATCH($N$7,LenU,0)))^2*N(O319)*INDEX(LenF,MATCH($O$7,LenU,0))+IF(P319="",0,IF(P319="Conical",PI()/12*(N319*INDEX(LenF,MATCH($N$7,LenU,0)))^2*(N(R319)*INDEX(LenF,MATCH($R$7,LenU,0))),INDEX(HeadK,MATCH(P319,HeadU,0))*(N319*INDEX(LenF,MATCH($N$7,LenU,0)))^3))+IF(Q319="",0,IF(Q319="Conical",PI()/12*(N319*INDEX(LenF,MATCH($N$7,LenU,0)))^2*(N(R319)*INDEX(LenF,MATCH($R$7,LenU,0))),INDEX(HeadK,MATCH(Q319,HeadU,0))*(N319*INDEX(LenF,MATCH($N$7,LenU,0)))^3)),0)))</f>
        <v/>
      </c>
      <c r="AF319" s="41" t="str">
        <f aca="false">IF(E319&lt;&gt;"Piping","",IF(AND(ISNUMBER(AS319),ISNUMBER(M319)),PI()/4*(AS319/1000)^2*M319*INDEX(LenF,MATCH($M$7,LenU,0)),0))</f>
        <v/>
      </c>
      <c r="AG319" s="41" t="str">
        <f aca="false">IF(E319="","",N(AD319)+N(AE319)+N(AF319))</f>
        <v/>
      </c>
      <c r="AH319" s="41" t="str">
        <f aca="false">IF(ISNUMBER(I319),I319*INDEX(WtF,MATCH($I$7,WtU,0))/CC_WaterRho,"")</f>
        <v/>
      </c>
      <c r="AI319" s="31"/>
      <c r="AJ319" s="31"/>
      <c r="AK319" s="40"/>
      <c r="AL319" s="31"/>
      <c r="AM319" s="41" t="str">
        <f aca="false">IF(AO319="","",AO319*IF(ISNUMBER(AK319),AK319,CC_DefFills)*(1+IF(ISNUMBER(AL319),AL319,CC_DefAllow)))</f>
        <v/>
      </c>
      <c r="AN319" s="42" t="str">
        <f aca="false">IF(G319="Given volume",IF(ISNUMBER(H319),H319*INDEX(VolF,MATCH($H$7,VolU,0)),""),IF(G319="Water weight",AH319,IF(N(AG319)=0,"",AG319)))</f>
        <v/>
      </c>
      <c r="AO319" s="42" t="str">
        <f aca="false">IF(N(AN319)=0,"",AN319*AT319*IF(ISNUMBER(AJ319),AJ319,CC_DefCirc))</f>
        <v/>
      </c>
      <c r="AP319" s="27" t="n">
        <f aca="false">IF(ISNUMBER(T319),T319*INDEX(LenF,MATCH($T$7,LenU,0)),IF(ISNUMBER(W319),W319*INDEX(LenF,MATCH($W$7,LenU,0))/CC_PitchRatio,0))</f>
        <v>0</v>
      </c>
      <c r="AQ319" s="27" t="n">
        <f aca="false">IF(ISNUMBER(N319),PI()/4*(N319*INDEX(LenF,MATCH($N$7,LenU,0)))^2,IF(AND(ISNUMBER(S319),ISNUMBER(W319),X319&lt;&gt;""),S319*(W319*INDEX(LenF,MATCH($W$7,LenU,0)))^2*INDEX(LayoutF,MATCH(X319,LayoutU,0)),0))</f>
        <v>0</v>
      </c>
      <c r="AR319" s="27" t="n">
        <f aca="false">IF(ISNUMBER(O319),O319*INDEX(LenF,MATCH($O$7,LenU,0)),IF(ISNUMBER(V319),V319*INDEX(LenF,MATCH($V$7,LenU,0)),0))</f>
        <v>0</v>
      </c>
      <c r="AS319" s="27" t="str">
        <f aca="false">IF(ISNUMBER(L319),L319*INDEX(LenF,MATCH($L$7,LenU,0))*1000,IF(OR(J319="",K319=""),"",IFERROR(IF(INDEX(PipeWT,MATCH(J319,NPSU,0),MATCH(K319,SchU,0))="","Sch n/a",INDEX(PipeOD,MATCH(J319,NPSU,0))-2*INDEX(PipeWT,MATCH(J319,NPSU,0),MATCH(K319,SchU,0))),"")))</f>
        <v/>
      </c>
      <c r="AT319" s="27" t="n">
        <f aca="false">IF(ISNUMBER(AI319),AI319,IFERROR(INDEX(IF(CC_JobType="Decontamination",CC_TypeFillDC,CC_TypeFillCC),MATCH(E319,CC_TypeL,0)),1))</f>
        <v>1</v>
      </c>
      <c r="AU319" s="27" t="n">
        <v>10</v>
      </c>
    </row>
    <row r="320" customFormat="false" ht="15" hidden="false" customHeight="false" outlineLevel="0" collapsed="false">
      <c r="A320" s="36" t="n">
        <v>14</v>
      </c>
      <c r="B320" s="40"/>
      <c r="C320" s="32"/>
      <c r="D320" s="32"/>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1" t="str">
        <f aca="false">IF(E320="Exchanger",IF(AND(ISNUMBER(S320),ISNUMBER(U320),ISNUMBER(V320)),S320*PI()/4*(U320*INDEX(LenF,MATCH($U$7,LenU,0)))^2*V320*INDEX(LenF,MATCH($V$7,LenU,0)),0)+IF(ISNUMBER(Y320),PI()/4*(Y320*INDEX(LenF,MATCH($Y$7,LenU,0)))^2*N(Z320)*INDEX(LenF,MATCH($Z$7,LenU,0))+IF(AA320="",0,IF(AA320="Conical",PI()/12*(Y320*INDEX(LenF,MATCH($Y$7,LenU,0)))^2*(0),INDEX(HeadK,MATCH(AA320,HeadU,0))*(Y320*INDEX(LenF,MATCH($Y$7,LenU,0)))^3)),0)+IF(ISNUMBER(Y320),PI()/4*(Y320*INDEX(LenF,MATCH($Y$7,LenU,0)))^2*N(AB320)*INDEX(LenF,MATCH($AB$7,LenU,0))+IF(AC320="",0,IF(AC320="Conical",PI()/12*(Y320*INDEX(LenF,MATCH($Y$7,LenU,0)))^2*(0),INDEX(HeadK,MATCH(AC320,HeadU,0))*(Y320*INDEX(LenF,MATCH($Y$7,LenU,0)))^3)),0),"")</f>
        <v/>
      </c>
      <c r="AE320" s="41" t="str">
        <f aca="false">IF(OR(E320="",E320="Piping"),"",IF(E320="Exchanger",AQ320*AR320+IF(P320="",0,IF(P320="Conical",PI()/12*(SQRT(4*AQ320/PI()))^2*(0),INDEX(HeadK,MATCH(P320,HeadU,0))*(SQRT(4*AQ320/PI()))^3))-IF(AND(ISNUMBER(S320),ISNUMBER(V320)),S320*PI()/4*AP320^2*V320*INDEX(LenF,MATCH($V$7,LenU,0)),0),IF(ISNUMBER(N320),PI()/4*(N320*INDEX(LenF,MATCH($N$7,LenU,0)))^2*N(O320)*INDEX(LenF,MATCH($O$7,LenU,0))+IF(P320="",0,IF(P320="Conical",PI()/12*(N320*INDEX(LenF,MATCH($N$7,LenU,0)))^2*(N(R320)*INDEX(LenF,MATCH($R$7,LenU,0))),INDEX(HeadK,MATCH(P320,HeadU,0))*(N320*INDEX(LenF,MATCH($N$7,LenU,0)))^3))+IF(Q320="",0,IF(Q320="Conical",PI()/12*(N320*INDEX(LenF,MATCH($N$7,LenU,0)))^2*(N(R320)*INDEX(LenF,MATCH($R$7,LenU,0))),INDEX(HeadK,MATCH(Q320,HeadU,0))*(N320*INDEX(LenF,MATCH($N$7,LenU,0)))^3)),0)))</f>
        <v/>
      </c>
      <c r="AF320" s="41" t="str">
        <f aca="false">IF(E320&lt;&gt;"Piping","",IF(AND(ISNUMBER(AS320),ISNUMBER(M320)),PI()/4*(AS320/1000)^2*M320*INDEX(LenF,MATCH($M$7,LenU,0)),0))</f>
        <v/>
      </c>
      <c r="AG320" s="41" t="str">
        <f aca="false">IF(E320="","",N(AD320)+N(AE320)+N(AF320))</f>
        <v/>
      </c>
      <c r="AH320" s="41" t="str">
        <f aca="false">IF(ISNUMBER(I320),I320*INDEX(WtF,MATCH($I$7,WtU,0))/CC_WaterRho,"")</f>
        <v/>
      </c>
      <c r="AI320" s="31"/>
      <c r="AJ320" s="31"/>
      <c r="AK320" s="40"/>
      <c r="AL320" s="31"/>
      <c r="AM320" s="41" t="str">
        <f aca="false">IF(AO320="","",AO320*IF(ISNUMBER(AK320),AK320,CC_DefFills)*(1+IF(ISNUMBER(AL320),AL320,CC_DefAllow)))</f>
        <v/>
      </c>
      <c r="AN320" s="42" t="str">
        <f aca="false">IF(G320="Given volume",IF(ISNUMBER(H320),H320*INDEX(VolF,MATCH($H$7,VolU,0)),""),IF(G320="Water weight",AH320,IF(N(AG320)=0,"",AG320)))</f>
        <v/>
      </c>
      <c r="AO320" s="42" t="str">
        <f aca="false">IF(N(AN320)=0,"",AN320*AT320*IF(ISNUMBER(AJ320),AJ320,CC_DefCirc))</f>
        <v/>
      </c>
      <c r="AP320" s="27" t="n">
        <f aca="false">IF(ISNUMBER(T320),T320*INDEX(LenF,MATCH($T$7,LenU,0)),IF(ISNUMBER(W320),W320*INDEX(LenF,MATCH($W$7,LenU,0))/CC_PitchRatio,0))</f>
        <v>0</v>
      </c>
      <c r="AQ320" s="27" t="n">
        <f aca="false">IF(ISNUMBER(N320),PI()/4*(N320*INDEX(LenF,MATCH($N$7,LenU,0)))^2,IF(AND(ISNUMBER(S320),ISNUMBER(W320),X320&lt;&gt;""),S320*(W320*INDEX(LenF,MATCH($W$7,LenU,0)))^2*INDEX(LayoutF,MATCH(X320,LayoutU,0)),0))</f>
        <v>0</v>
      </c>
      <c r="AR320" s="27" t="n">
        <f aca="false">IF(ISNUMBER(O320),O320*INDEX(LenF,MATCH($O$7,LenU,0)),IF(ISNUMBER(V320),V320*INDEX(LenF,MATCH($V$7,LenU,0)),0))</f>
        <v>0</v>
      </c>
      <c r="AS320" s="27" t="str">
        <f aca="false">IF(ISNUMBER(L320),L320*INDEX(LenF,MATCH($L$7,LenU,0))*1000,IF(OR(J320="",K320=""),"",IFERROR(IF(INDEX(PipeWT,MATCH(J320,NPSU,0),MATCH(K320,SchU,0))="","Sch n/a",INDEX(PipeOD,MATCH(J320,NPSU,0))-2*INDEX(PipeWT,MATCH(J320,NPSU,0),MATCH(K320,SchU,0))),"")))</f>
        <v/>
      </c>
      <c r="AT320" s="27" t="n">
        <f aca="false">IF(ISNUMBER(AI320),AI320,IFERROR(INDEX(IF(CC_JobType="Decontamination",CC_TypeFillDC,CC_TypeFillCC),MATCH(E320,CC_TypeL,0)),1))</f>
        <v>1</v>
      </c>
      <c r="AU320" s="27" t="n">
        <v>10</v>
      </c>
    </row>
    <row r="321" customFormat="false" ht="15" hidden="false" customHeight="false" outlineLevel="0" collapsed="false">
      <c r="A321" s="36" t="n">
        <v>15</v>
      </c>
      <c r="B321" s="40"/>
      <c r="C321" s="32"/>
      <c r="D321" s="32"/>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1" t="str">
        <f aca="false">IF(E321="Exchanger",IF(AND(ISNUMBER(S321),ISNUMBER(U321),ISNUMBER(V321)),S321*PI()/4*(U321*INDEX(LenF,MATCH($U$7,LenU,0)))^2*V321*INDEX(LenF,MATCH($V$7,LenU,0)),0)+IF(ISNUMBER(Y321),PI()/4*(Y321*INDEX(LenF,MATCH($Y$7,LenU,0)))^2*N(Z321)*INDEX(LenF,MATCH($Z$7,LenU,0))+IF(AA321="",0,IF(AA321="Conical",PI()/12*(Y321*INDEX(LenF,MATCH($Y$7,LenU,0)))^2*(0),INDEX(HeadK,MATCH(AA321,HeadU,0))*(Y321*INDEX(LenF,MATCH($Y$7,LenU,0)))^3)),0)+IF(ISNUMBER(Y321),PI()/4*(Y321*INDEX(LenF,MATCH($Y$7,LenU,0)))^2*N(AB321)*INDEX(LenF,MATCH($AB$7,LenU,0))+IF(AC321="",0,IF(AC321="Conical",PI()/12*(Y321*INDEX(LenF,MATCH($Y$7,LenU,0)))^2*(0),INDEX(HeadK,MATCH(AC321,HeadU,0))*(Y321*INDEX(LenF,MATCH($Y$7,LenU,0)))^3)),0),"")</f>
        <v/>
      </c>
      <c r="AE321" s="41" t="str">
        <f aca="false">IF(OR(E321="",E321="Piping"),"",IF(E321="Exchanger",AQ321*AR321+IF(P321="",0,IF(P321="Conical",PI()/12*(SQRT(4*AQ321/PI()))^2*(0),INDEX(HeadK,MATCH(P321,HeadU,0))*(SQRT(4*AQ321/PI()))^3))-IF(AND(ISNUMBER(S321),ISNUMBER(V321)),S321*PI()/4*AP321^2*V321*INDEX(LenF,MATCH($V$7,LenU,0)),0),IF(ISNUMBER(N321),PI()/4*(N321*INDEX(LenF,MATCH($N$7,LenU,0)))^2*N(O321)*INDEX(LenF,MATCH($O$7,LenU,0))+IF(P321="",0,IF(P321="Conical",PI()/12*(N321*INDEX(LenF,MATCH($N$7,LenU,0)))^2*(N(R321)*INDEX(LenF,MATCH($R$7,LenU,0))),INDEX(HeadK,MATCH(P321,HeadU,0))*(N321*INDEX(LenF,MATCH($N$7,LenU,0)))^3))+IF(Q321="",0,IF(Q321="Conical",PI()/12*(N321*INDEX(LenF,MATCH($N$7,LenU,0)))^2*(N(R321)*INDEX(LenF,MATCH($R$7,LenU,0))),INDEX(HeadK,MATCH(Q321,HeadU,0))*(N321*INDEX(LenF,MATCH($N$7,LenU,0)))^3)),0)))</f>
        <v/>
      </c>
      <c r="AF321" s="41" t="str">
        <f aca="false">IF(E321&lt;&gt;"Piping","",IF(AND(ISNUMBER(AS321),ISNUMBER(M321)),PI()/4*(AS321/1000)^2*M321*INDEX(LenF,MATCH($M$7,LenU,0)),0))</f>
        <v/>
      </c>
      <c r="AG321" s="41" t="str">
        <f aca="false">IF(E321="","",N(AD321)+N(AE321)+N(AF321))</f>
        <v/>
      </c>
      <c r="AH321" s="41" t="str">
        <f aca="false">IF(ISNUMBER(I321),I321*INDEX(WtF,MATCH($I$7,WtU,0))/CC_WaterRho,"")</f>
        <v/>
      </c>
      <c r="AI321" s="31"/>
      <c r="AJ321" s="31"/>
      <c r="AK321" s="40"/>
      <c r="AL321" s="31"/>
      <c r="AM321" s="41" t="str">
        <f aca="false">IF(AO321="","",AO321*IF(ISNUMBER(AK321),AK321,CC_DefFills)*(1+IF(ISNUMBER(AL321),AL321,CC_DefAllow)))</f>
        <v/>
      </c>
      <c r="AN321" s="42" t="str">
        <f aca="false">IF(G321="Given volume",IF(ISNUMBER(H321),H321*INDEX(VolF,MATCH($H$7,VolU,0)),""),IF(G321="Water weight",AH321,IF(N(AG321)=0,"",AG321)))</f>
        <v/>
      </c>
      <c r="AO321" s="42" t="str">
        <f aca="false">IF(N(AN321)=0,"",AN321*AT321*IF(ISNUMBER(AJ321),AJ321,CC_DefCirc))</f>
        <v/>
      </c>
      <c r="AP321" s="27" t="n">
        <f aca="false">IF(ISNUMBER(T321),T321*INDEX(LenF,MATCH($T$7,LenU,0)),IF(ISNUMBER(W321),W321*INDEX(LenF,MATCH($W$7,LenU,0))/CC_PitchRatio,0))</f>
        <v>0</v>
      </c>
      <c r="AQ321" s="27" t="n">
        <f aca="false">IF(ISNUMBER(N321),PI()/4*(N321*INDEX(LenF,MATCH($N$7,LenU,0)))^2,IF(AND(ISNUMBER(S321),ISNUMBER(W321),X321&lt;&gt;""),S321*(W321*INDEX(LenF,MATCH($W$7,LenU,0)))^2*INDEX(LayoutF,MATCH(X321,LayoutU,0)),0))</f>
        <v>0</v>
      </c>
      <c r="AR321" s="27" t="n">
        <f aca="false">IF(ISNUMBER(O321),O321*INDEX(LenF,MATCH($O$7,LenU,0)),IF(ISNUMBER(V321),V321*INDEX(LenF,MATCH($V$7,LenU,0)),0))</f>
        <v>0</v>
      </c>
      <c r="AS321" s="27" t="str">
        <f aca="false">IF(ISNUMBER(L321),L321*INDEX(LenF,MATCH($L$7,LenU,0))*1000,IF(OR(J321="",K321=""),"",IFERROR(IF(INDEX(PipeWT,MATCH(J321,NPSU,0),MATCH(K321,SchU,0))="","Sch n/a",INDEX(PipeOD,MATCH(J321,NPSU,0))-2*INDEX(PipeWT,MATCH(J321,NPSU,0),MATCH(K321,SchU,0))),"")))</f>
        <v/>
      </c>
      <c r="AT321" s="27" t="n">
        <f aca="false">IF(ISNUMBER(AI321),AI321,IFERROR(INDEX(IF(CC_JobType="Decontamination",CC_TypeFillDC,CC_TypeFillCC),MATCH(E321,CC_TypeL,0)),1))</f>
        <v>1</v>
      </c>
      <c r="AU321" s="27" t="n">
        <v>10</v>
      </c>
    </row>
    <row r="322" customFormat="false" ht="15" hidden="false" customHeight="false" outlineLevel="0" collapsed="false">
      <c r="A322" s="36" t="n">
        <v>16</v>
      </c>
      <c r="B322" s="40"/>
      <c r="C322" s="32"/>
      <c r="D322" s="32"/>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1" t="str">
        <f aca="false">IF(E322="Exchanger",IF(AND(ISNUMBER(S322),ISNUMBER(U322),ISNUMBER(V322)),S322*PI()/4*(U322*INDEX(LenF,MATCH($U$7,LenU,0)))^2*V322*INDEX(LenF,MATCH($V$7,LenU,0)),0)+IF(ISNUMBER(Y322),PI()/4*(Y322*INDEX(LenF,MATCH($Y$7,LenU,0)))^2*N(Z322)*INDEX(LenF,MATCH($Z$7,LenU,0))+IF(AA322="",0,IF(AA322="Conical",PI()/12*(Y322*INDEX(LenF,MATCH($Y$7,LenU,0)))^2*(0),INDEX(HeadK,MATCH(AA322,HeadU,0))*(Y322*INDEX(LenF,MATCH($Y$7,LenU,0)))^3)),0)+IF(ISNUMBER(Y322),PI()/4*(Y322*INDEX(LenF,MATCH($Y$7,LenU,0)))^2*N(AB322)*INDEX(LenF,MATCH($AB$7,LenU,0))+IF(AC322="",0,IF(AC322="Conical",PI()/12*(Y322*INDEX(LenF,MATCH($Y$7,LenU,0)))^2*(0),INDEX(HeadK,MATCH(AC322,HeadU,0))*(Y322*INDEX(LenF,MATCH($Y$7,LenU,0)))^3)),0),"")</f>
        <v/>
      </c>
      <c r="AE322" s="41" t="str">
        <f aca="false">IF(OR(E322="",E322="Piping"),"",IF(E322="Exchanger",AQ322*AR322+IF(P322="",0,IF(P322="Conical",PI()/12*(SQRT(4*AQ322/PI()))^2*(0),INDEX(HeadK,MATCH(P322,HeadU,0))*(SQRT(4*AQ322/PI()))^3))-IF(AND(ISNUMBER(S322),ISNUMBER(V322)),S322*PI()/4*AP322^2*V322*INDEX(LenF,MATCH($V$7,LenU,0)),0),IF(ISNUMBER(N322),PI()/4*(N322*INDEX(LenF,MATCH($N$7,LenU,0)))^2*N(O322)*INDEX(LenF,MATCH($O$7,LenU,0))+IF(P322="",0,IF(P322="Conical",PI()/12*(N322*INDEX(LenF,MATCH($N$7,LenU,0)))^2*(N(R322)*INDEX(LenF,MATCH($R$7,LenU,0))),INDEX(HeadK,MATCH(P322,HeadU,0))*(N322*INDEX(LenF,MATCH($N$7,LenU,0)))^3))+IF(Q322="",0,IF(Q322="Conical",PI()/12*(N322*INDEX(LenF,MATCH($N$7,LenU,0)))^2*(N(R322)*INDEX(LenF,MATCH($R$7,LenU,0))),INDEX(HeadK,MATCH(Q322,HeadU,0))*(N322*INDEX(LenF,MATCH($N$7,LenU,0)))^3)),0)))</f>
        <v/>
      </c>
      <c r="AF322" s="41" t="str">
        <f aca="false">IF(E322&lt;&gt;"Piping","",IF(AND(ISNUMBER(AS322),ISNUMBER(M322)),PI()/4*(AS322/1000)^2*M322*INDEX(LenF,MATCH($M$7,LenU,0)),0))</f>
        <v/>
      </c>
      <c r="AG322" s="41" t="str">
        <f aca="false">IF(E322="","",N(AD322)+N(AE322)+N(AF322))</f>
        <v/>
      </c>
      <c r="AH322" s="41" t="str">
        <f aca="false">IF(ISNUMBER(I322),I322*INDEX(WtF,MATCH($I$7,WtU,0))/CC_WaterRho,"")</f>
        <v/>
      </c>
      <c r="AI322" s="31"/>
      <c r="AJ322" s="31"/>
      <c r="AK322" s="40"/>
      <c r="AL322" s="31"/>
      <c r="AM322" s="41" t="str">
        <f aca="false">IF(AO322="","",AO322*IF(ISNUMBER(AK322),AK322,CC_DefFills)*(1+IF(ISNUMBER(AL322),AL322,CC_DefAllow)))</f>
        <v/>
      </c>
      <c r="AN322" s="42" t="str">
        <f aca="false">IF(G322="Given volume",IF(ISNUMBER(H322),H322*INDEX(VolF,MATCH($H$7,VolU,0)),""),IF(G322="Water weight",AH322,IF(N(AG322)=0,"",AG322)))</f>
        <v/>
      </c>
      <c r="AO322" s="42" t="str">
        <f aca="false">IF(N(AN322)=0,"",AN322*AT322*IF(ISNUMBER(AJ322),AJ322,CC_DefCirc))</f>
        <v/>
      </c>
      <c r="AP322" s="27" t="n">
        <f aca="false">IF(ISNUMBER(T322),T322*INDEX(LenF,MATCH($T$7,LenU,0)),IF(ISNUMBER(W322),W322*INDEX(LenF,MATCH($W$7,LenU,0))/CC_PitchRatio,0))</f>
        <v>0</v>
      </c>
      <c r="AQ322" s="27" t="n">
        <f aca="false">IF(ISNUMBER(N322),PI()/4*(N322*INDEX(LenF,MATCH($N$7,LenU,0)))^2,IF(AND(ISNUMBER(S322),ISNUMBER(W322),X322&lt;&gt;""),S322*(W322*INDEX(LenF,MATCH($W$7,LenU,0)))^2*INDEX(LayoutF,MATCH(X322,LayoutU,0)),0))</f>
        <v>0</v>
      </c>
      <c r="AR322" s="27" t="n">
        <f aca="false">IF(ISNUMBER(O322),O322*INDEX(LenF,MATCH($O$7,LenU,0)),IF(ISNUMBER(V322),V322*INDEX(LenF,MATCH($V$7,LenU,0)),0))</f>
        <v>0</v>
      </c>
      <c r="AS322" s="27" t="str">
        <f aca="false">IF(ISNUMBER(L322),L322*INDEX(LenF,MATCH($L$7,LenU,0))*1000,IF(OR(J322="",K322=""),"",IFERROR(IF(INDEX(PipeWT,MATCH(J322,NPSU,0),MATCH(K322,SchU,0))="","Sch n/a",INDEX(PipeOD,MATCH(J322,NPSU,0))-2*INDEX(PipeWT,MATCH(J322,NPSU,0),MATCH(K322,SchU,0))),"")))</f>
        <v/>
      </c>
      <c r="AT322" s="27" t="n">
        <f aca="false">IF(ISNUMBER(AI322),AI322,IFERROR(INDEX(IF(CC_JobType="Decontamination",CC_TypeFillDC,CC_TypeFillCC),MATCH(E322,CC_TypeL,0)),1))</f>
        <v>1</v>
      </c>
      <c r="AU322" s="27" t="n">
        <v>10</v>
      </c>
    </row>
    <row r="323" customFormat="false" ht="15" hidden="false" customHeight="false" outlineLevel="0" collapsed="false">
      <c r="A323" s="36" t="n">
        <v>17</v>
      </c>
      <c r="B323" s="40"/>
      <c r="C323" s="32"/>
      <c r="D323" s="32"/>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1" t="str">
        <f aca="false">IF(E323="Exchanger",IF(AND(ISNUMBER(S323),ISNUMBER(U323),ISNUMBER(V323)),S323*PI()/4*(U323*INDEX(LenF,MATCH($U$7,LenU,0)))^2*V323*INDEX(LenF,MATCH($V$7,LenU,0)),0)+IF(ISNUMBER(Y323),PI()/4*(Y323*INDEX(LenF,MATCH($Y$7,LenU,0)))^2*N(Z323)*INDEX(LenF,MATCH($Z$7,LenU,0))+IF(AA323="",0,IF(AA323="Conical",PI()/12*(Y323*INDEX(LenF,MATCH($Y$7,LenU,0)))^2*(0),INDEX(HeadK,MATCH(AA323,HeadU,0))*(Y323*INDEX(LenF,MATCH($Y$7,LenU,0)))^3)),0)+IF(ISNUMBER(Y323),PI()/4*(Y323*INDEX(LenF,MATCH($Y$7,LenU,0)))^2*N(AB323)*INDEX(LenF,MATCH($AB$7,LenU,0))+IF(AC323="",0,IF(AC323="Conical",PI()/12*(Y323*INDEX(LenF,MATCH($Y$7,LenU,0)))^2*(0),INDEX(HeadK,MATCH(AC323,HeadU,0))*(Y323*INDEX(LenF,MATCH($Y$7,LenU,0)))^3)),0),"")</f>
        <v/>
      </c>
      <c r="AE323" s="41" t="str">
        <f aca="false">IF(OR(E323="",E323="Piping"),"",IF(E323="Exchanger",AQ323*AR323+IF(P323="",0,IF(P323="Conical",PI()/12*(SQRT(4*AQ323/PI()))^2*(0),INDEX(HeadK,MATCH(P323,HeadU,0))*(SQRT(4*AQ323/PI()))^3))-IF(AND(ISNUMBER(S323),ISNUMBER(V323)),S323*PI()/4*AP323^2*V323*INDEX(LenF,MATCH($V$7,LenU,0)),0),IF(ISNUMBER(N323),PI()/4*(N323*INDEX(LenF,MATCH($N$7,LenU,0)))^2*N(O323)*INDEX(LenF,MATCH($O$7,LenU,0))+IF(P323="",0,IF(P323="Conical",PI()/12*(N323*INDEX(LenF,MATCH($N$7,LenU,0)))^2*(N(R323)*INDEX(LenF,MATCH($R$7,LenU,0))),INDEX(HeadK,MATCH(P323,HeadU,0))*(N323*INDEX(LenF,MATCH($N$7,LenU,0)))^3))+IF(Q323="",0,IF(Q323="Conical",PI()/12*(N323*INDEX(LenF,MATCH($N$7,LenU,0)))^2*(N(R323)*INDEX(LenF,MATCH($R$7,LenU,0))),INDEX(HeadK,MATCH(Q323,HeadU,0))*(N323*INDEX(LenF,MATCH($N$7,LenU,0)))^3)),0)))</f>
        <v/>
      </c>
      <c r="AF323" s="41" t="str">
        <f aca="false">IF(E323&lt;&gt;"Piping","",IF(AND(ISNUMBER(AS323),ISNUMBER(M323)),PI()/4*(AS323/1000)^2*M323*INDEX(LenF,MATCH($M$7,LenU,0)),0))</f>
        <v/>
      </c>
      <c r="AG323" s="41" t="str">
        <f aca="false">IF(E323="","",N(AD323)+N(AE323)+N(AF323))</f>
        <v/>
      </c>
      <c r="AH323" s="41" t="str">
        <f aca="false">IF(ISNUMBER(I323),I323*INDEX(WtF,MATCH($I$7,WtU,0))/CC_WaterRho,"")</f>
        <v/>
      </c>
      <c r="AI323" s="31"/>
      <c r="AJ323" s="31"/>
      <c r="AK323" s="40"/>
      <c r="AL323" s="31"/>
      <c r="AM323" s="41" t="str">
        <f aca="false">IF(AO323="","",AO323*IF(ISNUMBER(AK323),AK323,CC_DefFills)*(1+IF(ISNUMBER(AL323),AL323,CC_DefAllow)))</f>
        <v/>
      </c>
      <c r="AN323" s="42" t="str">
        <f aca="false">IF(G323="Given volume",IF(ISNUMBER(H323),H323*INDEX(VolF,MATCH($H$7,VolU,0)),""),IF(G323="Water weight",AH323,IF(N(AG323)=0,"",AG323)))</f>
        <v/>
      </c>
      <c r="AO323" s="42" t="str">
        <f aca="false">IF(N(AN323)=0,"",AN323*AT323*IF(ISNUMBER(AJ323),AJ323,CC_DefCirc))</f>
        <v/>
      </c>
      <c r="AP323" s="27" t="n">
        <f aca="false">IF(ISNUMBER(T323),T323*INDEX(LenF,MATCH($T$7,LenU,0)),IF(ISNUMBER(W323),W323*INDEX(LenF,MATCH($W$7,LenU,0))/CC_PitchRatio,0))</f>
        <v>0</v>
      </c>
      <c r="AQ323" s="27" t="n">
        <f aca="false">IF(ISNUMBER(N323),PI()/4*(N323*INDEX(LenF,MATCH($N$7,LenU,0)))^2,IF(AND(ISNUMBER(S323),ISNUMBER(W323),X323&lt;&gt;""),S323*(W323*INDEX(LenF,MATCH($W$7,LenU,0)))^2*INDEX(LayoutF,MATCH(X323,LayoutU,0)),0))</f>
        <v>0</v>
      </c>
      <c r="AR323" s="27" t="n">
        <f aca="false">IF(ISNUMBER(O323),O323*INDEX(LenF,MATCH($O$7,LenU,0)),IF(ISNUMBER(V323),V323*INDEX(LenF,MATCH($V$7,LenU,0)),0))</f>
        <v>0</v>
      </c>
      <c r="AS323" s="27" t="str">
        <f aca="false">IF(ISNUMBER(L323),L323*INDEX(LenF,MATCH($L$7,LenU,0))*1000,IF(OR(J323="",K323=""),"",IFERROR(IF(INDEX(PipeWT,MATCH(J323,NPSU,0),MATCH(K323,SchU,0))="","Sch n/a",INDEX(PipeOD,MATCH(J323,NPSU,0))-2*INDEX(PipeWT,MATCH(J323,NPSU,0),MATCH(K323,SchU,0))),"")))</f>
        <v/>
      </c>
      <c r="AT323" s="27" t="n">
        <f aca="false">IF(ISNUMBER(AI323),AI323,IFERROR(INDEX(IF(CC_JobType="Decontamination",CC_TypeFillDC,CC_TypeFillCC),MATCH(E323,CC_TypeL,0)),1))</f>
        <v>1</v>
      </c>
      <c r="AU323" s="27" t="n">
        <v>10</v>
      </c>
    </row>
    <row r="324" customFormat="false" ht="15" hidden="false" customHeight="false" outlineLevel="0" collapsed="false">
      <c r="A324" s="36" t="n">
        <v>18</v>
      </c>
      <c r="B324" s="40"/>
      <c r="C324" s="32"/>
      <c r="D324" s="32"/>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1" t="str">
        <f aca="false">IF(E324="Exchanger",IF(AND(ISNUMBER(S324),ISNUMBER(U324),ISNUMBER(V324)),S324*PI()/4*(U324*INDEX(LenF,MATCH($U$7,LenU,0)))^2*V324*INDEX(LenF,MATCH($V$7,LenU,0)),0)+IF(ISNUMBER(Y324),PI()/4*(Y324*INDEX(LenF,MATCH($Y$7,LenU,0)))^2*N(Z324)*INDEX(LenF,MATCH($Z$7,LenU,0))+IF(AA324="",0,IF(AA324="Conical",PI()/12*(Y324*INDEX(LenF,MATCH($Y$7,LenU,0)))^2*(0),INDEX(HeadK,MATCH(AA324,HeadU,0))*(Y324*INDEX(LenF,MATCH($Y$7,LenU,0)))^3)),0)+IF(ISNUMBER(Y324),PI()/4*(Y324*INDEX(LenF,MATCH($Y$7,LenU,0)))^2*N(AB324)*INDEX(LenF,MATCH($AB$7,LenU,0))+IF(AC324="",0,IF(AC324="Conical",PI()/12*(Y324*INDEX(LenF,MATCH($Y$7,LenU,0)))^2*(0),INDEX(HeadK,MATCH(AC324,HeadU,0))*(Y324*INDEX(LenF,MATCH($Y$7,LenU,0)))^3)),0),"")</f>
        <v/>
      </c>
      <c r="AE324" s="41" t="str">
        <f aca="false">IF(OR(E324="",E324="Piping"),"",IF(E324="Exchanger",AQ324*AR324+IF(P324="",0,IF(P324="Conical",PI()/12*(SQRT(4*AQ324/PI()))^2*(0),INDEX(HeadK,MATCH(P324,HeadU,0))*(SQRT(4*AQ324/PI()))^3))-IF(AND(ISNUMBER(S324),ISNUMBER(V324)),S324*PI()/4*AP324^2*V324*INDEX(LenF,MATCH($V$7,LenU,0)),0),IF(ISNUMBER(N324),PI()/4*(N324*INDEX(LenF,MATCH($N$7,LenU,0)))^2*N(O324)*INDEX(LenF,MATCH($O$7,LenU,0))+IF(P324="",0,IF(P324="Conical",PI()/12*(N324*INDEX(LenF,MATCH($N$7,LenU,0)))^2*(N(R324)*INDEX(LenF,MATCH($R$7,LenU,0))),INDEX(HeadK,MATCH(P324,HeadU,0))*(N324*INDEX(LenF,MATCH($N$7,LenU,0)))^3))+IF(Q324="",0,IF(Q324="Conical",PI()/12*(N324*INDEX(LenF,MATCH($N$7,LenU,0)))^2*(N(R324)*INDEX(LenF,MATCH($R$7,LenU,0))),INDEX(HeadK,MATCH(Q324,HeadU,0))*(N324*INDEX(LenF,MATCH($N$7,LenU,0)))^3)),0)))</f>
        <v/>
      </c>
      <c r="AF324" s="41" t="str">
        <f aca="false">IF(E324&lt;&gt;"Piping","",IF(AND(ISNUMBER(AS324),ISNUMBER(M324)),PI()/4*(AS324/1000)^2*M324*INDEX(LenF,MATCH($M$7,LenU,0)),0))</f>
        <v/>
      </c>
      <c r="AG324" s="41" t="str">
        <f aca="false">IF(E324="","",N(AD324)+N(AE324)+N(AF324))</f>
        <v/>
      </c>
      <c r="AH324" s="41" t="str">
        <f aca="false">IF(ISNUMBER(I324),I324*INDEX(WtF,MATCH($I$7,WtU,0))/CC_WaterRho,"")</f>
        <v/>
      </c>
      <c r="AI324" s="31"/>
      <c r="AJ324" s="31"/>
      <c r="AK324" s="40"/>
      <c r="AL324" s="31"/>
      <c r="AM324" s="41" t="str">
        <f aca="false">IF(AO324="","",AO324*IF(ISNUMBER(AK324),AK324,CC_DefFills)*(1+IF(ISNUMBER(AL324),AL324,CC_DefAllow)))</f>
        <v/>
      </c>
      <c r="AN324" s="42" t="str">
        <f aca="false">IF(G324="Given volume",IF(ISNUMBER(H324),H324*INDEX(VolF,MATCH($H$7,VolU,0)),""),IF(G324="Water weight",AH324,IF(N(AG324)=0,"",AG324)))</f>
        <v/>
      </c>
      <c r="AO324" s="42" t="str">
        <f aca="false">IF(N(AN324)=0,"",AN324*AT324*IF(ISNUMBER(AJ324),AJ324,CC_DefCirc))</f>
        <v/>
      </c>
      <c r="AP324" s="27" t="n">
        <f aca="false">IF(ISNUMBER(T324),T324*INDEX(LenF,MATCH($T$7,LenU,0)),IF(ISNUMBER(W324),W324*INDEX(LenF,MATCH($W$7,LenU,0))/CC_PitchRatio,0))</f>
        <v>0</v>
      </c>
      <c r="AQ324" s="27" t="n">
        <f aca="false">IF(ISNUMBER(N324),PI()/4*(N324*INDEX(LenF,MATCH($N$7,LenU,0)))^2,IF(AND(ISNUMBER(S324),ISNUMBER(W324),X324&lt;&gt;""),S324*(W324*INDEX(LenF,MATCH($W$7,LenU,0)))^2*INDEX(LayoutF,MATCH(X324,LayoutU,0)),0))</f>
        <v>0</v>
      </c>
      <c r="AR324" s="27" t="n">
        <f aca="false">IF(ISNUMBER(O324),O324*INDEX(LenF,MATCH($O$7,LenU,0)),IF(ISNUMBER(V324),V324*INDEX(LenF,MATCH($V$7,LenU,0)),0))</f>
        <v>0</v>
      </c>
      <c r="AS324" s="27" t="str">
        <f aca="false">IF(ISNUMBER(L324),L324*INDEX(LenF,MATCH($L$7,LenU,0))*1000,IF(OR(J324="",K324=""),"",IFERROR(IF(INDEX(PipeWT,MATCH(J324,NPSU,0),MATCH(K324,SchU,0))="","Sch n/a",INDEX(PipeOD,MATCH(J324,NPSU,0))-2*INDEX(PipeWT,MATCH(J324,NPSU,0),MATCH(K324,SchU,0))),"")))</f>
        <v/>
      </c>
      <c r="AT324" s="27" t="n">
        <f aca="false">IF(ISNUMBER(AI324),AI324,IFERROR(INDEX(IF(CC_JobType="Decontamination",CC_TypeFillDC,CC_TypeFillCC),MATCH(E324,CC_TypeL,0)),1))</f>
        <v>1</v>
      </c>
      <c r="AU324" s="27" t="n">
        <v>10</v>
      </c>
    </row>
    <row r="325" customFormat="false" ht="15" hidden="false" customHeight="false" outlineLevel="0" collapsed="false">
      <c r="A325" s="36" t="n">
        <v>19</v>
      </c>
      <c r="B325" s="40"/>
      <c r="C325" s="32"/>
      <c r="D325" s="32"/>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1" t="str">
        <f aca="false">IF(E325="Exchanger",IF(AND(ISNUMBER(S325),ISNUMBER(U325),ISNUMBER(V325)),S325*PI()/4*(U325*INDEX(LenF,MATCH($U$7,LenU,0)))^2*V325*INDEX(LenF,MATCH($V$7,LenU,0)),0)+IF(ISNUMBER(Y325),PI()/4*(Y325*INDEX(LenF,MATCH($Y$7,LenU,0)))^2*N(Z325)*INDEX(LenF,MATCH($Z$7,LenU,0))+IF(AA325="",0,IF(AA325="Conical",PI()/12*(Y325*INDEX(LenF,MATCH($Y$7,LenU,0)))^2*(0),INDEX(HeadK,MATCH(AA325,HeadU,0))*(Y325*INDEX(LenF,MATCH($Y$7,LenU,0)))^3)),0)+IF(ISNUMBER(Y325),PI()/4*(Y325*INDEX(LenF,MATCH($Y$7,LenU,0)))^2*N(AB325)*INDEX(LenF,MATCH($AB$7,LenU,0))+IF(AC325="",0,IF(AC325="Conical",PI()/12*(Y325*INDEX(LenF,MATCH($Y$7,LenU,0)))^2*(0),INDEX(HeadK,MATCH(AC325,HeadU,0))*(Y325*INDEX(LenF,MATCH($Y$7,LenU,0)))^3)),0),"")</f>
        <v/>
      </c>
      <c r="AE325" s="41" t="str">
        <f aca="false">IF(OR(E325="",E325="Piping"),"",IF(E325="Exchanger",AQ325*AR325+IF(P325="",0,IF(P325="Conical",PI()/12*(SQRT(4*AQ325/PI()))^2*(0),INDEX(HeadK,MATCH(P325,HeadU,0))*(SQRT(4*AQ325/PI()))^3))-IF(AND(ISNUMBER(S325),ISNUMBER(V325)),S325*PI()/4*AP325^2*V325*INDEX(LenF,MATCH($V$7,LenU,0)),0),IF(ISNUMBER(N325),PI()/4*(N325*INDEX(LenF,MATCH($N$7,LenU,0)))^2*N(O325)*INDEX(LenF,MATCH($O$7,LenU,0))+IF(P325="",0,IF(P325="Conical",PI()/12*(N325*INDEX(LenF,MATCH($N$7,LenU,0)))^2*(N(R325)*INDEX(LenF,MATCH($R$7,LenU,0))),INDEX(HeadK,MATCH(P325,HeadU,0))*(N325*INDEX(LenF,MATCH($N$7,LenU,0)))^3))+IF(Q325="",0,IF(Q325="Conical",PI()/12*(N325*INDEX(LenF,MATCH($N$7,LenU,0)))^2*(N(R325)*INDEX(LenF,MATCH($R$7,LenU,0))),INDEX(HeadK,MATCH(Q325,HeadU,0))*(N325*INDEX(LenF,MATCH($N$7,LenU,0)))^3)),0)))</f>
        <v/>
      </c>
      <c r="AF325" s="41" t="str">
        <f aca="false">IF(E325&lt;&gt;"Piping","",IF(AND(ISNUMBER(AS325),ISNUMBER(M325)),PI()/4*(AS325/1000)^2*M325*INDEX(LenF,MATCH($M$7,LenU,0)),0))</f>
        <v/>
      </c>
      <c r="AG325" s="41" t="str">
        <f aca="false">IF(E325="","",N(AD325)+N(AE325)+N(AF325))</f>
        <v/>
      </c>
      <c r="AH325" s="41" t="str">
        <f aca="false">IF(ISNUMBER(I325),I325*INDEX(WtF,MATCH($I$7,WtU,0))/CC_WaterRho,"")</f>
        <v/>
      </c>
      <c r="AI325" s="31"/>
      <c r="AJ325" s="31"/>
      <c r="AK325" s="40"/>
      <c r="AL325" s="31"/>
      <c r="AM325" s="41" t="str">
        <f aca="false">IF(AO325="","",AO325*IF(ISNUMBER(AK325),AK325,CC_DefFills)*(1+IF(ISNUMBER(AL325),AL325,CC_DefAllow)))</f>
        <v/>
      </c>
      <c r="AN325" s="42" t="str">
        <f aca="false">IF(G325="Given volume",IF(ISNUMBER(H325),H325*INDEX(VolF,MATCH($H$7,VolU,0)),""),IF(G325="Water weight",AH325,IF(N(AG325)=0,"",AG325)))</f>
        <v/>
      </c>
      <c r="AO325" s="42" t="str">
        <f aca="false">IF(N(AN325)=0,"",AN325*AT325*IF(ISNUMBER(AJ325),AJ325,CC_DefCirc))</f>
        <v/>
      </c>
      <c r="AP325" s="27" t="n">
        <f aca="false">IF(ISNUMBER(T325),T325*INDEX(LenF,MATCH($T$7,LenU,0)),IF(ISNUMBER(W325),W325*INDEX(LenF,MATCH($W$7,LenU,0))/CC_PitchRatio,0))</f>
        <v>0</v>
      </c>
      <c r="AQ325" s="27" t="n">
        <f aca="false">IF(ISNUMBER(N325),PI()/4*(N325*INDEX(LenF,MATCH($N$7,LenU,0)))^2,IF(AND(ISNUMBER(S325),ISNUMBER(W325),X325&lt;&gt;""),S325*(W325*INDEX(LenF,MATCH($W$7,LenU,0)))^2*INDEX(LayoutF,MATCH(X325,LayoutU,0)),0))</f>
        <v>0</v>
      </c>
      <c r="AR325" s="27" t="n">
        <f aca="false">IF(ISNUMBER(O325),O325*INDEX(LenF,MATCH($O$7,LenU,0)),IF(ISNUMBER(V325),V325*INDEX(LenF,MATCH($V$7,LenU,0)),0))</f>
        <v>0</v>
      </c>
      <c r="AS325" s="27" t="str">
        <f aca="false">IF(ISNUMBER(L325),L325*INDEX(LenF,MATCH($L$7,LenU,0))*1000,IF(OR(J325="",K325=""),"",IFERROR(IF(INDEX(PipeWT,MATCH(J325,NPSU,0),MATCH(K325,SchU,0))="","Sch n/a",INDEX(PipeOD,MATCH(J325,NPSU,0))-2*INDEX(PipeWT,MATCH(J325,NPSU,0),MATCH(K325,SchU,0))),"")))</f>
        <v/>
      </c>
      <c r="AT325" s="27" t="n">
        <f aca="false">IF(ISNUMBER(AI325),AI325,IFERROR(INDEX(IF(CC_JobType="Decontamination",CC_TypeFillDC,CC_TypeFillCC),MATCH(E325,CC_TypeL,0)),1))</f>
        <v>1</v>
      </c>
      <c r="AU325" s="27" t="n">
        <v>10</v>
      </c>
    </row>
    <row r="326" customFormat="false" ht="15" hidden="false" customHeight="false" outlineLevel="0" collapsed="false">
      <c r="A326" s="36" t="n">
        <v>20</v>
      </c>
      <c r="B326" s="40"/>
      <c r="C326" s="32"/>
      <c r="D326" s="32"/>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1" t="str">
        <f aca="false">IF(E326="Exchanger",IF(AND(ISNUMBER(S326),ISNUMBER(U326),ISNUMBER(V326)),S326*PI()/4*(U326*INDEX(LenF,MATCH($U$7,LenU,0)))^2*V326*INDEX(LenF,MATCH($V$7,LenU,0)),0)+IF(ISNUMBER(Y326),PI()/4*(Y326*INDEX(LenF,MATCH($Y$7,LenU,0)))^2*N(Z326)*INDEX(LenF,MATCH($Z$7,LenU,0))+IF(AA326="",0,IF(AA326="Conical",PI()/12*(Y326*INDEX(LenF,MATCH($Y$7,LenU,0)))^2*(0),INDEX(HeadK,MATCH(AA326,HeadU,0))*(Y326*INDEX(LenF,MATCH($Y$7,LenU,0)))^3)),0)+IF(ISNUMBER(Y326),PI()/4*(Y326*INDEX(LenF,MATCH($Y$7,LenU,0)))^2*N(AB326)*INDEX(LenF,MATCH($AB$7,LenU,0))+IF(AC326="",0,IF(AC326="Conical",PI()/12*(Y326*INDEX(LenF,MATCH($Y$7,LenU,0)))^2*(0),INDEX(HeadK,MATCH(AC326,HeadU,0))*(Y326*INDEX(LenF,MATCH($Y$7,LenU,0)))^3)),0),"")</f>
        <v/>
      </c>
      <c r="AE326" s="41" t="str">
        <f aca="false">IF(OR(E326="",E326="Piping"),"",IF(E326="Exchanger",AQ326*AR326+IF(P326="",0,IF(P326="Conical",PI()/12*(SQRT(4*AQ326/PI()))^2*(0),INDEX(HeadK,MATCH(P326,HeadU,0))*(SQRT(4*AQ326/PI()))^3))-IF(AND(ISNUMBER(S326),ISNUMBER(V326)),S326*PI()/4*AP326^2*V326*INDEX(LenF,MATCH($V$7,LenU,0)),0),IF(ISNUMBER(N326),PI()/4*(N326*INDEX(LenF,MATCH($N$7,LenU,0)))^2*N(O326)*INDEX(LenF,MATCH($O$7,LenU,0))+IF(P326="",0,IF(P326="Conical",PI()/12*(N326*INDEX(LenF,MATCH($N$7,LenU,0)))^2*(N(R326)*INDEX(LenF,MATCH($R$7,LenU,0))),INDEX(HeadK,MATCH(P326,HeadU,0))*(N326*INDEX(LenF,MATCH($N$7,LenU,0)))^3))+IF(Q326="",0,IF(Q326="Conical",PI()/12*(N326*INDEX(LenF,MATCH($N$7,LenU,0)))^2*(N(R326)*INDEX(LenF,MATCH($R$7,LenU,0))),INDEX(HeadK,MATCH(Q326,HeadU,0))*(N326*INDEX(LenF,MATCH($N$7,LenU,0)))^3)),0)))</f>
        <v/>
      </c>
      <c r="AF326" s="41" t="str">
        <f aca="false">IF(E326&lt;&gt;"Piping","",IF(AND(ISNUMBER(AS326),ISNUMBER(M326)),PI()/4*(AS326/1000)^2*M326*INDEX(LenF,MATCH($M$7,LenU,0)),0))</f>
        <v/>
      </c>
      <c r="AG326" s="41" t="str">
        <f aca="false">IF(E326="","",N(AD326)+N(AE326)+N(AF326))</f>
        <v/>
      </c>
      <c r="AH326" s="41" t="str">
        <f aca="false">IF(ISNUMBER(I326),I326*INDEX(WtF,MATCH($I$7,WtU,0))/CC_WaterRho,"")</f>
        <v/>
      </c>
      <c r="AI326" s="31"/>
      <c r="AJ326" s="31"/>
      <c r="AK326" s="40"/>
      <c r="AL326" s="31"/>
      <c r="AM326" s="41" t="str">
        <f aca="false">IF(AO326="","",AO326*IF(ISNUMBER(AK326),AK326,CC_DefFills)*(1+IF(ISNUMBER(AL326),AL326,CC_DefAllow)))</f>
        <v/>
      </c>
      <c r="AN326" s="42" t="str">
        <f aca="false">IF(G326="Given volume",IF(ISNUMBER(H326),H326*INDEX(VolF,MATCH($H$7,VolU,0)),""),IF(G326="Water weight",AH326,IF(N(AG326)=0,"",AG326)))</f>
        <v/>
      </c>
      <c r="AO326" s="42" t="str">
        <f aca="false">IF(N(AN326)=0,"",AN326*AT326*IF(ISNUMBER(AJ326),AJ326,CC_DefCirc))</f>
        <v/>
      </c>
      <c r="AP326" s="27" t="n">
        <f aca="false">IF(ISNUMBER(T326),T326*INDEX(LenF,MATCH($T$7,LenU,0)),IF(ISNUMBER(W326),W326*INDEX(LenF,MATCH($W$7,LenU,0))/CC_PitchRatio,0))</f>
        <v>0</v>
      </c>
      <c r="AQ326" s="27" t="n">
        <f aca="false">IF(ISNUMBER(N326),PI()/4*(N326*INDEX(LenF,MATCH($N$7,LenU,0)))^2,IF(AND(ISNUMBER(S326),ISNUMBER(W326),X326&lt;&gt;""),S326*(W326*INDEX(LenF,MATCH($W$7,LenU,0)))^2*INDEX(LayoutF,MATCH(X326,LayoutU,0)),0))</f>
        <v>0</v>
      </c>
      <c r="AR326" s="27" t="n">
        <f aca="false">IF(ISNUMBER(O326),O326*INDEX(LenF,MATCH($O$7,LenU,0)),IF(ISNUMBER(V326),V326*INDEX(LenF,MATCH($V$7,LenU,0)),0))</f>
        <v>0</v>
      </c>
      <c r="AS326" s="27" t="str">
        <f aca="false">IF(ISNUMBER(L326),L326*INDEX(LenF,MATCH($L$7,LenU,0))*1000,IF(OR(J326="",K326=""),"",IFERROR(IF(INDEX(PipeWT,MATCH(J326,NPSU,0),MATCH(K326,SchU,0))="","Sch n/a",INDEX(PipeOD,MATCH(J326,NPSU,0))-2*INDEX(PipeWT,MATCH(J326,NPSU,0),MATCH(K326,SchU,0))),"")))</f>
        <v/>
      </c>
      <c r="AT326" s="27" t="n">
        <f aca="false">IF(ISNUMBER(AI326),AI326,IFERROR(INDEX(IF(CC_JobType="Decontamination",CC_TypeFillDC,CC_TypeFillCC),MATCH(E326,CC_TypeL,0)),1))</f>
        <v>1</v>
      </c>
      <c r="AU326" s="27" t="n">
        <v>10</v>
      </c>
    </row>
    <row r="327" customFormat="false" ht="15" hidden="false" customHeight="false" outlineLevel="0" collapsed="false">
      <c r="A327" s="36" t="n">
        <v>21</v>
      </c>
      <c r="B327" s="40"/>
      <c r="C327" s="32"/>
      <c r="D327" s="32"/>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1" t="str">
        <f aca="false">IF(E327="Exchanger",IF(AND(ISNUMBER(S327),ISNUMBER(U327),ISNUMBER(V327)),S327*PI()/4*(U327*INDEX(LenF,MATCH($U$7,LenU,0)))^2*V327*INDEX(LenF,MATCH($V$7,LenU,0)),0)+IF(ISNUMBER(Y327),PI()/4*(Y327*INDEX(LenF,MATCH($Y$7,LenU,0)))^2*N(Z327)*INDEX(LenF,MATCH($Z$7,LenU,0))+IF(AA327="",0,IF(AA327="Conical",PI()/12*(Y327*INDEX(LenF,MATCH($Y$7,LenU,0)))^2*(0),INDEX(HeadK,MATCH(AA327,HeadU,0))*(Y327*INDEX(LenF,MATCH($Y$7,LenU,0)))^3)),0)+IF(ISNUMBER(Y327),PI()/4*(Y327*INDEX(LenF,MATCH($Y$7,LenU,0)))^2*N(AB327)*INDEX(LenF,MATCH($AB$7,LenU,0))+IF(AC327="",0,IF(AC327="Conical",PI()/12*(Y327*INDEX(LenF,MATCH($Y$7,LenU,0)))^2*(0),INDEX(HeadK,MATCH(AC327,HeadU,0))*(Y327*INDEX(LenF,MATCH($Y$7,LenU,0)))^3)),0),"")</f>
        <v/>
      </c>
      <c r="AE327" s="41" t="str">
        <f aca="false">IF(OR(E327="",E327="Piping"),"",IF(E327="Exchanger",AQ327*AR327+IF(P327="",0,IF(P327="Conical",PI()/12*(SQRT(4*AQ327/PI()))^2*(0),INDEX(HeadK,MATCH(P327,HeadU,0))*(SQRT(4*AQ327/PI()))^3))-IF(AND(ISNUMBER(S327),ISNUMBER(V327)),S327*PI()/4*AP327^2*V327*INDEX(LenF,MATCH($V$7,LenU,0)),0),IF(ISNUMBER(N327),PI()/4*(N327*INDEX(LenF,MATCH($N$7,LenU,0)))^2*N(O327)*INDEX(LenF,MATCH($O$7,LenU,0))+IF(P327="",0,IF(P327="Conical",PI()/12*(N327*INDEX(LenF,MATCH($N$7,LenU,0)))^2*(N(R327)*INDEX(LenF,MATCH($R$7,LenU,0))),INDEX(HeadK,MATCH(P327,HeadU,0))*(N327*INDEX(LenF,MATCH($N$7,LenU,0)))^3))+IF(Q327="",0,IF(Q327="Conical",PI()/12*(N327*INDEX(LenF,MATCH($N$7,LenU,0)))^2*(N(R327)*INDEX(LenF,MATCH($R$7,LenU,0))),INDEX(HeadK,MATCH(Q327,HeadU,0))*(N327*INDEX(LenF,MATCH($N$7,LenU,0)))^3)),0)))</f>
        <v/>
      </c>
      <c r="AF327" s="41" t="str">
        <f aca="false">IF(E327&lt;&gt;"Piping","",IF(AND(ISNUMBER(AS327),ISNUMBER(M327)),PI()/4*(AS327/1000)^2*M327*INDEX(LenF,MATCH($M$7,LenU,0)),0))</f>
        <v/>
      </c>
      <c r="AG327" s="41" t="str">
        <f aca="false">IF(E327="","",N(AD327)+N(AE327)+N(AF327))</f>
        <v/>
      </c>
      <c r="AH327" s="41" t="str">
        <f aca="false">IF(ISNUMBER(I327),I327*INDEX(WtF,MATCH($I$7,WtU,0))/CC_WaterRho,"")</f>
        <v/>
      </c>
      <c r="AI327" s="31"/>
      <c r="AJ327" s="31"/>
      <c r="AK327" s="40"/>
      <c r="AL327" s="31"/>
      <c r="AM327" s="41" t="str">
        <f aca="false">IF(AO327="","",AO327*IF(ISNUMBER(AK327),AK327,CC_DefFills)*(1+IF(ISNUMBER(AL327),AL327,CC_DefAllow)))</f>
        <v/>
      </c>
      <c r="AN327" s="42" t="str">
        <f aca="false">IF(G327="Given volume",IF(ISNUMBER(H327),H327*INDEX(VolF,MATCH($H$7,VolU,0)),""),IF(G327="Water weight",AH327,IF(N(AG327)=0,"",AG327)))</f>
        <v/>
      </c>
      <c r="AO327" s="42" t="str">
        <f aca="false">IF(N(AN327)=0,"",AN327*AT327*IF(ISNUMBER(AJ327),AJ327,CC_DefCirc))</f>
        <v/>
      </c>
      <c r="AP327" s="27" t="n">
        <f aca="false">IF(ISNUMBER(T327),T327*INDEX(LenF,MATCH($T$7,LenU,0)),IF(ISNUMBER(W327),W327*INDEX(LenF,MATCH($W$7,LenU,0))/CC_PitchRatio,0))</f>
        <v>0</v>
      </c>
      <c r="AQ327" s="27" t="n">
        <f aca="false">IF(ISNUMBER(N327),PI()/4*(N327*INDEX(LenF,MATCH($N$7,LenU,0)))^2,IF(AND(ISNUMBER(S327),ISNUMBER(W327),X327&lt;&gt;""),S327*(W327*INDEX(LenF,MATCH($W$7,LenU,0)))^2*INDEX(LayoutF,MATCH(X327,LayoutU,0)),0))</f>
        <v>0</v>
      </c>
      <c r="AR327" s="27" t="n">
        <f aca="false">IF(ISNUMBER(O327),O327*INDEX(LenF,MATCH($O$7,LenU,0)),IF(ISNUMBER(V327),V327*INDEX(LenF,MATCH($V$7,LenU,0)),0))</f>
        <v>0</v>
      </c>
      <c r="AS327" s="27" t="str">
        <f aca="false">IF(ISNUMBER(L327),L327*INDEX(LenF,MATCH($L$7,LenU,0))*1000,IF(OR(J327="",K327=""),"",IFERROR(IF(INDEX(PipeWT,MATCH(J327,NPSU,0),MATCH(K327,SchU,0))="","Sch n/a",INDEX(PipeOD,MATCH(J327,NPSU,0))-2*INDEX(PipeWT,MATCH(J327,NPSU,0),MATCH(K327,SchU,0))),"")))</f>
        <v/>
      </c>
      <c r="AT327" s="27" t="n">
        <f aca="false">IF(ISNUMBER(AI327),AI327,IFERROR(INDEX(IF(CC_JobType="Decontamination",CC_TypeFillDC,CC_TypeFillCC),MATCH(E327,CC_TypeL,0)),1))</f>
        <v>1</v>
      </c>
      <c r="AU327" s="27" t="n">
        <v>10</v>
      </c>
    </row>
    <row r="328" customFormat="false" ht="15" hidden="false" customHeight="false" outlineLevel="0" collapsed="false">
      <c r="A328" s="36" t="n">
        <v>22</v>
      </c>
      <c r="B328" s="40"/>
      <c r="C328" s="32"/>
      <c r="D328" s="32"/>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1" t="str">
        <f aca="false">IF(E328="Exchanger",IF(AND(ISNUMBER(S328),ISNUMBER(U328),ISNUMBER(V328)),S328*PI()/4*(U328*INDEX(LenF,MATCH($U$7,LenU,0)))^2*V328*INDEX(LenF,MATCH($V$7,LenU,0)),0)+IF(ISNUMBER(Y328),PI()/4*(Y328*INDEX(LenF,MATCH($Y$7,LenU,0)))^2*N(Z328)*INDEX(LenF,MATCH($Z$7,LenU,0))+IF(AA328="",0,IF(AA328="Conical",PI()/12*(Y328*INDEX(LenF,MATCH($Y$7,LenU,0)))^2*(0),INDEX(HeadK,MATCH(AA328,HeadU,0))*(Y328*INDEX(LenF,MATCH($Y$7,LenU,0)))^3)),0)+IF(ISNUMBER(Y328),PI()/4*(Y328*INDEX(LenF,MATCH($Y$7,LenU,0)))^2*N(AB328)*INDEX(LenF,MATCH($AB$7,LenU,0))+IF(AC328="",0,IF(AC328="Conical",PI()/12*(Y328*INDEX(LenF,MATCH($Y$7,LenU,0)))^2*(0),INDEX(HeadK,MATCH(AC328,HeadU,0))*(Y328*INDEX(LenF,MATCH($Y$7,LenU,0)))^3)),0),"")</f>
        <v/>
      </c>
      <c r="AE328" s="41" t="str">
        <f aca="false">IF(OR(E328="",E328="Piping"),"",IF(E328="Exchanger",AQ328*AR328+IF(P328="",0,IF(P328="Conical",PI()/12*(SQRT(4*AQ328/PI()))^2*(0),INDEX(HeadK,MATCH(P328,HeadU,0))*(SQRT(4*AQ328/PI()))^3))-IF(AND(ISNUMBER(S328),ISNUMBER(V328)),S328*PI()/4*AP328^2*V328*INDEX(LenF,MATCH($V$7,LenU,0)),0),IF(ISNUMBER(N328),PI()/4*(N328*INDEX(LenF,MATCH($N$7,LenU,0)))^2*N(O328)*INDEX(LenF,MATCH($O$7,LenU,0))+IF(P328="",0,IF(P328="Conical",PI()/12*(N328*INDEX(LenF,MATCH($N$7,LenU,0)))^2*(N(R328)*INDEX(LenF,MATCH($R$7,LenU,0))),INDEX(HeadK,MATCH(P328,HeadU,0))*(N328*INDEX(LenF,MATCH($N$7,LenU,0)))^3))+IF(Q328="",0,IF(Q328="Conical",PI()/12*(N328*INDEX(LenF,MATCH($N$7,LenU,0)))^2*(N(R328)*INDEX(LenF,MATCH($R$7,LenU,0))),INDEX(HeadK,MATCH(Q328,HeadU,0))*(N328*INDEX(LenF,MATCH($N$7,LenU,0)))^3)),0)))</f>
        <v/>
      </c>
      <c r="AF328" s="41" t="str">
        <f aca="false">IF(E328&lt;&gt;"Piping","",IF(AND(ISNUMBER(AS328),ISNUMBER(M328)),PI()/4*(AS328/1000)^2*M328*INDEX(LenF,MATCH($M$7,LenU,0)),0))</f>
        <v/>
      </c>
      <c r="AG328" s="41" t="str">
        <f aca="false">IF(E328="","",N(AD328)+N(AE328)+N(AF328))</f>
        <v/>
      </c>
      <c r="AH328" s="41" t="str">
        <f aca="false">IF(ISNUMBER(I328),I328*INDEX(WtF,MATCH($I$7,WtU,0))/CC_WaterRho,"")</f>
        <v/>
      </c>
      <c r="AI328" s="31"/>
      <c r="AJ328" s="31"/>
      <c r="AK328" s="40"/>
      <c r="AL328" s="31"/>
      <c r="AM328" s="41" t="str">
        <f aca="false">IF(AO328="","",AO328*IF(ISNUMBER(AK328),AK328,CC_DefFills)*(1+IF(ISNUMBER(AL328),AL328,CC_DefAllow)))</f>
        <v/>
      </c>
      <c r="AN328" s="42" t="str">
        <f aca="false">IF(G328="Given volume",IF(ISNUMBER(H328),H328*INDEX(VolF,MATCH($H$7,VolU,0)),""),IF(G328="Water weight",AH328,IF(N(AG328)=0,"",AG328)))</f>
        <v/>
      </c>
      <c r="AO328" s="42" t="str">
        <f aca="false">IF(N(AN328)=0,"",AN328*AT328*IF(ISNUMBER(AJ328),AJ328,CC_DefCirc))</f>
        <v/>
      </c>
      <c r="AP328" s="27" t="n">
        <f aca="false">IF(ISNUMBER(T328),T328*INDEX(LenF,MATCH($T$7,LenU,0)),IF(ISNUMBER(W328),W328*INDEX(LenF,MATCH($W$7,LenU,0))/CC_PitchRatio,0))</f>
        <v>0</v>
      </c>
      <c r="AQ328" s="27" t="n">
        <f aca="false">IF(ISNUMBER(N328),PI()/4*(N328*INDEX(LenF,MATCH($N$7,LenU,0)))^2,IF(AND(ISNUMBER(S328),ISNUMBER(W328),X328&lt;&gt;""),S328*(W328*INDEX(LenF,MATCH($W$7,LenU,0)))^2*INDEX(LayoutF,MATCH(X328,LayoutU,0)),0))</f>
        <v>0</v>
      </c>
      <c r="AR328" s="27" t="n">
        <f aca="false">IF(ISNUMBER(O328),O328*INDEX(LenF,MATCH($O$7,LenU,0)),IF(ISNUMBER(V328),V328*INDEX(LenF,MATCH($V$7,LenU,0)),0))</f>
        <v>0</v>
      </c>
      <c r="AS328" s="27" t="str">
        <f aca="false">IF(ISNUMBER(L328),L328*INDEX(LenF,MATCH($L$7,LenU,0))*1000,IF(OR(J328="",K328=""),"",IFERROR(IF(INDEX(PipeWT,MATCH(J328,NPSU,0),MATCH(K328,SchU,0))="","Sch n/a",INDEX(PipeOD,MATCH(J328,NPSU,0))-2*INDEX(PipeWT,MATCH(J328,NPSU,0),MATCH(K328,SchU,0))),"")))</f>
        <v/>
      </c>
      <c r="AT328" s="27" t="n">
        <f aca="false">IF(ISNUMBER(AI328),AI328,IFERROR(INDEX(IF(CC_JobType="Decontamination",CC_TypeFillDC,CC_TypeFillCC),MATCH(E328,CC_TypeL,0)),1))</f>
        <v>1</v>
      </c>
      <c r="AU328" s="27" t="n">
        <v>10</v>
      </c>
    </row>
    <row r="329" customFormat="false" ht="15" hidden="false" customHeight="false" outlineLevel="0" collapsed="false">
      <c r="A329" s="36" t="n">
        <v>23</v>
      </c>
      <c r="B329" s="40"/>
      <c r="C329" s="32"/>
      <c r="D329" s="32"/>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1" t="str">
        <f aca="false">IF(E329="Exchanger",IF(AND(ISNUMBER(S329),ISNUMBER(U329),ISNUMBER(V329)),S329*PI()/4*(U329*INDEX(LenF,MATCH($U$7,LenU,0)))^2*V329*INDEX(LenF,MATCH($V$7,LenU,0)),0)+IF(ISNUMBER(Y329),PI()/4*(Y329*INDEX(LenF,MATCH($Y$7,LenU,0)))^2*N(Z329)*INDEX(LenF,MATCH($Z$7,LenU,0))+IF(AA329="",0,IF(AA329="Conical",PI()/12*(Y329*INDEX(LenF,MATCH($Y$7,LenU,0)))^2*(0),INDEX(HeadK,MATCH(AA329,HeadU,0))*(Y329*INDEX(LenF,MATCH($Y$7,LenU,0)))^3)),0)+IF(ISNUMBER(Y329),PI()/4*(Y329*INDEX(LenF,MATCH($Y$7,LenU,0)))^2*N(AB329)*INDEX(LenF,MATCH($AB$7,LenU,0))+IF(AC329="",0,IF(AC329="Conical",PI()/12*(Y329*INDEX(LenF,MATCH($Y$7,LenU,0)))^2*(0),INDEX(HeadK,MATCH(AC329,HeadU,0))*(Y329*INDEX(LenF,MATCH($Y$7,LenU,0)))^3)),0),"")</f>
        <v/>
      </c>
      <c r="AE329" s="41" t="str">
        <f aca="false">IF(OR(E329="",E329="Piping"),"",IF(E329="Exchanger",AQ329*AR329+IF(P329="",0,IF(P329="Conical",PI()/12*(SQRT(4*AQ329/PI()))^2*(0),INDEX(HeadK,MATCH(P329,HeadU,0))*(SQRT(4*AQ329/PI()))^3))-IF(AND(ISNUMBER(S329),ISNUMBER(V329)),S329*PI()/4*AP329^2*V329*INDEX(LenF,MATCH($V$7,LenU,0)),0),IF(ISNUMBER(N329),PI()/4*(N329*INDEX(LenF,MATCH($N$7,LenU,0)))^2*N(O329)*INDEX(LenF,MATCH($O$7,LenU,0))+IF(P329="",0,IF(P329="Conical",PI()/12*(N329*INDEX(LenF,MATCH($N$7,LenU,0)))^2*(N(R329)*INDEX(LenF,MATCH($R$7,LenU,0))),INDEX(HeadK,MATCH(P329,HeadU,0))*(N329*INDEX(LenF,MATCH($N$7,LenU,0)))^3))+IF(Q329="",0,IF(Q329="Conical",PI()/12*(N329*INDEX(LenF,MATCH($N$7,LenU,0)))^2*(N(R329)*INDEX(LenF,MATCH($R$7,LenU,0))),INDEX(HeadK,MATCH(Q329,HeadU,0))*(N329*INDEX(LenF,MATCH($N$7,LenU,0)))^3)),0)))</f>
        <v/>
      </c>
      <c r="AF329" s="41" t="str">
        <f aca="false">IF(E329&lt;&gt;"Piping","",IF(AND(ISNUMBER(AS329),ISNUMBER(M329)),PI()/4*(AS329/1000)^2*M329*INDEX(LenF,MATCH($M$7,LenU,0)),0))</f>
        <v/>
      </c>
      <c r="AG329" s="41" t="str">
        <f aca="false">IF(E329="","",N(AD329)+N(AE329)+N(AF329))</f>
        <v/>
      </c>
      <c r="AH329" s="41" t="str">
        <f aca="false">IF(ISNUMBER(I329),I329*INDEX(WtF,MATCH($I$7,WtU,0))/CC_WaterRho,"")</f>
        <v/>
      </c>
      <c r="AI329" s="31"/>
      <c r="AJ329" s="31"/>
      <c r="AK329" s="40"/>
      <c r="AL329" s="31"/>
      <c r="AM329" s="41" t="str">
        <f aca="false">IF(AO329="","",AO329*IF(ISNUMBER(AK329),AK329,CC_DefFills)*(1+IF(ISNUMBER(AL329),AL329,CC_DefAllow)))</f>
        <v/>
      </c>
      <c r="AN329" s="42" t="str">
        <f aca="false">IF(G329="Given volume",IF(ISNUMBER(H329),H329*INDEX(VolF,MATCH($H$7,VolU,0)),""),IF(G329="Water weight",AH329,IF(N(AG329)=0,"",AG329)))</f>
        <v/>
      </c>
      <c r="AO329" s="42" t="str">
        <f aca="false">IF(N(AN329)=0,"",AN329*AT329*IF(ISNUMBER(AJ329),AJ329,CC_DefCirc))</f>
        <v/>
      </c>
      <c r="AP329" s="27" t="n">
        <f aca="false">IF(ISNUMBER(T329),T329*INDEX(LenF,MATCH($T$7,LenU,0)),IF(ISNUMBER(W329),W329*INDEX(LenF,MATCH($W$7,LenU,0))/CC_PitchRatio,0))</f>
        <v>0</v>
      </c>
      <c r="AQ329" s="27" t="n">
        <f aca="false">IF(ISNUMBER(N329),PI()/4*(N329*INDEX(LenF,MATCH($N$7,LenU,0)))^2,IF(AND(ISNUMBER(S329),ISNUMBER(W329),X329&lt;&gt;""),S329*(W329*INDEX(LenF,MATCH($W$7,LenU,0)))^2*INDEX(LayoutF,MATCH(X329,LayoutU,0)),0))</f>
        <v>0</v>
      </c>
      <c r="AR329" s="27" t="n">
        <f aca="false">IF(ISNUMBER(O329),O329*INDEX(LenF,MATCH($O$7,LenU,0)),IF(ISNUMBER(V329),V329*INDEX(LenF,MATCH($V$7,LenU,0)),0))</f>
        <v>0</v>
      </c>
      <c r="AS329" s="27" t="str">
        <f aca="false">IF(ISNUMBER(L329),L329*INDEX(LenF,MATCH($L$7,LenU,0))*1000,IF(OR(J329="",K329=""),"",IFERROR(IF(INDEX(PipeWT,MATCH(J329,NPSU,0),MATCH(K329,SchU,0))="","Sch n/a",INDEX(PipeOD,MATCH(J329,NPSU,0))-2*INDEX(PipeWT,MATCH(J329,NPSU,0),MATCH(K329,SchU,0))),"")))</f>
        <v/>
      </c>
      <c r="AT329" s="27" t="n">
        <f aca="false">IF(ISNUMBER(AI329),AI329,IFERROR(INDEX(IF(CC_JobType="Decontamination",CC_TypeFillDC,CC_TypeFillCC),MATCH(E329,CC_TypeL,0)),1))</f>
        <v>1</v>
      </c>
      <c r="AU329" s="27" t="n">
        <v>10</v>
      </c>
    </row>
    <row r="330" customFormat="false" ht="15" hidden="false" customHeight="false" outlineLevel="0" collapsed="false">
      <c r="A330" s="36" t="n">
        <v>24</v>
      </c>
      <c r="B330" s="40"/>
      <c r="C330" s="32"/>
      <c r="D330" s="32"/>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1" t="str">
        <f aca="false">IF(E330="Exchanger",IF(AND(ISNUMBER(S330),ISNUMBER(U330),ISNUMBER(V330)),S330*PI()/4*(U330*INDEX(LenF,MATCH($U$7,LenU,0)))^2*V330*INDEX(LenF,MATCH($V$7,LenU,0)),0)+IF(ISNUMBER(Y330),PI()/4*(Y330*INDEX(LenF,MATCH($Y$7,LenU,0)))^2*N(Z330)*INDEX(LenF,MATCH($Z$7,LenU,0))+IF(AA330="",0,IF(AA330="Conical",PI()/12*(Y330*INDEX(LenF,MATCH($Y$7,LenU,0)))^2*(0),INDEX(HeadK,MATCH(AA330,HeadU,0))*(Y330*INDEX(LenF,MATCH($Y$7,LenU,0)))^3)),0)+IF(ISNUMBER(Y330),PI()/4*(Y330*INDEX(LenF,MATCH($Y$7,LenU,0)))^2*N(AB330)*INDEX(LenF,MATCH($AB$7,LenU,0))+IF(AC330="",0,IF(AC330="Conical",PI()/12*(Y330*INDEX(LenF,MATCH($Y$7,LenU,0)))^2*(0),INDEX(HeadK,MATCH(AC330,HeadU,0))*(Y330*INDEX(LenF,MATCH($Y$7,LenU,0)))^3)),0),"")</f>
        <v/>
      </c>
      <c r="AE330" s="41" t="str">
        <f aca="false">IF(OR(E330="",E330="Piping"),"",IF(E330="Exchanger",AQ330*AR330+IF(P330="",0,IF(P330="Conical",PI()/12*(SQRT(4*AQ330/PI()))^2*(0),INDEX(HeadK,MATCH(P330,HeadU,0))*(SQRT(4*AQ330/PI()))^3))-IF(AND(ISNUMBER(S330),ISNUMBER(V330)),S330*PI()/4*AP330^2*V330*INDEX(LenF,MATCH($V$7,LenU,0)),0),IF(ISNUMBER(N330),PI()/4*(N330*INDEX(LenF,MATCH($N$7,LenU,0)))^2*N(O330)*INDEX(LenF,MATCH($O$7,LenU,0))+IF(P330="",0,IF(P330="Conical",PI()/12*(N330*INDEX(LenF,MATCH($N$7,LenU,0)))^2*(N(R330)*INDEX(LenF,MATCH($R$7,LenU,0))),INDEX(HeadK,MATCH(P330,HeadU,0))*(N330*INDEX(LenF,MATCH($N$7,LenU,0)))^3))+IF(Q330="",0,IF(Q330="Conical",PI()/12*(N330*INDEX(LenF,MATCH($N$7,LenU,0)))^2*(N(R330)*INDEX(LenF,MATCH($R$7,LenU,0))),INDEX(HeadK,MATCH(Q330,HeadU,0))*(N330*INDEX(LenF,MATCH($N$7,LenU,0)))^3)),0)))</f>
        <v/>
      </c>
      <c r="AF330" s="41" t="str">
        <f aca="false">IF(E330&lt;&gt;"Piping","",IF(AND(ISNUMBER(AS330),ISNUMBER(M330)),PI()/4*(AS330/1000)^2*M330*INDEX(LenF,MATCH($M$7,LenU,0)),0))</f>
        <v/>
      </c>
      <c r="AG330" s="41" t="str">
        <f aca="false">IF(E330="","",N(AD330)+N(AE330)+N(AF330))</f>
        <v/>
      </c>
      <c r="AH330" s="41" t="str">
        <f aca="false">IF(ISNUMBER(I330),I330*INDEX(WtF,MATCH($I$7,WtU,0))/CC_WaterRho,"")</f>
        <v/>
      </c>
      <c r="AI330" s="31"/>
      <c r="AJ330" s="31"/>
      <c r="AK330" s="40"/>
      <c r="AL330" s="31"/>
      <c r="AM330" s="41" t="str">
        <f aca="false">IF(AO330="","",AO330*IF(ISNUMBER(AK330),AK330,CC_DefFills)*(1+IF(ISNUMBER(AL330),AL330,CC_DefAllow)))</f>
        <v/>
      </c>
      <c r="AN330" s="42" t="str">
        <f aca="false">IF(G330="Given volume",IF(ISNUMBER(H330),H330*INDEX(VolF,MATCH($H$7,VolU,0)),""),IF(G330="Water weight",AH330,IF(N(AG330)=0,"",AG330)))</f>
        <v/>
      </c>
      <c r="AO330" s="42" t="str">
        <f aca="false">IF(N(AN330)=0,"",AN330*AT330*IF(ISNUMBER(AJ330),AJ330,CC_DefCirc))</f>
        <v/>
      </c>
      <c r="AP330" s="27" t="n">
        <f aca="false">IF(ISNUMBER(T330),T330*INDEX(LenF,MATCH($T$7,LenU,0)),IF(ISNUMBER(W330),W330*INDEX(LenF,MATCH($W$7,LenU,0))/CC_PitchRatio,0))</f>
        <v>0</v>
      </c>
      <c r="AQ330" s="27" t="n">
        <f aca="false">IF(ISNUMBER(N330),PI()/4*(N330*INDEX(LenF,MATCH($N$7,LenU,0)))^2,IF(AND(ISNUMBER(S330),ISNUMBER(W330),X330&lt;&gt;""),S330*(W330*INDEX(LenF,MATCH($W$7,LenU,0)))^2*INDEX(LayoutF,MATCH(X330,LayoutU,0)),0))</f>
        <v>0</v>
      </c>
      <c r="AR330" s="27" t="n">
        <f aca="false">IF(ISNUMBER(O330),O330*INDEX(LenF,MATCH($O$7,LenU,0)),IF(ISNUMBER(V330),V330*INDEX(LenF,MATCH($V$7,LenU,0)),0))</f>
        <v>0</v>
      </c>
      <c r="AS330" s="27" t="str">
        <f aca="false">IF(ISNUMBER(L330),L330*INDEX(LenF,MATCH($L$7,LenU,0))*1000,IF(OR(J330="",K330=""),"",IFERROR(IF(INDEX(PipeWT,MATCH(J330,NPSU,0),MATCH(K330,SchU,0))="","Sch n/a",INDEX(PipeOD,MATCH(J330,NPSU,0))-2*INDEX(PipeWT,MATCH(J330,NPSU,0),MATCH(K330,SchU,0))),"")))</f>
        <v/>
      </c>
      <c r="AT330" s="27" t="n">
        <f aca="false">IF(ISNUMBER(AI330),AI330,IFERROR(INDEX(IF(CC_JobType="Decontamination",CC_TypeFillDC,CC_TypeFillCC),MATCH(E330,CC_TypeL,0)),1))</f>
        <v>1</v>
      </c>
      <c r="AU330" s="27" t="n">
        <v>10</v>
      </c>
    </row>
    <row r="331" customFormat="false" ht="15" hidden="false" customHeight="false" outlineLevel="0" collapsed="false">
      <c r="A331" s="36" t="n">
        <v>25</v>
      </c>
      <c r="B331" s="40"/>
      <c r="C331" s="32"/>
      <c r="D331" s="32"/>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1" t="str">
        <f aca="false">IF(E331="Exchanger",IF(AND(ISNUMBER(S331),ISNUMBER(U331),ISNUMBER(V331)),S331*PI()/4*(U331*INDEX(LenF,MATCH($U$7,LenU,0)))^2*V331*INDEX(LenF,MATCH($V$7,LenU,0)),0)+IF(ISNUMBER(Y331),PI()/4*(Y331*INDEX(LenF,MATCH($Y$7,LenU,0)))^2*N(Z331)*INDEX(LenF,MATCH($Z$7,LenU,0))+IF(AA331="",0,IF(AA331="Conical",PI()/12*(Y331*INDEX(LenF,MATCH($Y$7,LenU,0)))^2*(0),INDEX(HeadK,MATCH(AA331,HeadU,0))*(Y331*INDEX(LenF,MATCH($Y$7,LenU,0)))^3)),0)+IF(ISNUMBER(Y331),PI()/4*(Y331*INDEX(LenF,MATCH($Y$7,LenU,0)))^2*N(AB331)*INDEX(LenF,MATCH($AB$7,LenU,0))+IF(AC331="",0,IF(AC331="Conical",PI()/12*(Y331*INDEX(LenF,MATCH($Y$7,LenU,0)))^2*(0),INDEX(HeadK,MATCH(AC331,HeadU,0))*(Y331*INDEX(LenF,MATCH($Y$7,LenU,0)))^3)),0),"")</f>
        <v/>
      </c>
      <c r="AE331" s="41" t="str">
        <f aca="false">IF(OR(E331="",E331="Piping"),"",IF(E331="Exchanger",AQ331*AR331+IF(P331="",0,IF(P331="Conical",PI()/12*(SQRT(4*AQ331/PI()))^2*(0),INDEX(HeadK,MATCH(P331,HeadU,0))*(SQRT(4*AQ331/PI()))^3))-IF(AND(ISNUMBER(S331),ISNUMBER(V331)),S331*PI()/4*AP331^2*V331*INDEX(LenF,MATCH($V$7,LenU,0)),0),IF(ISNUMBER(N331),PI()/4*(N331*INDEX(LenF,MATCH($N$7,LenU,0)))^2*N(O331)*INDEX(LenF,MATCH($O$7,LenU,0))+IF(P331="",0,IF(P331="Conical",PI()/12*(N331*INDEX(LenF,MATCH($N$7,LenU,0)))^2*(N(R331)*INDEX(LenF,MATCH($R$7,LenU,0))),INDEX(HeadK,MATCH(P331,HeadU,0))*(N331*INDEX(LenF,MATCH($N$7,LenU,0)))^3))+IF(Q331="",0,IF(Q331="Conical",PI()/12*(N331*INDEX(LenF,MATCH($N$7,LenU,0)))^2*(N(R331)*INDEX(LenF,MATCH($R$7,LenU,0))),INDEX(HeadK,MATCH(Q331,HeadU,0))*(N331*INDEX(LenF,MATCH($N$7,LenU,0)))^3)),0)))</f>
        <v/>
      </c>
      <c r="AF331" s="41" t="str">
        <f aca="false">IF(E331&lt;&gt;"Piping","",IF(AND(ISNUMBER(AS331),ISNUMBER(M331)),PI()/4*(AS331/1000)^2*M331*INDEX(LenF,MATCH($M$7,LenU,0)),0))</f>
        <v/>
      </c>
      <c r="AG331" s="41" t="str">
        <f aca="false">IF(E331="","",N(AD331)+N(AE331)+N(AF331))</f>
        <v/>
      </c>
      <c r="AH331" s="41" t="str">
        <f aca="false">IF(ISNUMBER(I331),I331*INDEX(WtF,MATCH($I$7,WtU,0))/CC_WaterRho,"")</f>
        <v/>
      </c>
      <c r="AI331" s="31"/>
      <c r="AJ331" s="31"/>
      <c r="AK331" s="40"/>
      <c r="AL331" s="31"/>
      <c r="AM331" s="41" t="str">
        <f aca="false">IF(AO331="","",AO331*IF(ISNUMBER(AK331),AK331,CC_DefFills)*(1+IF(ISNUMBER(AL331),AL331,CC_DefAllow)))</f>
        <v/>
      </c>
      <c r="AN331" s="42" t="str">
        <f aca="false">IF(G331="Given volume",IF(ISNUMBER(H331),H331*INDEX(VolF,MATCH($H$7,VolU,0)),""),IF(G331="Water weight",AH331,IF(N(AG331)=0,"",AG331)))</f>
        <v/>
      </c>
      <c r="AO331" s="42" t="str">
        <f aca="false">IF(N(AN331)=0,"",AN331*AT331*IF(ISNUMBER(AJ331),AJ331,CC_DefCirc))</f>
        <v/>
      </c>
      <c r="AP331" s="27" t="n">
        <f aca="false">IF(ISNUMBER(T331),T331*INDEX(LenF,MATCH($T$7,LenU,0)),IF(ISNUMBER(W331),W331*INDEX(LenF,MATCH($W$7,LenU,0))/CC_PitchRatio,0))</f>
        <v>0</v>
      </c>
      <c r="AQ331" s="27" t="n">
        <f aca="false">IF(ISNUMBER(N331),PI()/4*(N331*INDEX(LenF,MATCH($N$7,LenU,0)))^2,IF(AND(ISNUMBER(S331),ISNUMBER(W331),X331&lt;&gt;""),S331*(W331*INDEX(LenF,MATCH($W$7,LenU,0)))^2*INDEX(LayoutF,MATCH(X331,LayoutU,0)),0))</f>
        <v>0</v>
      </c>
      <c r="AR331" s="27" t="n">
        <f aca="false">IF(ISNUMBER(O331),O331*INDEX(LenF,MATCH($O$7,LenU,0)),IF(ISNUMBER(V331),V331*INDEX(LenF,MATCH($V$7,LenU,0)),0))</f>
        <v>0</v>
      </c>
      <c r="AS331" s="27" t="str">
        <f aca="false">IF(ISNUMBER(L331),L331*INDEX(LenF,MATCH($L$7,LenU,0))*1000,IF(OR(J331="",K331=""),"",IFERROR(IF(INDEX(PipeWT,MATCH(J331,NPSU,0),MATCH(K331,SchU,0))="","Sch n/a",INDEX(PipeOD,MATCH(J331,NPSU,0))-2*INDEX(PipeWT,MATCH(J331,NPSU,0),MATCH(K331,SchU,0))),"")))</f>
        <v/>
      </c>
      <c r="AT331" s="27" t="n">
        <f aca="false">IF(ISNUMBER(AI331),AI331,IFERROR(INDEX(IF(CC_JobType="Decontamination",CC_TypeFillDC,CC_TypeFillCC),MATCH(E331,CC_TypeL,0)),1))</f>
        <v>1</v>
      </c>
      <c r="AU331" s="27" t="n">
        <v>10</v>
      </c>
    </row>
    <row r="332" customFormat="false" ht="15" hidden="false" customHeight="false" outlineLevel="0" collapsed="false">
      <c r="A332" s="36" t="n">
        <v>26</v>
      </c>
      <c r="B332" s="40"/>
      <c r="C332" s="32"/>
      <c r="D332" s="32"/>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1" t="str">
        <f aca="false">IF(E332="Exchanger",IF(AND(ISNUMBER(S332),ISNUMBER(U332),ISNUMBER(V332)),S332*PI()/4*(U332*INDEX(LenF,MATCH($U$7,LenU,0)))^2*V332*INDEX(LenF,MATCH($V$7,LenU,0)),0)+IF(ISNUMBER(Y332),PI()/4*(Y332*INDEX(LenF,MATCH($Y$7,LenU,0)))^2*N(Z332)*INDEX(LenF,MATCH($Z$7,LenU,0))+IF(AA332="",0,IF(AA332="Conical",PI()/12*(Y332*INDEX(LenF,MATCH($Y$7,LenU,0)))^2*(0),INDEX(HeadK,MATCH(AA332,HeadU,0))*(Y332*INDEX(LenF,MATCH($Y$7,LenU,0)))^3)),0)+IF(ISNUMBER(Y332),PI()/4*(Y332*INDEX(LenF,MATCH($Y$7,LenU,0)))^2*N(AB332)*INDEX(LenF,MATCH($AB$7,LenU,0))+IF(AC332="",0,IF(AC332="Conical",PI()/12*(Y332*INDEX(LenF,MATCH($Y$7,LenU,0)))^2*(0),INDEX(HeadK,MATCH(AC332,HeadU,0))*(Y332*INDEX(LenF,MATCH($Y$7,LenU,0)))^3)),0),"")</f>
        <v/>
      </c>
      <c r="AE332" s="41" t="str">
        <f aca="false">IF(OR(E332="",E332="Piping"),"",IF(E332="Exchanger",AQ332*AR332+IF(P332="",0,IF(P332="Conical",PI()/12*(SQRT(4*AQ332/PI()))^2*(0),INDEX(HeadK,MATCH(P332,HeadU,0))*(SQRT(4*AQ332/PI()))^3))-IF(AND(ISNUMBER(S332),ISNUMBER(V332)),S332*PI()/4*AP332^2*V332*INDEX(LenF,MATCH($V$7,LenU,0)),0),IF(ISNUMBER(N332),PI()/4*(N332*INDEX(LenF,MATCH($N$7,LenU,0)))^2*N(O332)*INDEX(LenF,MATCH($O$7,LenU,0))+IF(P332="",0,IF(P332="Conical",PI()/12*(N332*INDEX(LenF,MATCH($N$7,LenU,0)))^2*(N(R332)*INDEX(LenF,MATCH($R$7,LenU,0))),INDEX(HeadK,MATCH(P332,HeadU,0))*(N332*INDEX(LenF,MATCH($N$7,LenU,0)))^3))+IF(Q332="",0,IF(Q332="Conical",PI()/12*(N332*INDEX(LenF,MATCH($N$7,LenU,0)))^2*(N(R332)*INDEX(LenF,MATCH($R$7,LenU,0))),INDEX(HeadK,MATCH(Q332,HeadU,0))*(N332*INDEX(LenF,MATCH($N$7,LenU,0)))^3)),0)))</f>
        <v/>
      </c>
      <c r="AF332" s="41" t="str">
        <f aca="false">IF(E332&lt;&gt;"Piping","",IF(AND(ISNUMBER(AS332),ISNUMBER(M332)),PI()/4*(AS332/1000)^2*M332*INDEX(LenF,MATCH($M$7,LenU,0)),0))</f>
        <v/>
      </c>
      <c r="AG332" s="41" t="str">
        <f aca="false">IF(E332="","",N(AD332)+N(AE332)+N(AF332))</f>
        <v/>
      </c>
      <c r="AH332" s="41" t="str">
        <f aca="false">IF(ISNUMBER(I332),I332*INDEX(WtF,MATCH($I$7,WtU,0))/CC_WaterRho,"")</f>
        <v/>
      </c>
      <c r="AI332" s="31"/>
      <c r="AJ332" s="31"/>
      <c r="AK332" s="40"/>
      <c r="AL332" s="31"/>
      <c r="AM332" s="41" t="str">
        <f aca="false">IF(AO332="","",AO332*IF(ISNUMBER(AK332),AK332,CC_DefFills)*(1+IF(ISNUMBER(AL332),AL332,CC_DefAllow)))</f>
        <v/>
      </c>
      <c r="AN332" s="42" t="str">
        <f aca="false">IF(G332="Given volume",IF(ISNUMBER(H332),H332*INDEX(VolF,MATCH($H$7,VolU,0)),""),IF(G332="Water weight",AH332,IF(N(AG332)=0,"",AG332)))</f>
        <v/>
      </c>
      <c r="AO332" s="42" t="str">
        <f aca="false">IF(N(AN332)=0,"",AN332*AT332*IF(ISNUMBER(AJ332),AJ332,CC_DefCirc))</f>
        <v/>
      </c>
      <c r="AP332" s="27" t="n">
        <f aca="false">IF(ISNUMBER(T332),T332*INDEX(LenF,MATCH($T$7,LenU,0)),IF(ISNUMBER(W332),W332*INDEX(LenF,MATCH($W$7,LenU,0))/CC_PitchRatio,0))</f>
        <v>0</v>
      </c>
      <c r="AQ332" s="27" t="n">
        <f aca="false">IF(ISNUMBER(N332),PI()/4*(N332*INDEX(LenF,MATCH($N$7,LenU,0)))^2,IF(AND(ISNUMBER(S332),ISNUMBER(W332),X332&lt;&gt;""),S332*(W332*INDEX(LenF,MATCH($W$7,LenU,0)))^2*INDEX(LayoutF,MATCH(X332,LayoutU,0)),0))</f>
        <v>0</v>
      </c>
      <c r="AR332" s="27" t="n">
        <f aca="false">IF(ISNUMBER(O332),O332*INDEX(LenF,MATCH($O$7,LenU,0)),IF(ISNUMBER(V332),V332*INDEX(LenF,MATCH($V$7,LenU,0)),0))</f>
        <v>0</v>
      </c>
      <c r="AS332" s="27" t="str">
        <f aca="false">IF(ISNUMBER(L332),L332*INDEX(LenF,MATCH($L$7,LenU,0))*1000,IF(OR(J332="",K332=""),"",IFERROR(IF(INDEX(PipeWT,MATCH(J332,NPSU,0),MATCH(K332,SchU,0))="","Sch n/a",INDEX(PipeOD,MATCH(J332,NPSU,0))-2*INDEX(PipeWT,MATCH(J332,NPSU,0),MATCH(K332,SchU,0))),"")))</f>
        <v/>
      </c>
      <c r="AT332" s="27" t="n">
        <f aca="false">IF(ISNUMBER(AI332),AI332,IFERROR(INDEX(IF(CC_JobType="Decontamination",CC_TypeFillDC,CC_TypeFillCC),MATCH(E332,CC_TypeL,0)),1))</f>
        <v>1</v>
      </c>
      <c r="AU332" s="27" t="n">
        <v>10</v>
      </c>
    </row>
    <row r="333" customFormat="false" ht="15" hidden="false" customHeight="false" outlineLevel="0" collapsed="false">
      <c r="A333" s="36" t="n">
        <v>27</v>
      </c>
      <c r="B333" s="40"/>
      <c r="C333" s="32"/>
      <c r="D333" s="32"/>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1" t="str">
        <f aca="false">IF(E333="Exchanger",IF(AND(ISNUMBER(S333),ISNUMBER(U333),ISNUMBER(V333)),S333*PI()/4*(U333*INDEX(LenF,MATCH($U$7,LenU,0)))^2*V333*INDEX(LenF,MATCH($V$7,LenU,0)),0)+IF(ISNUMBER(Y333),PI()/4*(Y333*INDEX(LenF,MATCH($Y$7,LenU,0)))^2*N(Z333)*INDEX(LenF,MATCH($Z$7,LenU,0))+IF(AA333="",0,IF(AA333="Conical",PI()/12*(Y333*INDEX(LenF,MATCH($Y$7,LenU,0)))^2*(0),INDEX(HeadK,MATCH(AA333,HeadU,0))*(Y333*INDEX(LenF,MATCH($Y$7,LenU,0)))^3)),0)+IF(ISNUMBER(Y333),PI()/4*(Y333*INDEX(LenF,MATCH($Y$7,LenU,0)))^2*N(AB333)*INDEX(LenF,MATCH($AB$7,LenU,0))+IF(AC333="",0,IF(AC333="Conical",PI()/12*(Y333*INDEX(LenF,MATCH($Y$7,LenU,0)))^2*(0),INDEX(HeadK,MATCH(AC333,HeadU,0))*(Y333*INDEX(LenF,MATCH($Y$7,LenU,0)))^3)),0),"")</f>
        <v/>
      </c>
      <c r="AE333" s="41" t="str">
        <f aca="false">IF(OR(E333="",E333="Piping"),"",IF(E333="Exchanger",AQ333*AR333+IF(P333="",0,IF(P333="Conical",PI()/12*(SQRT(4*AQ333/PI()))^2*(0),INDEX(HeadK,MATCH(P333,HeadU,0))*(SQRT(4*AQ333/PI()))^3))-IF(AND(ISNUMBER(S333),ISNUMBER(V333)),S333*PI()/4*AP333^2*V333*INDEX(LenF,MATCH($V$7,LenU,0)),0),IF(ISNUMBER(N333),PI()/4*(N333*INDEX(LenF,MATCH($N$7,LenU,0)))^2*N(O333)*INDEX(LenF,MATCH($O$7,LenU,0))+IF(P333="",0,IF(P333="Conical",PI()/12*(N333*INDEX(LenF,MATCH($N$7,LenU,0)))^2*(N(R333)*INDEX(LenF,MATCH($R$7,LenU,0))),INDEX(HeadK,MATCH(P333,HeadU,0))*(N333*INDEX(LenF,MATCH($N$7,LenU,0)))^3))+IF(Q333="",0,IF(Q333="Conical",PI()/12*(N333*INDEX(LenF,MATCH($N$7,LenU,0)))^2*(N(R333)*INDEX(LenF,MATCH($R$7,LenU,0))),INDEX(HeadK,MATCH(Q333,HeadU,0))*(N333*INDEX(LenF,MATCH($N$7,LenU,0)))^3)),0)))</f>
        <v/>
      </c>
      <c r="AF333" s="41" t="str">
        <f aca="false">IF(E333&lt;&gt;"Piping","",IF(AND(ISNUMBER(AS333),ISNUMBER(M333)),PI()/4*(AS333/1000)^2*M333*INDEX(LenF,MATCH($M$7,LenU,0)),0))</f>
        <v/>
      </c>
      <c r="AG333" s="41" t="str">
        <f aca="false">IF(E333="","",N(AD333)+N(AE333)+N(AF333))</f>
        <v/>
      </c>
      <c r="AH333" s="41" t="str">
        <f aca="false">IF(ISNUMBER(I333),I333*INDEX(WtF,MATCH($I$7,WtU,0))/CC_WaterRho,"")</f>
        <v/>
      </c>
      <c r="AI333" s="31"/>
      <c r="AJ333" s="31"/>
      <c r="AK333" s="40"/>
      <c r="AL333" s="31"/>
      <c r="AM333" s="41" t="str">
        <f aca="false">IF(AO333="","",AO333*IF(ISNUMBER(AK333),AK333,CC_DefFills)*(1+IF(ISNUMBER(AL333),AL333,CC_DefAllow)))</f>
        <v/>
      </c>
      <c r="AN333" s="42" t="str">
        <f aca="false">IF(G333="Given volume",IF(ISNUMBER(H333),H333*INDEX(VolF,MATCH($H$7,VolU,0)),""),IF(G333="Water weight",AH333,IF(N(AG333)=0,"",AG333)))</f>
        <v/>
      </c>
      <c r="AO333" s="42" t="str">
        <f aca="false">IF(N(AN333)=0,"",AN333*AT333*IF(ISNUMBER(AJ333),AJ333,CC_DefCirc))</f>
        <v/>
      </c>
      <c r="AP333" s="27" t="n">
        <f aca="false">IF(ISNUMBER(T333),T333*INDEX(LenF,MATCH($T$7,LenU,0)),IF(ISNUMBER(W333),W333*INDEX(LenF,MATCH($W$7,LenU,0))/CC_PitchRatio,0))</f>
        <v>0</v>
      </c>
      <c r="AQ333" s="27" t="n">
        <f aca="false">IF(ISNUMBER(N333),PI()/4*(N333*INDEX(LenF,MATCH($N$7,LenU,0)))^2,IF(AND(ISNUMBER(S333),ISNUMBER(W333),X333&lt;&gt;""),S333*(W333*INDEX(LenF,MATCH($W$7,LenU,0)))^2*INDEX(LayoutF,MATCH(X333,LayoutU,0)),0))</f>
        <v>0</v>
      </c>
      <c r="AR333" s="27" t="n">
        <f aca="false">IF(ISNUMBER(O333),O333*INDEX(LenF,MATCH($O$7,LenU,0)),IF(ISNUMBER(V333),V333*INDEX(LenF,MATCH($V$7,LenU,0)),0))</f>
        <v>0</v>
      </c>
      <c r="AS333" s="27" t="str">
        <f aca="false">IF(ISNUMBER(L333),L333*INDEX(LenF,MATCH($L$7,LenU,0))*1000,IF(OR(J333="",K333=""),"",IFERROR(IF(INDEX(PipeWT,MATCH(J333,NPSU,0),MATCH(K333,SchU,0))="","Sch n/a",INDEX(PipeOD,MATCH(J333,NPSU,0))-2*INDEX(PipeWT,MATCH(J333,NPSU,0),MATCH(K333,SchU,0))),"")))</f>
        <v/>
      </c>
      <c r="AT333" s="27" t="n">
        <f aca="false">IF(ISNUMBER(AI333),AI333,IFERROR(INDEX(IF(CC_JobType="Decontamination",CC_TypeFillDC,CC_TypeFillCC),MATCH(E333,CC_TypeL,0)),1))</f>
        <v>1</v>
      </c>
      <c r="AU333" s="27" t="n">
        <v>10</v>
      </c>
    </row>
    <row r="334" customFormat="false" ht="15" hidden="false" customHeight="false" outlineLevel="0" collapsed="false">
      <c r="A334" s="36" t="n">
        <v>28</v>
      </c>
      <c r="B334" s="40"/>
      <c r="C334" s="32"/>
      <c r="D334" s="32"/>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1" t="str">
        <f aca="false">IF(E334="Exchanger",IF(AND(ISNUMBER(S334),ISNUMBER(U334),ISNUMBER(V334)),S334*PI()/4*(U334*INDEX(LenF,MATCH($U$7,LenU,0)))^2*V334*INDEX(LenF,MATCH($V$7,LenU,0)),0)+IF(ISNUMBER(Y334),PI()/4*(Y334*INDEX(LenF,MATCH($Y$7,LenU,0)))^2*N(Z334)*INDEX(LenF,MATCH($Z$7,LenU,0))+IF(AA334="",0,IF(AA334="Conical",PI()/12*(Y334*INDEX(LenF,MATCH($Y$7,LenU,0)))^2*(0),INDEX(HeadK,MATCH(AA334,HeadU,0))*(Y334*INDEX(LenF,MATCH($Y$7,LenU,0)))^3)),0)+IF(ISNUMBER(Y334),PI()/4*(Y334*INDEX(LenF,MATCH($Y$7,LenU,0)))^2*N(AB334)*INDEX(LenF,MATCH($AB$7,LenU,0))+IF(AC334="",0,IF(AC334="Conical",PI()/12*(Y334*INDEX(LenF,MATCH($Y$7,LenU,0)))^2*(0),INDEX(HeadK,MATCH(AC334,HeadU,0))*(Y334*INDEX(LenF,MATCH($Y$7,LenU,0)))^3)),0),"")</f>
        <v/>
      </c>
      <c r="AE334" s="41" t="str">
        <f aca="false">IF(OR(E334="",E334="Piping"),"",IF(E334="Exchanger",AQ334*AR334+IF(P334="",0,IF(P334="Conical",PI()/12*(SQRT(4*AQ334/PI()))^2*(0),INDEX(HeadK,MATCH(P334,HeadU,0))*(SQRT(4*AQ334/PI()))^3))-IF(AND(ISNUMBER(S334),ISNUMBER(V334)),S334*PI()/4*AP334^2*V334*INDEX(LenF,MATCH($V$7,LenU,0)),0),IF(ISNUMBER(N334),PI()/4*(N334*INDEX(LenF,MATCH($N$7,LenU,0)))^2*N(O334)*INDEX(LenF,MATCH($O$7,LenU,0))+IF(P334="",0,IF(P334="Conical",PI()/12*(N334*INDEX(LenF,MATCH($N$7,LenU,0)))^2*(N(R334)*INDEX(LenF,MATCH($R$7,LenU,0))),INDEX(HeadK,MATCH(P334,HeadU,0))*(N334*INDEX(LenF,MATCH($N$7,LenU,0)))^3))+IF(Q334="",0,IF(Q334="Conical",PI()/12*(N334*INDEX(LenF,MATCH($N$7,LenU,0)))^2*(N(R334)*INDEX(LenF,MATCH($R$7,LenU,0))),INDEX(HeadK,MATCH(Q334,HeadU,0))*(N334*INDEX(LenF,MATCH($N$7,LenU,0)))^3)),0)))</f>
        <v/>
      </c>
      <c r="AF334" s="41" t="str">
        <f aca="false">IF(E334&lt;&gt;"Piping","",IF(AND(ISNUMBER(AS334),ISNUMBER(M334)),PI()/4*(AS334/1000)^2*M334*INDEX(LenF,MATCH($M$7,LenU,0)),0))</f>
        <v/>
      </c>
      <c r="AG334" s="41" t="str">
        <f aca="false">IF(E334="","",N(AD334)+N(AE334)+N(AF334))</f>
        <v/>
      </c>
      <c r="AH334" s="41" t="str">
        <f aca="false">IF(ISNUMBER(I334),I334*INDEX(WtF,MATCH($I$7,WtU,0))/CC_WaterRho,"")</f>
        <v/>
      </c>
      <c r="AI334" s="31"/>
      <c r="AJ334" s="31"/>
      <c r="AK334" s="40"/>
      <c r="AL334" s="31"/>
      <c r="AM334" s="41" t="str">
        <f aca="false">IF(AO334="","",AO334*IF(ISNUMBER(AK334),AK334,CC_DefFills)*(1+IF(ISNUMBER(AL334),AL334,CC_DefAllow)))</f>
        <v/>
      </c>
      <c r="AN334" s="42" t="str">
        <f aca="false">IF(G334="Given volume",IF(ISNUMBER(H334),H334*INDEX(VolF,MATCH($H$7,VolU,0)),""),IF(G334="Water weight",AH334,IF(N(AG334)=0,"",AG334)))</f>
        <v/>
      </c>
      <c r="AO334" s="42" t="str">
        <f aca="false">IF(N(AN334)=0,"",AN334*AT334*IF(ISNUMBER(AJ334),AJ334,CC_DefCirc))</f>
        <v/>
      </c>
      <c r="AP334" s="27" t="n">
        <f aca="false">IF(ISNUMBER(T334),T334*INDEX(LenF,MATCH($T$7,LenU,0)),IF(ISNUMBER(W334),W334*INDEX(LenF,MATCH($W$7,LenU,0))/CC_PitchRatio,0))</f>
        <v>0</v>
      </c>
      <c r="AQ334" s="27" t="n">
        <f aca="false">IF(ISNUMBER(N334),PI()/4*(N334*INDEX(LenF,MATCH($N$7,LenU,0)))^2,IF(AND(ISNUMBER(S334),ISNUMBER(W334),X334&lt;&gt;""),S334*(W334*INDEX(LenF,MATCH($W$7,LenU,0)))^2*INDEX(LayoutF,MATCH(X334,LayoutU,0)),0))</f>
        <v>0</v>
      </c>
      <c r="AR334" s="27" t="n">
        <f aca="false">IF(ISNUMBER(O334),O334*INDEX(LenF,MATCH($O$7,LenU,0)),IF(ISNUMBER(V334),V334*INDEX(LenF,MATCH($V$7,LenU,0)),0))</f>
        <v>0</v>
      </c>
      <c r="AS334" s="27" t="str">
        <f aca="false">IF(ISNUMBER(L334),L334*INDEX(LenF,MATCH($L$7,LenU,0))*1000,IF(OR(J334="",K334=""),"",IFERROR(IF(INDEX(PipeWT,MATCH(J334,NPSU,0),MATCH(K334,SchU,0))="","Sch n/a",INDEX(PipeOD,MATCH(J334,NPSU,0))-2*INDEX(PipeWT,MATCH(J334,NPSU,0),MATCH(K334,SchU,0))),"")))</f>
        <v/>
      </c>
      <c r="AT334" s="27" t="n">
        <f aca="false">IF(ISNUMBER(AI334),AI334,IFERROR(INDEX(IF(CC_JobType="Decontamination",CC_TypeFillDC,CC_TypeFillCC),MATCH(E334,CC_TypeL,0)),1))</f>
        <v>1</v>
      </c>
      <c r="AU334" s="27" t="n">
        <v>10</v>
      </c>
    </row>
    <row r="335" customFormat="false" ht="15" hidden="false" customHeight="false" outlineLevel="0" collapsed="false">
      <c r="A335" s="36" t="n">
        <v>29</v>
      </c>
      <c r="B335" s="40"/>
      <c r="C335" s="32"/>
      <c r="D335" s="32"/>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1" t="str">
        <f aca="false">IF(E335="Exchanger",IF(AND(ISNUMBER(S335),ISNUMBER(U335),ISNUMBER(V335)),S335*PI()/4*(U335*INDEX(LenF,MATCH($U$7,LenU,0)))^2*V335*INDEX(LenF,MATCH($V$7,LenU,0)),0)+IF(ISNUMBER(Y335),PI()/4*(Y335*INDEX(LenF,MATCH($Y$7,LenU,0)))^2*N(Z335)*INDEX(LenF,MATCH($Z$7,LenU,0))+IF(AA335="",0,IF(AA335="Conical",PI()/12*(Y335*INDEX(LenF,MATCH($Y$7,LenU,0)))^2*(0),INDEX(HeadK,MATCH(AA335,HeadU,0))*(Y335*INDEX(LenF,MATCH($Y$7,LenU,0)))^3)),0)+IF(ISNUMBER(Y335),PI()/4*(Y335*INDEX(LenF,MATCH($Y$7,LenU,0)))^2*N(AB335)*INDEX(LenF,MATCH($AB$7,LenU,0))+IF(AC335="",0,IF(AC335="Conical",PI()/12*(Y335*INDEX(LenF,MATCH($Y$7,LenU,0)))^2*(0),INDEX(HeadK,MATCH(AC335,HeadU,0))*(Y335*INDEX(LenF,MATCH($Y$7,LenU,0)))^3)),0),"")</f>
        <v/>
      </c>
      <c r="AE335" s="41" t="str">
        <f aca="false">IF(OR(E335="",E335="Piping"),"",IF(E335="Exchanger",AQ335*AR335+IF(P335="",0,IF(P335="Conical",PI()/12*(SQRT(4*AQ335/PI()))^2*(0),INDEX(HeadK,MATCH(P335,HeadU,0))*(SQRT(4*AQ335/PI()))^3))-IF(AND(ISNUMBER(S335),ISNUMBER(V335)),S335*PI()/4*AP335^2*V335*INDEX(LenF,MATCH($V$7,LenU,0)),0),IF(ISNUMBER(N335),PI()/4*(N335*INDEX(LenF,MATCH($N$7,LenU,0)))^2*N(O335)*INDEX(LenF,MATCH($O$7,LenU,0))+IF(P335="",0,IF(P335="Conical",PI()/12*(N335*INDEX(LenF,MATCH($N$7,LenU,0)))^2*(N(R335)*INDEX(LenF,MATCH($R$7,LenU,0))),INDEX(HeadK,MATCH(P335,HeadU,0))*(N335*INDEX(LenF,MATCH($N$7,LenU,0)))^3))+IF(Q335="",0,IF(Q335="Conical",PI()/12*(N335*INDEX(LenF,MATCH($N$7,LenU,0)))^2*(N(R335)*INDEX(LenF,MATCH($R$7,LenU,0))),INDEX(HeadK,MATCH(Q335,HeadU,0))*(N335*INDEX(LenF,MATCH($N$7,LenU,0)))^3)),0)))</f>
        <v/>
      </c>
      <c r="AF335" s="41" t="str">
        <f aca="false">IF(E335&lt;&gt;"Piping","",IF(AND(ISNUMBER(AS335),ISNUMBER(M335)),PI()/4*(AS335/1000)^2*M335*INDEX(LenF,MATCH($M$7,LenU,0)),0))</f>
        <v/>
      </c>
      <c r="AG335" s="41" t="str">
        <f aca="false">IF(E335="","",N(AD335)+N(AE335)+N(AF335))</f>
        <v/>
      </c>
      <c r="AH335" s="41" t="str">
        <f aca="false">IF(ISNUMBER(I335),I335*INDEX(WtF,MATCH($I$7,WtU,0))/CC_WaterRho,"")</f>
        <v/>
      </c>
      <c r="AI335" s="31"/>
      <c r="AJ335" s="31"/>
      <c r="AK335" s="40"/>
      <c r="AL335" s="31"/>
      <c r="AM335" s="41" t="str">
        <f aca="false">IF(AO335="","",AO335*IF(ISNUMBER(AK335),AK335,CC_DefFills)*(1+IF(ISNUMBER(AL335),AL335,CC_DefAllow)))</f>
        <v/>
      </c>
      <c r="AN335" s="42" t="str">
        <f aca="false">IF(G335="Given volume",IF(ISNUMBER(H335),H335*INDEX(VolF,MATCH($H$7,VolU,0)),""),IF(G335="Water weight",AH335,IF(N(AG335)=0,"",AG335)))</f>
        <v/>
      </c>
      <c r="AO335" s="42" t="str">
        <f aca="false">IF(N(AN335)=0,"",AN335*AT335*IF(ISNUMBER(AJ335),AJ335,CC_DefCirc))</f>
        <v/>
      </c>
      <c r="AP335" s="27" t="n">
        <f aca="false">IF(ISNUMBER(T335),T335*INDEX(LenF,MATCH($T$7,LenU,0)),IF(ISNUMBER(W335),W335*INDEX(LenF,MATCH($W$7,LenU,0))/CC_PitchRatio,0))</f>
        <v>0</v>
      </c>
      <c r="AQ335" s="27" t="n">
        <f aca="false">IF(ISNUMBER(N335),PI()/4*(N335*INDEX(LenF,MATCH($N$7,LenU,0)))^2,IF(AND(ISNUMBER(S335),ISNUMBER(W335),X335&lt;&gt;""),S335*(W335*INDEX(LenF,MATCH($W$7,LenU,0)))^2*INDEX(LayoutF,MATCH(X335,LayoutU,0)),0))</f>
        <v>0</v>
      </c>
      <c r="AR335" s="27" t="n">
        <f aca="false">IF(ISNUMBER(O335),O335*INDEX(LenF,MATCH($O$7,LenU,0)),IF(ISNUMBER(V335),V335*INDEX(LenF,MATCH($V$7,LenU,0)),0))</f>
        <v>0</v>
      </c>
      <c r="AS335" s="27" t="str">
        <f aca="false">IF(ISNUMBER(L335),L335*INDEX(LenF,MATCH($L$7,LenU,0))*1000,IF(OR(J335="",K335=""),"",IFERROR(IF(INDEX(PipeWT,MATCH(J335,NPSU,0),MATCH(K335,SchU,0))="","Sch n/a",INDEX(PipeOD,MATCH(J335,NPSU,0))-2*INDEX(PipeWT,MATCH(J335,NPSU,0),MATCH(K335,SchU,0))),"")))</f>
        <v/>
      </c>
      <c r="AT335" s="27" t="n">
        <f aca="false">IF(ISNUMBER(AI335),AI335,IFERROR(INDEX(IF(CC_JobType="Decontamination",CC_TypeFillDC,CC_TypeFillCC),MATCH(E335,CC_TypeL,0)),1))</f>
        <v>1</v>
      </c>
      <c r="AU335" s="27" t="n">
        <v>10</v>
      </c>
    </row>
    <row r="336" customFormat="false" ht="15" hidden="false" customHeight="false" outlineLevel="0" collapsed="false">
      <c r="A336" s="36" t="n">
        <v>30</v>
      </c>
      <c r="B336" s="40"/>
      <c r="C336" s="32"/>
      <c r="D336" s="32"/>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1" t="str">
        <f aca="false">IF(E336="Exchanger",IF(AND(ISNUMBER(S336),ISNUMBER(U336),ISNUMBER(V336)),S336*PI()/4*(U336*INDEX(LenF,MATCH($U$7,LenU,0)))^2*V336*INDEX(LenF,MATCH($V$7,LenU,0)),0)+IF(ISNUMBER(Y336),PI()/4*(Y336*INDEX(LenF,MATCH($Y$7,LenU,0)))^2*N(Z336)*INDEX(LenF,MATCH($Z$7,LenU,0))+IF(AA336="",0,IF(AA336="Conical",PI()/12*(Y336*INDEX(LenF,MATCH($Y$7,LenU,0)))^2*(0),INDEX(HeadK,MATCH(AA336,HeadU,0))*(Y336*INDEX(LenF,MATCH($Y$7,LenU,0)))^3)),0)+IF(ISNUMBER(Y336),PI()/4*(Y336*INDEX(LenF,MATCH($Y$7,LenU,0)))^2*N(AB336)*INDEX(LenF,MATCH($AB$7,LenU,0))+IF(AC336="",0,IF(AC336="Conical",PI()/12*(Y336*INDEX(LenF,MATCH($Y$7,LenU,0)))^2*(0),INDEX(HeadK,MATCH(AC336,HeadU,0))*(Y336*INDEX(LenF,MATCH($Y$7,LenU,0)))^3)),0),"")</f>
        <v/>
      </c>
      <c r="AE336" s="41" t="str">
        <f aca="false">IF(OR(E336="",E336="Piping"),"",IF(E336="Exchanger",AQ336*AR336+IF(P336="",0,IF(P336="Conical",PI()/12*(SQRT(4*AQ336/PI()))^2*(0),INDEX(HeadK,MATCH(P336,HeadU,0))*(SQRT(4*AQ336/PI()))^3))-IF(AND(ISNUMBER(S336),ISNUMBER(V336)),S336*PI()/4*AP336^2*V336*INDEX(LenF,MATCH($V$7,LenU,0)),0),IF(ISNUMBER(N336),PI()/4*(N336*INDEX(LenF,MATCH($N$7,LenU,0)))^2*N(O336)*INDEX(LenF,MATCH($O$7,LenU,0))+IF(P336="",0,IF(P336="Conical",PI()/12*(N336*INDEX(LenF,MATCH($N$7,LenU,0)))^2*(N(R336)*INDEX(LenF,MATCH($R$7,LenU,0))),INDEX(HeadK,MATCH(P336,HeadU,0))*(N336*INDEX(LenF,MATCH($N$7,LenU,0)))^3))+IF(Q336="",0,IF(Q336="Conical",PI()/12*(N336*INDEX(LenF,MATCH($N$7,LenU,0)))^2*(N(R336)*INDEX(LenF,MATCH($R$7,LenU,0))),INDEX(HeadK,MATCH(Q336,HeadU,0))*(N336*INDEX(LenF,MATCH($N$7,LenU,0)))^3)),0)))</f>
        <v/>
      </c>
      <c r="AF336" s="41" t="str">
        <f aca="false">IF(E336&lt;&gt;"Piping","",IF(AND(ISNUMBER(AS336),ISNUMBER(M336)),PI()/4*(AS336/1000)^2*M336*INDEX(LenF,MATCH($M$7,LenU,0)),0))</f>
        <v/>
      </c>
      <c r="AG336" s="41" t="str">
        <f aca="false">IF(E336="","",N(AD336)+N(AE336)+N(AF336))</f>
        <v/>
      </c>
      <c r="AH336" s="41" t="str">
        <f aca="false">IF(ISNUMBER(I336),I336*INDEX(WtF,MATCH($I$7,WtU,0))/CC_WaterRho,"")</f>
        <v/>
      </c>
      <c r="AI336" s="31"/>
      <c r="AJ336" s="31"/>
      <c r="AK336" s="40"/>
      <c r="AL336" s="31"/>
      <c r="AM336" s="41" t="str">
        <f aca="false">IF(AO336="","",AO336*IF(ISNUMBER(AK336),AK336,CC_DefFills)*(1+IF(ISNUMBER(AL336),AL336,CC_DefAllow)))</f>
        <v/>
      </c>
      <c r="AN336" s="42" t="str">
        <f aca="false">IF(G336="Given volume",IF(ISNUMBER(H336),H336*INDEX(VolF,MATCH($H$7,VolU,0)),""),IF(G336="Water weight",AH336,IF(N(AG336)=0,"",AG336)))</f>
        <v/>
      </c>
      <c r="AO336" s="42" t="str">
        <f aca="false">IF(N(AN336)=0,"",AN336*AT336*IF(ISNUMBER(AJ336),AJ336,CC_DefCirc))</f>
        <v/>
      </c>
      <c r="AP336" s="27" t="n">
        <f aca="false">IF(ISNUMBER(T336),T336*INDEX(LenF,MATCH($T$7,LenU,0)),IF(ISNUMBER(W336),W336*INDEX(LenF,MATCH($W$7,LenU,0))/CC_PitchRatio,0))</f>
        <v>0</v>
      </c>
      <c r="AQ336" s="27" t="n">
        <f aca="false">IF(ISNUMBER(N336),PI()/4*(N336*INDEX(LenF,MATCH($N$7,LenU,0)))^2,IF(AND(ISNUMBER(S336),ISNUMBER(W336),X336&lt;&gt;""),S336*(W336*INDEX(LenF,MATCH($W$7,LenU,0)))^2*INDEX(LayoutF,MATCH(X336,LayoutU,0)),0))</f>
        <v>0</v>
      </c>
      <c r="AR336" s="27" t="n">
        <f aca="false">IF(ISNUMBER(O336),O336*INDEX(LenF,MATCH($O$7,LenU,0)),IF(ISNUMBER(V336),V336*INDEX(LenF,MATCH($V$7,LenU,0)),0))</f>
        <v>0</v>
      </c>
      <c r="AS336" s="27" t="str">
        <f aca="false">IF(ISNUMBER(L336),L336*INDEX(LenF,MATCH($L$7,LenU,0))*1000,IF(OR(J336="",K336=""),"",IFERROR(IF(INDEX(PipeWT,MATCH(J336,NPSU,0),MATCH(K336,SchU,0))="","Sch n/a",INDEX(PipeOD,MATCH(J336,NPSU,0))-2*INDEX(PipeWT,MATCH(J336,NPSU,0),MATCH(K336,SchU,0))),"")))</f>
        <v/>
      </c>
      <c r="AT336" s="27" t="n">
        <f aca="false">IF(ISNUMBER(AI336),AI336,IFERROR(INDEX(IF(CC_JobType="Decontamination",CC_TypeFillDC,CC_TypeFillCC),MATCH(E336,CC_TypeL,0)),1))</f>
        <v>1</v>
      </c>
      <c r="AU336" s="27" t="n">
        <v>10</v>
      </c>
    </row>
    <row r="337" customFormat="false" ht="15" hidden="false" customHeight="false" outlineLevel="0" collapsed="false">
      <c r="A337" s="44" t="str">
        <f aca="false">"TOTAL – "&amp;INDEX(CC_UnitNames,10)</f>
        <v>TOTAL – Unit 10</v>
      </c>
      <c r="B337" s="44"/>
      <c r="C337" s="44"/>
      <c r="D337" s="44"/>
      <c r="E337" s="45"/>
      <c r="F337" s="45"/>
      <c r="G337" s="45"/>
      <c r="H337" s="45"/>
      <c r="I337" s="45"/>
      <c r="J337" s="45"/>
      <c r="K337" s="45"/>
      <c r="L337" s="45"/>
      <c r="M337" s="45"/>
      <c r="N337" s="45"/>
      <c r="O337" s="45"/>
      <c r="P337" s="45"/>
      <c r="Q337" s="45"/>
      <c r="R337" s="45"/>
      <c r="S337" s="46" t="str">
        <f aca="false">COUNT(AN307:AN336)&amp;" items"</f>
        <v>0 items</v>
      </c>
      <c r="T337" s="45"/>
      <c r="U337" s="45"/>
      <c r="V337" s="45"/>
      <c r="W337" s="45"/>
      <c r="X337" s="45"/>
      <c r="Y337" s="45"/>
      <c r="Z337" s="45"/>
      <c r="AA337" s="45"/>
      <c r="AB337" s="45"/>
      <c r="AC337" s="45"/>
      <c r="AD337" s="47" t="n">
        <f aca="false">SUM(AD307:AD336)</f>
        <v>0</v>
      </c>
      <c r="AE337" s="47" t="n">
        <f aca="false">SUM(AE307:AE336)</f>
        <v>0</v>
      </c>
      <c r="AF337" s="47" t="n">
        <f aca="false">SUM(AF307:AF336)</f>
        <v>0</v>
      </c>
      <c r="AG337" s="47" t="n">
        <f aca="false">SUM(AG307:AG336)</f>
        <v>0</v>
      </c>
      <c r="AH337" s="47" t="n">
        <f aca="false">SUM(AH307:AH336)</f>
        <v>0</v>
      </c>
      <c r="AI337" s="45"/>
      <c r="AJ337" s="45"/>
      <c r="AK337" s="45"/>
      <c r="AL337" s="45"/>
      <c r="AM337" s="47" t="n">
        <f aca="false">SUM(AM307:AM336)</f>
        <v>0</v>
      </c>
      <c r="AN337" s="47" t="n">
        <f aca="false">SUM(AN307:AN336)</f>
        <v>0</v>
      </c>
      <c r="AO337" s="47" t="n">
        <f aca="false">SUM(AO307:AO336)</f>
        <v>0</v>
      </c>
    </row>
    <row r="339" customFormat="false" ht="15" hidden="false" customHeight="false" outlineLevel="0" collapsed="false">
      <c r="A339" s="38" t="str">
        <f aca="false">"UNIT 11:  "&amp;INDEX(CC_UnitNames,11)</f>
        <v>UNIT 11:  Unit 11</v>
      </c>
      <c r="B339" s="38"/>
      <c r="C339" s="38"/>
      <c r="D339" s="38"/>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row>
    <row r="340" customFormat="false" ht="15" hidden="false" customHeight="false" outlineLevel="0" collapsed="false">
      <c r="A340" s="36" t="n">
        <v>1</v>
      </c>
      <c r="B340" s="40"/>
      <c r="C340" s="32"/>
      <c r="D340" s="32"/>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1" t="str">
        <f aca="false">IF(E340="Exchanger",IF(AND(ISNUMBER(S340),ISNUMBER(U340),ISNUMBER(V340)),S340*PI()/4*(U340*INDEX(LenF,MATCH($U$7,LenU,0)))^2*V340*INDEX(LenF,MATCH($V$7,LenU,0)),0)+IF(ISNUMBER(Y340),PI()/4*(Y340*INDEX(LenF,MATCH($Y$7,LenU,0)))^2*N(Z340)*INDEX(LenF,MATCH($Z$7,LenU,0))+IF(AA340="",0,IF(AA340="Conical",PI()/12*(Y340*INDEX(LenF,MATCH($Y$7,LenU,0)))^2*(0),INDEX(HeadK,MATCH(AA340,HeadU,0))*(Y340*INDEX(LenF,MATCH($Y$7,LenU,0)))^3)),0)+IF(ISNUMBER(Y340),PI()/4*(Y340*INDEX(LenF,MATCH($Y$7,LenU,0)))^2*N(AB340)*INDEX(LenF,MATCH($AB$7,LenU,0))+IF(AC340="",0,IF(AC340="Conical",PI()/12*(Y340*INDEX(LenF,MATCH($Y$7,LenU,0)))^2*(0),INDEX(HeadK,MATCH(AC340,HeadU,0))*(Y340*INDEX(LenF,MATCH($Y$7,LenU,0)))^3)),0),"")</f>
        <v/>
      </c>
      <c r="AE340" s="41" t="str">
        <f aca="false">IF(OR(E340="",E340="Piping"),"",IF(E340="Exchanger",AQ340*AR340+IF(P340="",0,IF(P340="Conical",PI()/12*(SQRT(4*AQ340/PI()))^2*(0),INDEX(HeadK,MATCH(P340,HeadU,0))*(SQRT(4*AQ340/PI()))^3))-IF(AND(ISNUMBER(S340),ISNUMBER(V340)),S340*PI()/4*AP340^2*V340*INDEX(LenF,MATCH($V$7,LenU,0)),0),IF(ISNUMBER(N340),PI()/4*(N340*INDEX(LenF,MATCH($N$7,LenU,0)))^2*N(O340)*INDEX(LenF,MATCH($O$7,LenU,0))+IF(P340="",0,IF(P340="Conical",PI()/12*(N340*INDEX(LenF,MATCH($N$7,LenU,0)))^2*(N(R340)*INDEX(LenF,MATCH($R$7,LenU,0))),INDEX(HeadK,MATCH(P340,HeadU,0))*(N340*INDEX(LenF,MATCH($N$7,LenU,0)))^3))+IF(Q340="",0,IF(Q340="Conical",PI()/12*(N340*INDEX(LenF,MATCH($N$7,LenU,0)))^2*(N(R340)*INDEX(LenF,MATCH($R$7,LenU,0))),INDEX(HeadK,MATCH(Q340,HeadU,0))*(N340*INDEX(LenF,MATCH($N$7,LenU,0)))^3)),0)))</f>
        <v/>
      </c>
      <c r="AF340" s="41" t="str">
        <f aca="false">IF(E340&lt;&gt;"Piping","",IF(AND(ISNUMBER(AS340),ISNUMBER(M340)),PI()/4*(AS340/1000)^2*M340*INDEX(LenF,MATCH($M$7,LenU,0)),0))</f>
        <v/>
      </c>
      <c r="AG340" s="41" t="str">
        <f aca="false">IF(E340="","",N(AD340)+N(AE340)+N(AF340))</f>
        <v/>
      </c>
      <c r="AH340" s="41" t="str">
        <f aca="false">IF(ISNUMBER(I340),I340*INDEX(WtF,MATCH($I$7,WtU,0))/CC_WaterRho,"")</f>
        <v/>
      </c>
      <c r="AI340" s="31"/>
      <c r="AJ340" s="31"/>
      <c r="AK340" s="40"/>
      <c r="AL340" s="31"/>
      <c r="AM340" s="41" t="str">
        <f aca="false">IF(AO340="","",AO340*IF(ISNUMBER(AK340),AK340,CC_DefFills)*(1+IF(ISNUMBER(AL340),AL340,CC_DefAllow)))</f>
        <v/>
      </c>
      <c r="AN340" s="42" t="str">
        <f aca="false">IF(G340="Given volume",IF(ISNUMBER(H340),H340*INDEX(VolF,MATCH($H$7,VolU,0)),""),IF(G340="Water weight",AH340,IF(N(AG340)=0,"",AG340)))</f>
        <v/>
      </c>
      <c r="AO340" s="42" t="str">
        <f aca="false">IF(N(AN340)=0,"",AN340*AT340*IF(ISNUMBER(AJ340),AJ340,CC_DefCirc))</f>
        <v/>
      </c>
      <c r="AP340" s="27" t="n">
        <f aca="false">IF(ISNUMBER(T340),T340*INDEX(LenF,MATCH($T$7,LenU,0)),IF(ISNUMBER(W340),W340*INDEX(LenF,MATCH($W$7,LenU,0))/CC_PitchRatio,0))</f>
        <v>0</v>
      </c>
      <c r="AQ340" s="27" t="n">
        <f aca="false">IF(ISNUMBER(N340),PI()/4*(N340*INDEX(LenF,MATCH($N$7,LenU,0)))^2,IF(AND(ISNUMBER(S340),ISNUMBER(W340),X340&lt;&gt;""),S340*(W340*INDEX(LenF,MATCH($W$7,LenU,0)))^2*INDEX(LayoutF,MATCH(X340,LayoutU,0)),0))</f>
        <v>0</v>
      </c>
      <c r="AR340" s="27" t="n">
        <f aca="false">IF(ISNUMBER(O340),O340*INDEX(LenF,MATCH($O$7,LenU,0)),IF(ISNUMBER(V340),V340*INDEX(LenF,MATCH($V$7,LenU,0)),0))</f>
        <v>0</v>
      </c>
      <c r="AS340" s="27" t="str">
        <f aca="false">IF(ISNUMBER(L340),L340*INDEX(LenF,MATCH($L$7,LenU,0))*1000,IF(OR(J340="",K340=""),"",IFERROR(IF(INDEX(PipeWT,MATCH(J340,NPSU,0),MATCH(K340,SchU,0))="","Sch n/a",INDEX(PipeOD,MATCH(J340,NPSU,0))-2*INDEX(PipeWT,MATCH(J340,NPSU,0),MATCH(K340,SchU,0))),"")))</f>
        <v/>
      </c>
      <c r="AT340" s="27" t="n">
        <f aca="false">IF(ISNUMBER(AI340),AI340,IFERROR(INDEX(IF(CC_JobType="Decontamination",CC_TypeFillDC,CC_TypeFillCC),MATCH(E340,CC_TypeL,0)),1))</f>
        <v>1</v>
      </c>
      <c r="AU340" s="27" t="n">
        <v>11</v>
      </c>
    </row>
    <row r="341" customFormat="false" ht="15" hidden="false" customHeight="false" outlineLevel="0" collapsed="false">
      <c r="A341" s="36" t="n">
        <v>2</v>
      </c>
      <c r="B341" s="40"/>
      <c r="C341" s="32"/>
      <c r="D341" s="32"/>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1" t="str">
        <f aca="false">IF(E341="Exchanger",IF(AND(ISNUMBER(S341),ISNUMBER(U341),ISNUMBER(V341)),S341*PI()/4*(U341*INDEX(LenF,MATCH($U$7,LenU,0)))^2*V341*INDEX(LenF,MATCH($V$7,LenU,0)),0)+IF(ISNUMBER(Y341),PI()/4*(Y341*INDEX(LenF,MATCH($Y$7,LenU,0)))^2*N(Z341)*INDEX(LenF,MATCH($Z$7,LenU,0))+IF(AA341="",0,IF(AA341="Conical",PI()/12*(Y341*INDEX(LenF,MATCH($Y$7,LenU,0)))^2*(0),INDEX(HeadK,MATCH(AA341,HeadU,0))*(Y341*INDEX(LenF,MATCH($Y$7,LenU,0)))^3)),0)+IF(ISNUMBER(Y341),PI()/4*(Y341*INDEX(LenF,MATCH($Y$7,LenU,0)))^2*N(AB341)*INDEX(LenF,MATCH($AB$7,LenU,0))+IF(AC341="",0,IF(AC341="Conical",PI()/12*(Y341*INDEX(LenF,MATCH($Y$7,LenU,0)))^2*(0),INDEX(HeadK,MATCH(AC341,HeadU,0))*(Y341*INDEX(LenF,MATCH($Y$7,LenU,0)))^3)),0),"")</f>
        <v/>
      </c>
      <c r="AE341" s="41" t="str">
        <f aca="false">IF(OR(E341="",E341="Piping"),"",IF(E341="Exchanger",AQ341*AR341+IF(P341="",0,IF(P341="Conical",PI()/12*(SQRT(4*AQ341/PI()))^2*(0),INDEX(HeadK,MATCH(P341,HeadU,0))*(SQRT(4*AQ341/PI()))^3))-IF(AND(ISNUMBER(S341),ISNUMBER(V341)),S341*PI()/4*AP341^2*V341*INDEX(LenF,MATCH($V$7,LenU,0)),0),IF(ISNUMBER(N341),PI()/4*(N341*INDEX(LenF,MATCH($N$7,LenU,0)))^2*N(O341)*INDEX(LenF,MATCH($O$7,LenU,0))+IF(P341="",0,IF(P341="Conical",PI()/12*(N341*INDEX(LenF,MATCH($N$7,LenU,0)))^2*(N(R341)*INDEX(LenF,MATCH($R$7,LenU,0))),INDEX(HeadK,MATCH(P341,HeadU,0))*(N341*INDEX(LenF,MATCH($N$7,LenU,0)))^3))+IF(Q341="",0,IF(Q341="Conical",PI()/12*(N341*INDEX(LenF,MATCH($N$7,LenU,0)))^2*(N(R341)*INDEX(LenF,MATCH($R$7,LenU,0))),INDEX(HeadK,MATCH(Q341,HeadU,0))*(N341*INDEX(LenF,MATCH($N$7,LenU,0)))^3)),0)))</f>
        <v/>
      </c>
      <c r="AF341" s="41" t="str">
        <f aca="false">IF(E341&lt;&gt;"Piping","",IF(AND(ISNUMBER(AS341),ISNUMBER(M341)),PI()/4*(AS341/1000)^2*M341*INDEX(LenF,MATCH($M$7,LenU,0)),0))</f>
        <v/>
      </c>
      <c r="AG341" s="41" t="str">
        <f aca="false">IF(E341="","",N(AD341)+N(AE341)+N(AF341))</f>
        <v/>
      </c>
      <c r="AH341" s="41" t="str">
        <f aca="false">IF(ISNUMBER(I341),I341*INDEX(WtF,MATCH($I$7,WtU,0))/CC_WaterRho,"")</f>
        <v/>
      </c>
      <c r="AI341" s="31"/>
      <c r="AJ341" s="31"/>
      <c r="AK341" s="40"/>
      <c r="AL341" s="31"/>
      <c r="AM341" s="41" t="str">
        <f aca="false">IF(AO341="","",AO341*IF(ISNUMBER(AK341),AK341,CC_DefFills)*(1+IF(ISNUMBER(AL341),AL341,CC_DefAllow)))</f>
        <v/>
      </c>
      <c r="AN341" s="42" t="str">
        <f aca="false">IF(G341="Given volume",IF(ISNUMBER(H341),H341*INDEX(VolF,MATCH($H$7,VolU,0)),""),IF(G341="Water weight",AH341,IF(N(AG341)=0,"",AG341)))</f>
        <v/>
      </c>
      <c r="AO341" s="42" t="str">
        <f aca="false">IF(N(AN341)=0,"",AN341*AT341*IF(ISNUMBER(AJ341),AJ341,CC_DefCirc))</f>
        <v/>
      </c>
      <c r="AP341" s="27" t="n">
        <f aca="false">IF(ISNUMBER(T341),T341*INDEX(LenF,MATCH($T$7,LenU,0)),IF(ISNUMBER(W341),W341*INDEX(LenF,MATCH($W$7,LenU,0))/CC_PitchRatio,0))</f>
        <v>0</v>
      </c>
      <c r="AQ341" s="27" t="n">
        <f aca="false">IF(ISNUMBER(N341),PI()/4*(N341*INDEX(LenF,MATCH($N$7,LenU,0)))^2,IF(AND(ISNUMBER(S341),ISNUMBER(W341),X341&lt;&gt;""),S341*(W341*INDEX(LenF,MATCH($W$7,LenU,0)))^2*INDEX(LayoutF,MATCH(X341,LayoutU,0)),0))</f>
        <v>0</v>
      </c>
      <c r="AR341" s="27" t="n">
        <f aca="false">IF(ISNUMBER(O341),O341*INDEX(LenF,MATCH($O$7,LenU,0)),IF(ISNUMBER(V341),V341*INDEX(LenF,MATCH($V$7,LenU,0)),0))</f>
        <v>0</v>
      </c>
      <c r="AS341" s="27" t="str">
        <f aca="false">IF(ISNUMBER(L341),L341*INDEX(LenF,MATCH($L$7,LenU,0))*1000,IF(OR(J341="",K341=""),"",IFERROR(IF(INDEX(PipeWT,MATCH(J341,NPSU,0),MATCH(K341,SchU,0))="","Sch n/a",INDEX(PipeOD,MATCH(J341,NPSU,0))-2*INDEX(PipeWT,MATCH(J341,NPSU,0),MATCH(K341,SchU,0))),"")))</f>
        <v/>
      </c>
      <c r="AT341" s="27" t="n">
        <f aca="false">IF(ISNUMBER(AI341),AI341,IFERROR(INDEX(IF(CC_JobType="Decontamination",CC_TypeFillDC,CC_TypeFillCC),MATCH(E341,CC_TypeL,0)),1))</f>
        <v>1</v>
      </c>
      <c r="AU341" s="27" t="n">
        <v>11</v>
      </c>
    </row>
    <row r="342" customFormat="false" ht="15" hidden="false" customHeight="false" outlineLevel="0" collapsed="false">
      <c r="A342" s="36" t="n">
        <v>3</v>
      </c>
      <c r="B342" s="40"/>
      <c r="C342" s="32"/>
      <c r="D342" s="32"/>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1" t="str">
        <f aca="false">IF(E342="Exchanger",IF(AND(ISNUMBER(S342),ISNUMBER(U342),ISNUMBER(V342)),S342*PI()/4*(U342*INDEX(LenF,MATCH($U$7,LenU,0)))^2*V342*INDEX(LenF,MATCH($V$7,LenU,0)),0)+IF(ISNUMBER(Y342),PI()/4*(Y342*INDEX(LenF,MATCH($Y$7,LenU,0)))^2*N(Z342)*INDEX(LenF,MATCH($Z$7,LenU,0))+IF(AA342="",0,IF(AA342="Conical",PI()/12*(Y342*INDEX(LenF,MATCH($Y$7,LenU,0)))^2*(0),INDEX(HeadK,MATCH(AA342,HeadU,0))*(Y342*INDEX(LenF,MATCH($Y$7,LenU,0)))^3)),0)+IF(ISNUMBER(Y342),PI()/4*(Y342*INDEX(LenF,MATCH($Y$7,LenU,0)))^2*N(AB342)*INDEX(LenF,MATCH($AB$7,LenU,0))+IF(AC342="",0,IF(AC342="Conical",PI()/12*(Y342*INDEX(LenF,MATCH($Y$7,LenU,0)))^2*(0),INDEX(HeadK,MATCH(AC342,HeadU,0))*(Y342*INDEX(LenF,MATCH($Y$7,LenU,0)))^3)),0),"")</f>
        <v/>
      </c>
      <c r="AE342" s="41" t="str">
        <f aca="false">IF(OR(E342="",E342="Piping"),"",IF(E342="Exchanger",AQ342*AR342+IF(P342="",0,IF(P342="Conical",PI()/12*(SQRT(4*AQ342/PI()))^2*(0),INDEX(HeadK,MATCH(P342,HeadU,0))*(SQRT(4*AQ342/PI()))^3))-IF(AND(ISNUMBER(S342),ISNUMBER(V342)),S342*PI()/4*AP342^2*V342*INDEX(LenF,MATCH($V$7,LenU,0)),0),IF(ISNUMBER(N342),PI()/4*(N342*INDEX(LenF,MATCH($N$7,LenU,0)))^2*N(O342)*INDEX(LenF,MATCH($O$7,LenU,0))+IF(P342="",0,IF(P342="Conical",PI()/12*(N342*INDEX(LenF,MATCH($N$7,LenU,0)))^2*(N(R342)*INDEX(LenF,MATCH($R$7,LenU,0))),INDEX(HeadK,MATCH(P342,HeadU,0))*(N342*INDEX(LenF,MATCH($N$7,LenU,0)))^3))+IF(Q342="",0,IF(Q342="Conical",PI()/12*(N342*INDEX(LenF,MATCH($N$7,LenU,0)))^2*(N(R342)*INDEX(LenF,MATCH($R$7,LenU,0))),INDEX(HeadK,MATCH(Q342,HeadU,0))*(N342*INDEX(LenF,MATCH($N$7,LenU,0)))^3)),0)))</f>
        <v/>
      </c>
      <c r="AF342" s="41" t="str">
        <f aca="false">IF(E342&lt;&gt;"Piping","",IF(AND(ISNUMBER(AS342),ISNUMBER(M342)),PI()/4*(AS342/1000)^2*M342*INDEX(LenF,MATCH($M$7,LenU,0)),0))</f>
        <v/>
      </c>
      <c r="AG342" s="41" t="str">
        <f aca="false">IF(E342="","",N(AD342)+N(AE342)+N(AF342))</f>
        <v/>
      </c>
      <c r="AH342" s="41" t="str">
        <f aca="false">IF(ISNUMBER(I342),I342*INDEX(WtF,MATCH($I$7,WtU,0))/CC_WaterRho,"")</f>
        <v/>
      </c>
      <c r="AI342" s="31"/>
      <c r="AJ342" s="31"/>
      <c r="AK342" s="40"/>
      <c r="AL342" s="31"/>
      <c r="AM342" s="41" t="str">
        <f aca="false">IF(AO342="","",AO342*IF(ISNUMBER(AK342),AK342,CC_DefFills)*(1+IF(ISNUMBER(AL342),AL342,CC_DefAllow)))</f>
        <v/>
      </c>
      <c r="AN342" s="42" t="str">
        <f aca="false">IF(G342="Given volume",IF(ISNUMBER(H342),H342*INDEX(VolF,MATCH($H$7,VolU,0)),""),IF(G342="Water weight",AH342,IF(N(AG342)=0,"",AG342)))</f>
        <v/>
      </c>
      <c r="AO342" s="42" t="str">
        <f aca="false">IF(N(AN342)=0,"",AN342*AT342*IF(ISNUMBER(AJ342),AJ342,CC_DefCirc))</f>
        <v/>
      </c>
      <c r="AP342" s="27" t="n">
        <f aca="false">IF(ISNUMBER(T342),T342*INDEX(LenF,MATCH($T$7,LenU,0)),IF(ISNUMBER(W342),W342*INDEX(LenF,MATCH($W$7,LenU,0))/CC_PitchRatio,0))</f>
        <v>0</v>
      </c>
      <c r="AQ342" s="27" t="n">
        <f aca="false">IF(ISNUMBER(N342),PI()/4*(N342*INDEX(LenF,MATCH($N$7,LenU,0)))^2,IF(AND(ISNUMBER(S342),ISNUMBER(W342),X342&lt;&gt;""),S342*(W342*INDEX(LenF,MATCH($W$7,LenU,0)))^2*INDEX(LayoutF,MATCH(X342,LayoutU,0)),0))</f>
        <v>0</v>
      </c>
      <c r="AR342" s="27" t="n">
        <f aca="false">IF(ISNUMBER(O342),O342*INDEX(LenF,MATCH($O$7,LenU,0)),IF(ISNUMBER(V342),V342*INDEX(LenF,MATCH($V$7,LenU,0)),0))</f>
        <v>0</v>
      </c>
      <c r="AS342" s="27" t="str">
        <f aca="false">IF(ISNUMBER(L342),L342*INDEX(LenF,MATCH($L$7,LenU,0))*1000,IF(OR(J342="",K342=""),"",IFERROR(IF(INDEX(PipeWT,MATCH(J342,NPSU,0),MATCH(K342,SchU,0))="","Sch n/a",INDEX(PipeOD,MATCH(J342,NPSU,0))-2*INDEX(PipeWT,MATCH(J342,NPSU,0),MATCH(K342,SchU,0))),"")))</f>
        <v/>
      </c>
      <c r="AT342" s="27" t="n">
        <f aca="false">IF(ISNUMBER(AI342),AI342,IFERROR(INDEX(IF(CC_JobType="Decontamination",CC_TypeFillDC,CC_TypeFillCC),MATCH(E342,CC_TypeL,0)),1))</f>
        <v>1</v>
      </c>
      <c r="AU342" s="27" t="n">
        <v>11</v>
      </c>
    </row>
    <row r="343" customFormat="false" ht="15" hidden="false" customHeight="false" outlineLevel="0" collapsed="false">
      <c r="A343" s="36" t="n">
        <v>4</v>
      </c>
      <c r="B343" s="40"/>
      <c r="C343" s="32"/>
      <c r="D343" s="32"/>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1" t="str">
        <f aca="false">IF(E343="Exchanger",IF(AND(ISNUMBER(S343),ISNUMBER(U343),ISNUMBER(V343)),S343*PI()/4*(U343*INDEX(LenF,MATCH($U$7,LenU,0)))^2*V343*INDEX(LenF,MATCH($V$7,LenU,0)),0)+IF(ISNUMBER(Y343),PI()/4*(Y343*INDEX(LenF,MATCH($Y$7,LenU,0)))^2*N(Z343)*INDEX(LenF,MATCH($Z$7,LenU,0))+IF(AA343="",0,IF(AA343="Conical",PI()/12*(Y343*INDEX(LenF,MATCH($Y$7,LenU,0)))^2*(0),INDEX(HeadK,MATCH(AA343,HeadU,0))*(Y343*INDEX(LenF,MATCH($Y$7,LenU,0)))^3)),0)+IF(ISNUMBER(Y343),PI()/4*(Y343*INDEX(LenF,MATCH($Y$7,LenU,0)))^2*N(AB343)*INDEX(LenF,MATCH($AB$7,LenU,0))+IF(AC343="",0,IF(AC343="Conical",PI()/12*(Y343*INDEX(LenF,MATCH($Y$7,LenU,0)))^2*(0),INDEX(HeadK,MATCH(AC343,HeadU,0))*(Y343*INDEX(LenF,MATCH($Y$7,LenU,0)))^3)),0),"")</f>
        <v/>
      </c>
      <c r="AE343" s="41" t="str">
        <f aca="false">IF(OR(E343="",E343="Piping"),"",IF(E343="Exchanger",AQ343*AR343+IF(P343="",0,IF(P343="Conical",PI()/12*(SQRT(4*AQ343/PI()))^2*(0),INDEX(HeadK,MATCH(P343,HeadU,0))*(SQRT(4*AQ343/PI()))^3))-IF(AND(ISNUMBER(S343),ISNUMBER(V343)),S343*PI()/4*AP343^2*V343*INDEX(LenF,MATCH($V$7,LenU,0)),0),IF(ISNUMBER(N343),PI()/4*(N343*INDEX(LenF,MATCH($N$7,LenU,0)))^2*N(O343)*INDEX(LenF,MATCH($O$7,LenU,0))+IF(P343="",0,IF(P343="Conical",PI()/12*(N343*INDEX(LenF,MATCH($N$7,LenU,0)))^2*(N(R343)*INDEX(LenF,MATCH($R$7,LenU,0))),INDEX(HeadK,MATCH(P343,HeadU,0))*(N343*INDEX(LenF,MATCH($N$7,LenU,0)))^3))+IF(Q343="",0,IF(Q343="Conical",PI()/12*(N343*INDEX(LenF,MATCH($N$7,LenU,0)))^2*(N(R343)*INDEX(LenF,MATCH($R$7,LenU,0))),INDEX(HeadK,MATCH(Q343,HeadU,0))*(N343*INDEX(LenF,MATCH($N$7,LenU,0)))^3)),0)))</f>
        <v/>
      </c>
      <c r="AF343" s="41" t="str">
        <f aca="false">IF(E343&lt;&gt;"Piping","",IF(AND(ISNUMBER(AS343),ISNUMBER(M343)),PI()/4*(AS343/1000)^2*M343*INDEX(LenF,MATCH($M$7,LenU,0)),0))</f>
        <v/>
      </c>
      <c r="AG343" s="41" t="str">
        <f aca="false">IF(E343="","",N(AD343)+N(AE343)+N(AF343))</f>
        <v/>
      </c>
      <c r="AH343" s="41" t="str">
        <f aca="false">IF(ISNUMBER(I343),I343*INDEX(WtF,MATCH($I$7,WtU,0))/CC_WaterRho,"")</f>
        <v/>
      </c>
      <c r="AI343" s="31"/>
      <c r="AJ343" s="31"/>
      <c r="AK343" s="40"/>
      <c r="AL343" s="31"/>
      <c r="AM343" s="41" t="str">
        <f aca="false">IF(AO343="","",AO343*IF(ISNUMBER(AK343),AK343,CC_DefFills)*(1+IF(ISNUMBER(AL343),AL343,CC_DefAllow)))</f>
        <v/>
      </c>
      <c r="AN343" s="42" t="str">
        <f aca="false">IF(G343="Given volume",IF(ISNUMBER(H343),H343*INDEX(VolF,MATCH($H$7,VolU,0)),""),IF(G343="Water weight",AH343,IF(N(AG343)=0,"",AG343)))</f>
        <v/>
      </c>
      <c r="AO343" s="42" t="str">
        <f aca="false">IF(N(AN343)=0,"",AN343*AT343*IF(ISNUMBER(AJ343),AJ343,CC_DefCirc))</f>
        <v/>
      </c>
      <c r="AP343" s="27" t="n">
        <f aca="false">IF(ISNUMBER(T343),T343*INDEX(LenF,MATCH($T$7,LenU,0)),IF(ISNUMBER(W343),W343*INDEX(LenF,MATCH($W$7,LenU,0))/CC_PitchRatio,0))</f>
        <v>0</v>
      </c>
      <c r="AQ343" s="27" t="n">
        <f aca="false">IF(ISNUMBER(N343),PI()/4*(N343*INDEX(LenF,MATCH($N$7,LenU,0)))^2,IF(AND(ISNUMBER(S343),ISNUMBER(W343),X343&lt;&gt;""),S343*(W343*INDEX(LenF,MATCH($W$7,LenU,0)))^2*INDEX(LayoutF,MATCH(X343,LayoutU,0)),0))</f>
        <v>0</v>
      </c>
      <c r="AR343" s="27" t="n">
        <f aca="false">IF(ISNUMBER(O343),O343*INDEX(LenF,MATCH($O$7,LenU,0)),IF(ISNUMBER(V343),V343*INDEX(LenF,MATCH($V$7,LenU,0)),0))</f>
        <v>0</v>
      </c>
      <c r="AS343" s="27" t="str">
        <f aca="false">IF(ISNUMBER(L343),L343*INDEX(LenF,MATCH($L$7,LenU,0))*1000,IF(OR(J343="",K343=""),"",IFERROR(IF(INDEX(PipeWT,MATCH(J343,NPSU,0),MATCH(K343,SchU,0))="","Sch n/a",INDEX(PipeOD,MATCH(J343,NPSU,0))-2*INDEX(PipeWT,MATCH(J343,NPSU,0),MATCH(K343,SchU,0))),"")))</f>
        <v/>
      </c>
      <c r="AT343" s="27" t="n">
        <f aca="false">IF(ISNUMBER(AI343),AI343,IFERROR(INDEX(IF(CC_JobType="Decontamination",CC_TypeFillDC,CC_TypeFillCC),MATCH(E343,CC_TypeL,0)),1))</f>
        <v>1</v>
      </c>
      <c r="AU343" s="27" t="n">
        <v>11</v>
      </c>
    </row>
    <row r="344" customFormat="false" ht="15" hidden="false" customHeight="false" outlineLevel="0" collapsed="false">
      <c r="A344" s="36" t="n">
        <v>5</v>
      </c>
      <c r="B344" s="40"/>
      <c r="C344" s="32"/>
      <c r="D344" s="32"/>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1" t="str">
        <f aca="false">IF(E344="Exchanger",IF(AND(ISNUMBER(S344),ISNUMBER(U344),ISNUMBER(V344)),S344*PI()/4*(U344*INDEX(LenF,MATCH($U$7,LenU,0)))^2*V344*INDEX(LenF,MATCH($V$7,LenU,0)),0)+IF(ISNUMBER(Y344),PI()/4*(Y344*INDEX(LenF,MATCH($Y$7,LenU,0)))^2*N(Z344)*INDEX(LenF,MATCH($Z$7,LenU,0))+IF(AA344="",0,IF(AA344="Conical",PI()/12*(Y344*INDEX(LenF,MATCH($Y$7,LenU,0)))^2*(0),INDEX(HeadK,MATCH(AA344,HeadU,0))*(Y344*INDEX(LenF,MATCH($Y$7,LenU,0)))^3)),0)+IF(ISNUMBER(Y344),PI()/4*(Y344*INDEX(LenF,MATCH($Y$7,LenU,0)))^2*N(AB344)*INDEX(LenF,MATCH($AB$7,LenU,0))+IF(AC344="",0,IF(AC344="Conical",PI()/12*(Y344*INDEX(LenF,MATCH($Y$7,LenU,0)))^2*(0),INDEX(HeadK,MATCH(AC344,HeadU,0))*(Y344*INDEX(LenF,MATCH($Y$7,LenU,0)))^3)),0),"")</f>
        <v/>
      </c>
      <c r="AE344" s="41" t="str">
        <f aca="false">IF(OR(E344="",E344="Piping"),"",IF(E344="Exchanger",AQ344*AR344+IF(P344="",0,IF(P344="Conical",PI()/12*(SQRT(4*AQ344/PI()))^2*(0),INDEX(HeadK,MATCH(P344,HeadU,0))*(SQRT(4*AQ344/PI()))^3))-IF(AND(ISNUMBER(S344),ISNUMBER(V344)),S344*PI()/4*AP344^2*V344*INDEX(LenF,MATCH($V$7,LenU,0)),0),IF(ISNUMBER(N344),PI()/4*(N344*INDEX(LenF,MATCH($N$7,LenU,0)))^2*N(O344)*INDEX(LenF,MATCH($O$7,LenU,0))+IF(P344="",0,IF(P344="Conical",PI()/12*(N344*INDEX(LenF,MATCH($N$7,LenU,0)))^2*(N(R344)*INDEX(LenF,MATCH($R$7,LenU,0))),INDEX(HeadK,MATCH(P344,HeadU,0))*(N344*INDEX(LenF,MATCH($N$7,LenU,0)))^3))+IF(Q344="",0,IF(Q344="Conical",PI()/12*(N344*INDEX(LenF,MATCH($N$7,LenU,0)))^2*(N(R344)*INDEX(LenF,MATCH($R$7,LenU,0))),INDEX(HeadK,MATCH(Q344,HeadU,0))*(N344*INDEX(LenF,MATCH($N$7,LenU,0)))^3)),0)))</f>
        <v/>
      </c>
      <c r="AF344" s="41" t="str">
        <f aca="false">IF(E344&lt;&gt;"Piping","",IF(AND(ISNUMBER(AS344),ISNUMBER(M344)),PI()/4*(AS344/1000)^2*M344*INDEX(LenF,MATCH($M$7,LenU,0)),0))</f>
        <v/>
      </c>
      <c r="AG344" s="41" t="str">
        <f aca="false">IF(E344="","",N(AD344)+N(AE344)+N(AF344))</f>
        <v/>
      </c>
      <c r="AH344" s="41" t="str">
        <f aca="false">IF(ISNUMBER(I344),I344*INDEX(WtF,MATCH($I$7,WtU,0))/CC_WaterRho,"")</f>
        <v/>
      </c>
      <c r="AI344" s="31"/>
      <c r="AJ344" s="31"/>
      <c r="AK344" s="40"/>
      <c r="AL344" s="31"/>
      <c r="AM344" s="41" t="str">
        <f aca="false">IF(AO344="","",AO344*IF(ISNUMBER(AK344),AK344,CC_DefFills)*(1+IF(ISNUMBER(AL344),AL344,CC_DefAllow)))</f>
        <v/>
      </c>
      <c r="AN344" s="42" t="str">
        <f aca="false">IF(G344="Given volume",IF(ISNUMBER(H344),H344*INDEX(VolF,MATCH($H$7,VolU,0)),""),IF(G344="Water weight",AH344,IF(N(AG344)=0,"",AG344)))</f>
        <v/>
      </c>
      <c r="AO344" s="42" t="str">
        <f aca="false">IF(N(AN344)=0,"",AN344*AT344*IF(ISNUMBER(AJ344),AJ344,CC_DefCirc))</f>
        <v/>
      </c>
      <c r="AP344" s="27" t="n">
        <f aca="false">IF(ISNUMBER(T344),T344*INDEX(LenF,MATCH($T$7,LenU,0)),IF(ISNUMBER(W344),W344*INDEX(LenF,MATCH($W$7,LenU,0))/CC_PitchRatio,0))</f>
        <v>0</v>
      </c>
      <c r="AQ344" s="27" t="n">
        <f aca="false">IF(ISNUMBER(N344),PI()/4*(N344*INDEX(LenF,MATCH($N$7,LenU,0)))^2,IF(AND(ISNUMBER(S344),ISNUMBER(W344),X344&lt;&gt;""),S344*(W344*INDEX(LenF,MATCH($W$7,LenU,0)))^2*INDEX(LayoutF,MATCH(X344,LayoutU,0)),0))</f>
        <v>0</v>
      </c>
      <c r="AR344" s="27" t="n">
        <f aca="false">IF(ISNUMBER(O344),O344*INDEX(LenF,MATCH($O$7,LenU,0)),IF(ISNUMBER(V344),V344*INDEX(LenF,MATCH($V$7,LenU,0)),0))</f>
        <v>0</v>
      </c>
      <c r="AS344" s="27" t="str">
        <f aca="false">IF(ISNUMBER(L344),L344*INDEX(LenF,MATCH($L$7,LenU,0))*1000,IF(OR(J344="",K344=""),"",IFERROR(IF(INDEX(PipeWT,MATCH(J344,NPSU,0),MATCH(K344,SchU,0))="","Sch n/a",INDEX(PipeOD,MATCH(J344,NPSU,0))-2*INDEX(PipeWT,MATCH(J344,NPSU,0),MATCH(K344,SchU,0))),"")))</f>
        <v/>
      </c>
      <c r="AT344" s="27" t="n">
        <f aca="false">IF(ISNUMBER(AI344),AI344,IFERROR(INDEX(IF(CC_JobType="Decontamination",CC_TypeFillDC,CC_TypeFillCC),MATCH(E344,CC_TypeL,0)),1))</f>
        <v>1</v>
      </c>
      <c r="AU344" s="27" t="n">
        <v>11</v>
      </c>
    </row>
    <row r="345" customFormat="false" ht="15" hidden="false" customHeight="false" outlineLevel="0" collapsed="false">
      <c r="A345" s="36" t="n">
        <v>6</v>
      </c>
      <c r="B345" s="40"/>
      <c r="C345" s="32"/>
      <c r="D345" s="32"/>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1" t="str">
        <f aca="false">IF(E345="Exchanger",IF(AND(ISNUMBER(S345),ISNUMBER(U345),ISNUMBER(V345)),S345*PI()/4*(U345*INDEX(LenF,MATCH($U$7,LenU,0)))^2*V345*INDEX(LenF,MATCH($V$7,LenU,0)),0)+IF(ISNUMBER(Y345),PI()/4*(Y345*INDEX(LenF,MATCH($Y$7,LenU,0)))^2*N(Z345)*INDEX(LenF,MATCH($Z$7,LenU,0))+IF(AA345="",0,IF(AA345="Conical",PI()/12*(Y345*INDEX(LenF,MATCH($Y$7,LenU,0)))^2*(0),INDEX(HeadK,MATCH(AA345,HeadU,0))*(Y345*INDEX(LenF,MATCH($Y$7,LenU,0)))^3)),0)+IF(ISNUMBER(Y345),PI()/4*(Y345*INDEX(LenF,MATCH($Y$7,LenU,0)))^2*N(AB345)*INDEX(LenF,MATCH($AB$7,LenU,0))+IF(AC345="",0,IF(AC345="Conical",PI()/12*(Y345*INDEX(LenF,MATCH($Y$7,LenU,0)))^2*(0),INDEX(HeadK,MATCH(AC345,HeadU,0))*(Y345*INDEX(LenF,MATCH($Y$7,LenU,0)))^3)),0),"")</f>
        <v/>
      </c>
      <c r="AE345" s="41" t="str">
        <f aca="false">IF(OR(E345="",E345="Piping"),"",IF(E345="Exchanger",AQ345*AR345+IF(P345="",0,IF(P345="Conical",PI()/12*(SQRT(4*AQ345/PI()))^2*(0),INDEX(HeadK,MATCH(P345,HeadU,0))*(SQRT(4*AQ345/PI()))^3))-IF(AND(ISNUMBER(S345),ISNUMBER(V345)),S345*PI()/4*AP345^2*V345*INDEX(LenF,MATCH($V$7,LenU,0)),0),IF(ISNUMBER(N345),PI()/4*(N345*INDEX(LenF,MATCH($N$7,LenU,0)))^2*N(O345)*INDEX(LenF,MATCH($O$7,LenU,0))+IF(P345="",0,IF(P345="Conical",PI()/12*(N345*INDEX(LenF,MATCH($N$7,LenU,0)))^2*(N(R345)*INDEX(LenF,MATCH($R$7,LenU,0))),INDEX(HeadK,MATCH(P345,HeadU,0))*(N345*INDEX(LenF,MATCH($N$7,LenU,0)))^3))+IF(Q345="",0,IF(Q345="Conical",PI()/12*(N345*INDEX(LenF,MATCH($N$7,LenU,0)))^2*(N(R345)*INDEX(LenF,MATCH($R$7,LenU,0))),INDEX(HeadK,MATCH(Q345,HeadU,0))*(N345*INDEX(LenF,MATCH($N$7,LenU,0)))^3)),0)))</f>
        <v/>
      </c>
      <c r="AF345" s="41" t="str">
        <f aca="false">IF(E345&lt;&gt;"Piping","",IF(AND(ISNUMBER(AS345),ISNUMBER(M345)),PI()/4*(AS345/1000)^2*M345*INDEX(LenF,MATCH($M$7,LenU,0)),0))</f>
        <v/>
      </c>
      <c r="AG345" s="41" t="str">
        <f aca="false">IF(E345="","",N(AD345)+N(AE345)+N(AF345))</f>
        <v/>
      </c>
      <c r="AH345" s="41" t="str">
        <f aca="false">IF(ISNUMBER(I345),I345*INDEX(WtF,MATCH($I$7,WtU,0))/CC_WaterRho,"")</f>
        <v/>
      </c>
      <c r="AI345" s="31"/>
      <c r="AJ345" s="31"/>
      <c r="AK345" s="40"/>
      <c r="AL345" s="31"/>
      <c r="AM345" s="41" t="str">
        <f aca="false">IF(AO345="","",AO345*IF(ISNUMBER(AK345),AK345,CC_DefFills)*(1+IF(ISNUMBER(AL345),AL345,CC_DefAllow)))</f>
        <v/>
      </c>
      <c r="AN345" s="42" t="str">
        <f aca="false">IF(G345="Given volume",IF(ISNUMBER(H345),H345*INDEX(VolF,MATCH($H$7,VolU,0)),""),IF(G345="Water weight",AH345,IF(N(AG345)=0,"",AG345)))</f>
        <v/>
      </c>
      <c r="AO345" s="42" t="str">
        <f aca="false">IF(N(AN345)=0,"",AN345*AT345*IF(ISNUMBER(AJ345),AJ345,CC_DefCirc))</f>
        <v/>
      </c>
      <c r="AP345" s="27" t="n">
        <f aca="false">IF(ISNUMBER(T345),T345*INDEX(LenF,MATCH($T$7,LenU,0)),IF(ISNUMBER(W345),W345*INDEX(LenF,MATCH($W$7,LenU,0))/CC_PitchRatio,0))</f>
        <v>0</v>
      </c>
      <c r="AQ345" s="27" t="n">
        <f aca="false">IF(ISNUMBER(N345),PI()/4*(N345*INDEX(LenF,MATCH($N$7,LenU,0)))^2,IF(AND(ISNUMBER(S345),ISNUMBER(W345),X345&lt;&gt;""),S345*(W345*INDEX(LenF,MATCH($W$7,LenU,0)))^2*INDEX(LayoutF,MATCH(X345,LayoutU,0)),0))</f>
        <v>0</v>
      </c>
      <c r="AR345" s="27" t="n">
        <f aca="false">IF(ISNUMBER(O345),O345*INDEX(LenF,MATCH($O$7,LenU,0)),IF(ISNUMBER(V345),V345*INDEX(LenF,MATCH($V$7,LenU,0)),0))</f>
        <v>0</v>
      </c>
      <c r="AS345" s="27" t="str">
        <f aca="false">IF(ISNUMBER(L345),L345*INDEX(LenF,MATCH($L$7,LenU,0))*1000,IF(OR(J345="",K345=""),"",IFERROR(IF(INDEX(PipeWT,MATCH(J345,NPSU,0),MATCH(K345,SchU,0))="","Sch n/a",INDEX(PipeOD,MATCH(J345,NPSU,0))-2*INDEX(PipeWT,MATCH(J345,NPSU,0),MATCH(K345,SchU,0))),"")))</f>
        <v/>
      </c>
      <c r="AT345" s="27" t="n">
        <f aca="false">IF(ISNUMBER(AI345),AI345,IFERROR(INDEX(IF(CC_JobType="Decontamination",CC_TypeFillDC,CC_TypeFillCC),MATCH(E345,CC_TypeL,0)),1))</f>
        <v>1</v>
      </c>
      <c r="AU345" s="27" t="n">
        <v>11</v>
      </c>
    </row>
    <row r="346" customFormat="false" ht="15" hidden="false" customHeight="false" outlineLevel="0" collapsed="false">
      <c r="A346" s="36" t="n">
        <v>7</v>
      </c>
      <c r="B346" s="40"/>
      <c r="C346" s="32"/>
      <c r="D346" s="32"/>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1" t="str">
        <f aca="false">IF(E346="Exchanger",IF(AND(ISNUMBER(S346),ISNUMBER(U346),ISNUMBER(V346)),S346*PI()/4*(U346*INDEX(LenF,MATCH($U$7,LenU,0)))^2*V346*INDEX(LenF,MATCH($V$7,LenU,0)),0)+IF(ISNUMBER(Y346),PI()/4*(Y346*INDEX(LenF,MATCH($Y$7,LenU,0)))^2*N(Z346)*INDEX(LenF,MATCH($Z$7,LenU,0))+IF(AA346="",0,IF(AA346="Conical",PI()/12*(Y346*INDEX(LenF,MATCH($Y$7,LenU,0)))^2*(0),INDEX(HeadK,MATCH(AA346,HeadU,0))*(Y346*INDEX(LenF,MATCH($Y$7,LenU,0)))^3)),0)+IF(ISNUMBER(Y346),PI()/4*(Y346*INDEX(LenF,MATCH($Y$7,LenU,0)))^2*N(AB346)*INDEX(LenF,MATCH($AB$7,LenU,0))+IF(AC346="",0,IF(AC346="Conical",PI()/12*(Y346*INDEX(LenF,MATCH($Y$7,LenU,0)))^2*(0),INDEX(HeadK,MATCH(AC346,HeadU,0))*(Y346*INDEX(LenF,MATCH($Y$7,LenU,0)))^3)),0),"")</f>
        <v/>
      </c>
      <c r="AE346" s="41" t="str">
        <f aca="false">IF(OR(E346="",E346="Piping"),"",IF(E346="Exchanger",AQ346*AR346+IF(P346="",0,IF(P346="Conical",PI()/12*(SQRT(4*AQ346/PI()))^2*(0),INDEX(HeadK,MATCH(P346,HeadU,0))*(SQRT(4*AQ346/PI()))^3))-IF(AND(ISNUMBER(S346),ISNUMBER(V346)),S346*PI()/4*AP346^2*V346*INDEX(LenF,MATCH($V$7,LenU,0)),0),IF(ISNUMBER(N346),PI()/4*(N346*INDEX(LenF,MATCH($N$7,LenU,0)))^2*N(O346)*INDEX(LenF,MATCH($O$7,LenU,0))+IF(P346="",0,IF(P346="Conical",PI()/12*(N346*INDEX(LenF,MATCH($N$7,LenU,0)))^2*(N(R346)*INDEX(LenF,MATCH($R$7,LenU,0))),INDEX(HeadK,MATCH(P346,HeadU,0))*(N346*INDEX(LenF,MATCH($N$7,LenU,0)))^3))+IF(Q346="",0,IF(Q346="Conical",PI()/12*(N346*INDEX(LenF,MATCH($N$7,LenU,0)))^2*(N(R346)*INDEX(LenF,MATCH($R$7,LenU,0))),INDEX(HeadK,MATCH(Q346,HeadU,0))*(N346*INDEX(LenF,MATCH($N$7,LenU,0)))^3)),0)))</f>
        <v/>
      </c>
      <c r="AF346" s="41" t="str">
        <f aca="false">IF(E346&lt;&gt;"Piping","",IF(AND(ISNUMBER(AS346),ISNUMBER(M346)),PI()/4*(AS346/1000)^2*M346*INDEX(LenF,MATCH($M$7,LenU,0)),0))</f>
        <v/>
      </c>
      <c r="AG346" s="41" t="str">
        <f aca="false">IF(E346="","",N(AD346)+N(AE346)+N(AF346))</f>
        <v/>
      </c>
      <c r="AH346" s="41" t="str">
        <f aca="false">IF(ISNUMBER(I346),I346*INDEX(WtF,MATCH($I$7,WtU,0))/CC_WaterRho,"")</f>
        <v/>
      </c>
      <c r="AI346" s="31"/>
      <c r="AJ346" s="31"/>
      <c r="AK346" s="40"/>
      <c r="AL346" s="31"/>
      <c r="AM346" s="41" t="str">
        <f aca="false">IF(AO346="","",AO346*IF(ISNUMBER(AK346),AK346,CC_DefFills)*(1+IF(ISNUMBER(AL346),AL346,CC_DefAllow)))</f>
        <v/>
      </c>
      <c r="AN346" s="42" t="str">
        <f aca="false">IF(G346="Given volume",IF(ISNUMBER(H346),H346*INDEX(VolF,MATCH($H$7,VolU,0)),""),IF(G346="Water weight",AH346,IF(N(AG346)=0,"",AG346)))</f>
        <v/>
      </c>
      <c r="AO346" s="42" t="str">
        <f aca="false">IF(N(AN346)=0,"",AN346*AT346*IF(ISNUMBER(AJ346),AJ346,CC_DefCirc))</f>
        <v/>
      </c>
      <c r="AP346" s="27" t="n">
        <f aca="false">IF(ISNUMBER(T346),T346*INDEX(LenF,MATCH($T$7,LenU,0)),IF(ISNUMBER(W346),W346*INDEX(LenF,MATCH($W$7,LenU,0))/CC_PitchRatio,0))</f>
        <v>0</v>
      </c>
      <c r="AQ346" s="27" t="n">
        <f aca="false">IF(ISNUMBER(N346),PI()/4*(N346*INDEX(LenF,MATCH($N$7,LenU,0)))^2,IF(AND(ISNUMBER(S346),ISNUMBER(W346),X346&lt;&gt;""),S346*(W346*INDEX(LenF,MATCH($W$7,LenU,0)))^2*INDEX(LayoutF,MATCH(X346,LayoutU,0)),0))</f>
        <v>0</v>
      </c>
      <c r="AR346" s="27" t="n">
        <f aca="false">IF(ISNUMBER(O346),O346*INDEX(LenF,MATCH($O$7,LenU,0)),IF(ISNUMBER(V346),V346*INDEX(LenF,MATCH($V$7,LenU,0)),0))</f>
        <v>0</v>
      </c>
      <c r="AS346" s="27" t="str">
        <f aca="false">IF(ISNUMBER(L346),L346*INDEX(LenF,MATCH($L$7,LenU,0))*1000,IF(OR(J346="",K346=""),"",IFERROR(IF(INDEX(PipeWT,MATCH(J346,NPSU,0),MATCH(K346,SchU,0))="","Sch n/a",INDEX(PipeOD,MATCH(J346,NPSU,0))-2*INDEX(PipeWT,MATCH(J346,NPSU,0),MATCH(K346,SchU,0))),"")))</f>
        <v/>
      </c>
      <c r="AT346" s="27" t="n">
        <f aca="false">IF(ISNUMBER(AI346),AI346,IFERROR(INDEX(IF(CC_JobType="Decontamination",CC_TypeFillDC,CC_TypeFillCC),MATCH(E346,CC_TypeL,0)),1))</f>
        <v>1</v>
      </c>
      <c r="AU346" s="27" t="n">
        <v>11</v>
      </c>
    </row>
    <row r="347" customFormat="false" ht="15" hidden="false" customHeight="false" outlineLevel="0" collapsed="false">
      <c r="A347" s="36" t="n">
        <v>8</v>
      </c>
      <c r="B347" s="40"/>
      <c r="C347" s="32"/>
      <c r="D347" s="32"/>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1" t="str">
        <f aca="false">IF(E347="Exchanger",IF(AND(ISNUMBER(S347),ISNUMBER(U347),ISNUMBER(V347)),S347*PI()/4*(U347*INDEX(LenF,MATCH($U$7,LenU,0)))^2*V347*INDEX(LenF,MATCH($V$7,LenU,0)),0)+IF(ISNUMBER(Y347),PI()/4*(Y347*INDEX(LenF,MATCH($Y$7,LenU,0)))^2*N(Z347)*INDEX(LenF,MATCH($Z$7,LenU,0))+IF(AA347="",0,IF(AA347="Conical",PI()/12*(Y347*INDEX(LenF,MATCH($Y$7,LenU,0)))^2*(0),INDEX(HeadK,MATCH(AA347,HeadU,0))*(Y347*INDEX(LenF,MATCH($Y$7,LenU,0)))^3)),0)+IF(ISNUMBER(Y347),PI()/4*(Y347*INDEX(LenF,MATCH($Y$7,LenU,0)))^2*N(AB347)*INDEX(LenF,MATCH($AB$7,LenU,0))+IF(AC347="",0,IF(AC347="Conical",PI()/12*(Y347*INDEX(LenF,MATCH($Y$7,LenU,0)))^2*(0),INDEX(HeadK,MATCH(AC347,HeadU,0))*(Y347*INDEX(LenF,MATCH($Y$7,LenU,0)))^3)),0),"")</f>
        <v/>
      </c>
      <c r="AE347" s="41" t="str">
        <f aca="false">IF(OR(E347="",E347="Piping"),"",IF(E347="Exchanger",AQ347*AR347+IF(P347="",0,IF(P347="Conical",PI()/12*(SQRT(4*AQ347/PI()))^2*(0),INDEX(HeadK,MATCH(P347,HeadU,0))*(SQRT(4*AQ347/PI()))^3))-IF(AND(ISNUMBER(S347),ISNUMBER(V347)),S347*PI()/4*AP347^2*V347*INDEX(LenF,MATCH($V$7,LenU,0)),0),IF(ISNUMBER(N347),PI()/4*(N347*INDEX(LenF,MATCH($N$7,LenU,0)))^2*N(O347)*INDEX(LenF,MATCH($O$7,LenU,0))+IF(P347="",0,IF(P347="Conical",PI()/12*(N347*INDEX(LenF,MATCH($N$7,LenU,0)))^2*(N(R347)*INDEX(LenF,MATCH($R$7,LenU,0))),INDEX(HeadK,MATCH(P347,HeadU,0))*(N347*INDEX(LenF,MATCH($N$7,LenU,0)))^3))+IF(Q347="",0,IF(Q347="Conical",PI()/12*(N347*INDEX(LenF,MATCH($N$7,LenU,0)))^2*(N(R347)*INDEX(LenF,MATCH($R$7,LenU,0))),INDEX(HeadK,MATCH(Q347,HeadU,0))*(N347*INDEX(LenF,MATCH($N$7,LenU,0)))^3)),0)))</f>
        <v/>
      </c>
      <c r="AF347" s="41" t="str">
        <f aca="false">IF(E347&lt;&gt;"Piping","",IF(AND(ISNUMBER(AS347),ISNUMBER(M347)),PI()/4*(AS347/1000)^2*M347*INDEX(LenF,MATCH($M$7,LenU,0)),0))</f>
        <v/>
      </c>
      <c r="AG347" s="41" t="str">
        <f aca="false">IF(E347="","",N(AD347)+N(AE347)+N(AF347))</f>
        <v/>
      </c>
      <c r="AH347" s="41" t="str">
        <f aca="false">IF(ISNUMBER(I347),I347*INDEX(WtF,MATCH($I$7,WtU,0))/CC_WaterRho,"")</f>
        <v/>
      </c>
      <c r="AI347" s="31"/>
      <c r="AJ347" s="31"/>
      <c r="AK347" s="40"/>
      <c r="AL347" s="31"/>
      <c r="AM347" s="41" t="str">
        <f aca="false">IF(AO347="","",AO347*IF(ISNUMBER(AK347),AK347,CC_DefFills)*(1+IF(ISNUMBER(AL347),AL347,CC_DefAllow)))</f>
        <v/>
      </c>
      <c r="AN347" s="42" t="str">
        <f aca="false">IF(G347="Given volume",IF(ISNUMBER(H347),H347*INDEX(VolF,MATCH($H$7,VolU,0)),""),IF(G347="Water weight",AH347,IF(N(AG347)=0,"",AG347)))</f>
        <v/>
      </c>
      <c r="AO347" s="42" t="str">
        <f aca="false">IF(N(AN347)=0,"",AN347*AT347*IF(ISNUMBER(AJ347),AJ347,CC_DefCirc))</f>
        <v/>
      </c>
      <c r="AP347" s="27" t="n">
        <f aca="false">IF(ISNUMBER(T347),T347*INDEX(LenF,MATCH($T$7,LenU,0)),IF(ISNUMBER(W347),W347*INDEX(LenF,MATCH($W$7,LenU,0))/CC_PitchRatio,0))</f>
        <v>0</v>
      </c>
      <c r="AQ347" s="27" t="n">
        <f aca="false">IF(ISNUMBER(N347),PI()/4*(N347*INDEX(LenF,MATCH($N$7,LenU,0)))^2,IF(AND(ISNUMBER(S347),ISNUMBER(W347),X347&lt;&gt;""),S347*(W347*INDEX(LenF,MATCH($W$7,LenU,0)))^2*INDEX(LayoutF,MATCH(X347,LayoutU,0)),0))</f>
        <v>0</v>
      </c>
      <c r="AR347" s="27" t="n">
        <f aca="false">IF(ISNUMBER(O347),O347*INDEX(LenF,MATCH($O$7,LenU,0)),IF(ISNUMBER(V347),V347*INDEX(LenF,MATCH($V$7,LenU,0)),0))</f>
        <v>0</v>
      </c>
      <c r="AS347" s="27" t="str">
        <f aca="false">IF(ISNUMBER(L347),L347*INDEX(LenF,MATCH($L$7,LenU,0))*1000,IF(OR(J347="",K347=""),"",IFERROR(IF(INDEX(PipeWT,MATCH(J347,NPSU,0),MATCH(K347,SchU,0))="","Sch n/a",INDEX(PipeOD,MATCH(J347,NPSU,0))-2*INDEX(PipeWT,MATCH(J347,NPSU,0),MATCH(K347,SchU,0))),"")))</f>
        <v/>
      </c>
      <c r="AT347" s="27" t="n">
        <f aca="false">IF(ISNUMBER(AI347),AI347,IFERROR(INDEX(IF(CC_JobType="Decontamination",CC_TypeFillDC,CC_TypeFillCC),MATCH(E347,CC_TypeL,0)),1))</f>
        <v>1</v>
      </c>
      <c r="AU347" s="27" t="n">
        <v>11</v>
      </c>
    </row>
    <row r="348" customFormat="false" ht="15" hidden="false" customHeight="false" outlineLevel="0" collapsed="false">
      <c r="A348" s="36" t="n">
        <v>9</v>
      </c>
      <c r="B348" s="40"/>
      <c r="C348" s="32"/>
      <c r="D348" s="32"/>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1" t="str">
        <f aca="false">IF(E348="Exchanger",IF(AND(ISNUMBER(S348),ISNUMBER(U348),ISNUMBER(V348)),S348*PI()/4*(U348*INDEX(LenF,MATCH($U$7,LenU,0)))^2*V348*INDEX(LenF,MATCH($V$7,LenU,0)),0)+IF(ISNUMBER(Y348),PI()/4*(Y348*INDEX(LenF,MATCH($Y$7,LenU,0)))^2*N(Z348)*INDEX(LenF,MATCH($Z$7,LenU,0))+IF(AA348="",0,IF(AA348="Conical",PI()/12*(Y348*INDEX(LenF,MATCH($Y$7,LenU,0)))^2*(0),INDEX(HeadK,MATCH(AA348,HeadU,0))*(Y348*INDEX(LenF,MATCH($Y$7,LenU,0)))^3)),0)+IF(ISNUMBER(Y348),PI()/4*(Y348*INDEX(LenF,MATCH($Y$7,LenU,0)))^2*N(AB348)*INDEX(LenF,MATCH($AB$7,LenU,0))+IF(AC348="",0,IF(AC348="Conical",PI()/12*(Y348*INDEX(LenF,MATCH($Y$7,LenU,0)))^2*(0),INDEX(HeadK,MATCH(AC348,HeadU,0))*(Y348*INDEX(LenF,MATCH($Y$7,LenU,0)))^3)),0),"")</f>
        <v/>
      </c>
      <c r="AE348" s="41" t="str">
        <f aca="false">IF(OR(E348="",E348="Piping"),"",IF(E348="Exchanger",AQ348*AR348+IF(P348="",0,IF(P348="Conical",PI()/12*(SQRT(4*AQ348/PI()))^2*(0),INDEX(HeadK,MATCH(P348,HeadU,0))*(SQRT(4*AQ348/PI()))^3))-IF(AND(ISNUMBER(S348),ISNUMBER(V348)),S348*PI()/4*AP348^2*V348*INDEX(LenF,MATCH($V$7,LenU,0)),0),IF(ISNUMBER(N348),PI()/4*(N348*INDEX(LenF,MATCH($N$7,LenU,0)))^2*N(O348)*INDEX(LenF,MATCH($O$7,LenU,0))+IF(P348="",0,IF(P348="Conical",PI()/12*(N348*INDEX(LenF,MATCH($N$7,LenU,0)))^2*(N(R348)*INDEX(LenF,MATCH($R$7,LenU,0))),INDEX(HeadK,MATCH(P348,HeadU,0))*(N348*INDEX(LenF,MATCH($N$7,LenU,0)))^3))+IF(Q348="",0,IF(Q348="Conical",PI()/12*(N348*INDEX(LenF,MATCH($N$7,LenU,0)))^2*(N(R348)*INDEX(LenF,MATCH($R$7,LenU,0))),INDEX(HeadK,MATCH(Q348,HeadU,0))*(N348*INDEX(LenF,MATCH($N$7,LenU,0)))^3)),0)))</f>
        <v/>
      </c>
      <c r="AF348" s="41" t="str">
        <f aca="false">IF(E348&lt;&gt;"Piping","",IF(AND(ISNUMBER(AS348),ISNUMBER(M348)),PI()/4*(AS348/1000)^2*M348*INDEX(LenF,MATCH($M$7,LenU,0)),0))</f>
        <v/>
      </c>
      <c r="AG348" s="41" t="str">
        <f aca="false">IF(E348="","",N(AD348)+N(AE348)+N(AF348))</f>
        <v/>
      </c>
      <c r="AH348" s="41" t="str">
        <f aca="false">IF(ISNUMBER(I348),I348*INDEX(WtF,MATCH($I$7,WtU,0))/CC_WaterRho,"")</f>
        <v/>
      </c>
      <c r="AI348" s="31"/>
      <c r="AJ348" s="31"/>
      <c r="AK348" s="40"/>
      <c r="AL348" s="31"/>
      <c r="AM348" s="41" t="str">
        <f aca="false">IF(AO348="","",AO348*IF(ISNUMBER(AK348),AK348,CC_DefFills)*(1+IF(ISNUMBER(AL348),AL348,CC_DefAllow)))</f>
        <v/>
      </c>
      <c r="AN348" s="42" t="str">
        <f aca="false">IF(G348="Given volume",IF(ISNUMBER(H348),H348*INDEX(VolF,MATCH($H$7,VolU,0)),""),IF(G348="Water weight",AH348,IF(N(AG348)=0,"",AG348)))</f>
        <v/>
      </c>
      <c r="AO348" s="42" t="str">
        <f aca="false">IF(N(AN348)=0,"",AN348*AT348*IF(ISNUMBER(AJ348),AJ348,CC_DefCirc))</f>
        <v/>
      </c>
      <c r="AP348" s="27" t="n">
        <f aca="false">IF(ISNUMBER(T348),T348*INDEX(LenF,MATCH($T$7,LenU,0)),IF(ISNUMBER(W348),W348*INDEX(LenF,MATCH($W$7,LenU,0))/CC_PitchRatio,0))</f>
        <v>0</v>
      </c>
      <c r="AQ348" s="27" t="n">
        <f aca="false">IF(ISNUMBER(N348),PI()/4*(N348*INDEX(LenF,MATCH($N$7,LenU,0)))^2,IF(AND(ISNUMBER(S348),ISNUMBER(W348),X348&lt;&gt;""),S348*(W348*INDEX(LenF,MATCH($W$7,LenU,0)))^2*INDEX(LayoutF,MATCH(X348,LayoutU,0)),0))</f>
        <v>0</v>
      </c>
      <c r="AR348" s="27" t="n">
        <f aca="false">IF(ISNUMBER(O348),O348*INDEX(LenF,MATCH($O$7,LenU,0)),IF(ISNUMBER(V348),V348*INDEX(LenF,MATCH($V$7,LenU,0)),0))</f>
        <v>0</v>
      </c>
      <c r="AS348" s="27" t="str">
        <f aca="false">IF(ISNUMBER(L348),L348*INDEX(LenF,MATCH($L$7,LenU,0))*1000,IF(OR(J348="",K348=""),"",IFERROR(IF(INDEX(PipeWT,MATCH(J348,NPSU,0),MATCH(K348,SchU,0))="","Sch n/a",INDEX(PipeOD,MATCH(J348,NPSU,0))-2*INDEX(PipeWT,MATCH(J348,NPSU,0),MATCH(K348,SchU,0))),"")))</f>
        <v/>
      </c>
      <c r="AT348" s="27" t="n">
        <f aca="false">IF(ISNUMBER(AI348),AI348,IFERROR(INDEX(IF(CC_JobType="Decontamination",CC_TypeFillDC,CC_TypeFillCC),MATCH(E348,CC_TypeL,0)),1))</f>
        <v>1</v>
      </c>
      <c r="AU348" s="27" t="n">
        <v>11</v>
      </c>
    </row>
    <row r="349" customFormat="false" ht="15" hidden="false" customHeight="false" outlineLevel="0" collapsed="false">
      <c r="A349" s="36" t="n">
        <v>10</v>
      </c>
      <c r="B349" s="40"/>
      <c r="C349" s="32"/>
      <c r="D349" s="32"/>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1" t="str">
        <f aca="false">IF(E349="Exchanger",IF(AND(ISNUMBER(S349),ISNUMBER(U349),ISNUMBER(V349)),S349*PI()/4*(U349*INDEX(LenF,MATCH($U$7,LenU,0)))^2*V349*INDEX(LenF,MATCH($V$7,LenU,0)),0)+IF(ISNUMBER(Y349),PI()/4*(Y349*INDEX(LenF,MATCH($Y$7,LenU,0)))^2*N(Z349)*INDEX(LenF,MATCH($Z$7,LenU,0))+IF(AA349="",0,IF(AA349="Conical",PI()/12*(Y349*INDEX(LenF,MATCH($Y$7,LenU,0)))^2*(0),INDEX(HeadK,MATCH(AA349,HeadU,0))*(Y349*INDEX(LenF,MATCH($Y$7,LenU,0)))^3)),0)+IF(ISNUMBER(Y349),PI()/4*(Y349*INDEX(LenF,MATCH($Y$7,LenU,0)))^2*N(AB349)*INDEX(LenF,MATCH($AB$7,LenU,0))+IF(AC349="",0,IF(AC349="Conical",PI()/12*(Y349*INDEX(LenF,MATCH($Y$7,LenU,0)))^2*(0),INDEX(HeadK,MATCH(AC349,HeadU,0))*(Y349*INDEX(LenF,MATCH($Y$7,LenU,0)))^3)),0),"")</f>
        <v/>
      </c>
      <c r="AE349" s="41" t="str">
        <f aca="false">IF(OR(E349="",E349="Piping"),"",IF(E349="Exchanger",AQ349*AR349+IF(P349="",0,IF(P349="Conical",PI()/12*(SQRT(4*AQ349/PI()))^2*(0),INDEX(HeadK,MATCH(P349,HeadU,0))*(SQRT(4*AQ349/PI()))^3))-IF(AND(ISNUMBER(S349),ISNUMBER(V349)),S349*PI()/4*AP349^2*V349*INDEX(LenF,MATCH($V$7,LenU,0)),0),IF(ISNUMBER(N349),PI()/4*(N349*INDEX(LenF,MATCH($N$7,LenU,0)))^2*N(O349)*INDEX(LenF,MATCH($O$7,LenU,0))+IF(P349="",0,IF(P349="Conical",PI()/12*(N349*INDEX(LenF,MATCH($N$7,LenU,0)))^2*(N(R349)*INDEX(LenF,MATCH($R$7,LenU,0))),INDEX(HeadK,MATCH(P349,HeadU,0))*(N349*INDEX(LenF,MATCH($N$7,LenU,0)))^3))+IF(Q349="",0,IF(Q349="Conical",PI()/12*(N349*INDEX(LenF,MATCH($N$7,LenU,0)))^2*(N(R349)*INDEX(LenF,MATCH($R$7,LenU,0))),INDEX(HeadK,MATCH(Q349,HeadU,0))*(N349*INDEX(LenF,MATCH($N$7,LenU,0)))^3)),0)))</f>
        <v/>
      </c>
      <c r="AF349" s="41" t="str">
        <f aca="false">IF(E349&lt;&gt;"Piping","",IF(AND(ISNUMBER(AS349),ISNUMBER(M349)),PI()/4*(AS349/1000)^2*M349*INDEX(LenF,MATCH($M$7,LenU,0)),0))</f>
        <v/>
      </c>
      <c r="AG349" s="41" t="str">
        <f aca="false">IF(E349="","",N(AD349)+N(AE349)+N(AF349))</f>
        <v/>
      </c>
      <c r="AH349" s="41" t="str">
        <f aca="false">IF(ISNUMBER(I349),I349*INDEX(WtF,MATCH($I$7,WtU,0))/CC_WaterRho,"")</f>
        <v/>
      </c>
      <c r="AI349" s="31"/>
      <c r="AJ349" s="31"/>
      <c r="AK349" s="40"/>
      <c r="AL349" s="31"/>
      <c r="AM349" s="41" t="str">
        <f aca="false">IF(AO349="","",AO349*IF(ISNUMBER(AK349),AK349,CC_DefFills)*(1+IF(ISNUMBER(AL349),AL349,CC_DefAllow)))</f>
        <v/>
      </c>
      <c r="AN349" s="42" t="str">
        <f aca="false">IF(G349="Given volume",IF(ISNUMBER(H349),H349*INDEX(VolF,MATCH($H$7,VolU,0)),""),IF(G349="Water weight",AH349,IF(N(AG349)=0,"",AG349)))</f>
        <v/>
      </c>
      <c r="AO349" s="42" t="str">
        <f aca="false">IF(N(AN349)=0,"",AN349*AT349*IF(ISNUMBER(AJ349),AJ349,CC_DefCirc))</f>
        <v/>
      </c>
      <c r="AP349" s="27" t="n">
        <f aca="false">IF(ISNUMBER(T349),T349*INDEX(LenF,MATCH($T$7,LenU,0)),IF(ISNUMBER(W349),W349*INDEX(LenF,MATCH($W$7,LenU,0))/CC_PitchRatio,0))</f>
        <v>0</v>
      </c>
      <c r="AQ349" s="27" t="n">
        <f aca="false">IF(ISNUMBER(N349),PI()/4*(N349*INDEX(LenF,MATCH($N$7,LenU,0)))^2,IF(AND(ISNUMBER(S349),ISNUMBER(W349),X349&lt;&gt;""),S349*(W349*INDEX(LenF,MATCH($W$7,LenU,0)))^2*INDEX(LayoutF,MATCH(X349,LayoutU,0)),0))</f>
        <v>0</v>
      </c>
      <c r="AR349" s="27" t="n">
        <f aca="false">IF(ISNUMBER(O349),O349*INDEX(LenF,MATCH($O$7,LenU,0)),IF(ISNUMBER(V349),V349*INDEX(LenF,MATCH($V$7,LenU,0)),0))</f>
        <v>0</v>
      </c>
      <c r="AS349" s="27" t="str">
        <f aca="false">IF(ISNUMBER(L349),L349*INDEX(LenF,MATCH($L$7,LenU,0))*1000,IF(OR(J349="",K349=""),"",IFERROR(IF(INDEX(PipeWT,MATCH(J349,NPSU,0),MATCH(K349,SchU,0))="","Sch n/a",INDEX(PipeOD,MATCH(J349,NPSU,0))-2*INDEX(PipeWT,MATCH(J349,NPSU,0),MATCH(K349,SchU,0))),"")))</f>
        <v/>
      </c>
      <c r="AT349" s="27" t="n">
        <f aca="false">IF(ISNUMBER(AI349),AI349,IFERROR(INDEX(IF(CC_JobType="Decontamination",CC_TypeFillDC,CC_TypeFillCC),MATCH(E349,CC_TypeL,0)),1))</f>
        <v>1</v>
      </c>
      <c r="AU349" s="27" t="n">
        <v>11</v>
      </c>
    </row>
    <row r="350" customFormat="false" ht="15" hidden="false" customHeight="false" outlineLevel="0" collapsed="false">
      <c r="A350" s="36" t="n">
        <v>11</v>
      </c>
      <c r="B350" s="40"/>
      <c r="C350" s="32"/>
      <c r="D350" s="32"/>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1" t="str">
        <f aca="false">IF(E350="Exchanger",IF(AND(ISNUMBER(S350),ISNUMBER(U350),ISNUMBER(V350)),S350*PI()/4*(U350*INDEX(LenF,MATCH($U$7,LenU,0)))^2*V350*INDEX(LenF,MATCH($V$7,LenU,0)),0)+IF(ISNUMBER(Y350),PI()/4*(Y350*INDEX(LenF,MATCH($Y$7,LenU,0)))^2*N(Z350)*INDEX(LenF,MATCH($Z$7,LenU,0))+IF(AA350="",0,IF(AA350="Conical",PI()/12*(Y350*INDEX(LenF,MATCH($Y$7,LenU,0)))^2*(0),INDEX(HeadK,MATCH(AA350,HeadU,0))*(Y350*INDEX(LenF,MATCH($Y$7,LenU,0)))^3)),0)+IF(ISNUMBER(Y350),PI()/4*(Y350*INDEX(LenF,MATCH($Y$7,LenU,0)))^2*N(AB350)*INDEX(LenF,MATCH($AB$7,LenU,0))+IF(AC350="",0,IF(AC350="Conical",PI()/12*(Y350*INDEX(LenF,MATCH($Y$7,LenU,0)))^2*(0),INDEX(HeadK,MATCH(AC350,HeadU,0))*(Y350*INDEX(LenF,MATCH($Y$7,LenU,0)))^3)),0),"")</f>
        <v/>
      </c>
      <c r="AE350" s="41" t="str">
        <f aca="false">IF(OR(E350="",E350="Piping"),"",IF(E350="Exchanger",AQ350*AR350+IF(P350="",0,IF(P350="Conical",PI()/12*(SQRT(4*AQ350/PI()))^2*(0),INDEX(HeadK,MATCH(P350,HeadU,0))*(SQRT(4*AQ350/PI()))^3))-IF(AND(ISNUMBER(S350),ISNUMBER(V350)),S350*PI()/4*AP350^2*V350*INDEX(LenF,MATCH($V$7,LenU,0)),0),IF(ISNUMBER(N350),PI()/4*(N350*INDEX(LenF,MATCH($N$7,LenU,0)))^2*N(O350)*INDEX(LenF,MATCH($O$7,LenU,0))+IF(P350="",0,IF(P350="Conical",PI()/12*(N350*INDEX(LenF,MATCH($N$7,LenU,0)))^2*(N(R350)*INDEX(LenF,MATCH($R$7,LenU,0))),INDEX(HeadK,MATCH(P350,HeadU,0))*(N350*INDEX(LenF,MATCH($N$7,LenU,0)))^3))+IF(Q350="",0,IF(Q350="Conical",PI()/12*(N350*INDEX(LenF,MATCH($N$7,LenU,0)))^2*(N(R350)*INDEX(LenF,MATCH($R$7,LenU,0))),INDEX(HeadK,MATCH(Q350,HeadU,0))*(N350*INDEX(LenF,MATCH($N$7,LenU,0)))^3)),0)))</f>
        <v/>
      </c>
      <c r="AF350" s="41" t="str">
        <f aca="false">IF(E350&lt;&gt;"Piping","",IF(AND(ISNUMBER(AS350),ISNUMBER(M350)),PI()/4*(AS350/1000)^2*M350*INDEX(LenF,MATCH($M$7,LenU,0)),0))</f>
        <v/>
      </c>
      <c r="AG350" s="41" t="str">
        <f aca="false">IF(E350="","",N(AD350)+N(AE350)+N(AF350))</f>
        <v/>
      </c>
      <c r="AH350" s="41" t="str">
        <f aca="false">IF(ISNUMBER(I350),I350*INDEX(WtF,MATCH($I$7,WtU,0))/CC_WaterRho,"")</f>
        <v/>
      </c>
      <c r="AI350" s="31"/>
      <c r="AJ350" s="31"/>
      <c r="AK350" s="40"/>
      <c r="AL350" s="31"/>
      <c r="AM350" s="41" t="str">
        <f aca="false">IF(AO350="","",AO350*IF(ISNUMBER(AK350),AK350,CC_DefFills)*(1+IF(ISNUMBER(AL350),AL350,CC_DefAllow)))</f>
        <v/>
      </c>
      <c r="AN350" s="42" t="str">
        <f aca="false">IF(G350="Given volume",IF(ISNUMBER(H350),H350*INDEX(VolF,MATCH($H$7,VolU,0)),""),IF(G350="Water weight",AH350,IF(N(AG350)=0,"",AG350)))</f>
        <v/>
      </c>
      <c r="AO350" s="42" t="str">
        <f aca="false">IF(N(AN350)=0,"",AN350*AT350*IF(ISNUMBER(AJ350),AJ350,CC_DefCirc))</f>
        <v/>
      </c>
      <c r="AP350" s="27" t="n">
        <f aca="false">IF(ISNUMBER(T350),T350*INDEX(LenF,MATCH($T$7,LenU,0)),IF(ISNUMBER(W350),W350*INDEX(LenF,MATCH($W$7,LenU,0))/CC_PitchRatio,0))</f>
        <v>0</v>
      </c>
      <c r="AQ350" s="27" t="n">
        <f aca="false">IF(ISNUMBER(N350),PI()/4*(N350*INDEX(LenF,MATCH($N$7,LenU,0)))^2,IF(AND(ISNUMBER(S350),ISNUMBER(W350),X350&lt;&gt;""),S350*(W350*INDEX(LenF,MATCH($W$7,LenU,0)))^2*INDEX(LayoutF,MATCH(X350,LayoutU,0)),0))</f>
        <v>0</v>
      </c>
      <c r="AR350" s="27" t="n">
        <f aca="false">IF(ISNUMBER(O350),O350*INDEX(LenF,MATCH($O$7,LenU,0)),IF(ISNUMBER(V350),V350*INDEX(LenF,MATCH($V$7,LenU,0)),0))</f>
        <v>0</v>
      </c>
      <c r="AS350" s="27" t="str">
        <f aca="false">IF(ISNUMBER(L350),L350*INDEX(LenF,MATCH($L$7,LenU,0))*1000,IF(OR(J350="",K350=""),"",IFERROR(IF(INDEX(PipeWT,MATCH(J350,NPSU,0),MATCH(K350,SchU,0))="","Sch n/a",INDEX(PipeOD,MATCH(J350,NPSU,0))-2*INDEX(PipeWT,MATCH(J350,NPSU,0),MATCH(K350,SchU,0))),"")))</f>
        <v/>
      </c>
      <c r="AT350" s="27" t="n">
        <f aca="false">IF(ISNUMBER(AI350),AI350,IFERROR(INDEX(IF(CC_JobType="Decontamination",CC_TypeFillDC,CC_TypeFillCC),MATCH(E350,CC_TypeL,0)),1))</f>
        <v>1</v>
      </c>
      <c r="AU350" s="27" t="n">
        <v>11</v>
      </c>
    </row>
    <row r="351" customFormat="false" ht="15" hidden="false" customHeight="false" outlineLevel="0" collapsed="false">
      <c r="A351" s="36" t="n">
        <v>12</v>
      </c>
      <c r="B351" s="40"/>
      <c r="C351" s="32"/>
      <c r="D351" s="32"/>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1" t="str">
        <f aca="false">IF(E351="Exchanger",IF(AND(ISNUMBER(S351),ISNUMBER(U351),ISNUMBER(V351)),S351*PI()/4*(U351*INDEX(LenF,MATCH($U$7,LenU,0)))^2*V351*INDEX(LenF,MATCH($V$7,LenU,0)),0)+IF(ISNUMBER(Y351),PI()/4*(Y351*INDEX(LenF,MATCH($Y$7,LenU,0)))^2*N(Z351)*INDEX(LenF,MATCH($Z$7,LenU,0))+IF(AA351="",0,IF(AA351="Conical",PI()/12*(Y351*INDEX(LenF,MATCH($Y$7,LenU,0)))^2*(0),INDEX(HeadK,MATCH(AA351,HeadU,0))*(Y351*INDEX(LenF,MATCH($Y$7,LenU,0)))^3)),0)+IF(ISNUMBER(Y351),PI()/4*(Y351*INDEX(LenF,MATCH($Y$7,LenU,0)))^2*N(AB351)*INDEX(LenF,MATCH($AB$7,LenU,0))+IF(AC351="",0,IF(AC351="Conical",PI()/12*(Y351*INDEX(LenF,MATCH($Y$7,LenU,0)))^2*(0),INDEX(HeadK,MATCH(AC351,HeadU,0))*(Y351*INDEX(LenF,MATCH($Y$7,LenU,0)))^3)),0),"")</f>
        <v/>
      </c>
      <c r="AE351" s="41" t="str">
        <f aca="false">IF(OR(E351="",E351="Piping"),"",IF(E351="Exchanger",AQ351*AR351+IF(P351="",0,IF(P351="Conical",PI()/12*(SQRT(4*AQ351/PI()))^2*(0),INDEX(HeadK,MATCH(P351,HeadU,0))*(SQRT(4*AQ351/PI()))^3))-IF(AND(ISNUMBER(S351),ISNUMBER(V351)),S351*PI()/4*AP351^2*V351*INDEX(LenF,MATCH($V$7,LenU,0)),0),IF(ISNUMBER(N351),PI()/4*(N351*INDEX(LenF,MATCH($N$7,LenU,0)))^2*N(O351)*INDEX(LenF,MATCH($O$7,LenU,0))+IF(P351="",0,IF(P351="Conical",PI()/12*(N351*INDEX(LenF,MATCH($N$7,LenU,0)))^2*(N(R351)*INDEX(LenF,MATCH($R$7,LenU,0))),INDEX(HeadK,MATCH(P351,HeadU,0))*(N351*INDEX(LenF,MATCH($N$7,LenU,0)))^3))+IF(Q351="",0,IF(Q351="Conical",PI()/12*(N351*INDEX(LenF,MATCH($N$7,LenU,0)))^2*(N(R351)*INDEX(LenF,MATCH($R$7,LenU,0))),INDEX(HeadK,MATCH(Q351,HeadU,0))*(N351*INDEX(LenF,MATCH($N$7,LenU,0)))^3)),0)))</f>
        <v/>
      </c>
      <c r="AF351" s="41" t="str">
        <f aca="false">IF(E351&lt;&gt;"Piping","",IF(AND(ISNUMBER(AS351),ISNUMBER(M351)),PI()/4*(AS351/1000)^2*M351*INDEX(LenF,MATCH($M$7,LenU,0)),0))</f>
        <v/>
      </c>
      <c r="AG351" s="41" t="str">
        <f aca="false">IF(E351="","",N(AD351)+N(AE351)+N(AF351))</f>
        <v/>
      </c>
      <c r="AH351" s="41" t="str">
        <f aca="false">IF(ISNUMBER(I351),I351*INDEX(WtF,MATCH($I$7,WtU,0))/CC_WaterRho,"")</f>
        <v/>
      </c>
      <c r="AI351" s="31"/>
      <c r="AJ351" s="31"/>
      <c r="AK351" s="40"/>
      <c r="AL351" s="31"/>
      <c r="AM351" s="41" t="str">
        <f aca="false">IF(AO351="","",AO351*IF(ISNUMBER(AK351),AK351,CC_DefFills)*(1+IF(ISNUMBER(AL351),AL351,CC_DefAllow)))</f>
        <v/>
      </c>
      <c r="AN351" s="42" t="str">
        <f aca="false">IF(G351="Given volume",IF(ISNUMBER(H351),H351*INDEX(VolF,MATCH($H$7,VolU,0)),""),IF(G351="Water weight",AH351,IF(N(AG351)=0,"",AG351)))</f>
        <v/>
      </c>
      <c r="AO351" s="42" t="str">
        <f aca="false">IF(N(AN351)=0,"",AN351*AT351*IF(ISNUMBER(AJ351),AJ351,CC_DefCirc))</f>
        <v/>
      </c>
      <c r="AP351" s="27" t="n">
        <f aca="false">IF(ISNUMBER(T351),T351*INDEX(LenF,MATCH($T$7,LenU,0)),IF(ISNUMBER(W351),W351*INDEX(LenF,MATCH($W$7,LenU,0))/CC_PitchRatio,0))</f>
        <v>0</v>
      </c>
      <c r="AQ351" s="27" t="n">
        <f aca="false">IF(ISNUMBER(N351),PI()/4*(N351*INDEX(LenF,MATCH($N$7,LenU,0)))^2,IF(AND(ISNUMBER(S351),ISNUMBER(W351),X351&lt;&gt;""),S351*(W351*INDEX(LenF,MATCH($W$7,LenU,0)))^2*INDEX(LayoutF,MATCH(X351,LayoutU,0)),0))</f>
        <v>0</v>
      </c>
      <c r="AR351" s="27" t="n">
        <f aca="false">IF(ISNUMBER(O351),O351*INDEX(LenF,MATCH($O$7,LenU,0)),IF(ISNUMBER(V351),V351*INDEX(LenF,MATCH($V$7,LenU,0)),0))</f>
        <v>0</v>
      </c>
      <c r="AS351" s="27" t="str">
        <f aca="false">IF(ISNUMBER(L351),L351*INDEX(LenF,MATCH($L$7,LenU,0))*1000,IF(OR(J351="",K351=""),"",IFERROR(IF(INDEX(PipeWT,MATCH(J351,NPSU,0),MATCH(K351,SchU,0))="","Sch n/a",INDEX(PipeOD,MATCH(J351,NPSU,0))-2*INDEX(PipeWT,MATCH(J351,NPSU,0),MATCH(K351,SchU,0))),"")))</f>
        <v/>
      </c>
      <c r="AT351" s="27" t="n">
        <f aca="false">IF(ISNUMBER(AI351),AI351,IFERROR(INDEX(IF(CC_JobType="Decontamination",CC_TypeFillDC,CC_TypeFillCC),MATCH(E351,CC_TypeL,0)),1))</f>
        <v>1</v>
      </c>
      <c r="AU351" s="27" t="n">
        <v>11</v>
      </c>
    </row>
    <row r="352" customFormat="false" ht="15" hidden="false" customHeight="false" outlineLevel="0" collapsed="false">
      <c r="A352" s="36" t="n">
        <v>13</v>
      </c>
      <c r="B352" s="40"/>
      <c r="C352" s="32"/>
      <c r="D352" s="32"/>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1" t="str">
        <f aca="false">IF(E352="Exchanger",IF(AND(ISNUMBER(S352),ISNUMBER(U352),ISNUMBER(V352)),S352*PI()/4*(U352*INDEX(LenF,MATCH($U$7,LenU,0)))^2*V352*INDEX(LenF,MATCH($V$7,LenU,0)),0)+IF(ISNUMBER(Y352),PI()/4*(Y352*INDEX(LenF,MATCH($Y$7,LenU,0)))^2*N(Z352)*INDEX(LenF,MATCH($Z$7,LenU,0))+IF(AA352="",0,IF(AA352="Conical",PI()/12*(Y352*INDEX(LenF,MATCH($Y$7,LenU,0)))^2*(0),INDEX(HeadK,MATCH(AA352,HeadU,0))*(Y352*INDEX(LenF,MATCH($Y$7,LenU,0)))^3)),0)+IF(ISNUMBER(Y352),PI()/4*(Y352*INDEX(LenF,MATCH($Y$7,LenU,0)))^2*N(AB352)*INDEX(LenF,MATCH($AB$7,LenU,0))+IF(AC352="",0,IF(AC352="Conical",PI()/12*(Y352*INDEX(LenF,MATCH($Y$7,LenU,0)))^2*(0),INDEX(HeadK,MATCH(AC352,HeadU,0))*(Y352*INDEX(LenF,MATCH($Y$7,LenU,0)))^3)),0),"")</f>
        <v/>
      </c>
      <c r="AE352" s="41" t="str">
        <f aca="false">IF(OR(E352="",E352="Piping"),"",IF(E352="Exchanger",AQ352*AR352+IF(P352="",0,IF(P352="Conical",PI()/12*(SQRT(4*AQ352/PI()))^2*(0),INDEX(HeadK,MATCH(P352,HeadU,0))*(SQRT(4*AQ352/PI()))^3))-IF(AND(ISNUMBER(S352),ISNUMBER(V352)),S352*PI()/4*AP352^2*V352*INDEX(LenF,MATCH($V$7,LenU,0)),0),IF(ISNUMBER(N352),PI()/4*(N352*INDEX(LenF,MATCH($N$7,LenU,0)))^2*N(O352)*INDEX(LenF,MATCH($O$7,LenU,0))+IF(P352="",0,IF(P352="Conical",PI()/12*(N352*INDEX(LenF,MATCH($N$7,LenU,0)))^2*(N(R352)*INDEX(LenF,MATCH($R$7,LenU,0))),INDEX(HeadK,MATCH(P352,HeadU,0))*(N352*INDEX(LenF,MATCH($N$7,LenU,0)))^3))+IF(Q352="",0,IF(Q352="Conical",PI()/12*(N352*INDEX(LenF,MATCH($N$7,LenU,0)))^2*(N(R352)*INDEX(LenF,MATCH($R$7,LenU,0))),INDEX(HeadK,MATCH(Q352,HeadU,0))*(N352*INDEX(LenF,MATCH($N$7,LenU,0)))^3)),0)))</f>
        <v/>
      </c>
      <c r="AF352" s="41" t="str">
        <f aca="false">IF(E352&lt;&gt;"Piping","",IF(AND(ISNUMBER(AS352),ISNUMBER(M352)),PI()/4*(AS352/1000)^2*M352*INDEX(LenF,MATCH($M$7,LenU,0)),0))</f>
        <v/>
      </c>
      <c r="AG352" s="41" t="str">
        <f aca="false">IF(E352="","",N(AD352)+N(AE352)+N(AF352))</f>
        <v/>
      </c>
      <c r="AH352" s="41" t="str">
        <f aca="false">IF(ISNUMBER(I352),I352*INDEX(WtF,MATCH($I$7,WtU,0))/CC_WaterRho,"")</f>
        <v/>
      </c>
      <c r="AI352" s="31"/>
      <c r="AJ352" s="31"/>
      <c r="AK352" s="40"/>
      <c r="AL352" s="31"/>
      <c r="AM352" s="41" t="str">
        <f aca="false">IF(AO352="","",AO352*IF(ISNUMBER(AK352),AK352,CC_DefFills)*(1+IF(ISNUMBER(AL352),AL352,CC_DefAllow)))</f>
        <v/>
      </c>
      <c r="AN352" s="42" t="str">
        <f aca="false">IF(G352="Given volume",IF(ISNUMBER(H352),H352*INDEX(VolF,MATCH($H$7,VolU,0)),""),IF(G352="Water weight",AH352,IF(N(AG352)=0,"",AG352)))</f>
        <v/>
      </c>
      <c r="AO352" s="42" t="str">
        <f aca="false">IF(N(AN352)=0,"",AN352*AT352*IF(ISNUMBER(AJ352),AJ352,CC_DefCirc))</f>
        <v/>
      </c>
      <c r="AP352" s="27" t="n">
        <f aca="false">IF(ISNUMBER(T352),T352*INDEX(LenF,MATCH($T$7,LenU,0)),IF(ISNUMBER(W352),W352*INDEX(LenF,MATCH($W$7,LenU,0))/CC_PitchRatio,0))</f>
        <v>0</v>
      </c>
      <c r="AQ352" s="27" t="n">
        <f aca="false">IF(ISNUMBER(N352),PI()/4*(N352*INDEX(LenF,MATCH($N$7,LenU,0)))^2,IF(AND(ISNUMBER(S352),ISNUMBER(W352),X352&lt;&gt;""),S352*(W352*INDEX(LenF,MATCH($W$7,LenU,0)))^2*INDEX(LayoutF,MATCH(X352,LayoutU,0)),0))</f>
        <v>0</v>
      </c>
      <c r="AR352" s="27" t="n">
        <f aca="false">IF(ISNUMBER(O352),O352*INDEX(LenF,MATCH($O$7,LenU,0)),IF(ISNUMBER(V352),V352*INDEX(LenF,MATCH($V$7,LenU,0)),0))</f>
        <v>0</v>
      </c>
      <c r="AS352" s="27" t="str">
        <f aca="false">IF(ISNUMBER(L352),L352*INDEX(LenF,MATCH($L$7,LenU,0))*1000,IF(OR(J352="",K352=""),"",IFERROR(IF(INDEX(PipeWT,MATCH(J352,NPSU,0),MATCH(K352,SchU,0))="","Sch n/a",INDEX(PipeOD,MATCH(J352,NPSU,0))-2*INDEX(PipeWT,MATCH(J352,NPSU,0),MATCH(K352,SchU,0))),"")))</f>
        <v/>
      </c>
      <c r="AT352" s="27" t="n">
        <f aca="false">IF(ISNUMBER(AI352),AI352,IFERROR(INDEX(IF(CC_JobType="Decontamination",CC_TypeFillDC,CC_TypeFillCC),MATCH(E352,CC_TypeL,0)),1))</f>
        <v>1</v>
      </c>
      <c r="AU352" s="27" t="n">
        <v>11</v>
      </c>
    </row>
    <row r="353" customFormat="false" ht="15" hidden="false" customHeight="false" outlineLevel="0" collapsed="false">
      <c r="A353" s="36" t="n">
        <v>14</v>
      </c>
      <c r="B353" s="40"/>
      <c r="C353" s="32"/>
      <c r="D353" s="32"/>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1" t="str">
        <f aca="false">IF(E353="Exchanger",IF(AND(ISNUMBER(S353),ISNUMBER(U353),ISNUMBER(V353)),S353*PI()/4*(U353*INDEX(LenF,MATCH($U$7,LenU,0)))^2*V353*INDEX(LenF,MATCH($V$7,LenU,0)),0)+IF(ISNUMBER(Y353),PI()/4*(Y353*INDEX(LenF,MATCH($Y$7,LenU,0)))^2*N(Z353)*INDEX(LenF,MATCH($Z$7,LenU,0))+IF(AA353="",0,IF(AA353="Conical",PI()/12*(Y353*INDEX(LenF,MATCH($Y$7,LenU,0)))^2*(0),INDEX(HeadK,MATCH(AA353,HeadU,0))*(Y353*INDEX(LenF,MATCH($Y$7,LenU,0)))^3)),0)+IF(ISNUMBER(Y353),PI()/4*(Y353*INDEX(LenF,MATCH($Y$7,LenU,0)))^2*N(AB353)*INDEX(LenF,MATCH($AB$7,LenU,0))+IF(AC353="",0,IF(AC353="Conical",PI()/12*(Y353*INDEX(LenF,MATCH($Y$7,LenU,0)))^2*(0),INDEX(HeadK,MATCH(AC353,HeadU,0))*(Y353*INDEX(LenF,MATCH($Y$7,LenU,0)))^3)),0),"")</f>
        <v/>
      </c>
      <c r="AE353" s="41" t="str">
        <f aca="false">IF(OR(E353="",E353="Piping"),"",IF(E353="Exchanger",AQ353*AR353+IF(P353="",0,IF(P353="Conical",PI()/12*(SQRT(4*AQ353/PI()))^2*(0),INDEX(HeadK,MATCH(P353,HeadU,0))*(SQRT(4*AQ353/PI()))^3))-IF(AND(ISNUMBER(S353),ISNUMBER(V353)),S353*PI()/4*AP353^2*V353*INDEX(LenF,MATCH($V$7,LenU,0)),0),IF(ISNUMBER(N353),PI()/4*(N353*INDEX(LenF,MATCH($N$7,LenU,0)))^2*N(O353)*INDEX(LenF,MATCH($O$7,LenU,0))+IF(P353="",0,IF(P353="Conical",PI()/12*(N353*INDEX(LenF,MATCH($N$7,LenU,0)))^2*(N(R353)*INDEX(LenF,MATCH($R$7,LenU,0))),INDEX(HeadK,MATCH(P353,HeadU,0))*(N353*INDEX(LenF,MATCH($N$7,LenU,0)))^3))+IF(Q353="",0,IF(Q353="Conical",PI()/12*(N353*INDEX(LenF,MATCH($N$7,LenU,0)))^2*(N(R353)*INDEX(LenF,MATCH($R$7,LenU,0))),INDEX(HeadK,MATCH(Q353,HeadU,0))*(N353*INDEX(LenF,MATCH($N$7,LenU,0)))^3)),0)))</f>
        <v/>
      </c>
      <c r="AF353" s="41" t="str">
        <f aca="false">IF(E353&lt;&gt;"Piping","",IF(AND(ISNUMBER(AS353),ISNUMBER(M353)),PI()/4*(AS353/1000)^2*M353*INDEX(LenF,MATCH($M$7,LenU,0)),0))</f>
        <v/>
      </c>
      <c r="AG353" s="41" t="str">
        <f aca="false">IF(E353="","",N(AD353)+N(AE353)+N(AF353))</f>
        <v/>
      </c>
      <c r="AH353" s="41" t="str">
        <f aca="false">IF(ISNUMBER(I353),I353*INDEX(WtF,MATCH($I$7,WtU,0))/CC_WaterRho,"")</f>
        <v/>
      </c>
      <c r="AI353" s="31"/>
      <c r="AJ353" s="31"/>
      <c r="AK353" s="40"/>
      <c r="AL353" s="31"/>
      <c r="AM353" s="41" t="str">
        <f aca="false">IF(AO353="","",AO353*IF(ISNUMBER(AK353),AK353,CC_DefFills)*(1+IF(ISNUMBER(AL353),AL353,CC_DefAllow)))</f>
        <v/>
      </c>
      <c r="AN353" s="42" t="str">
        <f aca="false">IF(G353="Given volume",IF(ISNUMBER(H353),H353*INDEX(VolF,MATCH($H$7,VolU,0)),""),IF(G353="Water weight",AH353,IF(N(AG353)=0,"",AG353)))</f>
        <v/>
      </c>
      <c r="AO353" s="42" t="str">
        <f aca="false">IF(N(AN353)=0,"",AN353*AT353*IF(ISNUMBER(AJ353),AJ353,CC_DefCirc))</f>
        <v/>
      </c>
      <c r="AP353" s="27" t="n">
        <f aca="false">IF(ISNUMBER(T353),T353*INDEX(LenF,MATCH($T$7,LenU,0)),IF(ISNUMBER(W353),W353*INDEX(LenF,MATCH($W$7,LenU,0))/CC_PitchRatio,0))</f>
        <v>0</v>
      </c>
      <c r="AQ353" s="27" t="n">
        <f aca="false">IF(ISNUMBER(N353),PI()/4*(N353*INDEX(LenF,MATCH($N$7,LenU,0)))^2,IF(AND(ISNUMBER(S353),ISNUMBER(W353),X353&lt;&gt;""),S353*(W353*INDEX(LenF,MATCH($W$7,LenU,0)))^2*INDEX(LayoutF,MATCH(X353,LayoutU,0)),0))</f>
        <v>0</v>
      </c>
      <c r="AR353" s="27" t="n">
        <f aca="false">IF(ISNUMBER(O353),O353*INDEX(LenF,MATCH($O$7,LenU,0)),IF(ISNUMBER(V353),V353*INDEX(LenF,MATCH($V$7,LenU,0)),0))</f>
        <v>0</v>
      </c>
      <c r="AS353" s="27" t="str">
        <f aca="false">IF(ISNUMBER(L353),L353*INDEX(LenF,MATCH($L$7,LenU,0))*1000,IF(OR(J353="",K353=""),"",IFERROR(IF(INDEX(PipeWT,MATCH(J353,NPSU,0),MATCH(K353,SchU,0))="","Sch n/a",INDEX(PipeOD,MATCH(J353,NPSU,0))-2*INDEX(PipeWT,MATCH(J353,NPSU,0),MATCH(K353,SchU,0))),"")))</f>
        <v/>
      </c>
      <c r="AT353" s="27" t="n">
        <f aca="false">IF(ISNUMBER(AI353),AI353,IFERROR(INDEX(IF(CC_JobType="Decontamination",CC_TypeFillDC,CC_TypeFillCC),MATCH(E353,CC_TypeL,0)),1))</f>
        <v>1</v>
      </c>
      <c r="AU353" s="27" t="n">
        <v>11</v>
      </c>
    </row>
    <row r="354" customFormat="false" ht="15" hidden="false" customHeight="false" outlineLevel="0" collapsed="false">
      <c r="A354" s="36" t="n">
        <v>15</v>
      </c>
      <c r="B354" s="40"/>
      <c r="C354" s="32"/>
      <c r="D354" s="32"/>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1" t="str">
        <f aca="false">IF(E354="Exchanger",IF(AND(ISNUMBER(S354),ISNUMBER(U354),ISNUMBER(V354)),S354*PI()/4*(U354*INDEX(LenF,MATCH($U$7,LenU,0)))^2*V354*INDEX(LenF,MATCH($V$7,LenU,0)),0)+IF(ISNUMBER(Y354),PI()/4*(Y354*INDEX(LenF,MATCH($Y$7,LenU,0)))^2*N(Z354)*INDEX(LenF,MATCH($Z$7,LenU,0))+IF(AA354="",0,IF(AA354="Conical",PI()/12*(Y354*INDEX(LenF,MATCH($Y$7,LenU,0)))^2*(0),INDEX(HeadK,MATCH(AA354,HeadU,0))*(Y354*INDEX(LenF,MATCH($Y$7,LenU,0)))^3)),0)+IF(ISNUMBER(Y354),PI()/4*(Y354*INDEX(LenF,MATCH($Y$7,LenU,0)))^2*N(AB354)*INDEX(LenF,MATCH($AB$7,LenU,0))+IF(AC354="",0,IF(AC354="Conical",PI()/12*(Y354*INDEX(LenF,MATCH($Y$7,LenU,0)))^2*(0),INDEX(HeadK,MATCH(AC354,HeadU,0))*(Y354*INDEX(LenF,MATCH($Y$7,LenU,0)))^3)),0),"")</f>
        <v/>
      </c>
      <c r="AE354" s="41" t="str">
        <f aca="false">IF(OR(E354="",E354="Piping"),"",IF(E354="Exchanger",AQ354*AR354+IF(P354="",0,IF(P354="Conical",PI()/12*(SQRT(4*AQ354/PI()))^2*(0),INDEX(HeadK,MATCH(P354,HeadU,0))*(SQRT(4*AQ354/PI()))^3))-IF(AND(ISNUMBER(S354),ISNUMBER(V354)),S354*PI()/4*AP354^2*V354*INDEX(LenF,MATCH($V$7,LenU,0)),0),IF(ISNUMBER(N354),PI()/4*(N354*INDEX(LenF,MATCH($N$7,LenU,0)))^2*N(O354)*INDEX(LenF,MATCH($O$7,LenU,0))+IF(P354="",0,IF(P354="Conical",PI()/12*(N354*INDEX(LenF,MATCH($N$7,LenU,0)))^2*(N(R354)*INDEX(LenF,MATCH($R$7,LenU,0))),INDEX(HeadK,MATCH(P354,HeadU,0))*(N354*INDEX(LenF,MATCH($N$7,LenU,0)))^3))+IF(Q354="",0,IF(Q354="Conical",PI()/12*(N354*INDEX(LenF,MATCH($N$7,LenU,0)))^2*(N(R354)*INDEX(LenF,MATCH($R$7,LenU,0))),INDEX(HeadK,MATCH(Q354,HeadU,0))*(N354*INDEX(LenF,MATCH($N$7,LenU,0)))^3)),0)))</f>
        <v/>
      </c>
      <c r="AF354" s="41" t="str">
        <f aca="false">IF(E354&lt;&gt;"Piping","",IF(AND(ISNUMBER(AS354),ISNUMBER(M354)),PI()/4*(AS354/1000)^2*M354*INDEX(LenF,MATCH($M$7,LenU,0)),0))</f>
        <v/>
      </c>
      <c r="AG354" s="41" t="str">
        <f aca="false">IF(E354="","",N(AD354)+N(AE354)+N(AF354))</f>
        <v/>
      </c>
      <c r="AH354" s="41" t="str">
        <f aca="false">IF(ISNUMBER(I354),I354*INDEX(WtF,MATCH($I$7,WtU,0))/CC_WaterRho,"")</f>
        <v/>
      </c>
      <c r="AI354" s="31"/>
      <c r="AJ354" s="31"/>
      <c r="AK354" s="40"/>
      <c r="AL354" s="31"/>
      <c r="AM354" s="41" t="str">
        <f aca="false">IF(AO354="","",AO354*IF(ISNUMBER(AK354),AK354,CC_DefFills)*(1+IF(ISNUMBER(AL354),AL354,CC_DefAllow)))</f>
        <v/>
      </c>
      <c r="AN354" s="42" t="str">
        <f aca="false">IF(G354="Given volume",IF(ISNUMBER(H354),H354*INDEX(VolF,MATCH($H$7,VolU,0)),""),IF(G354="Water weight",AH354,IF(N(AG354)=0,"",AG354)))</f>
        <v/>
      </c>
      <c r="AO354" s="42" t="str">
        <f aca="false">IF(N(AN354)=0,"",AN354*AT354*IF(ISNUMBER(AJ354),AJ354,CC_DefCirc))</f>
        <v/>
      </c>
      <c r="AP354" s="27" t="n">
        <f aca="false">IF(ISNUMBER(T354),T354*INDEX(LenF,MATCH($T$7,LenU,0)),IF(ISNUMBER(W354),W354*INDEX(LenF,MATCH($W$7,LenU,0))/CC_PitchRatio,0))</f>
        <v>0</v>
      </c>
      <c r="AQ354" s="27" t="n">
        <f aca="false">IF(ISNUMBER(N354),PI()/4*(N354*INDEX(LenF,MATCH($N$7,LenU,0)))^2,IF(AND(ISNUMBER(S354),ISNUMBER(W354),X354&lt;&gt;""),S354*(W354*INDEX(LenF,MATCH($W$7,LenU,0)))^2*INDEX(LayoutF,MATCH(X354,LayoutU,0)),0))</f>
        <v>0</v>
      </c>
      <c r="AR354" s="27" t="n">
        <f aca="false">IF(ISNUMBER(O354),O354*INDEX(LenF,MATCH($O$7,LenU,0)),IF(ISNUMBER(V354),V354*INDEX(LenF,MATCH($V$7,LenU,0)),0))</f>
        <v>0</v>
      </c>
      <c r="AS354" s="27" t="str">
        <f aca="false">IF(ISNUMBER(L354),L354*INDEX(LenF,MATCH($L$7,LenU,0))*1000,IF(OR(J354="",K354=""),"",IFERROR(IF(INDEX(PipeWT,MATCH(J354,NPSU,0),MATCH(K354,SchU,0))="","Sch n/a",INDEX(PipeOD,MATCH(J354,NPSU,0))-2*INDEX(PipeWT,MATCH(J354,NPSU,0),MATCH(K354,SchU,0))),"")))</f>
        <v/>
      </c>
      <c r="AT354" s="27" t="n">
        <f aca="false">IF(ISNUMBER(AI354),AI354,IFERROR(INDEX(IF(CC_JobType="Decontamination",CC_TypeFillDC,CC_TypeFillCC),MATCH(E354,CC_TypeL,0)),1))</f>
        <v>1</v>
      </c>
      <c r="AU354" s="27" t="n">
        <v>11</v>
      </c>
    </row>
    <row r="355" customFormat="false" ht="15" hidden="false" customHeight="false" outlineLevel="0" collapsed="false">
      <c r="A355" s="36" t="n">
        <v>16</v>
      </c>
      <c r="B355" s="40"/>
      <c r="C355" s="32"/>
      <c r="D355" s="32"/>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1" t="str">
        <f aca="false">IF(E355="Exchanger",IF(AND(ISNUMBER(S355),ISNUMBER(U355),ISNUMBER(V355)),S355*PI()/4*(U355*INDEX(LenF,MATCH($U$7,LenU,0)))^2*V355*INDEX(LenF,MATCH($V$7,LenU,0)),0)+IF(ISNUMBER(Y355),PI()/4*(Y355*INDEX(LenF,MATCH($Y$7,LenU,0)))^2*N(Z355)*INDEX(LenF,MATCH($Z$7,LenU,0))+IF(AA355="",0,IF(AA355="Conical",PI()/12*(Y355*INDEX(LenF,MATCH($Y$7,LenU,0)))^2*(0),INDEX(HeadK,MATCH(AA355,HeadU,0))*(Y355*INDEX(LenF,MATCH($Y$7,LenU,0)))^3)),0)+IF(ISNUMBER(Y355),PI()/4*(Y355*INDEX(LenF,MATCH($Y$7,LenU,0)))^2*N(AB355)*INDEX(LenF,MATCH($AB$7,LenU,0))+IF(AC355="",0,IF(AC355="Conical",PI()/12*(Y355*INDEX(LenF,MATCH($Y$7,LenU,0)))^2*(0),INDEX(HeadK,MATCH(AC355,HeadU,0))*(Y355*INDEX(LenF,MATCH($Y$7,LenU,0)))^3)),0),"")</f>
        <v/>
      </c>
      <c r="AE355" s="41" t="str">
        <f aca="false">IF(OR(E355="",E355="Piping"),"",IF(E355="Exchanger",AQ355*AR355+IF(P355="",0,IF(P355="Conical",PI()/12*(SQRT(4*AQ355/PI()))^2*(0),INDEX(HeadK,MATCH(P355,HeadU,0))*(SQRT(4*AQ355/PI()))^3))-IF(AND(ISNUMBER(S355),ISNUMBER(V355)),S355*PI()/4*AP355^2*V355*INDEX(LenF,MATCH($V$7,LenU,0)),0),IF(ISNUMBER(N355),PI()/4*(N355*INDEX(LenF,MATCH($N$7,LenU,0)))^2*N(O355)*INDEX(LenF,MATCH($O$7,LenU,0))+IF(P355="",0,IF(P355="Conical",PI()/12*(N355*INDEX(LenF,MATCH($N$7,LenU,0)))^2*(N(R355)*INDEX(LenF,MATCH($R$7,LenU,0))),INDEX(HeadK,MATCH(P355,HeadU,0))*(N355*INDEX(LenF,MATCH($N$7,LenU,0)))^3))+IF(Q355="",0,IF(Q355="Conical",PI()/12*(N355*INDEX(LenF,MATCH($N$7,LenU,0)))^2*(N(R355)*INDEX(LenF,MATCH($R$7,LenU,0))),INDEX(HeadK,MATCH(Q355,HeadU,0))*(N355*INDEX(LenF,MATCH($N$7,LenU,0)))^3)),0)))</f>
        <v/>
      </c>
      <c r="AF355" s="41" t="str">
        <f aca="false">IF(E355&lt;&gt;"Piping","",IF(AND(ISNUMBER(AS355),ISNUMBER(M355)),PI()/4*(AS355/1000)^2*M355*INDEX(LenF,MATCH($M$7,LenU,0)),0))</f>
        <v/>
      </c>
      <c r="AG355" s="41" t="str">
        <f aca="false">IF(E355="","",N(AD355)+N(AE355)+N(AF355))</f>
        <v/>
      </c>
      <c r="AH355" s="41" t="str">
        <f aca="false">IF(ISNUMBER(I355),I355*INDEX(WtF,MATCH($I$7,WtU,0))/CC_WaterRho,"")</f>
        <v/>
      </c>
      <c r="AI355" s="31"/>
      <c r="AJ355" s="31"/>
      <c r="AK355" s="40"/>
      <c r="AL355" s="31"/>
      <c r="AM355" s="41" t="str">
        <f aca="false">IF(AO355="","",AO355*IF(ISNUMBER(AK355),AK355,CC_DefFills)*(1+IF(ISNUMBER(AL355),AL355,CC_DefAllow)))</f>
        <v/>
      </c>
      <c r="AN355" s="42" t="str">
        <f aca="false">IF(G355="Given volume",IF(ISNUMBER(H355),H355*INDEX(VolF,MATCH($H$7,VolU,0)),""),IF(G355="Water weight",AH355,IF(N(AG355)=0,"",AG355)))</f>
        <v/>
      </c>
      <c r="AO355" s="42" t="str">
        <f aca="false">IF(N(AN355)=0,"",AN355*AT355*IF(ISNUMBER(AJ355),AJ355,CC_DefCirc))</f>
        <v/>
      </c>
      <c r="AP355" s="27" t="n">
        <f aca="false">IF(ISNUMBER(T355),T355*INDEX(LenF,MATCH($T$7,LenU,0)),IF(ISNUMBER(W355),W355*INDEX(LenF,MATCH($W$7,LenU,0))/CC_PitchRatio,0))</f>
        <v>0</v>
      </c>
      <c r="AQ355" s="27" t="n">
        <f aca="false">IF(ISNUMBER(N355),PI()/4*(N355*INDEX(LenF,MATCH($N$7,LenU,0)))^2,IF(AND(ISNUMBER(S355),ISNUMBER(W355),X355&lt;&gt;""),S355*(W355*INDEX(LenF,MATCH($W$7,LenU,0)))^2*INDEX(LayoutF,MATCH(X355,LayoutU,0)),0))</f>
        <v>0</v>
      </c>
      <c r="AR355" s="27" t="n">
        <f aca="false">IF(ISNUMBER(O355),O355*INDEX(LenF,MATCH($O$7,LenU,0)),IF(ISNUMBER(V355),V355*INDEX(LenF,MATCH($V$7,LenU,0)),0))</f>
        <v>0</v>
      </c>
      <c r="AS355" s="27" t="str">
        <f aca="false">IF(ISNUMBER(L355),L355*INDEX(LenF,MATCH($L$7,LenU,0))*1000,IF(OR(J355="",K355=""),"",IFERROR(IF(INDEX(PipeWT,MATCH(J355,NPSU,0),MATCH(K355,SchU,0))="","Sch n/a",INDEX(PipeOD,MATCH(J355,NPSU,0))-2*INDEX(PipeWT,MATCH(J355,NPSU,0),MATCH(K355,SchU,0))),"")))</f>
        <v/>
      </c>
      <c r="AT355" s="27" t="n">
        <f aca="false">IF(ISNUMBER(AI355),AI355,IFERROR(INDEX(IF(CC_JobType="Decontamination",CC_TypeFillDC,CC_TypeFillCC),MATCH(E355,CC_TypeL,0)),1))</f>
        <v>1</v>
      </c>
      <c r="AU355" s="27" t="n">
        <v>11</v>
      </c>
    </row>
    <row r="356" customFormat="false" ht="15" hidden="false" customHeight="false" outlineLevel="0" collapsed="false">
      <c r="A356" s="36" t="n">
        <v>17</v>
      </c>
      <c r="B356" s="40"/>
      <c r="C356" s="32"/>
      <c r="D356" s="32"/>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1" t="str">
        <f aca="false">IF(E356="Exchanger",IF(AND(ISNUMBER(S356),ISNUMBER(U356),ISNUMBER(V356)),S356*PI()/4*(U356*INDEX(LenF,MATCH($U$7,LenU,0)))^2*V356*INDEX(LenF,MATCH($V$7,LenU,0)),0)+IF(ISNUMBER(Y356),PI()/4*(Y356*INDEX(LenF,MATCH($Y$7,LenU,0)))^2*N(Z356)*INDEX(LenF,MATCH($Z$7,LenU,0))+IF(AA356="",0,IF(AA356="Conical",PI()/12*(Y356*INDEX(LenF,MATCH($Y$7,LenU,0)))^2*(0),INDEX(HeadK,MATCH(AA356,HeadU,0))*(Y356*INDEX(LenF,MATCH($Y$7,LenU,0)))^3)),0)+IF(ISNUMBER(Y356),PI()/4*(Y356*INDEX(LenF,MATCH($Y$7,LenU,0)))^2*N(AB356)*INDEX(LenF,MATCH($AB$7,LenU,0))+IF(AC356="",0,IF(AC356="Conical",PI()/12*(Y356*INDEX(LenF,MATCH($Y$7,LenU,0)))^2*(0),INDEX(HeadK,MATCH(AC356,HeadU,0))*(Y356*INDEX(LenF,MATCH($Y$7,LenU,0)))^3)),0),"")</f>
        <v/>
      </c>
      <c r="AE356" s="41" t="str">
        <f aca="false">IF(OR(E356="",E356="Piping"),"",IF(E356="Exchanger",AQ356*AR356+IF(P356="",0,IF(P356="Conical",PI()/12*(SQRT(4*AQ356/PI()))^2*(0),INDEX(HeadK,MATCH(P356,HeadU,0))*(SQRT(4*AQ356/PI()))^3))-IF(AND(ISNUMBER(S356),ISNUMBER(V356)),S356*PI()/4*AP356^2*V356*INDEX(LenF,MATCH($V$7,LenU,0)),0),IF(ISNUMBER(N356),PI()/4*(N356*INDEX(LenF,MATCH($N$7,LenU,0)))^2*N(O356)*INDEX(LenF,MATCH($O$7,LenU,0))+IF(P356="",0,IF(P356="Conical",PI()/12*(N356*INDEX(LenF,MATCH($N$7,LenU,0)))^2*(N(R356)*INDEX(LenF,MATCH($R$7,LenU,0))),INDEX(HeadK,MATCH(P356,HeadU,0))*(N356*INDEX(LenF,MATCH($N$7,LenU,0)))^3))+IF(Q356="",0,IF(Q356="Conical",PI()/12*(N356*INDEX(LenF,MATCH($N$7,LenU,0)))^2*(N(R356)*INDEX(LenF,MATCH($R$7,LenU,0))),INDEX(HeadK,MATCH(Q356,HeadU,0))*(N356*INDEX(LenF,MATCH($N$7,LenU,0)))^3)),0)))</f>
        <v/>
      </c>
      <c r="AF356" s="41" t="str">
        <f aca="false">IF(E356&lt;&gt;"Piping","",IF(AND(ISNUMBER(AS356),ISNUMBER(M356)),PI()/4*(AS356/1000)^2*M356*INDEX(LenF,MATCH($M$7,LenU,0)),0))</f>
        <v/>
      </c>
      <c r="AG356" s="41" t="str">
        <f aca="false">IF(E356="","",N(AD356)+N(AE356)+N(AF356))</f>
        <v/>
      </c>
      <c r="AH356" s="41" t="str">
        <f aca="false">IF(ISNUMBER(I356),I356*INDEX(WtF,MATCH($I$7,WtU,0))/CC_WaterRho,"")</f>
        <v/>
      </c>
      <c r="AI356" s="31"/>
      <c r="AJ356" s="31"/>
      <c r="AK356" s="40"/>
      <c r="AL356" s="31"/>
      <c r="AM356" s="41" t="str">
        <f aca="false">IF(AO356="","",AO356*IF(ISNUMBER(AK356),AK356,CC_DefFills)*(1+IF(ISNUMBER(AL356),AL356,CC_DefAllow)))</f>
        <v/>
      </c>
      <c r="AN356" s="42" t="str">
        <f aca="false">IF(G356="Given volume",IF(ISNUMBER(H356),H356*INDEX(VolF,MATCH($H$7,VolU,0)),""),IF(G356="Water weight",AH356,IF(N(AG356)=0,"",AG356)))</f>
        <v/>
      </c>
      <c r="AO356" s="42" t="str">
        <f aca="false">IF(N(AN356)=0,"",AN356*AT356*IF(ISNUMBER(AJ356),AJ356,CC_DefCirc))</f>
        <v/>
      </c>
      <c r="AP356" s="27" t="n">
        <f aca="false">IF(ISNUMBER(T356),T356*INDEX(LenF,MATCH($T$7,LenU,0)),IF(ISNUMBER(W356),W356*INDEX(LenF,MATCH($W$7,LenU,0))/CC_PitchRatio,0))</f>
        <v>0</v>
      </c>
      <c r="AQ356" s="27" t="n">
        <f aca="false">IF(ISNUMBER(N356),PI()/4*(N356*INDEX(LenF,MATCH($N$7,LenU,0)))^2,IF(AND(ISNUMBER(S356),ISNUMBER(W356),X356&lt;&gt;""),S356*(W356*INDEX(LenF,MATCH($W$7,LenU,0)))^2*INDEX(LayoutF,MATCH(X356,LayoutU,0)),0))</f>
        <v>0</v>
      </c>
      <c r="AR356" s="27" t="n">
        <f aca="false">IF(ISNUMBER(O356),O356*INDEX(LenF,MATCH($O$7,LenU,0)),IF(ISNUMBER(V356),V356*INDEX(LenF,MATCH($V$7,LenU,0)),0))</f>
        <v>0</v>
      </c>
      <c r="AS356" s="27" t="str">
        <f aca="false">IF(ISNUMBER(L356),L356*INDEX(LenF,MATCH($L$7,LenU,0))*1000,IF(OR(J356="",K356=""),"",IFERROR(IF(INDEX(PipeWT,MATCH(J356,NPSU,0),MATCH(K356,SchU,0))="","Sch n/a",INDEX(PipeOD,MATCH(J356,NPSU,0))-2*INDEX(PipeWT,MATCH(J356,NPSU,0),MATCH(K356,SchU,0))),"")))</f>
        <v/>
      </c>
      <c r="AT356" s="27" t="n">
        <f aca="false">IF(ISNUMBER(AI356),AI356,IFERROR(INDEX(IF(CC_JobType="Decontamination",CC_TypeFillDC,CC_TypeFillCC),MATCH(E356,CC_TypeL,0)),1))</f>
        <v>1</v>
      </c>
      <c r="AU356" s="27" t="n">
        <v>11</v>
      </c>
    </row>
    <row r="357" customFormat="false" ht="15" hidden="false" customHeight="false" outlineLevel="0" collapsed="false">
      <c r="A357" s="36" t="n">
        <v>18</v>
      </c>
      <c r="B357" s="40"/>
      <c r="C357" s="32"/>
      <c r="D357" s="32"/>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1" t="str">
        <f aca="false">IF(E357="Exchanger",IF(AND(ISNUMBER(S357),ISNUMBER(U357),ISNUMBER(V357)),S357*PI()/4*(U357*INDEX(LenF,MATCH($U$7,LenU,0)))^2*V357*INDEX(LenF,MATCH($V$7,LenU,0)),0)+IF(ISNUMBER(Y357),PI()/4*(Y357*INDEX(LenF,MATCH($Y$7,LenU,0)))^2*N(Z357)*INDEX(LenF,MATCH($Z$7,LenU,0))+IF(AA357="",0,IF(AA357="Conical",PI()/12*(Y357*INDEX(LenF,MATCH($Y$7,LenU,0)))^2*(0),INDEX(HeadK,MATCH(AA357,HeadU,0))*(Y357*INDEX(LenF,MATCH($Y$7,LenU,0)))^3)),0)+IF(ISNUMBER(Y357),PI()/4*(Y357*INDEX(LenF,MATCH($Y$7,LenU,0)))^2*N(AB357)*INDEX(LenF,MATCH($AB$7,LenU,0))+IF(AC357="",0,IF(AC357="Conical",PI()/12*(Y357*INDEX(LenF,MATCH($Y$7,LenU,0)))^2*(0),INDEX(HeadK,MATCH(AC357,HeadU,0))*(Y357*INDEX(LenF,MATCH($Y$7,LenU,0)))^3)),0),"")</f>
        <v/>
      </c>
      <c r="AE357" s="41" t="str">
        <f aca="false">IF(OR(E357="",E357="Piping"),"",IF(E357="Exchanger",AQ357*AR357+IF(P357="",0,IF(P357="Conical",PI()/12*(SQRT(4*AQ357/PI()))^2*(0),INDEX(HeadK,MATCH(P357,HeadU,0))*(SQRT(4*AQ357/PI()))^3))-IF(AND(ISNUMBER(S357),ISNUMBER(V357)),S357*PI()/4*AP357^2*V357*INDEX(LenF,MATCH($V$7,LenU,0)),0),IF(ISNUMBER(N357),PI()/4*(N357*INDEX(LenF,MATCH($N$7,LenU,0)))^2*N(O357)*INDEX(LenF,MATCH($O$7,LenU,0))+IF(P357="",0,IF(P357="Conical",PI()/12*(N357*INDEX(LenF,MATCH($N$7,LenU,0)))^2*(N(R357)*INDEX(LenF,MATCH($R$7,LenU,0))),INDEX(HeadK,MATCH(P357,HeadU,0))*(N357*INDEX(LenF,MATCH($N$7,LenU,0)))^3))+IF(Q357="",0,IF(Q357="Conical",PI()/12*(N357*INDEX(LenF,MATCH($N$7,LenU,0)))^2*(N(R357)*INDEX(LenF,MATCH($R$7,LenU,0))),INDEX(HeadK,MATCH(Q357,HeadU,0))*(N357*INDEX(LenF,MATCH($N$7,LenU,0)))^3)),0)))</f>
        <v/>
      </c>
      <c r="AF357" s="41" t="str">
        <f aca="false">IF(E357&lt;&gt;"Piping","",IF(AND(ISNUMBER(AS357),ISNUMBER(M357)),PI()/4*(AS357/1000)^2*M357*INDEX(LenF,MATCH($M$7,LenU,0)),0))</f>
        <v/>
      </c>
      <c r="AG357" s="41" t="str">
        <f aca="false">IF(E357="","",N(AD357)+N(AE357)+N(AF357))</f>
        <v/>
      </c>
      <c r="AH357" s="41" t="str">
        <f aca="false">IF(ISNUMBER(I357),I357*INDEX(WtF,MATCH($I$7,WtU,0))/CC_WaterRho,"")</f>
        <v/>
      </c>
      <c r="AI357" s="31"/>
      <c r="AJ357" s="31"/>
      <c r="AK357" s="40"/>
      <c r="AL357" s="31"/>
      <c r="AM357" s="41" t="str">
        <f aca="false">IF(AO357="","",AO357*IF(ISNUMBER(AK357),AK357,CC_DefFills)*(1+IF(ISNUMBER(AL357),AL357,CC_DefAllow)))</f>
        <v/>
      </c>
      <c r="AN357" s="42" t="str">
        <f aca="false">IF(G357="Given volume",IF(ISNUMBER(H357),H357*INDEX(VolF,MATCH($H$7,VolU,0)),""),IF(G357="Water weight",AH357,IF(N(AG357)=0,"",AG357)))</f>
        <v/>
      </c>
      <c r="AO357" s="42" t="str">
        <f aca="false">IF(N(AN357)=0,"",AN357*AT357*IF(ISNUMBER(AJ357),AJ357,CC_DefCirc))</f>
        <v/>
      </c>
      <c r="AP357" s="27" t="n">
        <f aca="false">IF(ISNUMBER(T357),T357*INDEX(LenF,MATCH($T$7,LenU,0)),IF(ISNUMBER(W357),W357*INDEX(LenF,MATCH($W$7,LenU,0))/CC_PitchRatio,0))</f>
        <v>0</v>
      </c>
      <c r="AQ357" s="27" t="n">
        <f aca="false">IF(ISNUMBER(N357),PI()/4*(N357*INDEX(LenF,MATCH($N$7,LenU,0)))^2,IF(AND(ISNUMBER(S357),ISNUMBER(W357),X357&lt;&gt;""),S357*(W357*INDEX(LenF,MATCH($W$7,LenU,0)))^2*INDEX(LayoutF,MATCH(X357,LayoutU,0)),0))</f>
        <v>0</v>
      </c>
      <c r="AR357" s="27" t="n">
        <f aca="false">IF(ISNUMBER(O357),O357*INDEX(LenF,MATCH($O$7,LenU,0)),IF(ISNUMBER(V357),V357*INDEX(LenF,MATCH($V$7,LenU,0)),0))</f>
        <v>0</v>
      </c>
      <c r="AS357" s="27" t="str">
        <f aca="false">IF(ISNUMBER(L357),L357*INDEX(LenF,MATCH($L$7,LenU,0))*1000,IF(OR(J357="",K357=""),"",IFERROR(IF(INDEX(PipeWT,MATCH(J357,NPSU,0),MATCH(K357,SchU,0))="","Sch n/a",INDEX(PipeOD,MATCH(J357,NPSU,0))-2*INDEX(PipeWT,MATCH(J357,NPSU,0),MATCH(K357,SchU,0))),"")))</f>
        <v/>
      </c>
      <c r="AT357" s="27" t="n">
        <f aca="false">IF(ISNUMBER(AI357),AI357,IFERROR(INDEX(IF(CC_JobType="Decontamination",CC_TypeFillDC,CC_TypeFillCC),MATCH(E357,CC_TypeL,0)),1))</f>
        <v>1</v>
      </c>
      <c r="AU357" s="27" t="n">
        <v>11</v>
      </c>
    </row>
    <row r="358" customFormat="false" ht="15" hidden="false" customHeight="false" outlineLevel="0" collapsed="false">
      <c r="A358" s="36" t="n">
        <v>19</v>
      </c>
      <c r="B358" s="40"/>
      <c r="C358" s="32"/>
      <c r="D358" s="32"/>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1" t="str">
        <f aca="false">IF(E358="Exchanger",IF(AND(ISNUMBER(S358),ISNUMBER(U358),ISNUMBER(V358)),S358*PI()/4*(U358*INDEX(LenF,MATCH($U$7,LenU,0)))^2*V358*INDEX(LenF,MATCH($V$7,LenU,0)),0)+IF(ISNUMBER(Y358),PI()/4*(Y358*INDEX(LenF,MATCH($Y$7,LenU,0)))^2*N(Z358)*INDEX(LenF,MATCH($Z$7,LenU,0))+IF(AA358="",0,IF(AA358="Conical",PI()/12*(Y358*INDEX(LenF,MATCH($Y$7,LenU,0)))^2*(0),INDEX(HeadK,MATCH(AA358,HeadU,0))*(Y358*INDEX(LenF,MATCH($Y$7,LenU,0)))^3)),0)+IF(ISNUMBER(Y358),PI()/4*(Y358*INDEX(LenF,MATCH($Y$7,LenU,0)))^2*N(AB358)*INDEX(LenF,MATCH($AB$7,LenU,0))+IF(AC358="",0,IF(AC358="Conical",PI()/12*(Y358*INDEX(LenF,MATCH($Y$7,LenU,0)))^2*(0),INDEX(HeadK,MATCH(AC358,HeadU,0))*(Y358*INDEX(LenF,MATCH($Y$7,LenU,0)))^3)),0),"")</f>
        <v/>
      </c>
      <c r="AE358" s="41" t="str">
        <f aca="false">IF(OR(E358="",E358="Piping"),"",IF(E358="Exchanger",AQ358*AR358+IF(P358="",0,IF(P358="Conical",PI()/12*(SQRT(4*AQ358/PI()))^2*(0),INDEX(HeadK,MATCH(P358,HeadU,0))*(SQRT(4*AQ358/PI()))^3))-IF(AND(ISNUMBER(S358),ISNUMBER(V358)),S358*PI()/4*AP358^2*V358*INDEX(LenF,MATCH($V$7,LenU,0)),0),IF(ISNUMBER(N358),PI()/4*(N358*INDEX(LenF,MATCH($N$7,LenU,0)))^2*N(O358)*INDEX(LenF,MATCH($O$7,LenU,0))+IF(P358="",0,IF(P358="Conical",PI()/12*(N358*INDEX(LenF,MATCH($N$7,LenU,0)))^2*(N(R358)*INDEX(LenF,MATCH($R$7,LenU,0))),INDEX(HeadK,MATCH(P358,HeadU,0))*(N358*INDEX(LenF,MATCH($N$7,LenU,0)))^3))+IF(Q358="",0,IF(Q358="Conical",PI()/12*(N358*INDEX(LenF,MATCH($N$7,LenU,0)))^2*(N(R358)*INDEX(LenF,MATCH($R$7,LenU,0))),INDEX(HeadK,MATCH(Q358,HeadU,0))*(N358*INDEX(LenF,MATCH($N$7,LenU,0)))^3)),0)))</f>
        <v/>
      </c>
      <c r="AF358" s="41" t="str">
        <f aca="false">IF(E358&lt;&gt;"Piping","",IF(AND(ISNUMBER(AS358),ISNUMBER(M358)),PI()/4*(AS358/1000)^2*M358*INDEX(LenF,MATCH($M$7,LenU,0)),0))</f>
        <v/>
      </c>
      <c r="AG358" s="41" t="str">
        <f aca="false">IF(E358="","",N(AD358)+N(AE358)+N(AF358))</f>
        <v/>
      </c>
      <c r="AH358" s="41" t="str">
        <f aca="false">IF(ISNUMBER(I358),I358*INDEX(WtF,MATCH($I$7,WtU,0))/CC_WaterRho,"")</f>
        <v/>
      </c>
      <c r="AI358" s="31"/>
      <c r="AJ358" s="31"/>
      <c r="AK358" s="40"/>
      <c r="AL358" s="31"/>
      <c r="AM358" s="41" t="str">
        <f aca="false">IF(AO358="","",AO358*IF(ISNUMBER(AK358),AK358,CC_DefFills)*(1+IF(ISNUMBER(AL358),AL358,CC_DefAllow)))</f>
        <v/>
      </c>
      <c r="AN358" s="42" t="str">
        <f aca="false">IF(G358="Given volume",IF(ISNUMBER(H358),H358*INDEX(VolF,MATCH($H$7,VolU,0)),""),IF(G358="Water weight",AH358,IF(N(AG358)=0,"",AG358)))</f>
        <v/>
      </c>
      <c r="AO358" s="42" t="str">
        <f aca="false">IF(N(AN358)=0,"",AN358*AT358*IF(ISNUMBER(AJ358),AJ358,CC_DefCirc))</f>
        <v/>
      </c>
      <c r="AP358" s="27" t="n">
        <f aca="false">IF(ISNUMBER(T358),T358*INDEX(LenF,MATCH($T$7,LenU,0)),IF(ISNUMBER(W358),W358*INDEX(LenF,MATCH($W$7,LenU,0))/CC_PitchRatio,0))</f>
        <v>0</v>
      </c>
      <c r="AQ358" s="27" t="n">
        <f aca="false">IF(ISNUMBER(N358),PI()/4*(N358*INDEX(LenF,MATCH($N$7,LenU,0)))^2,IF(AND(ISNUMBER(S358),ISNUMBER(W358),X358&lt;&gt;""),S358*(W358*INDEX(LenF,MATCH($W$7,LenU,0)))^2*INDEX(LayoutF,MATCH(X358,LayoutU,0)),0))</f>
        <v>0</v>
      </c>
      <c r="AR358" s="27" t="n">
        <f aca="false">IF(ISNUMBER(O358),O358*INDEX(LenF,MATCH($O$7,LenU,0)),IF(ISNUMBER(V358),V358*INDEX(LenF,MATCH($V$7,LenU,0)),0))</f>
        <v>0</v>
      </c>
      <c r="AS358" s="27" t="str">
        <f aca="false">IF(ISNUMBER(L358),L358*INDEX(LenF,MATCH($L$7,LenU,0))*1000,IF(OR(J358="",K358=""),"",IFERROR(IF(INDEX(PipeWT,MATCH(J358,NPSU,0),MATCH(K358,SchU,0))="","Sch n/a",INDEX(PipeOD,MATCH(J358,NPSU,0))-2*INDEX(PipeWT,MATCH(J358,NPSU,0),MATCH(K358,SchU,0))),"")))</f>
        <v/>
      </c>
      <c r="AT358" s="27" t="n">
        <f aca="false">IF(ISNUMBER(AI358),AI358,IFERROR(INDEX(IF(CC_JobType="Decontamination",CC_TypeFillDC,CC_TypeFillCC),MATCH(E358,CC_TypeL,0)),1))</f>
        <v>1</v>
      </c>
      <c r="AU358" s="27" t="n">
        <v>11</v>
      </c>
    </row>
    <row r="359" customFormat="false" ht="15" hidden="false" customHeight="false" outlineLevel="0" collapsed="false">
      <c r="A359" s="36" t="n">
        <v>20</v>
      </c>
      <c r="B359" s="40"/>
      <c r="C359" s="32"/>
      <c r="D359" s="32"/>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1" t="str">
        <f aca="false">IF(E359="Exchanger",IF(AND(ISNUMBER(S359),ISNUMBER(U359),ISNUMBER(V359)),S359*PI()/4*(U359*INDEX(LenF,MATCH($U$7,LenU,0)))^2*V359*INDEX(LenF,MATCH($V$7,LenU,0)),0)+IF(ISNUMBER(Y359),PI()/4*(Y359*INDEX(LenF,MATCH($Y$7,LenU,0)))^2*N(Z359)*INDEX(LenF,MATCH($Z$7,LenU,0))+IF(AA359="",0,IF(AA359="Conical",PI()/12*(Y359*INDEX(LenF,MATCH($Y$7,LenU,0)))^2*(0),INDEX(HeadK,MATCH(AA359,HeadU,0))*(Y359*INDEX(LenF,MATCH($Y$7,LenU,0)))^3)),0)+IF(ISNUMBER(Y359),PI()/4*(Y359*INDEX(LenF,MATCH($Y$7,LenU,0)))^2*N(AB359)*INDEX(LenF,MATCH($AB$7,LenU,0))+IF(AC359="",0,IF(AC359="Conical",PI()/12*(Y359*INDEX(LenF,MATCH($Y$7,LenU,0)))^2*(0),INDEX(HeadK,MATCH(AC359,HeadU,0))*(Y359*INDEX(LenF,MATCH($Y$7,LenU,0)))^3)),0),"")</f>
        <v/>
      </c>
      <c r="AE359" s="41" t="str">
        <f aca="false">IF(OR(E359="",E359="Piping"),"",IF(E359="Exchanger",AQ359*AR359+IF(P359="",0,IF(P359="Conical",PI()/12*(SQRT(4*AQ359/PI()))^2*(0),INDEX(HeadK,MATCH(P359,HeadU,0))*(SQRT(4*AQ359/PI()))^3))-IF(AND(ISNUMBER(S359),ISNUMBER(V359)),S359*PI()/4*AP359^2*V359*INDEX(LenF,MATCH($V$7,LenU,0)),0),IF(ISNUMBER(N359),PI()/4*(N359*INDEX(LenF,MATCH($N$7,LenU,0)))^2*N(O359)*INDEX(LenF,MATCH($O$7,LenU,0))+IF(P359="",0,IF(P359="Conical",PI()/12*(N359*INDEX(LenF,MATCH($N$7,LenU,0)))^2*(N(R359)*INDEX(LenF,MATCH($R$7,LenU,0))),INDEX(HeadK,MATCH(P359,HeadU,0))*(N359*INDEX(LenF,MATCH($N$7,LenU,0)))^3))+IF(Q359="",0,IF(Q359="Conical",PI()/12*(N359*INDEX(LenF,MATCH($N$7,LenU,0)))^2*(N(R359)*INDEX(LenF,MATCH($R$7,LenU,0))),INDEX(HeadK,MATCH(Q359,HeadU,0))*(N359*INDEX(LenF,MATCH($N$7,LenU,0)))^3)),0)))</f>
        <v/>
      </c>
      <c r="AF359" s="41" t="str">
        <f aca="false">IF(E359&lt;&gt;"Piping","",IF(AND(ISNUMBER(AS359),ISNUMBER(M359)),PI()/4*(AS359/1000)^2*M359*INDEX(LenF,MATCH($M$7,LenU,0)),0))</f>
        <v/>
      </c>
      <c r="AG359" s="41" t="str">
        <f aca="false">IF(E359="","",N(AD359)+N(AE359)+N(AF359))</f>
        <v/>
      </c>
      <c r="AH359" s="41" t="str">
        <f aca="false">IF(ISNUMBER(I359),I359*INDEX(WtF,MATCH($I$7,WtU,0))/CC_WaterRho,"")</f>
        <v/>
      </c>
      <c r="AI359" s="31"/>
      <c r="AJ359" s="31"/>
      <c r="AK359" s="40"/>
      <c r="AL359" s="31"/>
      <c r="AM359" s="41" t="str">
        <f aca="false">IF(AO359="","",AO359*IF(ISNUMBER(AK359),AK359,CC_DefFills)*(1+IF(ISNUMBER(AL359),AL359,CC_DefAllow)))</f>
        <v/>
      </c>
      <c r="AN359" s="42" t="str">
        <f aca="false">IF(G359="Given volume",IF(ISNUMBER(H359),H359*INDEX(VolF,MATCH($H$7,VolU,0)),""),IF(G359="Water weight",AH359,IF(N(AG359)=0,"",AG359)))</f>
        <v/>
      </c>
      <c r="AO359" s="42" t="str">
        <f aca="false">IF(N(AN359)=0,"",AN359*AT359*IF(ISNUMBER(AJ359),AJ359,CC_DefCirc))</f>
        <v/>
      </c>
      <c r="AP359" s="27" t="n">
        <f aca="false">IF(ISNUMBER(T359),T359*INDEX(LenF,MATCH($T$7,LenU,0)),IF(ISNUMBER(W359),W359*INDEX(LenF,MATCH($W$7,LenU,0))/CC_PitchRatio,0))</f>
        <v>0</v>
      </c>
      <c r="AQ359" s="27" t="n">
        <f aca="false">IF(ISNUMBER(N359),PI()/4*(N359*INDEX(LenF,MATCH($N$7,LenU,0)))^2,IF(AND(ISNUMBER(S359),ISNUMBER(W359),X359&lt;&gt;""),S359*(W359*INDEX(LenF,MATCH($W$7,LenU,0)))^2*INDEX(LayoutF,MATCH(X359,LayoutU,0)),0))</f>
        <v>0</v>
      </c>
      <c r="AR359" s="27" t="n">
        <f aca="false">IF(ISNUMBER(O359),O359*INDEX(LenF,MATCH($O$7,LenU,0)),IF(ISNUMBER(V359),V359*INDEX(LenF,MATCH($V$7,LenU,0)),0))</f>
        <v>0</v>
      </c>
      <c r="AS359" s="27" t="str">
        <f aca="false">IF(ISNUMBER(L359),L359*INDEX(LenF,MATCH($L$7,LenU,0))*1000,IF(OR(J359="",K359=""),"",IFERROR(IF(INDEX(PipeWT,MATCH(J359,NPSU,0),MATCH(K359,SchU,0))="","Sch n/a",INDEX(PipeOD,MATCH(J359,NPSU,0))-2*INDEX(PipeWT,MATCH(J359,NPSU,0),MATCH(K359,SchU,0))),"")))</f>
        <v/>
      </c>
      <c r="AT359" s="27" t="n">
        <f aca="false">IF(ISNUMBER(AI359),AI359,IFERROR(INDEX(IF(CC_JobType="Decontamination",CC_TypeFillDC,CC_TypeFillCC),MATCH(E359,CC_TypeL,0)),1))</f>
        <v>1</v>
      </c>
      <c r="AU359" s="27" t="n">
        <v>11</v>
      </c>
    </row>
    <row r="360" customFormat="false" ht="15" hidden="false" customHeight="false" outlineLevel="0" collapsed="false">
      <c r="A360" s="36" t="n">
        <v>21</v>
      </c>
      <c r="B360" s="40"/>
      <c r="C360" s="32"/>
      <c r="D360" s="32"/>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1" t="str">
        <f aca="false">IF(E360="Exchanger",IF(AND(ISNUMBER(S360),ISNUMBER(U360),ISNUMBER(V360)),S360*PI()/4*(U360*INDEX(LenF,MATCH($U$7,LenU,0)))^2*V360*INDEX(LenF,MATCH($V$7,LenU,0)),0)+IF(ISNUMBER(Y360),PI()/4*(Y360*INDEX(LenF,MATCH($Y$7,LenU,0)))^2*N(Z360)*INDEX(LenF,MATCH($Z$7,LenU,0))+IF(AA360="",0,IF(AA360="Conical",PI()/12*(Y360*INDEX(LenF,MATCH($Y$7,LenU,0)))^2*(0),INDEX(HeadK,MATCH(AA360,HeadU,0))*(Y360*INDEX(LenF,MATCH($Y$7,LenU,0)))^3)),0)+IF(ISNUMBER(Y360),PI()/4*(Y360*INDEX(LenF,MATCH($Y$7,LenU,0)))^2*N(AB360)*INDEX(LenF,MATCH($AB$7,LenU,0))+IF(AC360="",0,IF(AC360="Conical",PI()/12*(Y360*INDEX(LenF,MATCH($Y$7,LenU,0)))^2*(0),INDEX(HeadK,MATCH(AC360,HeadU,0))*(Y360*INDEX(LenF,MATCH($Y$7,LenU,0)))^3)),0),"")</f>
        <v/>
      </c>
      <c r="AE360" s="41" t="str">
        <f aca="false">IF(OR(E360="",E360="Piping"),"",IF(E360="Exchanger",AQ360*AR360+IF(P360="",0,IF(P360="Conical",PI()/12*(SQRT(4*AQ360/PI()))^2*(0),INDEX(HeadK,MATCH(P360,HeadU,0))*(SQRT(4*AQ360/PI()))^3))-IF(AND(ISNUMBER(S360),ISNUMBER(V360)),S360*PI()/4*AP360^2*V360*INDEX(LenF,MATCH($V$7,LenU,0)),0),IF(ISNUMBER(N360),PI()/4*(N360*INDEX(LenF,MATCH($N$7,LenU,0)))^2*N(O360)*INDEX(LenF,MATCH($O$7,LenU,0))+IF(P360="",0,IF(P360="Conical",PI()/12*(N360*INDEX(LenF,MATCH($N$7,LenU,0)))^2*(N(R360)*INDEX(LenF,MATCH($R$7,LenU,0))),INDEX(HeadK,MATCH(P360,HeadU,0))*(N360*INDEX(LenF,MATCH($N$7,LenU,0)))^3))+IF(Q360="",0,IF(Q360="Conical",PI()/12*(N360*INDEX(LenF,MATCH($N$7,LenU,0)))^2*(N(R360)*INDEX(LenF,MATCH($R$7,LenU,0))),INDEX(HeadK,MATCH(Q360,HeadU,0))*(N360*INDEX(LenF,MATCH($N$7,LenU,0)))^3)),0)))</f>
        <v/>
      </c>
      <c r="AF360" s="41" t="str">
        <f aca="false">IF(E360&lt;&gt;"Piping","",IF(AND(ISNUMBER(AS360),ISNUMBER(M360)),PI()/4*(AS360/1000)^2*M360*INDEX(LenF,MATCH($M$7,LenU,0)),0))</f>
        <v/>
      </c>
      <c r="AG360" s="41" t="str">
        <f aca="false">IF(E360="","",N(AD360)+N(AE360)+N(AF360))</f>
        <v/>
      </c>
      <c r="AH360" s="41" t="str">
        <f aca="false">IF(ISNUMBER(I360),I360*INDEX(WtF,MATCH($I$7,WtU,0))/CC_WaterRho,"")</f>
        <v/>
      </c>
      <c r="AI360" s="31"/>
      <c r="AJ360" s="31"/>
      <c r="AK360" s="40"/>
      <c r="AL360" s="31"/>
      <c r="AM360" s="41" t="str">
        <f aca="false">IF(AO360="","",AO360*IF(ISNUMBER(AK360),AK360,CC_DefFills)*(1+IF(ISNUMBER(AL360),AL360,CC_DefAllow)))</f>
        <v/>
      </c>
      <c r="AN360" s="42" t="str">
        <f aca="false">IF(G360="Given volume",IF(ISNUMBER(H360),H360*INDEX(VolF,MATCH($H$7,VolU,0)),""),IF(G360="Water weight",AH360,IF(N(AG360)=0,"",AG360)))</f>
        <v/>
      </c>
      <c r="AO360" s="42" t="str">
        <f aca="false">IF(N(AN360)=0,"",AN360*AT360*IF(ISNUMBER(AJ360),AJ360,CC_DefCirc))</f>
        <v/>
      </c>
      <c r="AP360" s="27" t="n">
        <f aca="false">IF(ISNUMBER(T360),T360*INDEX(LenF,MATCH($T$7,LenU,0)),IF(ISNUMBER(W360),W360*INDEX(LenF,MATCH($W$7,LenU,0))/CC_PitchRatio,0))</f>
        <v>0</v>
      </c>
      <c r="AQ360" s="27" t="n">
        <f aca="false">IF(ISNUMBER(N360),PI()/4*(N360*INDEX(LenF,MATCH($N$7,LenU,0)))^2,IF(AND(ISNUMBER(S360),ISNUMBER(W360),X360&lt;&gt;""),S360*(W360*INDEX(LenF,MATCH($W$7,LenU,0)))^2*INDEX(LayoutF,MATCH(X360,LayoutU,0)),0))</f>
        <v>0</v>
      </c>
      <c r="AR360" s="27" t="n">
        <f aca="false">IF(ISNUMBER(O360),O360*INDEX(LenF,MATCH($O$7,LenU,0)),IF(ISNUMBER(V360),V360*INDEX(LenF,MATCH($V$7,LenU,0)),0))</f>
        <v>0</v>
      </c>
      <c r="AS360" s="27" t="str">
        <f aca="false">IF(ISNUMBER(L360),L360*INDEX(LenF,MATCH($L$7,LenU,0))*1000,IF(OR(J360="",K360=""),"",IFERROR(IF(INDEX(PipeWT,MATCH(J360,NPSU,0),MATCH(K360,SchU,0))="","Sch n/a",INDEX(PipeOD,MATCH(J360,NPSU,0))-2*INDEX(PipeWT,MATCH(J360,NPSU,0),MATCH(K360,SchU,0))),"")))</f>
        <v/>
      </c>
      <c r="AT360" s="27" t="n">
        <f aca="false">IF(ISNUMBER(AI360),AI360,IFERROR(INDEX(IF(CC_JobType="Decontamination",CC_TypeFillDC,CC_TypeFillCC),MATCH(E360,CC_TypeL,0)),1))</f>
        <v>1</v>
      </c>
      <c r="AU360" s="27" t="n">
        <v>11</v>
      </c>
    </row>
    <row r="361" customFormat="false" ht="15" hidden="false" customHeight="false" outlineLevel="0" collapsed="false">
      <c r="A361" s="36" t="n">
        <v>22</v>
      </c>
      <c r="B361" s="40"/>
      <c r="C361" s="32"/>
      <c r="D361" s="32"/>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1" t="str">
        <f aca="false">IF(E361="Exchanger",IF(AND(ISNUMBER(S361),ISNUMBER(U361),ISNUMBER(V361)),S361*PI()/4*(U361*INDEX(LenF,MATCH($U$7,LenU,0)))^2*V361*INDEX(LenF,MATCH($V$7,LenU,0)),0)+IF(ISNUMBER(Y361),PI()/4*(Y361*INDEX(LenF,MATCH($Y$7,LenU,0)))^2*N(Z361)*INDEX(LenF,MATCH($Z$7,LenU,0))+IF(AA361="",0,IF(AA361="Conical",PI()/12*(Y361*INDEX(LenF,MATCH($Y$7,LenU,0)))^2*(0),INDEX(HeadK,MATCH(AA361,HeadU,0))*(Y361*INDEX(LenF,MATCH($Y$7,LenU,0)))^3)),0)+IF(ISNUMBER(Y361),PI()/4*(Y361*INDEX(LenF,MATCH($Y$7,LenU,0)))^2*N(AB361)*INDEX(LenF,MATCH($AB$7,LenU,0))+IF(AC361="",0,IF(AC361="Conical",PI()/12*(Y361*INDEX(LenF,MATCH($Y$7,LenU,0)))^2*(0),INDEX(HeadK,MATCH(AC361,HeadU,0))*(Y361*INDEX(LenF,MATCH($Y$7,LenU,0)))^3)),0),"")</f>
        <v/>
      </c>
      <c r="AE361" s="41" t="str">
        <f aca="false">IF(OR(E361="",E361="Piping"),"",IF(E361="Exchanger",AQ361*AR361+IF(P361="",0,IF(P361="Conical",PI()/12*(SQRT(4*AQ361/PI()))^2*(0),INDEX(HeadK,MATCH(P361,HeadU,0))*(SQRT(4*AQ361/PI()))^3))-IF(AND(ISNUMBER(S361),ISNUMBER(V361)),S361*PI()/4*AP361^2*V361*INDEX(LenF,MATCH($V$7,LenU,0)),0),IF(ISNUMBER(N361),PI()/4*(N361*INDEX(LenF,MATCH($N$7,LenU,0)))^2*N(O361)*INDEX(LenF,MATCH($O$7,LenU,0))+IF(P361="",0,IF(P361="Conical",PI()/12*(N361*INDEX(LenF,MATCH($N$7,LenU,0)))^2*(N(R361)*INDEX(LenF,MATCH($R$7,LenU,0))),INDEX(HeadK,MATCH(P361,HeadU,0))*(N361*INDEX(LenF,MATCH($N$7,LenU,0)))^3))+IF(Q361="",0,IF(Q361="Conical",PI()/12*(N361*INDEX(LenF,MATCH($N$7,LenU,0)))^2*(N(R361)*INDEX(LenF,MATCH($R$7,LenU,0))),INDEX(HeadK,MATCH(Q361,HeadU,0))*(N361*INDEX(LenF,MATCH($N$7,LenU,0)))^3)),0)))</f>
        <v/>
      </c>
      <c r="AF361" s="41" t="str">
        <f aca="false">IF(E361&lt;&gt;"Piping","",IF(AND(ISNUMBER(AS361),ISNUMBER(M361)),PI()/4*(AS361/1000)^2*M361*INDEX(LenF,MATCH($M$7,LenU,0)),0))</f>
        <v/>
      </c>
      <c r="AG361" s="41" t="str">
        <f aca="false">IF(E361="","",N(AD361)+N(AE361)+N(AF361))</f>
        <v/>
      </c>
      <c r="AH361" s="41" t="str">
        <f aca="false">IF(ISNUMBER(I361),I361*INDEX(WtF,MATCH($I$7,WtU,0))/CC_WaterRho,"")</f>
        <v/>
      </c>
      <c r="AI361" s="31"/>
      <c r="AJ361" s="31"/>
      <c r="AK361" s="40"/>
      <c r="AL361" s="31"/>
      <c r="AM361" s="41" t="str">
        <f aca="false">IF(AO361="","",AO361*IF(ISNUMBER(AK361),AK361,CC_DefFills)*(1+IF(ISNUMBER(AL361),AL361,CC_DefAllow)))</f>
        <v/>
      </c>
      <c r="AN361" s="42" t="str">
        <f aca="false">IF(G361="Given volume",IF(ISNUMBER(H361),H361*INDEX(VolF,MATCH($H$7,VolU,0)),""),IF(G361="Water weight",AH361,IF(N(AG361)=0,"",AG361)))</f>
        <v/>
      </c>
      <c r="AO361" s="42" t="str">
        <f aca="false">IF(N(AN361)=0,"",AN361*AT361*IF(ISNUMBER(AJ361),AJ361,CC_DefCirc))</f>
        <v/>
      </c>
      <c r="AP361" s="27" t="n">
        <f aca="false">IF(ISNUMBER(T361),T361*INDEX(LenF,MATCH($T$7,LenU,0)),IF(ISNUMBER(W361),W361*INDEX(LenF,MATCH($W$7,LenU,0))/CC_PitchRatio,0))</f>
        <v>0</v>
      </c>
      <c r="AQ361" s="27" t="n">
        <f aca="false">IF(ISNUMBER(N361),PI()/4*(N361*INDEX(LenF,MATCH($N$7,LenU,0)))^2,IF(AND(ISNUMBER(S361),ISNUMBER(W361),X361&lt;&gt;""),S361*(W361*INDEX(LenF,MATCH($W$7,LenU,0)))^2*INDEX(LayoutF,MATCH(X361,LayoutU,0)),0))</f>
        <v>0</v>
      </c>
      <c r="AR361" s="27" t="n">
        <f aca="false">IF(ISNUMBER(O361),O361*INDEX(LenF,MATCH($O$7,LenU,0)),IF(ISNUMBER(V361),V361*INDEX(LenF,MATCH($V$7,LenU,0)),0))</f>
        <v>0</v>
      </c>
      <c r="AS361" s="27" t="str">
        <f aca="false">IF(ISNUMBER(L361),L361*INDEX(LenF,MATCH($L$7,LenU,0))*1000,IF(OR(J361="",K361=""),"",IFERROR(IF(INDEX(PipeWT,MATCH(J361,NPSU,0),MATCH(K361,SchU,0))="","Sch n/a",INDEX(PipeOD,MATCH(J361,NPSU,0))-2*INDEX(PipeWT,MATCH(J361,NPSU,0),MATCH(K361,SchU,0))),"")))</f>
        <v/>
      </c>
      <c r="AT361" s="27" t="n">
        <f aca="false">IF(ISNUMBER(AI361),AI361,IFERROR(INDEX(IF(CC_JobType="Decontamination",CC_TypeFillDC,CC_TypeFillCC),MATCH(E361,CC_TypeL,0)),1))</f>
        <v>1</v>
      </c>
      <c r="AU361" s="27" t="n">
        <v>11</v>
      </c>
    </row>
    <row r="362" customFormat="false" ht="15" hidden="false" customHeight="false" outlineLevel="0" collapsed="false">
      <c r="A362" s="36" t="n">
        <v>23</v>
      </c>
      <c r="B362" s="40"/>
      <c r="C362" s="32"/>
      <c r="D362" s="32"/>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1" t="str">
        <f aca="false">IF(E362="Exchanger",IF(AND(ISNUMBER(S362),ISNUMBER(U362),ISNUMBER(V362)),S362*PI()/4*(U362*INDEX(LenF,MATCH($U$7,LenU,0)))^2*V362*INDEX(LenF,MATCH($V$7,LenU,0)),0)+IF(ISNUMBER(Y362),PI()/4*(Y362*INDEX(LenF,MATCH($Y$7,LenU,0)))^2*N(Z362)*INDEX(LenF,MATCH($Z$7,LenU,0))+IF(AA362="",0,IF(AA362="Conical",PI()/12*(Y362*INDEX(LenF,MATCH($Y$7,LenU,0)))^2*(0),INDEX(HeadK,MATCH(AA362,HeadU,0))*(Y362*INDEX(LenF,MATCH($Y$7,LenU,0)))^3)),0)+IF(ISNUMBER(Y362),PI()/4*(Y362*INDEX(LenF,MATCH($Y$7,LenU,0)))^2*N(AB362)*INDEX(LenF,MATCH($AB$7,LenU,0))+IF(AC362="",0,IF(AC362="Conical",PI()/12*(Y362*INDEX(LenF,MATCH($Y$7,LenU,0)))^2*(0),INDEX(HeadK,MATCH(AC362,HeadU,0))*(Y362*INDEX(LenF,MATCH($Y$7,LenU,0)))^3)),0),"")</f>
        <v/>
      </c>
      <c r="AE362" s="41" t="str">
        <f aca="false">IF(OR(E362="",E362="Piping"),"",IF(E362="Exchanger",AQ362*AR362+IF(P362="",0,IF(P362="Conical",PI()/12*(SQRT(4*AQ362/PI()))^2*(0),INDEX(HeadK,MATCH(P362,HeadU,0))*(SQRT(4*AQ362/PI()))^3))-IF(AND(ISNUMBER(S362),ISNUMBER(V362)),S362*PI()/4*AP362^2*V362*INDEX(LenF,MATCH($V$7,LenU,0)),0),IF(ISNUMBER(N362),PI()/4*(N362*INDEX(LenF,MATCH($N$7,LenU,0)))^2*N(O362)*INDEX(LenF,MATCH($O$7,LenU,0))+IF(P362="",0,IF(P362="Conical",PI()/12*(N362*INDEX(LenF,MATCH($N$7,LenU,0)))^2*(N(R362)*INDEX(LenF,MATCH($R$7,LenU,0))),INDEX(HeadK,MATCH(P362,HeadU,0))*(N362*INDEX(LenF,MATCH($N$7,LenU,0)))^3))+IF(Q362="",0,IF(Q362="Conical",PI()/12*(N362*INDEX(LenF,MATCH($N$7,LenU,0)))^2*(N(R362)*INDEX(LenF,MATCH($R$7,LenU,0))),INDEX(HeadK,MATCH(Q362,HeadU,0))*(N362*INDEX(LenF,MATCH($N$7,LenU,0)))^3)),0)))</f>
        <v/>
      </c>
      <c r="AF362" s="41" t="str">
        <f aca="false">IF(E362&lt;&gt;"Piping","",IF(AND(ISNUMBER(AS362),ISNUMBER(M362)),PI()/4*(AS362/1000)^2*M362*INDEX(LenF,MATCH($M$7,LenU,0)),0))</f>
        <v/>
      </c>
      <c r="AG362" s="41" t="str">
        <f aca="false">IF(E362="","",N(AD362)+N(AE362)+N(AF362))</f>
        <v/>
      </c>
      <c r="AH362" s="41" t="str">
        <f aca="false">IF(ISNUMBER(I362),I362*INDEX(WtF,MATCH($I$7,WtU,0))/CC_WaterRho,"")</f>
        <v/>
      </c>
      <c r="AI362" s="31"/>
      <c r="AJ362" s="31"/>
      <c r="AK362" s="40"/>
      <c r="AL362" s="31"/>
      <c r="AM362" s="41" t="str">
        <f aca="false">IF(AO362="","",AO362*IF(ISNUMBER(AK362),AK362,CC_DefFills)*(1+IF(ISNUMBER(AL362),AL362,CC_DefAllow)))</f>
        <v/>
      </c>
      <c r="AN362" s="42" t="str">
        <f aca="false">IF(G362="Given volume",IF(ISNUMBER(H362),H362*INDEX(VolF,MATCH($H$7,VolU,0)),""),IF(G362="Water weight",AH362,IF(N(AG362)=0,"",AG362)))</f>
        <v/>
      </c>
      <c r="AO362" s="42" t="str">
        <f aca="false">IF(N(AN362)=0,"",AN362*AT362*IF(ISNUMBER(AJ362),AJ362,CC_DefCirc))</f>
        <v/>
      </c>
      <c r="AP362" s="27" t="n">
        <f aca="false">IF(ISNUMBER(T362),T362*INDEX(LenF,MATCH($T$7,LenU,0)),IF(ISNUMBER(W362),W362*INDEX(LenF,MATCH($W$7,LenU,0))/CC_PitchRatio,0))</f>
        <v>0</v>
      </c>
      <c r="AQ362" s="27" t="n">
        <f aca="false">IF(ISNUMBER(N362),PI()/4*(N362*INDEX(LenF,MATCH($N$7,LenU,0)))^2,IF(AND(ISNUMBER(S362),ISNUMBER(W362),X362&lt;&gt;""),S362*(W362*INDEX(LenF,MATCH($W$7,LenU,0)))^2*INDEX(LayoutF,MATCH(X362,LayoutU,0)),0))</f>
        <v>0</v>
      </c>
      <c r="AR362" s="27" t="n">
        <f aca="false">IF(ISNUMBER(O362),O362*INDEX(LenF,MATCH($O$7,LenU,0)),IF(ISNUMBER(V362),V362*INDEX(LenF,MATCH($V$7,LenU,0)),0))</f>
        <v>0</v>
      </c>
      <c r="AS362" s="27" t="str">
        <f aca="false">IF(ISNUMBER(L362),L362*INDEX(LenF,MATCH($L$7,LenU,0))*1000,IF(OR(J362="",K362=""),"",IFERROR(IF(INDEX(PipeWT,MATCH(J362,NPSU,0),MATCH(K362,SchU,0))="","Sch n/a",INDEX(PipeOD,MATCH(J362,NPSU,0))-2*INDEX(PipeWT,MATCH(J362,NPSU,0),MATCH(K362,SchU,0))),"")))</f>
        <v/>
      </c>
      <c r="AT362" s="27" t="n">
        <f aca="false">IF(ISNUMBER(AI362),AI362,IFERROR(INDEX(IF(CC_JobType="Decontamination",CC_TypeFillDC,CC_TypeFillCC),MATCH(E362,CC_TypeL,0)),1))</f>
        <v>1</v>
      </c>
      <c r="AU362" s="27" t="n">
        <v>11</v>
      </c>
    </row>
    <row r="363" customFormat="false" ht="15" hidden="false" customHeight="false" outlineLevel="0" collapsed="false">
      <c r="A363" s="36" t="n">
        <v>24</v>
      </c>
      <c r="B363" s="40"/>
      <c r="C363" s="32"/>
      <c r="D363" s="32"/>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1" t="str">
        <f aca="false">IF(E363="Exchanger",IF(AND(ISNUMBER(S363),ISNUMBER(U363),ISNUMBER(V363)),S363*PI()/4*(U363*INDEX(LenF,MATCH($U$7,LenU,0)))^2*V363*INDEX(LenF,MATCH($V$7,LenU,0)),0)+IF(ISNUMBER(Y363),PI()/4*(Y363*INDEX(LenF,MATCH($Y$7,LenU,0)))^2*N(Z363)*INDEX(LenF,MATCH($Z$7,LenU,0))+IF(AA363="",0,IF(AA363="Conical",PI()/12*(Y363*INDEX(LenF,MATCH($Y$7,LenU,0)))^2*(0),INDEX(HeadK,MATCH(AA363,HeadU,0))*(Y363*INDEX(LenF,MATCH($Y$7,LenU,0)))^3)),0)+IF(ISNUMBER(Y363),PI()/4*(Y363*INDEX(LenF,MATCH($Y$7,LenU,0)))^2*N(AB363)*INDEX(LenF,MATCH($AB$7,LenU,0))+IF(AC363="",0,IF(AC363="Conical",PI()/12*(Y363*INDEX(LenF,MATCH($Y$7,LenU,0)))^2*(0),INDEX(HeadK,MATCH(AC363,HeadU,0))*(Y363*INDEX(LenF,MATCH($Y$7,LenU,0)))^3)),0),"")</f>
        <v/>
      </c>
      <c r="AE363" s="41" t="str">
        <f aca="false">IF(OR(E363="",E363="Piping"),"",IF(E363="Exchanger",AQ363*AR363+IF(P363="",0,IF(P363="Conical",PI()/12*(SQRT(4*AQ363/PI()))^2*(0),INDEX(HeadK,MATCH(P363,HeadU,0))*(SQRT(4*AQ363/PI()))^3))-IF(AND(ISNUMBER(S363),ISNUMBER(V363)),S363*PI()/4*AP363^2*V363*INDEX(LenF,MATCH($V$7,LenU,0)),0),IF(ISNUMBER(N363),PI()/4*(N363*INDEX(LenF,MATCH($N$7,LenU,0)))^2*N(O363)*INDEX(LenF,MATCH($O$7,LenU,0))+IF(P363="",0,IF(P363="Conical",PI()/12*(N363*INDEX(LenF,MATCH($N$7,LenU,0)))^2*(N(R363)*INDEX(LenF,MATCH($R$7,LenU,0))),INDEX(HeadK,MATCH(P363,HeadU,0))*(N363*INDEX(LenF,MATCH($N$7,LenU,0)))^3))+IF(Q363="",0,IF(Q363="Conical",PI()/12*(N363*INDEX(LenF,MATCH($N$7,LenU,0)))^2*(N(R363)*INDEX(LenF,MATCH($R$7,LenU,0))),INDEX(HeadK,MATCH(Q363,HeadU,0))*(N363*INDEX(LenF,MATCH($N$7,LenU,0)))^3)),0)))</f>
        <v/>
      </c>
      <c r="AF363" s="41" t="str">
        <f aca="false">IF(E363&lt;&gt;"Piping","",IF(AND(ISNUMBER(AS363),ISNUMBER(M363)),PI()/4*(AS363/1000)^2*M363*INDEX(LenF,MATCH($M$7,LenU,0)),0))</f>
        <v/>
      </c>
      <c r="AG363" s="41" t="str">
        <f aca="false">IF(E363="","",N(AD363)+N(AE363)+N(AF363))</f>
        <v/>
      </c>
      <c r="AH363" s="41" t="str">
        <f aca="false">IF(ISNUMBER(I363),I363*INDEX(WtF,MATCH($I$7,WtU,0))/CC_WaterRho,"")</f>
        <v/>
      </c>
      <c r="AI363" s="31"/>
      <c r="AJ363" s="31"/>
      <c r="AK363" s="40"/>
      <c r="AL363" s="31"/>
      <c r="AM363" s="41" t="str">
        <f aca="false">IF(AO363="","",AO363*IF(ISNUMBER(AK363),AK363,CC_DefFills)*(1+IF(ISNUMBER(AL363),AL363,CC_DefAllow)))</f>
        <v/>
      </c>
      <c r="AN363" s="42" t="str">
        <f aca="false">IF(G363="Given volume",IF(ISNUMBER(H363),H363*INDEX(VolF,MATCH($H$7,VolU,0)),""),IF(G363="Water weight",AH363,IF(N(AG363)=0,"",AG363)))</f>
        <v/>
      </c>
      <c r="AO363" s="42" t="str">
        <f aca="false">IF(N(AN363)=0,"",AN363*AT363*IF(ISNUMBER(AJ363),AJ363,CC_DefCirc))</f>
        <v/>
      </c>
      <c r="AP363" s="27" t="n">
        <f aca="false">IF(ISNUMBER(T363),T363*INDEX(LenF,MATCH($T$7,LenU,0)),IF(ISNUMBER(W363),W363*INDEX(LenF,MATCH($W$7,LenU,0))/CC_PitchRatio,0))</f>
        <v>0</v>
      </c>
      <c r="AQ363" s="27" t="n">
        <f aca="false">IF(ISNUMBER(N363),PI()/4*(N363*INDEX(LenF,MATCH($N$7,LenU,0)))^2,IF(AND(ISNUMBER(S363),ISNUMBER(W363),X363&lt;&gt;""),S363*(W363*INDEX(LenF,MATCH($W$7,LenU,0)))^2*INDEX(LayoutF,MATCH(X363,LayoutU,0)),0))</f>
        <v>0</v>
      </c>
      <c r="AR363" s="27" t="n">
        <f aca="false">IF(ISNUMBER(O363),O363*INDEX(LenF,MATCH($O$7,LenU,0)),IF(ISNUMBER(V363),V363*INDEX(LenF,MATCH($V$7,LenU,0)),0))</f>
        <v>0</v>
      </c>
      <c r="AS363" s="27" t="str">
        <f aca="false">IF(ISNUMBER(L363),L363*INDEX(LenF,MATCH($L$7,LenU,0))*1000,IF(OR(J363="",K363=""),"",IFERROR(IF(INDEX(PipeWT,MATCH(J363,NPSU,0),MATCH(K363,SchU,0))="","Sch n/a",INDEX(PipeOD,MATCH(J363,NPSU,0))-2*INDEX(PipeWT,MATCH(J363,NPSU,0),MATCH(K363,SchU,0))),"")))</f>
        <v/>
      </c>
      <c r="AT363" s="27" t="n">
        <f aca="false">IF(ISNUMBER(AI363),AI363,IFERROR(INDEX(IF(CC_JobType="Decontamination",CC_TypeFillDC,CC_TypeFillCC),MATCH(E363,CC_TypeL,0)),1))</f>
        <v>1</v>
      </c>
      <c r="AU363" s="27" t="n">
        <v>11</v>
      </c>
    </row>
    <row r="364" customFormat="false" ht="15" hidden="false" customHeight="false" outlineLevel="0" collapsed="false">
      <c r="A364" s="36" t="n">
        <v>25</v>
      </c>
      <c r="B364" s="40"/>
      <c r="C364" s="32"/>
      <c r="D364" s="32"/>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1" t="str">
        <f aca="false">IF(E364="Exchanger",IF(AND(ISNUMBER(S364),ISNUMBER(U364),ISNUMBER(V364)),S364*PI()/4*(U364*INDEX(LenF,MATCH($U$7,LenU,0)))^2*V364*INDEX(LenF,MATCH($V$7,LenU,0)),0)+IF(ISNUMBER(Y364),PI()/4*(Y364*INDEX(LenF,MATCH($Y$7,LenU,0)))^2*N(Z364)*INDEX(LenF,MATCH($Z$7,LenU,0))+IF(AA364="",0,IF(AA364="Conical",PI()/12*(Y364*INDEX(LenF,MATCH($Y$7,LenU,0)))^2*(0),INDEX(HeadK,MATCH(AA364,HeadU,0))*(Y364*INDEX(LenF,MATCH($Y$7,LenU,0)))^3)),0)+IF(ISNUMBER(Y364),PI()/4*(Y364*INDEX(LenF,MATCH($Y$7,LenU,0)))^2*N(AB364)*INDEX(LenF,MATCH($AB$7,LenU,0))+IF(AC364="",0,IF(AC364="Conical",PI()/12*(Y364*INDEX(LenF,MATCH($Y$7,LenU,0)))^2*(0),INDEX(HeadK,MATCH(AC364,HeadU,0))*(Y364*INDEX(LenF,MATCH($Y$7,LenU,0)))^3)),0),"")</f>
        <v/>
      </c>
      <c r="AE364" s="41" t="str">
        <f aca="false">IF(OR(E364="",E364="Piping"),"",IF(E364="Exchanger",AQ364*AR364+IF(P364="",0,IF(P364="Conical",PI()/12*(SQRT(4*AQ364/PI()))^2*(0),INDEX(HeadK,MATCH(P364,HeadU,0))*(SQRT(4*AQ364/PI()))^3))-IF(AND(ISNUMBER(S364),ISNUMBER(V364)),S364*PI()/4*AP364^2*V364*INDEX(LenF,MATCH($V$7,LenU,0)),0),IF(ISNUMBER(N364),PI()/4*(N364*INDEX(LenF,MATCH($N$7,LenU,0)))^2*N(O364)*INDEX(LenF,MATCH($O$7,LenU,0))+IF(P364="",0,IF(P364="Conical",PI()/12*(N364*INDEX(LenF,MATCH($N$7,LenU,0)))^2*(N(R364)*INDEX(LenF,MATCH($R$7,LenU,0))),INDEX(HeadK,MATCH(P364,HeadU,0))*(N364*INDEX(LenF,MATCH($N$7,LenU,0)))^3))+IF(Q364="",0,IF(Q364="Conical",PI()/12*(N364*INDEX(LenF,MATCH($N$7,LenU,0)))^2*(N(R364)*INDEX(LenF,MATCH($R$7,LenU,0))),INDEX(HeadK,MATCH(Q364,HeadU,0))*(N364*INDEX(LenF,MATCH($N$7,LenU,0)))^3)),0)))</f>
        <v/>
      </c>
      <c r="AF364" s="41" t="str">
        <f aca="false">IF(E364&lt;&gt;"Piping","",IF(AND(ISNUMBER(AS364),ISNUMBER(M364)),PI()/4*(AS364/1000)^2*M364*INDEX(LenF,MATCH($M$7,LenU,0)),0))</f>
        <v/>
      </c>
      <c r="AG364" s="41" t="str">
        <f aca="false">IF(E364="","",N(AD364)+N(AE364)+N(AF364))</f>
        <v/>
      </c>
      <c r="AH364" s="41" t="str">
        <f aca="false">IF(ISNUMBER(I364),I364*INDEX(WtF,MATCH($I$7,WtU,0))/CC_WaterRho,"")</f>
        <v/>
      </c>
      <c r="AI364" s="31"/>
      <c r="AJ364" s="31"/>
      <c r="AK364" s="40"/>
      <c r="AL364" s="31"/>
      <c r="AM364" s="41" t="str">
        <f aca="false">IF(AO364="","",AO364*IF(ISNUMBER(AK364),AK364,CC_DefFills)*(1+IF(ISNUMBER(AL364),AL364,CC_DefAllow)))</f>
        <v/>
      </c>
      <c r="AN364" s="42" t="str">
        <f aca="false">IF(G364="Given volume",IF(ISNUMBER(H364),H364*INDEX(VolF,MATCH($H$7,VolU,0)),""),IF(G364="Water weight",AH364,IF(N(AG364)=0,"",AG364)))</f>
        <v/>
      </c>
      <c r="AO364" s="42" t="str">
        <f aca="false">IF(N(AN364)=0,"",AN364*AT364*IF(ISNUMBER(AJ364),AJ364,CC_DefCirc))</f>
        <v/>
      </c>
      <c r="AP364" s="27" t="n">
        <f aca="false">IF(ISNUMBER(T364),T364*INDEX(LenF,MATCH($T$7,LenU,0)),IF(ISNUMBER(W364),W364*INDEX(LenF,MATCH($W$7,LenU,0))/CC_PitchRatio,0))</f>
        <v>0</v>
      </c>
      <c r="AQ364" s="27" t="n">
        <f aca="false">IF(ISNUMBER(N364),PI()/4*(N364*INDEX(LenF,MATCH($N$7,LenU,0)))^2,IF(AND(ISNUMBER(S364),ISNUMBER(W364),X364&lt;&gt;""),S364*(W364*INDEX(LenF,MATCH($W$7,LenU,0)))^2*INDEX(LayoutF,MATCH(X364,LayoutU,0)),0))</f>
        <v>0</v>
      </c>
      <c r="AR364" s="27" t="n">
        <f aca="false">IF(ISNUMBER(O364),O364*INDEX(LenF,MATCH($O$7,LenU,0)),IF(ISNUMBER(V364),V364*INDEX(LenF,MATCH($V$7,LenU,0)),0))</f>
        <v>0</v>
      </c>
      <c r="AS364" s="27" t="str">
        <f aca="false">IF(ISNUMBER(L364),L364*INDEX(LenF,MATCH($L$7,LenU,0))*1000,IF(OR(J364="",K364=""),"",IFERROR(IF(INDEX(PipeWT,MATCH(J364,NPSU,0),MATCH(K364,SchU,0))="","Sch n/a",INDEX(PipeOD,MATCH(J364,NPSU,0))-2*INDEX(PipeWT,MATCH(J364,NPSU,0),MATCH(K364,SchU,0))),"")))</f>
        <v/>
      </c>
      <c r="AT364" s="27" t="n">
        <f aca="false">IF(ISNUMBER(AI364),AI364,IFERROR(INDEX(IF(CC_JobType="Decontamination",CC_TypeFillDC,CC_TypeFillCC),MATCH(E364,CC_TypeL,0)),1))</f>
        <v>1</v>
      </c>
      <c r="AU364" s="27" t="n">
        <v>11</v>
      </c>
    </row>
    <row r="365" customFormat="false" ht="15" hidden="false" customHeight="false" outlineLevel="0" collapsed="false">
      <c r="A365" s="36" t="n">
        <v>26</v>
      </c>
      <c r="B365" s="40"/>
      <c r="C365" s="32"/>
      <c r="D365" s="32"/>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1" t="str">
        <f aca="false">IF(E365="Exchanger",IF(AND(ISNUMBER(S365),ISNUMBER(U365),ISNUMBER(V365)),S365*PI()/4*(U365*INDEX(LenF,MATCH($U$7,LenU,0)))^2*V365*INDEX(LenF,MATCH($V$7,LenU,0)),0)+IF(ISNUMBER(Y365),PI()/4*(Y365*INDEX(LenF,MATCH($Y$7,LenU,0)))^2*N(Z365)*INDEX(LenF,MATCH($Z$7,LenU,0))+IF(AA365="",0,IF(AA365="Conical",PI()/12*(Y365*INDEX(LenF,MATCH($Y$7,LenU,0)))^2*(0),INDEX(HeadK,MATCH(AA365,HeadU,0))*(Y365*INDEX(LenF,MATCH($Y$7,LenU,0)))^3)),0)+IF(ISNUMBER(Y365),PI()/4*(Y365*INDEX(LenF,MATCH($Y$7,LenU,0)))^2*N(AB365)*INDEX(LenF,MATCH($AB$7,LenU,0))+IF(AC365="",0,IF(AC365="Conical",PI()/12*(Y365*INDEX(LenF,MATCH($Y$7,LenU,0)))^2*(0),INDEX(HeadK,MATCH(AC365,HeadU,0))*(Y365*INDEX(LenF,MATCH($Y$7,LenU,0)))^3)),0),"")</f>
        <v/>
      </c>
      <c r="AE365" s="41" t="str">
        <f aca="false">IF(OR(E365="",E365="Piping"),"",IF(E365="Exchanger",AQ365*AR365+IF(P365="",0,IF(P365="Conical",PI()/12*(SQRT(4*AQ365/PI()))^2*(0),INDEX(HeadK,MATCH(P365,HeadU,0))*(SQRT(4*AQ365/PI()))^3))-IF(AND(ISNUMBER(S365),ISNUMBER(V365)),S365*PI()/4*AP365^2*V365*INDEX(LenF,MATCH($V$7,LenU,0)),0),IF(ISNUMBER(N365),PI()/4*(N365*INDEX(LenF,MATCH($N$7,LenU,0)))^2*N(O365)*INDEX(LenF,MATCH($O$7,LenU,0))+IF(P365="",0,IF(P365="Conical",PI()/12*(N365*INDEX(LenF,MATCH($N$7,LenU,0)))^2*(N(R365)*INDEX(LenF,MATCH($R$7,LenU,0))),INDEX(HeadK,MATCH(P365,HeadU,0))*(N365*INDEX(LenF,MATCH($N$7,LenU,0)))^3))+IF(Q365="",0,IF(Q365="Conical",PI()/12*(N365*INDEX(LenF,MATCH($N$7,LenU,0)))^2*(N(R365)*INDEX(LenF,MATCH($R$7,LenU,0))),INDEX(HeadK,MATCH(Q365,HeadU,0))*(N365*INDEX(LenF,MATCH($N$7,LenU,0)))^3)),0)))</f>
        <v/>
      </c>
      <c r="AF365" s="41" t="str">
        <f aca="false">IF(E365&lt;&gt;"Piping","",IF(AND(ISNUMBER(AS365),ISNUMBER(M365)),PI()/4*(AS365/1000)^2*M365*INDEX(LenF,MATCH($M$7,LenU,0)),0))</f>
        <v/>
      </c>
      <c r="AG365" s="41" t="str">
        <f aca="false">IF(E365="","",N(AD365)+N(AE365)+N(AF365))</f>
        <v/>
      </c>
      <c r="AH365" s="41" t="str">
        <f aca="false">IF(ISNUMBER(I365),I365*INDEX(WtF,MATCH($I$7,WtU,0))/CC_WaterRho,"")</f>
        <v/>
      </c>
      <c r="AI365" s="31"/>
      <c r="AJ365" s="31"/>
      <c r="AK365" s="40"/>
      <c r="AL365" s="31"/>
      <c r="AM365" s="41" t="str">
        <f aca="false">IF(AO365="","",AO365*IF(ISNUMBER(AK365),AK365,CC_DefFills)*(1+IF(ISNUMBER(AL365),AL365,CC_DefAllow)))</f>
        <v/>
      </c>
      <c r="AN365" s="42" t="str">
        <f aca="false">IF(G365="Given volume",IF(ISNUMBER(H365),H365*INDEX(VolF,MATCH($H$7,VolU,0)),""),IF(G365="Water weight",AH365,IF(N(AG365)=0,"",AG365)))</f>
        <v/>
      </c>
      <c r="AO365" s="42" t="str">
        <f aca="false">IF(N(AN365)=0,"",AN365*AT365*IF(ISNUMBER(AJ365),AJ365,CC_DefCirc))</f>
        <v/>
      </c>
      <c r="AP365" s="27" t="n">
        <f aca="false">IF(ISNUMBER(T365),T365*INDEX(LenF,MATCH($T$7,LenU,0)),IF(ISNUMBER(W365),W365*INDEX(LenF,MATCH($W$7,LenU,0))/CC_PitchRatio,0))</f>
        <v>0</v>
      </c>
      <c r="AQ365" s="27" t="n">
        <f aca="false">IF(ISNUMBER(N365),PI()/4*(N365*INDEX(LenF,MATCH($N$7,LenU,0)))^2,IF(AND(ISNUMBER(S365),ISNUMBER(W365),X365&lt;&gt;""),S365*(W365*INDEX(LenF,MATCH($W$7,LenU,0)))^2*INDEX(LayoutF,MATCH(X365,LayoutU,0)),0))</f>
        <v>0</v>
      </c>
      <c r="AR365" s="27" t="n">
        <f aca="false">IF(ISNUMBER(O365),O365*INDEX(LenF,MATCH($O$7,LenU,0)),IF(ISNUMBER(V365),V365*INDEX(LenF,MATCH($V$7,LenU,0)),0))</f>
        <v>0</v>
      </c>
      <c r="AS365" s="27" t="str">
        <f aca="false">IF(ISNUMBER(L365),L365*INDEX(LenF,MATCH($L$7,LenU,0))*1000,IF(OR(J365="",K365=""),"",IFERROR(IF(INDEX(PipeWT,MATCH(J365,NPSU,0),MATCH(K365,SchU,0))="","Sch n/a",INDEX(PipeOD,MATCH(J365,NPSU,0))-2*INDEX(PipeWT,MATCH(J365,NPSU,0),MATCH(K365,SchU,0))),"")))</f>
        <v/>
      </c>
      <c r="AT365" s="27" t="n">
        <f aca="false">IF(ISNUMBER(AI365),AI365,IFERROR(INDEX(IF(CC_JobType="Decontamination",CC_TypeFillDC,CC_TypeFillCC),MATCH(E365,CC_TypeL,0)),1))</f>
        <v>1</v>
      </c>
      <c r="AU365" s="27" t="n">
        <v>11</v>
      </c>
    </row>
    <row r="366" customFormat="false" ht="15" hidden="false" customHeight="false" outlineLevel="0" collapsed="false">
      <c r="A366" s="36" t="n">
        <v>27</v>
      </c>
      <c r="B366" s="40"/>
      <c r="C366" s="32"/>
      <c r="D366" s="32"/>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1" t="str">
        <f aca="false">IF(E366="Exchanger",IF(AND(ISNUMBER(S366),ISNUMBER(U366),ISNUMBER(V366)),S366*PI()/4*(U366*INDEX(LenF,MATCH($U$7,LenU,0)))^2*V366*INDEX(LenF,MATCH($V$7,LenU,0)),0)+IF(ISNUMBER(Y366),PI()/4*(Y366*INDEX(LenF,MATCH($Y$7,LenU,0)))^2*N(Z366)*INDEX(LenF,MATCH($Z$7,LenU,0))+IF(AA366="",0,IF(AA366="Conical",PI()/12*(Y366*INDEX(LenF,MATCH($Y$7,LenU,0)))^2*(0),INDEX(HeadK,MATCH(AA366,HeadU,0))*(Y366*INDEX(LenF,MATCH($Y$7,LenU,0)))^3)),0)+IF(ISNUMBER(Y366),PI()/4*(Y366*INDEX(LenF,MATCH($Y$7,LenU,0)))^2*N(AB366)*INDEX(LenF,MATCH($AB$7,LenU,0))+IF(AC366="",0,IF(AC366="Conical",PI()/12*(Y366*INDEX(LenF,MATCH($Y$7,LenU,0)))^2*(0),INDEX(HeadK,MATCH(AC366,HeadU,0))*(Y366*INDEX(LenF,MATCH($Y$7,LenU,0)))^3)),0),"")</f>
        <v/>
      </c>
      <c r="AE366" s="41" t="str">
        <f aca="false">IF(OR(E366="",E366="Piping"),"",IF(E366="Exchanger",AQ366*AR366+IF(P366="",0,IF(P366="Conical",PI()/12*(SQRT(4*AQ366/PI()))^2*(0),INDEX(HeadK,MATCH(P366,HeadU,0))*(SQRT(4*AQ366/PI()))^3))-IF(AND(ISNUMBER(S366),ISNUMBER(V366)),S366*PI()/4*AP366^2*V366*INDEX(LenF,MATCH($V$7,LenU,0)),0),IF(ISNUMBER(N366),PI()/4*(N366*INDEX(LenF,MATCH($N$7,LenU,0)))^2*N(O366)*INDEX(LenF,MATCH($O$7,LenU,0))+IF(P366="",0,IF(P366="Conical",PI()/12*(N366*INDEX(LenF,MATCH($N$7,LenU,0)))^2*(N(R366)*INDEX(LenF,MATCH($R$7,LenU,0))),INDEX(HeadK,MATCH(P366,HeadU,0))*(N366*INDEX(LenF,MATCH($N$7,LenU,0)))^3))+IF(Q366="",0,IF(Q366="Conical",PI()/12*(N366*INDEX(LenF,MATCH($N$7,LenU,0)))^2*(N(R366)*INDEX(LenF,MATCH($R$7,LenU,0))),INDEX(HeadK,MATCH(Q366,HeadU,0))*(N366*INDEX(LenF,MATCH($N$7,LenU,0)))^3)),0)))</f>
        <v/>
      </c>
      <c r="AF366" s="41" t="str">
        <f aca="false">IF(E366&lt;&gt;"Piping","",IF(AND(ISNUMBER(AS366),ISNUMBER(M366)),PI()/4*(AS366/1000)^2*M366*INDEX(LenF,MATCH($M$7,LenU,0)),0))</f>
        <v/>
      </c>
      <c r="AG366" s="41" t="str">
        <f aca="false">IF(E366="","",N(AD366)+N(AE366)+N(AF366))</f>
        <v/>
      </c>
      <c r="AH366" s="41" t="str">
        <f aca="false">IF(ISNUMBER(I366),I366*INDEX(WtF,MATCH($I$7,WtU,0))/CC_WaterRho,"")</f>
        <v/>
      </c>
      <c r="AI366" s="31"/>
      <c r="AJ366" s="31"/>
      <c r="AK366" s="40"/>
      <c r="AL366" s="31"/>
      <c r="AM366" s="41" t="str">
        <f aca="false">IF(AO366="","",AO366*IF(ISNUMBER(AK366),AK366,CC_DefFills)*(1+IF(ISNUMBER(AL366),AL366,CC_DefAllow)))</f>
        <v/>
      </c>
      <c r="AN366" s="42" t="str">
        <f aca="false">IF(G366="Given volume",IF(ISNUMBER(H366),H366*INDEX(VolF,MATCH($H$7,VolU,0)),""),IF(G366="Water weight",AH366,IF(N(AG366)=0,"",AG366)))</f>
        <v/>
      </c>
      <c r="AO366" s="42" t="str">
        <f aca="false">IF(N(AN366)=0,"",AN366*AT366*IF(ISNUMBER(AJ366),AJ366,CC_DefCirc))</f>
        <v/>
      </c>
      <c r="AP366" s="27" t="n">
        <f aca="false">IF(ISNUMBER(T366),T366*INDEX(LenF,MATCH($T$7,LenU,0)),IF(ISNUMBER(W366),W366*INDEX(LenF,MATCH($W$7,LenU,0))/CC_PitchRatio,0))</f>
        <v>0</v>
      </c>
      <c r="AQ366" s="27" t="n">
        <f aca="false">IF(ISNUMBER(N366),PI()/4*(N366*INDEX(LenF,MATCH($N$7,LenU,0)))^2,IF(AND(ISNUMBER(S366),ISNUMBER(W366),X366&lt;&gt;""),S366*(W366*INDEX(LenF,MATCH($W$7,LenU,0)))^2*INDEX(LayoutF,MATCH(X366,LayoutU,0)),0))</f>
        <v>0</v>
      </c>
      <c r="AR366" s="27" t="n">
        <f aca="false">IF(ISNUMBER(O366),O366*INDEX(LenF,MATCH($O$7,LenU,0)),IF(ISNUMBER(V366),V366*INDEX(LenF,MATCH($V$7,LenU,0)),0))</f>
        <v>0</v>
      </c>
      <c r="AS366" s="27" t="str">
        <f aca="false">IF(ISNUMBER(L366),L366*INDEX(LenF,MATCH($L$7,LenU,0))*1000,IF(OR(J366="",K366=""),"",IFERROR(IF(INDEX(PipeWT,MATCH(J366,NPSU,0),MATCH(K366,SchU,0))="","Sch n/a",INDEX(PipeOD,MATCH(J366,NPSU,0))-2*INDEX(PipeWT,MATCH(J366,NPSU,0),MATCH(K366,SchU,0))),"")))</f>
        <v/>
      </c>
      <c r="AT366" s="27" t="n">
        <f aca="false">IF(ISNUMBER(AI366),AI366,IFERROR(INDEX(IF(CC_JobType="Decontamination",CC_TypeFillDC,CC_TypeFillCC),MATCH(E366,CC_TypeL,0)),1))</f>
        <v>1</v>
      </c>
      <c r="AU366" s="27" t="n">
        <v>11</v>
      </c>
    </row>
    <row r="367" customFormat="false" ht="15" hidden="false" customHeight="false" outlineLevel="0" collapsed="false">
      <c r="A367" s="36" t="n">
        <v>28</v>
      </c>
      <c r="B367" s="40"/>
      <c r="C367" s="32"/>
      <c r="D367" s="32"/>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1" t="str">
        <f aca="false">IF(E367="Exchanger",IF(AND(ISNUMBER(S367),ISNUMBER(U367),ISNUMBER(V367)),S367*PI()/4*(U367*INDEX(LenF,MATCH($U$7,LenU,0)))^2*V367*INDEX(LenF,MATCH($V$7,LenU,0)),0)+IF(ISNUMBER(Y367),PI()/4*(Y367*INDEX(LenF,MATCH($Y$7,LenU,0)))^2*N(Z367)*INDEX(LenF,MATCH($Z$7,LenU,0))+IF(AA367="",0,IF(AA367="Conical",PI()/12*(Y367*INDEX(LenF,MATCH($Y$7,LenU,0)))^2*(0),INDEX(HeadK,MATCH(AA367,HeadU,0))*(Y367*INDEX(LenF,MATCH($Y$7,LenU,0)))^3)),0)+IF(ISNUMBER(Y367),PI()/4*(Y367*INDEX(LenF,MATCH($Y$7,LenU,0)))^2*N(AB367)*INDEX(LenF,MATCH($AB$7,LenU,0))+IF(AC367="",0,IF(AC367="Conical",PI()/12*(Y367*INDEX(LenF,MATCH($Y$7,LenU,0)))^2*(0),INDEX(HeadK,MATCH(AC367,HeadU,0))*(Y367*INDEX(LenF,MATCH($Y$7,LenU,0)))^3)),0),"")</f>
        <v/>
      </c>
      <c r="AE367" s="41" t="str">
        <f aca="false">IF(OR(E367="",E367="Piping"),"",IF(E367="Exchanger",AQ367*AR367+IF(P367="",0,IF(P367="Conical",PI()/12*(SQRT(4*AQ367/PI()))^2*(0),INDEX(HeadK,MATCH(P367,HeadU,0))*(SQRT(4*AQ367/PI()))^3))-IF(AND(ISNUMBER(S367),ISNUMBER(V367)),S367*PI()/4*AP367^2*V367*INDEX(LenF,MATCH($V$7,LenU,0)),0),IF(ISNUMBER(N367),PI()/4*(N367*INDEX(LenF,MATCH($N$7,LenU,0)))^2*N(O367)*INDEX(LenF,MATCH($O$7,LenU,0))+IF(P367="",0,IF(P367="Conical",PI()/12*(N367*INDEX(LenF,MATCH($N$7,LenU,0)))^2*(N(R367)*INDEX(LenF,MATCH($R$7,LenU,0))),INDEX(HeadK,MATCH(P367,HeadU,0))*(N367*INDEX(LenF,MATCH($N$7,LenU,0)))^3))+IF(Q367="",0,IF(Q367="Conical",PI()/12*(N367*INDEX(LenF,MATCH($N$7,LenU,0)))^2*(N(R367)*INDEX(LenF,MATCH($R$7,LenU,0))),INDEX(HeadK,MATCH(Q367,HeadU,0))*(N367*INDEX(LenF,MATCH($N$7,LenU,0)))^3)),0)))</f>
        <v/>
      </c>
      <c r="AF367" s="41" t="str">
        <f aca="false">IF(E367&lt;&gt;"Piping","",IF(AND(ISNUMBER(AS367),ISNUMBER(M367)),PI()/4*(AS367/1000)^2*M367*INDEX(LenF,MATCH($M$7,LenU,0)),0))</f>
        <v/>
      </c>
      <c r="AG367" s="41" t="str">
        <f aca="false">IF(E367="","",N(AD367)+N(AE367)+N(AF367))</f>
        <v/>
      </c>
      <c r="AH367" s="41" t="str">
        <f aca="false">IF(ISNUMBER(I367),I367*INDEX(WtF,MATCH($I$7,WtU,0))/CC_WaterRho,"")</f>
        <v/>
      </c>
      <c r="AI367" s="31"/>
      <c r="AJ367" s="31"/>
      <c r="AK367" s="40"/>
      <c r="AL367" s="31"/>
      <c r="AM367" s="41" t="str">
        <f aca="false">IF(AO367="","",AO367*IF(ISNUMBER(AK367),AK367,CC_DefFills)*(1+IF(ISNUMBER(AL367),AL367,CC_DefAllow)))</f>
        <v/>
      </c>
      <c r="AN367" s="42" t="str">
        <f aca="false">IF(G367="Given volume",IF(ISNUMBER(H367),H367*INDEX(VolF,MATCH($H$7,VolU,0)),""),IF(G367="Water weight",AH367,IF(N(AG367)=0,"",AG367)))</f>
        <v/>
      </c>
      <c r="AO367" s="42" t="str">
        <f aca="false">IF(N(AN367)=0,"",AN367*AT367*IF(ISNUMBER(AJ367),AJ367,CC_DefCirc))</f>
        <v/>
      </c>
      <c r="AP367" s="27" t="n">
        <f aca="false">IF(ISNUMBER(T367),T367*INDEX(LenF,MATCH($T$7,LenU,0)),IF(ISNUMBER(W367),W367*INDEX(LenF,MATCH($W$7,LenU,0))/CC_PitchRatio,0))</f>
        <v>0</v>
      </c>
      <c r="AQ367" s="27" t="n">
        <f aca="false">IF(ISNUMBER(N367),PI()/4*(N367*INDEX(LenF,MATCH($N$7,LenU,0)))^2,IF(AND(ISNUMBER(S367),ISNUMBER(W367),X367&lt;&gt;""),S367*(W367*INDEX(LenF,MATCH($W$7,LenU,0)))^2*INDEX(LayoutF,MATCH(X367,LayoutU,0)),0))</f>
        <v>0</v>
      </c>
      <c r="AR367" s="27" t="n">
        <f aca="false">IF(ISNUMBER(O367),O367*INDEX(LenF,MATCH($O$7,LenU,0)),IF(ISNUMBER(V367),V367*INDEX(LenF,MATCH($V$7,LenU,0)),0))</f>
        <v>0</v>
      </c>
      <c r="AS367" s="27" t="str">
        <f aca="false">IF(ISNUMBER(L367),L367*INDEX(LenF,MATCH($L$7,LenU,0))*1000,IF(OR(J367="",K367=""),"",IFERROR(IF(INDEX(PipeWT,MATCH(J367,NPSU,0),MATCH(K367,SchU,0))="","Sch n/a",INDEX(PipeOD,MATCH(J367,NPSU,0))-2*INDEX(PipeWT,MATCH(J367,NPSU,0),MATCH(K367,SchU,0))),"")))</f>
        <v/>
      </c>
      <c r="AT367" s="27" t="n">
        <f aca="false">IF(ISNUMBER(AI367),AI367,IFERROR(INDEX(IF(CC_JobType="Decontamination",CC_TypeFillDC,CC_TypeFillCC),MATCH(E367,CC_TypeL,0)),1))</f>
        <v>1</v>
      </c>
      <c r="AU367" s="27" t="n">
        <v>11</v>
      </c>
    </row>
    <row r="368" customFormat="false" ht="15" hidden="false" customHeight="false" outlineLevel="0" collapsed="false">
      <c r="A368" s="36" t="n">
        <v>29</v>
      </c>
      <c r="B368" s="40"/>
      <c r="C368" s="32"/>
      <c r="D368" s="32"/>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1" t="str">
        <f aca="false">IF(E368="Exchanger",IF(AND(ISNUMBER(S368),ISNUMBER(U368),ISNUMBER(V368)),S368*PI()/4*(U368*INDEX(LenF,MATCH($U$7,LenU,0)))^2*V368*INDEX(LenF,MATCH($V$7,LenU,0)),0)+IF(ISNUMBER(Y368),PI()/4*(Y368*INDEX(LenF,MATCH($Y$7,LenU,0)))^2*N(Z368)*INDEX(LenF,MATCH($Z$7,LenU,0))+IF(AA368="",0,IF(AA368="Conical",PI()/12*(Y368*INDEX(LenF,MATCH($Y$7,LenU,0)))^2*(0),INDEX(HeadK,MATCH(AA368,HeadU,0))*(Y368*INDEX(LenF,MATCH($Y$7,LenU,0)))^3)),0)+IF(ISNUMBER(Y368),PI()/4*(Y368*INDEX(LenF,MATCH($Y$7,LenU,0)))^2*N(AB368)*INDEX(LenF,MATCH($AB$7,LenU,0))+IF(AC368="",0,IF(AC368="Conical",PI()/12*(Y368*INDEX(LenF,MATCH($Y$7,LenU,0)))^2*(0),INDEX(HeadK,MATCH(AC368,HeadU,0))*(Y368*INDEX(LenF,MATCH($Y$7,LenU,0)))^3)),0),"")</f>
        <v/>
      </c>
      <c r="AE368" s="41" t="str">
        <f aca="false">IF(OR(E368="",E368="Piping"),"",IF(E368="Exchanger",AQ368*AR368+IF(P368="",0,IF(P368="Conical",PI()/12*(SQRT(4*AQ368/PI()))^2*(0),INDEX(HeadK,MATCH(P368,HeadU,0))*(SQRT(4*AQ368/PI()))^3))-IF(AND(ISNUMBER(S368),ISNUMBER(V368)),S368*PI()/4*AP368^2*V368*INDEX(LenF,MATCH($V$7,LenU,0)),0),IF(ISNUMBER(N368),PI()/4*(N368*INDEX(LenF,MATCH($N$7,LenU,0)))^2*N(O368)*INDEX(LenF,MATCH($O$7,LenU,0))+IF(P368="",0,IF(P368="Conical",PI()/12*(N368*INDEX(LenF,MATCH($N$7,LenU,0)))^2*(N(R368)*INDEX(LenF,MATCH($R$7,LenU,0))),INDEX(HeadK,MATCH(P368,HeadU,0))*(N368*INDEX(LenF,MATCH($N$7,LenU,0)))^3))+IF(Q368="",0,IF(Q368="Conical",PI()/12*(N368*INDEX(LenF,MATCH($N$7,LenU,0)))^2*(N(R368)*INDEX(LenF,MATCH($R$7,LenU,0))),INDEX(HeadK,MATCH(Q368,HeadU,0))*(N368*INDEX(LenF,MATCH($N$7,LenU,0)))^3)),0)))</f>
        <v/>
      </c>
      <c r="AF368" s="41" t="str">
        <f aca="false">IF(E368&lt;&gt;"Piping","",IF(AND(ISNUMBER(AS368),ISNUMBER(M368)),PI()/4*(AS368/1000)^2*M368*INDEX(LenF,MATCH($M$7,LenU,0)),0))</f>
        <v/>
      </c>
      <c r="AG368" s="41" t="str">
        <f aca="false">IF(E368="","",N(AD368)+N(AE368)+N(AF368))</f>
        <v/>
      </c>
      <c r="AH368" s="41" t="str">
        <f aca="false">IF(ISNUMBER(I368),I368*INDEX(WtF,MATCH($I$7,WtU,0))/CC_WaterRho,"")</f>
        <v/>
      </c>
      <c r="AI368" s="31"/>
      <c r="AJ368" s="31"/>
      <c r="AK368" s="40"/>
      <c r="AL368" s="31"/>
      <c r="AM368" s="41" t="str">
        <f aca="false">IF(AO368="","",AO368*IF(ISNUMBER(AK368),AK368,CC_DefFills)*(1+IF(ISNUMBER(AL368),AL368,CC_DefAllow)))</f>
        <v/>
      </c>
      <c r="AN368" s="42" t="str">
        <f aca="false">IF(G368="Given volume",IF(ISNUMBER(H368),H368*INDEX(VolF,MATCH($H$7,VolU,0)),""),IF(G368="Water weight",AH368,IF(N(AG368)=0,"",AG368)))</f>
        <v/>
      </c>
      <c r="AO368" s="42" t="str">
        <f aca="false">IF(N(AN368)=0,"",AN368*AT368*IF(ISNUMBER(AJ368),AJ368,CC_DefCirc))</f>
        <v/>
      </c>
      <c r="AP368" s="27" t="n">
        <f aca="false">IF(ISNUMBER(T368),T368*INDEX(LenF,MATCH($T$7,LenU,0)),IF(ISNUMBER(W368),W368*INDEX(LenF,MATCH($W$7,LenU,0))/CC_PitchRatio,0))</f>
        <v>0</v>
      </c>
      <c r="AQ368" s="27" t="n">
        <f aca="false">IF(ISNUMBER(N368),PI()/4*(N368*INDEX(LenF,MATCH($N$7,LenU,0)))^2,IF(AND(ISNUMBER(S368),ISNUMBER(W368),X368&lt;&gt;""),S368*(W368*INDEX(LenF,MATCH($W$7,LenU,0)))^2*INDEX(LayoutF,MATCH(X368,LayoutU,0)),0))</f>
        <v>0</v>
      </c>
      <c r="AR368" s="27" t="n">
        <f aca="false">IF(ISNUMBER(O368),O368*INDEX(LenF,MATCH($O$7,LenU,0)),IF(ISNUMBER(V368),V368*INDEX(LenF,MATCH($V$7,LenU,0)),0))</f>
        <v>0</v>
      </c>
      <c r="AS368" s="27" t="str">
        <f aca="false">IF(ISNUMBER(L368),L368*INDEX(LenF,MATCH($L$7,LenU,0))*1000,IF(OR(J368="",K368=""),"",IFERROR(IF(INDEX(PipeWT,MATCH(J368,NPSU,0),MATCH(K368,SchU,0))="","Sch n/a",INDEX(PipeOD,MATCH(J368,NPSU,0))-2*INDEX(PipeWT,MATCH(J368,NPSU,0),MATCH(K368,SchU,0))),"")))</f>
        <v/>
      </c>
      <c r="AT368" s="27" t="n">
        <f aca="false">IF(ISNUMBER(AI368),AI368,IFERROR(INDEX(IF(CC_JobType="Decontamination",CC_TypeFillDC,CC_TypeFillCC),MATCH(E368,CC_TypeL,0)),1))</f>
        <v>1</v>
      </c>
      <c r="AU368" s="27" t="n">
        <v>11</v>
      </c>
    </row>
    <row r="369" customFormat="false" ht="15" hidden="false" customHeight="false" outlineLevel="0" collapsed="false">
      <c r="A369" s="36" t="n">
        <v>30</v>
      </c>
      <c r="B369" s="40"/>
      <c r="C369" s="32"/>
      <c r="D369" s="32"/>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1" t="str">
        <f aca="false">IF(E369="Exchanger",IF(AND(ISNUMBER(S369),ISNUMBER(U369),ISNUMBER(V369)),S369*PI()/4*(U369*INDEX(LenF,MATCH($U$7,LenU,0)))^2*V369*INDEX(LenF,MATCH($V$7,LenU,0)),0)+IF(ISNUMBER(Y369),PI()/4*(Y369*INDEX(LenF,MATCH($Y$7,LenU,0)))^2*N(Z369)*INDEX(LenF,MATCH($Z$7,LenU,0))+IF(AA369="",0,IF(AA369="Conical",PI()/12*(Y369*INDEX(LenF,MATCH($Y$7,LenU,0)))^2*(0),INDEX(HeadK,MATCH(AA369,HeadU,0))*(Y369*INDEX(LenF,MATCH($Y$7,LenU,0)))^3)),0)+IF(ISNUMBER(Y369),PI()/4*(Y369*INDEX(LenF,MATCH($Y$7,LenU,0)))^2*N(AB369)*INDEX(LenF,MATCH($AB$7,LenU,0))+IF(AC369="",0,IF(AC369="Conical",PI()/12*(Y369*INDEX(LenF,MATCH($Y$7,LenU,0)))^2*(0),INDEX(HeadK,MATCH(AC369,HeadU,0))*(Y369*INDEX(LenF,MATCH($Y$7,LenU,0)))^3)),0),"")</f>
        <v/>
      </c>
      <c r="AE369" s="41" t="str">
        <f aca="false">IF(OR(E369="",E369="Piping"),"",IF(E369="Exchanger",AQ369*AR369+IF(P369="",0,IF(P369="Conical",PI()/12*(SQRT(4*AQ369/PI()))^2*(0),INDEX(HeadK,MATCH(P369,HeadU,0))*(SQRT(4*AQ369/PI()))^3))-IF(AND(ISNUMBER(S369),ISNUMBER(V369)),S369*PI()/4*AP369^2*V369*INDEX(LenF,MATCH($V$7,LenU,0)),0),IF(ISNUMBER(N369),PI()/4*(N369*INDEX(LenF,MATCH($N$7,LenU,0)))^2*N(O369)*INDEX(LenF,MATCH($O$7,LenU,0))+IF(P369="",0,IF(P369="Conical",PI()/12*(N369*INDEX(LenF,MATCH($N$7,LenU,0)))^2*(N(R369)*INDEX(LenF,MATCH($R$7,LenU,0))),INDEX(HeadK,MATCH(P369,HeadU,0))*(N369*INDEX(LenF,MATCH($N$7,LenU,0)))^3))+IF(Q369="",0,IF(Q369="Conical",PI()/12*(N369*INDEX(LenF,MATCH($N$7,LenU,0)))^2*(N(R369)*INDEX(LenF,MATCH($R$7,LenU,0))),INDEX(HeadK,MATCH(Q369,HeadU,0))*(N369*INDEX(LenF,MATCH($N$7,LenU,0)))^3)),0)))</f>
        <v/>
      </c>
      <c r="AF369" s="41" t="str">
        <f aca="false">IF(E369&lt;&gt;"Piping","",IF(AND(ISNUMBER(AS369),ISNUMBER(M369)),PI()/4*(AS369/1000)^2*M369*INDEX(LenF,MATCH($M$7,LenU,0)),0))</f>
        <v/>
      </c>
      <c r="AG369" s="41" t="str">
        <f aca="false">IF(E369="","",N(AD369)+N(AE369)+N(AF369))</f>
        <v/>
      </c>
      <c r="AH369" s="41" t="str">
        <f aca="false">IF(ISNUMBER(I369),I369*INDEX(WtF,MATCH($I$7,WtU,0))/CC_WaterRho,"")</f>
        <v/>
      </c>
      <c r="AI369" s="31"/>
      <c r="AJ369" s="31"/>
      <c r="AK369" s="40"/>
      <c r="AL369" s="31"/>
      <c r="AM369" s="41" t="str">
        <f aca="false">IF(AO369="","",AO369*IF(ISNUMBER(AK369),AK369,CC_DefFills)*(1+IF(ISNUMBER(AL369),AL369,CC_DefAllow)))</f>
        <v/>
      </c>
      <c r="AN369" s="42" t="str">
        <f aca="false">IF(G369="Given volume",IF(ISNUMBER(H369),H369*INDEX(VolF,MATCH($H$7,VolU,0)),""),IF(G369="Water weight",AH369,IF(N(AG369)=0,"",AG369)))</f>
        <v/>
      </c>
      <c r="AO369" s="42" t="str">
        <f aca="false">IF(N(AN369)=0,"",AN369*AT369*IF(ISNUMBER(AJ369),AJ369,CC_DefCirc))</f>
        <v/>
      </c>
      <c r="AP369" s="27" t="n">
        <f aca="false">IF(ISNUMBER(T369),T369*INDEX(LenF,MATCH($T$7,LenU,0)),IF(ISNUMBER(W369),W369*INDEX(LenF,MATCH($W$7,LenU,0))/CC_PitchRatio,0))</f>
        <v>0</v>
      </c>
      <c r="AQ369" s="27" t="n">
        <f aca="false">IF(ISNUMBER(N369),PI()/4*(N369*INDEX(LenF,MATCH($N$7,LenU,0)))^2,IF(AND(ISNUMBER(S369),ISNUMBER(W369),X369&lt;&gt;""),S369*(W369*INDEX(LenF,MATCH($W$7,LenU,0)))^2*INDEX(LayoutF,MATCH(X369,LayoutU,0)),0))</f>
        <v>0</v>
      </c>
      <c r="AR369" s="27" t="n">
        <f aca="false">IF(ISNUMBER(O369),O369*INDEX(LenF,MATCH($O$7,LenU,0)),IF(ISNUMBER(V369),V369*INDEX(LenF,MATCH($V$7,LenU,0)),0))</f>
        <v>0</v>
      </c>
      <c r="AS369" s="27" t="str">
        <f aca="false">IF(ISNUMBER(L369),L369*INDEX(LenF,MATCH($L$7,LenU,0))*1000,IF(OR(J369="",K369=""),"",IFERROR(IF(INDEX(PipeWT,MATCH(J369,NPSU,0),MATCH(K369,SchU,0))="","Sch n/a",INDEX(PipeOD,MATCH(J369,NPSU,0))-2*INDEX(PipeWT,MATCH(J369,NPSU,0),MATCH(K369,SchU,0))),"")))</f>
        <v/>
      </c>
      <c r="AT369" s="27" t="n">
        <f aca="false">IF(ISNUMBER(AI369),AI369,IFERROR(INDEX(IF(CC_JobType="Decontamination",CC_TypeFillDC,CC_TypeFillCC),MATCH(E369,CC_TypeL,0)),1))</f>
        <v>1</v>
      </c>
      <c r="AU369" s="27" t="n">
        <v>11</v>
      </c>
    </row>
    <row r="370" customFormat="false" ht="15" hidden="false" customHeight="false" outlineLevel="0" collapsed="false">
      <c r="A370" s="44" t="str">
        <f aca="false">"TOTAL – "&amp;INDEX(CC_UnitNames,11)</f>
        <v>TOTAL – Unit 11</v>
      </c>
      <c r="B370" s="44"/>
      <c r="C370" s="44"/>
      <c r="D370" s="44"/>
      <c r="E370" s="45"/>
      <c r="F370" s="45"/>
      <c r="G370" s="45"/>
      <c r="H370" s="45"/>
      <c r="I370" s="45"/>
      <c r="J370" s="45"/>
      <c r="K370" s="45"/>
      <c r="L370" s="45"/>
      <c r="M370" s="45"/>
      <c r="N370" s="45"/>
      <c r="O370" s="45"/>
      <c r="P370" s="45"/>
      <c r="Q370" s="45"/>
      <c r="R370" s="45"/>
      <c r="S370" s="46" t="str">
        <f aca="false">COUNT(AN340:AN369)&amp;" items"</f>
        <v>0 items</v>
      </c>
      <c r="T370" s="45"/>
      <c r="U370" s="45"/>
      <c r="V370" s="45"/>
      <c r="W370" s="45"/>
      <c r="X370" s="45"/>
      <c r="Y370" s="45"/>
      <c r="Z370" s="45"/>
      <c r="AA370" s="45"/>
      <c r="AB370" s="45"/>
      <c r="AC370" s="45"/>
      <c r="AD370" s="47" t="n">
        <f aca="false">SUM(AD340:AD369)</f>
        <v>0</v>
      </c>
      <c r="AE370" s="47" t="n">
        <f aca="false">SUM(AE340:AE369)</f>
        <v>0</v>
      </c>
      <c r="AF370" s="47" t="n">
        <f aca="false">SUM(AF340:AF369)</f>
        <v>0</v>
      </c>
      <c r="AG370" s="47" t="n">
        <f aca="false">SUM(AG340:AG369)</f>
        <v>0</v>
      </c>
      <c r="AH370" s="47" t="n">
        <f aca="false">SUM(AH340:AH369)</f>
        <v>0</v>
      </c>
      <c r="AI370" s="45"/>
      <c r="AJ370" s="45"/>
      <c r="AK370" s="45"/>
      <c r="AL370" s="45"/>
      <c r="AM370" s="47" t="n">
        <f aca="false">SUM(AM340:AM369)</f>
        <v>0</v>
      </c>
      <c r="AN370" s="47" t="n">
        <f aca="false">SUM(AN340:AN369)</f>
        <v>0</v>
      </c>
      <c r="AO370" s="47" t="n">
        <f aca="false">SUM(AO340:AO369)</f>
        <v>0</v>
      </c>
    </row>
    <row r="372" customFormat="false" ht="15" hidden="false" customHeight="false" outlineLevel="0" collapsed="false">
      <c r="A372" s="38" t="str">
        <f aca="false">"UNIT 12:  "&amp;INDEX(CC_UnitNames,12)</f>
        <v>UNIT 12:  Unit 12</v>
      </c>
      <c r="B372" s="38"/>
      <c r="C372" s="38"/>
      <c r="D372" s="38"/>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row>
    <row r="373" customFormat="false" ht="15" hidden="false" customHeight="false" outlineLevel="0" collapsed="false">
      <c r="A373" s="36" t="n">
        <v>1</v>
      </c>
      <c r="B373" s="40"/>
      <c r="C373" s="32"/>
      <c r="D373" s="32"/>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1" t="str">
        <f aca="false">IF(E373="Exchanger",IF(AND(ISNUMBER(S373),ISNUMBER(U373),ISNUMBER(V373)),S373*PI()/4*(U373*INDEX(LenF,MATCH($U$7,LenU,0)))^2*V373*INDEX(LenF,MATCH($V$7,LenU,0)),0)+IF(ISNUMBER(Y373),PI()/4*(Y373*INDEX(LenF,MATCH($Y$7,LenU,0)))^2*N(Z373)*INDEX(LenF,MATCH($Z$7,LenU,0))+IF(AA373="",0,IF(AA373="Conical",PI()/12*(Y373*INDEX(LenF,MATCH($Y$7,LenU,0)))^2*(0),INDEX(HeadK,MATCH(AA373,HeadU,0))*(Y373*INDEX(LenF,MATCH($Y$7,LenU,0)))^3)),0)+IF(ISNUMBER(Y373),PI()/4*(Y373*INDEX(LenF,MATCH($Y$7,LenU,0)))^2*N(AB373)*INDEX(LenF,MATCH($AB$7,LenU,0))+IF(AC373="",0,IF(AC373="Conical",PI()/12*(Y373*INDEX(LenF,MATCH($Y$7,LenU,0)))^2*(0),INDEX(HeadK,MATCH(AC373,HeadU,0))*(Y373*INDEX(LenF,MATCH($Y$7,LenU,0)))^3)),0),"")</f>
        <v/>
      </c>
      <c r="AE373" s="41" t="str">
        <f aca="false">IF(OR(E373="",E373="Piping"),"",IF(E373="Exchanger",AQ373*AR373+IF(P373="",0,IF(P373="Conical",PI()/12*(SQRT(4*AQ373/PI()))^2*(0),INDEX(HeadK,MATCH(P373,HeadU,0))*(SQRT(4*AQ373/PI()))^3))-IF(AND(ISNUMBER(S373),ISNUMBER(V373)),S373*PI()/4*AP373^2*V373*INDEX(LenF,MATCH($V$7,LenU,0)),0),IF(ISNUMBER(N373),PI()/4*(N373*INDEX(LenF,MATCH($N$7,LenU,0)))^2*N(O373)*INDEX(LenF,MATCH($O$7,LenU,0))+IF(P373="",0,IF(P373="Conical",PI()/12*(N373*INDEX(LenF,MATCH($N$7,LenU,0)))^2*(N(R373)*INDEX(LenF,MATCH($R$7,LenU,0))),INDEX(HeadK,MATCH(P373,HeadU,0))*(N373*INDEX(LenF,MATCH($N$7,LenU,0)))^3))+IF(Q373="",0,IF(Q373="Conical",PI()/12*(N373*INDEX(LenF,MATCH($N$7,LenU,0)))^2*(N(R373)*INDEX(LenF,MATCH($R$7,LenU,0))),INDEX(HeadK,MATCH(Q373,HeadU,0))*(N373*INDEX(LenF,MATCH($N$7,LenU,0)))^3)),0)))</f>
        <v/>
      </c>
      <c r="AF373" s="41" t="str">
        <f aca="false">IF(E373&lt;&gt;"Piping","",IF(AND(ISNUMBER(AS373),ISNUMBER(M373)),PI()/4*(AS373/1000)^2*M373*INDEX(LenF,MATCH($M$7,LenU,0)),0))</f>
        <v/>
      </c>
      <c r="AG373" s="41" t="str">
        <f aca="false">IF(E373="","",N(AD373)+N(AE373)+N(AF373))</f>
        <v/>
      </c>
      <c r="AH373" s="41" t="str">
        <f aca="false">IF(ISNUMBER(I373),I373*INDEX(WtF,MATCH($I$7,WtU,0))/CC_WaterRho,"")</f>
        <v/>
      </c>
      <c r="AI373" s="31"/>
      <c r="AJ373" s="31"/>
      <c r="AK373" s="40"/>
      <c r="AL373" s="31"/>
      <c r="AM373" s="41" t="str">
        <f aca="false">IF(AO373="","",AO373*IF(ISNUMBER(AK373),AK373,CC_DefFills)*(1+IF(ISNUMBER(AL373),AL373,CC_DefAllow)))</f>
        <v/>
      </c>
      <c r="AN373" s="42" t="str">
        <f aca="false">IF(G373="Given volume",IF(ISNUMBER(H373),H373*INDEX(VolF,MATCH($H$7,VolU,0)),""),IF(G373="Water weight",AH373,IF(N(AG373)=0,"",AG373)))</f>
        <v/>
      </c>
      <c r="AO373" s="42" t="str">
        <f aca="false">IF(N(AN373)=0,"",AN373*AT373*IF(ISNUMBER(AJ373),AJ373,CC_DefCirc))</f>
        <v/>
      </c>
      <c r="AP373" s="27" t="n">
        <f aca="false">IF(ISNUMBER(T373),T373*INDEX(LenF,MATCH($T$7,LenU,0)),IF(ISNUMBER(W373),W373*INDEX(LenF,MATCH($W$7,LenU,0))/CC_PitchRatio,0))</f>
        <v>0</v>
      </c>
      <c r="AQ373" s="27" t="n">
        <f aca="false">IF(ISNUMBER(N373),PI()/4*(N373*INDEX(LenF,MATCH($N$7,LenU,0)))^2,IF(AND(ISNUMBER(S373),ISNUMBER(W373),X373&lt;&gt;""),S373*(W373*INDEX(LenF,MATCH($W$7,LenU,0)))^2*INDEX(LayoutF,MATCH(X373,LayoutU,0)),0))</f>
        <v>0</v>
      </c>
      <c r="AR373" s="27" t="n">
        <f aca="false">IF(ISNUMBER(O373),O373*INDEX(LenF,MATCH($O$7,LenU,0)),IF(ISNUMBER(V373),V373*INDEX(LenF,MATCH($V$7,LenU,0)),0))</f>
        <v>0</v>
      </c>
      <c r="AS373" s="27" t="str">
        <f aca="false">IF(ISNUMBER(L373),L373*INDEX(LenF,MATCH($L$7,LenU,0))*1000,IF(OR(J373="",K373=""),"",IFERROR(IF(INDEX(PipeWT,MATCH(J373,NPSU,0),MATCH(K373,SchU,0))="","Sch n/a",INDEX(PipeOD,MATCH(J373,NPSU,0))-2*INDEX(PipeWT,MATCH(J373,NPSU,0),MATCH(K373,SchU,0))),"")))</f>
        <v/>
      </c>
      <c r="AT373" s="27" t="n">
        <f aca="false">IF(ISNUMBER(AI373),AI373,IFERROR(INDEX(IF(CC_JobType="Decontamination",CC_TypeFillDC,CC_TypeFillCC),MATCH(E373,CC_TypeL,0)),1))</f>
        <v>1</v>
      </c>
      <c r="AU373" s="27" t="n">
        <v>12</v>
      </c>
    </row>
    <row r="374" customFormat="false" ht="15" hidden="false" customHeight="false" outlineLevel="0" collapsed="false">
      <c r="A374" s="36" t="n">
        <v>2</v>
      </c>
      <c r="B374" s="40"/>
      <c r="C374" s="32"/>
      <c r="D374" s="32"/>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1" t="str">
        <f aca="false">IF(E374="Exchanger",IF(AND(ISNUMBER(S374),ISNUMBER(U374),ISNUMBER(V374)),S374*PI()/4*(U374*INDEX(LenF,MATCH($U$7,LenU,0)))^2*V374*INDEX(LenF,MATCH($V$7,LenU,0)),0)+IF(ISNUMBER(Y374),PI()/4*(Y374*INDEX(LenF,MATCH($Y$7,LenU,0)))^2*N(Z374)*INDEX(LenF,MATCH($Z$7,LenU,0))+IF(AA374="",0,IF(AA374="Conical",PI()/12*(Y374*INDEX(LenF,MATCH($Y$7,LenU,0)))^2*(0),INDEX(HeadK,MATCH(AA374,HeadU,0))*(Y374*INDEX(LenF,MATCH($Y$7,LenU,0)))^3)),0)+IF(ISNUMBER(Y374),PI()/4*(Y374*INDEX(LenF,MATCH($Y$7,LenU,0)))^2*N(AB374)*INDEX(LenF,MATCH($AB$7,LenU,0))+IF(AC374="",0,IF(AC374="Conical",PI()/12*(Y374*INDEX(LenF,MATCH($Y$7,LenU,0)))^2*(0),INDEX(HeadK,MATCH(AC374,HeadU,0))*(Y374*INDEX(LenF,MATCH($Y$7,LenU,0)))^3)),0),"")</f>
        <v/>
      </c>
      <c r="AE374" s="41" t="str">
        <f aca="false">IF(OR(E374="",E374="Piping"),"",IF(E374="Exchanger",AQ374*AR374+IF(P374="",0,IF(P374="Conical",PI()/12*(SQRT(4*AQ374/PI()))^2*(0),INDEX(HeadK,MATCH(P374,HeadU,0))*(SQRT(4*AQ374/PI()))^3))-IF(AND(ISNUMBER(S374),ISNUMBER(V374)),S374*PI()/4*AP374^2*V374*INDEX(LenF,MATCH($V$7,LenU,0)),0),IF(ISNUMBER(N374),PI()/4*(N374*INDEX(LenF,MATCH($N$7,LenU,0)))^2*N(O374)*INDEX(LenF,MATCH($O$7,LenU,0))+IF(P374="",0,IF(P374="Conical",PI()/12*(N374*INDEX(LenF,MATCH($N$7,LenU,0)))^2*(N(R374)*INDEX(LenF,MATCH($R$7,LenU,0))),INDEX(HeadK,MATCH(P374,HeadU,0))*(N374*INDEX(LenF,MATCH($N$7,LenU,0)))^3))+IF(Q374="",0,IF(Q374="Conical",PI()/12*(N374*INDEX(LenF,MATCH($N$7,LenU,0)))^2*(N(R374)*INDEX(LenF,MATCH($R$7,LenU,0))),INDEX(HeadK,MATCH(Q374,HeadU,0))*(N374*INDEX(LenF,MATCH($N$7,LenU,0)))^3)),0)))</f>
        <v/>
      </c>
      <c r="AF374" s="41" t="str">
        <f aca="false">IF(E374&lt;&gt;"Piping","",IF(AND(ISNUMBER(AS374),ISNUMBER(M374)),PI()/4*(AS374/1000)^2*M374*INDEX(LenF,MATCH($M$7,LenU,0)),0))</f>
        <v/>
      </c>
      <c r="AG374" s="41" t="str">
        <f aca="false">IF(E374="","",N(AD374)+N(AE374)+N(AF374))</f>
        <v/>
      </c>
      <c r="AH374" s="41" t="str">
        <f aca="false">IF(ISNUMBER(I374),I374*INDEX(WtF,MATCH($I$7,WtU,0))/CC_WaterRho,"")</f>
        <v/>
      </c>
      <c r="AI374" s="31"/>
      <c r="AJ374" s="31"/>
      <c r="AK374" s="40"/>
      <c r="AL374" s="31"/>
      <c r="AM374" s="41" t="str">
        <f aca="false">IF(AO374="","",AO374*IF(ISNUMBER(AK374),AK374,CC_DefFills)*(1+IF(ISNUMBER(AL374),AL374,CC_DefAllow)))</f>
        <v/>
      </c>
      <c r="AN374" s="42" t="str">
        <f aca="false">IF(G374="Given volume",IF(ISNUMBER(H374),H374*INDEX(VolF,MATCH($H$7,VolU,0)),""),IF(G374="Water weight",AH374,IF(N(AG374)=0,"",AG374)))</f>
        <v/>
      </c>
      <c r="AO374" s="42" t="str">
        <f aca="false">IF(N(AN374)=0,"",AN374*AT374*IF(ISNUMBER(AJ374),AJ374,CC_DefCirc))</f>
        <v/>
      </c>
      <c r="AP374" s="27" t="n">
        <f aca="false">IF(ISNUMBER(T374),T374*INDEX(LenF,MATCH($T$7,LenU,0)),IF(ISNUMBER(W374),W374*INDEX(LenF,MATCH($W$7,LenU,0))/CC_PitchRatio,0))</f>
        <v>0</v>
      </c>
      <c r="AQ374" s="27" t="n">
        <f aca="false">IF(ISNUMBER(N374),PI()/4*(N374*INDEX(LenF,MATCH($N$7,LenU,0)))^2,IF(AND(ISNUMBER(S374),ISNUMBER(W374),X374&lt;&gt;""),S374*(W374*INDEX(LenF,MATCH($W$7,LenU,0)))^2*INDEX(LayoutF,MATCH(X374,LayoutU,0)),0))</f>
        <v>0</v>
      </c>
      <c r="AR374" s="27" t="n">
        <f aca="false">IF(ISNUMBER(O374),O374*INDEX(LenF,MATCH($O$7,LenU,0)),IF(ISNUMBER(V374),V374*INDEX(LenF,MATCH($V$7,LenU,0)),0))</f>
        <v>0</v>
      </c>
      <c r="AS374" s="27" t="str">
        <f aca="false">IF(ISNUMBER(L374),L374*INDEX(LenF,MATCH($L$7,LenU,0))*1000,IF(OR(J374="",K374=""),"",IFERROR(IF(INDEX(PipeWT,MATCH(J374,NPSU,0),MATCH(K374,SchU,0))="","Sch n/a",INDEX(PipeOD,MATCH(J374,NPSU,0))-2*INDEX(PipeWT,MATCH(J374,NPSU,0),MATCH(K374,SchU,0))),"")))</f>
        <v/>
      </c>
      <c r="AT374" s="27" t="n">
        <f aca="false">IF(ISNUMBER(AI374),AI374,IFERROR(INDEX(IF(CC_JobType="Decontamination",CC_TypeFillDC,CC_TypeFillCC),MATCH(E374,CC_TypeL,0)),1))</f>
        <v>1</v>
      </c>
      <c r="AU374" s="27" t="n">
        <v>12</v>
      </c>
    </row>
    <row r="375" customFormat="false" ht="15" hidden="false" customHeight="false" outlineLevel="0" collapsed="false">
      <c r="A375" s="36" t="n">
        <v>3</v>
      </c>
      <c r="B375" s="40"/>
      <c r="C375" s="32"/>
      <c r="D375" s="32"/>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1" t="str">
        <f aca="false">IF(E375="Exchanger",IF(AND(ISNUMBER(S375),ISNUMBER(U375),ISNUMBER(V375)),S375*PI()/4*(U375*INDEX(LenF,MATCH($U$7,LenU,0)))^2*V375*INDEX(LenF,MATCH($V$7,LenU,0)),0)+IF(ISNUMBER(Y375),PI()/4*(Y375*INDEX(LenF,MATCH($Y$7,LenU,0)))^2*N(Z375)*INDEX(LenF,MATCH($Z$7,LenU,0))+IF(AA375="",0,IF(AA375="Conical",PI()/12*(Y375*INDEX(LenF,MATCH($Y$7,LenU,0)))^2*(0),INDEX(HeadK,MATCH(AA375,HeadU,0))*(Y375*INDEX(LenF,MATCH($Y$7,LenU,0)))^3)),0)+IF(ISNUMBER(Y375),PI()/4*(Y375*INDEX(LenF,MATCH($Y$7,LenU,0)))^2*N(AB375)*INDEX(LenF,MATCH($AB$7,LenU,0))+IF(AC375="",0,IF(AC375="Conical",PI()/12*(Y375*INDEX(LenF,MATCH($Y$7,LenU,0)))^2*(0),INDEX(HeadK,MATCH(AC375,HeadU,0))*(Y375*INDEX(LenF,MATCH($Y$7,LenU,0)))^3)),0),"")</f>
        <v/>
      </c>
      <c r="AE375" s="41" t="str">
        <f aca="false">IF(OR(E375="",E375="Piping"),"",IF(E375="Exchanger",AQ375*AR375+IF(P375="",0,IF(P375="Conical",PI()/12*(SQRT(4*AQ375/PI()))^2*(0),INDEX(HeadK,MATCH(P375,HeadU,0))*(SQRT(4*AQ375/PI()))^3))-IF(AND(ISNUMBER(S375),ISNUMBER(V375)),S375*PI()/4*AP375^2*V375*INDEX(LenF,MATCH($V$7,LenU,0)),0),IF(ISNUMBER(N375),PI()/4*(N375*INDEX(LenF,MATCH($N$7,LenU,0)))^2*N(O375)*INDEX(LenF,MATCH($O$7,LenU,0))+IF(P375="",0,IF(P375="Conical",PI()/12*(N375*INDEX(LenF,MATCH($N$7,LenU,0)))^2*(N(R375)*INDEX(LenF,MATCH($R$7,LenU,0))),INDEX(HeadK,MATCH(P375,HeadU,0))*(N375*INDEX(LenF,MATCH($N$7,LenU,0)))^3))+IF(Q375="",0,IF(Q375="Conical",PI()/12*(N375*INDEX(LenF,MATCH($N$7,LenU,0)))^2*(N(R375)*INDEX(LenF,MATCH($R$7,LenU,0))),INDEX(HeadK,MATCH(Q375,HeadU,0))*(N375*INDEX(LenF,MATCH($N$7,LenU,0)))^3)),0)))</f>
        <v/>
      </c>
      <c r="AF375" s="41" t="str">
        <f aca="false">IF(E375&lt;&gt;"Piping","",IF(AND(ISNUMBER(AS375),ISNUMBER(M375)),PI()/4*(AS375/1000)^2*M375*INDEX(LenF,MATCH($M$7,LenU,0)),0))</f>
        <v/>
      </c>
      <c r="AG375" s="41" t="str">
        <f aca="false">IF(E375="","",N(AD375)+N(AE375)+N(AF375))</f>
        <v/>
      </c>
      <c r="AH375" s="41" t="str">
        <f aca="false">IF(ISNUMBER(I375),I375*INDEX(WtF,MATCH($I$7,WtU,0))/CC_WaterRho,"")</f>
        <v/>
      </c>
      <c r="AI375" s="31"/>
      <c r="AJ375" s="31"/>
      <c r="AK375" s="40"/>
      <c r="AL375" s="31"/>
      <c r="AM375" s="41" t="str">
        <f aca="false">IF(AO375="","",AO375*IF(ISNUMBER(AK375),AK375,CC_DefFills)*(1+IF(ISNUMBER(AL375),AL375,CC_DefAllow)))</f>
        <v/>
      </c>
      <c r="AN375" s="42" t="str">
        <f aca="false">IF(G375="Given volume",IF(ISNUMBER(H375),H375*INDEX(VolF,MATCH($H$7,VolU,0)),""),IF(G375="Water weight",AH375,IF(N(AG375)=0,"",AG375)))</f>
        <v/>
      </c>
      <c r="AO375" s="42" t="str">
        <f aca="false">IF(N(AN375)=0,"",AN375*AT375*IF(ISNUMBER(AJ375),AJ375,CC_DefCirc))</f>
        <v/>
      </c>
      <c r="AP375" s="27" t="n">
        <f aca="false">IF(ISNUMBER(T375),T375*INDEX(LenF,MATCH($T$7,LenU,0)),IF(ISNUMBER(W375),W375*INDEX(LenF,MATCH($W$7,LenU,0))/CC_PitchRatio,0))</f>
        <v>0</v>
      </c>
      <c r="AQ375" s="27" t="n">
        <f aca="false">IF(ISNUMBER(N375),PI()/4*(N375*INDEX(LenF,MATCH($N$7,LenU,0)))^2,IF(AND(ISNUMBER(S375),ISNUMBER(W375),X375&lt;&gt;""),S375*(W375*INDEX(LenF,MATCH($W$7,LenU,0)))^2*INDEX(LayoutF,MATCH(X375,LayoutU,0)),0))</f>
        <v>0</v>
      </c>
      <c r="AR375" s="27" t="n">
        <f aca="false">IF(ISNUMBER(O375),O375*INDEX(LenF,MATCH($O$7,LenU,0)),IF(ISNUMBER(V375),V375*INDEX(LenF,MATCH($V$7,LenU,0)),0))</f>
        <v>0</v>
      </c>
      <c r="AS375" s="27" t="str">
        <f aca="false">IF(ISNUMBER(L375),L375*INDEX(LenF,MATCH($L$7,LenU,0))*1000,IF(OR(J375="",K375=""),"",IFERROR(IF(INDEX(PipeWT,MATCH(J375,NPSU,0),MATCH(K375,SchU,0))="","Sch n/a",INDEX(PipeOD,MATCH(J375,NPSU,0))-2*INDEX(PipeWT,MATCH(J375,NPSU,0),MATCH(K375,SchU,0))),"")))</f>
        <v/>
      </c>
      <c r="AT375" s="27" t="n">
        <f aca="false">IF(ISNUMBER(AI375),AI375,IFERROR(INDEX(IF(CC_JobType="Decontamination",CC_TypeFillDC,CC_TypeFillCC),MATCH(E375,CC_TypeL,0)),1))</f>
        <v>1</v>
      </c>
      <c r="AU375" s="27" t="n">
        <v>12</v>
      </c>
    </row>
    <row r="376" customFormat="false" ht="15" hidden="false" customHeight="false" outlineLevel="0" collapsed="false">
      <c r="A376" s="36" t="n">
        <v>4</v>
      </c>
      <c r="B376" s="40"/>
      <c r="C376" s="32"/>
      <c r="D376" s="32"/>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1" t="str">
        <f aca="false">IF(E376="Exchanger",IF(AND(ISNUMBER(S376),ISNUMBER(U376),ISNUMBER(V376)),S376*PI()/4*(U376*INDEX(LenF,MATCH($U$7,LenU,0)))^2*V376*INDEX(LenF,MATCH($V$7,LenU,0)),0)+IF(ISNUMBER(Y376),PI()/4*(Y376*INDEX(LenF,MATCH($Y$7,LenU,0)))^2*N(Z376)*INDEX(LenF,MATCH($Z$7,LenU,0))+IF(AA376="",0,IF(AA376="Conical",PI()/12*(Y376*INDEX(LenF,MATCH($Y$7,LenU,0)))^2*(0),INDEX(HeadK,MATCH(AA376,HeadU,0))*(Y376*INDEX(LenF,MATCH($Y$7,LenU,0)))^3)),0)+IF(ISNUMBER(Y376),PI()/4*(Y376*INDEX(LenF,MATCH($Y$7,LenU,0)))^2*N(AB376)*INDEX(LenF,MATCH($AB$7,LenU,0))+IF(AC376="",0,IF(AC376="Conical",PI()/12*(Y376*INDEX(LenF,MATCH($Y$7,LenU,0)))^2*(0),INDEX(HeadK,MATCH(AC376,HeadU,0))*(Y376*INDEX(LenF,MATCH($Y$7,LenU,0)))^3)),0),"")</f>
        <v/>
      </c>
      <c r="AE376" s="41" t="str">
        <f aca="false">IF(OR(E376="",E376="Piping"),"",IF(E376="Exchanger",AQ376*AR376+IF(P376="",0,IF(P376="Conical",PI()/12*(SQRT(4*AQ376/PI()))^2*(0),INDEX(HeadK,MATCH(P376,HeadU,0))*(SQRT(4*AQ376/PI()))^3))-IF(AND(ISNUMBER(S376),ISNUMBER(V376)),S376*PI()/4*AP376^2*V376*INDEX(LenF,MATCH($V$7,LenU,0)),0),IF(ISNUMBER(N376),PI()/4*(N376*INDEX(LenF,MATCH($N$7,LenU,0)))^2*N(O376)*INDEX(LenF,MATCH($O$7,LenU,0))+IF(P376="",0,IF(P376="Conical",PI()/12*(N376*INDEX(LenF,MATCH($N$7,LenU,0)))^2*(N(R376)*INDEX(LenF,MATCH($R$7,LenU,0))),INDEX(HeadK,MATCH(P376,HeadU,0))*(N376*INDEX(LenF,MATCH($N$7,LenU,0)))^3))+IF(Q376="",0,IF(Q376="Conical",PI()/12*(N376*INDEX(LenF,MATCH($N$7,LenU,0)))^2*(N(R376)*INDEX(LenF,MATCH($R$7,LenU,0))),INDEX(HeadK,MATCH(Q376,HeadU,0))*(N376*INDEX(LenF,MATCH($N$7,LenU,0)))^3)),0)))</f>
        <v/>
      </c>
      <c r="AF376" s="41" t="str">
        <f aca="false">IF(E376&lt;&gt;"Piping","",IF(AND(ISNUMBER(AS376),ISNUMBER(M376)),PI()/4*(AS376/1000)^2*M376*INDEX(LenF,MATCH($M$7,LenU,0)),0))</f>
        <v/>
      </c>
      <c r="AG376" s="41" t="str">
        <f aca="false">IF(E376="","",N(AD376)+N(AE376)+N(AF376))</f>
        <v/>
      </c>
      <c r="AH376" s="41" t="str">
        <f aca="false">IF(ISNUMBER(I376),I376*INDEX(WtF,MATCH($I$7,WtU,0))/CC_WaterRho,"")</f>
        <v/>
      </c>
      <c r="AI376" s="31"/>
      <c r="AJ376" s="31"/>
      <c r="AK376" s="40"/>
      <c r="AL376" s="31"/>
      <c r="AM376" s="41" t="str">
        <f aca="false">IF(AO376="","",AO376*IF(ISNUMBER(AK376),AK376,CC_DefFills)*(1+IF(ISNUMBER(AL376),AL376,CC_DefAllow)))</f>
        <v/>
      </c>
      <c r="AN376" s="42" t="str">
        <f aca="false">IF(G376="Given volume",IF(ISNUMBER(H376),H376*INDEX(VolF,MATCH($H$7,VolU,0)),""),IF(G376="Water weight",AH376,IF(N(AG376)=0,"",AG376)))</f>
        <v/>
      </c>
      <c r="AO376" s="42" t="str">
        <f aca="false">IF(N(AN376)=0,"",AN376*AT376*IF(ISNUMBER(AJ376),AJ376,CC_DefCirc))</f>
        <v/>
      </c>
      <c r="AP376" s="27" t="n">
        <f aca="false">IF(ISNUMBER(T376),T376*INDEX(LenF,MATCH($T$7,LenU,0)),IF(ISNUMBER(W376),W376*INDEX(LenF,MATCH($W$7,LenU,0))/CC_PitchRatio,0))</f>
        <v>0</v>
      </c>
      <c r="AQ376" s="27" t="n">
        <f aca="false">IF(ISNUMBER(N376),PI()/4*(N376*INDEX(LenF,MATCH($N$7,LenU,0)))^2,IF(AND(ISNUMBER(S376),ISNUMBER(W376),X376&lt;&gt;""),S376*(W376*INDEX(LenF,MATCH($W$7,LenU,0)))^2*INDEX(LayoutF,MATCH(X376,LayoutU,0)),0))</f>
        <v>0</v>
      </c>
      <c r="AR376" s="27" t="n">
        <f aca="false">IF(ISNUMBER(O376),O376*INDEX(LenF,MATCH($O$7,LenU,0)),IF(ISNUMBER(V376),V376*INDEX(LenF,MATCH($V$7,LenU,0)),0))</f>
        <v>0</v>
      </c>
      <c r="AS376" s="27" t="str">
        <f aca="false">IF(ISNUMBER(L376),L376*INDEX(LenF,MATCH($L$7,LenU,0))*1000,IF(OR(J376="",K376=""),"",IFERROR(IF(INDEX(PipeWT,MATCH(J376,NPSU,0),MATCH(K376,SchU,0))="","Sch n/a",INDEX(PipeOD,MATCH(J376,NPSU,0))-2*INDEX(PipeWT,MATCH(J376,NPSU,0),MATCH(K376,SchU,0))),"")))</f>
        <v/>
      </c>
      <c r="AT376" s="27" t="n">
        <f aca="false">IF(ISNUMBER(AI376),AI376,IFERROR(INDEX(IF(CC_JobType="Decontamination",CC_TypeFillDC,CC_TypeFillCC),MATCH(E376,CC_TypeL,0)),1))</f>
        <v>1</v>
      </c>
      <c r="AU376" s="27" t="n">
        <v>12</v>
      </c>
    </row>
    <row r="377" customFormat="false" ht="15" hidden="false" customHeight="false" outlineLevel="0" collapsed="false">
      <c r="A377" s="36" t="n">
        <v>5</v>
      </c>
      <c r="B377" s="40"/>
      <c r="C377" s="32"/>
      <c r="D377" s="32"/>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1" t="str">
        <f aca="false">IF(E377="Exchanger",IF(AND(ISNUMBER(S377),ISNUMBER(U377),ISNUMBER(V377)),S377*PI()/4*(U377*INDEX(LenF,MATCH($U$7,LenU,0)))^2*V377*INDEX(LenF,MATCH($V$7,LenU,0)),0)+IF(ISNUMBER(Y377),PI()/4*(Y377*INDEX(LenF,MATCH($Y$7,LenU,0)))^2*N(Z377)*INDEX(LenF,MATCH($Z$7,LenU,0))+IF(AA377="",0,IF(AA377="Conical",PI()/12*(Y377*INDEX(LenF,MATCH($Y$7,LenU,0)))^2*(0),INDEX(HeadK,MATCH(AA377,HeadU,0))*(Y377*INDEX(LenF,MATCH($Y$7,LenU,0)))^3)),0)+IF(ISNUMBER(Y377),PI()/4*(Y377*INDEX(LenF,MATCH($Y$7,LenU,0)))^2*N(AB377)*INDEX(LenF,MATCH($AB$7,LenU,0))+IF(AC377="",0,IF(AC377="Conical",PI()/12*(Y377*INDEX(LenF,MATCH($Y$7,LenU,0)))^2*(0),INDEX(HeadK,MATCH(AC377,HeadU,0))*(Y377*INDEX(LenF,MATCH($Y$7,LenU,0)))^3)),0),"")</f>
        <v/>
      </c>
      <c r="AE377" s="41" t="str">
        <f aca="false">IF(OR(E377="",E377="Piping"),"",IF(E377="Exchanger",AQ377*AR377+IF(P377="",0,IF(P377="Conical",PI()/12*(SQRT(4*AQ377/PI()))^2*(0),INDEX(HeadK,MATCH(P377,HeadU,0))*(SQRT(4*AQ377/PI()))^3))-IF(AND(ISNUMBER(S377),ISNUMBER(V377)),S377*PI()/4*AP377^2*V377*INDEX(LenF,MATCH($V$7,LenU,0)),0),IF(ISNUMBER(N377),PI()/4*(N377*INDEX(LenF,MATCH($N$7,LenU,0)))^2*N(O377)*INDEX(LenF,MATCH($O$7,LenU,0))+IF(P377="",0,IF(P377="Conical",PI()/12*(N377*INDEX(LenF,MATCH($N$7,LenU,0)))^2*(N(R377)*INDEX(LenF,MATCH($R$7,LenU,0))),INDEX(HeadK,MATCH(P377,HeadU,0))*(N377*INDEX(LenF,MATCH($N$7,LenU,0)))^3))+IF(Q377="",0,IF(Q377="Conical",PI()/12*(N377*INDEX(LenF,MATCH($N$7,LenU,0)))^2*(N(R377)*INDEX(LenF,MATCH($R$7,LenU,0))),INDEX(HeadK,MATCH(Q377,HeadU,0))*(N377*INDEX(LenF,MATCH($N$7,LenU,0)))^3)),0)))</f>
        <v/>
      </c>
      <c r="AF377" s="41" t="str">
        <f aca="false">IF(E377&lt;&gt;"Piping","",IF(AND(ISNUMBER(AS377),ISNUMBER(M377)),PI()/4*(AS377/1000)^2*M377*INDEX(LenF,MATCH($M$7,LenU,0)),0))</f>
        <v/>
      </c>
      <c r="AG377" s="41" t="str">
        <f aca="false">IF(E377="","",N(AD377)+N(AE377)+N(AF377))</f>
        <v/>
      </c>
      <c r="AH377" s="41" t="str">
        <f aca="false">IF(ISNUMBER(I377),I377*INDEX(WtF,MATCH($I$7,WtU,0))/CC_WaterRho,"")</f>
        <v/>
      </c>
      <c r="AI377" s="31"/>
      <c r="AJ377" s="31"/>
      <c r="AK377" s="40"/>
      <c r="AL377" s="31"/>
      <c r="AM377" s="41" t="str">
        <f aca="false">IF(AO377="","",AO377*IF(ISNUMBER(AK377),AK377,CC_DefFills)*(1+IF(ISNUMBER(AL377),AL377,CC_DefAllow)))</f>
        <v/>
      </c>
      <c r="AN377" s="42" t="str">
        <f aca="false">IF(G377="Given volume",IF(ISNUMBER(H377),H377*INDEX(VolF,MATCH($H$7,VolU,0)),""),IF(G377="Water weight",AH377,IF(N(AG377)=0,"",AG377)))</f>
        <v/>
      </c>
      <c r="AO377" s="42" t="str">
        <f aca="false">IF(N(AN377)=0,"",AN377*AT377*IF(ISNUMBER(AJ377),AJ377,CC_DefCirc))</f>
        <v/>
      </c>
      <c r="AP377" s="27" t="n">
        <f aca="false">IF(ISNUMBER(T377),T377*INDEX(LenF,MATCH($T$7,LenU,0)),IF(ISNUMBER(W377),W377*INDEX(LenF,MATCH($W$7,LenU,0))/CC_PitchRatio,0))</f>
        <v>0</v>
      </c>
      <c r="AQ377" s="27" t="n">
        <f aca="false">IF(ISNUMBER(N377),PI()/4*(N377*INDEX(LenF,MATCH($N$7,LenU,0)))^2,IF(AND(ISNUMBER(S377),ISNUMBER(W377),X377&lt;&gt;""),S377*(W377*INDEX(LenF,MATCH($W$7,LenU,0)))^2*INDEX(LayoutF,MATCH(X377,LayoutU,0)),0))</f>
        <v>0</v>
      </c>
      <c r="AR377" s="27" t="n">
        <f aca="false">IF(ISNUMBER(O377),O377*INDEX(LenF,MATCH($O$7,LenU,0)),IF(ISNUMBER(V377),V377*INDEX(LenF,MATCH($V$7,LenU,0)),0))</f>
        <v>0</v>
      </c>
      <c r="AS377" s="27" t="str">
        <f aca="false">IF(ISNUMBER(L377),L377*INDEX(LenF,MATCH($L$7,LenU,0))*1000,IF(OR(J377="",K377=""),"",IFERROR(IF(INDEX(PipeWT,MATCH(J377,NPSU,0),MATCH(K377,SchU,0))="","Sch n/a",INDEX(PipeOD,MATCH(J377,NPSU,0))-2*INDEX(PipeWT,MATCH(J377,NPSU,0),MATCH(K377,SchU,0))),"")))</f>
        <v/>
      </c>
      <c r="AT377" s="27" t="n">
        <f aca="false">IF(ISNUMBER(AI377),AI377,IFERROR(INDEX(IF(CC_JobType="Decontamination",CC_TypeFillDC,CC_TypeFillCC),MATCH(E377,CC_TypeL,0)),1))</f>
        <v>1</v>
      </c>
      <c r="AU377" s="27" t="n">
        <v>12</v>
      </c>
    </row>
    <row r="378" customFormat="false" ht="15" hidden="false" customHeight="false" outlineLevel="0" collapsed="false">
      <c r="A378" s="36" t="n">
        <v>6</v>
      </c>
      <c r="B378" s="40"/>
      <c r="C378" s="32"/>
      <c r="D378" s="32"/>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1" t="str">
        <f aca="false">IF(E378="Exchanger",IF(AND(ISNUMBER(S378),ISNUMBER(U378),ISNUMBER(V378)),S378*PI()/4*(U378*INDEX(LenF,MATCH($U$7,LenU,0)))^2*V378*INDEX(LenF,MATCH($V$7,LenU,0)),0)+IF(ISNUMBER(Y378),PI()/4*(Y378*INDEX(LenF,MATCH($Y$7,LenU,0)))^2*N(Z378)*INDEX(LenF,MATCH($Z$7,LenU,0))+IF(AA378="",0,IF(AA378="Conical",PI()/12*(Y378*INDEX(LenF,MATCH($Y$7,LenU,0)))^2*(0),INDEX(HeadK,MATCH(AA378,HeadU,0))*(Y378*INDEX(LenF,MATCH($Y$7,LenU,0)))^3)),0)+IF(ISNUMBER(Y378),PI()/4*(Y378*INDEX(LenF,MATCH($Y$7,LenU,0)))^2*N(AB378)*INDEX(LenF,MATCH($AB$7,LenU,0))+IF(AC378="",0,IF(AC378="Conical",PI()/12*(Y378*INDEX(LenF,MATCH($Y$7,LenU,0)))^2*(0),INDEX(HeadK,MATCH(AC378,HeadU,0))*(Y378*INDEX(LenF,MATCH($Y$7,LenU,0)))^3)),0),"")</f>
        <v/>
      </c>
      <c r="AE378" s="41" t="str">
        <f aca="false">IF(OR(E378="",E378="Piping"),"",IF(E378="Exchanger",AQ378*AR378+IF(P378="",0,IF(P378="Conical",PI()/12*(SQRT(4*AQ378/PI()))^2*(0),INDEX(HeadK,MATCH(P378,HeadU,0))*(SQRT(4*AQ378/PI()))^3))-IF(AND(ISNUMBER(S378),ISNUMBER(V378)),S378*PI()/4*AP378^2*V378*INDEX(LenF,MATCH($V$7,LenU,0)),0),IF(ISNUMBER(N378),PI()/4*(N378*INDEX(LenF,MATCH($N$7,LenU,0)))^2*N(O378)*INDEX(LenF,MATCH($O$7,LenU,0))+IF(P378="",0,IF(P378="Conical",PI()/12*(N378*INDEX(LenF,MATCH($N$7,LenU,0)))^2*(N(R378)*INDEX(LenF,MATCH($R$7,LenU,0))),INDEX(HeadK,MATCH(P378,HeadU,0))*(N378*INDEX(LenF,MATCH($N$7,LenU,0)))^3))+IF(Q378="",0,IF(Q378="Conical",PI()/12*(N378*INDEX(LenF,MATCH($N$7,LenU,0)))^2*(N(R378)*INDEX(LenF,MATCH($R$7,LenU,0))),INDEX(HeadK,MATCH(Q378,HeadU,0))*(N378*INDEX(LenF,MATCH($N$7,LenU,0)))^3)),0)))</f>
        <v/>
      </c>
      <c r="AF378" s="41" t="str">
        <f aca="false">IF(E378&lt;&gt;"Piping","",IF(AND(ISNUMBER(AS378),ISNUMBER(M378)),PI()/4*(AS378/1000)^2*M378*INDEX(LenF,MATCH($M$7,LenU,0)),0))</f>
        <v/>
      </c>
      <c r="AG378" s="41" t="str">
        <f aca="false">IF(E378="","",N(AD378)+N(AE378)+N(AF378))</f>
        <v/>
      </c>
      <c r="AH378" s="41" t="str">
        <f aca="false">IF(ISNUMBER(I378),I378*INDEX(WtF,MATCH($I$7,WtU,0))/CC_WaterRho,"")</f>
        <v/>
      </c>
      <c r="AI378" s="31"/>
      <c r="AJ378" s="31"/>
      <c r="AK378" s="40"/>
      <c r="AL378" s="31"/>
      <c r="AM378" s="41" t="str">
        <f aca="false">IF(AO378="","",AO378*IF(ISNUMBER(AK378),AK378,CC_DefFills)*(1+IF(ISNUMBER(AL378),AL378,CC_DefAllow)))</f>
        <v/>
      </c>
      <c r="AN378" s="42" t="str">
        <f aca="false">IF(G378="Given volume",IF(ISNUMBER(H378),H378*INDEX(VolF,MATCH($H$7,VolU,0)),""),IF(G378="Water weight",AH378,IF(N(AG378)=0,"",AG378)))</f>
        <v/>
      </c>
      <c r="AO378" s="42" t="str">
        <f aca="false">IF(N(AN378)=0,"",AN378*AT378*IF(ISNUMBER(AJ378),AJ378,CC_DefCirc))</f>
        <v/>
      </c>
      <c r="AP378" s="27" t="n">
        <f aca="false">IF(ISNUMBER(T378),T378*INDEX(LenF,MATCH($T$7,LenU,0)),IF(ISNUMBER(W378),W378*INDEX(LenF,MATCH($W$7,LenU,0))/CC_PitchRatio,0))</f>
        <v>0</v>
      </c>
      <c r="AQ378" s="27" t="n">
        <f aca="false">IF(ISNUMBER(N378),PI()/4*(N378*INDEX(LenF,MATCH($N$7,LenU,0)))^2,IF(AND(ISNUMBER(S378),ISNUMBER(W378),X378&lt;&gt;""),S378*(W378*INDEX(LenF,MATCH($W$7,LenU,0)))^2*INDEX(LayoutF,MATCH(X378,LayoutU,0)),0))</f>
        <v>0</v>
      </c>
      <c r="AR378" s="27" t="n">
        <f aca="false">IF(ISNUMBER(O378),O378*INDEX(LenF,MATCH($O$7,LenU,0)),IF(ISNUMBER(V378),V378*INDEX(LenF,MATCH($V$7,LenU,0)),0))</f>
        <v>0</v>
      </c>
      <c r="AS378" s="27" t="str">
        <f aca="false">IF(ISNUMBER(L378),L378*INDEX(LenF,MATCH($L$7,LenU,0))*1000,IF(OR(J378="",K378=""),"",IFERROR(IF(INDEX(PipeWT,MATCH(J378,NPSU,0),MATCH(K378,SchU,0))="","Sch n/a",INDEX(PipeOD,MATCH(J378,NPSU,0))-2*INDEX(PipeWT,MATCH(J378,NPSU,0),MATCH(K378,SchU,0))),"")))</f>
        <v/>
      </c>
      <c r="AT378" s="27" t="n">
        <f aca="false">IF(ISNUMBER(AI378),AI378,IFERROR(INDEX(IF(CC_JobType="Decontamination",CC_TypeFillDC,CC_TypeFillCC),MATCH(E378,CC_TypeL,0)),1))</f>
        <v>1</v>
      </c>
      <c r="AU378" s="27" t="n">
        <v>12</v>
      </c>
    </row>
    <row r="379" customFormat="false" ht="15" hidden="false" customHeight="false" outlineLevel="0" collapsed="false">
      <c r="A379" s="36" t="n">
        <v>7</v>
      </c>
      <c r="B379" s="40"/>
      <c r="C379" s="32"/>
      <c r="D379" s="32"/>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1" t="str">
        <f aca="false">IF(E379="Exchanger",IF(AND(ISNUMBER(S379),ISNUMBER(U379),ISNUMBER(V379)),S379*PI()/4*(U379*INDEX(LenF,MATCH($U$7,LenU,0)))^2*V379*INDEX(LenF,MATCH($V$7,LenU,0)),0)+IF(ISNUMBER(Y379),PI()/4*(Y379*INDEX(LenF,MATCH($Y$7,LenU,0)))^2*N(Z379)*INDEX(LenF,MATCH($Z$7,LenU,0))+IF(AA379="",0,IF(AA379="Conical",PI()/12*(Y379*INDEX(LenF,MATCH($Y$7,LenU,0)))^2*(0),INDEX(HeadK,MATCH(AA379,HeadU,0))*(Y379*INDEX(LenF,MATCH($Y$7,LenU,0)))^3)),0)+IF(ISNUMBER(Y379),PI()/4*(Y379*INDEX(LenF,MATCH($Y$7,LenU,0)))^2*N(AB379)*INDEX(LenF,MATCH($AB$7,LenU,0))+IF(AC379="",0,IF(AC379="Conical",PI()/12*(Y379*INDEX(LenF,MATCH($Y$7,LenU,0)))^2*(0),INDEX(HeadK,MATCH(AC379,HeadU,0))*(Y379*INDEX(LenF,MATCH($Y$7,LenU,0)))^3)),0),"")</f>
        <v/>
      </c>
      <c r="AE379" s="41" t="str">
        <f aca="false">IF(OR(E379="",E379="Piping"),"",IF(E379="Exchanger",AQ379*AR379+IF(P379="",0,IF(P379="Conical",PI()/12*(SQRT(4*AQ379/PI()))^2*(0),INDEX(HeadK,MATCH(P379,HeadU,0))*(SQRT(4*AQ379/PI()))^3))-IF(AND(ISNUMBER(S379),ISNUMBER(V379)),S379*PI()/4*AP379^2*V379*INDEX(LenF,MATCH($V$7,LenU,0)),0),IF(ISNUMBER(N379),PI()/4*(N379*INDEX(LenF,MATCH($N$7,LenU,0)))^2*N(O379)*INDEX(LenF,MATCH($O$7,LenU,0))+IF(P379="",0,IF(P379="Conical",PI()/12*(N379*INDEX(LenF,MATCH($N$7,LenU,0)))^2*(N(R379)*INDEX(LenF,MATCH($R$7,LenU,0))),INDEX(HeadK,MATCH(P379,HeadU,0))*(N379*INDEX(LenF,MATCH($N$7,LenU,0)))^3))+IF(Q379="",0,IF(Q379="Conical",PI()/12*(N379*INDEX(LenF,MATCH($N$7,LenU,0)))^2*(N(R379)*INDEX(LenF,MATCH($R$7,LenU,0))),INDEX(HeadK,MATCH(Q379,HeadU,0))*(N379*INDEX(LenF,MATCH($N$7,LenU,0)))^3)),0)))</f>
        <v/>
      </c>
      <c r="AF379" s="41" t="str">
        <f aca="false">IF(E379&lt;&gt;"Piping","",IF(AND(ISNUMBER(AS379),ISNUMBER(M379)),PI()/4*(AS379/1000)^2*M379*INDEX(LenF,MATCH($M$7,LenU,0)),0))</f>
        <v/>
      </c>
      <c r="AG379" s="41" t="str">
        <f aca="false">IF(E379="","",N(AD379)+N(AE379)+N(AF379))</f>
        <v/>
      </c>
      <c r="AH379" s="41" t="str">
        <f aca="false">IF(ISNUMBER(I379),I379*INDEX(WtF,MATCH($I$7,WtU,0))/CC_WaterRho,"")</f>
        <v/>
      </c>
      <c r="AI379" s="31"/>
      <c r="AJ379" s="31"/>
      <c r="AK379" s="40"/>
      <c r="AL379" s="31"/>
      <c r="AM379" s="41" t="str">
        <f aca="false">IF(AO379="","",AO379*IF(ISNUMBER(AK379),AK379,CC_DefFills)*(1+IF(ISNUMBER(AL379),AL379,CC_DefAllow)))</f>
        <v/>
      </c>
      <c r="AN379" s="42" t="str">
        <f aca="false">IF(G379="Given volume",IF(ISNUMBER(H379),H379*INDEX(VolF,MATCH($H$7,VolU,0)),""),IF(G379="Water weight",AH379,IF(N(AG379)=0,"",AG379)))</f>
        <v/>
      </c>
      <c r="AO379" s="42" t="str">
        <f aca="false">IF(N(AN379)=0,"",AN379*AT379*IF(ISNUMBER(AJ379),AJ379,CC_DefCirc))</f>
        <v/>
      </c>
      <c r="AP379" s="27" t="n">
        <f aca="false">IF(ISNUMBER(T379),T379*INDEX(LenF,MATCH($T$7,LenU,0)),IF(ISNUMBER(W379),W379*INDEX(LenF,MATCH($W$7,LenU,0))/CC_PitchRatio,0))</f>
        <v>0</v>
      </c>
      <c r="AQ379" s="27" t="n">
        <f aca="false">IF(ISNUMBER(N379),PI()/4*(N379*INDEX(LenF,MATCH($N$7,LenU,0)))^2,IF(AND(ISNUMBER(S379),ISNUMBER(W379),X379&lt;&gt;""),S379*(W379*INDEX(LenF,MATCH($W$7,LenU,0)))^2*INDEX(LayoutF,MATCH(X379,LayoutU,0)),0))</f>
        <v>0</v>
      </c>
      <c r="AR379" s="27" t="n">
        <f aca="false">IF(ISNUMBER(O379),O379*INDEX(LenF,MATCH($O$7,LenU,0)),IF(ISNUMBER(V379),V379*INDEX(LenF,MATCH($V$7,LenU,0)),0))</f>
        <v>0</v>
      </c>
      <c r="AS379" s="27" t="str">
        <f aca="false">IF(ISNUMBER(L379),L379*INDEX(LenF,MATCH($L$7,LenU,0))*1000,IF(OR(J379="",K379=""),"",IFERROR(IF(INDEX(PipeWT,MATCH(J379,NPSU,0),MATCH(K379,SchU,0))="","Sch n/a",INDEX(PipeOD,MATCH(J379,NPSU,0))-2*INDEX(PipeWT,MATCH(J379,NPSU,0),MATCH(K379,SchU,0))),"")))</f>
        <v/>
      </c>
      <c r="AT379" s="27" t="n">
        <f aca="false">IF(ISNUMBER(AI379),AI379,IFERROR(INDEX(IF(CC_JobType="Decontamination",CC_TypeFillDC,CC_TypeFillCC),MATCH(E379,CC_TypeL,0)),1))</f>
        <v>1</v>
      </c>
      <c r="AU379" s="27" t="n">
        <v>12</v>
      </c>
    </row>
    <row r="380" customFormat="false" ht="15" hidden="false" customHeight="false" outlineLevel="0" collapsed="false">
      <c r="A380" s="36" t="n">
        <v>8</v>
      </c>
      <c r="B380" s="40"/>
      <c r="C380" s="32"/>
      <c r="D380" s="32"/>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1" t="str">
        <f aca="false">IF(E380="Exchanger",IF(AND(ISNUMBER(S380),ISNUMBER(U380),ISNUMBER(V380)),S380*PI()/4*(U380*INDEX(LenF,MATCH($U$7,LenU,0)))^2*V380*INDEX(LenF,MATCH($V$7,LenU,0)),0)+IF(ISNUMBER(Y380),PI()/4*(Y380*INDEX(LenF,MATCH($Y$7,LenU,0)))^2*N(Z380)*INDEX(LenF,MATCH($Z$7,LenU,0))+IF(AA380="",0,IF(AA380="Conical",PI()/12*(Y380*INDEX(LenF,MATCH($Y$7,LenU,0)))^2*(0),INDEX(HeadK,MATCH(AA380,HeadU,0))*(Y380*INDEX(LenF,MATCH($Y$7,LenU,0)))^3)),0)+IF(ISNUMBER(Y380),PI()/4*(Y380*INDEX(LenF,MATCH($Y$7,LenU,0)))^2*N(AB380)*INDEX(LenF,MATCH($AB$7,LenU,0))+IF(AC380="",0,IF(AC380="Conical",PI()/12*(Y380*INDEX(LenF,MATCH($Y$7,LenU,0)))^2*(0),INDEX(HeadK,MATCH(AC380,HeadU,0))*(Y380*INDEX(LenF,MATCH($Y$7,LenU,0)))^3)),0),"")</f>
        <v/>
      </c>
      <c r="AE380" s="41" t="str">
        <f aca="false">IF(OR(E380="",E380="Piping"),"",IF(E380="Exchanger",AQ380*AR380+IF(P380="",0,IF(P380="Conical",PI()/12*(SQRT(4*AQ380/PI()))^2*(0),INDEX(HeadK,MATCH(P380,HeadU,0))*(SQRT(4*AQ380/PI()))^3))-IF(AND(ISNUMBER(S380),ISNUMBER(V380)),S380*PI()/4*AP380^2*V380*INDEX(LenF,MATCH($V$7,LenU,0)),0),IF(ISNUMBER(N380),PI()/4*(N380*INDEX(LenF,MATCH($N$7,LenU,0)))^2*N(O380)*INDEX(LenF,MATCH($O$7,LenU,0))+IF(P380="",0,IF(P380="Conical",PI()/12*(N380*INDEX(LenF,MATCH($N$7,LenU,0)))^2*(N(R380)*INDEX(LenF,MATCH($R$7,LenU,0))),INDEX(HeadK,MATCH(P380,HeadU,0))*(N380*INDEX(LenF,MATCH($N$7,LenU,0)))^3))+IF(Q380="",0,IF(Q380="Conical",PI()/12*(N380*INDEX(LenF,MATCH($N$7,LenU,0)))^2*(N(R380)*INDEX(LenF,MATCH($R$7,LenU,0))),INDEX(HeadK,MATCH(Q380,HeadU,0))*(N380*INDEX(LenF,MATCH($N$7,LenU,0)))^3)),0)))</f>
        <v/>
      </c>
      <c r="AF380" s="41" t="str">
        <f aca="false">IF(E380&lt;&gt;"Piping","",IF(AND(ISNUMBER(AS380),ISNUMBER(M380)),PI()/4*(AS380/1000)^2*M380*INDEX(LenF,MATCH($M$7,LenU,0)),0))</f>
        <v/>
      </c>
      <c r="AG380" s="41" t="str">
        <f aca="false">IF(E380="","",N(AD380)+N(AE380)+N(AF380))</f>
        <v/>
      </c>
      <c r="AH380" s="41" t="str">
        <f aca="false">IF(ISNUMBER(I380),I380*INDEX(WtF,MATCH($I$7,WtU,0))/CC_WaterRho,"")</f>
        <v/>
      </c>
      <c r="AI380" s="31"/>
      <c r="AJ380" s="31"/>
      <c r="AK380" s="40"/>
      <c r="AL380" s="31"/>
      <c r="AM380" s="41" t="str">
        <f aca="false">IF(AO380="","",AO380*IF(ISNUMBER(AK380),AK380,CC_DefFills)*(1+IF(ISNUMBER(AL380),AL380,CC_DefAllow)))</f>
        <v/>
      </c>
      <c r="AN380" s="42" t="str">
        <f aca="false">IF(G380="Given volume",IF(ISNUMBER(H380),H380*INDEX(VolF,MATCH($H$7,VolU,0)),""),IF(G380="Water weight",AH380,IF(N(AG380)=0,"",AG380)))</f>
        <v/>
      </c>
      <c r="AO380" s="42" t="str">
        <f aca="false">IF(N(AN380)=0,"",AN380*AT380*IF(ISNUMBER(AJ380),AJ380,CC_DefCirc))</f>
        <v/>
      </c>
      <c r="AP380" s="27" t="n">
        <f aca="false">IF(ISNUMBER(T380),T380*INDEX(LenF,MATCH($T$7,LenU,0)),IF(ISNUMBER(W380),W380*INDEX(LenF,MATCH($W$7,LenU,0))/CC_PitchRatio,0))</f>
        <v>0</v>
      </c>
      <c r="AQ380" s="27" t="n">
        <f aca="false">IF(ISNUMBER(N380),PI()/4*(N380*INDEX(LenF,MATCH($N$7,LenU,0)))^2,IF(AND(ISNUMBER(S380),ISNUMBER(W380),X380&lt;&gt;""),S380*(W380*INDEX(LenF,MATCH($W$7,LenU,0)))^2*INDEX(LayoutF,MATCH(X380,LayoutU,0)),0))</f>
        <v>0</v>
      </c>
      <c r="AR380" s="27" t="n">
        <f aca="false">IF(ISNUMBER(O380),O380*INDEX(LenF,MATCH($O$7,LenU,0)),IF(ISNUMBER(V380),V380*INDEX(LenF,MATCH($V$7,LenU,0)),0))</f>
        <v>0</v>
      </c>
      <c r="AS380" s="27" t="str">
        <f aca="false">IF(ISNUMBER(L380),L380*INDEX(LenF,MATCH($L$7,LenU,0))*1000,IF(OR(J380="",K380=""),"",IFERROR(IF(INDEX(PipeWT,MATCH(J380,NPSU,0),MATCH(K380,SchU,0))="","Sch n/a",INDEX(PipeOD,MATCH(J380,NPSU,0))-2*INDEX(PipeWT,MATCH(J380,NPSU,0),MATCH(K380,SchU,0))),"")))</f>
        <v/>
      </c>
      <c r="AT380" s="27" t="n">
        <f aca="false">IF(ISNUMBER(AI380),AI380,IFERROR(INDEX(IF(CC_JobType="Decontamination",CC_TypeFillDC,CC_TypeFillCC),MATCH(E380,CC_TypeL,0)),1))</f>
        <v>1</v>
      </c>
      <c r="AU380" s="27" t="n">
        <v>12</v>
      </c>
    </row>
    <row r="381" customFormat="false" ht="15" hidden="false" customHeight="false" outlineLevel="0" collapsed="false">
      <c r="A381" s="36" t="n">
        <v>9</v>
      </c>
      <c r="B381" s="40"/>
      <c r="C381" s="32"/>
      <c r="D381" s="32"/>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1" t="str">
        <f aca="false">IF(E381="Exchanger",IF(AND(ISNUMBER(S381),ISNUMBER(U381),ISNUMBER(V381)),S381*PI()/4*(U381*INDEX(LenF,MATCH($U$7,LenU,0)))^2*V381*INDEX(LenF,MATCH($V$7,LenU,0)),0)+IF(ISNUMBER(Y381),PI()/4*(Y381*INDEX(LenF,MATCH($Y$7,LenU,0)))^2*N(Z381)*INDEX(LenF,MATCH($Z$7,LenU,0))+IF(AA381="",0,IF(AA381="Conical",PI()/12*(Y381*INDEX(LenF,MATCH($Y$7,LenU,0)))^2*(0),INDEX(HeadK,MATCH(AA381,HeadU,0))*(Y381*INDEX(LenF,MATCH($Y$7,LenU,0)))^3)),0)+IF(ISNUMBER(Y381),PI()/4*(Y381*INDEX(LenF,MATCH($Y$7,LenU,0)))^2*N(AB381)*INDEX(LenF,MATCH($AB$7,LenU,0))+IF(AC381="",0,IF(AC381="Conical",PI()/12*(Y381*INDEX(LenF,MATCH($Y$7,LenU,0)))^2*(0),INDEX(HeadK,MATCH(AC381,HeadU,0))*(Y381*INDEX(LenF,MATCH($Y$7,LenU,0)))^3)),0),"")</f>
        <v/>
      </c>
      <c r="AE381" s="41" t="str">
        <f aca="false">IF(OR(E381="",E381="Piping"),"",IF(E381="Exchanger",AQ381*AR381+IF(P381="",0,IF(P381="Conical",PI()/12*(SQRT(4*AQ381/PI()))^2*(0),INDEX(HeadK,MATCH(P381,HeadU,0))*(SQRT(4*AQ381/PI()))^3))-IF(AND(ISNUMBER(S381),ISNUMBER(V381)),S381*PI()/4*AP381^2*V381*INDEX(LenF,MATCH($V$7,LenU,0)),0),IF(ISNUMBER(N381),PI()/4*(N381*INDEX(LenF,MATCH($N$7,LenU,0)))^2*N(O381)*INDEX(LenF,MATCH($O$7,LenU,0))+IF(P381="",0,IF(P381="Conical",PI()/12*(N381*INDEX(LenF,MATCH($N$7,LenU,0)))^2*(N(R381)*INDEX(LenF,MATCH($R$7,LenU,0))),INDEX(HeadK,MATCH(P381,HeadU,0))*(N381*INDEX(LenF,MATCH($N$7,LenU,0)))^3))+IF(Q381="",0,IF(Q381="Conical",PI()/12*(N381*INDEX(LenF,MATCH($N$7,LenU,0)))^2*(N(R381)*INDEX(LenF,MATCH($R$7,LenU,0))),INDEX(HeadK,MATCH(Q381,HeadU,0))*(N381*INDEX(LenF,MATCH($N$7,LenU,0)))^3)),0)))</f>
        <v/>
      </c>
      <c r="AF381" s="41" t="str">
        <f aca="false">IF(E381&lt;&gt;"Piping","",IF(AND(ISNUMBER(AS381),ISNUMBER(M381)),PI()/4*(AS381/1000)^2*M381*INDEX(LenF,MATCH($M$7,LenU,0)),0))</f>
        <v/>
      </c>
      <c r="AG381" s="41" t="str">
        <f aca="false">IF(E381="","",N(AD381)+N(AE381)+N(AF381))</f>
        <v/>
      </c>
      <c r="AH381" s="41" t="str">
        <f aca="false">IF(ISNUMBER(I381),I381*INDEX(WtF,MATCH($I$7,WtU,0))/CC_WaterRho,"")</f>
        <v/>
      </c>
      <c r="AI381" s="31"/>
      <c r="AJ381" s="31"/>
      <c r="AK381" s="40"/>
      <c r="AL381" s="31"/>
      <c r="AM381" s="41" t="str">
        <f aca="false">IF(AO381="","",AO381*IF(ISNUMBER(AK381),AK381,CC_DefFills)*(1+IF(ISNUMBER(AL381),AL381,CC_DefAllow)))</f>
        <v/>
      </c>
      <c r="AN381" s="42" t="str">
        <f aca="false">IF(G381="Given volume",IF(ISNUMBER(H381),H381*INDEX(VolF,MATCH($H$7,VolU,0)),""),IF(G381="Water weight",AH381,IF(N(AG381)=0,"",AG381)))</f>
        <v/>
      </c>
      <c r="AO381" s="42" t="str">
        <f aca="false">IF(N(AN381)=0,"",AN381*AT381*IF(ISNUMBER(AJ381),AJ381,CC_DefCirc))</f>
        <v/>
      </c>
      <c r="AP381" s="27" t="n">
        <f aca="false">IF(ISNUMBER(T381),T381*INDEX(LenF,MATCH($T$7,LenU,0)),IF(ISNUMBER(W381),W381*INDEX(LenF,MATCH($W$7,LenU,0))/CC_PitchRatio,0))</f>
        <v>0</v>
      </c>
      <c r="AQ381" s="27" t="n">
        <f aca="false">IF(ISNUMBER(N381),PI()/4*(N381*INDEX(LenF,MATCH($N$7,LenU,0)))^2,IF(AND(ISNUMBER(S381),ISNUMBER(W381),X381&lt;&gt;""),S381*(W381*INDEX(LenF,MATCH($W$7,LenU,0)))^2*INDEX(LayoutF,MATCH(X381,LayoutU,0)),0))</f>
        <v>0</v>
      </c>
      <c r="AR381" s="27" t="n">
        <f aca="false">IF(ISNUMBER(O381),O381*INDEX(LenF,MATCH($O$7,LenU,0)),IF(ISNUMBER(V381),V381*INDEX(LenF,MATCH($V$7,LenU,0)),0))</f>
        <v>0</v>
      </c>
      <c r="AS381" s="27" t="str">
        <f aca="false">IF(ISNUMBER(L381),L381*INDEX(LenF,MATCH($L$7,LenU,0))*1000,IF(OR(J381="",K381=""),"",IFERROR(IF(INDEX(PipeWT,MATCH(J381,NPSU,0),MATCH(K381,SchU,0))="","Sch n/a",INDEX(PipeOD,MATCH(J381,NPSU,0))-2*INDEX(PipeWT,MATCH(J381,NPSU,0),MATCH(K381,SchU,0))),"")))</f>
        <v/>
      </c>
      <c r="AT381" s="27" t="n">
        <f aca="false">IF(ISNUMBER(AI381),AI381,IFERROR(INDEX(IF(CC_JobType="Decontamination",CC_TypeFillDC,CC_TypeFillCC),MATCH(E381,CC_TypeL,0)),1))</f>
        <v>1</v>
      </c>
      <c r="AU381" s="27" t="n">
        <v>12</v>
      </c>
    </row>
    <row r="382" customFormat="false" ht="15" hidden="false" customHeight="false" outlineLevel="0" collapsed="false">
      <c r="A382" s="36" t="n">
        <v>10</v>
      </c>
      <c r="B382" s="40"/>
      <c r="C382" s="32"/>
      <c r="D382" s="32"/>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1" t="str">
        <f aca="false">IF(E382="Exchanger",IF(AND(ISNUMBER(S382),ISNUMBER(U382),ISNUMBER(V382)),S382*PI()/4*(U382*INDEX(LenF,MATCH($U$7,LenU,0)))^2*V382*INDEX(LenF,MATCH($V$7,LenU,0)),0)+IF(ISNUMBER(Y382),PI()/4*(Y382*INDEX(LenF,MATCH($Y$7,LenU,0)))^2*N(Z382)*INDEX(LenF,MATCH($Z$7,LenU,0))+IF(AA382="",0,IF(AA382="Conical",PI()/12*(Y382*INDEX(LenF,MATCH($Y$7,LenU,0)))^2*(0),INDEX(HeadK,MATCH(AA382,HeadU,0))*(Y382*INDEX(LenF,MATCH($Y$7,LenU,0)))^3)),0)+IF(ISNUMBER(Y382),PI()/4*(Y382*INDEX(LenF,MATCH($Y$7,LenU,0)))^2*N(AB382)*INDEX(LenF,MATCH($AB$7,LenU,0))+IF(AC382="",0,IF(AC382="Conical",PI()/12*(Y382*INDEX(LenF,MATCH($Y$7,LenU,0)))^2*(0),INDEX(HeadK,MATCH(AC382,HeadU,0))*(Y382*INDEX(LenF,MATCH($Y$7,LenU,0)))^3)),0),"")</f>
        <v/>
      </c>
      <c r="AE382" s="41" t="str">
        <f aca="false">IF(OR(E382="",E382="Piping"),"",IF(E382="Exchanger",AQ382*AR382+IF(P382="",0,IF(P382="Conical",PI()/12*(SQRT(4*AQ382/PI()))^2*(0),INDEX(HeadK,MATCH(P382,HeadU,0))*(SQRT(4*AQ382/PI()))^3))-IF(AND(ISNUMBER(S382),ISNUMBER(V382)),S382*PI()/4*AP382^2*V382*INDEX(LenF,MATCH($V$7,LenU,0)),0),IF(ISNUMBER(N382),PI()/4*(N382*INDEX(LenF,MATCH($N$7,LenU,0)))^2*N(O382)*INDEX(LenF,MATCH($O$7,LenU,0))+IF(P382="",0,IF(P382="Conical",PI()/12*(N382*INDEX(LenF,MATCH($N$7,LenU,0)))^2*(N(R382)*INDEX(LenF,MATCH($R$7,LenU,0))),INDEX(HeadK,MATCH(P382,HeadU,0))*(N382*INDEX(LenF,MATCH($N$7,LenU,0)))^3))+IF(Q382="",0,IF(Q382="Conical",PI()/12*(N382*INDEX(LenF,MATCH($N$7,LenU,0)))^2*(N(R382)*INDEX(LenF,MATCH($R$7,LenU,0))),INDEX(HeadK,MATCH(Q382,HeadU,0))*(N382*INDEX(LenF,MATCH($N$7,LenU,0)))^3)),0)))</f>
        <v/>
      </c>
      <c r="AF382" s="41" t="str">
        <f aca="false">IF(E382&lt;&gt;"Piping","",IF(AND(ISNUMBER(AS382),ISNUMBER(M382)),PI()/4*(AS382/1000)^2*M382*INDEX(LenF,MATCH($M$7,LenU,0)),0))</f>
        <v/>
      </c>
      <c r="AG382" s="41" t="str">
        <f aca="false">IF(E382="","",N(AD382)+N(AE382)+N(AF382))</f>
        <v/>
      </c>
      <c r="AH382" s="41" t="str">
        <f aca="false">IF(ISNUMBER(I382),I382*INDEX(WtF,MATCH($I$7,WtU,0))/CC_WaterRho,"")</f>
        <v/>
      </c>
      <c r="AI382" s="31"/>
      <c r="AJ382" s="31"/>
      <c r="AK382" s="40"/>
      <c r="AL382" s="31"/>
      <c r="AM382" s="41" t="str">
        <f aca="false">IF(AO382="","",AO382*IF(ISNUMBER(AK382),AK382,CC_DefFills)*(1+IF(ISNUMBER(AL382),AL382,CC_DefAllow)))</f>
        <v/>
      </c>
      <c r="AN382" s="42" t="str">
        <f aca="false">IF(G382="Given volume",IF(ISNUMBER(H382),H382*INDEX(VolF,MATCH($H$7,VolU,0)),""),IF(G382="Water weight",AH382,IF(N(AG382)=0,"",AG382)))</f>
        <v/>
      </c>
      <c r="AO382" s="42" t="str">
        <f aca="false">IF(N(AN382)=0,"",AN382*AT382*IF(ISNUMBER(AJ382),AJ382,CC_DefCirc))</f>
        <v/>
      </c>
      <c r="AP382" s="27" t="n">
        <f aca="false">IF(ISNUMBER(T382),T382*INDEX(LenF,MATCH($T$7,LenU,0)),IF(ISNUMBER(W382),W382*INDEX(LenF,MATCH($W$7,LenU,0))/CC_PitchRatio,0))</f>
        <v>0</v>
      </c>
      <c r="AQ382" s="27" t="n">
        <f aca="false">IF(ISNUMBER(N382),PI()/4*(N382*INDEX(LenF,MATCH($N$7,LenU,0)))^2,IF(AND(ISNUMBER(S382),ISNUMBER(W382),X382&lt;&gt;""),S382*(W382*INDEX(LenF,MATCH($W$7,LenU,0)))^2*INDEX(LayoutF,MATCH(X382,LayoutU,0)),0))</f>
        <v>0</v>
      </c>
      <c r="AR382" s="27" t="n">
        <f aca="false">IF(ISNUMBER(O382),O382*INDEX(LenF,MATCH($O$7,LenU,0)),IF(ISNUMBER(V382),V382*INDEX(LenF,MATCH($V$7,LenU,0)),0))</f>
        <v>0</v>
      </c>
      <c r="AS382" s="27" t="str">
        <f aca="false">IF(ISNUMBER(L382),L382*INDEX(LenF,MATCH($L$7,LenU,0))*1000,IF(OR(J382="",K382=""),"",IFERROR(IF(INDEX(PipeWT,MATCH(J382,NPSU,0),MATCH(K382,SchU,0))="","Sch n/a",INDEX(PipeOD,MATCH(J382,NPSU,0))-2*INDEX(PipeWT,MATCH(J382,NPSU,0),MATCH(K382,SchU,0))),"")))</f>
        <v/>
      </c>
      <c r="AT382" s="27" t="n">
        <f aca="false">IF(ISNUMBER(AI382),AI382,IFERROR(INDEX(IF(CC_JobType="Decontamination",CC_TypeFillDC,CC_TypeFillCC),MATCH(E382,CC_TypeL,0)),1))</f>
        <v>1</v>
      </c>
      <c r="AU382" s="27" t="n">
        <v>12</v>
      </c>
    </row>
    <row r="383" customFormat="false" ht="15" hidden="false" customHeight="false" outlineLevel="0" collapsed="false">
      <c r="A383" s="36" t="n">
        <v>11</v>
      </c>
      <c r="B383" s="40"/>
      <c r="C383" s="32"/>
      <c r="D383" s="32"/>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1" t="str">
        <f aca="false">IF(E383="Exchanger",IF(AND(ISNUMBER(S383),ISNUMBER(U383),ISNUMBER(V383)),S383*PI()/4*(U383*INDEX(LenF,MATCH($U$7,LenU,0)))^2*V383*INDEX(LenF,MATCH($V$7,LenU,0)),0)+IF(ISNUMBER(Y383),PI()/4*(Y383*INDEX(LenF,MATCH($Y$7,LenU,0)))^2*N(Z383)*INDEX(LenF,MATCH($Z$7,LenU,0))+IF(AA383="",0,IF(AA383="Conical",PI()/12*(Y383*INDEX(LenF,MATCH($Y$7,LenU,0)))^2*(0),INDEX(HeadK,MATCH(AA383,HeadU,0))*(Y383*INDEX(LenF,MATCH($Y$7,LenU,0)))^3)),0)+IF(ISNUMBER(Y383),PI()/4*(Y383*INDEX(LenF,MATCH($Y$7,LenU,0)))^2*N(AB383)*INDEX(LenF,MATCH($AB$7,LenU,0))+IF(AC383="",0,IF(AC383="Conical",PI()/12*(Y383*INDEX(LenF,MATCH($Y$7,LenU,0)))^2*(0),INDEX(HeadK,MATCH(AC383,HeadU,0))*(Y383*INDEX(LenF,MATCH($Y$7,LenU,0)))^3)),0),"")</f>
        <v/>
      </c>
      <c r="AE383" s="41" t="str">
        <f aca="false">IF(OR(E383="",E383="Piping"),"",IF(E383="Exchanger",AQ383*AR383+IF(P383="",0,IF(P383="Conical",PI()/12*(SQRT(4*AQ383/PI()))^2*(0),INDEX(HeadK,MATCH(P383,HeadU,0))*(SQRT(4*AQ383/PI()))^3))-IF(AND(ISNUMBER(S383),ISNUMBER(V383)),S383*PI()/4*AP383^2*V383*INDEX(LenF,MATCH($V$7,LenU,0)),0),IF(ISNUMBER(N383),PI()/4*(N383*INDEX(LenF,MATCH($N$7,LenU,0)))^2*N(O383)*INDEX(LenF,MATCH($O$7,LenU,0))+IF(P383="",0,IF(P383="Conical",PI()/12*(N383*INDEX(LenF,MATCH($N$7,LenU,0)))^2*(N(R383)*INDEX(LenF,MATCH($R$7,LenU,0))),INDEX(HeadK,MATCH(P383,HeadU,0))*(N383*INDEX(LenF,MATCH($N$7,LenU,0)))^3))+IF(Q383="",0,IF(Q383="Conical",PI()/12*(N383*INDEX(LenF,MATCH($N$7,LenU,0)))^2*(N(R383)*INDEX(LenF,MATCH($R$7,LenU,0))),INDEX(HeadK,MATCH(Q383,HeadU,0))*(N383*INDEX(LenF,MATCH($N$7,LenU,0)))^3)),0)))</f>
        <v/>
      </c>
      <c r="AF383" s="41" t="str">
        <f aca="false">IF(E383&lt;&gt;"Piping","",IF(AND(ISNUMBER(AS383),ISNUMBER(M383)),PI()/4*(AS383/1000)^2*M383*INDEX(LenF,MATCH($M$7,LenU,0)),0))</f>
        <v/>
      </c>
      <c r="AG383" s="41" t="str">
        <f aca="false">IF(E383="","",N(AD383)+N(AE383)+N(AF383))</f>
        <v/>
      </c>
      <c r="AH383" s="41" t="str">
        <f aca="false">IF(ISNUMBER(I383),I383*INDEX(WtF,MATCH($I$7,WtU,0))/CC_WaterRho,"")</f>
        <v/>
      </c>
      <c r="AI383" s="31"/>
      <c r="AJ383" s="31"/>
      <c r="AK383" s="40"/>
      <c r="AL383" s="31"/>
      <c r="AM383" s="41" t="str">
        <f aca="false">IF(AO383="","",AO383*IF(ISNUMBER(AK383),AK383,CC_DefFills)*(1+IF(ISNUMBER(AL383),AL383,CC_DefAllow)))</f>
        <v/>
      </c>
      <c r="AN383" s="42" t="str">
        <f aca="false">IF(G383="Given volume",IF(ISNUMBER(H383),H383*INDEX(VolF,MATCH($H$7,VolU,0)),""),IF(G383="Water weight",AH383,IF(N(AG383)=0,"",AG383)))</f>
        <v/>
      </c>
      <c r="AO383" s="42" t="str">
        <f aca="false">IF(N(AN383)=0,"",AN383*AT383*IF(ISNUMBER(AJ383),AJ383,CC_DefCirc))</f>
        <v/>
      </c>
      <c r="AP383" s="27" t="n">
        <f aca="false">IF(ISNUMBER(T383),T383*INDEX(LenF,MATCH($T$7,LenU,0)),IF(ISNUMBER(W383),W383*INDEX(LenF,MATCH($W$7,LenU,0))/CC_PitchRatio,0))</f>
        <v>0</v>
      </c>
      <c r="AQ383" s="27" t="n">
        <f aca="false">IF(ISNUMBER(N383),PI()/4*(N383*INDEX(LenF,MATCH($N$7,LenU,0)))^2,IF(AND(ISNUMBER(S383),ISNUMBER(W383),X383&lt;&gt;""),S383*(W383*INDEX(LenF,MATCH($W$7,LenU,0)))^2*INDEX(LayoutF,MATCH(X383,LayoutU,0)),0))</f>
        <v>0</v>
      </c>
      <c r="AR383" s="27" t="n">
        <f aca="false">IF(ISNUMBER(O383),O383*INDEX(LenF,MATCH($O$7,LenU,0)),IF(ISNUMBER(V383),V383*INDEX(LenF,MATCH($V$7,LenU,0)),0))</f>
        <v>0</v>
      </c>
      <c r="AS383" s="27" t="str">
        <f aca="false">IF(ISNUMBER(L383),L383*INDEX(LenF,MATCH($L$7,LenU,0))*1000,IF(OR(J383="",K383=""),"",IFERROR(IF(INDEX(PipeWT,MATCH(J383,NPSU,0),MATCH(K383,SchU,0))="","Sch n/a",INDEX(PipeOD,MATCH(J383,NPSU,0))-2*INDEX(PipeWT,MATCH(J383,NPSU,0),MATCH(K383,SchU,0))),"")))</f>
        <v/>
      </c>
      <c r="AT383" s="27" t="n">
        <f aca="false">IF(ISNUMBER(AI383),AI383,IFERROR(INDEX(IF(CC_JobType="Decontamination",CC_TypeFillDC,CC_TypeFillCC),MATCH(E383,CC_TypeL,0)),1))</f>
        <v>1</v>
      </c>
      <c r="AU383" s="27" t="n">
        <v>12</v>
      </c>
    </row>
    <row r="384" customFormat="false" ht="15" hidden="false" customHeight="false" outlineLevel="0" collapsed="false">
      <c r="A384" s="36" t="n">
        <v>12</v>
      </c>
      <c r="B384" s="40"/>
      <c r="C384" s="32"/>
      <c r="D384" s="32"/>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1" t="str">
        <f aca="false">IF(E384="Exchanger",IF(AND(ISNUMBER(S384),ISNUMBER(U384),ISNUMBER(V384)),S384*PI()/4*(U384*INDEX(LenF,MATCH($U$7,LenU,0)))^2*V384*INDEX(LenF,MATCH($V$7,LenU,0)),0)+IF(ISNUMBER(Y384),PI()/4*(Y384*INDEX(LenF,MATCH($Y$7,LenU,0)))^2*N(Z384)*INDEX(LenF,MATCH($Z$7,LenU,0))+IF(AA384="",0,IF(AA384="Conical",PI()/12*(Y384*INDEX(LenF,MATCH($Y$7,LenU,0)))^2*(0),INDEX(HeadK,MATCH(AA384,HeadU,0))*(Y384*INDEX(LenF,MATCH($Y$7,LenU,0)))^3)),0)+IF(ISNUMBER(Y384),PI()/4*(Y384*INDEX(LenF,MATCH($Y$7,LenU,0)))^2*N(AB384)*INDEX(LenF,MATCH($AB$7,LenU,0))+IF(AC384="",0,IF(AC384="Conical",PI()/12*(Y384*INDEX(LenF,MATCH($Y$7,LenU,0)))^2*(0),INDEX(HeadK,MATCH(AC384,HeadU,0))*(Y384*INDEX(LenF,MATCH($Y$7,LenU,0)))^3)),0),"")</f>
        <v/>
      </c>
      <c r="AE384" s="41" t="str">
        <f aca="false">IF(OR(E384="",E384="Piping"),"",IF(E384="Exchanger",AQ384*AR384+IF(P384="",0,IF(P384="Conical",PI()/12*(SQRT(4*AQ384/PI()))^2*(0),INDEX(HeadK,MATCH(P384,HeadU,0))*(SQRT(4*AQ384/PI()))^3))-IF(AND(ISNUMBER(S384),ISNUMBER(V384)),S384*PI()/4*AP384^2*V384*INDEX(LenF,MATCH($V$7,LenU,0)),0),IF(ISNUMBER(N384),PI()/4*(N384*INDEX(LenF,MATCH($N$7,LenU,0)))^2*N(O384)*INDEX(LenF,MATCH($O$7,LenU,0))+IF(P384="",0,IF(P384="Conical",PI()/12*(N384*INDEX(LenF,MATCH($N$7,LenU,0)))^2*(N(R384)*INDEX(LenF,MATCH($R$7,LenU,0))),INDEX(HeadK,MATCH(P384,HeadU,0))*(N384*INDEX(LenF,MATCH($N$7,LenU,0)))^3))+IF(Q384="",0,IF(Q384="Conical",PI()/12*(N384*INDEX(LenF,MATCH($N$7,LenU,0)))^2*(N(R384)*INDEX(LenF,MATCH($R$7,LenU,0))),INDEX(HeadK,MATCH(Q384,HeadU,0))*(N384*INDEX(LenF,MATCH($N$7,LenU,0)))^3)),0)))</f>
        <v/>
      </c>
      <c r="AF384" s="41" t="str">
        <f aca="false">IF(E384&lt;&gt;"Piping","",IF(AND(ISNUMBER(AS384),ISNUMBER(M384)),PI()/4*(AS384/1000)^2*M384*INDEX(LenF,MATCH($M$7,LenU,0)),0))</f>
        <v/>
      </c>
      <c r="AG384" s="41" t="str">
        <f aca="false">IF(E384="","",N(AD384)+N(AE384)+N(AF384))</f>
        <v/>
      </c>
      <c r="AH384" s="41" t="str">
        <f aca="false">IF(ISNUMBER(I384),I384*INDEX(WtF,MATCH($I$7,WtU,0))/CC_WaterRho,"")</f>
        <v/>
      </c>
      <c r="AI384" s="31"/>
      <c r="AJ384" s="31"/>
      <c r="AK384" s="40"/>
      <c r="AL384" s="31"/>
      <c r="AM384" s="41" t="str">
        <f aca="false">IF(AO384="","",AO384*IF(ISNUMBER(AK384),AK384,CC_DefFills)*(1+IF(ISNUMBER(AL384),AL384,CC_DefAllow)))</f>
        <v/>
      </c>
      <c r="AN384" s="42" t="str">
        <f aca="false">IF(G384="Given volume",IF(ISNUMBER(H384),H384*INDEX(VolF,MATCH($H$7,VolU,0)),""),IF(G384="Water weight",AH384,IF(N(AG384)=0,"",AG384)))</f>
        <v/>
      </c>
      <c r="AO384" s="42" t="str">
        <f aca="false">IF(N(AN384)=0,"",AN384*AT384*IF(ISNUMBER(AJ384),AJ384,CC_DefCirc))</f>
        <v/>
      </c>
      <c r="AP384" s="27" t="n">
        <f aca="false">IF(ISNUMBER(T384),T384*INDEX(LenF,MATCH($T$7,LenU,0)),IF(ISNUMBER(W384),W384*INDEX(LenF,MATCH($W$7,LenU,0))/CC_PitchRatio,0))</f>
        <v>0</v>
      </c>
      <c r="AQ384" s="27" t="n">
        <f aca="false">IF(ISNUMBER(N384),PI()/4*(N384*INDEX(LenF,MATCH($N$7,LenU,0)))^2,IF(AND(ISNUMBER(S384),ISNUMBER(W384),X384&lt;&gt;""),S384*(W384*INDEX(LenF,MATCH($W$7,LenU,0)))^2*INDEX(LayoutF,MATCH(X384,LayoutU,0)),0))</f>
        <v>0</v>
      </c>
      <c r="AR384" s="27" t="n">
        <f aca="false">IF(ISNUMBER(O384),O384*INDEX(LenF,MATCH($O$7,LenU,0)),IF(ISNUMBER(V384),V384*INDEX(LenF,MATCH($V$7,LenU,0)),0))</f>
        <v>0</v>
      </c>
      <c r="AS384" s="27" t="str">
        <f aca="false">IF(ISNUMBER(L384),L384*INDEX(LenF,MATCH($L$7,LenU,0))*1000,IF(OR(J384="",K384=""),"",IFERROR(IF(INDEX(PipeWT,MATCH(J384,NPSU,0),MATCH(K384,SchU,0))="","Sch n/a",INDEX(PipeOD,MATCH(J384,NPSU,0))-2*INDEX(PipeWT,MATCH(J384,NPSU,0),MATCH(K384,SchU,0))),"")))</f>
        <v/>
      </c>
      <c r="AT384" s="27" t="n">
        <f aca="false">IF(ISNUMBER(AI384),AI384,IFERROR(INDEX(IF(CC_JobType="Decontamination",CC_TypeFillDC,CC_TypeFillCC),MATCH(E384,CC_TypeL,0)),1))</f>
        <v>1</v>
      </c>
      <c r="AU384" s="27" t="n">
        <v>12</v>
      </c>
    </row>
    <row r="385" customFormat="false" ht="15" hidden="false" customHeight="false" outlineLevel="0" collapsed="false">
      <c r="A385" s="36" t="n">
        <v>13</v>
      </c>
      <c r="B385" s="40"/>
      <c r="C385" s="32"/>
      <c r="D385" s="32"/>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1" t="str">
        <f aca="false">IF(E385="Exchanger",IF(AND(ISNUMBER(S385),ISNUMBER(U385),ISNUMBER(V385)),S385*PI()/4*(U385*INDEX(LenF,MATCH($U$7,LenU,0)))^2*V385*INDEX(LenF,MATCH($V$7,LenU,0)),0)+IF(ISNUMBER(Y385),PI()/4*(Y385*INDEX(LenF,MATCH($Y$7,LenU,0)))^2*N(Z385)*INDEX(LenF,MATCH($Z$7,LenU,0))+IF(AA385="",0,IF(AA385="Conical",PI()/12*(Y385*INDEX(LenF,MATCH($Y$7,LenU,0)))^2*(0),INDEX(HeadK,MATCH(AA385,HeadU,0))*(Y385*INDEX(LenF,MATCH($Y$7,LenU,0)))^3)),0)+IF(ISNUMBER(Y385),PI()/4*(Y385*INDEX(LenF,MATCH($Y$7,LenU,0)))^2*N(AB385)*INDEX(LenF,MATCH($AB$7,LenU,0))+IF(AC385="",0,IF(AC385="Conical",PI()/12*(Y385*INDEX(LenF,MATCH($Y$7,LenU,0)))^2*(0),INDEX(HeadK,MATCH(AC385,HeadU,0))*(Y385*INDEX(LenF,MATCH($Y$7,LenU,0)))^3)),0),"")</f>
        <v/>
      </c>
      <c r="AE385" s="41" t="str">
        <f aca="false">IF(OR(E385="",E385="Piping"),"",IF(E385="Exchanger",AQ385*AR385+IF(P385="",0,IF(P385="Conical",PI()/12*(SQRT(4*AQ385/PI()))^2*(0),INDEX(HeadK,MATCH(P385,HeadU,0))*(SQRT(4*AQ385/PI()))^3))-IF(AND(ISNUMBER(S385),ISNUMBER(V385)),S385*PI()/4*AP385^2*V385*INDEX(LenF,MATCH($V$7,LenU,0)),0),IF(ISNUMBER(N385),PI()/4*(N385*INDEX(LenF,MATCH($N$7,LenU,0)))^2*N(O385)*INDEX(LenF,MATCH($O$7,LenU,0))+IF(P385="",0,IF(P385="Conical",PI()/12*(N385*INDEX(LenF,MATCH($N$7,LenU,0)))^2*(N(R385)*INDEX(LenF,MATCH($R$7,LenU,0))),INDEX(HeadK,MATCH(P385,HeadU,0))*(N385*INDEX(LenF,MATCH($N$7,LenU,0)))^3))+IF(Q385="",0,IF(Q385="Conical",PI()/12*(N385*INDEX(LenF,MATCH($N$7,LenU,0)))^2*(N(R385)*INDEX(LenF,MATCH($R$7,LenU,0))),INDEX(HeadK,MATCH(Q385,HeadU,0))*(N385*INDEX(LenF,MATCH($N$7,LenU,0)))^3)),0)))</f>
        <v/>
      </c>
      <c r="AF385" s="41" t="str">
        <f aca="false">IF(E385&lt;&gt;"Piping","",IF(AND(ISNUMBER(AS385),ISNUMBER(M385)),PI()/4*(AS385/1000)^2*M385*INDEX(LenF,MATCH($M$7,LenU,0)),0))</f>
        <v/>
      </c>
      <c r="AG385" s="41" t="str">
        <f aca="false">IF(E385="","",N(AD385)+N(AE385)+N(AF385))</f>
        <v/>
      </c>
      <c r="AH385" s="41" t="str">
        <f aca="false">IF(ISNUMBER(I385),I385*INDEX(WtF,MATCH($I$7,WtU,0))/CC_WaterRho,"")</f>
        <v/>
      </c>
      <c r="AI385" s="31"/>
      <c r="AJ385" s="31"/>
      <c r="AK385" s="40"/>
      <c r="AL385" s="31"/>
      <c r="AM385" s="41" t="str">
        <f aca="false">IF(AO385="","",AO385*IF(ISNUMBER(AK385),AK385,CC_DefFills)*(1+IF(ISNUMBER(AL385),AL385,CC_DefAllow)))</f>
        <v/>
      </c>
      <c r="AN385" s="42" t="str">
        <f aca="false">IF(G385="Given volume",IF(ISNUMBER(H385),H385*INDEX(VolF,MATCH($H$7,VolU,0)),""),IF(G385="Water weight",AH385,IF(N(AG385)=0,"",AG385)))</f>
        <v/>
      </c>
      <c r="AO385" s="42" t="str">
        <f aca="false">IF(N(AN385)=0,"",AN385*AT385*IF(ISNUMBER(AJ385),AJ385,CC_DefCirc))</f>
        <v/>
      </c>
      <c r="AP385" s="27" t="n">
        <f aca="false">IF(ISNUMBER(T385),T385*INDEX(LenF,MATCH($T$7,LenU,0)),IF(ISNUMBER(W385),W385*INDEX(LenF,MATCH($W$7,LenU,0))/CC_PitchRatio,0))</f>
        <v>0</v>
      </c>
      <c r="AQ385" s="27" t="n">
        <f aca="false">IF(ISNUMBER(N385),PI()/4*(N385*INDEX(LenF,MATCH($N$7,LenU,0)))^2,IF(AND(ISNUMBER(S385),ISNUMBER(W385),X385&lt;&gt;""),S385*(W385*INDEX(LenF,MATCH($W$7,LenU,0)))^2*INDEX(LayoutF,MATCH(X385,LayoutU,0)),0))</f>
        <v>0</v>
      </c>
      <c r="AR385" s="27" t="n">
        <f aca="false">IF(ISNUMBER(O385),O385*INDEX(LenF,MATCH($O$7,LenU,0)),IF(ISNUMBER(V385),V385*INDEX(LenF,MATCH($V$7,LenU,0)),0))</f>
        <v>0</v>
      </c>
      <c r="AS385" s="27" t="str">
        <f aca="false">IF(ISNUMBER(L385),L385*INDEX(LenF,MATCH($L$7,LenU,0))*1000,IF(OR(J385="",K385=""),"",IFERROR(IF(INDEX(PipeWT,MATCH(J385,NPSU,0),MATCH(K385,SchU,0))="","Sch n/a",INDEX(PipeOD,MATCH(J385,NPSU,0))-2*INDEX(PipeWT,MATCH(J385,NPSU,0),MATCH(K385,SchU,0))),"")))</f>
        <v/>
      </c>
      <c r="AT385" s="27" t="n">
        <f aca="false">IF(ISNUMBER(AI385),AI385,IFERROR(INDEX(IF(CC_JobType="Decontamination",CC_TypeFillDC,CC_TypeFillCC),MATCH(E385,CC_TypeL,0)),1))</f>
        <v>1</v>
      </c>
      <c r="AU385" s="27" t="n">
        <v>12</v>
      </c>
    </row>
    <row r="386" customFormat="false" ht="15" hidden="false" customHeight="false" outlineLevel="0" collapsed="false">
      <c r="A386" s="36" t="n">
        <v>14</v>
      </c>
      <c r="B386" s="40"/>
      <c r="C386" s="32"/>
      <c r="D386" s="32"/>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1" t="str">
        <f aca="false">IF(E386="Exchanger",IF(AND(ISNUMBER(S386),ISNUMBER(U386),ISNUMBER(V386)),S386*PI()/4*(U386*INDEX(LenF,MATCH($U$7,LenU,0)))^2*V386*INDEX(LenF,MATCH($V$7,LenU,0)),0)+IF(ISNUMBER(Y386),PI()/4*(Y386*INDEX(LenF,MATCH($Y$7,LenU,0)))^2*N(Z386)*INDEX(LenF,MATCH($Z$7,LenU,0))+IF(AA386="",0,IF(AA386="Conical",PI()/12*(Y386*INDEX(LenF,MATCH($Y$7,LenU,0)))^2*(0),INDEX(HeadK,MATCH(AA386,HeadU,0))*(Y386*INDEX(LenF,MATCH($Y$7,LenU,0)))^3)),0)+IF(ISNUMBER(Y386),PI()/4*(Y386*INDEX(LenF,MATCH($Y$7,LenU,0)))^2*N(AB386)*INDEX(LenF,MATCH($AB$7,LenU,0))+IF(AC386="",0,IF(AC386="Conical",PI()/12*(Y386*INDEX(LenF,MATCH($Y$7,LenU,0)))^2*(0),INDEX(HeadK,MATCH(AC386,HeadU,0))*(Y386*INDEX(LenF,MATCH($Y$7,LenU,0)))^3)),0),"")</f>
        <v/>
      </c>
      <c r="AE386" s="41" t="str">
        <f aca="false">IF(OR(E386="",E386="Piping"),"",IF(E386="Exchanger",AQ386*AR386+IF(P386="",0,IF(P386="Conical",PI()/12*(SQRT(4*AQ386/PI()))^2*(0),INDEX(HeadK,MATCH(P386,HeadU,0))*(SQRT(4*AQ386/PI()))^3))-IF(AND(ISNUMBER(S386),ISNUMBER(V386)),S386*PI()/4*AP386^2*V386*INDEX(LenF,MATCH($V$7,LenU,0)),0),IF(ISNUMBER(N386),PI()/4*(N386*INDEX(LenF,MATCH($N$7,LenU,0)))^2*N(O386)*INDEX(LenF,MATCH($O$7,LenU,0))+IF(P386="",0,IF(P386="Conical",PI()/12*(N386*INDEX(LenF,MATCH($N$7,LenU,0)))^2*(N(R386)*INDEX(LenF,MATCH($R$7,LenU,0))),INDEX(HeadK,MATCH(P386,HeadU,0))*(N386*INDEX(LenF,MATCH($N$7,LenU,0)))^3))+IF(Q386="",0,IF(Q386="Conical",PI()/12*(N386*INDEX(LenF,MATCH($N$7,LenU,0)))^2*(N(R386)*INDEX(LenF,MATCH($R$7,LenU,0))),INDEX(HeadK,MATCH(Q386,HeadU,0))*(N386*INDEX(LenF,MATCH($N$7,LenU,0)))^3)),0)))</f>
        <v/>
      </c>
      <c r="AF386" s="41" t="str">
        <f aca="false">IF(E386&lt;&gt;"Piping","",IF(AND(ISNUMBER(AS386),ISNUMBER(M386)),PI()/4*(AS386/1000)^2*M386*INDEX(LenF,MATCH($M$7,LenU,0)),0))</f>
        <v/>
      </c>
      <c r="AG386" s="41" t="str">
        <f aca="false">IF(E386="","",N(AD386)+N(AE386)+N(AF386))</f>
        <v/>
      </c>
      <c r="AH386" s="41" t="str">
        <f aca="false">IF(ISNUMBER(I386),I386*INDEX(WtF,MATCH($I$7,WtU,0))/CC_WaterRho,"")</f>
        <v/>
      </c>
      <c r="AI386" s="31"/>
      <c r="AJ386" s="31"/>
      <c r="AK386" s="40"/>
      <c r="AL386" s="31"/>
      <c r="AM386" s="41" t="str">
        <f aca="false">IF(AO386="","",AO386*IF(ISNUMBER(AK386),AK386,CC_DefFills)*(1+IF(ISNUMBER(AL386),AL386,CC_DefAllow)))</f>
        <v/>
      </c>
      <c r="AN386" s="42" t="str">
        <f aca="false">IF(G386="Given volume",IF(ISNUMBER(H386),H386*INDEX(VolF,MATCH($H$7,VolU,0)),""),IF(G386="Water weight",AH386,IF(N(AG386)=0,"",AG386)))</f>
        <v/>
      </c>
      <c r="AO386" s="42" t="str">
        <f aca="false">IF(N(AN386)=0,"",AN386*AT386*IF(ISNUMBER(AJ386),AJ386,CC_DefCirc))</f>
        <v/>
      </c>
      <c r="AP386" s="27" t="n">
        <f aca="false">IF(ISNUMBER(T386),T386*INDEX(LenF,MATCH($T$7,LenU,0)),IF(ISNUMBER(W386),W386*INDEX(LenF,MATCH($W$7,LenU,0))/CC_PitchRatio,0))</f>
        <v>0</v>
      </c>
      <c r="AQ386" s="27" t="n">
        <f aca="false">IF(ISNUMBER(N386),PI()/4*(N386*INDEX(LenF,MATCH($N$7,LenU,0)))^2,IF(AND(ISNUMBER(S386),ISNUMBER(W386),X386&lt;&gt;""),S386*(W386*INDEX(LenF,MATCH($W$7,LenU,0)))^2*INDEX(LayoutF,MATCH(X386,LayoutU,0)),0))</f>
        <v>0</v>
      </c>
      <c r="AR386" s="27" t="n">
        <f aca="false">IF(ISNUMBER(O386),O386*INDEX(LenF,MATCH($O$7,LenU,0)),IF(ISNUMBER(V386),V386*INDEX(LenF,MATCH($V$7,LenU,0)),0))</f>
        <v>0</v>
      </c>
      <c r="AS386" s="27" t="str">
        <f aca="false">IF(ISNUMBER(L386),L386*INDEX(LenF,MATCH($L$7,LenU,0))*1000,IF(OR(J386="",K386=""),"",IFERROR(IF(INDEX(PipeWT,MATCH(J386,NPSU,0),MATCH(K386,SchU,0))="","Sch n/a",INDEX(PipeOD,MATCH(J386,NPSU,0))-2*INDEX(PipeWT,MATCH(J386,NPSU,0),MATCH(K386,SchU,0))),"")))</f>
        <v/>
      </c>
      <c r="AT386" s="27" t="n">
        <f aca="false">IF(ISNUMBER(AI386),AI386,IFERROR(INDEX(IF(CC_JobType="Decontamination",CC_TypeFillDC,CC_TypeFillCC),MATCH(E386,CC_TypeL,0)),1))</f>
        <v>1</v>
      </c>
      <c r="AU386" s="27" t="n">
        <v>12</v>
      </c>
    </row>
    <row r="387" customFormat="false" ht="15" hidden="false" customHeight="false" outlineLevel="0" collapsed="false">
      <c r="A387" s="36" t="n">
        <v>15</v>
      </c>
      <c r="B387" s="40"/>
      <c r="C387" s="32"/>
      <c r="D387" s="32"/>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1" t="str">
        <f aca="false">IF(E387="Exchanger",IF(AND(ISNUMBER(S387),ISNUMBER(U387),ISNUMBER(V387)),S387*PI()/4*(U387*INDEX(LenF,MATCH($U$7,LenU,0)))^2*V387*INDEX(LenF,MATCH($V$7,LenU,0)),0)+IF(ISNUMBER(Y387),PI()/4*(Y387*INDEX(LenF,MATCH($Y$7,LenU,0)))^2*N(Z387)*INDEX(LenF,MATCH($Z$7,LenU,0))+IF(AA387="",0,IF(AA387="Conical",PI()/12*(Y387*INDEX(LenF,MATCH($Y$7,LenU,0)))^2*(0),INDEX(HeadK,MATCH(AA387,HeadU,0))*(Y387*INDEX(LenF,MATCH($Y$7,LenU,0)))^3)),0)+IF(ISNUMBER(Y387),PI()/4*(Y387*INDEX(LenF,MATCH($Y$7,LenU,0)))^2*N(AB387)*INDEX(LenF,MATCH($AB$7,LenU,0))+IF(AC387="",0,IF(AC387="Conical",PI()/12*(Y387*INDEX(LenF,MATCH($Y$7,LenU,0)))^2*(0),INDEX(HeadK,MATCH(AC387,HeadU,0))*(Y387*INDEX(LenF,MATCH($Y$7,LenU,0)))^3)),0),"")</f>
        <v/>
      </c>
      <c r="AE387" s="41" t="str">
        <f aca="false">IF(OR(E387="",E387="Piping"),"",IF(E387="Exchanger",AQ387*AR387+IF(P387="",0,IF(P387="Conical",PI()/12*(SQRT(4*AQ387/PI()))^2*(0),INDEX(HeadK,MATCH(P387,HeadU,0))*(SQRT(4*AQ387/PI()))^3))-IF(AND(ISNUMBER(S387),ISNUMBER(V387)),S387*PI()/4*AP387^2*V387*INDEX(LenF,MATCH($V$7,LenU,0)),0),IF(ISNUMBER(N387),PI()/4*(N387*INDEX(LenF,MATCH($N$7,LenU,0)))^2*N(O387)*INDEX(LenF,MATCH($O$7,LenU,0))+IF(P387="",0,IF(P387="Conical",PI()/12*(N387*INDEX(LenF,MATCH($N$7,LenU,0)))^2*(N(R387)*INDEX(LenF,MATCH($R$7,LenU,0))),INDEX(HeadK,MATCH(P387,HeadU,0))*(N387*INDEX(LenF,MATCH($N$7,LenU,0)))^3))+IF(Q387="",0,IF(Q387="Conical",PI()/12*(N387*INDEX(LenF,MATCH($N$7,LenU,0)))^2*(N(R387)*INDEX(LenF,MATCH($R$7,LenU,0))),INDEX(HeadK,MATCH(Q387,HeadU,0))*(N387*INDEX(LenF,MATCH($N$7,LenU,0)))^3)),0)))</f>
        <v/>
      </c>
      <c r="AF387" s="41" t="str">
        <f aca="false">IF(E387&lt;&gt;"Piping","",IF(AND(ISNUMBER(AS387),ISNUMBER(M387)),PI()/4*(AS387/1000)^2*M387*INDEX(LenF,MATCH($M$7,LenU,0)),0))</f>
        <v/>
      </c>
      <c r="AG387" s="41" t="str">
        <f aca="false">IF(E387="","",N(AD387)+N(AE387)+N(AF387))</f>
        <v/>
      </c>
      <c r="AH387" s="41" t="str">
        <f aca="false">IF(ISNUMBER(I387),I387*INDEX(WtF,MATCH($I$7,WtU,0))/CC_WaterRho,"")</f>
        <v/>
      </c>
      <c r="AI387" s="31"/>
      <c r="AJ387" s="31"/>
      <c r="AK387" s="40"/>
      <c r="AL387" s="31"/>
      <c r="AM387" s="41" t="str">
        <f aca="false">IF(AO387="","",AO387*IF(ISNUMBER(AK387),AK387,CC_DefFills)*(1+IF(ISNUMBER(AL387),AL387,CC_DefAllow)))</f>
        <v/>
      </c>
      <c r="AN387" s="42" t="str">
        <f aca="false">IF(G387="Given volume",IF(ISNUMBER(H387),H387*INDEX(VolF,MATCH($H$7,VolU,0)),""),IF(G387="Water weight",AH387,IF(N(AG387)=0,"",AG387)))</f>
        <v/>
      </c>
      <c r="AO387" s="42" t="str">
        <f aca="false">IF(N(AN387)=0,"",AN387*AT387*IF(ISNUMBER(AJ387),AJ387,CC_DefCirc))</f>
        <v/>
      </c>
      <c r="AP387" s="27" t="n">
        <f aca="false">IF(ISNUMBER(T387),T387*INDEX(LenF,MATCH($T$7,LenU,0)),IF(ISNUMBER(W387),W387*INDEX(LenF,MATCH($W$7,LenU,0))/CC_PitchRatio,0))</f>
        <v>0</v>
      </c>
      <c r="AQ387" s="27" t="n">
        <f aca="false">IF(ISNUMBER(N387),PI()/4*(N387*INDEX(LenF,MATCH($N$7,LenU,0)))^2,IF(AND(ISNUMBER(S387),ISNUMBER(W387),X387&lt;&gt;""),S387*(W387*INDEX(LenF,MATCH($W$7,LenU,0)))^2*INDEX(LayoutF,MATCH(X387,LayoutU,0)),0))</f>
        <v>0</v>
      </c>
      <c r="AR387" s="27" t="n">
        <f aca="false">IF(ISNUMBER(O387),O387*INDEX(LenF,MATCH($O$7,LenU,0)),IF(ISNUMBER(V387),V387*INDEX(LenF,MATCH($V$7,LenU,0)),0))</f>
        <v>0</v>
      </c>
      <c r="AS387" s="27" t="str">
        <f aca="false">IF(ISNUMBER(L387),L387*INDEX(LenF,MATCH($L$7,LenU,0))*1000,IF(OR(J387="",K387=""),"",IFERROR(IF(INDEX(PipeWT,MATCH(J387,NPSU,0),MATCH(K387,SchU,0))="","Sch n/a",INDEX(PipeOD,MATCH(J387,NPSU,0))-2*INDEX(PipeWT,MATCH(J387,NPSU,0),MATCH(K387,SchU,0))),"")))</f>
        <v/>
      </c>
      <c r="AT387" s="27" t="n">
        <f aca="false">IF(ISNUMBER(AI387),AI387,IFERROR(INDEX(IF(CC_JobType="Decontamination",CC_TypeFillDC,CC_TypeFillCC),MATCH(E387,CC_TypeL,0)),1))</f>
        <v>1</v>
      </c>
      <c r="AU387" s="27" t="n">
        <v>12</v>
      </c>
    </row>
    <row r="388" customFormat="false" ht="15" hidden="false" customHeight="false" outlineLevel="0" collapsed="false">
      <c r="A388" s="36" t="n">
        <v>16</v>
      </c>
      <c r="B388" s="40"/>
      <c r="C388" s="32"/>
      <c r="D388" s="32"/>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1" t="str">
        <f aca="false">IF(E388="Exchanger",IF(AND(ISNUMBER(S388),ISNUMBER(U388),ISNUMBER(V388)),S388*PI()/4*(U388*INDEX(LenF,MATCH($U$7,LenU,0)))^2*V388*INDEX(LenF,MATCH($V$7,LenU,0)),0)+IF(ISNUMBER(Y388),PI()/4*(Y388*INDEX(LenF,MATCH($Y$7,LenU,0)))^2*N(Z388)*INDEX(LenF,MATCH($Z$7,LenU,0))+IF(AA388="",0,IF(AA388="Conical",PI()/12*(Y388*INDEX(LenF,MATCH($Y$7,LenU,0)))^2*(0),INDEX(HeadK,MATCH(AA388,HeadU,0))*(Y388*INDEX(LenF,MATCH($Y$7,LenU,0)))^3)),0)+IF(ISNUMBER(Y388),PI()/4*(Y388*INDEX(LenF,MATCH($Y$7,LenU,0)))^2*N(AB388)*INDEX(LenF,MATCH($AB$7,LenU,0))+IF(AC388="",0,IF(AC388="Conical",PI()/12*(Y388*INDEX(LenF,MATCH($Y$7,LenU,0)))^2*(0),INDEX(HeadK,MATCH(AC388,HeadU,0))*(Y388*INDEX(LenF,MATCH($Y$7,LenU,0)))^3)),0),"")</f>
        <v/>
      </c>
      <c r="AE388" s="41" t="str">
        <f aca="false">IF(OR(E388="",E388="Piping"),"",IF(E388="Exchanger",AQ388*AR388+IF(P388="",0,IF(P388="Conical",PI()/12*(SQRT(4*AQ388/PI()))^2*(0),INDEX(HeadK,MATCH(P388,HeadU,0))*(SQRT(4*AQ388/PI()))^3))-IF(AND(ISNUMBER(S388),ISNUMBER(V388)),S388*PI()/4*AP388^2*V388*INDEX(LenF,MATCH($V$7,LenU,0)),0),IF(ISNUMBER(N388),PI()/4*(N388*INDEX(LenF,MATCH($N$7,LenU,0)))^2*N(O388)*INDEX(LenF,MATCH($O$7,LenU,0))+IF(P388="",0,IF(P388="Conical",PI()/12*(N388*INDEX(LenF,MATCH($N$7,LenU,0)))^2*(N(R388)*INDEX(LenF,MATCH($R$7,LenU,0))),INDEX(HeadK,MATCH(P388,HeadU,0))*(N388*INDEX(LenF,MATCH($N$7,LenU,0)))^3))+IF(Q388="",0,IF(Q388="Conical",PI()/12*(N388*INDEX(LenF,MATCH($N$7,LenU,0)))^2*(N(R388)*INDEX(LenF,MATCH($R$7,LenU,0))),INDEX(HeadK,MATCH(Q388,HeadU,0))*(N388*INDEX(LenF,MATCH($N$7,LenU,0)))^3)),0)))</f>
        <v/>
      </c>
      <c r="AF388" s="41" t="str">
        <f aca="false">IF(E388&lt;&gt;"Piping","",IF(AND(ISNUMBER(AS388),ISNUMBER(M388)),PI()/4*(AS388/1000)^2*M388*INDEX(LenF,MATCH($M$7,LenU,0)),0))</f>
        <v/>
      </c>
      <c r="AG388" s="41" t="str">
        <f aca="false">IF(E388="","",N(AD388)+N(AE388)+N(AF388))</f>
        <v/>
      </c>
      <c r="AH388" s="41" t="str">
        <f aca="false">IF(ISNUMBER(I388),I388*INDEX(WtF,MATCH($I$7,WtU,0))/CC_WaterRho,"")</f>
        <v/>
      </c>
      <c r="AI388" s="31"/>
      <c r="AJ388" s="31"/>
      <c r="AK388" s="40"/>
      <c r="AL388" s="31"/>
      <c r="AM388" s="41" t="str">
        <f aca="false">IF(AO388="","",AO388*IF(ISNUMBER(AK388),AK388,CC_DefFills)*(1+IF(ISNUMBER(AL388),AL388,CC_DefAllow)))</f>
        <v/>
      </c>
      <c r="AN388" s="42" t="str">
        <f aca="false">IF(G388="Given volume",IF(ISNUMBER(H388),H388*INDEX(VolF,MATCH($H$7,VolU,0)),""),IF(G388="Water weight",AH388,IF(N(AG388)=0,"",AG388)))</f>
        <v/>
      </c>
      <c r="AO388" s="42" t="str">
        <f aca="false">IF(N(AN388)=0,"",AN388*AT388*IF(ISNUMBER(AJ388),AJ388,CC_DefCirc))</f>
        <v/>
      </c>
      <c r="AP388" s="27" t="n">
        <f aca="false">IF(ISNUMBER(T388),T388*INDEX(LenF,MATCH($T$7,LenU,0)),IF(ISNUMBER(W388),W388*INDEX(LenF,MATCH($W$7,LenU,0))/CC_PitchRatio,0))</f>
        <v>0</v>
      </c>
      <c r="AQ388" s="27" t="n">
        <f aca="false">IF(ISNUMBER(N388),PI()/4*(N388*INDEX(LenF,MATCH($N$7,LenU,0)))^2,IF(AND(ISNUMBER(S388),ISNUMBER(W388),X388&lt;&gt;""),S388*(W388*INDEX(LenF,MATCH($W$7,LenU,0)))^2*INDEX(LayoutF,MATCH(X388,LayoutU,0)),0))</f>
        <v>0</v>
      </c>
      <c r="AR388" s="27" t="n">
        <f aca="false">IF(ISNUMBER(O388),O388*INDEX(LenF,MATCH($O$7,LenU,0)),IF(ISNUMBER(V388),V388*INDEX(LenF,MATCH($V$7,LenU,0)),0))</f>
        <v>0</v>
      </c>
      <c r="AS388" s="27" t="str">
        <f aca="false">IF(ISNUMBER(L388),L388*INDEX(LenF,MATCH($L$7,LenU,0))*1000,IF(OR(J388="",K388=""),"",IFERROR(IF(INDEX(PipeWT,MATCH(J388,NPSU,0),MATCH(K388,SchU,0))="","Sch n/a",INDEX(PipeOD,MATCH(J388,NPSU,0))-2*INDEX(PipeWT,MATCH(J388,NPSU,0),MATCH(K388,SchU,0))),"")))</f>
        <v/>
      </c>
      <c r="AT388" s="27" t="n">
        <f aca="false">IF(ISNUMBER(AI388),AI388,IFERROR(INDEX(IF(CC_JobType="Decontamination",CC_TypeFillDC,CC_TypeFillCC),MATCH(E388,CC_TypeL,0)),1))</f>
        <v>1</v>
      </c>
      <c r="AU388" s="27" t="n">
        <v>12</v>
      </c>
    </row>
    <row r="389" customFormat="false" ht="15" hidden="false" customHeight="false" outlineLevel="0" collapsed="false">
      <c r="A389" s="36" t="n">
        <v>17</v>
      </c>
      <c r="B389" s="40"/>
      <c r="C389" s="32"/>
      <c r="D389" s="32"/>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1" t="str">
        <f aca="false">IF(E389="Exchanger",IF(AND(ISNUMBER(S389),ISNUMBER(U389),ISNUMBER(V389)),S389*PI()/4*(U389*INDEX(LenF,MATCH($U$7,LenU,0)))^2*V389*INDEX(LenF,MATCH($V$7,LenU,0)),0)+IF(ISNUMBER(Y389),PI()/4*(Y389*INDEX(LenF,MATCH($Y$7,LenU,0)))^2*N(Z389)*INDEX(LenF,MATCH($Z$7,LenU,0))+IF(AA389="",0,IF(AA389="Conical",PI()/12*(Y389*INDEX(LenF,MATCH($Y$7,LenU,0)))^2*(0),INDEX(HeadK,MATCH(AA389,HeadU,0))*(Y389*INDEX(LenF,MATCH($Y$7,LenU,0)))^3)),0)+IF(ISNUMBER(Y389),PI()/4*(Y389*INDEX(LenF,MATCH($Y$7,LenU,0)))^2*N(AB389)*INDEX(LenF,MATCH($AB$7,LenU,0))+IF(AC389="",0,IF(AC389="Conical",PI()/12*(Y389*INDEX(LenF,MATCH($Y$7,LenU,0)))^2*(0),INDEX(HeadK,MATCH(AC389,HeadU,0))*(Y389*INDEX(LenF,MATCH($Y$7,LenU,0)))^3)),0),"")</f>
        <v/>
      </c>
      <c r="AE389" s="41" t="str">
        <f aca="false">IF(OR(E389="",E389="Piping"),"",IF(E389="Exchanger",AQ389*AR389+IF(P389="",0,IF(P389="Conical",PI()/12*(SQRT(4*AQ389/PI()))^2*(0),INDEX(HeadK,MATCH(P389,HeadU,0))*(SQRT(4*AQ389/PI()))^3))-IF(AND(ISNUMBER(S389),ISNUMBER(V389)),S389*PI()/4*AP389^2*V389*INDEX(LenF,MATCH($V$7,LenU,0)),0),IF(ISNUMBER(N389),PI()/4*(N389*INDEX(LenF,MATCH($N$7,LenU,0)))^2*N(O389)*INDEX(LenF,MATCH($O$7,LenU,0))+IF(P389="",0,IF(P389="Conical",PI()/12*(N389*INDEX(LenF,MATCH($N$7,LenU,0)))^2*(N(R389)*INDEX(LenF,MATCH($R$7,LenU,0))),INDEX(HeadK,MATCH(P389,HeadU,0))*(N389*INDEX(LenF,MATCH($N$7,LenU,0)))^3))+IF(Q389="",0,IF(Q389="Conical",PI()/12*(N389*INDEX(LenF,MATCH($N$7,LenU,0)))^2*(N(R389)*INDEX(LenF,MATCH($R$7,LenU,0))),INDEX(HeadK,MATCH(Q389,HeadU,0))*(N389*INDEX(LenF,MATCH($N$7,LenU,0)))^3)),0)))</f>
        <v/>
      </c>
      <c r="AF389" s="41" t="str">
        <f aca="false">IF(E389&lt;&gt;"Piping","",IF(AND(ISNUMBER(AS389),ISNUMBER(M389)),PI()/4*(AS389/1000)^2*M389*INDEX(LenF,MATCH($M$7,LenU,0)),0))</f>
        <v/>
      </c>
      <c r="AG389" s="41" t="str">
        <f aca="false">IF(E389="","",N(AD389)+N(AE389)+N(AF389))</f>
        <v/>
      </c>
      <c r="AH389" s="41" t="str">
        <f aca="false">IF(ISNUMBER(I389),I389*INDEX(WtF,MATCH($I$7,WtU,0))/CC_WaterRho,"")</f>
        <v/>
      </c>
      <c r="AI389" s="31"/>
      <c r="AJ389" s="31"/>
      <c r="AK389" s="40"/>
      <c r="AL389" s="31"/>
      <c r="AM389" s="41" t="str">
        <f aca="false">IF(AO389="","",AO389*IF(ISNUMBER(AK389),AK389,CC_DefFills)*(1+IF(ISNUMBER(AL389),AL389,CC_DefAllow)))</f>
        <v/>
      </c>
      <c r="AN389" s="42" t="str">
        <f aca="false">IF(G389="Given volume",IF(ISNUMBER(H389),H389*INDEX(VolF,MATCH($H$7,VolU,0)),""),IF(G389="Water weight",AH389,IF(N(AG389)=0,"",AG389)))</f>
        <v/>
      </c>
      <c r="AO389" s="42" t="str">
        <f aca="false">IF(N(AN389)=0,"",AN389*AT389*IF(ISNUMBER(AJ389),AJ389,CC_DefCirc))</f>
        <v/>
      </c>
      <c r="AP389" s="27" t="n">
        <f aca="false">IF(ISNUMBER(T389),T389*INDEX(LenF,MATCH($T$7,LenU,0)),IF(ISNUMBER(W389),W389*INDEX(LenF,MATCH($W$7,LenU,0))/CC_PitchRatio,0))</f>
        <v>0</v>
      </c>
      <c r="AQ389" s="27" t="n">
        <f aca="false">IF(ISNUMBER(N389),PI()/4*(N389*INDEX(LenF,MATCH($N$7,LenU,0)))^2,IF(AND(ISNUMBER(S389),ISNUMBER(W389),X389&lt;&gt;""),S389*(W389*INDEX(LenF,MATCH($W$7,LenU,0)))^2*INDEX(LayoutF,MATCH(X389,LayoutU,0)),0))</f>
        <v>0</v>
      </c>
      <c r="AR389" s="27" t="n">
        <f aca="false">IF(ISNUMBER(O389),O389*INDEX(LenF,MATCH($O$7,LenU,0)),IF(ISNUMBER(V389),V389*INDEX(LenF,MATCH($V$7,LenU,0)),0))</f>
        <v>0</v>
      </c>
      <c r="AS389" s="27" t="str">
        <f aca="false">IF(ISNUMBER(L389),L389*INDEX(LenF,MATCH($L$7,LenU,0))*1000,IF(OR(J389="",K389=""),"",IFERROR(IF(INDEX(PipeWT,MATCH(J389,NPSU,0),MATCH(K389,SchU,0))="","Sch n/a",INDEX(PipeOD,MATCH(J389,NPSU,0))-2*INDEX(PipeWT,MATCH(J389,NPSU,0),MATCH(K389,SchU,0))),"")))</f>
        <v/>
      </c>
      <c r="AT389" s="27" t="n">
        <f aca="false">IF(ISNUMBER(AI389),AI389,IFERROR(INDEX(IF(CC_JobType="Decontamination",CC_TypeFillDC,CC_TypeFillCC),MATCH(E389,CC_TypeL,0)),1))</f>
        <v>1</v>
      </c>
      <c r="AU389" s="27" t="n">
        <v>12</v>
      </c>
    </row>
    <row r="390" customFormat="false" ht="15" hidden="false" customHeight="false" outlineLevel="0" collapsed="false">
      <c r="A390" s="36" t="n">
        <v>18</v>
      </c>
      <c r="B390" s="40"/>
      <c r="C390" s="32"/>
      <c r="D390" s="32"/>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1" t="str">
        <f aca="false">IF(E390="Exchanger",IF(AND(ISNUMBER(S390),ISNUMBER(U390),ISNUMBER(V390)),S390*PI()/4*(U390*INDEX(LenF,MATCH($U$7,LenU,0)))^2*V390*INDEX(LenF,MATCH($V$7,LenU,0)),0)+IF(ISNUMBER(Y390),PI()/4*(Y390*INDEX(LenF,MATCH($Y$7,LenU,0)))^2*N(Z390)*INDEX(LenF,MATCH($Z$7,LenU,0))+IF(AA390="",0,IF(AA390="Conical",PI()/12*(Y390*INDEX(LenF,MATCH($Y$7,LenU,0)))^2*(0),INDEX(HeadK,MATCH(AA390,HeadU,0))*(Y390*INDEX(LenF,MATCH($Y$7,LenU,0)))^3)),0)+IF(ISNUMBER(Y390),PI()/4*(Y390*INDEX(LenF,MATCH($Y$7,LenU,0)))^2*N(AB390)*INDEX(LenF,MATCH($AB$7,LenU,0))+IF(AC390="",0,IF(AC390="Conical",PI()/12*(Y390*INDEX(LenF,MATCH($Y$7,LenU,0)))^2*(0),INDEX(HeadK,MATCH(AC390,HeadU,0))*(Y390*INDEX(LenF,MATCH($Y$7,LenU,0)))^3)),0),"")</f>
        <v/>
      </c>
      <c r="AE390" s="41" t="str">
        <f aca="false">IF(OR(E390="",E390="Piping"),"",IF(E390="Exchanger",AQ390*AR390+IF(P390="",0,IF(P390="Conical",PI()/12*(SQRT(4*AQ390/PI()))^2*(0),INDEX(HeadK,MATCH(P390,HeadU,0))*(SQRT(4*AQ390/PI()))^3))-IF(AND(ISNUMBER(S390),ISNUMBER(V390)),S390*PI()/4*AP390^2*V390*INDEX(LenF,MATCH($V$7,LenU,0)),0),IF(ISNUMBER(N390),PI()/4*(N390*INDEX(LenF,MATCH($N$7,LenU,0)))^2*N(O390)*INDEX(LenF,MATCH($O$7,LenU,0))+IF(P390="",0,IF(P390="Conical",PI()/12*(N390*INDEX(LenF,MATCH($N$7,LenU,0)))^2*(N(R390)*INDEX(LenF,MATCH($R$7,LenU,0))),INDEX(HeadK,MATCH(P390,HeadU,0))*(N390*INDEX(LenF,MATCH($N$7,LenU,0)))^3))+IF(Q390="",0,IF(Q390="Conical",PI()/12*(N390*INDEX(LenF,MATCH($N$7,LenU,0)))^2*(N(R390)*INDEX(LenF,MATCH($R$7,LenU,0))),INDEX(HeadK,MATCH(Q390,HeadU,0))*(N390*INDEX(LenF,MATCH($N$7,LenU,0)))^3)),0)))</f>
        <v/>
      </c>
      <c r="AF390" s="41" t="str">
        <f aca="false">IF(E390&lt;&gt;"Piping","",IF(AND(ISNUMBER(AS390),ISNUMBER(M390)),PI()/4*(AS390/1000)^2*M390*INDEX(LenF,MATCH($M$7,LenU,0)),0))</f>
        <v/>
      </c>
      <c r="AG390" s="41" t="str">
        <f aca="false">IF(E390="","",N(AD390)+N(AE390)+N(AF390))</f>
        <v/>
      </c>
      <c r="AH390" s="41" t="str">
        <f aca="false">IF(ISNUMBER(I390),I390*INDEX(WtF,MATCH($I$7,WtU,0))/CC_WaterRho,"")</f>
        <v/>
      </c>
      <c r="AI390" s="31"/>
      <c r="AJ390" s="31"/>
      <c r="AK390" s="40"/>
      <c r="AL390" s="31"/>
      <c r="AM390" s="41" t="str">
        <f aca="false">IF(AO390="","",AO390*IF(ISNUMBER(AK390),AK390,CC_DefFills)*(1+IF(ISNUMBER(AL390),AL390,CC_DefAllow)))</f>
        <v/>
      </c>
      <c r="AN390" s="42" t="str">
        <f aca="false">IF(G390="Given volume",IF(ISNUMBER(H390),H390*INDEX(VolF,MATCH($H$7,VolU,0)),""),IF(G390="Water weight",AH390,IF(N(AG390)=0,"",AG390)))</f>
        <v/>
      </c>
      <c r="AO390" s="42" t="str">
        <f aca="false">IF(N(AN390)=0,"",AN390*AT390*IF(ISNUMBER(AJ390),AJ390,CC_DefCirc))</f>
        <v/>
      </c>
      <c r="AP390" s="27" t="n">
        <f aca="false">IF(ISNUMBER(T390),T390*INDEX(LenF,MATCH($T$7,LenU,0)),IF(ISNUMBER(W390),W390*INDEX(LenF,MATCH($W$7,LenU,0))/CC_PitchRatio,0))</f>
        <v>0</v>
      </c>
      <c r="AQ390" s="27" t="n">
        <f aca="false">IF(ISNUMBER(N390),PI()/4*(N390*INDEX(LenF,MATCH($N$7,LenU,0)))^2,IF(AND(ISNUMBER(S390),ISNUMBER(W390),X390&lt;&gt;""),S390*(W390*INDEX(LenF,MATCH($W$7,LenU,0)))^2*INDEX(LayoutF,MATCH(X390,LayoutU,0)),0))</f>
        <v>0</v>
      </c>
      <c r="AR390" s="27" t="n">
        <f aca="false">IF(ISNUMBER(O390),O390*INDEX(LenF,MATCH($O$7,LenU,0)),IF(ISNUMBER(V390),V390*INDEX(LenF,MATCH($V$7,LenU,0)),0))</f>
        <v>0</v>
      </c>
      <c r="AS390" s="27" t="str">
        <f aca="false">IF(ISNUMBER(L390),L390*INDEX(LenF,MATCH($L$7,LenU,0))*1000,IF(OR(J390="",K390=""),"",IFERROR(IF(INDEX(PipeWT,MATCH(J390,NPSU,0),MATCH(K390,SchU,0))="","Sch n/a",INDEX(PipeOD,MATCH(J390,NPSU,0))-2*INDEX(PipeWT,MATCH(J390,NPSU,0),MATCH(K390,SchU,0))),"")))</f>
        <v/>
      </c>
      <c r="AT390" s="27" t="n">
        <f aca="false">IF(ISNUMBER(AI390),AI390,IFERROR(INDEX(IF(CC_JobType="Decontamination",CC_TypeFillDC,CC_TypeFillCC),MATCH(E390,CC_TypeL,0)),1))</f>
        <v>1</v>
      </c>
      <c r="AU390" s="27" t="n">
        <v>12</v>
      </c>
    </row>
    <row r="391" customFormat="false" ht="15" hidden="false" customHeight="false" outlineLevel="0" collapsed="false">
      <c r="A391" s="36" t="n">
        <v>19</v>
      </c>
      <c r="B391" s="40"/>
      <c r="C391" s="32"/>
      <c r="D391" s="32"/>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1" t="str">
        <f aca="false">IF(E391="Exchanger",IF(AND(ISNUMBER(S391),ISNUMBER(U391),ISNUMBER(V391)),S391*PI()/4*(U391*INDEX(LenF,MATCH($U$7,LenU,0)))^2*V391*INDEX(LenF,MATCH($V$7,LenU,0)),0)+IF(ISNUMBER(Y391),PI()/4*(Y391*INDEX(LenF,MATCH($Y$7,LenU,0)))^2*N(Z391)*INDEX(LenF,MATCH($Z$7,LenU,0))+IF(AA391="",0,IF(AA391="Conical",PI()/12*(Y391*INDEX(LenF,MATCH($Y$7,LenU,0)))^2*(0),INDEX(HeadK,MATCH(AA391,HeadU,0))*(Y391*INDEX(LenF,MATCH($Y$7,LenU,0)))^3)),0)+IF(ISNUMBER(Y391),PI()/4*(Y391*INDEX(LenF,MATCH($Y$7,LenU,0)))^2*N(AB391)*INDEX(LenF,MATCH($AB$7,LenU,0))+IF(AC391="",0,IF(AC391="Conical",PI()/12*(Y391*INDEX(LenF,MATCH($Y$7,LenU,0)))^2*(0),INDEX(HeadK,MATCH(AC391,HeadU,0))*(Y391*INDEX(LenF,MATCH($Y$7,LenU,0)))^3)),0),"")</f>
        <v/>
      </c>
      <c r="AE391" s="41" t="str">
        <f aca="false">IF(OR(E391="",E391="Piping"),"",IF(E391="Exchanger",AQ391*AR391+IF(P391="",0,IF(P391="Conical",PI()/12*(SQRT(4*AQ391/PI()))^2*(0),INDEX(HeadK,MATCH(P391,HeadU,0))*(SQRT(4*AQ391/PI()))^3))-IF(AND(ISNUMBER(S391),ISNUMBER(V391)),S391*PI()/4*AP391^2*V391*INDEX(LenF,MATCH($V$7,LenU,0)),0),IF(ISNUMBER(N391),PI()/4*(N391*INDEX(LenF,MATCH($N$7,LenU,0)))^2*N(O391)*INDEX(LenF,MATCH($O$7,LenU,0))+IF(P391="",0,IF(P391="Conical",PI()/12*(N391*INDEX(LenF,MATCH($N$7,LenU,0)))^2*(N(R391)*INDEX(LenF,MATCH($R$7,LenU,0))),INDEX(HeadK,MATCH(P391,HeadU,0))*(N391*INDEX(LenF,MATCH($N$7,LenU,0)))^3))+IF(Q391="",0,IF(Q391="Conical",PI()/12*(N391*INDEX(LenF,MATCH($N$7,LenU,0)))^2*(N(R391)*INDEX(LenF,MATCH($R$7,LenU,0))),INDEX(HeadK,MATCH(Q391,HeadU,0))*(N391*INDEX(LenF,MATCH($N$7,LenU,0)))^3)),0)))</f>
        <v/>
      </c>
      <c r="AF391" s="41" t="str">
        <f aca="false">IF(E391&lt;&gt;"Piping","",IF(AND(ISNUMBER(AS391),ISNUMBER(M391)),PI()/4*(AS391/1000)^2*M391*INDEX(LenF,MATCH($M$7,LenU,0)),0))</f>
        <v/>
      </c>
      <c r="AG391" s="41" t="str">
        <f aca="false">IF(E391="","",N(AD391)+N(AE391)+N(AF391))</f>
        <v/>
      </c>
      <c r="AH391" s="41" t="str">
        <f aca="false">IF(ISNUMBER(I391),I391*INDEX(WtF,MATCH($I$7,WtU,0))/CC_WaterRho,"")</f>
        <v/>
      </c>
      <c r="AI391" s="31"/>
      <c r="AJ391" s="31"/>
      <c r="AK391" s="40"/>
      <c r="AL391" s="31"/>
      <c r="AM391" s="41" t="str">
        <f aca="false">IF(AO391="","",AO391*IF(ISNUMBER(AK391),AK391,CC_DefFills)*(1+IF(ISNUMBER(AL391),AL391,CC_DefAllow)))</f>
        <v/>
      </c>
      <c r="AN391" s="42" t="str">
        <f aca="false">IF(G391="Given volume",IF(ISNUMBER(H391),H391*INDEX(VolF,MATCH($H$7,VolU,0)),""),IF(G391="Water weight",AH391,IF(N(AG391)=0,"",AG391)))</f>
        <v/>
      </c>
      <c r="AO391" s="42" t="str">
        <f aca="false">IF(N(AN391)=0,"",AN391*AT391*IF(ISNUMBER(AJ391),AJ391,CC_DefCirc))</f>
        <v/>
      </c>
      <c r="AP391" s="27" t="n">
        <f aca="false">IF(ISNUMBER(T391),T391*INDEX(LenF,MATCH($T$7,LenU,0)),IF(ISNUMBER(W391),W391*INDEX(LenF,MATCH($W$7,LenU,0))/CC_PitchRatio,0))</f>
        <v>0</v>
      </c>
      <c r="AQ391" s="27" t="n">
        <f aca="false">IF(ISNUMBER(N391),PI()/4*(N391*INDEX(LenF,MATCH($N$7,LenU,0)))^2,IF(AND(ISNUMBER(S391),ISNUMBER(W391),X391&lt;&gt;""),S391*(W391*INDEX(LenF,MATCH($W$7,LenU,0)))^2*INDEX(LayoutF,MATCH(X391,LayoutU,0)),0))</f>
        <v>0</v>
      </c>
      <c r="AR391" s="27" t="n">
        <f aca="false">IF(ISNUMBER(O391),O391*INDEX(LenF,MATCH($O$7,LenU,0)),IF(ISNUMBER(V391),V391*INDEX(LenF,MATCH($V$7,LenU,0)),0))</f>
        <v>0</v>
      </c>
      <c r="AS391" s="27" t="str">
        <f aca="false">IF(ISNUMBER(L391),L391*INDEX(LenF,MATCH($L$7,LenU,0))*1000,IF(OR(J391="",K391=""),"",IFERROR(IF(INDEX(PipeWT,MATCH(J391,NPSU,0),MATCH(K391,SchU,0))="","Sch n/a",INDEX(PipeOD,MATCH(J391,NPSU,0))-2*INDEX(PipeWT,MATCH(J391,NPSU,0),MATCH(K391,SchU,0))),"")))</f>
        <v/>
      </c>
      <c r="AT391" s="27" t="n">
        <f aca="false">IF(ISNUMBER(AI391),AI391,IFERROR(INDEX(IF(CC_JobType="Decontamination",CC_TypeFillDC,CC_TypeFillCC),MATCH(E391,CC_TypeL,0)),1))</f>
        <v>1</v>
      </c>
      <c r="AU391" s="27" t="n">
        <v>12</v>
      </c>
    </row>
    <row r="392" customFormat="false" ht="15" hidden="false" customHeight="false" outlineLevel="0" collapsed="false">
      <c r="A392" s="36" t="n">
        <v>20</v>
      </c>
      <c r="B392" s="40"/>
      <c r="C392" s="32"/>
      <c r="D392" s="32"/>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1" t="str">
        <f aca="false">IF(E392="Exchanger",IF(AND(ISNUMBER(S392),ISNUMBER(U392),ISNUMBER(V392)),S392*PI()/4*(U392*INDEX(LenF,MATCH($U$7,LenU,0)))^2*V392*INDEX(LenF,MATCH($V$7,LenU,0)),0)+IF(ISNUMBER(Y392),PI()/4*(Y392*INDEX(LenF,MATCH($Y$7,LenU,0)))^2*N(Z392)*INDEX(LenF,MATCH($Z$7,LenU,0))+IF(AA392="",0,IF(AA392="Conical",PI()/12*(Y392*INDEX(LenF,MATCH($Y$7,LenU,0)))^2*(0),INDEX(HeadK,MATCH(AA392,HeadU,0))*(Y392*INDEX(LenF,MATCH($Y$7,LenU,0)))^3)),0)+IF(ISNUMBER(Y392),PI()/4*(Y392*INDEX(LenF,MATCH($Y$7,LenU,0)))^2*N(AB392)*INDEX(LenF,MATCH($AB$7,LenU,0))+IF(AC392="",0,IF(AC392="Conical",PI()/12*(Y392*INDEX(LenF,MATCH($Y$7,LenU,0)))^2*(0),INDEX(HeadK,MATCH(AC392,HeadU,0))*(Y392*INDEX(LenF,MATCH($Y$7,LenU,0)))^3)),0),"")</f>
        <v/>
      </c>
      <c r="AE392" s="41" t="str">
        <f aca="false">IF(OR(E392="",E392="Piping"),"",IF(E392="Exchanger",AQ392*AR392+IF(P392="",0,IF(P392="Conical",PI()/12*(SQRT(4*AQ392/PI()))^2*(0),INDEX(HeadK,MATCH(P392,HeadU,0))*(SQRT(4*AQ392/PI()))^3))-IF(AND(ISNUMBER(S392),ISNUMBER(V392)),S392*PI()/4*AP392^2*V392*INDEX(LenF,MATCH($V$7,LenU,0)),0),IF(ISNUMBER(N392),PI()/4*(N392*INDEX(LenF,MATCH($N$7,LenU,0)))^2*N(O392)*INDEX(LenF,MATCH($O$7,LenU,0))+IF(P392="",0,IF(P392="Conical",PI()/12*(N392*INDEX(LenF,MATCH($N$7,LenU,0)))^2*(N(R392)*INDEX(LenF,MATCH($R$7,LenU,0))),INDEX(HeadK,MATCH(P392,HeadU,0))*(N392*INDEX(LenF,MATCH($N$7,LenU,0)))^3))+IF(Q392="",0,IF(Q392="Conical",PI()/12*(N392*INDEX(LenF,MATCH($N$7,LenU,0)))^2*(N(R392)*INDEX(LenF,MATCH($R$7,LenU,0))),INDEX(HeadK,MATCH(Q392,HeadU,0))*(N392*INDEX(LenF,MATCH($N$7,LenU,0)))^3)),0)))</f>
        <v/>
      </c>
      <c r="AF392" s="41" t="str">
        <f aca="false">IF(E392&lt;&gt;"Piping","",IF(AND(ISNUMBER(AS392),ISNUMBER(M392)),PI()/4*(AS392/1000)^2*M392*INDEX(LenF,MATCH($M$7,LenU,0)),0))</f>
        <v/>
      </c>
      <c r="AG392" s="41" t="str">
        <f aca="false">IF(E392="","",N(AD392)+N(AE392)+N(AF392))</f>
        <v/>
      </c>
      <c r="AH392" s="41" t="str">
        <f aca="false">IF(ISNUMBER(I392),I392*INDEX(WtF,MATCH($I$7,WtU,0))/CC_WaterRho,"")</f>
        <v/>
      </c>
      <c r="AI392" s="31"/>
      <c r="AJ392" s="31"/>
      <c r="AK392" s="40"/>
      <c r="AL392" s="31"/>
      <c r="AM392" s="41" t="str">
        <f aca="false">IF(AO392="","",AO392*IF(ISNUMBER(AK392),AK392,CC_DefFills)*(1+IF(ISNUMBER(AL392),AL392,CC_DefAllow)))</f>
        <v/>
      </c>
      <c r="AN392" s="42" t="str">
        <f aca="false">IF(G392="Given volume",IF(ISNUMBER(H392),H392*INDEX(VolF,MATCH($H$7,VolU,0)),""),IF(G392="Water weight",AH392,IF(N(AG392)=0,"",AG392)))</f>
        <v/>
      </c>
      <c r="AO392" s="42" t="str">
        <f aca="false">IF(N(AN392)=0,"",AN392*AT392*IF(ISNUMBER(AJ392),AJ392,CC_DefCirc))</f>
        <v/>
      </c>
      <c r="AP392" s="27" t="n">
        <f aca="false">IF(ISNUMBER(T392),T392*INDEX(LenF,MATCH($T$7,LenU,0)),IF(ISNUMBER(W392),W392*INDEX(LenF,MATCH($W$7,LenU,0))/CC_PitchRatio,0))</f>
        <v>0</v>
      </c>
      <c r="AQ392" s="27" t="n">
        <f aca="false">IF(ISNUMBER(N392),PI()/4*(N392*INDEX(LenF,MATCH($N$7,LenU,0)))^2,IF(AND(ISNUMBER(S392),ISNUMBER(W392),X392&lt;&gt;""),S392*(W392*INDEX(LenF,MATCH($W$7,LenU,0)))^2*INDEX(LayoutF,MATCH(X392,LayoutU,0)),0))</f>
        <v>0</v>
      </c>
      <c r="AR392" s="27" t="n">
        <f aca="false">IF(ISNUMBER(O392),O392*INDEX(LenF,MATCH($O$7,LenU,0)),IF(ISNUMBER(V392),V392*INDEX(LenF,MATCH($V$7,LenU,0)),0))</f>
        <v>0</v>
      </c>
      <c r="AS392" s="27" t="str">
        <f aca="false">IF(ISNUMBER(L392),L392*INDEX(LenF,MATCH($L$7,LenU,0))*1000,IF(OR(J392="",K392=""),"",IFERROR(IF(INDEX(PipeWT,MATCH(J392,NPSU,0),MATCH(K392,SchU,0))="","Sch n/a",INDEX(PipeOD,MATCH(J392,NPSU,0))-2*INDEX(PipeWT,MATCH(J392,NPSU,0),MATCH(K392,SchU,0))),"")))</f>
        <v/>
      </c>
      <c r="AT392" s="27" t="n">
        <f aca="false">IF(ISNUMBER(AI392),AI392,IFERROR(INDEX(IF(CC_JobType="Decontamination",CC_TypeFillDC,CC_TypeFillCC),MATCH(E392,CC_TypeL,0)),1))</f>
        <v>1</v>
      </c>
      <c r="AU392" s="27" t="n">
        <v>12</v>
      </c>
    </row>
    <row r="393" customFormat="false" ht="15" hidden="false" customHeight="false" outlineLevel="0" collapsed="false">
      <c r="A393" s="36" t="n">
        <v>21</v>
      </c>
      <c r="B393" s="40"/>
      <c r="C393" s="32"/>
      <c r="D393" s="32"/>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1" t="str">
        <f aca="false">IF(E393="Exchanger",IF(AND(ISNUMBER(S393),ISNUMBER(U393),ISNUMBER(V393)),S393*PI()/4*(U393*INDEX(LenF,MATCH($U$7,LenU,0)))^2*V393*INDEX(LenF,MATCH($V$7,LenU,0)),0)+IF(ISNUMBER(Y393),PI()/4*(Y393*INDEX(LenF,MATCH($Y$7,LenU,0)))^2*N(Z393)*INDEX(LenF,MATCH($Z$7,LenU,0))+IF(AA393="",0,IF(AA393="Conical",PI()/12*(Y393*INDEX(LenF,MATCH($Y$7,LenU,0)))^2*(0),INDEX(HeadK,MATCH(AA393,HeadU,0))*(Y393*INDEX(LenF,MATCH($Y$7,LenU,0)))^3)),0)+IF(ISNUMBER(Y393),PI()/4*(Y393*INDEX(LenF,MATCH($Y$7,LenU,0)))^2*N(AB393)*INDEX(LenF,MATCH($AB$7,LenU,0))+IF(AC393="",0,IF(AC393="Conical",PI()/12*(Y393*INDEX(LenF,MATCH($Y$7,LenU,0)))^2*(0),INDEX(HeadK,MATCH(AC393,HeadU,0))*(Y393*INDEX(LenF,MATCH($Y$7,LenU,0)))^3)),0),"")</f>
        <v/>
      </c>
      <c r="AE393" s="41" t="str">
        <f aca="false">IF(OR(E393="",E393="Piping"),"",IF(E393="Exchanger",AQ393*AR393+IF(P393="",0,IF(P393="Conical",PI()/12*(SQRT(4*AQ393/PI()))^2*(0),INDEX(HeadK,MATCH(P393,HeadU,0))*(SQRT(4*AQ393/PI()))^3))-IF(AND(ISNUMBER(S393),ISNUMBER(V393)),S393*PI()/4*AP393^2*V393*INDEX(LenF,MATCH($V$7,LenU,0)),0),IF(ISNUMBER(N393),PI()/4*(N393*INDEX(LenF,MATCH($N$7,LenU,0)))^2*N(O393)*INDEX(LenF,MATCH($O$7,LenU,0))+IF(P393="",0,IF(P393="Conical",PI()/12*(N393*INDEX(LenF,MATCH($N$7,LenU,0)))^2*(N(R393)*INDEX(LenF,MATCH($R$7,LenU,0))),INDEX(HeadK,MATCH(P393,HeadU,0))*(N393*INDEX(LenF,MATCH($N$7,LenU,0)))^3))+IF(Q393="",0,IF(Q393="Conical",PI()/12*(N393*INDEX(LenF,MATCH($N$7,LenU,0)))^2*(N(R393)*INDEX(LenF,MATCH($R$7,LenU,0))),INDEX(HeadK,MATCH(Q393,HeadU,0))*(N393*INDEX(LenF,MATCH($N$7,LenU,0)))^3)),0)))</f>
        <v/>
      </c>
      <c r="AF393" s="41" t="str">
        <f aca="false">IF(E393&lt;&gt;"Piping","",IF(AND(ISNUMBER(AS393),ISNUMBER(M393)),PI()/4*(AS393/1000)^2*M393*INDEX(LenF,MATCH($M$7,LenU,0)),0))</f>
        <v/>
      </c>
      <c r="AG393" s="41" t="str">
        <f aca="false">IF(E393="","",N(AD393)+N(AE393)+N(AF393))</f>
        <v/>
      </c>
      <c r="AH393" s="41" t="str">
        <f aca="false">IF(ISNUMBER(I393),I393*INDEX(WtF,MATCH($I$7,WtU,0))/CC_WaterRho,"")</f>
        <v/>
      </c>
      <c r="AI393" s="31"/>
      <c r="AJ393" s="31"/>
      <c r="AK393" s="40"/>
      <c r="AL393" s="31"/>
      <c r="AM393" s="41" t="str">
        <f aca="false">IF(AO393="","",AO393*IF(ISNUMBER(AK393),AK393,CC_DefFills)*(1+IF(ISNUMBER(AL393),AL393,CC_DefAllow)))</f>
        <v/>
      </c>
      <c r="AN393" s="42" t="str">
        <f aca="false">IF(G393="Given volume",IF(ISNUMBER(H393),H393*INDEX(VolF,MATCH($H$7,VolU,0)),""),IF(G393="Water weight",AH393,IF(N(AG393)=0,"",AG393)))</f>
        <v/>
      </c>
      <c r="AO393" s="42" t="str">
        <f aca="false">IF(N(AN393)=0,"",AN393*AT393*IF(ISNUMBER(AJ393),AJ393,CC_DefCirc))</f>
        <v/>
      </c>
      <c r="AP393" s="27" t="n">
        <f aca="false">IF(ISNUMBER(T393),T393*INDEX(LenF,MATCH($T$7,LenU,0)),IF(ISNUMBER(W393),W393*INDEX(LenF,MATCH($W$7,LenU,0))/CC_PitchRatio,0))</f>
        <v>0</v>
      </c>
      <c r="AQ393" s="27" t="n">
        <f aca="false">IF(ISNUMBER(N393),PI()/4*(N393*INDEX(LenF,MATCH($N$7,LenU,0)))^2,IF(AND(ISNUMBER(S393),ISNUMBER(W393),X393&lt;&gt;""),S393*(W393*INDEX(LenF,MATCH($W$7,LenU,0)))^2*INDEX(LayoutF,MATCH(X393,LayoutU,0)),0))</f>
        <v>0</v>
      </c>
      <c r="AR393" s="27" t="n">
        <f aca="false">IF(ISNUMBER(O393),O393*INDEX(LenF,MATCH($O$7,LenU,0)),IF(ISNUMBER(V393),V393*INDEX(LenF,MATCH($V$7,LenU,0)),0))</f>
        <v>0</v>
      </c>
      <c r="AS393" s="27" t="str">
        <f aca="false">IF(ISNUMBER(L393),L393*INDEX(LenF,MATCH($L$7,LenU,0))*1000,IF(OR(J393="",K393=""),"",IFERROR(IF(INDEX(PipeWT,MATCH(J393,NPSU,0),MATCH(K393,SchU,0))="","Sch n/a",INDEX(PipeOD,MATCH(J393,NPSU,0))-2*INDEX(PipeWT,MATCH(J393,NPSU,0),MATCH(K393,SchU,0))),"")))</f>
        <v/>
      </c>
      <c r="AT393" s="27" t="n">
        <f aca="false">IF(ISNUMBER(AI393),AI393,IFERROR(INDEX(IF(CC_JobType="Decontamination",CC_TypeFillDC,CC_TypeFillCC),MATCH(E393,CC_TypeL,0)),1))</f>
        <v>1</v>
      </c>
      <c r="AU393" s="27" t="n">
        <v>12</v>
      </c>
    </row>
    <row r="394" customFormat="false" ht="15" hidden="false" customHeight="false" outlineLevel="0" collapsed="false">
      <c r="A394" s="36" t="n">
        <v>22</v>
      </c>
      <c r="B394" s="40"/>
      <c r="C394" s="32"/>
      <c r="D394" s="32"/>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1" t="str">
        <f aca="false">IF(E394="Exchanger",IF(AND(ISNUMBER(S394),ISNUMBER(U394),ISNUMBER(V394)),S394*PI()/4*(U394*INDEX(LenF,MATCH($U$7,LenU,0)))^2*V394*INDEX(LenF,MATCH($V$7,LenU,0)),0)+IF(ISNUMBER(Y394),PI()/4*(Y394*INDEX(LenF,MATCH($Y$7,LenU,0)))^2*N(Z394)*INDEX(LenF,MATCH($Z$7,LenU,0))+IF(AA394="",0,IF(AA394="Conical",PI()/12*(Y394*INDEX(LenF,MATCH($Y$7,LenU,0)))^2*(0),INDEX(HeadK,MATCH(AA394,HeadU,0))*(Y394*INDEX(LenF,MATCH($Y$7,LenU,0)))^3)),0)+IF(ISNUMBER(Y394),PI()/4*(Y394*INDEX(LenF,MATCH($Y$7,LenU,0)))^2*N(AB394)*INDEX(LenF,MATCH($AB$7,LenU,0))+IF(AC394="",0,IF(AC394="Conical",PI()/12*(Y394*INDEX(LenF,MATCH($Y$7,LenU,0)))^2*(0),INDEX(HeadK,MATCH(AC394,HeadU,0))*(Y394*INDEX(LenF,MATCH($Y$7,LenU,0)))^3)),0),"")</f>
        <v/>
      </c>
      <c r="AE394" s="41" t="str">
        <f aca="false">IF(OR(E394="",E394="Piping"),"",IF(E394="Exchanger",AQ394*AR394+IF(P394="",0,IF(P394="Conical",PI()/12*(SQRT(4*AQ394/PI()))^2*(0),INDEX(HeadK,MATCH(P394,HeadU,0))*(SQRT(4*AQ394/PI()))^3))-IF(AND(ISNUMBER(S394),ISNUMBER(V394)),S394*PI()/4*AP394^2*V394*INDEX(LenF,MATCH($V$7,LenU,0)),0),IF(ISNUMBER(N394),PI()/4*(N394*INDEX(LenF,MATCH($N$7,LenU,0)))^2*N(O394)*INDEX(LenF,MATCH($O$7,LenU,0))+IF(P394="",0,IF(P394="Conical",PI()/12*(N394*INDEX(LenF,MATCH($N$7,LenU,0)))^2*(N(R394)*INDEX(LenF,MATCH($R$7,LenU,0))),INDEX(HeadK,MATCH(P394,HeadU,0))*(N394*INDEX(LenF,MATCH($N$7,LenU,0)))^3))+IF(Q394="",0,IF(Q394="Conical",PI()/12*(N394*INDEX(LenF,MATCH($N$7,LenU,0)))^2*(N(R394)*INDEX(LenF,MATCH($R$7,LenU,0))),INDEX(HeadK,MATCH(Q394,HeadU,0))*(N394*INDEX(LenF,MATCH($N$7,LenU,0)))^3)),0)))</f>
        <v/>
      </c>
      <c r="AF394" s="41" t="str">
        <f aca="false">IF(E394&lt;&gt;"Piping","",IF(AND(ISNUMBER(AS394),ISNUMBER(M394)),PI()/4*(AS394/1000)^2*M394*INDEX(LenF,MATCH($M$7,LenU,0)),0))</f>
        <v/>
      </c>
      <c r="AG394" s="41" t="str">
        <f aca="false">IF(E394="","",N(AD394)+N(AE394)+N(AF394))</f>
        <v/>
      </c>
      <c r="AH394" s="41" t="str">
        <f aca="false">IF(ISNUMBER(I394),I394*INDEX(WtF,MATCH($I$7,WtU,0))/CC_WaterRho,"")</f>
        <v/>
      </c>
      <c r="AI394" s="31"/>
      <c r="AJ394" s="31"/>
      <c r="AK394" s="40"/>
      <c r="AL394" s="31"/>
      <c r="AM394" s="41" t="str">
        <f aca="false">IF(AO394="","",AO394*IF(ISNUMBER(AK394),AK394,CC_DefFills)*(1+IF(ISNUMBER(AL394),AL394,CC_DefAllow)))</f>
        <v/>
      </c>
      <c r="AN394" s="42" t="str">
        <f aca="false">IF(G394="Given volume",IF(ISNUMBER(H394),H394*INDEX(VolF,MATCH($H$7,VolU,0)),""),IF(G394="Water weight",AH394,IF(N(AG394)=0,"",AG394)))</f>
        <v/>
      </c>
      <c r="AO394" s="42" t="str">
        <f aca="false">IF(N(AN394)=0,"",AN394*AT394*IF(ISNUMBER(AJ394),AJ394,CC_DefCirc))</f>
        <v/>
      </c>
      <c r="AP394" s="27" t="n">
        <f aca="false">IF(ISNUMBER(T394),T394*INDEX(LenF,MATCH($T$7,LenU,0)),IF(ISNUMBER(W394),W394*INDEX(LenF,MATCH($W$7,LenU,0))/CC_PitchRatio,0))</f>
        <v>0</v>
      </c>
      <c r="AQ394" s="27" t="n">
        <f aca="false">IF(ISNUMBER(N394),PI()/4*(N394*INDEX(LenF,MATCH($N$7,LenU,0)))^2,IF(AND(ISNUMBER(S394),ISNUMBER(W394),X394&lt;&gt;""),S394*(W394*INDEX(LenF,MATCH($W$7,LenU,0)))^2*INDEX(LayoutF,MATCH(X394,LayoutU,0)),0))</f>
        <v>0</v>
      </c>
      <c r="AR394" s="27" t="n">
        <f aca="false">IF(ISNUMBER(O394),O394*INDEX(LenF,MATCH($O$7,LenU,0)),IF(ISNUMBER(V394),V394*INDEX(LenF,MATCH($V$7,LenU,0)),0))</f>
        <v>0</v>
      </c>
      <c r="AS394" s="27" t="str">
        <f aca="false">IF(ISNUMBER(L394),L394*INDEX(LenF,MATCH($L$7,LenU,0))*1000,IF(OR(J394="",K394=""),"",IFERROR(IF(INDEX(PipeWT,MATCH(J394,NPSU,0),MATCH(K394,SchU,0))="","Sch n/a",INDEX(PipeOD,MATCH(J394,NPSU,0))-2*INDEX(PipeWT,MATCH(J394,NPSU,0),MATCH(K394,SchU,0))),"")))</f>
        <v/>
      </c>
      <c r="AT394" s="27" t="n">
        <f aca="false">IF(ISNUMBER(AI394),AI394,IFERROR(INDEX(IF(CC_JobType="Decontamination",CC_TypeFillDC,CC_TypeFillCC),MATCH(E394,CC_TypeL,0)),1))</f>
        <v>1</v>
      </c>
      <c r="AU394" s="27" t="n">
        <v>12</v>
      </c>
    </row>
    <row r="395" customFormat="false" ht="15" hidden="false" customHeight="false" outlineLevel="0" collapsed="false">
      <c r="A395" s="36" t="n">
        <v>23</v>
      </c>
      <c r="B395" s="40"/>
      <c r="C395" s="32"/>
      <c r="D395" s="32"/>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1" t="str">
        <f aca="false">IF(E395="Exchanger",IF(AND(ISNUMBER(S395),ISNUMBER(U395),ISNUMBER(V395)),S395*PI()/4*(U395*INDEX(LenF,MATCH($U$7,LenU,0)))^2*V395*INDEX(LenF,MATCH($V$7,LenU,0)),0)+IF(ISNUMBER(Y395),PI()/4*(Y395*INDEX(LenF,MATCH($Y$7,LenU,0)))^2*N(Z395)*INDEX(LenF,MATCH($Z$7,LenU,0))+IF(AA395="",0,IF(AA395="Conical",PI()/12*(Y395*INDEX(LenF,MATCH($Y$7,LenU,0)))^2*(0),INDEX(HeadK,MATCH(AA395,HeadU,0))*(Y395*INDEX(LenF,MATCH($Y$7,LenU,0)))^3)),0)+IF(ISNUMBER(Y395),PI()/4*(Y395*INDEX(LenF,MATCH($Y$7,LenU,0)))^2*N(AB395)*INDEX(LenF,MATCH($AB$7,LenU,0))+IF(AC395="",0,IF(AC395="Conical",PI()/12*(Y395*INDEX(LenF,MATCH($Y$7,LenU,0)))^2*(0),INDEX(HeadK,MATCH(AC395,HeadU,0))*(Y395*INDEX(LenF,MATCH($Y$7,LenU,0)))^3)),0),"")</f>
        <v/>
      </c>
      <c r="AE395" s="41" t="str">
        <f aca="false">IF(OR(E395="",E395="Piping"),"",IF(E395="Exchanger",AQ395*AR395+IF(P395="",0,IF(P395="Conical",PI()/12*(SQRT(4*AQ395/PI()))^2*(0),INDEX(HeadK,MATCH(P395,HeadU,0))*(SQRT(4*AQ395/PI()))^3))-IF(AND(ISNUMBER(S395),ISNUMBER(V395)),S395*PI()/4*AP395^2*V395*INDEX(LenF,MATCH($V$7,LenU,0)),0),IF(ISNUMBER(N395),PI()/4*(N395*INDEX(LenF,MATCH($N$7,LenU,0)))^2*N(O395)*INDEX(LenF,MATCH($O$7,LenU,0))+IF(P395="",0,IF(P395="Conical",PI()/12*(N395*INDEX(LenF,MATCH($N$7,LenU,0)))^2*(N(R395)*INDEX(LenF,MATCH($R$7,LenU,0))),INDEX(HeadK,MATCH(P395,HeadU,0))*(N395*INDEX(LenF,MATCH($N$7,LenU,0)))^3))+IF(Q395="",0,IF(Q395="Conical",PI()/12*(N395*INDEX(LenF,MATCH($N$7,LenU,0)))^2*(N(R395)*INDEX(LenF,MATCH($R$7,LenU,0))),INDEX(HeadK,MATCH(Q395,HeadU,0))*(N395*INDEX(LenF,MATCH($N$7,LenU,0)))^3)),0)))</f>
        <v/>
      </c>
      <c r="AF395" s="41" t="str">
        <f aca="false">IF(E395&lt;&gt;"Piping","",IF(AND(ISNUMBER(AS395),ISNUMBER(M395)),PI()/4*(AS395/1000)^2*M395*INDEX(LenF,MATCH($M$7,LenU,0)),0))</f>
        <v/>
      </c>
      <c r="AG395" s="41" t="str">
        <f aca="false">IF(E395="","",N(AD395)+N(AE395)+N(AF395))</f>
        <v/>
      </c>
      <c r="AH395" s="41" t="str">
        <f aca="false">IF(ISNUMBER(I395),I395*INDEX(WtF,MATCH($I$7,WtU,0))/CC_WaterRho,"")</f>
        <v/>
      </c>
      <c r="AI395" s="31"/>
      <c r="AJ395" s="31"/>
      <c r="AK395" s="40"/>
      <c r="AL395" s="31"/>
      <c r="AM395" s="41" t="str">
        <f aca="false">IF(AO395="","",AO395*IF(ISNUMBER(AK395),AK395,CC_DefFills)*(1+IF(ISNUMBER(AL395),AL395,CC_DefAllow)))</f>
        <v/>
      </c>
      <c r="AN395" s="42" t="str">
        <f aca="false">IF(G395="Given volume",IF(ISNUMBER(H395),H395*INDEX(VolF,MATCH($H$7,VolU,0)),""),IF(G395="Water weight",AH395,IF(N(AG395)=0,"",AG395)))</f>
        <v/>
      </c>
      <c r="AO395" s="42" t="str">
        <f aca="false">IF(N(AN395)=0,"",AN395*AT395*IF(ISNUMBER(AJ395),AJ395,CC_DefCirc))</f>
        <v/>
      </c>
      <c r="AP395" s="27" t="n">
        <f aca="false">IF(ISNUMBER(T395),T395*INDEX(LenF,MATCH($T$7,LenU,0)),IF(ISNUMBER(W395),W395*INDEX(LenF,MATCH($W$7,LenU,0))/CC_PitchRatio,0))</f>
        <v>0</v>
      </c>
      <c r="AQ395" s="27" t="n">
        <f aca="false">IF(ISNUMBER(N395),PI()/4*(N395*INDEX(LenF,MATCH($N$7,LenU,0)))^2,IF(AND(ISNUMBER(S395),ISNUMBER(W395),X395&lt;&gt;""),S395*(W395*INDEX(LenF,MATCH($W$7,LenU,0)))^2*INDEX(LayoutF,MATCH(X395,LayoutU,0)),0))</f>
        <v>0</v>
      </c>
      <c r="AR395" s="27" t="n">
        <f aca="false">IF(ISNUMBER(O395),O395*INDEX(LenF,MATCH($O$7,LenU,0)),IF(ISNUMBER(V395),V395*INDEX(LenF,MATCH($V$7,LenU,0)),0))</f>
        <v>0</v>
      </c>
      <c r="AS395" s="27" t="str">
        <f aca="false">IF(ISNUMBER(L395),L395*INDEX(LenF,MATCH($L$7,LenU,0))*1000,IF(OR(J395="",K395=""),"",IFERROR(IF(INDEX(PipeWT,MATCH(J395,NPSU,0),MATCH(K395,SchU,0))="","Sch n/a",INDEX(PipeOD,MATCH(J395,NPSU,0))-2*INDEX(PipeWT,MATCH(J395,NPSU,0),MATCH(K395,SchU,0))),"")))</f>
        <v/>
      </c>
      <c r="AT395" s="27" t="n">
        <f aca="false">IF(ISNUMBER(AI395),AI395,IFERROR(INDEX(IF(CC_JobType="Decontamination",CC_TypeFillDC,CC_TypeFillCC),MATCH(E395,CC_TypeL,0)),1))</f>
        <v>1</v>
      </c>
      <c r="AU395" s="27" t="n">
        <v>12</v>
      </c>
    </row>
    <row r="396" customFormat="false" ht="15" hidden="false" customHeight="false" outlineLevel="0" collapsed="false">
      <c r="A396" s="36" t="n">
        <v>24</v>
      </c>
      <c r="B396" s="40"/>
      <c r="C396" s="32"/>
      <c r="D396" s="32"/>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1" t="str">
        <f aca="false">IF(E396="Exchanger",IF(AND(ISNUMBER(S396),ISNUMBER(U396),ISNUMBER(V396)),S396*PI()/4*(U396*INDEX(LenF,MATCH($U$7,LenU,0)))^2*V396*INDEX(LenF,MATCH($V$7,LenU,0)),0)+IF(ISNUMBER(Y396),PI()/4*(Y396*INDEX(LenF,MATCH($Y$7,LenU,0)))^2*N(Z396)*INDEX(LenF,MATCH($Z$7,LenU,0))+IF(AA396="",0,IF(AA396="Conical",PI()/12*(Y396*INDEX(LenF,MATCH($Y$7,LenU,0)))^2*(0),INDEX(HeadK,MATCH(AA396,HeadU,0))*(Y396*INDEX(LenF,MATCH($Y$7,LenU,0)))^3)),0)+IF(ISNUMBER(Y396),PI()/4*(Y396*INDEX(LenF,MATCH($Y$7,LenU,0)))^2*N(AB396)*INDEX(LenF,MATCH($AB$7,LenU,0))+IF(AC396="",0,IF(AC396="Conical",PI()/12*(Y396*INDEX(LenF,MATCH($Y$7,LenU,0)))^2*(0),INDEX(HeadK,MATCH(AC396,HeadU,0))*(Y396*INDEX(LenF,MATCH($Y$7,LenU,0)))^3)),0),"")</f>
        <v/>
      </c>
      <c r="AE396" s="41" t="str">
        <f aca="false">IF(OR(E396="",E396="Piping"),"",IF(E396="Exchanger",AQ396*AR396+IF(P396="",0,IF(P396="Conical",PI()/12*(SQRT(4*AQ396/PI()))^2*(0),INDEX(HeadK,MATCH(P396,HeadU,0))*(SQRT(4*AQ396/PI()))^3))-IF(AND(ISNUMBER(S396),ISNUMBER(V396)),S396*PI()/4*AP396^2*V396*INDEX(LenF,MATCH($V$7,LenU,0)),0),IF(ISNUMBER(N396),PI()/4*(N396*INDEX(LenF,MATCH($N$7,LenU,0)))^2*N(O396)*INDEX(LenF,MATCH($O$7,LenU,0))+IF(P396="",0,IF(P396="Conical",PI()/12*(N396*INDEX(LenF,MATCH($N$7,LenU,0)))^2*(N(R396)*INDEX(LenF,MATCH($R$7,LenU,0))),INDEX(HeadK,MATCH(P396,HeadU,0))*(N396*INDEX(LenF,MATCH($N$7,LenU,0)))^3))+IF(Q396="",0,IF(Q396="Conical",PI()/12*(N396*INDEX(LenF,MATCH($N$7,LenU,0)))^2*(N(R396)*INDEX(LenF,MATCH($R$7,LenU,0))),INDEX(HeadK,MATCH(Q396,HeadU,0))*(N396*INDEX(LenF,MATCH($N$7,LenU,0)))^3)),0)))</f>
        <v/>
      </c>
      <c r="AF396" s="41" t="str">
        <f aca="false">IF(E396&lt;&gt;"Piping","",IF(AND(ISNUMBER(AS396),ISNUMBER(M396)),PI()/4*(AS396/1000)^2*M396*INDEX(LenF,MATCH($M$7,LenU,0)),0))</f>
        <v/>
      </c>
      <c r="AG396" s="41" t="str">
        <f aca="false">IF(E396="","",N(AD396)+N(AE396)+N(AF396))</f>
        <v/>
      </c>
      <c r="AH396" s="41" t="str">
        <f aca="false">IF(ISNUMBER(I396),I396*INDEX(WtF,MATCH($I$7,WtU,0))/CC_WaterRho,"")</f>
        <v/>
      </c>
      <c r="AI396" s="31"/>
      <c r="AJ396" s="31"/>
      <c r="AK396" s="40"/>
      <c r="AL396" s="31"/>
      <c r="AM396" s="41" t="str">
        <f aca="false">IF(AO396="","",AO396*IF(ISNUMBER(AK396),AK396,CC_DefFills)*(1+IF(ISNUMBER(AL396),AL396,CC_DefAllow)))</f>
        <v/>
      </c>
      <c r="AN396" s="42" t="str">
        <f aca="false">IF(G396="Given volume",IF(ISNUMBER(H396),H396*INDEX(VolF,MATCH($H$7,VolU,0)),""),IF(G396="Water weight",AH396,IF(N(AG396)=0,"",AG396)))</f>
        <v/>
      </c>
      <c r="AO396" s="42" t="str">
        <f aca="false">IF(N(AN396)=0,"",AN396*AT396*IF(ISNUMBER(AJ396),AJ396,CC_DefCirc))</f>
        <v/>
      </c>
      <c r="AP396" s="27" t="n">
        <f aca="false">IF(ISNUMBER(T396),T396*INDEX(LenF,MATCH($T$7,LenU,0)),IF(ISNUMBER(W396),W396*INDEX(LenF,MATCH($W$7,LenU,0))/CC_PitchRatio,0))</f>
        <v>0</v>
      </c>
      <c r="AQ396" s="27" t="n">
        <f aca="false">IF(ISNUMBER(N396),PI()/4*(N396*INDEX(LenF,MATCH($N$7,LenU,0)))^2,IF(AND(ISNUMBER(S396),ISNUMBER(W396),X396&lt;&gt;""),S396*(W396*INDEX(LenF,MATCH($W$7,LenU,0)))^2*INDEX(LayoutF,MATCH(X396,LayoutU,0)),0))</f>
        <v>0</v>
      </c>
      <c r="AR396" s="27" t="n">
        <f aca="false">IF(ISNUMBER(O396),O396*INDEX(LenF,MATCH($O$7,LenU,0)),IF(ISNUMBER(V396),V396*INDEX(LenF,MATCH($V$7,LenU,0)),0))</f>
        <v>0</v>
      </c>
      <c r="AS396" s="27" t="str">
        <f aca="false">IF(ISNUMBER(L396),L396*INDEX(LenF,MATCH($L$7,LenU,0))*1000,IF(OR(J396="",K396=""),"",IFERROR(IF(INDEX(PipeWT,MATCH(J396,NPSU,0),MATCH(K396,SchU,0))="","Sch n/a",INDEX(PipeOD,MATCH(J396,NPSU,0))-2*INDEX(PipeWT,MATCH(J396,NPSU,0),MATCH(K396,SchU,0))),"")))</f>
        <v/>
      </c>
      <c r="AT396" s="27" t="n">
        <f aca="false">IF(ISNUMBER(AI396),AI396,IFERROR(INDEX(IF(CC_JobType="Decontamination",CC_TypeFillDC,CC_TypeFillCC),MATCH(E396,CC_TypeL,0)),1))</f>
        <v>1</v>
      </c>
      <c r="AU396" s="27" t="n">
        <v>12</v>
      </c>
    </row>
    <row r="397" customFormat="false" ht="15" hidden="false" customHeight="false" outlineLevel="0" collapsed="false">
      <c r="A397" s="36" t="n">
        <v>25</v>
      </c>
      <c r="B397" s="40"/>
      <c r="C397" s="32"/>
      <c r="D397" s="32"/>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1" t="str">
        <f aca="false">IF(E397="Exchanger",IF(AND(ISNUMBER(S397),ISNUMBER(U397),ISNUMBER(V397)),S397*PI()/4*(U397*INDEX(LenF,MATCH($U$7,LenU,0)))^2*V397*INDEX(LenF,MATCH($V$7,LenU,0)),0)+IF(ISNUMBER(Y397),PI()/4*(Y397*INDEX(LenF,MATCH($Y$7,LenU,0)))^2*N(Z397)*INDEX(LenF,MATCH($Z$7,LenU,0))+IF(AA397="",0,IF(AA397="Conical",PI()/12*(Y397*INDEX(LenF,MATCH($Y$7,LenU,0)))^2*(0),INDEX(HeadK,MATCH(AA397,HeadU,0))*(Y397*INDEX(LenF,MATCH($Y$7,LenU,0)))^3)),0)+IF(ISNUMBER(Y397),PI()/4*(Y397*INDEX(LenF,MATCH($Y$7,LenU,0)))^2*N(AB397)*INDEX(LenF,MATCH($AB$7,LenU,0))+IF(AC397="",0,IF(AC397="Conical",PI()/12*(Y397*INDEX(LenF,MATCH($Y$7,LenU,0)))^2*(0),INDEX(HeadK,MATCH(AC397,HeadU,0))*(Y397*INDEX(LenF,MATCH($Y$7,LenU,0)))^3)),0),"")</f>
        <v/>
      </c>
      <c r="AE397" s="41" t="str">
        <f aca="false">IF(OR(E397="",E397="Piping"),"",IF(E397="Exchanger",AQ397*AR397+IF(P397="",0,IF(P397="Conical",PI()/12*(SQRT(4*AQ397/PI()))^2*(0),INDEX(HeadK,MATCH(P397,HeadU,0))*(SQRT(4*AQ397/PI()))^3))-IF(AND(ISNUMBER(S397),ISNUMBER(V397)),S397*PI()/4*AP397^2*V397*INDEX(LenF,MATCH($V$7,LenU,0)),0),IF(ISNUMBER(N397),PI()/4*(N397*INDEX(LenF,MATCH($N$7,LenU,0)))^2*N(O397)*INDEX(LenF,MATCH($O$7,LenU,0))+IF(P397="",0,IF(P397="Conical",PI()/12*(N397*INDEX(LenF,MATCH($N$7,LenU,0)))^2*(N(R397)*INDEX(LenF,MATCH($R$7,LenU,0))),INDEX(HeadK,MATCH(P397,HeadU,0))*(N397*INDEX(LenF,MATCH($N$7,LenU,0)))^3))+IF(Q397="",0,IF(Q397="Conical",PI()/12*(N397*INDEX(LenF,MATCH($N$7,LenU,0)))^2*(N(R397)*INDEX(LenF,MATCH($R$7,LenU,0))),INDEX(HeadK,MATCH(Q397,HeadU,0))*(N397*INDEX(LenF,MATCH($N$7,LenU,0)))^3)),0)))</f>
        <v/>
      </c>
      <c r="AF397" s="41" t="str">
        <f aca="false">IF(E397&lt;&gt;"Piping","",IF(AND(ISNUMBER(AS397),ISNUMBER(M397)),PI()/4*(AS397/1000)^2*M397*INDEX(LenF,MATCH($M$7,LenU,0)),0))</f>
        <v/>
      </c>
      <c r="AG397" s="41" t="str">
        <f aca="false">IF(E397="","",N(AD397)+N(AE397)+N(AF397))</f>
        <v/>
      </c>
      <c r="AH397" s="41" t="str">
        <f aca="false">IF(ISNUMBER(I397),I397*INDEX(WtF,MATCH($I$7,WtU,0))/CC_WaterRho,"")</f>
        <v/>
      </c>
      <c r="AI397" s="31"/>
      <c r="AJ397" s="31"/>
      <c r="AK397" s="40"/>
      <c r="AL397" s="31"/>
      <c r="AM397" s="41" t="str">
        <f aca="false">IF(AO397="","",AO397*IF(ISNUMBER(AK397),AK397,CC_DefFills)*(1+IF(ISNUMBER(AL397),AL397,CC_DefAllow)))</f>
        <v/>
      </c>
      <c r="AN397" s="42" t="str">
        <f aca="false">IF(G397="Given volume",IF(ISNUMBER(H397),H397*INDEX(VolF,MATCH($H$7,VolU,0)),""),IF(G397="Water weight",AH397,IF(N(AG397)=0,"",AG397)))</f>
        <v/>
      </c>
      <c r="AO397" s="42" t="str">
        <f aca="false">IF(N(AN397)=0,"",AN397*AT397*IF(ISNUMBER(AJ397),AJ397,CC_DefCirc))</f>
        <v/>
      </c>
      <c r="AP397" s="27" t="n">
        <f aca="false">IF(ISNUMBER(T397),T397*INDEX(LenF,MATCH($T$7,LenU,0)),IF(ISNUMBER(W397),W397*INDEX(LenF,MATCH($W$7,LenU,0))/CC_PitchRatio,0))</f>
        <v>0</v>
      </c>
      <c r="AQ397" s="27" t="n">
        <f aca="false">IF(ISNUMBER(N397),PI()/4*(N397*INDEX(LenF,MATCH($N$7,LenU,0)))^2,IF(AND(ISNUMBER(S397),ISNUMBER(W397),X397&lt;&gt;""),S397*(W397*INDEX(LenF,MATCH($W$7,LenU,0)))^2*INDEX(LayoutF,MATCH(X397,LayoutU,0)),0))</f>
        <v>0</v>
      </c>
      <c r="AR397" s="27" t="n">
        <f aca="false">IF(ISNUMBER(O397),O397*INDEX(LenF,MATCH($O$7,LenU,0)),IF(ISNUMBER(V397),V397*INDEX(LenF,MATCH($V$7,LenU,0)),0))</f>
        <v>0</v>
      </c>
      <c r="AS397" s="27" t="str">
        <f aca="false">IF(ISNUMBER(L397),L397*INDEX(LenF,MATCH($L$7,LenU,0))*1000,IF(OR(J397="",K397=""),"",IFERROR(IF(INDEX(PipeWT,MATCH(J397,NPSU,0),MATCH(K397,SchU,0))="","Sch n/a",INDEX(PipeOD,MATCH(J397,NPSU,0))-2*INDEX(PipeWT,MATCH(J397,NPSU,0),MATCH(K397,SchU,0))),"")))</f>
        <v/>
      </c>
      <c r="AT397" s="27" t="n">
        <f aca="false">IF(ISNUMBER(AI397),AI397,IFERROR(INDEX(IF(CC_JobType="Decontamination",CC_TypeFillDC,CC_TypeFillCC),MATCH(E397,CC_TypeL,0)),1))</f>
        <v>1</v>
      </c>
      <c r="AU397" s="27" t="n">
        <v>12</v>
      </c>
    </row>
    <row r="398" customFormat="false" ht="15" hidden="false" customHeight="false" outlineLevel="0" collapsed="false">
      <c r="A398" s="36" t="n">
        <v>26</v>
      </c>
      <c r="B398" s="40"/>
      <c r="C398" s="32"/>
      <c r="D398" s="32"/>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1" t="str">
        <f aca="false">IF(E398="Exchanger",IF(AND(ISNUMBER(S398),ISNUMBER(U398),ISNUMBER(V398)),S398*PI()/4*(U398*INDEX(LenF,MATCH($U$7,LenU,0)))^2*V398*INDEX(LenF,MATCH($V$7,LenU,0)),0)+IF(ISNUMBER(Y398),PI()/4*(Y398*INDEX(LenF,MATCH($Y$7,LenU,0)))^2*N(Z398)*INDEX(LenF,MATCH($Z$7,LenU,0))+IF(AA398="",0,IF(AA398="Conical",PI()/12*(Y398*INDEX(LenF,MATCH($Y$7,LenU,0)))^2*(0),INDEX(HeadK,MATCH(AA398,HeadU,0))*(Y398*INDEX(LenF,MATCH($Y$7,LenU,0)))^3)),0)+IF(ISNUMBER(Y398),PI()/4*(Y398*INDEX(LenF,MATCH($Y$7,LenU,0)))^2*N(AB398)*INDEX(LenF,MATCH($AB$7,LenU,0))+IF(AC398="",0,IF(AC398="Conical",PI()/12*(Y398*INDEX(LenF,MATCH($Y$7,LenU,0)))^2*(0),INDEX(HeadK,MATCH(AC398,HeadU,0))*(Y398*INDEX(LenF,MATCH($Y$7,LenU,0)))^3)),0),"")</f>
        <v/>
      </c>
      <c r="AE398" s="41" t="str">
        <f aca="false">IF(OR(E398="",E398="Piping"),"",IF(E398="Exchanger",AQ398*AR398+IF(P398="",0,IF(P398="Conical",PI()/12*(SQRT(4*AQ398/PI()))^2*(0),INDEX(HeadK,MATCH(P398,HeadU,0))*(SQRT(4*AQ398/PI()))^3))-IF(AND(ISNUMBER(S398),ISNUMBER(V398)),S398*PI()/4*AP398^2*V398*INDEX(LenF,MATCH($V$7,LenU,0)),0),IF(ISNUMBER(N398),PI()/4*(N398*INDEX(LenF,MATCH($N$7,LenU,0)))^2*N(O398)*INDEX(LenF,MATCH($O$7,LenU,0))+IF(P398="",0,IF(P398="Conical",PI()/12*(N398*INDEX(LenF,MATCH($N$7,LenU,0)))^2*(N(R398)*INDEX(LenF,MATCH($R$7,LenU,0))),INDEX(HeadK,MATCH(P398,HeadU,0))*(N398*INDEX(LenF,MATCH($N$7,LenU,0)))^3))+IF(Q398="",0,IF(Q398="Conical",PI()/12*(N398*INDEX(LenF,MATCH($N$7,LenU,0)))^2*(N(R398)*INDEX(LenF,MATCH($R$7,LenU,0))),INDEX(HeadK,MATCH(Q398,HeadU,0))*(N398*INDEX(LenF,MATCH($N$7,LenU,0)))^3)),0)))</f>
        <v/>
      </c>
      <c r="AF398" s="41" t="str">
        <f aca="false">IF(E398&lt;&gt;"Piping","",IF(AND(ISNUMBER(AS398),ISNUMBER(M398)),PI()/4*(AS398/1000)^2*M398*INDEX(LenF,MATCH($M$7,LenU,0)),0))</f>
        <v/>
      </c>
      <c r="AG398" s="41" t="str">
        <f aca="false">IF(E398="","",N(AD398)+N(AE398)+N(AF398))</f>
        <v/>
      </c>
      <c r="AH398" s="41" t="str">
        <f aca="false">IF(ISNUMBER(I398),I398*INDEX(WtF,MATCH($I$7,WtU,0))/CC_WaterRho,"")</f>
        <v/>
      </c>
      <c r="AI398" s="31"/>
      <c r="AJ398" s="31"/>
      <c r="AK398" s="40"/>
      <c r="AL398" s="31"/>
      <c r="AM398" s="41" t="str">
        <f aca="false">IF(AO398="","",AO398*IF(ISNUMBER(AK398),AK398,CC_DefFills)*(1+IF(ISNUMBER(AL398),AL398,CC_DefAllow)))</f>
        <v/>
      </c>
      <c r="AN398" s="42" t="str">
        <f aca="false">IF(G398="Given volume",IF(ISNUMBER(H398),H398*INDEX(VolF,MATCH($H$7,VolU,0)),""),IF(G398="Water weight",AH398,IF(N(AG398)=0,"",AG398)))</f>
        <v/>
      </c>
      <c r="AO398" s="42" t="str">
        <f aca="false">IF(N(AN398)=0,"",AN398*AT398*IF(ISNUMBER(AJ398),AJ398,CC_DefCirc))</f>
        <v/>
      </c>
      <c r="AP398" s="27" t="n">
        <f aca="false">IF(ISNUMBER(T398),T398*INDEX(LenF,MATCH($T$7,LenU,0)),IF(ISNUMBER(W398),W398*INDEX(LenF,MATCH($W$7,LenU,0))/CC_PitchRatio,0))</f>
        <v>0</v>
      </c>
      <c r="AQ398" s="27" t="n">
        <f aca="false">IF(ISNUMBER(N398),PI()/4*(N398*INDEX(LenF,MATCH($N$7,LenU,0)))^2,IF(AND(ISNUMBER(S398),ISNUMBER(W398),X398&lt;&gt;""),S398*(W398*INDEX(LenF,MATCH($W$7,LenU,0)))^2*INDEX(LayoutF,MATCH(X398,LayoutU,0)),0))</f>
        <v>0</v>
      </c>
      <c r="AR398" s="27" t="n">
        <f aca="false">IF(ISNUMBER(O398),O398*INDEX(LenF,MATCH($O$7,LenU,0)),IF(ISNUMBER(V398),V398*INDEX(LenF,MATCH($V$7,LenU,0)),0))</f>
        <v>0</v>
      </c>
      <c r="AS398" s="27" t="str">
        <f aca="false">IF(ISNUMBER(L398),L398*INDEX(LenF,MATCH($L$7,LenU,0))*1000,IF(OR(J398="",K398=""),"",IFERROR(IF(INDEX(PipeWT,MATCH(J398,NPSU,0),MATCH(K398,SchU,0))="","Sch n/a",INDEX(PipeOD,MATCH(J398,NPSU,0))-2*INDEX(PipeWT,MATCH(J398,NPSU,0),MATCH(K398,SchU,0))),"")))</f>
        <v/>
      </c>
      <c r="AT398" s="27" t="n">
        <f aca="false">IF(ISNUMBER(AI398),AI398,IFERROR(INDEX(IF(CC_JobType="Decontamination",CC_TypeFillDC,CC_TypeFillCC),MATCH(E398,CC_TypeL,0)),1))</f>
        <v>1</v>
      </c>
      <c r="AU398" s="27" t="n">
        <v>12</v>
      </c>
    </row>
    <row r="399" customFormat="false" ht="15" hidden="false" customHeight="false" outlineLevel="0" collapsed="false">
      <c r="A399" s="36" t="n">
        <v>27</v>
      </c>
      <c r="B399" s="40"/>
      <c r="C399" s="32"/>
      <c r="D399" s="32"/>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1" t="str">
        <f aca="false">IF(E399="Exchanger",IF(AND(ISNUMBER(S399),ISNUMBER(U399),ISNUMBER(V399)),S399*PI()/4*(U399*INDEX(LenF,MATCH($U$7,LenU,0)))^2*V399*INDEX(LenF,MATCH($V$7,LenU,0)),0)+IF(ISNUMBER(Y399),PI()/4*(Y399*INDEX(LenF,MATCH($Y$7,LenU,0)))^2*N(Z399)*INDEX(LenF,MATCH($Z$7,LenU,0))+IF(AA399="",0,IF(AA399="Conical",PI()/12*(Y399*INDEX(LenF,MATCH($Y$7,LenU,0)))^2*(0),INDEX(HeadK,MATCH(AA399,HeadU,0))*(Y399*INDEX(LenF,MATCH($Y$7,LenU,0)))^3)),0)+IF(ISNUMBER(Y399),PI()/4*(Y399*INDEX(LenF,MATCH($Y$7,LenU,0)))^2*N(AB399)*INDEX(LenF,MATCH($AB$7,LenU,0))+IF(AC399="",0,IF(AC399="Conical",PI()/12*(Y399*INDEX(LenF,MATCH($Y$7,LenU,0)))^2*(0),INDEX(HeadK,MATCH(AC399,HeadU,0))*(Y399*INDEX(LenF,MATCH($Y$7,LenU,0)))^3)),0),"")</f>
        <v/>
      </c>
      <c r="AE399" s="41" t="str">
        <f aca="false">IF(OR(E399="",E399="Piping"),"",IF(E399="Exchanger",AQ399*AR399+IF(P399="",0,IF(P399="Conical",PI()/12*(SQRT(4*AQ399/PI()))^2*(0),INDEX(HeadK,MATCH(P399,HeadU,0))*(SQRT(4*AQ399/PI()))^3))-IF(AND(ISNUMBER(S399),ISNUMBER(V399)),S399*PI()/4*AP399^2*V399*INDEX(LenF,MATCH($V$7,LenU,0)),0),IF(ISNUMBER(N399),PI()/4*(N399*INDEX(LenF,MATCH($N$7,LenU,0)))^2*N(O399)*INDEX(LenF,MATCH($O$7,LenU,0))+IF(P399="",0,IF(P399="Conical",PI()/12*(N399*INDEX(LenF,MATCH($N$7,LenU,0)))^2*(N(R399)*INDEX(LenF,MATCH($R$7,LenU,0))),INDEX(HeadK,MATCH(P399,HeadU,0))*(N399*INDEX(LenF,MATCH($N$7,LenU,0)))^3))+IF(Q399="",0,IF(Q399="Conical",PI()/12*(N399*INDEX(LenF,MATCH($N$7,LenU,0)))^2*(N(R399)*INDEX(LenF,MATCH($R$7,LenU,0))),INDEX(HeadK,MATCH(Q399,HeadU,0))*(N399*INDEX(LenF,MATCH($N$7,LenU,0)))^3)),0)))</f>
        <v/>
      </c>
      <c r="AF399" s="41" t="str">
        <f aca="false">IF(E399&lt;&gt;"Piping","",IF(AND(ISNUMBER(AS399),ISNUMBER(M399)),PI()/4*(AS399/1000)^2*M399*INDEX(LenF,MATCH($M$7,LenU,0)),0))</f>
        <v/>
      </c>
      <c r="AG399" s="41" t="str">
        <f aca="false">IF(E399="","",N(AD399)+N(AE399)+N(AF399))</f>
        <v/>
      </c>
      <c r="AH399" s="41" t="str">
        <f aca="false">IF(ISNUMBER(I399),I399*INDEX(WtF,MATCH($I$7,WtU,0))/CC_WaterRho,"")</f>
        <v/>
      </c>
      <c r="AI399" s="31"/>
      <c r="AJ399" s="31"/>
      <c r="AK399" s="40"/>
      <c r="AL399" s="31"/>
      <c r="AM399" s="41" t="str">
        <f aca="false">IF(AO399="","",AO399*IF(ISNUMBER(AK399),AK399,CC_DefFills)*(1+IF(ISNUMBER(AL399),AL399,CC_DefAllow)))</f>
        <v/>
      </c>
      <c r="AN399" s="42" t="str">
        <f aca="false">IF(G399="Given volume",IF(ISNUMBER(H399),H399*INDEX(VolF,MATCH($H$7,VolU,0)),""),IF(G399="Water weight",AH399,IF(N(AG399)=0,"",AG399)))</f>
        <v/>
      </c>
      <c r="AO399" s="42" t="str">
        <f aca="false">IF(N(AN399)=0,"",AN399*AT399*IF(ISNUMBER(AJ399),AJ399,CC_DefCirc))</f>
        <v/>
      </c>
      <c r="AP399" s="27" t="n">
        <f aca="false">IF(ISNUMBER(T399),T399*INDEX(LenF,MATCH($T$7,LenU,0)),IF(ISNUMBER(W399),W399*INDEX(LenF,MATCH($W$7,LenU,0))/CC_PitchRatio,0))</f>
        <v>0</v>
      </c>
      <c r="AQ399" s="27" t="n">
        <f aca="false">IF(ISNUMBER(N399),PI()/4*(N399*INDEX(LenF,MATCH($N$7,LenU,0)))^2,IF(AND(ISNUMBER(S399),ISNUMBER(W399),X399&lt;&gt;""),S399*(W399*INDEX(LenF,MATCH($W$7,LenU,0)))^2*INDEX(LayoutF,MATCH(X399,LayoutU,0)),0))</f>
        <v>0</v>
      </c>
      <c r="AR399" s="27" t="n">
        <f aca="false">IF(ISNUMBER(O399),O399*INDEX(LenF,MATCH($O$7,LenU,0)),IF(ISNUMBER(V399),V399*INDEX(LenF,MATCH($V$7,LenU,0)),0))</f>
        <v>0</v>
      </c>
      <c r="AS399" s="27" t="str">
        <f aca="false">IF(ISNUMBER(L399),L399*INDEX(LenF,MATCH($L$7,LenU,0))*1000,IF(OR(J399="",K399=""),"",IFERROR(IF(INDEX(PipeWT,MATCH(J399,NPSU,0),MATCH(K399,SchU,0))="","Sch n/a",INDEX(PipeOD,MATCH(J399,NPSU,0))-2*INDEX(PipeWT,MATCH(J399,NPSU,0),MATCH(K399,SchU,0))),"")))</f>
        <v/>
      </c>
      <c r="AT399" s="27" t="n">
        <f aca="false">IF(ISNUMBER(AI399),AI399,IFERROR(INDEX(IF(CC_JobType="Decontamination",CC_TypeFillDC,CC_TypeFillCC),MATCH(E399,CC_TypeL,0)),1))</f>
        <v>1</v>
      </c>
      <c r="AU399" s="27" t="n">
        <v>12</v>
      </c>
    </row>
    <row r="400" customFormat="false" ht="15" hidden="false" customHeight="false" outlineLevel="0" collapsed="false">
      <c r="A400" s="36" t="n">
        <v>28</v>
      </c>
      <c r="B400" s="40"/>
      <c r="C400" s="32"/>
      <c r="D400" s="32"/>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1" t="str">
        <f aca="false">IF(E400="Exchanger",IF(AND(ISNUMBER(S400),ISNUMBER(U400),ISNUMBER(V400)),S400*PI()/4*(U400*INDEX(LenF,MATCH($U$7,LenU,0)))^2*V400*INDEX(LenF,MATCH($V$7,LenU,0)),0)+IF(ISNUMBER(Y400),PI()/4*(Y400*INDEX(LenF,MATCH($Y$7,LenU,0)))^2*N(Z400)*INDEX(LenF,MATCH($Z$7,LenU,0))+IF(AA400="",0,IF(AA400="Conical",PI()/12*(Y400*INDEX(LenF,MATCH($Y$7,LenU,0)))^2*(0),INDEX(HeadK,MATCH(AA400,HeadU,0))*(Y400*INDEX(LenF,MATCH($Y$7,LenU,0)))^3)),0)+IF(ISNUMBER(Y400),PI()/4*(Y400*INDEX(LenF,MATCH($Y$7,LenU,0)))^2*N(AB400)*INDEX(LenF,MATCH($AB$7,LenU,0))+IF(AC400="",0,IF(AC400="Conical",PI()/12*(Y400*INDEX(LenF,MATCH($Y$7,LenU,0)))^2*(0),INDEX(HeadK,MATCH(AC400,HeadU,0))*(Y400*INDEX(LenF,MATCH($Y$7,LenU,0)))^3)),0),"")</f>
        <v/>
      </c>
      <c r="AE400" s="41" t="str">
        <f aca="false">IF(OR(E400="",E400="Piping"),"",IF(E400="Exchanger",AQ400*AR400+IF(P400="",0,IF(P400="Conical",PI()/12*(SQRT(4*AQ400/PI()))^2*(0),INDEX(HeadK,MATCH(P400,HeadU,0))*(SQRT(4*AQ400/PI()))^3))-IF(AND(ISNUMBER(S400),ISNUMBER(V400)),S400*PI()/4*AP400^2*V400*INDEX(LenF,MATCH($V$7,LenU,0)),0),IF(ISNUMBER(N400),PI()/4*(N400*INDEX(LenF,MATCH($N$7,LenU,0)))^2*N(O400)*INDEX(LenF,MATCH($O$7,LenU,0))+IF(P400="",0,IF(P400="Conical",PI()/12*(N400*INDEX(LenF,MATCH($N$7,LenU,0)))^2*(N(R400)*INDEX(LenF,MATCH($R$7,LenU,0))),INDEX(HeadK,MATCH(P400,HeadU,0))*(N400*INDEX(LenF,MATCH($N$7,LenU,0)))^3))+IF(Q400="",0,IF(Q400="Conical",PI()/12*(N400*INDEX(LenF,MATCH($N$7,LenU,0)))^2*(N(R400)*INDEX(LenF,MATCH($R$7,LenU,0))),INDEX(HeadK,MATCH(Q400,HeadU,0))*(N400*INDEX(LenF,MATCH($N$7,LenU,0)))^3)),0)))</f>
        <v/>
      </c>
      <c r="AF400" s="41" t="str">
        <f aca="false">IF(E400&lt;&gt;"Piping","",IF(AND(ISNUMBER(AS400),ISNUMBER(M400)),PI()/4*(AS400/1000)^2*M400*INDEX(LenF,MATCH($M$7,LenU,0)),0))</f>
        <v/>
      </c>
      <c r="AG400" s="41" t="str">
        <f aca="false">IF(E400="","",N(AD400)+N(AE400)+N(AF400))</f>
        <v/>
      </c>
      <c r="AH400" s="41" t="str">
        <f aca="false">IF(ISNUMBER(I400),I400*INDEX(WtF,MATCH($I$7,WtU,0))/CC_WaterRho,"")</f>
        <v/>
      </c>
      <c r="AI400" s="31"/>
      <c r="AJ400" s="31"/>
      <c r="AK400" s="40"/>
      <c r="AL400" s="31"/>
      <c r="AM400" s="41" t="str">
        <f aca="false">IF(AO400="","",AO400*IF(ISNUMBER(AK400),AK400,CC_DefFills)*(1+IF(ISNUMBER(AL400),AL400,CC_DefAllow)))</f>
        <v/>
      </c>
      <c r="AN400" s="42" t="str">
        <f aca="false">IF(G400="Given volume",IF(ISNUMBER(H400),H400*INDEX(VolF,MATCH($H$7,VolU,0)),""),IF(G400="Water weight",AH400,IF(N(AG400)=0,"",AG400)))</f>
        <v/>
      </c>
      <c r="AO400" s="42" t="str">
        <f aca="false">IF(N(AN400)=0,"",AN400*AT400*IF(ISNUMBER(AJ400),AJ400,CC_DefCirc))</f>
        <v/>
      </c>
      <c r="AP400" s="27" t="n">
        <f aca="false">IF(ISNUMBER(T400),T400*INDEX(LenF,MATCH($T$7,LenU,0)),IF(ISNUMBER(W400),W400*INDEX(LenF,MATCH($W$7,LenU,0))/CC_PitchRatio,0))</f>
        <v>0</v>
      </c>
      <c r="AQ400" s="27" t="n">
        <f aca="false">IF(ISNUMBER(N400),PI()/4*(N400*INDEX(LenF,MATCH($N$7,LenU,0)))^2,IF(AND(ISNUMBER(S400),ISNUMBER(W400),X400&lt;&gt;""),S400*(W400*INDEX(LenF,MATCH($W$7,LenU,0)))^2*INDEX(LayoutF,MATCH(X400,LayoutU,0)),0))</f>
        <v>0</v>
      </c>
      <c r="AR400" s="27" t="n">
        <f aca="false">IF(ISNUMBER(O400),O400*INDEX(LenF,MATCH($O$7,LenU,0)),IF(ISNUMBER(V400),V400*INDEX(LenF,MATCH($V$7,LenU,0)),0))</f>
        <v>0</v>
      </c>
      <c r="AS400" s="27" t="str">
        <f aca="false">IF(ISNUMBER(L400),L400*INDEX(LenF,MATCH($L$7,LenU,0))*1000,IF(OR(J400="",K400=""),"",IFERROR(IF(INDEX(PipeWT,MATCH(J400,NPSU,0),MATCH(K400,SchU,0))="","Sch n/a",INDEX(PipeOD,MATCH(J400,NPSU,0))-2*INDEX(PipeWT,MATCH(J400,NPSU,0),MATCH(K400,SchU,0))),"")))</f>
        <v/>
      </c>
      <c r="AT400" s="27" t="n">
        <f aca="false">IF(ISNUMBER(AI400),AI400,IFERROR(INDEX(IF(CC_JobType="Decontamination",CC_TypeFillDC,CC_TypeFillCC),MATCH(E400,CC_TypeL,0)),1))</f>
        <v>1</v>
      </c>
      <c r="AU400" s="27" t="n">
        <v>12</v>
      </c>
    </row>
    <row r="401" customFormat="false" ht="15" hidden="false" customHeight="false" outlineLevel="0" collapsed="false">
      <c r="A401" s="36" t="n">
        <v>29</v>
      </c>
      <c r="B401" s="40"/>
      <c r="C401" s="32"/>
      <c r="D401" s="32"/>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1" t="str">
        <f aca="false">IF(E401="Exchanger",IF(AND(ISNUMBER(S401),ISNUMBER(U401),ISNUMBER(V401)),S401*PI()/4*(U401*INDEX(LenF,MATCH($U$7,LenU,0)))^2*V401*INDEX(LenF,MATCH($V$7,LenU,0)),0)+IF(ISNUMBER(Y401),PI()/4*(Y401*INDEX(LenF,MATCH($Y$7,LenU,0)))^2*N(Z401)*INDEX(LenF,MATCH($Z$7,LenU,0))+IF(AA401="",0,IF(AA401="Conical",PI()/12*(Y401*INDEX(LenF,MATCH($Y$7,LenU,0)))^2*(0),INDEX(HeadK,MATCH(AA401,HeadU,0))*(Y401*INDEX(LenF,MATCH($Y$7,LenU,0)))^3)),0)+IF(ISNUMBER(Y401),PI()/4*(Y401*INDEX(LenF,MATCH($Y$7,LenU,0)))^2*N(AB401)*INDEX(LenF,MATCH($AB$7,LenU,0))+IF(AC401="",0,IF(AC401="Conical",PI()/12*(Y401*INDEX(LenF,MATCH($Y$7,LenU,0)))^2*(0),INDEX(HeadK,MATCH(AC401,HeadU,0))*(Y401*INDEX(LenF,MATCH($Y$7,LenU,0)))^3)),0),"")</f>
        <v/>
      </c>
      <c r="AE401" s="41" t="str">
        <f aca="false">IF(OR(E401="",E401="Piping"),"",IF(E401="Exchanger",AQ401*AR401+IF(P401="",0,IF(P401="Conical",PI()/12*(SQRT(4*AQ401/PI()))^2*(0),INDEX(HeadK,MATCH(P401,HeadU,0))*(SQRT(4*AQ401/PI()))^3))-IF(AND(ISNUMBER(S401),ISNUMBER(V401)),S401*PI()/4*AP401^2*V401*INDEX(LenF,MATCH($V$7,LenU,0)),0),IF(ISNUMBER(N401),PI()/4*(N401*INDEX(LenF,MATCH($N$7,LenU,0)))^2*N(O401)*INDEX(LenF,MATCH($O$7,LenU,0))+IF(P401="",0,IF(P401="Conical",PI()/12*(N401*INDEX(LenF,MATCH($N$7,LenU,0)))^2*(N(R401)*INDEX(LenF,MATCH($R$7,LenU,0))),INDEX(HeadK,MATCH(P401,HeadU,0))*(N401*INDEX(LenF,MATCH($N$7,LenU,0)))^3))+IF(Q401="",0,IF(Q401="Conical",PI()/12*(N401*INDEX(LenF,MATCH($N$7,LenU,0)))^2*(N(R401)*INDEX(LenF,MATCH($R$7,LenU,0))),INDEX(HeadK,MATCH(Q401,HeadU,0))*(N401*INDEX(LenF,MATCH($N$7,LenU,0)))^3)),0)))</f>
        <v/>
      </c>
      <c r="AF401" s="41" t="str">
        <f aca="false">IF(E401&lt;&gt;"Piping","",IF(AND(ISNUMBER(AS401),ISNUMBER(M401)),PI()/4*(AS401/1000)^2*M401*INDEX(LenF,MATCH($M$7,LenU,0)),0))</f>
        <v/>
      </c>
      <c r="AG401" s="41" t="str">
        <f aca="false">IF(E401="","",N(AD401)+N(AE401)+N(AF401))</f>
        <v/>
      </c>
      <c r="AH401" s="41" t="str">
        <f aca="false">IF(ISNUMBER(I401),I401*INDEX(WtF,MATCH($I$7,WtU,0))/CC_WaterRho,"")</f>
        <v/>
      </c>
      <c r="AI401" s="31"/>
      <c r="AJ401" s="31"/>
      <c r="AK401" s="40"/>
      <c r="AL401" s="31"/>
      <c r="AM401" s="41" t="str">
        <f aca="false">IF(AO401="","",AO401*IF(ISNUMBER(AK401),AK401,CC_DefFills)*(1+IF(ISNUMBER(AL401),AL401,CC_DefAllow)))</f>
        <v/>
      </c>
      <c r="AN401" s="42" t="str">
        <f aca="false">IF(G401="Given volume",IF(ISNUMBER(H401),H401*INDEX(VolF,MATCH($H$7,VolU,0)),""),IF(G401="Water weight",AH401,IF(N(AG401)=0,"",AG401)))</f>
        <v/>
      </c>
      <c r="AO401" s="42" t="str">
        <f aca="false">IF(N(AN401)=0,"",AN401*AT401*IF(ISNUMBER(AJ401),AJ401,CC_DefCirc))</f>
        <v/>
      </c>
      <c r="AP401" s="27" t="n">
        <f aca="false">IF(ISNUMBER(T401),T401*INDEX(LenF,MATCH($T$7,LenU,0)),IF(ISNUMBER(W401),W401*INDEX(LenF,MATCH($W$7,LenU,0))/CC_PitchRatio,0))</f>
        <v>0</v>
      </c>
      <c r="AQ401" s="27" t="n">
        <f aca="false">IF(ISNUMBER(N401),PI()/4*(N401*INDEX(LenF,MATCH($N$7,LenU,0)))^2,IF(AND(ISNUMBER(S401),ISNUMBER(W401),X401&lt;&gt;""),S401*(W401*INDEX(LenF,MATCH($W$7,LenU,0)))^2*INDEX(LayoutF,MATCH(X401,LayoutU,0)),0))</f>
        <v>0</v>
      </c>
      <c r="AR401" s="27" t="n">
        <f aca="false">IF(ISNUMBER(O401),O401*INDEX(LenF,MATCH($O$7,LenU,0)),IF(ISNUMBER(V401),V401*INDEX(LenF,MATCH($V$7,LenU,0)),0))</f>
        <v>0</v>
      </c>
      <c r="AS401" s="27" t="str">
        <f aca="false">IF(ISNUMBER(L401),L401*INDEX(LenF,MATCH($L$7,LenU,0))*1000,IF(OR(J401="",K401=""),"",IFERROR(IF(INDEX(PipeWT,MATCH(J401,NPSU,0),MATCH(K401,SchU,0))="","Sch n/a",INDEX(PipeOD,MATCH(J401,NPSU,0))-2*INDEX(PipeWT,MATCH(J401,NPSU,0),MATCH(K401,SchU,0))),"")))</f>
        <v/>
      </c>
      <c r="AT401" s="27" t="n">
        <f aca="false">IF(ISNUMBER(AI401),AI401,IFERROR(INDEX(IF(CC_JobType="Decontamination",CC_TypeFillDC,CC_TypeFillCC),MATCH(E401,CC_TypeL,0)),1))</f>
        <v>1</v>
      </c>
      <c r="AU401" s="27" t="n">
        <v>12</v>
      </c>
    </row>
    <row r="402" customFormat="false" ht="15" hidden="false" customHeight="false" outlineLevel="0" collapsed="false">
      <c r="A402" s="36" t="n">
        <v>30</v>
      </c>
      <c r="B402" s="40"/>
      <c r="C402" s="32"/>
      <c r="D402" s="32"/>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1" t="str">
        <f aca="false">IF(E402="Exchanger",IF(AND(ISNUMBER(S402),ISNUMBER(U402),ISNUMBER(V402)),S402*PI()/4*(U402*INDEX(LenF,MATCH($U$7,LenU,0)))^2*V402*INDEX(LenF,MATCH($V$7,LenU,0)),0)+IF(ISNUMBER(Y402),PI()/4*(Y402*INDEX(LenF,MATCH($Y$7,LenU,0)))^2*N(Z402)*INDEX(LenF,MATCH($Z$7,LenU,0))+IF(AA402="",0,IF(AA402="Conical",PI()/12*(Y402*INDEX(LenF,MATCH($Y$7,LenU,0)))^2*(0),INDEX(HeadK,MATCH(AA402,HeadU,0))*(Y402*INDEX(LenF,MATCH($Y$7,LenU,0)))^3)),0)+IF(ISNUMBER(Y402),PI()/4*(Y402*INDEX(LenF,MATCH($Y$7,LenU,0)))^2*N(AB402)*INDEX(LenF,MATCH($AB$7,LenU,0))+IF(AC402="",0,IF(AC402="Conical",PI()/12*(Y402*INDEX(LenF,MATCH($Y$7,LenU,0)))^2*(0),INDEX(HeadK,MATCH(AC402,HeadU,0))*(Y402*INDEX(LenF,MATCH($Y$7,LenU,0)))^3)),0),"")</f>
        <v/>
      </c>
      <c r="AE402" s="41" t="str">
        <f aca="false">IF(OR(E402="",E402="Piping"),"",IF(E402="Exchanger",AQ402*AR402+IF(P402="",0,IF(P402="Conical",PI()/12*(SQRT(4*AQ402/PI()))^2*(0),INDEX(HeadK,MATCH(P402,HeadU,0))*(SQRT(4*AQ402/PI()))^3))-IF(AND(ISNUMBER(S402),ISNUMBER(V402)),S402*PI()/4*AP402^2*V402*INDEX(LenF,MATCH($V$7,LenU,0)),0),IF(ISNUMBER(N402),PI()/4*(N402*INDEX(LenF,MATCH($N$7,LenU,0)))^2*N(O402)*INDEX(LenF,MATCH($O$7,LenU,0))+IF(P402="",0,IF(P402="Conical",PI()/12*(N402*INDEX(LenF,MATCH($N$7,LenU,0)))^2*(N(R402)*INDEX(LenF,MATCH($R$7,LenU,0))),INDEX(HeadK,MATCH(P402,HeadU,0))*(N402*INDEX(LenF,MATCH($N$7,LenU,0)))^3))+IF(Q402="",0,IF(Q402="Conical",PI()/12*(N402*INDEX(LenF,MATCH($N$7,LenU,0)))^2*(N(R402)*INDEX(LenF,MATCH($R$7,LenU,0))),INDEX(HeadK,MATCH(Q402,HeadU,0))*(N402*INDEX(LenF,MATCH($N$7,LenU,0)))^3)),0)))</f>
        <v/>
      </c>
      <c r="AF402" s="41" t="str">
        <f aca="false">IF(E402&lt;&gt;"Piping","",IF(AND(ISNUMBER(AS402),ISNUMBER(M402)),PI()/4*(AS402/1000)^2*M402*INDEX(LenF,MATCH($M$7,LenU,0)),0))</f>
        <v/>
      </c>
      <c r="AG402" s="41" t="str">
        <f aca="false">IF(E402="","",N(AD402)+N(AE402)+N(AF402))</f>
        <v/>
      </c>
      <c r="AH402" s="41" t="str">
        <f aca="false">IF(ISNUMBER(I402),I402*INDEX(WtF,MATCH($I$7,WtU,0))/CC_WaterRho,"")</f>
        <v/>
      </c>
      <c r="AI402" s="31"/>
      <c r="AJ402" s="31"/>
      <c r="AK402" s="40"/>
      <c r="AL402" s="31"/>
      <c r="AM402" s="41" t="str">
        <f aca="false">IF(AO402="","",AO402*IF(ISNUMBER(AK402),AK402,CC_DefFills)*(1+IF(ISNUMBER(AL402),AL402,CC_DefAllow)))</f>
        <v/>
      </c>
      <c r="AN402" s="42" t="str">
        <f aca="false">IF(G402="Given volume",IF(ISNUMBER(H402),H402*INDEX(VolF,MATCH($H$7,VolU,0)),""),IF(G402="Water weight",AH402,IF(N(AG402)=0,"",AG402)))</f>
        <v/>
      </c>
      <c r="AO402" s="42" t="str">
        <f aca="false">IF(N(AN402)=0,"",AN402*AT402*IF(ISNUMBER(AJ402),AJ402,CC_DefCirc))</f>
        <v/>
      </c>
      <c r="AP402" s="27" t="n">
        <f aca="false">IF(ISNUMBER(T402),T402*INDEX(LenF,MATCH($T$7,LenU,0)),IF(ISNUMBER(W402),W402*INDEX(LenF,MATCH($W$7,LenU,0))/CC_PitchRatio,0))</f>
        <v>0</v>
      </c>
      <c r="AQ402" s="27" t="n">
        <f aca="false">IF(ISNUMBER(N402),PI()/4*(N402*INDEX(LenF,MATCH($N$7,LenU,0)))^2,IF(AND(ISNUMBER(S402),ISNUMBER(W402),X402&lt;&gt;""),S402*(W402*INDEX(LenF,MATCH($W$7,LenU,0)))^2*INDEX(LayoutF,MATCH(X402,LayoutU,0)),0))</f>
        <v>0</v>
      </c>
      <c r="AR402" s="27" t="n">
        <f aca="false">IF(ISNUMBER(O402),O402*INDEX(LenF,MATCH($O$7,LenU,0)),IF(ISNUMBER(V402),V402*INDEX(LenF,MATCH($V$7,LenU,0)),0))</f>
        <v>0</v>
      </c>
      <c r="AS402" s="27" t="str">
        <f aca="false">IF(ISNUMBER(L402),L402*INDEX(LenF,MATCH($L$7,LenU,0))*1000,IF(OR(J402="",K402=""),"",IFERROR(IF(INDEX(PipeWT,MATCH(J402,NPSU,0),MATCH(K402,SchU,0))="","Sch n/a",INDEX(PipeOD,MATCH(J402,NPSU,0))-2*INDEX(PipeWT,MATCH(J402,NPSU,0),MATCH(K402,SchU,0))),"")))</f>
        <v/>
      </c>
      <c r="AT402" s="27" t="n">
        <f aca="false">IF(ISNUMBER(AI402),AI402,IFERROR(INDEX(IF(CC_JobType="Decontamination",CC_TypeFillDC,CC_TypeFillCC),MATCH(E402,CC_TypeL,0)),1))</f>
        <v>1</v>
      </c>
      <c r="AU402" s="27" t="n">
        <v>12</v>
      </c>
    </row>
    <row r="403" customFormat="false" ht="15" hidden="false" customHeight="false" outlineLevel="0" collapsed="false">
      <c r="A403" s="44" t="str">
        <f aca="false">"TOTAL – "&amp;INDEX(CC_UnitNames,12)</f>
        <v>TOTAL – Unit 12</v>
      </c>
      <c r="B403" s="44"/>
      <c r="C403" s="44"/>
      <c r="D403" s="44"/>
      <c r="E403" s="45"/>
      <c r="F403" s="45"/>
      <c r="G403" s="45"/>
      <c r="H403" s="45"/>
      <c r="I403" s="45"/>
      <c r="J403" s="45"/>
      <c r="K403" s="45"/>
      <c r="L403" s="45"/>
      <c r="M403" s="45"/>
      <c r="N403" s="45"/>
      <c r="O403" s="45"/>
      <c r="P403" s="45"/>
      <c r="Q403" s="45"/>
      <c r="R403" s="45"/>
      <c r="S403" s="46" t="str">
        <f aca="false">COUNT(AN373:AN402)&amp;" items"</f>
        <v>0 items</v>
      </c>
      <c r="T403" s="45"/>
      <c r="U403" s="45"/>
      <c r="V403" s="45"/>
      <c r="W403" s="45"/>
      <c r="X403" s="45"/>
      <c r="Y403" s="45"/>
      <c r="Z403" s="45"/>
      <c r="AA403" s="45"/>
      <c r="AB403" s="45"/>
      <c r="AC403" s="45"/>
      <c r="AD403" s="47" t="n">
        <f aca="false">SUM(AD373:AD402)</f>
        <v>0</v>
      </c>
      <c r="AE403" s="47" t="n">
        <f aca="false">SUM(AE373:AE402)</f>
        <v>0</v>
      </c>
      <c r="AF403" s="47" t="n">
        <f aca="false">SUM(AF373:AF402)</f>
        <v>0</v>
      </c>
      <c r="AG403" s="47" t="n">
        <f aca="false">SUM(AG373:AG402)</f>
        <v>0</v>
      </c>
      <c r="AH403" s="47" t="n">
        <f aca="false">SUM(AH373:AH402)</f>
        <v>0</v>
      </c>
      <c r="AI403" s="45"/>
      <c r="AJ403" s="45"/>
      <c r="AK403" s="45"/>
      <c r="AL403" s="45"/>
      <c r="AM403" s="47" t="n">
        <f aca="false">SUM(AM373:AM402)</f>
        <v>0</v>
      </c>
      <c r="AN403" s="47" t="n">
        <f aca="false">SUM(AN373:AN402)</f>
        <v>0</v>
      </c>
      <c r="AO403" s="47" t="n">
        <f aca="false">SUM(AO373:AO402)</f>
        <v>0</v>
      </c>
    </row>
    <row r="405" customFormat="false" ht="15" hidden="false" customHeight="false" outlineLevel="0" collapsed="false">
      <c r="A405" s="48" t="s">
        <v>398</v>
      </c>
      <c r="B405" s="48"/>
      <c r="C405" s="48"/>
      <c r="D405" s="48"/>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c r="AC405" s="49"/>
      <c r="AD405" s="50" t="n">
        <f aca="false">AD40+AD73+AD106+AD139+AD172+AD205+AD238+AD271+AD304+AD337+AD370+AD403</f>
        <v>1.11324521704842</v>
      </c>
      <c r="AE405" s="50" t="n">
        <f aca="false">AE40+AE73+AE106+AE139+AE172+AE205+AE238+AE271+AE304+AE337+AE370+AE403</f>
        <v>23.0911299984655</v>
      </c>
      <c r="AF405" s="50" t="n">
        <f aca="false">AF40+AF73+AF106+AF139+AF172+AF205+AF238+AF271+AF304+AF337+AF370+AF403</f>
        <v>2.23750320965139</v>
      </c>
      <c r="AG405" s="50" t="n">
        <f aca="false">AG40+AG73+AG106+AG139+AG172+AG205+AG238+AG271+AG304+AG337+AG370+AG403</f>
        <v>26.4418784251653</v>
      </c>
      <c r="AH405" s="50" t="n">
        <f aca="false">AH40+AH73+AH106+AH139+AH172+AH205+AH238+AH271+AH304+AH337+AH370+AH403</f>
        <v>0</v>
      </c>
      <c r="AI405" s="49"/>
      <c r="AJ405" s="49"/>
      <c r="AK405" s="49"/>
      <c r="AL405" s="49"/>
      <c r="AM405" s="50" t="n">
        <f aca="false">AM40+AM73+AM106+AM139+AM172+AM205+AM238+AM271+AM304+AM337+AM370+AM403</f>
        <v>256.985612894041</v>
      </c>
      <c r="AN405" s="50" t="n">
        <f aca="false">AN40+AN73+AN106+AN139+AN172+AN205+AN238+AN271+AN304+AN337+AN370+AN403</f>
        <v>53.5568784251653</v>
      </c>
      <c r="AO405" s="50" t="n">
        <f aca="false">AO40+AO73+AO106+AO139+AO172+AO205+AO238+AO271+AO304+AO337+AO370+AO403</f>
        <v>41.1176980630466</v>
      </c>
    </row>
  </sheetData>
  <mergeCells count="33">
    <mergeCell ref="A5:I5"/>
    <mergeCell ref="J5:M5"/>
    <mergeCell ref="N5:R5"/>
    <mergeCell ref="S5:X5"/>
    <mergeCell ref="Y5:AC5"/>
    <mergeCell ref="AD5:AH5"/>
    <mergeCell ref="AI5:AL5"/>
    <mergeCell ref="AM5:AO5"/>
    <mergeCell ref="A9:D9"/>
    <mergeCell ref="A40:D40"/>
    <mergeCell ref="A42:D42"/>
    <mergeCell ref="A73:D73"/>
    <mergeCell ref="A75:D75"/>
    <mergeCell ref="A106:D106"/>
    <mergeCell ref="A108:D108"/>
    <mergeCell ref="A139:D139"/>
    <mergeCell ref="A141:D141"/>
    <mergeCell ref="A172:D172"/>
    <mergeCell ref="A174:D174"/>
    <mergeCell ref="A205:D205"/>
    <mergeCell ref="A207:D207"/>
    <mergeCell ref="A238:D238"/>
    <mergeCell ref="A240:D240"/>
    <mergeCell ref="A271:D271"/>
    <mergeCell ref="A273:D273"/>
    <mergeCell ref="A304:D304"/>
    <mergeCell ref="A306:D306"/>
    <mergeCell ref="A337:D337"/>
    <mergeCell ref="A339:D339"/>
    <mergeCell ref="A370:D370"/>
    <mergeCell ref="A372:D372"/>
    <mergeCell ref="A403:D403"/>
    <mergeCell ref="A405:D405"/>
  </mergeCells>
  <conditionalFormatting sqref="F9:F405">
    <cfRule type="expression" priority="2" aboveAverage="0" equalAverage="0" bottom="0" percent="0" rank="0" text="" dxfId="0">
      <formula>AND(N($AN9)&gt;0,$F9="",$AU9&lt;&gt;"")</formula>
    </cfRule>
  </conditionalFormatting>
  <conditionalFormatting sqref="AN9:AN405">
    <cfRule type="expression" priority="3" aboveAverage="0" equalAverage="0" bottom="0" percent="0" rank="0" text="" dxfId="0">
      <formula>AND($E9&lt;&gt;"",N($AN9)=0,$AU9&lt;&gt;"")</formula>
    </cfRule>
  </conditionalFormatting>
  <dataValidations count="12">
    <dataValidation allowBlank="true" error="Pick a value from the drop-down list." errorStyle="stop" errorTitle="Invalid entry" operator="between" showDropDown="false" showErrorMessage="true" showInputMessage="false" sqref="H7" type="list">
      <formula1>VolU</formula1>
      <formula2>0</formula2>
    </dataValidation>
    <dataValidation allowBlank="true" error="Pick a value from the drop-down list." errorStyle="stop" errorTitle="Invalid entry" operator="between" showDropDown="false" showErrorMessage="true" showInputMessage="false" sqref="I7" type="list">
      <formula1>WtU</formula1>
      <formula2>0</formula2>
    </dataValidation>
    <dataValidation allowBlank="true" error="Pick a value from the drop-down list." errorStyle="stop" errorTitle="Invalid entry" operator="between" showDropDown="false" showErrorMessage="true" showInputMessage="false" sqref="L7:O7 R7 T7:W7 Y7:Z7 AB7" type="list">
      <formula1>LenU</formula1>
      <formula2>0</formula2>
    </dataValidation>
    <dataValidation allowBlank="true" error="Pick a value from the drop-down list." errorStyle="stop" errorTitle="Invalid entry" operator="between" showDropDown="false" showErrorMessage="true" showInputMessage="false" sqref="B10:B39 B43:B72 B76:B105 B109:B138 B142:B171 B175:B204 B208:B237 B241:B270 B274:B303 B307:B336 B340:B369 B373:B402" type="list">
      <formula1>CC_LoopU</formula1>
      <formula2>0</formula2>
    </dataValidation>
    <dataValidation allowBlank="true" error="Pick a value from the drop-down list." errorStyle="stop" errorTitle="Invalid entry" operator="between" showDropDown="false" showErrorMessage="true" showInputMessage="false" sqref="E10:E39 E43:E72 E76:E105 E109:E138 E142:E171 E175:E204 E208:E237 E241:E270 E274:E303 E307:E336 E340:E369 E373:E402" type="list">
      <formula1>TypeU</formula1>
      <formula2>0</formula2>
    </dataValidation>
    <dataValidation allowBlank="true" error="Pick a value from the drop-down list." errorStyle="stop" errorTitle="Invalid entry" operator="between" showDropDown="false" showErrorMessage="true" showInputMessage="false" sqref="F10:F39 F43:F72 F76:F105 F109:F138 F142:F171 F175:F204 F208:F237 F241:F270 F274:F303 F307:F336 F340:F369 F373:F402" type="list">
      <formula1>CC_RegU</formula1>
      <formula2>0</formula2>
    </dataValidation>
    <dataValidation allowBlank="true" error="Pick a value from the drop-down list." errorStyle="stop" errorTitle="Invalid entry" operator="between" showDropDown="false" showErrorMessage="true" showInputMessage="false" sqref="G10:G39 G43:G72 G76:G105 G109:G138 G142:G171 G175:G204 G208:G237 G241:G270 G274:G303 G307:G336 G340:G369 G373:G402" type="list">
      <formula1>BasisU</formula1>
      <formula2>0</formula2>
    </dataValidation>
    <dataValidation allowBlank="true" error="Pick a value from the drop-down list." errorStyle="stop" errorTitle="Invalid entry" operator="between" showDropDown="false" showErrorMessage="true" showInputMessage="false" sqref="J10:J39 J43:J72 J76:J105 J109:J138 J142:J171 J175:J204 J208:J237 J241:J270 J274:J303 J307:J336 J340:J369 J373:J402" type="list">
      <formula1>NPSU</formula1>
      <formula2>0</formula2>
    </dataValidation>
    <dataValidation allowBlank="true" error="Pick a value from the drop-down list." errorStyle="stop" errorTitle="Invalid entry" operator="between" showDropDown="false" showErrorMessage="true" showInputMessage="false" sqref="K10:K39 K43:K72 K76:K105 K109:K138 K142:K171 K175:K204 K208:K237 K241:K270 K274:K303 K307:K336 K340:K369 K373:K402" type="list">
      <formula1>SchU</formula1>
      <formula2>0</formula2>
    </dataValidation>
    <dataValidation allowBlank="true" error="Pick a value from the drop-down list." errorStyle="stop" errorTitle="Invalid entry" operator="between" showDropDown="false" showErrorMessage="true" showInputMessage="false" sqref="P10:Q39 AA10:AA39 AC10:AC39 P43:Q72 AA43:AA72 AC43:AC72 P76:Q105 AA76:AA105 AC76:AC105 P109:Q138 AA109:AA138 AC109:AC138 P142:Q171 AA142:AA171 AC142:AC171 P175:Q204 AA175:AA204 AC175:AC204 P208:Q237 AA208:AA237 AC208:AC237 P241:Q270 AA241:AA270 AC241:AC270 P274:Q303 AA274:AA303 AC274:AC303 P307:Q336 AA307:AA336 AC307:AC336 P340:Q369 AA340:AA369 AC340:AC369 P373:Q402 AA373:AA402 AC373:AC402" type="list">
      <formula1>HeadU</formula1>
      <formula2>0</formula2>
    </dataValidation>
    <dataValidation allowBlank="true" error="Pick a value from the drop-down list." errorStyle="stop" errorTitle="Invalid entry" operator="between" showDropDown="false" showErrorMessage="true" showInputMessage="false" sqref="X10:X39 X43:X72 X76:X105 X109:X138 X142:X171 X175:X204 X208:X237 X241:X270 X274:X303 X307:X336 X340:X369 X373:X402" type="list">
      <formula1>LayoutU</formula1>
      <formula2>0</formula2>
    </dataValidation>
    <dataValidation allowBlank="true" error="Enter a positive number." errorStyle="stop" errorTitle="Number" operator="greaterThanOrEqual" showDropDown="false" showErrorMessage="true" showInputMessage="false" sqref="H10:I39 L10:O39 R10:W39 Y10:Z39 AB10:AB39 AI10:AL39 H43:I72 L43:O72 R43:W72 Y43:Z72 AB43:AB72 AI43:AL72 H76:I105 L76:O105 R76:W105 Y76:Z105 AB76:AB105 AI76:AL105 H109:I138 L109:O138 R109:W138 Y109:Z138 AB109:AB138 AI109:AL138 H142:I171 L142:O171 R142:W171 Y142:Z171 AB142:AB171 AI142:AL171 H175:I204 L175:O204 R175:W204 Y175:Z204 AB175:AB204 AI175:AL204 H208:I237 L208:O237 R208:W237 Y208:Z237 AB208:AB237 AI208:AL237 H241:I270 L241:O270 R241:W270 Y241:Z270 AB241:AB270 AI241:AL270 H274:I303 L274:O303 R274:W303 Y274:Z303 AB274:AB303 AI274:AL303 H307:I336 L307:O336 R307:W336 Y307:Z336 AB307:AB336 AI307:AL336 H340:I369 L340:O369 R340:W369 Y340:Z369 AB340:AB369 AI340:AL369 H373:I402 L373:O402 R373:W402 Y373:Z402 AB373:AB402 AI373:AL402"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8"/>
    <col collapsed="false" customWidth="true" hidden="false" outlineLevel="0" max="5" min="4" style="0" width="14"/>
    <col collapsed="false" customWidth="true" hidden="false" outlineLevel="0" max="6" min="6" style="0" width="12"/>
    <col collapsed="false" customWidth="true" hidden="false" outlineLevel="0" max="8" min="7" style="0" width="14"/>
    <col collapsed="false" customWidth="true" hidden="false" outlineLevel="0" max="9" min="9" style="0" width="16"/>
    <col collapsed="false" customWidth="true" hidden="false" outlineLevel="0" max="10" min="10" style="0" width="30"/>
  </cols>
  <sheetData>
    <row r="1" customFormat="false" ht="19.7" hidden="false" customHeight="false" outlineLevel="0" collapsed="false">
      <c r="B1" s="1" t="s">
        <v>399</v>
      </c>
    </row>
    <row r="2" customFormat="false" ht="15" hidden="false" customHeight="false" outlineLevel="0" collapsed="false">
      <c r="B2" s="27" t="s">
        <v>400</v>
      </c>
    </row>
    <row r="4" customFormat="false" ht="22.35" hidden="false" customHeight="false" outlineLevel="0" collapsed="false">
      <c r="B4" s="8" t="s">
        <v>334</v>
      </c>
      <c r="C4" s="8" t="s">
        <v>401</v>
      </c>
      <c r="D4" s="8" t="s">
        <v>402</v>
      </c>
      <c r="E4" s="8" t="s">
        <v>403</v>
      </c>
      <c r="F4" s="8" t="s">
        <v>404</v>
      </c>
      <c r="G4" s="8" t="s">
        <v>405</v>
      </c>
    </row>
    <row r="5" customFormat="false" ht="15" hidden="false" customHeight="false" outlineLevel="0" collapsed="false">
      <c r="B5" s="36" t="n">
        <v>1</v>
      </c>
      <c r="C5" s="24" t="str">
        <f aca="false">INDEX(CC_RegU,1)</f>
        <v>SS</v>
      </c>
      <c r="D5" s="41" t="n">
        <f aca="false">$E$12</f>
        <v>38.5445693719475</v>
      </c>
      <c r="E5" s="41" t="n">
        <f aca="false">G29</f>
        <v>2.10067903077114</v>
      </c>
      <c r="F5" s="51" t="n">
        <f aca="false">H29</f>
        <v>14415.6689451084</v>
      </c>
      <c r="G5" s="52" t="n">
        <f aca="false">I29</f>
        <v>374</v>
      </c>
    </row>
    <row r="6" customFormat="false" ht="15" hidden="false" customHeight="false" outlineLevel="0" collapsed="false">
      <c r="B6" s="36" t="n">
        <v>2</v>
      </c>
      <c r="C6" s="24" t="str">
        <f aca="false">INDEX(CC_RegU,2)</f>
        <v>CS</v>
      </c>
      <c r="D6" s="41" t="n">
        <f aca="false">$E$33</f>
        <v>2.5731286910991</v>
      </c>
      <c r="E6" s="41" t="n">
        <f aca="false">G50</f>
        <v>0.21795450270218</v>
      </c>
      <c r="F6" s="51" t="n">
        <f aca="false">H50</f>
        <v>1349.89481904885</v>
      </c>
      <c r="G6" s="52" t="n">
        <f aca="false">I50</f>
        <v>524.612244897959</v>
      </c>
    </row>
    <row r="7" customFormat="false" ht="15" hidden="false" customHeight="false" outlineLevel="0" collapsed="false">
      <c r="B7" s="36" t="n">
        <v>3</v>
      </c>
      <c r="C7" s="24" t="str">
        <f aca="false">INDEX(CC_RegU,3)</f>
        <v>Regime 3</v>
      </c>
      <c r="D7" s="41" t="n">
        <f aca="false">$E$54</f>
        <v>0</v>
      </c>
      <c r="E7" s="41" t="n">
        <f aca="false">G71</f>
        <v>0</v>
      </c>
      <c r="F7" s="51" t="n">
        <f aca="false">H71</f>
        <v>0</v>
      </c>
      <c r="G7" s="52" t="n">
        <f aca="false">I71</f>
        <v>0</v>
      </c>
    </row>
    <row r="8" customFormat="false" ht="15" hidden="false" customHeight="false" outlineLevel="0" collapsed="false">
      <c r="B8" s="36" t="n">
        <v>4</v>
      </c>
      <c r="C8" s="24" t="str">
        <f aca="false">INDEX(CC_RegU,4)</f>
        <v>Regime 4</v>
      </c>
      <c r="D8" s="41" t="n">
        <f aca="false">$E$75</f>
        <v>0</v>
      </c>
      <c r="E8" s="41" t="n">
        <f aca="false">G92</f>
        <v>0</v>
      </c>
      <c r="F8" s="51" t="n">
        <f aca="false">H92</f>
        <v>0</v>
      </c>
      <c r="G8" s="52" t="n">
        <f aca="false">I92</f>
        <v>0</v>
      </c>
    </row>
    <row r="9" customFormat="false" ht="15" hidden="false" customHeight="false" outlineLevel="0" collapsed="false">
      <c r="B9" s="27" t="s">
        <v>406</v>
      </c>
    </row>
    <row r="11" customFormat="false" ht="15" hidden="false" customHeight="false" outlineLevel="0" collapsed="false">
      <c r="B11" s="53" t="str">
        <f aca="false">"REGIME 1:  "&amp;INDEX(CC_RegU,1)</f>
        <v>REGIME 1:  SS</v>
      </c>
      <c r="C11" s="53"/>
      <c r="D11" s="53"/>
      <c r="E11" s="53"/>
      <c r="F11" s="53"/>
      <c r="G11" s="53"/>
      <c r="H11" s="53"/>
      <c r="I11" s="53"/>
      <c r="J11" s="53"/>
    </row>
    <row r="12" customFormat="false" ht="15" hidden="false" customHeight="false" outlineLevel="0" collapsed="false">
      <c r="C12" s="23" t="s">
        <v>407</v>
      </c>
      <c r="E12" s="54" t="n">
        <f aca="false">SUMIFS(CC_V_sol,CC_V_reg,INDEX(CC_RegU,1),CC_V_x_unit,"&gt;0")</f>
        <v>38.5445693719475</v>
      </c>
    </row>
    <row r="13" customFormat="false" ht="15" hidden="false" customHeight="false" outlineLevel="0" collapsed="false">
      <c r="B13" s="8" t="s">
        <v>408</v>
      </c>
      <c r="C13" s="8" t="s">
        <v>142</v>
      </c>
      <c r="D13" s="8" t="s">
        <v>409</v>
      </c>
      <c r="E13" s="8" t="s">
        <v>410</v>
      </c>
      <c r="F13" s="8" t="s">
        <v>411</v>
      </c>
      <c r="G13" s="8" t="s">
        <v>412</v>
      </c>
      <c r="H13" s="8" t="s">
        <v>413</v>
      </c>
      <c r="I13" s="8" t="s">
        <v>414</v>
      </c>
      <c r="J13" s="8" t="s">
        <v>415</v>
      </c>
    </row>
    <row r="14" customFormat="false" ht="15" hidden="false" customHeight="false" outlineLevel="0" collapsed="false">
      <c r="B14" s="36" t="n">
        <v>1</v>
      </c>
      <c r="C14" s="32" t="s">
        <v>148</v>
      </c>
      <c r="D14" s="55"/>
      <c r="E14" s="56" t="n">
        <f aca="false">IF(C14="","",IFERROR(INDEX(CHPurity,MATCH(C14,CHU,0)),""))</f>
        <v>0.49</v>
      </c>
      <c r="F14" s="57" t="n">
        <f aca="false">IF(C14="","",IFERROR(INDEX(CHPriceKg,MATCH(C14,CHU,0)),""))</f>
        <v>3</v>
      </c>
      <c r="G14" s="41" t="n">
        <f aca="false">IF(OR(N(D14)=0,N(E14)=0),0,$E$12*D14/E14)</f>
        <v>0</v>
      </c>
      <c r="H14" s="51" t="n">
        <f aca="false">G14*1000*N(F14)</f>
        <v>0</v>
      </c>
      <c r="I14" s="51" t="n">
        <f aca="false">IF(OR(N(D14)=0,N(E14)=0),0,D14/E14*N(F14)*1000)</f>
        <v>0</v>
      </c>
      <c r="J14" s="58"/>
    </row>
    <row r="15" customFormat="false" ht="15" hidden="false" customHeight="false" outlineLevel="0" collapsed="false">
      <c r="B15" s="36" t="n">
        <v>2</v>
      </c>
      <c r="C15" s="32" t="s">
        <v>150</v>
      </c>
      <c r="D15" s="55" t="n">
        <v>0.03</v>
      </c>
      <c r="E15" s="56" t="n">
        <f aca="false">IF(C15="","",IFERROR(INDEX(CHPurity,MATCH(C15,CHU,0)),""))</f>
        <v>1</v>
      </c>
      <c r="F15" s="57" t="n">
        <f aca="false">IF(C15="","",IFERROR(INDEX(CHPriceKg,MATCH(C15,CHU,0)),""))</f>
        <v>4</v>
      </c>
      <c r="G15" s="41" t="n">
        <f aca="false">IF(OR(N(D15)=0,N(E15)=0),0,$E$12*D15/E15)</f>
        <v>1.15633708115843</v>
      </c>
      <c r="H15" s="51" t="n">
        <f aca="false">G15*1000*N(F15)</f>
        <v>4625.3483246337</v>
      </c>
      <c r="I15" s="51" t="n">
        <f aca="false">IF(OR(N(D15)=0,N(E15)=0),0,D15/E15*N(F15)*1000)</f>
        <v>120</v>
      </c>
      <c r="J15" s="58"/>
    </row>
    <row r="16" customFormat="false" ht="15" hidden="false" customHeight="false" outlineLevel="0" collapsed="false">
      <c r="B16" s="36" t="n">
        <v>3</v>
      </c>
      <c r="C16" s="32" t="s">
        <v>151</v>
      </c>
      <c r="D16" s="55"/>
      <c r="E16" s="56" t="n">
        <f aca="false">IF(C16="","",IFERROR(INDEX(CHPurity,MATCH(C16,CHU,0)),""))</f>
        <v>1</v>
      </c>
      <c r="F16" s="57" t="n">
        <f aca="false">IF(C16="","",IFERROR(INDEX(CHPriceKg,MATCH(C16,CHU,0)),""))</f>
        <v>16</v>
      </c>
      <c r="G16" s="41" t="n">
        <f aca="false">IF(OR(N(D16)=0,N(E16)=0),0,$E$12*D16/E16)</f>
        <v>0</v>
      </c>
      <c r="H16" s="51" t="n">
        <f aca="false">G16*1000*N(F16)</f>
        <v>0</v>
      </c>
      <c r="I16" s="51" t="n">
        <f aca="false">IF(OR(N(D16)=0,N(E16)=0),0,D16/E16*N(F16)*1000)</f>
        <v>0</v>
      </c>
      <c r="J16" s="58"/>
    </row>
    <row r="17" customFormat="false" ht="15" hidden="false" customHeight="false" outlineLevel="0" collapsed="false">
      <c r="B17" s="36" t="n">
        <v>4</v>
      </c>
      <c r="C17" s="32" t="s">
        <v>152</v>
      </c>
      <c r="D17" s="55"/>
      <c r="E17" s="56" t="n">
        <f aca="false">IF(C17="","",IFERROR(INDEX(CHPurity,MATCH(C17,CHU,0)),""))</f>
        <v>1</v>
      </c>
      <c r="F17" s="57" t="n">
        <f aca="false">IF(C17="","",IFERROR(INDEX(CHPriceKg,MATCH(C17,CHU,0)),""))</f>
        <v>9</v>
      </c>
      <c r="G17" s="41" t="n">
        <f aca="false">IF(OR(N(D17)=0,N(E17)=0),0,$E$12*D17/E17)</f>
        <v>0</v>
      </c>
      <c r="H17" s="51" t="n">
        <f aca="false">G17*1000*N(F17)</f>
        <v>0</v>
      </c>
      <c r="I17" s="51" t="n">
        <f aca="false">IF(OR(N(D17)=0,N(E17)=0),0,D17/E17*N(F17)*1000)</f>
        <v>0</v>
      </c>
      <c r="J17" s="58"/>
    </row>
    <row r="18" customFormat="false" ht="15" hidden="false" customHeight="false" outlineLevel="0" collapsed="false">
      <c r="B18" s="36" t="n">
        <v>5</v>
      </c>
      <c r="C18" s="32" t="s">
        <v>153</v>
      </c>
      <c r="D18" s="55"/>
      <c r="E18" s="56" t="n">
        <f aca="false">IF(C18="","",IFERROR(INDEX(CHPurity,MATCH(C18,CHU,0)),""))</f>
        <v>1</v>
      </c>
      <c r="F18" s="57" t="n">
        <f aca="false">IF(C18="","",IFERROR(INDEX(CHPriceKg,MATCH(C18,CHU,0)),""))</f>
        <v>6</v>
      </c>
      <c r="G18" s="41" t="n">
        <f aca="false">IF(OR(N(D18)=0,N(E18)=0),0,$E$12*D18/E18)</f>
        <v>0</v>
      </c>
      <c r="H18" s="51" t="n">
        <f aca="false">G18*1000*N(F18)</f>
        <v>0</v>
      </c>
      <c r="I18" s="51" t="n">
        <f aca="false">IF(OR(N(D18)=0,N(E18)=0),0,D18/E18*N(F18)*1000)</f>
        <v>0</v>
      </c>
      <c r="J18" s="58"/>
    </row>
    <row r="19" customFormat="false" ht="15" hidden="false" customHeight="false" outlineLevel="0" collapsed="false">
      <c r="B19" s="36" t="n">
        <v>6</v>
      </c>
      <c r="C19" s="32" t="s">
        <v>154</v>
      </c>
      <c r="D19" s="55" t="n">
        <v>0.0025</v>
      </c>
      <c r="E19" s="56" t="n">
        <f aca="false">IF(C19="","",IFERROR(INDEX(CHPurity,MATCH(C19,CHU,0)),""))</f>
        <v>1</v>
      </c>
      <c r="F19" s="57" t="n">
        <f aca="false">IF(C19="","",IFERROR(INDEX(CHPriceKg,MATCH(C19,CHU,0)),""))</f>
        <v>12</v>
      </c>
      <c r="G19" s="41" t="n">
        <f aca="false">IF(OR(N(D19)=0,N(E19)=0),0,$E$12*D19/E19)</f>
        <v>0.0963614234298688</v>
      </c>
      <c r="H19" s="51" t="n">
        <f aca="false">G19*1000*N(F19)</f>
        <v>1156.33708115843</v>
      </c>
      <c r="I19" s="51" t="n">
        <f aca="false">IF(OR(N(D19)=0,N(E19)=0),0,D19/E19*N(F19)*1000)</f>
        <v>30</v>
      </c>
      <c r="J19" s="58"/>
    </row>
    <row r="20" customFormat="false" ht="15" hidden="false" customHeight="false" outlineLevel="0" collapsed="false">
      <c r="B20" s="36" t="n">
        <v>7</v>
      </c>
      <c r="C20" s="32" t="s">
        <v>155</v>
      </c>
      <c r="D20" s="55" t="n">
        <v>0.002</v>
      </c>
      <c r="E20" s="56" t="n">
        <f aca="false">IF(C20="","",IFERROR(INDEX(CHPurity,MATCH(C20,CHU,0)),""))</f>
        <v>1</v>
      </c>
      <c r="F20" s="57" t="n">
        <f aca="false">IF(C20="","",IFERROR(INDEX(CHPriceKg,MATCH(C20,CHU,0)),""))</f>
        <v>12</v>
      </c>
      <c r="G20" s="41" t="n">
        <f aca="false">IF(OR(N(D20)=0,N(E20)=0),0,$E$12*D20/E20)</f>
        <v>0.077089138743895</v>
      </c>
      <c r="H20" s="51" t="n">
        <f aca="false">G20*1000*N(F20)</f>
        <v>925.06966492674</v>
      </c>
      <c r="I20" s="51" t="n">
        <f aca="false">IF(OR(N(D20)=0,N(E20)=0),0,D20/E20*N(F20)*1000)</f>
        <v>24</v>
      </c>
      <c r="J20" s="58"/>
    </row>
    <row r="21" customFormat="false" ht="15" hidden="false" customHeight="false" outlineLevel="0" collapsed="false">
      <c r="B21" s="36" t="n">
        <v>8</v>
      </c>
      <c r="C21" s="32" t="s">
        <v>156</v>
      </c>
      <c r="D21" s="55"/>
      <c r="E21" s="56" t="n">
        <f aca="false">IF(C21="","",IFERROR(INDEX(CHPurity,MATCH(C21,CHU,0)),""))</f>
        <v>0.35</v>
      </c>
      <c r="F21" s="57" t="n">
        <f aca="false">IF(C21="","",IFERROR(INDEX(CHPriceKg,MATCH(C21,CHU,0)),""))</f>
        <v>4</v>
      </c>
      <c r="G21" s="41" t="n">
        <f aca="false">IF(OR(N(D21)=0,N(E21)=0),0,$E$12*D21/E21)</f>
        <v>0</v>
      </c>
      <c r="H21" s="51" t="n">
        <f aca="false">G21*1000*N(F21)</f>
        <v>0</v>
      </c>
      <c r="I21" s="51" t="n">
        <f aca="false">IF(OR(N(D21)=0,N(E21)=0),0,D21/E21*N(F21)*1000)</f>
        <v>0</v>
      </c>
      <c r="J21" s="58"/>
    </row>
    <row r="22" customFormat="false" ht="15" hidden="false" customHeight="false" outlineLevel="0" collapsed="false">
      <c r="B22" s="36" t="n">
        <v>9</v>
      </c>
      <c r="C22" s="32" t="s">
        <v>157</v>
      </c>
      <c r="D22" s="55"/>
      <c r="E22" s="56" t="n">
        <f aca="false">IF(C22="","",IFERROR(INDEX(CHPurity,MATCH(C22,CHU,0)),""))</f>
        <v>0.25</v>
      </c>
      <c r="F22" s="57" t="n">
        <f aca="false">IF(C22="","",IFERROR(INDEX(CHPriceKg,MATCH(C22,CHU,0)),""))</f>
        <v>6</v>
      </c>
      <c r="G22" s="41" t="n">
        <f aca="false">IF(OR(N(D22)=0,N(E22)=0),0,$E$12*D22/E22)</f>
        <v>0</v>
      </c>
      <c r="H22" s="51" t="n">
        <f aca="false">G22*1000*N(F22)</f>
        <v>0</v>
      </c>
      <c r="I22" s="51" t="n">
        <f aca="false">IF(OR(N(D22)=0,N(E22)=0),0,D22/E22*N(F22)*1000)</f>
        <v>0</v>
      </c>
      <c r="J22" s="58"/>
    </row>
    <row r="23" customFormat="false" ht="15" hidden="false" customHeight="false" outlineLevel="0" collapsed="false">
      <c r="B23" s="36" t="n">
        <v>10</v>
      </c>
      <c r="C23" s="32" t="s">
        <v>158</v>
      </c>
      <c r="D23" s="55" t="n">
        <v>0.02</v>
      </c>
      <c r="E23" s="56" t="n">
        <f aca="false">IF(C23="","",IFERROR(INDEX(CHPurity,MATCH(C23,CHU,0)),""))</f>
        <v>1</v>
      </c>
      <c r="F23" s="57" t="n">
        <f aca="false">IF(C23="","",IFERROR(INDEX(CHPriceKg,MATCH(C23,CHU,0)),""))</f>
        <v>10</v>
      </c>
      <c r="G23" s="41" t="n">
        <f aca="false">IF(OR(N(D23)=0,N(E23)=0),0,$E$12*D23/E23)</f>
        <v>0.77089138743895</v>
      </c>
      <c r="H23" s="51" t="n">
        <f aca="false">G23*1000*N(F23)</f>
        <v>7708.9138743895</v>
      </c>
      <c r="I23" s="51" t="n">
        <f aca="false">IF(OR(N(D23)=0,N(E23)=0),0,D23/E23*N(F23)*1000)</f>
        <v>200</v>
      </c>
      <c r="J23" s="58"/>
    </row>
    <row r="24" customFormat="false" ht="15" hidden="false" customHeight="false" outlineLevel="0" collapsed="false">
      <c r="B24" s="36" t="n">
        <v>11</v>
      </c>
      <c r="C24" s="32" t="s">
        <v>159</v>
      </c>
      <c r="D24" s="55"/>
      <c r="E24" s="56" t="n">
        <f aca="false">IF(C24="","",IFERROR(INDEX(CHPurity,MATCH(C24,CHU,0)),""))</f>
        <v>0.33</v>
      </c>
      <c r="F24" s="57" t="n">
        <f aca="false">IF(C24="","",IFERROR(INDEX(CHPriceKg,MATCH(C24,CHU,0)),""))</f>
        <v>2</v>
      </c>
      <c r="G24" s="41" t="n">
        <f aca="false">IF(OR(N(D24)=0,N(E24)=0),0,$E$12*D24/E24)</f>
        <v>0</v>
      </c>
      <c r="H24" s="51" t="n">
        <f aca="false">G24*1000*N(F24)</f>
        <v>0</v>
      </c>
      <c r="I24" s="51" t="n">
        <f aca="false">IF(OR(N(D24)=0,N(E24)=0),0,D24/E24*N(F24)*1000)</f>
        <v>0</v>
      </c>
      <c r="J24" s="58"/>
    </row>
    <row r="25" customFormat="false" ht="15" hidden="false" customHeight="false" outlineLevel="0" collapsed="false">
      <c r="B25" s="36" t="n">
        <v>12</v>
      </c>
      <c r="C25" s="32" t="s">
        <v>160</v>
      </c>
      <c r="D25" s="55"/>
      <c r="E25" s="56" t="n">
        <f aca="false">IF(C25="","",IFERROR(INDEX(CHPurity,MATCH(C25,CHU,0)),""))</f>
        <v>0.98</v>
      </c>
      <c r="F25" s="57" t="n">
        <f aca="false">IF(C25="","",IFERROR(INDEX(CHPriceKg,MATCH(C25,CHU,0)),""))</f>
        <v>8</v>
      </c>
      <c r="G25" s="41" t="n">
        <f aca="false">IF(OR(N(D25)=0,N(E25)=0),0,$E$12*D25/E25)</f>
        <v>0</v>
      </c>
      <c r="H25" s="51" t="n">
        <f aca="false">G25*1000*N(F25)</f>
        <v>0</v>
      </c>
      <c r="I25" s="51" t="n">
        <f aca="false">IF(OR(N(D25)=0,N(E25)=0),0,D25/E25*N(F25)*1000)</f>
        <v>0</v>
      </c>
      <c r="J25" s="58"/>
    </row>
    <row r="26" customFormat="false" ht="15" hidden="false" customHeight="false" outlineLevel="0" collapsed="false">
      <c r="B26" s="36" t="n">
        <v>13</v>
      </c>
      <c r="C26" s="32" t="s">
        <v>161</v>
      </c>
      <c r="D26" s="55"/>
      <c r="E26" s="56" t="n">
        <f aca="false">IF(C26="","",IFERROR(INDEX(CHPurity,MATCH(C26,CHU,0)),""))</f>
        <v>1</v>
      </c>
      <c r="F26" s="57" t="n">
        <f aca="false">IF(C26="","",IFERROR(INDEX(CHPriceKg,MATCH(C26,CHU,0)),""))</f>
        <v>8</v>
      </c>
      <c r="G26" s="41" t="n">
        <f aca="false">IF(OR(N(D26)=0,N(E26)=0),0,$E$12*D26/E26)</f>
        <v>0</v>
      </c>
      <c r="H26" s="51" t="n">
        <f aca="false">G26*1000*N(F26)</f>
        <v>0</v>
      </c>
      <c r="I26" s="51" t="n">
        <f aca="false">IF(OR(N(D26)=0,N(E26)=0),0,D26/E26*N(F26)*1000)</f>
        <v>0</v>
      </c>
      <c r="J26" s="58"/>
    </row>
    <row r="27" customFormat="false" ht="15" hidden="false" customHeight="false" outlineLevel="0" collapsed="false">
      <c r="B27" s="36" t="n">
        <v>14</v>
      </c>
      <c r="C27" s="32" t="s">
        <v>162</v>
      </c>
      <c r="D27" s="55"/>
      <c r="E27" s="56" t="n">
        <f aca="false">IF(C27="","",IFERROR(INDEX(CHPurity,MATCH(C27,CHU,0)),""))</f>
        <v>1</v>
      </c>
      <c r="F27" s="57" t="n">
        <f aca="false">IF(C27="","",IFERROR(INDEX(CHPriceKg,MATCH(C27,CHU,0)),""))</f>
        <v>6</v>
      </c>
      <c r="G27" s="41" t="n">
        <f aca="false">IF(OR(N(D27)=0,N(E27)=0),0,$E$12*D27/E27)</f>
        <v>0</v>
      </c>
      <c r="H27" s="51" t="n">
        <f aca="false">G27*1000*N(F27)</f>
        <v>0</v>
      </c>
      <c r="I27" s="51" t="n">
        <f aca="false">IF(OR(N(D27)=0,N(E27)=0),0,D27/E27*N(F27)*1000)</f>
        <v>0</v>
      </c>
      <c r="J27" s="58"/>
    </row>
    <row r="28" customFormat="false" ht="15" hidden="false" customHeight="false" outlineLevel="0" collapsed="false">
      <c r="B28" s="36" t="n">
        <v>15</v>
      </c>
      <c r="C28" s="32" t="s">
        <v>163</v>
      </c>
      <c r="D28" s="55"/>
      <c r="E28" s="56" t="n">
        <f aca="false">IF(C28="","",IFERROR(INDEX(CHPurity,MATCH(C28,CHU,0)),""))</f>
        <v>1</v>
      </c>
      <c r="F28" s="57" t="n">
        <f aca="false">IF(C28="","",IFERROR(INDEX(CHPriceKg,MATCH(C28,CHU,0)),""))</f>
        <v>9</v>
      </c>
      <c r="G28" s="41" t="n">
        <f aca="false">IF(OR(N(D28)=0,N(E28)=0),0,$E$12*D28/E28)</f>
        <v>0</v>
      </c>
      <c r="H28" s="51" t="n">
        <f aca="false">G28*1000*N(F28)</f>
        <v>0</v>
      </c>
      <c r="I28" s="51" t="n">
        <f aca="false">IF(OR(N(D28)=0,N(E28)=0),0,D28/E28*N(F28)*1000)</f>
        <v>0</v>
      </c>
      <c r="J28" s="58"/>
    </row>
    <row r="29" customFormat="false" ht="15" hidden="false" customHeight="false" outlineLevel="0" collapsed="false">
      <c r="C29" s="23" t="s">
        <v>416</v>
      </c>
      <c r="G29" s="42" t="n">
        <f aca="false">SUM(G14:G28)</f>
        <v>2.10067903077114</v>
      </c>
      <c r="H29" s="52" t="n">
        <f aca="false">SUM(H14:H28)</f>
        <v>14415.6689451084</v>
      </c>
      <c r="I29" s="52" t="n">
        <f aca="false">SUM(I14:I28)</f>
        <v>374</v>
      </c>
      <c r="J29" s="33" t="s">
        <v>417</v>
      </c>
    </row>
    <row r="32" customFormat="false" ht="15" hidden="false" customHeight="false" outlineLevel="0" collapsed="false">
      <c r="B32" s="53" t="str">
        <f aca="false">"REGIME 2:  "&amp;INDEX(CC_RegU,2)</f>
        <v>REGIME 2:  CS</v>
      </c>
      <c r="C32" s="53"/>
      <c r="D32" s="53"/>
      <c r="E32" s="53"/>
      <c r="F32" s="53"/>
      <c r="G32" s="53"/>
      <c r="H32" s="53"/>
      <c r="I32" s="53"/>
      <c r="J32" s="53"/>
    </row>
    <row r="33" customFormat="false" ht="15" hidden="false" customHeight="false" outlineLevel="0" collapsed="false">
      <c r="C33" s="23" t="s">
        <v>407</v>
      </c>
      <c r="E33" s="54" t="n">
        <f aca="false">SUMIFS(CC_V_sol,CC_V_reg,INDEX(CC_RegU,2),CC_V_x_unit,"&gt;0")</f>
        <v>2.5731286910991</v>
      </c>
    </row>
    <row r="34" customFormat="false" ht="15" hidden="false" customHeight="false" outlineLevel="0" collapsed="false">
      <c r="B34" s="8" t="s">
        <v>408</v>
      </c>
      <c r="C34" s="8" t="s">
        <v>142</v>
      </c>
      <c r="D34" s="8" t="s">
        <v>409</v>
      </c>
      <c r="E34" s="8" t="s">
        <v>410</v>
      </c>
      <c r="F34" s="8" t="s">
        <v>411</v>
      </c>
      <c r="G34" s="8" t="s">
        <v>412</v>
      </c>
      <c r="H34" s="8" t="s">
        <v>413</v>
      </c>
      <c r="I34" s="8" t="s">
        <v>414</v>
      </c>
      <c r="J34" s="8" t="s">
        <v>415</v>
      </c>
    </row>
    <row r="35" customFormat="false" ht="15" hidden="false" customHeight="false" outlineLevel="0" collapsed="false">
      <c r="B35" s="36" t="n">
        <v>1</v>
      </c>
      <c r="C35" s="32" t="s">
        <v>148</v>
      </c>
      <c r="D35" s="55" t="n">
        <v>0.005</v>
      </c>
      <c r="E35" s="56" t="n">
        <f aca="false">IF(C35="","",IFERROR(INDEX(CHPurity,MATCH(C35,CHU,0)),""))</f>
        <v>0.49</v>
      </c>
      <c r="F35" s="57" t="n">
        <f aca="false">IF(C35="","",IFERROR(INDEX(CHPriceKg,MATCH(C35,CHU,0)),""))</f>
        <v>3</v>
      </c>
      <c r="G35" s="41" t="n">
        <f aca="false">IF(OR(N(D35)=0,N(E35)=0),0,$E$33*D35/E35)</f>
        <v>0.0262564152152969</v>
      </c>
      <c r="H35" s="51" t="n">
        <f aca="false">G35*1000*N(F35)</f>
        <v>78.7692456458908</v>
      </c>
      <c r="I35" s="51" t="n">
        <f aca="false">IF(OR(N(D35)=0,N(E35)=0),0,D35/E35*N(F35)*1000)</f>
        <v>30.6122448979592</v>
      </c>
      <c r="J35" s="58"/>
    </row>
    <row r="36" customFormat="false" ht="15" hidden="false" customHeight="false" outlineLevel="0" collapsed="false">
      <c r="B36" s="36" t="n">
        <v>2</v>
      </c>
      <c r="C36" s="32" t="s">
        <v>150</v>
      </c>
      <c r="D36" s="55" t="n">
        <v>0.04</v>
      </c>
      <c r="E36" s="56" t="n">
        <f aca="false">IF(C36="","",IFERROR(INDEX(CHPurity,MATCH(C36,CHU,0)),""))</f>
        <v>1</v>
      </c>
      <c r="F36" s="57" t="n">
        <f aca="false">IF(C36="","",IFERROR(INDEX(CHPriceKg,MATCH(C36,CHU,0)),""))</f>
        <v>4</v>
      </c>
      <c r="G36" s="41" t="n">
        <f aca="false">IF(OR(N(D36)=0,N(E36)=0),0,$E$33*D36/E36)</f>
        <v>0.102925147643964</v>
      </c>
      <c r="H36" s="51" t="n">
        <f aca="false">G36*1000*N(F36)</f>
        <v>411.700590575856</v>
      </c>
      <c r="I36" s="51" t="n">
        <f aca="false">IF(OR(N(D36)=0,N(E36)=0),0,D36/E36*N(F36)*1000)</f>
        <v>160</v>
      </c>
      <c r="J36" s="58"/>
    </row>
    <row r="37" customFormat="false" ht="15" hidden="false" customHeight="false" outlineLevel="0" collapsed="false">
      <c r="B37" s="36" t="n">
        <v>3</v>
      </c>
      <c r="C37" s="32" t="s">
        <v>151</v>
      </c>
      <c r="D37" s="55"/>
      <c r="E37" s="56" t="n">
        <f aca="false">IF(C37="","",IFERROR(INDEX(CHPurity,MATCH(C37,CHU,0)),""))</f>
        <v>1</v>
      </c>
      <c r="F37" s="57" t="n">
        <f aca="false">IF(C37="","",IFERROR(INDEX(CHPriceKg,MATCH(C37,CHU,0)),""))</f>
        <v>16</v>
      </c>
      <c r="G37" s="41" t="n">
        <f aca="false">IF(OR(N(D37)=0,N(E37)=0),0,$E$33*D37/E37)</f>
        <v>0</v>
      </c>
      <c r="H37" s="51" t="n">
        <f aca="false">G37*1000*N(F37)</f>
        <v>0</v>
      </c>
      <c r="I37" s="51" t="n">
        <f aca="false">IF(OR(N(D37)=0,N(E37)=0),0,D37/E37*N(F37)*1000)</f>
        <v>0</v>
      </c>
      <c r="J37" s="58"/>
    </row>
    <row r="38" customFormat="false" ht="15" hidden="false" customHeight="false" outlineLevel="0" collapsed="false">
      <c r="B38" s="36" t="n">
        <v>4</v>
      </c>
      <c r="C38" s="32" t="s">
        <v>152</v>
      </c>
      <c r="D38" s="55"/>
      <c r="E38" s="56" t="n">
        <f aca="false">IF(C38="","",IFERROR(INDEX(CHPurity,MATCH(C38,CHU,0)),""))</f>
        <v>1</v>
      </c>
      <c r="F38" s="57" t="n">
        <f aca="false">IF(C38="","",IFERROR(INDEX(CHPriceKg,MATCH(C38,CHU,0)),""))</f>
        <v>9</v>
      </c>
      <c r="G38" s="41" t="n">
        <f aca="false">IF(OR(N(D38)=0,N(E38)=0),0,$E$33*D38/E38)</f>
        <v>0</v>
      </c>
      <c r="H38" s="51" t="n">
        <f aca="false">G38*1000*N(F38)</f>
        <v>0</v>
      </c>
      <c r="I38" s="51" t="n">
        <f aca="false">IF(OR(N(D38)=0,N(E38)=0),0,D38/E38*N(F38)*1000)</f>
        <v>0</v>
      </c>
      <c r="J38" s="58"/>
    </row>
    <row r="39" customFormat="false" ht="15" hidden="false" customHeight="false" outlineLevel="0" collapsed="false">
      <c r="B39" s="36" t="n">
        <v>5</v>
      </c>
      <c r="C39" s="32" t="s">
        <v>153</v>
      </c>
      <c r="D39" s="55"/>
      <c r="E39" s="56" t="n">
        <f aca="false">IF(C39="","",IFERROR(INDEX(CHPurity,MATCH(C39,CHU,0)),""))</f>
        <v>1</v>
      </c>
      <c r="F39" s="57" t="n">
        <f aca="false">IF(C39="","",IFERROR(INDEX(CHPriceKg,MATCH(C39,CHU,0)),""))</f>
        <v>6</v>
      </c>
      <c r="G39" s="41" t="n">
        <f aca="false">IF(OR(N(D39)=0,N(E39)=0),0,$E$33*D39/E39)</f>
        <v>0</v>
      </c>
      <c r="H39" s="51" t="n">
        <f aca="false">G39*1000*N(F39)</f>
        <v>0</v>
      </c>
      <c r="I39" s="51" t="n">
        <f aca="false">IF(OR(N(D39)=0,N(E39)=0),0,D39/E39*N(F39)*1000)</f>
        <v>0</v>
      </c>
      <c r="J39" s="58"/>
    </row>
    <row r="40" customFormat="false" ht="15" hidden="false" customHeight="false" outlineLevel="0" collapsed="false">
      <c r="B40" s="36" t="n">
        <v>6</v>
      </c>
      <c r="C40" s="32" t="s">
        <v>154</v>
      </c>
      <c r="D40" s="55" t="n">
        <v>0.0025</v>
      </c>
      <c r="E40" s="56" t="n">
        <f aca="false">IF(C40="","",IFERROR(INDEX(CHPurity,MATCH(C40,CHU,0)),""))</f>
        <v>1</v>
      </c>
      <c r="F40" s="57" t="n">
        <f aca="false">IF(C40="","",IFERROR(INDEX(CHPriceKg,MATCH(C40,CHU,0)),""))</f>
        <v>12</v>
      </c>
      <c r="G40" s="41" t="n">
        <f aca="false">IF(OR(N(D40)=0,N(E40)=0),0,$E$33*D40/E40)</f>
        <v>0.00643282172774775</v>
      </c>
      <c r="H40" s="51" t="n">
        <f aca="false">G40*1000*N(F40)</f>
        <v>77.193860732973</v>
      </c>
      <c r="I40" s="51" t="n">
        <f aca="false">IF(OR(N(D40)=0,N(E40)=0),0,D40/E40*N(F40)*1000)</f>
        <v>30</v>
      </c>
      <c r="J40" s="58"/>
    </row>
    <row r="41" customFormat="false" ht="15" hidden="false" customHeight="false" outlineLevel="0" collapsed="false">
      <c r="B41" s="36" t="n">
        <v>7</v>
      </c>
      <c r="C41" s="32" t="s">
        <v>155</v>
      </c>
      <c r="D41" s="55" t="n">
        <v>0.002</v>
      </c>
      <c r="E41" s="56" t="n">
        <f aca="false">IF(C41="","",IFERROR(INDEX(CHPurity,MATCH(C41,CHU,0)),""))</f>
        <v>1</v>
      </c>
      <c r="F41" s="57" t="n">
        <f aca="false">IF(C41="","",IFERROR(INDEX(CHPriceKg,MATCH(C41,CHU,0)),""))</f>
        <v>12</v>
      </c>
      <c r="G41" s="41" t="n">
        <f aca="false">IF(OR(N(D41)=0,N(E41)=0),0,$E$33*D41/E41)</f>
        <v>0.0051462573821982</v>
      </c>
      <c r="H41" s="51" t="n">
        <f aca="false">G41*1000*N(F41)</f>
        <v>61.7550885863784</v>
      </c>
      <c r="I41" s="51" t="n">
        <f aca="false">IF(OR(N(D41)=0,N(E41)=0),0,D41/E41*N(F41)*1000)</f>
        <v>24</v>
      </c>
      <c r="J41" s="58"/>
    </row>
    <row r="42" customFormat="false" ht="15" hidden="false" customHeight="false" outlineLevel="0" collapsed="false">
      <c r="B42" s="36" t="n">
        <v>8</v>
      </c>
      <c r="C42" s="32" t="s">
        <v>156</v>
      </c>
      <c r="D42" s="55"/>
      <c r="E42" s="56" t="n">
        <f aca="false">IF(C42="","",IFERROR(INDEX(CHPurity,MATCH(C42,CHU,0)),""))</f>
        <v>0.35</v>
      </c>
      <c r="F42" s="57" t="n">
        <f aca="false">IF(C42="","",IFERROR(INDEX(CHPriceKg,MATCH(C42,CHU,0)),""))</f>
        <v>4</v>
      </c>
      <c r="G42" s="41" t="n">
        <f aca="false">IF(OR(N(D42)=0,N(E42)=0),0,$E$33*D42/E42)</f>
        <v>0</v>
      </c>
      <c r="H42" s="51" t="n">
        <f aca="false">G42*1000*N(F42)</f>
        <v>0</v>
      </c>
      <c r="I42" s="51" t="n">
        <f aca="false">IF(OR(N(D42)=0,N(E42)=0),0,D42/E42*N(F42)*1000)</f>
        <v>0</v>
      </c>
      <c r="J42" s="58"/>
    </row>
    <row r="43" customFormat="false" ht="15" hidden="false" customHeight="false" outlineLevel="0" collapsed="false">
      <c r="B43" s="36" t="n">
        <v>9</v>
      </c>
      <c r="C43" s="32" t="s">
        <v>157</v>
      </c>
      <c r="D43" s="55"/>
      <c r="E43" s="56" t="n">
        <f aca="false">IF(C43="","",IFERROR(INDEX(CHPurity,MATCH(C43,CHU,0)),""))</f>
        <v>0.25</v>
      </c>
      <c r="F43" s="57" t="n">
        <f aca="false">IF(C43="","",IFERROR(INDEX(CHPriceKg,MATCH(C43,CHU,0)),""))</f>
        <v>6</v>
      </c>
      <c r="G43" s="41" t="n">
        <f aca="false">IF(OR(N(D43)=0,N(E43)=0),0,$E$33*D43/E43)</f>
        <v>0</v>
      </c>
      <c r="H43" s="51" t="n">
        <f aca="false">G43*1000*N(F43)</f>
        <v>0</v>
      </c>
      <c r="I43" s="51" t="n">
        <f aca="false">IF(OR(N(D43)=0,N(E43)=0),0,D43/E43*N(F43)*1000)</f>
        <v>0</v>
      </c>
      <c r="J43" s="58"/>
    </row>
    <row r="44" customFormat="false" ht="15" hidden="false" customHeight="false" outlineLevel="0" collapsed="false">
      <c r="B44" s="36" t="n">
        <v>10</v>
      </c>
      <c r="C44" s="32" t="s">
        <v>158</v>
      </c>
      <c r="D44" s="55" t="n">
        <v>0.02</v>
      </c>
      <c r="E44" s="56" t="n">
        <f aca="false">IF(C44="","",IFERROR(INDEX(CHPurity,MATCH(C44,CHU,0)),""))</f>
        <v>1</v>
      </c>
      <c r="F44" s="57" t="n">
        <f aca="false">IF(C44="","",IFERROR(INDEX(CHPriceKg,MATCH(C44,CHU,0)),""))</f>
        <v>10</v>
      </c>
      <c r="G44" s="41" t="n">
        <f aca="false">IF(OR(N(D44)=0,N(E44)=0),0,$E$33*D44/E44)</f>
        <v>0.051462573821982</v>
      </c>
      <c r="H44" s="51" t="n">
        <f aca="false">G44*1000*N(F44)</f>
        <v>514.62573821982</v>
      </c>
      <c r="I44" s="51" t="n">
        <f aca="false">IF(OR(N(D44)=0,N(E44)=0),0,D44/E44*N(F44)*1000)</f>
        <v>200</v>
      </c>
      <c r="J44" s="58"/>
    </row>
    <row r="45" customFormat="false" ht="15" hidden="false" customHeight="false" outlineLevel="0" collapsed="false">
      <c r="B45" s="36" t="n">
        <v>11</v>
      </c>
      <c r="C45" s="32" t="s">
        <v>159</v>
      </c>
      <c r="D45" s="55"/>
      <c r="E45" s="56" t="n">
        <f aca="false">IF(C45="","",IFERROR(INDEX(CHPurity,MATCH(C45,CHU,0)),""))</f>
        <v>0.33</v>
      </c>
      <c r="F45" s="57" t="n">
        <f aca="false">IF(C45="","",IFERROR(INDEX(CHPriceKg,MATCH(C45,CHU,0)),""))</f>
        <v>2</v>
      </c>
      <c r="G45" s="41" t="n">
        <f aca="false">IF(OR(N(D45)=0,N(E45)=0),0,$E$33*D45/E45)</f>
        <v>0</v>
      </c>
      <c r="H45" s="51" t="n">
        <f aca="false">G45*1000*N(F45)</f>
        <v>0</v>
      </c>
      <c r="I45" s="51" t="n">
        <f aca="false">IF(OR(N(D45)=0,N(E45)=0),0,D45/E45*N(F45)*1000)</f>
        <v>0</v>
      </c>
      <c r="J45" s="58"/>
    </row>
    <row r="46" customFormat="false" ht="15" hidden="false" customHeight="false" outlineLevel="0" collapsed="false">
      <c r="B46" s="36" t="n">
        <v>12</v>
      </c>
      <c r="C46" s="32" t="s">
        <v>160</v>
      </c>
      <c r="D46" s="55"/>
      <c r="E46" s="56" t="n">
        <f aca="false">IF(C46="","",IFERROR(INDEX(CHPurity,MATCH(C46,CHU,0)),""))</f>
        <v>0.98</v>
      </c>
      <c r="F46" s="57" t="n">
        <f aca="false">IF(C46="","",IFERROR(INDEX(CHPriceKg,MATCH(C46,CHU,0)),""))</f>
        <v>8</v>
      </c>
      <c r="G46" s="41" t="n">
        <f aca="false">IF(OR(N(D46)=0,N(E46)=0),0,$E$33*D46/E46)</f>
        <v>0</v>
      </c>
      <c r="H46" s="51" t="n">
        <f aca="false">G46*1000*N(F46)</f>
        <v>0</v>
      </c>
      <c r="I46" s="51" t="n">
        <f aca="false">IF(OR(N(D46)=0,N(E46)=0),0,D46/E46*N(F46)*1000)</f>
        <v>0</v>
      </c>
      <c r="J46" s="58"/>
    </row>
    <row r="47" customFormat="false" ht="15" hidden="false" customHeight="false" outlineLevel="0" collapsed="false">
      <c r="B47" s="36" t="n">
        <v>13</v>
      </c>
      <c r="C47" s="32" t="s">
        <v>161</v>
      </c>
      <c r="D47" s="55" t="n">
        <v>0.01</v>
      </c>
      <c r="E47" s="56" t="n">
        <f aca="false">IF(C47="","",IFERROR(INDEX(CHPurity,MATCH(C47,CHU,0)),""))</f>
        <v>1</v>
      </c>
      <c r="F47" s="57" t="n">
        <f aca="false">IF(C47="","",IFERROR(INDEX(CHPriceKg,MATCH(C47,CHU,0)),""))</f>
        <v>8</v>
      </c>
      <c r="G47" s="41" t="n">
        <f aca="false">IF(OR(N(D47)=0,N(E47)=0),0,$E$33*D47/E47)</f>
        <v>0.025731286910991</v>
      </c>
      <c r="H47" s="51" t="n">
        <f aca="false">G47*1000*N(F47)</f>
        <v>205.850295287928</v>
      </c>
      <c r="I47" s="51" t="n">
        <f aca="false">IF(OR(N(D47)=0,N(E47)=0),0,D47/E47*N(F47)*1000)</f>
        <v>80</v>
      </c>
      <c r="J47" s="58"/>
    </row>
    <row r="48" customFormat="false" ht="15" hidden="false" customHeight="false" outlineLevel="0" collapsed="false">
      <c r="B48" s="36" t="n">
        <v>14</v>
      </c>
      <c r="C48" s="32" t="s">
        <v>162</v>
      </c>
      <c r="D48" s="55"/>
      <c r="E48" s="56" t="n">
        <f aca="false">IF(C48="","",IFERROR(INDEX(CHPurity,MATCH(C48,CHU,0)),""))</f>
        <v>1</v>
      </c>
      <c r="F48" s="57" t="n">
        <f aca="false">IF(C48="","",IFERROR(INDEX(CHPriceKg,MATCH(C48,CHU,0)),""))</f>
        <v>6</v>
      </c>
      <c r="G48" s="41" t="n">
        <f aca="false">IF(OR(N(D48)=0,N(E48)=0),0,$E$33*D48/E48)</f>
        <v>0</v>
      </c>
      <c r="H48" s="51" t="n">
        <f aca="false">G48*1000*N(F48)</f>
        <v>0</v>
      </c>
      <c r="I48" s="51" t="n">
        <f aca="false">IF(OR(N(D48)=0,N(E48)=0),0,D48/E48*N(F48)*1000)</f>
        <v>0</v>
      </c>
      <c r="J48" s="58"/>
    </row>
    <row r="49" customFormat="false" ht="15" hidden="false" customHeight="false" outlineLevel="0" collapsed="false">
      <c r="B49" s="36" t="n">
        <v>15</v>
      </c>
      <c r="C49" s="32" t="s">
        <v>163</v>
      </c>
      <c r="D49" s="55"/>
      <c r="E49" s="56" t="n">
        <f aca="false">IF(C49="","",IFERROR(INDEX(CHPurity,MATCH(C49,CHU,0)),""))</f>
        <v>1</v>
      </c>
      <c r="F49" s="57" t="n">
        <f aca="false">IF(C49="","",IFERROR(INDEX(CHPriceKg,MATCH(C49,CHU,0)),""))</f>
        <v>9</v>
      </c>
      <c r="G49" s="41" t="n">
        <f aca="false">IF(OR(N(D49)=0,N(E49)=0),0,$E$33*D49/E49)</f>
        <v>0</v>
      </c>
      <c r="H49" s="51" t="n">
        <f aca="false">G49*1000*N(F49)</f>
        <v>0</v>
      </c>
      <c r="I49" s="51" t="n">
        <f aca="false">IF(OR(N(D49)=0,N(E49)=0),0,D49/E49*N(F49)*1000)</f>
        <v>0</v>
      </c>
      <c r="J49" s="58"/>
    </row>
    <row r="50" customFormat="false" ht="15" hidden="false" customHeight="false" outlineLevel="0" collapsed="false">
      <c r="C50" s="23" t="s">
        <v>416</v>
      </c>
      <c r="G50" s="42" t="n">
        <f aca="false">SUM(G35:G49)</f>
        <v>0.21795450270218</v>
      </c>
      <c r="H50" s="52" t="n">
        <f aca="false">SUM(H35:H49)</f>
        <v>1349.89481904885</v>
      </c>
      <c r="I50" s="52" t="n">
        <f aca="false">SUM(I35:I49)</f>
        <v>524.612244897959</v>
      </c>
      <c r="J50" s="33" t="s">
        <v>417</v>
      </c>
    </row>
    <row r="53" customFormat="false" ht="15" hidden="false" customHeight="false" outlineLevel="0" collapsed="false">
      <c r="B53" s="53" t="str">
        <f aca="false">"REGIME 3:  "&amp;INDEX(CC_RegU,3)</f>
        <v>REGIME 3:  Regime 3</v>
      </c>
      <c r="C53" s="53"/>
      <c r="D53" s="53"/>
      <c r="E53" s="53"/>
      <c r="F53" s="53"/>
      <c r="G53" s="53"/>
      <c r="H53" s="53"/>
      <c r="I53" s="53"/>
      <c r="J53" s="53"/>
    </row>
    <row r="54" customFormat="false" ht="15" hidden="false" customHeight="false" outlineLevel="0" collapsed="false">
      <c r="C54" s="23" t="s">
        <v>407</v>
      </c>
      <c r="E54" s="54" t="n">
        <f aca="false">SUMIFS(CC_V_sol,CC_V_reg,INDEX(CC_RegU,3),CC_V_x_unit,"&gt;0")</f>
        <v>0</v>
      </c>
    </row>
    <row r="55" customFormat="false" ht="15" hidden="false" customHeight="false" outlineLevel="0" collapsed="false">
      <c r="B55" s="8" t="s">
        <v>408</v>
      </c>
      <c r="C55" s="8" t="s">
        <v>142</v>
      </c>
      <c r="D55" s="8" t="s">
        <v>409</v>
      </c>
      <c r="E55" s="8" t="s">
        <v>410</v>
      </c>
      <c r="F55" s="8" t="s">
        <v>411</v>
      </c>
      <c r="G55" s="8" t="s">
        <v>412</v>
      </c>
      <c r="H55" s="8" t="s">
        <v>413</v>
      </c>
      <c r="I55" s="8" t="s">
        <v>414</v>
      </c>
      <c r="J55" s="8" t="s">
        <v>415</v>
      </c>
    </row>
    <row r="56" customFormat="false" ht="15" hidden="false" customHeight="false" outlineLevel="0" collapsed="false">
      <c r="B56" s="36" t="n">
        <v>1</v>
      </c>
      <c r="C56" s="32" t="s">
        <v>148</v>
      </c>
      <c r="D56" s="55"/>
      <c r="E56" s="56" t="n">
        <f aca="false">IF(C56="","",IFERROR(INDEX(CHPurity,MATCH(C56,CHU,0)),""))</f>
        <v>0.49</v>
      </c>
      <c r="F56" s="57" t="n">
        <f aca="false">IF(C56="","",IFERROR(INDEX(CHPriceKg,MATCH(C56,CHU,0)),""))</f>
        <v>3</v>
      </c>
      <c r="G56" s="41" t="n">
        <f aca="false">IF(OR(N(D56)=0,N(E56)=0),0,$E$54*D56/E56)</f>
        <v>0</v>
      </c>
      <c r="H56" s="51" t="n">
        <f aca="false">G56*1000*N(F56)</f>
        <v>0</v>
      </c>
      <c r="I56" s="51" t="n">
        <f aca="false">IF(OR(N(D56)=0,N(E56)=0),0,D56/E56*N(F56)*1000)</f>
        <v>0</v>
      </c>
      <c r="J56" s="58"/>
    </row>
    <row r="57" customFormat="false" ht="15" hidden="false" customHeight="false" outlineLevel="0" collapsed="false">
      <c r="B57" s="36" t="n">
        <v>2</v>
      </c>
      <c r="C57" s="32" t="s">
        <v>150</v>
      </c>
      <c r="D57" s="55"/>
      <c r="E57" s="56" t="n">
        <f aca="false">IF(C57="","",IFERROR(INDEX(CHPurity,MATCH(C57,CHU,0)),""))</f>
        <v>1</v>
      </c>
      <c r="F57" s="57" t="n">
        <f aca="false">IF(C57="","",IFERROR(INDEX(CHPriceKg,MATCH(C57,CHU,0)),""))</f>
        <v>4</v>
      </c>
      <c r="G57" s="41" t="n">
        <f aca="false">IF(OR(N(D57)=0,N(E57)=0),0,$E$54*D57/E57)</f>
        <v>0</v>
      </c>
      <c r="H57" s="51" t="n">
        <f aca="false">G57*1000*N(F57)</f>
        <v>0</v>
      </c>
      <c r="I57" s="51" t="n">
        <f aca="false">IF(OR(N(D57)=0,N(E57)=0),0,D57/E57*N(F57)*1000)</f>
        <v>0</v>
      </c>
      <c r="J57" s="58"/>
    </row>
    <row r="58" customFormat="false" ht="15" hidden="false" customHeight="false" outlineLevel="0" collapsed="false">
      <c r="B58" s="36" t="n">
        <v>3</v>
      </c>
      <c r="C58" s="32" t="s">
        <v>151</v>
      </c>
      <c r="D58" s="55"/>
      <c r="E58" s="56" t="n">
        <f aca="false">IF(C58="","",IFERROR(INDEX(CHPurity,MATCH(C58,CHU,0)),""))</f>
        <v>1</v>
      </c>
      <c r="F58" s="57" t="n">
        <f aca="false">IF(C58="","",IFERROR(INDEX(CHPriceKg,MATCH(C58,CHU,0)),""))</f>
        <v>16</v>
      </c>
      <c r="G58" s="41" t="n">
        <f aca="false">IF(OR(N(D58)=0,N(E58)=0),0,$E$54*D58/E58)</f>
        <v>0</v>
      </c>
      <c r="H58" s="51" t="n">
        <f aca="false">G58*1000*N(F58)</f>
        <v>0</v>
      </c>
      <c r="I58" s="51" t="n">
        <f aca="false">IF(OR(N(D58)=0,N(E58)=0),0,D58/E58*N(F58)*1000)</f>
        <v>0</v>
      </c>
      <c r="J58" s="58"/>
    </row>
    <row r="59" customFormat="false" ht="15" hidden="false" customHeight="false" outlineLevel="0" collapsed="false">
      <c r="B59" s="36" t="n">
        <v>4</v>
      </c>
      <c r="C59" s="32" t="s">
        <v>152</v>
      </c>
      <c r="D59" s="55"/>
      <c r="E59" s="56" t="n">
        <f aca="false">IF(C59="","",IFERROR(INDEX(CHPurity,MATCH(C59,CHU,0)),""))</f>
        <v>1</v>
      </c>
      <c r="F59" s="57" t="n">
        <f aca="false">IF(C59="","",IFERROR(INDEX(CHPriceKg,MATCH(C59,CHU,0)),""))</f>
        <v>9</v>
      </c>
      <c r="G59" s="41" t="n">
        <f aca="false">IF(OR(N(D59)=0,N(E59)=0),0,$E$54*D59/E59)</f>
        <v>0</v>
      </c>
      <c r="H59" s="51" t="n">
        <f aca="false">G59*1000*N(F59)</f>
        <v>0</v>
      </c>
      <c r="I59" s="51" t="n">
        <f aca="false">IF(OR(N(D59)=0,N(E59)=0),0,D59/E59*N(F59)*1000)</f>
        <v>0</v>
      </c>
      <c r="J59" s="58"/>
    </row>
    <row r="60" customFormat="false" ht="15" hidden="false" customHeight="false" outlineLevel="0" collapsed="false">
      <c r="B60" s="36" t="n">
        <v>5</v>
      </c>
      <c r="C60" s="32" t="s">
        <v>153</v>
      </c>
      <c r="D60" s="55"/>
      <c r="E60" s="56" t="n">
        <f aca="false">IF(C60="","",IFERROR(INDEX(CHPurity,MATCH(C60,CHU,0)),""))</f>
        <v>1</v>
      </c>
      <c r="F60" s="57" t="n">
        <f aca="false">IF(C60="","",IFERROR(INDEX(CHPriceKg,MATCH(C60,CHU,0)),""))</f>
        <v>6</v>
      </c>
      <c r="G60" s="41" t="n">
        <f aca="false">IF(OR(N(D60)=0,N(E60)=0),0,$E$54*D60/E60)</f>
        <v>0</v>
      </c>
      <c r="H60" s="51" t="n">
        <f aca="false">G60*1000*N(F60)</f>
        <v>0</v>
      </c>
      <c r="I60" s="51" t="n">
        <f aca="false">IF(OR(N(D60)=0,N(E60)=0),0,D60/E60*N(F60)*1000)</f>
        <v>0</v>
      </c>
      <c r="J60" s="58"/>
    </row>
    <row r="61" customFormat="false" ht="15" hidden="false" customHeight="false" outlineLevel="0" collapsed="false">
      <c r="B61" s="36" t="n">
        <v>6</v>
      </c>
      <c r="C61" s="32" t="s">
        <v>154</v>
      </c>
      <c r="D61" s="55"/>
      <c r="E61" s="56" t="n">
        <f aca="false">IF(C61="","",IFERROR(INDEX(CHPurity,MATCH(C61,CHU,0)),""))</f>
        <v>1</v>
      </c>
      <c r="F61" s="57" t="n">
        <f aca="false">IF(C61="","",IFERROR(INDEX(CHPriceKg,MATCH(C61,CHU,0)),""))</f>
        <v>12</v>
      </c>
      <c r="G61" s="41" t="n">
        <f aca="false">IF(OR(N(D61)=0,N(E61)=0),0,$E$54*D61/E61)</f>
        <v>0</v>
      </c>
      <c r="H61" s="51" t="n">
        <f aca="false">G61*1000*N(F61)</f>
        <v>0</v>
      </c>
      <c r="I61" s="51" t="n">
        <f aca="false">IF(OR(N(D61)=0,N(E61)=0),0,D61/E61*N(F61)*1000)</f>
        <v>0</v>
      </c>
      <c r="J61" s="58"/>
    </row>
    <row r="62" customFormat="false" ht="15" hidden="false" customHeight="false" outlineLevel="0" collapsed="false">
      <c r="B62" s="36" t="n">
        <v>7</v>
      </c>
      <c r="C62" s="32" t="s">
        <v>155</v>
      </c>
      <c r="D62" s="55"/>
      <c r="E62" s="56" t="n">
        <f aca="false">IF(C62="","",IFERROR(INDEX(CHPurity,MATCH(C62,CHU,0)),""))</f>
        <v>1</v>
      </c>
      <c r="F62" s="57" t="n">
        <f aca="false">IF(C62="","",IFERROR(INDEX(CHPriceKg,MATCH(C62,CHU,0)),""))</f>
        <v>12</v>
      </c>
      <c r="G62" s="41" t="n">
        <f aca="false">IF(OR(N(D62)=0,N(E62)=0),0,$E$54*D62/E62)</f>
        <v>0</v>
      </c>
      <c r="H62" s="51" t="n">
        <f aca="false">G62*1000*N(F62)</f>
        <v>0</v>
      </c>
      <c r="I62" s="51" t="n">
        <f aca="false">IF(OR(N(D62)=0,N(E62)=0),0,D62/E62*N(F62)*1000)</f>
        <v>0</v>
      </c>
      <c r="J62" s="58"/>
    </row>
    <row r="63" customFormat="false" ht="15" hidden="false" customHeight="false" outlineLevel="0" collapsed="false">
      <c r="B63" s="36" t="n">
        <v>8</v>
      </c>
      <c r="C63" s="32" t="s">
        <v>156</v>
      </c>
      <c r="D63" s="55"/>
      <c r="E63" s="56" t="n">
        <f aca="false">IF(C63="","",IFERROR(INDEX(CHPurity,MATCH(C63,CHU,0)),""))</f>
        <v>0.35</v>
      </c>
      <c r="F63" s="57" t="n">
        <f aca="false">IF(C63="","",IFERROR(INDEX(CHPriceKg,MATCH(C63,CHU,0)),""))</f>
        <v>4</v>
      </c>
      <c r="G63" s="41" t="n">
        <f aca="false">IF(OR(N(D63)=0,N(E63)=0),0,$E$54*D63/E63)</f>
        <v>0</v>
      </c>
      <c r="H63" s="51" t="n">
        <f aca="false">G63*1000*N(F63)</f>
        <v>0</v>
      </c>
      <c r="I63" s="51" t="n">
        <f aca="false">IF(OR(N(D63)=0,N(E63)=0),0,D63/E63*N(F63)*1000)</f>
        <v>0</v>
      </c>
      <c r="J63" s="58"/>
    </row>
    <row r="64" customFormat="false" ht="15" hidden="false" customHeight="false" outlineLevel="0" collapsed="false">
      <c r="B64" s="36" t="n">
        <v>9</v>
      </c>
      <c r="C64" s="32" t="s">
        <v>157</v>
      </c>
      <c r="D64" s="55"/>
      <c r="E64" s="56" t="n">
        <f aca="false">IF(C64="","",IFERROR(INDEX(CHPurity,MATCH(C64,CHU,0)),""))</f>
        <v>0.25</v>
      </c>
      <c r="F64" s="57" t="n">
        <f aca="false">IF(C64="","",IFERROR(INDEX(CHPriceKg,MATCH(C64,CHU,0)),""))</f>
        <v>6</v>
      </c>
      <c r="G64" s="41" t="n">
        <f aca="false">IF(OR(N(D64)=0,N(E64)=0),0,$E$54*D64/E64)</f>
        <v>0</v>
      </c>
      <c r="H64" s="51" t="n">
        <f aca="false">G64*1000*N(F64)</f>
        <v>0</v>
      </c>
      <c r="I64" s="51" t="n">
        <f aca="false">IF(OR(N(D64)=0,N(E64)=0),0,D64/E64*N(F64)*1000)</f>
        <v>0</v>
      </c>
      <c r="J64" s="58"/>
    </row>
    <row r="65" customFormat="false" ht="15" hidden="false" customHeight="false" outlineLevel="0" collapsed="false">
      <c r="B65" s="36" t="n">
        <v>10</v>
      </c>
      <c r="C65" s="32" t="s">
        <v>158</v>
      </c>
      <c r="D65" s="55"/>
      <c r="E65" s="56" t="n">
        <f aca="false">IF(C65="","",IFERROR(INDEX(CHPurity,MATCH(C65,CHU,0)),""))</f>
        <v>1</v>
      </c>
      <c r="F65" s="57" t="n">
        <f aca="false">IF(C65="","",IFERROR(INDEX(CHPriceKg,MATCH(C65,CHU,0)),""))</f>
        <v>10</v>
      </c>
      <c r="G65" s="41" t="n">
        <f aca="false">IF(OR(N(D65)=0,N(E65)=0),0,$E$54*D65/E65)</f>
        <v>0</v>
      </c>
      <c r="H65" s="51" t="n">
        <f aca="false">G65*1000*N(F65)</f>
        <v>0</v>
      </c>
      <c r="I65" s="51" t="n">
        <f aca="false">IF(OR(N(D65)=0,N(E65)=0),0,D65/E65*N(F65)*1000)</f>
        <v>0</v>
      </c>
      <c r="J65" s="58"/>
    </row>
    <row r="66" customFormat="false" ht="15" hidden="false" customHeight="false" outlineLevel="0" collapsed="false">
      <c r="B66" s="36" t="n">
        <v>11</v>
      </c>
      <c r="C66" s="32" t="s">
        <v>159</v>
      </c>
      <c r="D66" s="55"/>
      <c r="E66" s="56" t="n">
        <f aca="false">IF(C66="","",IFERROR(INDEX(CHPurity,MATCH(C66,CHU,0)),""))</f>
        <v>0.33</v>
      </c>
      <c r="F66" s="57" t="n">
        <f aca="false">IF(C66="","",IFERROR(INDEX(CHPriceKg,MATCH(C66,CHU,0)),""))</f>
        <v>2</v>
      </c>
      <c r="G66" s="41" t="n">
        <f aca="false">IF(OR(N(D66)=0,N(E66)=0),0,$E$54*D66/E66)</f>
        <v>0</v>
      </c>
      <c r="H66" s="51" t="n">
        <f aca="false">G66*1000*N(F66)</f>
        <v>0</v>
      </c>
      <c r="I66" s="51" t="n">
        <f aca="false">IF(OR(N(D66)=0,N(E66)=0),0,D66/E66*N(F66)*1000)</f>
        <v>0</v>
      </c>
      <c r="J66" s="58"/>
    </row>
    <row r="67" customFormat="false" ht="15" hidden="false" customHeight="false" outlineLevel="0" collapsed="false">
      <c r="B67" s="36" t="n">
        <v>12</v>
      </c>
      <c r="C67" s="32" t="s">
        <v>160</v>
      </c>
      <c r="D67" s="55"/>
      <c r="E67" s="56" t="n">
        <f aca="false">IF(C67="","",IFERROR(INDEX(CHPurity,MATCH(C67,CHU,0)),""))</f>
        <v>0.98</v>
      </c>
      <c r="F67" s="57" t="n">
        <f aca="false">IF(C67="","",IFERROR(INDEX(CHPriceKg,MATCH(C67,CHU,0)),""))</f>
        <v>8</v>
      </c>
      <c r="G67" s="41" t="n">
        <f aca="false">IF(OR(N(D67)=0,N(E67)=0),0,$E$54*D67/E67)</f>
        <v>0</v>
      </c>
      <c r="H67" s="51" t="n">
        <f aca="false">G67*1000*N(F67)</f>
        <v>0</v>
      </c>
      <c r="I67" s="51" t="n">
        <f aca="false">IF(OR(N(D67)=0,N(E67)=0),0,D67/E67*N(F67)*1000)</f>
        <v>0</v>
      </c>
      <c r="J67" s="58"/>
    </row>
    <row r="68" customFormat="false" ht="15" hidden="false" customHeight="false" outlineLevel="0" collapsed="false">
      <c r="B68" s="36" t="n">
        <v>13</v>
      </c>
      <c r="C68" s="32" t="s">
        <v>161</v>
      </c>
      <c r="D68" s="55"/>
      <c r="E68" s="56" t="n">
        <f aca="false">IF(C68="","",IFERROR(INDEX(CHPurity,MATCH(C68,CHU,0)),""))</f>
        <v>1</v>
      </c>
      <c r="F68" s="57" t="n">
        <f aca="false">IF(C68="","",IFERROR(INDEX(CHPriceKg,MATCH(C68,CHU,0)),""))</f>
        <v>8</v>
      </c>
      <c r="G68" s="41" t="n">
        <f aca="false">IF(OR(N(D68)=0,N(E68)=0),0,$E$54*D68/E68)</f>
        <v>0</v>
      </c>
      <c r="H68" s="51" t="n">
        <f aca="false">G68*1000*N(F68)</f>
        <v>0</v>
      </c>
      <c r="I68" s="51" t="n">
        <f aca="false">IF(OR(N(D68)=0,N(E68)=0),0,D68/E68*N(F68)*1000)</f>
        <v>0</v>
      </c>
      <c r="J68" s="58"/>
    </row>
    <row r="69" customFormat="false" ht="15" hidden="false" customHeight="false" outlineLevel="0" collapsed="false">
      <c r="B69" s="36" t="n">
        <v>14</v>
      </c>
      <c r="C69" s="32" t="s">
        <v>162</v>
      </c>
      <c r="D69" s="55"/>
      <c r="E69" s="56" t="n">
        <f aca="false">IF(C69="","",IFERROR(INDEX(CHPurity,MATCH(C69,CHU,0)),""))</f>
        <v>1</v>
      </c>
      <c r="F69" s="57" t="n">
        <f aca="false">IF(C69="","",IFERROR(INDEX(CHPriceKg,MATCH(C69,CHU,0)),""))</f>
        <v>6</v>
      </c>
      <c r="G69" s="41" t="n">
        <f aca="false">IF(OR(N(D69)=0,N(E69)=0),0,$E$54*D69/E69)</f>
        <v>0</v>
      </c>
      <c r="H69" s="51" t="n">
        <f aca="false">G69*1000*N(F69)</f>
        <v>0</v>
      </c>
      <c r="I69" s="51" t="n">
        <f aca="false">IF(OR(N(D69)=0,N(E69)=0),0,D69/E69*N(F69)*1000)</f>
        <v>0</v>
      </c>
      <c r="J69" s="58"/>
    </row>
    <row r="70" customFormat="false" ht="15" hidden="false" customHeight="false" outlineLevel="0" collapsed="false">
      <c r="B70" s="36" t="n">
        <v>15</v>
      </c>
      <c r="C70" s="32" t="s">
        <v>163</v>
      </c>
      <c r="D70" s="55"/>
      <c r="E70" s="56" t="n">
        <f aca="false">IF(C70="","",IFERROR(INDEX(CHPurity,MATCH(C70,CHU,0)),""))</f>
        <v>1</v>
      </c>
      <c r="F70" s="57" t="n">
        <f aca="false">IF(C70="","",IFERROR(INDEX(CHPriceKg,MATCH(C70,CHU,0)),""))</f>
        <v>9</v>
      </c>
      <c r="G70" s="41" t="n">
        <f aca="false">IF(OR(N(D70)=0,N(E70)=0),0,$E$54*D70/E70)</f>
        <v>0</v>
      </c>
      <c r="H70" s="51" t="n">
        <f aca="false">G70*1000*N(F70)</f>
        <v>0</v>
      </c>
      <c r="I70" s="51" t="n">
        <f aca="false">IF(OR(N(D70)=0,N(E70)=0),0,D70/E70*N(F70)*1000)</f>
        <v>0</v>
      </c>
      <c r="J70" s="58"/>
    </row>
    <row r="71" customFormat="false" ht="15" hidden="false" customHeight="false" outlineLevel="0" collapsed="false">
      <c r="C71" s="23" t="s">
        <v>416</v>
      </c>
      <c r="G71" s="42" t="n">
        <f aca="false">SUM(G56:G70)</f>
        <v>0</v>
      </c>
      <c r="H71" s="52" t="n">
        <f aca="false">SUM(H56:H70)</f>
        <v>0</v>
      </c>
      <c r="I71" s="52" t="n">
        <f aca="false">SUM(I56:I70)</f>
        <v>0</v>
      </c>
      <c r="J71" s="33" t="s">
        <v>417</v>
      </c>
    </row>
    <row r="74" customFormat="false" ht="15" hidden="false" customHeight="false" outlineLevel="0" collapsed="false">
      <c r="B74" s="53" t="str">
        <f aca="false">"REGIME 4:  "&amp;INDEX(CC_RegU,4)</f>
        <v>REGIME 4:  Regime 4</v>
      </c>
      <c r="C74" s="53"/>
      <c r="D74" s="53"/>
      <c r="E74" s="53"/>
      <c r="F74" s="53"/>
      <c r="G74" s="53"/>
      <c r="H74" s="53"/>
      <c r="I74" s="53"/>
      <c r="J74" s="53"/>
    </row>
    <row r="75" customFormat="false" ht="15" hidden="false" customHeight="false" outlineLevel="0" collapsed="false">
      <c r="C75" s="23" t="s">
        <v>407</v>
      </c>
      <c r="E75" s="54" t="n">
        <f aca="false">SUMIFS(CC_V_sol,CC_V_reg,INDEX(CC_RegU,4),CC_V_x_unit,"&gt;0")</f>
        <v>0</v>
      </c>
    </row>
    <row r="76" customFormat="false" ht="15" hidden="false" customHeight="false" outlineLevel="0" collapsed="false">
      <c r="B76" s="8" t="s">
        <v>408</v>
      </c>
      <c r="C76" s="8" t="s">
        <v>142</v>
      </c>
      <c r="D76" s="8" t="s">
        <v>409</v>
      </c>
      <c r="E76" s="8" t="s">
        <v>410</v>
      </c>
      <c r="F76" s="8" t="s">
        <v>411</v>
      </c>
      <c r="G76" s="8" t="s">
        <v>412</v>
      </c>
      <c r="H76" s="8" t="s">
        <v>413</v>
      </c>
      <c r="I76" s="8" t="s">
        <v>414</v>
      </c>
      <c r="J76" s="8" t="s">
        <v>415</v>
      </c>
    </row>
    <row r="77" customFormat="false" ht="15" hidden="false" customHeight="false" outlineLevel="0" collapsed="false">
      <c r="B77" s="36" t="n">
        <v>1</v>
      </c>
      <c r="C77" s="32" t="s">
        <v>148</v>
      </c>
      <c r="D77" s="55"/>
      <c r="E77" s="56" t="n">
        <f aca="false">IF(C77="","",IFERROR(INDEX(CHPurity,MATCH(C77,CHU,0)),""))</f>
        <v>0.49</v>
      </c>
      <c r="F77" s="57" t="n">
        <f aca="false">IF(C77="","",IFERROR(INDEX(CHPriceKg,MATCH(C77,CHU,0)),""))</f>
        <v>3</v>
      </c>
      <c r="G77" s="41" t="n">
        <f aca="false">IF(OR(N(D77)=0,N(E77)=0),0,$E$75*D77/E77)</f>
        <v>0</v>
      </c>
      <c r="H77" s="51" t="n">
        <f aca="false">G77*1000*N(F77)</f>
        <v>0</v>
      </c>
      <c r="I77" s="51" t="n">
        <f aca="false">IF(OR(N(D77)=0,N(E77)=0),0,D77/E77*N(F77)*1000)</f>
        <v>0</v>
      </c>
      <c r="J77" s="58"/>
    </row>
    <row r="78" customFormat="false" ht="15" hidden="false" customHeight="false" outlineLevel="0" collapsed="false">
      <c r="B78" s="36" t="n">
        <v>2</v>
      </c>
      <c r="C78" s="32" t="s">
        <v>150</v>
      </c>
      <c r="D78" s="55"/>
      <c r="E78" s="56" t="n">
        <f aca="false">IF(C78="","",IFERROR(INDEX(CHPurity,MATCH(C78,CHU,0)),""))</f>
        <v>1</v>
      </c>
      <c r="F78" s="57" t="n">
        <f aca="false">IF(C78="","",IFERROR(INDEX(CHPriceKg,MATCH(C78,CHU,0)),""))</f>
        <v>4</v>
      </c>
      <c r="G78" s="41" t="n">
        <f aca="false">IF(OR(N(D78)=0,N(E78)=0),0,$E$75*D78/E78)</f>
        <v>0</v>
      </c>
      <c r="H78" s="51" t="n">
        <f aca="false">G78*1000*N(F78)</f>
        <v>0</v>
      </c>
      <c r="I78" s="51" t="n">
        <f aca="false">IF(OR(N(D78)=0,N(E78)=0),0,D78/E78*N(F78)*1000)</f>
        <v>0</v>
      </c>
      <c r="J78" s="58"/>
    </row>
    <row r="79" customFormat="false" ht="15" hidden="false" customHeight="false" outlineLevel="0" collapsed="false">
      <c r="B79" s="36" t="n">
        <v>3</v>
      </c>
      <c r="C79" s="32" t="s">
        <v>151</v>
      </c>
      <c r="D79" s="55"/>
      <c r="E79" s="56" t="n">
        <f aca="false">IF(C79="","",IFERROR(INDEX(CHPurity,MATCH(C79,CHU,0)),""))</f>
        <v>1</v>
      </c>
      <c r="F79" s="57" t="n">
        <f aca="false">IF(C79="","",IFERROR(INDEX(CHPriceKg,MATCH(C79,CHU,0)),""))</f>
        <v>16</v>
      </c>
      <c r="G79" s="41" t="n">
        <f aca="false">IF(OR(N(D79)=0,N(E79)=0),0,$E$75*D79/E79)</f>
        <v>0</v>
      </c>
      <c r="H79" s="51" t="n">
        <f aca="false">G79*1000*N(F79)</f>
        <v>0</v>
      </c>
      <c r="I79" s="51" t="n">
        <f aca="false">IF(OR(N(D79)=0,N(E79)=0),0,D79/E79*N(F79)*1000)</f>
        <v>0</v>
      </c>
      <c r="J79" s="58"/>
    </row>
    <row r="80" customFormat="false" ht="15" hidden="false" customHeight="false" outlineLevel="0" collapsed="false">
      <c r="B80" s="36" t="n">
        <v>4</v>
      </c>
      <c r="C80" s="32" t="s">
        <v>152</v>
      </c>
      <c r="D80" s="55"/>
      <c r="E80" s="56" t="n">
        <f aca="false">IF(C80="","",IFERROR(INDEX(CHPurity,MATCH(C80,CHU,0)),""))</f>
        <v>1</v>
      </c>
      <c r="F80" s="57" t="n">
        <f aca="false">IF(C80="","",IFERROR(INDEX(CHPriceKg,MATCH(C80,CHU,0)),""))</f>
        <v>9</v>
      </c>
      <c r="G80" s="41" t="n">
        <f aca="false">IF(OR(N(D80)=0,N(E80)=0),0,$E$75*D80/E80)</f>
        <v>0</v>
      </c>
      <c r="H80" s="51" t="n">
        <f aca="false">G80*1000*N(F80)</f>
        <v>0</v>
      </c>
      <c r="I80" s="51" t="n">
        <f aca="false">IF(OR(N(D80)=0,N(E80)=0),0,D80/E80*N(F80)*1000)</f>
        <v>0</v>
      </c>
      <c r="J80" s="58"/>
    </row>
    <row r="81" customFormat="false" ht="15" hidden="false" customHeight="false" outlineLevel="0" collapsed="false">
      <c r="B81" s="36" t="n">
        <v>5</v>
      </c>
      <c r="C81" s="32" t="s">
        <v>153</v>
      </c>
      <c r="D81" s="55"/>
      <c r="E81" s="56" t="n">
        <f aca="false">IF(C81="","",IFERROR(INDEX(CHPurity,MATCH(C81,CHU,0)),""))</f>
        <v>1</v>
      </c>
      <c r="F81" s="57" t="n">
        <f aca="false">IF(C81="","",IFERROR(INDEX(CHPriceKg,MATCH(C81,CHU,0)),""))</f>
        <v>6</v>
      </c>
      <c r="G81" s="41" t="n">
        <f aca="false">IF(OR(N(D81)=0,N(E81)=0),0,$E$75*D81/E81)</f>
        <v>0</v>
      </c>
      <c r="H81" s="51" t="n">
        <f aca="false">G81*1000*N(F81)</f>
        <v>0</v>
      </c>
      <c r="I81" s="51" t="n">
        <f aca="false">IF(OR(N(D81)=0,N(E81)=0),0,D81/E81*N(F81)*1000)</f>
        <v>0</v>
      </c>
      <c r="J81" s="58"/>
    </row>
    <row r="82" customFormat="false" ht="15" hidden="false" customHeight="false" outlineLevel="0" collapsed="false">
      <c r="B82" s="36" t="n">
        <v>6</v>
      </c>
      <c r="C82" s="32" t="s">
        <v>154</v>
      </c>
      <c r="D82" s="55"/>
      <c r="E82" s="56" t="n">
        <f aca="false">IF(C82="","",IFERROR(INDEX(CHPurity,MATCH(C82,CHU,0)),""))</f>
        <v>1</v>
      </c>
      <c r="F82" s="57" t="n">
        <f aca="false">IF(C82="","",IFERROR(INDEX(CHPriceKg,MATCH(C82,CHU,0)),""))</f>
        <v>12</v>
      </c>
      <c r="G82" s="41" t="n">
        <f aca="false">IF(OR(N(D82)=0,N(E82)=0),0,$E$75*D82/E82)</f>
        <v>0</v>
      </c>
      <c r="H82" s="51" t="n">
        <f aca="false">G82*1000*N(F82)</f>
        <v>0</v>
      </c>
      <c r="I82" s="51" t="n">
        <f aca="false">IF(OR(N(D82)=0,N(E82)=0),0,D82/E82*N(F82)*1000)</f>
        <v>0</v>
      </c>
      <c r="J82" s="58"/>
    </row>
    <row r="83" customFormat="false" ht="15" hidden="false" customHeight="false" outlineLevel="0" collapsed="false">
      <c r="B83" s="36" t="n">
        <v>7</v>
      </c>
      <c r="C83" s="32" t="s">
        <v>155</v>
      </c>
      <c r="D83" s="55"/>
      <c r="E83" s="56" t="n">
        <f aca="false">IF(C83="","",IFERROR(INDEX(CHPurity,MATCH(C83,CHU,0)),""))</f>
        <v>1</v>
      </c>
      <c r="F83" s="57" t="n">
        <f aca="false">IF(C83="","",IFERROR(INDEX(CHPriceKg,MATCH(C83,CHU,0)),""))</f>
        <v>12</v>
      </c>
      <c r="G83" s="41" t="n">
        <f aca="false">IF(OR(N(D83)=0,N(E83)=0),0,$E$75*D83/E83)</f>
        <v>0</v>
      </c>
      <c r="H83" s="51" t="n">
        <f aca="false">G83*1000*N(F83)</f>
        <v>0</v>
      </c>
      <c r="I83" s="51" t="n">
        <f aca="false">IF(OR(N(D83)=0,N(E83)=0),0,D83/E83*N(F83)*1000)</f>
        <v>0</v>
      </c>
      <c r="J83" s="58"/>
    </row>
    <row r="84" customFormat="false" ht="15" hidden="false" customHeight="false" outlineLevel="0" collapsed="false">
      <c r="B84" s="36" t="n">
        <v>8</v>
      </c>
      <c r="C84" s="32" t="s">
        <v>156</v>
      </c>
      <c r="D84" s="55"/>
      <c r="E84" s="56" t="n">
        <f aca="false">IF(C84="","",IFERROR(INDEX(CHPurity,MATCH(C84,CHU,0)),""))</f>
        <v>0.35</v>
      </c>
      <c r="F84" s="57" t="n">
        <f aca="false">IF(C84="","",IFERROR(INDEX(CHPriceKg,MATCH(C84,CHU,0)),""))</f>
        <v>4</v>
      </c>
      <c r="G84" s="41" t="n">
        <f aca="false">IF(OR(N(D84)=0,N(E84)=0),0,$E$75*D84/E84)</f>
        <v>0</v>
      </c>
      <c r="H84" s="51" t="n">
        <f aca="false">G84*1000*N(F84)</f>
        <v>0</v>
      </c>
      <c r="I84" s="51" t="n">
        <f aca="false">IF(OR(N(D84)=0,N(E84)=0),0,D84/E84*N(F84)*1000)</f>
        <v>0</v>
      </c>
      <c r="J84" s="58"/>
    </row>
    <row r="85" customFormat="false" ht="15" hidden="false" customHeight="false" outlineLevel="0" collapsed="false">
      <c r="B85" s="36" t="n">
        <v>9</v>
      </c>
      <c r="C85" s="32" t="s">
        <v>157</v>
      </c>
      <c r="D85" s="55"/>
      <c r="E85" s="56" t="n">
        <f aca="false">IF(C85="","",IFERROR(INDEX(CHPurity,MATCH(C85,CHU,0)),""))</f>
        <v>0.25</v>
      </c>
      <c r="F85" s="57" t="n">
        <f aca="false">IF(C85="","",IFERROR(INDEX(CHPriceKg,MATCH(C85,CHU,0)),""))</f>
        <v>6</v>
      </c>
      <c r="G85" s="41" t="n">
        <f aca="false">IF(OR(N(D85)=0,N(E85)=0),0,$E$75*D85/E85)</f>
        <v>0</v>
      </c>
      <c r="H85" s="51" t="n">
        <f aca="false">G85*1000*N(F85)</f>
        <v>0</v>
      </c>
      <c r="I85" s="51" t="n">
        <f aca="false">IF(OR(N(D85)=0,N(E85)=0),0,D85/E85*N(F85)*1000)</f>
        <v>0</v>
      </c>
      <c r="J85" s="58"/>
    </row>
    <row r="86" customFormat="false" ht="15" hidden="false" customHeight="false" outlineLevel="0" collapsed="false">
      <c r="B86" s="36" t="n">
        <v>10</v>
      </c>
      <c r="C86" s="32" t="s">
        <v>158</v>
      </c>
      <c r="D86" s="55"/>
      <c r="E86" s="56" t="n">
        <f aca="false">IF(C86="","",IFERROR(INDEX(CHPurity,MATCH(C86,CHU,0)),""))</f>
        <v>1</v>
      </c>
      <c r="F86" s="57" t="n">
        <f aca="false">IF(C86="","",IFERROR(INDEX(CHPriceKg,MATCH(C86,CHU,0)),""))</f>
        <v>10</v>
      </c>
      <c r="G86" s="41" t="n">
        <f aca="false">IF(OR(N(D86)=0,N(E86)=0),0,$E$75*D86/E86)</f>
        <v>0</v>
      </c>
      <c r="H86" s="51" t="n">
        <f aca="false">G86*1000*N(F86)</f>
        <v>0</v>
      </c>
      <c r="I86" s="51" t="n">
        <f aca="false">IF(OR(N(D86)=0,N(E86)=0),0,D86/E86*N(F86)*1000)</f>
        <v>0</v>
      </c>
      <c r="J86" s="58"/>
    </row>
    <row r="87" customFormat="false" ht="15" hidden="false" customHeight="false" outlineLevel="0" collapsed="false">
      <c r="B87" s="36" t="n">
        <v>11</v>
      </c>
      <c r="C87" s="32" t="s">
        <v>159</v>
      </c>
      <c r="D87" s="55"/>
      <c r="E87" s="56" t="n">
        <f aca="false">IF(C87="","",IFERROR(INDEX(CHPurity,MATCH(C87,CHU,0)),""))</f>
        <v>0.33</v>
      </c>
      <c r="F87" s="57" t="n">
        <f aca="false">IF(C87="","",IFERROR(INDEX(CHPriceKg,MATCH(C87,CHU,0)),""))</f>
        <v>2</v>
      </c>
      <c r="G87" s="41" t="n">
        <f aca="false">IF(OR(N(D87)=0,N(E87)=0),0,$E$75*D87/E87)</f>
        <v>0</v>
      </c>
      <c r="H87" s="51" t="n">
        <f aca="false">G87*1000*N(F87)</f>
        <v>0</v>
      </c>
      <c r="I87" s="51" t="n">
        <f aca="false">IF(OR(N(D87)=0,N(E87)=0),0,D87/E87*N(F87)*1000)</f>
        <v>0</v>
      </c>
      <c r="J87" s="58"/>
    </row>
    <row r="88" customFormat="false" ht="15" hidden="false" customHeight="false" outlineLevel="0" collapsed="false">
      <c r="B88" s="36" t="n">
        <v>12</v>
      </c>
      <c r="C88" s="32" t="s">
        <v>160</v>
      </c>
      <c r="D88" s="55"/>
      <c r="E88" s="56" t="n">
        <f aca="false">IF(C88="","",IFERROR(INDEX(CHPurity,MATCH(C88,CHU,0)),""))</f>
        <v>0.98</v>
      </c>
      <c r="F88" s="57" t="n">
        <f aca="false">IF(C88="","",IFERROR(INDEX(CHPriceKg,MATCH(C88,CHU,0)),""))</f>
        <v>8</v>
      </c>
      <c r="G88" s="41" t="n">
        <f aca="false">IF(OR(N(D88)=0,N(E88)=0),0,$E$75*D88/E88)</f>
        <v>0</v>
      </c>
      <c r="H88" s="51" t="n">
        <f aca="false">G88*1000*N(F88)</f>
        <v>0</v>
      </c>
      <c r="I88" s="51" t="n">
        <f aca="false">IF(OR(N(D88)=0,N(E88)=0),0,D88/E88*N(F88)*1000)</f>
        <v>0</v>
      </c>
      <c r="J88" s="58"/>
    </row>
    <row r="89" customFormat="false" ht="15" hidden="false" customHeight="false" outlineLevel="0" collapsed="false">
      <c r="B89" s="36" t="n">
        <v>13</v>
      </c>
      <c r="C89" s="32" t="s">
        <v>161</v>
      </c>
      <c r="D89" s="55"/>
      <c r="E89" s="56" t="n">
        <f aca="false">IF(C89="","",IFERROR(INDEX(CHPurity,MATCH(C89,CHU,0)),""))</f>
        <v>1</v>
      </c>
      <c r="F89" s="57" t="n">
        <f aca="false">IF(C89="","",IFERROR(INDEX(CHPriceKg,MATCH(C89,CHU,0)),""))</f>
        <v>8</v>
      </c>
      <c r="G89" s="41" t="n">
        <f aca="false">IF(OR(N(D89)=0,N(E89)=0),0,$E$75*D89/E89)</f>
        <v>0</v>
      </c>
      <c r="H89" s="51" t="n">
        <f aca="false">G89*1000*N(F89)</f>
        <v>0</v>
      </c>
      <c r="I89" s="51" t="n">
        <f aca="false">IF(OR(N(D89)=0,N(E89)=0),0,D89/E89*N(F89)*1000)</f>
        <v>0</v>
      </c>
      <c r="J89" s="58"/>
    </row>
    <row r="90" customFormat="false" ht="15" hidden="false" customHeight="false" outlineLevel="0" collapsed="false">
      <c r="B90" s="36" t="n">
        <v>14</v>
      </c>
      <c r="C90" s="32" t="s">
        <v>162</v>
      </c>
      <c r="D90" s="55"/>
      <c r="E90" s="56" t="n">
        <f aca="false">IF(C90="","",IFERROR(INDEX(CHPurity,MATCH(C90,CHU,0)),""))</f>
        <v>1</v>
      </c>
      <c r="F90" s="57" t="n">
        <f aca="false">IF(C90="","",IFERROR(INDEX(CHPriceKg,MATCH(C90,CHU,0)),""))</f>
        <v>6</v>
      </c>
      <c r="G90" s="41" t="n">
        <f aca="false">IF(OR(N(D90)=0,N(E90)=0),0,$E$75*D90/E90)</f>
        <v>0</v>
      </c>
      <c r="H90" s="51" t="n">
        <f aca="false">G90*1000*N(F90)</f>
        <v>0</v>
      </c>
      <c r="I90" s="51" t="n">
        <f aca="false">IF(OR(N(D90)=0,N(E90)=0),0,D90/E90*N(F90)*1000)</f>
        <v>0</v>
      </c>
      <c r="J90" s="58"/>
    </row>
    <row r="91" customFormat="false" ht="15" hidden="false" customHeight="false" outlineLevel="0" collapsed="false">
      <c r="B91" s="36" t="n">
        <v>15</v>
      </c>
      <c r="C91" s="32" t="s">
        <v>163</v>
      </c>
      <c r="D91" s="55"/>
      <c r="E91" s="56" t="n">
        <f aca="false">IF(C91="","",IFERROR(INDEX(CHPurity,MATCH(C91,CHU,0)),""))</f>
        <v>1</v>
      </c>
      <c r="F91" s="57" t="n">
        <f aca="false">IF(C91="","",IFERROR(INDEX(CHPriceKg,MATCH(C91,CHU,0)),""))</f>
        <v>9</v>
      </c>
      <c r="G91" s="41" t="n">
        <f aca="false">IF(OR(N(D91)=0,N(E91)=0),0,$E$75*D91/E91)</f>
        <v>0</v>
      </c>
      <c r="H91" s="51" t="n">
        <f aca="false">G91*1000*N(F91)</f>
        <v>0</v>
      </c>
      <c r="I91" s="51" t="n">
        <f aca="false">IF(OR(N(D91)=0,N(E91)=0),0,D91/E91*N(F91)*1000)</f>
        <v>0</v>
      </c>
      <c r="J91" s="58"/>
    </row>
    <row r="92" customFormat="false" ht="15" hidden="false" customHeight="false" outlineLevel="0" collapsed="false">
      <c r="C92" s="23" t="s">
        <v>416</v>
      </c>
      <c r="G92" s="42" t="n">
        <f aca="false">SUM(G77:G91)</f>
        <v>0</v>
      </c>
      <c r="H92" s="52" t="n">
        <f aca="false">SUM(H77:H91)</f>
        <v>0</v>
      </c>
      <c r="I92" s="52" t="n">
        <f aca="false">SUM(I77:I91)</f>
        <v>0</v>
      </c>
      <c r="J92" s="33" t="s">
        <v>417</v>
      </c>
    </row>
  </sheetData>
  <mergeCells count="4">
    <mergeCell ref="B11:J11"/>
    <mergeCell ref="B32:J32"/>
    <mergeCell ref="B53:J53"/>
    <mergeCell ref="B74:J74"/>
  </mergeCells>
  <dataValidations count="2">
    <dataValidation allowBlank="true" error="Enter a positive number." errorStyle="stop" errorTitle="Number" operator="greaterThanOrEqual" showDropDown="false" showErrorMessage="true" showInputMessage="false" sqref="D14:D28 D35:D49 D56:D70 D77:D91" type="decimal">
      <formula1>0</formula1>
      <formula2>0</formula2>
    </dataValidation>
    <dataValidation allowBlank="true" error="Pick a value from the drop-down list." errorStyle="stop" errorTitle="Invalid entry" operator="between" showDropDown="false" showErrorMessage="true" showInputMessage="false" sqref="C14:C28 C35:C49 C56:C70 C77:C91" type="list">
      <formula1>CHU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13"/>
    <col collapsed="false" customWidth="true" hidden="false" outlineLevel="0" max="4" min="4" style="0" width="11"/>
    <col collapsed="false" customWidth="true" hidden="false" outlineLevel="0" max="5" min="5" style="0" width="16"/>
    <col collapsed="false" customWidth="true" hidden="false" outlineLevel="0" max="6" min="6" style="0" width="11"/>
    <col collapsed="false" customWidth="true" hidden="false" outlineLevel="0" max="7" min="7" style="0" width="12"/>
    <col collapsed="false" customWidth="true" hidden="false" outlineLevel="0" max="8" min="8" style="0" width="14"/>
    <col collapsed="false" customWidth="true" hidden="false" outlineLevel="0" max="9" min="9" style="0" width="15"/>
    <col collapsed="false" customWidth="true" hidden="false" outlineLevel="0" max="10" min="10" style="0" width="9"/>
    <col collapsed="false" customWidth="true" hidden="false" outlineLevel="0" max="11" min="11" style="0" width="15"/>
    <col collapsed="false" customWidth="true" hidden="false" outlineLevel="0" max="12" min="12" style="0" width="44"/>
  </cols>
  <sheetData>
    <row r="1" customFormat="false" ht="19.7" hidden="false" customHeight="false" outlineLevel="0" collapsed="false">
      <c r="B1" s="1" t="s">
        <v>418</v>
      </c>
    </row>
    <row r="2" customFormat="false" ht="15" hidden="false" customHeight="false" outlineLevel="0" collapsed="false">
      <c r="B2" s="2" t="str">
        <f aca="false">"Quotation "&amp;QNo&amp;" Rev "&amp;QRev&amp;"   ·   "&amp;QClient&amp;"   ·   "&amp;QProject</f>
        <v>Quotation  Rev    ·      ·   </v>
      </c>
    </row>
    <row r="3" customFormat="false" ht="15" hidden="false" customHeight="false" outlineLevel="0" collapsed="false">
      <c r="B3" s="10" t="s">
        <v>419</v>
      </c>
    </row>
    <row r="5" customFormat="false" ht="19.5" hidden="false" customHeight="true" outlineLevel="0" collapsed="false">
      <c r="A5" s="3" t="s">
        <v>420</v>
      </c>
      <c r="B5" s="3"/>
      <c r="C5" s="3"/>
      <c r="D5" s="3"/>
      <c r="E5" s="3"/>
      <c r="F5" s="3"/>
      <c r="G5" s="3"/>
      <c r="H5" s="3"/>
      <c r="I5" s="3"/>
      <c r="J5" s="3"/>
      <c r="K5" s="3"/>
      <c r="L5" s="3"/>
    </row>
    <row r="6" customFormat="false" ht="15" hidden="false" customHeight="false" outlineLevel="0" collapsed="false">
      <c r="B6" s="13" t="s">
        <v>421</v>
      </c>
      <c r="C6" s="59" t="n">
        <f aca="false">CC_V_GrandVol</f>
        <v>53.5568784251653</v>
      </c>
    </row>
    <row r="7" customFormat="false" ht="15" hidden="false" customHeight="false" outlineLevel="0" collapsed="false">
      <c r="B7" s="13" t="s">
        <v>422</v>
      </c>
      <c r="C7" s="59" t="n">
        <f aca="false">CC_V_GrandSol</f>
        <v>41.1176980630466</v>
      </c>
    </row>
    <row r="8" customFormat="false" ht="15" hidden="false" customHeight="false" outlineLevel="0" collapsed="false">
      <c r="B8" s="13" t="s">
        <v>423</v>
      </c>
      <c r="C8" s="59" t="n">
        <f aca="false">CC_V_GrandWaste</f>
        <v>256.985612894041</v>
      </c>
    </row>
    <row r="9" customFormat="false" ht="15" hidden="false" customHeight="false" outlineLevel="0" collapsed="false">
      <c r="B9" s="13" t="s">
        <v>424</v>
      </c>
      <c r="C9" s="60" t="n">
        <f aca="false">SUMPRODUCT((CC_V_x_unit&gt;0)*ISNUMBER(CC_V_vol))</f>
        <v>4</v>
      </c>
    </row>
    <row r="10" customFormat="false" ht="15" hidden="false" customHeight="false" outlineLevel="0" collapsed="false">
      <c r="B10" s="4" t="s">
        <v>425</v>
      </c>
      <c r="C10" s="21"/>
      <c r="D10" s="21"/>
      <c r="E10" s="10" t="s">
        <v>426</v>
      </c>
    </row>
    <row r="11" customFormat="false" ht="15" hidden="false" customHeight="false" outlineLevel="0" collapsed="false">
      <c r="B11" s="4" t="s">
        <v>427</v>
      </c>
      <c r="C11" s="61" t="n">
        <f aca="false">QShiftsDay</f>
        <v>2</v>
      </c>
      <c r="E11" s="10"/>
    </row>
    <row r="12" customFormat="false" ht="15" hidden="false" customHeight="true" outlineLevel="0" collapsed="false">
      <c r="B12" s="4" t="s">
        <v>428</v>
      </c>
      <c r="C12" s="7" t="s">
        <v>429</v>
      </c>
      <c r="D12" s="7"/>
      <c r="E12" s="10" t="s">
        <v>430</v>
      </c>
    </row>
    <row r="13" customFormat="false" ht="15" hidden="false" customHeight="true" outlineLevel="0" collapsed="false">
      <c r="B13" s="4" t="s">
        <v>431</v>
      </c>
      <c r="C13" s="7" t="s">
        <v>432</v>
      </c>
      <c r="D13" s="7"/>
      <c r="E13" s="10" t="s">
        <v>433</v>
      </c>
    </row>
    <row r="14" customFormat="false" ht="15" hidden="false" customHeight="true" outlineLevel="0" collapsed="false">
      <c r="B14" s="4" t="s">
        <v>434</v>
      </c>
      <c r="C14" s="7" t="s">
        <v>435</v>
      </c>
      <c r="D14" s="7"/>
      <c r="E14" s="10" t="s">
        <v>436</v>
      </c>
    </row>
    <row r="16" customFormat="false" ht="19.5" hidden="false" customHeight="true" outlineLevel="0" collapsed="false">
      <c r="A16" s="3" t="s">
        <v>437</v>
      </c>
      <c r="B16" s="3"/>
      <c r="C16" s="3"/>
      <c r="D16" s="3"/>
      <c r="E16" s="3"/>
      <c r="F16" s="3"/>
      <c r="G16" s="3"/>
      <c r="H16" s="3"/>
      <c r="I16" s="3"/>
      <c r="J16" s="3"/>
      <c r="K16" s="3"/>
      <c r="L16" s="3"/>
    </row>
    <row r="17" customFormat="false" ht="15" hidden="false" customHeight="false" outlineLevel="0" collapsed="false">
      <c r="B17" s="8" t="s">
        <v>438</v>
      </c>
      <c r="I17" s="8" t="s">
        <v>83</v>
      </c>
      <c r="K17" s="8" t="s">
        <v>439</v>
      </c>
    </row>
    <row r="18" customFormat="false" ht="15" hidden="false" customHeight="false" outlineLevel="0" collapsed="false">
      <c r="B18" s="13" t="s">
        <v>49</v>
      </c>
      <c r="I18" s="62" t="n">
        <f aca="false">I50</f>
        <v>0</v>
      </c>
      <c r="K18" s="62" t="n">
        <f aca="false">K50</f>
        <v>0</v>
      </c>
    </row>
    <row r="19" customFormat="false" ht="15" hidden="false" customHeight="false" outlineLevel="0" collapsed="false">
      <c r="B19" s="13" t="s">
        <v>50</v>
      </c>
      <c r="I19" s="62" t="n">
        <f aca="false">I70</f>
        <v>0</v>
      </c>
      <c r="K19" s="62" t="n">
        <f aca="false">K70</f>
        <v>0</v>
      </c>
    </row>
    <row r="20" customFormat="false" ht="15" hidden="false" customHeight="false" outlineLevel="0" collapsed="false">
      <c r="B20" s="13" t="s">
        <v>440</v>
      </c>
      <c r="I20" s="62" t="n">
        <f aca="false">I82</f>
        <v>0</v>
      </c>
      <c r="K20" s="62" t="n">
        <f aca="false">K82</f>
        <v>0</v>
      </c>
    </row>
    <row r="21" customFormat="false" ht="15" hidden="false" customHeight="false" outlineLevel="0" collapsed="false">
      <c r="B21" s="13" t="s">
        <v>441</v>
      </c>
      <c r="I21" s="62" t="n">
        <f aca="false">I90</f>
        <v>0</v>
      </c>
      <c r="K21" s="62" t="n">
        <f aca="false">K90</f>
        <v>0</v>
      </c>
    </row>
    <row r="22" customFormat="false" ht="15" hidden="false" customHeight="false" outlineLevel="0" collapsed="false">
      <c r="B22" s="13" t="s">
        <v>442</v>
      </c>
      <c r="I22" s="62" t="n">
        <f aca="false">I101</f>
        <v>0</v>
      </c>
      <c r="K22" s="62" t="n">
        <f aca="false">K101</f>
        <v>0</v>
      </c>
    </row>
    <row r="23" customFormat="false" ht="15" hidden="false" customHeight="false" outlineLevel="0" collapsed="false">
      <c r="B23" s="4" t="s">
        <v>443</v>
      </c>
      <c r="I23" s="63" t="n">
        <f aca="false">SUM(I18:I22)</f>
        <v>0</v>
      </c>
      <c r="K23" s="63" t="n">
        <f aca="false">SUM(K18:K22)</f>
        <v>0</v>
      </c>
    </row>
    <row r="24" customFormat="false" ht="15" hidden="false" customHeight="false" outlineLevel="0" collapsed="false">
      <c r="B24" s="13" t="s">
        <v>444</v>
      </c>
      <c r="I24" s="62" t="n">
        <f aca="false">CC_ChemCost</f>
        <v>15765.5637641572</v>
      </c>
      <c r="K24" s="62" t="n">
        <f aca="false">CC_ChemSell</f>
        <v>20495.2328934044</v>
      </c>
    </row>
    <row r="25" customFormat="false" ht="15" hidden="false" customHeight="false" outlineLevel="0" collapsed="false">
      <c r="B25" s="13" t="s">
        <v>445</v>
      </c>
      <c r="I25" s="62" t="n">
        <f aca="false">CC_WasteCost</f>
        <v>74525.827739272</v>
      </c>
      <c r="K25" s="62" t="n">
        <f aca="false">CC_WasteSell</f>
        <v>96883.5760610536</v>
      </c>
    </row>
    <row r="26" customFormat="false" ht="15" hidden="false" customHeight="false" outlineLevel="0" collapsed="false">
      <c r="B26" s="4" t="s">
        <v>446</v>
      </c>
      <c r="I26" s="63" t="n">
        <f aca="false">I23+I24+I25</f>
        <v>90291.3915034292</v>
      </c>
      <c r="K26" s="63" t="n">
        <f aca="false">K23+K24+K25</f>
        <v>117378.808954458</v>
      </c>
    </row>
    <row r="27" customFormat="false" ht="15" hidden="false" customHeight="false" outlineLevel="0" collapsed="false">
      <c r="B27" s="13" t="s">
        <v>447</v>
      </c>
      <c r="I27" s="62"/>
      <c r="K27" s="62" t="n">
        <f aca="false">I26*N(QCont)</f>
        <v>0</v>
      </c>
    </row>
    <row r="28" customFormat="false" ht="15" hidden="false" customHeight="false" outlineLevel="0" collapsed="false">
      <c r="B28" s="13" t="s">
        <v>448</v>
      </c>
      <c r="I28" s="62"/>
      <c r="K28" s="62" t="n">
        <f aca="false">K26+K27</f>
        <v>117378.808954458</v>
      </c>
    </row>
    <row r="29" customFormat="false" ht="15" hidden="false" customHeight="false" outlineLevel="0" collapsed="false">
      <c r="B29" s="13" t="s">
        <v>449</v>
      </c>
      <c r="I29" s="62"/>
      <c r="K29" s="62" t="n">
        <f aca="false">-K28*N(QDisc)</f>
        <v>-0</v>
      </c>
    </row>
    <row r="30" customFormat="false" ht="15" hidden="false" customHeight="false" outlineLevel="0" collapsed="false">
      <c r="B30" s="4" t="s">
        <v>450</v>
      </c>
      <c r="I30" s="63"/>
      <c r="K30" s="63" t="n">
        <f aca="false">K28+K29</f>
        <v>117378.808954458</v>
      </c>
    </row>
    <row r="31" customFormat="false" ht="15" hidden="false" customHeight="false" outlineLevel="0" collapsed="false">
      <c r="B31" s="13" t="s">
        <v>451</v>
      </c>
      <c r="I31" s="15"/>
      <c r="K31" s="15" t="n">
        <f aca="false">IF(K30=0,0,(K30-I26)/K30)</f>
        <v>0.230769230769231</v>
      </c>
    </row>
    <row r="32" customFormat="false" ht="15" hidden="false" customHeight="false" outlineLevel="0" collapsed="false">
      <c r="B32" s="4" t="str">
        <f aca="false">"NET PRICE EXCL. VAT ("&amp;QCurr&amp;")"</f>
        <v>NET PRICE EXCL. VAT (AED)</v>
      </c>
      <c r="I32" s="63"/>
      <c r="K32" s="63" t="n">
        <f aca="false">K30/QRate</f>
        <v>117378.808954458</v>
      </c>
    </row>
    <row r="33" customFormat="false" ht="15" hidden="false" customHeight="false" outlineLevel="0" collapsed="false">
      <c r="B33" s="13" t="s">
        <v>452</v>
      </c>
      <c r="I33" s="62"/>
      <c r="K33" s="62" t="n">
        <f aca="false">CC_NetCheck</f>
        <v>117378.808954458</v>
      </c>
      <c r="L33" s="10" t="s">
        <v>453</v>
      </c>
    </row>
    <row r="36" customFormat="false" ht="19.5" hidden="false" customHeight="true" outlineLevel="0" collapsed="false">
      <c r="A36" s="3" t="s">
        <v>454</v>
      </c>
      <c r="B36" s="3"/>
      <c r="C36" s="3"/>
      <c r="D36" s="3"/>
      <c r="E36" s="3"/>
      <c r="F36" s="3"/>
      <c r="G36" s="3"/>
      <c r="H36" s="3"/>
      <c r="I36" s="3"/>
      <c r="J36" s="3"/>
      <c r="K36" s="3"/>
      <c r="L36" s="3"/>
    </row>
    <row r="37" customFormat="false" ht="25.5" hidden="false" customHeight="true" outlineLevel="0" collapsed="false">
      <c r="A37" s="8" t="s">
        <v>334</v>
      </c>
      <c r="B37" s="8" t="s">
        <v>172</v>
      </c>
      <c r="C37" s="8" t="s">
        <v>17</v>
      </c>
      <c r="D37" s="8" t="s">
        <v>455</v>
      </c>
      <c r="E37" s="8" t="s">
        <v>107</v>
      </c>
      <c r="F37" s="8" t="s">
        <v>456</v>
      </c>
      <c r="G37" s="8" t="s">
        <v>457</v>
      </c>
      <c r="H37" s="8" t="s">
        <v>458</v>
      </c>
      <c r="I37" s="8" t="s">
        <v>413</v>
      </c>
      <c r="J37" s="8" t="s">
        <v>459</v>
      </c>
      <c r="K37" s="8" t="s">
        <v>460</v>
      </c>
      <c r="L37" s="8" t="s">
        <v>461</v>
      </c>
    </row>
    <row r="38" customFormat="false" ht="15" hidden="false" customHeight="false" outlineLevel="0" collapsed="false">
      <c r="A38" s="64" t="n">
        <v>1</v>
      </c>
      <c r="B38" s="5" t="s">
        <v>86</v>
      </c>
      <c r="C38" s="7" t="s">
        <v>46</v>
      </c>
      <c r="D38" s="21"/>
      <c r="E38" s="64" t="s">
        <v>462</v>
      </c>
      <c r="F38" s="21"/>
      <c r="G38" s="65" t="str">
        <f aca="false">IF(N(D38)=0,"",D38*IF(ISNUMBER(F38),F38,N(CC_Days))*N(QShiftsDay))</f>
        <v/>
      </c>
      <c r="H38" s="66" t="n">
        <f aca="false">IF(B38="","",IFERROR(IF(AND(C38="Rented",ISNUMBER(INDEX(MPRent,MATCH(B38,MPU,0)))),INDEX(MPRent,MATCH(B38,MPU,0)),INDEX(MPCost,MATCH(B38,MPU,0))),0))</f>
        <v>1000</v>
      </c>
      <c r="I38" s="62" t="n">
        <f aca="false">N(G38)*N(H38)</f>
        <v>0</v>
      </c>
      <c r="J38" s="15" t="n">
        <f aca="false">IF(I38=0,0,IFERROR(INDEX(MkMatrix,1,MATCH(C38,SrcU,0)),0))</f>
        <v>0</v>
      </c>
      <c r="K38" s="62" t="n">
        <f aca="false">I38*(1+J38)</f>
        <v>0</v>
      </c>
      <c r="L38" s="19" t="s">
        <v>463</v>
      </c>
    </row>
    <row r="39" customFormat="false" ht="15" hidden="false" customHeight="false" outlineLevel="0" collapsed="false">
      <c r="A39" s="64" t="n">
        <v>2</v>
      </c>
      <c r="B39" s="5" t="s">
        <v>88</v>
      </c>
      <c r="C39" s="7" t="s">
        <v>46</v>
      </c>
      <c r="D39" s="21"/>
      <c r="E39" s="64" t="s">
        <v>462</v>
      </c>
      <c r="F39" s="21"/>
      <c r="G39" s="65" t="str">
        <f aca="false">IF(N(D39)=0,"",D39*IF(ISNUMBER(F39),F39,N(CC_Days))*N(QShiftsDay))</f>
        <v/>
      </c>
      <c r="H39" s="66" t="n">
        <f aca="false">IF(B39="","",IFERROR(IF(AND(C39="Rented",ISNUMBER(INDEX(MPRent,MATCH(B39,MPU,0)))),INDEX(MPRent,MATCH(B39,MPU,0)),INDEX(MPCost,MATCH(B39,MPU,0))),0))</f>
        <v>700</v>
      </c>
      <c r="I39" s="62" t="n">
        <f aca="false">N(G39)*N(H39)</f>
        <v>0</v>
      </c>
      <c r="J39" s="15" t="n">
        <f aca="false">IF(I39=0,0,IFERROR(INDEX(MkMatrix,1,MATCH(C39,SrcU,0)),0))</f>
        <v>0</v>
      </c>
      <c r="K39" s="62" t="n">
        <f aca="false">I39*(1+J39)</f>
        <v>0</v>
      </c>
      <c r="L39" s="19"/>
    </row>
    <row r="40" customFormat="false" ht="15" hidden="false" customHeight="false" outlineLevel="0" collapsed="false">
      <c r="A40" s="64" t="n">
        <v>3</v>
      </c>
      <c r="B40" s="5" t="s">
        <v>90</v>
      </c>
      <c r="C40" s="7" t="s">
        <v>46</v>
      </c>
      <c r="D40" s="21"/>
      <c r="E40" s="64" t="s">
        <v>462</v>
      </c>
      <c r="F40" s="21"/>
      <c r="G40" s="65" t="str">
        <f aca="false">IF(N(D40)=0,"",D40*IF(ISNUMBER(F40),F40,N(CC_Days))*N(QShiftsDay))</f>
        <v/>
      </c>
      <c r="H40" s="66" t="n">
        <f aca="false">IF(B40="","",IFERROR(IF(AND(C40="Rented",ISNUMBER(INDEX(MPRent,MATCH(B40,MPU,0)))),INDEX(MPRent,MATCH(B40,MPU,0)),INDEX(MPCost,MATCH(B40,MPU,0))),0))</f>
        <v>500</v>
      </c>
      <c r="I40" s="62" t="n">
        <f aca="false">N(G40)*N(H40)</f>
        <v>0</v>
      </c>
      <c r="J40" s="15" t="n">
        <f aca="false">IF(I40=0,0,IFERROR(INDEX(MkMatrix,1,MATCH(C40,SrcU,0)),0))</f>
        <v>0</v>
      </c>
      <c r="K40" s="62" t="n">
        <f aca="false">I40*(1+J40)</f>
        <v>0</v>
      </c>
      <c r="L40" s="19"/>
    </row>
    <row r="41" customFormat="false" ht="15" hidden="false" customHeight="false" outlineLevel="0" collapsed="false">
      <c r="A41" s="64" t="n">
        <v>4</v>
      </c>
      <c r="B41" s="5" t="s">
        <v>92</v>
      </c>
      <c r="C41" s="7" t="s">
        <v>46</v>
      </c>
      <c r="D41" s="21"/>
      <c r="E41" s="64" t="s">
        <v>462</v>
      </c>
      <c r="F41" s="21"/>
      <c r="G41" s="65" t="str">
        <f aca="false">IF(N(D41)=0,"",D41*IF(ISNUMBER(F41),F41,N(CC_Days))*N(QShiftsDay))</f>
        <v/>
      </c>
      <c r="H41" s="66" t="n">
        <f aca="false">IF(B41="","",IFERROR(IF(AND(C41="Rented",ISNUMBER(INDEX(MPRent,MATCH(B41,MPU,0)))),INDEX(MPRent,MATCH(B41,MPU,0)),INDEX(MPCost,MATCH(B41,MPU,0))),0))</f>
        <v>0</v>
      </c>
      <c r="I41" s="62" t="n">
        <f aca="false">N(G41)*N(H41)</f>
        <v>0</v>
      </c>
      <c r="J41" s="15" t="n">
        <f aca="false">IF(I41=0,0,IFERROR(INDEX(MkMatrix,1,MATCH(C41,SrcU,0)),0))</f>
        <v>0</v>
      </c>
      <c r="K41" s="62" t="n">
        <f aca="false">I41*(1+J41)</f>
        <v>0</v>
      </c>
      <c r="L41" s="19"/>
    </row>
    <row r="42" customFormat="false" ht="15" hidden="false" customHeight="false" outlineLevel="0" collapsed="false">
      <c r="A42" s="64" t="n">
        <v>5</v>
      </c>
      <c r="B42" s="5" t="s">
        <v>94</v>
      </c>
      <c r="C42" s="7" t="s">
        <v>46</v>
      </c>
      <c r="D42" s="21"/>
      <c r="E42" s="64" t="s">
        <v>462</v>
      </c>
      <c r="F42" s="21"/>
      <c r="G42" s="65" t="str">
        <f aca="false">IF(N(D42)=0,"",D42*IF(ISNUMBER(F42),F42,N(CC_Days))*N(QShiftsDay))</f>
        <v/>
      </c>
      <c r="H42" s="66" t="n">
        <f aca="false">IF(B42="","",IFERROR(IF(AND(C42="Rented",ISNUMBER(INDEX(MPRent,MATCH(B42,MPU,0)))),INDEX(MPRent,MATCH(B42,MPU,0)),INDEX(MPCost,MATCH(B42,MPU,0))),0))</f>
        <v>300</v>
      </c>
      <c r="I42" s="62" t="n">
        <f aca="false">N(G42)*N(H42)</f>
        <v>0</v>
      </c>
      <c r="J42" s="15" t="n">
        <f aca="false">IF(I42=0,0,IFERROR(INDEX(MkMatrix,1,MATCH(C42,SrcU,0)),0))</f>
        <v>0</v>
      </c>
      <c r="K42" s="62" t="n">
        <f aca="false">I42*(1+J42)</f>
        <v>0</v>
      </c>
      <c r="L42" s="19"/>
    </row>
    <row r="43" customFormat="false" ht="15" hidden="false" customHeight="false" outlineLevel="0" collapsed="false">
      <c r="A43" s="64" t="n">
        <v>6</v>
      </c>
      <c r="B43" s="5" t="s">
        <v>96</v>
      </c>
      <c r="C43" s="7" t="s">
        <v>46</v>
      </c>
      <c r="D43" s="21"/>
      <c r="E43" s="64" t="s">
        <v>462</v>
      </c>
      <c r="F43" s="21"/>
      <c r="G43" s="65" t="str">
        <f aca="false">IF(N(D43)=0,"",D43*IF(ISNUMBER(F43),F43,N(CC_Days))*N(QShiftsDay))</f>
        <v/>
      </c>
      <c r="H43" s="66" t="n">
        <f aca="false">IF(B43="","",IFERROR(IF(AND(C43="Rented",ISNUMBER(INDEX(MPRent,MATCH(B43,MPU,0)))),INDEX(MPRent,MATCH(B43,MPU,0)),INDEX(MPCost,MATCH(B43,MPU,0))),0))</f>
        <v>400</v>
      </c>
      <c r="I43" s="62" t="n">
        <f aca="false">N(G43)*N(H43)</f>
        <v>0</v>
      </c>
      <c r="J43" s="15" t="n">
        <f aca="false">IF(I43=0,0,IFERROR(INDEX(MkMatrix,1,MATCH(C43,SrcU,0)),0))</f>
        <v>0</v>
      </c>
      <c r="K43" s="62" t="n">
        <f aca="false">I43*(1+J43)</f>
        <v>0</v>
      </c>
      <c r="L43" s="19"/>
    </row>
    <row r="44" customFormat="false" ht="15" hidden="false" customHeight="false" outlineLevel="0" collapsed="false">
      <c r="A44" s="64" t="n">
        <v>7</v>
      </c>
      <c r="B44" s="5" t="s">
        <v>98</v>
      </c>
      <c r="C44" s="7" t="s">
        <v>46</v>
      </c>
      <c r="D44" s="21"/>
      <c r="E44" s="64" t="s">
        <v>462</v>
      </c>
      <c r="F44" s="21"/>
      <c r="G44" s="65" t="str">
        <f aca="false">IF(N(D44)=0,"",D44*IF(ISNUMBER(F44),F44,N(CC_Days))*N(QShiftsDay))</f>
        <v/>
      </c>
      <c r="H44" s="66" t="n">
        <f aca="false">IF(B44="","",IFERROR(IF(AND(C44="Rented",ISNUMBER(INDEX(MPRent,MATCH(B44,MPU,0)))),INDEX(MPRent,MATCH(B44,MPU,0)),INDEX(MPCost,MATCH(B44,MPU,0))),0))</f>
        <v>0</v>
      </c>
      <c r="I44" s="62" t="n">
        <f aca="false">N(G44)*N(H44)</f>
        <v>0</v>
      </c>
      <c r="J44" s="15" t="n">
        <f aca="false">IF(I44=0,0,IFERROR(INDEX(MkMatrix,1,MATCH(C44,SrcU,0)),0))</f>
        <v>0</v>
      </c>
      <c r="K44" s="62" t="n">
        <f aca="false">I44*(1+J44)</f>
        <v>0</v>
      </c>
      <c r="L44" s="19"/>
    </row>
    <row r="45" customFormat="false" ht="15" hidden="false" customHeight="false" outlineLevel="0" collapsed="false">
      <c r="A45" s="64" t="n">
        <v>8</v>
      </c>
      <c r="B45" s="5" t="s">
        <v>99</v>
      </c>
      <c r="C45" s="7" t="s">
        <v>46</v>
      </c>
      <c r="D45" s="21"/>
      <c r="E45" s="64" t="s">
        <v>462</v>
      </c>
      <c r="F45" s="21"/>
      <c r="G45" s="65" t="str">
        <f aca="false">IF(N(D45)=0,"",D45*IF(ISNUMBER(F45),F45,N(CC_Days))*N(QShiftsDay))</f>
        <v/>
      </c>
      <c r="H45" s="66" t="n">
        <f aca="false">IF(B45="","",IFERROR(IF(AND(C45="Rented",ISNUMBER(INDEX(MPRent,MATCH(B45,MPU,0)))),INDEX(MPRent,MATCH(B45,MPU,0)),INDEX(MPCost,MATCH(B45,MPU,0))),0))</f>
        <v>300</v>
      </c>
      <c r="I45" s="62" t="n">
        <f aca="false">N(G45)*N(H45)</f>
        <v>0</v>
      </c>
      <c r="J45" s="15" t="n">
        <f aca="false">IF(I45=0,0,IFERROR(INDEX(MkMatrix,1,MATCH(C45,SrcU,0)),0))</f>
        <v>0</v>
      </c>
      <c r="K45" s="62" t="n">
        <f aca="false">I45*(1+J45)</f>
        <v>0</v>
      </c>
      <c r="L45" s="19"/>
    </row>
    <row r="46" customFormat="false" ht="15" hidden="false" customHeight="false" outlineLevel="0" collapsed="false">
      <c r="A46" s="64" t="n">
        <v>9</v>
      </c>
      <c r="B46" s="5"/>
      <c r="C46" s="7" t="s">
        <v>46</v>
      </c>
      <c r="D46" s="21"/>
      <c r="E46" s="64" t="s">
        <v>462</v>
      </c>
      <c r="F46" s="21"/>
      <c r="G46" s="65" t="str">
        <f aca="false">IF(N(D46)=0,"",D46*IF(ISNUMBER(F46),F46,N(CC_Days))*N(QShiftsDay))</f>
        <v/>
      </c>
      <c r="H46" s="66" t="str">
        <f aca="false">IF(B46="","",IFERROR(IF(AND(C46="Rented",ISNUMBER(INDEX(MPRent,MATCH(B46,MPU,0)))),INDEX(MPRent,MATCH(B46,MPU,0)),INDEX(MPCost,MATCH(B46,MPU,0))),0))</f>
        <v/>
      </c>
      <c r="I46" s="62" t="n">
        <f aca="false">N(G46)*N(H46)</f>
        <v>0</v>
      </c>
      <c r="J46" s="15" t="n">
        <f aca="false">IF(I46=0,0,IFERROR(INDEX(MkMatrix,1,MATCH(C46,SrcU,0)),0))</f>
        <v>0</v>
      </c>
      <c r="K46" s="62" t="n">
        <f aca="false">I46*(1+J46)</f>
        <v>0</v>
      </c>
      <c r="L46" s="19"/>
    </row>
    <row r="47" customFormat="false" ht="15" hidden="false" customHeight="false" outlineLevel="0" collapsed="false">
      <c r="A47" s="64" t="n">
        <v>10</v>
      </c>
      <c r="B47" s="5"/>
      <c r="C47" s="7" t="s">
        <v>46</v>
      </c>
      <c r="D47" s="21"/>
      <c r="E47" s="64" t="s">
        <v>462</v>
      </c>
      <c r="F47" s="21"/>
      <c r="G47" s="65" t="str">
        <f aca="false">IF(N(D47)=0,"",D47*IF(ISNUMBER(F47),F47,N(CC_Days))*N(QShiftsDay))</f>
        <v/>
      </c>
      <c r="H47" s="66" t="str">
        <f aca="false">IF(B47="","",IFERROR(IF(AND(C47="Rented",ISNUMBER(INDEX(MPRent,MATCH(B47,MPU,0)))),INDEX(MPRent,MATCH(B47,MPU,0)),INDEX(MPCost,MATCH(B47,MPU,0))),0))</f>
        <v/>
      </c>
      <c r="I47" s="62" t="n">
        <f aca="false">N(G47)*N(H47)</f>
        <v>0</v>
      </c>
      <c r="J47" s="15" t="n">
        <f aca="false">IF(I47=0,0,IFERROR(INDEX(MkMatrix,1,MATCH(C47,SrcU,0)),0))</f>
        <v>0</v>
      </c>
      <c r="K47" s="62" t="n">
        <f aca="false">I47*(1+J47)</f>
        <v>0</v>
      </c>
      <c r="L47" s="19"/>
    </row>
    <row r="48" customFormat="false" ht="15" hidden="false" customHeight="false" outlineLevel="0" collapsed="false">
      <c r="A48" s="64" t="n">
        <v>11</v>
      </c>
      <c r="B48" s="5"/>
      <c r="C48" s="7" t="s">
        <v>46</v>
      </c>
      <c r="D48" s="21"/>
      <c r="E48" s="64" t="s">
        <v>462</v>
      </c>
      <c r="F48" s="21"/>
      <c r="G48" s="65" t="str">
        <f aca="false">IF(N(D48)=0,"",D48*IF(ISNUMBER(F48),F48,N(CC_Days))*N(QShiftsDay))</f>
        <v/>
      </c>
      <c r="H48" s="66" t="str">
        <f aca="false">IF(B48="","",IFERROR(IF(AND(C48="Rented",ISNUMBER(INDEX(MPRent,MATCH(B48,MPU,0)))),INDEX(MPRent,MATCH(B48,MPU,0)),INDEX(MPCost,MATCH(B48,MPU,0))),0))</f>
        <v/>
      </c>
      <c r="I48" s="62" t="n">
        <f aca="false">N(G48)*N(H48)</f>
        <v>0</v>
      </c>
      <c r="J48" s="15" t="n">
        <f aca="false">IF(I48=0,0,IFERROR(INDEX(MkMatrix,1,MATCH(C48,SrcU,0)),0))</f>
        <v>0</v>
      </c>
      <c r="K48" s="62" t="n">
        <f aca="false">I48*(1+J48)</f>
        <v>0</v>
      </c>
      <c r="L48" s="19"/>
    </row>
    <row r="49" customFormat="false" ht="15" hidden="false" customHeight="false" outlineLevel="0" collapsed="false">
      <c r="A49" s="64" t="n">
        <v>12</v>
      </c>
      <c r="B49" s="5"/>
      <c r="C49" s="7" t="s">
        <v>46</v>
      </c>
      <c r="D49" s="21"/>
      <c r="E49" s="64" t="s">
        <v>462</v>
      </c>
      <c r="F49" s="21"/>
      <c r="G49" s="65" t="str">
        <f aca="false">IF(N(D49)=0,"",D49*IF(ISNUMBER(F49),F49,N(CC_Days))*N(QShiftsDay))</f>
        <v/>
      </c>
      <c r="H49" s="66" t="str">
        <f aca="false">IF(B49="","",IFERROR(IF(AND(C49="Rented",ISNUMBER(INDEX(MPRent,MATCH(B49,MPU,0)))),INDEX(MPRent,MATCH(B49,MPU,0)),INDEX(MPCost,MATCH(B49,MPU,0))),0))</f>
        <v/>
      </c>
      <c r="I49" s="62" t="n">
        <f aca="false">N(G49)*N(H49)</f>
        <v>0</v>
      </c>
      <c r="J49" s="15" t="n">
        <f aca="false">IF(I49=0,0,IFERROR(INDEX(MkMatrix,1,MATCH(C49,SrcU,0)),0))</f>
        <v>0</v>
      </c>
      <c r="K49" s="62" t="n">
        <f aca="false">I49*(1+J49)</f>
        <v>0</v>
      </c>
      <c r="L49" s="19"/>
    </row>
    <row r="50" customFormat="false" ht="15" hidden="false" customHeight="false" outlineLevel="0" collapsed="false">
      <c r="B50" s="4" t="s">
        <v>464</v>
      </c>
      <c r="I50" s="63" t="n">
        <f aca="false">SUM(I38:I49)</f>
        <v>0</v>
      </c>
      <c r="K50" s="63" t="n">
        <f aca="false">SUM(K38:K49)</f>
        <v>0</v>
      </c>
    </row>
    <row r="52" customFormat="false" ht="19.5" hidden="false" customHeight="true" outlineLevel="0" collapsed="false">
      <c r="A52" s="3" t="s">
        <v>465</v>
      </c>
      <c r="B52" s="3"/>
      <c r="C52" s="3"/>
      <c r="D52" s="3"/>
      <c r="E52" s="3"/>
      <c r="F52" s="3"/>
      <c r="G52" s="3"/>
      <c r="H52" s="3"/>
      <c r="I52" s="3"/>
      <c r="J52" s="3"/>
      <c r="K52" s="3"/>
      <c r="L52" s="3"/>
    </row>
    <row r="53" customFormat="false" ht="25.5" hidden="false" customHeight="true" outlineLevel="0" collapsed="false">
      <c r="A53" s="8" t="s">
        <v>334</v>
      </c>
      <c r="B53" s="8" t="s">
        <v>172</v>
      </c>
      <c r="C53" s="8" t="s">
        <v>17</v>
      </c>
      <c r="D53" s="8" t="s">
        <v>455</v>
      </c>
      <c r="E53" s="8" t="s">
        <v>107</v>
      </c>
      <c r="F53" s="8" t="s">
        <v>456</v>
      </c>
      <c r="G53" s="8" t="s">
        <v>457</v>
      </c>
      <c r="H53" s="8" t="s">
        <v>458</v>
      </c>
      <c r="I53" s="8" t="s">
        <v>413</v>
      </c>
      <c r="J53" s="8" t="s">
        <v>459</v>
      </c>
      <c r="K53" s="8" t="s">
        <v>460</v>
      </c>
      <c r="L53" s="8" t="s">
        <v>461</v>
      </c>
    </row>
    <row r="54" customFormat="false" ht="15" hidden="false" customHeight="false" outlineLevel="0" collapsed="false">
      <c r="A54" s="64" t="n">
        <v>1</v>
      </c>
      <c r="B54" s="5" t="s">
        <v>108</v>
      </c>
      <c r="C54" s="7" t="s">
        <v>46</v>
      </c>
      <c r="D54" s="21"/>
      <c r="E54" s="64" t="str">
        <f aca="false">IF(B54="","",IFERROR("per "&amp;INDEX(EQUnit,MATCH(B54,EQU,0)),""))</f>
        <v>per day</v>
      </c>
      <c r="F54" s="21"/>
      <c r="G54" s="65" t="str">
        <f aca="false">IF(N(D54)=0,"",D54*IF(IFERROR(INDEX(EQUnit,MATCH(B54,EQU,0)),"")="LS",1,IF(ISNUMBER(F54),F54,N(CC_Days))))</f>
        <v/>
      </c>
      <c r="H54" s="66" t="n">
        <f aca="false">IF(B54="","",IFERROR(IF(AND(C54="Rented",ISNUMBER(INDEX(EQRent,MATCH(B54,EQU,0)))),INDEX(EQRent,MATCH(B54,EQU,0)),INDEX(EQCost,MATCH(B54,EQU,0))),0))</f>
        <v>800</v>
      </c>
      <c r="I54" s="62" t="n">
        <f aca="false">N(G54)*N(H54)</f>
        <v>0</v>
      </c>
      <c r="J54" s="15" t="n">
        <f aca="false">IF(I54=0,0,IFERROR(INDEX(MkMatrix,2,MATCH(C54,SrcU,0)),0))</f>
        <v>0</v>
      </c>
      <c r="K54" s="62" t="n">
        <f aca="false">I54*(1+J54)</f>
        <v>0</v>
      </c>
      <c r="L54" s="19" t="s">
        <v>466</v>
      </c>
    </row>
    <row r="55" customFormat="false" ht="15" hidden="false" customHeight="false" outlineLevel="0" collapsed="false">
      <c r="A55" s="64" t="n">
        <v>2</v>
      </c>
      <c r="B55" s="5" t="s">
        <v>111</v>
      </c>
      <c r="C55" s="7" t="s">
        <v>46</v>
      </c>
      <c r="D55" s="21"/>
      <c r="E55" s="64" t="str">
        <f aca="false">IF(B55="","",IFERROR("per "&amp;INDEX(EQUnit,MATCH(B55,EQU,0)),""))</f>
        <v>per day</v>
      </c>
      <c r="F55" s="21"/>
      <c r="G55" s="65" t="str">
        <f aca="false">IF(N(D55)=0,"",D55*IF(IFERROR(INDEX(EQUnit,MATCH(B55,EQU,0)),"")="LS",1,IF(ISNUMBER(F55),F55,N(CC_Days))))</f>
        <v/>
      </c>
      <c r="H55" s="66" t="n">
        <f aca="false">IF(B55="","",IFERROR(IF(AND(C55="Rented",ISNUMBER(INDEX(EQRent,MATCH(B55,EQU,0)))),INDEX(EQRent,MATCH(B55,EQU,0)),INDEX(EQCost,MATCH(B55,EQU,0))),0))</f>
        <v>800</v>
      </c>
      <c r="I55" s="62" t="n">
        <f aca="false">N(G55)*N(H55)</f>
        <v>0</v>
      </c>
      <c r="J55" s="15" t="n">
        <f aca="false">IF(I55=0,0,IFERROR(INDEX(MkMatrix,2,MATCH(C55,SrcU,0)),0))</f>
        <v>0</v>
      </c>
      <c r="K55" s="62" t="n">
        <f aca="false">I55*(1+J55)</f>
        <v>0</v>
      </c>
      <c r="L55" s="19"/>
    </row>
    <row r="56" customFormat="false" ht="15" hidden="false" customHeight="false" outlineLevel="0" collapsed="false">
      <c r="A56" s="64" t="n">
        <v>3</v>
      </c>
      <c r="B56" s="5" t="s">
        <v>117</v>
      </c>
      <c r="C56" s="7" t="s">
        <v>46</v>
      </c>
      <c r="D56" s="21"/>
      <c r="E56" s="64" t="str">
        <f aca="false">IF(B56="","",IFERROR("per "&amp;INDEX(EQUnit,MATCH(B56,EQU,0)),""))</f>
        <v>per day</v>
      </c>
      <c r="F56" s="21"/>
      <c r="G56" s="65" t="str">
        <f aca="false">IF(N(D56)=0,"",D56*IF(IFERROR(INDEX(EQUnit,MATCH(B56,EQU,0)),"")="LS",1,IF(ISNUMBER(F56),F56,N(CC_Days))))</f>
        <v/>
      </c>
      <c r="H56" s="66" t="n">
        <f aca="false">IF(B56="","",IFERROR(IF(AND(C56="Rented",ISNUMBER(INDEX(EQRent,MATCH(B56,EQU,0)))),INDEX(EQRent,MATCH(B56,EQU,0)),INDEX(EQCost,MATCH(B56,EQU,0))),0))</f>
        <v>150</v>
      </c>
      <c r="I56" s="62" t="n">
        <f aca="false">N(G56)*N(H56)</f>
        <v>0</v>
      </c>
      <c r="J56" s="15" t="n">
        <f aca="false">IF(I56=0,0,IFERROR(INDEX(MkMatrix,2,MATCH(C56,SrcU,0)),0))</f>
        <v>0</v>
      </c>
      <c r="K56" s="62" t="n">
        <f aca="false">I56*(1+J56)</f>
        <v>0</v>
      </c>
      <c r="L56" s="19"/>
    </row>
    <row r="57" customFormat="false" ht="15" hidden="false" customHeight="false" outlineLevel="0" collapsed="false">
      <c r="A57" s="64" t="n">
        <v>4</v>
      </c>
      <c r="B57" s="5" t="s">
        <v>118</v>
      </c>
      <c r="C57" s="7" t="s">
        <v>46</v>
      </c>
      <c r="D57" s="21"/>
      <c r="E57" s="64" t="str">
        <f aca="false">IF(B57="","",IFERROR("per "&amp;INDEX(EQUnit,MATCH(B57,EQU,0)),""))</f>
        <v>per day</v>
      </c>
      <c r="F57" s="21"/>
      <c r="G57" s="65" t="str">
        <f aca="false">IF(N(D57)=0,"",D57*IF(IFERROR(INDEX(EQUnit,MATCH(B57,EQU,0)),"")="LS",1,IF(ISNUMBER(F57),F57,N(CC_Days))))</f>
        <v/>
      </c>
      <c r="H57" s="66" t="n">
        <f aca="false">IF(B57="","",IFERROR(IF(AND(C57="Rented",ISNUMBER(INDEX(EQRent,MATCH(B57,EQU,0)))),INDEX(EQRent,MATCH(B57,EQU,0)),INDEX(EQCost,MATCH(B57,EQU,0))),0))</f>
        <v>150</v>
      </c>
      <c r="I57" s="62" t="n">
        <f aca="false">N(G57)*N(H57)</f>
        <v>0</v>
      </c>
      <c r="J57" s="15" t="n">
        <f aca="false">IF(I57=0,0,IFERROR(INDEX(MkMatrix,2,MATCH(C57,SrcU,0)),0))</f>
        <v>0</v>
      </c>
      <c r="K57" s="62" t="n">
        <f aca="false">I57*(1+J57)</f>
        <v>0</v>
      </c>
      <c r="L57" s="19"/>
    </row>
    <row r="58" customFormat="false" ht="15" hidden="false" customHeight="false" outlineLevel="0" collapsed="false">
      <c r="A58" s="64" t="n">
        <v>5</v>
      </c>
      <c r="B58" s="5" t="s">
        <v>119</v>
      </c>
      <c r="C58" s="7" t="s">
        <v>46</v>
      </c>
      <c r="D58" s="21"/>
      <c r="E58" s="64" t="str">
        <f aca="false">IF(B58="","",IFERROR("per "&amp;INDEX(EQUnit,MATCH(B58,EQU,0)),""))</f>
        <v/>
      </c>
      <c r="F58" s="21"/>
      <c r="G58" s="65" t="str">
        <f aca="false">IF(N(D58)=0,"",D58*IF(IFERROR(INDEX(EQUnit,MATCH(B58,EQU,0)),"")="LS",1,IF(ISNUMBER(F58),F58,N(CC_Days))))</f>
        <v/>
      </c>
      <c r="H58" s="66" t="n">
        <f aca="false">IF(B58="","",IFERROR(IF(AND(C58="Rented",ISNUMBER(INDEX(EQRent,MATCH(B58,EQU,0)))),INDEX(EQRent,MATCH(B58,EQU,0)),INDEX(EQCost,MATCH(B58,EQU,0))),0))</f>
        <v>0</v>
      </c>
      <c r="I58" s="62" t="n">
        <f aca="false">N(G58)*N(H58)</f>
        <v>0</v>
      </c>
      <c r="J58" s="15" t="n">
        <f aca="false">IF(I58=0,0,IFERROR(INDEX(MkMatrix,2,MATCH(C58,SrcU,0)),0))</f>
        <v>0</v>
      </c>
      <c r="K58" s="62" t="n">
        <f aca="false">I58*(1+J58)</f>
        <v>0</v>
      </c>
      <c r="L58" s="19"/>
    </row>
    <row r="59" customFormat="false" ht="15" hidden="false" customHeight="false" outlineLevel="0" collapsed="false">
      <c r="A59" s="64" t="n">
        <v>6</v>
      </c>
      <c r="B59" s="5" t="s">
        <v>122</v>
      </c>
      <c r="C59" s="7" t="s">
        <v>46</v>
      </c>
      <c r="D59" s="21"/>
      <c r="E59" s="64" t="str">
        <f aca="false">IF(B59="","",IFERROR("per "&amp;INDEX(EQUnit,MATCH(B59,EQU,0)),""))</f>
        <v>per day</v>
      </c>
      <c r="F59" s="21"/>
      <c r="G59" s="65" t="str">
        <f aca="false">IF(N(D59)=0,"",D59*IF(IFERROR(INDEX(EQUnit,MATCH(B59,EQU,0)),"")="LS",1,IF(ISNUMBER(F59),F59,N(CC_Days))))</f>
        <v/>
      </c>
      <c r="H59" s="66" t="n">
        <f aca="false">IF(B59="","",IFERROR(IF(AND(C59="Rented",ISNUMBER(INDEX(EQRent,MATCH(B59,EQU,0)))),INDEX(EQRent,MATCH(B59,EQU,0)),INDEX(EQCost,MATCH(B59,EQU,0))),0))</f>
        <v>3000</v>
      </c>
      <c r="I59" s="62" t="n">
        <f aca="false">N(G59)*N(H59)</f>
        <v>0</v>
      </c>
      <c r="J59" s="15" t="n">
        <f aca="false">IF(I59=0,0,IFERROR(INDEX(MkMatrix,2,MATCH(C59,SrcU,0)),0))</f>
        <v>0</v>
      </c>
      <c r="K59" s="62" t="n">
        <f aca="false">I59*(1+J59)</f>
        <v>0</v>
      </c>
      <c r="L59" s="19"/>
    </row>
    <row r="60" customFormat="false" ht="15" hidden="false" customHeight="false" outlineLevel="0" collapsed="false">
      <c r="A60" s="64" t="n">
        <v>7</v>
      </c>
      <c r="B60" s="5" t="s">
        <v>123</v>
      </c>
      <c r="C60" s="7" t="s">
        <v>46</v>
      </c>
      <c r="D60" s="21"/>
      <c r="E60" s="64" t="str">
        <f aca="false">IF(B60="","",IFERROR("per "&amp;INDEX(EQUnit,MATCH(B60,EQU,0)),""))</f>
        <v>per day</v>
      </c>
      <c r="F60" s="21"/>
      <c r="G60" s="65" t="str">
        <f aca="false">IF(N(D60)=0,"",D60*IF(IFERROR(INDEX(EQUnit,MATCH(B60,EQU,0)),"")="LS",1,IF(ISNUMBER(F60),F60,N(CC_Days))))</f>
        <v/>
      </c>
      <c r="H60" s="66" t="n">
        <f aca="false">IF(B60="","",IFERROR(IF(AND(C60="Rented",ISNUMBER(INDEX(EQRent,MATCH(B60,EQU,0)))),INDEX(EQRent,MATCH(B60,EQU,0)),INDEX(EQCost,MATCH(B60,EQU,0))),0))</f>
        <v>1000</v>
      </c>
      <c r="I60" s="62" t="n">
        <f aca="false">N(G60)*N(H60)</f>
        <v>0</v>
      </c>
      <c r="J60" s="15" t="n">
        <f aca="false">IF(I60=0,0,IFERROR(INDEX(MkMatrix,2,MATCH(C60,SrcU,0)),0))</f>
        <v>0</v>
      </c>
      <c r="K60" s="62" t="n">
        <f aca="false">I60*(1+J60)</f>
        <v>0</v>
      </c>
      <c r="L60" s="19"/>
    </row>
    <row r="61" customFormat="false" ht="15" hidden="false" customHeight="false" outlineLevel="0" collapsed="false">
      <c r="A61" s="64" t="n">
        <v>8</v>
      </c>
      <c r="B61" s="5" t="s">
        <v>124</v>
      </c>
      <c r="C61" s="7" t="s">
        <v>46</v>
      </c>
      <c r="D61" s="21"/>
      <c r="E61" s="64" t="str">
        <f aca="false">IF(B61="","",IFERROR("per "&amp;INDEX(EQUnit,MATCH(B61,EQU,0)),""))</f>
        <v>per day</v>
      </c>
      <c r="F61" s="21"/>
      <c r="G61" s="65" t="str">
        <f aca="false">IF(N(D61)=0,"",D61*IF(IFERROR(INDEX(EQUnit,MATCH(B61,EQU,0)),"")="LS",1,IF(ISNUMBER(F61),F61,N(CC_Days))))</f>
        <v/>
      </c>
      <c r="H61" s="66" t="n">
        <f aca="false">IF(B61="","",IFERROR(IF(AND(C61="Rented",ISNUMBER(INDEX(EQRent,MATCH(B61,EQU,0)))),INDEX(EQRent,MATCH(B61,EQU,0)),INDEX(EQCost,MATCH(B61,EQU,0))),0))</f>
        <v>500</v>
      </c>
      <c r="I61" s="62" t="n">
        <f aca="false">N(G61)*N(H61)</f>
        <v>0</v>
      </c>
      <c r="J61" s="15" t="n">
        <f aca="false">IF(I61=0,0,IFERROR(INDEX(MkMatrix,2,MATCH(C61,SrcU,0)),0))</f>
        <v>0</v>
      </c>
      <c r="K61" s="62" t="n">
        <f aca="false">I61*(1+J61)</f>
        <v>0</v>
      </c>
      <c r="L61" s="19"/>
    </row>
    <row r="62" customFormat="false" ht="15" hidden="false" customHeight="false" outlineLevel="0" collapsed="false">
      <c r="A62" s="64" t="n">
        <v>9</v>
      </c>
      <c r="B62" s="5" t="s">
        <v>126</v>
      </c>
      <c r="C62" s="7" t="s">
        <v>46</v>
      </c>
      <c r="D62" s="21"/>
      <c r="E62" s="64" t="str">
        <f aca="false">IF(B62="","",IFERROR("per "&amp;INDEX(EQUnit,MATCH(B62,EQU,0)),""))</f>
        <v>per day</v>
      </c>
      <c r="F62" s="21"/>
      <c r="G62" s="65" t="str">
        <f aca="false">IF(N(D62)=0,"",D62*IF(IFERROR(INDEX(EQUnit,MATCH(B62,EQU,0)),"")="LS",1,IF(ISNUMBER(F62),F62,N(CC_Days))))</f>
        <v/>
      </c>
      <c r="H62" s="66" t="n">
        <f aca="false">IF(B62="","",IFERROR(IF(AND(C62="Rented",ISNUMBER(INDEX(EQRent,MATCH(B62,EQU,0)))),INDEX(EQRent,MATCH(B62,EQU,0)),INDEX(EQCost,MATCH(B62,EQU,0))),0))</f>
        <v>500</v>
      </c>
      <c r="I62" s="62" t="n">
        <f aca="false">N(G62)*N(H62)</f>
        <v>0</v>
      </c>
      <c r="J62" s="15" t="n">
        <f aca="false">IF(I62=0,0,IFERROR(INDEX(MkMatrix,2,MATCH(C62,SrcU,0)),0))</f>
        <v>0</v>
      </c>
      <c r="K62" s="62" t="n">
        <f aca="false">I62*(1+J62)</f>
        <v>0</v>
      </c>
      <c r="L62" s="19"/>
    </row>
    <row r="63" customFormat="false" ht="15" hidden="false" customHeight="false" outlineLevel="0" collapsed="false">
      <c r="A63" s="64" t="n">
        <v>10</v>
      </c>
      <c r="B63" s="5" t="s">
        <v>127</v>
      </c>
      <c r="C63" s="7" t="s">
        <v>46</v>
      </c>
      <c r="D63" s="21"/>
      <c r="E63" s="64" t="str">
        <f aca="false">IF(B63="","",IFERROR("per "&amp;INDEX(EQUnit,MATCH(B63,EQU,0)),""))</f>
        <v>per LS</v>
      </c>
      <c r="F63" s="21"/>
      <c r="G63" s="65" t="str">
        <f aca="false">IF(N(D63)=0,"",D63*IF(IFERROR(INDEX(EQUnit,MATCH(B63,EQU,0)),"")="LS",1,IF(ISNUMBER(F63),F63,N(CC_Days))))</f>
        <v/>
      </c>
      <c r="H63" s="66" t="n">
        <f aca="false">IF(B63="","",IFERROR(IF(AND(C63="Rented",ISNUMBER(INDEX(EQRent,MATCH(B63,EQU,0)))),INDEX(EQRent,MATCH(B63,EQU,0)),INDEX(EQCost,MATCH(B63,EQU,0))),0))</f>
        <v>10000</v>
      </c>
      <c r="I63" s="62" t="n">
        <f aca="false">N(G63)*N(H63)</f>
        <v>0</v>
      </c>
      <c r="J63" s="15" t="n">
        <f aca="false">IF(I63=0,0,IFERROR(INDEX(MkMatrix,2,MATCH(C63,SrcU,0)),0))</f>
        <v>0</v>
      </c>
      <c r="K63" s="62" t="n">
        <f aca="false">I63*(1+J63)</f>
        <v>0</v>
      </c>
      <c r="L63" s="19"/>
    </row>
    <row r="64" customFormat="false" ht="15" hidden="false" customHeight="false" outlineLevel="0" collapsed="false">
      <c r="A64" s="64" t="n">
        <v>11</v>
      </c>
      <c r="B64" s="5" t="s">
        <v>114</v>
      </c>
      <c r="C64" s="7" t="s">
        <v>46</v>
      </c>
      <c r="D64" s="21"/>
      <c r="E64" s="64" t="str">
        <f aca="false">IF(B64="","",IFERROR("per "&amp;INDEX(EQUnit,MATCH(B64,EQU,0)),""))</f>
        <v>per day</v>
      </c>
      <c r="F64" s="21"/>
      <c r="G64" s="65" t="str">
        <f aca="false">IF(N(D64)=0,"",D64*IF(IFERROR(INDEX(EQUnit,MATCH(B64,EQU,0)),"")="LS",1,IF(ISNUMBER(F64),F64,N(CC_Days))))</f>
        <v/>
      </c>
      <c r="H64" s="66" t="n">
        <f aca="false">IF(B64="","",IFERROR(IF(AND(C64="Rented",ISNUMBER(INDEX(EQRent,MATCH(B64,EQU,0)))),INDEX(EQRent,MATCH(B64,EQU,0)),INDEX(EQCost,MATCH(B64,EQU,0))),0))</f>
        <v>300</v>
      </c>
      <c r="I64" s="62" t="n">
        <f aca="false">N(G64)*N(H64)</f>
        <v>0</v>
      </c>
      <c r="J64" s="15" t="n">
        <f aca="false">IF(I64=0,0,IFERROR(INDEX(MkMatrix,2,MATCH(C64,SrcU,0)),0))</f>
        <v>0</v>
      </c>
      <c r="K64" s="62" t="n">
        <f aca="false">I64*(1+J64)</f>
        <v>0</v>
      </c>
      <c r="L64" s="19"/>
    </row>
    <row r="65" customFormat="false" ht="15" hidden="false" customHeight="false" outlineLevel="0" collapsed="false">
      <c r="A65" s="64" t="n">
        <v>12</v>
      </c>
      <c r="B65" s="5" t="s">
        <v>131</v>
      </c>
      <c r="C65" s="7" t="s">
        <v>46</v>
      </c>
      <c r="D65" s="21"/>
      <c r="E65" s="64" t="str">
        <f aca="false">IF(B65="","",IFERROR("per "&amp;INDEX(EQUnit,MATCH(B65,EQU,0)),""))</f>
        <v>per day</v>
      </c>
      <c r="F65" s="21"/>
      <c r="G65" s="65" t="str">
        <f aca="false">IF(N(D65)=0,"",D65*IF(IFERROR(INDEX(EQUnit,MATCH(B65,EQU,0)),"")="LS",1,IF(ISNUMBER(F65),F65,N(CC_Days))))</f>
        <v/>
      </c>
      <c r="H65" s="66" t="n">
        <f aca="false">IF(B65="","",IFERROR(IF(AND(C65="Rented",ISNUMBER(INDEX(EQRent,MATCH(B65,EQU,0)))),INDEX(EQRent,MATCH(B65,EQU,0)),INDEX(EQCost,MATCH(B65,EQU,0))),0))</f>
        <v>300</v>
      </c>
      <c r="I65" s="62" t="n">
        <f aca="false">N(G65)*N(H65)</f>
        <v>0</v>
      </c>
      <c r="J65" s="15" t="n">
        <f aca="false">IF(I65=0,0,IFERROR(INDEX(MkMatrix,2,MATCH(C65,SrcU,0)),0))</f>
        <v>0</v>
      </c>
      <c r="K65" s="62" t="n">
        <f aca="false">I65*(1+J65)</f>
        <v>0</v>
      </c>
      <c r="L65" s="19"/>
    </row>
    <row r="66" customFormat="false" ht="15" hidden="false" customHeight="false" outlineLevel="0" collapsed="false">
      <c r="A66" s="64" t="n">
        <v>13</v>
      </c>
      <c r="B66" s="5"/>
      <c r="C66" s="7" t="s">
        <v>46</v>
      </c>
      <c r="D66" s="21"/>
      <c r="E66" s="64" t="str">
        <f aca="false">IF(B66="","",IFERROR("per "&amp;INDEX(EQUnit,MATCH(B66,EQU,0)),""))</f>
        <v/>
      </c>
      <c r="F66" s="21"/>
      <c r="G66" s="65" t="str">
        <f aca="false">IF(N(D66)=0,"",D66*IF(IFERROR(INDEX(EQUnit,MATCH(B66,EQU,0)),"")="LS",1,IF(ISNUMBER(F66),F66,N(CC_Days))))</f>
        <v/>
      </c>
      <c r="H66" s="66" t="str">
        <f aca="false">IF(B66="","",IFERROR(IF(AND(C66="Rented",ISNUMBER(INDEX(EQRent,MATCH(B66,EQU,0)))),INDEX(EQRent,MATCH(B66,EQU,0)),INDEX(EQCost,MATCH(B66,EQU,0))),0))</f>
        <v/>
      </c>
      <c r="I66" s="62" t="n">
        <f aca="false">N(G66)*N(H66)</f>
        <v>0</v>
      </c>
      <c r="J66" s="15" t="n">
        <f aca="false">IF(I66=0,0,IFERROR(INDEX(MkMatrix,2,MATCH(C66,SrcU,0)),0))</f>
        <v>0</v>
      </c>
      <c r="K66" s="62" t="n">
        <f aca="false">I66*(1+J66)</f>
        <v>0</v>
      </c>
      <c r="L66" s="19"/>
    </row>
    <row r="67" customFormat="false" ht="15" hidden="false" customHeight="false" outlineLevel="0" collapsed="false">
      <c r="A67" s="64" t="n">
        <v>14</v>
      </c>
      <c r="B67" s="5"/>
      <c r="C67" s="7" t="s">
        <v>46</v>
      </c>
      <c r="D67" s="21"/>
      <c r="E67" s="64" t="str">
        <f aca="false">IF(B67="","",IFERROR("per "&amp;INDEX(EQUnit,MATCH(B67,EQU,0)),""))</f>
        <v/>
      </c>
      <c r="F67" s="21"/>
      <c r="G67" s="65" t="str">
        <f aca="false">IF(N(D67)=0,"",D67*IF(IFERROR(INDEX(EQUnit,MATCH(B67,EQU,0)),"")="LS",1,IF(ISNUMBER(F67),F67,N(CC_Days))))</f>
        <v/>
      </c>
      <c r="H67" s="66" t="str">
        <f aca="false">IF(B67="","",IFERROR(IF(AND(C67="Rented",ISNUMBER(INDEX(EQRent,MATCH(B67,EQU,0)))),INDEX(EQRent,MATCH(B67,EQU,0)),INDEX(EQCost,MATCH(B67,EQU,0))),0))</f>
        <v/>
      </c>
      <c r="I67" s="62" t="n">
        <f aca="false">N(G67)*N(H67)</f>
        <v>0</v>
      </c>
      <c r="J67" s="15" t="n">
        <f aca="false">IF(I67=0,0,IFERROR(INDEX(MkMatrix,2,MATCH(C67,SrcU,0)),0))</f>
        <v>0</v>
      </c>
      <c r="K67" s="62" t="n">
        <f aca="false">I67*(1+J67)</f>
        <v>0</v>
      </c>
      <c r="L67" s="19"/>
    </row>
    <row r="68" customFormat="false" ht="15" hidden="false" customHeight="false" outlineLevel="0" collapsed="false">
      <c r="A68" s="64" t="n">
        <v>15</v>
      </c>
      <c r="B68" s="5"/>
      <c r="C68" s="7" t="s">
        <v>46</v>
      </c>
      <c r="D68" s="21"/>
      <c r="E68" s="64" t="str">
        <f aca="false">IF(B68="","",IFERROR("per "&amp;INDEX(EQUnit,MATCH(B68,EQU,0)),""))</f>
        <v/>
      </c>
      <c r="F68" s="21"/>
      <c r="G68" s="65" t="str">
        <f aca="false">IF(N(D68)=0,"",D68*IF(IFERROR(INDEX(EQUnit,MATCH(B68,EQU,0)),"")="LS",1,IF(ISNUMBER(F68),F68,N(CC_Days))))</f>
        <v/>
      </c>
      <c r="H68" s="66" t="str">
        <f aca="false">IF(B68="","",IFERROR(IF(AND(C68="Rented",ISNUMBER(INDEX(EQRent,MATCH(B68,EQU,0)))),INDEX(EQRent,MATCH(B68,EQU,0)),INDEX(EQCost,MATCH(B68,EQU,0))),0))</f>
        <v/>
      </c>
      <c r="I68" s="62" t="n">
        <f aca="false">N(G68)*N(H68)</f>
        <v>0</v>
      </c>
      <c r="J68" s="15" t="n">
        <f aca="false">IF(I68=0,0,IFERROR(INDEX(MkMatrix,2,MATCH(C68,SrcU,0)),0))</f>
        <v>0</v>
      </c>
      <c r="K68" s="62" t="n">
        <f aca="false">I68*(1+J68)</f>
        <v>0</v>
      </c>
      <c r="L68" s="19"/>
    </row>
    <row r="69" customFormat="false" ht="15" hidden="false" customHeight="false" outlineLevel="0" collapsed="false">
      <c r="A69" s="64" t="n">
        <v>16</v>
      </c>
      <c r="B69" s="5"/>
      <c r="C69" s="7" t="s">
        <v>46</v>
      </c>
      <c r="D69" s="21"/>
      <c r="E69" s="64" t="str">
        <f aca="false">IF(B69="","",IFERROR("per "&amp;INDEX(EQUnit,MATCH(B69,EQU,0)),""))</f>
        <v/>
      </c>
      <c r="F69" s="21"/>
      <c r="G69" s="65" t="str">
        <f aca="false">IF(N(D69)=0,"",D69*IF(IFERROR(INDEX(EQUnit,MATCH(B69,EQU,0)),"")="LS",1,IF(ISNUMBER(F69),F69,N(CC_Days))))</f>
        <v/>
      </c>
      <c r="H69" s="66" t="str">
        <f aca="false">IF(B69="","",IFERROR(IF(AND(C69="Rented",ISNUMBER(INDEX(EQRent,MATCH(B69,EQU,0)))),INDEX(EQRent,MATCH(B69,EQU,0)),INDEX(EQCost,MATCH(B69,EQU,0))),0))</f>
        <v/>
      </c>
      <c r="I69" s="62" t="n">
        <f aca="false">N(G69)*N(H69)</f>
        <v>0</v>
      </c>
      <c r="J69" s="15" t="n">
        <f aca="false">IF(I69=0,0,IFERROR(INDEX(MkMatrix,2,MATCH(C69,SrcU,0)),0))</f>
        <v>0</v>
      </c>
      <c r="K69" s="62" t="n">
        <f aca="false">I69*(1+J69)</f>
        <v>0</v>
      </c>
      <c r="L69" s="19"/>
    </row>
    <row r="70" customFormat="false" ht="15" hidden="false" customHeight="false" outlineLevel="0" collapsed="false">
      <c r="B70" s="4" t="s">
        <v>467</v>
      </c>
      <c r="I70" s="63" t="n">
        <f aca="false">SUM(I54:I69)</f>
        <v>0</v>
      </c>
      <c r="K70" s="63" t="n">
        <f aca="false">SUM(K54:K69)</f>
        <v>0</v>
      </c>
    </row>
    <row r="72" customFormat="false" ht="19.5" hidden="false" customHeight="true" outlineLevel="0" collapsed="false">
      <c r="A72" s="3" t="s">
        <v>468</v>
      </c>
      <c r="B72" s="3"/>
      <c r="C72" s="3"/>
      <c r="D72" s="3"/>
      <c r="E72" s="3"/>
      <c r="F72" s="3"/>
      <c r="G72" s="3"/>
      <c r="H72" s="3"/>
      <c r="I72" s="3"/>
      <c r="J72" s="3"/>
      <c r="K72" s="3"/>
      <c r="L72" s="3"/>
    </row>
    <row r="73" customFormat="false" ht="25.5" hidden="false" customHeight="true" outlineLevel="0" collapsed="false">
      <c r="A73" s="8" t="s">
        <v>334</v>
      </c>
      <c r="B73" s="8" t="s">
        <v>172</v>
      </c>
      <c r="C73" s="8" t="s">
        <v>17</v>
      </c>
      <c r="D73" s="8" t="s">
        <v>455</v>
      </c>
      <c r="E73" s="8" t="s">
        <v>107</v>
      </c>
      <c r="F73" s="8" t="s">
        <v>456</v>
      </c>
      <c r="G73" s="8" t="s">
        <v>457</v>
      </c>
      <c r="H73" s="8" t="s">
        <v>458</v>
      </c>
      <c r="I73" s="8" t="s">
        <v>413</v>
      </c>
      <c r="J73" s="8" t="s">
        <v>459</v>
      </c>
      <c r="K73" s="8" t="s">
        <v>460</v>
      </c>
      <c r="L73" s="8" t="s">
        <v>461</v>
      </c>
    </row>
    <row r="74" customFormat="false" ht="22.35" hidden="false" customHeight="false" outlineLevel="0" collapsed="false">
      <c r="A74" s="64" t="n">
        <v>1</v>
      </c>
      <c r="B74" s="5" t="s">
        <v>179</v>
      </c>
      <c r="C74" s="7" t="s">
        <v>48</v>
      </c>
      <c r="D74" s="21"/>
      <c r="E74" s="64" t="str">
        <f aca="false">IF(B74="","",IFERROR(INDEX(CNUnit,MATCH(B74,CNU,0)),""))</f>
        <v>person-day</v>
      </c>
      <c r="F74" s="21"/>
      <c r="G74" s="65" t="str">
        <f aca="false">IF(N(D74)=0,"",D74*IF(ISNUMBER(F74),F74,1))</f>
        <v/>
      </c>
      <c r="H74" s="66" t="n">
        <f aca="false">IF(B74="","",IFERROR(INDEX(CNCost,MATCH(B74,CNU,0)),0))</f>
        <v>1500</v>
      </c>
      <c r="I74" s="62" t="n">
        <f aca="false">N(G74)*N(H74)</f>
        <v>0</v>
      </c>
      <c r="J74" s="15" t="n">
        <f aca="false">IF(I74=0,0,IFERROR(INDEX(MkMatrix,3,MATCH(C74,SrcU,0)),0))</f>
        <v>0</v>
      </c>
      <c r="K74" s="62" t="n">
        <f aca="false">I74*(1+J74)</f>
        <v>0</v>
      </c>
      <c r="L74" s="19" t="s">
        <v>469</v>
      </c>
    </row>
    <row r="75" customFormat="false" ht="15" hidden="false" customHeight="false" outlineLevel="0" collapsed="false">
      <c r="A75" s="64" t="n">
        <v>2</v>
      </c>
      <c r="B75" s="5" t="s">
        <v>181</v>
      </c>
      <c r="C75" s="7" t="s">
        <v>48</v>
      </c>
      <c r="D75" s="21"/>
      <c r="E75" s="64" t="str">
        <f aca="false">IF(B75="","",IFERROR(INDEX(CNUnit,MATCH(B75,CNU,0)),""))</f>
        <v>roll</v>
      </c>
      <c r="F75" s="21"/>
      <c r="G75" s="65" t="str">
        <f aca="false">IF(N(D75)=0,"",D75*IF(ISNUMBER(F75),F75,1))</f>
        <v/>
      </c>
      <c r="H75" s="66" t="n">
        <f aca="false">IF(B75="","",IFERROR(INDEX(CNCost,MATCH(B75,CNU,0)),0))</f>
        <v>150</v>
      </c>
      <c r="I75" s="62" t="n">
        <f aca="false">N(G75)*N(H75)</f>
        <v>0</v>
      </c>
      <c r="J75" s="15" t="n">
        <f aca="false">IF(I75=0,0,IFERROR(INDEX(MkMatrix,3,MATCH(C75,SrcU,0)),0))</f>
        <v>0</v>
      </c>
      <c r="K75" s="62" t="n">
        <f aca="false">I75*(1+J75)</f>
        <v>0</v>
      </c>
      <c r="L75" s="19"/>
    </row>
    <row r="76" customFormat="false" ht="15" hidden="false" customHeight="false" outlineLevel="0" collapsed="false">
      <c r="A76" s="64" t="n">
        <v>3</v>
      </c>
      <c r="B76" s="5" t="s">
        <v>183</v>
      </c>
      <c r="C76" s="7" t="s">
        <v>48</v>
      </c>
      <c r="D76" s="21"/>
      <c r="E76" s="64" t="str">
        <f aca="false">IF(B76="","",IFERROR(INDEX(CNUnit,MATCH(B76,CNU,0)),""))</f>
        <v>trip</v>
      </c>
      <c r="F76" s="21"/>
      <c r="G76" s="65" t="str">
        <f aca="false">IF(N(D76)=0,"",D76*IF(ISNUMBER(F76),F76,1))</f>
        <v/>
      </c>
      <c r="H76" s="66" t="n">
        <f aca="false">IF(B76="","",IFERROR(INDEX(CNCost,MATCH(B76,CNU,0)),0))</f>
        <v>18350</v>
      </c>
      <c r="I76" s="62" t="n">
        <f aca="false">N(G76)*N(H76)</f>
        <v>0</v>
      </c>
      <c r="J76" s="15" t="n">
        <f aca="false">IF(I76=0,0,IFERROR(INDEX(MkMatrix,3,MATCH(C76,SrcU,0)),0))</f>
        <v>0</v>
      </c>
      <c r="K76" s="62" t="n">
        <f aca="false">I76*(1+J76)</f>
        <v>0</v>
      </c>
      <c r="L76" s="19"/>
    </row>
    <row r="77" customFormat="false" ht="15" hidden="false" customHeight="false" outlineLevel="0" collapsed="false">
      <c r="A77" s="64" t="n">
        <v>4</v>
      </c>
      <c r="B77" s="5" t="s">
        <v>189</v>
      </c>
      <c r="C77" s="7" t="s">
        <v>48</v>
      </c>
      <c r="D77" s="21"/>
      <c r="E77" s="64" t="str">
        <f aca="false">IF(B77="","",IFERROR(INDEX(CNUnit,MATCH(B77,CNU,0)),""))</f>
        <v>month</v>
      </c>
      <c r="F77" s="21"/>
      <c r="G77" s="65" t="str">
        <f aca="false">IF(N(D77)=0,"",D77*IF(ISNUMBER(F77),F77,1))</f>
        <v/>
      </c>
      <c r="H77" s="66" t="n">
        <f aca="false">IF(B77="","",IFERROR(INDEX(CNCost,MATCH(B77,CNU,0)),0))</f>
        <v>3000</v>
      </c>
      <c r="I77" s="62" t="n">
        <f aca="false">N(G77)*N(H77)</f>
        <v>0</v>
      </c>
      <c r="J77" s="15" t="n">
        <f aca="false">IF(I77=0,0,IFERROR(INDEX(MkMatrix,3,MATCH(C77,SrcU,0)),0))</f>
        <v>0</v>
      </c>
      <c r="K77" s="62" t="n">
        <f aca="false">I77*(1+J77)</f>
        <v>0</v>
      </c>
      <c r="L77" s="19"/>
    </row>
    <row r="78" customFormat="false" ht="15" hidden="false" customHeight="false" outlineLevel="0" collapsed="false">
      <c r="A78" s="64" t="n">
        <v>5</v>
      </c>
      <c r="B78" s="5"/>
      <c r="C78" s="7" t="s">
        <v>48</v>
      </c>
      <c r="D78" s="21"/>
      <c r="E78" s="64" t="str">
        <f aca="false">IF(B78="","",IFERROR(INDEX(CNUnit,MATCH(B78,CNU,0)),""))</f>
        <v/>
      </c>
      <c r="F78" s="21"/>
      <c r="G78" s="65" t="str">
        <f aca="false">IF(N(D78)=0,"",D78*IF(ISNUMBER(F78),F78,1))</f>
        <v/>
      </c>
      <c r="H78" s="66" t="str">
        <f aca="false">IF(B78="","",IFERROR(INDEX(CNCost,MATCH(B78,CNU,0)),0))</f>
        <v/>
      </c>
      <c r="I78" s="62" t="n">
        <f aca="false">N(G78)*N(H78)</f>
        <v>0</v>
      </c>
      <c r="J78" s="15" t="n">
        <f aca="false">IF(I78=0,0,IFERROR(INDEX(MkMatrix,3,MATCH(C78,SrcU,0)),0))</f>
        <v>0</v>
      </c>
      <c r="K78" s="62" t="n">
        <f aca="false">I78*(1+J78)</f>
        <v>0</v>
      </c>
      <c r="L78" s="19"/>
    </row>
    <row r="79" customFormat="false" ht="15" hidden="false" customHeight="false" outlineLevel="0" collapsed="false">
      <c r="A79" s="64" t="n">
        <v>6</v>
      </c>
      <c r="B79" s="5"/>
      <c r="C79" s="7" t="s">
        <v>48</v>
      </c>
      <c r="D79" s="21"/>
      <c r="E79" s="64" t="str">
        <f aca="false">IF(B79="","",IFERROR(INDEX(CNUnit,MATCH(B79,CNU,0)),""))</f>
        <v/>
      </c>
      <c r="F79" s="21"/>
      <c r="G79" s="65" t="str">
        <f aca="false">IF(N(D79)=0,"",D79*IF(ISNUMBER(F79),F79,1))</f>
        <v/>
      </c>
      <c r="H79" s="66" t="str">
        <f aca="false">IF(B79="","",IFERROR(INDEX(CNCost,MATCH(B79,CNU,0)),0))</f>
        <v/>
      </c>
      <c r="I79" s="62" t="n">
        <f aca="false">N(G79)*N(H79)</f>
        <v>0</v>
      </c>
      <c r="J79" s="15" t="n">
        <f aca="false">IF(I79=0,0,IFERROR(INDEX(MkMatrix,3,MATCH(C79,SrcU,0)),0))</f>
        <v>0</v>
      </c>
      <c r="K79" s="62" t="n">
        <f aca="false">I79*(1+J79)</f>
        <v>0</v>
      </c>
      <c r="L79" s="19"/>
    </row>
    <row r="80" customFormat="false" ht="15" hidden="false" customHeight="false" outlineLevel="0" collapsed="false">
      <c r="A80" s="64" t="n">
        <v>7</v>
      </c>
      <c r="B80" s="5"/>
      <c r="C80" s="7" t="s">
        <v>48</v>
      </c>
      <c r="D80" s="21"/>
      <c r="E80" s="64" t="str">
        <f aca="false">IF(B80="","",IFERROR(INDEX(CNUnit,MATCH(B80,CNU,0)),""))</f>
        <v/>
      </c>
      <c r="F80" s="21"/>
      <c r="G80" s="65" t="str">
        <f aca="false">IF(N(D80)=0,"",D80*IF(ISNUMBER(F80),F80,1))</f>
        <v/>
      </c>
      <c r="H80" s="66" t="str">
        <f aca="false">IF(B80="","",IFERROR(INDEX(CNCost,MATCH(B80,CNU,0)),0))</f>
        <v/>
      </c>
      <c r="I80" s="62" t="n">
        <f aca="false">N(G80)*N(H80)</f>
        <v>0</v>
      </c>
      <c r="J80" s="15" t="n">
        <f aca="false">IF(I80=0,0,IFERROR(INDEX(MkMatrix,3,MATCH(C80,SrcU,0)),0))</f>
        <v>0</v>
      </c>
      <c r="K80" s="62" t="n">
        <f aca="false">I80*(1+J80)</f>
        <v>0</v>
      </c>
      <c r="L80" s="19"/>
    </row>
    <row r="81" customFormat="false" ht="15" hidden="false" customHeight="false" outlineLevel="0" collapsed="false">
      <c r="A81" s="64" t="n">
        <v>8</v>
      </c>
      <c r="B81" s="5"/>
      <c r="C81" s="7" t="s">
        <v>48</v>
      </c>
      <c r="D81" s="21"/>
      <c r="E81" s="64" t="str">
        <f aca="false">IF(B81="","",IFERROR(INDEX(CNUnit,MATCH(B81,CNU,0)),""))</f>
        <v/>
      </c>
      <c r="F81" s="21"/>
      <c r="G81" s="65" t="str">
        <f aca="false">IF(N(D81)=0,"",D81*IF(ISNUMBER(F81),F81,1))</f>
        <v/>
      </c>
      <c r="H81" s="66" t="str">
        <f aca="false">IF(B81="","",IFERROR(INDEX(CNCost,MATCH(B81,CNU,0)),0))</f>
        <v/>
      </c>
      <c r="I81" s="62" t="n">
        <f aca="false">N(G81)*N(H81)</f>
        <v>0</v>
      </c>
      <c r="J81" s="15" t="n">
        <f aca="false">IF(I81=0,0,IFERROR(INDEX(MkMatrix,3,MATCH(C81,SrcU,0)),0))</f>
        <v>0</v>
      </c>
      <c r="K81" s="62" t="n">
        <f aca="false">I81*(1+J81)</f>
        <v>0</v>
      </c>
      <c r="L81" s="19"/>
    </row>
    <row r="82" customFormat="false" ht="15" hidden="false" customHeight="false" outlineLevel="0" collapsed="false">
      <c r="B82" s="4" t="s">
        <v>470</v>
      </c>
      <c r="I82" s="63" t="n">
        <f aca="false">SUM(I74:I81)</f>
        <v>0</v>
      </c>
      <c r="K82" s="63" t="n">
        <f aca="false">SUM(K74:K81)</f>
        <v>0</v>
      </c>
    </row>
    <row r="84" customFormat="false" ht="19.5" hidden="false" customHeight="true" outlineLevel="0" collapsed="false">
      <c r="A84" s="3" t="s">
        <v>471</v>
      </c>
      <c r="B84" s="3"/>
      <c r="C84" s="3"/>
      <c r="D84" s="3"/>
      <c r="E84" s="3"/>
      <c r="F84" s="3"/>
      <c r="G84" s="3"/>
      <c r="H84" s="3"/>
      <c r="I84" s="3"/>
      <c r="J84" s="3"/>
      <c r="K84" s="3"/>
      <c r="L84" s="3"/>
    </row>
    <row r="85" customFormat="false" ht="25.5" hidden="false" customHeight="true" outlineLevel="0" collapsed="false">
      <c r="A85" s="8" t="s">
        <v>334</v>
      </c>
      <c r="B85" s="8" t="s">
        <v>172</v>
      </c>
      <c r="C85" s="8" t="s">
        <v>17</v>
      </c>
      <c r="D85" s="8" t="s">
        <v>455</v>
      </c>
      <c r="E85" s="8" t="s">
        <v>107</v>
      </c>
      <c r="F85" s="8" t="s">
        <v>456</v>
      </c>
      <c r="G85" s="8" t="s">
        <v>457</v>
      </c>
      <c r="H85" s="8" t="s">
        <v>458</v>
      </c>
      <c r="I85" s="8" t="s">
        <v>413</v>
      </c>
      <c r="J85" s="8" t="s">
        <v>459</v>
      </c>
      <c r="K85" s="8" t="s">
        <v>460</v>
      </c>
      <c r="L85" s="8" t="s">
        <v>461</v>
      </c>
    </row>
    <row r="86" customFormat="false" ht="15" hidden="false" customHeight="false" outlineLevel="0" collapsed="false">
      <c r="A86" s="64" t="n">
        <v>1</v>
      </c>
      <c r="B86" s="5" t="s">
        <v>195</v>
      </c>
      <c r="C86" s="7" t="s">
        <v>47</v>
      </c>
      <c r="D86" s="21"/>
      <c r="E86" s="64" t="s">
        <v>472</v>
      </c>
      <c r="F86" s="21" t="n">
        <v>2</v>
      </c>
      <c r="G86" s="65" t="str">
        <f aca="false">IF(N(D86)=0,"",D86*N(F86))</f>
        <v/>
      </c>
      <c r="H86" s="66" t="n">
        <f aca="false">IF(B86="","",IFERROR(INDEX(VHCost,MATCH(B86,VHU,0)),0))</f>
        <v>15000</v>
      </c>
      <c r="I86" s="62" t="n">
        <f aca="false">N(G86)*N(H86)</f>
        <v>0</v>
      </c>
      <c r="J86" s="15" t="n">
        <f aca="false">IF(I86=0,0,IFERROR(INDEX(MkMatrix,2,MATCH(C86,SrcU,0)),0))</f>
        <v>0</v>
      </c>
      <c r="K86" s="62" t="n">
        <f aca="false">I86*(1+J86)</f>
        <v>0</v>
      </c>
      <c r="L86" s="19" t="s">
        <v>473</v>
      </c>
    </row>
    <row r="87" customFormat="false" ht="15" hidden="false" customHeight="false" outlineLevel="0" collapsed="false">
      <c r="A87" s="64" t="n">
        <v>2</v>
      </c>
      <c r="B87" s="5"/>
      <c r="C87" s="7" t="s">
        <v>47</v>
      </c>
      <c r="D87" s="21"/>
      <c r="E87" s="64" t="s">
        <v>472</v>
      </c>
      <c r="F87" s="21" t="n">
        <v>2</v>
      </c>
      <c r="G87" s="65" t="str">
        <f aca="false">IF(N(D87)=0,"",D87*N(F87))</f>
        <v/>
      </c>
      <c r="H87" s="66" t="str">
        <f aca="false">IF(B87="","",IFERROR(INDEX(VHCost,MATCH(B87,VHU,0)),0))</f>
        <v/>
      </c>
      <c r="I87" s="62" t="n">
        <f aca="false">N(G87)*N(H87)</f>
        <v>0</v>
      </c>
      <c r="J87" s="15" t="n">
        <f aca="false">IF(I87=0,0,IFERROR(INDEX(MkMatrix,2,MATCH(C87,SrcU,0)),0))</f>
        <v>0</v>
      </c>
      <c r="K87" s="62" t="n">
        <f aca="false">I87*(1+J87)</f>
        <v>0</v>
      </c>
      <c r="L87" s="19"/>
    </row>
    <row r="88" customFormat="false" ht="15" hidden="false" customHeight="false" outlineLevel="0" collapsed="false">
      <c r="A88" s="64" t="n">
        <v>3</v>
      </c>
      <c r="B88" s="5"/>
      <c r="C88" s="7" t="s">
        <v>47</v>
      </c>
      <c r="D88" s="21"/>
      <c r="E88" s="64" t="s">
        <v>472</v>
      </c>
      <c r="F88" s="21" t="n">
        <v>2</v>
      </c>
      <c r="G88" s="65" t="str">
        <f aca="false">IF(N(D88)=0,"",D88*N(F88))</f>
        <v/>
      </c>
      <c r="H88" s="66" t="str">
        <f aca="false">IF(B88="","",IFERROR(INDEX(VHCost,MATCH(B88,VHU,0)),0))</f>
        <v/>
      </c>
      <c r="I88" s="62" t="n">
        <f aca="false">N(G88)*N(H88)</f>
        <v>0</v>
      </c>
      <c r="J88" s="15" t="n">
        <f aca="false">IF(I88=0,0,IFERROR(INDEX(MkMatrix,2,MATCH(C88,SrcU,0)),0))</f>
        <v>0</v>
      </c>
      <c r="K88" s="62" t="n">
        <f aca="false">I88*(1+J88)</f>
        <v>0</v>
      </c>
      <c r="L88" s="19"/>
    </row>
    <row r="89" customFormat="false" ht="15" hidden="false" customHeight="false" outlineLevel="0" collapsed="false">
      <c r="A89" s="64" t="n">
        <v>4</v>
      </c>
      <c r="B89" s="5"/>
      <c r="C89" s="7" t="s">
        <v>47</v>
      </c>
      <c r="D89" s="21"/>
      <c r="E89" s="64" t="s">
        <v>472</v>
      </c>
      <c r="F89" s="21" t="n">
        <v>2</v>
      </c>
      <c r="G89" s="65" t="str">
        <f aca="false">IF(N(D89)=0,"",D89*N(F89))</f>
        <v/>
      </c>
      <c r="H89" s="66" t="str">
        <f aca="false">IF(B89="","",IFERROR(INDEX(VHCost,MATCH(B89,VHU,0)),0))</f>
        <v/>
      </c>
      <c r="I89" s="62" t="n">
        <f aca="false">N(G89)*N(H89)</f>
        <v>0</v>
      </c>
      <c r="J89" s="15" t="n">
        <f aca="false">IF(I89=0,0,IFERROR(INDEX(MkMatrix,2,MATCH(C89,SrcU,0)),0))</f>
        <v>0</v>
      </c>
      <c r="K89" s="62" t="n">
        <f aca="false">I89*(1+J89)</f>
        <v>0</v>
      </c>
      <c r="L89" s="19"/>
    </row>
    <row r="90" customFormat="false" ht="15" hidden="false" customHeight="false" outlineLevel="0" collapsed="false">
      <c r="B90" s="4" t="s">
        <v>474</v>
      </c>
      <c r="I90" s="63" t="n">
        <f aca="false">SUM(I86:I89)</f>
        <v>0</v>
      </c>
      <c r="K90" s="63" t="n">
        <f aca="false">SUM(K86:K89)</f>
        <v>0</v>
      </c>
    </row>
    <row r="92" customFormat="false" ht="19.5" hidden="false" customHeight="true" outlineLevel="0" collapsed="false">
      <c r="A92" s="3" t="s">
        <v>475</v>
      </c>
      <c r="B92" s="3"/>
      <c r="C92" s="3"/>
      <c r="D92" s="3"/>
      <c r="E92" s="3"/>
      <c r="F92" s="3"/>
      <c r="G92" s="3"/>
      <c r="H92" s="3"/>
      <c r="I92" s="3"/>
      <c r="J92" s="3"/>
      <c r="K92" s="3"/>
      <c r="L92" s="3"/>
    </row>
    <row r="93" customFormat="false" ht="25.5" hidden="false" customHeight="true" outlineLevel="0" collapsed="false">
      <c r="A93" s="8" t="s">
        <v>334</v>
      </c>
      <c r="B93" s="8" t="s">
        <v>172</v>
      </c>
      <c r="C93" s="8" t="s">
        <v>17</v>
      </c>
      <c r="D93" s="8" t="s">
        <v>455</v>
      </c>
      <c r="E93" s="8" t="s">
        <v>107</v>
      </c>
      <c r="F93" s="8" t="s">
        <v>456</v>
      </c>
      <c r="G93" s="8" t="s">
        <v>457</v>
      </c>
      <c r="H93" s="8" t="s">
        <v>458</v>
      </c>
      <c r="I93" s="8" t="s">
        <v>413</v>
      </c>
      <c r="J93" s="8" t="s">
        <v>459</v>
      </c>
      <c r="K93" s="8" t="s">
        <v>460</v>
      </c>
      <c r="L93" s="8" t="s">
        <v>461</v>
      </c>
    </row>
    <row r="94" customFormat="false" ht="22.35" hidden="false" customHeight="false" outlineLevel="0" collapsed="false">
      <c r="A94" s="64" t="n">
        <v>1</v>
      </c>
      <c r="B94" s="13" t="s">
        <v>476</v>
      </c>
      <c r="C94" s="7" t="s">
        <v>48</v>
      </c>
      <c r="D94" s="21"/>
      <c r="E94" s="64" t="s">
        <v>477</v>
      </c>
      <c r="F94" s="21"/>
      <c r="G94" s="65" t="n">
        <f aca="false">IF(ISNUMBER(D94),D94,SUM(CC_Crew)*N(QShiftsDay))*IF(ISNUMBER(F94),F94,N(CC_Days))</f>
        <v>0</v>
      </c>
      <c r="H94" s="66" t="n">
        <f aca="false">N(XFAT)</f>
        <v>250</v>
      </c>
      <c r="I94" s="62" t="n">
        <f aca="false">N(G94)*N(H94)</f>
        <v>0</v>
      </c>
      <c r="J94" s="15" t="n">
        <f aca="false">IF(I94=0,0,IFERROR(INDEX(MkMatrix,1,MATCH(C94,SrcU,0)),0))</f>
        <v>0</v>
      </c>
      <c r="K94" s="62" t="n">
        <f aca="false">I94*(1+J94)</f>
        <v>0</v>
      </c>
      <c r="L94" s="19" t="s">
        <v>478</v>
      </c>
    </row>
    <row r="95" customFormat="false" ht="15" hidden="false" customHeight="false" outlineLevel="0" collapsed="false">
      <c r="A95" s="64" t="n">
        <v>2</v>
      </c>
      <c r="B95" s="13" t="s">
        <v>176</v>
      </c>
      <c r="C95" s="7" t="s">
        <v>48</v>
      </c>
      <c r="D95" s="21"/>
      <c r="E95" s="64" t="s">
        <v>477</v>
      </c>
      <c r="F95" s="21"/>
      <c r="G95" s="65" t="n">
        <f aca="false">IF(ISNUMBER(D95),D95,SUM(CC_Crew)*N(QShiftsDay))*IF(ISNUMBER(F95),F95,N(CC_Days))</f>
        <v>0</v>
      </c>
      <c r="H95" s="66" t="n">
        <f aca="false">IFERROR(INDEX(CNCost,MATCH("Disposables / PPE",CNU,0)),0)</f>
        <v>150</v>
      </c>
      <c r="I95" s="62" t="n">
        <f aca="false">N(G95)*N(H95)</f>
        <v>0</v>
      </c>
      <c r="J95" s="15" t="n">
        <f aca="false">IF(I95=0,0,IFERROR(INDEX(MkMatrix,1,MATCH(C95,SrcU,0)),0))</f>
        <v>0</v>
      </c>
      <c r="K95" s="62" t="n">
        <f aca="false">I95*(1+J95)</f>
        <v>0</v>
      </c>
      <c r="L95" s="19"/>
    </row>
    <row r="96" customFormat="false" ht="15" hidden="false" customHeight="false" outlineLevel="0" collapsed="false">
      <c r="A96" s="64" t="n">
        <v>3</v>
      </c>
      <c r="B96" s="13" t="s">
        <v>479</v>
      </c>
      <c r="C96" s="7" t="s">
        <v>48</v>
      </c>
      <c r="D96" s="21"/>
      <c r="E96" s="64" t="s">
        <v>480</v>
      </c>
      <c r="F96" s="21"/>
      <c r="G96" s="65" t="n">
        <f aca="false">IF(ISNUMBER(D96),D96,0)*IF(ISNUMBER(F96),F96,1)</f>
        <v>0</v>
      </c>
      <c r="H96" s="66" t="n">
        <f aca="false">N(XAcc)</f>
        <v>700</v>
      </c>
      <c r="I96" s="62" t="n">
        <f aca="false">N(G96)*N(H96)</f>
        <v>0</v>
      </c>
      <c r="J96" s="15" t="n">
        <f aca="false">IF(I96=0,0,IFERROR(INDEX(MkMatrix,1,MATCH(C96,SrcU,0)),0))</f>
        <v>0</v>
      </c>
      <c r="K96" s="62" t="n">
        <f aca="false">I96*(1+J96)</f>
        <v>0</v>
      </c>
      <c r="L96" s="19" t="s">
        <v>481</v>
      </c>
    </row>
    <row r="97" customFormat="false" ht="15" hidden="false" customHeight="false" outlineLevel="0" collapsed="false">
      <c r="A97" s="64" t="n">
        <v>4</v>
      </c>
      <c r="B97" s="13" t="s">
        <v>482</v>
      </c>
      <c r="C97" s="7" t="s">
        <v>48</v>
      </c>
      <c r="D97" s="21"/>
      <c r="E97" s="64" t="s">
        <v>480</v>
      </c>
      <c r="F97" s="21"/>
      <c r="G97" s="65" t="n">
        <f aca="false">IF(ISNUMBER(D97),D97,0)*IF(ISNUMBER(F97),F97,1)</f>
        <v>0</v>
      </c>
      <c r="H97" s="66" t="n">
        <f aca="false">N(XVisa)</f>
        <v>2300</v>
      </c>
      <c r="I97" s="62" t="n">
        <f aca="false">N(G97)*N(H97)</f>
        <v>0</v>
      </c>
      <c r="J97" s="15" t="n">
        <f aca="false">IF(I97=0,0,IFERROR(INDEX(MkMatrix,1,MATCH(C97,SrcU,0)),0))</f>
        <v>0</v>
      </c>
      <c r="K97" s="62" t="n">
        <f aca="false">I97*(1+J97)</f>
        <v>0</v>
      </c>
      <c r="L97" s="19"/>
    </row>
    <row r="98" customFormat="false" ht="15" hidden="false" customHeight="false" outlineLevel="0" collapsed="false">
      <c r="A98" s="64" t="n">
        <v>5</v>
      </c>
      <c r="B98" s="13" t="s">
        <v>483</v>
      </c>
      <c r="C98" s="7" t="s">
        <v>48</v>
      </c>
      <c r="D98" s="21"/>
      <c r="E98" s="64" t="s">
        <v>480</v>
      </c>
      <c r="F98" s="21"/>
      <c r="G98" s="65" t="n">
        <f aca="false">IF(ISNUMBER(D98),D98,0)*IF(ISNUMBER(F98),F98,1)</f>
        <v>0</v>
      </c>
      <c r="H98" s="66" t="n">
        <f aca="false">N(XFlight)</f>
        <v>3300</v>
      </c>
      <c r="I98" s="62" t="n">
        <f aca="false">N(G98)*N(H98)</f>
        <v>0</v>
      </c>
      <c r="J98" s="15" t="n">
        <f aca="false">IF(I98=0,0,IFERROR(INDEX(MkMatrix,1,MATCH(C98,SrcU,0)),0))</f>
        <v>0</v>
      </c>
      <c r="K98" s="62" t="n">
        <f aca="false">I98*(1+J98)</f>
        <v>0</v>
      </c>
      <c r="L98" s="19"/>
    </row>
    <row r="99" customFormat="false" ht="15" hidden="false" customHeight="false" outlineLevel="0" collapsed="false">
      <c r="A99" s="64" t="n">
        <v>6</v>
      </c>
      <c r="B99" s="13" t="s">
        <v>484</v>
      </c>
      <c r="C99" s="7" t="s">
        <v>48</v>
      </c>
      <c r="D99" s="21"/>
      <c r="E99" s="64" t="s">
        <v>480</v>
      </c>
      <c r="F99" s="21"/>
      <c r="G99" s="65" t="n">
        <f aca="false">IF(ISNUMBER(D99),D99,0)*IF(ISNUMBER(F99),F99,1)</f>
        <v>0</v>
      </c>
      <c r="H99" s="66" t="n">
        <f aca="false">N(XCrewVT)</f>
        <v>4500</v>
      </c>
      <c r="I99" s="62" t="n">
        <f aca="false">N(G99)*N(H99)</f>
        <v>0</v>
      </c>
      <c r="J99" s="15" t="n">
        <f aca="false">IF(I99=0,0,IFERROR(INDEX(MkMatrix,1,MATCH(C99,SrcU,0)),0))</f>
        <v>0</v>
      </c>
      <c r="K99" s="62" t="n">
        <f aca="false">I99*(1+J99)</f>
        <v>0</v>
      </c>
      <c r="L99" s="19"/>
    </row>
    <row r="100" customFormat="false" ht="15" hidden="false" customHeight="false" outlineLevel="0" collapsed="false">
      <c r="A100" s="64" t="n">
        <v>7</v>
      </c>
      <c r="B100" s="13" t="s">
        <v>485</v>
      </c>
      <c r="C100" s="7" t="s">
        <v>47</v>
      </c>
      <c r="D100" s="21"/>
      <c r="E100" s="64" t="s">
        <v>486</v>
      </c>
      <c r="F100" s="21"/>
      <c r="G100" s="65" t="n">
        <f aca="false">N(D100)*IF(ISNUMBER(F100),F100,N(CC_Days))</f>
        <v>0</v>
      </c>
      <c r="H100" s="66" t="n">
        <f aca="false">N(XTrans)</f>
        <v>500</v>
      </c>
      <c r="I100" s="62" t="n">
        <f aca="false">N(G100)*N(H100)</f>
        <v>0</v>
      </c>
      <c r="J100" s="15" t="n">
        <f aca="false">IF(I100=0,0,IFERROR(INDEX(MkMatrix,2,MATCH(C100,SrcU,0)),0))</f>
        <v>0</v>
      </c>
      <c r="K100" s="62" t="n">
        <f aca="false">I100*(1+J100)</f>
        <v>0</v>
      </c>
      <c r="L100" s="19"/>
    </row>
    <row r="101" customFormat="false" ht="15" hidden="false" customHeight="false" outlineLevel="0" collapsed="false">
      <c r="B101" s="4" t="s">
        <v>487</v>
      </c>
      <c r="I101" s="63" t="n">
        <f aca="false">SUM(I94:I100)</f>
        <v>0</v>
      </c>
      <c r="K101" s="63" t="n">
        <f aca="false">SUM(K94:K100)</f>
        <v>0</v>
      </c>
    </row>
  </sheetData>
  <mergeCells count="11">
    <mergeCell ref="A5:L5"/>
    <mergeCell ref="C10:D10"/>
    <mergeCell ref="C12:D12"/>
    <mergeCell ref="C13:D13"/>
    <mergeCell ref="C14:D14"/>
    <mergeCell ref="A16:L16"/>
    <mergeCell ref="A36:L36"/>
    <mergeCell ref="A52:L52"/>
    <mergeCell ref="A72:L72"/>
    <mergeCell ref="A84:L84"/>
    <mergeCell ref="A92:L92"/>
  </mergeCells>
  <conditionalFormatting sqref="H38">
    <cfRule type="expression" priority="2" aboveAverage="0" equalAverage="0" bottom="0" percent="0" rank="0" text="" dxfId="0">
      <formula>AND(N(G38)&gt;0,N(H38)=0)</formula>
    </cfRule>
  </conditionalFormatting>
  <conditionalFormatting sqref="H39">
    <cfRule type="expression" priority="3" aboveAverage="0" equalAverage="0" bottom="0" percent="0" rank="0" text="" dxfId="0">
      <formula>AND(N(G39)&gt;0,N(H39)=0)</formula>
    </cfRule>
  </conditionalFormatting>
  <conditionalFormatting sqref="H40">
    <cfRule type="expression" priority="4" aboveAverage="0" equalAverage="0" bottom="0" percent="0" rank="0" text="" dxfId="0">
      <formula>AND(N(G40)&gt;0,N(H40)=0)</formula>
    </cfRule>
  </conditionalFormatting>
  <conditionalFormatting sqref="H41">
    <cfRule type="expression" priority="5" aboveAverage="0" equalAverage="0" bottom="0" percent="0" rank="0" text="" dxfId="0">
      <formula>AND(N(G41)&gt;0,N(H41)=0)</formula>
    </cfRule>
  </conditionalFormatting>
  <conditionalFormatting sqref="H42">
    <cfRule type="expression" priority="6" aboveAverage="0" equalAverage="0" bottom="0" percent="0" rank="0" text="" dxfId="0">
      <formula>AND(N(G42)&gt;0,N(H42)=0)</formula>
    </cfRule>
  </conditionalFormatting>
  <conditionalFormatting sqref="H43">
    <cfRule type="expression" priority="7" aboveAverage="0" equalAverage="0" bottom="0" percent="0" rank="0" text="" dxfId="0">
      <formula>AND(N(G43)&gt;0,N(H43)=0)</formula>
    </cfRule>
  </conditionalFormatting>
  <conditionalFormatting sqref="H44">
    <cfRule type="expression" priority="8" aboveAverage="0" equalAverage="0" bottom="0" percent="0" rank="0" text="" dxfId="0">
      <formula>AND(N(G44)&gt;0,N(H44)=0)</formula>
    </cfRule>
  </conditionalFormatting>
  <conditionalFormatting sqref="H45">
    <cfRule type="expression" priority="9" aboveAverage="0" equalAverage="0" bottom="0" percent="0" rank="0" text="" dxfId="0">
      <formula>AND(N(G45)&gt;0,N(H45)=0)</formula>
    </cfRule>
  </conditionalFormatting>
  <conditionalFormatting sqref="H46">
    <cfRule type="expression" priority="10" aboveAverage="0" equalAverage="0" bottom="0" percent="0" rank="0" text="" dxfId="0">
      <formula>AND(N(G46)&gt;0,N(H46)=0)</formula>
    </cfRule>
  </conditionalFormatting>
  <conditionalFormatting sqref="H47">
    <cfRule type="expression" priority="11" aboveAverage="0" equalAverage="0" bottom="0" percent="0" rank="0" text="" dxfId="0">
      <formula>AND(N(G47)&gt;0,N(H47)=0)</formula>
    </cfRule>
  </conditionalFormatting>
  <conditionalFormatting sqref="H48">
    <cfRule type="expression" priority="12" aboveAverage="0" equalAverage="0" bottom="0" percent="0" rank="0" text="" dxfId="0">
      <formula>AND(N(G48)&gt;0,N(H48)=0)</formula>
    </cfRule>
  </conditionalFormatting>
  <conditionalFormatting sqref="H49">
    <cfRule type="expression" priority="13" aboveAverage="0" equalAverage="0" bottom="0" percent="0" rank="0" text="" dxfId="0">
      <formula>AND(N(G49)&gt;0,N(H49)=0)</formula>
    </cfRule>
  </conditionalFormatting>
  <conditionalFormatting sqref="H54">
    <cfRule type="expression" priority="14" aboveAverage="0" equalAverage="0" bottom="0" percent="0" rank="0" text="" dxfId="0">
      <formula>AND(N(G54)&gt;0,N(H54)=0)</formula>
    </cfRule>
  </conditionalFormatting>
  <conditionalFormatting sqref="H55">
    <cfRule type="expression" priority="15" aboveAverage="0" equalAverage="0" bottom="0" percent="0" rank="0" text="" dxfId="0">
      <formula>AND(N(G55)&gt;0,N(H55)=0)</formula>
    </cfRule>
  </conditionalFormatting>
  <conditionalFormatting sqref="H56">
    <cfRule type="expression" priority="16" aboveAverage="0" equalAverage="0" bottom="0" percent="0" rank="0" text="" dxfId="0">
      <formula>AND(N(G56)&gt;0,N(H56)=0)</formula>
    </cfRule>
  </conditionalFormatting>
  <conditionalFormatting sqref="H57">
    <cfRule type="expression" priority="17" aboveAverage="0" equalAverage="0" bottom="0" percent="0" rank="0" text="" dxfId="0">
      <formula>AND(N(G57)&gt;0,N(H57)=0)</formula>
    </cfRule>
  </conditionalFormatting>
  <conditionalFormatting sqref="H58">
    <cfRule type="expression" priority="18" aboveAverage="0" equalAverage="0" bottom="0" percent="0" rank="0" text="" dxfId="0">
      <formula>AND(N(G58)&gt;0,N(H58)=0)</formula>
    </cfRule>
  </conditionalFormatting>
  <conditionalFormatting sqref="H59">
    <cfRule type="expression" priority="19" aboveAverage="0" equalAverage="0" bottom="0" percent="0" rank="0" text="" dxfId="0">
      <formula>AND(N(G59)&gt;0,N(H59)=0)</formula>
    </cfRule>
  </conditionalFormatting>
  <conditionalFormatting sqref="H60">
    <cfRule type="expression" priority="20" aboveAverage="0" equalAverage="0" bottom="0" percent="0" rank="0" text="" dxfId="0">
      <formula>AND(N(G60)&gt;0,N(H60)=0)</formula>
    </cfRule>
  </conditionalFormatting>
  <conditionalFormatting sqref="H61">
    <cfRule type="expression" priority="21" aboveAverage="0" equalAverage="0" bottom="0" percent="0" rank="0" text="" dxfId="0">
      <formula>AND(N(G61)&gt;0,N(H61)=0)</formula>
    </cfRule>
  </conditionalFormatting>
  <conditionalFormatting sqref="H62">
    <cfRule type="expression" priority="22" aboveAverage="0" equalAverage="0" bottom="0" percent="0" rank="0" text="" dxfId="0">
      <formula>AND(N(G62)&gt;0,N(H62)=0)</formula>
    </cfRule>
  </conditionalFormatting>
  <conditionalFormatting sqref="H63">
    <cfRule type="expression" priority="23" aboveAverage="0" equalAverage="0" bottom="0" percent="0" rank="0" text="" dxfId="0">
      <formula>AND(N(G63)&gt;0,N(H63)=0)</formula>
    </cfRule>
  </conditionalFormatting>
  <conditionalFormatting sqref="H64">
    <cfRule type="expression" priority="24" aboveAverage="0" equalAverage="0" bottom="0" percent="0" rank="0" text="" dxfId="0">
      <formula>AND(N(G64)&gt;0,N(H64)=0)</formula>
    </cfRule>
  </conditionalFormatting>
  <conditionalFormatting sqref="H65">
    <cfRule type="expression" priority="25" aboveAverage="0" equalAverage="0" bottom="0" percent="0" rank="0" text="" dxfId="0">
      <formula>AND(N(G65)&gt;0,N(H65)=0)</formula>
    </cfRule>
  </conditionalFormatting>
  <conditionalFormatting sqref="H66">
    <cfRule type="expression" priority="26" aboveAverage="0" equalAverage="0" bottom="0" percent="0" rank="0" text="" dxfId="0">
      <formula>AND(N(G66)&gt;0,N(H66)=0)</formula>
    </cfRule>
  </conditionalFormatting>
  <conditionalFormatting sqref="H67">
    <cfRule type="expression" priority="27" aboveAverage="0" equalAverage="0" bottom="0" percent="0" rank="0" text="" dxfId="0">
      <formula>AND(N(G67)&gt;0,N(H67)=0)</formula>
    </cfRule>
  </conditionalFormatting>
  <conditionalFormatting sqref="H68">
    <cfRule type="expression" priority="28" aboveAverage="0" equalAverage="0" bottom="0" percent="0" rank="0" text="" dxfId="0">
      <formula>AND(N(G68)&gt;0,N(H68)=0)</formula>
    </cfRule>
  </conditionalFormatting>
  <conditionalFormatting sqref="H69">
    <cfRule type="expression" priority="29" aboveAverage="0" equalAverage="0" bottom="0" percent="0" rank="0" text="" dxfId="0">
      <formula>AND(N(G69)&gt;0,N(H69)=0)</formula>
    </cfRule>
  </conditionalFormatting>
  <conditionalFormatting sqref="H74">
    <cfRule type="expression" priority="30" aboveAverage="0" equalAverage="0" bottom="0" percent="0" rank="0" text="" dxfId="0">
      <formula>AND(N(G74)&gt;0,N(H74)=0)</formula>
    </cfRule>
  </conditionalFormatting>
  <conditionalFormatting sqref="H75">
    <cfRule type="expression" priority="31" aboveAverage="0" equalAverage="0" bottom="0" percent="0" rank="0" text="" dxfId="0">
      <formula>AND(N(G75)&gt;0,N(H75)=0)</formula>
    </cfRule>
  </conditionalFormatting>
  <conditionalFormatting sqref="H76">
    <cfRule type="expression" priority="32" aboveAverage="0" equalAverage="0" bottom="0" percent="0" rank="0" text="" dxfId="0">
      <formula>AND(N(G76)&gt;0,N(H76)=0)</formula>
    </cfRule>
  </conditionalFormatting>
  <conditionalFormatting sqref="H77">
    <cfRule type="expression" priority="33" aboveAverage="0" equalAverage="0" bottom="0" percent="0" rank="0" text="" dxfId="0">
      <formula>AND(N(G77)&gt;0,N(H77)=0)</formula>
    </cfRule>
  </conditionalFormatting>
  <conditionalFormatting sqref="H78">
    <cfRule type="expression" priority="34" aboveAverage="0" equalAverage="0" bottom="0" percent="0" rank="0" text="" dxfId="0">
      <formula>AND(N(G78)&gt;0,N(H78)=0)</formula>
    </cfRule>
  </conditionalFormatting>
  <conditionalFormatting sqref="H79">
    <cfRule type="expression" priority="35" aboveAverage="0" equalAverage="0" bottom="0" percent="0" rank="0" text="" dxfId="0">
      <formula>AND(N(G79)&gt;0,N(H79)=0)</formula>
    </cfRule>
  </conditionalFormatting>
  <conditionalFormatting sqref="H80">
    <cfRule type="expression" priority="36" aboveAverage="0" equalAverage="0" bottom="0" percent="0" rank="0" text="" dxfId="0">
      <formula>AND(N(G80)&gt;0,N(H80)=0)</formula>
    </cfRule>
  </conditionalFormatting>
  <conditionalFormatting sqref="H81">
    <cfRule type="expression" priority="37" aboveAverage="0" equalAverage="0" bottom="0" percent="0" rank="0" text="" dxfId="0">
      <formula>AND(N(G81)&gt;0,N(H81)=0)</formula>
    </cfRule>
  </conditionalFormatting>
  <conditionalFormatting sqref="H86">
    <cfRule type="expression" priority="38" aboveAverage="0" equalAverage="0" bottom="0" percent="0" rank="0" text="" dxfId="0">
      <formula>AND(N(G86)&gt;0,N(H86)=0)</formula>
    </cfRule>
  </conditionalFormatting>
  <conditionalFormatting sqref="H87">
    <cfRule type="expression" priority="39" aboveAverage="0" equalAverage="0" bottom="0" percent="0" rank="0" text="" dxfId="0">
      <formula>AND(N(G87)&gt;0,N(H87)=0)</formula>
    </cfRule>
  </conditionalFormatting>
  <conditionalFormatting sqref="H88">
    <cfRule type="expression" priority="40" aboveAverage="0" equalAverage="0" bottom="0" percent="0" rank="0" text="" dxfId="0">
      <formula>AND(N(G88)&gt;0,N(H88)=0)</formula>
    </cfRule>
  </conditionalFormatting>
  <conditionalFormatting sqref="H89">
    <cfRule type="expression" priority="41" aboveAverage="0" equalAverage="0" bottom="0" percent="0" rank="0" text="" dxfId="0">
      <formula>AND(N(G89)&gt;0,N(H89)=0)</formula>
    </cfRule>
  </conditionalFormatting>
  <conditionalFormatting sqref="H94">
    <cfRule type="expression" priority="42" aboveAverage="0" equalAverage="0" bottom="0" percent="0" rank="0" text="" dxfId="0">
      <formula>AND(N(G94)&gt;0,N(H94)=0)</formula>
    </cfRule>
  </conditionalFormatting>
  <conditionalFormatting sqref="H95">
    <cfRule type="expression" priority="43" aboveAverage="0" equalAverage="0" bottom="0" percent="0" rank="0" text="" dxfId="0">
      <formula>AND(N(G95)&gt;0,N(H95)=0)</formula>
    </cfRule>
  </conditionalFormatting>
  <conditionalFormatting sqref="H96">
    <cfRule type="expression" priority="44" aboveAverage="0" equalAverage="0" bottom="0" percent="0" rank="0" text="" dxfId="0">
      <formula>AND(N(G96)&gt;0,N(H96)=0)</formula>
    </cfRule>
  </conditionalFormatting>
  <conditionalFormatting sqref="H97">
    <cfRule type="expression" priority="45" aboveAverage="0" equalAverage="0" bottom="0" percent="0" rank="0" text="" dxfId="0">
      <formula>AND(N(G97)&gt;0,N(H97)=0)</formula>
    </cfRule>
  </conditionalFormatting>
  <conditionalFormatting sqref="H98">
    <cfRule type="expression" priority="46" aboveAverage="0" equalAverage="0" bottom="0" percent="0" rank="0" text="" dxfId="0">
      <formula>AND(N(G98)&gt;0,N(H98)=0)</formula>
    </cfRule>
  </conditionalFormatting>
  <conditionalFormatting sqref="H99">
    <cfRule type="expression" priority="47" aboveAverage="0" equalAverage="0" bottom="0" percent="0" rank="0" text="" dxfId="0">
      <formula>AND(N(G99)&gt;0,N(H99)=0)</formula>
    </cfRule>
  </conditionalFormatting>
  <conditionalFormatting sqref="H100">
    <cfRule type="expression" priority="48" aboveAverage="0" equalAverage="0" bottom="0" percent="0" rank="0" text="" dxfId="0">
      <formula>AND(N(G100)&gt;0,N(H100)=0)</formula>
    </cfRule>
  </conditionalFormatting>
  <conditionalFormatting sqref="K33">
    <cfRule type="expression" priority="49" aboveAverage="0" equalAverage="0" bottom="0" percent="0" rank="0" text="" dxfId="0">
      <formula>ABS(K33-K30)&gt;0.01</formula>
    </cfRule>
  </conditionalFormatting>
  <dataValidations count="9">
    <dataValidation allowBlank="true" error="Enter a positive number." errorStyle="stop" errorTitle="Number" operator="greaterThanOrEqual" showDropDown="false" showErrorMessage="true" showInputMessage="false" sqref="C10 D38:D49 F38:F49 D54:D69 F54:F69 D74:D81 F74:F81 D86:D89 F86:F89" type="decimal">
      <formula1>0</formula1>
      <formula2>0</formula2>
    </dataValidation>
    <dataValidation allowBlank="true" error="Pick a value from the drop-down list." errorStyle="stop" errorTitle="Invalid entry" operator="between" showDropDown="false" showErrorMessage="true" showInputMessage="false" sqref="C12" type="list">
      <formula1>"Solution volume,Equipment volume,Equipment count"</formula1>
      <formula2>0</formula2>
    </dataValidation>
    <dataValidation allowBlank="true" error="Pick a value from the drop-down list." errorStyle="stop" errorTitle="Invalid entry" operator="between" showDropDown="false" showErrorMessage="true" showInputMessage="false" sqref="C13" type="list">
      <formula1>"Yes,No"</formula1>
      <formula2>0</formula2>
    </dataValidation>
    <dataValidation allowBlank="true" error="Pick a value from the drop-down list." errorStyle="stop" errorTitle="Invalid entry" operator="between" showDropDown="false" showErrorMessage="true" showInputMessage="false" sqref="C14" type="list">
      <formula1>"Lump sum,Per unit,Per loop,Per equipment"</formula1>
      <formula2>0</formula2>
    </dataValidation>
    <dataValidation allowBlank="true" error="Pick a value from the drop-down list." errorStyle="stop" errorTitle="Invalid entry" operator="between" showDropDown="false" showErrorMessage="true" showInputMessage="false" sqref="B38:B49" type="list">
      <formula1>MPU</formula1>
      <formula2>0</formula2>
    </dataValidation>
    <dataValidation allowBlank="true" error="Pick a value from the drop-down list." errorStyle="stop" errorTitle="Invalid entry" operator="between" showDropDown="false" showErrorMessage="true" showInputMessage="false" sqref="C38:C49 C54:C69 C74:C81 C86:C89 C94:C100" type="list">
      <formula1>SrcU</formula1>
      <formula2>0</formula2>
    </dataValidation>
    <dataValidation allowBlank="true" error="Pick a value from the drop-down list." errorStyle="stop" errorTitle="Invalid entry" operator="between" showDropDown="false" showErrorMessage="true" showInputMessage="false" sqref="B54:B69" type="list">
      <formula1>EQU</formula1>
      <formula2>0</formula2>
    </dataValidation>
    <dataValidation allowBlank="true" error="Pick a value from the drop-down list." errorStyle="stop" errorTitle="Invalid entry" operator="between" showDropDown="false" showErrorMessage="true" showInputMessage="false" sqref="B74:B81" type="list">
      <formula1>CNU</formula1>
      <formula2>0</formula2>
    </dataValidation>
    <dataValidation allowBlank="true" error="Pick a value from the drop-down list." errorStyle="stop" errorTitle="Invalid entry" operator="between" showDropDown="false" showErrorMessage="true" showInputMessage="false" sqref="B86:B89" type="list">
      <formula1>VHU</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16"/>
    <col collapsed="false" customWidth="true" hidden="false" outlineLevel="0" max="4" min="4" style="0" width="26"/>
    <col collapsed="false" customWidth="true" hidden="false" outlineLevel="0" max="5" min="5" style="0" width="15"/>
    <col collapsed="false" customWidth="true" hidden="false" outlineLevel="0" max="6" min="6" style="0" width="9"/>
    <col collapsed="false" customWidth="true" hidden="false" outlineLevel="0" max="9" min="7" style="0" width="11"/>
    <col collapsed="false" customWidth="true" hidden="false" outlineLevel="0" max="10" min="10" style="0" width="10"/>
    <col collapsed="false" customWidth="true" hidden="false" outlineLevel="0" max="12" min="11" style="0" width="12"/>
    <col collapsed="false" customWidth="true" hidden="false" outlineLevel="0" max="13" min="13" style="0" width="10"/>
    <col collapsed="false" customWidth="true" hidden="false" outlineLevel="0" max="14" min="14" style="0" width="9"/>
    <col collapsed="false" customWidth="true" hidden="false" outlineLevel="0" max="15" min="15" style="0" width="12"/>
    <col collapsed="false" customWidth="true" hidden="false" outlineLevel="0" max="16" min="16" style="0" width="13"/>
    <col collapsed="false" customWidth="true" hidden="false" outlineLevel="0" max="19" min="17" style="0" width="12"/>
    <col collapsed="false" customWidth="true" hidden="false" outlineLevel="0" max="20" min="20" style="0" width="11"/>
    <col collapsed="false" customWidth="true" hidden="false" outlineLevel="0" max="21" min="21" style="0" width="13"/>
    <col collapsed="false" customWidth="true" hidden="false" outlineLevel="0" max="22" min="22" style="0" width="11"/>
    <col collapsed="false" customWidth="true" hidden="false" outlineLevel="0" max="24" min="23" style="0" width="14"/>
    <col collapsed="false" customWidth="true" hidden="true" outlineLevel="0" max="25" min="25" style="0" width="5"/>
  </cols>
  <sheetData>
    <row r="1" customFormat="false" ht="19.7" hidden="false" customHeight="false" outlineLevel="0" collapsed="false">
      <c r="A1" s="1" t="s">
        <v>488</v>
      </c>
    </row>
    <row r="2" customFormat="false" ht="15" hidden="false" customHeight="false" outlineLevel="0" collapsed="false">
      <c r="A2" s="2" t="str">
        <f aca="false">"Quotation "&amp;QNo&amp;"   ·   "&amp;QClient&amp;"   ·   "&amp;QProject</f>
        <v>Quotation    ·      ·   </v>
      </c>
    </row>
    <row r="3" customFormat="false" ht="15" hidden="false" customHeight="false" outlineLevel="0" collapsed="false">
      <c r="A3" s="10" t="s">
        <v>489</v>
      </c>
    </row>
    <row r="6" customFormat="false" ht="42" hidden="false" customHeight="true" outlineLevel="0" collapsed="false">
      <c r="A6" s="8" t="s">
        <v>334</v>
      </c>
      <c r="B6" s="8" t="s">
        <v>335</v>
      </c>
      <c r="C6" s="8" t="s">
        <v>336</v>
      </c>
      <c r="D6" s="8" t="s">
        <v>490</v>
      </c>
      <c r="E6" s="8" t="s">
        <v>491</v>
      </c>
      <c r="F6" s="8" t="s">
        <v>401</v>
      </c>
      <c r="G6" s="8" t="s">
        <v>492</v>
      </c>
      <c r="H6" s="8" t="s">
        <v>493</v>
      </c>
      <c r="I6" s="8" t="s">
        <v>494</v>
      </c>
      <c r="J6" s="8" t="s">
        <v>495</v>
      </c>
      <c r="K6" s="8" t="s">
        <v>496</v>
      </c>
      <c r="L6" s="8" t="s">
        <v>497</v>
      </c>
      <c r="M6" s="8" t="s">
        <v>498</v>
      </c>
      <c r="N6" s="8" t="s">
        <v>499</v>
      </c>
      <c r="O6" s="8" t="s">
        <v>500</v>
      </c>
      <c r="P6" s="35" t="s">
        <v>501</v>
      </c>
      <c r="Q6" s="8" t="s">
        <v>502</v>
      </c>
      <c r="R6" s="8" t="s">
        <v>503</v>
      </c>
      <c r="S6" s="8" t="s">
        <v>504</v>
      </c>
      <c r="T6" s="8" t="s">
        <v>505</v>
      </c>
      <c r="U6" s="8" t="s">
        <v>448</v>
      </c>
      <c r="V6" s="8" t="s">
        <v>506</v>
      </c>
      <c r="W6" s="35" t="s">
        <v>507</v>
      </c>
      <c r="X6" s="35" t="s">
        <v>508</v>
      </c>
      <c r="Y6" s="8" t="s">
        <v>509</v>
      </c>
    </row>
    <row r="7" customFormat="false" ht="15" hidden="false" customHeight="false" outlineLevel="0" collapsed="false">
      <c r="X7" s="67" t="str">
        <f aca="false">"("&amp;QCurr&amp;")"</f>
        <v>(AED)</v>
      </c>
    </row>
    <row r="9" customFormat="false" ht="15" hidden="false" customHeight="false" outlineLevel="0" collapsed="false">
      <c r="A9" s="38" t="str">
        <f aca="false">"UNIT 1:  "&amp;INDEX(CC_UnitNames,1)</f>
        <v>UNIT 1:  Unit 1</v>
      </c>
      <c r="B9" s="38"/>
      <c r="C9" s="38"/>
      <c r="D9" s="38"/>
      <c r="E9" s="39"/>
      <c r="F9" s="39"/>
      <c r="G9" s="39"/>
      <c r="H9" s="39"/>
      <c r="I9" s="39"/>
      <c r="J9" s="39"/>
      <c r="K9" s="39"/>
      <c r="L9" s="39"/>
      <c r="M9" s="39"/>
      <c r="N9" s="39"/>
      <c r="O9" s="39"/>
      <c r="P9" s="39"/>
      <c r="Q9" s="39"/>
      <c r="R9" s="39"/>
      <c r="S9" s="39"/>
      <c r="T9" s="39"/>
      <c r="U9" s="39"/>
      <c r="V9" s="39"/>
      <c r="W9" s="39"/>
      <c r="X9" s="39"/>
    </row>
    <row r="10" customFormat="false" ht="15" hidden="false" customHeight="false" outlineLevel="0" collapsed="false">
      <c r="A10" s="68" t="n">
        <f aca="false">'CC Volume'!A10</f>
        <v>1</v>
      </c>
      <c r="B10" s="13" t="str">
        <f aca="false">IF('CC Volume'!B10="","",'CC Volume'!B10)</f>
        <v>Loop 1</v>
      </c>
      <c r="C10" s="13" t="str">
        <f aca="false">IF('CC Volume'!C10="","",'CC Volume'!C10)</f>
        <v>EXAMPLE ML-1</v>
      </c>
      <c r="D10" s="13" t="str">
        <f aca="false">IF('CC Volume'!D10="","",'CC Volume'!D10)</f>
        <v>Piping loop – volume given (ASAB ML-1)</v>
      </c>
      <c r="E10" s="68" t="str">
        <f aca="false">IF('CC Volume'!E10="","",'CC Volume'!E10)</f>
        <v>Piping</v>
      </c>
      <c r="F10" s="68" t="str">
        <f aca="false">IF('CC Volume'!F10="","",'CC Volume'!F10)</f>
        <v>SS</v>
      </c>
      <c r="G10" s="69" t="n">
        <f aca="false">'CC Volume'!AN10</f>
        <v>27.115</v>
      </c>
      <c r="H10" s="69" t="n">
        <f aca="false">'CC Volume'!AO10</f>
        <v>31.18225</v>
      </c>
      <c r="I10" s="69" t="n">
        <f aca="false">'CC Volume'!AM10</f>
        <v>194.8890625</v>
      </c>
      <c r="J10" s="62" t="n">
        <f aca="false">IF(N(H10)=0,"",IFERROR(INDEX(CC_RegRate,MATCH(F10,CC_RegU,0)),0))</f>
        <v>374</v>
      </c>
      <c r="K10" s="62" t="n">
        <f aca="false">N(H10)*N(J10)</f>
        <v>11662.1615</v>
      </c>
      <c r="L10" s="62" t="n">
        <f aca="false">IF(CC_IncWaste="Yes",N(I10)*N(XWaste),0)</f>
        <v>56517.828125</v>
      </c>
      <c r="M10" s="65" t="n">
        <f aca="false">IF(N(G10)=0,0,IF(CC_AllocBasis="Equipment count",1,IF(CC_AllocBasis="Equipment volume",N(G10),N(H10))))</f>
        <v>31.18225</v>
      </c>
      <c r="N10" s="15" t="n">
        <f aca="false">IF(SUM(CC_P_M)=0,0,M10/SUM(CC_P_M))</f>
        <v>0.758365654424224</v>
      </c>
      <c r="O10" s="62" t="n">
        <f aca="false">N10*CC_SharedCost</f>
        <v>0</v>
      </c>
      <c r="P10" s="63" t="n">
        <f aca="false">K10+L10+O10</f>
        <v>68179.989625</v>
      </c>
      <c r="Q10" s="62" t="n">
        <f aca="false">K10*(1+INDEX(MkMatrix,3,3))</f>
        <v>15160.80995</v>
      </c>
      <c r="R10" s="62" t="n">
        <f aca="false">L10*(1+INDEX(MkMatrix,3,3))</f>
        <v>73473.1765625</v>
      </c>
      <c r="S10" s="62" t="n">
        <f aca="false">N10*CC_SharedSell</f>
        <v>0</v>
      </c>
      <c r="T10" s="62" t="n">
        <f aca="false">P10*N(QCont)</f>
        <v>0</v>
      </c>
      <c r="U10" s="62" t="n">
        <f aca="false">Q10+R10+S10+T10</f>
        <v>88633.9865125</v>
      </c>
      <c r="V10" s="62" t="n">
        <f aca="false">-U10*N(QDisc)</f>
        <v>-0</v>
      </c>
      <c r="W10" s="63" t="n">
        <f aca="false">U10+V10</f>
        <v>88633.9865125</v>
      </c>
      <c r="X10" s="63" t="n">
        <f aca="false">W10/QRate</f>
        <v>88633.9865125</v>
      </c>
      <c r="Y10" s="0" t="n">
        <v>1</v>
      </c>
    </row>
    <row r="11" customFormat="false" ht="15" hidden="false" customHeight="false" outlineLevel="0" collapsed="false">
      <c r="A11" s="68" t="n">
        <f aca="false">'CC Volume'!A11</f>
        <v>2</v>
      </c>
      <c r="B11" s="13" t="str">
        <f aca="false">IF('CC Volume'!B11="","",'CC Volume'!B11)</f>
        <v>Loop 2</v>
      </c>
      <c r="C11" s="13" t="str">
        <f aca="false">IF('CC Volume'!C11="","",'CC Volume'!C11)</f>
        <v>EXAMPLE V-101</v>
      </c>
      <c r="D11" s="13" t="str">
        <f aca="false">IF('CC Volume'!D11="","",'CC Volume'!D11)</f>
        <v>Vertical vessel (dimensions)</v>
      </c>
      <c r="E11" s="68" t="str">
        <f aca="false">IF('CC Volume'!E11="","",'CC Volume'!E11)</f>
        <v>Vessel – Vertical</v>
      </c>
      <c r="F11" s="68" t="str">
        <f aca="false">IF('CC Volume'!F11="","",'CC Volume'!F11)</f>
        <v>SS</v>
      </c>
      <c r="G11" s="69" t="n">
        <f aca="false">'CC Volume'!AN11</f>
        <v>20.943951023932</v>
      </c>
      <c r="H11" s="69" t="n">
        <f aca="false">'CC Volume'!AO11</f>
        <v>3.61283155162826</v>
      </c>
      <c r="I11" s="69" t="n">
        <f aca="false">'CC Volume'!AM11</f>
        <v>22.5801971976766</v>
      </c>
      <c r="J11" s="62" t="n">
        <f aca="false">IF(N(H11)=0,"",IFERROR(INDEX(CC_RegRate,MATCH(F11,CC_RegU,0)),0))</f>
        <v>374</v>
      </c>
      <c r="K11" s="62" t="n">
        <f aca="false">N(H11)*N(J11)</f>
        <v>1351.19900030897</v>
      </c>
      <c r="L11" s="62" t="n">
        <f aca="false">IF(CC_IncWaste="Yes",N(I11)*N(XWaste),0)</f>
        <v>6548.25718732622</v>
      </c>
      <c r="M11" s="65" t="n">
        <f aca="false">IF(N(G11)=0,0,IF(CC_AllocBasis="Equipment count",1,IF(CC_AllocBasis="Equipment volume",N(G11),N(H11))))</f>
        <v>3.61283155162826</v>
      </c>
      <c r="N11" s="15" t="n">
        <f aca="false">IF(SUM(CC_P_M)=0,0,M11/SUM(CC_P_M))</f>
        <v>0.0878656082859656</v>
      </c>
      <c r="O11" s="62" t="n">
        <f aca="false">N11*CC_SharedCost</f>
        <v>0</v>
      </c>
      <c r="P11" s="63" t="n">
        <f aca="false">K11+L11+O11</f>
        <v>7899.45618763519</v>
      </c>
      <c r="Q11" s="62" t="n">
        <f aca="false">K11*(1+INDEX(MkMatrix,3,3))</f>
        <v>1756.55870040166</v>
      </c>
      <c r="R11" s="62" t="n">
        <f aca="false">L11*(1+INDEX(MkMatrix,3,3))</f>
        <v>8512.73434352409</v>
      </c>
      <c r="S11" s="62" t="n">
        <f aca="false">N11*CC_SharedSell</f>
        <v>0</v>
      </c>
      <c r="T11" s="62" t="n">
        <f aca="false">P11*N(QCont)</f>
        <v>0</v>
      </c>
      <c r="U11" s="62" t="n">
        <f aca="false">Q11+R11+S11+T11</f>
        <v>10269.2930439258</v>
      </c>
      <c r="V11" s="62" t="n">
        <f aca="false">-U11*N(QDisc)</f>
        <v>-0</v>
      </c>
      <c r="W11" s="63" t="n">
        <f aca="false">U11+V11</f>
        <v>10269.2930439258</v>
      </c>
      <c r="X11" s="63" t="n">
        <f aca="false">W11/QRate</f>
        <v>10269.2930439258</v>
      </c>
      <c r="Y11" s="0" t="n">
        <v>1</v>
      </c>
    </row>
    <row r="12" customFormat="false" ht="15" hidden="false" customHeight="false" outlineLevel="0" collapsed="false">
      <c r="A12" s="68" t="n">
        <f aca="false">'CC Volume'!A12</f>
        <v>3</v>
      </c>
      <c r="B12" s="13" t="str">
        <f aca="false">IF('CC Volume'!B12="","",'CC Volume'!B12)</f>
        <v>Loop 2</v>
      </c>
      <c r="C12" s="13" t="str">
        <f aca="false">IF('CC Volume'!C12="","",'CC Volume'!C12)</f>
        <v>EXAMPLE E-101</v>
      </c>
      <c r="D12" s="13" t="str">
        <f aca="false">IF('CC Volume'!D12="","",'CC Volume'!D12)</f>
        <v>Shell &amp; tube exchanger</v>
      </c>
      <c r="E12" s="68" t="str">
        <f aca="false">IF('CC Volume'!E12="","",'CC Volume'!E12)</f>
        <v>Exchanger</v>
      </c>
      <c r="F12" s="68" t="str">
        <f aca="false">IF('CC Volume'!F12="","",'CC Volume'!F12)</f>
        <v>SS</v>
      </c>
      <c r="G12" s="69" t="n">
        <f aca="false">'CC Volume'!AN12</f>
        <v>3.26042419158197</v>
      </c>
      <c r="H12" s="69" t="n">
        <f aca="false">'CC Volume'!AO12</f>
        <v>3.74948782031926</v>
      </c>
      <c r="I12" s="69" t="n">
        <f aca="false">'CC Volume'!AM12</f>
        <v>23.4342988769954</v>
      </c>
      <c r="J12" s="62" t="n">
        <f aca="false">IF(N(H12)=0,"",IFERROR(INDEX(CC_RegRate,MATCH(F12,CC_RegU,0)),0))</f>
        <v>374</v>
      </c>
      <c r="K12" s="62" t="n">
        <f aca="false">N(H12)*N(J12)</f>
        <v>1402.3084447994</v>
      </c>
      <c r="L12" s="62" t="n">
        <f aca="false">IF(CC_IncWaste="Yes",N(I12)*N(XWaste),0)</f>
        <v>6795.94667432866</v>
      </c>
      <c r="M12" s="65" t="n">
        <f aca="false">IF(N(G12)=0,0,IF(CC_AllocBasis="Equipment count",1,IF(CC_AllocBasis="Equipment volume",N(G12),N(H12))))</f>
        <v>3.74948782031926</v>
      </c>
      <c r="N12" s="15" t="n">
        <f aca="false">IF(SUM(CC_P_M)=0,0,M12/SUM(CC_P_M))</f>
        <v>0.0911891471786697</v>
      </c>
      <c r="O12" s="62" t="n">
        <f aca="false">N12*CC_SharedCost</f>
        <v>0</v>
      </c>
      <c r="P12" s="63" t="n">
        <f aca="false">K12+L12+O12</f>
        <v>8198.25511912806</v>
      </c>
      <c r="Q12" s="62" t="n">
        <f aca="false">K12*(1+INDEX(MkMatrix,3,3))</f>
        <v>1823.00097823922</v>
      </c>
      <c r="R12" s="62" t="n">
        <f aca="false">L12*(1+INDEX(MkMatrix,3,3))</f>
        <v>8834.73067662726</v>
      </c>
      <c r="S12" s="62" t="n">
        <f aca="false">N12*CC_SharedSell</f>
        <v>0</v>
      </c>
      <c r="T12" s="62" t="n">
        <f aca="false">P12*N(QCont)</f>
        <v>0</v>
      </c>
      <c r="U12" s="62" t="n">
        <f aca="false">Q12+R12+S12+T12</f>
        <v>10657.7316548665</v>
      </c>
      <c r="V12" s="62" t="n">
        <f aca="false">-U12*N(QDisc)</f>
        <v>-0</v>
      </c>
      <c r="W12" s="63" t="n">
        <f aca="false">U12+V12</f>
        <v>10657.7316548665</v>
      </c>
      <c r="X12" s="63" t="n">
        <f aca="false">W12/QRate</f>
        <v>10657.7316548665</v>
      </c>
      <c r="Y12" s="0" t="n">
        <v>1</v>
      </c>
    </row>
    <row r="13" customFormat="false" ht="15" hidden="false" customHeight="false" outlineLevel="0" collapsed="false">
      <c r="A13" s="68" t="n">
        <f aca="false">'CC Volume'!A13</f>
        <v>4</v>
      </c>
      <c r="B13" s="13" t="str">
        <f aca="false">IF('CC Volume'!B13="","",'CC Volume'!B13)</f>
        <v/>
      </c>
      <c r="C13" s="13" t="str">
        <f aca="false">IF('CC Volume'!C13="","",'CC Volume'!C13)</f>
        <v>EXAMPLE 6"-P-1001</v>
      </c>
      <c r="D13" s="13" t="str">
        <f aca="false">IF('CC Volume'!D13="","",'CC Volume'!D13)</f>
        <v>Line from isometric</v>
      </c>
      <c r="E13" s="68" t="str">
        <f aca="false">IF('CC Volume'!E13="","",'CC Volume'!E13)</f>
        <v>Piping</v>
      </c>
      <c r="F13" s="68" t="str">
        <f aca="false">IF('CC Volume'!F13="","",'CC Volume'!F13)</f>
        <v>CS</v>
      </c>
      <c r="G13" s="69" t="n">
        <f aca="false">'CC Volume'!AN13</f>
        <v>2.23750320965139</v>
      </c>
      <c r="H13" s="69" t="n">
        <f aca="false">'CC Volume'!AO13</f>
        <v>2.5731286910991</v>
      </c>
      <c r="I13" s="69" t="n">
        <f aca="false">'CC Volume'!AM13</f>
        <v>16.0820543193694</v>
      </c>
      <c r="J13" s="62" t="n">
        <f aca="false">IF(N(H13)=0,"",IFERROR(INDEX(CC_RegRate,MATCH(F13,CC_RegU,0)),0))</f>
        <v>524.612244897959</v>
      </c>
      <c r="K13" s="62" t="n">
        <f aca="false">N(H13)*N(J13)</f>
        <v>1349.89481904885</v>
      </c>
      <c r="L13" s="62" t="n">
        <f aca="false">IF(CC_IncWaste="Yes",N(I13)*N(XWaste),0)</f>
        <v>4663.79575261712</v>
      </c>
      <c r="M13" s="65" t="n">
        <f aca="false">IF(N(G13)=0,0,IF(CC_AllocBasis="Equipment count",1,IF(CC_AllocBasis="Equipment volume",N(G13),N(H13))))</f>
        <v>2.5731286910991</v>
      </c>
      <c r="N13" s="15" t="n">
        <f aca="false">IF(SUM(CC_P_M)=0,0,M13/SUM(CC_P_M))</f>
        <v>0.0625795901111406</v>
      </c>
      <c r="O13" s="62" t="n">
        <f aca="false">N13*CC_SharedCost</f>
        <v>0</v>
      </c>
      <c r="P13" s="63" t="n">
        <f aca="false">K13+L13+O13</f>
        <v>6013.69057166596</v>
      </c>
      <c r="Q13" s="62" t="n">
        <f aca="false">K13*(1+INDEX(MkMatrix,3,3))</f>
        <v>1754.8632647635</v>
      </c>
      <c r="R13" s="62" t="n">
        <f aca="false">L13*(1+INDEX(MkMatrix,3,3))</f>
        <v>6062.93447840225</v>
      </c>
      <c r="S13" s="62" t="n">
        <f aca="false">N13*CC_SharedSell</f>
        <v>0</v>
      </c>
      <c r="T13" s="62" t="n">
        <f aca="false">P13*N(QCont)</f>
        <v>0</v>
      </c>
      <c r="U13" s="62" t="n">
        <f aca="false">Q13+R13+S13+T13</f>
        <v>7817.79774316575</v>
      </c>
      <c r="V13" s="62" t="n">
        <f aca="false">-U13*N(QDisc)</f>
        <v>-0</v>
      </c>
      <c r="W13" s="63" t="n">
        <f aca="false">U13+V13</f>
        <v>7817.79774316575</v>
      </c>
      <c r="X13" s="63" t="n">
        <f aca="false">W13/QRate</f>
        <v>7817.79774316575</v>
      </c>
      <c r="Y13" s="0" t="n">
        <v>1</v>
      </c>
    </row>
    <row r="14" customFormat="false" ht="15" hidden="false" customHeight="false" outlineLevel="0" collapsed="false">
      <c r="A14" s="68" t="n">
        <f aca="false">'CC Volume'!A14</f>
        <v>5</v>
      </c>
      <c r="B14" s="13" t="str">
        <f aca="false">IF('CC Volume'!B14="","",'CC Volume'!B14)</f>
        <v/>
      </c>
      <c r="C14" s="13" t="str">
        <f aca="false">IF('CC Volume'!C14="","",'CC Volume'!C14)</f>
        <v/>
      </c>
      <c r="D14" s="13" t="str">
        <f aca="false">IF('CC Volume'!D14="","",'CC Volume'!D14)</f>
        <v/>
      </c>
      <c r="E14" s="68" t="str">
        <f aca="false">IF('CC Volume'!E14="","",'CC Volume'!E14)</f>
        <v/>
      </c>
      <c r="F14" s="68" t="str">
        <f aca="false">IF('CC Volume'!F14="","",'CC Volume'!F14)</f>
        <v/>
      </c>
      <c r="G14" s="69" t="str">
        <f aca="false">'CC Volume'!AN14</f>
        <v/>
      </c>
      <c r="H14" s="69" t="str">
        <f aca="false">'CC Volume'!AO14</f>
        <v/>
      </c>
      <c r="I14" s="69" t="str">
        <f aca="false">'CC Volume'!AM14</f>
        <v/>
      </c>
      <c r="J14" s="62" t="str">
        <f aca="false">IF(N(H14)=0,"",IFERROR(INDEX(CC_RegRate,MATCH(F14,CC_RegU,0)),0))</f>
        <v/>
      </c>
      <c r="K14" s="62" t="n">
        <f aca="false">N(H14)*N(J14)</f>
        <v>0</v>
      </c>
      <c r="L14" s="62" t="n">
        <f aca="false">IF(CC_IncWaste="Yes",N(I14)*N(XWaste),0)</f>
        <v>0</v>
      </c>
      <c r="M14" s="65" t="n">
        <f aca="false">IF(N(G14)=0,0,IF(CC_AllocBasis="Equipment count",1,IF(CC_AllocBasis="Equipment volume",N(G14),N(H14))))</f>
        <v>0</v>
      </c>
      <c r="N14" s="15" t="n">
        <f aca="false">IF(SUM(CC_P_M)=0,0,M14/SUM(CC_P_M))</f>
        <v>0</v>
      </c>
      <c r="O14" s="62" t="n">
        <f aca="false">N14*CC_SharedCost</f>
        <v>0</v>
      </c>
      <c r="P14" s="63" t="n">
        <f aca="false">K14+L14+O14</f>
        <v>0</v>
      </c>
      <c r="Q14" s="62" t="n">
        <f aca="false">K14*(1+INDEX(MkMatrix,3,3))</f>
        <v>0</v>
      </c>
      <c r="R14" s="62" t="n">
        <f aca="false">L14*(1+INDEX(MkMatrix,3,3))</f>
        <v>0</v>
      </c>
      <c r="S14" s="62" t="n">
        <f aca="false">N14*CC_SharedSell</f>
        <v>0</v>
      </c>
      <c r="T14" s="62" t="n">
        <f aca="false">P14*N(QCont)</f>
        <v>0</v>
      </c>
      <c r="U14" s="62" t="n">
        <f aca="false">Q14+R14+S14+T14</f>
        <v>0</v>
      </c>
      <c r="V14" s="62" t="n">
        <f aca="false">-U14*N(QDisc)</f>
        <v>-0</v>
      </c>
      <c r="W14" s="63" t="n">
        <f aca="false">U14+V14</f>
        <v>0</v>
      </c>
      <c r="X14" s="63" t="n">
        <f aca="false">W14/QRate</f>
        <v>0</v>
      </c>
      <c r="Y14" s="0" t="n">
        <v>1</v>
      </c>
    </row>
    <row r="15" customFormat="false" ht="15" hidden="false" customHeight="false" outlineLevel="0" collapsed="false">
      <c r="A15" s="68" t="n">
        <f aca="false">'CC Volume'!A15</f>
        <v>6</v>
      </c>
      <c r="B15" s="13" t="str">
        <f aca="false">IF('CC Volume'!B15="","",'CC Volume'!B15)</f>
        <v/>
      </c>
      <c r="C15" s="13" t="str">
        <f aca="false">IF('CC Volume'!C15="","",'CC Volume'!C15)</f>
        <v/>
      </c>
      <c r="D15" s="13" t="str">
        <f aca="false">IF('CC Volume'!D15="","",'CC Volume'!D15)</f>
        <v/>
      </c>
      <c r="E15" s="68" t="str">
        <f aca="false">IF('CC Volume'!E15="","",'CC Volume'!E15)</f>
        <v/>
      </c>
      <c r="F15" s="68" t="str">
        <f aca="false">IF('CC Volume'!F15="","",'CC Volume'!F15)</f>
        <v/>
      </c>
      <c r="G15" s="69" t="str">
        <f aca="false">'CC Volume'!AN15</f>
        <v/>
      </c>
      <c r="H15" s="69" t="str">
        <f aca="false">'CC Volume'!AO15</f>
        <v/>
      </c>
      <c r="I15" s="69" t="str">
        <f aca="false">'CC Volume'!AM15</f>
        <v/>
      </c>
      <c r="J15" s="62" t="str">
        <f aca="false">IF(N(H15)=0,"",IFERROR(INDEX(CC_RegRate,MATCH(F15,CC_RegU,0)),0))</f>
        <v/>
      </c>
      <c r="K15" s="62" t="n">
        <f aca="false">N(H15)*N(J15)</f>
        <v>0</v>
      </c>
      <c r="L15" s="62" t="n">
        <f aca="false">IF(CC_IncWaste="Yes",N(I15)*N(XWaste),0)</f>
        <v>0</v>
      </c>
      <c r="M15" s="65" t="n">
        <f aca="false">IF(N(G15)=0,0,IF(CC_AllocBasis="Equipment count",1,IF(CC_AllocBasis="Equipment volume",N(G15),N(H15))))</f>
        <v>0</v>
      </c>
      <c r="N15" s="15" t="n">
        <f aca="false">IF(SUM(CC_P_M)=0,0,M15/SUM(CC_P_M))</f>
        <v>0</v>
      </c>
      <c r="O15" s="62" t="n">
        <f aca="false">N15*CC_SharedCost</f>
        <v>0</v>
      </c>
      <c r="P15" s="63" t="n">
        <f aca="false">K15+L15+O15</f>
        <v>0</v>
      </c>
      <c r="Q15" s="62" t="n">
        <f aca="false">K15*(1+INDEX(MkMatrix,3,3))</f>
        <v>0</v>
      </c>
      <c r="R15" s="62" t="n">
        <f aca="false">L15*(1+INDEX(MkMatrix,3,3))</f>
        <v>0</v>
      </c>
      <c r="S15" s="62" t="n">
        <f aca="false">N15*CC_SharedSell</f>
        <v>0</v>
      </c>
      <c r="T15" s="62" t="n">
        <f aca="false">P15*N(QCont)</f>
        <v>0</v>
      </c>
      <c r="U15" s="62" t="n">
        <f aca="false">Q15+R15+S15+T15</f>
        <v>0</v>
      </c>
      <c r="V15" s="62" t="n">
        <f aca="false">-U15*N(QDisc)</f>
        <v>-0</v>
      </c>
      <c r="W15" s="63" t="n">
        <f aca="false">U15+V15</f>
        <v>0</v>
      </c>
      <c r="X15" s="63" t="n">
        <f aca="false">W15/QRate</f>
        <v>0</v>
      </c>
      <c r="Y15" s="0" t="n">
        <v>1</v>
      </c>
    </row>
    <row r="16" customFormat="false" ht="15" hidden="false" customHeight="false" outlineLevel="0" collapsed="false">
      <c r="A16" s="68" t="n">
        <f aca="false">'CC Volume'!A16</f>
        <v>7</v>
      </c>
      <c r="B16" s="13" t="str">
        <f aca="false">IF('CC Volume'!B16="","",'CC Volume'!B16)</f>
        <v/>
      </c>
      <c r="C16" s="13" t="str">
        <f aca="false">IF('CC Volume'!C16="","",'CC Volume'!C16)</f>
        <v/>
      </c>
      <c r="D16" s="13" t="str">
        <f aca="false">IF('CC Volume'!D16="","",'CC Volume'!D16)</f>
        <v/>
      </c>
      <c r="E16" s="68" t="str">
        <f aca="false">IF('CC Volume'!E16="","",'CC Volume'!E16)</f>
        <v/>
      </c>
      <c r="F16" s="68" t="str">
        <f aca="false">IF('CC Volume'!F16="","",'CC Volume'!F16)</f>
        <v/>
      </c>
      <c r="G16" s="69" t="str">
        <f aca="false">'CC Volume'!AN16</f>
        <v/>
      </c>
      <c r="H16" s="69" t="str">
        <f aca="false">'CC Volume'!AO16</f>
        <v/>
      </c>
      <c r="I16" s="69" t="str">
        <f aca="false">'CC Volume'!AM16</f>
        <v/>
      </c>
      <c r="J16" s="62" t="str">
        <f aca="false">IF(N(H16)=0,"",IFERROR(INDEX(CC_RegRate,MATCH(F16,CC_RegU,0)),0))</f>
        <v/>
      </c>
      <c r="K16" s="62" t="n">
        <f aca="false">N(H16)*N(J16)</f>
        <v>0</v>
      </c>
      <c r="L16" s="62" t="n">
        <f aca="false">IF(CC_IncWaste="Yes",N(I16)*N(XWaste),0)</f>
        <v>0</v>
      </c>
      <c r="M16" s="65" t="n">
        <f aca="false">IF(N(G16)=0,0,IF(CC_AllocBasis="Equipment count",1,IF(CC_AllocBasis="Equipment volume",N(G16),N(H16))))</f>
        <v>0</v>
      </c>
      <c r="N16" s="15" t="n">
        <f aca="false">IF(SUM(CC_P_M)=0,0,M16/SUM(CC_P_M))</f>
        <v>0</v>
      </c>
      <c r="O16" s="62" t="n">
        <f aca="false">N16*CC_SharedCost</f>
        <v>0</v>
      </c>
      <c r="P16" s="63" t="n">
        <f aca="false">K16+L16+O16</f>
        <v>0</v>
      </c>
      <c r="Q16" s="62" t="n">
        <f aca="false">K16*(1+INDEX(MkMatrix,3,3))</f>
        <v>0</v>
      </c>
      <c r="R16" s="62" t="n">
        <f aca="false">L16*(1+INDEX(MkMatrix,3,3))</f>
        <v>0</v>
      </c>
      <c r="S16" s="62" t="n">
        <f aca="false">N16*CC_SharedSell</f>
        <v>0</v>
      </c>
      <c r="T16" s="62" t="n">
        <f aca="false">P16*N(QCont)</f>
        <v>0</v>
      </c>
      <c r="U16" s="62" t="n">
        <f aca="false">Q16+R16+S16+T16</f>
        <v>0</v>
      </c>
      <c r="V16" s="62" t="n">
        <f aca="false">-U16*N(QDisc)</f>
        <v>-0</v>
      </c>
      <c r="W16" s="63" t="n">
        <f aca="false">U16+V16</f>
        <v>0</v>
      </c>
      <c r="X16" s="63" t="n">
        <f aca="false">W16/QRate</f>
        <v>0</v>
      </c>
      <c r="Y16" s="0" t="n">
        <v>1</v>
      </c>
    </row>
    <row r="17" customFormat="false" ht="15" hidden="false" customHeight="false" outlineLevel="0" collapsed="false">
      <c r="A17" s="68" t="n">
        <f aca="false">'CC Volume'!A17</f>
        <v>8</v>
      </c>
      <c r="B17" s="13" t="str">
        <f aca="false">IF('CC Volume'!B17="","",'CC Volume'!B17)</f>
        <v/>
      </c>
      <c r="C17" s="13" t="str">
        <f aca="false">IF('CC Volume'!C17="","",'CC Volume'!C17)</f>
        <v/>
      </c>
      <c r="D17" s="13" t="str">
        <f aca="false">IF('CC Volume'!D17="","",'CC Volume'!D17)</f>
        <v/>
      </c>
      <c r="E17" s="68" t="str">
        <f aca="false">IF('CC Volume'!E17="","",'CC Volume'!E17)</f>
        <v/>
      </c>
      <c r="F17" s="68" t="str">
        <f aca="false">IF('CC Volume'!F17="","",'CC Volume'!F17)</f>
        <v/>
      </c>
      <c r="G17" s="69" t="str">
        <f aca="false">'CC Volume'!AN17</f>
        <v/>
      </c>
      <c r="H17" s="69" t="str">
        <f aca="false">'CC Volume'!AO17</f>
        <v/>
      </c>
      <c r="I17" s="69" t="str">
        <f aca="false">'CC Volume'!AM17</f>
        <v/>
      </c>
      <c r="J17" s="62" t="str">
        <f aca="false">IF(N(H17)=0,"",IFERROR(INDEX(CC_RegRate,MATCH(F17,CC_RegU,0)),0))</f>
        <v/>
      </c>
      <c r="K17" s="62" t="n">
        <f aca="false">N(H17)*N(J17)</f>
        <v>0</v>
      </c>
      <c r="L17" s="62" t="n">
        <f aca="false">IF(CC_IncWaste="Yes",N(I17)*N(XWaste),0)</f>
        <v>0</v>
      </c>
      <c r="M17" s="65" t="n">
        <f aca="false">IF(N(G17)=0,0,IF(CC_AllocBasis="Equipment count",1,IF(CC_AllocBasis="Equipment volume",N(G17),N(H17))))</f>
        <v>0</v>
      </c>
      <c r="N17" s="15" t="n">
        <f aca="false">IF(SUM(CC_P_M)=0,0,M17/SUM(CC_P_M))</f>
        <v>0</v>
      </c>
      <c r="O17" s="62" t="n">
        <f aca="false">N17*CC_SharedCost</f>
        <v>0</v>
      </c>
      <c r="P17" s="63" t="n">
        <f aca="false">K17+L17+O17</f>
        <v>0</v>
      </c>
      <c r="Q17" s="62" t="n">
        <f aca="false">K17*(1+INDEX(MkMatrix,3,3))</f>
        <v>0</v>
      </c>
      <c r="R17" s="62" t="n">
        <f aca="false">L17*(1+INDEX(MkMatrix,3,3))</f>
        <v>0</v>
      </c>
      <c r="S17" s="62" t="n">
        <f aca="false">N17*CC_SharedSell</f>
        <v>0</v>
      </c>
      <c r="T17" s="62" t="n">
        <f aca="false">P17*N(QCont)</f>
        <v>0</v>
      </c>
      <c r="U17" s="62" t="n">
        <f aca="false">Q17+R17+S17+T17</f>
        <v>0</v>
      </c>
      <c r="V17" s="62" t="n">
        <f aca="false">-U17*N(QDisc)</f>
        <v>-0</v>
      </c>
      <c r="W17" s="63" t="n">
        <f aca="false">U17+V17</f>
        <v>0</v>
      </c>
      <c r="X17" s="63" t="n">
        <f aca="false">W17/QRate</f>
        <v>0</v>
      </c>
      <c r="Y17" s="0" t="n">
        <v>1</v>
      </c>
    </row>
    <row r="18" customFormat="false" ht="15" hidden="false" customHeight="false" outlineLevel="0" collapsed="false">
      <c r="A18" s="68" t="n">
        <f aca="false">'CC Volume'!A18</f>
        <v>9</v>
      </c>
      <c r="B18" s="13" t="str">
        <f aca="false">IF('CC Volume'!B18="","",'CC Volume'!B18)</f>
        <v/>
      </c>
      <c r="C18" s="13" t="str">
        <f aca="false">IF('CC Volume'!C18="","",'CC Volume'!C18)</f>
        <v/>
      </c>
      <c r="D18" s="13" t="str">
        <f aca="false">IF('CC Volume'!D18="","",'CC Volume'!D18)</f>
        <v/>
      </c>
      <c r="E18" s="68" t="str">
        <f aca="false">IF('CC Volume'!E18="","",'CC Volume'!E18)</f>
        <v/>
      </c>
      <c r="F18" s="68" t="str">
        <f aca="false">IF('CC Volume'!F18="","",'CC Volume'!F18)</f>
        <v/>
      </c>
      <c r="G18" s="69" t="str">
        <f aca="false">'CC Volume'!AN18</f>
        <v/>
      </c>
      <c r="H18" s="69" t="str">
        <f aca="false">'CC Volume'!AO18</f>
        <v/>
      </c>
      <c r="I18" s="69" t="str">
        <f aca="false">'CC Volume'!AM18</f>
        <v/>
      </c>
      <c r="J18" s="62" t="str">
        <f aca="false">IF(N(H18)=0,"",IFERROR(INDEX(CC_RegRate,MATCH(F18,CC_RegU,0)),0))</f>
        <v/>
      </c>
      <c r="K18" s="62" t="n">
        <f aca="false">N(H18)*N(J18)</f>
        <v>0</v>
      </c>
      <c r="L18" s="62" t="n">
        <f aca="false">IF(CC_IncWaste="Yes",N(I18)*N(XWaste),0)</f>
        <v>0</v>
      </c>
      <c r="M18" s="65" t="n">
        <f aca="false">IF(N(G18)=0,0,IF(CC_AllocBasis="Equipment count",1,IF(CC_AllocBasis="Equipment volume",N(G18),N(H18))))</f>
        <v>0</v>
      </c>
      <c r="N18" s="15" t="n">
        <f aca="false">IF(SUM(CC_P_M)=0,0,M18/SUM(CC_P_M))</f>
        <v>0</v>
      </c>
      <c r="O18" s="62" t="n">
        <f aca="false">N18*CC_SharedCost</f>
        <v>0</v>
      </c>
      <c r="P18" s="63" t="n">
        <f aca="false">K18+L18+O18</f>
        <v>0</v>
      </c>
      <c r="Q18" s="62" t="n">
        <f aca="false">K18*(1+INDEX(MkMatrix,3,3))</f>
        <v>0</v>
      </c>
      <c r="R18" s="62" t="n">
        <f aca="false">L18*(1+INDEX(MkMatrix,3,3))</f>
        <v>0</v>
      </c>
      <c r="S18" s="62" t="n">
        <f aca="false">N18*CC_SharedSell</f>
        <v>0</v>
      </c>
      <c r="T18" s="62" t="n">
        <f aca="false">P18*N(QCont)</f>
        <v>0</v>
      </c>
      <c r="U18" s="62" t="n">
        <f aca="false">Q18+R18+S18+T18</f>
        <v>0</v>
      </c>
      <c r="V18" s="62" t="n">
        <f aca="false">-U18*N(QDisc)</f>
        <v>-0</v>
      </c>
      <c r="W18" s="63" t="n">
        <f aca="false">U18+V18</f>
        <v>0</v>
      </c>
      <c r="X18" s="63" t="n">
        <f aca="false">W18/QRate</f>
        <v>0</v>
      </c>
      <c r="Y18" s="0" t="n">
        <v>1</v>
      </c>
    </row>
    <row r="19" customFormat="false" ht="15" hidden="false" customHeight="false" outlineLevel="0" collapsed="false">
      <c r="A19" s="68" t="n">
        <f aca="false">'CC Volume'!A19</f>
        <v>10</v>
      </c>
      <c r="B19" s="13" t="str">
        <f aca="false">IF('CC Volume'!B19="","",'CC Volume'!B19)</f>
        <v/>
      </c>
      <c r="C19" s="13" t="str">
        <f aca="false">IF('CC Volume'!C19="","",'CC Volume'!C19)</f>
        <v/>
      </c>
      <c r="D19" s="13" t="str">
        <f aca="false">IF('CC Volume'!D19="","",'CC Volume'!D19)</f>
        <v/>
      </c>
      <c r="E19" s="68" t="str">
        <f aca="false">IF('CC Volume'!E19="","",'CC Volume'!E19)</f>
        <v/>
      </c>
      <c r="F19" s="68" t="str">
        <f aca="false">IF('CC Volume'!F19="","",'CC Volume'!F19)</f>
        <v/>
      </c>
      <c r="G19" s="69" t="str">
        <f aca="false">'CC Volume'!AN19</f>
        <v/>
      </c>
      <c r="H19" s="69" t="str">
        <f aca="false">'CC Volume'!AO19</f>
        <v/>
      </c>
      <c r="I19" s="69" t="str">
        <f aca="false">'CC Volume'!AM19</f>
        <v/>
      </c>
      <c r="J19" s="62" t="str">
        <f aca="false">IF(N(H19)=0,"",IFERROR(INDEX(CC_RegRate,MATCH(F19,CC_RegU,0)),0))</f>
        <v/>
      </c>
      <c r="K19" s="62" t="n">
        <f aca="false">N(H19)*N(J19)</f>
        <v>0</v>
      </c>
      <c r="L19" s="62" t="n">
        <f aca="false">IF(CC_IncWaste="Yes",N(I19)*N(XWaste),0)</f>
        <v>0</v>
      </c>
      <c r="M19" s="65" t="n">
        <f aca="false">IF(N(G19)=0,0,IF(CC_AllocBasis="Equipment count",1,IF(CC_AllocBasis="Equipment volume",N(G19),N(H19))))</f>
        <v>0</v>
      </c>
      <c r="N19" s="15" t="n">
        <f aca="false">IF(SUM(CC_P_M)=0,0,M19/SUM(CC_P_M))</f>
        <v>0</v>
      </c>
      <c r="O19" s="62" t="n">
        <f aca="false">N19*CC_SharedCost</f>
        <v>0</v>
      </c>
      <c r="P19" s="63" t="n">
        <f aca="false">K19+L19+O19</f>
        <v>0</v>
      </c>
      <c r="Q19" s="62" t="n">
        <f aca="false">K19*(1+INDEX(MkMatrix,3,3))</f>
        <v>0</v>
      </c>
      <c r="R19" s="62" t="n">
        <f aca="false">L19*(1+INDEX(MkMatrix,3,3))</f>
        <v>0</v>
      </c>
      <c r="S19" s="62" t="n">
        <f aca="false">N19*CC_SharedSell</f>
        <v>0</v>
      </c>
      <c r="T19" s="62" t="n">
        <f aca="false">P19*N(QCont)</f>
        <v>0</v>
      </c>
      <c r="U19" s="62" t="n">
        <f aca="false">Q19+R19+S19+T19</f>
        <v>0</v>
      </c>
      <c r="V19" s="62" t="n">
        <f aca="false">-U19*N(QDisc)</f>
        <v>-0</v>
      </c>
      <c r="W19" s="63" t="n">
        <f aca="false">U19+V19</f>
        <v>0</v>
      </c>
      <c r="X19" s="63" t="n">
        <f aca="false">W19/QRate</f>
        <v>0</v>
      </c>
      <c r="Y19" s="0" t="n">
        <v>1</v>
      </c>
    </row>
    <row r="20" customFormat="false" ht="15" hidden="false" customHeight="false" outlineLevel="0" collapsed="false">
      <c r="A20" s="68" t="n">
        <f aca="false">'CC Volume'!A20</f>
        <v>11</v>
      </c>
      <c r="B20" s="13" t="str">
        <f aca="false">IF('CC Volume'!B20="","",'CC Volume'!B20)</f>
        <v/>
      </c>
      <c r="C20" s="13" t="str">
        <f aca="false">IF('CC Volume'!C20="","",'CC Volume'!C20)</f>
        <v/>
      </c>
      <c r="D20" s="13" t="str">
        <f aca="false">IF('CC Volume'!D20="","",'CC Volume'!D20)</f>
        <v/>
      </c>
      <c r="E20" s="68" t="str">
        <f aca="false">IF('CC Volume'!E20="","",'CC Volume'!E20)</f>
        <v/>
      </c>
      <c r="F20" s="68" t="str">
        <f aca="false">IF('CC Volume'!F20="","",'CC Volume'!F20)</f>
        <v/>
      </c>
      <c r="G20" s="69" t="str">
        <f aca="false">'CC Volume'!AN20</f>
        <v/>
      </c>
      <c r="H20" s="69" t="str">
        <f aca="false">'CC Volume'!AO20</f>
        <v/>
      </c>
      <c r="I20" s="69" t="str">
        <f aca="false">'CC Volume'!AM20</f>
        <v/>
      </c>
      <c r="J20" s="62" t="str">
        <f aca="false">IF(N(H20)=0,"",IFERROR(INDEX(CC_RegRate,MATCH(F20,CC_RegU,0)),0))</f>
        <v/>
      </c>
      <c r="K20" s="62" t="n">
        <f aca="false">N(H20)*N(J20)</f>
        <v>0</v>
      </c>
      <c r="L20" s="62" t="n">
        <f aca="false">IF(CC_IncWaste="Yes",N(I20)*N(XWaste),0)</f>
        <v>0</v>
      </c>
      <c r="M20" s="65" t="n">
        <f aca="false">IF(N(G20)=0,0,IF(CC_AllocBasis="Equipment count",1,IF(CC_AllocBasis="Equipment volume",N(G20),N(H20))))</f>
        <v>0</v>
      </c>
      <c r="N20" s="15" t="n">
        <f aca="false">IF(SUM(CC_P_M)=0,0,M20/SUM(CC_P_M))</f>
        <v>0</v>
      </c>
      <c r="O20" s="62" t="n">
        <f aca="false">N20*CC_SharedCost</f>
        <v>0</v>
      </c>
      <c r="P20" s="63" t="n">
        <f aca="false">K20+L20+O20</f>
        <v>0</v>
      </c>
      <c r="Q20" s="62" t="n">
        <f aca="false">K20*(1+INDEX(MkMatrix,3,3))</f>
        <v>0</v>
      </c>
      <c r="R20" s="62" t="n">
        <f aca="false">L20*(1+INDEX(MkMatrix,3,3))</f>
        <v>0</v>
      </c>
      <c r="S20" s="62" t="n">
        <f aca="false">N20*CC_SharedSell</f>
        <v>0</v>
      </c>
      <c r="T20" s="62" t="n">
        <f aca="false">P20*N(QCont)</f>
        <v>0</v>
      </c>
      <c r="U20" s="62" t="n">
        <f aca="false">Q20+R20+S20+T20</f>
        <v>0</v>
      </c>
      <c r="V20" s="62" t="n">
        <f aca="false">-U20*N(QDisc)</f>
        <v>-0</v>
      </c>
      <c r="W20" s="63" t="n">
        <f aca="false">U20+V20</f>
        <v>0</v>
      </c>
      <c r="X20" s="63" t="n">
        <f aca="false">W20/QRate</f>
        <v>0</v>
      </c>
      <c r="Y20" s="0" t="n">
        <v>1</v>
      </c>
    </row>
    <row r="21" customFormat="false" ht="15" hidden="false" customHeight="false" outlineLevel="0" collapsed="false">
      <c r="A21" s="68" t="n">
        <f aca="false">'CC Volume'!A21</f>
        <v>12</v>
      </c>
      <c r="B21" s="13" t="str">
        <f aca="false">IF('CC Volume'!B21="","",'CC Volume'!B21)</f>
        <v/>
      </c>
      <c r="C21" s="13" t="str">
        <f aca="false">IF('CC Volume'!C21="","",'CC Volume'!C21)</f>
        <v/>
      </c>
      <c r="D21" s="13" t="str">
        <f aca="false">IF('CC Volume'!D21="","",'CC Volume'!D21)</f>
        <v/>
      </c>
      <c r="E21" s="68" t="str">
        <f aca="false">IF('CC Volume'!E21="","",'CC Volume'!E21)</f>
        <v/>
      </c>
      <c r="F21" s="68" t="str">
        <f aca="false">IF('CC Volume'!F21="","",'CC Volume'!F21)</f>
        <v/>
      </c>
      <c r="G21" s="69" t="str">
        <f aca="false">'CC Volume'!AN21</f>
        <v/>
      </c>
      <c r="H21" s="69" t="str">
        <f aca="false">'CC Volume'!AO21</f>
        <v/>
      </c>
      <c r="I21" s="69" t="str">
        <f aca="false">'CC Volume'!AM21</f>
        <v/>
      </c>
      <c r="J21" s="62" t="str">
        <f aca="false">IF(N(H21)=0,"",IFERROR(INDEX(CC_RegRate,MATCH(F21,CC_RegU,0)),0))</f>
        <v/>
      </c>
      <c r="K21" s="62" t="n">
        <f aca="false">N(H21)*N(J21)</f>
        <v>0</v>
      </c>
      <c r="L21" s="62" t="n">
        <f aca="false">IF(CC_IncWaste="Yes",N(I21)*N(XWaste),0)</f>
        <v>0</v>
      </c>
      <c r="M21" s="65" t="n">
        <f aca="false">IF(N(G21)=0,0,IF(CC_AllocBasis="Equipment count",1,IF(CC_AllocBasis="Equipment volume",N(G21),N(H21))))</f>
        <v>0</v>
      </c>
      <c r="N21" s="15" t="n">
        <f aca="false">IF(SUM(CC_P_M)=0,0,M21/SUM(CC_P_M))</f>
        <v>0</v>
      </c>
      <c r="O21" s="62" t="n">
        <f aca="false">N21*CC_SharedCost</f>
        <v>0</v>
      </c>
      <c r="P21" s="63" t="n">
        <f aca="false">K21+L21+O21</f>
        <v>0</v>
      </c>
      <c r="Q21" s="62" t="n">
        <f aca="false">K21*(1+INDEX(MkMatrix,3,3))</f>
        <v>0</v>
      </c>
      <c r="R21" s="62" t="n">
        <f aca="false">L21*(1+INDEX(MkMatrix,3,3))</f>
        <v>0</v>
      </c>
      <c r="S21" s="62" t="n">
        <f aca="false">N21*CC_SharedSell</f>
        <v>0</v>
      </c>
      <c r="T21" s="62" t="n">
        <f aca="false">P21*N(QCont)</f>
        <v>0</v>
      </c>
      <c r="U21" s="62" t="n">
        <f aca="false">Q21+R21+S21+T21</f>
        <v>0</v>
      </c>
      <c r="V21" s="62" t="n">
        <f aca="false">-U21*N(QDisc)</f>
        <v>-0</v>
      </c>
      <c r="W21" s="63" t="n">
        <f aca="false">U21+V21</f>
        <v>0</v>
      </c>
      <c r="X21" s="63" t="n">
        <f aca="false">W21/QRate</f>
        <v>0</v>
      </c>
      <c r="Y21" s="0" t="n">
        <v>1</v>
      </c>
    </row>
    <row r="22" customFormat="false" ht="15" hidden="false" customHeight="false" outlineLevel="0" collapsed="false">
      <c r="A22" s="68" t="n">
        <f aca="false">'CC Volume'!A22</f>
        <v>13</v>
      </c>
      <c r="B22" s="13" t="str">
        <f aca="false">IF('CC Volume'!B22="","",'CC Volume'!B22)</f>
        <v/>
      </c>
      <c r="C22" s="13" t="str">
        <f aca="false">IF('CC Volume'!C22="","",'CC Volume'!C22)</f>
        <v/>
      </c>
      <c r="D22" s="13" t="str">
        <f aca="false">IF('CC Volume'!D22="","",'CC Volume'!D22)</f>
        <v/>
      </c>
      <c r="E22" s="68" t="str">
        <f aca="false">IF('CC Volume'!E22="","",'CC Volume'!E22)</f>
        <v/>
      </c>
      <c r="F22" s="68" t="str">
        <f aca="false">IF('CC Volume'!F22="","",'CC Volume'!F22)</f>
        <v/>
      </c>
      <c r="G22" s="69" t="str">
        <f aca="false">'CC Volume'!AN22</f>
        <v/>
      </c>
      <c r="H22" s="69" t="str">
        <f aca="false">'CC Volume'!AO22</f>
        <v/>
      </c>
      <c r="I22" s="69" t="str">
        <f aca="false">'CC Volume'!AM22</f>
        <v/>
      </c>
      <c r="J22" s="62" t="str">
        <f aca="false">IF(N(H22)=0,"",IFERROR(INDEX(CC_RegRate,MATCH(F22,CC_RegU,0)),0))</f>
        <v/>
      </c>
      <c r="K22" s="62" t="n">
        <f aca="false">N(H22)*N(J22)</f>
        <v>0</v>
      </c>
      <c r="L22" s="62" t="n">
        <f aca="false">IF(CC_IncWaste="Yes",N(I22)*N(XWaste),0)</f>
        <v>0</v>
      </c>
      <c r="M22" s="65" t="n">
        <f aca="false">IF(N(G22)=0,0,IF(CC_AllocBasis="Equipment count",1,IF(CC_AllocBasis="Equipment volume",N(G22),N(H22))))</f>
        <v>0</v>
      </c>
      <c r="N22" s="15" t="n">
        <f aca="false">IF(SUM(CC_P_M)=0,0,M22/SUM(CC_P_M))</f>
        <v>0</v>
      </c>
      <c r="O22" s="62" t="n">
        <f aca="false">N22*CC_SharedCost</f>
        <v>0</v>
      </c>
      <c r="P22" s="63" t="n">
        <f aca="false">K22+L22+O22</f>
        <v>0</v>
      </c>
      <c r="Q22" s="62" t="n">
        <f aca="false">K22*(1+INDEX(MkMatrix,3,3))</f>
        <v>0</v>
      </c>
      <c r="R22" s="62" t="n">
        <f aca="false">L22*(1+INDEX(MkMatrix,3,3))</f>
        <v>0</v>
      </c>
      <c r="S22" s="62" t="n">
        <f aca="false">N22*CC_SharedSell</f>
        <v>0</v>
      </c>
      <c r="T22" s="62" t="n">
        <f aca="false">P22*N(QCont)</f>
        <v>0</v>
      </c>
      <c r="U22" s="62" t="n">
        <f aca="false">Q22+R22+S22+T22</f>
        <v>0</v>
      </c>
      <c r="V22" s="62" t="n">
        <f aca="false">-U22*N(QDisc)</f>
        <v>-0</v>
      </c>
      <c r="W22" s="63" t="n">
        <f aca="false">U22+V22</f>
        <v>0</v>
      </c>
      <c r="X22" s="63" t="n">
        <f aca="false">W22/QRate</f>
        <v>0</v>
      </c>
      <c r="Y22" s="0" t="n">
        <v>1</v>
      </c>
    </row>
    <row r="23" customFormat="false" ht="15" hidden="false" customHeight="false" outlineLevel="0" collapsed="false">
      <c r="A23" s="68" t="n">
        <f aca="false">'CC Volume'!A23</f>
        <v>14</v>
      </c>
      <c r="B23" s="13" t="str">
        <f aca="false">IF('CC Volume'!B23="","",'CC Volume'!B23)</f>
        <v/>
      </c>
      <c r="C23" s="13" t="str">
        <f aca="false">IF('CC Volume'!C23="","",'CC Volume'!C23)</f>
        <v/>
      </c>
      <c r="D23" s="13" t="str">
        <f aca="false">IF('CC Volume'!D23="","",'CC Volume'!D23)</f>
        <v/>
      </c>
      <c r="E23" s="68" t="str">
        <f aca="false">IF('CC Volume'!E23="","",'CC Volume'!E23)</f>
        <v/>
      </c>
      <c r="F23" s="68" t="str">
        <f aca="false">IF('CC Volume'!F23="","",'CC Volume'!F23)</f>
        <v/>
      </c>
      <c r="G23" s="69" t="str">
        <f aca="false">'CC Volume'!AN23</f>
        <v/>
      </c>
      <c r="H23" s="69" t="str">
        <f aca="false">'CC Volume'!AO23</f>
        <v/>
      </c>
      <c r="I23" s="69" t="str">
        <f aca="false">'CC Volume'!AM23</f>
        <v/>
      </c>
      <c r="J23" s="62" t="str">
        <f aca="false">IF(N(H23)=0,"",IFERROR(INDEX(CC_RegRate,MATCH(F23,CC_RegU,0)),0))</f>
        <v/>
      </c>
      <c r="K23" s="62" t="n">
        <f aca="false">N(H23)*N(J23)</f>
        <v>0</v>
      </c>
      <c r="L23" s="62" t="n">
        <f aca="false">IF(CC_IncWaste="Yes",N(I23)*N(XWaste),0)</f>
        <v>0</v>
      </c>
      <c r="M23" s="65" t="n">
        <f aca="false">IF(N(G23)=0,0,IF(CC_AllocBasis="Equipment count",1,IF(CC_AllocBasis="Equipment volume",N(G23),N(H23))))</f>
        <v>0</v>
      </c>
      <c r="N23" s="15" t="n">
        <f aca="false">IF(SUM(CC_P_M)=0,0,M23/SUM(CC_P_M))</f>
        <v>0</v>
      </c>
      <c r="O23" s="62" t="n">
        <f aca="false">N23*CC_SharedCost</f>
        <v>0</v>
      </c>
      <c r="P23" s="63" t="n">
        <f aca="false">K23+L23+O23</f>
        <v>0</v>
      </c>
      <c r="Q23" s="62" t="n">
        <f aca="false">K23*(1+INDEX(MkMatrix,3,3))</f>
        <v>0</v>
      </c>
      <c r="R23" s="62" t="n">
        <f aca="false">L23*(1+INDEX(MkMatrix,3,3))</f>
        <v>0</v>
      </c>
      <c r="S23" s="62" t="n">
        <f aca="false">N23*CC_SharedSell</f>
        <v>0</v>
      </c>
      <c r="T23" s="62" t="n">
        <f aca="false">P23*N(QCont)</f>
        <v>0</v>
      </c>
      <c r="U23" s="62" t="n">
        <f aca="false">Q23+R23+S23+T23</f>
        <v>0</v>
      </c>
      <c r="V23" s="62" t="n">
        <f aca="false">-U23*N(QDisc)</f>
        <v>-0</v>
      </c>
      <c r="W23" s="63" t="n">
        <f aca="false">U23+V23</f>
        <v>0</v>
      </c>
      <c r="X23" s="63" t="n">
        <f aca="false">W23/QRate</f>
        <v>0</v>
      </c>
      <c r="Y23" s="0" t="n">
        <v>1</v>
      </c>
    </row>
    <row r="24" customFormat="false" ht="15" hidden="false" customHeight="false" outlineLevel="0" collapsed="false">
      <c r="A24" s="68" t="n">
        <f aca="false">'CC Volume'!A24</f>
        <v>15</v>
      </c>
      <c r="B24" s="13" t="str">
        <f aca="false">IF('CC Volume'!B24="","",'CC Volume'!B24)</f>
        <v/>
      </c>
      <c r="C24" s="13" t="str">
        <f aca="false">IF('CC Volume'!C24="","",'CC Volume'!C24)</f>
        <v/>
      </c>
      <c r="D24" s="13" t="str">
        <f aca="false">IF('CC Volume'!D24="","",'CC Volume'!D24)</f>
        <v/>
      </c>
      <c r="E24" s="68" t="str">
        <f aca="false">IF('CC Volume'!E24="","",'CC Volume'!E24)</f>
        <v/>
      </c>
      <c r="F24" s="68" t="str">
        <f aca="false">IF('CC Volume'!F24="","",'CC Volume'!F24)</f>
        <v/>
      </c>
      <c r="G24" s="69" t="str">
        <f aca="false">'CC Volume'!AN24</f>
        <v/>
      </c>
      <c r="H24" s="69" t="str">
        <f aca="false">'CC Volume'!AO24</f>
        <v/>
      </c>
      <c r="I24" s="69" t="str">
        <f aca="false">'CC Volume'!AM24</f>
        <v/>
      </c>
      <c r="J24" s="62" t="str">
        <f aca="false">IF(N(H24)=0,"",IFERROR(INDEX(CC_RegRate,MATCH(F24,CC_RegU,0)),0))</f>
        <v/>
      </c>
      <c r="K24" s="62" t="n">
        <f aca="false">N(H24)*N(J24)</f>
        <v>0</v>
      </c>
      <c r="L24" s="62" t="n">
        <f aca="false">IF(CC_IncWaste="Yes",N(I24)*N(XWaste),0)</f>
        <v>0</v>
      </c>
      <c r="M24" s="65" t="n">
        <f aca="false">IF(N(G24)=0,0,IF(CC_AllocBasis="Equipment count",1,IF(CC_AllocBasis="Equipment volume",N(G24),N(H24))))</f>
        <v>0</v>
      </c>
      <c r="N24" s="15" t="n">
        <f aca="false">IF(SUM(CC_P_M)=0,0,M24/SUM(CC_P_M))</f>
        <v>0</v>
      </c>
      <c r="O24" s="62" t="n">
        <f aca="false">N24*CC_SharedCost</f>
        <v>0</v>
      </c>
      <c r="P24" s="63" t="n">
        <f aca="false">K24+L24+O24</f>
        <v>0</v>
      </c>
      <c r="Q24" s="62" t="n">
        <f aca="false">K24*(1+INDEX(MkMatrix,3,3))</f>
        <v>0</v>
      </c>
      <c r="R24" s="62" t="n">
        <f aca="false">L24*(1+INDEX(MkMatrix,3,3))</f>
        <v>0</v>
      </c>
      <c r="S24" s="62" t="n">
        <f aca="false">N24*CC_SharedSell</f>
        <v>0</v>
      </c>
      <c r="T24" s="62" t="n">
        <f aca="false">P24*N(QCont)</f>
        <v>0</v>
      </c>
      <c r="U24" s="62" t="n">
        <f aca="false">Q24+R24+S24+T24</f>
        <v>0</v>
      </c>
      <c r="V24" s="62" t="n">
        <f aca="false">-U24*N(QDisc)</f>
        <v>-0</v>
      </c>
      <c r="W24" s="63" t="n">
        <f aca="false">U24+V24</f>
        <v>0</v>
      </c>
      <c r="X24" s="63" t="n">
        <f aca="false">W24/QRate</f>
        <v>0</v>
      </c>
      <c r="Y24" s="0" t="n">
        <v>1</v>
      </c>
    </row>
    <row r="25" customFormat="false" ht="15" hidden="false" customHeight="false" outlineLevel="0" collapsed="false">
      <c r="A25" s="68" t="n">
        <f aca="false">'CC Volume'!A25</f>
        <v>16</v>
      </c>
      <c r="B25" s="13" t="str">
        <f aca="false">IF('CC Volume'!B25="","",'CC Volume'!B25)</f>
        <v/>
      </c>
      <c r="C25" s="13" t="str">
        <f aca="false">IF('CC Volume'!C25="","",'CC Volume'!C25)</f>
        <v/>
      </c>
      <c r="D25" s="13" t="str">
        <f aca="false">IF('CC Volume'!D25="","",'CC Volume'!D25)</f>
        <v/>
      </c>
      <c r="E25" s="68" t="str">
        <f aca="false">IF('CC Volume'!E25="","",'CC Volume'!E25)</f>
        <v/>
      </c>
      <c r="F25" s="68" t="str">
        <f aca="false">IF('CC Volume'!F25="","",'CC Volume'!F25)</f>
        <v/>
      </c>
      <c r="G25" s="69" t="str">
        <f aca="false">'CC Volume'!AN25</f>
        <v/>
      </c>
      <c r="H25" s="69" t="str">
        <f aca="false">'CC Volume'!AO25</f>
        <v/>
      </c>
      <c r="I25" s="69" t="str">
        <f aca="false">'CC Volume'!AM25</f>
        <v/>
      </c>
      <c r="J25" s="62" t="str">
        <f aca="false">IF(N(H25)=0,"",IFERROR(INDEX(CC_RegRate,MATCH(F25,CC_RegU,0)),0))</f>
        <v/>
      </c>
      <c r="K25" s="62" t="n">
        <f aca="false">N(H25)*N(J25)</f>
        <v>0</v>
      </c>
      <c r="L25" s="62" t="n">
        <f aca="false">IF(CC_IncWaste="Yes",N(I25)*N(XWaste),0)</f>
        <v>0</v>
      </c>
      <c r="M25" s="65" t="n">
        <f aca="false">IF(N(G25)=0,0,IF(CC_AllocBasis="Equipment count",1,IF(CC_AllocBasis="Equipment volume",N(G25),N(H25))))</f>
        <v>0</v>
      </c>
      <c r="N25" s="15" t="n">
        <f aca="false">IF(SUM(CC_P_M)=0,0,M25/SUM(CC_P_M))</f>
        <v>0</v>
      </c>
      <c r="O25" s="62" t="n">
        <f aca="false">N25*CC_SharedCost</f>
        <v>0</v>
      </c>
      <c r="P25" s="63" t="n">
        <f aca="false">K25+L25+O25</f>
        <v>0</v>
      </c>
      <c r="Q25" s="62" t="n">
        <f aca="false">K25*(1+INDEX(MkMatrix,3,3))</f>
        <v>0</v>
      </c>
      <c r="R25" s="62" t="n">
        <f aca="false">L25*(1+INDEX(MkMatrix,3,3))</f>
        <v>0</v>
      </c>
      <c r="S25" s="62" t="n">
        <f aca="false">N25*CC_SharedSell</f>
        <v>0</v>
      </c>
      <c r="T25" s="62" t="n">
        <f aca="false">P25*N(QCont)</f>
        <v>0</v>
      </c>
      <c r="U25" s="62" t="n">
        <f aca="false">Q25+R25+S25+T25</f>
        <v>0</v>
      </c>
      <c r="V25" s="62" t="n">
        <f aca="false">-U25*N(QDisc)</f>
        <v>-0</v>
      </c>
      <c r="W25" s="63" t="n">
        <f aca="false">U25+V25</f>
        <v>0</v>
      </c>
      <c r="X25" s="63" t="n">
        <f aca="false">W25/QRate</f>
        <v>0</v>
      </c>
      <c r="Y25" s="0" t="n">
        <v>1</v>
      </c>
    </row>
    <row r="26" customFormat="false" ht="15" hidden="false" customHeight="false" outlineLevel="0" collapsed="false">
      <c r="A26" s="68" t="n">
        <f aca="false">'CC Volume'!A26</f>
        <v>17</v>
      </c>
      <c r="B26" s="13" t="str">
        <f aca="false">IF('CC Volume'!B26="","",'CC Volume'!B26)</f>
        <v/>
      </c>
      <c r="C26" s="13" t="str">
        <f aca="false">IF('CC Volume'!C26="","",'CC Volume'!C26)</f>
        <v/>
      </c>
      <c r="D26" s="13" t="str">
        <f aca="false">IF('CC Volume'!D26="","",'CC Volume'!D26)</f>
        <v/>
      </c>
      <c r="E26" s="68" t="str">
        <f aca="false">IF('CC Volume'!E26="","",'CC Volume'!E26)</f>
        <v/>
      </c>
      <c r="F26" s="68" t="str">
        <f aca="false">IF('CC Volume'!F26="","",'CC Volume'!F26)</f>
        <v/>
      </c>
      <c r="G26" s="69" t="str">
        <f aca="false">'CC Volume'!AN26</f>
        <v/>
      </c>
      <c r="H26" s="69" t="str">
        <f aca="false">'CC Volume'!AO26</f>
        <v/>
      </c>
      <c r="I26" s="69" t="str">
        <f aca="false">'CC Volume'!AM26</f>
        <v/>
      </c>
      <c r="J26" s="62" t="str">
        <f aca="false">IF(N(H26)=0,"",IFERROR(INDEX(CC_RegRate,MATCH(F26,CC_RegU,0)),0))</f>
        <v/>
      </c>
      <c r="K26" s="62" t="n">
        <f aca="false">N(H26)*N(J26)</f>
        <v>0</v>
      </c>
      <c r="L26" s="62" t="n">
        <f aca="false">IF(CC_IncWaste="Yes",N(I26)*N(XWaste),0)</f>
        <v>0</v>
      </c>
      <c r="M26" s="65" t="n">
        <f aca="false">IF(N(G26)=0,0,IF(CC_AllocBasis="Equipment count",1,IF(CC_AllocBasis="Equipment volume",N(G26),N(H26))))</f>
        <v>0</v>
      </c>
      <c r="N26" s="15" t="n">
        <f aca="false">IF(SUM(CC_P_M)=0,0,M26/SUM(CC_P_M))</f>
        <v>0</v>
      </c>
      <c r="O26" s="62" t="n">
        <f aca="false">N26*CC_SharedCost</f>
        <v>0</v>
      </c>
      <c r="P26" s="63" t="n">
        <f aca="false">K26+L26+O26</f>
        <v>0</v>
      </c>
      <c r="Q26" s="62" t="n">
        <f aca="false">K26*(1+INDEX(MkMatrix,3,3))</f>
        <v>0</v>
      </c>
      <c r="R26" s="62" t="n">
        <f aca="false">L26*(1+INDEX(MkMatrix,3,3))</f>
        <v>0</v>
      </c>
      <c r="S26" s="62" t="n">
        <f aca="false">N26*CC_SharedSell</f>
        <v>0</v>
      </c>
      <c r="T26" s="62" t="n">
        <f aca="false">P26*N(QCont)</f>
        <v>0</v>
      </c>
      <c r="U26" s="62" t="n">
        <f aca="false">Q26+R26+S26+T26</f>
        <v>0</v>
      </c>
      <c r="V26" s="62" t="n">
        <f aca="false">-U26*N(QDisc)</f>
        <v>-0</v>
      </c>
      <c r="W26" s="63" t="n">
        <f aca="false">U26+V26</f>
        <v>0</v>
      </c>
      <c r="X26" s="63" t="n">
        <f aca="false">W26/QRate</f>
        <v>0</v>
      </c>
      <c r="Y26" s="0" t="n">
        <v>1</v>
      </c>
    </row>
    <row r="27" customFormat="false" ht="15" hidden="false" customHeight="false" outlineLevel="0" collapsed="false">
      <c r="A27" s="68" t="n">
        <f aca="false">'CC Volume'!A27</f>
        <v>18</v>
      </c>
      <c r="B27" s="13" t="str">
        <f aca="false">IF('CC Volume'!B27="","",'CC Volume'!B27)</f>
        <v/>
      </c>
      <c r="C27" s="13" t="str">
        <f aca="false">IF('CC Volume'!C27="","",'CC Volume'!C27)</f>
        <v/>
      </c>
      <c r="D27" s="13" t="str">
        <f aca="false">IF('CC Volume'!D27="","",'CC Volume'!D27)</f>
        <v/>
      </c>
      <c r="E27" s="68" t="str">
        <f aca="false">IF('CC Volume'!E27="","",'CC Volume'!E27)</f>
        <v/>
      </c>
      <c r="F27" s="68" t="str">
        <f aca="false">IF('CC Volume'!F27="","",'CC Volume'!F27)</f>
        <v/>
      </c>
      <c r="G27" s="69" t="str">
        <f aca="false">'CC Volume'!AN27</f>
        <v/>
      </c>
      <c r="H27" s="69" t="str">
        <f aca="false">'CC Volume'!AO27</f>
        <v/>
      </c>
      <c r="I27" s="69" t="str">
        <f aca="false">'CC Volume'!AM27</f>
        <v/>
      </c>
      <c r="J27" s="62" t="str">
        <f aca="false">IF(N(H27)=0,"",IFERROR(INDEX(CC_RegRate,MATCH(F27,CC_RegU,0)),0))</f>
        <v/>
      </c>
      <c r="K27" s="62" t="n">
        <f aca="false">N(H27)*N(J27)</f>
        <v>0</v>
      </c>
      <c r="L27" s="62" t="n">
        <f aca="false">IF(CC_IncWaste="Yes",N(I27)*N(XWaste),0)</f>
        <v>0</v>
      </c>
      <c r="M27" s="65" t="n">
        <f aca="false">IF(N(G27)=0,0,IF(CC_AllocBasis="Equipment count",1,IF(CC_AllocBasis="Equipment volume",N(G27),N(H27))))</f>
        <v>0</v>
      </c>
      <c r="N27" s="15" t="n">
        <f aca="false">IF(SUM(CC_P_M)=0,0,M27/SUM(CC_P_M))</f>
        <v>0</v>
      </c>
      <c r="O27" s="62" t="n">
        <f aca="false">N27*CC_SharedCost</f>
        <v>0</v>
      </c>
      <c r="P27" s="63" t="n">
        <f aca="false">K27+L27+O27</f>
        <v>0</v>
      </c>
      <c r="Q27" s="62" t="n">
        <f aca="false">K27*(1+INDEX(MkMatrix,3,3))</f>
        <v>0</v>
      </c>
      <c r="R27" s="62" t="n">
        <f aca="false">L27*(1+INDEX(MkMatrix,3,3))</f>
        <v>0</v>
      </c>
      <c r="S27" s="62" t="n">
        <f aca="false">N27*CC_SharedSell</f>
        <v>0</v>
      </c>
      <c r="T27" s="62" t="n">
        <f aca="false">P27*N(QCont)</f>
        <v>0</v>
      </c>
      <c r="U27" s="62" t="n">
        <f aca="false">Q27+R27+S27+T27</f>
        <v>0</v>
      </c>
      <c r="V27" s="62" t="n">
        <f aca="false">-U27*N(QDisc)</f>
        <v>-0</v>
      </c>
      <c r="W27" s="63" t="n">
        <f aca="false">U27+V27</f>
        <v>0</v>
      </c>
      <c r="X27" s="63" t="n">
        <f aca="false">W27/QRate</f>
        <v>0</v>
      </c>
      <c r="Y27" s="0" t="n">
        <v>1</v>
      </c>
    </row>
    <row r="28" customFormat="false" ht="15" hidden="false" customHeight="false" outlineLevel="0" collapsed="false">
      <c r="A28" s="68" t="n">
        <f aca="false">'CC Volume'!A28</f>
        <v>19</v>
      </c>
      <c r="B28" s="13" t="str">
        <f aca="false">IF('CC Volume'!B28="","",'CC Volume'!B28)</f>
        <v/>
      </c>
      <c r="C28" s="13" t="str">
        <f aca="false">IF('CC Volume'!C28="","",'CC Volume'!C28)</f>
        <v/>
      </c>
      <c r="D28" s="13" t="str">
        <f aca="false">IF('CC Volume'!D28="","",'CC Volume'!D28)</f>
        <v/>
      </c>
      <c r="E28" s="68" t="str">
        <f aca="false">IF('CC Volume'!E28="","",'CC Volume'!E28)</f>
        <v/>
      </c>
      <c r="F28" s="68" t="str">
        <f aca="false">IF('CC Volume'!F28="","",'CC Volume'!F28)</f>
        <v/>
      </c>
      <c r="G28" s="69" t="str">
        <f aca="false">'CC Volume'!AN28</f>
        <v/>
      </c>
      <c r="H28" s="69" t="str">
        <f aca="false">'CC Volume'!AO28</f>
        <v/>
      </c>
      <c r="I28" s="69" t="str">
        <f aca="false">'CC Volume'!AM28</f>
        <v/>
      </c>
      <c r="J28" s="62" t="str">
        <f aca="false">IF(N(H28)=0,"",IFERROR(INDEX(CC_RegRate,MATCH(F28,CC_RegU,0)),0))</f>
        <v/>
      </c>
      <c r="K28" s="62" t="n">
        <f aca="false">N(H28)*N(J28)</f>
        <v>0</v>
      </c>
      <c r="L28" s="62" t="n">
        <f aca="false">IF(CC_IncWaste="Yes",N(I28)*N(XWaste),0)</f>
        <v>0</v>
      </c>
      <c r="M28" s="65" t="n">
        <f aca="false">IF(N(G28)=0,0,IF(CC_AllocBasis="Equipment count",1,IF(CC_AllocBasis="Equipment volume",N(G28),N(H28))))</f>
        <v>0</v>
      </c>
      <c r="N28" s="15" t="n">
        <f aca="false">IF(SUM(CC_P_M)=0,0,M28/SUM(CC_P_M))</f>
        <v>0</v>
      </c>
      <c r="O28" s="62" t="n">
        <f aca="false">N28*CC_SharedCost</f>
        <v>0</v>
      </c>
      <c r="P28" s="63" t="n">
        <f aca="false">K28+L28+O28</f>
        <v>0</v>
      </c>
      <c r="Q28" s="62" t="n">
        <f aca="false">K28*(1+INDEX(MkMatrix,3,3))</f>
        <v>0</v>
      </c>
      <c r="R28" s="62" t="n">
        <f aca="false">L28*(1+INDEX(MkMatrix,3,3))</f>
        <v>0</v>
      </c>
      <c r="S28" s="62" t="n">
        <f aca="false">N28*CC_SharedSell</f>
        <v>0</v>
      </c>
      <c r="T28" s="62" t="n">
        <f aca="false">P28*N(QCont)</f>
        <v>0</v>
      </c>
      <c r="U28" s="62" t="n">
        <f aca="false">Q28+R28+S28+T28</f>
        <v>0</v>
      </c>
      <c r="V28" s="62" t="n">
        <f aca="false">-U28*N(QDisc)</f>
        <v>-0</v>
      </c>
      <c r="W28" s="63" t="n">
        <f aca="false">U28+V28</f>
        <v>0</v>
      </c>
      <c r="X28" s="63" t="n">
        <f aca="false">W28/QRate</f>
        <v>0</v>
      </c>
      <c r="Y28" s="0" t="n">
        <v>1</v>
      </c>
    </row>
    <row r="29" customFormat="false" ht="15" hidden="false" customHeight="false" outlineLevel="0" collapsed="false">
      <c r="A29" s="68" t="n">
        <f aca="false">'CC Volume'!A29</f>
        <v>20</v>
      </c>
      <c r="B29" s="13" t="str">
        <f aca="false">IF('CC Volume'!B29="","",'CC Volume'!B29)</f>
        <v/>
      </c>
      <c r="C29" s="13" t="str">
        <f aca="false">IF('CC Volume'!C29="","",'CC Volume'!C29)</f>
        <v/>
      </c>
      <c r="D29" s="13" t="str">
        <f aca="false">IF('CC Volume'!D29="","",'CC Volume'!D29)</f>
        <v/>
      </c>
      <c r="E29" s="68" t="str">
        <f aca="false">IF('CC Volume'!E29="","",'CC Volume'!E29)</f>
        <v/>
      </c>
      <c r="F29" s="68" t="str">
        <f aca="false">IF('CC Volume'!F29="","",'CC Volume'!F29)</f>
        <v/>
      </c>
      <c r="G29" s="69" t="str">
        <f aca="false">'CC Volume'!AN29</f>
        <v/>
      </c>
      <c r="H29" s="69" t="str">
        <f aca="false">'CC Volume'!AO29</f>
        <v/>
      </c>
      <c r="I29" s="69" t="str">
        <f aca="false">'CC Volume'!AM29</f>
        <v/>
      </c>
      <c r="J29" s="62" t="str">
        <f aca="false">IF(N(H29)=0,"",IFERROR(INDEX(CC_RegRate,MATCH(F29,CC_RegU,0)),0))</f>
        <v/>
      </c>
      <c r="K29" s="62" t="n">
        <f aca="false">N(H29)*N(J29)</f>
        <v>0</v>
      </c>
      <c r="L29" s="62" t="n">
        <f aca="false">IF(CC_IncWaste="Yes",N(I29)*N(XWaste),0)</f>
        <v>0</v>
      </c>
      <c r="M29" s="65" t="n">
        <f aca="false">IF(N(G29)=0,0,IF(CC_AllocBasis="Equipment count",1,IF(CC_AllocBasis="Equipment volume",N(G29),N(H29))))</f>
        <v>0</v>
      </c>
      <c r="N29" s="15" t="n">
        <f aca="false">IF(SUM(CC_P_M)=0,0,M29/SUM(CC_P_M))</f>
        <v>0</v>
      </c>
      <c r="O29" s="62" t="n">
        <f aca="false">N29*CC_SharedCost</f>
        <v>0</v>
      </c>
      <c r="P29" s="63" t="n">
        <f aca="false">K29+L29+O29</f>
        <v>0</v>
      </c>
      <c r="Q29" s="62" t="n">
        <f aca="false">K29*(1+INDEX(MkMatrix,3,3))</f>
        <v>0</v>
      </c>
      <c r="R29" s="62" t="n">
        <f aca="false">L29*(1+INDEX(MkMatrix,3,3))</f>
        <v>0</v>
      </c>
      <c r="S29" s="62" t="n">
        <f aca="false">N29*CC_SharedSell</f>
        <v>0</v>
      </c>
      <c r="T29" s="62" t="n">
        <f aca="false">P29*N(QCont)</f>
        <v>0</v>
      </c>
      <c r="U29" s="62" t="n">
        <f aca="false">Q29+R29+S29+T29</f>
        <v>0</v>
      </c>
      <c r="V29" s="62" t="n">
        <f aca="false">-U29*N(QDisc)</f>
        <v>-0</v>
      </c>
      <c r="W29" s="63" t="n">
        <f aca="false">U29+V29</f>
        <v>0</v>
      </c>
      <c r="X29" s="63" t="n">
        <f aca="false">W29/QRate</f>
        <v>0</v>
      </c>
      <c r="Y29" s="0" t="n">
        <v>1</v>
      </c>
    </row>
    <row r="30" customFormat="false" ht="15" hidden="false" customHeight="false" outlineLevel="0" collapsed="false">
      <c r="A30" s="68" t="n">
        <f aca="false">'CC Volume'!A30</f>
        <v>21</v>
      </c>
      <c r="B30" s="13" t="str">
        <f aca="false">IF('CC Volume'!B30="","",'CC Volume'!B30)</f>
        <v/>
      </c>
      <c r="C30" s="13" t="str">
        <f aca="false">IF('CC Volume'!C30="","",'CC Volume'!C30)</f>
        <v/>
      </c>
      <c r="D30" s="13" t="str">
        <f aca="false">IF('CC Volume'!D30="","",'CC Volume'!D30)</f>
        <v/>
      </c>
      <c r="E30" s="68" t="str">
        <f aca="false">IF('CC Volume'!E30="","",'CC Volume'!E30)</f>
        <v/>
      </c>
      <c r="F30" s="68" t="str">
        <f aca="false">IF('CC Volume'!F30="","",'CC Volume'!F30)</f>
        <v/>
      </c>
      <c r="G30" s="69" t="str">
        <f aca="false">'CC Volume'!AN30</f>
        <v/>
      </c>
      <c r="H30" s="69" t="str">
        <f aca="false">'CC Volume'!AO30</f>
        <v/>
      </c>
      <c r="I30" s="69" t="str">
        <f aca="false">'CC Volume'!AM30</f>
        <v/>
      </c>
      <c r="J30" s="62" t="str">
        <f aca="false">IF(N(H30)=0,"",IFERROR(INDEX(CC_RegRate,MATCH(F30,CC_RegU,0)),0))</f>
        <v/>
      </c>
      <c r="K30" s="62" t="n">
        <f aca="false">N(H30)*N(J30)</f>
        <v>0</v>
      </c>
      <c r="L30" s="62" t="n">
        <f aca="false">IF(CC_IncWaste="Yes",N(I30)*N(XWaste),0)</f>
        <v>0</v>
      </c>
      <c r="M30" s="65" t="n">
        <f aca="false">IF(N(G30)=0,0,IF(CC_AllocBasis="Equipment count",1,IF(CC_AllocBasis="Equipment volume",N(G30),N(H30))))</f>
        <v>0</v>
      </c>
      <c r="N30" s="15" t="n">
        <f aca="false">IF(SUM(CC_P_M)=0,0,M30/SUM(CC_P_M))</f>
        <v>0</v>
      </c>
      <c r="O30" s="62" t="n">
        <f aca="false">N30*CC_SharedCost</f>
        <v>0</v>
      </c>
      <c r="P30" s="63" t="n">
        <f aca="false">K30+L30+O30</f>
        <v>0</v>
      </c>
      <c r="Q30" s="62" t="n">
        <f aca="false">K30*(1+INDEX(MkMatrix,3,3))</f>
        <v>0</v>
      </c>
      <c r="R30" s="62" t="n">
        <f aca="false">L30*(1+INDEX(MkMatrix,3,3))</f>
        <v>0</v>
      </c>
      <c r="S30" s="62" t="n">
        <f aca="false">N30*CC_SharedSell</f>
        <v>0</v>
      </c>
      <c r="T30" s="62" t="n">
        <f aca="false">P30*N(QCont)</f>
        <v>0</v>
      </c>
      <c r="U30" s="62" t="n">
        <f aca="false">Q30+R30+S30+T30</f>
        <v>0</v>
      </c>
      <c r="V30" s="62" t="n">
        <f aca="false">-U30*N(QDisc)</f>
        <v>-0</v>
      </c>
      <c r="W30" s="63" t="n">
        <f aca="false">U30+V30</f>
        <v>0</v>
      </c>
      <c r="X30" s="63" t="n">
        <f aca="false">W30/QRate</f>
        <v>0</v>
      </c>
      <c r="Y30" s="0" t="n">
        <v>1</v>
      </c>
    </row>
    <row r="31" customFormat="false" ht="15" hidden="false" customHeight="false" outlineLevel="0" collapsed="false">
      <c r="A31" s="68" t="n">
        <f aca="false">'CC Volume'!A31</f>
        <v>22</v>
      </c>
      <c r="B31" s="13" t="str">
        <f aca="false">IF('CC Volume'!B31="","",'CC Volume'!B31)</f>
        <v/>
      </c>
      <c r="C31" s="13" t="str">
        <f aca="false">IF('CC Volume'!C31="","",'CC Volume'!C31)</f>
        <v/>
      </c>
      <c r="D31" s="13" t="str">
        <f aca="false">IF('CC Volume'!D31="","",'CC Volume'!D31)</f>
        <v/>
      </c>
      <c r="E31" s="68" t="str">
        <f aca="false">IF('CC Volume'!E31="","",'CC Volume'!E31)</f>
        <v/>
      </c>
      <c r="F31" s="68" t="str">
        <f aca="false">IF('CC Volume'!F31="","",'CC Volume'!F31)</f>
        <v/>
      </c>
      <c r="G31" s="69" t="str">
        <f aca="false">'CC Volume'!AN31</f>
        <v/>
      </c>
      <c r="H31" s="69" t="str">
        <f aca="false">'CC Volume'!AO31</f>
        <v/>
      </c>
      <c r="I31" s="69" t="str">
        <f aca="false">'CC Volume'!AM31</f>
        <v/>
      </c>
      <c r="J31" s="62" t="str">
        <f aca="false">IF(N(H31)=0,"",IFERROR(INDEX(CC_RegRate,MATCH(F31,CC_RegU,0)),0))</f>
        <v/>
      </c>
      <c r="K31" s="62" t="n">
        <f aca="false">N(H31)*N(J31)</f>
        <v>0</v>
      </c>
      <c r="L31" s="62" t="n">
        <f aca="false">IF(CC_IncWaste="Yes",N(I31)*N(XWaste),0)</f>
        <v>0</v>
      </c>
      <c r="M31" s="65" t="n">
        <f aca="false">IF(N(G31)=0,0,IF(CC_AllocBasis="Equipment count",1,IF(CC_AllocBasis="Equipment volume",N(G31),N(H31))))</f>
        <v>0</v>
      </c>
      <c r="N31" s="15" t="n">
        <f aca="false">IF(SUM(CC_P_M)=0,0,M31/SUM(CC_P_M))</f>
        <v>0</v>
      </c>
      <c r="O31" s="62" t="n">
        <f aca="false">N31*CC_SharedCost</f>
        <v>0</v>
      </c>
      <c r="P31" s="63" t="n">
        <f aca="false">K31+L31+O31</f>
        <v>0</v>
      </c>
      <c r="Q31" s="62" t="n">
        <f aca="false">K31*(1+INDEX(MkMatrix,3,3))</f>
        <v>0</v>
      </c>
      <c r="R31" s="62" t="n">
        <f aca="false">L31*(1+INDEX(MkMatrix,3,3))</f>
        <v>0</v>
      </c>
      <c r="S31" s="62" t="n">
        <f aca="false">N31*CC_SharedSell</f>
        <v>0</v>
      </c>
      <c r="T31" s="62" t="n">
        <f aca="false">P31*N(QCont)</f>
        <v>0</v>
      </c>
      <c r="U31" s="62" t="n">
        <f aca="false">Q31+R31+S31+T31</f>
        <v>0</v>
      </c>
      <c r="V31" s="62" t="n">
        <f aca="false">-U31*N(QDisc)</f>
        <v>-0</v>
      </c>
      <c r="W31" s="63" t="n">
        <f aca="false">U31+V31</f>
        <v>0</v>
      </c>
      <c r="X31" s="63" t="n">
        <f aca="false">W31/QRate</f>
        <v>0</v>
      </c>
      <c r="Y31" s="0" t="n">
        <v>1</v>
      </c>
    </row>
    <row r="32" customFormat="false" ht="15" hidden="false" customHeight="false" outlineLevel="0" collapsed="false">
      <c r="A32" s="68" t="n">
        <f aca="false">'CC Volume'!A32</f>
        <v>23</v>
      </c>
      <c r="B32" s="13" t="str">
        <f aca="false">IF('CC Volume'!B32="","",'CC Volume'!B32)</f>
        <v/>
      </c>
      <c r="C32" s="13" t="str">
        <f aca="false">IF('CC Volume'!C32="","",'CC Volume'!C32)</f>
        <v/>
      </c>
      <c r="D32" s="13" t="str">
        <f aca="false">IF('CC Volume'!D32="","",'CC Volume'!D32)</f>
        <v/>
      </c>
      <c r="E32" s="68" t="str">
        <f aca="false">IF('CC Volume'!E32="","",'CC Volume'!E32)</f>
        <v/>
      </c>
      <c r="F32" s="68" t="str">
        <f aca="false">IF('CC Volume'!F32="","",'CC Volume'!F32)</f>
        <v/>
      </c>
      <c r="G32" s="69" t="str">
        <f aca="false">'CC Volume'!AN32</f>
        <v/>
      </c>
      <c r="H32" s="69" t="str">
        <f aca="false">'CC Volume'!AO32</f>
        <v/>
      </c>
      <c r="I32" s="69" t="str">
        <f aca="false">'CC Volume'!AM32</f>
        <v/>
      </c>
      <c r="J32" s="62" t="str">
        <f aca="false">IF(N(H32)=0,"",IFERROR(INDEX(CC_RegRate,MATCH(F32,CC_RegU,0)),0))</f>
        <v/>
      </c>
      <c r="K32" s="62" t="n">
        <f aca="false">N(H32)*N(J32)</f>
        <v>0</v>
      </c>
      <c r="L32" s="62" t="n">
        <f aca="false">IF(CC_IncWaste="Yes",N(I32)*N(XWaste),0)</f>
        <v>0</v>
      </c>
      <c r="M32" s="65" t="n">
        <f aca="false">IF(N(G32)=0,0,IF(CC_AllocBasis="Equipment count",1,IF(CC_AllocBasis="Equipment volume",N(G32),N(H32))))</f>
        <v>0</v>
      </c>
      <c r="N32" s="15" t="n">
        <f aca="false">IF(SUM(CC_P_M)=0,0,M32/SUM(CC_P_M))</f>
        <v>0</v>
      </c>
      <c r="O32" s="62" t="n">
        <f aca="false">N32*CC_SharedCost</f>
        <v>0</v>
      </c>
      <c r="P32" s="63" t="n">
        <f aca="false">K32+L32+O32</f>
        <v>0</v>
      </c>
      <c r="Q32" s="62" t="n">
        <f aca="false">K32*(1+INDEX(MkMatrix,3,3))</f>
        <v>0</v>
      </c>
      <c r="R32" s="62" t="n">
        <f aca="false">L32*(1+INDEX(MkMatrix,3,3))</f>
        <v>0</v>
      </c>
      <c r="S32" s="62" t="n">
        <f aca="false">N32*CC_SharedSell</f>
        <v>0</v>
      </c>
      <c r="T32" s="62" t="n">
        <f aca="false">P32*N(QCont)</f>
        <v>0</v>
      </c>
      <c r="U32" s="62" t="n">
        <f aca="false">Q32+R32+S32+T32</f>
        <v>0</v>
      </c>
      <c r="V32" s="62" t="n">
        <f aca="false">-U32*N(QDisc)</f>
        <v>-0</v>
      </c>
      <c r="W32" s="63" t="n">
        <f aca="false">U32+V32</f>
        <v>0</v>
      </c>
      <c r="X32" s="63" t="n">
        <f aca="false">W32/QRate</f>
        <v>0</v>
      </c>
      <c r="Y32" s="0" t="n">
        <v>1</v>
      </c>
    </row>
    <row r="33" customFormat="false" ht="15" hidden="false" customHeight="false" outlineLevel="0" collapsed="false">
      <c r="A33" s="68" t="n">
        <f aca="false">'CC Volume'!A33</f>
        <v>24</v>
      </c>
      <c r="B33" s="13" t="str">
        <f aca="false">IF('CC Volume'!B33="","",'CC Volume'!B33)</f>
        <v/>
      </c>
      <c r="C33" s="13" t="str">
        <f aca="false">IF('CC Volume'!C33="","",'CC Volume'!C33)</f>
        <v/>
      </c>
      <c r="D33" s="13" t="str">
        <f aca="false">IF('CC Volume'!D33="","",'CC Volume'!D33)</f>
        <v/>
      </c>
      <c r="E33" s="68" t="str">
        <f aca="false">IF('CC Volume'!E33="","",'CC Volume'!E33)</f>
        <v/>
      </c>
      <c r="F33" s="68" t="str">
        <f aca="false">IF('CC Volume'!F33="","",'CC Volume'!F33)</f>
        <v/>
      </c>
      <c r="G33" s="69" t="str">
        <f aca="false">'CC Volume'!AN33</f>
        <v/>
      </c>
      <c r="H33" s="69" t="str">
        <f aca="false">'CC Volume'!AO33</f>
        <v/>
      </c>
      <c r="I33" s="69" t="str">
        <f aca="false">'CC Volume'!AM33</f>
        <v/>
      </c>
      <c r="J33" s="62" t="str">
        <f aca="false">IF(N(H33)=0,"",IFERROR(INDEX(CC_RegRate,MATCH(F33,CC_RegU,0)),0))</f>
        <v/>
      </c>
      <c r="K33" s="62" t="n">
        <f aca="false">N(H33)*N(J33)</f>
        <v>0</v>
      </c>
      <c r="L33" s="62" t="n">
        <f aca="false">IF(CC_IncWaste="Yes",N(I33)*N(XWaste),0)</f>
        <v>0</v>
      </c>
      <c r="M33" s="65" t="n">
        <f aca="false">IF(N(G33)=0,0,IF(CC_AllocBasis="Equipment count",1,IF(CC_AllocBasis="Equipment volume",N(G33),N(H33))))</f>
        <v>0</v>
      </c>
      <c r="N33" s="15" t="n">
        <f aca="false">IF(SUM(CC_P_M)=0,0,M33/SUM(CC_P_M))</f>
        <v>0</v>
      </c>
      <c r="O33" s="62" t="n">
        <f aca="false">N33*CC_SharedCost</f>
        <v>0</v>
      </c>
      <c r="P33" s="63" t="n">
        <f aca="false">K33+L33+O33</f>
        <v>0</v>
      </c>
      <c r="Q33" s="62" t="n">
        <f aca="false">K33*(1+INDEX(MkMatrix,3,3))</f>
        <v>0</v>
      </c>
      <c r="R33" s="62" t="n">
        <f aca="false">L33*(1+INDEX(MkMatrix,3,3))</f>
        <v>0</v>
      </c>
      <c r="S33" s="62" t="n">
        <f aca="false">N33*CC_SharedSell</f>
        <v>0</v>
      </c>
      <c r="T33" s="62" t="n">
        <f aca="false">P33*N(QCont)</f>
        <v>0</v>
      </c>
      <c r="U33" s="62" t="n">
        <f aca="false">Q33+R33+S33+T33</f>
        <v>0</v>
      </c>
      <c r="V33" s="62" t="n">
        <f aca="false">-U33*N(QDisc)</f>
        <v>-0</v>
      </c>
      <c r="W33" s="63" t="n">
        <f aca="false">U33+V33</f>
        <v>0</v>
      </c>
      <c r="X33" s="63" t="n">
        <f aca="false">W33/QRate</f>
        <v>0</v>
      </c>
      <c r="Y33" s="0" t="n">
        <v>1</v>
      </c>
    </row>
    <row r="34" customFormat="false" ht="15" hidden="false" customHeight="false" outlineLevel="0" collapsed="false">
      <c r="A34" s="68" t="n">
        <f aca="false">'CC Volume'!A34</f>
        <v>25</v>
      </c>
      <c r="B34" s="13" t="str">
        <f aca="false">IF('CC Volume'!B34="","",'CC Volume'!B34)</f>
        <v/>
      </c>
      <c r="C34" s="13" t="str">
        <f aca="false">IF('CC Volume'!C34="","",'CC Volume'!C34)</f>
        <v/>
      </c>
      <c r="D34" s="13" t="str">
        <f aca="false">IF('CC Volume'!D34="","",'CC Volume'!D34)</f>
        <v/>
      </c>
      <c r="E34" s="68" t="str">
        <f aca="false">IF('CC Volume'!E34="","",'CC Volume'!E34)</f>
        <v/>
      </c>
      <c r="F34" s="68" t="str">
        <f aca="false">IF('CC Volume'!F34="","",'CC Volume'!F34)</f>
        <v/>
      </c>
      <c r="G34" s="69" t="str">
        <f aca="false">'CC Volume'!AN34</f>
        <v/>
      </c>
      <c r="H34" s="69" t="str">
        <f aca="false">'CC Volume'!AO34</f>
        <v/>
      </c>
      <c r="I34" s="69" t="str">
        <f aca="false">'CC Volume'!AM34</f>
        <v/>
      </c>
      <c r="J34" s="62" t="str">
        <f aca="false">IF(N(H34)=0,"",IFERROR(INDEX(CC_RegRate,MATCH(F34,CC_RegU,0)),0))</f>
        <v/>
      </c>
      <c r="K34" s="62" t="n">
        <f aca="false">N(H34)*N(J34)</f>
        <v>0</v>
      </c>
      <c r="L34" s="62" t="n">
        <f aca="false">IF(CC_IncWaste="Yes",N(I34)*N(XWaste),0)</f>
        <v>0</v>
      </c>
      <c r="M34" s="65" t="n">
        <f aca="false">IF(N(G34)=0,0,IF(CC_AllocBasis="Equipment count",1,IF(CC_AllocBasis="Equipment volume",N(G34),N(H34))))</f>
        <v>0</v>
      </c>
      <c r="N34" s="15" t="n">
        <f aca="false">IF(SUM(CC_P_M)=0,0,M34/SUM(CC_P_M))</f>
        <v>0</v>
      </c>
      <c r="O34" s="62" t="n">
        <f aca="false">N34*CC_SharedCost</f>
        <v>0</v>
      </c>
      <c r="P34" s="63" t="n">
        <f aca="false">K34+L34+O34</f>
        <v>0</v>
      </c>
      <c r="Q34" s="62" t="n">
        <f aca="false">K34*(1+INDEX(MkMatrix,3,3))</f>
        <v>0</v>
      </c>
      <c r="R34" s="62" t="n">
        <f aca="false">L34*(1+INDEX(MkMatrix,3,3))</f>
        <v>0</v>
      </c>
      <c r="S34" s="62" t="n">
        <f aca="false">N34*CC_SharedSell</f>
        <v>0</v>
      </c>
      <c r="T34" s="62" t="n">
        <f aca="false">P34*N(QCont)</f>
        <v>0</v>
      </c>
      <c r="U34" s="62" t="n">
        <f aca="false">Q34+R34+S34+T34</f>
        <v>0</v>
      </c>
      <c r="V34" s="62" t="n">
        <f aca="false">-U34*N(QDisc)</f>
        <v>-0</v>
      </c>
      <c r="W34" s="63" t="n">
        <f aca="false">U34+V34</f>
        <v>0</v>
      </c>
      <c r="X34" s="63" t="n">
        <f aca="false">W34/QRate</f>
        <v>0</v>
      </c>
      <c r="Y34" s="0" t="n">
        <v>1</v>
      </c>
    </row>
    <row r="35" customFormat="false" ht="15" hidden="false" customHeight="false" outlineLevel="0" collapsed="false">
      <c r="A35" s="68" t="n">
        <f aca="false">'CC Volume'!A35</f>
        <v>26</v>
      </c>
      <c r="B35" s="13" t="str">
        <f aca="false">IF('CC Volume'!B35="","",'CC Volume'!B35)</f>
        <v/>
      </c>
      <c r="C35" s="13" t="str">
        <f aca="false">IF('CC Volume'!C35="","",'CC Volume'!C35)</f>
        <v/>
      </c>
      <c r="D35" s="13" t="str">
        <f aca="false">IF('CC Volume'!D35="","",'CC Volume'!D35)</f>
        <v/>
      </c>
      <c r="E35" s="68" t="str">
        <f aca="false">IF('CC Volume'!E35="","",'CC Volume'!E35)</f>
        <v/>
      </c>
      <c r="F35" s="68" t="str">
        <f aca="false">IF('CC Volume'!F35="","",'CC Volume'!F35)</f>
        <v/>
      </c>
      <c r="G35" s="69" t="str">
        <f aca="false">'CC Volume'!AN35</f>
        <v/>
      </c>
      <c r="H35" s="69" t="str">
        <f aca="false">'CC Volume'!AO35</f>
        <v/>
      </c>
      <c r="I35" s="69" t="str">
        <f aca="false">'CC Volume'!AM35</f>
        <v/>
      </c>
      <c r="J35" s="62" t="str">
        <f aca="false">IF(N(H35)=0,"",IFERROR(INDEX(CC_RegRate,MATCH(F35,CC_RegU,0)),0))</f>
        <v/>
      </c>
      <c r="K35" s="62" t="n">
        <f aca="false">N(H35)*N(J35)</f>
        <v>0</v>
      </c>
      <c r="L35" s="62" t="n">
        <f aca="false">IF(CC_IncWaste="Yes",N(I35)*N(XWaste),0)</f>
        <v>0</v>
      </c>
      <c r="M35" s="65" t="n">
        <f aca="false">IF(N(G35)=0,0,IF(CC_AllocBasis="Equipment count",1,IF(CC_AllocBasis="Equipment volume",N(G35),N(H35))))</f>
        <v>0</v>
      </c>
      <c r="N35" s="15" t="n">
        <f aca="false">IF(SUM(CC_P_M)=0,0,M35/SUM(CC_P_M))</f>
        <v>0</v>
      </c>
      <c r="O35" s="62" t="n">
        <f aca="false">N35*CC_SharedCost</f>
        <v>0</v>
      </c>
      <c r="P35" s="63" t="n">
        <f aca="false">K35+L35+O35</f>
        <v>0</v>
      </c>
      <c r="Q35" s="62" t="n">
        <f aca="false">K35*(1+INDEX(MkMatrix,3,3))</f>
        <v>0</v>
      </c>
      <c r="R35" s="62" t="n">
        <f aca="false">L35*(1+INDEX(MkMatrix,3,3))</f>
        <v>0</v>
      </c>
      <c r="S35" s="62" t="n">
        <f aca="false">N35*CC_SharedSell</f>
        <v>0</v>
      </c>
      <c r="T35" s="62" t="n">
        <f aca="false">P35*N(QCont)</f>
        <v>0</v>
      </c>
      <c r="U35" s="62" t="n">
        <f aca="false">Q35+R35+S35+T35</f>
        <v>0</v>
      </c>
      <c r="V35" s="62" t="n">
        <f aca="false">-U35*N(QDisc)</f>
        <v>-0</v>
      </c>
      <c r="W35" s="63" t="n">
        <f aca="false">U35+V35</f>
        <v>0</v>
      </c>
      <c r="X35" s="63" t="n">
        <f aca="false">W35/QRate</f>
        <v>0</v>
      </c>
      <c r="Y35" s="0" t="n">
        <v>1</v>
      </c>
    </row>
    <row r="36" customFormat="false" ht="15" hidden="false" customHeight="false" outlineLevel="0" collapsed="false">
      <c r="A36" s="68" t="n">
        <f aca="false">'CC Volume'!A36</f>
        <v>27</v>
      </c>
      <c r="B36" s="13" t="str">
        <f aca="false">IF('CC Volume'!B36="","",'CC Volume'!B36)</f>
        <v/>
      </c>
      <c r="C36" s="13" t="str">
        <f aca="false">IF('CC Volume'!C36="","",'CC Volume'!C36)</f>
        <v/>
      </c>
      <c r="D36" s="13" t="str">
        <f aca="false">IF('CC Volume'!D36="","",'CC Volume'!D36)</f>
        <v/>
      </c>
      <c r="E36" s="68" t="str">
        <f aca="false">IF('CC Volume'!E36="","",'CC Volume'!E36)</f>
        <v/>
      </c>
      <c r="F36" s="68" t="str">
        <f aca="false">IF('CC Volume'!F36="","",'CC Volume'!F36)</f>
        <v/>
      </c>
      <c r="G36" s="69" t="str">
        <f aca="false">'CC Volume'!AN36</f>
        <v/>
      </c>
      <c r="H36" s="69" t="str">
        <f aca="false">'CC Volume'!AO36</f>
        <v/>
      </c>
      <c r="I36" s="69" t="str">
        <f aca="false">'CC Volume'!AM36</f>
        <v/>
      </c>
      <c r="J36" s="62" t="str">
        <f aca="false">IF(N(H36)=0,"",IFERROR(INDEX(CC_RegRate,MATCH(F36,CC_RegU,0)),0))</f>
        <v/>
      </c>
      <c r="K36" s="62" t="n">
        <f aca="false">N(H36)*N(J36)</f>
        <v>0</v>
      </c>
      <c r="L36" s="62" t="n">
        <f aca="false">IF(CC_IncWaste="Yes",N(I36)*N(XWaste),0)</f>
        <v>0</v>
      </c>
      <c r="M36" s="65" t="n">
        <f aca="false">IF(N(G36)=0,0,IF(CC_AllocBasis="Equipment count",1,IF(CC_AllocBasis="Equipment volume",N(G36),N(H36))))</f>
        <v>0</v>
      </c>
      <c r="N36" s="15" t="n">
        <f aca="false">IF(SUM(CC_P_M)=0,0,M36/SUM(CC_P_M))</f>
        <v>0</v>
      </c>
      <c r="O36" s="62" t="n">
        <f aca="false">N36*CC_SharedCost</f>
        <v>0</v>
      </c>
      <c r="P36" s="63" t="n">
        <f aca="false">K36+L36+O36</f>
        <v>0</v>
      </c>
      <c r="Q36" s="62" t="n">
        <f aca="false">K36*(1+INDEX(MkMatrix,3,3))</f>
        <v>0</v>
      </c>
      <c r="R36" s="62" t="n">
        <f aca="false">L36*(1+INDEX(MkMatrix,3,3))</f>
        <v>0</v>
      </c>
      <c r="S36" s="62" t="n">
        <f aca="false">N36*CC_SharedSell</f>
        <v>0</v>
      </c>
      <c r="T36" s="62" t="n">
        <f aca="false">P36*N(QCont)</f>
        <v>0</v>
      </c>
      <c r="U36" s="62" t="n">
        <f aca="false">Q36+R36+S36+T36</f>
        <v>0</v>
      </c>
      <c r="V36" s="62" t="n">
        <f aca="false">-U36*N(QDisc)</f>
        <v>-0</v>
      </c>
      <c r="W36" s="63" t="n">
        <f aca="false">U36+V36</f>
        <v>0</v>
      </c>
      <c r="X36" s="63" t="n">
        <f aca="false">W36/QRate</f>
        <v>0</v>
      </c>
      <c r="Y36" s="0" t="n">
        <v>1</v>
      </c>
    </row>
    <row r="37" customFormat="false" ht="15" hidden="false" customHeight="false" outlineLevel="0" collapsed="false">
      <c r="A37" s="68" t="n">
        <f aca="false">'CC Volume'!A37</f>
        <v>28</v>
      </c>
      <c r="B37" s="13" t="str">
        <f aca="false">IF('CC Volume'!B37="","",'CC Volume'!B37)</f>
        <v/>
      </c>
      <c r="C37" s="13" t="str">
        <f aca="false">IF('CC Volume'!C37="","",'CC Volume'!C37)</f>
        <v/>
      </c>
      <c r="D37" s="13" t="str">
        <f aca="false">IF('CC Volume'!D37="","",'CC Volume'!D37)</f>
        <v/>
      </c>
      <c r="E37" s="68" t="str">
        <f aca="false">IF('CC Volume'!E37="","",'CC Volume'!E37)</f>
        <v/>
      </c>
      <c r="F37" s="68" t="str">
        <f aca="false">IF('CC Volume'!F37="","",'CC Volume'!F37)</f>
        <v/>
      </c>
      <c r="G37" s="69" t="str">
        <f aca="false">'CC Volume'!AN37</f>
        <v/>
      </c>
      <c r="H37" s="69" t="str">
        <f aca="false">'CC Volume'!AO37</f>
        <v/>
      </c>
      <c r="I37" s="69" t="str">
        <f aca="false">'CC Volume'!AM37</f>
        <v/>
      </c>
      <c r="J37" s="62" t="str">
        <f aca="false">IF(N(H37)=0,"",IFERROR(INDEX(CC_RegRate,MATCH(F37,CC_RegU,0)),0))</f>
        <v/>
      </c>
      <c r="K37" s="62" t="n">
        <f aca="false">N(H37)*N(J37)</f>
        <v>0</v>
      </c>
      <c r="L37" s="62" t="n">
        <f aca="false">IF(CC_IncWaste="Yes",N(I37)*N(XWaste),0)</f>
        <v>0</v>
      </c>
      <c r="M37" s="65" t="n">
        <f aca="false">IF(N(G37)=0,0,IF(CC_AllocBasis="Equipment count",1,IF(CC_AllocBasis="Equipment volume",N(G37),N(H37))))</f>
        <v>0</v>
      </c>
      <c r="N37" s="15" t="n">
        <f aca="false">IF(SUM(CC_P_M)=0,0,M37/SUM(CC_P_M))</f>
        <v>0</v>
      </c>
      <c r="O37" s="62" t="n">
        <f aca="false">N37*CC_SharedCost</f>
        <v>0</v>
      </c>
      <c r="P37" s="63" t="n">
        <f aca="false">K37+L37+O37</f>
        <v>0</v>
      </c>
      <c r="Q37" s="62" t="n">
        <f aca="false">K37*(1+INDEX(MkMatrix,3,3))</f>
        <v>0</v>
      </c>
      <c r="R37" s="62" t="n">
        <f aca="false">L37*(1+INDEX(MkMatrix,3,3))</f>
        <v>0</v>
      </c>
      <c r="S37" s="62" t="n">
        <f aca="false">N37*CC_SharedSell</f>
        <v>0</v>
      </c>
      <c r="T37" s="62" t="n">
        <f aca="false">P37*N(QCont)</f>
        <v>0</v>
      </c>
      <c r="U37" s="62" t="n">
        <f aca="false">Q37+R37+S37+T37</f>
        <v>0</v>
      </c>
      <c r="V37" s="62" t="n">
        <f aca="false">-U37*N(QDisc)</f>
        <v>-0</v>
      </c>
      <c r="W37" s="63" t="n">
        <f aca="false">U37+V37</f>
        <v>0</v>
      </c>
      <c r="X37" s="63" t="n">
        <f aca="false">W37/QRate</f>
        <v>0</v>
      </c>
      <c r="Y37" s="0" t="n">
        <v>1</v>
      </c>
    </row>
    <row r="38" customFormat="false" ht="15" hidden="false" customHeight="false" outlineLevel="0" collapsed="false">
      <c r="A38" s="68" t="n">
        <f aca="false">'CC Volume'!A38</f>
        <v>29</v>
      </c>
      <c r="B38" s="13" t="str">
        <f aca="false">IF('CC Volume'!B38="","",'CC Volume'!B38)</f>
        <v/>
      </c>
      <c r="C38" s="13" t="str">
        <f aca="false">IF('CC Volume'!C38="","",'CC Volume'!C38)</f>
        <v/>
      </c>
      <c r="D38" s="13" t="str">
        <f aca="false">IF('CC Volume'!D38="","",'CC Volume'!D38)</f>
        <v/>
      </c>
      <c r="E38" s="68" t="str">
        <f aca="false">IF('CC Volume'!E38="","",'CC Volume'!E38)</f>
        <v/>
      </c>
      <c r="F38" s="68" t="str">
        <f aca="false">IF('CC Volume'!F38="","",'CC Volume'!F38)</f>
        <v/>
      </c>
      <c r="G38" s="69" t="str">
        <f aca="false">'CC Volume'!AN38</f>
        <v/>
      </c>
      <c r="H38" s="69" t="str">
        <f aca="false">'CC Volume'!AO38</f>
        <v/>
      </c>
      <c r="I38" s="69" t="str">
        <f aca="false">'CC Volume'!AM38</f>
        <v/>
      </c>
      <c r="J38" s="62" t="str">
        <f aca="false">IF(N(H38)=0,"",IFERROR(INDEX(CC_RegRate,MATCH(F38,CC_RegU,0)),0))</f>
        <v/>
      </c>
      <c r="K38" s="62" t="n">
        <f aca="false">N(H38)*N(J38)</f>
        <v>0</v>
      </c>
      <c r="L38" s="62" t="n">
        <f aca="false">IF(CC_IncWaste="Yes",N(I38)*N(XWaste),0)</f>
        <v>0</v>
      </c>
      <c r="M38" s="65" t="n">
        <f aca="false">IF(N(G38)=0,0,IF(CC_AllocBasis="Equipment count",1,IF(CC_AllocBasis="Equipment volume",N(G38),N(H38))))</f>
        <v>0</v>
      </c>
      <c r="N38" s="15" t="n">
        <f aca="false">IF(SUM(CC_P_M)=0,0,M38/SUM(CC_P_M))</f>
        <v>0</v>
      </c>
      <c r="O38" s="62" t="n">
        <f aca="false">N38*CC_SharedCost</f>
        <v>0</v>
      </c>
      <c r="P38" s="63" t="n">
        <f aca="false">K38+L38+O38</f>
        <v>0</v>
      </c>
      <c r="Q38" s="62" t="n">
        <f aca="false">K38*(1+INDEX(MkMatrix,3,3))</f>
        <v>0</v>
      </c>
      <c r="R38" s="62" t="n">
        <f aca="false">L38*(1+INDEX(MkMatrix,3,3))</f>
        <v>0</v>
      </c>
      <c r="S38" s="62" t="n">
        <f aca="false">N38*CC_SharedSell</f>
        <v>0</v>
      </c>
      <c r="T38" s="62" t="n">
        <f aca="false">P38*N(QCont)</f>
        <v>0</v>
      </c>
      <c r="U38" s="62" t="n">
        <f aca="false">Q38+R38+S38+T38</f>
        <v>0</v>
      </c>
      <c r="V38" s="62" t="n">
        <f aca="false">-U38*N(QDisc)</f>
        <v>-0</v>
      </c>
      <c r="W38" s="63" t="n">
        <f aca="false">U38+V38</f>
        <v>0</v>
      </c>
      <c r="X38" s="63" t="n">
        <f aca="false">W38/QRate</f>
        <v>0</v>
      </c>
      <c r="Y38" s="0" t="n">
        <v>1</v>
      </c>
    </row>
    <row r="39" customFormat="false" ht="15" hidden="false" customHeight="false" outlineLevel="0" collapsed="false">
      <c r="A39" s="68" t="n">
        <f aca="false">'CC Volume'!A39</f>
        <v>30</v>
      </c>
      <c r="B39" s="13" t="str">
        <f aca="false">IF('CC Volume'!B39="","",'CC Volume'!B39)</f>
        <v/>
      </c>
      <c r="C39" s="13" t="str">
        <f aca="false">IF('CC Volume'!C39="","",'CC Volume'!C39)</f>
        <v/>
      </c>
      <c r="D39" s="13" t="str">
        <f aca="false">IF('CC Volume'!D39="","",'CC Volume'!D39)</f>
        <v/>
      </c>
      <c r="E39" s="68" t="str">
        <f aca="false">IF('CC Volume'!E39="","",'CC Volume'!E39)</f>
        <v/>
      </c>
      <c r="F39" s="68" t="str">
        <f aca="false">IF('CC Volume'!F39="","",'CC Volume'!F39)</f>
        <v/>
      </c>
      <c r="G39" s="69" t="str">
        <f aca="false">'CC Volume'!AN39</f>
        <v/>
      </c>
      <c r="H39" s="69" t="str">
        <f aca="false">'CC Volume'!AO39</f>
        <v/>
      </c>
      <c r="I39" s="69" t="str">
        <f aca="false">'CC Volume'!AM39</f>
        <v/>
      </c>
      <c r="J39" s="62" t="str">
        <f aca="false">IF(N(H39)=0,"",IFERROR(INDEX(CC_RegRate,MATCH(F39,CC_RegU,0)),0))</f>
        <v/>
      </c>
      <c r="K39" s="62" t="n">
        <f aca="false">N(H39)*N(J39)</f>
        <v>0</v>
      </c>
      <c r="L39" s="62" t="n">
        <f aca="false">IF(CC_IncWaste="Yes",N(I39)*N(XWaste),0)</f>
        <v>0</v>
      </c>
      <c r="M39" s="65" t="n">
        <f aca="false">IF(N(G39)=0,0,IF(CC_AllocBasis="Equipment count",1,IF(CC_AllocBasis="Equipment volume",N(G39),N(H39))))</f>
        <v>0</v>
      </c>
      <c r="N39" s="15" t="n">
        <f aca="false">IF(SUM(CC_P_M)=0,0,M39/SUM(CC_P_M))</f>
        <v>0</v>
      </c>
      <c r="O39" s="62" t="n">
        <f aca="false">N39*CC_SharedCost</f>
        <v>0</v>
      </c>
      <c r="P39" s="63" t="n">
        <f aca="false">K39+L39+O39</f>
        <v>0</v>
      </c>
      <c r="Q39" s="62" t="n">
        <f aca="false">K39*(1+INDEX(MkMatrix,3,3))</f>
        <v>0</v>
      </c>
      <c r="R39" s="62" t="n">
        <f aca="false">L39*(1+INDEX(MkMatrix,3,3))</f>
        <v>0</v>
      </c>
      <c r="S39" s="62" t="n">
        <f aca="false">N39*CC_SharedSell</f>
        <v>0</v>
      </c>
      <c r="T39" s="62" t="n">
        <f aca="false">P39*N(QCont)</f>
        <v>0</v>
      </c>
      <c r="U39" s="62" t="n">
        <f aca="false">Q39+R39+S39+T39</f>
        <v>0</v>
      </c>
      <c r="V39" s="62" t="n">
        <f aca="false">-U39*N(QDisc)</f>
        <v>-0</v>
      </c>
      <c r="W39" s="63" t="n">
        <f aca="false">U39+V39</f>
        <v>0</v>
      </c>
      <c r="X39" s="63" t="n">
        <f aca="false">W39/QRate</f>
        <v>0</v>
      </c>
      <c r="Y39" s="0" t="n">
        <v>1</v>
      </c>
    </row>
    <row r="40" customFormat="false" ht="15" hidden="false" customHeight="false" outlineLevel="0" collapsed="false">
      <c r="A40" s="44" t="str">
        <f aca="false">"TOTAL – "&amp;INDEX(CC_UnitNames,1)</f>
        <v>TOTAL – Unit 1</v>
      </c>
      <c r="B40" s="44"/>
      <c r="C40" s="44"/>
      <c r="D40" s="44"/>
      <c r="E40" s="44"/>
      <c r="F40" s="44"/>
      <c r="G40" s="47" t="n">
        <f aca="false">SUM(G10:G39)</f>
        <v>53.5568784251653</v>
      </c>
      <c r="H40" s="47" t="n">
        <f aca="false">SUM(H10:H39)</f>
        <v>41.1176980630466</v>
      </c>
      <c r="I40" s="47" t="n">
        <f aca="false">SUM(I10:I39)</f>
        <v>256.985612894041</v>
      </c>
      <c r="J40" s="45"/>
      <c r="K40" s="70" t="n">
        <f aca="false">SUM(K10:K39)</f>
        <v>15765.5637641572</v>
      </c>
      <c r="L40" s="70" t="n">
        <f aca="false">SUM(L10:L39)</f>
        <v>74525.827739272</v>
      </c>
      <c r="M40" s="45"/>
      <c r="N40" s="45"/>
      <c r="O40" s="70" t="n">
        <f aca="false">SUM(O10:O39)</f>
        <v>0</v>
      </c>
      <c r="P40" s="70" t="n">
        <f aca="false">SUM(P10:P39)</f>
        <v>90291.3915034292</v>
      </c>
      <c r="Q40" s="70" t="n">
        <f aca="false">SUM(Q10:Q39)</f>
        <v>20495.2328934044</v>
      </c>
      <c r="R40" s="70" t="n">
        <f aca="false">SUM(R10:R39)</f>
        <v>96883.5760610536</v>
      </c>
      <c r="S40" s="70" t="n">
        <f aca="false">SUM(S10:S39)</f>
        <v>0</v>
      </c>
      <c r="T40" s="70" t="n">
        <f aca="false">SUM(T10:T39)</f>
        <v>0</v>
      </c>
      <c r="U40" s="70" t="n">
        <f aca="false">SUM(U10:U39)</f>
        <v>117378.808954458</v>
      </c>
      <c r="V40" s="70" t="n">
        <f aca="false">SUM(V10:V39)</f>
        <v>0</v>
      </c>
      <c r="W40" s="70" t="n">
        <f aca="false">SUM(W10:W39)</f>
        <v>117378.808954458</v>
      </c>
      <c r="X40" s="70" t="n">
        <f aca="false">SUM(X10:X39)</f>
        <v>117378.808954458</v>
      </c>
    </row>
    <row r="42" customFormat="false" ht="15" hidden="false" customHeight="false" outlineLevel="0" collapsed="false">
      <c r="A42" s="38" t="str">
        <f aca="false">"UNIT 2:  "&amp;INDEX(CC_UnitNames,2)</f>
        <v>UNIT 2:  Unit 2</v>
      </c>
      <c r="B42" s="38"/>
      <c r="C42" s="38"/>
      <c r="D42" s="38"/>
      <c r="E42" s="39"/>
      <c r="F42" s="39"/>
      <c r="G42" s="39"/>
      <c r="H42" s="39"/>
      <c r="I42" s="39"/>
      <c r="J42" s="39"/>
      <c r="K42" s="39"/>
      <c r="L42" s="39"/>
      <c r="M42" s="39"/>
      <c r="N42" s="39"/>
      <c r="O42" s="39"/>
      <c r="P42" s="39"/>
      <c r="Q42" s="39"/>
      <c r="R42" s="39"/>
      <c r="S42" s="39"/>
      <c r="T42" s="39"/>
      <c r="U42" s="39"/>
      <c r="V42" s="39"/>
      <c r="W42" s="39"/>
      <c r="X42" s="39"/>
    </row>
    <row r="43" customFormat="false" ht="15" hidden="false" customHeight="false" outlineLevel="0" collapsed="false">
      <c r="A43" s="68" t="n">
        <f aca="false">'CC Volume'!A43</f>
        <v>1</v>
      </c>
      <c r="B43" s="13" t="str">
        <f aca="false">IF('CC Volume'!B43="","",'CC Volume'!B43)</f>
        <v/>
      </c>
      <c r="C43" s="13" t="str">
        <f aca="false">IF('CC Volume'!C43="","",'CC Volume'!C43)</f>
        <v/>
      </c>
      <c r="D43" s="13" t="str">
        <f aca="false">IF('CC Volume'!D43="","",'CC Volume'!D43)</f>
        <v/>
      </c>
      <c r="E43" s="68" t="str">
        <f aca="false">IF('CC Volume'!E43="","",'CC Volume'!E43)</f>
        <v/>
      </c>
      <c r="F43" s="68" t="str">
        <f aca="false">IF('CC Volume'!F43="","",'CC Volume'!F43)</f>
        <v/>
      </c>
      <c r="G43" s="69" t="str">
        <f aca="false">'CC Volume'!AN43</f>
        <v/>
      </c>
      <c r="H43" s="69" t="str">
        <f aca="false">'CC Volume'!AO43</f>
        <v/>
      </c>
      <c r="I43" s="69" t="str">
        <f aca="false">'CC Volume'!AM43</f>
        <v/>
      </c>
      <c r="J43" s="62" t="str">
        <f aca="false">IF(N(H43)=0,"",IFERROR(INDEX(CC_RegRate,MATCH(F43,CC_RegU,0)),0))</f>
        <v/>
      </c>
      <c r="K43" s="62" t="n">
        <f aca="false">N(H43)*N(J43)</f>
        <v>0</v>
      </c>
      <c r="L43" s="62" t="n">
        <f aca="false">IF(CC_IncWaste="Yes",N(I43)*N(XWaste),0)</f>
        <v>0</v>
      </c>
      <c r="M43" s="65" t="n">
        <f aca="false">IF(N(G43)=0,0,IF(CC_AllocBasis="Equipment count",1,IF(CC_AllocBasis="Equipment volume",N(G43),N(H43))))</f>
        <v>0</v>
      </c>
      <c r="N43" s="15" t="n">
        <f aca="false">IF(SUM(CC_P_M)=0,0,M43/SUM(CC_P_M))</f>
        <v>0</v>
      </c>
      <c r="O43" s="62" t="n">
        <f aca="false">N43*CC_SharedCost</f>
        <v>0</v>
      </c>
      <c r="P43" s="63" t="n">
        <f aca="false">K43+L43+O43</f>
        <v>0</v>
      </c>
      <c r="Q43" s="62" t="n">
        <f aca="false">K43*(1+INDEX(MkMatrix,3,3))</f>
        <v>0</v>
      </c>
      <c r="R43" s="62" t="n">
        <f aca="false">L43*(1+INDEX(MkMatrix,3,3))</f>
        <v>0</v>
      </c>
      <c r="S43" s="62" t="n">
        <f aca="false">N43*CC_SharedSell</f>
        <v>0</v>
      </c>
      <c r="T43" s="62" t="n">
        <f aca="false">P43*N(QCont)</f>
        <v>0</v>
      </c>
      <c r="U43" s="62" t="n">
        <f aca="false">Q43+R43+S43+T43</f>
        <v>0</v>
      </c>
      <c r="V43" s="62" t="n">
        <f aca="false">-U43*N(QDisc)</f>
        <v>-0</v>
      </c>
      <c r="W43" s="63" t="n">
        <f aca="false">U43+V43</f>
        <v>0</v>
      </c>
      <c r="X43" s="63" t="n">
        <f aca="false">W43/QRate</f>
        <v>0</v>
      </c>
      <c r="Y43" s="0" t="n">
        <v>2</v>
      </c>
    </row>
    <row r="44" customFormat="false" ht="15" hidden="false" customHeight="false" outlineLevel="0" collapsed="false">
      <c r="A44" s="68" t="n">
        <f aca="false">'CC Volume'!A44</f>
        <v>2</v>
      </c>
      <c r="B44" s="13" t="str">
        <f aca="false">IF('CC Volume'!B44="","",'CC Volume'!B44)</f>
        <v/>
      </c>
      <c r="C44" s="13" t="str">
        <f aca="false">IF('CC Volume'!C44="","",'CC Volume'!C44)</f>
        <v/>
      </c>
      <c r="D44" s="13" t="str">
        <f aca="false">IF('CC Volume'!D44="","",'CC Volume'!D44)</f>
        <v/>
      </c>
      <c r="E44" s="68" t="str">
        <f aca="false">IF('CC Volume'!E44="","",'CC Volume'!E44)</f>
        <v/>
      </c>
      <c r="F44" s="68" t="str">
        <f aca="false">IF('CC Volume'!F44="","",'CC Volume'!F44)</f>
        <v/>
      </c>
      <c r="G44" s="69" t="str">
        <f aca="false">'CC Volume'!AN44</f>
        <v/>
      </c>
      <c r="H44" s="69" t="str">
        <f aca="false">'CC Volume'!AO44</f>
        <v/>
      </c>
      <c r="I44" s="69" t="str">
        <f aca="false">'CC Volume'!AM44</f>
        <v/>
      </c>
      <c r="J44" s="62" t="str">
        <f aca="false">IF(N(H44)=0,"",IFERROR(INDEX(CC_RegRate,MATCH(F44,CC_RegU,0)),0))</f>
        <v/>
      </c>
      <c r="K44" s="62" t="n">
        <f aca="false">N(H44)*N(J44)</f>
        <v>0</v>
      </c>
      <c r="L44" s="62" t="n">
        <f aca="false">IF(CC_IncWaste="Yes",N(I44)*N(XWaste),0)</f>
        <v>0</v>
      </c>
      <c r="M44" s="65" t="n">
        <f aca="false">IF(N(G44)=0,0,IF(CC_AllocBasis="Equipment count",1,IF(CC_AllocBasis="Equipment volume",N(G44),N(H44))))</f>
        <v>0</v>
      </c>
      <c r="N44" s="15" t="n">
        <f aca="false">IF(SUM(CC_P_M)=0,0,M44/SUM(CC_P_M))</f>
        <v>0</v>
      </c>
      <c r="O44" s="62" t="n">
        <f aca="false">N44*CC_SharedCost</f>
        <v>0</v>
      </c>
      <c r="P44" s="63" t="n">
        <f aca="false">K44+L44+O44</f>
        <v>0</v>
      </c>
      <c r="Q44" s="62" t="n">
        <f aca="false">K44*(1+INDEX(MkMatrix,3,3))</f>
        <v>0</v>
      </c>
      <c r="R44" s="62" t="n">
        <f aca="false">L44*(1+INDEX(MkMatrix,3,3))</f>
        <v>0</v>
      </c>
      <c r="S44" s="62" t="n">
        <f aca="false">N44*CC_SharedSell</f>
        <v>0</v>
      </c>
      <c r="T44" s="62" t="n">
        <f aca="false">P44*N(QCont)</f>
        <v>0</v>
      </c>
      <c r="U44" s="62" t="n">
        <f aca="false">Q44+R44+S44+T44</f>
        <v>0</v>
      </c>
      <c r="V44" s="62" t="n">
        <f aca="false">-U44*N(QDisc)</f>
        <v>-0</v>
      </c>
      <c r="W44" s="63" t="n">
        <f aca="false">U44+V44</f>
        <v>0</v>
      </c>
      <c r="X44" s="63" t="n">
        <f aca="false">W44/QRate</f>
        <v>0</v>
      </c>
      <c r="Y44" s="0" t="n">
        <v>2</v>
      </c>
    </row>
    <row r="45" customFormat="false" ht="15" hidden="false" customHeight="false" outlineLevel="0" collapsed="false">
      <c r="A45" s="68" t="n">
        <f aca="false">'CC Volume'!A45</f>
        <v>3</v>
      </c>
      <c r="B45" s="13" t="str">
        <f aca="false">IF('CC Volume'!B45="","",'CC Volume'!B45)</f>
        <v/>
      </c>
      <c r="C45" s="13" t="str">
        <f aca="false">IF('CC Volume'!C45="","",'CC Volume'!C45)</f>
        <v/>
      </c>
      <c r="D45" s="13" t="str">
        <f aca="false">IF('CC Volume'!D45="","",'CC Volume'!D45)</f>
        <v/>
      </c>
      <c r="E45" s="68" t="str">
        <f aca="false">IF('CC Volume'!E45="","",'CC Volume'!E45)</f>
        <v/>
      </c>
      <c r="F45" s="68" t="str">
        <f aca="false">IF('CC Volume'!F45="","",'CC Volume'!F45)</f>
        <v/>
      </c>
      <c r="G45" s="69" t="str">
        <f aca="false">'CC Volume'!AN45</f>
        <v/>
      </c>
      <c r="H45" s="69" t="str">
        <f aca="false">'CC Volume'!AO45</f>
        <v/>
      </c>
      <c r="I45" s="69" t="str">
        <f aca="false">'CC Volume'!AM45</f>
        <v/>
      </c>
      <c r="J45" s="62" t="str">
        <f aca="false">IF(N(H45)=0,"",IFERROR(INDEX(CC_RegRate,MATCH(F45,CC_RegU,0)),0))</f>
        <v/>
      </c>
      <c r="K45" s="62" t="n">
        <f aca="false">N(H45)*N(J45)</f>
        <v>0</v>
      </c>
      <c r="L45" s="62" t="n">
        <f aca="false">IF(CC_IncWaste="Yes",N(I45)*N(XWaste),0)</f>
        <v>0</v>
      </c>
      <c r="M45" s="65" t="n">
        <f aca="false">IF(N(G45)=0,0,IF(CC_AllocBasis="Equipment count",1,IF(CC_AllocBasis="Equipment volume",N(G45),N(H45))))</f>
        <v>0</v>
      </c>
      <c r="N45" s="15" t="n">
        <f aca="false">IF(SUM(CC_P_M)=0,0,M45/SUM(CC_P_M))</f>
        <v>0</v>
      </c>
      <c r="O45" s="62" t="n">
        <f aca="false">N45*CC_SharedCost</f>
        <v>0</v>
      </c>
      <c r="P45" s="63" t="n">
        <f aca="false">K45+L45+O45</f>
        <v>0</v>
      </c>
      <c r="Q45" s="62" t="n">
        <f aca="false">K45*(1+INDEX(MkMatrix,3,3))</f>
        <v>0</v>
      </c>
      <c r="R45" s="62" t="n">
        <f aca="false">L45*(1+INDEX(MkMatrix,3,3))</f>
        <v>0</v>
      </c>
      <c r="S45" s="62" t="n">
        <f aca="false">N45*CC_SharedSell</f>
        <v>0</v>
      </c>
      <c r="T45" s="62" t="n">
        <f aca="false">P45*N(QCont)</f>
        <v>0</v>
      </c>
      <c r="U45" s="62" t="n">
        <f aca="false">Q45+R45+S45+T45</f>
        <v>0</v>
      </c>
      <c r="V45" s="62" t="n">
        <f aca="false">-U45*N(QDisc)</f>
        <v>-0</v>
      </c>
      <c r="W45" s="63" t="n">
        <f aca="false">U45+V45</f>
        <v>0</v>
      </c>
      <c r="X45" s="63" t="n">
        <f aca="false">W45/QRate</f>
        <v>0</v>
      </c>
      <c r="Y45" s="0" t="n">
        <v>2</v>
      </c>
    </row>
    <row r="46" customFormat="false" ht="15" hidden="false" customHeight="false" outlineLevel="0" collapsed="false">
      <c r="A46" s="68" t="n">
        <f aca="false">'CC Volume'!A46</f>
        <v>4</v>
      </c>
      <c r="B46" s="13" t="str">
        <f aca="false">IF('CC Volume'!B46="","",'CC Volume'!B46)</f>
        <v/>
      </c>
      <c r="C46" s="13" t="str">
        <f aca="false">IF('CC Volume'!C46="","",'CC Volume'!C46)</f>
        <v/>
      </c>
      <c r="D46" s="13" t="str">
        <f aca="false">IF('CC Volume'!D46="","",'CC Volume'!D46)</f>
        <v/>
      </c>
      <c r="E46" s="68" t="str">
        <f aca="false">IF('CC Volume'!E46="","",'CC Volume'!E46)</f>
        <v/>
      </c>
      <c r="F46" s="68" t="str">
        <f aca="false">IF('CC Volume'!F46="","",'CC Volume'!F46)</f>
        <v/>
      </c>
      <c r="G46" s="69" t="str">
        <f aca="false">'CC Volume'!AN46</f>
        <v/>
      </c>
      <c r="H46" s="69" t="str">
        <f aca="false">'CC Volume'!AO46</f>
        <v/>
      </c>
      <c r="I46" s="69" t="str">
        <f aca="false">'CC Volume'!AM46</f>
        <v/>
      </c>
      <c r="J46" s="62" t="str">
        <f aca="false">IF(N(H46)=0,"",IFERROR(INDEX(CC_RegRate,MATCH(F46,CC_RegU,0)),0))</f>
        <v/>
      </c>
      <c r="K46" s="62" t="n">
        <f aca="false">N(H46)*N(J46)</f>
        <v>0</v>
      </c>
      <c r="L46" s="62" t="n">
        <f aca="false">IF(CC_IncWaste="Yes",N(I46)*N(XWaste),0)</f>
        <v>0</v>
      </c>
      <c r="M46" s="65" t="n">
        <f aca="false">IF(N(G46)=0,0,IF(CC_AllocBasis="Equipment count",1,IF(CC_AllocBasis="Equipment volume",N(G46),N(H46))))</f>
        <v>0</v>
      </c>
      <c r="N46" s="15" t="n">
        <f aca="false">IF(SUM(CC_P_M)=0,0,M46/SUM(CC_P_M))</f>
        <v>0</v>
      </c>
      <c r="O46" s="62" t="n">
        <f aca="false">N46*CC_SharedCost</f>
        <v>0</v>
      </c>
      <c r="P46" s="63" t="n">
        <f aca="false">K46+L46+O46</f>
        <v>0</v>
      </c>
      <c r="Q46" s="62" t="n">
        <f aca="false">K46*(1+INDEX(MkMatrix,3,3))</f>
        <v>0</v>
      </c>
      <c r="R46" s="62" t="n">
        <f aca="false">L46*(1+INDEX(MkMatrix,3,3))</f>
        <v>0</v>
      </c>
      <c r="S46" s="62" t="n">
        <f aca="false">N46*CC_SharedSell</f>
        <v>0</v>
      </c>
      <c r="T46" s="62" t="n">
        <f aca="false">P46*N(QCont)</f>
        <v>0</v>
      </c>
      <c r="U46" s="62" t="n">
        <f aca="false">Q46+R46+S46+T46</f>
        <v>0</v>
      </c>
      <c r="V46" s="62" t="n">
        <f aca="false">-U46*N(QDisc)</f>
        <v>-0</v>
      </c>
      <c r="W46" s="63" t="n">
        <f aca="false">U46+V46</f>
        <v>0</v>
      </c>
      <c r="X46" s="63" t="n">
        <f aca="false">W46/QRate</f>
        <v>0</v>
      </c>
      <c r="Y46" s="0" t="n">
        <v>2</v>
      </c>
    </row>
    <row r="47" customFormat="false" ht="15" hidden="false" customHeight="false" outlineLevel="0" collapsed="false">
      <c r="A47" s="68" t="n">
        <f aca="false">'CC Volume'!A47</f>
        <v>5</v>
      </c>
      <c r="B47" s="13" t="str">
        <f aca="false">IF('CC Volume'!B47="","",'CC Volume'!B47)</f>
        <v/>
      </c>
      <c r="C47" s="13" t="str">
        <f aca="false">IF('CC Volume'!C47="","",'CC Volume'!C47)</f>
        <v/>
      </c>
      <c r="D47" s="13" t="str">
        <f aca="false">IF('CC Volume'!D47="","",'CC Volume'!D47)</f>
        <v/>
      </c>
      <c r="E47" s="68" t="str">
        <f aca="false">IF('CC Volume'!E47="","",'CC Volume'!E47)</f>
        <v/>
      </c>
      <c r="F47" s="68" t="str">
        <f aca="false">IF('CC Volume'!F47="","",'CC Volume'!F47)</f>
        <v/>
      </c>
      <c r="G47" s="69" t="str">
        <f aca="false">'CC Volume'!AN47</f>
        <v/>
      </c>
      <c r="H47" s="69" t="str">
        <f aca="false">'CC Volume'!AO47</f>
        <v/>
      </c>
      <c r="I47" s="69" t="str">
        <f aca="false">'CC Volume'!AM47</f>
        <v/>
      </c>
      <c r="J47" s="62" t="str">
        <f aca="false">IF(N(H47)=0,"",IFERROR(INDEX(CC_RegRate,MATCH(F47,CC_RegU,0)),0))</f>
        <v/>
      </c>
      <c r="K47" s="62" t="n">
        <f aca="false">N(H47)*N(J47)</f>
        <v>0</v>
      </c>
      <c r="L47" s="62" t="n">
        <f aca="false">IF(CC_IncWaste="Yes",N(I47)*N(XWaste),0)</f>
        <v>0</v>
      </c>
      <c r="M47" s="65" t="n">
        <f aca="false">IF(N(G47)=0,0,IF(CC_AllocBasis="Equipment count",1,IF(CC_AllocBasis="Equipment volume",N(G47),N(H47))))</f>
        <v>0</v>
      </c>
      <c r="N47" s="15" t="n">
        <f aca="false">IF(SUM(CC_P_M)=0,0,M47/SUM(CC_P_M))</f>
        <v>0</v>
      </c>
      <c r="O47" s="62" t="n">
        <f aca="false">N47*CC_SharedCost</f>
        <v>0</v>
      </c>
      <c r="P47" s="63" t="n">
        <f aca="false">K47+L47+O47</f>
        <v>0</v>
      </c>
      <c r="Q47" s="62" t="n">
        <f aca="false">K47*(1+INDEX(MkMatrix,3,3))</f>
        <v>0</v>
      </c>
      <c r="R47" s="62" t="n">
        <f aca="false">L47*(1+INDEX(MkMatrix,3,3))</f>
        <v>0</v>
      </c>
      <c r="S47" s="62" t="n">
        <f aca="false">N47*CC_SharedSell</f>
        <v>0</v>
      </c>
      <c r="T47" s="62" t="n">
        <f aca="false">P47*N(QCont)</f>
        <v>0</v>
      </c>
      <c r="U47" s="62" t="n">
        <f aca="false">Q47+R47+S47+T47</f>
        <v>0</v>
      </c>
      <c r="V47" s="62" t="n">
        <f aca="false">-U47*N(QDisc)</f>
        <v>-0</v>
      </c>
      <c r="W47" s="63" t="n">
        <f aca="false">U47+V47</f>
        <v>0</v>
      </c>
      <c r="X47" s="63" t="n">
        <f aca="false">W47/QRate</f>
        <v>0</v>
      </c>
      <c r="Y47" s="0" t="n">
        <v>2</v>
      </c>
    </row>
    <row r="48" customFormat="false" ht="15" hidden="false" customHeight="false" outlineLevel="0" collapsed="false">
      <c r="A48" s="68" t="n">
        <f aca="false">'CC Volume'!A48</f>
        <v>6</v>
      </c>
      <c r="B48" s="13" t="str">
        <f aca="false">IF('CC Volume'!B48="","",'CC Volume'!B48)</f>
        <v/>
      </c>
      <c r="C48" s="13" t="str">
        <f aca="false">IF('CC Volume'!C48="","",'CC Volume'!C48)</f>
        <v/>
      </c>
      <c r="D48" s="13" t="str">
        <f aca="false">IF('CC Volume'!D48="","",'CC Volume'!D48)</f>
        <v/>
      </c>
      <c r="E48" s="68" t="str">
        <f aca="false">IF('CC Volume'!E48="","",'CC Volume'!E48)</f>
        <v/>
      </c>
      <c r="F48" s="68" t="str">
        <f aca="false">IF('CC Volume'!F48="","",'CC Volume'!F48)</f>
        <v/>
      </c>
      <c r="G48" s="69" t="str">
        <f aca="false">'CC Volume'!AN48</f>
        <v/>
      </c>
      <c r="H48" s="69" t="str">
        <f aca="false">'CC Volume'!AO48</f>
        <v/>
      </c>
      <c r="I48" s="69" t="str">
        <f aca="false">'CC Volume'!AM48</f>
        <v/>
      </c>
      <c r="J48" s="62" t="str">
        <f aca="false">IF(N(H48)=0,"",IFERROR(INDEX(CC_RegRate,MATCH(F48,CC_RegU,0)),0))</f>
        <v/>
      </c>
      <c r="K48" s="62" t="n">
        <f aca="false">N(H48)*N(J48)</f>
        <v>0</v>
      </c>
      <c r="L48" s="62" t="n">
        <f aca="false">IF(CC_IncWaste="Yes",N(I48)*N(XWaste),0)</f>
        <v>0</v>
      </c>
      <c r="M48" s="65" t="n">
        <f aca="false">IF(N(G48)=0,0,IF(CC_AllocBasis="Equipment count",1,IF(CC_AllocBasis="Equipment volume",N(G48),N(H48))))</f>
        <v>0</v>
      </c>
      <c r="N48" s="15" t="n">
        <f aca="false">IF(SUM(CC_P_M)=0,0,M48/SUM(CC_P_M))</f>
        <v>0</v>
      </c>
      <c r="O48" s="62" t="n">
        <f aca="false">N48*CC_SharedCost</f>
        <v>0</v>
      </c>
      <c r="P48" s="63" t="n">
        <f aca="false">K48+L48+O48</f>
        <v>0</v>
      </c>
      <c r="Q48" s="62" t="n">
        <f aca="false">K48*(1+INDEX(MkMatrix,3,3))</f>
        <v>0</v>
      </c>
      <c r="R48" s="62" t="n">
        <f aca="false">L48*(1+INDEX(MkMatrix,3,3))</f>
        <v>0</v>
      </c>
      <c r="S48" s="62" t="n">
        <f aca="false">N48*CC_SharedSell</f>
        <v>0</v>
      </c>
      <c r="T48" s="62" t="n">
        <f aca="false">P48*N(QCont)</f>
        <v>0</v>
      </c>
      <c r="U48" s="62" t="n">
        <f aca="false">Q48+R48+S48+T48</f>
        <v>0</v>
      </c>
      <c r="V48" s="62" t="n">
        <f aca="false">-U48*N(QDisc)</f>
        <v>-0</v>
      </c>
      <c r="W48" s="63" t="n">
        <f aca="false">U48+V48</f>
        <v>0</v>
      </c>
      <c r="X48" s="63" t="n">
        <f aca="false">W48/QRate</f>
        <v>0</v>
      </c>
      <c r="Y48" s="0" t="n">
        <v>2</v>
      </c>
    </row>
    <row r="49" customFormat="false" ht="15" hidden="false" customHeight="false" outlineLevel="0" collapsed="false">
      <c r="A49" s="68" t="n">
        <f aca="false">'CC Volume'!A49</f>
        <v>7</v>
      </c>
      <c r="B49" s="13" t="str">
        <f aca="false">IF('CC Volume'!B49="","",'CC Volume'!B49)</f>
        <v/>
      </c>
      <c r="C49" s="13" t="str">
        <f aca="false">IF('CC Volume'!C49="","",'CC Volume'!C49)</f>
        <v/>
      </c>
      <c r="D49" s="13" t="str">
        <f aca="false">IF('CC Volume'!D49="","",'CC Volume'!D49)</f>
        <v/>
      </c>
      <c r="E49" s="68" t="str">
        <f aca="false">IF('CC Volume'!E49="","",'CC Volume'!E49)</f>
        <v/>
      </c>
      <c r="F49" s="68" t="str">
        <f aca="false">IF('CC Volume'!F49="","",'CC Volume'!F49)</f>
        <v/>
      </c>
      <c r="G49" s="69" t="str">
        <f aca="false">'CC Volume'!AN49</f>
        <v/>
      </c>
      <c r="H49" s="69" t="str">
        <f aca="false">'CC Volume'!AO49</f>
        <v/>
      </c>
      <c r="I49" s="69" t="str">
        <f aca="false">'CC Volume'!AM49</f>
        <v/>
      </c>
      <c r="J49" s="62" t="str">
        <f aca="false">IF(N(H49)=0,"",IFERROR(INDEX(CC_RegRate,MATCH(F49,CC_RegU,0)),0))</f>
        <v/>
      </c>
      <c r="K49" s="62" t="n">
        <f aca="false">N(H49)*N(J49)</f>
        <v>0</v>
      </c>
      <c r="L49" s="62" t="n">
        <f aca="false">IF(CC_IncWaste="Yes",N(I49)*N(XWaste),0)</f>
        <v>0</v>
      </c>
      <c r="M49" s="65" t="n">
        <f aca="false">IF(N(G49)=0,0,IF(CC_AllocBasis="Equipment count",1,IF(CC_AllocBasis="Equipment volume",N(G49),N(H49))))</f>
        <v>0</v>
      </c>
      <c r="N49" s="15" t="n">
        <f aca="false">IF(SUM(CC_P_M)=0,0,M49/SUM(CC_P_M))</f>
        <v>0</v>
      </c>
      <c r="O49" s="62" t="n">
        <f aca="false">N49*CC_SharedCost</f>
        <v>0</v>
      </c>
      <c r="P49" s="63" t="n">
        <f aca="false">K49+L49+O49</f>
        <v>0</v>
      </c>
      <c r="Q49" s="62" t="n">
        <f aca="false">K49*(1+INDEX(MkMatrix,3,3))</f>
        <v>0</v>
      </c>
      <c r="R49" s="62" t="n">
        <f aca="false">L49*(1+INDEX(MkMatrix,3,3))</f>
        <v>0</v>
      </c>
      <c r="S49" s="62" t="n">
        <f aca="false">N49*CC_SharedSell</f>
        <v>0</v>
      </c>
      <c r="T49" s="62" t="n">
        <f aca="false">P49*N(QCont)</f>
        <v>0</v>
      </c>
      <c r="U49" s="62" t="n">
        <f aca="false">Q49+R49+S49+T49</f>
        <v>0</v>
      </c>
      <c r="V49" s="62" t="n">
        <f aca="false">-U49*N(QDisc)</f>
        <v>-0</v>
      </c>
      <c r="W49" s="63" t="n">
        <f aca="false">U49+V49</f>
        <v>0</v>
      </c>
      <c r="X49" s="63" t="n">
        <f aca="false">W49/QRate</f>
        <v>0</v>
      </c>
      <c r="Y49" s="0" t="n">
        <v>2</v>
      </c>
    </row>
    <row r="50" customFormat="false" ht="15" hidden="false" customHeight="false" outlineLevel="0" collapsed="false">
      <c r="A50" s="68" t="n">
        <f aca="false">'CC Volume'!A50</f>
        <v>8</v>
      </c>
      <c r="B50" s="13" t="str">
        <f aca="false">IF('CC Volume'!B50="","",'CC Volume'!B50)</f>
        <v/>
      </c>
      <c r="C50" s="13" t="str">
        <f aca="false">IF('CC Volume'!C50="","",'CC Volume'!C50)</f>
        <v/>
      </c>
      <c r="D50" s="13" t="str">
        <f aca="false">IF('CC Volume'!D50="","",'CC Volume'!D50)</f>
        <v/>
      </c>
      <c r="E50" s="68" t="str">
        <f aca="false">IF('CC Volume'!E50="","",'CC Volume'!E50)</f>
        <v/>
      </c>
      <c r="F50" s="68" t="str">
        <f aca="false">IF('CC Volume'!F50="","",'CC Volume'!F50)</f>
        <v/>
      </c>
      <c r="G50" s="69" t="str">
        <f aca="false">'CC Volume'!AN50</f>
        <v/>
      </c>
      <c r="H50" s="69" t="str">
        <f aca="false">'CC Volume'!AO50</f>
        <v/>
      </c>
      <c r="I50" s="69" t="str">
        <f aca="false">'CC Volume'!AM50</f>
        <v/>
      </c>
      <c r="J50" s="62" t="str">
        <f aca="false">IF(N(H50)=0,"",IFERROR(INDEX(CC_RegRate,MATCH(F50,CC_RegU,0)),0))</f>
        <v/>
      </c>
      <c r="K50" s="62" t="n">
        <f aca="false">N(H50)*N(J50)</f>
        <v>0</v>
      </c>
      <c r="L50" s="62" t="n">
        <f aca="false">IF(CC_IncWaste="Yes",N(I50)*N(XWaste),0)</f>
        <v>0</v>
      </c>
      <c r="M50" s="65" t="n">
        <f aca="false">IF(N(G50)=0,0,IF(CC_AllocBasis="Equipment count",1,IF(CC_AllocBasis="Equipment volume",N(G50),N(H50))))</f>
        <v>0</v>
      </c>
      <c r="N50" s="15" t="n">
        <f aca="false">IF(SUM(CC_P_M)=0,0,M50/SUM(CC_P_M))</f>
        <v>0</v>
      </c>
      <c r="O50" s="62" t="n">
        <f aca="false">N50*CC_SharedCost</f>
        <v>0</v>
      </c>
      <c r="P50" s="63" t="n">
        <f aca="false">K50+L50+O50</f>
        <v>0</v>
      </c>
      <c r="Q50" s="62" t="n">
        <f aca="false">K50*(1+INDEX(MkMatrix,3,3))</f>
        <v>0</v>
      </c>
      <c r="R50" s="62" t="n">
        <f aca="false">L50*(1+INDEX(MkMatrix,3,3))</f>
        <v>0</v>
      </c>
      <c r="S50" s="62" t="n">
        <f aca="false">N50*CC_SharedSell</f>
        <v>0</v>
      </c>
      <c r="T50" s="62" t="n">
        <f aca="false">P50*N(QCont)</f>
        <v>0</v>
      </c>
      <c r="U50" s="62" t="n">
        <f aca="false">Q50+R50+S50+T50</f>
        <v>0</v>
      </c>
      <c r="V50" s="62" t="n">
        <f aca="false">-U50*N(QDisc)</f>
        <v>-0</v>
      </c>
      <c r="W50" s="63" t="n">
        <f aca="false">U50+V50</f>
        <v>0</v>
      </c>
      <c r="X50" s="63" t="n">
        <f aca="false">W50/QRate</f>
        <v>0</v>
      </c>
      <c r="Y50" s="0" t="n">
        <v>2</v>
      </c>
    </row>
    <row r="51" customFormat="false" ht="15" hidden="false" customHeight="false" outlineLevel="0" collapsed="false">
      <c r="A51" s="68" t="n">
        <f aca="false">'CC Volume'!A51</f>
        <v>9</v>
      </c>
      <c r="B51" s="13" t="str">
        <f aca="false">IF('CC Volume'!B51="","",'CC Volume'!B51)</f>
        <v/>
      </c>
      <c r="C51" s="13" t="str">
        <f aca="false">IF('CC Volume'!C51="","",'CC Volume'!C51)</f>
        <v/>
      </c>
      <c r="D51" s="13" t="str">
        <f aca="false">IF('CC Volume'!D51="","",'CC Volume'!D51)</f>
        <v/>
      </c>
      <c r="E51" s="68" t="str">
        <f aca="false">IF('CC Volume'!E51="","",'CC Volume'!E51)</f>
        <v/>
      </c>
      <c r="F51" s="68" t="str">
        <f aca="false">IF('CC Volume'!F51="","",'CC Volume'!F51)</f>
        <v/>
      </c>
      <c r="G51" s="69" t="str">
        <f aca="false">'CC Volume'!AN51</f>
        <v/>
      </c>
      <c r="H51" s="69" t="str">
        <f aca="false">'CC Volume'!AO51</f>
        <v/>
      </c>
      <c r="I51" s="69" t="str">
        <f aca="false">'CC Volume'!AM51</f>
        <v/>
      </c>
      <c r="J51" s="62" t="str">
        <f aca="false">IF(N(H51)=0,"",IFERROR(INDEX(CC_RegRate,MATCH(F51,CC_RegU,0)),0))</f>
        <v/>
      </c>
      <c r="K51" s="62" t="n">
        <f aca="false">N(H51)*N(J51)</f>
        <v>0</v>
      </c>
      <c r="L51" s="62" t="n">
        <f aca="false">IF(CC_IncWaste="Yes",N(I51)*N(XWaste),0)</f>
        <v>0</v>
      </c>
      <c r="M51" s="65" t="n">
        <f aca="false">IF(N(G51)=0,0,IF(CC_AllocBasis="Equipment count",1,IF(CC_AllocBasis="Equipment volume",N(G51),N(H51))))</f>
        <v>0</v>
      </c>
      <c r="N51" s="15" t="n">
        <f aca="false">IF(SUM(CC_P_M)=0,0,M51/SUM(CC_P_M))</f>
        <v>0</v>
      </c>
      <c r="O51" s="62" t="n">
        <f aca="false">N51*CC_SharedCost</f>
        <v>0</v>
      </c>
      <c r="P51" s="63" t="n">
        <f aca="false">K51+L51+O51</f>
        <v>0</v>
      </c>
      <c r="Q51" s="62" t="n">
        <f aca="false">K51*(1+INDEX(MkMatrix,3,3))</f>
        <v>0</v>
      </c>
      <c r="R51" s="62" t="n">
        <f aca="false">L51*(1+INDEX(MkMatrix,3,3))</f>
        <v>0</v>
      </c>
      <c r="S51" s="62" t="n">
        <f aca="false">N51*CC_SharedSell</f>
        <v>0</v>
      </c>
      <c r="T51" s="62" t="n">
        <f aca="false">P51*N(QCont)</f>
        <v>0</v>
      </c>
      <c r="U51" s="62" t="n">
        <f aca="false">Q51+R51+S51+T51</f>
        <v>0</v>
      </c>
      <c r="V51" s="62" t="n">
        <f aca="false">-U51*N(QDisc)</f>
        <v>-0</v>
      </c>
      <c r="W51" s="63" t="n">
        <f aca="false">U51+V51</f>
        <v>0</v>
      </c>
      <c r="X51" s="63" t="n">
        <f aca="false">W51/QRate</f>
        <v>0</v>
      </c>
      <c r="Y51" s="0" t="n">
        <v>2</v>
      </c>
    </row>
    <row r="52" customFormat="false" ht="15" hidden="false" customHeight="false" outlineLevel="0" collapsed="false">
      <c r="A52" s="68" t="n">
        <f aca="false">'CC Volume'!A52</f>
        <v>10</v>
      </c>
      <c r="B52" s="13" t="str">
        <f aca="false">IF('CC Volume'!B52="","",'CC Volume'!B52)</f>
        <v/>
      </c>
      <c r="C52" s="13" t="str">
        <f aca="false">IF('CC Volume'!C52="","",'CC Volume'!C52)</f>
        <v/>
      </c>
      <c r="D52" s="13" t="str">
        <f aca="false">IF('CC Volume'!D52="","",'CC Volume'!D52)</f>
        <v/>
      </c>
      <c r="E52" s="68" t="str">
        <f aca="false">IF('CC Volume'!E52="","",'CC Volume'!E52)</f>
        <v/>
      </c>
      <c r="F52" s="68" t="str">
        <f aca="false">IF('CC Volume'!F52="","",'CC Volume'!F52)</f>
        <v/>
      </c>
      <c r="G52" s="69" t="str">
        <f aca="false">'CC Volume'!AN52</f>
        <v/>
      </c>
      <c r="H52" s="69" t="str">
        <f aca="false">'CC Volume'!AO52</f>
        <v/>
      </c>
      <c r="I52" s="69" t="str">
        <f aca="false">'CC Volume'!AM52</f>
        <v/>
      </c>
      <c r="J52" s="62" t="str">
        <f aca="false">IF(N(H52)=0,"",IFERROR(INDEX(CC_RegRate,MATCH(F52,CC_RegU,0)),0))</f>
        <v/>
      </c>
      <c r="K52" s="62" t="n">
        <f aca="false">N(H52)*N(J52)</f>
        <v>0</v>
      </c>
      <c r="L52" s="62" t="n">
        <f aca="false">IF(CC_IncWaste="Yes",N(I52)*N(XWaste),0)</f>
        <v>0</v>
      </c>
      <c r="M52" s="65" t="n">
        <f aca="false">IF(N(G52)=0,0,IF(CC_AllocBasis="Equipment count",1,IF(CC_AllocBasis="Equipment volume",N(G52),N(H52))))</f>
        <v>0</v>
      </c>
      <c r="N52" s="15" t="n">
        <f aca="false">IF(SUM(CC_P_M)=0,0,M52/SUM(CC_P_M))</f>
        <v>0</v>
      </c>
      <c r="O52" s="62" t="n">
        <f aca="false">N52*CC_SharedCost</f>
        <v>0</v>
      </c>
      <c r="P52" s="63" t="n">
        <f aca="false">K52+L52+O52</f>
        <v>0</v>
      </c>
      <c r="Q52" s="62" t="n">
        <f aca="false">K52*(1+INDEX(MkMatrix,3,3))</f>
        <v>0</v>
      </c>
      <c r="R52" s="62" t="n">
        <f aca="false">L52*(1+INDEX(MkMatrix,3,3))</f>
        <v>0</v>
      </c>
      <c r="S52" s="62" t="n">
        <f aca="false">N52*CC_SharedSell</f>
        <v>0</v>
      </c>
      <c r="T52" s="62" t="n">
        <f aca="false">P52*N(QCont)</f>
        <v>0</v>
      </c>
      <c r="U52" s="62" t="n">
        <f aca="false">Q52+R52+S52+T52</f>
        <v>0</v>
      </c>
      <c r="V52" s="62" t="n">
        <f aca="false">-U52*N(QDisc)</f>
        <v>-0</v>
      </c>
      <c r="W52" s="63" t="n">
        <f aca="false">U52+V52</f>
        <v>0</v>
      </c>
      <c r="X52" s="63" t="n">
        <f aca="false">W52/QRate</f>
        <v>0</v>
      </c>
      <c r="Y52" s="0" t="n">
        <v>2</v>
      </c>
    </row>
    <row r="53" customFormat="false" ht="15" hidden="false" customHeight="false" outlineLevel="0" collapsed="false">
      <c r="A53" s="68" t="n">
        <f aca="false">'CC Volume'!A53</f>
        <v>11</v>
      </c>
      <c r="B53" s="13" t="str">
        <f aca="false">IF('CC Volume'!B53="","",'CC Volume'!B53)</f>
        <v/>
      </c>
      <c r="C53" s="13" t="str">
        <f aca="false">IF('CC Volume'!C53="","",'CC Volume'!C53)</f>
        <v/>
      </c>
      <c r="D53" s="13" t="str">
        <f aca="false">IF('CC Volume'!D53="","",'CC Volume'!D53)</f>
        <v/>
      </c>
      <c r="E53" s="68" t="str">
        <f aca="false">IF('CC Volume'!E53="","",'CC Volume'!E53)</f>
        <v/>
      </c>
      <c r="F53" s="68" t="str">
        <f aca="false">IF('CC Volume'!F53="","",'CC Volume'!F53)</f>
        <v/>
      </c>
      <c r="G53" s="69" t="str">
        <f aca="false">'CC Volume'!AN53</f>
        <v/>
      </c>
      <c r="H53" s="69" t="str">
        <f aca="false">'CC Volume'!AO53</f>
        <v/>
      </c>
      <c r="I53" s="69" t="str">
        <f aca="false">'CC Volume'!AM53</f>
        <v/>
      </c>
      <c r="J53" s="62" t="str">
        <f aca="false">IF(N(H53)=0,"",IFERROR(INDEX(CC_RegRate,MATCH(F53,CC_RegU,0)),0))</f>
        <v/>
      </c>
      <c r="K53" s="62" t="n">
        <f aca="false">N(H53)*N(J53)</f>
        <v>0</v>
      </c>
      <c r="L53" s="62" t="n">
        <f aca="false">IF(CC_IncWaste="Yes",N(I53)*N(XWaste),0)</f>
        <v>0</v>
      </c>
      <c r="M53" s="65" t="n">
        <f aca="false">IF(N(G53)=0,0,IF(CC_AllocBasis="Equipment count",1,IF(CC_AllocBasis="Equipment volume",N(G53),N(H53))))</f>
        <v>0</v>
      </c>
      <c r="N53" s="15" t="n">
        <f aca="false">IF(SUM(CC_P_M)=0,0,M53/SUM(CC_P_M))</f>
        <v>0</v>
      </c>
      <c r="O53" s="62" t="n">
        <f aca="false">N53*CC_SharedCost</f>
        <v>0</v>
      </c>
      <c r="P53" s="63" t="n">
        <f aca="false">K53+L53+O53</f>
        <v>0</v>
      </c>
      <c r="Q53" s="62" t="n">
        <f aca="false">K53*(1+INDEX(MkMatrix,3,3))</f>
        <v>0</v>
      </c>
      <c r="R53" s="62" t="n">
        <f aca="false">L53*(1+INDEX(MkMatrix,3,3))</f>
        <v>0</v>
      </c>
      <c r="S53" s="62" t="n">
        <f aca="false">N53*CC_SharedSell</f>
        <v>0</v>
      </c>
      <c r="T53" s="62" t="n">
        <f aca="false">P53*N(QCont)</f>
        <v>0</v>
      </c>
      <c r="U53" s="62" t="n">
        <f aca="false">Q53+R53+S53+T53</f>
        <v>0</v>
      </c>
      <c r="V53" s="62" t="n">
        <f aca="false">-U53*N(QDisc)</f>
        <v>-0</v>
      </c>
      <c r="W53" s="63" t="n">
        <f aca="false">U53+V53</f>
        <v>0</v>
      </c>
      <c r="X53" s="63" t="n">
        <f aca="false">W53/QRate</f>
        <v>0</v>
      </c>
      <c r="Y53" s="0" t="n">
        <v>2</v>
      </c>
    </row>
    <row r="54" customFormat="false" ht="15" hidden="false" customHeight="false" outlineLevel="0" collapsed="false">
      <c r="A54" s="68" t="n">
        <f aca="false">'CC Volume'!A54</f>
        <v>12</v>
      </c>
      <c r="B54" s="13" t="str">
        <f aca="false">IF('CC Volume'!B54="","",'CC Volume'!B54)</f>
        <v/>
      </c>
      <c r="C54" s="13" t="str">
        <f aca="false">IF('CC Volume'!C54="","",'CC Volume'!C54)</f>
        <v/>
      </c>
      <c r="D54" s="13" t="str">
        <f aca="false">IF('CC Volume'!D54="","",'CC Volume'!D54)</f>
        <v/>
      </c>
      <c r="E54" s="68" t="str">
        <f aca="false">IF('CC Volume'!E54="","",'CC Volume'!E54)</f>
        <v/>
      </c>
      <c r="F54" s="68" t="str">
        <f aca="false">IF('CC Volume'!F54="","",'CC Volume'!F54)</f>
        <v/>
      </c>
      <c r="G54" s="69" t="str">
        <f aca="false">'CC Volume'!AN54</f>
        <v/>
      </c>
      <c r="H54" s="69" t="str">
        <f aca="false">'CC Volume'!AO54</f>
        <v/>
      </c>
      <c r="I54" s="69" t="str">
        <f aca="false">'CC Volume'!AM54</f>
        <v/>
      </c>
      <c r="J54" s="62" t="str">
        <f aca="false">IF(N(H54)=0,"",IFERROR(INDEX(CC_RegRate,MATCH(F54,CC_RegU,0)),0))</f>
        <v/>
      </c>
      <c r="K54" s="62" t="n">
        <f aca="false">N(H54)*N(J54)</f>
        <v>0</v>
      </c>
      <c r="L54" s="62" t="n">
        <f aca="false">IF(CC_IncWaste="Yes",N(I54)*N(XWaste),0)</f>
        <v>0</v>
      </c>
      <c r="M54" s="65" t="n">
        <f aca="false">IF(N(G54)=0,0,IF(CC_AllocBasis="Equipment count",1,IF(CC_AllocBasis="Equipment volume",N(G54),N(H54))))</f>
        <v>0</v>
      </c>
      <c r="N54" s="15" t="n">
        <f aca="false">IF(SUM(CC_P_M)=0,0,M54/SUM(CC_P_M))</f>
        <v>0</v>
      </c>
      <c r="O54" s="62" t="n">
        <f aca="false">N54*CC_SharedCost</f>
        <v>0</v>
      </c>
      <c r="P54" s="63" t="n">
        <f aca="false">K54+L54+O54</f>
        <v>0</v>
      </c>
      <c r="Q54" s="62" t="n">
        <f aca="false">K54*(1+INDEX(MkMatrix,3,3))</f>
        <v>0</v>
      </c>
      <c r="R54" s="62" t="n">
        <f aca="false">L54*(1+INDEX(MkMatrix,3,3))</f>
        <v>0</v>
      </c>
      <c r="S54" s="62" t="n">
        <f aca="false">N54*CC_SharedSell</f>
        <v>0</v>
      </c>
      <c r="T54" s="62" t="n">
        <f aca="false">P54*N(QCont)</f>
        <v>0</v>
      </c>
      <c r="U54" s="62" t="n">
        <f aca="false">Q54+R54+S54+T54</f>
        <v>0</v>
      </c>
      <c r="V54" s="62" t="n">
        <f aca="false">-U54*N(QDisc)</f>
        <v>-0</v>
      </c>
      <c r="W54" s="63" t="n">
        <f aca="false">U54+V54</f>
        <v>0</v>
      </c>
      <c r="X54" s="63" t="n">
        <f aca="false">W54/QRate</f>
        <v>0</v>
      </c>
      <c r="Y54" s="0" t="n">
        <v>2</v>
      </c>
    </row>
    <row r="55" customFormat="false" ht="15" hidden="false" customHeight="false" outlineLevel="0" collapsed="false">
      <c r="A55" s="68" t="n">
        <f aca="false">'CC Volume'!A55</f>
        <v>13</v>
      </c>
      <c r="B55" s="13" t="str">
        <f aca="false">IF('CC Volume'!B55="","",'CC Volume'!B55)</f>
        <v/>
      </c>
      <c r="C55" s="13" t="str">
        <f aca="false">IF('CC Volume'!C55="","",'CC Volume'!C55)</f>
        <v/>
      </c>
      <c r="D55" s="13" t="str">
        <f aca="false">IF('CC Volume'!D55="","",'CC Volume'!D55)</f>
        <v/>
      </c>
      <c r="E55" s="68" t="str">
        <f aca="false">IF('CC Volume'!E55="","",'CC Volume'!E55)</f>
        <v/>
      </c>
      <c r="F55" s="68" t="str">
        <f aca="false">IF('CC Volume'!F55="","",'CC Volume'!F55)</f>
        <v/>
      </c>
      <c r="G55" s="69" t="str">
        <f aca="false">'CC Volume'!AN55</f>
        <v/>
      </c>
      <c r="H55" s="69" t="str">
        <f aca="false">'CC Volume'!AO55</f>
        <v/>
      </c>
      <c r="I55" s="69" t="str">
        <f aca="false">'CC Volume'!AM55</f>
        <v/>
      </c>
      <c r="J55" s="62" t="str">
        <f aca="false">IF(N(H55)=0,"",IFERROR(INDEX(CC_RegRate,MATCH(F55,CC_RegU,0)),0))</f>
        <v/>
      </c>
      <c r="K55" s="62" t="n">
        <f aca="false">N(H55)*N(J55)</f>
        <v>0</v>
      </c>
      <c r="L55" s="62" t="n">
        <f aca="false">IF(CC_IncWaste="Yes",N(I55)*N(XWaste),0)</f>
        <v>0</v>
      </c>
      <c r="M55" s="65" t="n">
        <f aca="false">IF(N(G55)=0,0,IF(CC_AllocBasis="Equipment count",1,IF(CC_AllocBasis="Equipment volume",N(G55),N(H55))))</f>
        <v>0</v>
      </c>
      <c r="N55" s="15" t="n">
        <f aca="false">IF(SUM(CC_P_M)=0,0,M55/SUM(CC_P_M))</f>
        <v>0</v>
      </c>
      <c r="O55" s="62" t="n">
        <f aca="false">N55*CC_SharedCost</f>
        <v>0</v>
      </c>
      <c r="P55" s="63" t="n">
        <f aca="false">K55+L55+O55</f>
        <v>0</v>
      </c>
      <c r="Q55" s="62" t="n">
        <f aca="false">K55*(1+INDEX(MkMatrix,3,3))</f>
        <v>0</v>
      </c>
      <c r="R55" s="62" t="n">
        <f aca="false">L55*(1+INDEX(MkMatrix,3,3))</f>
        <v>0</v>
      </c>
      <c r="S55" s="62" t="n">
        <f aca="false">N55*CC_SharedSell</f>
        <v>0</v>
      </c>
      <c r="T55" s="62" t="n">
        <f aca="false">P55*N(QCont)</f>
        <v>0</v>
      </c>
      <c r="U55" s="62" t="n">
        <f aca="false">Q55+R55+S55+T55</f>
        <v>0</v>
      </c>
      <c r="V55" s="62" t="n">
        <f aca="false">-U55*N(QDisc)</f>
        <v>-0</v>
      </c>
      <c r="W55" s="63" t="n">
        <f aca="false">U55+V55</f>
        <v>0</v>
      </c>
      <c r="X55" s="63" t="n">
        <f aca="false">W55/QRate</f>
        <v>0</v>
      </c>
      <c r="Y55" s="0" t="n">
        <v>2</v>
      </c>
    </row>
    <row r="56" customFormat="false" ht="15" hidden="false" customHeight="false" outlineLevel="0" collapsed="false">
      <c r="A56" s="68" t="n">
        <f aca="false">'CC Volume'!A56</f>
        <v>14</v>
      </c>
      <c r="B56" s="13" t="str">
        <f aca="false">IF('CC Volume'!B56="","",'CC Volume'!B56)</f>
        <v/>
      </c>
      <c r="C56" s="13" t="str">
        <f aca="false">IF('CC Volume'!C56="","",'CC Volume'!C56)</f>
        <v/>
      </c>
      <c r="D56" s="13" t="str">
        <f aca="false">IF('CC Volume'!D56="","",'CC Volume'!D56)</f>
        <v/>
      </c>
      <c r="E56" s="68" t="str">
        <f aca="false">IF('CC Volume'!E56="","",'CC Volume'!E56)</f>
        <v/>
      </c>
      <c r="F56" s="68" t="str">
        <f aca="false">IF('CC Volume'!F56="","",'CC Volume'!F56)</f>
        <v/>
      </c>
      <c r="G56" s="69" t="str">
        <f aca="false">'CC Volume'!AN56</f>
        <v/>
      </c>
      <c r="H56" s="69" t="str">
        <f aca="false">'CC Volume'!AO56</f>
        <v/>
      </c>
      <c r="I56" s="69" t="str">
        <f aca="false">'CC Volume'!AM56</f>
        <v/>
      </c>
      <c r="J56" s="62" t="str">
        <f aca="false">IF(N(H56)=0,"",IFERROR(INDEX(CC_RegRate,MATCH(F56,CC_RegU,0)),0))</f>
        <v/>
      </c>
      <c r="K56" s="62" t="n">
        <f aca="false">N(H56)*N(J56)</f>
        <v>0</v>
      </c>
      <c r="L56" s="62" t="n">
        <f aca="false">IF(CC_IncWaste="Yes",N(I56)*N(XWaste),0)</f>
        <v>0</v>
      </c>
      <c r="M56" s="65" t="n">
        <f aca="false">IF(N(G56)=0,0,IF(CC_AllocBasis="Equipment count",1,IF(CC_AllocBasis="Equipment volume",N(G56),N(H56))))</f>
        <v>0</v>
      </c>
      <c r="N56" s="15" t="n">
        <f aca="false">IF(SUM(CC_P_M)=0,0,M56/SUM(CC_P_M))</f>
        <v>0</v>
      </c>
      <c r="O56" s="62" t="n">
        <f aca="false">N56*CC_SharedCost</f>
        <v>0</v>
      </c>
      <c r="P56" s="63" t="n">
        <f aca="false">K56+L56+O56</f>
        <v>0</v>
      </c>
      <c r="Q56" s="62" t="n">
        <f aca="false">K56*(1+INDEX(MkMatrix,3,3))</f>
        <v>0</v>
      </c>
      <c r="R56" s="62" t="n">
        <f aca="false">L56*(1+INDEX(MkMatrix,3,3))</f>
        <v>0</v>
      </c>
      <c r="S56" s="62" t="n">
        <f aca="false">N56*CC_SharedSell</f>
        <v>0</v>
      </c>
      <c r="T56" s="62" t="n">
        <f aca="false">P56*N(QCont)</f>
        <v>0</v>
      </c>
      <c r="U56" s="62" t="n">
        <f aca="false">Q56+R56+S56+T56</f>
        <v>0</v>
      </c>
      <c r="V56" s="62" t="n">
        <f aca="false">-U56*N(QDisc)</f>
        <v>-0</v>
      </c>
      <c r="W56" s="63" t="n">
        <f aca="false">U56+V56</f>
        <v>0</v>
      </c>
      <c r="X56" s="63" t="n">
        <f aca="false">W56/QRate</f>
        <v>0</v>
      </c>
      <c r="Y56" s="0" t="n">
        <v>2</v>
      </c>
    </row>
    <row r="57" customFormat="false" ht="15" hidden="false" customHeight="false" outlineLevel="0" collapsed="false">
      <c r="A57" s="68" t="n">
        <f aca="false">'CC Volume'!A57</f>
        <v>15</v>
      </c>
      <c r="B57" s="13" t="str">
        <f aca="false">IF('CC Volume'!B57="","",'CC Volume'!B57)</f>
        <v/>
      </c>
      <c r="C57" s="13" t="str">
        <f aca="false">IF('CC Volume'!C57="","",'CC Volume'!C57)</f>
        <v/>
      </c>
      <c r="D57" s="13" t="str">
        <f aca="false">IF('CC Volume'!D57="","",'CC Volume'!D57)</f>
        <v/>
      </c>
      <c r="E57" s="68" t="str">
        <f aca="false">IF('CC Volume'!E57="","",'CC Volume'!E57)</f>
        <v/>
      </c>
      <c r="F57" s="68" t="str">
        <f aca="false">IF('CC Volume'!F57="","",'CC Volume'!F57)</f>
        <v/>
      </c>
      <c r="G57" s="69" t="str">
        <f aca="false">'CC Volume'!AN57</f>
        <v/>
      </c>
      <c r="H57" s="69" t="str">
        <f aca="false">'CC Volume'!AO57</f>
        <v/>
      </c>
      <c r="I57" s="69" t="str">
        <f aca="false">'CC Volume'!AM57</f>
        <v/>
      </c>
      <c r="J57" s="62" t="str">
        <f aca="false">IF(N(H57)=0,"",IFERROR(INDEX(CC_RegRate,MATCH(F57,CC_RegU,0)),0))</f>
        <v/>
      </c>
      <c r="K57" s="62" t="n">
        <f aca="false">N(H57)*N(J57)</f>
        <v>0</v>
      </c>
      <c r="L57" s="62" t="n">
        <f aca="false">IF(CC_IncWaste="Yes",N(I57)*N(XWaste),0)</f>
        <v>0</v>
      </c>
      <c r="M57" s="65" t="n">
        <f aca="false">IF(N(G57)=0,0,IF(CC_AllocBasis="Equipment count",1,IF(CC_AllocBasis="Equipment volume",N(G57),N(H57))))</f>
        <v>0</v>
      </c>
      <c r="N57" s="15" t="n">
        <f aca="false">IF(SUM(CC_P_M)=0,0,M57/SUM(CC_P_M))</f>
        <v>0</v>
      </c>
      <c r="O57" s="62" t="n">
        <f aca="false">N57*CC_SharedCost</f>
        <v>0</v>
      </c>
      <c r="P57" s="63" t="n">
        <f aca="false">K57+L57+O57</f>
        <v>0</v>
      </c>
      <c r="Q57" s="62" t="n">
        <f aca="false">K57*(1+INDEX(MkMatrix,3,3))</f>
        <v>0</v>
      </c>
      <c r="R57" s="62" t="n">
        <f aca="false">L57*(1+INDEX(MkMatrix,3,3))</f>
        <v>0</v>
      </c>
      <c r="S57" s="62" t="n">
        <f aca="false">N57*CC_SharedSell</f>
        <v>0</v>
      </c>
      <c r="T57" s="62" t="n">
        <f aca="false">P57*N(QCont)</f>
        <v>0</v>
      </c>
      <c r="U57" s="62" t="n">
        <f aca="false">Q57+R57+S57+T57</f>
        <v>0</v>
      </c>
      <c r="V57" s="62" t="n">
        <f aca="false">-U57*N(QDisc)</f>
        <v>-0</v>
      </c>
      <c r="W57" s="63" t="n">
        <f aca="false">U57+V57</f>
        <v>0</v>
      </c>
      <c r="X57" s="63" t="n">
        <f aca="false">W57/QRate</f>
        <v>0</v>
      </c>
      <c r="Y57" s="0" t="n">
        <v>2</v>
      </c>
    </row>
    <row r="58" customFormat="false" ht="15" hidden="false" customHeight="false" outlineLevel="0" collapsed="false">
      <c r="A58" s="68" t="n">
        <f aca="false">'CC Volume'!A58</f>
        <v>16</v>
      </c>
      <c r="B58" s="13" t="str">
        <f aca="false">IF('CC Volume'!B58="","",'CC Volume'!B58)</f>
        <v/>
      </c>
      <c r="C58" s="13" t="str">
        <f aca="false">IF('CC Volume'!C58="","",'CC Volume'!C58)</f>
        <v/>
      </c>
      <c r="D58" s="13" t="str">
        <f aca="false">IF('CC Volume'!D58="","",'CC Volume'!D58)</f>
        <v/>
      </c>
      <c r="E58" s="68" t="str">
        <f aca="false">IF('CC Volume'!E58="","",'CC Volume'!E58)</f>
        <v/>
      </c>
      <c r="F58" s="68" t="str">
        <f aca="false">IF('CC Volume'!F58="","",'CC Volume'!F58)</f>
        <v/>
      </c>
      <c r="G58" s="69" t="str">
        <f aca="false">'CC Volume'!AN58</f>
        <v/>
      </c>
      <c r="H58" s="69" t="str">
        <f aca="false">'CC Volume'!AO58</f>
        <v/>
      </c>
      <c r="I58" s="69" t="str">
        <f aca="false">'CC Volume'!AM58</f>
        <v/>
      </c>
      <c r="J58" s="62" t="str">
        <f aca="false">IF(N(H58)=0,"",IFERROR(INDEX(CC_RegRate,MATCH(F58,CC_RegU,0)),0))</f>
        <v/>
      </c>
      <c r="K58" s="62" t="n">
        <f aca="false">N(H58)*N(J58)</f>
        <v>0</v>
      </c>
      <c r="L58" s="62" t="n">
        <f aca="false">IF(CC_IncWaste="Yes",N(I58)*N(XWaste),0)</f>
        <v>0</v>
      </c>
      <c r="M58" s="65" t="n">
        <f aca="false">IF(N(G58)=0,0,IF(CC_AllocBasis="Equipment count",1,IF(CC_AllocBasis="Equipment volume",N(G58),N(H58))))</f>
        <v>0</v>
      </c>
      <c r="N58" s="15" t="n">
        <f aca="false">IF(SUM(CC_P_M)=0,0,M58/SUM(CC_P_M))</f>
        <v>0</v>
      </c>
      <c r="O58" s="62" t="n">
        <f aca="false">N58*CC_SharedCost</f>
        <v>0</v>
      </c>
      <c r="P58" s="63" t="n">
        <f aca="false">K58+L58+O58</f>
        <v>0</v>
      </c>
      <c r="Q58" s="62" t="n">
        <f aca="false">K58*(1+INDEX(MkMatrix,3,3))</f>
        <v>0</v>
      </c>
      <c r="R58" s="62" t="n">
        <f aca="false">L58*(1+INDEX(MkMatrix,3,3))</f>
        <v>0</v>
      </c>
      <c r="S58" s="62" t="n">
        <f aca="false">N58*CC_SharedSell</f>
        <v>0</v>
      </c>
      <c r="T58" s="62" t="n">
        <f aca="false">P58*N(QCont)</f>
        <v>0</v>
      </c>
      <c r="U58" s="62" t="n">
        <f aca="false">Q58+R58+S58+T58</f>
        <v>0</v>
      </c>
      <c r="V58" s="62" t="n">
        <f aca="false">-U58*N(QDisc)</f>
        <v>-0</v>
      </c>
      <c r="W58" s="63" t="n">
        <f aca="false">U58+V58</f>
        <v>0</v>
      </c>
      <c r="X58" s="63" t="n">
        <f aca="false">W58/QRate</f>
        <v>0</v>
      </c>
      <c r="Y58" s="0" t="n">
        <v>2</v>
      </c>
    </row>
    <row r="59" customFormat="false" ht="15" hidden="false" customHeight="false" outlineLevel="0" collapsed="false">
      <c r="A59" s="68" t="n">
        <f aca="false">'CC Volume'!A59</f>
        <v>17</v>
      </c>
      <c r="B59" s="13" t="str">
        <f aca="false">IF('CC Volume'!B59="","",'CC Volume'!B59)</f>
        <v/>
      </c>
      <c r="C59" s="13" t="str">
        <f aca="false">IF('CC Volume'!C59="","",'CC Volume'!C59)</f>
        <v/>
      </c>
      <c r="D59" s="13" t="str">
        <f aca="false">IF('CC Volume'!D59="","",'CC Volume'!D59)</f>
        <v/>
      </c>
      <c r="E59" s="68" t="str">
        <f aca="false">IF('CC Volume'!E59="","",'CC Volume'!E59)</f>
        <v/>
      </c>
      <c r="F59" s="68" t="str">
        <f aca="false">IF('CC Volume'!F59="","",'CC Volume'!F59)</f>
        <v/>
      </c>
      <c r="G59" s="69" t="str">
        <f aca="false">'CC Volume'!AN59</f>
        <v/>
      </c>
      <c r="H59" s="69" t="str">
        <f aca="false">'CC Volume'!AO59</f>
        <v/>
      </c>
      <c r="I59" s="69" t="str">
        <f aca="false">'CC Volume'!AM59</f>
        <v/>
      </c>
      <c r="J59" s="62" t="str">
        <f aca="false">IF(N(H59)=0,"",IFERROR(INDEX(CC_RegRate,MATCH(F59,CC_RegU,0)),0))</f>
        <v/>
      </c>
      <c r="K59" s="62" t="n">
        <f aca="false">N(H59)*N(J59)</f>
        <v>0</v>
      </c>
      <c r="L59" s="62" t="n">
        <f aca="false">IF(CC_IncWaste="Yes",N(I59)*N(XWaste),0)</f>
        <v>0</v>
      </c>
      <c r="M59" s="65" t="n">
        <f aca="false">IF(N(G59)=0,0,IF(CC_AllocBasis="Equipment count",1,IF(CC_AllocBasis="Equipment volume",N(G59),N(H59))))</f>
        <v>0</v>
      </c>
      <c r="N59" s="15" t="n">
        <f aca="false">IF(SUM(CC_P_M)=0,0,M59/SUM(CC_P_M))</f>
        <v>0</v>
      </c>
      <c r="O59" s="62" t="n">
        <f aca="false">N59*CC_SharedCost</f>
        <v>0</v>
      </c>
      <c r="P59" s="63" t="n">
        <f aca="false">K59+L59+O59</f>
        <v>0</v>
      </c>
      <c r="Q59" s="62" t="n">
        <f aca="false">K59*(1+INDEX(MkMatrix,3,3))</f>
        <v>0</v>
      </c>
      <c r="R59" s="62" t="n">
        <f aca="false">L59*(1+INDEX(MkMatrix,3,3))</f>
        <v>0</v>
      </c>
      <c r="S59" s="62" t="n">
        <f aca="false">N59*CC_SharedSell</f>
        <v>0</v>
      </c>
      <c r="T59" s="62" t="n">
        <f aca="false">P59*N(QCont)</f>
        <v>0</v>
      </c>
      <c r="U59" s="62" t="n">
        <f aca="false">Q59+R59+S59+T59</f>
        <v>0</v>
      </c>
      <c r="V59" s="62" t="n">
        <f aca="false">-U59*N(QDisc)</f>
        <v>-0</v>
      </c>
      <c r="W59" s="63" t="n">
        <f aca="false">U59+V59</f>
        <v>0</v>
      </c>
      <c r="X59" s="63" t="n">
        <f aca="false">W59/QRate</f>
        <v>0</v>
      </c>
      <c r="Y59" s="0" t="n">
        <v>2</v>
      </c>
    </row>
    <row r="60" customFormat="false" ht="15" hidden="false" customHeight="false" outlineLevel="0" collapsed="false">
      <c r="A60" s="68" t="n">
        <f aca="false">'CC Volume'!A60</f>
        <v>18</v>
      </c>
      <c r="B60" s="13" t="str">
        <f aca="false">IF('CC Volume'!B60="","",'CC Volume'!B60)</f>
        <v/>
      </c>
      <c r="C60" s="13" t="str">
        <f aca="false">IF('CC Volume'!C60="","",'CC Volume'!C60)</f>
        <v/>
      </c>
      <c r="D60" s="13" t="str">
        <f aca="false">IF('CC Volume'!D60="","",'CC Volume'!D60)</f>
        <v/>
      </c>
      <c r="E60" s="68" t="str">
        <f aca="false">IF('CC Volume'!E60="","",'CC Volume'!E60)</f>
        <v/>
      </c>
      <c r="F60" s="68" t="str">
        <f aca="false">IF('CC Volume'!F60="","",'CC Volume'!F60)</f>
        <v/>
      </c>
      <c r="G60" s="69" t="str">
        <f aca="false">'CC Volume'!AN60</f>
        <v/>
      </c>
      <c r="H60" s="69" t="str">
        <f aca="false">'CC Volume'!AO60</f>
        <v/>
      </c>
      <c r="I60" s="69" t="str">
        <f aca="false">'CC Volume'!AM60</f>
        <v/>
      </c>
      <c r="J60" s="62" t="str">
        <f aca="false">IF(N(H60)=0,"",IFERROR(INDEX(CC_RegRate,MATCH(F60,CC_RegU,0)),0))</f>
        <v/>
      </c>
      <c r="K60" s="62" t="n">
        <f aca="false">N(H60)*N(J60)</f>
        <v>0</v>
      </c>
      <c r="L60" s="62" t="n">
        <f aca="false">IF(CC_IncWaste="Yes",N(I60)*N(XWaste),0)</f>
        <v>0</v>
      </c>
      <c r="M60" s="65" t="n">
        <f aca="false">IF(N(G60)=0,0,IF(CC_AllocBasis="Equipment count",1,IF(CC_AllocBasis="Equipment volume",N(G60),N(H60))))</f>
        <v>0</v>
      </c>
      <c r="N60" s="15" t="n">
        <f aca="false">IF(SUM(CC_P_M)=0,0,M60/SUM(CC_P_M))</f>
        <v>0</v>
      </c>
      <c r="O60" s="62" t="n">
        <f aca="false">N60*CC_SharedCost</f>
        <v>0</v>
      </c>
      <c r="P60" s="63" t="n">
        <f aca="false">K60+L60+O60</f>
        <v>0</v>
      </c>
      <c r="Q60" s="62" t="n">
        <f aca="false">K60*(1+INDEX(MkMatrix,3,3))</f>
        <v>0</v>
      </c>
      <c r="R60" s="62" t="n">
        <f aca="false">L60*(1+INDEX(MkMatrix,3,3))</f>
        <v>0</v>
      </c>
      <c r="S60" s="62" t="n">
        <f aca="false">N60*CC_SharedSell</f>
        <v>0</v>
      </c>
      <c r="T60" s="62" t="n">
        <f aca="false">P60*N(QCont)</f>
        <v>0</v>
      </c>
      <c r="U60" s="62" t="n">
        <f aca="false">Q60+R60+S60+T60</f>
        <v>0</v>
      </c>
      <c r="V60" s="62" t="n">
        <f aca="false">-U60*N(QDisc)</f>
        <v>-0</v>
      </c>
      <c r="W60" s="63" t="n">
        <f aca="false">U60+V60</f>
        <v>0</v>
      </c>
      <c r="X60" s="63" t="n">
        <f aca="false">W60/QRate</f>
        <v>0</v>
      </c>
      <c r="Y60" s="0" t="n">
        <v>2</v>
      </c>
    </row>
    <row r="61" customFormat="false" ht="15" hidden="false" customHeight="false" outlineLevel="0" collapsed="false">
      <c r="A61" s="68" t="n">
        <f aca="false">'CC Volume'!A61</f>
        <v>19</v>
      </c>
      <c r="B61" s="13" t="str">
        <f aca="false">IF('CC Volume'!B61="","",'CC Volume'!B61)</f>
        <v/>
      </c>
      <c r="C61" s="13" t="str">
        <f aca="false">IF('CC Volume'!C61="","",'CC Volume'!C61)</f>
        <v/>
      </c>
      <c r="D61" s="13" t="str">
        <f aca="false">IF('CC Volume'!D61="","",'CC Volume'!D61)</f>
        <v/>
      </c>
      <c r="E61" s="68" t="str">
        <f aca="false">IF('CC Volume'!E61="","",'CC Volume'!E61)</f>
        <v/>
      </c>
      <c r="F61" s="68" t="str">
        <f aca="false">IF('CC Volume'!F61="","",'CC Volume'!F61)</f>
        <v/>
      </c>
      <c r="G61" s="69" t="str">
        <f aca="false">'CC Volume'!AN61</f>
        <v/>
      </c>
      <c r="H61" s="69" t="str">
        <f aca="false">'CC Volume'!AO61</f>
        <v/>
      </c>
      <c r="I61" s="69" t="str">
        <f aca="false">'CC Volume'!AM61</f>
        <v/>
      </c>
      <c r="J61" s="62" t="str">
        <f aca="false">IF(N(H61)=0,"",IFERROR(INDEX(CC_RegRate,MATCH(F61,CC_RegU,0)),0))</f>
        <v/>
      </c>
      <c r="K61" s="62" t="n">
        <f aca="false">N(H61)*N(J61)</f>
        <v>0</v>
      </c>
      <c r="L61" s="62" t="n">
        <f aca="false">IF(CC_IncWaste="Yes",N(I61)*N(XWaste),0)</f>
        <v>0</v>
      </c>
      <c r="M61" s="65" t="n">
        <f aca="false">IF(N(G61)=0,0,IF(CC_AllocBasis="Equipment count",1,IF(CC_AllocBasis="Equipment volume",N(G61),N(H61))))</f>
        <v>0</v>
      </c>
      <c r="N61" s="15" t="n">
        <f aca="false">IF(SUM(CC_P_M)=0,0,M61/SUM(CC_P_M))</f>
        <v>0</v>
      </c>
      <c r="O61" s="62" t="n">
        <f aca="false">N61*CC_SharedCost</f>
        <v>0</v>
      </c>
      <c r="P61" s="63" t="n">
        <f aca="false">K61+L61+O61</f>
        <v>0</v>
      </c>
      <c r="Q61" s="62" t="n">
        <f aca="false">K61*(1+INDEX(MkMatrix,3,3))</f>
        <v>0</v>
      </c>
      <c r="R61" s="62" t="n">
        <f aca="false">L61*(1+INDEX(MkMatrix,3,3))</f>
        <v>0</v>
      </c>
      <c r="S61" s="62" t="n">
        <f aca="false">N61*CC_SharedSell</f>
        <v>0</v>
      </c>
      <c r="T61" s="62" t="n">
        <f aca="false">P61*N(QCont)</f>
        <v>0</v>
      </c>
      <c r="U61" s="62" t="n">
        <f aca="false">Q61+R61+S61+T61</f>
        <v>0</v>
      </c>
      <c r="V61" s="62" t="n">
        <f aca="false">-U61*N(QDisc)</f>
        <v>-0</v>
      </c>
      <c r="W61" s="63" t="n">
        <f aca="false">U61+V61</f>
        <v>0</v>
      </c>
      <c r="X61" s="63" t="n">
        <f aca="false">W61/QRate</f>
        <v>0</v>
      </c>
      <c r="Y61" s="0" t="n">
        <v>2</v>
      </c>
    </row>
    <row r="62" customFormat="false" ht="15" hidden="false" customHeight="false" outlineLevel="0" collapsed="false">
      <c r="A62" s="68" t="n">
        <f aca="false">'CC Volume'!A62</f>
        <v>20</v>
      </c>
      <c r="B62" s="13" t="str">
        <f aca="false">IF('CC Volume'!B62="","",'CC Volume'!B62)</f>
        <v/>
      </c>
      <c r="C62" s="13" t="str">
        <f aca="false">IF('CC Volume'!C62="","",'CC Volume'!C62)</f>
        <v/>
      </c>
      <c r="D62" s="13" t="str">
        <f aca="false">IF('CC Volume'!D62="","",'CC Volume'!D62)</f>
        <v/>
      </c>
      <c r="E62" s="68" t="str">
        <f aca="false">IF('CC Volume'!E62="","",'CC Volume'!E62)</f>
        <v/>
      </c>
      <c r="F62" s="68" t="str">
        <f aca="false">IF('CC Volume'!F62="","",'CC Volume'!F62)</f>
        <v/>
      </c>
      <c r="G62" s="69" t="str">
        <f aca="false">'CC Volume'!AN62</f>
        <v/>
      </c>
      <c r="H62" s="69" t="str">
        <f aca="false">'CC Volume'!AO62</f>
        <v/>
      </c>
      <c r="I62" s="69" t="str">
        <f aca="false">'CC Volume'!AM62</f>
        <v/>
      </c>
      <c r="J62" s="62" t="str">
        <f aca="false">IF(N(H62)=0,"",IFERROR(INDEX(CC_RegRate,MATCH(F62,CC_RegU,0)),0))</f>
        <v/>
      </c>
      <c r="K62" s="62" t="n">
        <f aca="false">N(H62)*N(J62)</f>
        <v>0</v>
      </c>
      <c r="L62" s="62" t="n">
        <f aca="false">IF(CC_IncWaste="Yes",N(I62)*N(XWaste),0)</f>
        <v>0</v>
      </c>
      <c r="M62" s="65" t="n">
        <f aca="false">IF(N(G62)=0,0,IF(CC_AllocBasis="Equipment count",1,IF(CC_AllocBasis="Equipment volume",N(G62),N(H62))))</f>
        <v>0</v>
      </c>
      <c r="N62" s="15" t="n">
        <f aca="false">IF(SUM(CC_P_M)=0,0,M62/SUM(CC_P_M))</f>
        <v>0</v>
      </c>
      <c r="O62" s="62" t="n">
        <f aca="false">N62*CC_SharedCost</f>
        <v>0</v>
      </c>
      <c r="P62" s="63" t="n">
        <f aca="false">K62+L62+O62</f>
        <v>0</v>
      </c>
      <c r="Q62" s="62" t="n">
        <f aca="false">K62*(1+INDEX(MkMatrix,3,3))</f>
        <v>0</v>
      </c>
      <c r="R62" s="62" t="n">
        <f aca="false">L62*(1+INDEX(MkMatrix,3,3))</f>
        <v>0</v>
      </c>
      <c r="S62" s="62" t="n">
        <f aca="false">N62*CC_SharedSell</f>
        <v>0</v>
      </c>
      <c r="T62" s="62" t="n">
        <f aca="false">P62*N(QCont)</f>
        <v>0</v>
      </c>
      <c r="U62" s="62" t="n">
        <f aca="false">Q62+R62+S62+T62</f>
        <v>0</v>
      </c>
      <c r="V62" s="62" t="n">
        <f aca="false">-U62*N(QDisc)</f>
        <v>-0</v>
      </c>
      <c r="W62" s="63" t="n">
        <f aca="false">U62+V62</f>
        <v>0</v>
      </c>
      <c r="X62" s="63" t="n">
        <f aca="false">W62/QRate</f>
        <v>0</v>
      </c>
      <c r="Y62" s="0" t="n">
        <v>2</v>
      </c>
    </row>
    <row r="63" customFormat="false" ht="15" hidden="false" customHeight="false" outlineLevel="0" collapsed="false">
      <c r="A63" s="68" t="n">
        <f aca="false">'CC Volume'!A63</f>
        <v>21</v>
      </c>
      <c r="B63" s="13" t="str">
        <f aca="false">IF('CC Volume'!B63="","",'CC Volume'!B63)</f>
        <v/>
      </c>
      <c r="C63" s="13" t="str">
        <f aca="false">IF('CC Volume'!C63="","",'CC Volume'!C63)</f>
        <v/>
      </c>
      <c r="D63" s="13" t="str">
        <f aca="false">IF('CC Volume'!D63="","",'CC Volume'!D63)</f>
        <v/>
      </c>
      <c r="E63" s="68" t="str">
        <f aca="false">IF('CC Volume'!E63="","",'CC Volume'!E63)</f>
        <v/>
      </c>
      <c r="F63" s="68" t="str">
        <f aca="false">IF('CC Volume'!F63="","",'CC Volume'!F63)</f>
        <v/>
      </c>
      <c r="G63" s="69" t="str">
        <f aca="false">'CC Volume'!AN63</f>
        <v/>
      </c>
      <c r="H63" s="69" t="str">
        <f aca="false">'CC Volume'!AO63</f>
        <v/>
      </c>
      <c r="I63" s="69" t="str">
        <f aca="false">'CC Volume'!AM63</f>
        <v/>
      </c>
      <c r="J63" s="62" t="str">
        <f aca="false">IF(N(H63)=0,"",IFERROR(INDEX(CC_RegRate,MATCH(F63,CC_RegU,0)),0))</f>
        <v/>
      </c>
      <c r="K63" s="62" t="n">
        <f aca="false">N(H63)*N(J63)</f>
        <v>0</v>
      </c>
      <c r="L63" s="62" t="n">
        <f aca="false">IF(CC_IncWaste="Yes",N(I63)*N(XWaste),0)</f>
        <v>0</v>
      </c>
      <c r="M63" s="65" t="n">
        <f aca="false">IF(N(G63)=0,0,IF(CC_AllocBasis="Equipment count",1,IF(CC_AllocBasis="Equipment volume",N(G63),N(H63))))</f>
        <v>0</v>
      </c>
      <c r="N63" s="15" t="n">
        <f aca="false">IF(SUM(CC_P_M)=0,0,M63/SUM(CC_P_M))</f>
        <v>0</v>
      </c>
      <c r="O63" s="62" t="n">
        <f aca="false">N63*CC_SharedCost</f>
        <v>0</v>
      </c>
      <c r="P63" s="63" t="n">
        <f aca="false">K63+L63+O63</f>
        <v>0</v>
      </c>
      <c r="Q63" s="62" t="n">
        <f aca="false">K63*(1+INDEX(MkMatrix,3,3))</f>
        <v>0</v>
      </c>
      <c r="R63" s="62" t="n">
        <f aca="false">L63*(1+INDEX(MkMatrix,3,3))</f>
        <v>0</v>
      </c>
      <c r="S63" s="62" t="n">
        <f aca="false">N63*CC_SharedSell</f>
        <v>0</v>
      </c>
      <c r="T63" s="62" t="n">
        <f aca="false">P63*N(QCont)</f>
        <v>0</v>
      </c>
      <c r="U63" s="62" t="n">
        <f aca="false">Q63+R63+S63+T63</f>
        <v>0</v>
      </c>
      <c r="V63" s="62" t="n">
        <f aca="false">-U63*N(QDisc)</f>
        <v>-0</v>
      </c>
      <c r="W63" s="63" t="n">
        <f aca="false">U63+V63</f>
        <v>0</v>
      </c>
      <c r="X63" s="63" t="n">
        <f aca="false">W63/QRate</f>
        <v>0</v>
      </c>
      <c r="Y63" s="0" t="n">
        <v>2</v>
      </c>
    </row>
    <row r="64" customFormat="false" ht="15" hidden="false" customHeight="false" outlineLevel="0" collapsed="false">
      <c r="A64" s="68" t="n">
        <f aca="false">'CC Volume'!A64</f>
        <v>22</v>
      </c>
      <c r="B64" s="13" t="str">
        <f aca="false">IF('CC Volume'!B64="","",'CC Volume'!B64)</f>
        <v/>
      </c>
      <c r="C64" s="13" t="str">
        <f aca="false">IF('CC Volume'!C64="","",'CC Volume'!C64)</f>
        <v/>
      </c>
      <c r="D64" s="13" t="str">
        <f aca="false">IF('CC Volume'!D64="","",'CC Volume'!D64)</f>
        <v/>
      </c>
      <c r="E64" s="68" t="str">
        <f aca="false">IF('CC Volume'!E64="","",'CC Volume'!E64)</f>
        <v/>
      </c>
      <c r="F64" s="68" t="str">
        <f aca="false">IF('CC Volume'!F64="","",'CC Volume'!F64)</f>
        <v/>
      </c>
      <c r="G64" s="69" t="str">
        <f aca="false">'CC Volume'!AN64</f>
        <v/>
      </c>
      <c r="H64" s="69" t="str">
        <f aca="false">'CC Volume'!AO64</f>
        <v/>
      </c>
      <c r="I64" s="69" t="str">
        <f aca="false">'CC Volume'!AM64</f>
        <v/>
      </c>
      <c r="J64" s="62" t="str">
        <f aca="false">IF(N(H64)=0,"",IFERROR(INDEX(CC_RegRate,MATCH(F64,CC_RegU,0)),0))</f>
        <v/>
      </c>
      <c r="K64" s="62" t="n">
        <f aca="false">N(H64)*N(J64)</f>
        <v>0</v>
      </c>
      <c r="L64" s="62" t="n">
        <f aca="false">IF(CC_IncWaste="Yes",N(I64)*N(XWaste),0)</f>
        <v>0</v>
      </c>
      <c r="M64" s="65" t="n">
        <f aca="false">IF(N(G64)=0,0,IF(CC_AllocBasis="Equipment count",1,IF(CC_AllocBasis="Equipment volume",N(G64),N(H64))))</f>
        <v>0</v>
      </c>
      <c r="N64" s="15" t="n">
        <f aca="false">IF(SUM(CC_P_M)=0,0,M64/SUM(CC_P_M))</f>
        <v>0</v>
      </c>
      <c r="O64" s="62" t="n">
        <f aca="false">N64*CC_SharedCost</f>
        <v>0</v>
      </c>
      <c r="P64" s="63" t="n">
        <f aca="false">K64+L64+O64</f>
        <v>0</v>
      </c>
      <c r="Q64" s="62" t="n">
        <f aca="false">K64*(1+INDEX(MkMatrix,3,3))</f>
        <v>0</v>
      </c>
      <c r="R64" s="62" t="n">
        <f aca="false">L64*(1+INDEX(MkMatrix,3,3))</f>
        <v>0</v>
      </c>
      <c r="S64" s="62" t="n">
        <f aca="false">N64*CC_SharedSell</f>
        <v>0</v>
      </c>
      <c r="T64" s="62" t="n">
        <f aca="false">P64*N(QCont)</f>
        <v>0</v>
      </c>
      <c r="U64" s="62" t="n">
        <f aca="false">Q64+R64+S64+T64</f>
        <v>0</v>
      </c>
      <c r="V64" s="62" t="n">
        <f aca="false">-U64*N(QDisc)</f>
        <v>-0</v>
      </c>
      <c r="W64" s="63" t="n">
        <f aca="false">U64+V64</f>
        <v>0</v>
      </c>
      <c r="X64" s="63" t="n">
        <f aca="false">W64/QRate</f>
        <v>0</v>
      </c>
      <c r="Y64" s="0" t="n">
        <v>2</v>
      </c>
    </row>
    <row r="65" customFormat="false" ht="15" hidden="false" customHeight="false" outlineLevel="0" collapsed="false">
      <c r="A65" s="68" t="n">
        <f aca="false">'CC Volume'!A65</f>
        <v>23</v>
      </c>
      <c r="B65" s="13" t="str">
        <f aca="false">IF('CC Volume'!B65="","",'CC Volume'!B65)</f>
        <v/>
      </c>
      <c r="C65" s="13" t="str">
        <f aca="false">IF('CC Volume'!C65="","",'CC Volume'!C65)</f>
        <v/>
      </c>
      <c r="D65" s="13" t="str">
        <f aca="false">IF('CC Volume'!D65="","",'CC Volume'!D65)</f>
        <v/>
      </c>
      <c r="E65" s="68" t="str">
        <f aca="false">IF('CC Volume'!E65="","",'CC Volume'!E65)</f>
        <v/>
      </c>
      <c r="F65" s="68" t="str">
        <f aca="false">IF('CC Volume'!F65="","",'CC Volume'!F65)</f>
        <v/>
      </c>
      <c r="G65" s="69" t="str">
        <f aca="false">'CC Volume'!AN65</f>
        <v/>
      </c>
      <c r="H65" s="69" t="str">
        <f aca="false">'CC Volume'!AO65</f>
        <v/>
      </c>
      <c r="I65" s="69" t="str">
        <f aca="false">'CC Volume'!AM65</f>
        <v/>
      </c>
      <c r="J65" s="62" t="str">
        <f aca="false">IF(N(H65)=0,"",IFERROR(INDEX(CC_RegRate,MATCH(F65,CC_RegU,0)),0))</f>
        <v/>
      </c>
      <c r="K65" s="62" t="n">
        <f aca="false">N(H65)*N(J65)</f>
        <v>0</v>
      </c>
      <c r="L65" s="62" t="n">
        <f aca="false">IF(CC_IncWaste="Yes",N(I65)*N(XWaste),0)</f>
        <v>0</v>
      </c>
      <c r="M65" s="65" t="n">
        <f aca="false">IF(N(G65)=0,0,IF(CC_AllocBasis="Equipment count",1,IF(CC_AllocBasis="Equipment volume",N(G65),N(H65))))</f>
        <v>0</v>
      </c>
      <c r="N65" s="15" t="n">
        <f aca="false">IF(SUM(CC_P_M)=0,0,M65/SUM(CC_P_M))</f>
        <v>0</v>
      </c>
      <c r="O65" s="62" t="n">
        <f aca="false">N65*CC_SharedCost</f>
        <v>0</v>
      </c>
      <c r="P65" s="63" t="n">
        <f aca="false">K65+L65+O65</f>
        <v>0</v>
      </c>
      <c r="Q65" s="62" t="n">
        <f aca="false">K65*(1+INDEX(MkMatrix,3,3))</f>
        <v>0</v>
      </c>
      <c r="R65" s="62" t="n">
        <f aca="false">L65*(1+INDEX(MkMatrix,3,3))</f>
        <v>0</v>
      </c>
      <c r="S65" s="62" t="n">
        <f aca="false">N65*CC_SharedSell</f>
        <v>0</v>
      </c>
      <c r="T65" s="62" t="n">
        <f aca="false">P65*N(QCont)</f>
        <v>0</v>
      </c>
      <c r="U65" s="62" t="n">
        <f aca="false">Q65+R65+S65+T65</f>
        <v>0</v>
      </c>
      <c r="V65" s="62" t="n">
        <f aca="false">-U65*N(QDisc)</f>
        <v>-0</v>
      </c>
      <c r="W65" s="63" t="n">
        <f aca="false">U65+V65</f>
        <v>0</v>
      </c>
      <c r="X65" s="63" t="n">
        <f aca="false">W65/QRate</f>
        <v>0</v>
      </c>
      <c r="Y65" s="0" t="n">
        <v>2</v>
      </c>
    </row>
    <row r="66" customFormat="false" ht="15" hidden="false" customHeight="false" outlineLevel="0" collapsed="false">
      <c r="A66" s="68" t="n">
        <f aca="false">'CC Volume'!A66</f>
        <v>24</v>
      </c>
      <c r="B66" s="13" t="str">
        <f aca="false">IF('CC Volume'!B66="","",'CC Volume'!B66)</f>
        <v/>
      </c>
      <c r="C66" s="13" t="str">
        <f aca="false">IF('CC Volume'!C66="","",'CC Volume'!C66)</f>
        <v/>
      </c>
      <c r="D66" s="13" t="str">
        <f aca="false">IF('CC Volume'!D66="","",'CC Volume'!D66)</f>
        <v/>
      </c>
      <c r="E66" s="68" t="str">
        <f aca="false">IF('CC Volume'!E66="","",'CC Volume'!E66)</f>
        <v/>
      </c>
      <c r="F66" s="68" t="str">
        <f aca="false">IF('CC Volume'!F66="","",'CC Volume'!F66)</f>
        <v/>
      </c>
      <c r="G66" s="69" t="str">
        <f aca="false">'CC Volume'!AN66</f>
        <v/>
      </c>
      <c r="H66" s="69" t="str">
        <f aca="false">'CC Volume'!AO66</f>
        <v/>
      </c>
      <c r="I66" s="69" t="str">
        <f aca="false">'CC Volume'!AM66</f>
        <v/>
      </c>
      <c r="J66" s="62" t="str">
        <f aca="false">IF(N(H66)=0,"",IFERROR(INDEX(CC_RegRate,MATCH(F66,CC_RegU,0)),0))</f>
        <v/>
      </c>
      <c r="K66" s="62" t="n">
        <f aca="false">N(H66)*N(J66)</f>
        <v>0</v>
      </c>
      <c r="L66" s="62" t="n">
        <f aca="false">IF(CC_IncWaste="Yes",N(I66)*N(XWaste),0)</f>
        <v>0</v>
      </c>
      <c r="M66" s="65" t="n">
        <f aca="false">IF(N(G66)=0,0,IF(CC_AllocBasis="Equipment count",1,IF(CC_AllocBasis="Equipment volume",N(G66),N(H66))))</f>
        <v>0</v>
      </c>
      <c r="N66" s="15" t="n">
        <f aca="false">IF(SUM(CC_P_M)=0,0,M66/SUM(CC_P_M))</f>
        <v>0</v>
      </c>
      <c r="O66" s="62" t="n">
        <f aca="false">N66*CC_SharedCost</f>
        <v>0</v>
      </c>
      <c r="P66" s="63" t="n">
        <f aca="false">K66+L66+O66</f>
        <v>0</v>
      </c>
      <c r="Q66" s="62" t="n">
        <f aca="false">K66*(1+INDEX(MkMatrix,3,3))</f>
        <v>0</v>
      </c>
      <c r="R66" s="62" t="n">
        <f aca="false">L66*(1+INDEX(MkMatrix,3,3))</f>
        <v>0</v>
      </c>
      <c r="S66" s="62" t="n">
        <f aca="false">N66*CC_SharedSell</f>
        <v>0</v>
      </c>
      <c r="T66" s="62" t="n">
        <f aca="false">P66*N(QCont)</f>
        <v>0</v>
      </c>
      <c r="U66" s="62" t="n">
        <f aca="false">Q66+R66+S66+T66</f>
        <v>0</v>
      </c>
      <c r="V66" s="62" t="n">
        <f aca="false">-U66*N(QDisc)</f>
        <v>-0</v>
      </c>
      <c r="W66" s="63" t="n">
        <f aca="false">U66+V66</f>
        <v>0</v>
      </c>
      <c r="X66" s="63" t="n">
        <f aca="false">W66/QRate</f>
        <v>0</v>
      </c>
      <c r="Y66" s="0" t="n">
        <v>2</v>
      </c>
    </row>
    <row r="67" customFormat="false" ht="15" hidden="false" customHeight="false" outlineLevel="0" collapsed="false">
      <c r="A67" s="68" t="n">
        <f aca="false">'CC Volume'!A67</f>
        <v>25</v>
      </c>
      <c r="B67" s="13" t="str">
        <f aca="false">IF('CC Volume'!B67="","",'CC Volume'!B67)</f>
        <v/>
      </c>
      <c r="C67" s="13" t="str">
        <f aca="false">IF('CC Volume'!C67="","",'CC Volume'!C67)</f>
        <v/>
      </c>
      <c r="D67" s="13" t="str">
        <f aca="false">IF('CC Volume'!D67="","",'CC Volume'!D67)</f>
        <v/>
      </c>
      <c r="E67" s="68" t="str">
        <f aca="false">IF('CC Volume'!E67="","",'CC Volume'!E67)</f>
        <v/>
      </c>
      <c r="F67" s="68" t="str">
        <f aca="false">IF('CC Volume'!F67="","",'CC Volume'!F67)</f>
        <v/>
      </c>
      <c r="G67" s="69" t="str">
        <f aca="false">'CC Volume'!AN67</f>
        <v/>
      </c>
      <c r="H67" s="69" t="str">
        <f aca="false">'CC Volume'!AO67</f>
        <v/>
      </c>
      <c r="I67" s="69" t="str">
        <f aca="false">'CC Volume'!AM67</f>
        <v/>
      </c>
      <c r="J67" s="62" t="str">
        <f aca="false">IF(N(H67)=0,"",IFERROR(INDEX(CC_RegRate,MATCH(F67,CC_RegU,0)),0))</f>
        <v/>
      </c>
      <c r="K67" s="62" t="n">
        <f aca="false">N(H67)*N(J67)</f>
        <v>0</v>
      </c>
      <c r="L67" s="62" t="n">
        <f aca="false">IF(CC_IncWaste="Yes",N(I67)*N(XWaste),0)</f>
        <v>0</v>
      </c>
      <c r="M67" s="65" t="n">
        <f aca="false">IF(N(G67)=0,0,IF(CC_AllocBasis="Equipment count",1,IF(CC_AllocBasis="Equipment volume",N(G67),N(H67))))</f>
        <v>0</v>
      </c>
      <c r="N67" s="15" t="n">
        <f aca="false">IF(SUM(CC_P_M)=0,0,M67/SUM(CC_P_M))</f>
        <v>0</v>
      </c>
      <c r="O67" s="62" t="n">
        <f aca="false">N67*CC_SharedCost</f>
        <v>0</v>
      </c>
      <c r="P67" s="63" t="n">
        <f aca="false">K67+L67+O67</f>
        <v>0</v>
      </c>
      <c r="Q67" s="62" t="n">
        <f aca="false">K67*(1+INDEX(MkMatrix,3,3))</f>
        <v>0</v>
      </c>
      <c r="R67" s="62" t="n">
        <f aca="false">L67*(1+INDEX(MkMatrix,3,3))</f>
        <v>0</v>
      </c>
      <c r="S67" s="62" t="n">
        <f aca="false">N67*CC_SharedSell</f>
        <v>0</v>
      </c>
      <c r="T67" s="62" t="n">
        <f aca="false">P67*N(QCont)</f>
        <v>0</v>
      </c>
      <c r="U67" s="62" t="n">
        <f aca="false">Q67+R67+S67+T67</f>
        <v>0</v>
      </c>
      <c r="V67" s="62" t="n">
        <f aca="false">-U67*N(QDisc)</f>
        <v>-0</v>
      </c>
      <c r="W67" s="63" t="n">
        <f aca="false">U67+V67</f>
        <v>0</v>
      </c>
      <c r="X67" s="63" t="n">
        <f aca="false">W67/QRate</f>
        <v>0</v>
      </c>
      <c r="Y67" s="0" t="n">
        <v>2</v>
      </c>
    </row>
    <row r="68" customFormat="false" ht="15" hidden="false" customHeight="false" outlineLevel="0" collapsed="false">
      <c r="A68" s="68" t="n">
        <f aca="false">'CC Volume'!A68</f>
        <v>26</v>
      </c>
      <c r="B68" s="13" t="str">
        <f aca="false">IF('CC Volume'!B68="","",'CC Volume'!B68)</f>
        <v/>
      </c>
      <c r="C68" s="13" t="str">
        <f aca="false">IF('CC Volume'!C68="","",'CC Volume'!C68)</f>
        <v/>
      </c>
      <c r="D68" s="13" t="str">
        <f aca="false">IF('CC Volume'!D68="","",'CC Volume'!D68)</f>
        <v/>
      </c>
      <c r="E68" s="68" t="str">
        <f aca="false">IF('CC Volume'!E68="","",'CC Volume'!E68)</f>
        <v/>
      </c>
      <c r="F68" s="68" t="str">
        <f aca="false">IF('CC Volume'!F68="","",'CC Volume'!F68)</f>
        <v/>
      </c>
      <c r="G68" s="69" t="str">
        <f aca="false">'CC Volume'!AN68</f>
        <v/>
      </c>
      <c r="H68" s="69" t="str">
        <f aca="false">'CC Volume'!AO68</f>
        <v/>
      </c>
      <c r="I68" s="69" t="str">
        <f aca="false">'CC Volume'!AM68</f>
        <v/>
      </c>
      <c r="J68" s="62" t="str">
        <f aca="false">IF(N(H68)=0,"",IFERROR(INDEX(CC_RegRate,MATCH(F68,CC_RegU,0)),0))</f>
        <v/>
      </c>
      <c r="K68" s="62" t="n">
        <f aca="false">N(H68)*N(J68)</f>
        <v>0</v>
      </c>
      <c r="L68" s="62" t="n">
        <f aca="false">IF(CC_IncWaste="Yes",N(I68)*N(XWaste),0)</f>
        <v>0</v>
      </c>
      <c r="M68" s="65" t="n">
        <f aca="false">IF(N(G68)=0,0,IF(CC_AllocBasis="Equipment count",1,IF(CC_AllocBasis="Equipment volume",N(G68),N(H68))))</f>
        <v>0</v>
      </c>
      <c r="N68" s="15" t="n">
        <f aca="false">IF(SUM(CC_P_M)=0,0,M68/SUM(CC_P_M))</f>
        <v>0</v>
      </c>
      <c r="O68" s="62" t="n">
        <f aca="false">N68*CC_SharedCost</f>
        <v>0</v>
      </c>
      <c r="P68" s="63" t="n">
        <f aca="false">K68+L68+O68</f>
        <v>0</v>
      </c>
      <c r="Q68" s="62" t="n">
        <f aca="false">K68*(1+INDEX(MkMatrix,3,3))</f>
        <v>0</v>
      </c>
      <c r="R68" s="62" t="n">
        <f aca="false">L68*(1+INDEX(MkMatrix,3,3))</f>
        <v>0</v>
      </c>
      <c r="S68" s="62" t="n">
        <f aca="false">N68*CC_SharedSell</f>
        <v>0</v>
      </c>
      <c r="T68" s="62" t="n">
        <f aca="false">P68*N(QCont)</f>
        <v>0</v>
      </c>
      <c r="U68" s="62" t="n">
        <f aca="false">Q68+R68+S68+T68</f>
        <v>0</v>
      </c>
      <c r="V68" s="62" t="n">
        <f aca="false">-U68*N(QDisc)</f>
        <v>-0</v>
      </c>
      <c r="W68" s="63" t="n">
        <f aca="false">U68+V68</f>
        <v>0</v>
      </c>
      <c r="X68" s="63" t="n">
        <f aca="false">W68/QRate</f>
        <v>0</v>
      </c>
      <c r="Y68" s="0" t="n">
        <v>2</v>
      </c>
    </row>
    <row r="69" customFormat="false" ht="15" hidden="false" customHeight="false" outlineLevel="0" collapsed="false">
      <c r="A69" s="68" t="n">
        <f aca="false">'CC Volume'!A69</f>
        <v>27</v>
      </c>
      <c r="B69" s="13" t="str">
        <f aca="false">IF('CC Volume'!B69="","",'CC Volume'!B69)</f>
        <v/>
      </c>
      <c r="C69" s="13" t="str">
        <f aca="false">IF('CC Volume'!C69="","",'CC Volume'!C69)</f>
        <v/>
      </c>
      <c r="D69" s="13" t="str">
        <f aca="false">IF('CC Volume'!D69="","",'CC Volume'!D69)</f>
        <v/>
      </c>
      <c r="E69" s="68" t="str">
        <f aca="false">IF('CC Volume'!E69="","",'CC Volume'!E69)</f>
        <v/>
      </c>
      <c r="F69" s="68" t="str">
        <f aca="false">IF('CC Volume'!F69="","",'CC Volume'!F69)</f>
        <v/>
      </c>
      <c r="G69" s="69" t="str">
        <f aca="false">'CC Volume'!AN69</f>
        <v/>
      </c>
      <c r="H69" s="69" t="str">
        <f aca="false">'CC Volume'!AO69</f>
        <v/>
      </c>
      <c r="I69" s="69" t="str">
        <f aca="false">'CC Volume'!AM69</f>
        <v/>
      </c>
      <c r="J69" s="62" t="str">
        <f aca="false">IF(N(H69)=0,"",IFERROR(INDEX(CC_RegRate,MATCH(F69,CC_RegU,0)),0))</f>
        <v/>
      </c>
      <c r="K69" s="62" t="n">
        <f aca="false">N(H69)*N(J69)</f>
        <v>0</v>
      </c>
      <c r="L69" s="62" t="n">
        <f aca="false">IF(CC_IncWaste="Yes",N(I69)*N(XWaste),0)</f>
        <v>0</v>
      </c>
      <c r="M69" s="65" t="n">
        <f aca="false">IF(N(G69)=0,0,IF(CC_AllocBasis="Equipment count",1,IF(CC_AllocBasis="Equipment volume",N(G69),N(H69))))</f>
        <v>0</v>
      </c>
      <c r="N69" s="15" t="n">
        <f aca="false">IF(SUM(CC_P_M)=0,0,M69/SUM(CC_P_M))</f>
        <v>0</v>
      </c>
      <c r="O69" s="62" t="n">
        <f aca="false">N69*CC_SharedCost</f>
        <v>0</v>
      </c>
      <c r="P69" s="63" t="n">
        <f aca="false">K69+L69+O69</f>
        <v>0</v>
      </c>
      <c r="Q69" s="62" t="n">
        <f aca="false">K69*(1+INDEX(MkMatrix,3,3))</f>
        <v>0</v>
      </c>
      <c r="R69" s="62" t="n">
        <f aca="false">L69*(1+INDEX(MkMatrix,3,3))</f>
        <v>0</v>
      </c>
      <c r="S69" s="62" t="n">
        <f aca="false">N69*CC_SharedSell</f>
        <v>0</v>
      </c>
      <c r="T69" s="62" t="n">
        <f aca="false">P69*N(QCont)</f>
        <v>0</v>
      </c>
      <c r="U69" s="62" t="n">
        <f aca="false">Q69+R69+S69+T69</f>
        <v>0</v>
      </c>
      <c r="V69" s="62" t="n">
        <f aca="false">-U69*N(QDisc)</f>
        <v>-0</v>
      </c>
      <c r="W69" s="63" t="n">
        <f aca="false">U69+V69</f>
        <v>0</v>
      </c>
      <c r="X69" s="63" t="n">
        <f aca="false">W69/QRate</f>
        <v>0</v>
      </c>
      <c r="Y69" s="0" t="n">
        <v>2</v>
      </c>
    </row>
    <row r="70" customFormat="false" ht="15" hidden="false" customHeight="false" outlineLevel="0" collapsed="false">
      <c r="A70" s="68" t="n">
        <f aca="false">'CC Volume'!A70</f>
        <v>28</v>
      </c>
      <c r="B70" s="13" t="str">
        <f aca="false">IF('CC Volume'!B70="","",'CC Volume'!B70)</f>
        <v/>
      </c>
      <c r="C70" s="13" t="str">
        <f aca="false">IF('CC Volume'!C70="","",'CC Volume'!C70)</f>
        <v/>
      </c>
      <c r="D70" s="13" t="str">
        <f aca="false">IF('CC Volume'!D70="","",'CC Volume'!D70)</f>
        <v/>
      </c>
      <c r="E70" s="68" t="str">
        <f aca="false">IF('CC Volume'!E70="","",'CC Volume'!E70)</f>
        <v/>
      </c>
      <c r="F70" s="68" t="str">
        <f aca="false">IF('CC Volume'!F70="","",'CC Volume'!F70)</f>
        <v/>
      </c>
      <c r="G70" s="69" t="str">
        <f aca="false">'CC Volume'!AN70</f>
        <v/>
      </c>
      <c r="H70" s="69" t="str">
        <f aca="false">'CC Volume'!AO70</f>
        <v/>
      </c>
      <c r="I70" s="69" t="str">
        <f aca="false">'CC Volume'!AM70</f>
        <v/>
      </c>
      <c r="J70" s="62" t="str">
        <f aca="false">IF(N(H70)=0,"",IFERROR(INDEX(CC_RegRate,MATCH(F70,CC_RegU,0)),0))</f>
        <v/>
      </c>
      <c r="K70" s="62" t="n">
        <f aca="false">N(H70)*N(J70)</f>
        <v>0</v>
      </c>
      <c r="L70" s="62" t="n">
        <f aca="false">IF(CC_IncWaste="Yes",N(I70)*N(XWaste),0)</f>
        <v>0</v>
      </c>
      <c r="M70" s="65" t="n">
        <f aca="false">IF(N(G70)=0,0,IF(CC_AllocBasis="Equipment count",1,IF(CC_AllocBasis="Equipment volume",N(G70),N(H70))))</f>
        <v>0</v>
      </c>
      <c r="N70" s="15" t="n">
        <f aca="false">IF(SUM(CC_P_M)=0,0,M70/SUM(CC_P_M))</f>
        <v>0</v>
      </c>
      <c r="O70" s="62" t="n">
        <f aca="false">N70*CC_SharedCost</f>
        <v>0</v>
      </c>
      <c r="P70" s="63" t="n">
        <f aca="false">K70+L70+O70</f>
        <v>0</v>
      </c>
      <c r="Q70" s="62" t="n">
        <f aca="false">K70*(1+INDEX(MkMatrix,3,3))</f>
        <v>0</v>
      </c>
      <c r="R70" s="62" t="n">
        <f aca="false">L70*(1+INDEX(MkMatrix,3,3))</f>
        <v>0</v>
      </c>
      <c r="S70" s="62" t="n">
        <f aca="false">N70*CC_SharedSell</f>
        <v>0</v>
      </c>
      <c r="T70" s="62" t="n">
        <f aca="false">P70*N(QCont)</f>
        <v>0</v>
      </c>
      <c r="U70" s="62" t="n">
        <f aca="false">Q70+R70+S70+T70</f>
        <v>0</v>
      </c>
      <c r="V70" s="62" t="n">
        <f aca="false">-U70*N(QDisc)</f>
        <v>-0</v>
      </c>
      <c r="W70" s="63" t="n">
        <f aca="false">U70+V70</f>
        <v>0</v>
      </c>
      <c r="X70" s="63" t="n">
        <f aca="false">W70/QRate</f>
        <v>0</v>
      </c>
      <c r="Y70" s="0" t="n">
        <v>2</v>
      </c>
    </row>
    <row r="71" customFormat="false" ht="15" hidden="false" customHeight="false" outlineLevel="0" collapsed="false">
      <c r="A71" s="68" t="n">
        <f aca="false">'CC Volume'!A71</f>
        <v>29</v>
      </c>
      <c r="B71" s="13" t="str">
        <f aca="false">IF('CC Volume'!B71="","",'CC Volume'!B71)</f>
        <v/>
      </c>
      <c r="C71" s="13" t="str">
        <f aca="false">IF('CC Volume'!C71="","",'CC Volume'!C71)</f>
        <v/>
      </c>
      <c r="D71" s="13" t="str">
        <f aca="false">IF('CC Volume'!D71="","",'CC Volume'!D71)</f>
        <v/>
      </c>
      <c r="E71" s="68" t="str">
        <f aca="false">IF('CC Volume'!E71="","",'CC Volume'!E71)</f>
        <v/>
      </c>
      <c r="F71" s="68" t="str">
        <f aca="false">IF('CC Volume'!F71="","",'CC Volume'!F71)</f>
        <v/>
      </c>
      <c r="G71" s="69" t="str">
        <f aca="false">'CC Volume'!AN71</f>
        <v/>
      </c>
      <c r="H71" s="69" t="str">
        <f aca="false">'CC Volume'!AO71</f>
        <v/>
      </c>
      <c r="I71" s="69" t="str">
        <f aca="false">'CC Volume'!AM71</f>
        <v/>
      </c>
      <c r="J71" s="62" t="str">
        <f aca="false">IF(N(H71)=0,"",IFERROR(INDEX(CC_RegRate,MATCH(F71,CC_RegU,0)),0))</f>
        <v/>
      </c>
      <c r="K71" s="62" t="n">
        <f aca="false">N(H71)*N(J71)</f>
        <v>0</v>
      </c>
      <c r="L71" s="62" t="n">
        <f aca="false">IF(CC_IncWaste="Yes",N(I71)*N(XWaste),0)</f>
        <v>0</v>
      </c>
      <c r="M71" s="65" t="n">
        <f aca="false">IF(N(G71)=0,0,IF(CC_AllocBasis="Equipment count",1,IF(CC_AllocBasis="Equipment volume",N(G71),N(H71))))</f>
        <v>0</v>
      </c>
      <c r="N71" s="15" t="n">
        <f aca="false">IF(SUM(CC_P_M)=0,0,M71/SUM(CC_P_M))</f>
        <v>0</v>
      </c>
      <c r="O71" s="62" t="n">
        <f aca="false">N71*CC_SharedCost</f>
        <v>0</v>
      </c>
      <c r="P71" s="63" t="n">
        <f aca="false">K71+L71+O71</f>
        <v>0</v>
      </c>
      <c r="Q71" s="62" t="n">
        <f aca="false">K71*(1+INDEX(MkMatrix,3,3))</f>
        <v>0</v>
      </c>
      <c r="R71" s="62" t="n">
        <f aca="false">L71*(1+INDEX(MkMatrix,3,3))</f>
        <v>0</v>
      </c>
      <c r="S71" s="62" t="n">
        <f aca="false">N71*CC_SharedSell</f>
        <v>0</v>
      </c>
      <c r="T71" s="62" t="n">
        <f aca="false">P71*N(QCont)</f>
        <v>0</v>
      </c>
      <c r="U71" s="62" t="n">
        <f aca="false">Q71+R71+S71+T71</f>
        <v>0</v>
      </c>
      <c r="V71" s="62" t="n">
        <f aca="false">-U71*N(QDisc)</f>
        <v>-0</v>
      </c>
      <c r="W71" s="63" t="n">
        <f aca="false">U71+V71</f>
        <v>0</v>
      </c>
      <c r="X71" s="63" t="n">
        <f aca="false">W71/QRate</f>
        <v>0</v>
      </c>
      <c r="Y71" s="0" t="n">
        <v>2</v>
      </c>
    </row>
    <row r="72" customFormat="false" ht="15" hidden="false" customHeight="false" outlineLevel="0" collapsed="false">
      <c r="A72" s="68" t="n">
        <f aca="false">'CC Volume'!A72</f>
        <v>30</v>
      </c>
      <c r="B72" s="13" t="str">
        <f aca="false">IF('CC Volume'!B72="","",'CC Volume'!B72)</f>
        <v/>
      </c>
      <c r="C72" s="13" t="str">
        <f aca="false">IF('CC Volume'!C72="","",'CC Volume'!C72)</f>
        <v/>
      </c>
      <c r="D72" s="13" t="str">
        <f aca="false">IF('CC Volume'!D72="","",'CC Volume'!D72)</f>
        <v/>
      </c>
      <c r="E72" s="68" t="str">
        <f aca="false">IF('CC Volume'!E72="","",'CC Volume'!E72)</f>
        <v/>
      </c>
      <c r="F72" s="68" t="str">
        <f aca="false">IF('CC Volume'!F72="","",'CC Volume'!F72)</f>
        <v/>
      </c>
      <c r="G72" s="69" t="str">
        <f aca="false">'CC Volume'!AN72</f>
        <v/>
      </c>
      <c r="H72" s="69" t="str">
        <f aca="false">'CC Volume'!AO72</f>
        <v/>
      </c>
      <c r="I72" s="69" t="str">
        <f aca="false">'CC Volume'!AM72</f>
        <v/>
      </c>
      <c r="J72" s="62" t="str">
        <f aca="false">IF(N(H72)=0,"",IFERROR(INDEX(CC_RegRate,MATCH(F72,CC_RegU,0)),0))</f>
        <v/>
      </c>
      <c r="K72" s="62" t="n">
        <f aca="false">N(H72)*N(J72)</f>
        <v>0</v>
      </c>
      <c r="L72" s="62" t="n">
        <f aca="false">IF(CC_IncWaste="Yes",N(I72)*N(XWaste),0)</f>
        <v>0</v>
      </c>
      <c r="M72" s="65" t="n">
        <f aca="false">IF(N(G72)=0,0,IF(CC_AllocBasis="Equipment count",1,IF(CC_AllocBasis="Equipment volume",N(G72),N(H72))))</f>
        <v>0</v>
      </c>
      <c r="N72" s="15" t="n">
        <f aca="false">IF(SUM(CC_P_M)=0,0,M72/SUM(CC_P_M))</f>
        <v>0</v>
      </c>
      <c r="O72" s="62" t="n">
        <f aca="false">N72*CC_SharedCost</f>
        <v>0</v>
      </c>
      <c r="P72" s="63" t="n">
        <f aca="false">K72+L72+O72</f>
        <v>0</v>
      </c>
      <c r="Q72" s="62" t="n">
        <f aca="false">K72*(1+INDEX(MkMatrix,3,3))</f>
        <v>0</v>
      </c>
      <c r="R72" s="62" t="n">
        <f aca="false">L72*(1+INDEX(MkMatrix,3,3))</f>
        <v>0</v>
      </c>
      <c r="S72" s="62" t="n">
        <f aca="false">N72*CC_SharedSell</f>
        <v>0</v>
      </c>
      <c r="T72" s="62" t="n">
        <f aca="false">P72*N(QCont)</f>
        <v>0</v>
      </c>
      <c r="U72" s="62" t="n">
        <f aca="false">Q72+R72+S72+T72</f>
        <v>0</v>
      </c>
      <c r="V72" s="62" t="n">
        <f aca="false">-U72*N(QDisc)</f>
        <v>-0</v>
      </c>
      <c r="W72" s="63" t="n">
        <f aca="false">U72+V72</f>
        <v>0</v>
      </c>
      <c r="X72" s="63" t="n">
        <f aca="false">W72/QRate</f>
        <v>0</v>
      </c>
      <c r="Y72" s="0" t="n">
        <v>2</v>
      </c>
    </row>
    <row r="73" customFormat="false" ht="15" hidden="false" customHeight="false" outlineLevel="0" collapsed="false">
      <c r="A73" s="44" t="str">
        <f aca="false">"TOTAL – "&amp;INDEX(CC_UnitNames,2)</f>
        <v>TOTAL – Unit 2</v>
      </c>
      <c r="B73" s="44"/>
      <c r="C73" s="44"/>
      <c r="D73" s="44"/>
      <c r="E73" s="44"/>
      <c r="F73" s="44"/>
      <c r="G73" s="47" t="n">
        <f aca="false">SUM(G43:G72)</f>
        <v>0</v>
      </c>
      <c r="H73" s="47" t="n">
        <f aca="false">SUM(H43:H72)</f>
        <v>0</v>
      </c>
      <c r="I73" s="47" t="n">
        <f aca="false">SUM(I43:I72)</f>
        <v>0</v>
      </c>
      <c r="J73" s="45"/>
      <c r="K73" s="70" t="n">
        <f aca="false">SUM(K43:K72)</f>
        <v>0</v>
      </c>
      <c r="L73" s="70" t="n">
        <f aca="false">SUM(L43:L72)</f>
        <v>0</v>
      </c>
      <c r="M73" s="45"/>
      <c r="N73" s="45"/>
      <c r="O73" s="70" t="n">
        <f aca="false">SUM(O43:O72)</f>
        <v>0</v>
      </c>
      <c r="P73" s="70" t="n">
        <f aca="false">SUM(P43:P72)</f>
        <v>0</v>
      </c>
      <c r="Q73" s="70" t="n">
        <f aca="false">SUM(Q43:Q72)</f>
        <v>0</v>
      </c>
      <c r="R73" s="70" t="n">
        <f aca="false">SUM(R43:R72)</f>
        <v>0</v>
      </c>
      <c r="S73" s="70" t="n">
        <f aca="false">SUM(S43:S72)</f>
        <v>0</v>
      </c>
      <c r="T73" s="70" t="n">
        <f aca="false">SUM(T43:T72)</f>
        <v>0</v>
      </c>
      <c r="U73" s="70" t="n">
        <f aca="false">SUM(U43:U72)</f>
        <v>0</v>
      </c>
      <c r="V73" s="70" t="n">
        <f aca="false">SUM(V43:V72)</f>
        <v>0</v>
      </c>
      <c r="W73" s="70" t="n">
        <f aca="false">SUM(W43:W72)</f>
        <v>0</v>
      </c>
      <c r="X73" s="70" t="n">
        <f aca="false">SUM(X43:X72)</f>
        <v>0</v>
      </c>
    </row>
    <row r="75" customFormat="false" ht="15" hidden="false" customHeight="false" outlineLevel="0" collapsed="false">
      <c r="A75" s="38" t="str">
        <f aca="false">"UNIT 3:  "&amp;INDEX(CC_UnitNames,3)</f>
        <v>UNIT 3:  Unit 3</v>
      </c>
      <c r="B75" s="38"/>
      <c r="C75" s="38"/>
      <c r="D75" s="38"/>
      <c r="E75" s="39"/>
      <c r="F75" s="39"/>
      <c r="G75" s="39"/>
      <c r="H75" s="39"/>
      <c r="I75" s="39"/>
      <c r="J75" s="39"/>
      <c r="K75" s="39"/>
      <c r="L75" s="39"/>
      <c r="M75" s="39"/>
      <c r="N75" s="39"/>
      <c r="O75" s="39"/>
      <c r="P75" s="39"/>
      <c r="Q75" s="39"/>
      <c r="R75" s="39"/>
      <c r="S75" s="39"/>
      <c r="T75" s="39"/>
      <c r="U75" s="39"/>
      <c r="V75" s="39"/>
      <c r="W75" s="39"/>
      <c r="X75" s="39"/>
    </row>
    <row r="76" customFormat="false" ht="15" hidden="false" customHeight="false" outlineLevel="0" collapsed="false">
      <c r="A76" s="68" t="n">
        <f aca="false">'CC Volume'!A76</f>
        <v>1</v>
      </c>
      <c r="B76" s="13" t="str">
        <f aca="false">IF('CC Volume'!B76="","",'CC Volume'!B76)</f>
        <v/>
      </c>
      <c r="C76" s="13" t="str">
        <f aca="false">IF('CC Volume'!C76="","",'CC Volume'!C76)</f>
        <v/>
      </c>
      <c r="D76" s="13" t="str">
        <f aca="false">IF('CC Volume'!D76="","",'CC Volume'!D76)</f>
        <v/>
      </c>
      <c r="E76" s="68" t="str">
        <f aca="false">IF('CC Volume'!E76="","",'CC Volume'!E76)</f>
        <v/>
      </c>
      <c r="F76" s="68" t="str">
        <f aca="false">IF('CC Volume'!F76="","",'CC Volume'!F76)</f>
        <v/>
      </c>
      <c r="G76" s="69" t="str">
        <f aca="false">'CC Volume'!AN76</f>
        <v/>
      </c>
      <c r="H76" s="69" t="str">
        <f aca="false">'CC Volume'!AO76</f>
        <v/>
      </c>
      <c r="I76" s="69" t="str">
        <f aca="false">'CC Volume'!AM76</f>
        <v/>
      </c>
      <c r="J76" s="62" t="str">
        <f aca="false">IF(N(H76)=0,"",IFERROR(INDEX(CC_RegRate,MATCH(F76,CC_RegU,0)),0))</f>
        <v/>
      </c>
      <c r="K76" s="62" t="n">
        <f aca="false">N(H76)*N(J76)</f>
        <v>0</v>
      </c>
      <c r="L76" s="62" t="n">
        <f aca="false">IF(CC_IncWaste="Yes",N(I76)*N(XWaste),0)</f>
        <v>0</v>
      </c>
      <c r="M76" s="65" t="n">
        <f aca="false">IF(N(G76)=0,0,IF(CC_AllocBasis="Equipment count",1,IF(CC_AllocBasis="Equipment volume",N(G76),N(H76))))</f>
        <v>0</v>
      </c>
      <c r="N76" s="15" t="n">
        <f aca="false">IF(SUM(CC_P_M)=0,0,M76/SUM(CC_P_M))</f>
        <v>0</v>
      </c>
      <c r="O76" s="62" t="n">
        <f aca="false">N76*CC_SharedCost</f>
        <v>0</v>
      </c>
      <c r="P76" s="63" t="n">
        <f aca="false">K76+L76+O76</f>
        <v>0</v>
      </c>
      <c r="Q76" s="62" t="n">
        <f aca="false">K76*(1+INDEX(MkMatrix,3,3))</f>
        <v>0</v>
      </c>
      <c r="R76" s="62" t="n">
        <f aca="false">L76*(1+INDEX(MkMatrix,3,3))</f>
        <v>0</v>
      </c>
      <c r="S76" s="62" t="n">
        <f aca="false">N76*CC_SharedSell</f>
        <v>0</v>
      </c>
      <c r="T76" s="62" t="n">
        <f aca="false">P76*N(QCont)</f>
        <v>0</v>
      </c>
      <c r="U76" s="62" t="n">
        <f aca="false">Q76+R76+S76+T76</f>
        <v>0</v>
      </c>
      <c r="V76" s="62" t="n">
        <f aca="false">-U76*N(QDisc)</f>
        <v>-0</v>
      </c>
      <c r="W76" s="63" t="n">
        <f aca="false">U76+V76</f>
        <v>0</v>
      </c>
      <c r="X76" s="63" t="n">
        <f aca="false">W76/QRate</f>
        <v>0</v>
      </c>
      <c r="Y76" s="0" t="n">
        <v>3</v>
      </c>
    </row>
    <row r="77" customFormat="false" ht="15" hidden="false" customHeight="false" outlineLevel="0" collapsed="false">
      <c r="A77" s="68" t="n">
        <f aca="false">'CC Volume'!A77</f>
        <v>2</v>
      </c>
      <c r="B77" s="13" t="str">
        <f aca="false">IF('CC Volume'!B77="","",'CC Volume'!B77)</f>
        <v/>
      </c>
      <c r="C77" s="13" t="str">
        <f aca="false">IF('CC Volume'!C77="","",'CC Volume'!C77)</f>
        <v/>
      </c>
      <c r="D77" s="13" t="str">
        <f aca="false">IF('CC Volume'!D77="","",'CC Volume'!D77)</f>
        <v/>
      </c>
      <c r="E77" s="68" t="str">
        <f aca="false">IF('CC Volume'!E77="","",'CC Volume'!E77)</f>
        <v/>
      </c>
      <c r="F77" s="68" t="str">
        <f aca="false">IF('CC Volume'!F77="","",'CC Volume'!F77)</f>
        <v/>
      </c>
      <c r="G77" s="69" t="str">
        <f aca="false">'CC Volume'!AN77</f>
        <v/>
      </c>
      <c r="H77" s="69" t="str">
        <f aca="false">'CC Volume'!AO77</f>
        <v/>
      </c>
      <c r="I77" s="69" t="str">
        <f aca="false">'CC Volume'!AM77</f>
        <v/>
      </c>
      <c r="J77" s="62" t="str">
        <f aca="false">IF(N(H77)=0,"",IFERROR(INDEX(CC_RegRate,MATCH(F77,CC_RegU,0)),0))</f>
        <v/>
      </c>
      <c r="K77" s="62" t="n">
        <f aca="false">N(H77)*N(J77)</f>
        <v>0</v>
      </c>
      <c r="L77" s="62" t="n">
        <f aca="false">IF(CC_IncWaste="Yes",N(I77)*N(XWaste),0)</f>
        <v>0</v>
      </c>
      <c r="M77" s="65" t="n">
        <f aca="false">IF(N(G77)=0,0,IF(CC_AllocBasis="Equipment count",1,IF(CC_AllocBasis="Equipment volume",N(G77),N(H77))))</f>
        <v>0</v>
      </c>
      <c r="N77" s="15" t="n">
        <f aca="false">IF(SUM(CC_P_M)=0,0,M77/SUM(CC_P_M))</f>
        <v>0</v>
      </c>
      <c r="O77" s="62" t="n">
        <f aca="false">N77*CC_SharedCost</f>
        <v>0</v>
      </c>
      <c r="P77" s="63" t="n">
        <f aca="false">K77+L77+O77</f>
        <v>0</v>
      </c>
      <c r="Q77" s="62" t="n">
        <f aca="false">K77*(1+INDEX(MkMatrix,3,3))</f>
        <v>0</v>
      </c>
      <c r="R77" s="62" t="n">
        <f aca="false">L77*(1+INDEX(MkMatrix,3,3))</f>
        <v>0</v>
      </c>
      <c r="S77" s="62" t="n">
        <f aca="false">N77*CC_SharedSell</f>
        <v>0</v>
      </c>
      <c r="T77" s="62" t="n">
        <f aca="false">P77*N(QCont)</f>
        <v>0</v>
      </c>
      <c r="U77" s="62" t="n">
        <f aca="false">Q77+R77+S77+T77</f>
        <v>0</v>
      </c>
      <c r="V77" s="62" t="n">
        <f aca="false">-U77*N(QDisc)</f>
        <v>-0</v>
      </c>
      <c r="W77" s="63" t="n">
        <f aca="false">U77+V77</f>
        <v>0</v>
      </c>
      <c r="X77" s="63" t="n">
        <f aca="false">W77/QRate</f>
        <v>0</v>
      </c>
      <c r="Y77" s="0" t="n">
        <v>3</v>
      </c>
    </row>
    <row r="78" customFormat="false" ht="15" hidden="false" customHeight="false" outlineLevel="0" collapsed="false">
      <c r="A78" s="68" t="n">
        <f aca="false">'CC Volume'!A78</f>
        <v>3</v>
      </c>
      <c r="B78" s="13" t="str">
        <f aca="false">IF('CC Volume'!B78="","",'CC Volume'!B78)</f>
        <v/>
      </c>
      <c r="C78" s="13" t="str">
        <f aca="false">IF('CC Volume'!C78="","",'CC Volume'!C78)</f>
        <v/>
      </c>
      <c r="D78" s="13" t="str">
        <f aca="false">IF('CC Volume'!D78="","",'CC Volume'!D78)</f>
        <v/>
      </c>
      <c r="E78" s="68" t="str">
        <f aca="false">IF('CC Volume'!E78="","",'CC Volume'!E78)</f>
        <v/>
      </c>
      <c r="F78" s="68" t="str">
        <f aca="false">IF('CC Volume'!F78="","",'CC Volume'!F78)</f>
        <v/>
      </c>
      <c r="G78" s="69" t="str">
        <f aca="false">'CC Volume'!AN78</f>
        <v/>
      </c>
      <c r="H78" s="69" t="str">
        <f aca="false">'CC Volume'!AO78</f>
        <v/>
      </c>
      <c r="I78" s="69" t="str">
        <f aca="false">'CC Volume'!AM78</f>
        <v/>
      </c>
      <c r="J78" s="62" t="str">
        <f aca="false">IF(N(H78)=0,"",IFERROR(INDEX(CC_RegRate,MATCH(F78,CC_RegU,0)),0))</f>
        <v/>
      </c>
      <c r="K78" s="62" t="n">
        <f aca="false">N(H78)*N(J78)</f>
        <v>0</v>
      </c>
      <c r="L78" s="62" t="n">
        <f aca="false">IF(CC_IncWaste="Yes",N(I78)*N(XWaste),0)</f>
        <v>0</v>
      </c>
      <c r="M78" s="65" t="n">
        <f aca="false">IF(N(G78)=0,0,IF(CC_AllocBasis="Equipment count",1,IF(CC_AllocBasis="Equipment volume",N(G78),N(H78))))</f>
        <v>0</v>
      </c>
      <c r="N78" s="15" t="n">
        <f aca="false">IF(SUM(CC_P_M)=0,0,M78/SUM(CC_P_M))</f>
        <v>0</v>
      </c>
      <c r="O78" s="62" t="n">
        <f aca="false">N78*CC_SharedCost</f>
        <v>0</v>
      </c>
      <c r="P78" s="63" t="n">
        <f aca="false">K78+L78+O78</f>
        <v>0</v>
      </c>
      <c r="Q78" s="62" t="n">
        <f aca="false">K78*(1+INDEX(MkMatrix,3,3))</f>
        <v>0</v>
      </c>
      <c r="R78" s="62" t="n">
        <f aca="false">L78*(1+INDEX(MkMatrix,3,3))</f>
        <v>0</v>
      </c>
      <c r="S78" s="62" t="n">
        <f aca="false">N78*CC_SharedSell</f>
        <v>0</v>
      </c>
      <c r="T78" s="62" t="n">
        <f aca="false">P78*N(QCont)</f>
        <v>0</v>
      </c>
      <c r="U78" s="62" t="n">
        <f aca="false">Q78+R78+S78+T78</f>
        <v>0</v>
      </c>
      <c r="V78" s="62" t="n">
        <f aca="false">-U78*N(QDisc)</f>
        <v>-0</v>
      </c>
      <c r="W78" s="63" t="n">
        <f aca="false">U78+V78</f>
        <v>0</v>
      </c>
      <c r="X78" s="63" t="n">
        <f aca="false">W78/QRate</f>
        <v>0</v>
      </c>
      <c r="Y78" s="0" t="n">
        <v>3</v>
      </c>
    </row>
    <row r="79" customFormat="false" ht="15" hidden="false" customHeight="false" outlineLevel="0" collapsed="false">
      <c r="A79" s="68" t="n">
        <f aca="false">'CC Volume'!A79</f>
        <v>4</v>
      </c>
      <c r="B79" s="13" t="str">
        <f aca="false">IF('CC Volume'!B79="","",'CC Volume'!B79)</f>
        <v/>
      </c>
      <c r="C79" s="13" t="str">
        <f aca="false">IF('CC Volume'!C79="","",'CC Volume'!C79)</f>
        <v/>
      </c>
      <c r="D79" s="13" t="str">
        <f aca="false">IF('CC Volume'!D79="","",'CC Volume'!D79)</f>
        <v/>
      </c>
      <c r="E79" s="68" t="str">
        <f aca="false">IF('CC Volume'!E79="","",'CC Volume'!E79)</f>
        <v/>
      </c>
      <c r="F79" s="68" t="str">
        <f aca="false">IF('CC Volume'!F79="","",'CC Volume'!F79)</f>
        <v/>
      </c>
      <c r="G79" s="69" t="str">
        <f aca="false">'CC Volume'!AN79</f>
        <v/>
      </c>
      <c r="H79" s="69" t="str">
        <f aca="false">'CC Volume'!AO79</f>
        <v/>
      </c>
      <c r="I79" s="69" t="str">
        <f aca="false">'CC Volume'!AM79</f>
        <v/>
      </c>
      <c r="J79" s="62" t="str">
        <f aca="false">IF(N(H79)=0,"",IFERROR(INDEX(CC_RegRate,MATCH(F79,CC_RegU,0)),0))</f>
        <v/>
      </c>
      <c r="K79" s="62" t="n">
        <f aca="false">N(H79)*N(J79)</f>
        <v>0</v>
      </c>
      <c r="L79" s="62" t="n">
        <f aca="false">IF(CC_IncWaste="Yes",N(I79)*N(XWaste),0)</f>
        <v>0</v>
      </c>
      <c r="M79" s="65" t="n">
        <f aca="false">IF(N(G79)=0,0,IF(CC_AllocBasis="Equipment count",1,IF(CC_AllocBasis="Equipment volume",N(G79),N(H79))))</f>
        <v>0</v>
      </c>
      <c r="N79" s="15" t="n">
        <f aca="false">IF(SUM(CC_P_M)=0,0,M79/SUM(CC_P_M))</f>
        <v>0</v>
      </c>
      <c r="O79" s="62" t="n">
        <f aca="false">N79*CC_SharedCost</f>
        <v>0</v>
      </c>
      <c r="P79" s="63" t="n">
        <f aca="false">K79+L79+O79</f>
        <v>0</v>
      </c>
      <c r="Q79" s="62" t="n">
        <f aca="false">K79*(1+INDEX(MkMatrix,3,3))</f>
        <v>0</v>
      </c>
      <c r="R79" s="62" t="n">
        <f aca="false">L79*(1+INDEX(MkMatrix,3,3))</f>
        <v>0</v>
      </c>
      <c r="S79" s="62" t="n">
        <f aca="false">N79*CC_SharedSell</f>
        <v>0</v>
      </c>
      <c r="T79" s="62" t="n">
        <f aca="false">P79*N(QCont)</f>
        <v>0</v>
      </c>
      <c r="U79" s="62" t="n">
        <f aca="false">Q79+R79+S79+T79</f>
        <v>0</v>
      </c>
      <c r="V79" s="62" t="n">
        <f aca="false">-U79*N(QDisc)</f>
        <v>-0</v>
      </c>
      <c r="W79" s="63" t="n">
        <f aca="false">U79+V79</f>
        <v>0</v>
      </c>
      <c r="X79" s="63" t="n">
        <f aca="false">W79/QRate</f>
        <v>0</v>
      </c>
      <c r="Y79" s="0" t="n">
        <v>3</v>
      </c>
    </row>
    <row r="80" customFormat="false" ht="15" hidden="false" customHeight="false" outlineLevel="0" collapsed="false">
      <c r="A80" s="68" t="n">
        <f aca="false">'CC Volume'!A80</f>
        <v>5</v>
      </c>
      <c r="B80" s="13" t="str">
        <f aca="false">IF('CC Volume'!B80="","",'CC Volume'!B80)</f>
        <v/>
      </c>
      <c r="C80" s="13" t="str">
        <f aca="false">IF('CC Volume'!C80="","",'CC Volume'!C80)</f>
        <v/>
      </c>
      <c r="D80" s="13" t="str">
        <f aca="false">IF('CC Volume'!D80="","",'CC Volume'!D80)</f>
        <v/>
      </c>
      <c r="E80" s="68" t="str">
        <f aca="false">IF('CC Volume'!E80="","",'CC Volume'!E80)</f>
        <v/>
      </c>
      <c r="F80" s="68" t="str">
        <f aca="false">IF('CC Volume'!F80="","",'CC Volume'!F80)</f>
        <v/>
      </c>
      <c r="G80" s="69" t="str">
        <f aca="false">'CC Volume'!AN80</f>
        <v/>
      </c>
      <c r="H80" s="69" t="str">
        <f aca="false">'CC Volume'!AO80</f>
        <v/>
      </c>
      <c r="I80" s="69" t="str">
        <f aca="false">'CC Volume'!AM80</f>
        <v/>
      </c>
      <c r="J80" s="62" t="str">
        <f aca="false">IF(N(H80)=0,"",IFERROR(INDEX(CC_RegRate,MATCH(F80,CC_RegU,0)),0))</f>
        <v/>
      </c>
      <c r="K80" s="62" t="n">
        <f aca="false">N(H80)*N(J80)</f>
        <v>0</v>
      </c>
      <c r="L80" s="62" t="n">
        <f aca="false">IF(CC_IncWaste="Yes",N(I80)*N(XWaste),0)</f>
        <v>0</v>
      </c>
      <c r="M80" s="65" t="n">
        <f aca="false">IF(N(G80)=0,0,IF(CC_AllocBasis="Equipment count",1,IF(CC_AllocBasis="Equipment volume",N(G80),N(H80))))</f>
        <v>0</v>
      </c>
      <c r="N80" s="15" t="n">
        <f aca="false">IF(SUM(CC_P_M)=0,0,M80/SUM(CC_P_M))</f>
        <v>0</v>
      </c>
      <c r="O80" s="62" t="n">
        <f aca="false">N80*CC_SharedCost</f>
        <v>0</v>
      </c>
      <c r="P80" s="63" t="n">
        <f aca="false">K80+L80+O80</f>
        <v>0</v>
      </c>
      <c r="Q80" s="62" t="n">
        <f aca="false">K80*(1+INDEX(MkMatrix,3,3))</f>
        <v>0</v>
      </c>
      <c r="R80" s="62" t="n">
        <f aca="false">L80*(1+INDEX(MkMatrix,3,3))</f>
        <v>0</v>
      </c>
      <c r="S80" s="62" t="n">
        <f aca="false">N80*CC_SharedSell</f>
        <v>0</v>
      </c>
      <c r="T80" s="62" t="n">
        <f aca="false">P80*N(QCont)</f>
        <v>0</v>
      </c>
      <c r="U80" s="62" t="n">
        <f aca="false">Q80+R80+S80+T80</f>
        <v>0</v>
      </c>
      <c r="V80" s="62" t="n">
        <f aca="false">-U80*N(QDisc)</f>
        <v>-0</v>
      </c>
      <c r="W80" s="63" t="n">
        <f aca="false">U80+V80</f>
        <v>0</v>
      </c>
      <c r="X80" s="63" t="n">
        <f aca="false">W80/QRate</f>
        <v>0</v>
      </c>
      <c r="Y80" s="0" t="n">
        <v>3</v>
      </c>
    </row>
    <row r="81" customFormat="false" ht="15" hidden="false" customHeight="false" outlineLevel="0" collapsed="false">
      <c r="A81" s="68" t="n">
        <f aca="false">'CC Volume'!A81</f>
        <v>6</v>
      </c>
      <c r="B81" s="13" t="str">
        <f aca="false">IF('CC Volume'!B81="","",'CC Volume'!B81)</f>
        <v/>
      </c>
      <c r="C81" s="13" t="str">
        <f aca="false">IF('CC Volume'!C81="","",'CC Volume'!C81)</f>
        <v/>
      </c>
      <c r="D81" s="13" t="str">
        <f aca="false">IF('CC Volume'!D81="","",'CC Volume'!D81)</f>
        <v/>
      </c>
      <c r="E81" s="68" t="str">
        <f aca="false">IF('CC Volume'!E81="","",'CC Volume'!E81)</f>
        <v/>
      </c>
      <c r="F81" s="68" t="str">
        <f aca="false">IF('CC Volume'!F81="","",'CC Volume'!F81)</f>
        <v/>
      </c>
      <c r="G81" s="69" t="str">
        <f aca="false">'CC Volume'!AN81</f>
        <v/>
      </c>
      <c r="H81" s="69" t="str">
        <f aca="false">'CC Volume'!AO81</f>
        <v/>
      </c>
      <c r="I81" s="69" t="str">
        <f aca="false">'CC Volume'!AM81</f>
        <v/>
      </c>
      <c r="J81" s="62" t="str">
        <f aca="false">IF(N(H81)=0,"",IFERROR(INDEX(CC_RegRate,MATCH(F81,CC_RegU,0)),0))</f>
        <v/>
      </c>
      <c r="K81" s="62" t="n">
        <f aca="false">N(H81)*N(J81)</f>
        <v>0</v>
      </c>
      <c r="L81" s="62" t="n">
        <f aca="false">IF(CC_IncWaste="Yes",N(I81)*N(XWaste),0)</f>
        <v>0</v>
      </c>
      <c r="M81" s="65" t="n">
        <f aca="false">IF(N(G81)=0,0,IF(CC_AllocBasis="Equipment count",1,IF(CC_AllocBasis="Equipment volume",N(G81),N(H81))))</f>
        <v>0</v>
      </c>
      <c r="N81" s="15" t="n">
        <f aca="false">IF(SUM(CC_P_M)=0,0,M81/SUM(CC_P_M))</f>
        <v>0</v>
      </c>
      <c r="O81" s="62" t="n">
        <f aca="false">N81*CC_SharedCost</f>
        <v>0</v>
      </c>
      <c r="P81" s="63" t="n">
        <f aca="false">K81+L81+O81</f>
        <v>0</v>
      </c>
      <c r="Q81" s="62" t="n">
        <f aca="false">K81*(1+INDEX(MkMatrix,3,3))</f>
        <v>0</v>
      </c>
      <c r="R81" s="62" t="n">
        <f aca="false">L81*(1+INDEX(MkMatrix,3,3))</f>
        <v>0</v>
      </c>
      <c r="S81" s="62" t="n">
        <f aca="false">N81*CC_SharedSell</f>
        <v>0</v>
      </c>
      <c r="T81" s="62" t="n">
        <f aca="false">P81*N(QCont)</f>
        <v>0</v>
      </c>
      <c r="U81" s="62" t="n">
        <f aca="false">Q81+R81+S81+T81</f>
        <v>0</v>
      </c>
      <c r="V81" s="62" t="n">
        <f aca="false">-U81*N(QDisc)</f>
        <v>-0</v>
      </c>
      <c r="W81" s="63" t="n">
        <f aca="false">U81+V81</f>
        <v>0</v>
      </c>
      <c r="X81" s="63" t="n">
        <f aca="false">W81/QRate</f>
        <v>0</v>
      </c>
      <c r="Y81" s="0" t="n">
        <v>3</v>
      </c>
    </row>
    <row r="82" customFormat="false" ht="15" hidden="false" customHeight="false" outlineLevel="0" collapsed="false">
      <c r="A82" s="68" t="n">
        <f aca="false">'CC Volume'!A82</f>
        <v>7</v>
      </c>
      <c r="B82" s="13" t="str">
        <f aca="false">IF('CC Volume'!B82="","",'CC Volume'!B82)</f>
        <v/>
      </c>
      <c r="C82" s="13" t="str">
        <f aca="false">IF('CC Volume'!C82="","",'CC Volume'!C82)</f>
        <v/>
      </c>
      <c r="D82" s="13" t="str">
        <f aca="false">IF('CC Volume'!D82="","",'CC Volume'!D82)</f>
        <v/>
      </c>
      <c r="E82" s="68" t="str">
        <f aca="false">IF('CC Volume'!E82="","",'CC Volume'!E82)</f>
        <v/>
      </c>
      <c r="F82" s="68" t="str">
        <f aca="false">IF('CC Volume'!F82="","",'CC Volume'!F82)</f>
        <v/>
      </c>
      <c r="G82" s="69" t="str">
        <f aca="false">'CC Volume'!AN82</f>
        <v/>
      </c>
      <c r="H82" s="69" t="str">
        <f aca="false">'CC Volume'!AO82</f>
        <v/>
      </c>
      <c r="I82" s="69" t="str">
        <f aca="false">'CC Volume'!AM82</f>
        <v/>
      </c>
      <c r="J82" s="62" t="str">
        <f aca="false">IF(N(H82)=0,"",IFERROR(INDEX(CC_RegRate,MATCH(F82,CC_RegU,0)),0))</f>
        <v/>
      </c>
      <c r="K82" s="62" t="n">
        <f aca="false">N(H82)*N(J82)</f>
        <v>0</v>
      </c>
      <c r="L82" s="62" t="n">
        <f aca="false">IF(CC_IncWaste="Yes",N(I82)*N(XWaste),0)</f>
        <v>0</v>
      </c>
      <c r="M82" s="65" t="n">
        <f aca="false">IF(N(G82)=0,0,IF(CC_AllocBasis="Equipment count",1,IF(CC_AllocBasis="Equipment volume",N(G82),N(H82))))</f>
        <v>0</v>
      </c>
      <c r="N82" s="15" t="n">
        <f aca="false">IF(SUM(CC_P_M)=0,0,M82/SUM(CC_P_M))</f>
        <v>0</v>
      </c>
      <c r="O82" s="62" t="n">
        <f aca="false">N82*CC_SharedCost</f>
        <v>0</v>
      </c>
      <c r="P82" s="63" t="n">
        <f aca="false">K82+L82+O82</f>
        <v>0</v>
      </c>
      <c r="Q82" s="62" t="n">
        <f aca="false">K82*(1+INDEX(MkMatrix,3,3))</f>
        <v>0</v>
      </c>
      <c r="R82" s="62" t="n">
        <f aca="false">L82*(1+INDEX(MkMatrix,3,3))</f>
        <v>0</v>
      </c>
      <c r="S82" s="62" t="n">
        <f aca="false">N82*CC_SharedSell</f>
        <v>0</v>
      </c>
      <c r="T82" s="62" t="n">
        <f aca="false">P82*N(QCont)</f>
        <v>0</v>
      </c>
      <c r="U82" s="62" t="n">
        <f aca="false">Q82+R82+S82+T82</f>
        <v>0</v>
      </c>
      <c r="V82" s="62" t="n">
        <f aca="false">-U82*N(QDisc)</f>
        <v>-0</v>
      </c>
      <c r="W82" s="63" t="n">
        <f aca="false">U82+V82</f>
        <v>0</v>
      </c>
      <c r="X82" s="63" t="n">
        <f aca="false">W82/QRate</f>
        <v>0</v>
      </c>
      <c r="Y82" s="0" t="n">
        <v>3</v>
      </c>
    </row>
    <row r="83" customFormat="false" ht="15" hidden="false" customHeight="false" outlineLevel="0" collapsed="false">
      <c r="A83" s="68" t="n">
        <f aca="false">'CC Volume'!A83</f>
        <v>8</v>
      </c>
      <c r="B83" s="13" t="str">
        <f aca="false">IF('CC Volume'!B83="","",'CC Volume'!B83)</f>
        <v/>
      </c>
      <c r="C83" s="13" t="str">
        <f aca="false">IF('CC Volume'!C83="","",'CC Volume'!C83)</f>
        <v/>
      </c>
      <c r="D83" s="13" t="str">
        <f aca="false">IF('CC Volume'!D83="","",'CC Volume'!D83)</f>
        <v/>
      </c>
      <c r="E83" s="68" t="str">
        <f aca="false">IF('CC Volume'!E83="","",'CC Volume'!E83)</f>
        <v/>
      </c>
      <c r="F83" s="68" t="str">
        <f aca="false">IF('CC Volume'!F83="","",'CC Volume'!F83)</f>
        <v/>
      </c>
      <c r="G83" s="69" t="str">
        <f aca="false">'CC Volume'!AN83</f>
        <v/>
      </c>
      <c r="H83" s="69" t="str">
        <f aca="false">'CC Volume'!AO83</f>
        <v/>
      </c>
      <c r="I83" s="69" t="str">
        <f aca="false">'CC Volume'!AM83</f>
        <v/>
      </c>
      <c r="J83" s="62" t="str">
        <f aca="false">IF(N(H83)=0,"",IFERROR(INDEX(CC_RegRate,MATCH(F83,CC_RegU,0)),0))</f>
        <v/>
      </c>
      <c r="K83" s="62" t="n">
        <f aca="false">N(H83)*N(J83)</f>
        <v>0</v>
      </c>
      <c r="L83" s="62" t="n">
        <f aca="false">IF(CC_IncWaste="Yes",N(I83)*N(XWaste),0)</f>
        <v>0</v>
      </c>
      <c r="M83" s="65" t="n">
        <f aca="false">IF(N(G83)=0,0,IF(CC_AllocBasis="Equipment count",1,IF(CC_AllocBasis="Equipment volume",N(G83),N(H83))))</f>
        <v>0</v>
      </c>
      <c r="N83" s="15" t="n">
        <f aca="false">IF(SUM(CC_P_M)=0,0,M83/SUM(CC_P_M))</f>
        <v>0</v>
      </c>
      <c r="O83" s="62" t="n">
        <f aca="false">N83*CC_SharedCost</f>
        <v>0</v>
      </c>
      <c r="P83" s="63" t="n">
        <f aca="false">K83+L83+O83</f>
        <v>0</v>
      </c>
      <c r="Q83" s="62" t="n">
        <f aca="false">K83*(1+INDEX(MkMatrix,3,3))</f>
        <v>0</v>
      </c>
      <c r="R83" s="62" t="n">
        <f aca="false">L83*(1+INDEX(MkMatrix,3,3))</f>
        <v>0</v>
      </c>
      <c r="S83" s="62" t="n">
        <f aca="false">N83*CC_SharedSell</f>
        <v>0</v>
      </c>
      <c r="T83" s="62" t="n">
        <f aca="false">P83*N(QCont)</f>
        <v>0</v>
      </c>
      <c r="U83" s="62" t="n">
        <f aca="false">Q83+R83+S83+T83</f>
        <v>0</v>
      </c>
      <c r="V83" s="62" t="n">
        <f aca="false">-U83*N(QDisc)</f>
        <v>-0</v>
      </c>
      <c r="W83" s="63" t="n">
        <f aca="false">U83+V83</f>
        <v>0</v>
      </c>
      <c r="X83" s="63" t="n">
        <f aca="false">W83/QRate</f>
        <v>0</v>
      </c>
      <c r="Y83" s="0" t="n">
        <v>3</v>
      </c>
    </row>
    <row r="84" customFormat="false" ht="15" hidden="false" customHeight="false" outlineLevel="0" collapsed="false">
      <c r="A84" s="68" t="n">
        <f aca="false">'CC Volume'!A84</f>
        <v>9</v>
      </c>
      <c r="B84" s="13" t="str">
        <f aca="false">IF('CC Volume'!B84="","",'CC Volume'!B84)</f>
        <v/>
      </c>
      <c r="C84" s="13" t="str">
        <f aca="false">IF('CC Volume'!C84="","",'CC Volume'!C84)</f>
        <v/>
      </c>
      <c r="D84" s="13" t="str">
        <f aca="false">IF('CC Volume'!D84="","",'CC Volume'!D84)</f>
        <v/>
      </c>
      <c r="E84" s="68" t="str">
        <f aca="false">IF('CC Volume'!E84="","",'CC Volume'!E84)</f>
        <v/>
      </c>
      <c r="F84" s="68" t="str">
        <f aca="false">IF('CC Volume'!F84="","",'CC Volume'!F84)</f>
        <v/>
      </c>
      <c r="G84" s="69" t="str">
        <f aca="false">'CC Volume'!AN84</f>
        <v/>
      </c>
      <c r="H84" s="69" t="str">
        <f aca="false">'CC Volume'!AO84</f>
        <v/>
      </c>
      <c r="I84" s="69" t="str">
        <f aca="false">'CC Volume'!AM84</f>
        <v/>
      </c>
      <c r="J84" s="62" t="str">
        <f aca="false">IF(N(H84)=0,"",IFERROR(INDEX(CC_RegRate,MATCH(F84,CC_RegU,0)),0))</f>
        <v/>
      </c>
      <c r="K84" s="62" t="n">
        <f aca="false">N(H84)*N(J84)</f>
        <v>0</v>
      </c>
      <c r="L84" s="62" t="n">
        <f aca="false">IF(CC_IncWaste="Yes",N(I84)*N(XWaste),0)</f>
        <v>0</v>
      </c>
      <c r="M84" s="65" t="n">
        <f aca="false">IF(N(G84)=0,0,IF(CC_AllocBasis="Equipment count",1,IF(CC_AllocBasis="Equipment volume",N(G84),N(H84))))</f>
        <v>0</v>
      </c>
      <c r="N84" s="15" t="n">
        <f aca="false">IF(SUM(CC_P_M)=0,0,M84/SUM(CC_P_M))</f>
        <v>0</v>
      </c>
      <c r="O84" s="62" t="n">
        <f aca="false">N84*CC_SharedCost</f>
        <v>0</v>
      </c>
      <c r="P84" s="63" t="n">
        <f aca="false">K84+L84+O84</f>
        <v>0</v>
      </c>
      <c r="Q84" s="62" t="n">
        <f aca="false">K84*(1+INDEX(MkMatrix,3,3))</f>
        <v>0</v>
      </c>
      <c r="R84" s="62" t="n">
        <f aca="false">L84*(1+INDEX(MkMatrix,3,3))</f>
        <v>0</v>
      </c>
      <c r="S84" s="62" t="n">
        <f aca="false">N84*CC_SharedSell</f>
        <v>0</v>
      </c>
      <c r="T84" s="62" t="n">
        <f aca="false">P84*N(QCont)</f>
        <v>0</v>
      </c>
      <c r="U84" s="62" t="n">
        <f aca="false">Q84+R84+S84+T84</f>
        <v>0</v>
      </c>
      <c r="V84" s="62" t="n">
        <f aca="false">-U84*N(QDisc)</f>
        <v>-0</v>
      </c>
      <c r="W84" s="63" t="n">
        <f aca="false">U84+V84</f>
        <v>0</v>
      </c>
      <c r="X84" s="63" t="n">
        <f aca="false">W84/QRate</f>
        <v>0</v>
      </c>
      <c r="Y84" s="0" t="n">
        <v>3</v>
      </c>
    </row>
    <row r="85" customFormat="false" ht="15" hidden="false" customHeight="false" outlineLevel="0" collapsed="false">
      <c r="A85" s="68" t="n">
        <f aca="false">'CC Volume'!A85</f>
        <v>10</v>
      </c>
      <c r="B85" s="13" t="str">
        <f aca="false">IF('CC Volume'!B85="","",'CC Volume'!B85)</f>
        <v/>
      </c>
      <c r="C85" s="13" t="str">
        <f aca="false">IF('CC Volume'!C85="","",'CC Volume'!C85)</f>
        <v/>
      </c>
      <c r="D85" s="13" t="str">
        <f aca="false">IF('CC Volume'!D85="","",'CC Volume'!D85)</f>
        <v/>
      </c>
      <c r="E85" s="68" t="str">
        <f aca="false">IF('CC Volume'!E85="","",'CC Volume'!E85)</f>
        <v/>
      </c>
      <c r="F85" s="68" t="str">
        <f aca="false">IF('CC Volume'!F85="","",'CC Volume'!F85)</f>
        <v/>
      </c>
      <c r="G85" s="69" t="str">
        <f aca="false">'CC Volume'!AN85</f>
        <v/>
      </c>
      <c r="H85" s="69" t="str">
        <f aca="false">'CC Volume'!AO85</f>
        <v/>
      </c>
      <c r="I85" s="69" t="str">
        <f aca="false">'CC Volume'!AM85</f>
        <v/>
      </c>
      <c r="J85" s="62" t="str">
        <f aca="false">IF(N(H85)=0,"",IFERROR(INDEX(CC_RegRate,MATCH(F85,CC_RegU,0)),0))</f>
        <v/>
      </c>
      <c r="K85" s="62" t="n">
        <f aca="false">N(H85)*N(J85)</f>
        <v>0</v>
      </c>
      <c r="L85" s="62" t="n">
        <f aca="false">IF(CC_IncWaste="Yes",N(I85)*N(XWaste),0)</f>
        <v>0</v>
      </c>
      <c r="M85" s="65" t="n">
        <f aca="false">IF(N(G85)=0,0,IF(CC_AllocBasis="Equipment count",1,IF(CC_AllocBasis="Equipment volume",N(G85),N(H85))))</f>
        <v>0</v>
      </c>
      <c r="N85" s="15" t="n">
        <f aca="false">IF(SUM(CC_P_M)=0,0,M85/SUM(CC_P_M))</f>
        <v>0</v>
      </c>
      <c r="O85" s="62" t="n">
        <f aca="false">N85*CC_SharedCost</f>
        <v>0</v>
      </c>
      <c r="P85" s="63" t="n">
        <f aca="false">K85+L85+O85</f>
        <v>0</v>
      </c>
      <c r="Q85" s="62" t="n">
        <f aca="false">K85*(1+INDEX(MkMatrix,3,3))</f>
        <v>0</v>
      </c>
      <c r="R85" s="62" t="n">
        <f aca="false">L85*(1+INDEX(MkMatrix,3,3))</f>
        <v>0</v>
      </c>
      <c r="S85" s="62" t="n">
        <f aca="false">N85*CC_SharedSell</f>
        <v>0</v>
      </c>
      <c r="T85" s="62" t="n">
        <f aca="false">P85*N(QCont)</f>
        <v>0</v>
      </c>
      <c r="U85" s="62" t="n">
        <f aca="false">Q85+R85+S85+T85</f>
        <v>0</v>
      </c>
      <c r="V85" s="62" t="n">
        <f aca="false">-U85*N(QDisc)</f>
        <v>-0</v>
      </c>
      <c r="W85" s="63" t="n">
        <f aca="false">U85+V85</f>
        <v>0</v>
      </c>
      <c r="X85" s="63" t="n">
        <f aca="false">W85/QRate</f>
        <v>0</v>
      </c>
      <c r="Y85" s="0" t="n">
        <v>3</v>
      </c>
    </row>
    <row r="86" customFormat="false" ht="15" hidden="false" customHeight="false" outlineLevel="0" collapsed="false">
      <c r="A86" s="68" t="n">
        <f aca="false">'CC Volume'!A86</f>
        <v>11</v>
      </c>
      <c r="B86" s="13" t="str">
        <f aca="false">IF('CC Volume'!B86="","",'CC Volume'!B86)</f>
        <v/>
      </c>
      <c r="C86" s="13" t="str">
        <f aca="false">IF('CC Volume'!C86="","",'CC Volume'!C86)</f>
        <v/>
      </c>
      <c r="D86" s="13" t="str">
        <f aca="false">IF('CC Volume'!D86="","",'CC Volume'!D86)</f>
        <v/>
      </c>
      <c r="E86" s="68" t="str">
        <f aca="false">IF('CC Volume'!E86="","",'CC Volume'!E86)</f>
        <v/>
      </c>
      <c r="F86" s="68" t="str">
        <f aca="false">IF('CC Volume'!F86="","",'CC Volume'!F86)</f>
        <v/>
      </c>
      <c r="G86" s="69" t="str">
        <f aca="false">'CC Volume'!AN86</f>
        <v/>
      </c>
      <c r="H86" s="69" t="str">
        <f aca="false">'CC Volume'!AO86</f>
        <v/>
      </c>
      <c r="I86" s="69" t="str">
        <f aca="false">'CC Volume'!AM86</f>
        <v/>
      </c>
      <c r="J86" s="62" t="str">
        <f aca="false">IF(N(H86)=0,"",IFERROR(INDEX(CC_RegRate,MATCH(F86,CC_RegU,0)),0))</f>
        <v/>
      </c>
      <c r="K86" s="62" t="n">
        <f aca="false">N(H86)*N(J86)</f>
        <v>0</v>
      </c>
      <c r="L86" s="62" t="n">
        <f aca="false">IF(CC_IncWaste="Yes",N(I86)*N(XWaste),0)</f>
        <v>0</v>
      </c>
      <c r="M86" s="65" t="n">
        <f aca="false">IF(N(G86)=0,0,IF(CC_AllocBasis="Equipment count",1,IF(CC_AllocBasis="Equipment volume",N(G86),N(H86))))</f>
        <v>0</v>
      </c>
      <c r="N86" s="15" t="n">
        <f aca="false">IF(SUM(CC_P_M)=0,0,M86/SUM(CC_P_M))</f>
        <v>0</v>
      </c>
      <c r="O86" s="62" t="n">
        <f aca="false">N86*CC_SharedCost</f>
        <v>0</v>
      </c>
      <c r="P86" s="63" t="n">
        <f aca="false">K86+L86+O86</f>
        <v>0</v>
      </c>
      <c r="Q86" s="62" t="n">
        <f aca="false">K86*(1+INDEX(MkMatrix,3,3))</f>
        <v>0</v>
      </c>
      <c r="R86" s="62" t="n">
        <f aca="false">L86*(1+INDEX(MkMatrix,3,3))</f>
        <v>0</v>
      </c>
      <c r="S86" s="62" t="n">
        <f aca="false">N86*CC_SharedSell</f>
        <v>0</v>
      </c>
      <c r="T86" s="62" t="n">
        <f aca="false">P86*N(QCont)</f>
        <v>0</v>
      </c>
      <c r="U86" s="62" t="n">
        <f aca="false">Q86+R86+S86+T86</f>
        <v>0</v>
      </c>
      <c r="V86" s="62" t="n">
        <f aca="false">-U86*N(QDisc)</f>
        <v>-0</v>
      </c>
      <c r="W86" s="63" t="n">
        <f aca="false">U86+V86</f>
        <v>0</v>
      </c>
      <c r="X86" s="63" t="n">
        <f aca="false">W86/QRate</f>
        <v>0</v>
      </c>
      <c r="Y86" s="0" t="n">
        <v>3</v>
      </c>
    </row>
    <row r="87" customFormat="false" ht="15" hidden="false" customHeight="false" outlineLevel="0" collapsed="false">
      <c r="A87" s="68" t="n">
        <f aca="false">'CC Volume'!A87</f>
        <v>12</v>
      </c>
      <c r="B87" s="13" t="str">
        <f aca="false">IF('CC Volume'!B87="","",'CC Volume'!B87)</f>
        <v/>
      </c>
      <c r="C87" s="13" t="str">
        <f aca="false">IF('CC Volume'!C87="","",'CC Volume'!C87)</f>
        <v/>
      </c>
      <c r="D87" s="13" t="str">
        <f aca="false">IF('CC Volume'!D87="","",'CC Volume'!D87)</f>
        <v/>
      </c>
      <c r="E87" s="68" t="str">
        <f aca="false">IF('CC Volume'!E87="","",'CC Volume'!E87)</f>
        <v/>
      </c>
      <c r="F87" s="68" t="str">
        <f aca="false">IF('CC Volume'!F87="","",'CC Volume'!F87)</f>
        <v/>
      </c>
      <c r="G87" s="69" t="str">
        <f aca="false">'CC Volume'!AN87</f>
        <v/>
      </c>
      <c r="H87" s="69" t="str">
        <f aca="false">'CC Volume'!AO87</f>
        <v/>
      </c>
      <c r="I87" s="69" t="str">
        <f aca="false">'CC Volume'!AM87</f>
        <v/>
      </c>
      <c r="J87" s="62" t="str">
        <f aca="false">IF(N(H87)=0,"",IFERROR(INDEX(CC_RegRate,MATCH(F87,CC_RegU,0)),0))</f>
        <v/>
      </c>
      <c r="K87" s="62" t="n">
        <f aca="false">N(H87)*N(J87)</f>
        <v>0</v>
      </c>
      <c r="L87" s="62" t="n">
        <f aca="false">IF(CC_IncWaste="Yes",N(I87)*N(XWaste),0)</f>
        <v>0</v>
      </c>
      <c r="M87" s="65" t="n">
        <f aca="false">IF(N(G87)=0,0,IF(CC_AllocBasis="Equipment count",1,IF(CC_AllocBasis="Equipment volume",N(G87),N(H87))))</f>
        <v>0</v>
      </c>
      <c r="N87" s="15" t="n">
        <f aca="false">IF(SUM(CC_P_M)=0,0,M87/SUM(CC_P_M))</f>
        <v>0</v>
      </c>
      <c r="O87" s="62" t="n">
        <f aca="false">N87*CC_SharedCost</f>
        <v>0</v>
      </c>
      <c r="P87" s="63" t="n">
        <f aca="false">K87+L87+O87</f>
        <v>0</v>
      </c>
      <c r="Q87" s="62" t="n">
        <f aca="false">K87*(1+INDEX(MkMatrix,3,3))</f>
        <v>0</v>
      </c>
      <c r="R87" s="62" t="n">
        <f aca="false">L87*(1+INDEX(MkMatrix,3,3))</f>
        <v>0</v>
      </c>
      <c r="S87" s="62" t="n">
        <f aca="false">N87*CC_SharedSell</f>
        <v>0</v>
      </c>
      <c r="T87" s="62" t="n">
        <f aca="false">P87*N(QCont)</f>
        <v>0</v>
      </c>
      <c r="U87" s="62" t="n">
        <f aca="false">Q87+R87+S87+T87</f>
        <v>0</v>
      </c>
      <c r="V87" s="62" t="n">
        <f aca="false">-U87*N(QDisc)</f>
        <v>-0</v>
      </c>
      <c r="W87" s="63" t="n">
        <f aca="false">U87+V87</f>
        <v>0</v>
      </c>
      <c r="X87" s="63" t="n">
        <f aca="false">W87/QRate</f>
        <v>0</v>
      </c>
      <c r="Y87" s="0" t="n">
        <v>3</v>
      </c>
    </row>
    <row r="88" customFormat="false" ht="15" hidden="false" customHeight="false" outlineLevel="0" collapsed="false">
      <c r="A88" s="68" t="n">
        <f aca="false">'CC Volume'!A88</f>
        <v>13</v>
      </c>
      <c r="B88" s="13" t="str">
        <f aca="false">IF('CC Volume'!B88="","",'CC Volume'!B88)</f>
        <v/>
      </c>
      <c r="C88" s="13" t="str">
        <f aca="false">IF('CC Volume'!C88="","",'CC Volume'!C88)</f>
        <v/>
      </c>
      <c r="D88" s="13" t="str">
        <f aca="false">IF('CC Volume'!D88="","",'CC Volume'!D88)</f>
        <v/>
      </c>
      <c r="E88" s="68" t="str">
        <f aca="false">IF('CC Volume'!E88="","",'CC Volume'!E88)</f>
        <v/>
      </c>
      <c r="F88" s="68" t="str">
        <f aca="false">IF('CC Volume'!F88="","",'CC Volume'!F88)</f>
        <v/>
      </c>
      <c r="G88" s="69" t="str">
        <f aca="false">'CC Volume'!AN88</f>
        <v/>
      </c>
      <c r="H88" s="69" t="str">
        <f aca="false">'CC Volume'!AO88</f>
        <v/>
      </c>
      <c r="I88" s="69" t="str">
        <f aca="false">'CC Volume'!AM88</f>
        <v/>
      </c>
      <c r="J88" s="62" t="str">
        <f aca="false">IF(N(H88)=0,"",IFERROR(INDEX(CC_RegRate,MATCH(F88,CC_RegU,0)),0))</f>
        <v/>
      </c>
      <c r="K88" s="62" t="n">
        <f aca="false">N(H88)*N(J88)</f>
        <v>0</v>
      </c>
      <c r="L88" s="62" t="n">
        <f aca="false">IF(CC_IncWaste="Yes",N(I88)*N(XWaste),0)</f>
        <v>0</v>
      </c>
      <c r="M88" s="65" t="n">
        <f aca="false">IF(N(G88)=0,0,IF(CC_AllocBasis="Equipment count",1,IF(CC_AllocBasis="Equipment volume",N(G88),N(H88))))</f>
        <v>0</v>
      </c>
      <c r="N88" s="15" t="n">
        <f aca="false">IF(SUM(CC_P_M)=0,0,M88/SUM(CC_P_M))</f>
        <v>0</v>
      </c>
      <c r="O88" s="62" t="n">
        <f aca="false">N88*CC_SharedCost</f>
        <v>0</v>
      </c>
      <c r="P88" s="63" t="n">
        <f aca="false">K88+L88+O88</f>
        <v>0</v>
      </c>
      <c r="Q88" s="62" t="n">
        <f aca="false">K88*(1+INDEX(MkMatrix,3,3))</f>
        <v>0</v>
      </c>
      <c r="R88" s="62" t="n">
        <f aca="false">L88*(1+INDEX(MkMatrix,3,3))</f>
        <v>0</v>
      </c>
      <c r="S88" s="62" t="n">
        <f aca="false">N88*CC_SharedSell</f>
        <v>0</v>
      </c>
      <c r="T88" s="62" t="n">
        <f aca="false">P88*N(QCont)</f>
        <v>0</v>
      </c>
      <c r="U88" s="62" t="n">
        <f aca="false">Q88+R88+S88+T88</f>
        <v>0</v>
      </c>
      <c r="V88" s="62" t="n">
        <f aca="false">-U88*N(QDisc)</f>
        <v>-0</v>
      </c>
      <c r="W88" s="63" t="n">
        <f aca="false">U88+V88</f>
        <v>0</v>
      </c>
      <c r="X88" s="63" t="n">
        <f aca="false">W88/QRate</f>
        <v>0</v>
      </c>
      <c r="Y88" s="0" t="n">
        <v>3</v>
      </c>
    </row>
    <row r="89" customFormat="false" ht="15" hidden="false" customHeight="false" outlineLevel="0" collapsed="false">
      <c r="A89" s="68" t="n">
        <f aca="false">'CC Volume'!A89</f>
        <v>14</v>
      </c>
      <c r="B89" s="13" t="str">
        <f aca="false">IF('CC Volume'!B89="","",'CC Volume'!B89)</f>
        <v/>
      </c>
      <c r="C89" s="13" t="str">
        <f aca="false">IF('CC Volume'!C89="","",'CC Volume'!C89)</f>
        <v/>
      </c>
      <c r="D89" s="13" t="str">
        <f aca="false">IF('CC Volume'!D89="","",'CC Volume'!D89)</f>
        <v/>
      </c>
      <c r="E89" s="68" t="str">
        <f aca="false">IF('CC Volume'!E89="","",'CC Volume'!E89)</f>
        <v/>
      </c>
      <c r="F89" s="68" t="str">
        <f aca="false">IF('CC Volume'!F89="","",'CC Volume'!F89)</f>
        <v/>
      </c>
      <c r="G89" s="69" t="str">
        <f aca="false">'CC Volume'!AN89</f>
        <v/>
      </c>
      <c r="H89" s="69" t="str">
        <f aca="false">'CC Volume'!AO89</f>
        <v/>
      </c>
      <c r="I89" s="69" t="str">
        <f aca="false">'CC Volume'!AM89</f>
        <v/>
      </c>
      <c r="J89" s="62" t="str">
        <f aca="false">IF(N(H89)=0,"",IFERROR(INDEX(CC_RegRate,MATCH(F89,CC_RegU,0)),0))</f>
        <v/>
      </c>
      <c r="K89" s="62" t="n">
        <f aca="false">N(H89)*N(J89)</f>
        <v>0</v>
      </c>
      <c r="L89" s="62" t="n">
        <f aca="false">IF(CC_IncWaste="Yes",N(I89)*N(XWaste),0)</f>
        <v>0</v>
      </c>
      <c r="M89" s="65" t="n">
        <f aca="false">IF(N(G89)=0,0,IF(CC_AllocBasis="Equipment count",1,IF(CC_AllocBasis="Equipment volume",N(G89),N(H89))))</f>
        <v>0</v>
      </c>
      <c r="N89" s="15" t="n">
        <f aca="false">IF(SUM(CC_P_M)=0,0,M89/SUM(CC_P_M))</f>
        <v>0</v>
      </c>
      <c r="O89" s="62" t="n">
        <f aca="false">N89*CC_SharedCost</f>
        <v>0</v>
      </c>
      <c r="P89" s="63" t="n">
        <f aca="false">K89+L89+O89</f>
        <v>0</v>
      </c>
      <c r="Q89" s="62" t="n">
        <f aca="false">K89*(1+INDEX(MkMatrix,3,3))</f>
        <v>0</v>
      </c>
      <c r="R89" s="62" t="n">
        <f aca="false">L89*(1+INDEX(MkMatrix,3,3))</f>
        <v>0</v>
      </c>
      <c r="S89" s="62" t="n">
        <f aca="false">N89*CC_SharedSell</f>
        <v>0</v>
      </c>
      <c r="T89" s="62" t="n">
        <f aca="false">P89*N(QCont)</f>
        <v>0</v>
      </c>
      <c r="U89" s="62" t="n">
        <f aca="false">Q89+R89+S89+T89</f>
        <v>0</v>
      </c>
      <c r="V89" s="62" t="n">
        <f aca="false">-U89*N(QDisc)</f>
        <v>-0</v>
      </c>
      <c r="W89" s="63" t="n">
        <f aca="false">U89+V89</f>
        <v>0</v>
      </c>
      <c r="X89" s="63" t="n">
        <f aca="false">W89/QRate</f>
        <v>0</v>
      </c>
      <c r="Y89" s="0" t="n">
        <v>3</v>
      </c>
    </row>
    <row r="90" customFormat="false" ht="15" hidden="false" customHeight="false" outlineLevel="0" collapsed="false">
      <c r="A90" s="68" t="n">
        <f aca="false">'CC Volume'!A90</f>
        <v>15</v>
      </c>
      <c r="B90" s="13" t="str">
        <f aca="false">IF('CC Volume'!B90="","",'CC Volume'!B90)</f>
        <v/>
      </c>
      <c r="C90" s="13" t="str">
        <f aca="false">IF('CC Volume'!C90="","",'CC Volume'!C90)</f>
        <v/>
      </c>
      <c r="D90" s="13" t="str">
        <f aca="false">IF('CC Volume'!D90="","",'CC Volume'!D90)</f>
        <v/>
      </c>
      <c r="E90" s="68" t="str">
        <f aca="false">IF('CC Volume'!E90="","",'CC Volume'!E90)</f>
        <v/>
      </c>
      <c r="F90" s="68" t="str">
        <f aca="false">IF('CC Volume'!F90="","",'CC Volume'!F90)</f>
        <v/>
      </c>
      <c r="G90" s="69" t="str">
        <f aca="false">'CC Volume'!AN90</f>
        <v/>
      </c>
      <c r="H90" s="69" t="str">
        <f aca="false">'CC Volume'!AO90</f>
        <v/>
      </c>
      <c r="I90" s="69" t="str">
        <f aca="false">'CC Volume'!AM90</f>
        <v/>
      </c>
      <c r="J90" s="62" t="str">
        <f aca="false">IF(N(H90)=0,"",IFERROR(INDEX(CC_RegRate,MATCH(F90,CC_RegU,0)),0))</f>
        <v/>
      </c>
      <c r="K90" s="62" t="n">
        <f aca="false">N(H90)*N(J90)</f>
        <v>0</v>
      </c>
      <c r="L90" s="62" t="n">
        <f aca="false">IF(CC_IncWaste="Yes",N(I90)*N(XWaste),0)</f>
        <v>0</v>
      </c>
      <c r="M90" s="65" t="n">
        <f aca="false">IF(N(G90)=0,0,IF(CC_AllocBasis="Equipment count",1,IF(CC_AllocBasis="Equipment volume",N(G90),N(H90))))</f>
        <v>0</v>
      </c>
      <c r="N90" s="15" t="n">
        <f aca="false">IF(SUM(CC_P_M)=0,0,M90/SUM(CC_P_M))</f>
        <v>0</v>
      </c>
      <c r="O90" s="62" t="n">
        <f aca="false">N90*CC_SharedCost</f>
        <v>0</v>
      </c>
      <c r="P90" s="63" t="n">
        <f aca="false">K90+L90+O90</f>
        <v>0</v>
      </c>
      <c r="Q90" s="62" t="n">
        <f aca="false">K90*(1+INDEX(MkMatrix,3,3))</f>
        <v>0</v>
      </c>
      <c r="R90" s="62" t="n">
        <f aca="false">L90*(1+INDEX(MkMatrix,3,3))</f>
        <v>0</v>
      </c>
      <c r="S90" s="62" t="n">
        <f aca="false">N90*CC_SharedSell</f>
        <v>0</v>
      </c>
      <c r="T90" s="62" t="n">
        <f aca="false">P90*N(QCont)</f>
        <v>0</v>
      </c>
      <c r="U90" s="62" t="n">
        <f aca="false">Q90+R90+S90+T90</f>
        <v>0</v>
      </c>
      <c r="V90" s="62" t="n">
        <f aca="false">-U90*N(QDisc)</f>
        <v>-0</v>
      </c>
      <c r="W90" s="63" t="n">
        <f aca="false">U90+V90</f>
        <v>0</v>
      </c>
      <c r="X90" s="63" t="n">
        <f aca="false">W90/QRate</f>
        <v>0</v>
      </c>
      <c r="Y90" s="0" t="n">
        <v>3</v>
      </c>
    </row>
    <row r="91" customFormat="false" ht="15" hidden="false" customHeight="false" outlineLevel="0" collapsed="false">
      <c r="A91" s="68" t="n">
        <f aca="false">'CC Volume'!A91</f>
        <v>16</v>
      </c>
      <c r="B91" s="13" t="str">
        <f aca="false">IF('CC Volume'!B91="","",'CC Volume'!B91)</f>
        <v/>
      </c>
      <c r="C91" s="13" t="str">
        <f aca="false">IF('CC Volume'!C91="","",'CC Volume'!C91)</f>
        <v/>
      </c>
      <c r="D91" s="13" t="str">
        <f aca="false">IF('CC Volume'!D91="","",'CC Volume'!D91)</f>
        <v/>
      </c>
      <c r="E91" s="68" t="str">
        <f aca="false">IF('CC Volume'!E91="","",'CC Volume'!E91)</f>
        <v/>
      </c>
      <c r="F91" s="68" t="str">
        <f aca="false">IF('CC Volume'!F91="","",'CC Volume'!F91)</f>
        <v/>
      </c>
      <c r="G91" s="69" t="str">
        <f aca="false">'CC Volume'!AN91</f>
        <v/>
      </c>
      <c r="H91" s="69" t="str">
        <f aca="false">'CC Volume'!AO91</f>
        <v/>
      </c>
      <c r="I91" s="69" t="str">
        <f aca="false">'CC Volume'!AM91</f>
        <v/>
      </c>
      <c r="J91" s="62" t="str">
        <f aca="false">IF(N(H91)=0,"",IFERROR(INDEX(CC_RegRate,MATCH(F91,CC_RegU,0)),0))</f>
        <v/>
      </c>
      <c r="K91" s="62" t="n">
        <f aca="false">N(H91)*N(J91)</f>
        <v>0</v>
      </c>
      <c r="L91" s="62" t="n">
        <f aca="false">IF(CC_IncWaste="Yes",N(I91)*N(XWaste),0)</f>
        <v>0</v>
      </c>
      <c r="M91" s="65" t="n">
        <f aca="false">IF(N(G91)=0,0,IF(CC_AllocBasis="Equipment count",1,IF(CC_AllocBasis="Equipment volume",N(G91),N(H91))))</f>
        <v>0</v>
      </c>
      <c r="N91" s="15" t="n">
        <f aca="false">IF(SUM(CC_P_M)=0,0,M91/SUM(CC_P_M))</f>
        <v>0</v>
      </c>
      <c r="O91" s="62" t="n">
        <f aca="false">N91*CC_SharedCost</f>
        <v>0</v>
      </c>
      <c r="P91" s="63" t="n">
        <f aca="false">K91+L91+O91</f>
        <v>0</v>
      </c>
      <c r="Q91" s="62" t="n">
        <f aca="false">K91*(1+INDEX(MkMatrix,3,3))</f>
        <v>0</v>
      </c>
      <c r="R91" s="62" t="n">
        <f aca="false">L91*(1+INDEX(MkMatrix,3,3))</f>
        <v>0</v>
      </c>
      <c r="S91" s="62" t="n">
        <f aca="false">N91*CC_SharedSell</f>
        <v>0</v>
      </c>
      <c r="T91" s="62" t="n">
        <f aca="false">P91*N(QCont)</f>
        <v>0</v>
      </c>
      <c r="U91" s="62" t="n">
        <f aca="false">Q91+R91+S91+T91</f>
        <v>0</v>
      </c>
      <c r="V91" s="62" t="n">
        <f aca="false">-U91*N(QDisc)</f>
        <v>-0</v>
      </c>
      <c r="W91" s="63" t="n">
        <f aca="false">U91+V91</f>
        <v>0</v>
      </c>
      <c r="X91" s="63" t="n">
        <f aca="false">W91/QRate</f>
        <v>0</v>
      </c>
      <c r="Y91" s="0" t="n">
        <v>3</v>
      </c>
    </row>
    <row r="92" customFormat="false" ht="15" hidden="false" customHeight="false" outlineLevel="0" collapsed="false">
      <c r="A92" s="68" t="n">
        <f aca="false">'CC Volume'!A92</f>
        <v>17</v>
      </c>
      <c r="B92" s="13" t="str">
        <f aca="false">IF('CC Volume'!B92="","",'CC Volume'!B92)</f>
        <v/>
      </c>
      <c r="C92" s="13" t="str">
        <f aca="false">IF('CC Volume'!C92="","",'CC Volume'!C92)</f>
        <v/>
      </c>
      <c r="D92" s="13" t="str">
        <f aca="false">IF('CC Volume'!D92="","",'CC Volume'!D92)</f>
        <v/>
      </c>
      <c r="E92" s="68" t="str">
        <f aca="false">IF('CC Volume'!E92="","",'CC Volume'!E92)</f>
        <v/>
      </c>
      <c r="F92" s="68" t="str">
        <f aca="false">IF('CC Volume'!F92="","",'CC Volume'!F92)</f>
        <v/>
      </c>
      <c r="G92" s="69" t="str">
        <f aca="false">'CC Volume'!AN92</f>
        <v/>
      </c>
      <c r="H92" s="69" t="str">
        <f aca="false">'CC Volume'!AO92</f>
        <v/>
      </c>
      <c r="I92" s="69" t="str">
        <f aca="false">'CC Volume'!AM92</f>
        <v/>
      </c>
      <c r="J92" s="62" t="str">
        <f aca="false">IF(N(H92)=0,"",IFERROR(INDEX(CC_RegRate,MATCH(F92,CC_RegU,0)),0))</f>
        <v/>
      </c>
      <c r="K92" s="62" t="n">
        <f aca="false">N(H92)*N(J92)</f>
        <v>0</v>
      </c>
      <c r="L92" s="62" t="n">
        <f aca="false">IF(CC_IncWaste="Yes",N(I92)*N(XWaste),0)</f>
        <v>0</v>
      </c>
      <c r="M92" s="65" t="n">
        <f aca="false">IF(N(G92)=0,0,IF(CC_AllocBasis="Equipment count",1,IF(CC_AllocBasis="Equipment volume",N(G92),N(H92))))</f>
        <v>0</v>
      </c>
      <c r="N92" s="15" t="n">
        <f aca="false">IF(SUM(CC_P_M)=0,0,M92/SUM(CC_P_M))</f>
        <v>0</v>
      </c>
      <c r="O92" s="62" t="n">
        <f aca="false">N92*CC_SharedCost</f>
        <v>0</v>
      </c>
      <c r="P92" s="63" t="n">
        <f aca="false">K92+L92+O92</f>
        <v>0</v>
      </c>
      <c r="Q92" s="62" t="n">
        <f aca="false">K92*(1+INDEX(MkMatrix,3,3))</f>
        <v>0</v>
      </c>
      <c r="R92" s="62" t="n">
        <f aca="false">L92*(1+INDEX(MkMatrix,3,3))</f>
        <v>0</v>
      </c>
      <c r="S92" s="62" t="n">
        <f aca="false">N92*CC_SharedSell</f>
        <v>0</v>
      </c>
      <c r="T92" s="62" t="n">
        <f aca="false">P92*N(QCont)</f>
        <v>0</v>
      </c>
      <c r="U92" s="62" t="n">
        <f aca="false">Q92+R92+S92+T92</f>
        <v>0</v>
      </c>
      <c r="V92" s="62" t="n">
        <f aca="false">-U92*N(QDisc)</f>
        <v>-0</v>
      </c>
      <c r="W92" s="63" t="n">
        <f aca="false">U92+V92</f>
        <v>0</v>
      </c>
      <c r="X92" s="63" t="n">
        <f aca="false">W92/QRate</f>
        <v>0</v>
      </c>
      <c r="Y92" s="0" t="n">
        <v>3</v>
      </c>
    </row>
    <row r="93" customFormat="false" ht="15" hidden="false" customHeight="false" outlineLevel="0" collapsed="false">
      <c r="A93" s="68" t="n">
        <f aca="false">'CC Volume'!A93</f>
        <v>18</v>
      </c>
      <c r="B93" s="13" t="str">
        <f aca="false">IF('CC Volume'!B93="","",'CC Volume'!B93)</f>
        <v/>
      </c>
      <c r="C93" s="13" t="str">
        <f aca="false">IF('CC Volume'!C93="","",'CC Volume'!C93)</f>
        <v/>
      </c>
      <c r="D93" s="13" t="str">
        <f aca="false">IF('CC Volume'!D93="","",'CC Volume'!D93)</f>
        <v/>
      </c>
      <c r="E93" s="68" t="str">
        <f aca="false">IF('CC Volume'!E93="","",'CC Volume'!E93)</f>
        <v/>
      </c>
      <c r="F93" s="68" t="str">
        <f aca="false">IF('CC Volume'!F93="","",'CC Volume'!F93)</f>
        <v/>
      </c>
      <c r="G93" s="69" t="str">
        <f aca="false">'CC Volume'!AN93</f>
        <v/>
      </c>
      <c r="H93" s="69" t="str">
        <f aca="false">'CC Volume'!AO93</f>
        <v/>
      </c>
      <c r="I93" s="69" t="str">
        <f aca="false">'CC Volume'!AM93</f>
        <v/>
      </c>
      <c r="J93" s="62" t="str">
        <f aca="false">IF(N(H93)=0,"",IFERROR(INDEX(CC_RegRate,MATCH(F93,CC_RegU,0)),0))</f>
        <v/>
      </c>
      <c r="K93" s="62" t="n">
        <f aca="false">N(H93)*N(J93)</f>
        <v>0</v>
      </c>
      <c r="L93" s="62" t="n">
        <f aca="false">IF(CC_IncWaste="Yes",N(I93)*N(XWaste),0)</f>
        <v>0</v>
      </c>
      <c r="M93" s="65" t="n">
        <f aca="false">IF(N(G93)=0,0,IF(CC_AllocBasis="Equipment count",1,IF(CC_AllocBasis="Equipment volume",N(G93),N(H93))))</f>
        <v>0</v>
      </c>
      <c r="N93" s="15" t="n">
        <f aca="false">IF(SUM(CC_P_M)=0,0,M93/SUM(CC_P_M))</f>
        <v>0</v>
      </c>
      <c r="O93" s="62" t="n">
        <f aca="false">N93*CC_SharedCost</f>
        <v>0</v>
      </c>
      <c r="P93" s="63" t="n">
        <f aca="false">K93+L93+O93</f>
        <v>0</v>
      </c>
      <c r="Q93" s="62" t="n">
        <f aca="false">K93*(1+INDEX(MkMatrix,3,3))</f>
        <v>0</v>
      </c>
      <c r="R93" s="62" t="n">
        <f aca="false">L93*(1+INDEX(MkMatrix,3,3))</f>
        <v>0</v>
      </c>
      <c r="S93" s="62" t="n">
        <f aca="false">N93*CC_SharedSell</f>
        <v>0</v>
      </c>
      <c r="T93" s="62" t="n">
        <f aca="false">P93*N(QCont)</f>
        <v>0</v>
      </c>
      <c r="U93" s="62" t="n">
        <f aca="false">Q93+R93+S93+T93</f>
        <v>0</v>
      </c>
      <c r="V93" s="62" t="n">
        <f aca="false">-U93*N(QDisc)</f>
        <v>-0</v>
      </c>
      <c r="W93" s="63" t="n">
        <f aca="false">U93+V93</f>
        <v>0</v>
      </c>
      <c r="X93" s="63" t="n">
        <f aca="false">W93/QRate</f>
        <v>0</v>
      </c>
      <c r="Y93" s="0" t="n">
        <v>3</v>
      </c>
    </row>
    <row r="94" customFormat="false" ht="15" hidden="false" customHeight="false" outlineLevel="0" collapsed="false">
      <c r="A94" s="68" t="n">
        <f aca="false">'CC Volume'!A94</f>
        <v>19</v>
      </c>
      <c r="B94" s="13" t="str">
        <f aca="false">IF('CC Volume'!B94="","",'CC Volume'!B94)</f>
        <v/>
      </c>
      <c r="C94" s="13" t="str">
        <f aca="false">IF('CC Volume'!C94="","",'CC Volume'!C94)</f>
        <v/>
      </c>
      <c r="D94" s="13" t="str">
        <f aca="false">IF('CC Volume'!D94="","",'CC Volume'!D94)</f>
        <v/>
      </c>
      <c r="E94" s="68" t="str">
        <f aca="false">IF('CC Volume'!E94="","",'CC Volume'!E94)</f>
        <v/>
      </c>
      <c r="F94" s="68" t="str">
        <f aca="false">IF('CC Volume'!F94="","",'CC Volume'!F94)</f>
        <v/>
      </c>
      <c r="G94" s="69" t="str">
        <f aca="false">'CC Volume'!AN94</f>
        <v/>
      </c>
      <c r="H94" s="69" t="str">
        <f aca="false">'CC Volume'!AO94</f>
        <v/>
      </c>
      <c r="I94" s="69" t="str">
        <f aca="false">'CC Volume'!AM94</f>
        <v/>
      </c>
      <c r="J94" s="62" t="str">
        <f aca="false">IF(N(H94)=0,"",IFERROR(INDEX(CC_RegRate,MATCH(F94,CC_RegU,0)),0))</f>
        <v/>
      </c>
      <c r="K94" s="62" t="n">
        <f aca="false">N(H94)*N(J94)</f>
        <v>0</v>
      </c>
      <c r="L94" s="62" t="n">
        <f aca="false">IF(CC_IncWaste="Yes",N(I94)*N(XWaste),0)</f>
        <v>0</v>
      </c>
      <c r="M94" s="65" t="n">
        <f aca="false">IF(N(G94)=0,0,IF(CC_AllocBasis="Equipment count",1,IF(CC_AllocBasis="Equipment volume",N(G94),N(H94))))</f>
        <v>0</v>
      </c>
      <c r="N94" s="15" t="n">
        <f aca="false">IF(SUM(CC_P_M)=0,0,M94/SUM(CC_P_M))</f>
        <v>0</v>
      </c>
      <c r="O94" s="62" t="n">
        <f aca="false">N94*CC_SharedCost</f>
        <v>0</v>
      </c>
      <c r="P94" s="63" t="n">
        <f aca="false">K94+L94+O94</f>
        <v>0</v>
      </c>
      <c r="Q94" s="62" t="n">
        <f aca="false">K94*(1+INDEX(MkMatrix,3,3))</f>
        <v>0</v>
      </c>
      <c r="R94" s="62" t="n">
        <f aca="false">L94*(1+INDEX(MkMatrix,3,3))</f>
        <v>0</v>
      </c>
      <c r="S94" s="62" t="n">
        <f aca="false">N94*CC_SharedSell</f>
        <v>0</v>
      </c>
      <c r="T94" s="62" t="n">
        <f aca="false">P94*N(QCont)</f>
        <v>0</v>
      </c>
      <c r="U94" s="62" t="n">
        <f aca="false">Q94+R94+S94+T94</f>
        <v>0</v>
      </c>
      <c r="V94" s="62" t="n">
        <f aca="false">-U94*N(QDisc)</f>
        <v>-0</v>
      </c>
      <c r="W94" s="63" t="n">
        <f aca="false">U94+V94</f>
        <v>0</v>
      </c>
      <c r="X94" s="63" t="n">
        <f aca="false">W94/QRate</f>
        <v>0</v>
      </c>
      <c r="Y94" s="0" t="n">
        <v>3</v>
      </c>
    </row>
    <row r="95" customFormat="false" ht="15" hidden="false" customHeight="false" outlineLevel="0" collapsed="false">
      <c r="A95" s="68" t="n">
        <f aca="false">'CC Volume'!A95</f>
        <v>20</v>
      </c>
      <c r="B95" s="13" t="str">
        <f aca="false">IF('CC Volume'!B95="","",'CC Volume'!B95)</f>
        <v/>
      </c>
      <c r="C95" s="13" t="str">
        <f aca="false">IF('CC Volume'!C95="","",'CC Volume'!C95)</f>
        <v/>
      </c>
      <c r="D95" s="13" t="str">
        <f aca="false">IF('CC Volume'!D95="","",'CC Volume'!D95)</f>
        <v/>
      </c>
      <c r="E95" s="68" t="str">
        <f aca="false">IF('CC Volume'!E95="","",'CC Volume'!E95)</f>
        <v/>
      </c>
      <c r="F95" s="68" t="str">
        <f aca="false">IF('CC Volume'!F95="","",'CC Volume'!F95)</f>
        <v/>
      </c>
      <c r="G95" s="69" t="str">
        <f aca="false">'CC Volume'!AN95</f>
        <v/>
      </c>
      <c r="H95" s="69" t="str">
        <f aca="false">'CC Volume'!AO95</f>
        <v/>
      </c>
      <c r="I95" s="69" t="str">
        <f aca="false">'CC Volume'!AM95</f>
        <v/>
      </c>
      <c r="J95" s="62" t="str">
        <f aca="false">IF(N(H95)=0,"",IFERROR(INDEX(CC_RegRate,MATCH(F95,CC_RegU,0)),0))</f>
        <v/>
      </c>
      <c r="K95" s="62" t="n">
        <f aca="false">N(H95)*N(J95)</f>
        <v>0</v>
      </c>
      <c r="L95" s="62" t="n">
        <f aca="false">IF(CC_IncWaste="Yes",N(I95)*N(XWaste),0)</f>
        <v>0</v>
      </c>
      <c r="M95" s="65" t="n">
        <f aca="false">IF(N(G95)=0,0,IF(CC_AllocBasis="Equipment count",1,IF(CC_AllocBasis="Equipment volume",N(G95),N(H95))))</f>
        <v>0</v>
      </c>
      <c r="N95" s="15" t="n">
        <f aca="false">IF(SUM(CC_P_M)=0,0,M95/SUM(CC_P_M))</f>
        <v>0</v>
      </c>
      <c r="O95" s="62" t="n">
        <f aca="false">N95*CC_SharedCost</f>
        <v>0</v>
      </c>
      <c r="P95" s="63" t="n">
        <f aca="false">K95+L95+O95</f>
        <v>0</v>
      </c>
      <c r="Q95" s="62" t="n">
        <f aca="false">K95*(1+INDEX(MkMatrix,3,3))</f>
        <v>0</v>
      </c>
      <c r="R95" s="62" t="n">
        <f aca="false">L95*(1+INDEX(MkMatrix,3,3))</f>
        <v>0</v>
      </c>
      <c r="S95" s="62" t="n">
        <f aca="false">N95*CC_SharedSell</f>
        <v>0</v>
      </c>
      <c r="T95" s="62" t="n">
        <f aca="false">P95*N(QCont)</f>
        <v>0</v>
      </c>
      <c r="U95" s="62" t="n">
        <f aca="false">Q95+R95+S95+T95</f>
        <v>0</v>
      </c>
      <c r="V95" s="62" t="n">
        <f aca="false">-U95*N(QDisc)</f>
        <v>-0</v>
      </c>
      <c r="W95" s="63" t="n">
        <f aca="false">U95+V95</f>
        <v>0</v>
      </c>
      <c r="X95" s="63" t="n">
        <f aca="false">W95/QRate</f>
        <v>0</v>
      </c>
      <c r="Y95" s="0" t="n">
        <v>3</v>
      </c>
    </row>
    <row r="96" customFormat="false" ht="15" hidden="false" customHeight="false" outlineLevel="0" collapsed="false">
      <c r="A96" s="68" t="n">
        <f aca="false">'CC Volume'!A96</f>
        <v>21</v>
      </c>
      <c r="B96" s="13" t="str">
        <f aca="false">IF('CC Volume'!B96="","",'CC Volume'!B96)</f>
        <v/>
      </c>
      <c r="C96" s="13" t="str">
        <f aca="false">IF('CC Volume'!C96="","",'CC Volume'!C96)</f>
        <v/>
      </c>
      <c r="D96" s="13" t="str">
        <f aca="false">IF('CC Volume'!D96="","",'CC Volume'!D96)</f>
        <v/>
      </c>
      <c r="E96" s="68" t="str">
        <f aca="false">IF('CC Volume'!E96="","",'CC Volume'!E96)</f>
        <v/>
      </c>
      <c r="F96" s="68" t="str">
        <f aca="false">IF('CC Volume'!F96="","",'CC Volume'!F96)</f>
        <v/>
      </c>
      <c r="G96" s="69" t="str">
        <f aca="false">'CC Volume'!AN96</f>
        <v/>
      </c>
      <c r="H96" s="69" t="str">
        <f aca="false">'CC Volume'!AO96</f>
        <v/>
      </c>
      <c r="I96" s="69" t="str">
        <f aca="false">'CC Volume'!AM96</f>
        <v/>
      </c>
      <c r="J96" s="62" t="str">
        <f aca="false">IF(N(H96)=0,"",IFERROR(INDEX(CC_RegRate,MATCH(F96,CC_RegU,0)),0))</f>
        <v/>
      </c>
      <c r="K96" s="62" t="n">
        <f aca="false">N(H96)*N(J96)</f>
        <v>0</v>
      </c>
      <c r="L96" s="62" t="n">
        <f aca="false">IF(CC_IncWaste="Yes",N(I96)*N(XWaste),0)</f>
        <v>0</v>
      </c>
      <c r="M96" s="65" t="n">
        <f aca="false">IF(N(G96)=0,0,IF(CC_AllocBasis="Equipment count",1,IF(CC_AllocBasis="Equipment volume",N(G96),N(H96))))</f>
        <v>0</v>
      </c>
      <c r="N96" s="15" t="n">
        <f aca="false">IF(SUM(CC_P_M)=0,0,M96/SUM(CC_P_M))</f>
        <v>0</v>
      </c>
      <c r="O96" s="62" t="n">
        <f aca="false">N96*CC_SharedCost</f>
        <v>0</v>
      </c>
      <c r="P96" s="63" t="n">
        <f aca="false">K96+L96+O96</f>
        <v>0</v>
      </c>
      <c r="Q96" s="62" t="n">
        <f aca="false">K96*(1+INDEX(MkMatrix,3,3))</f>
        <v>0</v>
      </c>
      <c r="R96" s="62" t="n">
        <f aca="false">L96*(1+INDEX(MkMatrix,3,3))</f>
        <v>0</v>
      </c>
      <c r="S96" s="62" t="n">
        <f aca="false">N96*CC_SharedSell</f>
        <v>0</v>
      </c>
      <c r="T96" s="62" t="n">
        <f aca="false">P96*N(QCont)</f>
        <v>0</v>
      </c>
      <c r="U96" s="62" t="n">
        <f aca="false">Q96+R96+S96+T96</f>
        <v>0</v>
      </c>
      <c r="V96" s="62" t="n">
        <f aca="false">-U96*N(QDisc)</f>
        <v>-0</v>
      </c>
      <c r="W96" s="63" t="n">
        <f aca="false">U96+V96</f>
        <v>0</v>
      </c>
      <c r="X96" s="63" t="n">
        <f aca="false">W96/QRate</f>
        <v>0</v>
      </c>
      <c r="Y96" s="0" t="n">
        <v>3</v>
      </c>
    </row>
    <row r="97" customFormat="false" ht="15" hidden="false" customHeight="false" outlineLevel="0" collapsed="false">
      <c r="A97" s="68" t="n">
        <f aca="false">'CC Volume'!A97</f>
        <v>22</v>
      </c>
      <c r="B97" s="13" t="str">
        <f aca="false">IF('CC Volume'!B97="","",'CC Volume'!B97)</f>
        <v/>
      </c>
      <c r="C97" s="13" t="str">
        <f aca="false">IF('CC Volume'!C97="","",'CC Volume'!C97)</f>
        <v/>
      </c>
      <c r="D97" s="13" t="str">
        <f aca="false">IF('CC Volume'!D97="","",'CC Volume'!D97)</f>
        <v/>
      </c>
      <c r="E97" s="68" t="str">
        <f aca="false">IF('CC Volume'!E97="","",'CC Volume'!E97)</f>
        <v/>
      </c>
      <c r="F97" s="68" t="str">
        <f aca="false">IF('CC Volume'!F97="","",'CC Volume'!F97)</f>
        <v/>
      </c>
      <c r="G97" s="69" t="str">
        <f aca="false">'CC Volume'!AN97</f>
        <v/>
      </c>
      <c r="H97" s="69" t="str">
        <f aca="false">'CC Volume'!AO97</f>
        <v/>
      </c>
      <c r="I97" s="69" t="str">
        <f aca="false">'CC Volume'!AM97</f>
        <v/>
      </c>
      <c r="J97" s="62" t="str">
        <f aca="false">IF(N(H97)=0,"",IFERROR(INDEX(CC_RegRate,MATCH(F97,CC_RegU,0)),0))</f>
        <v/>
      </c>
      <c r="K97" s="62" t="n">
        <f aca="false">N(H97)*N(J97)</f>
        <v>0</v>
      </c>
      <c r="L97" s="62" t="n">
        <f aca="false">IF(CC_IncWaste="Yes",N(I97)*N(XWaste),0)</f>
        <v>0</v>
      </c>
      <c r="M97" s="65" t="n">
        <f aca="false">IF(N(G97)=0,0,IF(CC_AllocBasis="Equipment count",1,IF(CC_AllocBasis="Equipment volume",N(G97),N(H97))))</f>
        <v>0</v>
      </c>
      <c r="N97" s="15" t="n">
        <f aca="false">IF(SUM(CC_P_M)=0,0,M97/SUM(CC_P_M))</f>
        <v>0</v>
      </c>
      <c r="O97" s="62" t="n">
        <f aca="false">N97*CC_SharedCost</f>
        <v>0</v>
      </c>
      <c r="P97" s="63" t="n">
        <f aca="false">K97+L97+O97</f>
        <v>0</v>
      </c>
      <c r="Q97" s="62" t="n">
        <f aca="false">K97*(1+INDEX(MkMatrix,3,3))</f>
        <v>0</v>
      </c>
      <c r="R97" s="62" t="n">
        <f aca="false">L97*(1+INDEX(MkMatrix,3,3))</f>
        <v>0</v>
      </c>
      <c r="S97" s="62" t="n">
        <f aca="false">N97*CC_SharedSell</f>
        <v>0</v>
      </c>
      <c r="T97" s="62" t="n">
        <f aca="false">P97*N(QCont)</f>
        <v>0</v>
      </c>
      <c r="U97" s="62" t="n">
        <f aca="false">Q97+R97+S97+T97</f>
        <v>0</v>
      </c>
      <c r="V97" s="62" t="n">
        <f aca="false">-U97*N(QDisc)</f>
        <v>-0</v>
      </c>
      <c r="W97" s="63" t="n">
        <f aca="false">U97+V97</f>
        <v>0</v>
      </c>
      <c r="X97" s="63" t="n">
        <f aca="false">W97/QRate</f>
        <v>0</v>
      </c>
      <c r="Y97" s="0" t="n">
        <v>3</v>
      </c>
    </row>
    <row r="98" customFormat="false" ht="15" hidden="false" customHeight="false" outlineLevel="0" collapsed="false">
      <c r="A98" s="68" t="n">
        <f aca="false">'CC Volume'!A98</f>
        <v>23</v>
      </c>
      <c r="B98" s="13" t="str">
        <f aca="false">IF('CC Volume'!B98="","",'CC Volume'!B98)</f>
        <v/>
      </c>
      <c r="C98" s="13" t="str">
        <f aca="false">IF('CC Volume'!C98="","",'CC Volume'!C98)</f>
        <v/>
      </c>
      <c r="D98" s="13" t="str">
        <f aca="false">IF('CC Volume'!D98="","",'CC Volume'!D98)</f>
        <v/>
      </c>
      <c r="E98" s="68" t="str">
        <f aca="false">IF('CC Volume'!E98="","",'CC Volume'!E98)</f>
        <v/>
      </c>
      <c r="F98" s="68" t="str">
        <f aca="false">IF('CC Volume'!F98="","",'CC Volume'!F98)</f>
        <v/>
      </c>
      <c r="G98" s="69" t="str">
        <f aca="false">'CC Volume'!AN98</f>
        <v/>
      </c>
      <c r="H98" s="69" t="str">
        <f aca="false">'CC Volume'!AO98</f>
        <v/>
      </c>
      <c r="I98" s="69" t="str">
        <f aca="false">'CC Volume'!AM98</f>
        <v/>
      </c>
      <c r="J98" s="62" t="str">
        <f aca="false">IF(N(H98)=0,"",IFERROR(INDEX(CC_RegRate,MATCH(F98,CC_RegU,0)),0))</f>
        <v/>
      </c>
      <c r="K98" s="62" t="n">
        <f aca="false">N(H98)*N(J98)</f>
        <v>0</v>
      </c>
      <c r="L98" s="62" t="n">
        <f aca="false">IF(CC_IncWaste="Yes",N(I98)*N(XWaste),0)</f>
        <v>0</v>
      </c>
      <c r="M98" s="65" t="n">
        <f aca="false">IF(N(G98)=0,0,IF(CC_AllocBasis="Equipment count",1,IF(CC_AllocBasis="Equipment volume",N(G98),N(H98))))</f>
        <v>0</v>
      </c>
      <c r="N98" s="15" t="n">
        <f aca="false">IF(SUM(CC_P_M)=0,0,M98/SUM(CC_P_M))</f>
        <v>0</v>
      </c>
      <c r="O98" s="62" t="n">
        <f aca="false">N98*CC_SharedCost</f>
        <v>0</v>
      </c>
      <c r="P98" s="63" t="n">
        <f aca="false">K98+L98+O98</f>
        <v>0</v>
      </c>
      <c r="Q98" s="62" t="n">
        <f aca="false">K98*(1+INDEX(MkMatrix,3,3))</f>
        <v>0</v>
      </c>
      <c r="R98" s="62" t="n">
        <f aca="false">L98*(1+INDEX(MkMatrix,3,3))</f>
        <v>0</v>
      </c>
      <c r="S98" s="62" t="n">
        <f aca="false">N98*CC_SharedSell</f>
        <v>0</v>
      </c>
      <c r="T98" s="62" t="n">
        <f aca="false">P98*N(QCont)</f>
        <v>0</v>
      </c>
      <c r="U98" s="62" t="n">
        <f aca="false">Q98+R98+S98+T98</f>
        <v>0</v>
      </c>
      <c r="V98" s="62" t="n">
        <f aca="false">-U98*N(QDisc)</f>
        <v>-0</v>
      </c>
      <c r="W98" s="63" t="n">
        <f aca="false">U98+V98</f>
        <v>0</v>
      </c>
      <c r="X98" s="63" t="n">
        <f aca="false">W98/QRate</f>
        <v>0</v>
      </c>
      <c r="Y98" s="0" t="n">
        <v>3</v>
      </c>
    </row>
    <row r="99" customFormat="false" ht="15" hidden="false" customHeight="false" outlineLevel="0" collapsed="false">
      <c r="A99" s="68" t="n">
        <f aca="false">'CC Volume'!A99</f>
        <v>24</v>
      </c>
      <c r="B99" s="13" t="str">
        <f aca="false">IF('CC Volume'!B99="","",'CC Volume'!B99)</f>
        <v/>
      </c>
      <c r="C99" s="13" t="str">
        <f aca="false">IF('CC Volume'!C99="","",'CC Volume'!C99)</f>
        <v/>
      </c>
      <c r="D99" s="13" t="str">
        <f aca="false">IF('CC Volume'!D99="","",'CC Volume'!D99)</f>
        <v/>
      </c>
      <c r="E99" s="68" t="str">
        <f aca="false">IF('CC Volume'!E99="","",'CC Volume'!E99)</f>
        <v/>
      </c>
      <c r="F99" s="68" t="str">
        <f aca="false">IF('CC Volume'!F99="","",'CC Volume'!F99)</f>
        <v/>
      </c>
      <c r="G99" s="69" t="str">
        <f aca="false">'CC Volume'!AN99</f>
        <v/>
      </c>
      <c r="H99" s="69" t="str">
        <f aca="false">'CC Volume'!AO99</f>
        <v/>
      </c>
      <c r="I99" s="69" t="str">
        <f aca="false">'CC Volume'!AM99</f>
        <v/>
      </c>
      <c r="J99" s="62" t="str">
        <f aca="false">IF(N(H99)=0,"",IFERROR(INDEX(CC_RegRate,MATCH(F99,CC_RegU,0)),0))</f>
        <v/>
      </c>
      <c r="K99" s="62" t="n">
        <f aca="false">N(H99)*N(J99)</f>
        <v>0</v>
      </c>
      <c r="L99" s="62" t="n">
        <f aca="false">IF(CC_IncWaste="Yes",N(I99)*N(XWaste),0)</f>
        <v>0</v>
      </c>
      <c r="M99" s="65" t="n">
        <f aca="false">IF(N(G99)=0,0,IF(CC_AllocBasis="Equipment count",1,IF(CC_AllocBasis="Equipment volume",N(G99),N(H99))))</f>
        <v>0</v>
      </c>
      <c r="N99" s="15" t="n">
        <f aca="false">IF(SUM(CC_P_M)=0,0,M99/SUM(CC_P_M))</f>
        <v>0</v>
      </c>
      <c r="O99" s="62" t="n">
        <f aca="false">N99*CC_SharedCost</f>
        <v>0</v>
      </c>
      <c r="P99" s="63" t="n">
        <f aca="false">K99+L99+O99</f>
        <v>0</v>
      </c>
      <c r="Q99" s="62" t="n">
        <f aca="false">K99*(1+INDEX(MkMatrix,3,3))</f>
        <v>0</v>
      </c>
      <c r="R99" s="62" t="n">
        <f aca="false">L99*(1+INDEX(MkMatrix,3,3))</f>
        <v>0</v>
      </c>
      <c r="S99" s="62" t="n">
        <f aca="false">N99*CC_SharedSell</f>
        <v>0</v>
      </c>
      <c r="T99" s="62" t="n">
        <f aca="false">P99*N(QCont)</f>
        <v>0</v>
      </c>
      <c r="U99" s="62" t="n">
        <f aca="false">Q99+R99+S99+T99</f>
        <v>0</v>
      </c>
      <c r="V99" s="62" t="n">
        <f aca="false">-U99*N(QDisc)</f>
        <v>-0</v>
      </c>
      <c r="W99" s="63" t="n">
        <f aca="false">U99+V99</f>
        <v>0</v>
      </c>
      <c r="X99" s="63" t="n">
        <f aca="false">W99/QRate</f>
        <v>0</v>
      </c>
      <c r="Y99" s="0" t="n">
        <v>3</v>
      </c>
    </row>
    <row r="100" customFormat="false" ht="15" hidden="false" customHeight="false" outlineLevel="0" collapsed="false">
      <c r="A100" s="68" t="n">
        <f aca="false">'CC Volume'!A100</f>
        <v>25</v>
      </c>
      <c r="B100" s="13" t="str">
        <f aca="false">IF('CC Volume'!B100="","",'CC Volume'!B100)</f>
        <v/>
      </c>
      <c r="C100" s="13" t="str">
        <f aca="false">IF('CC Volume'!C100="","",'CC Volume'!C100)</f>
        <v/>
      </c>
      <c r="D100" s="13" t="str">
        <f aca="false">IF('CC Volume'!D100="","",'CC Volume'!D100)</f>
        <v/>
      </c>
      <c r="E100" s="68" t="str">
        <f aca="false">IF('CC Volume'!E100="","",'CC Volume'!E100)</f>
        <v/>
      </c>
      <c r="F100" s="68" t="str">
        <f aca="false">IF('CC Volume'!F100="","",'CC Volume'!F100)</f>
        <v/>
      </c>
      <c r="G100" s="69" t="str">
        <f aca="false">'CC Volume'!AN100</f>
        <v/>
      </c>
      <c r="H100" s="69" t="str">
        <f aca="false">'CC Volume'!AO100</f>
        <v/>
      </c>
      <c r="I100" s="69" t="str">
        <f aca="false">'CC Volume'!AM100</f>
        <v/>
      </c>
      <c r="J100" s="62" t="str">
        <f aca="false">IF(N(H100)=0,"",IFERROR(INDEX(CC_RegRate,MATCH(F100,CC_RegU,0)),0))</f>
        <v/>
      </c>
      <c r="K100" s="62" t="n">
        <f aca="false">N(H100)*N(J100)</f>
        <v>0</v>
      </c>
      <c r="L100" s="62" t="n">
        <f aca="false">IF(CC_IncWaste="Yes",N(I100)*N(XWaste),0)</f>
        <v>0</v>
      </c>
      <c r="M100" s="65" t="n">
        <f aca="false">IF(N(G100)=0,0,IF(CC_AllocBasis="Equipment count",1,IF(CC_AllocBasis="Equipment volume",N(G100),N(H100))))</f>
        <v>0</v>
      </c>
      <c r="N100" s="15" t="n">
        <f aca="false">IF(SUM(CC_P_M)=0,0,M100/SUM(CC_P_M))</f>
        <v>0</v>
      </c>
      <c r="O100" s="62" t="n">
        <f aca="false">N100*CC_SharedCost</f>
        <v>0</v>
      </c>
      <c r="P100" s="63" t="n">
        <f aca="false">K100+L100+O100</f>
        <v>0</v>
      </c>
      <c r="Q100" s="62" t="n">
        <f aca="false">K100*(1+INDEX(MkMatrix,3,3))</f>
        <v>0</v>
      </c>
      <c r="R100" s="62" t="n">
        <f aca="false">L100*(1+INDEX(MkMatrix,3,3))</f>
        <v>0</v>
      </c>
      <c r="S100" s="62" t="n">
        <f aca="false">N100*CC_SharedSell</f>
        <v>0</v>
      </c>
      <c r="T100" s="62" t="n">
        <f aca="false">P100*N(QCont)</f>
        <v>0</v>
      </c>
      <c r="U100" s="62" t="n">
        <f aca="false">Q100+R100+S100+T100</f>
        <v>0</v>
      </c>
      <c r="V100" s="62" t="n">
        <f aca="false">-U100*N(QDisc)</f>
        <v>-0</v>
      </c>
      <c r="W100" s="63" t="n">
        <f aca="false">U100+V100</f>
        <v>0</v>
      </c>
      <c r="X100" s="63" t="n">
        <f aca="false">W100/QRate</f>
        <v>0</v>
      </c>
      <c r="Y100" s="0" t="n">
        <v>3</v>
      </c>
    </row>
    <row r="101" customFormat="false" ht="15" hidden="false" customHeight="false" outlineLevel="0" collapsed="false">
      <c r="A101" s="68" t="n">
        <f aca="false">'CC Volume'!A101</f>
        <v>26</v>
      </c>
      <c r="B101" s="13" t="str">
        <f aca="false">IF('CC Volume'!B101="","",'CC Volume'!B101)</f>
        <v/>
      </c>
      <c r="C101" s="13" t="str">
        <f aca="false">IF('CC Volume'!C101="","",'CC Volume'!C101)</f>
        <v/>
      </c>
      <c r="D101" s="13" t="str">
        <f aca="false">IF('CC Volume'!D101="","",'CC Volume'!D101)</f>
        <v/>
      </c>
      <c r="E101" s="68" t="str">
        <f aca="false">IF('CC Volume'!E101="","",'CC Volume'!E101)</f>
        <v/>
      </c>
      <c r="F101" s="68" t="str">
        <f aca="false">IF('CC Volume'!F101="","",'CC Volume'!F101)</f>
        <v/>
      </c>
      <c r="G101" s="69" t="str">
        <f aca="false">'CC Volume'!AN101</f>
        <v/>
      </c>
      <c r="H101" s="69" t="str">
        <f aca="false">'CC Volume'!AO101</f>
        <v/>
      </c>
      <c r="I101" s="69" t="str">
        <f aca="false">'CC Volume'!AM101</f>
        <v/>
      </c>
      <c r="J101" s="62" t="str">
        <f aca="false">IF(N(H101)=0,"",IFERROR(INDEX(CC_RegRate,MATCH(F101,CC_RegU,0)),0))</f>
        <v/>
      </c>
      <c r="K101" s="62" t="n">
        <f aca="false">N(H101)*N(J101)</f>
        <v>0</v>
      </c>
      <c r="L101" s="62" t="n">
        <f aca="false">IF(CC_IncWaste="Yes",N(I101)*N(XWaste),0)</f>
        <v>0</v>
      </c>
      <c r="M101" s="65" t="n">
        <f aca="false">IF(N(G101)=0,0,IF(CC_AllocBasis="Equipment count",1,IF(CC_AllocBasis="Equipment volume",N(G101),N(H101))))</f>
        <v>0</v>
      </c>
      <c r="N101" s="15" t="n">
        <f aca="false">IF(SUM(CC_P_M)=0,0,M101/SUM(CC_P_M))</f>
        <v>0</v>
      </c>
      <c r="O101" s="62" t="n">
        <f aca="false">N101*CC_SharedCost</f>
        <v>0</v>
      </c>
      <c r="P101" s="63" t="n">
        <f aca="false">K101+L101+O101</f>
        <v>0</v>
      </c>
      <c r="Q101" s="62" t="n">
        <f aca="false">K101*(1+INDEX(MkMatrix,3,3))</f>
        <v>0</v>
      </c>
      <c r="R101" s="62" t="n">
        <f aca="false">L101*(1+INDEX(MkMatrix,3,3))</f>
        <v>0</v>
      </c>
      <c r="S101" s="62" t="n">
        <f aca="false">N101*CC_SharedSell</f>
        <v>0</v>
      </c>
      <c r="T101" s="62" t="n">
        <f aca="false">P101*N(QCont)</f>
        <v>0</v>
      </c>
      <c r="U101" s="62" t="n">
        <f aca="false">Q101+R101+S101+T101</f>
        <v>0</v>
      </c>
      <c r="V101" s="62" t="n">
        <f aca="false">-U101*N(QDisc)</f>
        <v>-0</v>
      </c>
      <c r="W101" s="63" t="n">
        <f aca="false">U101+V101</f>
        <v>0</v>
      </c>
      <c r="X101" s="63" t="n">
        <f aca="false">W101/QRate</f>
        <v>0</v>
      </c>
      <c r="Y101" s="0" t="n">
        <v>3</v>
      </c>
    </row>
    <row r="102" customFormat="false" ht="15" hidden="false" customHeight="false" outlineLevel="0" collapsed="false">
      <c r="A102" s="68" t="n">
        <f aca="false">'CC Volume'!A102</f>
        <v>27</v>
      </c>
      <c r="B102" s="13" t="str">
        <f aca="false">IF('CC Volume'!B102="","",'CC Volume'!B102)</f>
        <v/>
      </c>
      <c r="C102" s="13" t="str">
        <f aca="false">IF('CC Volume'!C102="","",'CC Volume'!C102)</f>
        <v/>
      </c>
      <c r="D102" s="13" t="str">
        <f aca="false">IF('CC Volume'!D102="","",'CC Volume'!D102)</f>
        <v/>
      </c>
      <c r="E102" s="68" t="str">
        <f aca="false">IF('CC Volume'!E102="","",'CC Volume'!E102)</f>
        <v/>
      </c>
      <c r="F102" s="68" t="str">
        <f aca="false">IF('CC Volume'!F102="","",'CC Volume'!F102)</f>
        <v/>
      </c>
      <c r="G102" s="69" t="str">
        <f aca="false">'CC Volume'!AN102</f>
        <v/>
      </c>
      <c r="H102" s="69" t="str">
        <f aca="false">'CC Volume'!AO102</f>
        <v/>
      </c>
      <c r="I102" s="69" t="str">
        <f aca="false">'CC Volume'!AM102</f>
        <v/>
      </c>
      <c r="J102" s="62" t="str">
        <f aca="false">IF(N(H102)=0,"",IFERROR(INDEX(CC_RegRate,MATCH(F102,CC_RegU,0)),0))</f>
        <v/>
      </c>
      <c r="K102" s="62" t="n">
        <f aca="false">N(H102)*N(J102)</f>
        <v>0</v>
      </c>
      <c r="L102" s="62" t="n">
        <f aca="false">IF(CC_IncWaste="Yes",N(I102)*N(XWaste),0)</f>
        <v>0</v>
      </c>
      <c r="M102" s="65" t="n">
        <f aca="false">IF(N(G102)=0,0,IF(CC_AllocBasis="Equipment count",1,IF(CC_AllocBasis="Equipment volume",N(G102),N(H102))))</f>
        <v>0</v>
      </c>
      <c r="N102" s="15" t="n">
        <f aca="false">IF(SUM(CC_P_M)=0,0,M102/SUM(CC_P_M))</f>
        <v>0</v>
      </c>
      <c r="O102" s="62" t="n">
        <f aca="false">N102*CC_SharedCost</f>
        <v>0</v>
      </c>
      <c r="P102" s="63" t="n">
        <f aca="false">K102+L102+O102</f>
        <v>0</v>
      </c>
      <c r="Q102" s="62" t="n">
        <f aca="false">K102*(1+INDEX(MkMatrix,3,3))</f>
        <v>0</v>
      </c>
      <c r="R102" s="62" t="n">
        <f aca="false">L102*(1+INDEX(MkMatrix,3,3))</f>
        <v>0</v>
      </c>
      <c r="S102" s="62" t="n">
        <f aca="false">N102*CC_SharedSell</f>
        <v>0</v>
      </c>
      <c r="T102" s="62" t="n">
        <f aca="false">P102*N(QCont)</f>
        <v>0</v>
      </c>
      <c r="U102" s="62" t="n">
        <f aca="false">Q102+R102+S102+T102</f>
        <v>0</v>
      </c>
      <c r="V102" s="62" t="n">
        <f aca="false">-U102*N(QDisc)</f>
        <v>-0</v>
      </c>
      <c r="W102" s="63" t="n">
        <f aca="false">U102+V102</f>
        <v>0</v>
      </c>
      <c r="X102" s="63" t="n">
        <f aca="false">W102/QRate</f>
        <v>0</v>
      </c>
      <c r="Y102" s="0" t="n">
        <v>3</v>
      </c>
    </row>
    <row r="103" customFormat="false" ht="15" hidden="false" customHeight="false" outlineLevel="0" collapsed="false">
      <c r="A103" s="68" t="n">
        <f aca="false">'CC Volume'!A103</f>
        <v>28</v>
      </c>
      <c r="B103" s="13" t="str">
        <f aca="false">IF('CC Volume'!B103="","",'CC Volume'!B103)</f>
        <v/>
      </c>
      <c r="C103" s="13" t="str">
        <f aca="false">IF('CC Volume'!C103="","",'CC Volume'!C103)</f>
        <v/>
      </c>
      <c r="D103" s="13" t="str">
        <f aca="false">IF('CC Volume'!D103="","",'CC Volume'!D103)</f>
        <v/>
      </c>
      <c r="E103" s="68" t="str">
        <f aca="false">IF('CC Volume'!E103="","",'CC Volume'!E103)</f>
        <v/>
      </c>
      <c r="F103" s="68" t="str">
        <f aca="false">IF('CC Volume'!F103="","",'CC Volume'!F103)</f>
        <v/>
      </c>
      <c r="G103" s="69" t="str">
        <f aca="false">'CC Volume'!AN103</f>
        <v/>
      </c>
      <c r="H103" s="69" t="str">
        <f aca="false">'CC Volume'!AO103</f>
        <v/>
      </c>
      <c r="I103" s="69" t="str">
        <f aca="false">'CC Volume'!AM103</f>
        <v/>
      </c>
      <c r="J103" s="62" t="str">
        <f aca="false">IF(N(H103)=0,"",IFERROR(INDEX(CC_RegRate,MATCH(F103,CC_RegU,0)),0))</f>
        <v/>
      </c>
      <c r="K103" s="62" t="n">
        <f aca="false">N(H103)*N(J103)</f>
        <v>0</v>
      </c>
      <c r="L103" s="62" t="n">
        <f aca="false">IF(CC_IncWaste="Yes",N(I103)*N(XWaste),0)</f>
        <v>0</v>
      </c>
      <c r="M103" s="65" t="n">
        <f aca="false">IF(N(G103)=0,0,IF(CC_AllocBasis="Equipment count",1,IF(CC_AllocBasis="Equipment volume",N(G103),N(H103))))</f>
        <v>0</v>
      </c>
      <c r="N103" s="15" t="n">
        <f aca="false">IF(SUM(CC_P_M)=0,0,M103/SUM(CC_P_M))</f>
        <v>0</v>
      </c>
      <c r="O103" s="62" t="n">
        <f aca="false">N103*CC_SharedCost</f>
        <v>0</v>
      </c>
      <c r="P103" s="63" t="n">
        <f aca="false">K103+L103+O103</f>
        <v>0</v>
      </c>
      <c r="Q103" s="62" t="n">
        <f aca="false">K103*(1+INDEX(MkMatrix,3,3))</f>
        <v>0</v>
      </c>
      <c r="R103" s="62" t="n">
        <f aca="false">L103*(1+INDEX(MkMatrix,3,3))</f>
        <v>0</v>
      </c>
      <c r="S103" s="62" t="n">
        <f aca="false">N103*CC_SharedSell</f>
        <v>0</v>
      </c>
      <c r="T103" s="62" t="n">
        <f aca="false">P103*N(QCont)</f>
        <v>0</v>
      </c>
      <c r="U103" s="62" t="n">
        <f aca="false">Q103+R103+S103+T103</f>
        <v>0</v>
      </c>
      <c r="V103" s="62" t="n">
        <f aca="false">-U103*N(QDisc)</f>
        <v>-0</v>
      </c>
      <c r="W103" s="63" t="n">
        <f aca="false">U103+V103</f>
        <v>0</v>
      </c>
      <c r="X103" s="63" t="n">
        <f aca="false">W103/QRate</f>
        <v>0</v>
      </c>
      <c r="Y103" s="0" t="n">
        <v>3</v>
      </c>
    </row>
    <row r="104" customFormat="false" ht="15" hidden="false" customHeight="false" outlineLevel="0" collapsed="false">
      <c r="A104" s="68" t="n">
        <f aca="false">'CC Volume'!A104</f>
        <v>29</v>
      </c>
      <c r="B104" s="13" t="str">
        <f aca="false">IF('CC Volume'!B104="","",'CC Volume'!B104)</f>
        <v/>
      </c>
      <c r="C104" s="13" t="str">
        <f aca="false">IF('CC Volume'!C104="","",'CC Volume'!C104)</f>
        <v/>
      </c>
      <c r="D104" s="13" t="str">
        <f aca="false">IF('CC Volume'!D104="","",'CC Volume'!D104)</f>
        <v/>
      </c>
      <c r="E104" s="68" t="str">
        <f aca="false">IF('CC Volume'!E104="","",'CC Volume'!E104)</f>
        <v/>
      </c>
      <c r="F104" s="68" t="str">
        <f aca="false">IF('CC Volume'!F104="","",'CC Volume'!F104)</f>
        <v/>
      </c>
      <c r="G104" s="69" t="str">
        <f aca="false">'CC Volume'!AN104</f>
        <v/>
      </c>
      <c r="H104" s="69" t="str">
        <f aca="false">'CC Volume'!AO104</f>
        <v/>
      </c>
      <c r="I104" s="69" t="str">
        <f aca="false">'CC Volume'!AM104</f>
        <v/>
      </c>
      <c r="J104" s="62" t="str">
        <f aca="false">IF(N(H104)=0,"",IFERROR(INDEX(CC_RegRate,MATCH(F104,CC_RegU,0)),0))</f>
        <v/>
      </c>
      <c r="K104" s="62" t="n">
        <f aca="false">N(H104)*N(J104)</f>
        <v>0</v>
      </c>
      <c r="L104" s="62" t="n">
        <f aca="false">IF(CC_IncWaste="Yes",N(I104)*N(XWaste),0)</f>
        <v>0</v>
      </c>
      <c r="M104" s="65" t="n">
        <f aca="false">IF(N(G104)=0,0,IF(CC_AllocBasis="Equipment count",1,IF(CC_AllocBasis="Equipment volume",N(G104),N(H104))))</f>
        <v>0</v>
      </c>
      <c r="N104" s="15" t="n">
        <f aca="false">IF(SUM(CC_P_M)=0,0,M104/SUM(CC_P_M))</f>
        <v>0</v>
      </c>
      <c r="O104" s="62" t="n">
        <f aca="false">N104*CC_SharedCost</f>
        <v>0</v>
      </c>
      <c r="P104" s="63" t="n">
        <f aca="false">K104+L104+O104</f>
        <v>0</v>
      </c>
      <c r="Q104" s="62" t="n">
        <f aca="false">K104*(1+INDEX(MkMatrix,3,3))</f>
        <v>0</v>
      </c>
      <c r="R104" s="62" t="n">
        <f aca="false">L104*(1+INDEX(MkMatrix,3,3))</f>
        <v>0</v>
      </c>
      <c r="S104" s="62" t="n">
        <f aca="false">N104*CC_SharedSell</f>
        <v>0</v>
      </c>
      <c r="T104" s="62" t="n">
        <f aca="false">P104*N(QCont)</f>
        <v>0</v>
      </c>
      <c r="U104" s="62" t="n">
        <f aca="false">Q104+R104+S104+T104</f>
        <v>0</v>
      </c>
      <c r="V104" s="62" t="n">
        <f aca="false">-U104*N(QDisc)</f>
        <v>-0</v>
      </c>
      <c r="W104" s="63" t="n">
        <f aca="false">U104+V104</f>
        <v>0</v>
      </c>
      <c r="X104" s="63" t="n">
        <f aca="false">W104/QRate</f>
        <v>0</v>
      </c>
      <c r="Y104" s="0" t="n">
        <v>3</v>
      </c>
    </row>
    <row r="105" customFormat="false" ht="15" hidden="false" customHeight="false" outlineLevel="0" collapsed="false">
      <c r="A105" s="68" t="n">
        <f aca="false">'CC Volume'!A105</f>
        <v>30</v>
      </c>
      <c r="B105" s="13" t="str">
        <f aca="false">IF('CC Volume'!B105="","",'CC Volume'!B105)</f>
        <v/>
      </c>
      <c r="C105" s="13" t="str">
        <f aca="false">IF('CC Volume'!C105="","",'CC Volume'!C105)</f>
        <v/>
      </c>
      <c r="D105" s="13" t="str">
        <f aca="false">IF('CC Volume'!D105="","",'CC Volume'!D105)</f>
        <v/>
      </c>
      <c r="E105" s="68" t="str">
        <f aca="false">IF('CC Volume'!E105="","",'CC Volume'!E105)</f>
        <v/>
      </c>
      <c r="F105" s="68" t="str">
        <f aca="false">IF('CC Volume'!F105="","",'CC Volume'!F105)</f>
        <v/>
      </c>
      <c r="G105" s="69" t="str">
        <f aca="false">'CC Volume'!AN105</f>
        <v/>
      </c>
      <c r="H105" s="69" t="str">
        <f aca="false">'CC Volume'!AO105</f>
        <v/>
      </c>
      <c r="I105" s="69" t="str">
        <f aca="false">'CC Volume'!AM105</f>
        <v/>
      </c>
      <c r="J105" s="62" t="str">
        <f aca="false">IF(N(H105)=0,"",IFERROR(INDEX(CC_RegRate,MATCH(F105,CC_RegU,0)),0))</f>
        <v/>
      </c>
      <c r="K105" s="62" t="n">
        <f aca="false">N(H105)*N(J105)</f>
        <v>0</v>
      </c>
      <c r="L105" s="62" t="n">
        <f aca="false">IF(CC_IncWaste="Yes",N(I105)*N(XWaste),0)</f>
        <v>0</v>
      </c>
      <c r="M105" s="65" t="n">
        <f aca="false">IF(N(G105)=0,0,IF(CC_AllocBasis="Equipment count",1,IF(CC_AllocBasis="Equipment volume",N(G105),N(H105))))</f>
        <v>0</v>
      </c>
      <c r="N105" s="15" t="n">
        <f aca="false">IF(SUM(CC_P_M)=0,0,M105/SUM(CC_P_M))</f>
        <v>0</v>
      </c>
      <c r="O105" s="62" t="n">
        <f aca="false">N105*CC_SharedCost</f>
        <v>0</v>
      </c>
      <c r="P105" s="63" t="n">
        <f aca="false">K105+L105+O105</f>
        <v>0</v>
      </c>
      <c r="Q105" s="62" t="n">
        <f aca="false">K105*(1+INDEX(MkMatrix,3,3))</f>
        <v>0</v>
      </c>
      <c r="R105" s="62" t="n">
        <f aca="false">L105*(1+INDEX(MkMatrix,3,3))</f>
        <v>0</v>
      </c>
      <c r="S105" s="62" t="n">
        <f aca="false">N105*CC_SharedSell</f>
        <v>0</v>
      </c>
      <c r="T105" s="62" t="n">
        <f aca="false">P105*N(QCont)</f>
        <v>0</v>
      </c>
      <c r="U105" s="62" t="n">
        <f aca="false">Q105+R105+S105+T105</f>
        <v>0</v>
      </c>
      <c r="V105" s="62" t="n">
        <f aca="false">-U105*N(QDisc)</f>
        <v>-0</v>
      </c>
      <c r="W105" s="63" t="n">
        <f aca="false">U105+V105</f>
        <v>0</v>
      </c>
      <c r="X105" s="63" t="n">
        <f aca="false">W105/QRate</f>
        <v>0</v>
      </c>
      <c r="Y105" s="0" t="n">
        <v>3</v>
      </c>
    </row>
    <row r="106" customFormat="false" ht="15" hidden="false" customHeight="false" outlineLevel="0" collapsed="false">
      <c r="A106" s="44" t="str">
        <f aca="false">"TOTAL – "&amp;INDEX(CC_UnitNames,3)</f>
        <v>TOTAL – Unit 3</v>
      </c>
      <c r="B106" s="44"/>
      <c r="C106" s="44"/>
      <c r="D106" s="44"/>
      <c r="E106" s="44"/>
      <c r="F106" s="44"/>
      <c r="G106" s="47" t="n">
        <f aca="false">SUM(G76:G105)</f>
        <v>0</v>
      </c>
      <c r="H106" s="47" t="n">
        <f aca="false">SUM(H76:H105)</f>
        <v>0</v>
      </c>
      <c r="I106" s="47" t="n">
        <f aca="false">SUM(I76:I105)</f>
        <v>0</v>
      </c>
      <c r="J106" s="45"/>
      <c r="K106" s="70" t="n">
        <f aca="false">SUM(K76:K105)</f>
        <v>0</v>
      </c>
      <c r="L106" s="70" t="n">
        <f aca="false">SUM(L76:L105)</f>
        <v>0</v>
      </c>
      <c r="M106" s="45"/>
      <c r="N106" s="45"/>
      <c r="O106" s="70" t="n">
        <f aca="false">SUM(O76:O105)</f>
        <v>0</v>
      </c>
      <c r="P106" s="70" t="n">
        <f aca="false">SUM(P76:P105)</f>
        <v>0</v>
      </c>
      <c r="Q106" s="70" t="n">
        <f aca="false">SUM(Q76:Q105)</f>
        <v>0</v>
      </c>
      <c r="R106" s="70" t="n">
        <f aca="false">SUM(R76:R105)</f>
        <v>0</v>
      </c>
      <c r="S106" s="70" t="n">
        <f aca="false">SUM(S76:S105)</f>
        <v>0</v>
      </c>
      <c r="T106" s="70" t="n">
        <f aca="false">SUM(T76:T105)</f>
        <v>0</v>
      </c>
      <c r="U106" s="70" t="n">
        <f aca="false">SUM(U76:U105)</f>
        <v>0</v>
      </c>
      <c r="V106" s="70" t="n">
        <f aca="false">SUM(V76:V105)</f>
        <v>0</v>
      </c>
      <c r="W106" s="70" t="n">
        <f aca="false">SUM(W76:W105)</f>
        <v>0</v>
      </c>
      <c r="X106" s="70" t="n">
        <f aca="false">SUM(X76:X105)</f>
        <v>0</v>
      </c>
    </row>
    <row r="108" customFormat="false" ht="15" hidden="false" customHeight="false" outlineLevel="0" collapsed="false">
      <c r="A108" s="38" t="str">
        <f aca="false">"UNIT 4:  "&amp;INDEX(CC_UnitNames,4)</f>
        <v>UNIT 4:  Unit 4</v>
      </c>
      <c r="B108" s="38"/>
      <c r="C108" s="38"/>
      <c r="D108" s="38"/>
      <c r="E108" s="39"/>
      <c r="F108" s="39"/>
      <c r="G108" s="39"/>
      <c r="H108" s="39"/>
      <c r="I108" s="39"/>
      <c r="J108" s="39"/>
      <c r="K108" s="39"/>
      <c r="L108" s="39"/>
      <c r="M108" s="39"/>
      <c r="N108" s="39"/>
      <c r="O108" s="39"/>
      <c r="P108" s="39"/>
      <c r="Q108" s="39"/>
      <c r="R108" s="39"/>
      <c r="S108" s="39"/>
      <c r="T108" s="39"/>
      <c r="U108" s="39"/>
      <c r="V108" s="39"/>
      <c r="W108" s="39"/>
      <c r="X108" s="39"/>
    </row>
    <row r="109" customFormat="false" ht="15" hidden="false" customHeight="false" outlineLevel="0" collapsed="false">
      <c r="A109" s="68" t="n">
        <f aca="false">'CC Volume'!A109</f>
        <v>1</v>
      </c>
      <c r="B109" s="13" t="str">
        <f aca="false">IF('CC Volume'!B109="","",'CC Volume'!B109)</f>
        <v/>
      </c>
      <c r="C109" s="13" t="str">
        <f aca="false">IF('CC Volume'!C109="","",'CC Volume'!C109)</f>
        <v/>
      </c>
      <c r="D109" s="13" t="str">
        <f aca="false">IF('CC Volume'!D109="","",'CC Volume'!D109)</f>
        <v/>
      </c>
      <c r="E109" s="68" t="str">
        <f aca="false">IF('CC Volume'!E109="","",'CC Volume'!E109)</f>
        <v/>
      </c>
      <c r="F109" s="68" t="str">
        <f aca="false">IF('CC Volume'!F109="","",'CC Volume'!F109)</f>
        <v/>
      </c>
      <c r="G109" s="69" t="str">
        <f aca="false">'CC Volume'!AN109</f>
        <v/>
      </c>
      <c r="H109" s="69" t="str">
        <f aca="false">'CC Volume'!AO109</f>
        <v/>
      </c>
      <c r="I109" s="69" t="str">
        <f aca="false">'CC Volume'!AM109</f>
        <v/>
      </c>
      <c r="J109" s="62" t="str">
        <f aca="false">IF(N(H109)=0,"",IFERROR(INDEX(CC_RegRate,MATCH(F109,CC_RegU,0)),0))</f>
        <v/>
      </c>
      <c r="K109" s="62" t="n">
        <f aca="false">N(H109)*N(J109)</f>
        <v>0</v>
      </c>
      <c r="L109" s="62" t="n">
        <f aca="false">IF(CC_IncWaste="Yes",N(I109)*N(XWaste),0)</f>
        <v>0</v>
      </c>
      <c r="M109" s="65" t="n">
        <f aca="false">IF(N(G109)=0,0,IF(CC_AllocBasis="Equipment count",1,IF(CC_AllocBasis="Equipment volume",N(G109),N(H109))))</f>
        <v>0</v>
      </c>
      <c r="N109" s="15" t="n">
        <f aca="false">IF(SUM(CC_P_M)=0,0,M109/SUM(CC_P_M))</f>
        <v>0</v>
      </c>
      <c r="O109" s="62" t="n">
        <f aca="false">N109*CC_SharedCost</f>
        <v>0</v>
      </c>
      <c r="P109" s="63" t="n">
        <f aca="false">K109+L109+O109</f>
        <v>0</v>
      </c>
      <c r="Q109" s="62" t="n">
        <f aca="false">K109*(1+INDEX(MkMatrix,3,3))</f>
        <v>0</v>
      </c>
      <c r="R109" s="62" t="n">
        <f aca="false">L109*(1+INDEX(MkMatrix,3,3))</f>
        <v>0</v>
      </c>
      <c r="S109" s="62" t="n">
        <f aca="false">N109*CC_SharedSell</f>
        <v>0</v>
      </c>
      <c r="T109" s="62" t="n">
        <f aca="false">P109*N(QCont)</f>
        <v>0</v>
      </c>
      <c r="U109" s="62" t="n">
        <f aca="false">Q109+R109+S109+T109</f>
        <v>0</v>
      </c>
      <c r="V109" s="62" t="n">
        <f aca="false">-U109*N(QDisc)</f>
        <v>-0</v>
      </c>
      <c r="W109" s="63" t="n">
        <f aca="false">U109+V109</f>
        <v>0</v>
      </c>
      <c r="X109" s="63" t="n">
        <f aca="false">W109/QRate</f>
        <v>0</v>
      </c>
      <c r="Y109" s="0" t="n">
        <v>4</v>
      </c>
    </row>
    <row r="110" customFormat="false" ht="15" hidden="false" customHeight="false" outlineLevel="0" collapsed="false">
      <c r="A110" s="68" t="n">
        <f aca="false">'CC Volume'!A110</f>
        <v>2</v>
      </c>
      <c r="B110" s="13" t="str">
        <f aca="false">IF('CC Volume'!B110="","",'CC Volume'!B110)</f>
        <v/>
      </c>
      <c r="C110" s="13" t="str">
        <f aca="false">IF('CC Volume'!C110="","",'CC Volume'!C110)</f>
        <v/>
      </c>
      <c r="D110" s="13" t="str">
        <f aca="false">IF('CC Volume'!D110="","",'CC Volume'!D110)</f>
        <v/>
      </c>
      <c r="E110" s="68" t="str">
        <f aca="false">IF('CC Volume'!E110="","",'CC Volume'!E110)</f>
        <v/>
      </c>
      <c r="F110" s="68" t="str">
        <f aca="false">IF('CC Volume'!F110="","",'CC Volume'!F110)</f>
        <v/>
      </c>
      <c r="G110" s="69" t="str">
        <f aca="false">'CC Volume'!AN110</f>
        <v/>
      </c>
      <c r="H110" s="69" t="str">
        <f aca="false">'CC Volume'!AO110</f>
        <v/>
      </c>
      <c r="I110" s="69" t="str">
        <f aca="false">'CC Volume'!AM110</f>
        <v/>
      </c>
      <c r="J110" s="62" t="str">
        <f aca="false">IF(N(H110)=0,"",IFERROR(INDEX(CC_RegRate,MATCH(F110,CC_RegU,0)),0))</f>
        <v/>
      </c>
      <c r="K110" s="62" t="n">
        <f aca="false">N(H110)*N(J110)</f>
        <v>0</v>
      </c>
      <c r="L110" s="62" t="n">
        <f aca="false">IF(CC_IncWaste="Yes",N(I110)*N(XWaste),0)</f>
        <v>0</v>
      </c>
      <c r="M110" s="65" t="n">
        <f aca="false">IF(N(G110)=0,0,IF(CC_AllocBasis="Equipment count",1,IF(CC_AllocBasis="Equipment volume",N(G110),N(H110))))</f>
        <v>0</v>
      </c>
      <c r="N110" s="15" t="n">
        <f aca="false">IF(SUM(CC_P_M)=0,0,M110/SUM(CC_P_M))</f>
        <v>0</v>
      </c>
      <c r="O110" s="62" t="n">
        <f aca="false">N110*CC_SharedCost</f>
        <v>0</v>
      </c>
      <c r="P110" s="63" t="n">
        <f aca="false">K110+L110+O110</f>
        <v>0</v>
      </c>
      <c r="Q110" s="62" t="n">
        <f aca="false">K110*(1+INDEX(MkMatrix,3,3))</f>
        <v>0</v>
      </c>
      <c r="R110" s="62" t="n">
        <f aca="false">L110*(1+INDEX(MkMatrix,3,3))</f>
        <v>0</v>
      </c>
      <c r="S110" s="62" t="n">
        <f aca="false">N110*CC_SharedSell</f>
        <v>0</v>
      </c>
      <c r="T110" s="62" t="n">
        <f aca="false">P110*N(QCont)</f>
        <v>0</v>
      </c>
      <c r="U110" s="62" t="n">
        <f aca="false">Q110+R110+S110+T110</f>
        <v>0</v>
      </c>
      <c r="V110" s="62" t="n">
        <f aca="false">-U110*N(QDisc)</f>
        <v>-0</v>
      </c>
      <c r="W110" s="63" t="n">
        <f aca="false">U110+V110</f>
        <v>0</v>
      </c>
      <c r="X110" s="63" t="n">
        <f aca="false">W110/QRate</f>
        <v>0</v>
      </c>
      <c r="Y110" s="0" t="n">
        <v>4</v>
      </c>
    </row>
    <row r="111" customFormat="false" ht="15" hidden="false" customHeight="false" outlineLevel="0" collapsed="false">
      <c r="A111" s="68" t="n">
        <f aca="false">'CC Volume'!A111</f>
        <v>3</v>
      </c>
      <c r="B111" s="13" t="str">
        <f aca="false">IF('CC Volume'!B111="","",'CC Volume'!B111)</f>
        <v/>
      </c>
      <c r="C111" s="13" t="str">
        <f aca="false">IF('CC Volume'!C111="","",'CC Volume'!C111)</f>
        <v/>
      </c>
      <c r="D111" s="13" t="str">
        <f aca="false">IF('CC Volume'!D111="","",'CC Volume'!D111)</f>
        <v/>
      </c>
      <c r="E111" s="68" t="str">
        <f aca="false">IF('CC Volume'!E111="","",'CC Volume'!E111)</f>
        <v/>
      </c>
      <c r="F111" s="68" t="str">
        <f aca="false">IF('CC Volume'!F111="","",'CC Volume'!F111)</f>
        <v/>
      </c>
      <c r="G111" s="69" t="str">
        <f aca="false">'CC Volume'!AN111</f>
        <v/>
      </c>
      <c r="H111" s="69" t="str">
        <f aca="false">'CC Volume'!AO111</f>
        <v/>
      </c>
      <c r="I111" s="69" t="str">
        <f aca="false">'CC Volume'!AM111</f>
        <v/>
      </c>
      <c r="J111" s="62" t="str">
        <f aca="false">IF(N(H111)=0,"",IFERROR(INDEX(CC_RegRate,MATCH(F111,CC_RegU,0)),0))</f>
        <v/>
      </c>
      <c r="K111" s="62" t="n">
        <f aca="false">N(H111)*N(J111)</f>
        <v>0</v>
      </c>
      <c r="L111" s="62" t="n">
        <f aca="false">IF(CC_IncWaste="Yes",N(I111)*N(XWaste),0)</f>
        <v>0</v>
      </c>
      <c r="M111" s="65" t="n">
        <f aca="false">IF(N(G111)=0,0,IF(CC_AllocBasis="Equipment count",1,IF(CC_AllocBasis="Equipment volume",N(G111),N(H111))))</f>
        <v>0</v>
      </c>
      <c r="N111" s="15" t="n">
        <f aca="false">IF(SUM(CC_P_M)=0,0,M111/SUM(CC_P_M))</f>
        <v>0</v>
      </c>
      <c r="O111" s="62" t="n">
        <f aca="false">N111*CC_SharedCost</f>
        <v>0</v>
      </c>
      <c r="P111" s="63" t="n">
        <f aca="false">K111+L111+O111</f>
        <v>0</v>
      </c>
      <c r="Q111" s="62" t="n">
        <f aca="false">K111*(1+INDEX(MkMatrix,3,3))</f>
        <v>0</v>
      </c>
      <c r="R111" s="62" t="n">
        <f aca="false">L111*(1+INDEX(MkMatrix,3,3))</f>
        <v>0</v>
      </c>
      <c r="S111" s="62" t="n">
        <f aca="false">N111*CC_SharedSell</f>
        <v>0</v>
      </c>
      <c r="T111" s="62" t="n">
        <f aca="false">P111*N(QCont)</f>
        <v>0</v>
      </c>
      <c r="U111" s="62" t="n">
        <f aca="false">Q111+R111+S111+T111</f>
        <v>0</v>
      </c>
      <c r="V111" s="62" t="n">
        <f aca="false">-U111*N(QDisc)</f>
        <v>-0</v>
      </c>
      <c r="W111" s="63" t="n">
        <f aca="false">U111+V111</f>
        <v>0</v>
      </c>
      <c r="X111" s="63" t="n">
        <f aca="false">W111/QRate</f>
        <v>0</v>
      </c>
      <c r="Y111" s="0" t="n">
        <v>4</v>
      </c>
    </row>
    <row r="112" customFormat="false" ht="15" hidden="false" customHeight="false" outlineLevel="0" collapsed="false">
      <c r="A112" s="68" t="n">
        <f aca="false">'CC Volume'!A112</f>
        <v>4</v>
      </c>
      <c r="B112" s="13" t="str">
        <f aca="false">IF('CC Volume'!B112="","",'CC Volume'!B112)</f>
        <v/>
      </c>
      <c r="C112" s="13" t="str">
        <f aca="false">IF('CC Volume'!C112="","",'CC Volume'!C112)</f>
        <v/>
      </c>
      <c r="D112" s="13" t="str">
        <f aca="false">IF('CC Volume'!D112="","",'CC Volume'!D112)</f>
        <v/>
      </c>
      <c r="E112" s="68" t="str">
        <f aca="false">IF('CC Volume'!E112="","",'CC Volume'!E112)</f>
        <v/>
      </c>
      <c r="F112" s="68" t="str">
        <f aca="false">IF('CC Volume'!F112="","",'CC Volume'!F112)</f>
        <v/>
      </c>
      <c r="G112" s="69" t="str">
        <f aca="false">'CC Volume'!AN112</f>
        <v/>
      </c>
      <c r="H112" s="69" t="str">
        <f aca="false">'CC Volume'!AO112</f>
        <v/>
      </c>
      <c r="I112" s="69" t="str">
        <f aca="false">'CC Volume'!AM112</f>
        <v/>
      </c>
      <c r="J112" s="62" t="str">
        <f aca="false">IF(N(H112)=0,"",IFERROR(INDEX(CC_RegRate,MATCH(F112,CC_RegU,0)),0))</f>
        <v/>
      </c>
      <c r="K112" s="62" t="n">
        <f aca="false">N(H112)*N(J112)</f>
        <v>0</v>
      </c>
      <c r="L112" s="62" t="n">
        <f aca="false">IF(CC_IncWaste="Yes",N(I112)*N(XWaste),0)</f>
        <v>0</v>
      </c>
      <c r="M112" s="65" t="n">
        <f aca="false">IF(N(G112)=0,0,IF(CC_AllocBasis="Equipment count",1,IF(CC_AllocBasis="Equipment volume",N(G112),N(H112))))</f>
        <v>0</v>
      </c>
      <c r="N112" s="15" t="n">
        <f aca="false">IF(SUM(CC_P_M)=0,0,M112/SUM(CC_P_M))</f>
        <v>0</v>
      </c>
      <c r="O112" s="62" t="n">
        <f aca="false">N112*CC_SharedCost</f>
        <v>0</v>
      </c>
      <c r="P112" s="63" t="n">
        <f aca="false">K112+L112+O112</f>
        <v>0</v>
      </c>
      <c r="Q112" s="62" t="n">
        <f aca="false">K112*(1+INDEX(MkMatrix,3,3))</f>
        <v>0</v>
      </c>
      <c r="R112" s="62" t="n">
        <f aca="false">L112*(1+INDEX(MkMatrix,3,3))</f>
        <v>0</v>
      </c>
      <c r="S112" s="62" t="n">
        <f aca="false">N112*CC_SharedSell</f>
        <v>0</v>
      </c>
      <c r="T112" s="62" t="n">
        <f aca="false">P112*N(QCont)</f>
        <v>0</v>
      </c>
      <c r="U112" s="62" t="n">
        <f aca="false">Q112+R112+S112+T112</f>
        <v>0</v>
      </c>
      <c r="V112" s="62" t="n">
        <f aca="false">-U112*N(QDisc)</f>
        <v>-0</v>
      </c>
      <c r="W112" s="63" t="n">
        <f aca="false">U112+V112</f>
        <v>0</v>
      </c>
      <c r="X112" s="63" t="n">
        <f aca="false">W112/QRate</f>
        <v>0</v>
      </c>
      <c r="Y112" s="0" t="n">
        <v>4</v>
      </c>
    </row>
    <row r="113" customFormat="false" ht="15" hidden="false" customHeight="false" outlineLevel="0" collapsed="false">
      <c r="A113" s="68" t="n">
        <f aca="false">'CC Volume'!A113</f>
        <v>5</v>
      </c>
      <c r="B113" s="13" t="str">
        <f aca="false">IF('CC Volume'!B113="","",'CC Volume'!B113)</f>
        <v/>
      </c>
      <c r="C113" s="13" t="str">
        <f aca="false">IF('CC Volume'!C113="","",'CC Volume'!C113)</f>
        <v/>
      </c>
      <c r="D113" s="13" t="str">
        <f aca="false">IF('CC Volume'!D113="","",'CC Volume'!D113)</f>
        <v/>
      </c>
      <c r="E113" s="68" t="str">
        <f aca="false">IF('CC Volume'!E113="","",'CC Volume'!E113)</f>
        <v/>
      </c>
      <c r="F113" s="68" t="str">
        <f aca="false">IF('CC Volume'!F113="","",'CC Volume'!F113)</f>
        <v/>
      </c>
      <c r="G113" s="69" t="str">
        <f aca="false">'CC Volume'!AN113</f>
        <v/>
      </c>
      <c r="H113" s="69" t="str">
        <f aca="false">'CC Volume'!AO113</f>
        <v/>
      </c>
      <c r="I113" s="69" t="str">
        <f aca="false">'CC Volume'!AM113</f>
        <v/>
      </c>
      <c r="J113" s="62" t="str">
        <f aca="false">IF(N(H113)=0,"",IFERROR(INDEX(CC_RegRate,MATCH(F113,CC_RegU,0)),0))</f>
        <v/>
      </c>
      <c r="K113" s="62" t="n">
        <f aca="false">N(H113)*N(J113)</f>
        <v>0</v>
      </c>
      <c r="L113" s="62" t="n">
        <f aca="false">IF(CC_IncWaste="Yes",N(I113)*N(XWaste),0)</f>
        <v>0</v>
      </c>
      <c r="M113" s="65" t="n">
        <f aca="false">IF(N(G113)=0,0,IF(CC_AllocBasis="Equipment count",1,IF(CC_AllocBasis="Equipment volume",N(G113),N(H113))))</f>
        <v>0</v>
      </c>
      <c r="N113" s="15" t="n">
        <f aca="false">IF(SUM(CC_P_M)=0,0,M113/SUM(CC_P_M))</f>
        <v>0</v>
      </c>
      <c r="O113" s="62" t="n">
        <f aca="false">N113*CC_SharedCost</f>
        <v>0</v>
      </c>
      <c r="P113" s="63" t="n">
        <f aca="false">K113+L113+O113</f>
        <v>0</v>
      </c>
      <c r="Q113" s="62" t="n">
        <f aca="false">K113*(1+INDEX(MkMatrix,3,3))</f>
        <v>0</v>
      </c>
      <c r="R113" s="62" t="n">
        <f aca="false">L113*(1+INDEX(MkMatrix,3,3))</f>
        <v>0</v>
      </c>
      <c r="S113" s="62" t="n">
        <f aca="false">N113*CC_SharedSell</f>
        <v>0</v>
      </c>
      <c r="T113" s="62" t="n">
        <f aca="false">P113*N(QCont)</f>
        <v>0</v>
      </c>
      <c r="U113" s="62" t="n">
        <f aca="false">Q113+R113+S113+T113</f>
        <v>0</v>
      </c>
      <c r="V113" s="62" t="n">
        <f aca="false">-U113*N(QDisc)</f>
        <v>-0</v>
      </c>
      <c r="W113" s="63" t="n">
        <f aca="false">U113+V113</f>
        <v>0</v>
      </c>
      <c r="X113" s="63" t="n">
        <f aca="false">W113/QRate</f>
        <v>0</v>
      </c>
      <c r="Y113" s="0" t="n">
        <v>4</v>
      </c>
    </row>
    <row r="114" customFormat="false" ht="15" hidden="false" customHeight="false" outlineLevel="0" collapsed="false">
      <c r="A114" s="68" t="n">
        <f aca="false">'CC Volume'!A114</f>
        <v>6</v>
      </c>
      <c r="B114" s="13" t="str">
        <f aca="false">IF('CC Volume'!B114="","",'CC Volume'!B114)</f>
        <v/>
      </c>
      <c r="C114" s="13" t="str">
        <f aca="false">IF('CC Volume'!C114="","",'CC Volume'!C114)</f>
        <v/>
      </c>
      <c r="D114" s="13" t="str">
        <f aca="false">IF('CC Volume'!D114="","",'CC Volume'!D114)</f>
        <v/>
      </c>
      <c r="E114" s="68" t="str">
        <f aca="false">IF('CC Volume'!E114="","",'CC Volume'!E114)</f>
        <v/>
      </c>
      <c r="F114" s="68" t="str">
        <f aca="false">IF('CC Volume'!F114="","",'CC Volume'!F114)</f>
        <v/>
      </c>
      <c r="G114" s="69" t="str">
        <f aca="false">'CC Volume'!AN114</f>
        <v/>
      </c>
      <c r="H114" s="69" t="str">
        <f aca="false">'CC Volume'!AO114</f>
        <v/>
      </c>
      <c r="I114" s="69" t="str">
        <f aca="false">'CC Volume'!AM114</f>
        <v/>
      </c>
      <c r="J114" s="62" t="str">
        <f aca="false">IF(N(H114)=0,"",IFERROR(INDEX(CC_RegRate,MATCH(F114,CC_RegU,0)),0))</f>
        <v/>
      </c>
      <c r="K114" s="62" t="n">
        <f aca="false">N(H114)*N(J114)</f>
        <v>0</v>
      </c>
      <c r="L114" s="62" t="n">
        <f aca="false">IF(CC_IncWaste="Yes",N(I114)*N(XWaste),0)</f>
        <v>0</v>
      </c>
      <c r="M114" s="65" t="n">
        <f aca="false">IF(N(G114)=0,0,IF(CC_AllocBasis="Equipment count",1,IF(CC_AllocBasis="Equipment volume",N(G114),N(H114))))</f>
        <v>0</v>
      </c>
      <c r="N114" s="15" t="n">
        <f aca="false">IF(SUM(CC_P_M)=0,0,M114/SUM(CC_P_M))</f>
        <v>0</v>
      </c>
      <c r="O114" s="62" t="n">
        <f aca="false">N114*CC_SharedCost</f>
        <v>0</v>
      </c>
      <c r="P114" s="63" t="n">
        <f aca="false">K114+L114+O114</f>
        <v>0</v>
      </c>
      <c r="Q114" s="62" t="n">
        <f aca="false">K114*(1+INDEX(MkMatrix,3,3))</f>
        <v>0</v>
      </c>
      <c r="R114" s="62" t="n">
        <f aca="false">L114*(1+INDEX(MkMatrix,3,3))</f>
        <v>0</v>
      </c>
      <c r="S114" s="62" t="n">
        <f aca="false">N114*CC_SharedSell</f>
        <v>0</v>
      </c>
      <c r="T114" s="62" t="n">
        <f aca="false">P114*N(QCont)</f>
        <v>0</v>
      </c>
      <c r="U114" s="62" t="n">
        <f aca="false">Q114+R114+S114+T114</f>
        <v>0</v>
      </c>
      <c r="V114" s="62" t="n">
        <f aca="false">-U114*N(QDisc)</f>
        <v>-0</v>
      </c>
      <c r="W114" s="63" t="n">
        <f aca="false">U114+V114</f>
        <v>0</v>
      </c>
      <c r="X114" s="63" t="n">
        <f aca="false">W114/QRate</f>
        <v>0</v>
      </c>
      <c r="Y114" s="0" t="n">
        <v>4</v>
      </c>
    </row>
    <row r="115" customFormat="false" ht="15" hidden="false" customHeight="false" outlineLevel="0" collapsed="false">
      <c r="A115" s="68" t="n">
        <f aca="false">'CC Volume'!A115</f>
        <v>7</v>
      </c>
      <c r="B115" s="13" t="str">
        <f aca="false">IF('CC Volume'!B115="","",'CC Volume'!B115)</f>
        <v/>
      </c>
      <c r="C115" s="13" t="str">
        <f aca="false">IF('CC Volume'!C115="","",'CC Volume'!C115)</f>
        <v/>
      </c>
      <c r="D115" s="13" t="str">
        <f aca="false">IF('CC Volume'!D115="","",'CC Volume'!D115)</f>
        <v/>
      </c>
      <c r="E115" s="68" t="str">
        <f aca="false">IF('CC Volume'!E115="","",'CC Volume'!E115)</f>
        <v/>
      </c>
      <c r="F115" s="68" t="str">
        <f aca="false">IF('CC Volume'!F115="","",'CC Volume'!F115)</f>
        <v/>
      </c>
      <c r="G115" s="69" t="str">
        <f aca="false">'CC Volume'!AN115</f>
        <v/>
      </c>
      <c r="H115" s="69" t="str">
        <f aca="false">'CC Volume'!AO115</f>
        <v/>
      </c>
      <c r="I115" s="69" t="str">
        <f aca="false">'CC Volume'!AM115</f>
        <v/>
      </c>
      <c r="J115" s="62" t="str">
        <f aca="false">IF(N(H115)=0,"",IFERROR(INDEX(CC_RegRate,MATCH(F115,CC_RegU,0)),0))</f>
        <v/>
      </c>
      <c r="K115" s="62" t="n">
        <f aca="false">N(H115)*N(J115)</f>
        <v>0</v>
      </c>
      <c r="L115" s="62" t="n">
        <f aca="false">IF(CC_IncWaste="Yes",N(I115)*N(XWaste),0)</f>
        <v>0</v>
      </c>
      <c r="M115" s="65" t="n">
        <f aca="false">IF(N(G115)=0,0,IF(CC_AllocBasis="Equipment count",1,IF(CC_AllocBasis="Equipment volume",N(G115),N(H115))))</f>
        <v>0</v>
      </c>
      <c r="N115" s="15" t="n">
        <f aca="false">IF(SUM(CC_P_M)=0,0,M115/SUM(CC_P_M))</f>
        <v>0</v>
      </c>
      <c r="O115" s="62" t="n">
        <f aca="false">N115*CC_SharedCost</f>
        <v>0</v>
      </c>
      <c r="P115" s="63" t="n">
        <f aca="false">K115+L115+O115</f>
        <v>0</v>
      </c>
      <c r="Q115" s="62" t="n">
        <f aca="false">K115*(1+INDEX(MkMatrix,3,3))</f>
        <v>0</v>
      </c>
      <c r="R115" s="62" t="n">
        <f aca="false">L115*(1+INDEX(MkMatrix,3,3))</f>
        <v>0</v>
      </c>
      <c r="S115" s="62" t="n">
        <f aca="false">N115*CC_SharedSell</f>
        <v>0</v>
      </c>
      <c r="T115" s="62" t="n">
        <f aca="false">P115*N(QCont)</f>
        <v>0</v>
      </c>
      <c r="U115" s="62" t="n">
        <f aca="false">Q115+R115+S115+T115</f>
        <v>0</v>
      </c>
      <c r="V115" s="62" t="n">
        <f aca="false">-U115*N(QDisc)</f>
        <v>-0</v>
      </c>
      <c r="W115" s="63" t="n">
        <f aca="false">U115+V115</f>
        <v>0</v>
      </c>
      <c r="X115" s="63" t="n">
        <f aca="false">W115/QRate</f>
        <v>0</v>
      </c>
      <c r="Y115" s="0" t="n">
        <v>4</v>
      </c>
    </row>
    <row r="116" customFormat="false" ht="15" hidden="false" customHeight="false" outlineLevel="0" collapsed="false">
      <c r="A116" s="68" t="n">
        <f aca="false">'CC Volume'!A116</f>
        <v>8</v>
      </c>
      <c r="B116" s="13" t="str">
        <f aca="false">IF('CC Volume'!B116="","",'CC Volume'!B116)</f>
        <v/>
      </c>
      <c r="C116" s="13" t="str">
        <f aca="false">IF('CC Volume'!C116="","",'CC Volume'!C116)</f>
        <v/>
      </c>
      <c r="D116" s="13" t="str">
        <f aca="false">IF('CC Volume'!D116="","",'CC Volume'!D116)</f>
        <v/>
      </c>
      <c r="E116" s="68" t="str">
        <f aca="false">IF('CC Volume'!E116="","",'CC Volume'!E116)</f>
        <v/>
      </c>
      <c r="F116" s="68" t="str">
        <f aca="false">IF('CC Volume'!F116="","",'CC Volume'!F116)</f>
        <v/>
      </c>
      <c r="G116" s="69" t="str">
        <f aca="false">'CC Volume'!AN116</f>
        <v/>
      </c>
      <c r="H116" s="69" t="str">
        <f aca="false">'CC Volume'!AO116</f>
        <v/>
      </c>
      <c r="I116" s="69" t="str">
        <f aca="false">'CC Volume'!AM116</f>
        <v/>
      </c>
      <c r="J116" s="62" t="str">
        <f aca="false">IF(N(H116)=0,"",IFERROR(INDEX(CC_RegRate,MATCH(F116,CC_RegU,0)),0))</f>
        <v/>
      </c>
      <c r="K116" s="62" t="n">
        <f aca="false">N(H116)*N(J116)</f>
        <v>0</v>
      </c>
      <c r="L116" s="62" t="n">
        <f aca="false">IF(CC_IncWaste="Yes",N(I116)*N(XWaste),0)</f>
        <v>0</v>
      </c>
      <c r="M116" s="65" t="n">
        <f aca="false">IF(N(G116)=0,0,IF(CC_AllocBasis="Equipment count",1,IF(CC_AllocBasis="Equipment volume",N(G116),N(H116))))</f>
        <v>0</v>
      </c>
      <c r="N116" s="15" t="n">
        <f aca="false">IF(SUM(CC_P_M)=0,0,M116/SUM(CC_P_M))</f>
        <v>0</v>
      </c>
      <c r="O116" s="62" t="n">
        <f aca="false">N116*CC_SharedCost</f>
        <v>0</v>
      </c>
      <c r="P116" s="63" t="n">
        <f aca="false">K116+L116+O116</f>
        <v>0</v>
      </c>
      <c r="Q116" s="62" t="n">
        <f aca="false">K116*(1+INDEX(MkMatrix,3,3))</f>
        <v>0</v>
      </c>
      <c r="R116" s="62" t="n">
        <f aca="false">L116*(1+INDEX(MkMatrix,3,3))</f>
        <v>0</v>
      </c>
      <c r="S116" s="62" t="n">
        <f aca="false">N116*CC_SharedSell</f>
        <v>0</v>
      </c>
      <c r="T116" s="62" t="n">
        <f aca="false">P116*N(QCont)</f>
        <v>0</v>
      </c>
      <c r="U116" s="62" t="n">
        <f aca="false">Q116+R116+S116+T116</f>
        <v>0</v>
      </c>
      <c r="V116" s="62" t="n">
        <f aca="false">-U116*N(QDisc)</f>
        <v>-0</v>
      </c>
      <c r="W116" s="63" t="n">
        <f aca="false">U116+V116</f>
        <v>0</v>
      </c>
      <c r="X116" s="63" t="n">
        <f aca="false">W116/QRate</f>
        <v>0</v>
      </c>
      <c r="Y116" s="0" t="n">
        <v>4</v>
      </c>
    </row>
    <row r="117" customFormat="false" ht="15" hidden="false" customHeight="false" outlineLevel="0" collapsed="false">
      <c r="A117" s="68" t="n">
        <f aca="false">'CC Volume'!A117</f>
        <v>9</v>
      </c>
      <c r="B117" s="13" t="str">
        <f aca="false">IF('CC Volume'!B117="","",'CC Volume'!B117)</f>
        <v/>
      </c>
      <c r="C117" s="13" t="str">
        <f aca="false">IF('CC Volume'!C117="","",'CC Volume'!C117)</f>
        <v/>
      </c>
      <c r="D117" s="13" t="str">
        <f aca="false">IF('CC Volume'!D117="","",'CC Volume'!D117)</f>
        <v/>
      </c>
      <c r="E117" s="68" t="str">
        <f aca="false">IF('CC Volume'!E117="","",'CC Volume'!E117)</f>
        <v/>
      </c>
      <c r="F117" s="68" t="str">
        <f aca="false">IF('CC Volume'!F117="","",'CC Volume'!F117)</f>
        <v/>
      </c>
      <c r="G117" s="69" t="str">
        <f aca="false">'CC Volume'!AN117</f>
        <v/>
      </c>
      <c r="H117" s="69" t="str">
        <f aca="false">'CC Volume'!AO117</f>
        <v/>
      </c>
      <c r="I117" s="69" t="str">
        <f aca="false">'CC Volume'!AM117</f>
        <v/>
      </c>
      <c r="J117" s="62" t="str">
        <f aca="false">IF(N(H117)=0,"",IFERROR(INDEX(CC_RegRate,MATCH(F117,CC_RegU,0)),0))</f>
        <v/>
      </c>
      <c r="K117" s="62" t="n">
        <f aca="false">N(H117)*N(J117)</f>
        <v>0</v>
      </c>
      <c r="L117" s="62" t="n">
        <f aca="false">IF(CC_IncWaste="Yes",N(I117)*N(XWaste),0)</f>
        <v>0</v>
      </c>
      <c r="M117" s="65" t="n">
        <f aca="false">IF(N(G117)=0,0,IF(CC_AllocBasis="Equipment count",1,IF(CC_AllocBasis="Equipment volume",N(G117),N(H117))))</f>
        <v>0</v>
      </c>
      <c r="N117" s="15" t="n">
        <f aca="false">IF(SUM(CC_P_M)=0,0,M117/SUM(CC_P_M))</f>
        <v>0</v>
      </c>
      <c r="O117" s="62" t="n">
        <f aca="false">N117*CC_SharedCost</f>
        <v>0</v>
      </c>
      <c r="P117" s="63" t="n">
        <f aca="false">K117+L117+O117</f>
        <v>0</v>
      </c>
      <c r="Q117" s="62" t="n">
        <f aca="false">K117*(1+INDEX(MkMatrix,3,3))</f>
        <v>0</v>
      </c>
      <c r="R117" s="62" t="n">
        <f aca="false">L117*(1+INDEX(MkMatrix,3,3))</f>
        <v>0</v>
      </c>
      <c r="S117" s="62" t="n">
        <f aca="false">N117*CC_SharedSell</f>
        <v>0</v>
      </c>
      <c r="T117" s="62" t="n">
        <f aca="false">P117*N(QCont)</f>
        <v>0</v>
      </c>
      <c r="U117" s="62" t="n">
        <f aca="false">Q117+R117+S117+T117</f>
        <v>0</v>
      </c>
      <c r="V117" s="62" t="n">
        <f aca="false">-U117*N(QDisc)</f>
        <v>-0</v>
      </c>
      <c r="W117" s="63" t="n">
        <f aca="false">U117+V117</f>
        <v>0</v>
      </c>
      <c r="X117" s="63" t="n">
        <f aca="false">W117/QRate</f>
        <v>0</v>
      </c>
      <c r="Y117" s="0" t="n">
        <v>4</v>
      </c>
    </row>
    <row r="118" customFormat="false" ht="15" hidden="false" customHeight="false" outlineLevel="0" collapsed="false">
      <c r="A118" s="68" t="n">
        <f aca="false">'CC Volume'!A118</f>
        <v>10</v>
      </c>
      <c r="B118" s="13" t="str">
        <f aca="false">IF('CC Volume'!B118="","",'CC Volume'!B118)</f>
        <v/>
      </c>
      <c r="C118" s="13" t="str">
        <f aca="false">IF('CC Volume'!C118="","",'CC Volume'!C118)</f>
        <v/>
      </c>
      <c r="D118" s="13" t="str">
        <f aca="false">IF('CC Volume'!D118="","",'CC Volume'!D118)</f>
        <v/>
      </c>
      <c r="E118" s="68" t="str">
        <f aca="false">IF('CC Volume'!E118="","",'CC Volume'!E118)</f>
        <v/>
      </c>
      <c r="F118" s="68" t="str">
        <f aca="false">IF('CC Volume'!F118="","",'CC Volume'!F118)</f>
        <v/>
      </c>
      <c r="G118" s="69" t="str">
        <f aca="false">'CC Volume'!AN118</f>
        <v/>
      </c>
      <c r="H118" s="69" t="str">
        <f aca="false">'CC Volume'!AO118</f>
        <v/>
      </c>
      <c r="I118" s="69" t="str">
        <f aca="false">'CC Volume'!AM118</f>
        <v/>
      </c>
      <c r="J118" s="62" t="str">
        <f aca="false">IF(N(H118)=0,"",IFERROR(INDEX(CC_RegRate,MATCH(F118,CC_RegU,0)),0))</f>
        <v/>
      </c>
      <c r="K118" s="62" t="n">
        <f aca="false">N(H118)*N(J118)</f>
        <v>0</v>
      </c>
      <c r="L118" s="62" t="n">
        <f aca="false">IF(CC_IncWaste="Yes",N(I118)*N(XWaste),0)</f>
        <v>0</v>
      </c>
      <c r="M118" s="65" t="n">
        <f aca="false">IF(N(G118)=0,0,IF(CC_AllocBasis="Equipment count",1,IF(CC_AllocBasis="Equipment volume",N(G118),N(H118))))</f>
        <v>0</v>
      </c>
      <c r="N118" s="15" t="n">
        <f aca="false">IF(SUM(CC_P_M)=0,0,M118/SUM(CC_P_M))</f>
        <v>0</v>
      </c>
      <c r="O118" s="62" t="n">
        <f aca="false">N118*CC_SharedCost</f>
        <v>0</v>
      </c>
      <c r="P118" s="63" t="n">
        <f aca="false">K118+L118+O118</f>
        <v>0</v>
      </c>
      <c r="Q118" s="62" t="n">
        <f aca="false">K118*(1+INDEX(MkMatrix,3,3))</f>
        <v>0</v>
      </c>
      <c r="R118" s="62" t="n">
        <f aca="false">L118*(1+INDEX(MkMatrix,3,3))</f>
        <v>0</v>
      </c>
      <c r="S118" s="62" t="n">
        <f aca="false">N118*CC_SharedSell</f>
        <v>0</v>
      </c>
      <c r="T118" s="62" t="n">
        <f aca="false">P118*N(QCont)</f>
        <v>0</v>
      </c>
      <c r="U118" s="62" t="n">
        <f aca="false">Q118+R118+S118+T118</f>
        <v>0</v>
      </c>
      <c r="V118" s="62" t="n">
        <f aca="false">-U118*N(QDisc)</f>
        <v>-0</v>
      </c>
      <c r="W118" s="63" t="n">
        <f aca="false">U118+V118</f>
        <v>0</v>
      </c>
      <c r="X118" s="63" t="n">
        <f aca="false">W118/QRate</f>
        <v>0</v>
      </c>
      <c r="Y118" s="0" t="n">
        <v>4</v>
      </c>
    </row>
    <row r="119" customFormat="false" ht="15" hidden="false" customHeight="false" outlineLevel="0" collapsed="false">
      <c r="A119" s="68" t="n">
        <f aca="false">'CC Volume'!A119</f>
        <v>11</v>
      </c>
      <c r="B119" s="13" t="str">
        <f aca="false">IF('CC Volume'!B119="","",'CC Volume'!B119)</f>
        <v/>
      </c>
      <c r="C119" s="13" t="str">
        <f aca="false">IF('CC Volume'!C119="","",'CC Volume'!C119)</f>
        <v/>
      </c>
      <c r="D119" s="13" t="str">
        <f aca="false">IF('CC Volume'!D119="","",'CC Volume'!D119)</f>
        <v/>
      </c>
      <c r="E119" s="68" t="str">
        <f aca="false">IF('CC Volume'!E119="","",'CC Volume'!E119)</f>
        <v/>
      </c>
      <c r="F119" s="68" t="str">
        <f aca="false">IF('CC Volume'!F119="","",'CC Volume'!F119)</f>
        <v/>
      </c>
      <c r="G119" s="69" t="str">
        <f aca="false">'CC Volume'!AN119</f>
        <v/>
      </c>
      <c r="H119" s="69" t="str">
        <f aca="false">'CC Volume'!AO119</f>
        <v/>
      </c>
      <c r="I119" s="69" t="str">
        <f aca="false">'CC Volume'!AM119</f>
        <v/>
      </c>
      <c r="J119" s="62" t="str">
        <f aca="false">IF(N(H119)=0,"",IFERROR(INDEX(CC_RegRate,MATCH(F119,CC_RegU,0)),0))</f>
        <v/>
      </c>
      <c r="K119" s="62" t="n">
        <f aca="false">N(H119)*N(J119)</f>
        <v>0</v>
      </c>
      <c r="L119" s="62" t="n">
        <f aca="false">IF(CC_IncWaste="Yes",N(I119)*N(XWaste),0)</f>
        <v>0</v>
      </c>
      <c r="M119" s="65" t="n">
        <f aca="false">IF(N(G119)=0,0,IF(CC_AllocBasis="Equipment count",1,IF(CC_AllocBasis="Equipment volume",N(G119),N(H119))))</f>
        <v>0</v>
      </c>
      <c r="N119" s="15" t="n">
        <f aca="false">IF(SUM(CC_P_M)=0,0,M119/SUM(CC_P_M))</f>
        <v>0</v>
      </c>
      <c r="O119" s="62" t="n">
        <f aca="false">N119*CC_SharedCost</f>
        <v>0</v>
      </c>
      <c r="P119" s="63" t="n">
        <f aca="false">K119+L119+O119</f>
        <v>0</v>
      </c>
      <c r="Q119" s="62" t="n">
        <f aca="false">K119*(1+INDEX(MkMatrix,3,3))</f>
        <v>0</v>
      </c>
      <c r="R119" s="62" t="n">
        <f aca="false">L119*(1+INDEX(MkMatrix,3,3))</f>
        <v>0</v>
      </c>
      <c r="S119" s="62" t="n">
        <f aca="false">N119*CC_SharedSell</f>
        <v>0</v>
      </c>
      <c r="T119" s="62" t="n">
        <f aca="false">P119*N(QCont)</f>
        <v>0</v>
      </c>
      <c r="U119" s="62" t="n">
        <f aca="false">Q119+R119+S119+T119</f>
        <v>0</v>
      </c>
      <c r="V119" s="62" t="n">
        <f aca="false">-U119*N(QDisc)</f>
        <v>-0</v>
      </c>
      <c r="W119" s="63" t="n">
        <f aca="false">U119+V119</f>
        <v>0</v>
      </c>
      <c r="X119" s="63" t="n">
        <f aca="false">W119/QRate</f>
        <v>0</v>
      </c>
      <c r="Y119" s="0" t="n">
        <v>4</v>
      </c>
    </row>
    <row r="120" customFormat="false" ht="15" hidden="false" customHeight="false" outlineLevel="0" collapsed="false">
      <c r="A120" s="68" t="n">
        <f aca="false">'CC Volume'!A120</f>
        <v>12</v>
      </c>
      <c r="B120" s="13" t="str">
        <f aca="false">IF('CC Volume'!B120="","",'CC Volume'!B120)</f>
        <v/>
      </c>
      <c r="C120" s="13" t="str">
        <f aca="false">IF('CC Volume'!C120="","",'CC Volume'!C120)</f>
        <v/>
      </c>
      <c r="D120" s="13" t="str">
        <f aca="false">IF('CC Volume'!D120="","",'CC Volume'!D120)</f>
        <v/>
      </c>
      <c r="E120" s="68" t="str">
        <f aca="false">IF('CC Volume'!E120="","",'CC Volume'!E120)</f>
        <v/>
      </c>
      <c r="F120" s="68" t="str">
        <f aca="false">IF('CC Volume'!F120="","",'CC Volume'!F120)</f>
        <v/>
      </c>
      <c r="G120" s="69" t="str">
        <f aca="false">'CC Volume'!AN120</f>
        <v/>
      </c>
      <c r="H120" s="69" t="str">
        <f aca="false">'CC Volume'!AO120</f>
        <v/>
      </c>
      <c r="I120" s="69" t="str">
        <f aca="false">'CC Volume'!AM120</f>
        <v/>
      </c>
      <c r="J120" s="62" t="str">
        <f aca="false">IF(N(H120)=0,"",IFERROR(INDEX(CC_RegRate,MATCH(F120,CC_RegU,0)),0))</f>
        <v/>
      </c>
      <c r="K120" s="62" t="n">
        <f aca="false">N(H120)*N(J120)</f>
        <v>0</v>
      </c>
      <c r="L120" s="62" t="n">
        <f aca="false">IF(CC_IncWaste="Yes",N(I120)*N(XWaste),0)</f>
        <v>0</v>
      </c>
      <c r="M120" s="65" t="n">
        <f aca="false">IF(N(G120)=0,0,IF(CC_AllocBasis="Equipment count",1,IF(CC_AllocBasis="Equipment volume",N(G120),N(H120))))</f>
        <v>0</v>
      </c>
      <c r="N120" s="15" t="n">
        <f aca="false">IF(SUM(CC_P_M)=0,0,M120/SUM(CC_P_M))</f>
        <v>0</v>
      </c>
      <c r="O120" s="62" t="n">
        <f aca="false">N120*CC_SharedCost</f>
        <v>0</v>
      </c>
      <c r="P120" s="63" t="n">
        <f aca="false">K120+L120+O120</f>
        <v>0</v>
      </c>
      <c r="Q120" s="62" t="n">
        <f aca="false">K120*(1+INDEX(MkMatrix,3,3))</f>
        <v>0</v>
      </c>
      <c r="R120" s="62" t="n">
        <f aca="false">L120*(1+INDEX(MkMatrix,3,3))</f>
        <v>0</v>
      </c>
      <c r="S120" s="62" t="n">
        <f aca="false">N120*CC_SharedSell</f>
        <v>0</v>
      </c>
      <c r="T120" s="62" t="n">
        <f aca="false">P120*N(QCont)</f>
        <v>0</v>
      </c>
      <c r="U120" s="62" t="n">
        <f aca="false">Q120+R120+S120+T120</f>
        <v>0</v>
      </c>
      <c r="V120" s="62" t="n">
        <f aca="false">-U120*N(QDisc)</f>
        <v>-0</v>
      </c>
      <c r="W120" s="63" t="n">
        <f aca="false">U120+V120</f>
        <v>0</v>
      </c>
      <c r="X120" s="63" t="n">
        <f aca="false">W120/QRate</f>
        <v>0</v>
      </c>
      <c r="Y120" s="0" t="n">
        <v>4</v>
      </c>
    </row>
    <row r="121" customFormat="false" ht="15" hidden="false" customHeight="false" outlineLevel="0" collapsed="false">
      <c r="A121" s="68" t="n">
        <f aca="false">'CC Volume'!A121</f>
        <v>13</v>
      </c>
      <c r="B121" s="13" t="str">
        <f aca="false">IF('CC Volume'!B121="","",'CC Volume'!B121)</f>
        <v/>
      </c>
      <c r="C121" s="13" t="str">
        <f aca="false">IF('CC Volume'!C121="","",'CC Volume'!C121)</f>
        <v/>
      </c>
      <c r="D121" s="13" t="str">
        <f aca="false">IF('CC Volume'!D121="","",'CC Volume'!D121)</f>
        <v/>
      </c>
      <c r="E121" s="68" t="str">
        <f aca="false">IF('CC Volume'!E121="","",'CC Volume'!E121)</f>
        <v/>
      </c>
      <c r="F121" s="68" t="str">
        <f aca="false">IF('CC Volume'!F121="","",'CC Volume'!F121)</f>
        <v/>
      </c>
      <c r="G121" s="69" t="str">
        <f aca="false">'CC Volume'!AN121</f>
        <v/>
      </c>
      <c r="H121" s="69" t="str">
        <f aca="false">'CC Volume'!AO121</f>
        <v/>
      </c>
      <c r="I121" s="69" t="str">
        <f aca="false">'CC Volume'!AM121</f>
        <v/>
      </c>
      <c r="J121" s="62" t="str">
        <f aca="false">IF(N(H121)=0,"",IFERROR(INDEX(CC_RegRate,MATCH(F121,CC_RegU,0)),0))</f>
        <v/>
      </c>
      <c r="K121" s="62" t="n">
        <f aca="false">N(H121)*N(J121)</f>
        <v>0</v>
      </c>
      <c r="L121" s="62" t="n">
        <f aca="false">IF(CC_IncWaste="Yes",N(I121)*N(XWaste),0)</f>
        <v>0</v>
      </c>
      <c r="M121" s="65" t="n">
        <f aca="false">IF(N(G121)=0,0,IF(CC_AllocBasis="Equipment count",1,IF(CC_AllocBasis="Equipment volume",N(G121),N(H121))))</f>
        <v>0</v>
      </c>
      <c r="N121" s="15" t="n">
        <f aca="false">IF(SUM(CC_P_M)=0,0,M121/SUM(CC_P_M))</f>
        <v>0</v>
      </c>
      <c r="O121" s="62" t="n">
        <f aca="false">N121*CC_SharedCost</f>
        <v>0</v>
      </c>
      <c r="P121" s="63" t="n">
        <f aca="false">K121+L121+O121</f>
        <v>0</v>
      </c>
      <c r="Q121" s="62" t="n">
        <f aca="false">K121*(1+INDEX(MkMatrix,3,3))</f>
        <v>0</v>
      </c>
      <c r="R121" s="62" t="n">
        <f aca="false">L121*(1+INDEX(MkMatrix,3,3))</f>
        <v>0</v>
      </c>
      <c r="S121" s="62" t="n">
        <f aca="false">N121*CC_SharedSell</f>
        <v>0</v>
      </c>
      <c r="T121" s="62" t="n">
        <f aca="false">P121*N(QCont)</f>
        <v>0</v>
      </c>
      <c r="U121" s="62" t="n">
        <f aca="false">Q121+R121+S121+T121</f>
        <v>0</v>
      </c>
      <c r="V121" s="62" t="n">
        <f aca="false">-U121*N(QDisc)</f>
        <v>-0</v>
      </c>
      <c r="W121" s="63" t="n">
        <f aca="false">U121+V121</f>
        <v>0</v>
      </c>
      <c r="X121" s="63" t="n">
        <f aca="false">W121/QRate</f>
        <v>0</v>
      </c>
      <c r="Y121" s="0" t="n">
        <v>4</v>
      </c>
    </row>
    <row r="122" customFormat="false" ht="15" hidden="false" customHeight="false" outlineLevel="0" collapsed="false">
      <c r="A122" s="68" t="n">
        <f aca="false">'CC Volume'!A122</f>
        <v>14</v>
      </c>
      <c r="B122" s="13" t="str">
        <f aca="false">IF('CC Volume'!B122="","",'CC Volume'!B122)</f>
        <v/>
      </c>
      <c r="C122" s="13" t="str">
        <f aca="false">IF('CC Volume'!C122="","",'CC Volume'!C122)</f>
        <v/>
      </c>
      <c r="D122" s="13" t="str">
        <f aca="false">IF('CC Volume'!D122="","",'CC Volume'!D122)</f>
        <v/>
      </c>
      <c r="E122" s="68" t="str">
        <f aca="false">IF('CC Volume'!E122="","",'CC Volume'!E122)</f>
        <v/>
      </c>
      <c r="F122" s="68" t="str">
        <f aca="false">IF('CC Volume'!F122="","",'CC Volume'!F122)</f>
        <v/>
      </c>
      <c r="G122" s="69" t="str">
        <f aca="false">'CC Volume'!AN122</f>
        <v/>
      </c>
      <c r="H122" s="69" t="str">
        <f aca="false">'CC Volume'!AO122</f>
        <v/>
      </c>
      <c r="I122" s="69" t="str">
        <f aca="false">'CC Volume'!AM122</f>
        <v/>
      </c>
      <c r="J122" s="62" t="str">
        <f aca="false">IF(N(H122)=0,"",IFERROR(INDEX(CC_RegRate,MATCH(F122,CC_RegU,0)),0))</f>
        <v/>
      </c>
      <c r="K122" s="62" t="n">
        <f aca="false">N(H122)*N(J122)</f>
        <v>0</v>
      </c>
      <c r="L122" s="62" t="n">
        <f aca="false">IF(CC_IncWaste="Yes",N(I122)*N(XWaste),0)</f>
        <v>0</v>
      </c>
      <c r="M122" s="65" t="n">
        <f aca="false">IF(N(G122)=0,0,IF(CC_AllocBasis="Equipment count",1,IF(CC_AllocBasis="Equipment volume",N(G122),N(H122))))</f>
        <v>0</v>
      </c>
      <c r="N122" s="15" t="n">
        <f aca="false">IF(SUM(CC_P_M)=0,0,M122/SUM(CC_P_M))</f>
        <v>0</v>
      </c>
      <c r="O122" s="62" t="n">
        <f aca="false">N122*CC_SharedCost</f>
        <v>0</v>
      </c>
      <c r="P122" s="63" t="n">
        <f aca="false">K122+L122+O122</f>
        <v>0</v>
      </c>
      <c r="Q122" s="62" t="n">
        <f aca="false">K122*(1+INDEX(MkMatrix,3,3))</f>
        <v>0</v>
      </c>
      <c r="R122" s="62" t="n">
        <f aca="false">L122*(1+INDEX(MkMatrix,3,3))</f>
        <v>0</v>
      </c>
      <c r="S122" s="62" t="n">
        <f aca="false">N122*CC_SharedSell</f>
        <v>0</v>
      </c>
      <c r="T122" s="62" t="n">
        <f aca="false">P122*N(QCont)</f>
        <v>0</v>
      </c>
      <c r="U122" s="62" t="n">
        <f aca="false">Q122+R122+S122+T122</f>
        <v>0</v>
      </c>
      <c r="V122" s="62" t="n">
        <f aca="false">-U122*N(QDisc)</f>
        <v>-0</v>
      </c>
      <c r="W122" s="63" t="n">
        <f aca="false">U122+V122</f>
        <v>0</v>
      </c>
      <c r="X122" s="63" t="n">
        <f aca="false">W122/QRate</f>
        <v>0</v>
      </c>
      <c r="Y122" s="0" t="n">
        <v>4</v>
      </c>
    </row>
    <row r="123" customFormat="false" ht="15" hidden="false" customHeight="false" outlineLevel="0" collapsed="false">
      <c r="A123" s="68" t="n">
        <f aca="false">'CC Volume'!A123</f>
        <v>15</v>
      </c>
      <c r="B123" s="13" t="str">
        <f aca="false">IF('CC Volume'!B123="","",'CC Volume'!B123)</f>
        <v/>
      </c>
      <c r="C123" s="13" t="str">
        <f aca="false">IF('CC Volume'!C123="","",'CC Volume'!C123)</f>
        <v/>
      </c>
      <c r="D123" s="13" t="str">
        <f aca="false">IF('CC Volume'!D123="","",'CC Volume'!D123)</f>
        <v/>
      </c>
      <c r="E123" s="68" t="str">
        <f aca="false">IF('CC Volume'!E123="","",'CC Volume'!E123)</f>
        <v/>
      </c>
      <c r="F123" s="68" t="str">
        <f aca="false">IF('CC Volume'!F123="","",'CC Volume'!F123)</f>
        <v/>
      </c>
      <c r="G123" s="69" t="str">
        <f aca="false">'CC Volume'!AN123</f>
        <v/>
      </c>
      <c r="H123" s="69" t="str">
        <f aca="false">'CC Volume'!AO123</f>
        <v/>
      </c>
      <c r="I123" s="69" t="str">
        <f aca="false">'CC Volume'!AM123</f>
        <v/>
      </c>
      <c r="J123" s="62" t="str">
        <f aca="false">IF(N(H123)=0,"",IFERROR(INDEX(CC_RegRate,MATCH(F123,CC_RegU,0)),0))</f>
        <v/>
      </c>
      <c r="K123" s="62" t="n">
        <f aca="false">N(H123)*N(J123)</f>
        <v>0</v>
      </c>
      <c r="L123" s="62" t="n">
        <f aca="false">IF(CC_IncWaste="Yes",N(I123)*N(XWaste),0)</f>
        <v>0</v>
      </c>
      <c r="M123" s="65" t="n">
        <f aca="false">IF(N(G123)=0,0,IF(CC_AllocBasis="Equipment count",1,IF(CC_AllocBasis="Equipment volume",N(G123),N(H123))))</f>
        <v>0</v>
      </c>
      <c r="N123" s="15" t="n">
        <f aca="false">IF(SUM(CC_P_M)=0,0,M123/SUM(CC_P_M))</f>
        <v>0</v>
      </c>
      <c r="O123" s="62" t="n">
        <f aca="false">N123*CC_SharedCost</f>
        <v>0</v>
      </c>
      <c r="P123" s="63" t="n">
        <f aca="false">K123+L123+O123</f>
        <v>0</v>
      </c>
      <c r="Q123" s="62" t="n">
        <f aca="false">K123*(1+INDEX(MkMatrix,3,3))</f>
        <v>0</v>
      </c>
      <c r="R123" s="62" t="n">
        <f aca="false">L123*(1+INDEX(MkMatrix,3,3))</f>
        <v>0</v>
      </c>
      <c r="S123" s="62" t="n">
        <f aca="false">N123*CC_SharedSell</f>
        <v>0</v>
      </c>
      <c r="T123" s="62" t="n">
        <f aca="false">P123*N(QCont)</f>
        <v>0</v>
      </c>
      <c r="U123" s="62" t="n">
        <f aca="false">Q123+R123+S123+T123</f>
        <v>0</v>
      </c>
      <c r="V123" s="62" t="n">
        <f aca="false">-U123*N(QDisc)</f>
        <v>-0</v>
      </c>
      <c r="W123" s="63" t="n">
        <f aca="false">U123+V123</f>
        <v>0</v>
      </c>
      <c r="X123" s="63" t="n">
        <f aca="false">W123/QRate</f>
        <v>0</v>
      </c>
      <c r="Y123" s="0" t="n">
        <v>4</v>
      </c>
    </row>
    <row r="124" customFormat="false" ht="15" hidden="false" customHeight="false" outlineLevel="0" collapsed="false">
      <c r="A124" s="68" t="n">
        <f aca="false">'CC Volume'!A124</f>
        <v>16</v>
      </c>
      <c r="B124" s="13" t="str">
        <f aca="false">IF('CC Volume'!B124="","",'CC Volume'!B124)</f>
        <v/>
      </c>
      <c r="C124" s="13" t="str">
        <f aca="false">IF('CC Volume'!C124="","",'CC Volume'!C124)</f>
        <v/>
      </c>
      <c r="D124" s="13" t="str">
        <f aca="false">IF('CC Volume'!D124="","",'CC Volume'!D124)</f>
        <v/>
      </c>
      <c r="E124" s="68" t="str">
        <f aca="false">IF('CC Volume'!E124="","",'CC Volume'!E124)</f>
        <v/>
      </c>
      <c r="F124" s="68" t="str">
        <f aca="false">IF('CC Volume'!F124="","",'CC Volume'!F124)</f>
        <v/>
      </c>
      <c r="G124" s="69" t="str">
        <f aca="false">'CC Volume'!AN124</f>
        <v/>
      </c>
      <c r="H124" s="69" t="str">
        <f aca="false">'CC Volume'!AO124</f>
        <v/>
      </c>
      <c r="I124" s="69" t="str">
        <f aca="false">'CC Volume'!AM124</f>
        <v/>
      </c>
      <c r="J124" s="62" t="str">
        <f aca="false">IF(N(H124)=0,"",IFERROR(INDEX(CC_RegRate,MATCH(F124,CC_RegU,0)),0))</f>
        <v/>
      </c>
      <c r="K124" s="62" t="n">
        <f aca="false">N(H124)*N(J124)</f>
        <v>0</v>
      </c>
      <c r="L124" s="62" t="n">
        <f aca="false">IF(CC_IncWaste="Yes",N(I124)*N(XWaste),0)</f>
        <v>0</v>
      </c>
      <c r="M124" s="65" t="n">
        <f aca="false">IF(N(G124)=0,0,IF(CC_AllocBasis="Equipment count",1,IF(CC_AllocBasis="Equipment volume",N(G124),N(H124))))</f>
        <v>0</v>
      </c>
      <c r="N124" s="15" t="n">
        <f aca="false">IF(SUM(CC_P_M)=0,0,M124/SUM(CC_P_M))</f>
        <v>0</v>
      </c>
      <c r="O124" s="62" t="n">
        <f aca="false">N124*CC_SharedCost</f>
        <v>0</v>
      </c>
      <c r="P124" s="63" t="n">
        <f aca="false">K124+L124+O124</f>
        <v>0</v>
      </c>
      <c r="Q124" s="62" t="n">
        <f aca="false">K124*(1+INDEX(MkMatrix,3,3))</f>
        <v>0</v>
      </c>
      <c r="R124" s="62" t="n">
        <f aca="false">L124*(1+INDEX(MkMatrix,3,3))</f>
        <v>0</v>
      </c>
      <c r="S124" s="62" t="n">
        <f aca="false">N124*CC_SharedSell</f>
        <v>0</v>
      </c>
      <c r="T124" s="62" t="n">
        <f aca="false">P124*N(QCont)</f>
        <v>0</v>
      </c>
      <c r="U124" s="62" t="n">
        <f aca="false">Q124+R124+S124+T124</f>
        <v>0</v>
      </c>
      <c r="V124" s="62" t="n">
        <f aca="false">-U124*N(QDisc)</f>
        <v>-0</v>
      </c>
      <c r="W124" s="63" t="n">
        <f aca="false">U124+V124</f>
        <v>0</v>
      </c>
      <c r="X124" s="63" t="n">
        <f aca="false">W124/QRate</f>
        <v>0</v>
      </c>
      <c r="Y124" s="0" t="n">
        <v>4</v>
      </c>
    </row>
    <row r="125" customFormat="false" ht="15" hidden="false" customHeight="false" outlineLevel="0" collapsed="false">
      <c r="A125" s="68" t="n">
        <f aca="false">'CC Volume'!A125</f>
        <v>17</v>
      </c>
      <c r="B125" s="13" t="str">
        <f aca="false">IF('CC Volume'!B125="","",'CC Volume'!B125)</f>
        <v/>
      </c>
      <c r="C125" s="13" t="str">
        <f aca="false">IF('CC Volume'!C125="","",'CC Volume'!C125)</f>
        <v/>
      </c>
      <c r="D125" s="13" t="str">
        <f aca="false">IF('CC Volume'!D125="","",'CC Volume'!D125)</f>
        <v/>
      </c>
      <c r="E125" s="68" t="str">
        <f aca="false">IF('CC Volume'!E125="","",'CC Volume'!E125)</f>
        <v/>
      </c>
      <c r="F125" s="68" t="str">
        <f aca="false">IF('CC Volume'!F125="","",'CC Volume'!F125)</f>
        <v/>
      </c>
      <c r="G125" s="69" t="str">
        <f aca="false">'CC Volume'!AN125</f>
        <v/>
      </c>
      <c r="H125" s="69" t="str">
        <f aca="false">'CC Volume'!AO125</f>
        <v/>
      </c>
      <c r="I125" s="69" t="str">
        <f aca="false">'CC Volume'!AM125</f>
        <v/>
      </c>
      <c r="J125" s="62" t="str">
        <f aca="false">IF(N(H125)=0,"",IFERROR(INDEX(CC_RegRate,MATCH(F125,CC_RegU,0)),0))</f>
        <v/>
      </c>
      <c r="K125" s="62" t="n">
        <f aca="false">N(H125)*N(J125)</f>
        <v>0</v>
      </c>
      <c r="L125" s="62" t="n">
        <f aca="false">IF(CC_IncWaste="Yes",N(I125)*N(XWaste),0)</f>
        <v>0</v>
      </c>
      <c r="M125" s="65" t="n">
        <f aca="false">IF(N(G125)=0,0,IF(CC_AllocBasis="Equipment count",1,IF(CC_AllocBasis="Equipment volume",N(G125),N(H125))))</f>
        <v>0</v>
      </c>
      <c r="N125" s="15" t="n">
        <f aca="false">IF(SUM(CC_P_M)=0,0,M125/SUM(CC_P_M))</f>
        <v>0</v>
      </c>
      <c r="O125" s="62" t="n">
        <f aca="false">N125*CC_SharedCost</f>
        <v>0</v>
      </c>
      <c r="P125" s="63" t="n">
        <f aca="false">K125+L125+O125</f>
        <v>0</v>
      </c>
      <c r="Q125" s="62" t="n">
        <f aca="false">K125*(1+INDEX(MkMatrix,3,3))</f>
        <v>0</v>
      </c>
      <c r="R125" s="62" t="n">
        <f aca="false">L125*(1+INDEX(MkMatrix,3,3))</f>
        <v>0</v>
      </c>
      <c r="S125" s="62" t="n">
        <f aca="false">N125*CC_SharedSell</f>
        <v>0</v>
      </c>
      <c r="T125" s="62" t="n">
        <f aca="false">P125*N(QCont)</f>
        <v>0</v>
      </c>
      <c r="U125" s="62" t="n">
        <f aca="false">Q125+R125+S125+T125</f>
        <v>0</v>
      </c>
      <c r="V125" s="62" t="n">
        <f aca="false">-U125*N(QDisc)</f>
        <v>-0</v>
      </c>
      <c r="W125" s="63" t="n">
        <f aca="false">U125+V125</f>
        <v>0</v>
      </c>
      <c r="X125" s="63" t="n">
        <f aca="false">W125/QRate</f>
        <v>0</v>
      </c>
      <c r="Y125" s="0" t="n">
        <v>4</v>
      </c>
    </row>
    <row r="126" customFormat="false" ht="15" hidden="false" customHeight="false" outlineLevel="0" collapsed="false">
      <c r="A126" s="68" t="n">
        <f aca="false">'CC Volume'!A126</f>
        <v>18</v>
      </c>
      <c r="B126" s="13" t="str">
        <f aca="false">IF('CC Volume'!B126="","",'CC Volume'!B126)</f>
        <v/>
      </c>
      <c r="C126" s="13" t="str">
        <f aca="false">IF('CC Volume'!C126="","",'CC Volume'!C126)</f>
        <v/>
      </c>
      <c r="D126" s="13" t="str">
        <f aca="false">IF('CC Volume'!D126="","",'CC Volume'!D126)</f>
        <v/>
      </c>
      <c r="E126" s="68" t="str">
        <f aca="false">IF('CC Volume'!E126="","",'CC Volume'!E126)</f>
        <v/>
      </c>
      <c r="F126" s="68" t="str">
        <f aca="false">IF('CC Volume'!F126="","",'CC Volume'!F126)</f>
        <v/>
      </c>
      <c r="G126" s="69" t="str">
        <f aca="false">'CC Volume'!AN126</f>
        <v/>
      </c>
      <c r="H126" s="69" t="str">
        <f aca="false">'CC Volume'!AO126</f>
        <v/>
      </c>
      <c r="I126" s="69" t="str">
        <f aca="false">'CC Volume'!AM126</f>
        <v/>
      </c>
      <c r="J126" s="62" t="str">
        <f aca="false">IF(N(H126)=0,"",IFERROR(INDEX(CC_RegRate,MATCH(F126,CC_RegU,0)),0))</f>
        <v/>
      </c>
      <c r="K126" s="62" t="n">
        <f aca="false">N(H126)*N(J126)</f>
        <v>0</v>
      </c>
      <c r="L126" s="62" t="n">
        <f aca="false">IF(CC_IncWaste="Yes",N(I126)*N(XWaste),0)</f>
        <v>0</v>
      </c>
      <c r="M126" s="65" t="n">
        <f aca="false">IF(N(G126)=0,0,IF(CC_AllocBasis="Equipment count",1,IF(CC_AllocBasis="Equipment volume",N(G126),N(H126))))</f>
        <v>0</v>
      </c>
      <c r="N126" s="15" t="n">
        <f aca="false">IF(SUM(CC_P_M)=0,0,M126/SUM(CC_P_M))</f>
        <v>0</v>
      </c>
      <c r="O126" s="62" t="n">
        <f aca="false">N126*CC_SharedCost</f>
        <v>0</v>
      </c>
      <c r="P126" s="63" t="n">
        <f aca="false">K126+L126+O126</f>
        <v>0</v>
      </c>
      <c r="Q126" s="62" t="n">
        <f aca="false">K126*(1+INDEX(MkMatrix,3,3))</f>
        <v>0</v>
      </c>
      <c r="R126" s="62" t="n">
        <f aca="false">L126*(1+INDEX(MkMatrix,3,3))</f>
        <v>0</v>
      </c>
      <c r="S126" s="62" t="n">
        <f aca="false">N126*CC_SharedSell</f>
        <v>0</v>
      </c>
      <c r="T126" s="62" t="n">
        <f aca="false">P126*N(QCont)</f>
        <v>0</v>
      </c>
      <c r="U126" s="62" t="n">
        <f aca="false">Q126+R126+S126+T126</f>
        <v>0</v>
      </c>
      <c r="V126" s="62" t="n">
        <f aca="false">-U126*N(QDisc)</f>
        <v>-0</v>
      </c>
      <c r="W126" s="63" t="n">
        <f aca="false">U126+V126</f>
        <v>0</v>
      </c>
      <c r="X126" s="63" t="n">
        <f aca="false">W126/QRate</f>
        <v>0</v>
      </c>
      <c r="Y126" s="0" t="n">
        <v>4</v>
      </c>
    </row>
    <row r="127" customFormat="false" ht="15" hidden="false" customHeight="false" outlineLevel="0" collapsed="false">
      <c r="A127" s="68" t="n">
        <f aca="false">'CC Volume'!A127</f>
        <v>19</v>
      </c>
      <c r="B127" s="13" t="str">
        <f aca="false">IF('CC Volume'!B127="","",'CC Volume'!B127)</f>
        <v/>
      </c>
      <c r="C127" s="13" t="str">
        <f aca="false">IF('CC Volume'!C127="","",'CC Volume'!C127)</f>
        <v/>
      </c>
      <c r="D127" s="13" t="str">
        <f aca="false">IF('CC Volume'!D127="","",'CC Volume'!D127)</f>
        <v/>
      </c>
      <c r="E127" s="68" t="str">
        <f aca="false">IF('CC Volume'!E127="","",'CC Volume'!E127)</f>
        <v/>
      </c>
      <c r="F127" s="68" t="str">
        <f aca="false">IF('CC Volume'!F127="","",'CC Volume'!F127)</f>
        <v/>
      </c>
      <c r="G127" s="69" t="str">
        <f aca="false">'CC Volume'!AN127</f>
        <v/>
      </c>
      <c r="H127" s="69" t="str">
        <f aca="false">'CC Volume'!AO127</f>
        <v/>
      </c>
      <c r="I127" s="69" t="str">
        <f aca="false">'CC Volume'!AM127</f>
        <v/>
      </c>
      <c r="J127" s="62" t="str">
        <f aca="false">IF(N(H127)=0,"",IFERROR(INDEX(CC_RegRate,MATCH(F127,CC_RegU,0)),0))</f>
        <v/>
      </c>
      <c r="K127" s="62" t="n">
        <f aca="false">N(H127)*N(J127)</f>
        <v>0</v>
      </c>
      <c r="L127" s="62" t="n">
        <f aca="false">IF(CC_IncWaste="Yes",N(I127)*N(XWaste),0)</f>
        <v>0</v>
      </c>
      <c r="M127" s="65" t="n">
        <f aca="false">IF(N(G127)=0,0,IF(CC_AllocBasis="Equipment count",1,IF(CC_AllocBasis="Equipment volume",N(G127),N(H127))))</f>
        <v>0</v>
      </c>
      <c r="N127" s="15" t="n">
        <f aca="false">IF(SUM(CC_P_M)=0,0,M127/SUM(CC_P_M))</f>
        <v>0</v>
      </c>
      <c r="O127" s="62" t="n">
        <f aca="false">N127*CC_SharedCost</f>
        <v>0</v>
      </c>
      <c r="P127" s="63" t="n">
        <f aca="false">K127+L127+O127</f>
        <v>0</v>
      </c>
      <c r="Q127" s="62" t="n">
        <f aca="false">K127*(1+INDEX(MkMatrix,3,3))</f>
        <v>0</v>
      </c>
      <c r="R127" s="62" t="n">
        <f aca="false">L127*(1+INDEX(MkMatrix,3,3))</f>
        <v>0</v>
      </c>
      <c r="S127" s="62" t="n">
        <f aca="false">N127*CC_SharedSell</f>
        <v>0</v>
      </c>
      <c r="T127" s="62" t="n">
        <f aca="false">P127*N(QCont)</f>
        <v>0</v>
      </c>
      <c r="U127" s="62" t="n">
        <f aca="false">Q127+R127+S127+T127</f>
        <v>0</v>
      </c>
      <c r="V127" s="62" t="n">
        <f aca="false">-U127*N(QDisc)</f>
        <v>-0</v>
      </c>
      <c r="W127" s="63" t="n">
        <f aca="false">U127+V127</f>
        <v>0</v>
      </c>
      <c r="X127" s="63" t="n">
        <f aca="false">W127/QRate</f>
        <v>0</v>
      </c>
      <c r="Y127" s="0" t="n">
        <v>4</v>
      </c>
    </row>
    <row r="128" customFormat="false" ht="15" hidden="false" customHeight="false" outlineLevel="0" collapsed="false">
      <c r="A128" s="68" t="n">
        <f aca="false">'CC Volume'!A128</f>
        <v>20</v>
      </c>
      <c r="B128" s="13" t="str">
        <f aca="false">IF('CC Volume'!B128="","",'CC Volume'!B128)</f>
        <v/>
      </c>
      <c r="C128" s="13" t="str">
        <f aca="false">IF('CC Volume'!C128="","",'CC Volume'!C128)</f>
        <v/>
      </c>
      <c r="D128" s="13" t="str">
        <f aca="false">IF('CC Volume'!D128="","",'CC Volume'!D128)</f>
        <v/>
      </c>
      <c r="E128" s="68" t="str">
        <f aca="false">IF('CC Volume'!E128="","",'CC Volume'!E128)</f>
        <v/>
      </c>
      <c r="F128" s="68" t="str">
        <f aca="false">IF('CC Volume'!F128="","",'CC Volume'!F128)</f>
        <v/>
      </c>
      <c r="G128" s="69" t="str">
        <f aca="false">'CC Volume'!AN128</f>
        <v/>
      </c>
      <c r="H128" s="69" t="str">
        <f aca="false">'CC Volume'!AO128</f>
        <v/>
      </c>
      <c r="I128" s="69" t="str">
        <f aca="false">'CC Volume'!AM128</f>
        <v/>
      </c>
      <c r="J128" s="62" t="str">
        <f aca="false">IF(N(H128)=0,"",IFERROR(INDEX(CC_RegRate,MATCH(F128,CC_RegU,0)),0))</f>
        <v/>
      </c>
      <c r="K128" s="62" t="n">
        <f aca="false">N(H128)*N(J128)</f>
        <v>0</v>
      </c>
      <c r="L128" s="62" t="n">
        <f aca="false">IF(CC_IncWaste="Yes",N(I128)*N(XWaste),0)</f>
        <v>0</v>
      </c>
      <c r="M128" s="65" t="n">
        <f aca="false">IF(N(G128)=0,0,IF(CC_AllocBasis="Equipment count",1,IF(CC_AllocBasis="Equipment volume",N(G128),N(H128))))</f>
        <v>0</v>
      </c>
      <c r="N128" s="15" t="n">
        <f aca="false">IF(SUM(CC_P_M)=0,0,M128/SUM(CC_P_M))</f>
        <v>0</v>
      </c>
      <c r="O128" s="62" t="n">
        <f aca="false">N128*CC_SharedCost</f>
        <v>0</v>
      </c>
      <c r="P128" s="63" t="n">
        <f aca="false">K128+L128+O128</f>
        <v>0</v>
      </c>
      <c r="Q128" s="62" t="n">
        <f aca="false">K128*(1+INDEX(MkMatrix,3,3))</f>
        <v>0</v>
      </c>
      <c r="R128" s="62" t="n">
        <f aca="false">L128*(1+INDEX(MkMatrix,3,3))</f>
        <v>0</v>
      </c>
      <c r="S128" s="62" t="n">
        <f aca="false">N128*CC_SharedSell</f>
        <v>0</v>
      </c>
      <c r="T128" s="62" t="n">
        <f aca="false">P128*N(QCont)</f>
        <v>0</v>
      </c>
      <c r="U128" s="62" t="n">
        <f aca="false">Q128+R128+S128+T128</f>
        <v>0</v>
      </c>
      <c r="V128" s="62" t="n">
        <f aca="false">-U128*N(QDisc)</f>
        <v>-0</v>
      </c>
      <c r="W128" s="63" t="n">
        <f aca="false">U128+V128</f>
        <v>0</v>
      </c>
      <c r="X128" s="63" t="n">
        <f aca="false">W128/QRate</f>
        <v>0</v>
      </c>
      <c r="Y128" s="0" t="n">
        <v>4</v>
      </c>
    </row>
    <row r="129" customFormat="false" ht="15" hidden="false" customHeight="false" outlineLevel="0" collapsed="false">
      <c r="A129" s="68" t="n">
        <f aca="false">'CC Volume'!A129</f>
        <v>21</v>
      </c>
      <c r="B129" s="13" t="str">
        <f aca="false">IF('CC Volume'!B129="","",'CC Volume'!B129)</f>
        <v/>
      </c>
      <c r="C129" s="13" t="str">
        <f aca="false">IF('CC Volume'!C129="","",'CC Volume'!C129)</f>
        <v/>
      </c>
      <c r="D129" s="13" t="str">
        <f aca="false">IF('CC Volume'!D129="","",'CC Volume'!D129)</f>
        <v/>
      </c>
      <c r="E129" s="68" t="str">
        <f aca="false">IF('CC Volume'!E129="","",'CC Volume'!E129)</f>
        <v/>
      </c>
      <c r="F129" s="68" t="str">
        <f aca="false">IF('CC Volume'!F129="","",'CC Volume'!F129)</f>
        <v/>
      </c>
      <c r="G129" s="69" t="str">
        <f aca="false">'CC Volume'!AN129</f>
        <v/>
      </c>
      <c r="H129" s="69" t="str">
        <f aca="false">'CC Volume'!AO129</f>
        <v/>
      </c>
      <c r="I129" s="69" t="str">
        <f aca="false">'CC Volume'!AM129</f>
        <v/>
      </c>
      <c r="J129" s="62" t="str">
        <f aca="false">IF(N(H129)=0,"",IFERROR(INDEX(CC_RegRate,MATCH(F129,CC_RegU,0)),0))</f>
        <v/>
      </c>
      <c r="K129" s="62" t="n">
        <f aca="false">N(H129)*N(J129)</f>
        <v>0</v>
      </c>
      <c r="L129" s="62" t="n">
        <f aca="false">IF(CC_IncWaste="Yes",N(I129)*N(XWaste),0)</f>
        <v>0</v>
      </c>
      <c r="M129" s="65" t="n">
        <f aca="false">IF(N(G129)=0,0,IF(CC_AllocBasis="Equipment count",1,IF(CC_AllocBasis="Equipment volume",N(G129),N(H129))))</f>
        <v>0</v>
      </c>
      <c r="N129" s="15" t="n">
        <f aca="false">IF(SUM(CC_P_M)=0,0,M129/SUM(CC_P_M))</f>
        <v>0</v>
      </c>
      <c r="O129" s="62" t="n">
        <f aca="false">N129*CC_SharedCost</f>
        <v>0</v>
      </c>
      <c r="P129" s="63" t="n">
        <f aca="false">K129+L129+O129</f>
        <v>0</v>
      </c>
      <c r="Q129" s="62" t="n">
        <f aca="false">K129*(1+INDEX(MkMatrix,3,3))</f>
        <v>0</v>
      </c>
      <c r="R129" s="62" t="n">
        <f aca="false">L129*(1+INDEX(MkMatrix,3,3))</f>
        <v>0</v>
      </c>
      <c r="S129" s="62" t="n">
        <f aca="false">N129*CC_SharedSell</f>
        <v>0</v>
      </c>
      <c r="T129" s="62" t="n">
        <f aca="false">P129*N(QCont)</f>
        <v>0</v>
      </c>
      <c r="U129" s="62" t="n">
        <f aca="false">Q129+R129+S129+T129</f>
        <v>0</v>
      </c>
      <c r="V129" s="62" t="n">
        <f aca="false">-U129*N(QDisc)</f>
        <v>-0</v>
      </c>
      <c r="W129" s="63" t="n">
        <f aca="false">U129+V129</f>
        <v>0</v>
      </c>
      <c r="X129" s="63" t="n">
        <f aca="false">W129/QRate</f>
        <v>0</v>
      </c>
      <c r="Y129" s="0" t="n">
        <v>4</v>
      </c>
    </row>
    <row r="130" customFormat="false" ht="15" hidden="false" customHeight="false" outlineLevel="0" collapsed="false">
      <c r="A130" s="68" t="n">
        <f aca="false">'CC Volume'!A130</f>
        <v>22</v>
      </c>
      <c r="B130" s="13" t="str">
        <f aca="false">IF('CC Volume'!B130="","",'CC Volume'!B130)</f>
        <v/>
      </c>
      <c r="C130" s="13" t="str">
        <f aca="false">IF('CC Volume'!C130="","",'CC Volume'!C130)</f>
        <v/>
      </c>
      <c r="D130" s="13" t="str">
        <f aca="false">IF('CC Volume'!D130="","",'CC Volume'!D130)</f>
        <v/>
      </c>
      <c r="E130" s="68" t="str">
        <f aca="false">IF('CC Volume'!E130="","",'CC Volume'!E130)</f>
        <v/>
      </c>
      <c r="F130" s="68" t="str">
        <f aca="false">IF('CC Volume'!F130="","",'CC Volume'!F130)</f>
        <v/>
      </c>
      <c r="G130" s="69" t="str">
        <f aca="false">'CC Volume'!AN130</f>
        <v/>
      </c>
      <c r="H130" s="69" t="str">
        <f aca="false">'CC Volume'!AO130</f>
        <v/>
      </c>
      <c r="I130" s="69" t="str">
        <f aca="false">'CC Volume'!AM130</f>
        <v/>
      </c>
      <c r="J130" s="62" t="str">
        <f aca="false">IF(N(H130)=0,"",IFERROR(INDEX(CC_RegRate,MATCH(F130,CC_RegU,0)),0))</f>
        <v/>
      </c>
      <c r="K130" s="62" t="n">
        <f aca="false">N(H130)*N(J130)</f>
        <v>0</v>
      </c>
      <c r="L130" s="62" t="n">
        <f aca="false">IF(CC_IncWaste="Yes",N(I130)*N(XWaste),0)</f>
        <v>0</v>
      </c>
      <c r="M130" s="65" t="n">
        <f aca="false">IF(N(G130)=0,0,IF(CC_AllocBasis="Equipment count",1,IF(CC_AllocBasis="Equipment volume",N(G130),N(H130))))</f>
        <v>0</v>
      </c>
      <c r="N130" s="15" t="n">
        <f aca="false">IF(SUM(CC_P_M)=0,0,M130/SUM(CC_P_M))</f>
        <v>0</v>
      </c>
      <c r="O130" s="62" t="n">
        <f aca="false">N130*CC_SharedCost</f>
        <v>0</v>
      </c>
      <c r="P130" s="63" t="n">
        <f aca="false">K130+L130+O130</f>
        <v>0</v>
      </c>
      <c r="Q130" s="62" t="n">
        <f aca="false">K130*(1+INDEX(MkMatrix,3,3))</f>
        <v>0</v>
      </c>
      <c r="R130" s="62" t="n">
        <f aca="false">L130*(1+INDEX(MkMatrix,3,3))</f>
        <v>0</v>
      </c>
      <c r="S130" s="62" t="n">
        <f aca="false">N130*CC_SharedSell</f>
        <v>0</v>
      </c>
      <c r="T130" s="62" t="n">
        <f aca="false">P130*N(QCont)</f>
        <v>0</v>
      </c>
      <c r="U130" s="62" t="n">
        <f aca="false">Q130+R130+S130+T130</f>
        <v>0</v>
      </c>
      <c r="V130" s="62" t="n">
        <f aca="false">-U130*N(QDisc)</f>
        <v>-0</v>
      </c>
      <c r="W130" s="63" t="n">
        <f aca="false">U130+V130</f>
        <v>0</v>
      </c>
      <c r="X130" s="63" t="n">
        <f aca="false">W130/QRate</f>
        <v>0</v>
      </c>
      <c r="Y130" s="0" t="n">
        <v>4</v>
      </c>
    </row>
    <row r="131" customFormat="false" ht="15" hidden="false" customHeight="false" outlineLevel="0" collapsed="false">
      <c r="A131" s="68" t="n">
        <f aca="false">'CC Volume'!A131</f>
        <v>23</v>
      </c>
      <c r="B131" s="13" t="str">
        <f aca="false">IF('CC Volume'!B131="","",'CC Volume'!B131)</f>
        <v/>
      </c>
      <c r="C131" s="13" t="str">
        <f aca="false">IF('CC Volume'!C131="","",'CC Volume'!C131)</f>
        <v/>
      </c>
      <c r="D131" s="13" t="str">
        <f aca="false">IF('CC Volume'!D131="","",'CC Volume'!D131)</f>
        <v/>
      </c>
      <c r="E131" s="68" t="str">
        <f aca="false">IF('CC Volume'!E131="","",'CC Volume'!E131)</f>
        <v/>
      </c>
      <c r="F131" s="68" t="str">
        <f aca="false">IF('CC Volume'!F131="","",'CC Volume'!F131)</f>
        <v/>
      </c>
      <c r="G131" s="69" t="str">
        <f aca="false">'CC Volume'!AN131</f>
        <v/>
      </c>
      <c r="H131" s="69" t="str">
        <f aca="false">'CC Volume'!AO131</f>
        <v/>
      </c>
      <c r="I131" s="69" t="str">
        <f aca="false">'CC Volume'!AM131</f>
        <v/>
      </c>
      <c r="J131" s="62" t="str">
        <f aca="false">IF(N(H131)=0,"",IFERROR(INDEX(CC_RegRate,MATCH(F131,CC_RegU,0)),0))</f>
        <v/>
      </c>
      <c r="K131" s="62" t="n">
        <f aca="false">N(H131)*N(J131)</f>
        <v>0</v>
      </c>
      <c r="L131" s="62" t="n">
        <f aca="false">IF(CC_IncWaste="Yes",N(I131)*N(XWaste),0)</f>
        <v>0</v>
      </c>
      <c r="M131" s="65" t="n">
        <f aca="false">IF(N(G131)=0,0,IF(CC_AllocBasis="Equipment count",1,IF(CC_AllocBasis="Equipment volume",N(G131),N(H131))))</f>
        <v>0</v>
      </c>
      <c r="N131" s="15" t="n">
        <f aca="false">IF(SUM(CC_P_M)=0,0,M131/SUM(CC_P_M))</f>
        <v>0</v>
      </c>
      <c r="O131" s="62" t="n">
        <f aca="false">N131*CC_SharedCost</f>
        <v>0</v>
      </c>
      <c r="P131" s="63" t="n">
        <f aca="false">K131+L131+O131</f>
        <v>0</v>
      </c>
      <c r="Q131" s="62" t="n">
        <f aca="false">K131*(1+INDEX(MkMatrix,3,3))</f>
        <v>0</v>
      </c>
      <c r="R131" s="62" t="n">
        <f aca="false">L131*(1+INDEX(MkMatrix,3,3))</f>
        <v>0</v>
      </c>
      <c r="S131" s="62" t="n">
        <f aca="false">N131*CC_SharedSell</f>
        <v>0</v>
      </c>
      <c r="T131" s="62" t="n">
        <f aca="false">P131*N(QCont)</f>
        <v>0</v>
      </c>
      <c r="U131" s="62" t="n">
        <f aca="false">Q131+R131+S131+T131</f>
        <v>0</v>
      </c>
      <c r="V131" s="62" t="n">
        <f aca="false">-U131*N(QDisc)</f>
        <v>-0</v>
      </c>
      <c r="W131" s="63" t="n">
        <f aca="false">U131+V131</f>
        <v>0</v>
      </c>
      <c r="X131" s="63" t="n">
        <f aca="false">W131/QRate</f>
        <v>0</v>
      </c>
      <c r="Y131" s="0" t="n">
        <v>4</v>
      </c>
    </row>
    <row r="132" customFormat="false" ht="15" hidden="false" customHeight="false" outlineLevel="0" collapsed="false">
      <c r="A132" s="68" t="n">
        <f aca="false">'CC Volume'!A132</f>
        <v>24</v>
      </c>
      <c r="B132" s="13" t="str">
        <f aca="false">IF('CC Volume'!B132="","",'CC Volume'!B132)</f>
        <v/>
      </c>
      <c r="C132" s="13" t="str">
        <f aca="false">IF('CC Volume'!C132="","",'CC Volume'!C132)</f>
        <v/>
      </c>
      <c r="D132" s="13" t="str">
        <f aca="false">IF('CC Volume'!D132="","",'CC Volume'!D132)</f>
        <v/>
      </c>
      <c r="E132" s="68" t="str">
        <f aca="false">IF('CC Volume'!E132="","",'CC Volume'!E132)</f>
        <v/>
      </c>
      <c r="F132" s="68" t="str">
        <f aca="false">IF('CC Volume'!F132="","",'CC Volume'!F132)</f>
        <v/>
      </c>
      <c r="G132" s="69" t="str">
        <f aca="false">'CC Volume'!AN132</f>
        <v/>
      </c>
      <c r="H132" s="69" t="str">
        <f aca="false">'CC Volume'!AO132</f>
        <v/>
      </c>
      <c r="I132" s="69" t="str">
        <f aca="false">'CC Volume'!AM132</f>
        <v/>
      </c>
      <c r="J132" s="62" t="str">
        <f aca="false">IF(N(H132)=0,"",IFERROR(INDEX(CC_RegRate,MATCH(F132,CC_RegU,0)),0))</f>
        <v/>
      </c>
      <c r="K132" s="62" t="n">
        <f aca="false">N(H132)*N(J132)</f>
        <v>0</v>
      </c>
      <c r="L132" s="62" t="n">
        <f aca="false">IF(CC_IncWaste="Yes",N(I132)*N(XWaste),0)</f>
        <v>0</v>
      </c>
      <c r="M132" s="65" t="n">
        <f aca="false">IF(N(G132)=0,0,IF(CC_AllocBasis="Equipment count",1,IF(CC_AllocBasis="Equipment volume",N(G132),N(H132))))</f>
        <v>0</v>
      </c>
      <c r="N132" s="15" t="n">
        <f aca="false">IF(SUM(CC_P_M)=0,0,M132/SUM(CC_P_M))</f>
        <v>0</v>
      </c>
      <c r="O132" s="62" t="n">
        <f aca="false">N132*CC_SharedCost</f>
        <v>0</v>
      </c>
      <c r="P132" s="63" t="n">
        <f aca="false">K132+L132+O132</f>
        <v>0</v>
      </c>
      <c r="Q132" s="62" t="n">
        <f aca="false">K132*(1+INDEX(MkMatrix,3,3))</f>
        <v>0</v>
      </c>
      <c r="R132" s="62" t="n">
        <f aca="false">L132*(1+INDEX(MkMatrix,3,3))</f>
        <v>0</v>
      </c>
      <c r="S132" s="62" t="n">
        <f aca="false">N132*CC_SharedSell</f>
        <v>0</v>
      </c>
      <c r="T132" s="62" t="n">
        <f aca="false">P132*N(QCont)</f>
        <v>0</v>
      </c>
      <c r="U132" s="62" t="n">
        <f aca="false">Q132+R132+S132+T132</f>
        <v>0</v>
      </c>
      <c r="V132" s="62" t="n">
        <f aca="false">-U132*N(QDisc)</f>
        <v>-0</v>
      </c>
      <c r="W132" s="63" t="n">
        <f aca="false">U132+V132</f>
        <v>0</v>
      </c>
      <c r="X132" s="63" t="n">
        <f aca="false">W132/QRate</f>
        <v>0</v>
      </c>
      <c r="Y132" s="0" t="n">
        <v>4</v>
      </c>
    </row>
    <row r="133" customFormat="false" ht="15" hidden="false" customHeight="false" outlineLevel="0" collapsed="false">
      <c r="A133" s="68" t="n">
        <f aca="false">'CC Volume'!A133</f>
        <v>25</v>
      </c>
      <c r="B133" s="13" t="str">
        <f aca="false">IF('CC Volume'!B133="","",'CC Volume'!B133)</f>
        <v/>
      </c>
      <c r="C133" s="13" t="str">
        <f aca="false">IF('CC Volume'!C133="","",'CC Volume'!C133)</f>
        <v/>
      </c>
      <c r="D133" s="13" t="str">
        <f aca="false">IF('CC Volume'!D133="","",'CC Volume'!D133)</f>
        <v/>
      </c>
      <c r="E133" s="68" t="str">
        <f aca="false">IF('CC Volume'!E133="","",'CC Volume'!E133)</f>
        <v/>
      </c>
      <c r="F133" s="68" t="str">
        <f aca="false">IF('CC Volume'!F133="","",'CC Volume'!F133)</f>
        <v/>
      </c>
      <c r="G133" s="69" t="str">
        <f aca="false">'CC Volume'!AN133</f>
        <v/>
      </c>
      <c r="H133" s="69" t="str">
        <f aca="false">'CC Volume'!AO133</f>
        <v/>
      </c>
      <c r="I133" s="69" t="str">
        <f aca="false">'CC Volume'!AM133</f>
        <v/>
      </c>
      <c r="J133" s="62" t="str">
        <f aca="false">IF(N(H133)=0,"",IFERROR(INDEX(CC_RegRate,MATCH(F133,CC_RegU,0)),0))</f>
        <v/>
      </c>
      <c r="K133" s="62" t="n">
        <f aca="false">N(H133)*N(J133)</f>
        <v>0</v>
      </c>
      <c r="L133" s="62" t="n">
        <f aca="false">IF(CC_IncWaste="Yes",N(I133)*N(XWaste),0)</f>
        <v>0</v>
      </c>
      <c r="M133" s="65" t="n">
        <f aca="false">IF(N(G133)=0,0,IF(CC_AllocBasis="Equipment count",1,IF(CC_AllocBasis="Equipment volume",N(G133),N(H133))))</f>
        <v>0</v>
      </c>
      <c r="N133" s="15" t="n">
        <f aca="false">IF(SUM(CC_P_M)=0,0,M133/SUM(CC_P_M))</f>
        <v>0</v>
      </c>
      <c r="O133" s="62" t="n">
        <f aca="false">N133*CC_SharedCost</f>
        <v>0</v>
      </c>
      <c r="P133" s="63" t="n">
        <f aca="false">K133+L133+O133</f>
        <v>0</v>
      </c>
      <c r="Q133" s="62" t="n">
        <f aca="false">K133*(1+INDEX(MkMatrix,3,3))</f>
        <v>0</v>
      </c>
      <c r="R133" s="62" t="n">
        <f aca="false">L133*(1+INDEX(MkMatrix,3,3))</f>
        <v>0</v>
      </c>
      <c r="S133" s="62" t="n">
        <f aca="false">N133*CC_SharedSell</f>
        <v>0</v>
      </c>
      <c r="T133" s="62" t="n">
        <f aca="false">P133*N(QCont)</f>
        <v>0</v>
      </c>
      <c r="U133" s="62" t="n">
        <f aca="false">Q133+R133+S133+T133</f>
        <v>0</v>
      </c>
      <c r="V133" s="62" t="n">
        <f aca="false">-U133*N(QDisc)</f>
        <v>-0</v>
      </c>
      <c r="W133" s="63" t="n">
        <f aca="false">U133+V133</f>
        <v>0</v>
      </c>
      <c r="X133" s="63" t="n">
        <f aca="false">W133/QRate</f>
        <v>0</v>
      </c>
      <c r="Y133" s="0" t="n">
        <v>4</v>
      </c>
    </row>
    <row r="134" customFormat="false" ht="15" hidden="false" customHeight="false" outlineLevel="0" collapsed="false">
      <c r="A134" s="68" t="n">
        <f aca="false">'CC Volume'!A134</f>
        <v>26</v>
      </c>
      <c r="B134" s="13" t="str">
        <f aca="false">IF('CC Volume'!B134="","",'CC Volume'!B134)</f>
        <v/>
      </c>
      <c r="C134" s="13" t="str">
        <f aca="false">IF('CC Volume'!C134="","",'CC Volume'!C134)</f>
        <v/>
      </c>
      <c r="D134" s="13" t="str">
        <f aca="false">IF('CC Volume'!D134="","",'CC Volume'!D134)</f>
        <v/>
      </c>
      <c r="E134" s="68" t="str">
        <f aca="false">IF('CC Volume'!E134="","",'CC Volume'!E134)</f>
        <v/>
      </c>
      <c r="F134" s="68" t="str">
        <f aca="false">IF('CC Volume'!F134="","",'CC Volume'!F134)</f>
        <v/>
      </c>
      <c r="G134" s="69" t="str">
        <f aca="false">'CC Volume'!AN134</f>
        <v/>
      </c>
      <c r="H134" s="69" t="str">
        <f aca="false">'CC Volume'!AO134</f>
        <v/>
      </c>
      <c r="I134" s="69" t="str">
        <f aca="false">'CC Volume'!AM134</f>
        <v/>
      </c>
      <c r="J134" s="62" t="str">
        <f aca="false">IF(N(H134)=0,"",IFERROR(INDEX(CC_RegRate,MATCH(F134,CC_RegU,0)),0))</f>
        <v/>
      </c>
      <c r="K134" s="62" t="n">
        <f aca="false">N(H134)*N(J134)</f>
        <v>0</v>
      </c>
      <c r="L134" s="62" t="n">
        <f aca="false">IF(CC_IncWaste="Yes",N(I134)*N(XWaste),0)</f>
        <v>0</v>
      </c>
      <c r="M134" s="65" t="n">
        <f aca="false">IF(N(G134)=0,0,IF(CC_AllocBasis="Equipment count",1,IF(CC_AllocBasis="Equipment volume",N(G134),N(H134))))</f>
        <v>0</v>
      </c>
      <c r="N134" s="15" t="n">
        <f aca="false">IF(SUM(CC_P_M)=0,0,M134/SUM(CC_P_M))</f>
        <v>0</v>
      </c>
      <c r="O134" s="62" t="n">
        <f aca="false">N134*CC_SharedCost</f>
        <v>0</v>
      </c>
      <c r="P134" s="63" t="n">
        <f aca="false">K134+L134+O134</f>
        <v>0</v>
      </c>
      <c r="Q134" s="62" t="n">
        <f aca="false">K134*(1+INDEX(MkMatrix,3,3))</f>
        <v>0</v>
      </c>
      <c r="R134" s="62" t="n">
        <f aca="false">L134*(1+INDEX(MkMatrix,3,3))</f>
        <v>0</v>
      </c>
      <c r="S134" s="62" t="n">
        <f aca="false">N134*CC_SharedSell</f>
        <v>0</v>
      </c>
      <c r="T134" s="62" t="n">
        <f aca="false">P134*N(QCont)</f>
        <v>0</v>
      </c>
      <c r="U134" s="62" t="n">
        <f aca="false">Q134+R134+S134+T134</f>
        <v>0</v>
      </c>
      <c r="V134" s="62" t="n">
        <f aca="false">-U134*N(QDisc)</f>
        <v>-0</v>
      </c>
      <c r="W134" s="63" t="n">
        <f aca="false">U134+V134</f>
        <v>0</v>
      </c>
      <c r="X134" s="63" t="n">
        <f aca="false">W134/QRate</f>
        <v>0</v>
      </c>
      <c r="Y134" s="0" t="n">
        <v>4</v>
      </c>
    </row>
    <row r="135" customFormat="false" ht="15" hidden="false" customHeight="false" outlineLevel="0" collapsed="false">
      <c r="A135" s="68" t="n">
        <f aca="false">'CC Volume'!A135</f>
        <v>27</v>
      </c>
      <c r="B135" s="13" t="str">
        <f aca="false">IF('CC Volume'!B135="","",'CC Volume'!B135)</f>
        <v/>
      </c>
      <c r="C135" s="13" t="str">
        <f aca="false">IF('CC Volume'!C135="","",'CC Volume'!C135)</f>
        <v/>
      </c>
      <c r="D135" s="13" t="str">
        <f aca="false">IF('CC Volume'!D135="","",'CC Volume'!D135)</f>
        <v/>
      </c>
      <c r="E135" s="68" t="str">
        <f aca="false">IF('CC Volume'!E135="","",'CC Volume'!E135)</f>
        <v/>
      </c>
      <c r="F135" s="68" t="str">
        <f aca="false">IF('CC Volume'!F135="","",'CC Volume'!F135)</f>
        <v/>
      </c>
      <c r="G135" s="69" t="str">
        <f aca="false">'CC Volume'!AN135</f>
        <v/>
      </c>
      <c r="H135" s="69" t="str">
        <f aca="false">'CC Volume'!AO135</f>
        <v/>
      </c>
      <c r="I135" s="69" t="str">
        <f aca="false">'CC Volume'!AM135</f>
        <v/>
      </c>
      <c r="J135" s="62" t="str">
        <f aca="false">IF(N(H135)=0,"",IFERROR(INDEX(CC_RegRate,MATCH(F135,CC_RegU,0)),0))</f>
        <v/>
      </c>
      <c r="K135" s="62" t="n">
        <f aca="false">N(H135)*N(J135)</f>
        <v>0</v>
      </c>
      <c r="L135" s="62" t="n">
        <f aca="false">IF(CC_IncWaste="Yes",N(I135)*N(XWaste),0)</f>
        <v>0</v>
      </c>
      <c r="M135" s="65" t="n">
        <f aca="false">IF(N(G135)=0,0,IF(CC_AllocBasis="Equipment count",1,IF(CC_AllocBasis="Equipment volume",N(G135),N(H135))))</f>
        <v>0</v>
      </c>
      <c r="N135" s="15" t="n">
        <f aca="false">IF(SUM(CC_P_M)=0,0,M135/SUM(CC_P_M))</f>
        <v>0</v>
      </c>
      <c r="O135" s="62" t="n">
        <f aca="false">N135*CC_SharedCost</f>
        <v>0</v>
      </c>
      <c r="P135" s="63" t="n">
        <f aca="false">K135+L135+O135</f>
        <v>0</v>
      </c>
      <c r="Q135" s="62" t="n">
        <f aca="false">K135*(1+INDEX(MkMatrix,3,3))</f>
        <v>0</v>
      </c>
      <c r="R135" s="62" t="n">
        <f aca="false">L135*(1+INDEX(MkMatrix,3,3))</f>
        <v>0</v>
      </c>
      <c r="S135" s="62" t="n">
        <f aca="false">N135*CC_SharedSell</f>
        <v>0</v>
      </c>
      <c r="T135" s="62" t="n">
        <f aca="false">P135*N(QCont)</f>
        <v>0</v>
      </c>
      <c r="U135" s="62" t="n">
        <f aca="false">Q135+R135+S135+T135</f>
        <v>0</v>
      </c>
      <c r="V135" s="62" t="n">
        <f aca="false">-U135*N(QDisc)</f>
        <v>-0</v>
      </c>
      <c r="W135" s="63" t="n">
        <f aca="false">U135+V135</f>
        <v>0</v>
      </c>
      <c r="X135" s="63" t="n">
        <f aca="false">W135/QRate</f>
        <v>0</v>
      </c>
      <c r="Y135" s="0" t="n">
        <v>4</v>
      </c>
    </row>
    <row r="136" customFormat="false" ht="15" hidden="false" customHeight="false" outlineLevel="0" collapsed="false">
      <c r="A136" s="68" t="n">
        <f aca="false">'CC Volume'!A136</f>
        <v>28</v>
      </c>
      <c r="B136" s="13" t="str">
        <f aca="false">IF('CC Volume'!B136="","",'CC Volume'!B136)</f>
        <v/>
      </c>
      <c r="C136" s="13" t="str">
        <f aca="false">IF('CC Volume'!C136="","",'CC Volume'!C136)</f>
        <v/>
      </c>
      <c r="D136" s="13" t="str">
        <f aca="false">IF('CC Volume'!D136="","",'CC Volume'!D136)</f>
        <v/>
      </c>
      <c r="E136" s="68" t="str">
        <f aca="false">IF('CC Volume'!E136="","",'CC Volume'!E136)</f>
        <v/>
      </c>
      <c r="F136" s="68" t="str">
        <f aca="false">IF('CC Volume'!F136="","",'CC Volume'!F136)</f>
        <v/>
      </c>
      <c r="G136" s="69" t="str">
        <f aca="false">'CC Volume'!AN136</f>
        <v/>
      </c>
      <c r="H136" s="69" t="str">
        <f aca="false">'CC Volume'!AO136</f>
        <v/>
      </c>
      <c r="I136" s="69" t="str">
        <f aca="false">'CC Volume'!AM136</f>
        <v/>
      </c>
      <c r="J136" s="62" t="str">
        <f aca="false">IF(N(H136)=0,"",IFERROR(INDEX(CC_RegRate,MATCH(F136,CC_RegU,0)),0))</f>
        <v/>
      </c>
      <c r="K136" s="62" t="n">
        <f aca="false">N(H136)*N(J136)</f>
        <v>0</v>
      </c>
      <c r="L136" s="62" t="n">
        <f aca="false">IF(CC_IncWaste="Yes",N(I136)*N(XWaste),0)</f>
        <v>0</v>
      </c>
      <c r="M136" s="65" t="n">
        <f aca="false">IF(N(G136)=0,0,IF(CC_AllocBasis="Equipment count",1,IF(CC_AllocBasis="Equipment volume",N(G136),N(H136))))</f>
        <v>0</v>
      </c>
      <c r="N136" s="15" t="n">
        <f aca="false">IF(SUM(CC_P_M)=0,0,M136/SUM(CC_P_M))</f>
        <v>0</v>
      </c>
      <c r="O136" s="62" t="n">
        <f aca="false">N136*CC_SharedCost</f>
        <v>0</v>
      </c>
      <c r="P136" s="63" t="n">
        <f aca="false">K136+L136+O136</f>
        <v>0</v>
      </c>
      <c r="Q136" s="62" t="n">
        <f aca="false">K136*(1+INDEX(MkMatrix,3,3))</f>
        <v>0</v>
      </c>
      <c r="R136" s="62" t="n">
        <f aca="false">L136*(1+INDEX(MkMatrix,3,3))</f>
        <v>0</v>
      </c>
      <c r="S136" s="62" t="n">
        <f aca="false">N136*CC_SharedSell</f>
        <v>0</v>
      </c>
      <c r="T136" s="62" t="n">
        <f aca="false">P136*N(QCont)</f>
        <v>0</v>
      </c>
      <c r="U136" s="62" t="n">
        <f aca="false">Q136+R136+S136+T136</f>
        <v>0</v>
      </c>
      <c r="V136" s="62" t="n">
        <f aca="false">-U136*N(QDisc)</f>
        <v>-0</v>
      </c>
      <c r="W136" s="63" t="n">
        <f aca="false">U136+V136</f>
        <v>0</v>
      </c>
      <c r="X136" s="63" t="n">
        <f aca="false">W136/QRate</f>
        <v>0</v>
      </c>
      <c r="Y136" s="0" t="n">
        <v>4</v>
      </c>
    </row>
    <row r="137" customFormat="false" ht="15" hidden="false" customHeight="false" outlineLevel="0" collapsed="false">
      <c r="A137" s="68" t="n">
        <f aca="false">'CC Volume'!A137</f>
        <v>29</v>
      </c>
      <c r="B137" s="13" t="str">
        <f aca="false">IF('CC Volume'!B137="","",'CC Volume'!B137)</f>
        <v/>
      </c>
      <c r="C137" s="13" t="str">
        <f aca="false">IF('CC Volume'!C137="","",'CC Volume'!C137)</f>
        <v/>
      </c>
      <c r="D137" s="13" t="str">
        <f aca="false">IF('CC Volume'!D137="","",'CC Volume'!D137)</f>
        <v/>
      </c>
      <c r="E137" s="68" t="str">
        <f aca="false">IF('CC Volume'!E137="","",'CC Volume'!E137)</f>
        <v/>
      </c>
      <c r="F137" s="68" t="str">
        <f aca="false">IF('CC Volume'!F137="","",'CC Volume'!F137)</f>
        <v/>
      </c>
      <c r="G137" s="69" t="str">
        <f aca="false">'CC Volume'!AN137</f>
        <v/>
      </c>
      <c r="H137" s="69" t="str">
        <f aca="false">'CC Volume'!AO137</f>
        <v/>
      </c>
      <c r="I137" s="69" t="str">
        <f aca="false">'CC Volume'!AM137</f>
        <v/>
      </c>
      <c r="J137" s="62" t="str">
        <f aca="false">IF(N(H137)=0,"",IFERROR(INDEX(CC_RegRate,MATCH(F137,CC_RegU,0)),0))</f>
        <v/>
      </c>
      <c r="K137" s="62" t="n">
        <f aca="false">N(H137)*N(J137)</f>
        <v>0</v>
      </c>
      <c r="L137" s="62" t="n">
        <f aca="false">IF(CC_IncWaste="Yes",N(I137)*N(XWaste),0)</f>
        <v>0</v>
      </c>
      <c r="M137" s="65" t="n">
        <f aca="false">IF(N(G137)=0,0,IF(CC_AllocBasis="Equipment count",1,IF(CC_AllocBasis="Equipment volume",N(G137),N(H137))))</f>
        <v>0</v>
      </c>
      <c r="N137" s="15" t="n">
        <f aca="false">IF(SUM(CC_P_M)=0,0,M137/SUM(CC_P_M))</f>
        <v>0</v>
      </c>
      <c r="O137" s="62" t="n">
        <f aca="false">N137*CC_SharedCost</f>
        <v>0</v>
      </c>
      <c r="P137" s="63" t="n">
        <f aca="false">K137+L137+O137</f>
        <v>0</v>
      </c>
      <c r="Q137" s="62" t="n">
        <f aca="false">K137*(1+INDEX(MkMatrix,3,3))</f>
        <v>0</v>
      </c>
      <c r="R137" s="62" t="n">
        <f aca="false">L137*(1+INDEX(MkMatrix,3,3))</f>
        <v>0</v>
      </c>
      <c r="S137" s="62" t="n">
        <f aca="false">N137*CC_SharedSell</f>
        <v>0</v>
      </c>
      <c r="T137" s="62" t="n">
        <f aca="false">P137*N(QCont)</f>
        <v>0</v>
      </c>
      <c r="U137" s="62" t="n">
        <f aca="false">Q137+R137+S137+T137</f>
        <v>0</v>
      </c>
      <c r="V137" s="62" t="n">
        <f aca="false">-U137*N(QDisc)</f>
        <v>-0</v>
      </c>
      <c r="W137" s="63" t="n">
        <f aca="false">U137+V137</f>
        <v>0</v>
      </c>
      <c r="X137" s="63" t="n">
        <f aca="false">W137/QRate</f>
        <v>0</v>
      </c>
      <c r="Y137" s="0" t="n">
        <v>4</v>
      </c>
    </row>
    <row r="138" customFormat="false" ht="15" hidden="false" customHeight="false" outlineLevel="0" collapsed="false">
      <c r="A138" s="68" t="n">
        <f aca="false">'CC Volume'!A138</f>
        <v>30</v>
      </c>
      <c r="B138" s="13" t="str">
        <f aca="false">IF('CC Volume'!B138="","",'CC Volume'!B138)</f>
        <v/>
      </c>
      <c r="C138" s="13" t="str">
        <f aca="false">IF('CC Volume'!C138="","",'CC Volume'!C138)</f>
        <v/>
      </c>
      <c r="D138" s="13" t="str">
        <f aca="false">IF('CC Volume'!D138="","",'CC Volume'!D138)</f>
        <v/>
      </c>
      <c r="E138" s="68" t="str">
        <f aca="false">IF('CC Volume'!E138="","",'CC Volume'!E138)</f>
        <v/>
      </c>
      <c r="F138" s="68" t="str">
        <f aca="false">IF('CC Volume'!F138="","",'CC Volume'!F138)</f>
        <v/>
      </c>
      <c r="G138" s="69" t="str">
        <f aca="false">'CC Volume'!AN138</f>
        <v/>
      </c>
      <c r="H138" s="69" t="str">
        <f aca="false">'CC Volume'!AO138</f>
        <v/>
      </c>
      <c r="I138" s="69" t="str">
        <f aca="false">'CC Volume'!AM138</f>
        <v/>
      </c>
      <c r="J138" s="62" t="str">
        <f aca="false">IF(N(H138)=0,"",IFERROR(INDEX(CC_RegRate,MATCH(F138,CC_RegU,0)),0))</f>
        <v/>
      </c>
      <c r="K138" s="62" t="n">
        <f aca="false">N(H138)*N(J138)</f>
        <v>0</v>
      </c>
      <c r="L138" s="62" t="n">
        <f aca="false">IF(CC_IncWaste="Yes",N(I138)*N(XWaste),0)</f>
        <v>0</v>
      </c>
      <c r="M138" s="65" t="n">
        <f aca="false">IF(N(G138)=0,0,IF(CC_AllocBasis="Equipment count",1,IF(CC_AllocBasis="Equipment volume",N(G138),N(H138))))</f>
        <v>0</v>
      </c>
      <c r="N138" s="15" t="n">
        <f aca="false">IF(SUM(CC_P_M)=0,0,M138/SUM(CC_P_M))</f>
        <v>0</v>
      </c>
      <c r="O138" s="62" t="n">
        <f aca="false">N138*CC_SharedCost</f>
        <v>0</v>
      </c>
      <c r="P138" s="63" t="n">
        <f aca="false">K138+L138+O138</f>
        <v>0</v>
      </c>
      <c r="Q138" s="62" t="n">
        <f aca="false">K138*(1+INDEX(MkMatrix,3,3))</f>
        <v>0</v>
      </c>
      <c r="R138" s="62" t="n">
        <f aca="false">L138*(1+INDEX(MkMatrix,3,3))</f>
        <v>0</v>
      </c>
      <c r="S138" s="62" t="n">
        <f aca="false">N138*CC_SharedSell</f>
        <v>0</v>
      </c>
      <c r="T138" s="62" t="n">
        <f aca="false">P138*N(QCont)</f>
        <v>0</v>
      </c>
      <c r="U138" s="62" t="n">
        <f aca="false">Q138+R138+S138+T138</f>
        <v>0</v>
      </c>
      <c r="V138" s="62" t="n">
        <f aca="false">-U138*N(QDisc)</f>
        <v>-0</v>
      </c>
      <c r="W138" s="63" t="n">
        <f aca="false">U138+V138</f>
        <v>0</v>
      </c>
      <c r="X138" s="63" t="n">
        <f aca="false">W138/QRate</f>
        <v>0</v>
      </c>
      <c r="Y138" s="0" t="n">
        <v>4</v>
      </c>
    </row>
    <row r="139" customFormat="false" ht="15" hidden="false" customHeight="false" outlineLevel="0" collapsed="false">
      <c r="A139" s="44" t="str">
        <f aca="false">"TOTAL – "&amp;INDEX(CC_UnitNames,4)</f>
        <v>TOTAL – Unit 4</v>
      </c>
      <c r="B139" s="44"/>
      <c r="C139" s="44"/>
      <c r="D139" s="44"/>
      <c r="E139" s="44"/>
      <c r="F139" s="44"/>
      <c r="G139" s="47" t="n">
        <f aca="false">SUM(G109:G138)</f>
        <v>0</v>
      </c>
      <c r="H139" s="47" t="n">
        <f aca="false">SUM(H109:H138)</f>
        <v>0</v>
      </c>
      <c r="I139" s="47" t="n">
        <f aca="false">SUM(I109:I138)</f>
        <v>0</v>
      </c>
      <c r="J139" s="45"/>
      <c r="K139" s="70" t="n">
        <f aca="false">SUM(K109:K138)</f>
        <v>0</v>
      </c>
      <c r="L139" s="70" t="n">
        <f aca="false">SUM(L109:L138)</f>
        <v>0</v>
      </c>
      <c r="M139" s="45"/>
      <c r="N139" s="45"/>
      <c r="O139" s="70" t="n">
        <f aca="false">SUM(O109:O138)</f>
        <v>0</v>
      </c>
      <c r="P139" s="70" t="n">
        <f aca="false">SUM(P109:P138)</f>
        <v>0</v>
      </c>
      <c r="Q139" s="70" t="n">
        <f aca="false">SUM(Q109:Q138)</f>
        <v>0</v>
      </c>
      <c r="R139" s="70" t="n">
        <f aca="false">SUM(R109:R138)</f>
        <v>0</v>
      </c>
      <c r="S139" s="70" t="n">
        <f aca="false">SUM(S109:S138)</f>
        <v>0</v>
      </c>
      <c r="T139" s="70" t="n">
        <f aca="false">SUM(T109:T138)</f>
        <v>0</v>
      </c>
      <c r="U139" s="70" t="n">
        <f aca="false">SUM(U109:U138)</f>
        <v>0</v>
      </c>
      <c r="V139" s="70" t="n">
        <f aca="false">SUM(V109:V138)</f>
        <v>0</v>
      </c>
      <c r="W139" s="70" t="n">
        <f aca="false">SUM(W109:W138)</f>
        <v>0</v>
      </c>
      <c r="X139" s="70" t="n">
        <f aca="false">SUM(X109:X138)</f>
        <v>0</v>
      </c>
    </row>
    <row r="141" customFormat="false" ht="15" hidden="false" customHeight="false" outlineLevel="0" collapsed="false">
      <c r="A141" s="38" t="str">
        <f aca="false">"UNIT 5:  "&amp;INDEX(CC_UnitNames,5)</f>
        <v>UNIT 5:  Unit 5</v>
      </c>
      <c r="B141" s="38"/>
      <c r="C141" s="38"/>
      <c r="D141" s="38"/>
      <c r="E141" s="39"/>
      <c r="F141" s="39"/>
      <c r="G141" s="39"/>
      <c r="H141" s="39"/>
      <c r="I141" s="39"/>
      <c r="J141" s="39"/>
      <c r="K141" s="39"/>
      <c r="L141" s="39"/>
      <c r="M141" s="39"/>
      <c r="N141" s="39"/>
      <c r="O141" s="39"/>
      <c r="P141" s="39"/>
      <c r="Q141" s="39"/>
      <c r="R141" s="39"/>
      <c r="S141" s="39"/>
      <c r="T141" s="39"/>
      <c r="U141" s="39"/>
      <c r="V141" s="39"/>
      <c r="W141" s="39"/>
      <c r="X141" s="39"/>
    </row>
    <row r="142" customFormat="false" ht="15" hidden="false" customHeight="false" outlineLevel="0" collapsed="false">
      <c r="A142" s="68" t="n">
        <f aca="false">'CC Volume'!A142</f>
        <v>1</v>
      </c>
      <c r="B142" s="13" t="str">
        <f aca="false">IF('CC Volume'!B142="","",'CC Volume'!B142)</f>
        <v/>
      </c>
      <c r="C142" s="13" t="str">
        <f aca="false">IF('CC Volume'!C142="","",'CC Volume'!C142)</f>
        <v/>
      </c>
      <c r="D142" s="13" t="str">
        <f aca="false">IF('CC Volume'!D142="","",'CC Volume'!D142)</f>
        <v/>
      </c>
      <c r="E142" s="68" t="str">
        <f aca="false">IF('CC Volume'!E142="","",'CC Volume'!E142)</f>
        <v/>
      </c>
      <c r="F142" s="68" t="str">
        <f aca="false">IF('CC Volume'!F142="","",'CC Volume'!F142)</f>
        <v/>
      </c>
      <c r="G142" s="69" t="str">
        <f aca="false">'CC Volume'!AN142</f>
        <v/>
      </c>
      <c r="H142" s="69" t="str">
        <f aca="false">'CC Volume'!AO142</f>
        <v/>
      </c>
      <c r="I142" s="69" t="str">
        <f aca="false">'CC Volume'!AM142</f>
        <v/>
      </c>
      <c r="J142" s="62" t="str">
        <f aca="false">IF(N(H142)=0,"",IFERROR(INDEX(CC_RegRate,MATCH(F142,CC_RegU,0)),0))</f>
        <v/>
      </c>
      <c r="K142" s="62" t="n">
        <f aca="false">N(H142)*N(J142)</f>
        <v>0</v>
      </c>
      <c r="L142" s="62" t="n">
        <f aca="false">IF(CC_IncWaste="Yes",N(I142)*N(XWaste),0)</f>
        <v>0</v>
      </c>
      <c r="M142" s="65" t="n">
        <f aca="false">IF(N(G142)=0,0,IF(CC_AllocBasis="Equipment count",1,IF(CC_AllocBasis="Equipment volume",N(G142),N(H142))))</f>
        <v>0</v>
      </c>
      <c r="N142" s="15" t="n">
        <f aca="false">IF(SUM(CC_P_M)=0,0,M142/SUM(CC_P_M))</f>
        <v>0</v>
      </c>
      <c r="O142" s="62" t="n">
        <f aca="false">N142*CC_SharedCost</f>
        <v>0</v>
      </c>
      <c r="P142" s="63" t="n">
        <f aca="false">K142+L142+O142</f>
        <v>0</v>
      </c>
      <c r="Q142" s="62" t="n">
        <f aca="false">K142*(1+INDEX(MkMatrix,3,3))</f>
        <v>0</v>
      </c>
      <c r="R142" s="62" t="n">
        <f aca="false">L142*(1+INDEX(MkMatrix,3,3))</f>
        <v>0</v>
      </c>
      <c r="S142" s="62" t="n">
        <f aca="false">N142*CC_SharedSell</f>
        <v>0</v>
      </c>
      <c r="T142" s="62" t="n">
        <f aca="false">P142*N(QCont)</f>
        <v>0</v>
      </c>
      <c r="U142" s="62" t="n">
        <f aca="false">Q142+R142+S142+T142</f>
        <v>0</v>
      </c>
      <c r="V142" s="62" t="n">
        <f aca="false">-U142*N(QDisc)</f>
        <v>-0</v>
      </c>
      <c r="W142" s="63" t="n">
        <f aca="false">U142+V142</f>
        <v>0</v>
      </c>
      <c r="X142" s="63" t="n">
        <f aca="false">W142/QRate</f>
        <v>0</v>
      </c>
      <c r="Y142" s="0" t="n">
        <v>5</v>
      </c>
    </row>
    <row r="143" customFormat="false" ht="15" hidden="false" customHeight="false" outlineLevel="0" collapsed="false">
      <c r="A143" s="68" t="n">
        <f aca="false">'CC Volume'!A143</f>
        <v>2</v>
      </c>
      <c r="B143" s="13" t="str">
        <f aca="false">IF('CC Volume'!B143="","",'CC Volume'!B143)</f>
        <v/>
      </c>
      <c r="C143" s="13" t="str">
        <f aca="false">IF('CC Volume'!C143="","",'CC Volume'!C143)</f>
        <v/>
      </c>
      <c r="D143" s="13" t="str">
        <f aca="false">IF('CC Volume'!D143="","",'CC Volume'!D143)</f>
        <v/>
      </c>
      <c r="E143" s="68" t="str">
        <f aca="false">IF('CC Volume'!E143="","",'CC Volume'!E143)</f>
        <v/>
      </c>
      <c r="F143" s="68" t="str">
        <f aca="false">IF('CC Volume'!F143="","",'CC Volume'!F143)</f>
        <v/>
      </c>
      <c r="G143" s="69" t="str">
        <f aca="false">'CC Volume'!AN143</f>
        <v/>
      </c>
      <c r="H143" s="69" t="str">
        <f aca="false">'CC Volume'!AO143</f>
        <v/>
      </c>
      <c r="I143" s="69" t="str">
        <f aca="false">'CC Volume'!AM143</f>
        <v/>
      </c>
      <c r="J143" s="62" t="str">
        <f aca="false">IF(N(H143)=0,"",IFERROR(INDEX(CC_RegRate,MATCH(F143,CC_RegU,0)),0))</f>
        <v/>
      </c>
      <c r="K143" s="62" t="n">
        <f aca="false">N(H143)*N(J143)</f>
        <v>0</v>
      </c>
      <c r="L143" s="62" t="n">
        <f aca="false">IF(CC_IncWaste="Yes",N(I143)*N(XWaste),0)</f>
        <v>0</v>
      </c>
      <c r="M143" s="65" t="n">
        <f aca="false">IF(N(G143)=0,0,IF(CC_AllocBasis="Equipment count",1,IF(CC_AllocBasis="Equipment volume",N(G143),N(H143))))</f>
        <v>0</v>
      </c>
      <c r="N143" s="15" t="n">
        <f aca="false">IF(SUM(CC_P_M)=0,0,M143/SUM(CC_P_M))</f>
        <v>0</v>
      </c>
      <c r="O143" s="62" t="n">
        <f aca="false">N143*CC_SharedCost</f>
        <v>0</v>
      </c>
      <c r="P143" s="63" t="n">
        <f aca="false">K143+L143+O143</f>
        <v>0</v>
      </c>
      <c r="Q143" s="62" t="n">
        <f aca="false">K143*(1+INDEX(MkMatrix,3,3))</f>
        <v>0</v>
      </c>
      <c r="R143" s="62" t="n">
        <f aca="false">L143*(1+INDEX(MkMatrix,3,3))</f>
        <v>0</v>
      </c>
      <c r="S143" s="62" t="n">
        <f aca="false">N143*CC_SharedSell</f>
        <v>0</v>
      </c>
      <c r="T143" s="62" t="n">
        <f aca="false">P143*N(QCont)</f>
        <v>0</v>
      </c>
      <c r="U143" s="62" t="n">
        <f aca="false">Q143+R143+S143+T143</f>
        <v>0</v>
      </c>
      <c r="V143" s="62" t="n">
        <f aca="false">-U143*N(QDisc)</f>
        <v>-0</v>
      </c>
      <c r="W143" s="63" t="n">
        <f aca="false">U143+V143</f>
        <v>0</v>
      </c>
      <c r="X143" s="63" t="n">
        <f aca="false">W143/QRate</f>
        <v>0</v>
      </c>
      <c r="Y143" s="0" t="n">
        <v>5</v>
      </c>
    </row>
    <row r="144" customFormat="false" ht="15" hidden="false" customHeight="false" outlineLevel="0" collapsed="false">
      <c r="A144" s="68" t="n">
        <f aca="false">'CC Volume'!A144</f>
        <v>3</v>
      </c>
      <c r="B144" s="13" t="str">
        <f aca="false">IF('CC Volume'!B144="","",'CC Volume'!B144)</f>
        <v/>
      </c>
      <c r="C144" s="13" t="str">
        <f aca="false">IF('CC Volume'!C144="","",'CC Volume'!C144)</f>
        <v/>
      </c>
      <c r="D144" s="13" t="str">
        <f aca="false">IF('CC Volume'!D144="","",'CC Volume'!D144)</f>
        <v/>
      </c>
      <c r="E144" s="68" t="str">
        <f aca="false">IF('CC Volume'!E144="","",'CC Volume'!E144)</f>
        <v/>
      </c>
      <c r="F144" s="68" t="str">
        <f aca="false">IF('CC Volume'!F144="","",'CC Volume'!F144)</f>
        <v/>
      </c>
      <c r="G144" s="69" t="str">
        <f aca="false">'CC Volume'!AN144</f>
        <v/>
      </c>
      <c r="H144" s="69" t="str">
        <f aca="false">'CC Volume'!AO144</f>
        <v/>
      </c>
      <c r="I144" s="69" t="str">
        <f aca="false">'CC Volume'!AM144</f>
        <v/>
      </c>
      <c r="J144" s="62" t="str">
        <f aca="false">IF(N(H144)=0,"",IFERROR(INDEX(CC_RegRate,MATCH(F144,CC_RegU,0)),0))</f>
        <v/>
      </c>
      <c r="K144" s="62" t="n">
        <f aca="false">N(H144)*N(J144)</f>
        <v>0</v>
      </c>
      <c r="L144" s="62" t="n">
        <f aca="false">IF(CC_IncWaste="Yes",N(I144)*N(XWaste),0)</f>
        <v>0</v>
      </c>
      <c r="M144" s="65" t="n">
        <f aca="false">IF(N(G144)=0,0,IF(CC_AllocBasis="Equipment count",1,IF(CC_AllocBasis="Equipment volume",N(G144),N(H144))))</f>
        <v>0</v>
      </c>
      <c r="N144" s="15" t="n">
        <f aca="false">IF(SUM(CC_P_M)=0,0,M144/SUM(CC_P_M))</f>
        <v>0</v>
      </c>
      <c r="O144" s="62" t="n">
        <f aca="false">N144*CC_SharedCost</f>
        <v>0</v>
      </c>
      <c r="P144" s="63" t="n">
        <f aca="false">K144+L144+O144</f>
        <v>0</v>
      </c>
      <c r="Q144" s="62" t="n">
        <f aca="false">K144*(1+INDEX(MkMatrix,3,3))</f>
        <v>0</v>
      </c>
      <c r="R144" s="62" t="n">
        <f aca="false">L144*(1+INDEX(MkMatrix,3,3))</f>
        <v>0</v>
      </c>
      <c r="S144" s="62" t="n">
        <f aca="false">N144*CC_SharedSell</f>
        <v>0</v>
      </c>
      <c r="T144" s="62" t="n">
        <f aca="false">P144*N(QCont)</f>
        <v>0</v>
      </c>
      <c r="U144" s="62" t="n">
        <f aca="false">Q144+R144+S144+T144</f>
        <v>0</v>
      </c>
      <c r="V144" s="62" t="n">
        <f aca="false">-U144*N(QDisc)</f>
        <v>-0</v>
      </c>
      <c r="W144" s="63" t="n">
        <f aca="false">U144+V144</f>
        <v>0</v>
      </c>
      <c r="X144" s="63" t="n">
        <f aca="false">W144/QRate</f>
        <v>0</v>
      </c>
      <c r="Y144" s="0" t="n">
        <v>5</v>
      </c>
    </row>
    <row r="145" customFormat="false" ht="15" hidden="false" customHeight="false" outlineLevel="0" collapsed="false">
      <c r="A145" s="68" t="n">
        <f aca="false">'CC Volume'!A145</f>
        <v>4</v>
      </c>
      <c r="B145" s="13" t="str">
        <f aca="false">IF('CC Volume'!B145="","",'CC Volume'!B145)</f>
        <v/>
      </c>
      <c r="C145" s="13" t="str">
        <f aca="false">IF('CC Volume'!C145="","",'CC Volume'!C145)</f>
        <v/>
      </c>
      <c r="D145" s="13" t="str">
        <f aca="false">IF('CC Volume'!D145="","",'CC Volume'!D145)</f>
        <v/>
      </c>
      <c r="E145" s="68" t="str">
        <f aca="false">IF('CC Volume'!E145="","",'CC Volume'!E145)</f>
        <v/>
      </c>
      <c r="F145" s="68" t="str">
        <f aca="false">IF('CC Volume'!F145="","",'CC Volume'!F145)</f>
        <v/>
      </c>
      <c r="G145" s="69" t="str">
        <f aca="false">'CC Volume'!AN145</f>
        <v/>
      </c>
      <c r="H145" s="69" t="str">
        <f aca="false">'CC Volume'!AO145</f>
        <v/>
      </c>
      <c r="I145" s="69" t="str">
        <f aca="false">'CC Volume'!AM145</f>
        <v/>
      </c>
      <c r="J145" s="62" t="str">
        <f aca="false">IF(N(H145)=0,"",IFERROR(INDEX(CC_RegRate,MATCH(F145,CC_RegU,0)),0))</f>
        <v/>
      </c>
      <c r="K145" s="62" t="n">
        <f aca="false">N(H145)*N(J145)</f>
        <v>0</v>
      </c>
      <c r="L145" s="62" t="n">
        <f aca="false">IF(CC_IncWaste="Yes",N(I145)*N(XWaste),0)</f>
        <v>0</v>
      </c>
      <c r="M145" s="65" t="n">
        <f aca="false">IF(N(G145)=0,0,IF(CC_AllocBasis="Equipment count",1,IF(CC_AllocBasis="Equipment volume",N(G145),N(H145))))</f>
        <v>0</v>
      </c>
      <c r="N145" s="15" t="n">
        <f aca="false">IF(SUM(CC_P_M)=0,0,M145/SUM(CC_P_M))</f>
        <v>0</v>
      </c>
      <c r="O145" s="62" t="n">
        <f aca="false">N145*CC_SharedCost</f>
        <v>0</v>
      </c>
      <c r="P145" s="63" t="n">
        <f aca="false">K145+L145+O145</f>
        <v>0</v>
      </c>
      <c r="Q145" s="62" t="n">
        <f aca="false">K145*(1+INDEX(MkMatrix,3,3))</f>
        <v>0</v>
      </c>
      <c r="R145" s="62" t="n">
        <f aca="false">L145*(1+INDEX(MkMatrix,3,3))</f>
        <v>0</v>
      </c>
      <c r="S145" s="62" t="n">
        <f aca="false">N145*CC_SharedSell</f>
        <v>0</v>
      </c>
      <c r="T145" s="62" t="n">
        <f aca="false">P145*N(QCont)</f>
        <v>0</v>
      </c>
      <c r="U145" s="62" t="n">
        <f aca="false">Q145+R145+S145+T145</f>
        <v>0</v>
      </c>
      <c r="V145" s="62" t="n">
        <f aca="false">-U145*N(QDisc)</f>
        <v>-0</v>
      </c>
      <c r="W145" s="63" t="n">
        <f aca="false">U145+V145</f>
        <v>0</v>
      </c>
      <c r="X145" s="63" t="n">
        <f aca="false">W145/QRate</f>
        <v>0</v>
      </c>
      <c r="Y145" s="0" t="n">
        <v>5</v>
      </c>
    </row>
    <row r="146" customFormat="false" ht="15" hidden="false" customHeight="false" outlineLevel="0" collapsed="false">
      <c r="A146" s="68" t="n">
        <f aca="false">'CC Volume'!A146</f>
        <v>5</v>
      </c>
      <c r="B146" s="13" t="str">
        <f aca="false">IF('CC Volume'!B146="","",'CC Volume'!B146)</f>
        <v/>
      </c>
      <c r="C146" s="13" t="str">
        <f aca="false">IF('CC Volume'!C146="","",'CC Volume'!C146)</f>
        <v/>
      </c>
      <c r="D146" s="13" t="str">
        <f aca="false">IF('CC Volume'!D146="","",'CC Volume'!D146)</f>
        <v/>
      </c>
      <c r="E146" s="68" t="str">
        <f aca="false">IF('CC Volume'!E146="","",'CC Volume'!E146)</f>
        <v/>
      </c>
      <c r="F146" s="68" t="str">
        <f aca="false">IF('CC Volume'!F146="","",'CC Volume'!F146)</f>
        <v/>
      </c>
      <c r="G146" s="69" t="str">
        <f aca="false">'CC Volume'!AN146</f>
        <v/>
      </c>
      <c r="H146" s="69" t="str">
        <f aca="false">'CC Volume'!AO146</f>
        <v/>
      </c>
      <c r="I146" s="69" t="str">
        <f aca="false">'CC Volume'!AM146</f>
        <v/>
      </c>
      <c r="J146" s="62" t="str">
        <f aca="false">IF(N(H146)=0,"",IFERROR(INDEX(CC_RegRate,MATCH(F146,CC_RegU,0)),0))</f>
        <v/>
      </c>
      <c r="K146" s="62" t="n">
        <f aca="false">N(H146)*N(J146)</f>
        <v>0</v>
      </c>
      <c r="L146" s="62" t="n">
        <f aca="false">IF(CC_IncWaste="Yes",N(I146)*N(XWaste),0)</f>
        <v>0</v>
      </c>
      <c r="M146" s="65" t="n">
        <f aca="false">IF(N(G146)=0,0,IF(CC_AllocBasis="Equipment count",1,IF(CC_AllocBasis="Equipment volume",N(G146),N(H146))))</f>
        <v>0</v>
      </c>
      <c r="N146" s="15" t="n">
        <f aca="false">IF(SUM(CC_P_M)=0,0,M146/SUM(CC_P_M))</f>
        <v>0</v>
      </c>
      <c r="O146" s="62" t="n">
        <f aca="false">N146*CC_SharedCost</f>
        <v>0</v>
      </c>
      <c r="P146" s="63" t="n">
        <f aca="false">K146+L146+O146</f>
        <v>0</v>
      </c>
      <c r="Q146" s="62" t="n">
        <f aca="false">K146*(1+INDEX(MkMatrix,3,3))</f>
        <v>0</v>
      </c>
      <c r="R146" s="62" t="n">
        <f aca="false">L146*(1+INDEX(MkMatrix,3,3))</f>
        <v>0</v>
      </c>
      <c r="S146" s="62" t="n">
        <f aca="false">N146*CC_SharedSell</f>
        <v>0</v>
      </c>
      <c r="T146" s="62" t="n">
        <f aca="false">P146*N(QCont)</f>
        <v>0</v>
      </c>
      <c r="U146" s="62" t="n">
        <f aca="false">Q146+R146+S146+T146</f>
        <v>0</v>
      </c>
      <c r="V146" s="62" t="n">
        <f aca="false">-U146*N(QDisc)</f>
        <v>-0</v>
      </c>
      <c r="W146" s="63" t="n">
        <f aca="false">U146+V146</f>
        <v>0</v>
      </c>
      <c r="X146" s="63" t="n">
        <f aca="false">W146/QRate</f>
        <v>0</v>
      </c>
      <c r="Y146" s="0" t="n">
        <v>5</v>
      </c>
    </row>
    <row r="147" customFormat="false" ht="15" hidden="false" customHeight="false" outlineLevel="0" collapsed="false">
      <c r="A147" s="68" t="n">
        <f aca="false">'CC Volume'!A147</f>
        <v>6</v>
      </c>
      <c r="B147" s="13" t="str">
        <f aca="false">IF('CC Volume'!B147="","",'CC Volume'!B147)</f>
        <v/>
      </c>
      <c r="C147" s="13" t="str">
        <f aca="false">IF('CC Volume'!C147="","",'CC Volume'!C147)</f>
        <v/>
      </c>
      <c r="D147" s="13" t="str">
        <f aca="false">IF('CC Volume'!D147="","",'CC Volume'!D147)</f>
        <v/>
      </c>
      <c r="E147" s="68" t="str">
        <f aca="false">IF('CC Volume'!E147="","",'CC Volume'!E147)</f>
        <v/>
      </c>
      <c r="F147" s="68" t="str">
        <f aca="false">IF('CC Volume'!F147="","",'CC Volume'!F147)</f>
        <v/>
      </c>
      <c r="G147" s="69" t="str">
        <f aca="false">'CC Volume'!AN147</f>
        <v/>
      </c>
      <c r="H147" s="69" t="str">
        <f aca="false">'CC Volume'!AO147</f>
        <v/>
      </c>
      <c r="I147" s="69" t="str">
        <f aca="false">'CC Volume'!AM147</f>
        <v/>
      </c>
      <c r="J147" s="62" t="str">
        <f aca="false">IF(N(H147)=0,"",IFERROR(INDEX(CC_RegRate,MATCH(F147,CC_RegU,0)),0))</f>
        <v/>
      </c>
      <c r="K147" s="62" t="n">
        <f aca="false">N(H147)*N(J147)</f>
        <v>0</v>
      </c>
      <c r="L147" s="62" t="n">
        <f aca="false">IF(CC_IncWaste="Yes",N(I147)*N(XWaste),0)</f>
        <v>0</v>
      </c>
      <c r="M147" s="65" t="n">
        <f aca="false">IF(N(G147)=0,0,IF(CC_AllocBasis="Equipment count",1,IF(CC_AllocBasis="Equipment volume",N(G147),N(H147))))</f>
        <v>0</v>
      </c>
      <c r="N147" s="15" t="n">
        <f aca="false">IF(SUM(CC_P_M)=0,0,M147/SUM(CC_P_M))</f>
        <v>0</v>
      </c>
      <c r="O147" s="62" t="n">
        <f aca="false">N147*CC_SharedCost</f>
        <v>0</v>
      </c>
      <c r="P147" s="63" t="n">
        <f aca="false">K147+L147+O147</f>
        <v>0</v>
      </c>
      <c r="Q147" s="62" t="n">
        <f aca="false">K147*(1+INDEX(MkMatrix,3,3))</f>
        <v>0</v>
      </c>
      <c r="R147" s="62" t="n">
        <f aca="false">L147*(1+INDEX(MkMatrix,3,3))</f>
        <v>0</v>
      </c>
      <c r="S147" s="62" t="n">
        <f aca="false">N147*CC_SharedSell</f>
        <v>0</v>
      </c>
      <c r="T147" s="62" t="n">
        <f aca="false">P147*N(QCont)</f>
        <v>0</v>
      </c>
      <c r="U147" s="62" t="n">
        <f aca="false">Q147+R147+S147+T147</f>
        <v>0</v>
      </c>
      <c r="V147" s="62" t="n">
        <f aca="false">-U147*N(QDisc)</f>
        <v>-0</v>
      </c>
      <c r="W147" s="63" t="n">
        <f aca="false">U147+V147</f>
        <v>0</v>
      </c>
      <c r="X147" s="63" t="n">
        <f aca="false">W147/QRate</f>
        <v>0</v>
      </c>
      <c r="Y147" s="0" t="n">
        <v>5</v>
      </c>
    </row>
    <row r="148" customFormat="false" ht="15" hidden="false" customHeight="false" outlineLevel="0" collapsed="false">
      <c r="A148" s="68" t="n">
        <f aca="false">'CC Volume'!A148</f>
        <v>7</v>
      </c>
      <c r="B148" s="13" t="str">
        <f aca="false">IF('CC Volume'!B148="","",'CC Volume'!B148)</f>
        <v/>
      </c>
      <c r="C148" s="13" t="str">
        <f aca="false">IF('CC Volume'!C148="","",'CC Volume'!C148)</f>
        <v/>
      </c>
      <c r="D148" s="13" t="str">
        <f aca="false">IF('CC Volume'!D148="","",'CC Volume'!D148)</f>
        <v/>
      </c>
      <c r="E148" s="68" t="str">
        <f aca="false">IF('CC Volume'!E148="","",'CC Volume'!E148)</f>
        <v/>
      </c>
      <c r="F148" s="68" t="str">
        <f aca="false">IF('CC Volume'!F148="","",'CC Volume'!F148)</f>
        <v/>
      </c>
      <c r="G148" s="69" t="str">
        <f aca="false">'CC Volume'!AN148</f>
        <v/>
      </c>
      <c r="H148" s="69" t="str">
        <f aca="false">'CC Volume'!AO148</f>
        <v/>
      </c>
      <c r="I148" s="69" t="str">
        <f aca="false">'CC Volume'!AM148</f>
        <v/>
      </c>
      <c r="J148" s="62" t="str">
        <f aca="false">IF(N(H148)=0,"",IFERROR(INDEX(CC_RegRate,MATCH(F148,CC_RegU,0)),0))</f>
        <v/>
      </c>
      <c r="K148" s="62" t="n">
        <f aca="false">N(H148)*N(J148)</f>
        <v>0</v>
      </c>
      <c r="L148" s="62" t="n">
        <f aca="false">IF(CC_IncWaste="Yes",N(I148)*N(XWaste),0)</f>
        <v>0</v>
      </c>
      <c r="M148" s="65" t="n">
        <f aca="false">IF(N(G148)=0,0,IF(CC_AllocBasis="Equipment count",1,IF(CC_AllocBasis="Equipment volume",N(G148),N(H148))))</f>
        <v>0</v>
      </c>
      <c r="N148" s="15" t="n">
        <f aca="false">IF(SUM(CC_P_M)=0,0,M148/SUM(CC_P_M))</f>
        <v>0</v>
      </c>
      <c r="O148" s="62" t="n">
        <f aca="false">N148*CC_SharedCost</f>
        <v>0</v>
      </c>
      <c r="P148" s="63" t="n">
        <f aca="false">K148+L148+O148</f>
        <v>0</v>
      </c>
      <c r="Q148" s="62" t="n">
        <f aca="false">K148*(1+INDEX(MkMatrix,3,3))</f>
        <v>0</v>
      </c>
      <c r="R148" s="62" t="n">
        <f aca="false">L148*(1+INDEX(MkMatrix,3,3))</f>
        <v>0</v>
      </c>
      <c r="S148" s="62" t="n">
        <f aca="false">N148*CC_SharedSell</f>
        <v>0</v>
      </c>
      <c r="T148" s="62" t="n">
        <f aca="false">P148*N(QCont)</f>
        <v>0</v>
      </c>
      <c r="U148" s="62" t="n">
        <f aca="false">Q148+R148+S148+T148</f>
        <v>0</v>
      </c>
      <c r="V148" s="62" t="n">
        <f aca="false">-U148*N(QDisc)</f>
        <v>-0</v>
      </c>
      <c r="W148" s="63" t="n">
        <f aca="false">U148+V148</f>
        <v>0</v>
      </c>
      <c r="X148" s="63" t="n">
        <f aca="false">W148/QRate</f>
        <v>0</v>
      </c>
      <c r="Y148" s="0" t="n">
        <v>5</v>
      </c>
    </row>
    <row r="149" customFormat="false" ht="15" hidden="false" customHeight="false" outlineLevel="0" collapsed="false">
      <c r="A149" s="68" t="n">
        <f aca="false">'CC Volume'!A149</f>
        <v>8</v>
      </c>
      <c r="B149" s="13" t="str">
        <f aca="false">IF('CC Volume'!B149="","",'CC Volume'!B149)</f>
        <v/>
      </c>
      <c r="C149" s="13" t="str">
        <f aca="false">IF('CC Volume'!C149="","",'CC Volume'!C149)</f>
        <v/>
      </c>
      <c r="D149" s="13" t="str">
        <f aca="false">IF('CC Volume'!D149="","",'CC Volume'!D149)</f>
        <v/>
      </c>
      <c r="E149" s="68" t="str">
        <f aca="false">IF('CC Volume'!E149="","",'CC Volume'!E149)</f>
        <v/>
      </c>
      <c r="F149" s="68" t="str">
        <f aca="false">IF('CC Volume'!F149="","",'CC Volume'!F149)</f>
        <v/>
      </c>
      <c r="G149" s="69" t="str">
        <f aca="false">'CC Volume'!AN149</f>
        <v/>
      </c>
      <c r="H149" s="69" t="str">
        <f aca="false">'CC Volume'!AO149</f>
        <v/>
      </c>
      <c r="I149" s="69" t="str">
        <f aca="false">'CC Volume'!AM149</f>
        <v/>
      </c>
      <c r="J149" s="62" t="str">
        <f aca="false">IF(N(H149)=0,"",IFERROR(INDEX(CC_RegRate,MATCH(F149,CC_RegU,0)),0))</f>
        <v/>
      </c>
      <c r="K149" s="62" t="n">
        <f aca="false">N(H149)*N(J149)</f>
        <v>0</v>
      </c>
      <c r="L149" s="62" t="n">
        <f aca="false">IF(CC_IncWaste="Yes",N(I149)*N(XWaste),0)</f>
        <v>0</v>
      </c>
      <c r="M149" s="65" t="n">
        <f aca="false">IF(N(G149)=0,0,IF(CC_AllocBasis="Equipment count",1,IF(CC_AllocBasis="Equipment volume",N(G149),N(H149))))</f>
        <v>0</v>
      </c>
      <c r="N149" s="15" t="n">
        <f aca="false">IF(SUM(CC_P_M)=0,0,M149/SUM(CC_P_M))</f>
        <v>0</v>
      </c>
      <c r="O149" s="62" t="n">
        <f aca="false">N149*CC_SharedCost</f>
        <v>0</v>
      </c>
      <c r="P149" s="63" t="n">
        <f aca="false">K149+L149+O149</f>
        <v>0</v>
      </c>
      <c r="Q149" s="62" t="n">
        <f aca="false">K149*(1+INDEX(MkMatrix,3,3))</f>
        <v>0</v>
      </c>
      <c r="R149" s="62" t="n">
        <f aca="false">L149*(1+INDEX(MkMatrix,3,3))</f>
        <v>0</v>
      </c>
      <c r="S149" s="62" t="n">
        <f aca="false">N149*CC_SharedSell</f>
        <v>0</v>
      </c>
      <c r="T149" s="62" t="n">
        <f aca="false">P149*N(QCont)</f>
        <v>0</v>
      </c>
      <c r="U149" s="62" t="n">
        <f aca="false">Q149+R149+S149+T149</f>
        <v>0</v>
      </c>
      <c r="V149" s="62" t="n">
        <f aca="false">-U149*N(QDisc)</f>
        <v>-0</v>
      </c>
      <c r="W149" s="63" t="n">
        <f aca="false">U149+V149</f>
        <v>0</v>
      </c>
      <c r="X149" s="63" t="n">
        <f aca="false">W149/QRate</f>
        <v>0</v>
      </c>
      <c r="Y149" s="0" t="n">
        <v>5</v>
      </c>
    </row>
    <row r="150" customFormat="false" ht="15" hidden="false" customHeight="false" outlineLevel="0" collapsed="false">
      <c r="A150" s="68" t="n">
        <f aca="false">'CC Volume'!A150</f>
        <v>9</v>
      </c>
      <c r="B150" s="13" t="str">
        <f aca="false">IF('CC Volume'!B150="","",'CC Volume'!B150)</f>
        <v/>
      </c>
      <c r="C150" s="13" t="str">
        <f aca="false">IF('CC Volume'!C150="","",'CC Volume'!C150)</f>
        <v/>
      </c>
      <c r="D150" s="13" t="str">
        <f aca="false">IF('CC Volume'!D150="","",'CC Volume'!D150)</f>
        <v/>
      </c>
      <c r="E150" s="68" t="str">
        <f aca="false">IF('CC Volume'!E150="","",'CC Volume'!E150)</f>
        <v/>
      </c>
      <c r="F150" s="68" t="str">
        <f aca="false">IF('CC Volume'!F150="","",'CC Volume'!F150)</f>
        <v/>
      </c>
      <c r="G150" s="69" t="str">
        <f aca="false">'CC Volume'!AN150</f>
        <v/>
      </c>
      <c r="H150" s="69" t="str">
        <f aca="false">'CC Volume'!AO150</f>
        <v/>
      </c>
      <c r="I150" s="69" t="str">
        <f aca="false">'CC Volume'!AM150</f>
        <v/>
      </c>
      <c r="J150" s="62" t="str">
        <f aca="false">IF(N(H150)=0,"",IFERROR(INDEX(CC_RegRate,MATCH(F150,CC_RegU,0)),0))</f>
        <v/>
      </c>
      <c r="K150" s="62" t="n">
        <f aca="false">N(H150)*N(J150)</f>
        <v>0</v>
      </c>
      <c r="L150" s="62" t="n">
        <f aca="false">IF(CC_IncWaste="Yes",N(I150)*N(XWaste),0)</f>
        <v>0</v>
      </c>
      <c r="M150" s="65" t="n">
        <f aca="false">IF(N(G150)=0,0,IF(CC_AllocBasis="Equipment count",1,IF(CC_AllocBasis="Equipment volume",N(G150),N(H150))))</f>
        <v>0</v>
      </c>
      <c r="N150" s="15" t="n">
        <f aca="false">IF(SUM(CC_P_M)=0,0,M150/SUM(CC_P_M))</f>
        <v>0</v>
      </c>
      <c r="O150" s="62" t="n">
        <f aca="false">N150*CC_SharedCost</f>
        <v>0</v>
      </c>
      <c r="P150" s="63" t="n">
        <f aca="false">K150+L150+O150</f>
        <v>0</v>
      </c>
      <c r="Q150" s="62" t="n">
        <f aca="false">K150*(1+INDEX(MkMatrix,3,3))</f>
        <v>0</v>
      </c>
      <c r="R150" s="62" t="n">
        <f aca="false">L150*(1+INDEX(MkMatrix,3,3))</f>
        <v>0</v>
      </c>
      <c r="S150" s="62" t="n">
        <f aca="false">N150*CC_SharedSell</f>
        <v>0</v>
      </c>
      <c r="T150" s="62" t="n">
        <f aca="false">P150*N(QCont)</f>
        <v>0</v>
      </c>
      <c r="U150" s="62" t="n">
        <f aca="false">Q150+R150+S150+T150</f>
        <v>0</v>
      </c>
      <c r="V150" s="62" t="n">
        <f aca="false">-U150*N(QDisc)</f>
        <v>-0</v>
      </c>
      <c r="W150" s="63" t="n">
        <f aca="false">U150+V150</f>
        <v>0</v>
      </c>
      <c r="X150" s="63" t="n">
        <f aca="false">W150/QRate</f>
        <v>0</v>
      </c>
      <c r="Y150" s="0" t="n">
        <v>5</v>
      </c>
    </row>
    <row r="151" customFormat="false" ht="15" hidden="false" customHeight="false" outlineLevel="0" collapsed="false">
      <c r="A151" s="68" t="n">
        <f aca="false">'CC Volume'!A151</f>
        <v>10</v>
      </c>
      <c r="B151" s="13" t="str">
        <f aca="false">IF('CC Volume'!B151="","",'CC Volume'!B151)</f>
        <v/>
      </c>
      <c r="C151" s="13" t="str">
        <f aca="false">IF('CC Volume'!C151="","",'CC Volume'!C151)</f>
        <v/>
      </c>
      <c r="D151" s="13" t="str">
        <f aca="false">IF('CC Volume'!D151="","",'CC Volume'!D151)</f>
        <v/>
      </c>
      <c r="E151" s="68" t="str">
        <f aca="false">IF('CC Volume'!E151="","",'CC Volume'!E151)</f>
        <v/>
      </c>
      <c r="F151" s="68" t="str">
        <f aca="false">IF('CC Volume'!F151="","",'CC Volume'!F151)</f>
        <v/>
      </c>
      <c r="G151" s="69" t="str">
        <f aca="false">'CC Volume'!AN151</f>
        <v/>
      </c>
      <c r="H151" s="69" t="str">
        <f aca="false">'CC Volume'!AO151</f>
        <v/>
      </c>
      <c r="I151" s="69" t="str">
        <f aca="false">'CC Volume'!AM151</f>
        <v/>
      </c>
      <c r="J151" s="62" t="str">
        <f aca="false">IF(N(H151)=0,"",IFERROR(INDEX(CC_RegRate,MATCH(F151,CC_RegU,0)),0))</f>
        <v/>
      </c>
      <c r="K151" s="62" t="n">
        <f aca="false">N(H151)*N(J151)</f>
        <v>0</v>
      </c>
      <c r="L151" s="62" t="n">
        <f aca="false">IF(CC_IncWaste="Yes",N(I151)*N(XWaste),0)</f>
        <v>0</v>
      </c>
      <c r="M151" s="65" t="n">
        <f aca="false">IF(N(G151)=0,0,IF(CC_AllocBasis="Equipment count",1,IF(CC_AllocBasis="Equipment volume",N(G151),N(H151))))</f>
        <v>0</v>
      </c>
      <c r="N151" s="15" t="n">
        <f aca="false">IF(SUM(CC_P_M)=0,0,M151/SUM(CC_P_M))</f>
        <v>0</v>
      </c>
      <c r="O151" s="62" t="n">
        <f aca="false">N151*CC_SharedCost</f>
        <v>0</v>
      </c>
      <c r="P151" s="63" t="n">
        <f aca="false">K151+L151+O151</f>
        <v>0</v>
      </c>
      <c r="Q151" s="62" t="n">
        <f aca="false">K151*(1+INDEX(MkMatrix,3,3))</f>
        <v>0</v>
      </c>
      <c r="R151" s="62" t="n">
        <f aca="false">L151*(1+INDEX(MkMatrix,3,3))</f>
        <v>0</v>
      </c>
      <c r="S151" s="62" t="n">
        <f aca="false">N151*CC_SharedSell</f>
        <v>0</v>
      </c>
      <c r="T151" s="62" t="n">
        <f aca="false">P151*N(QCont)</f>
        <v>0</v>
      </c>
      <c r="U151" s="62" t="n">
        <f aca="false">Q151+R151+S151+T151</f>
        <v>0</v>
      </c>
      <c r="V151" s="62" t="n">
        <f aca="false">-U151*N(QDisc)</f>
        <v>-0</v>
      </c>
      <c r="W151" s="63" t="n">
        <f aca="false">U151+V151</f>
        <v>0</v>
      </c>
      <c r="X151" s="63" t="n">
        <f aca="false">W151/QRate</f>
        <v>0</v>
      </c>
      <c r="Y151" s="0" t="n">
        <v>5</v>
      </c>
    </row>
    <row r="152" customFormat="false" ht="15" hidden="false" customHeight="false" outlineLevel="0" collapsed="false">
      <c r="A152" s="68" t="n">
        <f aca="false">'CC Volume'!A152</f>
        <v>11</v>
      </c>
      <c r="B152" s="13" t="str">
        <f aca="false">IF('CC Volume'!B152="","",'CC Volume'!B152)</f>
        <v/>
      </c>
      <c r="C152" s="13" t="str">
        <f aca="false">IF('CC Volume'!C152="","",'CC Volume'!C152)</f>
        <v/>
      </c>
      <c r="D152" s="13" t="str">
        <f aca="false">IF('CC Volume'!D152="","",'CC Volume'!D152)</f>
        <v/>
      </c>
      <c r="E152" s="68" t="str">
        <f aca="false">IF('CC Volume'!E152="","",'CC Volume'!E152)</f>
        <v/>
      </c>
      <c r="F152" s="68" t="str">
        <f aca="false">IF('CC Volume'!F152="","",'CC Volume'!F152)</f>
        <v/>
      </c>
      <c r="G152" s="69" t="str">
        <f aca="false">'CC Volume'!AN152</f>
        <v/>
      </c>
      <c r="H152" s="69" t="str">
        <f aca="false">'CC Volume'!AO152</f>
        <v/>
      </c>
      <c r="I152" s="69" t="str">
        <f aca="false">'CC Volume'!AM152</f>
        <v/>
      </c>
      <c r="J152" s="62" t="str">
        <f aca="false">IF(N(H152)=0,"",IFERROR(INDEX(CC_RegRate,MATCH(F152,CC_RegU,0)),0))</f>
        <v/>
      </c>
      <c r="K152" s="62" t="n">
        <f aca="false">N(H152)*N(J152)</f>
        <v>0</v>
      </c>
      <c r="L152" s="62" t="n">
        <f aca="false">IF(CC_IncWaste="Yes",N(I152)*N(XWaste),0)</f>
        <v>0</v>
      </c>
      <c r="M152" s="65" t="n">
        <f aca="false">IF(N(G152)=0,0,IF(CC_AllocBasis="Equipment count",1,IF(CC_AllocBasis="Equipment volume",N(G152),N(H152))))</f>
        <v>0</v>
      </c>
      <c r="N152" s="15" t="n">
        <f aca="false">IF(SUM(CC_P_M)=0,0,M152/SUM(CC_P_M))</f>
        <v>0</v>
      </c>
      <c r="O152" s="62" t="n">
        <f aca="false">N152*CC_SharedCost</f>
        <v>0</v>
      </c>
      <c r="P152" s="63" t="n">
        <f aca="false">K152+L152+O152</f>
        <v>0</v>
      </c>
      <c r="Q152" s="62" t="n">
        <f aca="false">K152*(1+INDEX(MkMatrix,3,3))</f>
        <v>0</v>
      </c>
      <c r="R152" s="62" t="n">
        <f aca="false">L152*(1+INDEX(MkMatrix,3,3))</f>
        <v>0</v>
      </c>
      <c r="S152" s="62" t="n">
        <f aca="false">N152*CC_SharedSell</f>
        <v>0</v>
      </c>
      <c r="T152" s="62" t="n">
        <f aca="false">P152*N(QCont)</f>
        <v>0</v>
      </c>
      <c r="U152" s="62" t="n">
        <f aca="false">Q152+R152+S152+T152</f>
        <v>0</v>
      </c>
      <c r="V152" s="62" t="n">
        <f aca="false">-U152*N(QDisc)</f>
        <v>-0</v>
      </c>
      <c r="W152" s="63" t="n">
        <f aca="false">U152+V152</f>
        <v>0</v>
      </c>
      <c r="X152" s="63" t="n">
        <f aca="false">W152/QRate</f>
        <v>0</v>
      </c>
      <c r="Y152" s="0" t="n">
        <v>5</v>
      </c>
    </row>
    <row r="153" customFormat="false" ht="15" hidden="false" customHeight="false" outlineLevel="0" collapsed="false">
      <c r="A153" s="68" t="n">
        <f aca="false">'CC Volume'!A153</f>
        <v>12</v>
      </c>
      <c r="B153" s="13" t="str">
        <f aca="false">IF('CC Volume'!B153="","",'CC Volume'!B153)</f>
        <v/>
      </c>
      <c r="C153" s="13" t="str">
        <f aca="false">IF('CC Volume'!C153="","",'CC Volume'!C153)</f>
        <v/>
      </c>
      <c r="D153" s="13" t="str">
        <f aca="false">IF('CC Volume'!D153="","",'CC Volume'!D153)</f>
        <v/>
      </c>
      <c r="E153" s="68" t="str">
        <f aca="false">IF('CC Volume'!E153="","",'CC Volume'!E153)</f>
        <v/>
      </c>
      <c r="F153" s="68" t="str">
        <f aca="false">IF('CC Volume'!F153="","",'CC Volume'!F153)</f>
        <v/>
      </c>
      <c r="G153" s="69" t="str">
        <f aca="false">'CC Volume'!AN153</f>
        <v/>
      </c>
      <c r="H153" s="69" t="str">
        <f aca="false">'CC Volume'!AO153</f>
        <v/>
      </c>
      <c r="I153" s="69" t="str">
        <f aca="false">'CC Volume'!AM153</f>
        <v/>
      </c>
      <c r="J153" s="62" t="str">
        <f aca="false">IF(N(H153)=0,"",IFERROR(INDEX(CC_RegRate,MATCH(F153,CC_RegU,0)),0))</f>
        <v/>
      </c>
      <c r="K153" s="62" t="n">
        <f aca="false">N(H153)*N(J153)</f>
        <v>0</v>
      </c>
      <c r="L153" s="62" t="n">
        <f aca="false">IF(CC_IncWaste="Yes",N(I153)*N(XWaste),0)</f>
        <v>0</v>
      </c>
      <c r="M153" s="65" t="n">
        <f aca="false">IF(N(G153)=0,0,IF(CC_AllocBasis="Equipment count",1,IF(CC_AllocBasis="Equipment volume",N(G153),N(H153))))</f>
        <v>0</v>
      </c>
      <c r="N153" s="15" t="n">
        <f aca="false">IF(SUM(CC_P_M)=0,0,M153/SUM(CC_P_M))</f>
        <v>0</v>
      </c>
      <c r="O153" s="62" t="n">
        <f aca="false">N153*CC_SharedCost</f>
        <v>0</v>
      </c>
      <c r="P153" s="63" t="n">
        <f aca="false">K153+L153+O153</f>
        <v>0</v>
      </c>
      <c r="Q153" s="62" t="n">
        <f aca="false">K153*(1+INDEX(MkMatrix,3,3))</f>
        <v>0</v>
      </c>
      <c r="R153" s="62" t="n">
        <f aca="false">L153*(1+INDEX(MkMatrix,3,3))</f>
        <v>0</v>
      </c>
      <c r="S153" s="62" t="n">
        <f aca="false">N153*CC_SharedSell</f>
        <v>0</v>
      </c>
      <c r="T153" s="62" t="n">
        <f aca="false">P153*N(QCont)</f>
        <v>0</v>
      </c>
      <c r="U153" s="62" t="n">
        <f aca="false">Q153+R153+S153+T153</f>
        <v>0</v>
      </c>
      <c r="V153" s="62" t="n">
        <f aca="false">-U153*N(QDisc)</f>
        <v>-0</v>
      </c>
      <c r="W153" s="63" t="n">
        <f aca="false">U153+V153</f>
        <v>0</v>
      </c>
      <c r="X153" s="63" t="n">
        <f aca="false">W153/QRate</f>
        <v>0</v>
      </c>
      <c r="Y153" s="0" t="n">
        <v>5</v>
      </c>
    </row>
    <row r="154" customFormat="false" ht="15" hidden="false" customHeight="false" outlineLevel="0" collapsed="false">
      <c r="A154" s="68" t="n">
        <f aca="false">'CC Volume'!A154</f>
        <v>13</v>
      </c>
      <c r="B154" s="13" t="str">
        <f aca="false">IF('CC Volume'!B154="","",'CC Volume'!B154)</f>
        <v/>
      </c>
      <c r="C154" s="13" t="str">
        <f aca="false">IF('CC Volume'!C154="","",'CC Volume'!C154)</f>
        <v/>
      </c>
      <c r="D154" s="13" t="str">
        <f aca="false">IF('CC Volume'!D154="","",'CC Volume'!D154)</f>
        <v/>
      </c>
      <c r="E154" s="68" t="str">
        <f aca="false">IF('CC Volume'!E154="","",'CC Volume'!E154)</f>
        <v/>
      </c>
      <c r="F154" s="68" t="str">
        <f aca="false">IF('CC Volume'!F154="","",'CC Volume'!F154)</f>
        <v/>
      </c>
      <c r="G154" s="69" t="str">
        <f aca="false">'CC Volume'!AN154</f>
        <v/>
      </c>
      <c r="H154" s="69" t="str">
        <f aca="false">'CC Volume'!AO154</f>
        <v/>
      </c>
      <c r="I154" s="69" t="str">
        <f aca="false">'CC Volume'!AM154</f>
        <v/>
      </c>
      <c r="J154" s="62" t="str">
        <f aca="false">IF(N(H154)=0,"",IFERROR(INDEX(CC_RegRate,MATCH(F154,CC_RegU,0)),0))</f>
        <v/>
      </c>
      <c r="K154" s="62" t="n">
        <f aca="false">N(H154)*N(J154)</f>
        <v>0</v>
      </c>
      <c r="L154" s="62" t="n">
        <f aca="false">IF(CC_IncWaste="Yes",N(I154)*N(XWaste),0)</f>
        <v>0</v>
      </c>
      <c r="M154" s="65" t="n">
        <f aca="false">IF(N(G154)=0,0,IF(CC_AllocBasis="Equipment count",1,IF(CC_AllocBasis="Equipment volume",N(G154),N(H154))))</f>
        <v>0</v>
      </c>
      <c r="N154" s="15" t="n">
        <f aca="false">IF(SUM(CC_P_M)=0,0,M154/SUM(CC_P_M))</f>
        <v>0</v>
      </c>
      <c r="O154" s="62" t="n">
        <f aca="false">N154*CC_SharedCost</f>
        <v>0</v>
      </c>
      <c r="P154" s="63" t="n">
        <f aca="false">K154+L154+O154</f>
        <v>0</v>
      </c>
      <c r="Q154" s="62" t="n">
        <f aca="false">K154*(1+INDEX(MkMatrix,3,3))</f>
        <v>0</v>
      </c>
      <c r="R154" s="62" t="n">
        <f aca="false">L154*(1+INDEX(MkMatrix,3,3))</f>
        <v>0</v>
      </c>
      <c r="S154" s="62" t="n">
        <f aca="false">N154*CC_SharedSell</f>
        <v>0</v>
      </c>
      <c r="T154" s="62" t="n">
        <f aca="false">P154*N(QCont)</f>
        <v>0</v>
      </c>
      <c r="U154" s="62" t="n">
        <f aca="false">Q154+R154+S154+T154</f>
        <v>0</v>
      </c>
      <c r="V154" s="62" t="n">
        <f aca="false">-U154*N(QDisc)</f>
        <v>-0</v>
      </c>
      <c r="W154" s="63" t="n">
        <f aca="false">U154+V154</f>
        <v>0</v>
      </c>
      <c r="X154" s="63" t="n">
        <f aca="false">W154/QRate</f>
        <v>0</v>
      </c>
      <c r="Y154" s="0" t="n">
        <v>5</v>
      </c>
    </row>
    <row r="155" customFormat="false" ht="15" hidden="false" customHeight="false" outlineLevel="0" collapsed="false">
      <c r="A155" s="68" t="n">
        <f aca="false">'CC Volume'!A155</f>
        <v>14</v>
      </c>
      <c r="B155" s="13" t="str">
        <f aca="false">IF('CC Volume'!B155="","",'CC Volume'!B155)</f>
        <v/>
      </c>
      <c r="C155" s="13" t="str">
        <f aca="false">IF('CC Volume'!C155="","",'CC Volume'!C155)</f>
        <v/>
      </c>
      <c r="D155" s="13" t="str">
        <f aca="false">IF('CC Volume'!D155="","",'CC Volume'!D155)</f>
        <v/>
      </c>
      <c r="E155" s="68" t="str">
        <f aca="false">IF('CC Volume'!E155="","",'CC Volume'!E155)</f>
        <v/>
      </c>
      <c r="F155" s="68" t="str">
        <f aca="false">IF('CC Volume'!F155="","",'CC Volume'!F155)</f>
        <v/>
      </c>
      <c r="G155" s="69" t="str">
        <f aca="false">'CC Volume'!AN155</f>
        <v/>
      </c>
      <c r="H155" s="69" t="str">
        <f aca="false">'CC Volume'!AO155</f>
        <v/>
      </c>
      <c r="I155" s="69" t="str">
        <f aca="false">'CC Volume'!AM155</f>
        <v/>
      </c>
      <c r="J155" s="62" t="str">
        <f aca="false">IF(N(H155)=0,"",IFERROR(INDEX(CC_RegRate,MATCH(F155,CC_RegU,0)),0))</f>
        <v/>
      </c>
      <c r="K155" s="62" t="n">
        <f aca="false">N(H155)*N(J155)</f>
        <v>0</v>
      </c>
      <c r="L155" s="62" t="n">
        <f aca="false">IF(CC_IncWaste="Yes",N(I155)*N(XWaste),0)</f>
        <v>0</v>
      </c>
      <c r="M155" s="65" t="n">
        <f aca="false">IF(N(G155)=0,0,IF(CC_AllocBasis="Equipment count",1,IF(CC_AllocBasis="Equipment volume",N(G155),N(H155))))</f>
        <v>0</v>
      </c>
      <c r="N155" s="15" t="n">
        <f aca="false">IF(SUM(CC_P_M)=0,0,M155/SUM(CC_P_M))</f>
        <v>0</v>
      </c>
      <c r="O155" s="62" t="n">
        <f aca="false">N155*CC_SharedCost</f>
        <v>0</v>
      </c>
      <c r="P155" s="63" t="n">
        <f aca="false">K155+L155+O155</f>
        <v>0</v>
      </c>
      <c r="Q155" s="62" t="n">
        <f aca="false">K155*(1+INDEX(MkMatrix,3,3))</f>
        <v>0</v>
      </c>
      <c r="R155" s="62" t="n">
        <f aca="false">L155*(1+INDEX(MkMatrix,3,3))</f>
        <v>0</v>
      </c>
      <c r="S155" s="62" t="n">
        <f aca="false">N155*CC_SharedSell</f>
        <v>0</v>
      </c>
      <c r="T155" s="62" t="n">
        <f aca="false">P155*N(QCont)</f>
        <v>0</v>
      </c>
      <c r="U155" s="62" t="n">
        <f aca="false">Q155+R155+S155+T155</f>
        <v>0</v>
      </c>
      <c r="V155" s="62" t="n">
        <f aca="false">-U155*N(QDisc)</f>
        <v>-0</v>
      </c>
      <c r="W155" s="63" t="n">
        <f aca="false">U155+V155</f>
        <v>0</v>
      </c>
      <c r="X155" s="63" t="n">
        <f aca="false">W155/QRate</f>
        <v>0</v>
      </c>
      <c r="Y155" s="0" t="n">
        <v>5</v>
      </c>
    </row>
    <row r="156" customFormat="false" ht="15" hidden="false" customHeight="false" outlineLevel="0" collapsed="false">
      <c r="A156" s="68" t="n">
        <f aca="false">'CC Volume'!A156</f>
        <v>15</v>
      </c>
      <c r="B156" s="13" t="str">
        <f aca="false">IF('CC Volume'!B156="","",'CC Volume'!B156)</f>
        <v/>
      </c>
      <c r="C156" s="13" t="str">
        <f aca="false">IF('CC Volume'!C156="","",'CC Volume'!C156)</f>
        <v/>
      </c>
      <c r="D156" s="13" t="str">
        <f aca="false">IF('CC Volume'!D156="","",'CC Volume'!D156)</f>
        <v/>
      </c>
      <c r="E156" s="68" t="str">
        <f aca="false">IF('CC Volume'!E156="","",'CC Volume'!E156)</f>
        <v/>
      </c>
      <c r="F156" s="68" t="str">
        <f aca="false">IF('CC Volume'!F156="","",'CC Volume'!F156)</f>
        <v/>
      </c>
      <c r="G156" s="69" t="str">
        <f aca="false">'CC Volume'!AN156</f>
        <v/>
      </c>
      <c r="H156" s="69" t="str">
        <f aca="false">'CC Volume'!AO156</f>
        <v/>
      </c>
      <c r="I156" s="69" t="str">
        <f aca="false">'CC Volume'!AM156</f>
        <v/>
      </c>
      <c r="J156" s="62" t="str">
        <f aca="false">IF(N(H156)=0,"",IFERROR(INDEX(CC_RegRate,MATCH(F156,CC_RegU,0)),0))</f>
        <v/>
      </c>
      <c r="K156" s="62" t="n">
        <f aca="false">N(H156)*N(J156)</f>
        <v>0</v>
      </c>
      <c r="L156" s="62" t="n">
        <f aca="false">IF(CC_IncWaste="Yes",N(I156)*N(XWaste),0)</f>
        <v>0</v>
      </c>
      <c r="M156" s="65" t="n">
        <f aca="false">IF(N(G156)=0,0,IF(CC_AllocBasis="Equipment count",1,IF(CC_AllocBasis="Equipment volume",N(G156),N(H156))))</f>
        <v>0</v>
      </c>
      <c r="N156" s="15" t="n">
        <f aca="false">IF(SUM(CC_P_M)=0,0,M156/SUM(CC_P_M))</f>
        <v>0</v>
      </c>
      <c r="O156" s="62" t="n">
        <f aca="false">N156*CC_SharedCost</f>
        <v>0</v>
      </c>
      <c r="P156" s="63" t="n">
        <f aca="false">K156+L156+O156</f>
        <v>0</v>
      </c>
      <c r="Q156" s="62" t="n">
        <f aca="false">K156*(1+INDEX(MkMatrix,3,3))</f>
        <v>0</v>
      </c>
      <c r="R156" s="62" t="n">
        <f aca="false">L156*(1+INDEX(MkMatrix,3,3))</f>
        <v>0</v>
      </c>
      <c r="S156" s="62" t="n">
        <f aca="false">N156*CC_SharedSell</f>
        <v>0</v>
      </c>
      <c r="T156" s="62" t="n">
        <f aca="false">P156*N(QCont)</f>
        <v>0</v>
      </c>
      <c r="U156" s="62" t="n">
        <f aca="false">Q156+R156+S156+T156</f>
        <v>0</v>
      </c>
      <c r="V156" s="62" t="n">
        <f aca="false">-U156*N(QDisc)</f>
        <v>-0</v>
      </c>
      <c r="W156" s="63" t="n">
        <f aca="false">U156+V156</f>
        <v>0</v>
      </c>
      <c r="X156" s="63" t="n">
        <f aca="false">W156/QRate</f>
        <v>0</v>
      </c>
      <c r="Y156" s="0" t="n">
        <v>5</v>
      </c>
    </row>
    <row r="157" customFormat="false" ht="15" hidden="false" customHeight="false" outlineLevel="0" collapsed="false">
      <c r="A157" s="68" t="n">
        <f aca="false">'CC Volume'!A157</f>
        <v>16</v>
      </c>
      <c r="B157" s="13" t="str">
        <f aca="false">IF('CC Volume'!B157="","",'CC Volume'!B157)</f>
        <v/>
      </c>
      <c r="C157" s="13" t="str">
        <f aca="false">IF('CC Volume'!C157="","",'CC Volume'!C157)</f>
        <v/>
      </c>
      <c r="D157" s="13" t="str">
        <f aca="false">IF('CC Volume'!D157="","",'CC Volume'!D157)</f>
        <v/>
      </c>
      <c r="E157" s="68" t="str">
        <f aca="false">IF('CC Volume'!E157="","",'CC Volume'!E157)</f>
        <v/>
      </c>
      <c r="F157" s="68" t="str">
        <f aca="false">IF('CC Volume'!F157="","",'CC Volume'!F157)</f>
        <v/>
      </c>
      <c r="G157" s="69" t="str">
        <f aca="false">'CC Volume'!AN157</f>
        <v/>
      </c>
      <c r="H157" s="69" t="str">
        <f aca="false">'CC Volume'!AO157</f>
        <v/>
      </c>
      <c r="I157" s="69" t="str">
        <f aca="false">'CC Volume'!AM157</f>
        <v/>
      </c>
      <c r="J157" s="62" t="str">
        <f aca="false">IF(N(H157)=0,"",IFERROR(INDEX(CC_RegRate,MATCH(F157,CC_RegU,0)),0))</f>
        <v/>
      </c>
      <c r="K157" s="62" t="n">
        <f aca="false">N(H157)*N(J157)</f>
        <v>0</v>
      </c>
      <c r="L157" s="62" t="n">
        <f aca="false">IF(CC_IncWaste="Yes",N(I157)*N(XWaste),0)</f>
        <v>0</v>
      </c>
      <c r="M157" s="65" t="n">
        <f aca="false">IF(N(G157)=0,0,IF(CC_AllocBasis="Equipment count",1,IF(CC_AllocBasis="Equipment volume",N(G157),N(H157))))</f>
        <v>0</v>
      </c>
      <c r="N157" s="15" t="n">
        <f aca="false">IF(SUM(CC_P_M)=0,0,M157/SUM(CC_P_M))</f>
        <v>0</v>
      </c>
      <c r="O157" s="62" t="n">
        <f aca="false">N157*CC_SharedCost</f>
        <v>0</v>
      </c>
      <c r="P157" s="63" t="n">
        <f aca="false">K157+L157+O157</f>
        <v>0</v>
      </c>
      <c r="Q157" s="62" t="n">
        <f aca="false">K157*(1+INDEX(MkMatrix,3,3))</f>
        <v>0</v>
      </c>
      <c r="R157" s="62" t="n">
        <f aca="false">L157*(1+INDEX(MkMatrix,3,3))</f>
        <v>0</v>
      </c>
      <c r="S157" s="62" t="n">
        <f aca="false">N157*CC_SharedSell</f>
        <v>0</v>
      </c>
      <c r="T157" s="62" t="n">
        <f aca="false">P157*N(QCont)</f>
        <v>0</v>
      </c>
      <c r="U157" s="62" t="n">
        <f aca="false">Q157+R157+S157+T157</f>
        <v>0</v>
      </c>
      <c r="V157" s="62" t="n">
        <f aca="false">-U157*N(QDisc)</f>
        <v>-0</v>
      </c>
      <c r="W157" s="63" t="n">
        <f aca="false">U157+V157</f>
        <v>0</v>
      </c>
      <c r="X157" s="63" t="n">
        <f aca="false">W157/QRate</f>
        <v>0</v>
      </c>
      <c r="Y157" s="0" t="n">
        <v>5</v>
      </c>
    </row>
    <row r="158" customFormat="false" ht="15" hidden="false" customHeight="false" outlineLevel="0" collapsed="false">
      <c r="A158" s="68" t="n">
        <f aca="false">'CC Volume'!A158</f>
        <v>17</v>
      </c>
      <c r="B158" s="13" t="str">
        <f aca="false">IF('CC Volume'!B158="","",'CC Volume'!B158)</f>
        <v/>
      </c>
      <c r="C158" s="13" t="str">
        <f aca="false">IF('CC Volume'!C158="","",'CC Volume'!C158)</f>
        <v/>
      </c>
      <c r="D158" s="13" t="str">
        <f aca="false">IF('CC Volume'!D158="","",'CC Volume'!D158)</f>
        <v/>
      </c>
      <c r="E158" s="68" t="str">
        <f aca="false">IF('CC Volume'!E158="","",'CC Volume'!E158)</f>
        <v/>
      </c>
      <c r="F158" s="68" t="str">
        <f aca="false">IF('CC Volume'!F158="","",'CC Volume'!F158)</f>
        <v/>
      </c>
      <c r="G158" s="69" t="str">
        <f aca="false">'CC Volume'!AN158</f>
        <v/>
      </c>
      <c r="H158" s="69" t="str">
        <f aca="false">'CC Volume'!AO158</f>
        <v/>
      </c>
      <c r="I158" s="69" t="str">
        <f aca="false">'CC Volume'!AM158</f>
        <v/>
      </c>
      <c r="J158" s="62" t="str">
        <f aca="false">IF(N(H158)=0,"",IFERROR(INDEX(CC_RegRate,MATCH(F158,CC_RegU,0)),0))</f>
        <v/>
      </c>
      <c r="K158" s="62" t="n">
        <f aca="false">N(H158)*N(J158)</f>
        <v>0</v>
      </c>
      <c r="L158" s="62" t="n">
        <f aca="false">IF(CC_IncWaste="Yes",N(I158)*N(XWaste),0)</f>
        <v>0</v>
      </c>
      <c r="M158" s="65" t="n">
        <f aca="false">IF(N(G158)=0,0,IF(CC_AllocBasis="Equipment count",1,IF(CC_AllocBasis="Equipment volume",N(G158),N(H158))))</f>
        <v>0</v>
      </c>
      <c r="N158" s="15" t="n">
        <f aca="false">IF(SUM(CC_P_M)=0,0,M158/SUM(CC_P_M))</f>
        <v>0</v>
      </c>
      <c r="O158" s="62" t="n">
        <f aca="false">N158*CC_SharedCost</f>
        <v>0</v>
      </c>
      <c r="P158" s="63" t="n">
        <f aca="false">K158+L158+O158</f>
        <v>0</v>
      </c>
      <c r="Q158" s="62" t="n">
        <f aca="false">K158*(1+INDEX(MkMatrix,3,3))</f>
        <v>0</v>
      </c>
      <c r="R158" s="62" t="n">
        <f aca="false">L158*(1+INDEX(MkMatrix,3,3))</f>
        <v>0</v>
      </c>
      <c r="S158" s="62" t="n">
        <f aca="false">N158*CC_SharedSell</f>
        <v>0</v>
      </c>
      <c r="T158" s="62" t="n">
        <f aca="false">P158*N(QCont)</f>
        <v>0</v>
      </c>
      <c r="U158" s="62" t="n">
        <f aca="false">Q158+R158+S158+T158</f>
        <v>0</v>
      </c>
      <c r="V158" s="62" t="n">
        <f aca="false">-U158*N(QDisc)</f>
        <v>-0</v>
      </c>
      <c r="W158" s="63" t="n">
        <f aca="false">U158+V158</f>
        <v>0</v>
      </c>
      <c r="X158" s="63" t="n">
        <f aca="false">W158/QRate</f>
        <v>0</v>
      </c>
      <c r="Y158" s="0" t="n">
        <v>5</v>
      </c>
    </row>
    <row r="159" customFormat="false" ht="15" hidden="false" customHeight="false" outlineLevel="0" collapsed="false">
      <c r="A159" s="68" t="n">
        <f aca="false">'CC Volume'!A159</f>
        <v>18</v>
      </c>
      <c r="B159" s="13" t="str">
        <f aca="false">IF('CC Volume'!B159="","",'CC Volume'!B159)</f>
        <v/>
      </c>
      <c r="C159" s="13" t="str">
        <f aca="false">IF('CC Volume'!C159="","",'CC Volume'!C159)</f>
        <v/>
      </c>
      <c r="D159" s="13" t="str">
        <f aca="false">IF('CC Volume'!D159="","",'CC Volume'!D159)</f>
        <v/>
      </c>
      <c r="E159" s="68" t="str">
        <f aca="false">IF('CC Volume'!E159="","",'CC Volume'!E159)</f>
        <v/>
      </c>
      <c r="F159" s="68" t="str">
        <f aca="false">IF('CC Volume'!F159="","",'CC Volume'!F159)</f>
        <v/>
      </c>
      <c r="G159" s="69" t="str">
        <f aca="false">'CC Volume'!AN159</f>
        <v/>
      </c>
      <c r="H159" s="69" t="str">
        <f aca="false">'CC Volume'!AO159</f>
        <v/>
      </c>
      <c r="I159" s="69" t="str">
        <f aca="false">'CC Volume'!AM159</f>
        <v/>
      </c>
      <c r="J159" s="62" t="str">
        <f aca="false">IF(N(H159)=0,"",IFERROR(INDEX(CC_RegRate,MATCH(F159,CC_RegU,0)),0))</f>
        <v/>
      </c>
      <c r="K159" s="62" t="n">
        <f aca="false">N(H159)*N(J159)</f>
        <v>0</v>
      </c>
      <c r="L159" s="62" t="n">
        <f aca="false">IF(CC_IncWaste="Yes",N(I159)*N(XWaste),0)</f>
        <v>0</v>
      </c>
      <c r="M159" s="65" t="n">
        <f aca="false">IF(N(G159)=0,0,IF(CC_AllocBasis="Equipment count",1,IF(CC_AllocBasis="Equipment volume",N(G159),N(H159))))</f>
        <v>0</v>
      </c>
      <c r="N159" s="15" t="n">
        <f aca="false">IF(SUM(CC_P_M)=0,0,M159/SUM(CC_P_M))</f>
        <v>0</v>
      </c>
      <c r="O159" s="62" t="n">
        <f aca="false">N159*CC_SharedCost</f>
        <v>0</v>
      </c>
      <c r="P159" s="63" t="n">
        <f aca="false">K159+L159+O159</f>
        <v>0</v>
      </c>
      <c r="Q159" s="62" t="n">
        <f aca="false">K159*(1+INDEX(MkMatrix,3,3))</f>
        <v>0</v>
      </c>
      <c r="R159" s="62" t="n">
        <f aca="false">L159*(1+INDEX(MkMatrix,3,3))</f>
        <v>0</v>
      </c>
      <c r="S159" s="62" t="n">
        <f aca="false">N159*CC_SharedSell</f>
        <v>0</v>
      </c>
      <c r="T159" s="62" t="n">
        <f aca="false">P159*N(QCont)</f>
        <v>0</v>
      </c>
      <c r="U159" s="62" t="n">
        <f aca="false">Q159+R159+S159+T159</f>
        <v>0</v>
      </c>
      <c r="V159" s="62" t="n">
        <f aca="false">-U159*N(QDisc)</f>
        <v>-0</v>
      </c>
      <c r="W159" s="63" t="n">
        <f aca="false">U159+V159</f>
        <v>0</v>
      </c>
      <c r="X159" s="63" t="n">
        <f aca="false">W159/QRate</f>
        <v>0</v>
      </c>
      <c r="Y159" s="0" t="n">
        <v>5</v>
      </c>
    </row>
    <row r="160" customFormat="false" ht="15" hidden="false" customHeight="false" outlineLevel="0" collapsed="false">
      <c r="A160" s="68" t="n">
        <f aca="false">'CC Volume'!A160</f>
        <v>19</v>
      </c>
      <c r="B160" s="13" t="str">
        <f aca="false">IF('CC Volume'!B160="","",'CC Volume'!B160)</f>
        <v/>
      </c>
      <c r="C160" s="13" t="str">
        <f aca="false">IF('CC Volume'!C160="","",'CC Volume'!C160)</f>
        <v/>
      </c>
      <c r="D160" s="13" t="str">
        <f aca="false">IF('CC Volume'!D160="","",'CC Volume'!D160)</f>
        <v/>
      </c>
      <c r="E160" s="68" t="str">
        <f aca="false">IF('CC Volume'!E160="","",'CC Volume'!E160)</f>
        <v/>
      </c>
      <c r="F160" s="68" t="str">
        <f aca="false">IF('CC Volume'!F160="","",'CC Volume'!F160)</f>
        <v/>
      </c>
      <c r="G160" s="69" t="str">
        <f aca="false">'CC Volume'!AN160</f>
        <v/>
      </c>
      <c r="H160" s="69" t="str">
        <f aca="false">'CC Volume'!AO160</f>
        <v/>
      </c>
      <c r="I160" s="69" t="str">
        <f aca="false">'CC Volume'!AM160</f>
        <v/>
      </c>
      <c r="J160" s="62" t="str">
        <f aca="false">IF(N(H160)=0,"",IFERROR(INDEX(CC_RegRate,MATCH(F160,CC_RegU,0)),0))</f>
        <v/>
      </c>
      <c r="K160" s="62" t="n">
        <f aca="false">N(H160)*N(J160)</f>
        <v>0</v>
      </c>
      <c r="L160" s="62" t="n">
        <f aca="false">IF(CC_IncWaste="Yes",N(I160)*N(XWaste),0)</f>
        <v>0</v>
      </c>
      <c r="M160" s="65" t="n">
        <f aca="false">IF(N(G160)=0,0,IF(CC_AllocBasis="Equipment count",1,IF(CC_AllocBasis="Equipment volume",N(G160),N(H160))))</f>
        <v>0</v>
      </c>
      <c r="N160" s="15" t="n">
        <f aca="false">IF(SUM(CC_P_M)=0,0,M160/SUM(CC_P_M))</f>
        <v>0</v>
      </c>
      <c r="O160" s="62" t="n">
        <f aca="false">N160*CC_SharedCost</f>
        <v>0</v>
      </c>
      <c r="P160" s="63" t="n">
        <f aca="false">K160+L160+O160</f>
        <v>0</v>
      </c>
      <c r="Q160" s="62" t="n">
        <f aca="false">K160*(1+INDEX(MkMatrix,3,3))</f>
        <v>0</v>
      </c>
      <c r="R160" s="62" t="n">
        <f aca="false">L160*(1+INDEX(MkMatrix,3,3))</f>
        <v>0</v>
      </c>
      <c r="S160" s="62" t="n">
        <f aca="false">N160*CC_SharedSell</f>
        <v>0</v>
      </c>
      <c r="T160" s="62" t="n">
        <f aca="false">P160*N(QCont)</f>
        <v>0</v>
      </c>
      <c r="U160" s="62" t="n">
        <f aca="false">Q160+R160+S160+T160</f>
        <v>0</v>
      </c>
      <c r="V160" s="62" t="n">
        <f aca="false">-U160*N(QDisc)</f>
        <v>-0</v>
      </c>
      <c r="W160" s="63" t="n">
        <f aca="false">U160+V160</f>
        <v>0</v>
      </c>
      <c r="X160" s="63" t="n">
        <f aca="false">W160/QRate</f>
        <v>0</v>
      </c>
      <c r="Y160" s="0" t="n">
        <v>5</v>
      </c>
    </row>
    <row r="161" customFormat="false" ht="15" hidden="false" customHeight="false" outlineLevel="0" collapsed="false">
      <c r="A161" s="68" t="n">
        <f aca="false">'CC Volume'!A161</f>
        <v>20</v>
      </c>
      <c r="B161" s="13" t="str">
        <f aca="false">IF('CC Volume'!B161="","",'CC Volume'!B161)</f>
        <v/>
      </c>
      <c r="C161" s="13" t="str">
        <f aca="false">IF('CC Volume'!C161="","",'CC Volume'!C161)</f>
        <v/>
      </c>
      <c r="D161" s="13" t="str">
        <f aca="false">IF('CC Volume'!D161="","",'CC Volume'!D161)</f>
        <v/>
      </c>
      <c r="E161" s="68" t="str">
        <f aca="false">IF('CC Volume'!E161="","",'CC Volume'!E161)</f>
        <v/>
      </c>
      <c r="F161" s="68" t="str">
        <f aca="false">IF('CC Volume'!F161="","",'CC Volume'!F161)</f>
        <v/>
      </c>
      <c r="G161" s="69" t="str">
        <f aca="false">'CC Volume'!AN161</f>
        <v/>
      </c>
      <c r="H161" s="69" t="str">
        <f aca="false">'CC Volume'!AO161</f>
        <v/>
      </c>
      <c r="I161" s="69" t="str">
        <f aca="false">'CC Volume'!AM161</f>
        <v/>
      </c>
      <c r="J161" s="62" t="str">
        <f aca="false">IF(N(H161)=0,"",IFERROR(INDEX(CC_RegRate,MATCH(F161,CC_RegU,0)),0))</f>
        <v/>
      </c>
      <c r="K161" s="62" t="n">
        <f aca="false">N(H161)*N(J161)</f>
        <v>0</v>
      </c>
      <c r="L161" s="62" t="n">
        <f aca="false">IF(CC_IncWaste="Yes",N(I161)*N(XWaste),0)</f>
        <v>0</v>
      </c>
      <c r="M161" s="65" t="n">
        <f aca="false">IF(N(G161)=0,0,IF(CC_AllocBasis="Equipment count",1,IF(CC_AllocBasis="Equipment volume",N(G161),N(H161))))</f>
        <v>0</v>
      </c>
      <c r="N161" s="15" t="n">
        <f aca="false">IF(SUM(CC_P_M)=0,0,M161/SUM(CC_P_M))</f>
        <v>0</v>
      </c>
      <c r="O161" s="62" t="n">
        <f aca="false">N161*CC_SharedCost</f>
        <v>0</v>
      </c>
      <c r="P161" s="63" t="n">
        <f aca="false">K161+L161+O161</f>
        <v>0</v>
      </c>
      <c r="Q161" s="62" t="n">
        <f aca="false">K161*(1+INDEX(MkMatrix,3,3))</f>
        <v>0</v>
      </c>
      <c r="R161" s="62" t="n">
        <f aca="false">L161*(1+INDEX(MkMatrix,3,3))</f>
        <v>0</v>
      </c>
      <c r="S161" s="62" t="n">
        <f aca="false">N161*CC_SharedSell</f>
        <v>0</v>
      </c>
      <c r="T161" s="62" t="n">
        <f aca="false">P161*N(QCont)</f>
        <v>0</v>
      </c>
      <c r="U161" s="62" t="n">
        <f aca="false">Q161+R161+S161+T161</f>
        <v>0</v>
      </c>
      <c r="V161" s="62" t="n">
        <f aca="false">-U161*N(QDisc)</f>
        <v>-0</v>
      </c>
      <c r="W161" s="63" t="n">
        <f aca="false">U161+V161</f>
        <v>0</v>
      </c>
      <c r="X161" s="63" t="n">
        <f aca="false">W161/QRate</f>
        <v>0</v>
      </c>
      <c r="Y161" s="0" t="n">
        <v>5</v>
      </c>
    </row>
    <row r="162" customFormat="false" ht="15" hidden="false" customHeight="false" outlineLevel="0" collapsed="false">
      <c r="A162" s="68" t="n">
        <f aca="false">'CC Volume'!A162</f>
        <v>21</v>
      </c>
      <c r="B162" s="13" t="str">
        <f aca="false">IF('CC Volume'!B162="","",'CC Volume'!B162)</f>
        <v/>
      </c>
      <c r="C162" s="13" t="str">
        <f aca="false">IF('CC Volume'!C162="","",'CC Volume'!C162)</f>
        <v/>
      </c>
      <c r="D162" s="13" t="str">
        <f aca="false">IF('CC Volume'!D162="","",'CC Volume'!D162)</f>
        <v/>
      </c>
      <c r="E162" s="68" t="str">
        <f aca="false">IF('CC Volume'!E162="","",'CC Volume'!E162)</f>
        <v/>
      </c>
      <c r="F162" s="68" t="str">
        <f aca="false">IF('CC Volume'!F162="","",'CC Volume'!F162)</f>
        <v/>
      </c>
      <c r="G162" s="69" t="str">
        <f aca="false">'CC Volume'!AN162</f>
        <v/>
      </c>
      <c r="H162" s="69" t="str">
        <f aca="false">'CC Volume'!AO162</f>
        <v/>
      </c>
      <c r="I162" s="69" t="str">
        <f aca="false">'CC Volume'!AM162</f>
        <v/>
      </c>
      <c r="J162" s="62" t="str">
        <f aca="false">IF(N(H162)=0,"",IFERROR(INDEX(CC_RegRate,MATCH(F162,CC_RegU,0)),0))</f>
        <v/>
      </c>
      <c r="K162" s="62" t="n">
        <f aca="false">N(H162)*N(J162)</f>
        <v>0</v>
      </c>
      <c r="L162" s="62" t="n">
        <f aca="false">IF(CC_IncWaste="Yes",N(I162)*N(XWaste),0)</f>
        <v>0</v>
      </c>
      <c r="M162" s="65" t="n">
        <f aca="false">IF(N(G162)=0,0,IF(CC_AllocBasis="Equipment count",1,IF(CC_AllocBasis="Equipment volume",N(G162),N(H162))))</f>
        <v>0</v>
      </c>
      <c r="N162" s="15" t="n">
        <f aca="false">IF(SUM(CC_P_M)=0,0,M162/SUM(CC_P_M))</f>
        <v>0</v>
      </c>
      <c r="O162" s="62" t="n">
        <f aca="false">N162*CC_SharedCost</f>
        <v>0</v>
      </c>
      <c r="P162" s="63" t="n">
        <f aca="false">K162+L162+O162</f>
        <v>0</v>
      </c>
      <c r="Q162" s="62" t="n">
        <f aca="false">K162*(1+INDEX(MkMatrix,3,3))</f>
        <v>0</v>
      </c>
      <c r="R162" s="62" t="n">
        <f aca="false">L162*(1+INDEX(MkMatrix,3,3))</f>
        <v>0</v>
      </c>
      <c r="S162" s="62" t="n">
        <f aca="false">N162*CC_SharedSell</f>
        <v>0</v>
      </c>
      <c r="T162" s="62" t="n">
        <f aca="false">P162*N(QCont)</f>
        <v>0</v>
      </c>
      <c r="U162" s="62" t="n">
        <f aca="false">Q162+R162+S162+T162</f>
        <v>0</v>
      </c>
      <c r="V162" s="62" t="n">
        <f aca="false">-U162*N(QDisc)</f>
        <v>-0</v>
      </c>
      <c r="W162" s="63" t="n">
        <f aca="false">U162+V162</f>
        <v>0</v>
      </c>
      <c r="X162" s="63" t="n">
        <f aca="false">W162/QRate</f>
        <v>0</v>
      </c>
      <c r="Y162" s="0" t="n">
        <v>5</v>
      </c>
    </row>
    <row r="163" customFormat="false" ht="15" hidden="false" customHeight="false" outlineLevel="0" collapsed="false">
      <c r="A163" s="68" t="n">
        <f aca="false">'CC Volume'!A163</f>
        <v>22</v>
      </c>
      <c r="B163" s="13" t="str">
        <f aca="false">IF('CC Volume'!B163="","",'CC Volume'!B163)</f>
        <v/>
      </c>
      <c r="C163" s="13" t="str">
        <f aca="false">IF('CC Volume'!C163="","",'CC Volume'!C163)</f>
        <v/>
      </c>
      <c r="D163" s="13" t="str">
        <f aca="false">IF('CC Volume'!D163="","",'CC Volume'!D163)</f>
        <v/>
      </c>
      <c r="E163" s="68" t="str">
        <f aca="false">IF('CC Volume'!E163="","",'CC Volume'!E163)</f>
        <v/>
      </c>
      <c r="F163" s="68" t="str">
        <f aca="false">IF('CC Volume'!F163="","",'CC Volume'!F163)</f>
        <v/>
      </c>
      <c r="G163" s="69" t="str">
        <f aca="false">'CC Volume'!AN163</f>
        <v/>
      </c>
      <c r="H163" s="69" t="str">
        <f aca="false">'CC Volume'!AO163</f>
        <v/>
      </c>
      <c r="I163" s="69" t="str">
        <f aca="false">'CC Volume'!AM163</f>
        <v/>
      </c>
      <c r="J163" s="62" t="str">
        <f aca="false">IF(N(H163)=0,"",IFERROR(INDEX(CC_RegRate,MATCH(F163,CC_RegU,0)),0))</f>
        <v/>
      </c>
      <c r="K163" s="62" t="n">
        <f aca="false">N(H163)*N(J163)</f>
        <v>0</v>
      </c>
      <c r="L163" s="62" t="n">
        <f aca="false">IF(CC_IncWaste="Yes",N(I163)*N(XWaste),0)</f>
        <v>0</v>
      </c>
      <c r="M163" s="65" t="n">
        <f aca="false">IF(N(G163)=0,0,IF(CC_AllocBasis="Equipment count",1,IF(CC_AllocBasis="Equipment volume",N(G163),N(H163))))</f>
        <v>0</v>
      </c>
      <c r="N163" s="15" t="n">
        <f aca="false">IF(SUM(CC_P_M)=0,0,M163/SUM(CC_P_M))</f>
        <v>0</v>
      </c>
      <c r="O163" s="62" t="n">
        <f aca="false">N163*CC_SharedCost</f>
        <v>0</v>
      </c>
      <c r="P163" s="63" t="n">
        <f aca="false">K163+L163+O163</f>
        <v>0</v>
      </c>
      <c r="Q163" s="62" t="n">
        <f aca="false">K163*(1+INDEX(MkMatrix,3,3))</f>
        <v>0</v>
      </c>
      <c r="R163" s="62" t="n">
        <f aca="false">L163*(1+INDEX(MkMatrix,3,3))</f>
        <v>0</v>
      </c>
      <c r="S163" s="62" t="n">
        <f aca="false">N163*CC_SharedSell</f>
        <v>0</v>
      </c>
      <c r="T163" s="62" t="n">
        <f aca="false">P163*N(QCont)</f>
        <v>0</v>
      </c>
      <c r="U163" s="62" t="n">
        <f aca="false">Q163+R163+S163+T163</f>
        <v>0</v>
      </c>
      <c r="V163" s="62" t="n">
        <f aca="false">-U163*N(QDisc)</f>
        <v>-0</v>
      </c>
      <c r="W163" s="63" t="n">
        <f aca="false">U163+V163</f>
        <v>0</v>
      </c>
      <c r="X163" s="63" t="n">
        <f aca="false">W163/QRate</f>
        <v>0</v>
      </c>
      <c r="Y163" s="0" t="n">
        <v>5</v>
      </c>
    </row>
    <row r="164" customFormat="false" ht="15" hidden="false" customHeight="false" outlineLevel="0" collapsed="false">
      <c r="A164" s="68" t="n">
        <f aca="false">'CC Volume'!A164</f>
        <v>23</v>
      </c>
      <c r="B164" s="13" t="str">
        <f aca="false">IF('CC Volume'!B164="","",'CC Volume'!B164)</f>
        <v/>
      </c>
      <c r="C164" s="13" t="str">
        <f aca="false">IF('CC Volume'!C164="","",'CC Volume'!C164)</f>
        <v/>
      </c>
      <c r="D164" s="13" t="str">
        <f aca="false">IF('CC Volume'!D164="","",'CC Volume'!D164)</f>
        <v/>
      </c>
      <c r="E164" s="68" t="str">
        <f aca="false">IF('CC Volume'!E164="","",'CC Volume'!E164)</f>
        <v/>
      </c>
      <c r="F164" s="68" t="str">
        <f aca="false">IF('CC Volume'!F164="","",'CC Volume'!F164)</f>
        <v/>
      </c>
      <c r="G164" s="69" t="str">
        <f aca="false">'CC Volume'!AN164</f>
        <v/>
      </c>
      <c r="H164" s="69" t="str">
        <f aca="false">'CC Volume'!AO164</f>
        <v/>
      </c>
      <c r="I164" s="69" t="str">
        <f aca="false">'CC Volume'!AM164</f>
        <v/>
      </c>
      <c r="J164" s="62" t="str">
        <f aca="false">IF(N(H164)=0,"",IFERROR(INDEX(CC_RegRate,MATCH(F164,CC_RegU,0)),0))</f>
        <v/>
      </c>
      <c r="K164" s="62" t="n">
        <f aca="false">N(H164)*N(J164)</f>
        <v>0</v>
      </c>
      <c r="L164" s="62" t="n">
        <f aca="false">IF(CC_IncWaste="Yes",N(I164)*N(XWaste),0)</f>
        <v>0</v>
      </c>
      <c r="M164" s="65" t="n">
        <f aca="false">IF(N(G164)=0,0,IF(CC_AllocBasis="Equipment count",1,IF(CC_AllocBasis="Equipment volume",N(G164),N(H164))))</f>
        <v>0</v>
      </c>
      <c r="N164" s="15" t="n">
        <f aca="false">IF(SUM(CC_P_M)=0,0,M164/SUM(CC_P_M))</f>
        <v>0</v>
      </c>
      <c r="O164" s="62" t="n">
        <f aca="false">N164*CC_SharedCost</f>
        <v>0</v>
      </c>
      <c r="P164" s="63" t="n">
        <f aca="false">K164+L164+O164</f>
        <v>0</v>
      </c>
      <c r="Q164" s="62" t="n">
        <f aca="false">K164*(1+INDEX(MkMatrix,3,3))</f>
        <v>0</v>
      </c>
      <c r="R164" s="62" t="n">
        <f aca="false">L164*(1+INDEX(MkMatrix,3,3))</f>
        <v>0</v>
      </c>
      <c r="S164" s="62" t="n">
        <f aca="false">N164*CC_SharedSell</f>
        <v>0</v>
      </c>
      <c r="T164" s="62" t="n">
        <f aca="false">P164*N(QCont)</f>
        <v>0</v>
      </c>
      <c r="U164" s="62" t="n">
        <f aca="false">Q164+R164+S164+T164</f>
        <v>0</v>
      </c>
      <c r="V164" s="62" t="n">
        <f aca="false">-U164*N(QDisc)</f>
        <v>-0</v>
      </c>
      <c r="W164" s="63" t="n">
        <f aca="false">U164+V164</f>
        <v>0</v>
      </c>
      <c r="X164" s="63" t="n">
        <f aca="false">W164/QRate</f>
        <v>0</v>
      </c>
      <c r="Y164" s="0" t="n">
        <v>5</v>
      </c>
    </row>
    <row r="165" customFormat="false" ht="15" hidden="false" customHeight="false" outlineLevel="0" collapsed="false">
      <c r="A165" s="68" t="n">
        <f aca="false">'CC Volume'!A165</f>
        <v>24</v>
      </c>
      <c r="B165" s="13" t="str">
        <f aca="false">IF('CC Volume'!B165="","",'CC Volume'!B165)</f>
        <v/>
      </c>
      <c r="C165" s="13" t="str">
        <f aca="false">IF('CC Volume'!C165="","",'CC Volume'!C165)</f>
        <v/>
      </c>
      <c r="D165" s="13" t="str">
        <f aca="false">IF('CC Volume'!D165="","",'CC Volume'!D165)</f>
        <v/>
      </c>
      <c r="E165" s="68" t="str">
        <f aca="false">IF('CC Volume'!E165="","",'CC Volume'!E165)</f>
        <v/>
      </c>
      <c r="F165" s="68" t="str">
        <f aca="false">IF('CC Volume'!F165="","",'CC Volume'!F165)</f>
        <v/>
      </c>
      <c r="G165" s="69" t="str">
        <f aca="false">'CC Volume'!AN165</f>
        <v/>
      </c>
      <c r="H165" s="69" t="str">
        <f aca="false">'CC Volume'!AO165</f>
        <v/>
      </c>
      <c r="I165" s="69" t="str">
        <f aca="false">'CC Volume'!AM165</f>
        <v/>
      </c>
      <c r="J165" s="62" t="str">
        <f aca="false">IF(N(H165)=0,"",IFERROR(INDEX(CC_RegRate,MATCH(F165,CC_RegU,0)),0))</f>
        <v/>
      </c>
      <c r="K165" s="62" t="n">
        <f aca="false">N(H165)*N(J165)</f>
        <v>0</v>
      </c>
      <c r="L165" s="62" t="n">
        <f aca="false">IF(CC_IncWaste="Yes",N(I165)*N(XWaste),0)</f>
        <v>0</v>
      </c>
      <c r="M165" s="65" t="n">
        <f aca="false">IF(N(G165)=0,0,IF(CC_AllocBasis="Equipment count",1,IF(CC_AllocBasis="Equipment volume",N(G165),N(H165))))</f>
        <v>0</v>
      </c>
      <c r="N165" s="15" t="n">
        <f aca="false">IF(SUM(CC_P_M)=0,0,M165/SUM(CC_P_M))</f>
        <v>0</v>
      </c>
      <c r="O165" s="62" t="n">
        <f aca="false">N165*CC_SharedCost</f>
        <v>0</v>
      </c>
      <c r="P165" s="63" t="n">
        <f aca="false">K165+L165+O165</f>
        <v>0</v>
      </c>
      <c r="Q165" s="62" t="n">
        <f aca="false">K165*(1+INDEX(MkMatrix,3,3))</f>
        <v>0</v>
      </c>
      <c r="R165" s="62" t="n">
        <f aca="false">L165*(1+INDEX(MkMatrix,3,3))</f>
        <v>0</v>
      </c>
      <c r="S165" s="62" t="n">
        <f aca="false">N165*CC_SharedSell</f>
        <v>0</v>
      </c>
      <c r="T165" s="62" t="n">
        <f aca="false">P165*N(QCont)</f>
        <v>0</v>
      </c>
      <c r="U165" s="62" t="n">
        <f aca="false">Q165+R165+S165+T165</f>
        <v>0</v>
      </c>
      <c r="V165" s="62" t="n">
        <f aca="false">-U165*N(QDisc)</f>
        <v>-0</v>
      </c>
      <c r="W165" s="63" t="n">
        <f aca="false">U165+V165</f>
        <v>0</v>
      </c>
      <c r="X165" s="63" t="n">
        <f aca="false">W165/QRate</f>
        <v>0</v>
      </c>
      <c r="Y165" s="0" t="n">
        <v>5</v>
      </c>
    </row>
    <row r="166" customFormat="false" ht="15" hidden="false" customHeight="false" outlineLevel="0" collapsed="false">
      <c r="A166" s="68" t="n">
        <f aca="false">'CC Volume'!A166</f>
        <v>25</v>
      </c>
      <c r="B166" s="13" t="str">
        <f aca="false">IF('CC Volume'!B166="","",'CC Volume'!B166)</f>
        <v/>
      </c>
      <c r="C166" s="13" t="str">
        <f aca="false">IF('CC Volume'!C166="","",'CC Volume'!C166)</f>
        <v/>
      </c>
      <c r="D166" s="13" t="str">
        <f aca="false">IF('CC Volume'!D166="","",'CC Volume'!D166)</f>
        <v/>
      </c>
      <c r="E166" s="68" t="str">
        <f aca="false">IF('CC Volume'!E166="","",'CC Volume'!E166)</f>
        <v/>
      </c>
      <c r="F166" s="68" t="str">
        <f aca="false">IF('CC Volume'!F166="","",'CC Volume'!F166)</f>
        <v/>
      </c>
      <c r="G166" s="69" t="str">
        <f aca="false">'CC Volume'!AN166</f>
        <v/>
      </c>
      <c r="H166" s="69" t="str">
        <f aca="false">'CC Volume'!AO166</f>
        <v/>
      </c>
      <c r="I166" s="69" t="str">
        <f aca="false">'CC Volume'!AM166</f>
        <v/>
      </c>
      <c r="J166" s="62" t="str">
        <f aca="false">IF(N(H166)=0,"",IFERROR(INDEX(CC_RegRate,MATCH(F166,CC_RegU,0)),0))</f>
        <v/>
      </c>
      <c r="K166" s="62" t="n">
        <f aca="false">N(H166)*N(J166)</f>
        <v>0</v>
      </c>
      <c r="L166" s="62" t="n">
        <f aca="false">IF(CC_IncWaste="Yes",N(I166)*N(XWaste),0)</f>
        <v>0</v>
      </c>
      <c r="M166" s="65" t="n">
        <f aca="false">IF(N(G166)=0,0,IF(CC_AllocBasis="Equipment count",1,IF(CC_AllocBasis="Equipment volume",N(G166),N(H166))))</f>
        <v>0</v>
      </c>
      <c r="N166" s="15" t="n">
        <f aca="false">IF(SUM(CC_P_M)=0,0,M166/SUM(CC_P_M))</f>
        <v>0</v>
      </c>
      <c r="O166" s="62" t="n">
        <f aca="false">N166*CC_SharedCost</f>
        <v>0</v>
      </c>
      <c r="P166" s="63" t="n">
        <f aca="false">K166+L166+O166</f>
        <v>0</v>
      </c>
      <c r="Q166" s="62" t="n">
        <f aca="false">K166*(1+INDEX(MkMatrix,3,3))</f>
        <v>0</v>
      </c>
      <c r="R166" s="62" t="n">
        <f aca="false">L166*(1+INDEX(MkMatrix,3,3))</f>
        <v>0</v>
      </c>
      <c r="S166" s="62" t="n">
        <f aca="false">N166*CC_SharedSell</f>
        <v>0</v>
      </c>
      <c r="T166" s="62" t="n">
        <f aca="false">P166*N(QCont)</f>
        <v>0</v>
      </c>
      <c r="U166" s="62" t="n">
        <f aca="false">Q166+R166+S166+T166</f>
        <v>0</v>
      </c>
      <c r="V166" s="62" t="n">
        <f aca="false">-U166*N(QDisc)</f>
        <v>-0</v>
      </c>
      <c r="W166" s="63" t="n">
        <f aca="false">U166+V166</f>
        <v>0</v>
      </c>
      <c r="X166" s="63" t="n">
        <f aca="false">W166/QRate</f>
        <v>0</v>
      </c>
      <c r="Y166" s="0" t="n">
        <v>5</v>
      </c>
    </row>
    <row r="167" customFormat="false" ht="15" hidden="false" customHeight="false" outlineLevel="0" collapsed="false">
      <c r="A167" s="68" t="n">
        <f aca="false">'CC Volume'!A167</f>
        <v>26</v>
      </c>
      <c r="B167" s="13" t="str">
        <f aca="false">IF('CC Volume'!B167="","",'CC Volume'!B167)</f>
        <v/>
      </c>
      <c r="C167" s="13" t="str">
        <f aca="false">IF('CC Volume'!C167="","",'CC Volume'!C167)</f>
        <v/>
      </c>
      <c r="D167" s="13" t="str">
        <f aca="false">IF('CC Volume'!D167="","",'CC Volume'!D167)</f>
        <v/>
      </c>
      <c r="E167" s="68" t="str">
        <f aca="false">IF('CC Volume'!E167="","",'CC Volume'!E167)</f>
        <v/>
      </c>
      <c r="F167" s="68" t="str">
        <f aca="false">IF('CC Volume'!F167="","",'CC Volume'!F167)</f>
        <v/>
      </c>
      <c r="G167" s="69" t="str">
        <f aca="false">'CC Volume'!AN167</f>
        <v/>
      </c>
      <c r="H167" s="69" t="str">
        <f aca="false">'CC Volume'!AO167</f>
        <v/>
      </c>
      <c r="I167" s="69" t="str">
        <f aca="false">'CC Volume'!AM167</f>
        <v/>
      </c>
      <c r="J167" s="62" t="str">
        <f aca="false">IF(N(H167)=0,"",IFERROR(INDEX(CC_RegRate,MATCH(F167,CC_RegU,0)),0))</f>
        <v/>
      </c>
      <c r="K167" s="62" t="n">
        <f aca="false">N(H167)*N(J167)</f>
        <v>0</v>
      </c>
      <c r="L167" s="62" t="n">
        <f aca="false">IF(CC_IncWaste="Yes",N(I167)*N(XWaste),0)</f>
        <v>0</v>
      </c>
      <c r="M167" s="65" t="n">
        <f aca="false">IF(N(G167)=0,0,IF(CC_AllocBasis="Equipment count",1,IF(CC_AllocBasis="Equipment volume",N(G167),N(H167))))</f>
        <v>0</v>
      </c>
      <c r="N167" s="15" t="n">
        <f aca="false">IF(SUM(CC_P_M)=0,0,M167/SUM(CC_P_M))</f>
        <v>0</v>
      </c>
      <c r="O167" s="62" t="n">
        <f aca="false">N167*CC_SharedCost</f>
        <v>0</v>
      </c>
      <c r="P167" s="63" t="n">
        <f aca="false">K167+L167+O167</f>
        <v>0</v>
      </c>
      <c r="Q167" s="62" t="n">
        <f aca="false">K167*(1+INDEX(MkMatrix,3,3))</f>
        <v>0</v>
      </c>
      <c r="R167" s="62" t="n">
        <f aca="false">L167*(1+INDEX(MkMatrix,3,3))</f>
        <v>0</v>
      </c>
      <c r="S167" s="62" t="n">
        <f aca="false">N167*CC_SharedSell</f>
        <v>0</v>
      </c>
      <c r="T167" s="62" t="n">
        <f aca="false">P167*N(QCont)</f>
        <v>0</v>
      </c>
      <c r="U167" s="62" t="n">
        <f aca="false">Q167+R167+S167+T167</f>
        <v>0</v>
      </c>
      <c r="V167" s="62" t="n">
        <f aca="false">-U167*N(QDisc)</f>
        <v>-0</v>
      </c>
      <c r="W167" s="63" t="n">
        <f aca="false">U167+V167</f>
        <v>0</v>
      </c>
      <c r="X167" s="63" t="n">
        <f aca="false">W167/QRate</f>
        <v>0</v>
      </c>
      <c r="Y167" s="0" t="n">
        <v>5</v>
      </c>
    </row>
    <row r="168" customFormat="false" ht="15" hidden="false" customHeight="false" outlineLevel="0" collapsed="false">
      <c r="A168" s="68" t="n">
        <f aca="false">'CC Volume'!A168</f>
        <v>27</v>
      </c>
      <c r="B168" s="13" t="str">
        <f aca="false">IF('CC Volume'!B168="","",'CC Volume'!B168)</f>
        <v/>
      </c>
      <c r="C168" s="13" t="str">
        <f aca="false">IF('CC Volume'!C168="","",'CC Volume'!C168)</f>
        <v/>
      </c>
      <c r="D168" s="13" t="str">
        <f aca="false">IF('CC Volume'!D168="","",'CC Volume'!D168)</f>
        <v/>
      </c>
      <c r="E168" s="68" t="str">
        <f aca="false">IF('CC Volume'!E168="","",'CC Volume'!E168)</f>
        <v/>
      </c>
      <c r="F168" s="68" t="str">
        <f aca="false">IF('CC Volume'!F168="","",'CC Volume'!F168)</f>
        <v/>
      </c>
      <c r="G168" s="69" t="str">
        <f aca="false">'CC Volume'!AN168</f>
        <v/>
      </c>
      <c r="H168" s="69" t="str">
        <f aca="false">'CC Volume'!AO168</f>
        <v/>
      </c>
      <c r="I168" s="69" t="str">
        <f aca="false">'CC Volume'!AM168</f>
        <v/>
      </c>
      <c r="J168" s="62" t="str">
        <f aca="false">IF(N(H168)=0,"",IFERROR(INDEX(CC_RegRate,MATCH(F168,CC_RegU,0)),0))</f>
        <v/>
      </c>
      <c r="K168" s="62" t="n">
        <f aca="false">N(H168)*N(J168)</f>
        <v>0</v>
      </c>
      <c r="L168" s="62" t="n">
        <f aca="false">IF(CC_IncWaste="Yes",N(I168)*N(XWaste),0)</f>
        <v>0</v>
      </c>
      <c r="M168" s="65" t="n">
        <f aca="false">IF(N(G168)=0,0,IF(CC_AllocBasis="Equipment count",1,IF(CC_AllocBasis="Equipment volume",N(G168),N(H168))))</f>
        <v>0</v>
      </c>
      <c r="N168" s="15" t="n">
        <f aca="false">IF(SUM(CC_P_M)=0,0,M168/SUM(CC_P_M))</f>
        <v>0</v>
      </c>
      <c r="O168" s="62" t="n">
        <f aca="false">N168*CC_SharedCost</f>
        <v>0</v>
      </c>
      <c r="P168" s="63" t="n">
        <f aca="false">K168+L168+O168</f>
        <v>0</v>
      </c>
      <c r="Q168" s="62" t="n">
        <f aca="false">K168*(1+INDEX(MkMatrix,3,3))</f>
        <v>0</v>
      </c>
      <c r="R168" s="62" t="n">
        <f aca="false">L168*(1+INDEX(MkMatrix,3,3))</f>
        <v>0</v>
      </c>
      <c r="S168" s="62" t="n">
        <f aca="false">N168*CC_SharedSell</f>
        <v>0</v>
      </c>
      <c r="T168" s="62" t="n">
        <f aca="false">P168*N(QCont)</f>
        <v>0</v>
      </c>
      <c r="U168" s="62" t="n">
        <f aca="false">Q168+R168+S168+T168</f>
        <v>0</v>
      </c>
      <c r="V168" s="62" t="n">
        <f aca="false">-U168*N(QDisc)</f>
        <v>-0</v>
      </c>
      <c r="W168" s="63" t="n">
        <f aca="false">U168+V168</f>
        <v>0</v>
      </c>
      <c r="X168" s="63" t="n">
        <f aca="false">W168/QRate</f>
        <v>0</v>
      </c>
      <c r="Y168" s="0" t="n">
        <v>5</v>
      </c>
    </row>
    <row r="169" customFormat="false" ht="15" hidden="false" customHeight="false" outlineLevel="0" collapsed="false">
      <c r="A169" s="68" t="n">
        <f aca="false">'CC Volume'!A169</f>
        <v>28</v>
      </c>
      <c r="B169" s="13" t="str">
        <f aca="false">IF('CC Volume'!B169="","",'CC Volume'!B169)</f>
        <v/>
      </c>
      <c r="C169" s="13" t="str">
        <f aca="false">IF('CC Volume'!C169="","",'CC Volume'!C169)</f>
        <v/>
      </c>
      <c r="D169" s="13" t="str">
        <f aca="false">IF('CC Volume'!D169="","",'CC Volume'!D169)</f>
        <v/>
      </c>
      <c r="E169" s="68" t="str">
        <f aca="false">IF('CC Volume'!E169="","",'CC Volume'!E169)</f>
        <v/>
      </c>
      <c r="F169" s="68" t="str">
        <f aca="false">IF('CC Volume'!F169="","",'CC Volume'!F169)</f>
        <v/>
      </c>
      <c r="G169" s="69" t="str">
        <f aca="false">'CC Volume'!AN169</f>
        <v/>
      </c>
      <c r="H169" s="69" t="str">
        <f aca="false">'CC Volume'!AO169</f>
        <v/>
      </c>
      <c r="I169" s="69" t="str">
        <f aca="false">'CC Volume'!AM169</f>
        <v/>
      </c>
      <c r="J169" s="62" t="str">
        <f aca="false">IF(N(H169)=0,"",IFERROR(INDEX(CC_RegRate,MATCH(F169,CC_RegU,0)),0))</f>
        <v/>
      </c>
      <c r="K169" s="62" t="n">
        <f aca="false">N(H169)*N(J169)</f>
        <v>0</v>
      </c>
      <c r="L169" s="62" t="n">
        <f aca="false">IF(CC_IncWaste="Yes",N(I169)*N(XWaste),0)</f>
        <v>0</v>
      </c>
      <c r="M169" s="65" t="n">
        <f aca="false">IF(N(G169)=0,0,IF(CC_AllocBasis="Equipment count",1,IF(CC_AllocBasis="Equipment volume",N(G169),N(H169))))</f>
        <v>0</v>
      </c>
      <c r="N169" s="15" t="n">
        <f aca="false">IF(SUM(CC_P_M)=0,0,M169/SUM(CC_P_M))</f>
        <v>0</v>
      </c>
      <c r="O169" s="62" t="n">
        <f aca="false">N169*CC_SharedCost</f>
        <v>0</v>
      </c>
      <c r="P169" s="63" t="n">
        <f aca="false">K169+L169+O169</f>
        <v>0</v>
      </c>
      <c r="Q169" s="62" t="n">
        <f aca="false">K169*(1+INDEX(MkMatrix,3,3))</f>
        <v>0</v>
      </c>
      <c r="R169" s="62" t="n">
        <f aca="false">L169*(1+INDEX(MkMatrix,3,3))</f>
        <v>0</v>
      </c>
      <c r="S169" s="62" t="n">
        <f aca="false">N169*CC_SharedSell</f>
        <v>0</v>
      </c>
      <c r="T169" s="62" t="n">
        <f aca="false">P169*N(QCont)</f>
        <v>0</v>
      </c>
      <c r="U169" s="62" t="n">
        <f aca="false">Q169+R169+S169+T169</f>
        <v>0</v>
      </c>
      <c r="V169" s="62" t="n">
        <f aca="false">-U169*N(QDisc)</f>
        <v>-0</v>
      </c>
      <c r="W169" s="63" t="n">
        <f aca="false">U169+V169</f>
        <v>0</v>
      </c>
      <c r="X169" s="63" t="n">
        <f aca="false">W169/QRate</f>
        <v>0</v>
      </c>
      <c r="Y169" s="0" t="n">
        <v>5</v>
      </c>
    </row>
    <row r="170" customFormat="false" ht="15" hidden="false" customHeight="false" outlineLevel="0" collapsed="false">
      <c r="A170" s="68" t="n">
        <f aca="false">'CC Volume'!A170</f>
        <v>29</v>
      </c>
      <c r="B170" s="13" t="str">
        <f aca="false">IF('CC Volume'!B170="","",'CC Volume'!B170)</f>
        <v/>
      </c>
      <c r="C170" s="13" t="str">
        <f aca="false">IF('CC Volume'!C170="","",'CC Volume'!C170)</f>
        <v/>
      </c>
      <c r="D170" s="13" t="str">
        <f aca="false">IF('CC Volume'!D170="","",'CC Volume'!D170)</f>
        <v/>
      </c>
      <c r="E170" s="68" t="str">
        <f aca="false">IF('CC Volume'!E170="","",'CC Volume'!E170)</f>
        <v/>
      </c>
      <c r="F170" s="68" t="str">
        <f aca="false">IF('CC Volume'!F170="","",'CC Volume'!F170)</f>
        <v/>
      </c>
      <c r="G170" s="69" t="str">
        <f aca="false">'CC Volume'!AN170</f>
        <v/>
      </c>
      <c r="H170" s="69" t="str">
        <f aca="false">'CC Volume'!AO170</f>
        <v/>
      </c>
      <c r="I170" s="69" t="str">
        <f aca="false">'CC Volume'!AM170</f>
        <v/>
      </c>
      <c r="J170" s="62" t="str">
        <f aca="false">IF(N(H170)=0,"",IFERROR(INDEX(CC_RegRate,MATCH(F170,CC_RegU,0)),0))</f>
        <v/>
      </c>
      <c r="K170" s="62" t="n">
        <f aca="false">N(H170)*N(J170)</f>
        <v>0</v>
      </c>
      <c r="L170" s="62" t="n">
        <f aca="false">IF(CC_IncWaste="Yes",N(I170)*N(XWaste),0)</f>
        <v>0</v>
      </c>
      <c r="M170" s="65" t="n">
        <f aca="false">IF(N(G170)=0,0,IF(CC_AllocBasis="Equipment count",1,IF(CC_AllocBasis="Equipment volume",N(G170),N(H170))))</f>
        <v>0</v>
      </c>
      <c r="N170" s="15" t="n">
        <f aca="false">IF(SUM(CC_P_M)=0,0,M170/SUM(CC_P_M))</f>
        <v>0</v>
      </c>
      <c r="O170" s="62" t="n">
        <f aca="false">N170*CC_SharedCost</f>
        <v>0</v>
      </c>
      <c r="P170" s="63" t="n">
        <f aca="false">K170+L170+O170</f>
        <v>0</v>
      </c>
      <c r="Q170" s="62" t="n">
        <f aca="false">K170*(1+INDEX(MkMatrix,3,3))</f>
        <v>0</v>
      </c>
      <c r="R170" s="62" t="n">
        <f aca="false">L170*(1+INDEX(MkMatrix,3,3))</f>
        <v>0</v>
      </c>
      <c r="S170" s="62" t="n">
        <f aca="false">N170*CC_SharedSell</f>
        <v>0</v>
      </c>
      <c r="T170" s="62" t="n">
        <f aca="false">P170*N(QCont)</f>
        <v>0</v>
      </c>
      <c r="U170" s="62" t="n">
        <f aca="false">Q170+R170+S170+T170</f>
        <v>0</v>
      </c>
      <c r="V170" s="62" t="n">
        <f aca="false">-U170*N(QDisc)</f>
        <v>-0</v>
      </c>
      <c r="W170" s="63" t="n">
        <f aca="false">U170+V170</f>
        <v>0</v>
      </c>
      <c r="X170" s="63" t="n">
        <f aca="false">W170/QRate</f>
        <v>0</v>
      </c>
      <c r="Y170" s="0" t="n">
        <v>5</v>
      </c>
    </row>
    <row r="171" customFormat="false" ht="15" hidden="false" customHeight="false" outlineLevel="0" collapsed="false">
      <c r="A171" s="68" t="n">
        <f aca="false">'CC Volume'!A171</f>
        <v>30</v>
      </c>
      <c r="B171" s="13" t="str">
        <f aca="false">IF('CC Volume'!B171="","",'CC Volume'!B171)</f>
        <v/>
      </c>
      <c r="C171" s="13" t="str">
        <f aca="false">IF('CC Volume'!C171="","",'CC Volume'!C171)</f>
        <v/>
      </c>
      <c r="D171" s="13" t="str">
        <f aca="false">IF('CC Volume'!D171="","",'CC Volume'!D171)</f>
        <v/>
      </c>
      <c r="E171" s="68" t="str">
        <f aca="false">IF('CC Volume'!E171="","",'CC Volume'!E171)</f>
        <v/>
      </c>
      <c r="F171" s="68" t="str">
        <f aca="false">IF('CC Volume'!F171="","",'CC Volume'!F171)</f>
        <v/>
      </c>
      <c r="G171" s="69" t="str">
        <f aca="false">'CC Volume'!AN171</f>
        <v/>
      </c>
      <c r="H171" s="69" t="str">
        <f aca="false">'CC Volume'!AO171</f>
        <v/>
      </c>
      <c r="I171" s="69" t="str">
        <f aca="false">'CC Volume'!AM171</f>
        <v/>
      </c>
      <c r="J171" s="62" t="str">
        <f aca="false">IF(N(H171)=0,"",IFERROR(INDEX(CC_RegRate,MATCH(F171,CC_RegU,0)),0))</f>
        <v/>
      </c>
      <c r="K171" s="62" t="n">
        <f aca="false">N(H171)*N(J171)</f>
        <v>0</v>
      </c>
      <c r="L171" s="62" t="n">
        <f aca="false">IF(CC_IncWaste="Yes",N(I171)*N(XWaste),0)</f>
        <v>0</v>
      </c>
      <c r="M171" s="65" t="n">
        <f aca="false">IF(N(G171)=0,0,IF(CC_AllocBasis="Equipment count",1,IF(CC_AllocBasis="Equipment volume",N(G171),N(H171))))</f>
        <v>0</v>
      </c>
      <c r="N171" s="15" t="n">
        <f aca="false">IF(SUM(CC_P_M)=0,0,M171/SUM(CC_P_M))</f>
        <v>0</v>
      </c>
      <c r="O171" s="62" t="n">
        <f aca="false">N171*CC_SharedCost</f>
        <v>0</v>
      </c>
      <c r="P171" s="63" t="n">
        <f aca="false">K171+L171+O171</f>
        <v>0</v>
      </c>
      <c r="Q171" s="62" t="n">
        <f aca="false">K171*(1+INDEX(MkMatrix,3,3))</f>
        <v>0</v>
      </c>
      <c r="R171" s="62" t="n">
        <f aca="false">L171*(1+INDEX(MkMatrix,3,3))</f>
        <v>0</v>
      </c>
      <c r="S171" s="62" t="n">
        <f aca="false">N171*CC_SharedSell</f>
        <v>0</v>
      </c>
      <c r="T171" s="62" t="n">
        <f aca="false">P171*N(QCont)</f>
        <v>0</v>
      </c>
      <c r="U171" s="62" t="n">
        <f aca="false">Q171+R171+S171+T171</f>
        <v>0</v>
      </c>
      <c r="V171" s="62" t="n">
        <f aca="false">-U171*N(QDisc)</f>
        <v>-0</v>
      </c>
      <c r="W171" s="63" t="n">
        <f aca="false">U171+V171</f>
        <v>0</v>
      </c>
      <c r="X171" s="63" t="n">
        <f aca="false">W171/QRate</f>
        <v>0</v>
      </c>
      <c r="Y171" s="0" t="n">
        <v>5</v>
      </c>
    </row>
    <row r="172" customFormat="false" ht="15" hidden="false" customHeight="false" outlineLevel="0" collapsed="false">
      <c r="A172" s="44" t="str">
        <f aca="false">"TOTAL – "&amp;INDEX(CC_UnitNames,5)</f>
        <v>TOTAL – Unit 5</v>
      </c>
      <c r="B172" s="44"/>
      <c r="C172" s="44"/>
      <c r="D172" s="44"/>
      <c r="E172" s="44"/>
      <c r="F172" s="44"/>
      <c r="G172" s="47" t="n">
        <f aca="false">SUM(G142:G171)</f>
        <v>0</v>
      </c>
      <c r="H172" s="47" t="n">
        <f aca="false">SUM(H142:H171)</f>
        <v>0</v>
      </c>
      <c r="I172" s="47" t="n">
        <f aca="false">SUM(I142:I171)</f>
        <v>0</v>
      </c>
      <c r="J172" s="45"/>
      <c r="K172" s="70" t="n">
        <f aca="false">SUM(K142:K171)</f>
        <v>0</v>
      </c>
      <c r="L172" s="70" t="n">
        <f aca="false">SUM(L142:L171)</f>
        <v>0</v>
      </c>
      <c r="M172" s="45"/>
      <c r="N172" s="45"/>
      <c r="O172" s="70" t="n">
        <f aca="false">SUM(O142:O171)</f>
        <v>0</v>
      </c>
      <c r="P172" s="70" t="n">
        <f aca="false">SUM(P142:P171)</f>
        <v>0</v>
      </c>
      <c r="Q172" s="70" t="n">
        <f aca="false">SUM(Q142:Q171)</f>
        <v>0</v>
      </c>
      <c r="R172" s="70" t="n">
        <f aca="false">SUM(R142:R171)</f>
        <v>0</v>
      </c>
      <c r="S172" s="70" t="n">
        <f aca="false">SUM(S142:S171)</f>
        <v>0</v>
      </c>
      <c r="T172" s="70" t="n">
        <f aca="false">SUM(T142:T171)</f>
        <v>0</v>
      </c>
      <c r="U172" s="70" t="n">
        <f aca="false">SUM(U142:U171)</f>
        <v>0</v>
      </c>
      <c r="V172" s="70" t="n">
        <f aca="false">SUM(V142:V171)</f>
        <v>0</v>
      </c>
      <c r="W172" s="70" t="n">
        <f aca="false">SUM(W142:W171)</f>
        <v>0</v>
      </c>
      <c r="X172" s="70" t="n">
        <f aca="false">SUM(X142:X171)</f>
        <v>0</v>
      </c>
    </row>
    <row r="174" customFormat="false" ht="15" hidden="false" customHeight="false" outlineLevel="0" collapsed="false">
      <c r="A174" s="38" t="str">
        <f aca="false">"UNIT 6:  "&amp;INDEX(CC_UnitNames,6)</f>
        <v>UNIT 6:  Unit 6</v>
      </c>
      <c r="B174" s="38"/>
      <c r="C174" s="38"/>
      <c r="D174" s="38"/>
      <c r="E174" s="39"/>
      <c r="F174" s="39"/>
      <c r="G174" s="39"/>
      <c r="H174" s="39"/>
      <c r="I174" s="39"/>
      <c r="J174" s="39"/>
      <c r="K174" s="39"/>
      <c r="L174" s="39"/>
      <c r="M174" s="39"/>
      <c r="N174" s="39"/>
      <c r="O174" s="39"/>
      <c r="P174" s="39"/>
      <c r="Q174" s="39"/>
      <c r="R174" s="39"/>
      <c r="S174" s="39"/>
      <c r="T174" s="39"/>
      <c r="U174" s="39"/>
      <c r="V174" s="39"/>
      <c r="W174" s="39"/>
      <c r="X174" s="39"/>
    </row>
    <row r="175" customFormat="false" ht="15" hidden="false" customHeight="false" outlineLevel="0" collapsed="false">
      <c r="A175" s="68" t="n">
        <f aca="false">'CC Volume'!A175</f>
        <v>1</v>
      </c>
      <c r="B175" s="13" t="str">
        <f aca="false">IF('CC Volume'!B175="","",'CC Volume'!B175)</f>
        <v/>
      </c>
      <c r="C175" s="13" t="str">
        <f aca="false">IF('CC Volume'!C175="","",'CC Volume'!C175)</f>
        <v/>
      </c>
      <c r="D175" s="13" t="str">
        <f aca="false">IF('CC Volume'!D175="","",'CC Volume'!D175)</f>
        <v/>
      </c>
      <c r="E175" s="68" t="str">
        <f aca="false">IF('CC Volume'!E175="","",'CC Volume'!E175)</f>
        <v/>
      </c>
      <c r="F175" s="68" t="str">
        <f aca="false">IF('CC Volume'!F175="","",'CC Volume'!F175)</f>
        <v/>
      </c>
      <c r="G175" s="69" t="str">
        <f aca="false">'CC Volume'!AN175</f>
        <v/>
      </c>
      <c r="H175" s="69" t="str">
        <f aca="false">'CC Volume'!AO175</f>
        <v/>
      </c>
      <c r="I175" s="69" t="str">
        <f aca="false">'CC Volume'!AM175</f>
        <v/>
      </c>
      <c r="J175" s="62" t="str">
        <f aca="false">IF(N(H175)=0,"",IFERROR(INDEX(CC_RegRate,MATCH(F175,CC_RegU,0)),0))</f>
        <v/>
      </c>
      <c r="K175" s="62" t="n">
        <f aca="false">N(H175)*N(J175)</f>
        <v>0</v>
      </c>
      <c r="L175" s="62" t="n">
        <f aca="false">IF(CC_IncWaste="Yes",N(I175)*N(XWaste),0)</f>
        <v>0</v>
      </c>
      <c r="M175" s="65" t="n">
        <f aca="false">IF(N(G175)=0,0,IF(CC_AllocBasis="Equipment count",1,IF(CC_AllocBasis="Equipment volume",N(G175),N(H175))))</f>
        <v>0</v>
      </c>
      <c r="N175" s="15" t="n">
        <f aca="false">IF(SUM(CC_P_M)=0,0,M175/SUM(CC_P_M))</f>
        <v>0</v>
      </c>
      <c r="O175" s="62" t="n">
        <f aca="false">N175*CC_SharedCost</f>
        <v>0</v>
      </c>
      <c r="P175" s="63" t="n">
        <f aca="false">K175+L175+O175</f>
        <v>0</v>
      </c>
      <c r="Q175" s="62" t="n">
        <f aca="false">K175*(1+INDEX(MkMatrix,3,3))</f>
        <v>0</v>
      </c>
      <c r="R175" s="62" t="n">
        <f aca="false">L175*(1+INDEX(MkMatrix,3,3))</f>
        <v>0</v>
      </c>
      <c r="S175" s="62" t="n">
        <f aca="false">N175*CC_SharedSell</f>
        <v>0</v>
      </c>
      <c r="T175" s="62" t="n">
        <f aca="false">P175*N(QCont)</f>
        <v>0</v>
      </c>
      <c r="U175" s="62" t="n">
        <f aca="false">Q175+R175+S175+T175</f>
        <v>0</v>
      </c>
      <c r="V175" s="62" t="n">
        <f aca="false">-U175*N(QDisc)</f>
        <v>-0</v>
      </c>
      <c r="W175" s="63" t="n">
        <f aca="false">U175+V175</f>
        <v>0</v>
      </c>
      <c r="X175" s="63" t="n">
        <f aca="false">W175/QRate</f>
        <v>0</v>
      </c>
      <c r="Y175" s="0" t="n">
        <v>6</v>
      </c>
    </row>
    <row r="176" customFormat="false" ht="15" hidden="false" customHeight="false" outlineLevel="0" collapsed="false">
      <c r="A176" s="68" t="n">
        <f aca="false">'CC Volume'!A176</f>
        <v>2</v>
      </c>
      <c r="B176" s="13" t="str">
        <f aca="false">IF('CC Volume'!B176="","",'CC Volume'!B176)</f>
        <v/>
      </c>
      <c r="C176" s="13" t="str">
        <f aca="false">IF('CC Volume'!C176="","",'CC Volume'!C176)</f>
        <v/>
      </c>
      <c r="D176" s="13" t="str">
        <f aca="false">IF('CC Volume'!D176="","",'CC Volume'!D176)</f>
        <v/>
      </c>
      <c r="E176" s="68" t="str">
        <f aca="false">IF('CC Volume'!E176="","",'CC Volume'!E176)</f>
        <v/>
      </c>
      <c r="F176" s="68" t="str">
        <f aca="false">IF('CC Volume'!F176="","",'CC Volume'!F176)</f>
        <v/>
      </c>
      <c r="G176" s="69" t="str">
        <f aca="false">'CC Volume'!AN176</f>
        <v/>
      </c>
      <c r="H176" s="69" t="str">
        <f aca="false">'CC Volume'!AO176</f>
        <v/>
      </c>
      <c r="I176" s="69" t="str">
        <f aca="false">'CC Volume'!AM176</f>
        <v/>
      </c>
      <c r="J176" s="62" t="str">
        <f aca="false">IF(N(H176)=0,"",IFERROR(INDEX(CC_RegRate,MATCH(F176,CC_RegU,0)),0))</f>
        <v/>
      </c>
      <c r="K176" s="62" t="n">
        <f aca="false">N(H176)*N(J176)</f>
        <v>0</v>
      </c>
      <c r="L176" s="62" t="n">
        <f aca="false">IF(CC_IncWaste="Yes",N(I176)*N(XWaste),0)</f>
        <v>0</v>
      </c>
      <c r="M176" s="65" t="n">
        <f aca="false">IF(N(G176)=0,0,IF(CC_AllocBasis="Equipment count",1,IF(CC_AllocBasis="Equipment volume",N(G176),N(H176))))</f>
        <v>0</v>
      </c>
      <c r="N176" s="15" t="n">
        <f aca="false">IF(SUM(CC_P_M)=0,0,M176/SUM(CC_P_M))</f>
        <v>0</v>
      </c>
      <c r="O176" s="62" t="n">
        <f aca="false">N176*CC_SharedCost</f>
        <v>0</v>
      </c>
      <c r="P176" s="63" t="n">
        <f aca="false">K176+L176+O176</f>
        <v>0</v>
      </c>
      <c r="Q176" s="62" t="n">
        <f aca="false">K176*(1+INDEX(MkMatrix,3,3))</f>
        <v>0</v>
      </c>
      <c r="R176" s="62" t="n">
        <f aca="false">L176*(1+INDEX(MkMatrix,3,3))</f>
        <v>0</v>
      </c>
      <c r="S176" s="62" t="n">
        <f aca="false">N176*CC_SharedSell</f>
        <v>0</v>
      </c>
      <c r="T176" s="62" t="n">
        <f aca="false">P176*N(QCont)</f>
        <v>0</v>
      </c>
      <c r="U176" s="62" t="n">
        <f aca="false">Q176+R176+S176+T176</f>
        <v>0</v>
      </c>
      <c r="V176" s="62" t="n">
        <f aca="false">-U176*N(QDisc)</f>
        <v>-0</v>
      </c>
      <c r="W176" s="63" t="n">
        <f aca="false">U176+V176</f>
        <v>0</v>
      </c>
      <c r="X176" s="63" t="n">
        <f aca="false">W176/QRate</f>
        <v>0</v>
      </c>
      <c r="Y176" s="0" t="n">
        <v>6</v>
      </c>
    </row>
    <row r="177" customFormat="false" ht="15" hidden="false" customHeight="false" outlineLevel="0" collapsed="false">
      <c r="A177" s="68" t="n">
        <f aca="false">'CC Volume'!A177</f>
        <v>3</v>
      </c>
      <c r="B177" s="13" t="str">
        <f aca="false">IF('CC Volume'!B177="","",'CC Volume'!B177)</f>
        <v/>
      </c>
      <c r="C177" s="13" t="str">
        <f aca="false">IF('CC Volume'!C177="","",'CC Volume'!C177)</f>
        <v/>
      </c>
      <c r="D177" s="13" t="str">
        <f aca="false">IF('CC Volume'!D177="","",'CC Volume'!D177)</f>
        <v/>
      </c>
      <c r="E177" s="68" t="str">
        <f aca="false">IF('CC Volume'!E177="","",'CC Volume'!E177)</f>
        <v/>
      </c>
      <c r="F177" s="68" t="str">
        <f aca="false">IF('CC Volume'!F177="","",'CC Volume'!F177)</f>
        <v/>
      </c>
      <c r="G177" s="69" t="str">
        <f aca="false">'CC Volume'!AN177</f>
        <v/>
      </c>
      <c r="H177" s="69" t="str">
        <f aca="false">'CC Volume'!AO177</f>
        <v/>
      </c>
      <c r="I177" s="69" t="str">
        <f aca="false">'CC Volume'!AM177</f>
        <v/>
      </c>
      <c r="J177" s="62" t="str">
        <f aca="false">IF(N(H177)=0,"",IFERROR(INDEX(CC_RegRate,MATCH(F177,CC_RegU,0)),0))</f>
        <v/>
      </c>
      <c r="K177" s="62" t="n">
        <f aca="false">N(H177)*N(J177)</f>
        <v>0</v>
      </c>
      <c r="L177" s="62" t="n">
        <f aca="false">IF(CC_IncWaste="Yes",N(I177)*N(XWaste),0)</f>
        <v>0</v>
      </c>
      <c r="M177" s="65" t="n">
        <f aca="false">IF(N(G177)=0,0,IF(CC_AllocBasis="Equipment count",1,IF(CC_AllocBasis="Equipment volume",N(G177),N(H177))))</f>
        <v>0</v>
      </c>
      <c r="N177" s="15" t="n">
        <f aca="false">IF(SUM(CC_P_M)=0,0,M177/SUM(CC_P_M))</f>
        <v>0</v>
      </c>
      <c r="O177" s="62" t="n">
        <f aca="false">N177*CC_SharedCost</f>
        <v>0</v>
      </c>
      <c r="P177" s="63" t="n">
        <f aca="false">K177+L177+O177</f>
        <v>0</v>
      </c>
      <c r="Q177" s="62" t="n">
        <f aca="false">K177*(1+INDEX(MkMatrix,3,3))</f>
        <v>0</v>
      </c>
      <c r="R177" s="62" t="n">
        <f aca="false">L177*(1+INDEX(MkMatrix,3,3))</f>
        <v>0</v>
      </c>
      <c r="S177" s="62" t="n">
        <f aca="false">N177*CC_SharedSell</f>
        <v>0</v>
      </c>
      <c r="T177" s="62" t="n">
        <f aca="false">P177*N(QCont)</f>
        <v>0</v>
      </c>
      <c r="U177" s="62" t="n">
        <f aca="false">Q177+R177+S177+T177</f>
        <v>0</v>
      </c>
      <c r="V177" s="62" t="n">
        <f aca="false">-U177*N(QDisc)</f>
        <v>-0</v>
      </c>
      <c r="W177" s="63" t="n">
        <f aca="false">U177+V177</f>
        <v>0</v>
      </c>
      <c r="X177" s="63" t="n">
        <f aca="false">W177/QRate</f>
        <v>0</v>
      </c>
      <c r="Y177" s="0" t="n">
        <v>6</v>
      </c>
    </row>
    <row r="178" customFormat="false" ht="15" hidden="false" customHeight="false" outlineLevel="0" collapsed="false">
      <c r="A178" s="68" t="n">
        <f aca="false">'CC Volume'!A178</f>
        <v>4</v>
      </c>
      <c r="B178" s="13" t="str">
        <f aca="false">IF('CC Volume'!B178="","",'CC Volume'!B178)</f>
        <v/>
      </c>
      <c r="C178" s="13" t="str">
        <f aca="false">IF('CC Volume'!C178="","",'CC Volume'!C178)</f>
        <v/>
      </c>
      <c r="D178" s="13" t="str">
        <f aca="false">IF('CC Volume'!D178="","",'CC Volume'!D178)</f>
        <v/>
      </c>
      <c r="E178" s="68" t="str">
        <f aca="false">IF('CC Volume'!E178="","",'CC Volume'!E178)</f>
        <v/>
      </c>
      <c r="F178" s="68" t="str">
        <f aca="false">IF('CC Volume'!F178="","",'CC Volume'!F178)</f>
        <v/>
      </c>
      <c r="G178" s="69" t="str">
        <f aca="false">'CC Volume'!AN178</f>
        <v/>
      </c>
      <c r="H178" s="69" t="str">
        <f aca="false">'CC Volume'!AO178</f>
        <v/>
      </c>
      <c r="I178" s="69" t="str">
        <f aca="false">'CC Volume'!AM178</f>
        <v/>
      </c>
      <c r="J178" s="62" t="str">
        <f aca="false">IF(N(H178)=0,"",IFERROR(INDEX(CC_RegRate,MATCH(F178,CC_RegU,0)),0))</f>
        <v/>
      </c>
      <c r="K178" s="62" t="n">
        <f aca="false">N(H178)*N(J178)</f>
        <v>0</v>
      </c>
      <c r="L178" s="62" t="n">
        <f aca="false">IF(CC_IncWaste="Yes",N(I178)*N(XWaste),0)</f>
        <v>0</v>
      </c>
      <c r="M178" s="65" t="n">
        <f aca="false">IF(N(G178)=0,0,IF(CC_AllocBasis="Equipment count",1,IF(CC_AllocBasis="Equipment volume",N(G178),N(H178))))</f>
        <v>0</v>
      </c>
      <c r="N178" s="15" t="n">
        <f aca="false">IF(SUM(CC_P_M)=0,0,M178/SUM(CC_P_M))</f>
        <v>0</v>
      </c>
      <c r="O178" s="62" t="n">
        <f aca="false">N178*CC_SharedCost</f>
        <v>0</v>
      </c>
      <c r="P178" s="63" t="n">
        <f aca="false">K178+L178+O178</f>
        <v>0</v>
      </c>
      <c r="Q178" s="62" t="n">
        <f aca="false">K178*(1+INDEX(MkMatrix,3,3))</f>
        <v>0</v>
      </c>
      <c r="R178" s="62" t="n">
        <f aca="false">L178*(1+INDEX(MkMatrix,3,3))</f>
        <v>0</v>
      </c>
      <c r="S178" s="62" t="n">
        <f aca="false">N178*CC_SharedSell</f>
        <v>0</v>
      </c>
      <c r="T178" s="62" t="n">
        <f aca="false">P178*N(QCont)</f>
        <v>0</v>
      </c>
      <c r="U178" s="62" t="n">
        <f aca="false">Q178+R178+S178+T178</f>
        <v>0</v>
      </c>
      <c r="V178" s="62" t="n">
        <f aca="false">-U178*N(QDisc)</f>
        <v>-0</v>
      </c>
      <c r="W178" s="63" t="n">
        <f aca="false">U178+V178</f>
        <v>0</v>
      </c>
      <c r="X178" s="63" t="n">
        <f aca="false">W178/QRate</f>
        <v>0</v>
      </c>
      <c r="Y178" s="0" t="n">
        <v>6</v>
      </c>
    </row>
    <row r="179" customFormat="false" ht="15" hidden="false" customHeight="false" outlineLevel="0" collapsed="false">
      <c r="A179" s="68" t="n">
        <f aca="false">'CC Volume'!A179</f>
        <v>5</v>
      </c>
      <c r="B179" s="13" t="str">
        <f aca="false">IF('CC Volume'!B179="","",'CC Volume'!B179)</f>
        <v/>
      </c>
      <c r="C179" s="13" t="str">
        <f aca="false">IF('CC Volume'!C179="","",'CC Volume'!C179)</f>
        <v/>
      </c>
      <c r="D179" s="13" t="str">
        <f aca="false">IF('CC Volume'!D179="","",'CC Volume'!D179)</f>
        <v/>
      </c>
      <c r="E179" s="68" t="str">
        <f aca="false">IF('CC Volume'!E179="","",'CC Volume'!E179)</f>
        <v/>
      </c>
      <c r="F179" s="68" t="str">
        <f aca="false">IF('CC Volume'!F179="","",'CC Volume'!F179)</f>
        <v/>
      </c>
      <c r="G179" s="69" t="str">
        <f aca="false">'CC Volume'!AN179</f>
        <v/>
      </c>
      <c r="H179" s="69" t="str">
        <f aca="false">'CC Volume'!AO179</f>
        <v/>
      </c>
      <c r="I179" s="69" t="str">
        <f aca="false">'CC Volume'!AM179</f>
        <v/>
      </c>
      <c r="J179" s="62" t="str">
        <f aca="false">IF(N(H179)=0,"",IFERROR(INDEX(CC_RegRate,MATCH(F179,CC_RegU,0)),0))</f>
        <v/>
      </c>
      <c r="K179" s="62" t="n">
        <f aca="false">N(H179)*N(J179)</f>
        <v>0</v>
      </c>
      <c r="L179" s="62" t="n">
        <f aca="false">IF(CC_IncWaste="Yes",N(I179)*N(XWaste),0)</f>
        <v>0</v>
      </c>
      <c r="M179" s="65" t="n">
        <f aca="false">IF(N(G179)=0,0,IF(CC_AllocBasis="Equipment count",1,IF(CC_AllocBasis="Equipment volume",N(G179),N(H179))))</f>
        <v>0</v>
      </c>
      <c r="N179" s="15" t="n">
        <f aca="false">IF(SUM(CC_P_M)=0,0,M179/SUM(CC_P_M))</f>
        <v>0</v>
      </c>
      <c r="O179" s="62" t="n">
        <f aca="false">N179*CC_SharedCost</f>
        <v>0</v>
      </c>
      <c r="P179" s="63" t="n">
        <f aca="false">K179+L179+O179</f>
        <v>0</v>
      </c>
      <c r="Q179" s="62" t="n">
        <f aca="false">K179*(1+INDEX(MkMatrix,3,3))</f>
        <v>0</v>
      </c>
      <c r="R179" s="62" t="n">
        <f aca="false">L179*(1+INDEX(MkMatrix,3,3))</f>
        <v>0</v>
      </c>
      <c r="S179" s="62" t="n">
        <f aca="false">N179*CC_SharedSell</f>
        <v>0</v>
      </c>
      <c r="T179" s="62" t="n">
        <f aca="false">P179*N(QCont)</f>
        <v>0</v>
      </c>
      <c r="U179" s="62" t="n">
        <f aca="false">Q179+R179+S179+T179</f>
        <v>0</v>
      </c>
      <c r="V179" s="62" t="n">
        <f aca="false">-U179*N(QDisc)</f>
        <v>-0</v>
      </c>
      <c r="W179" s="63" t="n">
        <f aca="false">U179+V179</f>
        <v>0</v>
      </c>
      <c r="X179" s="63" t="n">
        <f aca="false">W179/QRate</f>
        <v>0</v>
      </c>
      <c r="Y179" s="0" t="n">
        <v>6</v>
      </c>
    </row>
    <row r="180" customFormat="false" ht="15" hidden="false" customHeight="false" outlineLevel="0" collapsed="false">
      <c r="A180" s="68" t="n">
        <f aca="false">'CC Volume'!A180</f>
        <v>6</v>
      </c>
      <c r="B180" s="13" t="str">
        <f aca="false">IF('CC Volume'!B180="","",'CC Volume'!B180)</f>
        <v/>
      </c>
      <c r="C180" s="13" t="str">
        <f aca="false">IF('CC Volume'!C180="","",'CC Volume'!C180)</f>
        <v/>
      </c>
      <c r="D180" s="13" t="str">
        <f aca="false">IF('CC Volume'!D180="","",'CC Volume'!D180)</f>
        <v/>
      </c>
      <c r="E180" s="68" t="str">
        <f aca="false">IF('CC Volume'!E180="","",'CC Volume'!E180)</f>
        <v/>
      </c>
      <c r="F180" s="68" t="str">
        <f aca="false">IF('CC Volume'!F180="","",'CC Volume'!F180)</f>
        <v/>
      </c>
      <c r="G180" s="69" t="str">
        <f aca="false">'CC Volume'!AN180</f>
        <v/>
      </c>
      <c r="H180" s="69" t="str">
        <f aca="false">'CC Volume'!AO180</f>
        <v/>
      </c>
      <c r="I180" s="69" t="str">
        <f aca="false">'CC Volume'!AM180</f>
        <v/>
      </c>
      <c r="J180" s="62" t="str">
        <f aca="false">IF(N(H180)=0,"",IFERROR(INDEX(CC_RegRate,MATCH(F180,CC_RegU,0)),0))</f>
        <v/>
      </c>
      <c r="K180" s="62" t="n">
        <f aca="false">N(H180)*N(J180)</f>
        <v>0</v>
      </c>
      <c r="L180" s="62" t="n">
        <f aca="false">IF(CC_IncWaste="Yes",N(I180)*N(XWaste),0)</f>
        <v>0</v>
      </c>
      <c r="M180" s="65" t="n">
        <f aca="false">IF(N(G180)=0,0,IF(CC_AllocBasis="Equipment count",1,IF(CC_AllocBasis="Equipment volume",N(G180),N(H180))))</f>
        <v>0</v>
      </c>
      <c r="N180" s="15" t="n">
        <f aca="false">IF(SUM(CC_P_M)=0,0,M180/SUM(CC_P_M))</f>
        <v>0</v>
      </c>
      <c r="O180" s="62" t="n">
        <f aca="false">N180*CC_SharedCost</f>
        <v>0</v>
      </c>
      <c r="P180" s="63" t="n">
        <f aca="false">K180+L180+O180</f>
        <v>0</v>
      </c>
      <c r="Q180" s="62" t="n">
        <f aca="false">K180*(1+INDEX(MkMatrix,3,3))</f>
        <v>0</v>
      </c>
      <c r="R180" s="62" t="n">
        <f aca="false">L180*(1+INDEX(MkMatrix,3,3))</f>
        <v>0</v>
      </c>
      <c r="S180" s="62" t="n">
        <f aca="false">N180*CC_SharedSell</f>
        <v>0</v>
      </c>
      <c r="T180" s="62" t="n">
        <f aca="false">P180*N(QCont)</f>
        <v>0</v>
      </c>
      <c r="U180" s="62" t="n">
        <f aca="false">Q180+R180+S180+T180</f>
        <v>0</v>
      </c>
      <c r="V180" s="62" t="n">
        <f aca="false">-U180*N(QDisc)</f>
        <v>-0</v>
      </c>
      <c r="W180" s="63" t="n">
        <f aca="false">U180+V180</f>
        <v>0</v>
      </c>
      <c r="X180" s="63" t="n">
        <f aca="false">W180/QRate</f>
        <v>0</v>
      </c>
      <c r="Y180" s="0" t="n">
        <v>6</v>
      </c>
    </row>
    <row r="181" customFormat="false" ht="15" hidden="false" customHeight="false" outlineLevel="0" collapsed="false">
      <c r="A181" s="68" t="n">
        <f aca="false">'CC Volume'!A181</f>
        <v>7</v>
      </c>
      <c r="B181" s="13" t="str">
        <f aca="false">IF('CC Volume'!B181="","",'CC Volume'!B181)</f>
        <v/>
      </c>
      <c r="C181" s="13" t="str">
        <f aca="false">IF('CC Volume'!C181="","",'CC Volume'!C181)</f>
        <v/>
      </c>
      <c r="D181" s="13" t="str">
        <f aca="false">IF('CC Volume'!D181="","",'CC Volume'!D181)</f>
        <v/>
      </c>
      <c r="E181" s="68" t="str">
        <f aca="false">IF('CC Volume'!E181="","",'CC Volume'!E181)</f>
        <v/>
      </c>
      <c r="F181" s="68" t="str">
        <f aca="false">IF('CC Volume'!F181="","",'CC Volume'!F181)</f>
        <v/>
      </c>
      <c r="G181" s="69" t="str">
        <f aca="false">'CC Volume'!AN181</f>
        <v/>
      </c>
      <c r="H181" s="69" t="str">
        <f aca="false">'CC Volume'!AO181</f>
        <v/>
      </c>
      <c r="I181" s="69" t="str">
        <f aca="false">'CC Volume'!AM181</f>
        <v/>
      </c>
      <c r="J181" s="62" t="str">
        <f aca="false">IF(N(H181)=0,"",IFERROR(INDEX(CC_RegRate,MATCH(F181,CC_RegU,0)),0))</f>
        <v/>
      </c>
      <c r="K181" s="62" t="n">
        <f aca="false">N(H181)*N(J181)</f>
        <v>0</v>
      </c>
      <c r="L181" s="62" t="n">
        <f aca="false">IF(CC_IncWaste="Yes",N(I181)*N(XWaste),0)</f>
        <v>0</v>
      </c>
      <c r="M181" s="65" t="n">
        <f aca="false">IF(N(G181)=0,0,IF(CC_AllocBasis="Equipment count",1,IF(CC_AllocBasis="Equipment volume",N(G181),N(H181))))</f>
        <v>0</v>
      </c>
      <c r="N181" s="15" t="n">
        <f aca="false">IF(SUM(CC_P_M)=0,0,M181/SUM(CC_P_M))</f>
        <v>0</v>
      </c>
      <c r="O181" s="62" t="n">
        <f aca="false">N181*CC_SharedCost</f>
        <v>0</v>
      </c>
      <c r="P181" s="63" t="n">
        <f aca="false">K181+L181+O181</f>
        <v>0</v>
      </c>
      <c r="Q181" s="62" t="n">
        <f aca="false">K181*(1+INDEX(MkMatrix,3,3))</f>
        <v>0</v>
      </c>
      <c r="R181" s="62" t="n">
        <f aca="false">L181*(1+INDEX(MkMatrix,3,3))</f>
        <v>0</v>
      </c>
      <c r="S181" s="62" t="n">
        <f aca="false">N181*CC_SharedSell</f>
        <v>0</v>
      </c>
      <c r="T181" s="62" t="n">
        <f aca="false">P181*N(QCont)</f>
        <v>0</v>
      </c>
      <c r="U181" s="62" t="n">
        <f aca="false">Q181+R181+S181+T181</f>
        <v>0</v>
      </c>
      <c r="V181" s="62" t="n">
        <f aca="false">-U181*N(QDisc)</f>
        <v>-0</v>
      </c>
      <c r="W181" s="63" t="n">
        <f aca="false">U181+V181</f>
        <v>0</v>
      </c>
      <c r="X181" s="63" t="n">
        <f aca="false">W181/QRate</f>
        <v>0</v>
      </c>
      <c r="Y181" s="0" t="n">
        <v>6</v>
      </c>
    </row>
    <row r="182" customFormat="false" ht="15" hidden="false" customHeight="false" outlineLevel="0" collapsed="false">
      <c r="A182" s="68" t="n">
        <f aca="false">'CC Volume'!A182</f>
        <v>8</v>
      </c>
      <c r="B182" s="13" t="str">
        <f aca="false">IF('CC Volume'!B182="","",'CC Volume'!B182)</f>
        <v/>
      </c>
      <c r="C182" s="13" t="str">
        <f aca="false">IF('CC Volume'!C182="","",'CC Volume'!C182)</f>
        <v/>
      </c>
      <c r="D182" s="13" t="str">
        <f aca="false">IF('CC Volume'!D182="","",'CC Volume'!D182)</f>
        <v/>
      </c>
      <c r="E182" s="68" t="str">
        <f aca="false">IF('CC Volume'!E182="","",'CC Volume'!E182)</f>
        <v/>
      </c>
      <c r="F182" s="68" t="str">
        <f aca="false">IF('CC Volume'!F182="","",'CC Volume'!F182)</f>
        <v/>
      </c>
      <c r="G182" s="69" t="str">
        <f aca="false">'CC Volume'!AN182</f>
        <v/>
      </c>
      <c r="H182" s="69" t="str">
        <f aca="false">'CC Volume'!AO182</f>
        <v/>
      </c>
      <c r="I182" s="69" t="str">
        <f aca="false">'CC Volume'!AM182</f>
        <v/>
      </c>
      <c r="J182" s="62" t="str">
        <f aca="false">IF(N(H182)=0,"",IFERROR(INDEX(CC_RegRate,MATCH(F182,CC_RegU,0)),0))</f>
        <v/>
      </c>
      <c r="K182" s="62" t="n">
        <f aca="false">N(H182)*N(J182)</f>
        <v>0</v>
      </c>
      <c r="L182" s="62" t="n">
        <f aca="false">IF(CC_IncWaste="Yes",N(I182)*N(XWaste),0)</f>
        <v>0</v>
      </c>
      <c r="M182" s="65" t="n">
        <f aca="false">IF(N(G182)=0,0,IF(CC_AllocBasis="Equipment count",1,IF(CC_AllocBasis="Equipment volume",N(G182),N(H182))))</f>
        <v>0</v>
      </c>
      <c r="N182" s="15" t="n">
        <f aca="false">IF(SUM(CC_P_M)=0,0,M182/SUM(CC_P_M))</f>
        <v>0</v>
      </c>
      <c r="O182" s="62" t="n">
        <f aca="false">N182*CC_SharedCost</f>
        <v>0</v>
      </c>
      <c r="P182" s="63" t="n">
        <f aca="false">K182+L182+O182</f>
        <v>0</v>
      </c>
      <c r="Q182" s="62" t="n">
        <f aca="false">K182*(1+INDEX(MkMatrix,3,3))</f>
        <v>0</v>
      </c>
      <c r="R182" s="62" t="n">
        <f aca="false">L182*(1+INDEX(MkMatrix,3,3))</f>
        <v>0</v>
      </c>
      <c r="S182" s="62" t="n">
        <f aca="false">N182*CC_SharedSell</f>
        <v>0</v>
      </c>
      <c r="T182" s="62" t="n">
        <f aca="false">P182*N(QCont)</f>
        <v>0</v>
      </c>
      <c r="U182" s="62" t="n">
        <f aca="false">Q182+R182+S182+T182</f>
        <v>0</v>
      </c>
      <c r="V182" s="62" t="n">
        <f aca="false">-U182*N(QDisc)</f>
        <v>-0</v>
      </c>
      <c r="W182" s="63" t="n">
        <f aca="false">U182+V182</f>
        <v>0</v>
      </c>
      <c r="X182" s="63" t="n">
        <f aca="false">W182/QRate</f>
        <v>0</v>
      </c>
      <c r="Y182" s="0" t="n">
        <v>6</v>
      </c>
    </row>
    <row r="183" customFormat="false" ht="15" hidden="false" customHeight="false" outlineLevel="0" collapsed="false">
      <c r="A183" s="68" t="n">
        <f aca="false">'CC Volume'!A183</f>
        <v>9</v>
      </c>
      <c r="B183" s="13" t="str">
        <f aca="false">IF('CC Volume'!B183="","",'CC Volume'!B183)</f>
        <v/>
      </c>
      <c r="C183" s="13" t="str">
        <f aca="false">IF('CC Volume'!C183="","",'CC Volume'!C183)</f>
        <v/>
      </c>
      <c r="D183" s="13" t="str">
        <f aca="false">IF('CC Volume'!D183="","",'CC Volume'!D183)</f>
        <v/>
      </c>
      <c r="E183" s="68" t="str">
        <f aca="false">IF('CC Volume'!E183="","",'CC Volume'!E183)</f>
        <v/>
      </c>
      <c r="F183" s="68" t="str">
        <f aca="false">IF('CC Volume'!F183="","",'CC Volume'!F183)</f>
        <v/>
      </c>
      <c r="G183" s="69" t="str">
        <f aca="false">'CC Volume'!AN183</f>
        <v/>
      </c>
      <c r="H183" s="69" t="str">
        <f aca="false">'CC Volume'!AO183</f>
        <v/>
      </c>
      <c r="I183" s="69" t="str">
        <f aca="false">'CC Volume'!AM183</f>
        <v/>
      </c>
      <c r="J183" s="62" t="str">
        <f aca="false">IF(N(H183)=0,"",IFERROR(INDEX(CC_RegRate,MATCH(F183,CC_RegU,0)),0))</f>
        <v/>
      </c>
      <c r="K183" s="62" t="n">
        <f aca="false">N(H183)*N(J183)</f>
        <v>0</v>
      </c>
      <c r="L183" s="62" t="n">
        <f aca="false">IF(CC_IncWaste="Yes",N(I183)*N(XWaste),0)</f>
        <v>0</v>
      </c>
      <c r="M183" s="65" t="n">
        <f aca="false">IF(N(G183)=0,0,IF(CC_AllocBasis="Equipment count",1,IF(CC_AllocBasis="Equipment volume",N(G183),N(H183))))</f>
        <v>0</v>
      </c>
      <c r="N183" s="15" t="n">
        <f aca="false">IF(SUM(CC_P_M)=0,0,M183/SUM(CC_P_M))</f>
        <v>0</v>
      </c>
      <c r="O183" s="62" t="n">
        <f aca="false">N183*CC_SharedCost</f>
        <v>0</v>
      </c>
      <c r="P183" s="63" t="n">
        <f aca="false">K183+L183+O183</f>
        <v>0</v>
      </c>
      <c r="Q183" s="62" t="n">
        <f aca="false">K183*(1+INDEX(MkMatrix,3,3))</f>
        <v>0</v>
      </c>
      <c r="R183" s="62" t="n">
        <f aca="false">L183*(1+INDEX(MkMatrix,3,3))</f>
        <v>0</v>
      </c>
      <c r="S183" s="62" t="n">
        <f aca="false">N183*CC_SharedSell</f>
        <v>0</v>
      </c>
      <c r="T183" s="62" t="n">
        <f aca="false">P183*N(QCont)</f>
        <v>0</v>
      </c>
      <c r="U183" s="62" t="n">
        <f aca="false">Q183+R183+S183+T183</f>
        <v>0</v>
      </c>
      <c r="V183" s="62" t="n">
        <f aca="false">-U183*N(QDisc)</f>
        <v>-0</v>
      </c>
      <c r="W183" s="63" t="n">
        <f aca="false">U183+V183</f>
        <v>0</v>
      </c>
      <c r="X183" s="63" t="n">
        <f aca="false">W183/QRate</f>
        <v>0</v>
      </c>
      <c r="Y183" s="0" t="n">
        <v>6</v>
      </c>
    </row>
    <row r="184" customFormat="false" ht="15" hidden="false" customHeight="false" outlineLevel="0" collapsed="false">
      <c r="A184" s="68" t="n">
        <f aca="false">'CC Volume'!A184</f>
        <v>10</v>
      </c>
      <c r="B184" s="13" t="str">
        <f aca="false">IF('CC Volume'!B184="","",'CC Volume'!B184)</f>
        <v/>
      </c>
      <c r="C184" s="13" t="str">
        <f aca="false">IF('CC Volume'!C184="","",'CC Volume'!C184)</f>
        <v/>
      </c>
      <c r="D184" s="13" t="str">
        <f aca="false">IF('CC Volume'!D184="","",'CC Volume'!D184)</f>
        <v/>
      </c>
      <c r="E184" s="68" t="str">
        <f aca="false">IF('CC Volume'!E184="","",'CC Volume'!E184)</f>
        <v/>
      </c>
      <c r="F184" s="68" t="str">
        <f aca="false">IF('CC Volume'!F184="","",'CC Volume'!F184)</f>
        <v/>
      </c>
      <c r="G184" s="69" t="str">
        <f aca="false">'CC Volume'!AN184</f>
        <v/>
      </c>
      <c r="H184" s="69" t="str">
        <f aca="false">'CC Volume'!AO184</f>
        <v/>
      </c>
      <c r="I184" s="69" t="str">
        <f aca="false">'CC Volume'!AM184</f>
        <v/>
      </c>
      <c r="J184" s="62" t="str">
        <f aca="false">IF(N(H184)=0,"",IFERROR(INDEX(CC_RegRate,MATCH(F184,CC_RegU,0)),0))</f>
        <v/>
      </c>
      <c r="K184" s="62" t="n">
        <f aca="false">N(H184)*N(J184)</f>
        <v>0</v>
      </c>
      <c r="L184" s="62" t="n">
        <f aca="false">IF(CC_IncWaste="Yes",N(I184)*N(XWaste),0)</f>
        <v>0</v>
      </c>
      <c r="M184" s="65" t="n">
        <f aca="false">IF(N(G184)=0,0,IF(CC_AllocBasis="Equipment count",1,IF(CC_AllocBasis="Equipment volume",N(G184),N(H184))))</f>
        <v>0</v>
      </c>
      <c r="N184" s="15" t="n">
        <f aca="false">IF(SUM(CC_P_M)=0,0,M184/SUM(CC_P_M))</f>
        <v>0</v>
      </c>
      <c r="O184" s="62" t="n">
        <f aca="false">N184*CC_SharedCost</f>
        <v>0</v>
      </c>
      <c r="P184" s="63" t="n">
        <f aca="false">K184+L184+O184</f>
        <v>0</v>
      </c>
      <c r="Q184" s="62" t="n">
        <f aca="false">K184*(1+INDEX(MkMatrix,3,3))</f>
        <v>0</v>
      </c>
      <c r="R184" s="62" t="n">
        <f aca="false">L184*(1+INDEX(MkMatrix,3,3))</f>
        <v>0</v>
      </c>
      <c r="S184" s="62" t="n">
        <f aca="false">N184*CC_SharedSell</f>
        <v>0</v>
      </c>
      <c r="T184" s="62" t="n">
        <f aca="false">P184*N(QCont)</f>
        <v>0</v>
      </c>
      <c r="U184" s="62" t="n">
        <f aca="false">Q184+R184+S184+T184</f>
        <v>0</v>
      </c>
      <c r="V184" s="62" t="n">
        <f aca="false">-U184*N(QDisc)</f>
        <v>-0</v>
      </c>
      <c r="W184" s="63" t="n">
        <f aca="false">U184+V184</f>
        <v>0</v>
      </c>
      <c r="X184" s="63" t="n">
        <f aca="false">W184/QRate</f>
        <v>0</v>
      </c>
      <c r="Y184" s="0" t="n">
        <v>6</v>
      </c>
    </row>
    <row r="185" customFormat="false" ht="15" hidden="false" customHeight="false" outlineLevel="0" collapsed="false">
      <c r="A185" s="68" t="n">
        <f aca="false">'CC Volume'!A185</f>
        <v>11</v>
      </c>
      <c r="B185" s="13" t="str">
        <f aca="false">IF('CC Volume'!B185="","",'CC Volume'!B185)</f>
        <v/>
      </c>
      <c r="C185" s="13" t="str">
        <f aca="false">IF('CC Volume'!C185="","",'CC Volume'!C185)</f>
        <v/>
      </c>
      <c r="D185" s="13" t="str">
        <f aca="false">IF('CC Volume'!D185="","",'CC Volume'!D185)</f>
        <v/>
      </c>
      <c r="E185" s="68" t="str">
        <f aca="false">IF('CC Volume'!E185="","",'CC Volume'!E185)</f>
        <v/>
      </c>
      <c r="F185" s="68" t="str">
        <f aca="false">IF('CC Volume'!F185="","",'CC Volume'!F185)</f>
        <v/>
      </c>
      <c r="G185" s="69" t="str">
        <f aca="false">'CC Volume'!AN185</f>
        <v/>
      </c>
      <c r="H185" s="69" t="str">
        <f aca="false">'CC Volume'!AO185</f>
        <v/>
      </c>
      <c r="I185" s="69" t="str">
        <f aca="false">'CC Volume'!AM185</f>
        <v/>
      </c>
      <c r="J185" s="62" t="str">
        <f aca="false">IF(N(H185)=0,"",IFERROR(INDEX(CC_RegRate,MATCH(F185,CC_RegU,0)),0))</f>
        <v/>
      </c>
      <c r="K185" s="62" t="n">
        <f aca="false">N(H185)*N(J185)</f>
        <v>0</v>
      </c>
      <c r="L185" s="62" t="n">
        <f aca="false">IF(CC_IncWaste="Yes",N(I185)*N(XWaste),0)</f>
        <v>0</v>
      </c>
      <c r="M185" s="65" t="n">
        <f aca="false">IF(N(G185)=0,0,IF(CC_AllocBasis="Equipment count",1,IF(CC_AllocBasis="Equipment volume",N(G185),N(H185))))</f>
        <v>0</v>
      </c>
      <c r="N185" s="15" t="n">
        <f aca="false">IF(SUM(CC_P_M)=0,0,M185/SUM(CC_P_M))</f>
        <v>0</v>
      </c>
      <c r="O185" s="62" t="n">
        <f aca="false">N185*CC_SharedCost</f>
        <v>0</v>
      </c>
      <c r="P185" s="63" t="n">
        <f aca="false">K185+L185+O185</f>
        <v>0</v>
      </c>
      <c r="Q185" s="62" t="n">
        <f aca="false">K185*(1+INDEX(MkMatrix,3,3))</f>
        <v>0</v>
      </c>
      <c r="R185" s="62" t="n">
        <f aca="false">L185*(1+INDEX(MkMatrix,3,3))</f>
        <v>0</v>
      </c>
      <c r="S185" s="62" t="n">
        <f aca="false">N185*CC_SharedSell</f>
        <v>0</v>
      </c>
      <c r="T185" s="62" t="n">
        <f aca="false">P185*N(QCont)</f>
        <v>0</v>
      </c>
      <c r="U185" s="62" t="n">
        <f aca="false">Q185+R185+S185+T185</f>
        <v>0</v>
      </c>
      <c r="V185" s="62" t="n">
        <f aca="false">-U185*N(QDisc)</f>
        <v>-0</v>
      </c>
      <c r="W185" s="63" t="n">
        <f aca="false">U185+V185</f>
        <v>0</v>
      </c>
      <c r="X185" s="63" t="n">
        <f aca="false">W185/QRate</f>
        <v>0</v>
      </c>
      <c r="Y185" s="0" t="n">
        <v>6</v>
      </c>
    </row>
    <row r="186" customFormat="false" ht="15" hidden="false" customHeight="false" outlineLevel="0" collapsed="false">
      <c r="A186" s="68" t="n">
        <f aca="false">'CC Volume'!A186</f>
        <v>12</v>
      </c>
      <c r="B186" s="13" t="str">
        <f aca="false">IF('CC Volume'!B186="","",'CC Volume'!B186)</f>
        <v/>
      </c>
      <c r="C186" s="13" t="str">
        <f aca="false">IF('CC Volume'!C186="","",'CC Volume'!C186)</f>
        <v/>
      </c>
      <c r="D186" s="13" t="str">
        <f aca="false">IF('CC Volume'!D186="","",'CC Volume'!D186)</f>
        <v/>
      </c>
      <c r="E186" s="68" t="str">
        <f aca="false">IF('CC Volume'!E186="","",'CC Volume'!E186)</f>
        <v/>
      </c>
      <c r="F186" s="68" t="str">
        <f aca="false">IF('CC Volume'!F186="","",'CC Volume'!F186)</f>
        <v/>
      </c>
      <c r="G186" s="69" t="str">
        <f aca="false">'CC Volume'!AN186</f>
        <v/>
      </c>
      <c r="H186" s="69" t="str">
        <f aca="false">'CC Volume'!AO186</f>
        <v/>
      </c>
      <c r="I186" s="69" t="str">
        <f aca="false">'CC Volume'!AM186</f>
        <v/>
      </c>
      <c r="J186" s="62" t="str">
        <f aca="false">IF(N(H186)=0,"",IFERROR(INDEX(CC_RegRate,MATCH(F186,CC_RegU,0)),0))</f>
        <v/>
      </c>
      <c r="K186" s="62" t="n">
        <f aca="false">N(H186)*N(J186)</f>
        <v>0</v>
      </c>
      <c r="L186" s="62" t="n">
        <f aca="false">IF(CC_IncWaste="Yes",N(I186)*N(XWaste),0)</f>
        <v>0</v>
      </c>
      <c r="M186" s="65" t="n">
        <f aca="false">IF(N(G186)=0,0,IF(CC_AllocBasis="Equipment count",1,IF(CC_AllocBasis="Equipment volume",N(G186),N(H186))))</f>
        <v>0</v>
      </c>
      <c r="N186" s="15" t="n">
        <f aca="false">IF(SUM(CC_P_M)=0,0,M186/SUM(CC_P_M))</f>
        <v>0</v>
      </c>
      <c r="O186" s="62" t="n">
        <f aca="false">N186*CC_SharedCost</f>
        <v>0</v>
      </c>
      <c r="P186" s="63" t="n">
        <f aca="false">K186+L186+O186</f>
        <v>0</v>
      </c>
      <c r="Q186" s="62" t="n">
        <f aca="false">K186*(1+INDEX(MkMatrix,3,3))</f>
        <v>0</v>
      </c>
      <c r="R186" s="62" t="n">
        <f aca="false">L186*(1+INDEX(MkMatrix,3,3))</f>
        <v>0</v>
      </c>
      <c r="S186" s="62" t="n">
        <f aca="false">N186*CC_SharedSell</f>
        <v>0</v>
      </c>
      <c r="T186" s="62" t="n">
        <f aca="false">P186*N(QCont)</f>
        <v>0</v>
      </c>
      <c r="U186" s="62" t="n">
        <f aca="false">Q186+R186+S186+T186</f>
        <v>0</v>
      </c>
      <c r="V186" s="62" t="n">
        <f aca="false">-U186*N(QDisc)</f>
        <v>-0</v>
      </c>
      <c r="W186" s="63" t="n">
        <f aca="false">U186+V186</f>
        <v>0</v>
      </c>
      <c r="X186" s="63" t="n">
        <f aca="false">W186/QRate</f>
        <v>0</v>
      </c>
      <c r="Y186" s="0" t="n">
        <v>6</v>
      </c>
    </row>
    <row r="187" customFormat="false" ht="15" hidden="false" customHeight="false" outlineLevel="0" collapsed="false">
      <c r="A187" s="68" t="n">
        <f aca="false">'CC Volume'!A187</f>
        <v>13</v>
      </c>
      <c r="B187" s="13" t="str">
        <f aca="false">IF('CC Volume'!B187="","",'CC Volume'!B187)</f>
        <v/>
      </c>
      <c r="C187" s="13" t="str">
        <f aca="false">IF('CC Volume'!C187="","",'CC Volume'!C187)</f>
        <v/>
      </c>
      <c r="D187" s="13" t="str">
        <f aca="false">IF('CC Volume'!D187="","",'CC Volume'!D187)</f>
        <v/>
      </c>
      <c r="E187" s="68" t="str">
        <f aca="false">IF('CC Volume'!E187="","",'CC Volume'!E187)</f>
        <v/>
      </c>
      <c r="F187" s="68" t="str">
        <f aca="false">IF('CC Volume'!F187="","",'CC Volume'!F187)</f>
        <v/>
      </c>
      <c r="G187" s="69" t="str">
        <f aca="false">'CC Volume'!AN187</f>
        <v/>
      </c>
      <c r="H187" s="69" t="str">
        <f aca="false">'CC Volume'!AO187</f>
        <v/>
      </c>
      <c r="I187" s="69" t="str">
        <f aca="false">'CC Volume'!AM187</f>
        <v/>
      </c>
      <c r="J187" s="62" t="str">
        <f aca="false">IF(N(H187)=0,"",IFERROR(INDEX(CC_RegRate,MATCH(F187,CC_RegU,0)),0))</f>
        <v/>
      </c>
      <c r="K187" s="62" t="n">
        <f aca="false">N(H187)*N(J187)</f>
        <v>0</v>
      </c>
      <c r="L187" s="62" t="n">
        <f aca="false">IF(CC_IncWaste="Yes",N(I187)*N(XWaste),0)</f>
        <v>0</v>
      </c>
      <c r="M187" s="65" t="n">
        <f aca="false">IF(N(G187)=0,0,IF(CC_AllocBasis="Equipment count",1,IF(CC_AllocBasis="Equipment volume",N(G187),N(H187))))</f>
        <v>0</v>
      </c>
      <c r="N187" s="15" t="n">
        <f aca="false">IF(SUM(CC_P_M)=0,0,M187/SUM(CC_P_M))</f>
        <v>0</v>
      </c>
      <c r="O187" s="62" t="n">
        <f aca="false">N187*CC_SharedCost</f>
        <v>0</v>
      </c>
      <c r="P187" s="63" t="n">
        <f aca="false">K187+L187+O187</f>
        <v>0</v>
      </c>
      <c r="Q187" s="62" t="n">
        <f aca="false">K187*(1+INDEX(MkMatrix,3,3))</f>
        <v>0</v>
      </c>
      <c r="R187" s="62" t="n">
        <f aca="false">L187*(1+INDEX(MkMatrix,3,3))</f>
        <v>0</v>
      </c>
      <c r="S187" s="62" t="n">
        <f aca="false">N187*CC_SharedSell</f>
        <v>0</v>
      </c>
      <c r="T187" s="62" t="n">
        <f aca="false">P187*N(QCont)</f>
        <v>0</v>
      </c>
      <c r="U187" s="62" t="n">
        <f aca="false">Q187+R187+S187+T187</f>
        <v>0</v>
      </c>
      <c r="V187" s="62" t="n">
        <f aca="false">-U187*N(QDisc)</f>
        <v>-0</v>
      </c>
      <c r="W187" s="63" t="n">
        <f aca="false">U187+V187</f>
        <v>0</v>
      </c>
      <c r="X187" s="63" t="n">
        <f aca="false">W187/QRate</f>
        <v>0</v>
      </c>
      <c r="Y187" s="0" t="n">
        <v>6</v>
      </c>
    </row>
    <row r="188" customFormat="false" ht="15" hidden="false" customHeight="false" outlineLevel="0" collapsed="false">
      <c r="A188" s="68" t="n">
        <f aca="false">'CC Volume'!A188</f>
        <v>14</v>
      </c>
      <c r="B188" s="13" t="str">
        <f aca="false">IF('CC Volume'!B188="","",'CC Volume'!B188)</f>
        <v/>
      </c>
      <c r="C188" s="13" t="str">
        <f aca="false">IF('CC Volume'!C188="","",'CC Volume'!C188)</f>
        <v/>
      </c>
      <c r="D188" s="13" t="str">
        <f aca="false">IF('CC Volume'!D188="","",'CC Volume'!D188)</f>
        <v/>
      </c>
      <c r="E188" s="68" t="str">
        <f aca="false">IF('CC Volume'!E188="","",'CC Volume'!E188)</f>
        <v/>
      </c>
      <c r="F188" s="68" t="str">
        <f aca="false">IF('CC Volume'!F188="","",'CC Volume'!F188)</f>
        <v/>
      </c>
      <c r="G188" s="69" t="str">
        <f aca="false">'CC Volume'!AN188</f>
        <v/>
      </c>
      <c r="H188" s="69" t="str">
        <f aca="false">'CC Volume'!AO188</f>
        <v/>
      </c>
      <c r="I188" s="69" t="str">
        <f aca="false">'CC Volume'!AM188</f>
        <v/>
      </c>
      <c r="J188" s="62" t="str">
        <f aca="false">IF(N(H188)=0,"",IFERROR(INDEX(CC_RegRate,MATCH(F188,CC_RegU,0)),0))</f>
        <v/>
      </c>
      <c r="K188" s="62" t="n">
        <f aca="false">N(H188)*N(J188)</f>
        <v>0</v>
      </c>
      <c r="L188" s="62" t="n">
        <f aca="false">IF(CC_IncWaste="Yes",N(I188)*N(XWaste),0)</f>
        <v>0</v>
      </c>
      <c r="M188" s="65" t="n">
        <f aca="false">IF(N(G188)=0,0,IF(CC_AllocBasis="Equipment count",1,IF(CC_AllocBasis="Equipment volume",N(G188),N(H188))))</f>
        <v>0</v>
      </c>
      <c r="N188" s="15" t="n">
        <f aca="false">IF(SUM(CC_P_M)=0,0,M188/SUM(CC_P_M))</f>
        <v>0</v>
      </c>
      <c r="O188" s="62" t="n">
        <f aca="false">N188*CC_SharedCost</f>
        <v>0</v>
      </c>
      <c r="P188" s="63" t="n">
        <f aca="false">K188+L188+O188</f>
        <v>0</v>
      </c>
      <c r="Q188" s="62" t="n">
        <f aca="false">K188*(1+INDEX(MkMatrix,3,3))</f>
        <v>0</v>
      </c>
      <c r="R188" s="62" t="n">
        <f aca="false">L188*(1+INDEX(MkMatrix,3,3))</f>
        <v>0</v>
      </c>
      <c r="S188" s="62" t="n">
        <f aca="false">N188*CC_SharedSell</f>
        <v>0</v>
      </c>
      <c r="T188" s="62" t="n">
        <f aca="false">P188*N(QCont)</f>
        <v>0</v>
      </c>
      <c r="U188" s="62" t="n">
        <f aca="false">Q188+R188+S188+T188</f>
        <v>0</v>
      </c>
      <c r="V188" s="62" t="n">
        <f aca="false">-U188*N(QDisc)</f>
        <v>-0</v>
      </c>
      <c r="W188" s="63" t="n">
        <f aca="false">U188+V188</f>
        <v>0</v>
      </c>
      <c r="X188" s="63" t="n">
        <f aca="false">W188/QRate</f>
        <v>0</v>
      </c>
      <c r="Y188" s="0" t="n">
        <v>6</v>
      </c>
    </row>
    <row r="189" customFormat="false" ht="15" hidden="false" customHeight="false" outlineLevel="0" collapsed="false">
      <c r="A189" s="68" t="n">
        <f aca="false">'CC Volume'!A189</f>
        <v>15</v>
      </c>
      <c r="B189" s="13" t="str">
        <f aca="false">IF('CC Volume'!B189="","",'CC Volume'!B189)</f>
        <v/>
      </c>
      <c r="C189" s="13" t="str">
        <f aca="false">IF('CC Volume'!C189="","",'CC Volume'!C189)</f>
        <v/>
      </c>
      <c r="D189" s="13" t="str">
        <f aca="false">IF('CC Volume'!D189="","",'CC Volume'!D189)</f>
        <v/>
      </c>
      <c r="E189" s="68" t="str">
        <f aca="false">IF('CC Volume'!E189="","",'CC Volume'!E189)</f>
        <v/>
      </c>
      <c r="F189" s="68" t="str">
        <f aca="false">IF('CC Volume'!F189="","",'CC Volume'!F189)</f>
        <v/>
      </c>
      <c r="G189" s="69" t="str">
        <f aca="false">'CC Volume'!AN189</f>
        <v/>
      </c>
      <c r="H189" s="69" t="str">
        <f aca="false">'CC Volume'!AO189</f>
        <v/>
      </c>
      <c r="I189" s="69" t="str">
        <f aca="false">'CC Volume'!AM189</f>
        <v/>
      </c>
      <c r="J189" s="62" t="str">
        <f aca="false">IF(N(H189)=0,"",IFERROR(INDEX(CC_RegRate,MATCH(F189,CC_RegU,0)),0))</f>
        <v/>
      </c>
      <c r="K189" s="62" t="n">
        <f aca="false">N(H189)*N(J189)</f>
        <v>0</v>
      </c>
      <c r="L189" s="62" t="n">
        <f aca="false">IF(CC_IncWaste="Yes",N(I189)*N(XWaste),0)</f>
        <v>0</v>
      </c>
      <c r="M189" s="65" t="n">
        <f aca="false">IF(N(G189)=0,0,IF(CC_AllocBasis="Equipment count",1,IF(CC_AllocBasis="Equipment volume",N(G189),N(H189))))</f>
        <v>0</v>
      </c>
      <c r="N189" s="15" t="n">
        <f aca="false">IF(SUM(CC_P_M)=0,0,M189/SUM(CC_P_M))</f>
        <v>0</v>
      </c>
      <c r="O189" s="62" t="n">
        <f aca="false">N189*CC_SharedCost</f>
        <v>0</v>
      </c>
      <c r="P189" s="63" t="n">
        <f aca="false">K189+L189+O189</f>
        <v>0</v>
      </c>
      <c r="Q189" s="62" t="n">
        <f aca="false">K189*(1+INDEX(MkMatrix,3,3))</f>
        <v>0</v>
      </c>
      <c r="R189" s="62" t="n">
        <f aca="false">L189*(1+INDEX(MkMatrix,3,3))</f>
        <v>0</v>
      </c>
      <c r="S189" s="62" t="n">
        <f aca="false">N189*CC_SharedSell</f>
        <v>0</v>
      </c>
      <c r="T189" s="62" t="n">
        <f aca="false">P189*N(QCont)</f>
        <v>0</v>
      </c>
      <c r="U189" s="62" t="n">
        <f aca="false">Q189+R189+S189+T189</f>
        <v>0</v>
      </c>
      <c r="V189" s="62" t="n">
        <f aca="false">-U189*N(QDisc)</f>
        <v>-0</v>
      </c>
      <c r="W189" s="63" t="n">
        <f aca="false">U189+V189</f>
        <v>0</v>
      </c>
      <c r="X189" s="63" t="n">
        <f aca="false">W189/QRate</f>
        <v>0</v>
      </c>
      <c r="Y189" s="0" t="n">
        <v>6</v>
      </c>
    </row>
    <row r="190" customFormat="false" ht="15" hidden="false" customHeight="false" outlineLevel="0" collapsed="false">
      <c r="A190" s="68" t="n">
        <f aca="false">'CC Volume'!A190</f>
        <v>16</v>
      </c>
      <c r="B190" s="13" t="str">
        <f aca="false">IF('CC Volume'!B190="","",'CC Volume'!B190)</f>
        <v/>
      </c>
      <c r="C190" s="13" t="str">
        <f aca="false">IF('CC Volume'!C190="","",'CC Volume'!C190)</f>
        <v/>
      </c>
      <c r="D190" s="13" t="str">
        <f aca="false">IF('CC Volume'!D190="","",'CC Volume'!D190)</f>
        <v/>
      </c>
      <c r="E190" s="68" t="str">
        <f aca="false">IF('CC Volume'!E190="","",'CC Volume'!E190)</f>
        <v/>
      </c>
      <c r="F190" s="68" t="str">
        <f aca="false">IF('CC Volume'!F190="","",'CC Volume'!F190)</f>
        <v/>
      </c>
      <c r="G190" s="69" t="str">
        <f aca="false">'CC Volume'!AN190</f>
        <v/>
      </c>
      <c r="H190" s="69" t="str">
        <f aca="false">'CC Volume'!AO190</f>
        <v/>
      </c>
      <c r="I190" s="69" t="str">
        <f aca="false">'CC Volume'!AM190</f>
        <v/>
      </c>
      <c r="J190" s="62" t="str">
        <f aca="false">IF(N(H190)=0,"",IFERROR(INDEX(CC_RegRate,MATCH(F190,CC_RegU,0)),0))</f>
        <v/>
      </c>
      <c r="K190" s="62" t="n">
        <f aca="false">N(H190)*N(J190)</f>
        <v>0</v>
      </c>
      <c r="L190" s="62" t="n">
        <f aca="false">IF(CC_IncWaste="Yes",N(I190)*N(XWaste),0)</f>
        <v>0</v>
      </c>
      <c r="M190" s="65" t="n">
        <f aca="false">IF(N(G190)=0,0,IF(CC_AllocBasis="Equipment count",1,IF(CC_AllocBasis="Equipment volume",N(G190),N(H190))))</f>
        <v>0</v>
      </c>
      <c r="N190" s="15" t="n">
        <f aca="false">IF(SUM(CC_P_M)=0,0,M190/SUM(CC_P_M))</f>
        <v>0</v>
      </c>
      <c r="O190" s="62" t="n">
        <f aca="false">N190*CC_SharedCost</f>
        <v>0</v>
      </c>
      <c r="P190" s="63" t="n">
        <f aca="false">K190+L190+O190</f>
        <v>0</v>
      </c>
      <c r="Q190" s="62" t="n">
        <f aca="false">K190*(1+INDEX(MkMatrix,3,3))</f>
        <v>0</v>
      </c>
      <c r="R190" s="62" t="n">
        <f aca="false">L190*(1+INDEX(MkMatrix,3,3))</f>
        <v>0</v>
      </c>
      <c r="S190" s="62" t="n">
        <f aca="false">N190*CC_SharedSell</f>
        <v>0</v>
      </c>
      <c r="T190" s="62" t="n">
        <f aca="false">P190*N(QCont)</f>
        <v>0</v>
      </c>
      <c r="U190" s="62" t="n">
        <f aca="false">Q190+R190+S190+T190</f>
        <v>0</v>
      </c>
      <c r="V190" s="62" t="n">
        <f aca="false">-U190*N(QDisc)</f>
        <v>-0</v>
      </c>
      <c r="W190" s="63" t="n">
        <f aca="false">U190+V190</f>
        <v>0</v>
      </c>
      <c r="X190" s="63" t="n">
        <f aca="false">W190/QRate</f>
        <v>0</v>
      </c>
      <c r="Y190" s="0" t="n">
        <v>6</v>
      </c>
    </row>
    <row r="191" customFormat="false" ht="15" hidden="false" customHeight="false" outlineLevel="0" collapsed="false">
      <c r="A191" s="68" t="n">
        <f aca="false">'CC Volume'!A191</f>
        <v>17</v>
      </c>
      <c r="B191" s="13" t="str">
        <f aca="false">IF('CC Volume'!B191="","",'CC Volume'!B191)</f>
        <v/>
      </c>
      <c r="C191" s="13" t="str">
        <f aca="false">IF('CC Volume'!C191="","",'CC Volume'!C191)</f>
        <v/>
      </c>
      <c r="D191" s="13" t="str">
        <f aca="false">IF('CC Volume'!D191="","",'CC Volume'!D191)</f>
        <v/>
      </c>
      <c r="E191" s="68" t="str">
        <f aca="false">IF('CC Volume'!E191="","",'CC Volume'!E191)</f>
        <v/>
      </c>
      <c r="F191" s="68" t="str">
        <f aca="false">IF('CC Volume'!F191="","",'CC Volume'!F191)</f>
        <v/>
      </c>
      <c r="G191" s="69" t="str">
        <f aca="false">'CC Volume'!AN191</f>
        <v/>
      </c>
      <c r="H191" s="69" t="str">
        <f aca="false">'CC Volume'!AO191</f>
        <v/>
      </c>
      <c r="I191" s="69" t="str">
        <f aca="false">'CC Volume'!AM191</f>
        <v/>
      </c>
      <c r="J191" s="62" t="str">
        <f aca="false">IF(N(H191)=0,"",IFERROR(INDEX(CC_RegRate,MATCH(F191,CC_RegU,0)),0))</f>
        <v/>
      </c>
      <c r="K191" s="62" t="n">
        <f aca="false">N(H191)*N(J191)</f>
        <v>0</v>
      </c>
      <c r="L191" s="62" t="n">
        <f aca="false">IF(CC_IncWaste="Yes",N(I191)*N(XWaste),0)</f>
        <v>0</v>
      </c>
      <c r="M191" s="65" t="n">
        <f aca="false">IF(N(G191)=0,0,IF(CC_AllocBasis="Equipment count",1,IF(CC_AllocBasis="Equipment volume",N(G191),N(H191))))</f>
        <v>0</v>
      </c>
      <c r="N191" s="15" t="n">
        <f aca="false">IF(SUM(CC_P_M)=0,0,M191/SUM(CC_P_M))</f>
        <v>0</v>
      </c>
      <c r="O191" s="62" t="n">
        <f aca="false">N191*CC_SharedCost</f>
        <v>0</v>
      </c>
      <c r="P191" s="63" t="n">
        <f aca="false">K191+L191+O191</f>
        <v>0</v>
      </c>
      <c r="Q191" s="62" t="n">
        <f aca="false">K191*(1+INDEX(MkMatrix,3,3))</f>
        <v>0</v>
      </c>
      <c r="R191" s="62" t="n">
        <f aca="false">L191*(1+INDEX(MkMatrix,3,3))</f>
        <v>0</v>
      </c>
      <c r="S191" s="62" t="n">
        <f aca="false">N191*CC_SharedSell</f>
        <v>0</v>
      </c>
      <c r="T191" s="62" t="n">
        <f aca="false">P191*N(QCont)</f>
        <v>0</v>
      </c>
      <c r="U191" s="62" t="n">
        <f aca="false">Q191+R191+S191+T191</f>
        <v>0</v>
      </c>
      <c r="V191" s="62" t="n">
        <f aca="false">-U191*N(QDisc)</f>
        <v>-0</v>
      </c>
      <c r="W191" s="63" t="n">
        <f aca="false">U191+V191</f>
        <v>0</v>
      </c>
      <c r="X191" s="63" t="n">
        <f aca="false">W191/QRate</f>
        <v>0</v>
      </c>
      <c r="Y191" s="0" t="n">
        <v>6</v>
      </c>
    </row>
    <row r="192" customFormat="false" ht="15" hidden="false" customHeight="false" outlineLevel="0" collapsed="false">
      <c r="A192" s="68" t="n">
        <f aca="false">'CC Volume'!A192</f>
        <v>18</v>
      </c>
      <c r="B192" s="13" t="str">
        <f aca="false">IF('CC Volume'!B192="","",'CC Volume'!B192)</f>
        <v/>
      </c>
      <c r="C192" s="13" t="str">
        <f aca="false">IF('CC Volume'!C192="","",'CC Volume'!C192)</f>
        <v/>
      </c>
      <c r="D192" s="13" t="str">
        <f aca="false">IF('CC Volume'!D192="","",'CC Volume'!D192)</f>
        <v/>
      </c>
      <c r="E192" s="68" t="str">
        <f aca="false">IF('CC Volume'!E192="","",'CC Volume'!E192)</f>
        <v/>
      </c>
      <c r="F192" s="68" t="str">
        <f aca="false">IF('CC Volume'!F192="","",'CC Volume'!F192)</f>
        <v/>
      </c>
      <c r="G192" s="69" t="str">
        <f aca="false">'CC Volume'!AN192</f>
        <v/>
      </c>
      <c r="H192" s="69" t="str">
        <f aca="false">'CC Volume'!AO192</f>
        <v/>
      </c>
      <c r="I192" s="69" t="str">
        <f aca="false">'CC Volume'!AM192</f>
        <v/>
      </c>
      <c r="J192" s="62" t="str">
        <f aca="false">IF(N(H192)=0,"",IFERROR(INDEX(CC_RegRate,MATCH(F192,CC_RegU,0)),0))</f>
        <v/>
      </c>
      <c r="K192" s="62" t="n">
        <f aca="false">N(H192)*N(J192)</f>
        <v>0</v>
      </c>
      <c r="L192" s="62" t="n">
        <f aca="false">IF(CC_IncWaste="Yes",N(I192)*N(XWaste),0)</f>
        <v>0</v>
      </c>
      <c r="M192" s="65" t="n">
        <f aca="false">IF(N(G192)=0,0,IF(CC_AllocBasis="Equipment count",1,IF(CC_AllocBasis="Equipment volume",N(G192),N(H192))))</f>
        <v>0</v>
      </c>
      <c r="N192" s="15" t="n">
        <f aca="false">IF(SUM(CC_P_M)=0,0,M192/SUM(CC_P_M))</f>
        <v>0</v>
      </c>
      <c r="O192" s="62" t="n">
        <f aca="false">N192*CC_SharedCost</f>
        <v>0</v>
      </c>
      <c r="P192" s="63" t="n">
        <f aca="false">K192+L192+O192</f>
        <v>0</v>
      </c>
      <c r="Q192" s="62" t="n">
        <f aca="false">K192*(1+INDEX(MkMatrix,3,3))</f>
        <v>0</v>
      </c>
      <c r="R192" s="62" t="n">
        <f aca="false">L192*(1+INDEX(MkMatrix,3,3))</f>
        <v>0</v>
      </c>
      <c r="S192" s="62" t="n">
        <f aca="false">N192*CC_SharedSell</f>
        <v>0</v>
      </c>
      <c r="T192" s="62" t="n">
        <f aca="false">P192*N(QCont)</f>
        <v>0</v>
      </c>
      <c r="U192" s="62" t="n">
        <f aca="false">Q192+R192+S192+T192</f>
        <v>0</v>
      </c>
      <c r="V192" s="62" t="n">
        <f aca="false">-U192*N(QDisc)</f>
        <v>-0</v>
      </c>
      <c r="W192" s="63" t="n">
        <f aca="false">U192+V192</f>
        <v>0</v>
      </c>
      <c r="X192" s="63" t="n">
        <f aca="false">W192/QRate</f>
        <v>0</v>
      </c>
      <c r="Y192" s="0" t="n">
        <v>6</v>
      </c>
    </row>
    <row r="193" customFormat="false" ht="15" hidden="false" customHeight="false" outlineLevel="0" collapsed="false">
      <c r="A193" s="68" t="n">
        <f aca="false">'CC Volume'!A193</f>
        <v>19</v>
      </c>
      <c r="B193" s="13" t="str">
        <f aca="false">IF('CC Volume'!B193="","",'CC Volume'!B193)</f>
        <v/>
      </c>
      <c r="C193" s="13" t="str">
        <f aca="false">IF('CC Volume'!C193="","",'CC Volume'!C193)</f>
        <v/>
      </c>
      <c r="D193" s="13" t="str">
        <f aca="false">IF('CC Volume'!D193="","",'CC Volume'!D193)</f>
        <v/>
      </c>
      <c r="E193" s="68" t="str">
        <f aca="false">IF('CC Volume'!E193="","",'CC Volume'!E193)</f>
        <v/>
      </c>
      <c r="F193" s="68" t="str">
        <f aca="false">IF('CC Volume'!F193="","",'CC Volume'!F193)</f>
        <v/>
      </c>
      <c r="G193" s="69" t="str">
        <f aca="false">'CC Volume'!AN193</f>
        <v/>
      </c>
      <c r="H193" s="69" t="str">
        <f aca="false">'CC Volume'!AO193</f>
        <v/>
      </c>
      <c r="I193" s="69" t="str">
        <f aca="false">'CC Volume'!AM193</f>
        <v/>
      </c>
      <c r="J193" s="62" t="str">
        <f aca="false">IF(N(H193)=0,"",IFERROR(INDEX(CC_RegRate,MATCH(F193,CC_RegU,0)),0))</f>
        <v/>
      </c>
      <c r="K193" s="62" t="n">
        <f aca="false">N(H193)*N(J193)</f>
        <v>0</v>
      </c>
      <c r="L193" s="62" t="n">
        <f aca="false">IF(CC_IncWaste="Yes",N(I193)*N(XWaste),0)</f>
        <v>0</v>
      </c>
      <c r="M193" s="65" t="n">
        <f aca="false">IF(N(G193)=0,0,IF(CC_AllocBasis="Equipment count",1,IF(CC_AllocBasis="Equipment volume",N(G193),N(H193))))</f>
        <v>0</v>
      </c>
      <c r="N193" s="15" t="n">
        <f aca="false">IF(SUM(CC_P_M)=0,0,M193/SUM(CC_P_M))</f>
        <v>0</v>
      </c>
      <c r="O193" s="62" t="n">
        <f aca="false">N193*CC_SharedCost</f>
        <v>0</v>
      </c>
      <c r="P193" s="63" t="n">
        <f aca="false">K193+L193+O193</f>
        <v>0</v>
      </c>
      <c r="Q193" s="62" t="n">
        <f aca="false">K193*(1+INDEX(MkMatrix,3,3))</f>
        <v>0</v>
      </c>
      <c r="R193" s="62" t="n">
        <f aca="false">L193*(1+INDEX(MkMatrix,3,3))</f>
        <v>0</v>
      </c>
      <c r="S193" s="62" t="n">
        <f aca="false">N193*CC_SharedSell</f>
        <v>0</v>
      </c>
      <c r="T193" s="62" t="n">
        <f aca="false">P193*N(QCont)</f>
        <v>0</v>
      </c>
      <c r="U193" s="62" t="n">
        <f aca="false">Q193+R193+S193+T193</f>
        <v>0</v>
      </c>
      <c r="V193" s="62" t="n">
        <f aca="false">-U193*N(QDisc)</f>
        <v>-0</v>
      </c>
      <c r="W193" s="63" t="n">
        <f aca="false">U193+V193</f>
        <v>0</v>
      </c>
      <c r="X193" s="63" t="n">
        <f aca="false">W193/QRate</f>
        <v>0</v>
      </c>
      <c r="Y193" s="0" t="n">
        <v>6</v>
      </c>
    </row>
    <row r="194" customFormat="false" ht="15" hidden="false" customHeight="false" outlineLevel="0" collapsed="false">
      <c r="A194" s="68" t="n">
        <f aca="false">'CC Volume'!A194</f>
        <v>20</v>
      </c>
      <c r="B194" s="13" t="str">
        <f aca="false">IF('CC Volume'!B194="","",'CC Volume'!B194)</f>
        <v/>
      </c>
      <c r="C194" s="13" t="str">
        <f aca="false">IF('CC Volume'!C194="","",'CC Volume'!C194)</f>
        <v/>
      </c>
      <c r="D194" s="13" t="str">
        <f aca="false">IF('CC Volume'!D194="","",'CC Volume'!D194)</f>
        <v/>
      </c>
      <c r="E194" s="68" t="str">
        <f aca="false">IF('CC Volume'!E194="","",'CC Volume'!E194)</f>
        <v/>
      </c>
      <c r="F194" s="68" t="str">
        <f aca="false">IF('CC Volume'!F194="","",'CC Volume'!F194)</f>
        <v/>
      </c>
      <c r="G194" s="69" t="str">
        <f aca="false">'CC Volume'!AN194</f>
        <v/>
      </c>
      <c r="H194" s="69" t="str">
        <f aca="false">'CC Volume'!AO194</f>
        <v/>
      </c>
      <c r="I194" s="69" t="str">
        <f aca="false">'CC Volume'!AM194</f>
        <v/>
      </c>
      <c r="J194" s="62" t="str">
        <f aca="false">IF(N(H194)=0,"",IFERROR(INDEX(CC_RegRate,MATCH(F194,CC_RegU,0)),0))</f>
        <v/>
      </c>
      <c r="K194" s="62" t="n">
        <f aca="false">N(H194)*N(J194)</f>
        <v>0</v>
      </c>
      <c r="L194" s="62" t="n">
        <f aca="false">IF(CC_IncWaste="Yes",N(I194)*N(XWaste),0)</f>
        <v>0</v>
      </c>
      <c r="M194" s="65" t="n">
        <f aca="false">IF(N(G194)=0,0,IF(CC_AllocBasis="Equipment count",1,IF(CC_AllocBasis="Equipment volume",N(G194),N(H194))))</f>
        <v>0</v>
      </c>
      <c r="N194" s="15" t="n">
        <f aca="false">IF(SUM(CC_P_M)=0,0,M194/SUM(CC_P_M))</f>
        <v>0</v>
      </c>
      <c r="O194" s="62" t="n">
        <f aca="false">N194*CC_SharedCost</f>
        <v>0</v>
      </c>
      <c r="P194" s="63" t="n">
        <f aca="false">K194+L194+O194</f>
        <v>0</v>
      </c>
      <c r="Q194" s="62" t="n">
        <f aca="false">K194*(1+INDEX(MkMatrix,3,3))</f>
        <v>0</v>
      </c>
      <c r="R194" s="62" t="n">
        <f aca="false">L194*(1+INDEX(MkMatrix,3,3))</f>
        <v>0</v>
      </c>
      <c r="S194" s="62" t="n">
        <f aca="false">N194*CC_SharedSell</f>
        <v>0</v>
      </c>
      <c r="T194" s="62" t="n">
        <f aca="false">P194*N(QCont)</f>
        <v>0</v>
      </c>
      <c r="U194" s="62" t="n">
        <f aca="false">Q194+R194+S194+T194</f>
        <v>0</v>
      </c>
      <c r="V194" s="62" t="n">
        <f aca="false">-U194*N(QDisc)</f>
        <v>-0</v>
      </c>
      <c r="W194" s="63" t="n">
        <f aca="false">U194+V194</f>
        <v>0</v>
      </c>
      <c r="X194" s="63" t="n">
        <f aca="false">W194/QRate</f>
        <v>0</v>
      </c>
      <c r="Y194" s="0" t="n">
        <v>6</v>
      </c>
    </row>
    <row r="195" customFormat="false" ht="15" hidden="false" customHeight="false" outlineLevel="0" collapsed="false">
      <c r="A195" s="68" t="n">
        <f aca="false">'CC Volume'!A195</f>
        <v>21</v>
      </c>
      <c r="B195" s="13" t="str">
        <f aca="false">IF('CC Volume'!B195="","",'CC Volume'!B195)</f>
        <v/>
      </c>
      <c r="C195" s="13" t="str">
        <f aca="false">IF('CC Volume'!C195="","",'CC Volume'!C195)</f>
        <v/>
      </c>
      <c r="D195" s="13" t="str">
        <f aca="false">IF('CC Volume'!D195="","",'CC Volume'!D195)</f>
        <v/>
      </c>
      <c r="E195" s="68" t="str">
        <f aca="false">IF('CC Volume'!E195="","",'CC Volume'!E195)</f>
        <v/>
      </c>
      <c r="F195" s="68" t="str">
        <f aca="false">IF('CC Volume'!F195="","",'CC Volume'!F195)</f>
        <v/>
      </c>
      <c r="G195" s="69" t="str">
        <f aca="false">'CC Volume'!AN195</f>
        <v/>
      </c>
      <c r="H195" s="69" t="str">
        <f aca="false">'CC Volume'!AO195</f>
        <v/>
      </c>
      <c r="I195" s="69" t="str">
        <f aca="false">'CC Volume'!AM195</f>
        <v/>
      </c>
      <c r="J195" s="62" t="str">
        <f aca="false">IF(N(H195)=0,"",IFERROR(INDEX(CC_RegRate,MATCH(F195,CC_RegU,0)),0))</f>
        <v/>
      </c>
      <c r="K195" s="62" t="n">
        <f aca="false">N(H195)*N(J195)</f>
        <v>0</v>
      </c>
      <c r="L195" s="62" t="n">
        <f aca="false">IF(CC_IncWaste="Yes",N(I195)*N(XWaste),0)</f>
        <v>0</v>
      </c>
      <c r="M195" s="65" t="n">
        <f aca="false">IF(N(G195)=0,0,IF(CC_AllocBasis="Equipment count",1,IF(CC_AllocBasis="Equipment volume",N(G195),N(H195))))</f>
        <v>0</v>
      </c>
      <c r="N195" s="15" t="n">
        <f aca="false">IF(SUM(CC_P_M)=0,0,M195/SUM(CC_P_M))</f>
        <v>0</v>
      </c>
      <c r="O195" s="62" t="n">
        <f aca="false">N195*CC_SharedCost</f>
        <v>0</v>
      </c>
      <c r="P195" s="63" t="n">
        <f aca="false">K195+L195+O195</f>
        <v>0</v>
      </c>
      <c r="Q195" s="62" t="n">
        <f aca="false">K195*(1+INDEX(MkMatrix,3,3))</f>
        <v>0</v>
      </c>
      <c r="R195" s="62" t="n">
        <f aca="false">L195*(1+INDEX(MkMatrix,3,3))</f>
        <v>0</v>
      </c>
      <c r="S195" s="62" t="n">
        <f aca="false">N195*CC_SharedSell</f>
        <v>0</v>
      </c>
      <c r="T195" s="62" t="n">
        <f aca="false">P195*N(QCont)</f>
        <v>0</v>
      </c>
      <c r="U195" s="62" t="n">
        <f aca="false">Q195+R195+S195+T195</f>
        <v>0</v>
      </c>
      <c r="V195" s="62" t="n">
        <f aca="false">-U195*N(QDisc)</f>
        <v>-0</v>
      </c>
      <c r="W195" s="63" t="n">
        <f aca="false">U195+V195</f>
        <v>0</v>
      </c>
      <c r="X195" s="63" t="n">
        <f aca="false">W195/QRate</f>
        <v>0</v>
      </c>
      <c r="Y195" s="0" t="n">
        <v>6</v>
      </c>
    </row>
    <row r="196" customFormat="false" ht="15" hidden="false" customHeight="false" outlineLevel="0" collapsed="false">
      <c r="A196" s="68" t="n">
        <f aca="false">'CC Volume'!A196</f>
        <v>22</v>
      </c>
      <c r="B196" s="13" t="str">
        <f aca="false">IF('CC Volume'!B196="","",'CC Volume'!B196)</f>
        <v/>
      </c>
      <c r="C196" s="13" t="str">
        <f aca="false">IF('CC Volume'!C196="","",'CC Volume'!C196)</f>
        <v/>
      </c>
      <c r="D196" s="13" t="str">
        <f aca="false">IF('CC Volume'!D196="","",'CC Volume'!D196)</f>
        <v/>
      </c>
      <c r="E196" s="68" t="str">
        <f aca="false">IF('CC Volume'!E196="","",'CC Volume'!E196)</f>
        <v/>
      </c>
      <c r="F196" s="68" t="str">
        <f aca="false">IF('CC Volume'!F196="","",'CC Volume'!F196)</f>
        <v/>
      </c>
      <c r="G196" s="69" t="str">
        <f aca="false">'CC Volume'!AN196</f>
        <v/>
      </c>
      <c r="H196" s="69" t="str">
        <f aca="false">'CC Volume'!AO196</f>
        <v/>
      </c>
      <c r="I196" s="69" t="str">
        <f aca="false">'CC Volume'!AM196</f>
        <v/>
      </c>
      <c r="J196" s="62" t="str">
        <f aca="false">IF(N(H196)=0,"",IFERROR(INDEX(CC_RegRate,MATCH(F196,CC_RegU,0)),0))</f>
        <v/>
      </c>
      <c r="K196" s="62" t="n">
        <f aca="false">N(H196)*N(J196)</f>
        <v>0</v>
      </c>
      <c r="L196" s="62" t="n">
        <f aca="false">IF(CC_IncWaste="Yes",N(I196)*N(XWaste),0)</f>
        <v>0</v>
      </c>
      <c r="M196" s="65" t="n">
        <f aca="false">IF(N(G196)=0,0,IF(CC_AllocBasis="Equipment count",1,IF(CC_AllocBasis="Equipment volume",N(G196),N(H196))))</f>
        <v>0</v>
      </c>
      <c r="N196" s="15" t="n">
        <f aca="false">IF(SUM(CC_P_M)=0,0,M196/SUM(CC_P_M))</f>
        <v>0</v>
      </c>
      <c r="O196" s="62" t="n">
        <f aca="false">N196*CC_SharedCost</f>
        <v>0</v>
      </c>
      <c r="P196" s="63" t="n">
        <f aca="false">K196+L196+O196</f>
        <v>0</v>
      </c>
      <c r="Q196" s="62" t="n">
        <f aca="false">K196*(1+INDEX(MkMatrix,3,3))</f>
        <v>0</v>
      </c>
      <c r="R196" s="62" t="n">
        <f aca="false">L196*(1+INDEX(MkMatrix,3,3))</f>
        <v>0</v>
      </c>
      <c r="S196" s="62" t="n">
        <f aca="false">N196*CC_SharedSell</f>
        <v>0</v>
      </c>
      <c r="T196" s="62" t="n">
        <f aca="false">P196*N(QCont)</f>
        <v>0</v>
      </c>
      <c r="U196" s="62" t="n">
        <f aca="false">Q196+R196+S196+T196</f>
        <v>0</v>
      </c>
      <c r="V196" s="62" t="n">
        <f aca="false">-U196*N(QDisc)</f>
        <v>-0</v>
      </c>
      <c r="W196" s="63" t="n">
        <f aca="false">U196+V196</f>
        <v>0</v>
      </c>
      <c r="X196" s="63" t="n">
        <f aca="false">W196/QRate</f>
        <v>0</v>
      </c>
      <c r="Y196" s="0" t="n">
        <v>6</v>
      </c>
    </row>
    <row r="197" customFormat="false" ht="15" hidden="false" customHeight="false" outlineLevel="0" collapsed="false">
      <c r="A197" s="68" t="n">
        <f aca="false">'CC Volume'!A197</f>
        <v>23</v>
      </c>
      <c r="B197" s="13" t="str">
        <f aca="false">IF('CC Volume'!B197="","",'CC Volume'!B197)</f>
        <v/>
      </c>
      <c r="C197" s="13" t="str">
        <f aca="false">IF('CC Volume'!C197="","",'CC Volume'!C197)</f>
        <v/>
      </c>
      <c r="D197" s="13" t="str">
        <f aca="false">IF('CC Volume'!D197="","",'CC Volume'!D197)</f>
        <v/>
      </c>
      <c r="E197" s="68" t="str">
        <f aca="false">IF('CC Volume'!E197="","",'CC Volume'!E197)</f>
        <v/>
      </c>
      <c r="F197" s="68" t="str">
        <f aca="false">IF('CC Volume'!F197="","",'CC Volume'!F197)</f>
        <v/>
      </c>
      <c r="G197" s="69" t="str">
        <f aca="false">'CC Volume'!AN197</f>
        <v/>
      </c>
      <c r="H197" s="69" t="str">
        <f aca="false">'CC Volume'!AO197</f>
        <v/>
      </c>
      <c r="I197" s="69" t="str">
        <f aca="false">'CC Volume'!AM197</f>
        <v/>
      </c>
      <c r="J197" s="62" t="str">
        <f aca="false">IF(N(H197)=0,"",IFERROR(INDEX(CC_RegRate,MATCH(F197,CC_RegU,0)),0))</f>
        <v/>
      </c>
      <c r="K197" s="62" t="n">
        <f aca="false">N(H197)*N(J197)</f>
        <v>0</v>
      </c>
      <c r="L197" s="62" t="n">
        <f aca="false">IF(CC_IncWaste="Yes",N(I197)*N(XWaste),0)</f>
        <v>0</v>
      </c>
      <c r="M197" s="65" t="n">
        <f aca="false">IF(N(G197)=0,0,IF(CC_AllocBasis="Equipment count",1,IF(CC_AllocBasis="Equipment volume",N(G197),N(H197))))</f>
        <v>0</v>
      </c>
      <c r="N197" s="15" t="n">
        <f aca="false">IF(SUM(CC_P_M)=0,0,M197/SUM(CC_P_M))</f>
        <v>0</v>
      </c>
      <c r="O197" s="62" t="n">
        <f aca="false">N197*CC_SharedCost</f>
        <v>0</v>
      </c>
      <c r="P197" s="63" t="n">
        <f aca="false">K197+L197+O197</f>
        <v>0</v>
      </c>
      <c r="Q197" s="62" t="n">
        <f aca="false">K197*(1+INDEX(MkMatrix,3,3))</f>
        <v>0</v>
      </c>
      <c r="R197" s="62" t="n">
        <f aca="false">L197*(1+INDEX(MkMatrix,3,3))</f>
        <v>0</v>
      </c>
      <c r="S197" s="62" t="n">
        <f aca="false">N197*CC_SharedSell</f>
        <v>0</v>
      </c>
      <c r="T197" s="62" t="n">
        <f aca="false">P197*N(QCont)</f>
        <v>0</v>
      </c>
      <c r="U197" s="62" t="n">
        <f aca="false">Q197+R197+S197+T197</f>
        <v>0</v>
      </c>
      <c r="V197" s="62" t="n">
        <f aca="false">-U197*N(QDisc)</f>
        <v>-0</v>
      </c>
      <c r="W197" s="63" t="n">
        <f aca="false">U197+V197</f>
        <v>0</v>
      </c>
      <c r="X197" s="63" t="n">
        <f aca="false">W197/QRate</f>
        <v>0</v>
      </c>
      <c r="Y197" s="0" t="n">
        <v>6</v>
      </c>
    </row>
    <row r="198" customFormat="false" ht="15" hidden="false" customHeight="false" outlineLevel="0" collapsed="false">
      <c r="A198" s="68" t="n">
        <f aca="false">'CC Volume'!A198</f>
        <v>24</v>
      </c>
      <c r="B198" s="13" t="str">
        <f aca="false">IF('CC Volume'!B198="","",'CC Volume'!B198)</f>
        <v/>
      </c>
      <c r="C198" s="13" t="str">
        <f aca="false">IF('CC Volume'!C198="","",'CC Volume'!C198)</f>
        <v/>
      </c>
      <c r="D198" s="13" t="str">
        <f aca="false">IF('CC Volume'!D198="","",'CC Volume'!D198)</f>
        <v/>
      </c>
      <c r="E198" s="68" t="str">
        <f aca="false">IF('CC Volume'!E198="","",'CC Volume'!E198)</f>
        <v/>
      </c>
      <c r="F198" s="68" t="str">
        <f aca="false">IF('CC Volume'!F198="","",'CC Volume'!F198)</f>
        <v/>
      </c>
      <c r="G198" s="69" t="str">
        <f aca="false">'CC Volume'!AN198</f>
        <v/>
      </c>
      <c r="H198" s="69" t="str">
        <f aca="false">'CC Volume'!AO198</f>
        <v/>
      </c>
      <c r="I198" s="69" t="str">
        <f aca="false">'CC Volume'!AM198</f>
        <v/>
      </c>
      <c r="J198" s="62" t="str">
        <f aca="false">IF(N(H198)=0,"",IFERROR(INDEX(CC_RegRate,MATCH(F198,CC_RegU,0)),0))</f>
        <v/>
      </c>
      <c r="K198" s="62" t="n">
        <f aca="false">N(H198)*N(J198)</f>
        <v>0</v>
      </c>
      <c r="L198" s="62" t="n">
        <f aca="false">IF(CC_IncWaste="Yes",N(I198)*N(XWaste),0)</f>
        <v>0</v>
      </c>
      <c r="M198" s="65" t="n">
        <f aca="false">IF(N(G198)=0,0,IF(CC_AllocBasis="Equipment count",1,IF(CC_AllocBasis="Equipment volume",N(G198),N(H198))))</f>
        <v>0</v>
      </c>
      <c r="N198" s="15" t="n">
        <f aca="false">IF(SUM(CC_P_M)=0,0,M198/SUM(CC_P_M))</f>
        <v>0</v>
      </c>
      <c r="O198" s="62" t="n">
        <f aca="false">N198*CC_SharedCost</f>
        <v>0</v>
      </c>
      <c r="P198" s="63" t="n">
        <f aca="false">K198+L198+O198</f>
        <v>0</v>
      </c>
      <c r="Q198" s="62" t="n">
        <f aca="false">K198*(1+INDEX(MkMatrix,3,3))</f>
        <v>0</v>
      </c>
      <c r="R198" s="62" t="n">
        <f aca="false">L198*(1+INDEX(MkMatrix,3,3))</f>
        <v>0</v>
      </c>
      <c r="S198" s="62" t="n">
        <f aca="false">N198*CC_SharedSell</f>
        <v>0</v>
      </c>
      <c r="T198" s="62" t="n">
        <f aca="false">P198*N(QCont)</f>
        <v>0</v>
      </c>
      <c r="U198" s="62" t="n">
        <f aca="false">Q198+R198+S198+T198</f>
        <v>0</v>
      </c>
      <c r="V198" s="62" t="n">
        <f aca="false">-U198*N(QDisc)</f>
        <v>-0</v>
      </c>
      <c r="W198" s="63" t="n">
        <f aca="false">U198+V198</f>
        <v>0</v>
      </c>
      <c r="X198" s="63" t="n">
        <f aca="false">W198/QRate</f>
        <v>0</v>
      </c>
      <c r="Y198" s="0" t="n">
        <v>6</v>
      </c>
    </row>
    <row r="199" customFormat="false" ht="15" hidden="false" customHeight="false" outlineLevel="0" collapsed="false">
      <c r="A199" s="68" t="n">
        <f aca="false">'CC Volume'!A199</f>
        <v>25</v>
      </c>
      <c r="B199" s="13" t="str">
        <f aca="false">IF('CC Volume'!B199="","",'CC Volume'!B199)</f>
        <v/>
      </c>
      <c r="C199" s="13" t="str">
        <f aca="false">IF('CC Volume'!C199="","",'CC Volume'!C199)</f>
        <v/>
      </c>
      <c r="D199" s="13" t="str">
        <f aca="false">IF('CC Volume'!D199="","",'CC Volume'!D199)</f>
        <v/>
      </c>
      <c r="E199" s="68" t="str">
        <f aca="false">IF('CC Volume'!E199="","",'CC Volume'!E199)</f>
        <v/>
      </c>
      <c r="F199" s="68" t="str">
        <f aca="false">IF('CC Volume'!F199="","",'CC Volume'!F199)</f>
        <v/>
      </c>
      <c r="G199" s="69" t="str">
        <f aca="false">'CC Volume'!AN199</f>
        <v/>
      </c>
      <c r="H199" s="69" t="str">
        <f aca="false">'CC Volume'!AO199</f>
        <v/>
      </c>
      <c r="I199" s="69" t="str">
        <f aca="false">'CC Volume'!AM199</f>
        <v/>
      </c>
      <c r="J199" s="62" t="str">
        <f aca="false">IF(N(H199)=0,"",IFERROR(INDEX(CC_RegRate,MATCH(F199,CC_RegU,0)),0))</f>
        <v/>
      </c>
      <c r="K199" s="62" t="n">
        <f aca="false">N(H199)*N(J199)</f>
        <v>0</v>
      </c>
      <c r="L199" s="62" t="n">
        <f aca="false">IF(CC_IncWaste="Yes",N(I199)*N(XWaste),0)</f>
        <v>0</v>
      </c>
      <c r="M199" s="65" t="n">
        <f aca="false">IF(N(G199)=0,0,IF(CC_AllocBasis="Equipment count",1,IF(CC_AllocBasis="Equipment volume",N(G199),N(H199))))</f>
        <v>0</v>
      </c>
      <c r="N199" s="15" t="n">
        <f aca="false">IF(SUM(CC_P_M)=0,0,M199/SUM(CC_P_M))</f>
        <v>0</v>
      </c>
      <c r="O199" s="62" t="n">
        <f aca="false">N199*CC_SharedCost</f>
        <v>0</v>
      </c>
      <c r="P199" s="63" t="n">
        <f aca="false">K199+L199+O199</f>
        <v>0</v>
      </c>
      <c r="Q199" s="62" t="n">
        <f aca="false">K199*(1+INDEX(MkMatrix,3,3))</f>
        <v>0</v>
      </c>
      <c r="R199" s="62" t="n">
        <f aca="false">L199*(1+INDEX(MkMatrix,3,3))</f>
        <v>0</v>
      </c>
      <c r="S199" s="62" t="n">
        <f aca="false">N199*CC_SharedSell</f>
        <v>0</v>
      </c>
      <c r="T199" s="62" t="n">
        <f aca="false">P199*N(QCont)</f>
        <v>0</v>
      </c>
      <c r="U199" s="62" t="n">
        <f aca="false">Q199+R199+S199+T199</f>
        <v>0</v>
      </c>
      <c r="V199" s="62" t="n">
        <f aca="false">-U199*N(QDisc)</f>
        <v>-0</v>
      </c>
      <c r="W199" s="63" t="n">
        <f aca="false">U199+V199</f>
        <v>0</v>
      </c>
      <c r="X199" s="63" t="n">
        <f aca="false">W199/QRate</f>
        <v>0</v>
      </c>
      <c r="Y199" s="0" t="n">
        <v>6</v>
      </c>
    </row>
    <row r="200" customFormat="false" ht="15" hidden="false" customHeight="false" outlineLevel="0" collapsed="false">
      <c r="A200" s="68" t="n">
        <f aca="false">'CC Volume'!A200</f>
        <v>26</v>
      </c>
      <c r="B200" s="13" t="str">
        <f aca="false">IF('CC Volume'!B200="","",'CC Volume'!B200)</f>
        <v/>
      </c>
      <c r="C200" s="13" t="str">
        <f aca="false">IF('CC Volume'!C200="","",'CC Volume'!C200)</f>
        <v/>
      </c>
      <c r="D200" s="13" t="str">
        <f aca="false">IF('CC Volume'!D200="","",'CC Volume'!D200)</f>
        <v/>
      </c>
      <c r="E200" s="68" t="str">
        <f aca="false">IF('CC Volume'!E200="","",'CC Volume'!E200)</f>
        <v/>
      </c>
      <c r="F200" s="68" t="str">
        <f aca="false">IF('CC Volume'!F200="","",'CC Volume'!F200)</f>
        <v/>
      </c>
      <c r="G200" s="69" t="str">
        <f aca="false">'CC Volume'!AN200</f>
        <v/>
      </c>
      <c r="H200" s="69" t="str">
        <f aca="false">'CC Volume'!AO200</f>
        <v/>
      </c>
      <c r="I200" s="69" t="str">
        <f aca="false">'CC Volume'!AM200</f>
        <v/>
      </c>
      <c r="J200" s="62" t="str">
        <f aca="false">IF(N(H200)=0,"",IFERROR(INDEX(CC_RegRate,MATCH(F200,CC_RegU,0)),0))</f>
        <v/>
      </c>
      <c r="K200" s="62" t="n">
        <f aca="false">N(H200)*N(J200)</f>
        <v>0</v>
      </c>
      <c r="L200" s="62" t="n">
        <f aca="false">IF(CC_IncWaste="Yes",N(I200)*N(XWaste),0)</f>
        <v>0</v>
      </c>
      <c r="M200" s="65" t="n">
        <f aca="false">IF(N(G200)=0,0,IF(CC_AllocBasis="Equipment count",1,IF(CC_AllocBasis="Equipment volume",N(G200),N(H200))))</f>
        <v>0</v>
      </c>
      <c r="N200" s="15" t="n">
        <f aca="false">IF(SUM(CC_P_M)=0,0,M200/SUM(CC_P_M))</f>
        <v>0</v>
      </c>
      <c r="O200" s="62" t="n">
        <f aca="false">N200*CC_SharedCost</f>
        <v>0</v>
      </c>
      <c r="P200" s="63" t="n">
        <f aca="false">K200+L200+O200</f>
        <v>0</v>
      </c>
      <c r="Q200" s="62" t="n">
        <f aca="false">K200*(1+INDEX(MkMatrix,3,3))</f>
        <v>0</v>
      </c>
      <c r="R200" s="62" t="n">
        <f aca="false">L200*(1+INDEX(MkMatrix,3,3))</f>
        <v>0</v>
      </c>
      <c r="S200" s="62" t="n">
        <f aca="false">N200*CC_SharedSell</f>
        <v>0</v>
      </c>
      <c r="T200" s="62" t="n">
        <f aca="false">P200*N(QCont)</f>
        <v>0</v>
      </c>
      <c r="U200" s="62" t="n">
        <f aca="false">Q200+R200+S200+T200</f>
        <v>0</v>
      </c>
      <c r="V200" s="62" t="n">
        <f aca="false">-U200*N(QDisc)</f>
        <v>-0</v>
      </c>
      <c r="W200" s="63" t="n">
        <f aca="false">U200+V200</f>
        <v>0</v>
      </c>
      <c r="X200" s="63" t="n">
        <f aca="false">W200/QRate</f>
        <v>0</v>
      </c>
      <c r="Y200" s="0" t="n">
        <v>6</v>
      </c>
    </row>
    <row r="201" customFormat="false" ht="15" hidden="false" customHeight="false" outlineLevel="0" collapsed="false">
      <c r="A201" s="68" t="n">
        <f aca="false">'CC Volume'!A201</f>
        <v>27</v>
      </c>
      <c r="B201" s="13" t="str">
        <f aca="false">IF('CC Volume'!B201="","",'CC Volume'!B201)</f>
        <v/>
      </c>
      <c r="C201" s="13" t="str">
        <f aca="false">IF('CC Volume'!C201="","",'CC Volume'!C201)</f>
        <v/>
      </c>
      <c r="D201" s="13" t="str">
        <f aca="false">IF('CC Volume'!D201="","",'CC Volume'!D201)</f>
        <v/>
      </c>
      <c r="E201" s="68" t="str">
        <f aca="false">IF('CC Volume'!E201="","",'CC Volume'!E201)</f>
        <v/>
      </c>
      <c r="F201" s="68" t="str">
        <f aca="false">IF('CC Volume'!F201="","",'CC Volume'!F201)</f>
        <v/>
      </c>
      <c r="G201" s="69" t="str">
        <f aca="false">'CC Volume'!AN201</f>
        <v/>
      </c>
      <c r="H201" s="69" t="str">
        <f aca="false">'CC Volume'!AO201</f>
        <v/>
      </c>
      <c r="I201" s="69" t="str">
        <f aca="false">'CC Volume'!AM201</f>
        <v/>
      </c>
      <c r="J201" s="62" t="str">
        <f aca="false">IF(N(H201)=0,"",IFERROR(INDEX(CC_RegRate,MATCH(F201,CC_RegU,0)),0))</f>
        <v/>
      </c>
      <c r="K201" s="62" t="n">
        <f aca="false">N(H201)*N(J201)</f>
        <v>0</v>
      </c>
      <c r="L201" s="62" t="n">
        <f aca="false">IF(CC_IncWaste="Yes",N(I201)*N(XWaste),0)</f>
        <v>0</v>
      </c>
      <c r="M201" s="65" t="n">
        <f aca="false">IF(N(G201)=0,0,IF(CC_AllocBasis="Equipment count",1,IF(CC_AllocBasis="Equipment volume",N(G201),N(H201))))</f>
        <v>0</v>
      </c>
      <c r="N201" s="15" t="n">
        <f aca="false">IF(SUM(CC_P_M)=0,0,M201/SUM(CC_P_M))</f>
        <v>0</v>
      </c>
      <c r="O201" s="62" t="n">
        <f aca="false">N201*CC_SharedCost</f>
        <v>0</v>
      </c>
      <c r="P201" s="63" t="n">
        <f aca="false">K201+L201+O201</f>
        <v>0</v>
      </c>
      <c r="Q201" s="62" t="n">
        <f aca="false">K201*(1+INDEX(MkMatrix,3,3))</f>
        <v>0</v>
      </c>
      <c r="R201" s="62" t="n">
        <f aca="false">L201*(1+INDEX(MkMatrix,3,3))</f>
        <v>0</v>
      </c>
      <c r="S201" s="62" t="n">
        <f aca="false">N201*CC_SharedSell</f>
        <v>0</v>
      </c>
      <c r="T201" s="62" t="n">
        <f aca="false">P201*N(QCont)</f>
        <v>0</v>
      </c>
      <c r="U201" s="62" t="n">
        <f aca="false">Q201+R201+S201+T201</f>
        <v>0</v>
      </c>
      <c r="V201" s="62" t="n">
        <f aca="false">-U201*N(QDisc)</f>
        <v>-0</v>
      </c>
      <c r="W201" s="63" t="n">
        <f aca="false">U201+V201</f>
        <v>0</v>
      </c>
      <c r="X201" s="63" t="n">
        <f aca="false">W201/QRate</f>
        <v>0</v>
      </c>
      <c r="Y201" s="0" t="n">
        <v>6</v>
      </c>
    </row>
    <row r="202" customFormat="false" ht="15" hidden="false" customHeight="false" outlineLevel="0" collapsed="false">
      <c r="A202" s="68" t="n">
        <f aca="false">'CC Volume'!A202</f>
        <v>28</v>
      </c>
      <c r="B202" s="13" t="str">
        <f aca="false">IF('CC Volume'!B202="","",'CC Volume'!B202)</f>
        <v/>
      </c>
      <c r="C202" s="13" t="str">
        <f aca="false">IF('CC Volume'!C202="","",'CC Volume'!C202)</f>
        <v/>
      </c>
      <c r="D202" s="13" t="str">
        <f aca="false">IF('CC Volume'!D202="","",'CC Volume'!D202)</f>
        <v/>
      </c>
      <c r="E202" s="68" t="str">
        <f aca="false">IF('CC Volume'!E202="","",'CC Volume'!E202)</f>
        <v/>
      </c>
      <c r="F202" s="68" t="str">
        <f aca="false">IF('CC Volume'!F202="","",'CC Volume'!F202)</f>
        <v/>
      </c>
      <c r="G202" s="69" t="str">
        <f aca="false">'CC Volume'!AN202</f>
        <v/>
      </c>
      <c r="H202" s="69" t="str">
        <f aca="false">'CC Volume'!AO202</f>
        <v/>
      </c>
      <c r="I202" s="69" t="str">
        <f aca="false">'CC Volume'!AM202</f>
        <v/>
      </c>
      <c r="J202" s="62" t="str">
        <f aca="false">IF(N(H202)=0,"",IFERROR(INDEX(CC_RegRate,MATCH(F202,CC_RegU,0)),0))</f>
        <v/>
      </c>
      <c r="K202" s="62" t="n">
        <f aca="false">N(H202)*N(J202)</f>
        <v>0</v>
      </c>
      <c r="L202" s="62" t="n">
        <f aca="false">IF(CC_IncWaste="Yes",N(I202)*N(XWaste),0)</f>
        <v>0</v>
      </c>
      <c r="M202" s="65" t="n">
        <f aca="false">IF(N(G202)=0,0,IF(CC_AllocBasis="Equipment count",1,IF(CC_AllocBasis="Equipment volume",N(G202),N(H202))))</f>
        <v>0</v>
      </c>
      <c r="N202" s="15" t="n">
        <f aca="false">IF(SUM(CC_P_M)=0,0,M202/SUM(CC_P_M))</f>
        <v>0</v>
      </c>
      <c r="O202" s="62" t="n">
        <f aca="false">N202*CC_SharedCost</f>
        <v>0</v>
      </c>
      <c r="P202" s="63" t="n">
        <f aca="false">K202+L202+O202</f>
        <v>0</v>
      </c>
      <c r="Q202" s="62" t="n">
        <f aca="false">K202*(1+INDEX(MkMatrix,3,3))</f>
        <v>0</v>
      </c>
      <c r="R202" s="62" t="n">
        <f aca="false">L202*(1+INDEX(MkMatrix,3,3))</f>
        <v>0</v>
      </c>
      <c r="S202" s="62" t="n">
        <f aca="false">N202*CC_SharedSell</f>
        <v>0</v>
      </c>
      <c r="T202" s="62" t="n">
        <f aca="false">P202*N(QCont)</f>
        <v>0</v>
      </c>
      <c r="U202" s="62" t="n">
        <f aca="false">Q202+R202+S202+T202</f>
        <v>0</v>
      </c>
      <c r="V202" s="62" t="n">
        <f aca="false">-U202*N(QDisc)</f>
        <v>-0</v>
      </c>
      <c r="W202" s="63" t="n">
        <f aca="false">U202+V202</f>
        <v>0</v>
      </c>
      <c r="X202" s="63" t="n">
        <f aca="false">W202/QRate</f>
        <v>0</v>
      </c>
      <c r="Y202" s="0" t="n">
        <v>6</v>
      </c>
    </row>
    <row r="203" customFormat="false" ht="15" hidden="false" customHeight="false" outlineLevel="0" collapsed="false">
      <c r="A203" s="68" t="n">
        <f aca="false">'CC Volume'!A203</f>
        <v>29</v>
      </c>
      <c r="B203" s="13" t="str">
        <f aca="false">IF('CC Volume'!B203="","",'CC Volume'!B203)</f>
        <v/>
      </c>
      <c r="C203" s="13" t="str">
        <f aca="false">IF('CC Volume'!C203="","",'CC Volume'!C203)</f>
        <v/>
      </c>
      <c r="D203" s="13" t="str">
        <f aca="false">IF('CC Volume'!D203="","",'CC Volume'!D203)</f>
        <v/>
      </c>
      <c r="E203" s="68" t="str">
        <f aca="false">IF('CC Volume'!E203="","",'CC Volume'!E203)</f>
        <v/>
      </c>
      <c r="F203" s="68" t="str">
        <f aca="false">IF('CC Volume'!F203="","",'CC Volume'!F203)</f>
        <v/>
      </c>
      <c r="G203" s="69" t="str">
        <f aca="false">'CC Volume'!AN203</f>
        <v/>
      </c>
      <c r="H203" s="69" t="str">
        <f aca="false">'CC Volume'!AO203</f>
        <v/>
      </c>
      <c r="I203" s="69" t="str">
        <f aca="false">'CC Volume'!AM203</f>
        <v/>
      </c>
      <c r="J203" s="62" t="str">
        <f aca="false">IF(N(H203)=0,"",IFERROR(INDEX(CC_RegRate,MATCH(F203,CC_RegU,0)),0))</f>
        <v/>
      </c>
      <c r="K203" s="62" t="n">
        <f aca="false">N(H203)*N(J203)</f>
        <v>0</v>
      </c>
      <c r="L203" s="62" t="n">
        <f aca="false">IF(CC_IncWaste="Yes",N(I203)*N(XWaste),0)</f>
        <v>0</v>
      </c>
      <c r="M203" s="65" t="n">
        <f aca="false">IF(N(G203)=0,0,IF(CC_AllocBasis="Equipment count",1,IF(CC_AllocBasis="Equipment volume",N(G203),N(H203))))</f>
        <v>0</v>
      </c>
      <c r="N203" s="15" t="n">
        <f aca="false">IF(SUM(CC_P_M)=0,0,M203/SUM(CC_P_M))</f>
        <v>0</v>
      </c>
      <c r="O203" s="62" t="n">
        <f aca="false">N203*CC_SharedCost</f>
        <v>0</v>
      </c>
      <c r="P203" s="63" t="n">
        <f aca="false">K203+L203+O203</f>
        <v>0</v>
      </c>
      <c r="Q203" s="62" t="n">
        <f aca="false">K203*(1+INDEX(MkMatrix,3,3))</f>
        <v>0</v>
      </c>
      <c r="R203" s="62" t="n">
        <f aca="false">L203*(1+INDEX(MkMatrix,3,3))</f>
        <v>0</v>
      </c>
      <c r="S203" s="62" t="n">
        <f aca="false">N203*CC_SharedSell</f>
        <v>0</v>
      </c>
      <c r="T203" s="62" t="n">
        <f aca="false">P203*N(QCont)</f>
        <v>0</v>
      </c>
      <c r="U203" s="62" t="n">
        <f aca="false">Q203+R203+S203+T203</f>
        <v>0</v>
      </c>
      <c r="V203" s="62" t="n">
        <f aca="false">-U203*N(QDisc)</f>
        <v>-0</v>
      </c>
      <c r="W203" s="63" t="n">
        <f aca="false">U203+V203</f>
        <v>0</v>
      </c>
      <c r="X203" s="63" t="n">
        <f aca="false">W203/QRate</f>
        <v>0</v>
      </c>
      <c r="Y203" s="0" t="n">
        <v>6</v>
      </c>
    </row>
    <row r="204" customFormat="false" ht="15" hidden="false" customHeight="false" outlineLevel="0" collapsed="false">
      <c r="A204" s="68" t="n">
        <f aca="false">'CC Volume'!A204</f>
        <v>30</v>
      </c>
      <c r="B204" s="13" t="str">
        <f aca="false">IF('CC Volume'!B204="","",'CC Volume'!B204)</f>
        <v/>
      </c>
      <c r="C204" s="13" t="str">
        <f aca="false">IF('CC Volume'!C204="","",'CC Volume'!C204)</f>
        <v/>
      </c>
      <c r="D204" s="13" t="str">
        <f aca="false">IF('CC Volume'!D204="","",'CC Volume'!D204)</f>
        <v/>
      </c>
      <c r="E204" s="68" t="str">
        <f aca="false">IF('CC Volume'!E204="","",'CC Volume'!E204)</f>
        <v/>
      </c>
      <c r="F204" s="68" t="str">
        <f aca="false">IF('CC Volume'!F204="","",'CC Volume'!F204)</f>
        <v/>
      </c>
      <c r="G204" s="69" t="str">
        <f aca="false">'CC Volume'!AN204</f>
        <v/>
      </c>
      <c r="H204" s="69" t="str">
        <f aca="false">'CC Volume'!AO204</f>
        <v/>
      </c>
      <c r="I204" s="69" t="str">
        <f aca="false">'CC Volume'!AM204</f>
        <v/>
      </c>
      <c r="J204" s="62" t="str">
        <f aca="false">IF(N(H204)=0,"",IFERROR(INDEX(CC_RegRate,MATCH(F204,CC_RegU,0)),0))</f>
        <v/>
      </c>
      <c r="K204" s="62" t="n">
        <f aca="false">N(H204)*N(J204)</f>
        <v>0</v>
      </c>
      <c r="L204" s="62" t="n">
        <f aca="false">IF(CC_IncWaste="Yes",N(I204)*N(XWaste),0)</f>
        <v>0</v>
      </c>
      <c r="M204" s="65" t="n">
        <f aca="false">IF(N(G204)=0,0,IF(CC_AllocBasis="Equipment count",1,IF(CC_AllocBasis="Equipment volume",N(G204),N(H204))))</f>
        <v>0</v>
      </c>
      <c r="N204" s="15" t="n">
        <f aca="false">IF(SUM(CC_P_M)=0,0,M204/SUM(CC_P_M))</f>
        <v>0</v>
      </c>
      <c r="O204" s="62" t="n">
        <f aca="false">N204*CC_SharedCost</f>
        <v>0</v>
      </c>
      <c r="P204" s="63" t="n">
        <f aca="false">K204+L204+O204</f>
        <v>0</v>
      </c>
      <c r="Q204" s="62" t="n">
        <f aca="false">K204*(1+INDEX(MkMatrix,3,3))</f>
        <v>0</v>
      </c>
      <c r="R204" s="62" t="n">
        <f aca="false">L204*(1+INDEX(MkMatrix,3,3))</f>
        <v>0</v>
      </c>
      <c r="S204" s="62" t="n">
        <f aca="false">N204*CC_SharedSell</f>
        <v>0</v>
      </c>
      <c r="T204" s="62" t="n">
        <f aca="false">P204*N(QCont)</f>
        <v>0</v>
      </c>
      <c r="U204" s="62" t="n">
        <f aca="false">Q204+R204+S204+T204</f>
        <v>0</v>
      </c>
      <c r="V204" s="62" t="n">
        <f aca="false">-U204*N(QDisc)</f>
        <v>-0</v>
      </c>
      <c r="W204" s="63" t="n">
        <f aca="false">U204+V204</f>
        <v>0</v>
      </c>
      <c r="X204" s="63" t="n">
        <f aca="false">W204/QRate</f>
        <v>0</v>
      </c>
      <c r="Y204" s="0" t="n">
        <v>6</v>
      </c>
    </row>
    <row r="205" customFormat="false" ht="15" hidden="false" customHeight="false" outlineLevel="0" collapsed="false">
      <c r="A205" s="44" t="str">
        <f aca="false">"TOTAL – "&amp;INDEX(CC_UnitNames,6)</f>
        <v>TOTAL – Unit 6</v>
      </c>
      <c r="B205" s="44"/>
      <c r="C205" s="44"/>
      <c r="D205" s="44"/>
      <c r="E205" s="44"/>
      <c r="F205" s="44"/>
      <c r="G205" s="47" t="n">
        <f aca="false">SUM(G175:G204)</f>
        <v>0</v>
      </c>
      <c r="H205" s="47" t="n">
        <f aca="false">SUM(H175:H204)</f>
        <v>0</v>
      </c>
      <c r="I205" s="47" t="n">
        <f aca="false">SUM(I175:I204)</f>
        <v>0</v>
      </c>
      <c r="J205" s="45"/>
      <c r="K205" s="70" t="n">
        <f aca="false">SUM(K175:K204)</f>
        <v>0</v>
      </c>
      <c r="L205" s="70" t="n">
        <f aca="false">SUM(L175:L204)</f>
        <v>0</v>
      </c>
      <c r="M205" s="45"/>
      <c r="N205" s="45"/>
      <c r="O205" s="70" t="n">
        <f aca="false">SUM(O175:O204)</f>
        <v>0</v>
      </c>
      <c r="P205" s="70" t="n">
        <f aca="false">SUM(P175:P204)</f>
        <v>0</v>
      </c>
      <c r="Q205" s="70" t="n">
        <f aca="false">SUM(Q175:Q204)</f>
        <v>0</v>
      </c>
      <c r="R205" s="70" t="n">
        <f aca="false">SUM(R175:R204)</f>
        <v>0</v>
      </c>
      <c r="S205" s="70" t="n">
        <f aca="false">SUM(S175:S204)</f>
        <v>0</v>
      </c>
      <c r="T205" s="70" t="n">
        <f aca="false">SUM(T175:T204)</f>
        <v>0</v>
      </c>
      <c r="U205" s="70" t="n">
        <f aca="false">SUM(U175:U204)</f>
        <v>0</v>
      </c>
      <c r="V205" s="70" t="n">
        <f aca="false">SUM(V175:V204)</f>
        <v>0</v>
      </c>
      <c r="W205" s="70" t="n">
        <f aca="false">SUM(W175:W204)</f>
        <v>0</v>
      </c>
      <c r="X205" s="70" t="n">
        <f aca="false">SUM(X175:X204)</f>
        <v>0</v>
      </c>
    </row>
    <row r="207" customFormat="false" ht="15" hidden="false" customHeight="false" outlineLevel="0" collapsed="false">
      <c r="A207" s="38" t="str">
        <f aca="false">"UNIT 7:  "&amp;INDEX(CC_UnitNames,7)</f>
        <v>UNIT 7:  Unit 7</v>
      </c>
      <c r="B207" s="38"/>
      <c r="C207" s="38"/>
      <c r="D207" s="38"/>
      <c r="E207" s="39"/>
      <c r="F207" s="39"/>
      <c r="G207" s="39"/>
      <c r="H207" s="39"/>
      <c r="I207" s="39"/>
      <c r="J207" s="39"/>
      <c r="K207" s="39"/>
      <c r="L207" s="39"/>
      <c r="M207" s="39"/>
      <c r="N207" s="39"/>
      <c r="O207" s="39"/>
      <c r="P207" s="39"/>
      <c r="Q207" s="39"/>
      <c r="R207" s="39"/>
      <c r="S207" s="39"/>
      <c r="T207" s="39"/>
      <c r="U207" s="39"/>
      <c r="V207" s="39"/>
      <c r="W207" s="39"/>
      <c r="X207" s="39"/>
    </row>
    <row r="208" customFormat="false" ht="15" hidden="false" customHeight="false" outlineLevel="0" collapsed="false">
      <c r="A208" s="68" t="n">
        <f aca="false">'CC Volume'!A208</f>
        <v>1</v>
      </c>
      <c r="B208" s="13" t="str">
        <f aca="false">IF('CC Volume'!B208="","",'CC Volume'!B208)</f>
        <v/>
      </c>
      <c r="C208" s="13" t="str">
        <f aca="false">IF('CC Volume'!C208="","",'CC Volume'!C208)</f>
        <v/>
      </c>
      <c r="D208" s="13" t="str">
        <f aca="false">IF('CC Volume'!D208="","",'CC Volume'!D208)</f>
        <v/>
      </c>
      <c r="E208" s="68" t="str">
        <f aca="false">IF('CC Volume'!E208="","",'CC Volume'!E208)</f>
        <v/>
      </c>
      <c r="F208" s="68" t="str">
        <f aca="false">IF('CC Volume'!F208="","",'CC Volume'!F208)</f>
        <v/>
      </c>
      <c r="G208" s="69" t="str">
        <f aca="false">'CC Volume'!AN208</f>
        <v/>
      </c>
      <c r="H208" s="69" t="str">
        <f aca="false">'CC Volume'!AO208</f>
        <v/>
      </c>
      <c r="I208" s="69" t="str">
        <f aca="false">'CC Volume'!AM208</f>
        <v/>
      </c>
      <c r="J208" s="62" t="str">
        <f aca="false">IF(N(H208)=0,"",IFERROR(INDEX(CC_RegRate,MATCH(F208,CC_RegU,0)),0))</f>
        <v/>
      </c>
      <c r="K208" s="62" t="n">
        <f aca="false">N(H208)*N(J208)</f>
        <v>0</v>
      </c>
      <c r="L208" s="62" t="n">
        <f aca="false">IF(CC_IncWaste="Yes",N(I208)*N(XWaste),0)</f>
        <v>0</v>
      </c>
      <c r="M208" s="65" t="n">
        <f aca="false">IF(N(G208)=0,0,IF(CC_AllocBasis="Equipment count",1,IF(CC_AllocBasis="Equipment volume",N(G208),N(H208))))</f>
        <v>0</v>
      </c>
      <c r="N208" s="15" t="n">
        <f aca="false">IF(SUM(CC_P_M)=0,0,M208/SUM(CC_P_M))</f>
        <v>0</v>
      </c>
      <c r="O208" s="62" t="n">
        <f aca="false">N208*CC_SharedCost</f>
        <v>0</v>
      </c>
      <c r="P208" s="63" t="n">
        <f aca="false">K208+L208+O208</f>
        <v>0</v>
      </c>
      <c r="Q208" s="62" t="n">
        <f aca="false">K208*(1+INDEX(MkMatrix,3,3))</f>
        <v>0</v>
      </c>
      <c r="R208" s="62" t="n">
        <f aca="false">L208*(1+INDEX(MkMatrix,3,3))</f>
        <v>0</v>
      </c>
      <c r="S208" s="62" t="n">
        <f aca="false">N208*CC_SharedSell</f>
        <v>0</v>
      </c>
      <c r="T208" s="62" t="n">
        <f aca="false">P208*N(QCont)</f>
        <v>0</v>
      </c>
      <c r="U208" s="62" t="n">
        <f aca="false">Q208+R208+S208+T208</f>
        <v>0</v>
      </c>
      <c r="V208" s="62" t="n">
        <f aca="false">-U208*N(QDisc)</f>
        <v>-0</v>
      </c>
      <c r="W208" s="63" t="n">
        <f aca="false">U208+V208</f>
        <v>0</v>
      </c>
      <c r="X208" s="63" t="n">
        <f aca="false">W208/QRate</f>
        <v>0</v>
      </c>
      <c r="Y208" s="0" t="n">
        <v>7</v>
      </c>
    </row>
    <row r="209" customFormat="false" ht="15" hidden="false" customHeight="false" outlineLevel="0" collapsed="false">
      <c r="A209" s="68" t="n">
        <f aca="false">'CC Volume'!A209</f>
        <v>2</v>
      </c>
      <c r="B209" s="13" t="str">
        <f aca="false">IF('CC Volume'!B209="","",'CC Volume'!B209)</f>
        <v/>
      </c>
      <c r="C209" s="13" t="str">
        <f aca="false">IF('CC Volume'!C209="","",'CC Volume'!C209)</f>
        <v/>
      </c>
      <c r="D209" s="13" t="str">
        <f aca="false">IF('CC Volume'!D209="","",'CC Volume'!D209)</f>
        <v/>
      </c>
      <c r="E209" s="68" t="str">
        <f aca="false">IF('CC Volume'!E209="","",'CC Volume'!E209)</f>
        <v/>
      </c>
      <c r="F209" s="68" t="str">
        <f aca="false">IF('CC Volume'!F209="","",'CC Volume'!F209)</f>
        <v/>
      </c>
      <c r="G209" s="69" t="str">
        <f aca="false">'CC Volume'!AN209</f>
        <v/>
      </c>
      <c r="H209" s="69" t="str">
        <f aca="false">'CC Volume'!AO209</f>
        <v/>
      </c>
      <c r="I209" s="69" t="str">
        <f aca="false">'CC Volume'!AM209</f>
        <v/>
      </c>
      <c r="J209" s="62" t="str">
        <f aca="false">IF(N(H209)=0,"",IFERROR(INDEX(CC_RegRate,MATCH(F209,CC_RegU,0)),0))</f>
        <v/>
      </c>
      <c r="K209" s="62" t="n">
        <f aca="false">N(H209)*N(J209)</f>
        <v>0</v>
      </c>
      <c r="L209" s="62" t="n">
        <f aca="false">IF(CC_IncWaste="Yes",N(I209)*N(XWaste),0)</f>
        <v>0</v>
      </c>
      <c r="M209" s="65" t="n">
        <f aca="false">IF(N(G209)=0,0,IF(CC_AllocBasis="Equipment count",1,IF(CC_AllocBasis="Equipment volume",N(G209),N(H209))))</f>
        <v>0</v>
      </c>
      <c r="N209" s="15" t="n">
        <f aca="false">IF(SUM(CC_P_M)=0,0,M209/SUM(CC_P_M))</f>
        <v>0</v>
      </c>
      <c r="O209" s="62" t="n">
        <f aca="false">N209*CC_SharedCost</f>
        <v>0</v>
      </c>
      <c r="P209" s="63" t="n">
        <f aca="false">K209+L209+O209</f>
        <v>0</v>
      </c>
      <c r="Q209" s="62" t="n">
        <f aca="false">K209*(1+INDEX(MkMatrix,3,3))</f>
        <v>0</v>
      </c>
      <c r="R209" s="62" t="n">
        <f aca="false">L209*(1+INDEX(MkMatrix,3,3))</f>
        <v>0</v>
      </c>
      <c r="S209" s="62" t="n">
        <f aca="false">N209*CC_SharedSell</f>
        <v>0</v>
      </c>
      <c r="T209" s="62" t="n">
        <f aca="false">P209*N(QCont)</f>
        <v>0</v>
      </c>
      <c r="U209" s="62" t="n">
        <f aca="false">Q209+R209+S209+T209</f>
        <v>0</v>
      </c>
      <c r="V209" s="62" t="n">
        <f aca="false">-U209*N(QDisc)</f>
        <v>-0</v>
      </c>
      <c r="W209" s="63" t="n">
        <f aca="false">U209+V209</f>
        <v>0</v>
      </c>
      <c r="X209" s="63" t="n">
        <f aca="false">W209/QRate</f>
        <v>0</v>
      </c>
      <c r="Y209" s="0" t="n">
        <v>7</v>
      </c>
    </row>
    <row r="210" customFormat="false" ht="15" hidden="false" customHeight="false" outlineLevel="0" collapsed="false">
      <c r="A210" s="68" t="n">
        <f aca="false">'CC Volume'!A210</f>
        <v>3</v>
      </c>
      <c r="B210" s="13" t="str">
        <f aca="false">IF('CC Volume'!B210="","",'CC Volume'!B210)</f>
        <v/>
      </c>
      <c r="C210" s="13" t="str">
        <f aca="false">IF('CC Volume'!C210="","",'CC Volume'!C210)</f>
        <v/>
      </c>
      <c r="D210" s="13" t="str">
        <f aca="false">IF('CC Volume'!D210="","",'CC Volume'!D210)</f>
        <v/>
      </c>
      <c r="E210" s="68" t="str">
        <f aca="false">IF('CC Volume'!E210="","",'CC Volume'!E210)</f>
        <v/>
      </c>
      <c r="F210" s="68" t="str">
        <f aca="false">IF('CC Volume'!F210="","",'CC Volume'!F210)</f>
        <v/>
      </c>
      <c r="G210" s="69" t="str">
        <f aca="false">'CC Volume'!AN210</f>
        <v/>
      </c>
      <c r="H210" s="69" t="str">
        <f aca="false">'CC Volume'!AO210</f>
        <v/>
      </c>
      <c r="I210" s="69" t="str">
        <f aca="false">'CC Volume'!AM210</f>
        <v/>
      </c>
      <c r="J210" s="62" t="str">
        <f aca="false">IF(N(H210)=0,"",IFERROR(INDEX(CC_RegRate,MATCH(F210,CC_RegU,0)),0))</f>
        <v/>
      </c>
      <c r="K210" s="62" t="n">
        <f aca="false">N(H210)*N(J210)</f>
        <v>0</v>
      </c>
      <c r="L210" s="62" t="n">
        <f aca="false">IF(CC_IncWaste="Yes",N(I210)*N(XWaste),0)</f>
        <v>0</v>
      </c>
      <c r="M210" s="65" t="n">
        <f aca="false">IF(N(G210)=0,0,IF(CC_AllocBasis="Equipment count",1,IF(CC_AllocBasis="Equipment volume",N(G210),N(H210))))</f>
        <v>0</v>
      </c>
      <c r="N210" s="15" t="n">
        <f aca="false">IF(SUM(CC_P_M)=0,0,M210/SUM(CC_P_M))</f>
        <v>0</v>
      </c>
      <c r="O210" s="62" t="n">
        <f aca="false">N210*CC_SharedCost</f>
        <v>0</v>
      </c>
      <c r="P210" s="63" t="n">
        <f aca="false">K210+L210+O210</f>
        <v>0</v>
      </c>
      <c r="Q210" s="62" t="n">
        <f aca="false">K210*(1+INDEX(MkMatrix,3,3))</f>
        <v>0</v>
      </c>
      <c r="R210" s="62" t="n">
        <f aca="false">L210*(1+INDEX(MkMatrix,3,3))</f>
        <v>0</v>
      </c>
      <c r="S210" s="62" t="n">
        <f aca="false">N210*CC_SharedSell</f>
        <v>0</v>
      </c>
      <c r="T210" s="62" t="n">
        <f aca="false">P210*N(QCont)</f>
        <v>0</v>
      </c>
      <c r="U210" s="62" t="n">
        <f aca="false">Q210+R210+S210+T210</f>
        <v>0</v>
      </c>
      <c r="V210" s="62" t="n">
        <f aca="false">-U210*N(QDisc)</f>
        <v>-0</v>
      </c>
      <c r="W210" s="63" t="n">
        <f aca="false">U210+V210</f>
        <v>0</v>
      </c>
      <c r="X210" s="63" t="n">
        <f aca="false">W210/QRate</f>
        <v>0</v>
      </c>
      <c r="Y210" s="0" t="n">
        <v>7</v>
      </c>
    </row>
    <row r="211" customFormat="false" ht="15" hidden="false" customHeight="false" outlineLevel="0" collapsed="false">
      <c r="A211" s="68" t="n">
        <f aca="false">'CC Volume'!A211</f>
        <v>4</v>
      </c>
      <c r="B211" s="13" t="str">
        <f aca="false">IF('CC Volume'!B211="","",'CC Volume'!B211)</f>
        <v/>
      </c>
      <c r="C211" s="13" t="str">
        <f aca="false">IF('CC Volume'!C211="","",'CC Volume'!C211)</f>
        <v/>
      </c>
      <c r="D211" s="13" t="str">
        <f aca="false">IF('CC Volume'!D211="","",'CC Volume'!D211)</f>
        <v/>
      </c>
      <c r="E211" s="68" t="str">
        <f aca="false">IF('CC Volume'!E211="","",'CC Volume'!E211)</f>
        <v/>
      </c>
      <c r="F211" s="68" t="str">
        <f aca="false">IF('CC Volume'!F211="","",'CC Volume'!F211)</f>
        <v/>
      </c>
      <c r="G211" s="69" t="str">
        <f aca="false">'CC Volume'!AN211</f>
        <v/>
      </c>
      <c r="H211" s="69" t="str">
        <f aca="false">'CC Volume'!AO211</f>
        <v/>
      </c>
      <c r="I211" s="69" t="str">
        <f aca="false">'CC Volume'!AM211</f>
        <v/>
      </c>
      <c r="J211" s="62" t="str">
        <f aca="false">IF(N(H211)=0,"",IFERROR(INDEX(CC_RegRate,MATCH(F211,CC_RegU,0)),0))</f>
        <v/>
      </c>
      <c r="K211" s="62" t="n">
        <f aca="false">N(H211)*N(J211)</f>
        <v>0</v>
      </c>
      <c r="L211" s="62" t="n">
        <f aca="false">IF(CC_IncWaste="Yes",N(I211)*N(XWaste),0)</f>
        <v>0</v>
      </c>
      <c r="M211" s="65" t="n">
        <f aca="false">IF(N(G211)=0,0,IF(CC_AllocBasis="Equipment count",1,IF(CC_AllocBasis="Equipment volume",N(G211),N(H211))))</f>
        <v>0</v>
      </c>
      <c r="N211" s="15" t="n">
        <f aca="false">IF(SUM(CC_P_M)=0,0,M211/SUM(CC_P_M))</f>
        <v>0</v>
      </c>
      <c r="O211" s="62" t="n">
        <f aca="false">N211*CC_SharedCost</f>
        <v>0</v>
      </c>
      <c r="P211" s="63" t="n">
        <f aca="false">K211+L211+O211</f>
        <v>0</v>
      </c>
      <c r="Q211" s="62" t="n">
        <f aca="false">K211*(1+INDEX(MkMatrix,3,3))</f>
        <v>0</v>
      </c>
      <c r="R211" s="62" t="n">
        <f aca="false">L211*(1+INDEX(MkMatrix,3,3))</f>
        <v>0</v>
      </c>
      <c r="S211" s="62" t="n">
        <f aca="false">N211*CC_SharedSell</f>
        <v>0</v>
      </c>
      <c r="T211" s="62" t="n">
        <f aca="false">P211*N(QCont)</f>
        <v>0</v>
      </c>
      <c r="U211" s="62" t="n">
        <f aca="false">Q211+R211+S211+T211</f>
        <v>0</v>
      </c>
      <c r="V211" s="62" t="n">
        <f aca="false">-U211*N(QDisc)</f>
        <v>-0</v>
      </c>
      <c r="W211" s="63" t="n">
        <f aca="false">U211+V211</f>
        <v>0</v>
      </c>
      <c r="X211" s="63" t="n">
        <f aca="false">W211/QRate</f>
        <v>0</v>
      </c>
      <c r="Y211" s="0" t="n">
        <v>7</v>
      </c>
    </row>
    <row r="212" customFormat="false" ht="15" hidden="false" customHeight="false" outlineLevel="0" collapsed="false">
      <c r="A212" s="68" t="n">
        <f aca="false">'CC Volume'!A212</f>
        <v>5</v>
      </c>
      <c r="B212" s="13" t="str">
        <f aca="false">IF('CC Volume'!B212="","",'CC Volume'!B212)</f>
        <v/>
      </c>
      <c r="C212" s="13" t="str">
        <f aca="false">IF('CC Volume'!C212="","",'CC Volume'!C212)</f>
        <v/>
      </c>
      <c r="D212" s="13" t="str">
        <f aca="false">IF('CC Volume'!D212="","",'CC Volume'!D212)</f>
        <v/>
      </c>
      <c r="E212" s="68" t="str">
        <f aca="false">IF('CC Volume'!E212="","",'CC Volume'!E212)</f>
        <v/>
      </c>
      <c r="F212" s="68" t="str">
        <f aca="false">IF('CC Volume'!F212="","",'CC Volume'!F212)</f>
        <v/>
      </c>
      <c r="G212" s="69" t="str">
        <f aca="false">'CC Volume'!AN212</f>
        <v/>
      </c>
      <c r="H212" s="69" t="str">
        <f aca="false">'CC Volume'!AO212</f>
        <v/>
      </c>
      <c r="I212" s="69" t="str">
        <f aca="false">'CC Volume'!AM212</f>
        <v/>
      </c>
      <c r="J212" s="62" t="str">
        <f aca="false">IF(N(H212)=0,"",IFERROR(INDEX(CC_RegRate,MATCH(F212,CC_RegU,0)),0))</f>
        <v/>
      </c>
      <c r="K212" s="62" t="n">
        <f aca="false">N(H212)*N(J212)</f>
        <v>0</v>
      </c>
      <c r="L212" s="62" t="n">
        <f aca="false">IF(CC_IncWaste="Yes",N(I212)*N(XWaste),0)</f>
        <v>0</v>
      </c>
      <c r="M212" s="65" t="n">
        <f aca="false">IF(N(G212)=0,0,IF(CC_AllocBasis="Equipment count",1,IF(CC_AllocBasis="Equipment volume",N(G212),N(H212))))</f>
        <v>0</v>
      </c>
      <c r="N212" s="15" t="n">
        <f aca="false">IF(SUM(CC_P_M)=0,0,M212/SUM(CC_P_M))</f>
        <v>0</v>
      </c>
      <c r="O212" s="62" t="n">
        <f aca="false">N212*CC_SharedCost</f>
        <v>0</v>
      </c>
      <c r="P212" s="63" t="n">
        <f aca="false">K212+L212+O212</f>
        <v>0</v>
      </c>
      <c r="Q212" s="62" t="n">
        <f aca="false">K212*(1+INDEX(MkMatrix,3,3))</f>
        <v>0</v>
      </c>
      <c r="R212" s="62" t="n">
        <f aca="false">L212*(1+INDEX(MkMatrix,3,3))</f>
        <v>0</v>
      </c>
      <c r="S212" s="62" t="n">
        <f aca="false">N212*CC_SharedSell</f>
        <v>0</v>
      </c>
      <c r="T212" s="62" t="n">
        <f aca="false">P212*N(QCont)</f>
        <v>0</v>
      </c>
      <c r="U212" s="62" t="n">
        <f aca="false">Q212+R212+S212+T212</f>
        <v>0</v>
      </c>
      <c r="V212" s="62" t="n">
        <f aca="false">-U212*N(QDisc)</f>
        <v>-0</v>
      </c>
      <c r="W212" s="63" t="n">
        <f aca="false">U212+V212</f>
        <v>0</v>
      </c>
      <c r="X212" s="63" t="n">
        <f aca="false">W212/QRate</f>
        <v>0</v>
      </c>
      <c r="Y212" s="0" t="n">
        <v>7</v>
      </c>
    </row>
    <row r="213" customFormat="false" ht="15" hidden="false" customHeight="false" outlineLevel="0" collapsed="false">
      <c r="A213" s="68" t="n">
        <f aca="false">'CC Volume'!A213</f>
        <v>6</v>
      </c>
      <c r="B213" s="13" t="str">
        <f aca="false">IF('CC Volume'!B213="","",'CC Volume'!B213)</f>
        <v/>
      </c>
      <c r="C213" s="13" t="str">
        <f aca="false">IF('CC Volume'!C213="","",'CC Volume'!C213)</f>
        <v/>
      </c>
      <c r="D213" s="13" t="str">
        <f aca="false">IF('CC Volume'!D213="","",'CC Volume'!D213)</f>
        <v/>
      </c>
      <c r="E213" s="68" t="str">
        <f aca="false">IF('CC Volume'!E213="","",'CC Volume'!E213)</f>
        <v/>
      </c>
      <c r="F213" s="68" t="str">
        <f aca="false">IF('CC Volume'!F213="","",'CC Volume'!F213)</f>
        <v/>
      </c>
      <c r="G213" s="69" t="str">
        <f aca="false">'CC Volume'!AN213</f>
        <v/>
      </c>
      <c r="H213" s="69" t="str">
        <f aca="false">'CC Volume'!AO213</f>
        <v/>
      </c>
      <c r="I213" s="69" t="str">
        <f aca="false">'CC Volume'!AM213</f>
        <v/>
      </c>
      <c r="J213" s="62" t="str">
        <f aca="false">IF(N(H213)=0,"",IFERROR(INDEX(CC_RegRate,MATCH(F213,CC_RegU,0)),0))</f>
        <v/>
      </c>
      <c r="K213" s="62" t="n">
        <f aca="false">N(H213)*N(J213)</f>
        <v>0</v>
      </c>
      <c r="L213" s="62" t="n">
        <f aca="false">IF(CC_IncWaste="Yes",N(I213)*N(XWaste),0)</f>
        <v>0</v>
      </c>
      <c r="M213" s="65" t="n">
        <f aca="false">IF(N(G213)=0,0,IF(CC_AllocBasis="Equipment count",1,IF(CC_AllocBasis="Equipment volume",N(G213),N(H213))))</f>
        <v>0</v>
      </c>
      <c r="N213" s="15" t="n">
        <f aca="false">IF(SUM(CC_P_M)=0,0,M213/SUM(CC_P_M))</f>
        <v>0</v>
      </c>
      <c r="O213" s="62" t="n">
        <f aca="false">N213*CC_SharedCost</f>
        <v>0</v>
      </c>
      <c r="P213" s="63" t="n">
        <f aca="false">K213+L213+O213</f>
        <v>0</v>
      </c>
      <c r="Q213" s="62" t="n">
        <f aca="false">K213*(1+INDEX(MkMatrix,3,3))</f>
        <v>0</v>
      </c>
      <c r="R213" s="62" t="n">
        <f aca="false">L213*(1+INDEX(MkMatrix,3,3))</f>
        <v>0</v>
      </c>
      <c r="S213" s="62" t="n">
        <f aca="false">N213*CC_SharedSell</f>
        <v>0</v>
      </c>
      <c r="T213" s="62" t="n">
        <f aca="false">P213*N(QCont)</f>
        <v>0</v>
      </c>
      <c r="U213" s="62" t="n">
        <f aca="false">Q213+R213+S213+T213</f>
        <v>0</v>
      </c>
      <c r="V213" s="62" t="n">
        <f aca="false">-U213*N(QDisc)</f>
        <v>-0</v>
      </c>
      <c r="W213" s="63" t="n">
        <f aca="false">U213+V213</f>
        <v>0</v>
      </c>
      <c r="X213" s="63" t="n">
        <f aca="false">W213/QRate</f>
        <v>0</v>
      </c>
      <c r="Y213" s="0" t="n">
        <v>7</v>
      </c>
    </row>
    <row r="214" customFormat="false" ht="15" hidden="false" customHeight="false" outlineLevel="0" collapsed="false">
      <c r="A214" s="68" t="n">
        <f aca="false">'CC Volume'!A214</f>
        <v>7</v>
      </c>
      <c r="B214" s="13" t="str">
        <f aca="false">IF('CC Volume'!B214="","",'CC Volume'!B214)</f>
        <v/>
      </c>
      <c r="C214" s="13" t="str">
        <f aca="false">IF('CC Volume'!C214="","",'CC Volume'!C214)</f>
        <v/>
      </c>
      <c r="D214" s="13" t="str">
        <f aca="false">IF('CC Volume'!D214="","",'CC Volume'!D214)</f>
        <v/>
      </c>
      <c r="E214" s="68" t="str">
        <f aca="false">IF('CC Volume'!E214="","",'CC Volume'!E214)</f>
        <v/>
      </c>
      <c r="F214" s="68" t="str">
        <f aca="false">IF('CC Volume'!F214="","",'CC Volume'!F214)</f>
        <v/>
      </c>
      <c r="G214" s="69" t="str">
        <f aca="false">'CC Volume'!AN214</f>
        <v/>
      </c>
      <c r="H214" s="69" t="str">
        <f aca="false">'CC Volume'!AO214</f>
        <v/>
      </c>
      <c r="I214" s="69" t="str">
        <f aca="false">'CC Volume'!AM214</f>
        <v/>
      </c>
      <c r="J214" s="62" t="str">
        <f aca="false">IF(N(H214)=0,"",IFERROR(INDEX(CC_RegRate,MATCH(F214,CC_RegU,0)),0))</f>
        <v/>
      </c>
      <c r="K214" s="62" t="n">
        <f aca="false">N(H214)*N(J214)</f>
        <v>0</v>
      </c>
      <c r="L214" s="62" t="n">
        <f aca="false">IF(CC_IncWaste="Yes",N(I214)*N(XWaste),0)</f>
        <v>0</v>
      </c>
      <c r="M214" s="65" t="n">
        <f aca="false">IF(N(G214)=0,0,IF(CC_AllocBasis="Equipment count",1,IF(CC_AllocBasis="Equipment volume",N(G214),N(H214))))</f>
        <v>0</v>
      </c>
      <c r="N214" s="15" t="n">
        <f aca="false">IF(SUM(CC_P_M)=0,0,M214/SUM(CC_P_M))</f>
        <v>0</v>
      </c>
      <c r="O214" s="62" t="n">
        <f aca="false">N214*CC_SharedCost</f>
        <v>0</v>
      </c>
      <c r="P214" s="63" t="n">
        <f aca="false">K214+L214+O214</f>
        <v>0</v>
      </c>
      <c r="Q214" s="62" t="n">
        <f aca="false">K214*(1+INDEX(MkMatrix,3,3))</f>
        <v>0</v>
      </c>
      <c r="R214" s="62" t="n">
        <f aca="false">L214*(1+INDEX(MkMatrix,3,3))</f>
        <v>0</v>
      </c>
      <c r="S214" s="62" t="n">
        <f aca="false">N214*CC_SharedSell</f>
        <v>0</v>
      </c>
      <c r="T214" s="62" t="n">
        <f aca="false">P214*N(QCont)</f>
        <v>0</v>
      </c>
      <c r="U214" s="62" t="n">
        <f aca="false">Q214+R214+S214+T214</f>
        <v>0</v>
      </c>
      <c r="V214" s="62" t="n">
        <f aca="false">-U214*N(QDisc)</f>
        <v>-0</v>
      </c>
      <c r="W214" s="63" t="n">
        <f aca="false">U214+V214</f>
        <v>0</v>
      </c>
      <c r="X214" s="63" t="n">
        <f aca="false">W214/QRate</f>
        <v>0</v>
      </c>
      <c r="Y214" s="0" t="n">
        <v>7</v>
      </c>
    </row>
    <row r="215" customFormat="false" ht="15" hidden="false" customHeight="false" outlineLevel="0" collapsed="false">
      <c r="A215" s="68" t="n">
        <f aca="false">'CC Volume'!A215</f>
        <v>8</v>
      </c>
      <c r="B215" s="13" t="str">
        <f aca="false">IF('CC Volume'!B215="","",'CC Volume'!B215)</f>
        <v/>
      </c>
      <c r="C215" s="13" t="str">
        <f aca="false">IF('CC Volume'!C215="","",'CC Volume'!C215)</f>
        <v/>
      </c>
      <c r="D215" s="13" t="str">
        <f aca="false">IF('CC Volume'!D215="","",'CC Volume'!D215)</f>
        <v/>
      </c>
      <c r="E215" s="68" t="str">
        <f aca="false">IF('CC Volume'!E215="","",'CC Volume'!E215)</f>
        <v/>
      </c>
      <c r="F215" s="68" t="str">
        <f aca="false">IF('CC Volume'!F215="","",'CC Volume'!F215)</f>
        <v/>
      </c>
      <c r="G215" s="69" t="str">
        <f aca="false">'CC Volume'!AN215</f>
        <v/>
      </c>
      <c r="H215" s="69" t="str">
        <f aca="false">'CC Volume'!AO215</f>
        <v/>
      </c>
      <c r="I215" s="69" t="str">
        <f aca="false">'CC Volume'!AM215</f>
        <v/>
      </c>
      <c r="J215" s="62" t="str">
        <f aca="false">IF(N(H215)=0,"",IFERROR(INDEX(CC_RegRate,MATCH(F215,CC_RegU,0)),0))</f>
        <v/>
      </c>
      <c r="K215" s="62" t="n">
        <f aca="false">N(H215)*N(J215)</f>
        <v>0</v>
      </c>
      <c r="L215" s="62" t="n">
        <f aca="false">IF(CC_IncWaste="Yes",N(I215)*N(XWaste),0)</f>
        <v>0</v>
      </c>
      <c r="M215" s="65" t="n">
        <f aca="false">IF(N(G215)=0,0,IF(CC_AllocBasis="Equipment count",1,IF(CC_AllocBasis="Equipment volume",N(G215),N(H215))))</f>
        <v>0</v>
      </c>
      <c r="N215" s="15" t="n">
        <f aca="false">IF(SUM(CC_P_M)=0,0,M215/SUM(CC_P_M))</f>
        <v>0</v>
      </c>
      <c r="O215" s="62" t="n">
        <f aca="false">N215*CC_SharedCost</f>
        <v>0</v>
      </c>
      <c r="P215" s="63" t="n">
        <f aca="false">K215+L215+O215</f>
        <v>0</v>
      </c>
      <c r="Q215" s="62" t="n">
        <f aca="false">K215*(1+INDEX(MkMatrix,3,3))</f>
        <v>0</v>
      </c>
      <c r="R215" s="62" t="n">
        <f aca="false">L215*(1+INDEX(MkMatrix,3,3))</f>
        <v>0</v>
      </c>
      <c r="S215" s="62" t="n">
        <f aca="false">N215*CC_SharedSell</f>
        <v>0</v>
      </c>
      <c r="T215" s="62" t="n">
        <f aca="false">P215*N(QCont)</f>
        <v>0</v>
      </c>
      <c r="U215" s="62" t="n">
        <f aca="false">Q215+R215+S215+T215</f>
        <v>0</v>
      </c>
      <c r="V215" s="62" t="n">
        <f aca="false">-U215*N(QDisc)</f>
        <v>-0</v>
      </c>
      <c r="W215" s="63" t="n">
        <f aca="false">U215+V215</f>
        <v>0</v>
      </c>
      <c r="X215" s="63" t="n">
        <f aca="false">W215/QRate</f>
        <v>0</v>
      </c>
      <c r="Y215" s="0" t="n">
        <v>7</v>
      </c>
    </row>
    <row r="216" customFormat="false" ht="15" hidden="false" customHeight="false" outlineLevel="0" collapsed="false">
      <c r="A216" s="68" t="n">
        <f aca="false">'CC Volume'!A216</f>
        <v>9</v>
      </c>
      <c r="B216" s="13" t="str">
        <f aca="false">IF('CC Volume'!B216="","",'CC Volume'!B216)</f>
        <v/>
      </c>
      <c r="C216" s="13" t="str">
        <f aca="false">IF('CC Volume'!C216="","",'CC Volume'!C216)</f>
        <v/>
      </c>
      <c r="D216" s="13" t="str">
        <f aca="false">IF('CC Volume'!D216="","",'CC Volume'!D216)</f>
        <v/>
      </c>
      <c r="E216" s="68" t="str">
        <f aca="false">IF('CC Volume'!E216="","",'CC Volume'!E216)</f>
        <v/>
      </c>
      <c r="F216" s="68" t="str">
        <f aca="false">IF('CC Volume'!F216="","",'CC Volume'!F216)</f>
        <v/>
      </c>
      <c r="G216" s="69" t="str">
        <f aca="false">'CC Volume'!AN216</f>
        <v/>
      </c>
      <c r="H216" s="69" t="str">
        <f aca="false">'CC Volume'!AO216</f>
        <v/>
      </c>
      <c r="I216" s="69" t="str">
        <f aca="false">'CC Volume'!AM216</f>
        <v/>
      </c>
      <c r="J216" s="62" t="str">
        <f aca="false">IF(N(H216)=0,"",IFERROR(INDEX(CC_RegRate,MATCH(F216,CC_RegU,0)),0))</f>
        <v/>
      </c>
      <c r="K216" s="62" t="n">
        <f aca="false">N(H216)*N(J216)</f>
        <v>0</v>
      </c>
      <c r="L216" s="62" t="n">
        <f aca="false">IF(CC_IncWaste="Yes",N(I216)*N(XWaste),0)</f>
        <v>0</v>
      </c>
      <c r="M216" s="65" t="n">
        <f aca="false">IF(N(G216)=0,0,IF(CC_AllocBasis="Equipment count",1,IF(CC_AllocBasis="Equipment volume",N(G216),N(H216))))</f>
        <v>0</v>
      </c>
      <c r="N216" s="15" t="n">
        <f aca="false">IF(SUM(CC_P_M)=0,0,M216/SUM(CC_P_M))</f>
        <v>0</v>
      </c>
      <c r="O216" s="62" t="n">
        <f aca="false">N216*CC_SharedCost</f>
        <v>0</v>
      </c>
      <c r="P216" s="63" t="n">
        <f aca="false">K216+L216+O216</f>
        <v>0</v>
      </c>
      <c r="Q216" s="62" t="n">
        <f aca="false">K216*(1+INDEX(MkMatrix,3,3))</f>
        <v>0</v>
      </c>
      <c r="R216" s="62" t="n">
        <f aca="false">L216*(1+INDEX(MkMatrix,3,3))</f>
        <v>0</v>
      </c>
      <c r="S216" s="62" t="n">
        <f aca="false">N216*CC_SharedSell</f>
        <v>0</v>
      </c>
      <c r="T216" s="62" t="n">
        <f aca="false">P216*N(QCont)</f>
        <v>0</v>
      </c>
      <c r="U216" s="62" t="n">
        <f aca="false">Q216+R216+S216+T216</f>
        <v>0</v>
      </c>
      <c r="V216" s="62" t="n">
        <f aca="false">-U216*N(QDisc)</f>
        <v>-0</v>
      </c>
      <c r="W216" s="63" t="n">
        <f aca="false">U216+V216</f>
        <v>0</v>
      </c>
      <c r="X216" s="63" t="n">
        <f aca="false">W216/QRate</f>
        <v>0</v>
      </c>
      <c r="Y216" s="0" t="n">
        <v>7</v>
      </c>
    </row>
    <row r="217" customFormat="false" ht="15" hidden="false" customHeight="false" outlineLevel="0" collapsed="false">
      <c r="A217" s="68" t="n">
        <f aca="false">'CC Volume'!A217</f>
        <v>10</v>
      </c>
      <c r="B217" s="13" t="str">
        <f aca="false">IF('CC Volume'!B217="","",'CC Volume'!B217)</f>
        <v/>
      </c>
      <c r="C217" s="13" t="str">
        <f aca="false">IF('CC Volume'!C217="","",'CC Volume'!C217)</f>
        <v/>
      </c>
      <c r="D217" s="13" t="str">
        <f aca="false">IF('CC Volume'!D217="","",'CC Volume'!D217)</f>
        <v/>
      </c>
      <c r="E217" s="68" t="str">
        <f aca="false">IF('CC Volume'!E217="","",'CC Volume'!E217)</f>
        <v/>
      </c>
      <c r="F217" s="68" t="str">
        <f aca="false">IF('CC Volume'!F217="","",'CC Volume'!F217)</f>
        <v/>
      </c>
      <c r="G217" s="69" t="str">
        <f aca="false">'CC Volume'!AN217</f>
        <v/>
      </c>
      <c r="H217" s="69" t="str">
        <f aca="false">'CC Volume'!AO217</f>
        <v/>
      </c>
      <c r="I217" s="69" t="str">
        <f aca="false">'CC Volume'!AM217</f>
        <v/>
      </c>
      <c r="J217" s="62" t="str">
        <f aca="false">IF(N(H217)=0,"",IFERROR(INDEX(CC_RegRate,MATCH(F217,CC_RegU,0)),0))</f>
        <v/>
      </c>
      <c r="K217" s="62" t="n">
        <f aca="false">N(H217)*N(J217)</f>
        <v>0</v>
      </c>
      <c r="L217" s="62" t="n">
        <f aca="false">IF(CC_IncWaste="Yes",N(I217)*N(XWaste),0)</f>
        <v>0</v>
      </c>
      <c r="M217" s="65" t="n">
        <f aca="false">IF(N(G217)=0,0,IF(CC_AllocBasis="Equipment count",1,IF(CC_AllocBasis="Equipment volume",N(G217),N(H217))))</f>
        <v>0</v>
      </c>
      <c r="N217" s="15" t="n">
        <f aca="false">IF(SUM(CC_P_M)=0,0,M217/SUM(CC_P_M))</f>
        <v>0</v>
      </c>
      <c r="O217" s="62" t="n">
        <f aca="false">N217*CC_SharedCost</f>
        <v>0</v>
      </c>
      <c r="P217" s="63" t="n">
        <f aca="false">K217+L217+O217</f>
        <v>0</v>
      </c>
      <c r="Q217" s="62" t="n">
        <f aca="false">K217*(1+INDEX(MkMatrix,3,3))</f>
        <v>0</v>
      </c>
      <c r="R217" s="62" t="n">
        <f aca="false">L217*(1+INDEX(MkMatrix,3,3))</f>
        <v>0</v>
      </c>
      <c r="S217" s="62" t="n">
        <f aca="false">N217*CC_SharedSell</f>
        <v>0</v>
      </c>
      <c r="T217" s="62" t="n">
        <f aca="false">P217*N(QCont)</f>
        <v>0</v>
      </c>
      <c r="U217" s="62" t="n">
        <f aca="false">Q217+R217+S217+T217</f>
        <v>0</v>
      </c>
      <c r="V217" s="62" t="n">
        <f aca="false">-U217*N(QDisc)</f>
        <v>-0</v>
      </c>
      <c r="W217" s="63" t="n">
        <f aca="false">U217+V217</f>
        <v>0</v>
      </c>
      <c r="X217" s="63" t="n">
        <f aca="false">W217/QRate</f>
        <v>0</v>
      </c>
      <c r="Y217" s="0" t="n">
        <v>7</v>
      </c>
    </row>
    <row r="218" customFormat="false" ht="15" hidden="false" customHeight="false" outlineLevel="0" collapsed="false">
      <c r="A218" s="68" t="n">
        <f aca="false">'CC Volume'!A218</f>
        <v>11</v>
      </c>
      <c r="B218" s="13" t="str">
        <f aca="false">IF('CC Volume'!B218="","",'CC Volume'!B218)</f>
        <v/>
      </c>
      <c r="C218" s="13" t="str">
        <f aca="false">IF('CC Volume'!C218="","",'CC Volume'!C218)</f>
        <v/>
      </c>
      <c r="D218" s="13" t="str">
        <f aca="false">IF('CC Volume'!D218="","",'CC Volume'!D218)</f>
        <v/>
      </c>
      <c r="E218" s="68" t="str">
        <f aca="false">IF('CC Volume'!E218="","",'CC Volume'!E218)</f>
        <v/>
      </c>
      <c r="F218" s="68" t="str">
        <f aca="false">IF('CC Volume'!F218="","",'CC Volume'!F218)</f>
        <v/>
      </c>
      <c r="G218" s="69" t="str">
        <f aca="false">'CC Volume'!AN218</f>
        <v/>
      </c>
      <c r="H218" s="69" t="str">
        <f aca="false">'CC Volume'!AO218</f>
        <v/>
      </c>
      <c r="I218" s="69" t="str">
        <f aca="false">'CC Volume'!AM218</f>
        <v/>
      </c>
      <c r="J218" s="62" t="str">
        <f aca="false">IF(N(H218)=0,"",IFERROR(INDEX(CC_RegRate,MATCH(F218,CC_RegU,0)),0))</f>
        <v/>
      </c>
      <c r="K218" s="62" t="n">
        <f aca="false">N(H218)*N(J218)</f>
        <v>0</v>
      </c>
      <c r="L218" s="62" t="n">
        <f aca="false">IF(CC_IncWaste="Yes",N(I218)*N(XWaste),0)</f>
        <v>0</v>
      </c>
      <c r="M218" s="65" t="n">
        <f aca="false">IF(N(G218)=0,0,IF(CC_AllocBasis="Equipment count",1,IF(CC_AllocBasis="Equipment volume",N(G218),N(H218))))</f>
        <v>0</v>
      </c>
      <c r="N218" s="15" t="n">
        <f aca="false">IF(SUM(CC_P_M)=0,0,M218/SUM(CC_P_M))</f>
        <v>0</v>
      </c>
      <c r="O218" s="62" t="n">
        <f aca="false">N218*CC_SharedCost</f>
        <v>0</v>
      </c>
      <c r="P218" s="63" t="n">
        <f aca="false">K218+L218+O218</f>
        <v>0</v>
      </c>
      <c r="Q218" s="62" t="n">
        <f aca="false">K218*(1+INDEX(MkMatrix,3,3))</f>
        <v>0</v>
      </c>
      <c r="R218" s="62" t="n">
        <f aca="false">L218*(1+INDEX(MkMatrix,3,3))</f>
        <v>0</v>
      </c>
      <c r="S218" s="62" t="n">
        <f aca="false">N218*CC_SharedSell</f>
        <v>0</v>
      </c>
      <c r="T218" s="62" t="n">
        <f aca="false">P218*N(QCont)</f>
        <v>0</v>
      </c>
      <c r="U218" s="62" t="n">
        <f aca="false">Q218+R218+S218+T218</f>
        <v>0</v>
      </c>
      <c r="V218" s="62" t="n">
        <f aca="false">-U218*N(QDisc)</f>
        <v>-0</v>
      </c>
      <c r="W218" s="63" t="n">
        <f aca="false">U218+V218</f>
        <v>0</v>
      </c>
      <c r="X218" s="63" t="n">
        <f aca="false">W218/QRate</f>
        <v>0</v>
      </c>
      <c r="Y218" s="0" t="n">
        <v>7</v>
      </c>
    </row>
    <row r="219" customFormat="false" ht="15" hidden="false" customHeight="false" outlineLevel="0" collapsed="false">
      <c r="A219" s="68" t="n">
        <f aca="false">'CC Volume'!A219</f>
        <v>12</v>
      </c>
      <c r="B219" s="13" t="str">
        <f aca="false">IF('CC Volume'!B219="","",'CC Volume'!B219)</f>
        <v/>
      </c>
      <c r="C219" s="13" t="str">
        <f aca="false">IF('CC Volume'!C219="","",'CC Volume'!C219)</f>
        <v/>
      </c>
      <c r="D219" s="13" t="str">
        <f aca="false">IF('CC Volume'!D219="","",'CC Volume'!D219)</f>
        <v/>
      </c>
      <c r="E219" s="68" t="str">
        <f aca="false">IF('CC Volume'!E219="","",'CC Volume'!E219)</f>
        <v/>
      </c>
      <c r="F219" s="68" t="str">
        <f aca="false">IF('CC Volume'!F219="","",'CC Volume'!F219)</f>
        <v/>
      </c>
      <c r="G219" s="69" t="str">
        <f aca="false">'CC Volume'!AN219</f>
        <v/>
      </c>
      <c r="H219" s="69" t="str">
        <f aca="false">'CC Volume'!AO219</f>
        <v/>
      </c>
      <c r="I219" s="69" t="str">
        <f aca="false">'CC Volume'!AM219</f>
        <v/>
      </c>
      <c r="J219" s="62" t="str">
        <f aca="false">IF(N(H219)=0,"",IFERROR(INDEX(CC_RegRate,MATCH(F219,CC_RegU,0)),0))</f>
        <v/>
      </c>
      <c r="K219" s="62" t="n">
        <f aca="false">N(H219)*N(J219)</f>
        <v>0</v>
      </c>
      <c r="L219" s="62" t="n">
        <f aca="false">IF(CC_IncWaste="Yes",N(I219)*N(XWaste),0)</f>
        <v>0</v>
      </c>
      <c r="M219" s="65" t="n">
        <f aca="false">IF(N(G219)=0,0,IF(CC_AllocBasis="Equipment count",1,IF(CC_AllocBasis="Equipment volume",N(G219),N(H219))))</f>
        <v>0</v>
      </c>
      <c r="N219" s="15" t="n">
        <f aca="false">IF(SUM(CC_P_M)=0,0,M219/SUM(CC_P_M))</f>
        <v>0</v>
      </c>
      <c r="O219" s="62" t="n">
        <f aca="false">N219*CC_SharedCost</f>
        <v>0</v>
      </c>
      <c r="P219" s="63" t="n">
        <f aca="false">K219+L219+O219</f>
        <v>0</v>
      </c>
      <c r="Q219" s="62" t="n">
        <f aca="false">K219*(1+INDEX(MkMatrix,3,3))</f>
        <v>0</v>
      </c>
      <c r="R219" s="62" t="n">
        <f aca="false">L219*(1+INDEX(MkMatrix,3,3))</f>
        <v>0</v>
      </c>
      <c r="S219" s="62" t="n">
        <f aca="false">N219*CC_SharedSell</f>
        <v>0</v>
      </c>
      <c r="T219" s="62" t="n">
        <f aca="false">P219*N(QCont)</f>
        <v>0</v>
      </c>
      <c r="U219" s="62" t="n">
        <f aca="false">Q219+R219+S219+T219</f>
        <v>0</v>
      </c>
      <c r="V219" s="62" t="n">
        <f aca="false">-U219*N(QDisc)</f>
        <v>-0</v>
      </c>
      <c r="W219" s="63" t="n">
        <f aca="false">U219+V219</f>
        <v>0</v>
      </c>
      <c r="X219" s="63" t="n">
        <f aca="false">W219/QRate</f>
        <v>0</v>
      </c>
      <c r="Y219" s="0" t="n">
        <v>7</v>
      </c>
    </row>
    <row r="220" customFormat="false" ht="15" hidden="false" customHeight="false" outlineLevel="0" collapsed="false">
      <c r="A220" s="68" t="n">
        <f aca="false">'CC Volume'!A220</f>
        <v>13</v>
      </c>
      <c r="B220" s="13" t="str">
        <f aca="false">IF('CC Volume'!B220="","",'CC Volume'!B220)</f>
        <v/>
      </c>
      <c r="C220" s="13" t="str">
        <f aca="false">IF('CC Volume'!C220="","",'CC Volume'!C220)</f>
        <v/>
      </c>
      <c r="D220" s="13" t="str">
        <f aca="false">IF('CC Volume'!D220="","",'CC Volume'!D220)</f>
        <v/>
      </c>
      <c r="E220" s="68" t="str">
        <f aca="false">IF('CC Volume'!E220="","",'CC Volume'!E220)</f>
        <v/>
      </c>
      <c r="F220" s="68" t="str">
        <f aca="false">IF('CC Volume'!F220="","",'CC Volume'!F220)</f>
        <v/>
      </c>
      <c r="G220" s="69" t="str">
        <f aca="false">'CC Volume'!AN220</f>
        <v/>
      </c>
      <c r="H220" s="69" t="str">
        <f aca="false">'CC Volume'!AO220</f>
        <v/>
      </c>
      <c r="I220" s="69" t="str">
        <f aca="false">'CC Volume'!AM220</f>
        <v/>
      </c>
      <c r="J220" s="62" t="str">
        <f aca="false">IF(N(H220)=0,"",IFERROR(INDEX(CC_RegRate,MATCH(F220,CC_RegU,0)),0))</f>
        <v/>
      </c>
      <c r="K220" s="62" t="n">
        <f aca="false">N(H220)*N(J220)</f>
        <v>0</v>
      </c>
      <c r="L220" s="62" t="n">
        <f aca="false">IF(CC_IncWaste="Yes",N(I220)*N(XWaste),0)</f>
        <v>0</v>
      </c>
      <c r="M220" s="65" t="n">
        <f aca="false">IF(N(G220)=0,0,IF(CC_AllocBasis="Equipment count",1,IF(CC_AllocBasis="Equipment volume",N(G220),N(H220))))</f>
        <v>0</v>
      </c>
      <c r="N220" s="15" t="n">
        <f aca="false">IF(SUM(CC_P_M)=0,0,M220/SUM(CC_P_M))</f>
        <v>0</v>
      </c>
      <c r="O220" s="62" t="n">
        <f aca="false">N220*CC_SharedCost</f>
        <v>0</v>
      </c>
      <c r="P220" s="63" t="n">
        <f aca="false">K220+L220+O220</f>
        <v>0</v>
      </c>
      <c r="Q220" s="62" t="n">
        <f aca="false">K220*(1+INDEX(MkMatrix,3,3))</f>
        <v>0</v>
      </c>
      <c r="R220" s="62" t="n">
        <f aca="false">L220*(1+INDEX(MkMatrix,3,3))</f>
        <v>0</v>
      </c>
      <c r="S220" s="62" t="n">
        <f aca="false">N220*CC_SharedSell</f>
        <v>0</v>
      </c>
      <c r="T220" s="62" t="n">
        <f aca="false">P220*N(QCont)</f>
        <v>0</v>
      </c>
      <c r="U220" s="62" t="n">
        <f aca="false">Q220+R220+S220+T220</f>
        <v>0</v>
      </c>
      <c r="V220" s="62" t="n">
        <f aca="false">-U220*N(QDisc)</f>
        <v>-0</v>
      </c>
      <c r="W220" s="63" t="n">
        <f aca="false">U220+V220</f>
        <v>0</v>
      </c>
      <c r="X220" s="63" t="n">
        <f aca="false">W220/QRate</f>
        <v>0</v>
      </c>
      <c r="Y220" s="0" t="n">
        <v>7</v>
      </c>
    </row>
    <row r="221" customFormat="false" ht="15" hidden="false" customHeight="false" outlineLevel="0" collapsed="false">
      <c r="A221" s="68" t="n">
        <f aca="false">'CC Volume'!A221</f>
        <v>14</v>
      </c>
      <c r="B221" s="13" t="str">
        <f aca="false">IF('CC Volume'!B221="","",'CC Volume'!B221)</f>
        <v/>
      </c>
      <c r="C221" s="13" t="str">
        <f aca="false">IF('CC Volume'!C221="","",'CC Volume'!C221)</f>
        <v/>
      </c>
      <c r="D221" s="13" t="str">
        <f aca="false">IF('CC Volume'!D221="","",'CC Volume'!D221)</f>
        <v/>
      </c>
      <c r="E221" s="68" t="str">
        <f aca="false">IF('CC Volume'!E221="","",'CC Volume'!E221)</f>
        <v/>
      </c>
      <c r="F221" s="68" t="str">
        <f aca="false">IF('CC Volume'!F221="","",'CC Volume'!F221)</f>
        <v/>
      </c>
      <c r="G221" s="69" t="str">
        <f aca="false">'CC Volume'!AN221</f>
        <v/>
      </c>
      <c r="H221" s="69" t="str">
        <f aca="false">'CC Volume'!AO221</f>
        <v/>
      </c>
      <c r="I221" s="69" t="str">
        <f aca="false">'CC Volume'!AM221</f>
        <v/>
      </c>
      <c r="J221" s="62" t="str">
        <f aca="false">IF(N(H221)=0,"",IFERROR(INDEX(CC_RegRate,MATCH(F221,CC_RegU,0)),0))</f>
        <v/>
      </c>
      <c r="K221" s="62" t="n">
        <f aca="false">N(H221)*N(J221)</f>
        <v>0</v>
      </c>
      <c r="L221" s="62" t="n">
        <f aca="false">IF(CC_IncWaste="Yes",N(I221)*N(XWaste),0)</f>
        <v>0</v>
      </c>
      <c r="M221" s="65" t="n">
        <f aca="false">IF(N(G221)=0,0,IF(CC_AllocBasis="Equipment count",1,IF(CC_AllocBasis="Equipment volume",N(G221),N(H221))))</f>
        <v>0</v>
      </c>
      <c r="N221" s="15" t="n">
        <f aca="false">IF(SUM(CC_P_M)=0,0,M221/SUM(CC_P_M))</f>
        <v>0</v>
      </c>
      <c r="O221" s="62" t="n">
        <f aca="false">N221*CC_SharedCost</f>
        <v>0</v>
      </c>
      <c r="P221" s="63" t="n">
        <f aca="false">K221+L221+O221</f>
        <v>0</v>
      </c>
      <c r="Q221" s="62" t="n">
        <f aca="false">K221*(1+INDEX(MkMatrix,3,3))</f>
        <v>0</v>
      </c>
      <c r="R221" s="62" t="n">
        <f aca="false">L221*(1+INDEX(MkMatrix,3,3))</f>
        <v>0</v>
      </c>
      <c r="S221" s="62" t="n">
        <f aca="false">N221*CC_SharedSell</f>
        <v>0</v>
      </c>
      <c r="T221" s="62" t="n">
        <f aca="false">P221*N(QCont)</f>
        <v>0</v>
      </c>
      <c r="U221" s="62" t="n">
        <f aca="false">Q221+R221+S221+T221</f>
        <v>0</v>
      </c>
      <c r="V221" s="62" t="n">
        <f aca="false">-U221*N(QDisc)</f>
        <v>-0</v>
      </c>
      <c r="W221" s="63" t="n">
        <f aca="false">U221+V221</f>
        <v>0</v>
      </c>
      <c r="X221" s="63" t="n">
        <f aca="false">W221/QRate</f>
        <v>0</v>
      </c>
      <c r="Y221" s="0" t="n">
        <v>7</v>
      </c>
    </row>
    <row r="222" customFormat="false" ht="15" hidden="false" customHeight="false" outlineLevel="0" collapsed="false">
      <c r="A222" s="68" t="n">
        <f aca="false">'CC Volume'!A222</f>
        <v>15</v>
      </c>
      <c r="B222" s="13" t="str">
        <f aca="false">IF('CC Volume'!B222="","",'CC Volume'!B222)</f>
        <v/>
      </c>
      <c r="C222" s="13" t="str">
        <f aca="false">IF('CC Volume'!C222="","",'CC Volume'!C222)</f>
        <v/>
      </c>
      <c r="D222" s="13" t="str">
        <f aca="false">IF('CC Volume'!D222="","",'CC Volume'!D222)</f>
        <v/>
      </c>
      <c r="E222" s="68" t="str">
        <f aca="false">IF('CC Volume'!E222="","",'CC Volume'!E222)</f>
        <v/>
      </c>
      <c r="F222" s="68" t="str">
        <f aca="false">IF('CC Volume'!F222="","",'CC Volume'!F222)</f>
        <v/>
      </c>
      <c r="G222" s="69" t="str">
        <f aca="false">'CC Volume'!AN222</f>
        <v/>
      </c>
      <c r="H222" s="69" t="str">
        <f aca="false">'CC Volume'!AO222</f>
        <v/>
      </c>
      <c r="I222" s="69" t="str">
        <f aca="false">'CC Volume'!AM222</f>
        <v/>
      </c>
      <c r="J222" s="62" t="str">
        <f aca="false">IF(N(H222)=0,"",IFERROR(INDEX(CC_RegRate,MATCH(F222,CC_RegU,0)),0))</f>
        <v/>
      </c>
      <c r="K222" s="62" t="n">
        <f aca="false">N(H222)*N(J222)</f>
        <v>0</v>
      </c>
      <c r="L222" s="62" t="n">
        <f aca="false">IF(CC_IncWaste="Yes",N(I222)*N(XWaste),0)</f>
        <v>0</v>
      </c>
      <c r="M222" s="65" t="n">
        <f aca="false">IF(N(G222)=0,0,IF(CC_AllocBasis="Equipment count",1,IF(CC_AllocBasis="Equipment volume",N(G222),N(H222))))</f>
        <v>0</v>
      </c>
      <c r="N222" s="15" t="n">
        <f aca="false">IF(SUM(CC_P_M)=0,0,M222/SUM(CC_P_M))</f>
        <v>0</v>
      </c>
      <c r="O222" s="62" t="n">
        <f aca="false">N222*CC_SharedCost</f>
        <v>0</v>
      </c>
      <c r="P222" s="63" t="n">
        <f aca="false">K222+L222+O222</f>
        <v>0</v>
      </c>
      <c r="Q222" s="62" t="n">
        <f aca="false">K222*(1+INDEX(MkMatrix,3,3))</f>
        <v>0</v>
      </c>
      <c r="R222" s="62" t="n">
        <f aca="false">L222*(1+INDEX(MkMatrix,3,3))</f>
        <v>0</v>
      </c>
      <c r="S222" s="62" t="n">
        <f aca="false">N222*CC_SharedSell</f>
        <v>0</v>
      </c>
      <c r="T222" s="62" t="n">
        <f aca="false">P222*N(QCont)</f>
        <v>0</v>
      </c>
      <c r="U222" s="62" t="n">
        <f aca="false">Q222+R222+S222+T222</f>
        <v>0</v>
      </c>
      <c r="V222" s="62" t="n">
        <f aca="false">-U222*N(QDisc)</f>
        <v>-0</v>
      </c>
      <c r="W222" s="63" t="n">
        <f aca="false">U222+V222</f>
        <v>0</v>
      </c>
      <c r="X222" s="63" t="n">
        <f aca="false">W222/QRate</f>
        <v>0</v>
      </c>
      <c r="Y222" s="0" t="n">
        <v>7</v>
      </c>
    </row>
    <row r="223" customFormat="false" ht="15" hidden="false" customHeight="false" outlineLevel="0" collapsed="false">
      <c r="A223" s="68" t="n">
        <f aca="false">'CC Volume'!A223</f>
        <v>16</v>
      </c>
      <c r="B223" s="13" t="str">
        <f aca="false">IF('CC Volume'!B223="","",'CC Volume'!B223)</f>
        <v/>
      </c>
      <c r="C223" s="13" t="str">
        <f aca="false">IF('CC Volume'!C223="","",'CC Volume'!C223)</f>
        <v/>
      </c>
      <c r="D223" s="13" t="str">
        <f aca="false">IF('CC Volume'!D223="","",'CC Volume'!D223)</f>
        <v/>
      </c>
      <c r="E223" s="68" t="str">
        <f aca="false">IF('CC Volume'!E223="","",'CC Volume'!E223)</f>
        <v/>
      </c>
      <c r="F223" s="68" t="str">
        <f aca="false">IF('CC Volume'!F223="","",'CC Volume'!F223)</f>
        <v/>
      </c>
      <c r="G223" s="69" t="str">
        <f aca="false">'CC Volume'!AN223</f>
        <v/>
      </c>
      <c r="H223" s="69" t="str">
        <f aca="false">'CC Volume'!AO223</f>
        <v/>
      </c>
      <c r="I223" s="69" t="str">
        <f aca="false">'CC Volume'!AM223</f>
        <v/>
      </c>
      <c r="J223" s="62" t="str">
        <f aca="false">IF(N(H223)=0,"",IFERROR(INDEX(CC_RegRate,MATCH(F223,CC_RegU,0)),0))</f>
        <v/>
      </c>
      <c r="K223" s="62" t="n">
        <f aca="false">N(H223)*N(J223)</f>
        <v>0</v>
      </c>
      <c r="L223" s="62" t="n">
        <f aca="false">IF(CC_IncWaste="Yes",N(I223)*N(XWaste),0)</f>
        <v>0</v>
      </c>
      <c r="M223" s="65" t="n">
        <f aca="false">IF(N(G223)=0,0,IF(CC_AllocBasis="Equipment count",1,IF(CC_AllocBasis="Equipment volume",N(G223),N(H223))))</f>
        <v>0</v>
      </c>
      <c r="N223" s="15" t="n">
        <f aca="false">IF(SUM(CC_P_M)=0,0,M223/SUM(CC_P_M))</f>
        <v>0</v>
      </c>
      <c r="O223" s="62" t="n">
        <f aca="false">N223*CC_SharedCost</f>
        <v>0</v>
      </c>
      <c r="P223" s="63" t="n">
        <f aca="false">K223+L223+O223</f>
        <v>0</v>
      </c>
      <c r="Q223" s="62" t="n">
        <f aca="false">K223*(1+INDEX(MkMatrix,3,3))</f>
        <v>0</v>
      </c>
      <c r="R223" s="62" t="n">
        <f aca="false">L223*(1+INDEX(MkMatrix,3,3))</f>
        <v>0</v>
      </c>
      <c r="S223" s="62" t="n">
        <f aca="false">N223*CC_SharedSell</f>
        <v>0</v>
      </c>
      <c r="T223" s="62" t="n">
        <f aca="false">P223*N(QCont)</f>
        <v>0</v>
      </c>
      <c r="U223" s="62" t="n">
        <f aca="false">Q223+R223+S223+T223</f>
        <v>0</v>
      </c>
      <c r="V223" s="62" t="n">
        <f aca="false">-U223*N(QDisc)</f>
        <v>-0</v>
      </c>
      <c r="W223" s="63" t="n">
        <f aca="false">U223+V223</f>
        <v>0</v>
      </c>
      <c r="X223" s="63" t="n">
        <f aca="false">W223/QRate</f>
        <v>0</v>
      </c>
      <c r="Y223" s="0" t="n">
        <v>7</v>
      </c>
    </row>
    <row r="224" customFormat="false" ht="15" hidden="false" customHeight="false" outlineLevel="0" collapsed="false">
      <c r="A224" s="68" t="n">
        <f aca="false">'CC Volume'!A224</f>
        <v>17</v>
      </c>
      <c r="B224" s="13" t="str">
        <f aca="false">IF('CC Volume'!B224="","",'CC Volume'!B224)</f>
        <v/>
      </c>
      <c r="C224" s="13" t="str">
        <f aca="false">IF('CC Volume'!C224="","",'CC Volume'!C224)</f>
        <v/>
      </c>
      <c r="D224" s="13" t="str">
        <f aca="false">IF('CC Volume'!D224="","",'CC Volume'!D224)</f>
        <v/>
      </c>
      <c r="E224" s="68" t="str">
        <f aca="false">IF('CC Volume'!E224="","",'CC Volume'!E224)</f>
        <v/>
      </c>
      <c r="F224" s="68" t="str">
        <f aca="false">IF('CC Volume'!F224="","",'CC Volume'!F224)</f>
        <v/>
      </c>
      <c r="G224" s="69" t="str">
        <f aca="false">'CC Volume'!AN224</f>
        <v/>
      </c>
      <c r="H224" s="69" t="str">
        <f aca="false">'CC Volume'!AO224</f>
        <v/>
      </c>
      <c r="I224" s="69" t="str">
        <f aca="false">'CC Volume'!AM224</f>
        <v/>
      </c>
      <c r="J224" s="62" t="str">
        <f aca="false">IF(N(H224)=0,"",IFERROR(INDEX(CC_RegRate,MATCH(F224,CC_RegU,0)),0))</f>
        <v/>
      </c>
      <c r="K224" s="62" t="n">
        <f aca="false">N(H224)*N(J224)</f>
        <v>0</v>
      </c>
      <c r="L224" s="62" t="n">
        <f aca="false">IF(CC_IncWaste="Yes",N(I224)*N(XWaste),0)</f>
        <v>0</v>
      </c>
      <c r="M224" s="65" t="n">
        <f aca="false">IF(N(G224)=0,0,IF(CC_AllocBasis="Equipment count",1,IF(CC_AllocBasis="Equipment volume",N(G224),N(H224))))</f>
        <v>0</v>
      </c>
      <c r="N224" s="15" t="n">
        <f aca="false">IF(SUM(CC_P_M)=0,0,M224/SUM(CC_P_M))</f>
        <v>0</v>
      </c>
      <c r="O224" s="62" t="n">
        <f aca="false">N224*CC_SharedCost</f>
        <v>0</v>
      </c>
      <c r="P224" s="63" t="n">
        <f aca="false">K224+L224+O224</f>
        <v>0</v>
      </c>
      <c r="Q224" s="62" t="n">
        <f aca="false">K224*(1+INDEX(MkMatrix,3,3))</f>
        <v>0</v>
      </c>
      <c r="R224" s="62" t="n">
        <f aca="false">L224*(1+INDEX(MkMatrix,3,3))</f>
        <v>0</v>
      </c>
      <c r="S224" s="62" t="n">
        <f aca="false">N224*CC_SharedSell</f>
        <v>0</v>
      </c>
      <c r="T224" s="62" t="n">
        <f aca="false">P224*N(QCont)</f>
        <v>0</v>
      </c>
      <c r="U224" s="62" t="n">
        <f aca="false">Q224+R224+S224+T224</f>
        <v>0</v>
      </c>
      <c r="V224" s="62" t="n">
        <f aca="false">-U224*N(QDisc)</f>
        <v>-0</v>
      </c>
      <c r="W224" s="63" t="n">
        <f aca="false">U224+V224</f>
        <v>0</v>
      </c>
      <c r="X224" s="63" t="n">
        <f aca="false">W224/QRate</f>
        <v>0</v>
      </c>
      <c r="Y224" s="0" t="n">
        <v>7</v>
      </c>
    </row>
    <row r="225" customFormat="false" ht="15" hidden="false" customHeight="false" outlineLevel="0" collapsed="false">
      <c r="A225" s="68" t="n">
        <f aca="false">'CC Volume'!A225</f>
        <v>18</v>
      </c>
      <c r="B225" s="13" t="str">
        <f aca="false">IF('CC Volume'!B225="","",'CC Volume'!B225)</f>
        <v/>
      </c>
      <c r="C225" s="13" t="str">
        <f aca="false">IF('CC Volume'!C225="","",'CC Volume'!C225)</f>
        <v/>
      </c>
      <c r="D225" s="13" t="str">
        <f aca="false">IF('CC Volume'!D225="","",'CC Volume'!D225)</f>
        <v/>
      </c>
      <c r="E225" s="68" t="str">
        <f aca="false">IF('CC Volume'!E225="","",'CC Volume'!E225)</f>
        <v/>
      </c>
      <c r="F225" s="68" t="str">
        <f aca="false">IF('CC Volume'!F225="","",'CC Volume'!F225)</f>
        <v/>
      </c>
      <c r="G225" s="69" t="str">
        <f aca="false">'CC Volume'!AN225</f>
        <v/>
      </c>
      <c r="H225" s="69" t="str">
        <f aca="false">'CC Volume'!AO225</f>
        <v/>
      </c>
      <c r="I225" s="69" t="str">
        <f aca="false">'CC Volume'!AM225</f>
        <v/>
      </c>
      <c r="J225" s="62" t="str">
        <f aca="false">IF(N(H225)=0,"",IFERROR(INDEX(CC_RegRate,MATCH(F225,CC_RegU,0)),0))</f>
        <v/>
      </c>
      <c r="K225" s="62" t="n">
        <f aca="false">N(H225)*N(J225)</f>
        <v>0</v>
      </c>
      <c r="L225" s="62" t="n">
        <f aca="false">IF(CC_IncWaste="Yes",N(I225)*N(XWaste),0)</f>
        <v>0</v>
      </c>
      <c r="M225" s="65" t="n">
        <f aca="false">IF(N(G225)=0,0,IF(CC_AllocBasis="Equipment count",1,IF(CC_AllocBasis="Equipment volume",N(G225),N(H225))))</f>
        <v>0</v>
      </c>
      <c r="N225" s="15" t="n">
        <f aca="false">IF(SUM(CC_P_M)=0,0,M225/SUM(CC_P_M))</f>
        <v>0</v>
      </c>
      <c r="O225" s="62" t="n">
        <f aca="false">N225*CC_SharedCost</f>
        <v>0</v>
      </c>
      <c r="P225" s="63" t="n">
        <f aca="false">K225+L225+O225</f>
        <v>0</v>
      </c>
      <c r="Q225" s="62" t="n">
        <f aca="false">K225*(1+INDEX(MkMatrix,3,3))</f>
        <v>0</v>
      </c>
      <c r="R225" s="62" t="n">
        <f aca="false">L225*(1+INDEX(MkMatrix,3,3))</f>
        <v>0</v>
      </c>
      <c r="S225" s="62" t="n">
        <f aca="false">N225*CC_SharedSell</f>
        <v>0</v>
      </c>
      <c r="T225" s="62" t="n">
        <f aca="false">P225*N(QCont)</f>
        <v>0</v>
      </c>
      <c r="U225" s="62" t="n">
        <f aca="false">Q225+R225+S225+T225</f>
        <v>0</v>
      </c>
      <c r="V225" s="62" t="n">
        <f aca="false">-U225*N(QDisc)</f>
        <v>-0</v>
      </c>
      <c r="W225" s="63" t="n">
        <f aca="false">U225+V225</f>
        <v>0</v>
      </c>
      <c r="X225" s="63" t="n">
        <f aca="false">W225/QRate</f>
        <v>0</v>
      </c>
      <c r="Y225" s="0" t="n">
        <v>7</v>
      </c>
    </row>
    <row r="226" customFormat="false" ht="15" hidden="false" customHeight="false" outlineLevel="0" collapsed="false">
      <c r="A226" s="68" t="n">
        <f aca="false">'CC Volume'!A226</f>
        <v>19</v>
      </c>
      <c r="B226" s="13" t="str">
        <f aca="false">IF('CC Volume'!B226="","",'CC Volume'!B226)</f>
        <v/>
      </c>
      <c r="C226" s="13" t="str">
        <f aca="false">IF('CC Volume'!C226="","",'CC Volume'!C226)</f>
        <v/>
      </c>
      <c r="D226" s="13" t="str">
        <f aca="false">IF('CC Volume'!D226="","",'CC Volume'!D226)</f>
        <v/>
      </c>
      <c r="E226" s="68" t="str">
        <f aca="false">IF('CC Volume'!E226="","",'CC Volume'!E226)</f>
        <v/>
      </c>
      <c r="F226" s="68" t="str">
        <f aca="false">IF('CC Volume'!F226="","",'CC Volume'!F226)</f>
        <v/>
      </c>
      <c r="G226" s="69" t="str">
        <f aca="false">'CC Volume'!AN226</f>
        <v/>
      </c>
      <c r="H226" s="69" t="str">
        <f aca="false">'CC Volume'!AO226</f>
        <v/>
      </c>
      <c r="I226" s="69" t="str">
        <f aca="false">'CC Volume'!AM226</f>
        <v/>
      </c>
      <c r="J226" s="62" t="str">
        <f aca="false">IF(N(H226)=0,"",IFERROR(INDEX(CC_RegRate,MATCH(F226,CC_RegU,0)),0))</f>
        <v/>
      </c>
      <c r="K226" s="62" t="n">
        <f aca="false">N(H226)*N(J226)</f>
        <v>0</v>
      </c>
      <c r="L226" s="62" t="n">
        <f aca="false">IF(CC_IncWaste="Yes",N(I226)*N(XWaste),0)</f>
        <v>0</v>
      </c>
      <c r="M226" s="65" t="n">
        <f aca="false">IF(N(G226)=0,0,IF(CC_AllocBasis="Equipment count",1,IF(CC_AllocBasis="Equipment volume",N(G226),N(H226))))</f>
        <v>0</v>
      </c>
      <c r="N226" s="15" t="n">
        <f aca="false">IF(SUM(CC_P_M)=0,0,M226/SUM(CC_P_M))</f>
        <v>0</v>
      </c>
      <c r="O226" s="62" t="n">
        <f aca="false">N226*CC_SharedCost</f>
        <v>0</v>
      </c>
      <c r="P226" s="63" t="n">
        <f aca="false">K226+L226+O226</f>
        <v>0</v>
      </c>
      <c r="Q226" s="62" t="n">
        <f aca="false">K226*(1+INDEX(MkMatrix,3,3))</f>
        <v>0</v>
      </c>
      <c r="R226" s="62" t="n">
        <f aca="false">L226*(1+INDEX(MkMatrix,3,3))</f>
        <v>0</v>
      </c>
      <c r="S226" s="62" t="n">
        <f aca="false">N226*CC_SharedSell</f>
        <v>0</v>
      </c>
      <c r="T226" s="62" t="n">
        <f aca="false">P226*N(QCont)</f>
        <v>0</v>
      </c>
      <c r="U226" s="62" t="n">
        <f aca="false">Q226+R226+S226+T226</f>
        <v>0</v>
      </c>
      <c r="V226" s="62" t="n">
        <f aca="false">-U226*N(QDisc)</f>
        <v>-0</v>
      </c>
      <c r="W226" s="63" t="n">
        <f aca="false">U226+V226</f>
        <v>0</v>
      </c>
      <c r="X226" s="63" t="n">
        <f aca="false">W226/QRate</f>
        <v>0</v>
      </c>
      <c r="Y226" s="0" t="n">
        <v>7</v>
      </c>
    </row>
    <row r="227" customFormat="false" ht="15" hidden="false" customHeight="false" outlineLevel="0" collapsed="false">
      <c r="A227" s="68" t="n">
        <f aca="false">'CC Volume'!A227</f>
        <v>20</v>
      </c>
      <c r="B227" s="13" t="str">
        <f aca="false">IF('CC Volume'!B227="","",'CC Volume'!B227)</f>
        <v/>
      </c>
      <c r="C227" s="13" t="str">
        <f aca="false">IF('CC Volume'!C227="","",'CC Volume'!C227)</f>
        <v/>
      </c>
      <c r="D227" s="13" t="str">
        <f aca="false">IF('CC Volume'!D227="","",'CC Volume'!D227)</f>
        <v/>
      </c>
      <c r="E227" s="68" t="str">
        <f aca="false">IF('CC Volume'!E227="","",'CC Volume'!E227)</f>
        <v/>
      </c>
      <c r="F227" s="68" t="str">
        <f aca="false">IF('CC Volume'!F227="","",'CC Volume'!F227)</f>
        <v/>
      </c>
      <c r="G227" s="69" t="str">
        <f aca="false">'CC Volume'!AN227</f>
        <v/>
      </c>
      <c r="H227" s="69" t="str">
        <f aca="false">'CC Volume'!AO227</f>
        <v/>
      </c>
      <c r="I227" s="69" t="str">
        <f aca="false">'CC Volume'!AM227</f>
        <v/>
      </c>
      <c r="J227" s="62" t="str">
        <f aca="false">IF(N(H227)=0,"",IFERROR(INDEX(CC_RegRate,MATCH(F227,CC_RegU,0)),0))</f>
        <v/>
      </c>
      <c r="K227" s="62" t="n">
        <f aca="false">N(H227)*N(J227)</f>
        <v>0</v>
      </c>
      <c r="L227" s="62" t="n">
        <f aca="false">IF(CC_IncWaste="Yes",N(I227)*N(XWaste),0)</f>
        <v>0</v>
      </c>
      <c r="M227" s="65" t="n">
        <f aca="false">IF(N(G227)=0,0,IF(CC_AllocBasis="Equipment count",1,IF(CC_AllocBasis="Equipment volume",N(G227),N(H227))))</f>
        <v>0</v>
      </c>
      <c r="N227" s="15" t="n">
        <f aca="false">IF(SUM(CC_P_M)=0,0,M227/SUM(CC_P_M))</f>
        <v>0</v>
      </c>
      <c r="O227" s="62" t="n">
        <f aca="false">N227*CC_SharedCost</f>
        <v>0</v>
      </c>
      <c r="P227" s="63" t="n">
        <f aca="false">K227+L227+O227</f>
        <v>0</v>
      </c>
      <c r="Q227" s="62" t="n">
        <f aca="false">K227*(1+INDEX(MkMatrix,3,3))</f>
        <v>0</v>
      </c>
      <c r="R227" s="62" t="n">
        <f aca="false">L227*(1+INDEX(MkMatrix,3,3))</f>
        <v>0</v>
      </c>
      <c r="S227" s="62" t="n">
        <f aca="false">N227*CC_SharedSell</f>
        <v>0</v>
      </c>
      <c r="T227" s="62" t="n">
        <f aca="false">P227*N(QCont)</f>
        <v>0</v>
      </c>
      <c r="U227" s="62" t="n">
        <f aca="false">Q227+R227+S227+T227</f>
        <v>0</v>
      </c>
      <c r="V227" s="62" t="n">
        <f aca="false">-U227*N(QDisc)</f>
        <v>-0</v>
      </c>
      <c r="W227" s="63" t="n">
        <f aca="false">U227+V227</f>
        <v>0</v>
      </c>
      <c r="X227" s="63" t="n">
        <f aca="false">W227/QRate</f>
        <v>0</v>
      </c>
      <c r="Y227" s="0" t="n">
        <v>7</v>
      </c>
    </row>
    <row r="228" customFormat="false" ht="15" hidden="false" customHeight="false" outlineLevel="0" collapsed="false">
      <c r="A228" s="68" t="n">
        <f aca="false">'CC Volume'!A228</f>
        <v>21</v>
      </c>
      <c r="B228" s="13" t="str">
        <f aca="false">IF('CC Volume'!B228="","",'CC Volume'!B228)</f>
        <v/>
      </c>
      <c r="C228" s="13" t="str">
        <f aca="false">IF('CC Volume'!C228="","",'CC Volume'!C228)</f>
        <v/>
      </c>
      <c r="D228" s="13" t="str">
        <f aca="false">IF('CC Volume'!D228="","",'CC Volume'!D228)</f>
        <v/>
      </c>
      <c r="E228" s="68" t="str">
        <f aca="false">IF('CC Volume'!E228="","",'CC Volume'!E228)</f>
        <v/>
      </c>
      <c r="F228" s="68" t="str">
        <f aca="false">IF('CC Volume'!F228="","",'CC Volume'!F228)</f>
        <v/>
      </c>
      <c r="G228" s="69" t="str">
        <f aca="false">'CC Volume'!AN228</f>
        <v/>
      </c>
      <c r="H228" s="69" t="str">
        <f aca="false">'CC Volume'!AO228</f>
        <v/>
      </c>
      <c r="I228" s="69" t="str">
        <f aca="false">'CC Volume'!AM228</f>
        <v/>
      </c>
      <c r="J228" s="62" t="str">
        <f aca="false">IF(N(H228)=0,"",IFERROR(INDEX(CC_RegRate,MATCH(F228,CC_RegU,0)),0))</f>
        <v/>
      </c>
      <c r="K228" s="62" t="n">
        <f aca="false">N(H228)*N(J228)</f>
        <v>0</v>
      </c>
      <c r="L228" s="62" t="n">
        <f aca="false">IF(CC_IncWaste="Yes",N(I228)*N(XWaste),0)</f>
        <v>0</v>
      </c>
      <c r="M228" s="65" t="n">
        <f aca="false">IF(N(G228)=0,0,IF(CC_AllocBasis="Equipment count",1,IF(CC_AllocBasis="Equipment volume",N(G228),N(H228))))</f>
        <v>0</v>
      </c>
      <c r="N228" s="15" t="n">
        <f aca="false">IF(SUM(CC_P_M)=0,0,M228/SUM(CC_P_M))</f>
        <v>0</v>
      </c>
      <c r="O228" s="62" t="n">
        <f aca="false">N228*CC_SharedCost</f>
        <v>0</v>
      </c>
      <c r="P228" s="63" t="n">
        <f aca="false">K228+L228+O228</f>
        <v>0</v>
      </c>
      <c r="Q228" s="62" t="n">
        <f aca="false">K228*(1+INDEX(MkMatrix,3,3))</f>
        <v>0</v>
      </c>
      <c r="R228" s="62" t="n">
        <f aca="false">L228*(1+INDEX(MkMatrix,3,3))</f>
        <v>0</v>
      </c>
      <c r="S228" s="62" t="n">
        <f aca="false">N228*CC_SharedSell</f>
        <v>0</v>
      </c>
      <c r="T228" s="62" t="n">
        <f aca="false">P228*N(QCont)</f>
        <v>0</v>
      </c>
      <c r="U228" s="62" t="n">
        <f aca="false">Q228+R228+S228+T228</f>
        <v>0</v>
      </c>
      <c r="V228" s="62" t="n">
        <f aca="false">-U228*N(QDisc)</f>
        <v>-0</v>
      </c>
      <c r="W228" s="63" t="n">
        <f aca="false">U228+V228</f>
        <v>0</v>
      </c>
      <c r="X228" s="63" t="n">
        <f aca="false">W228/QRate</f>
        <v>0</v>
      </c>
      <c r="Y228" s="0" t="n">
        <v>7</v>
      </c>
    </row>
    <row r="229" customFormat="false" ht="15" hidden="false" customHeight="false" outlineLevel="0" collapsed="false">
      <c r="A229" s="68" t="n">
        <f aca="false">'CC Volume'!A229</f>
        <v>22</v>
      </c>
      <c r="B229" s="13" t="str">
        <f aca="false">IF('CC Volume'!B229="","",'CC Volume'!B229)</f>
        <v/>
      </c>
      <c r="C229" s="13" t="str">
        <f aca="false">IF('CC Volume'!C229="","",'CC Volume'!C229)</f>
        <v/>
      </c>
      <c r="D229" s="13" t="str">
        <f aca="false">IF('CC Volume'!D229="","",'CC Volume'!D229)</f>
        <v/>
      </c>
      <c r="E229" s="68" t="str">
        <f aca="false">IF('CC Volume'!E229="","",'CC Volume'!E229)</f>
        <v/>
      </c>
      <c r="F229" s="68" t="str">
        <f aca="false">IF('CC Volume'!F229="","",'CC Volume'!F229)</f>
        <v/>
      </c>
      <c r="G229" s="69" t="str">
        <f aca="false">'CC Volume'!AN229</f>
        <v/>
      </c>
      <c r="H229" s="69" t="str">
        <f aca="false">'CC Volume'!AO229</f>
        <v/>
      </c>
      <c r="I229" s="69" t="str">
        <f aca="false">'CC Volume'!AM229</f>
        <v/>
      </c>
      <c r="J229" s="62" t="str">
        <f aca="false">IF(N(H229)=0,"",IFERROR(INDEX(CC_RegRate,MATCH(F229,CC_RegU,0)),0))</f>
        <v/>
      </c>
      <c r="K229" s="62" t="n">
        <f aca="false">N(H229)*N(J229)</f>
        <v>0</v>
      </c>
      <c r="L229" s="62" t="n">
        <f aca="false">IF(CC_IncWaste="Yes",N(I229)*N(XWaste),0)</f>
        <v>0</v>
      </c>
      <c r="M229" s="65" t="n">
        <f aca="false">IF(N(G229)=0,0,IF(CC_AllocBasis="Equipment count",1,IF(CC_AllocBasis="Equipment volume",N(G229),N(H229))))</f>
        <v>0</v>
      </c>
      <c r="N229" s="15" t="n">
        <f aca="false">IF(SUM(CC_P_M)=0,0,M229/SUM(CC_P_M))</f>
        <v>0</v>
      </c>
      <c r="O229" s="62" t="n">
        <f aca="false">N229*CC_SharedCost</f>
        <v>0</v>
      </c>
      <c r="P229" s="63" t="n">
        <f aca="false">K229+L229+O229</f>
        <v>0</v>
      </c>
      <c r="Q229" s="62" t="n">
        <f aca="false">K229*(1+INDEX(MkMatrix,3,3))</f>
        <v>0</v>
      </c>
      <c r="R229" s="62" t="n">
        <f aca="false">L229*(1+INDEX(MkMatrix,3,3))</f>
        <v>0</v>
      </c>
      <c r="S229" s="62" t="n">
        <f aca="false">N229*CC_SharedSell</f>
        <v>0</v>
      </c>
      <c r="T229" s="62" t="n">
        <f aca="false">P229*N(QCont)</f>
        <v>0</v>
      </c>
      <c r="U229" s="62" t="n">
        <f aca="false">Q229+R229+S229+T229</f>
        <v>0</v>
      </c>
      <c r="V229" s="62" t="n">
        <f aca="false">-U229*N(QDisc)</f>
        <v>-0</v>
      </c>
      <c r="W229" s="63" t="n">
        <f aca="false">U229+V229</f>
        <v>0</v>
      </c>
      <c r="X229" s="63" t="n">
        <f aca="false">W229/QRate</f>
        <v>0</v>
      </c>
      <c r="Y229" s="0" t="n">
        <v>7</v>
      </c>
    </row>
    <row r="230" customFormat="false" ht="15" hidden="false" customHeight="false" outlineLevel="0" collapsed="false">
      <c r="A230" s="68" t="n">
        <f aca="false">'CC Volume'!A230</f>
        <v>23</v>
      </c>
      <c r="B230" s="13" t="str">
        <f aca="false">IF('CC Volume'!B230="","",'CC Volume'!B230)</f>
        <v/>
      </c>
      <c r="C230" s="13" t="str">
        <f aca="false">IF('CC Volume'!C230="","",'CC Volume'!C230)</f>
        <v/>
      </c>
      <c r="D230" s="13" t="str">
        <f aca="false">IF('CC Volume'!D230="","",'CC Volume'!D230)</f>
        <v/>
      </c>
      <c r="E230" s="68" t="str">
        <f aca="false">IF('CC Volume'!E230="","",'CC Volume'!E230)</f>
        <v/>
      </c>
      <c r="F230" s="68" t="str">
        <f aca="false">IF('CC Volume'!F230="","",'CC Volume'!F230)</f>
        <v/>
      </c>
      <c r="G230" s="69" t="str">
        <f aca="false">'CC Volume'!AN230</f>
        <v/>
      </c>
      <c r="H230" s="69" t="str">
        <f aca="false">'CC Volume'!AO230</f>
        <v/>
      </c>
      <c r="I230" s="69" t="str">
        <f aca="false">'CC Volume'!AM230</f>
        <v/>
      </c>
      <c r="J230" s="62" t="str">
        <f aca="false">IF(N(H230)=0,"",IFERROR(INDEX(CC_RegRate,MATCH(F230,CC_RegU,0)),0))</f>
        <v/>
      </c>
      <c r="K230" s="62" t="n">
        <f aca="false">N(H230)*N(J230)</f>
        <v>0</v>
      </c>
      <c r="L230" s="62" t="n">
        <f aca="false">IF(CC_IncWaste="Yes",N(I230)*N(XWaste),0)</f>
        <v>0</v>
      </c>
      <c r="M230" s="65" t="n">
        <f aca="false">IF(N(G230)=0,0,IF(CC_AllocBasis="Equipment count",1,IF(CC_AllocBasis="Equipment volume",N(G230),N(H230))))</f>
        <v>0</v>
      </c>
      <c r="N230" s="15" t="n">
        <f aca="false">IF(SUM(CC_P_M)=0,0,M230/SUM(CC_P_M))</f>
        <v>0</v>
      </c>
      <c r="O230" s="62" t="n">
        <f aca="false">N230*CC_SharedCost</f>
        <v>0</v>
      </c>
      <c r="P230" s="63" t="n">
        <f aca="false">K230+L230+O230</f>
        <v>0</v>
      </c>
      <c r="Q230" s="62" t="n">
        <f aca="false">K230*(1+INDEX(MkMatrix,3,3))</f>
        <v>0</v>
      </c>
      <c r="R230" s="62" t="n">
        <f aca="false">L230*(1+INDEX(MkMatrix,3,3))</f>
        <v>0</v>
      </c>
      <c r="S230" s="62" t="n">
        <f aca="false">N230*CC_SharedSell</f>
        <v>0</v>
      </c>
      <c r="T230" s="62" t="n">
        <f aca="false">P230*N(QCont)</f>
        <v>0</v>
      </c>
      <c r="U230" s="62" t="n">
        <f aca="false">Q230+R230+S230+T230</f>
        <v>0</v>
      </c>
      <c r="V230" s="62" t="n">
        <f aca="false">-U230*N(QDisc)</f>
        <v>-0</v>
      </c>
      <c r="W230" s="63" t="n">
        <f aca="false">U230+V230</f>
        <v>0</v>
      </c>
      <c r="X230" s="63" t="n">
        <f aca="false">W230/QRate</f>
        <v>0</v>
      </c>
      <c r="Y230" s="0" t="n">
        <v>7</v>
      </c>
    </row>
    <row r="231" customFormat="false" ht="15" hidden="false" customHeight="false" outlineLevel="0" collapsed="false">
      <c r="A231" s="68" t="n">
        <f aca="false">'CC Volume'!A231</f>
        <v>24</v>
      </c>
      <c r="B231" s="13" t="str">
        <f aca="false">IF('CC Volume'!B231="","",'CC Volume'!B231)</f>
        <v/>
      </c>
      <c r="C231" s="13" t="str">
        <f aca="false">IF('CC Volume'!C231="","",'CC Volume'!C231)</f>
        <v/>
      </c>
      <c r="D231" s="13" t="str">
        <f aca="false">IF('CC Volume'!D231="","",'CC Volume'!D231)</f>
        <v/>
      </c>
      <c r="E231" s="68" t="str">
        <f aca="false">IF('CC Volume'!E231="","",'CC Volume'!E231)</f>
        <v/>
      </c>
      <c r="F231" s="68" t="str">
        <f aca="false">IF('CC Volume'!F231="","",'CC Volume'!F231)</f>
        <v/>
      </c>
      <c r="G231" s="69" t="str">
        <f aca="false">'CC Volume'!AN231</f>
        <v/>
      </c>
      <c r="H231" s="69" t="str">
        <f aca="false">'CC Volume'!AO231</f>
        <v/>
      </c>
      <c r="I231" s="69" t="str">
        <f aca="false">'CC Volume'!AM231</f>
        <v/>
      </c>
      <c r="J231" s="62" t="str">
        <f aca="false">IF(N(H231)=0,"",IFERROR(INDEX(CC_RegRate,MATCH(F231,CC_RegU,0)),0))</f>
        <v/>
      </c>
      <c r="K231" s="62" t="n">
        <f aca="false">N(H231)*N(J231)</f>
        <v>0</v>
      </c>
      <c r="L231" s="62" t="n">
        <f aca="false">IF(CC_IncWaste="Yes",N(I231)*N(XWaste),0)</f>
        <v>0</v>
      </c>
      <c r="M231" s="65" t="n">
        <f aca="false">IF(N(G231)=0,0,IF(CC_AllocBasis="Equipment count",1,IF(CC_AllocBasis="Equipment volume",N(G231),N(H231))))</f>
        <v>0</v>
      </c>
      <c r="N231" s="15" t="n">
        <f aca="false">IF(SUM(CC_P_M)=0,0,M231/SUM(CC_P_M))</f>
        <v>0</v>
      </c>
      <c r="O231" s="62" t="n">
        <f aca="false">N231*CC_SharedCost</f>
        <v>0</v>
      </c>
      <c r="P231" s="63" t="n">
        <f aca="false">K231+L231+O231</f>
        <v>0</v>
      </c>
      <c r="Q231" s="62" t="n">
        <f aca="false">K231*(1+INDEX(MkMatrix,3,3))</f>
        <v>0</v>
      </c>
      <c r="R231" s="62" t="n">
        <f aca="false">L231*(1+INDEX(MkMatrix,3,3))</f>
        <v>0</v>
      </c>
      <c r="S231" s="62" t="n">
        <f aca="false">N231*CC_SharedSell</f>
        <v>0</v>
      </c>
      <c r="T231" s="62" t="n">
        <f aca="false">P231*N(QCont)</f>
        <v>0</v>
      </c>
      <c r="U231" s="62" t="n">
        <f aca="false">Q231+R231+S231+T231</f>
        <v>0</v>
      </c>
      <c r="V231" s="62" t="n">
        <f aca="false">-U231*N(QDisc)</f>
        <v>-0</v>
      </c>
      <c r="W231" s="63" t="n">
        <f aca="false">U231+V231</f>
        <v>0</v>
      </c>
      <c r="X231" s="63" t="n">
        <f aca="false">W231/QRate</f>
        <v>0</v>
      </c>
      <c r="Y231" s="0" t="n">
        <v>7</v>
      </c>
    </row>
    <row r="232" customFormat="false" ht="15" hidden="false" customHeight="false" outlineLevel="0" collapsed="false">
      <c r="A232" s="68" t="n">
        <f aca="false">'CC Volume'!A232</f>
        <v>25</v>
      </c>
      <c r="B232" s="13" t="str">
        <f aca="false">IF('CC Volume'!B232="","",'CC Volume'!B232)</f>
        <v/>
      </c>
      <c r="C232" s="13" t="str">
        <f aca="false">IF('CC Volume'!C232="","",'CC Volume'!C232)</f>
        <v/>
      </c>
      <c r="D232" s="13" t="str">
        <f aca="false">IF('CC Volume'!D232="","",'CC Volume'!D232)</f>
        <v/>
      </c>
      <c r="E232" s="68" t="str">
        <f aca="false">IF('CC Volume'!E232="","",'CC Volume'!E232)</f>
        <v/>
      </c>
      <c r="F232" s="68" t="str">
        <f aca="false">IF('CC Volume'!F232="","",'CC Volume'!F232)</f>
        <v/>
      </c>
      <c r="G232" s="69" t="str">
        <f aca="false">'CC Volume'!AN232</f>
        <v/>
      </c>
      <c r="H232" s="69" t="str">
        <f aca="false">'CC Volume'!AO232</f>
        <v/>
      </c>
      <c r="I232" s="69" t="str">
        <f aca="false">'CC Volume'!AM232</f>
        <v/>
      </c>
      <c r="J232" s="62" t="str">
        <f aca="false">IF(N(H232)=0,"",IFERROR(INDEX(CC_RegRate,MATCH(F232,CC_RegU,0)),0))</f>
        <v/>
      </c>
      <c r="K232" s="62" t="n">
        <f aca="false">N(H232)*N(J232)</f>
        <v>0</v>
      </c>
      <c r="L232" s="62" t="n">
        <f aca="false">IF(CC_IncWaste="Yes",N(I232)*N(XWaste),0)</f>
        <v>0</v>
      </c>
      <c r="M232" s="65" t="n">
        <f aca="false">IF(N(G232)=0,0,IF(CC_AllocBasis="Equipment count",1,IF(CC_AllocBasis="Equipment volume",N(G232),N(H232))))</f>
        <v>0</v>
      </c>
      <c r="N232" s="15" t="n">
        <f aca="false">IF(SUM(CC_P_M)=0,0,M232/SUM(CC_P_M))</f>
        <v>0</v>
      </c>
      <c r="O232" s="62" t="n">
        <f aca="false">N232*CC_SharedCost</f>
        <v>0</v>
      </c>
      <c r="P232" s="63" t="n">
        <f aca="false">K232+L232+O232</f>
        <v>0</v>
      </c>
      <c r="Q232" s="62" t="n">
        <f aca="false">K232*(1+INDEX(MkMatrix,3,3))</f>
        <v>0</v>
      </c>
      <c r="R232" s="62" t="n">
        <f aca="false">L232*(1+INDEX(MkMatrix,3,3))</f>
        <v>0</v>
      </c>
      <c r="S232" s="62" t="n">
        <f aca="false">N232*CC_SharedSell</f>
        <v>0</v>
      </c>
      <c r="T232" s="62" t="n">
        <f aca="false">P232*N(QCont)</f>
        <v>0</v>
      </c>
      <c r="U232" s="62" t="n">
        <f aca="false">Q232+R232+S232+T232</f>
        <v>0</v>
      </c>
      <c r="V232" s="62" t="n">
        <f aca="false">-U232*N(QDisc)</f>
        <v>-0</v>
      </c>
      <c r="W232" s="63" t="n">
        <f aca="false">U232+V232</f>
        <v>0</v>
      </c>
      <c r="X232" s="63" t="n">
        <f aca="false">W232/QRate</f>
        <v>0</v>
      </c>
      <c r="Y232" s="0" t="n">
        <v>7</v>
      </c>
    </row>
    <row r="233" customFormat="false" ht="15" hidden="false" customHeight="false" outlineLevel="0" collapsed="false">
      <c r="A233" s="68" t="n">
        <f aca="false">'CC Volume'!A233</f>
        <v>26</v>
      </c>
      <c r="B233" s="13" t="str">
        <f aca="false">IF('CC Volume'!B233="","",'CC Volume'!B233)</f>
        <v/>
      </c>
      <c r="C233" s="13" t="str">
        <f aca="false">IF('CC Volume'!C233="","",'CC Volume'!C233)</f>
        <v/>
      </c>
      <c r="D233" s="13" t="str">
        <f aca="false">IF('CC Volume'!D233="","",'CC Volume'!D233)</f>
        <v/>
      </c>
      <c r="E233" s="68" t="str">
        <f aca="false">IF('CC Volume'!E233="","",'CC Volume'!E233)</f>
        <v/>
      </c>
      <c r="F233" s="68" t="str">
        <f aca="false">IF('CC Volume'!F233="","",'CC Volume'!F233)</f>
        <v/>
      </c>
      <c r="G233" s="69" t="str">
        <f aca="false">'CC Volume'!AN233</f>
        <v/>
      </c>
      <c r="H233" s="69" t="str">
        <f aca="false">'CC Volume'!AO233</f>
        <v/>
      </c>
      <c r="I233" s="69" t="str">
        <f aca="false">'CC Volume'!AM233</f>
        <v/>
      </c>
      <c r="J233" s="62" t="str">
        <f aca="false">IF(N(H233)=0,"",IFERROR(INDEX(CC_RegRate,MATCH(F233,CC_RegU,0)),0))</f>
        <v/>
      </c>
      <c r="K233" s="62" t="n">
        <f aca="false">N(H233)*N(J233)</f>
        <v>0</v>
      </c>
      <c r="L233" s="62" t="n">
        <f aca="false">IF(CC_IncWaste="Yes",N(I233)*N(XWaste),0)</f>
        <v>0</v>
      </c>
      <c r="M233" s="65" t="n">
        <f aca="false">IF(N(G233)=0,0,IF(CC_AllocBasis="Equipment count",1,IF(CC_AllocBasis="Equipment volume",N(G233),N(H233))))</f>
        <v>0</v>
      </c>
      <c r="N233" s="15" t="n">
        <f aca="false">IF(SUM(CC_P_M)=0,0,M233/SUM(CC_P_M))</f>
        <v>0</v>
      </c>
      <c r="O233" s="62" t="n">
        <f aca="false">N233*CC_SharedCost</f>
        <v>0</v>
      </c>
      <c r="P233" s="63" t="n">
        <f aca="false">K233+L233+O233</f>
        <v>0</v>
      </c>
      <c r="Q233" s="62" t="n">
        <f aca="false">K233*(1+INDEX(MkMatrix,3,3))</f>
        <v>0</v>
      </c>
      <c r="R233" s="62" t="n">
        <f aca="false">L233*(1+INDEX(MkMatrix,3,3))</f>
        <v>0</v>
      </c>
      <c r="S233" s="62" t="n">
        <f aca="false">N233*CC_SharedSell</f>
        <v>0</v>
      </c>
      <c r="T233" s="62" t="n">
        <f aca="false">P233*N(QCont)</f>
        <v>0</v>
      </c>
      <c r="U233" s="62" t="n">
        <f aca="false">Q233+R233+S233+T233</f>
        <v>0</v>
      </c>
      <c r="V233" s="62" t="n">
        <f aca="false">-U233*N(QDisc)</f>
        <v>-0</v>
      </c>
      <c r="W233" s="63" t="n">
        <f aca="false">U233+V233</f>
        <v>0</v>
      </c>
      <c r="X233" s="63" t="n">
        <f aca="false">W233/QRate</f>
        <v>0</v>
      </c>
      <c r="Y233" s="0" t="n">
        <v>7</v>
      </c>
    </row>
    <row r="234" customFormat="false" ht="15" hidden="false" customHeight="false" outlineLevel="0" collapsed="false">
      <c r="A234" s="68" t="n">
        <f aca="false">'CC Volume'!A234</f>
        <v>27</v>
      </c>
      <c r="B234" s="13" t="str">
        <f aca="false">IF('CC Volume'!B234="","",'CC Volume'!B234)</f>
        <v/>
      </c>
      <c r="C234" s="13" t="str">
        <f aca="false">IF('CC Volume'!C234="","",'CC Volume'!C234)</f>
        <v/>
      </c>
      <c r="D234" s="13" t="str">
        <f aca="false">IF('CC Volume'!D234="","",'CC Volume'!D234)</f>
        <v/>
      </c>
      <c r="E234" s="68" t="str">
        <f aca="false">IF('CC Volume'!E234="","",'CC Volume'!E234)</f>
        <v/>
      </c>
      <c r="F234" s="68" t="str">
        <f aca="false">IF('CC Volume'!F234="","",'CC Volume'!F234)</f>
        <v/>
      </c>
      <c r="G234" s="69" t="str">
        <f aca="false">'CC Volume'!AN234</f>
        <v/>
      </c>
      <c r="H234" s="69" t="str">
        <f aca="false">'CC Volume'!AO234</f>
        <v/>
      </c>
      <c r="I234" s="69" t="str">
        <f aca="false">'CC Volume'!AM234</f>
        <v/>
      </c>
      <c r="J234" s="62" t="str">
        <f aca="false">IF(N(H234)=0,"",IFERROR(INDEX(CC_RegRate,MATCH(F234,CC_RegU,0)),0))</f>
        <v/>
      </c>
      <c r="K234" s="62" t="n">
        <f aca="false">N(H234)*N(J234)</f>
        <v>0</v>
      </c>
      <c r="L234" s="62" t="n">
        <f aca="false">IF(CC_IncWaste="Yes",N(I234)*N(XWaste),0)</f>
        <v>0</v>
      </c>
      <c r="M234" s="65" t="n">
        <f aca="false">IF(N(G234)=0,0,IF(CC_AllocBasis="Equipment count",1,IF(CC_AllocBasis="Equipment volume",N(G234),N(H234))))</f>
        <v>0</v>
      </c>
      <c r="N234" s="15" t="n">
        <f aca="false">IF(SUM(CC_P_M)=0,0,M234/SUM(CC_P_M))</f>
        <v>0</v>
      </c>
      <c r="O234" s="62" t="n">
        <f aca="false">N234*CC_SharedCost</f>
        <v>0</v>
      </c>
      <c r="P234" s="63" t="n">
        <f aca="false">K234+L234+O234</f>
        <v>0</v>
      </c>
      <c r="Q234" s="62" t="n">
        <f aca="false">K234*(1+INDEX(MkMatrix,3,3))</f>
        <v>0</v>
      </c>
      <c r="R234" s="62" t="n">
        <f aca="false">L234*(1+INDEX(MkMatrix,3,3))</f>
        <v>0</v>
      </c>
      <c r="S234" s="62" t="n">
        <f aca="false">N234*CC_SharedSell</f>
        <v>0</v>
      </c>
      <c r="T234" s="62" t="n">
        <f aca="false">P234*N(QCont)</f>
        <v>0</v>
      </c>
      <c r="U234" s="62" t="n">
        <f aca="false">Q234+R234+S234+T234</f>
        <v>0</v>
      </c>
      <c r="V234" s="62" t="n">
        <f aca="false">-U234*N(QDisc)</f>
        <v>-0</v>
      </c>
      <c r="W234" s="63" t="n">
        <f aca="false">U234+V234</f>
        <v>0</v>
      </c>
      <c r="X234" s="63" t="n">
        <f aca="false">W234/QRate</f>
        <v>0</v>
      </c>
      <c r="Y234" s="0" t="n">
        <v>7</v>
      </c>
    </row>
    <row r="235" customFormat="false" ht="15" hidden="false" customHeight="false" outlineLevel="0" collapsed="false">
      <c r="A235" s="68" t="n">
        <f aca="false">'CC Volume'!A235</f>
        <v>28</v>
      </c>
      <c r="B235" s="13" t="str">
        <f aca="false">IF('CC Volume'!B235="","",'CC Volume'!B235)</f>
        <v/>
      </c>
      <c r="C235" s="13" t="str">
        <f aca="false">IF('CC Volume'!C235="","",'CC Volume'!C235)</f>
        <v/>
      </c>
      <c r="D235" s="13" t="str">
        <f aca="false">IF('CC Volume'!D235="","",'CC Volume'!D235)</f>
        <v/>
      </c>
      <c r="E235" s="68" t="str">
        <f aca="false">IF('CC Volume'!E235="","",'CC Volume'!E235)</f>
        <v/>
      </c>
      <c r="F235" s="68" t="str">
        <f aca="false">IF('CC Volume'!F235="","",'CC Volume'!F235)</f>
        <v/>
      </c>
      <c r="G235" s="69" t="str">
        <f aca="false">'CC Volume'!AN235</f>
        <v/>
      </c>
      <c r="H235" s="69" t="str">
        <f aca="false">'CC Volume'!AO235</f>
        <v/>
      </c>
      <c r="I235" s="69" t="str">
        <f aca="false">'CC Volume'!AM235</f>
        <v/>
      </c>
      <c r="J235" s="62" t="str">
        <f aca="false">IF(N(H235)=0,"",IFERROR(INDEX(CC_RegRate,MATCH(F235,CC_RegU,0)),0))</f>
        <v/>
      </c>
      <c r="K235" s="62" t="n">
        <f aca="false">N(H235)*N(J235)</f>
        <v>0</v>
      </c>
      <c r="L235" s="62" t="n">
        <f aca="false">IF(CC_IncWaste="Yes",N(I235)*N(XWaste),0)</f>
        <v>0</v>
      </c>
      <c r="M235" s="65" t="n">
        <f aca="false">IF(N(G235)=0,0,IF(CC_AllocBasis="Equipment count",1,IF(CC_AllocBasis="Equipment volume",N(G235),N(H235))))</f>
        <v>0</v>
      </c>
      <c r="N235" s="15" t="n">
        <f aca="false">IF(SUM(CC_P_M)=0,0,M235/SUM(CC_P_M))</f>
        <v>0</v>
      </c>
      <c r="O235" s="62" t="n">
        <f aca="false">N235*CC_SharedCost</f>
        <v>0</v>
      </c>
      <c r="P235" s="63" t="n">
        <f aca="false">K235+L235+O235</f>
        <v>0</v>
      </c>
      <c r="Q235" s="62" t="n">
        <f aca="false">K235*(1+INDEX(MkMatrix,3,3))</f>
        <v>0</v>
      </c>
      <c r="R235" s="62" t="n">
        <f aca="false">L235*(1+INDEX(MkMatrix,3,3))</f>
        <v>0</v>
      </c>
      <c r="S235" s="62" t="n">
        <f aca="false">N235*CC_SharedSell</f>
        <v>0</v>
      </c>
      <c r="T235" s="62" t="n">
        <f aca="false">P235*N(QCont)</f>
        <v>0</v>
      </c>
      <c r="U235" s="62" t="n">
        <f aca="false">Q235+R235+S235+T235</f>
        <v>0</v>
      </c>
      <c r="V235" s="62" t="n">
        <f aca="false">-U235*N(QDisc)</f>
        <v>-0</v>
      </c>
      <c r="W235" s="63" t="n">
        <f aca="false">U235+V235</f>
        <v>0</v>
      </c>
      <c r="X235" s="63" t="n">
        <f aca="false">W235/QRate</f>
        <v>0</v>
      </c>
      <c r="Y235" s="0" t="n">
        <v>7</v>
      </c>
    </row>
    <row r="236" customFormat="false" ht="15" hidden="false" customHeight="false" outlineLevel="0" collapsed="false">
      <c r="A236" s="68" t="n">
        <f aca="false">'CC Volume'!A236</f>
        <v>29</v>
      </c>
      <c r="B236" s="13" t="str">
        <f aca="false">IF('CC Volume'!B236="","",'CC Volume'!B236)</f>
        <v/>
      </c>
      <c r="C236" s="13" t="str">
        <f aca="false">IF('CC Volume'!C236="","",'CC Volume'!C236)</f>
        <v/>
      </c>
      <c r="D236" s="13" t="str">
        <f aca="false">IF('CC Volume'!D236="","",'CC Volume'!D236)</f>
        <v/>
      </c>
      <c r="E236" s="68" t="str">
        <f aca="false">IF('CC Volume'!E236="","",'CC Volume'!E236)</f>
        <v/>
      </c>
      <c r="F236" s="68" t="str">
        <f aca="false">IF('CC Volume'!F236="","",'CC Volume'!F236)</f>
        <v/>
      </c>
      <c r="G236" s="69" t="str">
        <f aca="false">'CC Volume'!AN236</f>
        <v/>
      </c>
      <c r="H236" s="69" t="str">
        <f aca="false">'CC Volume'!AO236</f>
        <v/>
      </c>
      <c r="I236" s="69" t="str">
        <f aca="false">'CC Volume'!AM236</f>
        <v/>
      </c>
      <c r="J236" s="62" t="str">
        <f aca="false">IF(N(H236)=0,"",IFERROR(INDEX(CC_RegRate,MATCH(F236,CC_RegU,0)),0))</f>
        <v/>
      </c>
      <c r="K236" s="62" t="n">
        <f aca="false">N(H236)*N(J236)</f>
        <v>0</v>
      </c>
      <c r="L236" s="62" t="n">
        <f aca="false">IF(CC_IncWaste="Yes",N(I236)*N(XWaste),0)</f>
        <v>0</v>
      </c>
      <c r="M236" s="65" t="n">
        <f aca="false">IF(N(G236)=0,0,IF(CC_AllocBasis="Equipment count",1,IF(CC_AllocBasis="Equipment volume",N(G236),N(H236))))</f>
        <v>0</v>
      </c>
      <c r="N236" s="15" t="n">
        <f aca="false">IF(SUM(CC_P_M)=0,0,M236/SUM(CC_P_M))</f>
        <v>0</v>
      </c>
      <c r="O236" s="62" t="n">
        <f aca="false">N236*CC_SharedCost</f>
        <v>0</v>
      </c>
      <c r="P236" s="63" t="n">
        <f aca="false">K236+L236+O236</f>
        <v>0</v>
      </c>
      <c r="Q236" s="62" t="n">
        <f aca="false">K236*(1+INDEX(MkMatrix,3,3))</f>
        <v>0</v>
      </c>
      <c r="R236" s="62" t="n">
        <f aca="false">L236*(1+INDEX(MkMatrix,3,3))</f>
        <v>0</v>
      </c>
      <c r="S236" s="62" t="n">
        <f aca="false">N236*CC_SharedSell</f>
        <v>0</v>
      </c>
      <c r="T236" s="62" t="n">
        <f aca="false">P236*N(QCont)</f>
        <v>0</v>
      </c>
      <c r="U236" s="62" t="n">
        <f aca="false">Q236+R236+S236+T236</f>
        <v>0</v>
      </c>
      <c r="V236" s="62" t="n">
        <f aca="false">-U236*N(QDisc)</f>
        <v>-0</v>
      </c>
      <c r="W236" s="63" t="n">
        <f aca="false">U236+V236</f>
        <v>0</v>
      </c>
      <c r="X236" s="63" t="n">
        <f aca="false">W236/QRate</f>
        <v>0</v>
      </c>
      <c r="Y236" s="0" t="n">
        <v>7</v>
      </c>
    </row>
    <row r="237" customFormat="false" ht="15" hidden="false" customHeight="false" outlineLevel="0" collapsed="false">
      <c r="A237" s="68" t="n">
        <f aca="false">'CC Volume'!A237</f>
        <v>30</v>
      </c>
      <c r="B237" s="13" t="str">
        <f aca="false">IF('CC Volume'!B237="","",'CC Volume'!B237)</f>
        <v/>
      </c>
      <c r="C237" s="13" t="str">
        <f aca="false">IF('CC Volume'!C237="","",'CC Volume'!C237)</f>
        <v/>
      </c>
      <c r="D237" s="13" t="str">
        <f aca="false">IF('CC Volume'!D237="","",'CC Volume'!D237)</f>
        <v/>
      </c>
      <c r="E237" s="68" t="str">
        <f aca="false">IF('CC Volume'!E237="","",'CC Volume'!E237)</f>
        <v/>
      </c>
      <c r="F237" s="68" t="str">
        <f aca="false">IF('CC Volume'!F237="","",'CC Volume'!F237)</f>
        <v/>
      </c>
      <c r="G237" s="69" t="str">
        <f aca="false">'CC Volume'!AN237</f>
        <v/>
      </c>
      <c r="H237" s="69" t="str">
        <f aca="false">'CC Volume'!AO237</f>
        <v/>
      </c>
      <c r="I237" s="69" t="str">
        <f aca="false">'CC Volume'!AM237</f>
        <v/>
      </c>
      <c r="J237" s="62" t="str">
        <f aca="false">IF(N(H237)=0,"",IFERROR(INDEX(CC_RegRate,MATCH(F237,CC_RegU,0)),0))</f>
        <v/>
      </c>
      <c r="K237" s="62" t="n">
        <f aca="false">N(H237)*N(J237)</f>
        <v>0</v>
      </c>
      <c r="L237" s="62" t="n">
        <f aca="false">IF(CC_IncWaste="Yes",N(I237)*N(XWaste),0)</f>
        <v>0</v>
      </c>
      <c r="M237" s="65" t="n">
        <f aca="false">IF(N(G237)=0,0,IF(CC_AllocBasis="Equipment count",1,IF(CC_AllocBasis="Equipment volume",N(G237),N(H237))))</f>
        <v>0</v>
      </c>
      <c r="N237" s="15" t="n">
        <f aca="false">IF(SUM(CC_P_M)=0,0,M237/SUM(CC_P_M))</f>
        <v>0</v>
      </c>
      <c r="O237" s="62" t="n">
        <f aca="false">N237*CC_SharedCost</f>
        <v>0</v>
      </c>
      <c r="P237" s="63" t="n">
        <f aca="false">K237+L237+O237</f>
        <v>0</v>
      </c>
      <c r="Q237" s="62" t="n">
        <f aca="false">K237*(1+INDEX(MkMatrix,3,3))</f>
        <v>0</v>
      </c>
      <c r="R237" s="62" t="n">
        <f aca="false">L237*(1+INDEX(MkMatrix,3,3))</f>
        <v>0</v>
      </c>
      <c r="S237" s="62" t="n">
        <f aca="false">N237*CC_SharedSell</f>
        <v>0</v>
      </c>
      <c r="T237" s="62" t="n">
        <f aca="false">P237*N(QCont)</f>
        <v>0</v>
      </c>
      <c r="U237" s="62" t="n">
        <f aca="false">Q237+R237+S237+T237</f>
        <v>0</v>
      </c>
      <c r="V237" s="62" t="n">
        <f aca="false">-U237*N(QDisc)</f>
        <v>-0</v>
      </c>
      <c r="W237" s="63" t="n">
        <f aca="false">U237+V237</f>
        <v>0</v>
      </c>
      <c r="X237" s="63" t="n">
        <f aca="false">W237/QRate</f>
        <v>0</v>
      </c>
      <c r="Y237" s="0" t="n">
        <v>7</v>
      </c>
    </row>
    <row r="238" customFormat="false" ht="15" hidden="false" customHeight="false" outlineLevel="0" collapsed="false">
      <c r="A238" s="44" t="str">
        <f aca="false">"TOTAL – "&amp;INDEX(CC_UnitNames,7)</f>
        <v>TOTAL – Unit 7</v>
      </c>
      <c r="B238" s="44"/>
      <c r="C238" s="44"/>
      <c r="D238" s="44"/>
      <c r="E238" s="44"/>
      <c r="F238" s="44"/>
      <c r="G238" s="47" t="n">
        <f aca="false">SUM(G208:G237)</f>
        <v>0</v>
      </c>
      <c r="H238" s="47" t="n">
        <f aca="false">SUM(H208:H237)</f>
        <v>0</v>
      </c>
      <c r="I238" s="47" t="n">
        <f aca="false">SUM(I208:I237)</f>
        <v>0</v>
      </c>
      <c r="J238" s="45"/>
      <c r="K238" s="70" t="n">
        <f aca="false">SUM(K208:K237)</f>
        <v>0</v>
      </c>
      <c r="L238" s="70" t="n">
        <f aca="false">SUM(L208:L237)</f>
        <v>0</v>
      </c>
      <c r="M238" s="45"/>
      <c r="N238" s="45"/>
      <c r="O238" s="70" t="n">
        <f aca="false">SUM(O208:O237)</f>
        <v>0</v>
      </c>
      <c r="P238" s="70" t="n">
        <f aca="false">SUM(P208:P237)</f>
        <v>0</v>
      </c>
      <c r="Q238" s="70" t="n">
        <f aca="false">SUM(Q208:Q237)</f>
        <v>0</v>
      </c>
      <c r="R238" s="70" t="n">
        <f aca="false">SUM(R208:R237)</f>
        <v>0</v>
      </c>
      <c r="S238" s="70" t="n">
        <f aca="false">SUM(S208:S237)</f>
        <v>0</v>
      </c>
      <c r="T238" s="70" t="n">
        <f aca="false">SUM(T208:T237)</f>
        <v>0</v>
      </c>
      <c r="U238" s="70" t="n">
        <f aca="false">SUM(U208:U237)</f>
        <v>0</v>
      </c>
      <c r="V238" s="70" t="n">
        <f aca="false">SUM(V208:V237)</f>
        <v>0</v>
      </c>
      <c r="W238" s="70" t="n">
        <f aca="false">SUM(W208:W237)</f>
        <v>0</v>
      </c>
      <c r="X238" s="70" t="n">
        <f aca="false">SUM(X208:X237)</f>
        <v>0</v>
      </c>
    </row>
    <row r="240" customFormat="false" ht="15" hidden="false" customHeight="false" outlineLevel="0" collapsed="false">
      <c r="A240" s="38" t="str">
        <f aca="false">"UNIT 8:  "&amp;INDEX(CC_UnitNames,8)</f>
        <v>UNIT 8:  Unit 8</v>
      </c>
      <c r="B240" s="38"/>
      <c r="C240" s="38"/>
      <c r="D240" s="38"/>
      <c r="E240" s="39"/>
      <c r="F240" s="39"/>
      <c r="G240" s="39"/>
      <c r="H240" s="39"/>
      <c r="I240" s="39"/>
      <c r="J240" s="39"/>
      <c r="K240" s="39"/>
      <c r="L240" s="39"/>
      <c r="M240" s="39"/>
      <c r="N240" s="39"/>
      <c r="O240" s="39"/>
      <c r="P240" s="39"/>
      <c r="Q240" s="39"/>
      <c r="R240" s="39"/>
      <c r="S240" s="39"/>
      <c r="T240" s="39"/>
      <c r="U240" s="39"/>
      <c r="V240" s="39"/>
      <c r="W240" s="39"/>
      <c r="X240" s="39"/>
    </row>
    <row r="241" customFormat="false" ht="15" hidden="false" customHeight="false" outlineLevel="0" collapsed="false">
      <c r="A241" s="68" t="n">
        <f aca="false">'CC Volume'!A241</f>
        <v>1</v>
      </c>
      <c r="B241" s="13" t="str">
        <f aca="false">IF('CC Volume'!B241="","",'CC Volume'!B241)</f>
        <v/>
      </c>
      <c r="C241" s="13" t="str">
        <f aca="false">IF('CC Volume'!C241="","",'CC Volume'!C241)</f>
        <v/>
      </c>
      <c r="D241" s="13" t="str">
        <f aca="false">IF('CC Volume'!D241="","",'CC Volume'!D241)</f>
        <v/>
      </c>
      <c r="E241" s="68" t="str">
        <f aca="false">IF('CC Volume'!E241="","",'CC Volume'!E241)</f>
        <v/>
      </c>
      <c r="F241" s="68" t="str">
        <f aca="false">IF('CC Volume'!F241="","",'CC Volume'!F241)</f>
        <v/>
      </c>
      <c r="G241" s="69" t="str">
        <f aca="false">'CC Volume'!AN241</f>
        <v/>
      </c>
      <c r="H241" s="69" t="str">
        <f aca="false">'CC Volume'!AO241</f>
        <v/>
      </c>
      <c r="I241" s="69" t="str">
        <f aca="false">'CC Volume'!AM241</f>
        <v/>
      </c>
      <c r="J241" s="62" t="str">
        <f aca="false">IF(N(H241)=0,"",IFERROR(INDEX(CC_RegRate,MATCH(F241,CC_RegU,0)),0))</f>
        <v/>
      </c>
      <c r="K241" s="62" t="n">
        <f aca="false">N(H241)*N(J241)</f>
        <v>0</v>
      </c>
      <c r="L241" s="62" t="n">
        <f aca="false">IF(CC_IncWaste="Yes",N(I241)*N(XWaste),0)</f>
        <v>0</v>
      </c>
      <c r="M241" s="65" t="n">
        <f aca="false">IF(N(G241)=0,0,IF(CC_AllocBasis="Equipment count",1,IF(CC_AllocBasis="Equipment volume",N(G241),N(H241))))</f>
        <v>0</v>
      </c>
      <c r="N241" s="15" t="n">
        <f aca="false">IF(SUM(CC_P_M)=0,0,M241/SUM(CC_P_M))</f>
        <v>0</v>
      </c>
      <c r="O241" s="62" t="n">
        <f aca="false">N241*CC_SharedCost</f>
        <v>0</v>
      </c>
      <c r="P241" s="63" t="n">
        <f aca="false">K241+L241+O241</f>
        <v>0</v>
      </c>
      <c r="Q241" s="62" t="n">
        <f aca="false">K241*(1+INDEX(MkMatrix,3,3))</f>
        <v>0</v>
      </c>
      <c r="R241" s="62" t="n">
        <f aca="false">L241*(1+INDEX(MkMatrix,3,3))</f>
        <v>0</v>
      </c>
      <c r="S241" s="62" t="n">
        <f aca="false">N241*CC_SharedSell</f>
        <v>0</v>
      </c>
      <c r="T241" s="62" t="n">
        <f aca="false">P241*N(QCont)</f>
        <v>0</v>
      </c>
      <c r="U241" s="62" t="n">
        <f aca="false">Q241+R241+S241+T241</f>
        <v>0</v>
      </c>
      <c r="V241" s="62" t="n">
        <f aca="false">-U241*N(QDisc)</f>
        <v>-0</v>
      </c>
      <c r="W241" s="63" t="n">
        <f aca="false">U241+V241</f>
        <v>0</v>
      </c>
      <c r="X241" s="63" t="n">
        <f aca="false">W241/QRate</f>
        <v>0</v>
      </c>
      <c r="Y241" s="0" t="n">
        <v>8</v>
      </c>
    </row>
    <row r="242" customFormat="false" ht="15" hidden="false" customHeight="false" outlineLevel="0" collapsed="false">
      <c r="A242" s="68" t="n">
        <f aca="false">'CC Volume'!A242</f>
        <v>2</v>
      </c>
      <c r="B242" s="13" t="str">
        <f aca="false">IF('CC Volume'!B242="","",'CC Volume'!B242)</f>
        <v/>
      </c>
      <c r="C242" s="13" t="str">
        <f aca="false">IF('CC Volume'!C242="","",'CC Volume'!C242)</f>
        <v/>
      </c>
      <c r="D242" s="13" t="str">
        <f aca="false">IF('CC Volume'!D242="","",'CC Volume'!D242)</f>
        <v/>
      </c>
      <c r="E242" s="68" t="str">
        <f aca="false">IF('CC Volume'!E242="","",'CC Volume'!E242)</f>
        <v/>
      </c>
      <c r="F242" s="68" t="str">
        <f aca="false">IF('CC Volume'!F242="","",'CC Volume'!F242)</f>
        <v/>
      </c>
      <c r="G242" s="69" t="str">
        <f aca="false">'CC Volume'!AN242</f>
        <v/>
      </c>
      <c r="H242" s="69" t="str">
        <f aca="false">'CC Volume'!AO242</f>
        <v/>
      </c>
      <c r="I242" s="69" t="str">
        <f aca="false">'CC Volume'!AM242</f>
        <v/>
      </c>
      <c r="J242" s="62" t="str">
        <f aca="false">IF(N(H242)=0,"",IFERROR(INDEX(CC_RegRate,MATCH(F242,CC_RegU,0)),0))</f>
        <v/>
      </c>
      <c r="K242" s="62" t="n">
        <f aca="false">N(H242)*N(J242)</f>
        <v>0</v>
      </c>
      <c r="L242" s="62" t="n">
        <f aca="false">IF(CC_IncWaste="Yes",N(I242)*N(XWaste),0)</f>
        <v>0</v>
      </c>
      <c r="M242" s="65" t="n">
        <f aca="false">IF(N(G242)=0,0,IF(CC_AllocBasis="Equipment count",1,IF(CC_AllocBasis="Equipment volume",N(G242),N(H242))))</f>
        <v>0</v>
      </c>
      <c r="N242" s="15" t="n">
        <f aca="false">IF(SUM(CC_P_M)=0,0,M242/SUM(CC_P_M))</f>
        <v>0</v>
      </c>
      <c r="O242" s="62" t="n">
        <f aca="false">N242*CC_SharedCost</f>
        <v>0</v>
      </c>
      <c r="P242" s="63" t="n">
        <f aca="false">K242+L242+O242</f>
        <v>0</v>
      </c>
      <c r="Q242" s="62" t="n">
        <f aca="false">K242*(1+INDEX(MkMatrix,3,3))</f>
        <v>0</v>
      </c>
      <c r="R242" s="62" t="n">
        <f aca="false">L242*(1+INDEX(MkMatrix,3,3))</f>
        <v>0</v>
      </c>
      <c r="S242" s="62" t="n">
        <f aca="false">N242*CC_SharedSell</f>
        <v>0</v>
      </c>
      <c r="T242" s="62" t="n">
        <f aca="false">P242*N(QCont)</f>
        <v>0</v>
      </c>
      <c r="U242" s="62" t="n">
        <f aca="false">Q242+R242+S242+T242</f>
        <v>0</v>
      </c>
      <c r="V242" s="62" t="n">
        <f aca="false">-U242*N(QDisc)</f>
        <v>-0</v>
      </c>
      <c r="W242" s="63" t="n">
        <f aca="false">U242+V242</f>
        <v>0</v>
      </c>
      <c r="X242" s="63" t="n">
        <f aca="false">W242/QRate</f>
        <v>0</v>
      </c>
      <c r="Y242" s="0" t="n">
        <v>8</v>
      </c>
    </row>
    <row r="243" customFormat="false" ht="15" hidden="false" customHeight="false" outlineLevel="0" collapsed="false">
      <c r="A243" s="68" t="n">
        <f aca="false">'CC Volume'!A243</f>
        <v>3</v>
      </c>
      <c r="B243" s="13" t="str">
        <f aca="false">IF('CC Volume'!B243="","",'CC Volume'!B243)</f>
        <v/>
      </c>
      <c r="C243" s="13" t="str">
        <f aca="false">IF('CC Volume'!C243="","",'CC Volume'!C243)</f>
        <v/>
      </c>
      <c r="D243" s="13" t="str">
        <f aca="false">IF('CC Volume'!D243="","",'CC Volume'!D243)</f>
        <v/>
      </c>
      <c r="E243" s="68" t="str">
        <f aca="false">IF('CC Volume'!E243="","",'CC Volume'!E243)</f>
        <v/>
      </c>
      <c r="F243" s="68" t="str">
        <f aca="false">IF('CC Volume'!F243="","",'CC Volume'!F243)</f>
        <v/>
      </c>
      <c r="G243" s="69" t="str">
        <f aca="false">'CC Volume'!AN243</f>
        <v/>
      </c>
      <c r="H243" s="69" t="str">
        <f aca="false">'CC Volume'!AO243</f>
        <v/>
      </c>
      <c r="I243" s="69" t="str">
        <f aca="false">'CC Volume'!AM243</f>
        <v/>
      </c>
      <c r="J243" s="62" t="str">
        <f aca="false">IF(N(H243)=0,"",IFERROR(INDEX(CC_RegRate,MATCH(F243,CC_RegU,0)),0))</f>
        <v/>
      </c>
      <c r="K243" s="62" t="n">
        <f aca="false">N(H243)*N(J243)</f>
        <v>0</v>
      </c>
      <c r="L243" s="62" t="n">
        <f aca="false">IF(CC_IncWaste="Yes",N(I243)*N(XWaste),0)</f>
        <v>0</v>
      </c>
      <c r="M243" s="65" t="n">
        <f aca="false">IF(N(G243)=0,0,IF(CC_AllocBasis="Equipment count",1,IF(CC_AllocBasis="Equipment volume",N(G243),N(H243))))</f>
        <v>0</v>
      </c>
      <c r="N243" s="15" t="n">
        <f aca="false">IF(SUM(CC_P_M)=0,0,M243/SUM(CC_P_M))</f>
        <v>0</v>
      </c>
      <c r="O243" s="62" t="n">
        <f aca="false">N243*CC_SharedCost</f>
        <v>0</v>
      </c>
      <c r="P243" s="63" t="n">
        <f aca="false">K243+L243+O243</f>
        <v>0</v>
      </c>
      <c r="Q243" s="62" t="n">
        <f aca="false">K243*(1+INDEX(MkMatrix,3,3))</f>
        <v>0</v>
      </c>
      <c r="R243" s="62" t="n">
        <f aca="false">L243*(1+INDEX(MkMatrix,3,3))</f>
        <v>0</v>
      </c>
      <c r="S243" s="62" t="n">
        <f aca="false">N243*CC_SharedSell</f>
        <v>0</v>
      </c>
      <c r="T243" s="62" t="n">
        <f aca="false">P243*N(QCont)</f>
        <v>0</v>
      </c>
      <c r="U243" s="62" t="n">
        <f aca="false">Q243+R243+S243+T243</f>
        <v>0</v>
      </c>
      <c r="V243" s="62" t="n">
        <f aca="false">-U243*N(QDisc)</f>
        <v>-0</v>
      </c>
      <c r="W243" s="63" t="n">
        <f aca="false">U243+V243</f>
        <v>0</v>
      </c>
      <c r="X243" s="63" t="n">
        <f aca="false">W243/QRate</f>
        <v>0</v>
      </c>
      <c r="Y243" s="0" t="n">
        <v>8</v>
      </c>
    </row>
    <row r="244" customFormat="false" ht="15" hidden="false" customHeight="false" outlineLevel="0" collapsed="false">
      <c r="A244" s="68" t="n">
        <f aca="false">'CC Volume'!A244</f>
        <v>4</v>
      </c>
      <c r="B244" s="13" t="str">
        <f aca="false">IF('CC Volume'!B244="","",'CC Volume'!B244)</f>
        <v/>
      </c>
      <c r="C244" s="13" t="str">
        <f aca="false">IF('CC Volume'!C244="","",'CC Volume'!C244)</f>
        <v/>
      </c>
      <c r="D244" s="13" t="str">
        <f aca="false">IF('CC Volume'!D244="","",'CC Volume'!D244)</f>
        <v/>
      </c>
      <c r="E244" s="68" t="str">
        <f aca="false">IF('CC Volume'!E244="","",'CC Volume'!E244)</f>
        <v/>
      </c>
      <c r="F244" s="68" t="str">
        <f aca="false">IF('CC Volume'!F244="","",'CC Volume'!F244)</f>
        <v/>
      </c>
      <c r="G244" s="69" t="str">
        <f aca="false">'CC Volume'!AN244</f>
        <v/>
      </c>
      <c r="H244" s="69" t="str">
        <f aca="false">'CC Volume'!AO244</f>
        <v/>
      </c>
      <c r="I244" s="69" t="str">
        <f aca="false">'CC Volume'!AM244</f>
        <v/>
      </c>
      <c r="J244" s="62" t="str">
        <f aca="false">IF(N(H244)=0,"",IFERROR(INDEX(CC_RegRate,MATCH(F244,CC_RegU,0)),0))</f>
        <v/>
      </c>
      <c r="K244" s="62" t="n">
        <f aca="false">N(H244)*N(J244)</f>
        <v>0</v>
      </c>
      <c r="L244" s="62" t="n">
        <f aca="false">IF(CC_IncWaste="Yes",N(I244)*N(XWaste),0)</f>
        <v>0</v>
      </c>
      <c r="M244" s="65" t="n">
        <f aca="false">IF(N(G244)=0,0,IF(CC_AllocBasis="Equipment count",1,IF(CC_AllocBasis="Equipment volume",N(G244),N(H244))))</f>
        <v>0</v>
      </c>
      <c r="N244" s="15" t="n">
        <f aca="false">IF(SUM(CC_P_M)=0,0,M244/SUM(CC_P_M))</f>
        <v>0</v>
      </c>
      <c r="O244" s="62" t="n">
        <f aca="false">N244*CC_SharedCost</f>
        <v>0</v>
      </c>
      <c r="P244" s="63" t="n">
        <f aca="false">K244+L244+O244</f>
        <v>0</v>
      </c>
      <c r="Q244" s="62" t="n">
        <f aca="false">K244*(1+INDEX(MkMatrix,3,3))</f>
        <v>0</v>
      </c>
      <c r="R244" s="62" t="n">
        <f aca="false">L244*(1+INDEX(MkMatrix,3,3))</f>
        <v>0</v>
      </c>
      <c r="S244" s="62" t="n">
        <f aca="false">N244*CC_SharedSell</f>
        <v>0</v>
      </c>
      <c r="T244" s="62" t="n">
        <f aca="false">P244*N(QCont)</f>
        <v>0</v>
      </c>
      <c r="U244" s="62" t="n">
        <f aca="false">Q244+R244+S244+T244</f>
        <v>0</v>
      </c>
      <c r="V244" s="62" t="n">
        <f aca="false">-U244*N(QDisc)</f>
        <v>-0</v>
      </c>
      <c r="W244" s="63" t="n">
        <f aca="false">U244+V244</f>
        <v>0</v>
      </c>
      <c r="X244" s="63" t="n">
        <f aca="false">W244/QRate</f>
        <v>0</v>
      </c>
      <c r="Y244" s="0" t="n">
        <v>8</v>
      </c>
    </row>
    <row r="245" customFormat="false" ht="15" hidden="false" customHeight="false" outlineLevel="0" collapsed="false">
      <c r="A245" s="68" t="n">
        <f aca="false">'CC Volume'!A245</f>
        <v>5</v>
      </c>
      <c r="B245" s="13" t="str">
        <f aca="false">IF('CC Volume'!B245="","",'CC Volume'!B245)</f>
        <v/>
      </c>
      <c r="C245" s="13" t="str">
        <f aca="false">IF('CC Volume'!C245="","",'CC Volume'!C245)</f>
        <v/>
      </c>
      <c r="D245" s="13" t="str">
        <f aca="false">IF('CC Volume'!D245="","",'CC Volume'!D245)</f>
        <v/>
      </c>
      <c r="E245" s="68" t="str">
        <f aca="false">IF('CC Volume'!E245="","",'CC Volume'!E245)</f>
        <v/>
      </c>
      <c r="F245" s="68" t="str">
        <f aca="false">IF('CC Volume'!F245="","",'CC Volume'!F245)</f>
        <v/>
      </c>
      <c r="G245" s="69" t="str">
        <f aca="false">'CC Volume'!AN245</f>
        <v/>
      </c>
      <c r="H245" s="69" t="str">
        <f aca="false">'CC Volume'!AO245</f>
        <v/>
      </c>
      <c r="I245" s="69" t="str">
        <f aca="false">'CC Volume'!AM245</f>
        <v/>
      </c>
      <c r="J245" s="62" t="str">
        <f aca="false">IF(N(H245)=0,"",IFERROR(INDEX(CC_RegRate,MATCH(F245,CC_RegU,0)),0))</f>
        <v/>
      </c>
      <c r="K245" s="62" t="n">
        <f aca="false">N(H245)*N(J245)</f>
        <v>0</v>
      </c>
      <c r="L245" s="62" t="n">
        <f aca="false">IF(CC_IncWaste="Yes",N(I245)*N(XWaste),0)</f>
        <v>0</v>
      </c>
      <c r="M245" s="65" t="n">
        <f aca="false">IF(N(G245)=0,0,IF(CC_AllocBasis="Equipment count",1,IF(CC_AllocBasis="Equipment volume",N(G245),N(H245))))</f>
        <v>0</v>
      </c>
      <c r="N245" s="15" t="n">
        <f aca="false">IF(SUM(CC_P_M)=0,0,M245/SUM(CC_P_M))</f>
        <v>0</v>
      </c>
      <c r="O245" s="62" t="n">
        <f aca="false">N245*CC_SharedCost</f>
        <v>0</v>
      </c>
      <c r="P245" s="63" t="n">
        <f aca="false">K245+L245+O245</f>
        <v>0</v>
      </c>
      <c r="Q245" s="62" t="n">
        <f aca="false">K245*(1+INDEX(MkMatrix,3,3))</f>
        <v>0</v>
      </c>
      <c r="R245" s="62" t="n">
        <f aca="false">L245*(1+INDEX(MkMatrix,3,3))</f>
        <v>0</v>
      </c>
      <c r="S245" s="62" t="n">
        <f aca="false">N245*CC_SharedSell</f>
        <v>0</v>
      </c>
      <c r="T245" s="62" t="n">
        <f aca="false">P245*N(QCont)</f>
        <v>0</v>
      </c>
      <c r="U245" s="62" t="n">
        <f aca="false">Q245+R245+S245+T245</f>
        <v>0</v>
      </c>
      <c r="V245" s="62" t="n">
        <f aca="false">-U245*N(QDisc)</f>
        <v>-0</v>
      </c>
      <c r="W245" s="63" t="n">
        <f aca="false">U245+V245</f>
        <v>0</v>
      </c>
      <c r="X245" s="63" t="n">
        <f aca="false">W245/QRate</f>
        <v>0</v>
      </c>
      <c r="Y245" s="0" t="n">
        <v>8</v>
      </c>
    </row>
    <row r="246" customFormat="false" ht="15" hidden="false" customHeight="false" outlineLevel="0" collapsed="false">
      <c r="A246" s="68" t="n">
        <f aca="false">'CC Volume'!A246</f>
        <v>6</v>
      </c>
      <c r="B246" s="13" t="str">
        <f aca="false">IF('CC Volume'!B246="","",'CC Volume'!B246)</f>
        <v/>
      </c>
      <c r="C246" s="13" t="str">
        <f aca="false">IF('CC Volume'!C246="","",'CC Volume'!C246)</f>
        <v/>
      </c>
      <c r="D246" s="13" t="str">
        <f aca="false">IF('CC Volume'!D246="","",'CC Volume'!D246)</f>
        <v/>
      </c>
      <c r="E246" s="68" t="str">
        <f aca="false">IF('CC Volume'!E246="","",'CC Volume'!E246)</f>
        <v/>
      </c>
      <c r="F246" s="68" t="str">
        <f aca="false">IF('CC Volume'!F246="","",'CC Volume'!F246)</f>
        <v/>
      </c>
      <c r="G246" s="69" t="str">
        <f aca="false">'CC Volume'!AN246</f>
        <v/>
      </c>
      <c r="H246" s="69" t="str">
        <f aca="false">'CC Volume'!AO246</f>
        <v/>
      </c>
      <c r="I246" s="69" t="str">
        <f aca="false">'CC Volume'!AM246</f>
        <v/>
      </c>
      <c r="J246" s="62" t="str">
        <f aca="false">IF(N(H246)=0,"",IFERROR(INDEX(CC_RegRate,MATCH(F246,CC_RegU,0)),0))</f>
        <v/>
      </c>
      <c r="K246" s="62" t="n">
        <f aca="false">N(H246)*N(J246)</f>
        <v>0</v>
      </c>
      <c r="L246" s="62" t="n">
        <f aca="false">IF(CC_IncWaste="Yes",N(I246)*N(XWaste),0)</f>
        <v>0</v>
      </c>
      <c r="M246" s="65" t="n">
        <f aca="false">IF(N(G246)=0,0,IF(CC_AllocBasis="Equipment count",1,IF(CC_AllocBasis="Equipment volume",N(G246),N(H246))))</f>
        <v>0</v>
      </c>
      <c r="N246" s="15" t="n">
        <f aca="false">IF(SUM(CC_P_M)=0,0,M246/SUM(CC_P_M))</f>
        <v>0</v>
      </c>
      <c r="O246" s="62" t="n">
        <f aca="false">N246*CC_SharedCost</f>
        <v>0</v>
      </c>
      <c r="P246" s="63" t="n">
        <f aca="false">K246+L246+O246</f>
        <v>0</v>
      </c>
      <c r="Q246" s="62" t="n">
        <f aca="false">K246*(1+INDEX(MkMatrix,3,3))</f>
        <v>0</v>
      </c>
      <c r="R246" s="62" t="n">
        <f aca="false">L246*(1+INDEX(MkMatrix,3,3))</f>
        <v>0</v>
      </c>
      <c r="S246" s="62" t="n">
        <f aca="false">N246*CC_SharedSell</f>
        <v>0</v>
      </c>
      <c r="T246" s="62" t="n">
        <f aca="false">P246*N(QCont)</f>
        <v>0</v>
      </c>
      <c r="U246" s="62" t="n">
        <f aca="false">Q246+R246+S246+T246</f>
        <v>0</v>
      </c>
      <c r="V246" s="62" t="n">
        <f aca="false">-U246*N(QDisc)</f>
        <v>-0</v>
      </c>
      <c r="W246" s="63" t="n">
        <f aca="false">U246+V246</f>
        <v>0</v>
      </c>
      <c r="X246" s="63" t="n">
        <f aca="false">W246/QRate</f>
        <v>0</v>
      </c>
      <c r="Y246" s="0" t="n">
        <v>8</v>
      </c>
    </row>
    <row r="247" customFormat="false" ht="15" hidden="false" customHeight="false" outlineLevel="0" collapsed="false">
      <c r="A247" s="68" t="n">
        <f aca="false">'CC Volume'!A247</f>
        <v>7</v>
      </c>
      <c r="B247" s="13" t="str">
        <f aca="false">IF('CC Volume'!B247="","",'CC Volume'!B247)</f>
        <v/>
      </c>
      <c r="C247" s="13" t="str">
        <f aca="false">IF('CC Volume'!C247="","",'CC Volume'!C247)</f>
        <v/>
      </c>
      <c r="D247" s="13" t="str">
        <f aca="false">IF('CC Volume'!D247="","",'CC Volume'!D247)</f>
        <v/>
      </c>
      <c r="E247" s="68" t="str">
        <f aca="false">IF('CC Volume'!E247="","",'CC Volume'!E247)</f>
        <v/>
      </c>
      <c r="F247" s="68" t="str">
        <f aca="false">IF('CC Volume'!F247="","",'CC Volume'!F247)</f>
        <v/>
      </c>
      <c r="G247" s="69" t="str">
        <f aca="false">'CC Volume'!AN247</f>
        <v/>
      </c>
      <c r="H247" s="69" t="str">
        <f aca="false">'CC Volume'!AO247</f>
        <v/>
      </c>
      <c r="I247" s="69" t="str">
        <f aca="false">'CC Volume'!AM247</f>
        <v/>
      </c>
      <c r="J247" s="62" t="str">
        <f aca="false">IF(N(H247)=0,"",IFERROR(INDEX(CC_RegRate,MATCH(F247,CC_RegU,0)),0))</f>
        <v/>
      </c>
      <c r="K247" s="62" t="n">
        <f aca="false">N(H247)*N(J247)</f>
        <v>0</v>
      </c>
      <c r="L247" s="62" t="n">
        <f aca="false">IF(CC_IncWaste="Yes",N(I247)*N(XWaste),0)</f>
        <v>0</v>
      </c>
      <c r="M247" s="65" t="n">
        <f aca="false">IF(N(G247)=0,0,IF(CC_AllocBasis="Equipment count",1,IF(CC_AllocBasis="Equipment volume",N(G247),N(H247))))</f>
        <v>0</v>
      </c>
      <c r="N247" s="15" t="n">
        <f aca="false">IF(SUM(CC_P_M)=0,0,M247/SUM(CC_P_M))</f>
        <v>0</v>
      </c>
      <c r="O247" s="62" t="n">
        <f aca="false">N247*CC_SharedCost</f>
        <v>0</v>
      </c>
      <c r="P247" s="63" t="n">
        <f aca="false">K247+L247+O247</f>
        <v>0</v>
      </c>
      <c r="Q247" s="62" t="n">
        <f aca="false">K247*(1+INDEX(MkMatrix,3,3))</f>
        <v>0</v>
      </c>
      <c r="R247" s="62" t="n">
        <f aca="false">L247*(1+INDEX(MkMatrix,3,3))</f>
        <v>0</v>
      </c>
      <c r="S247" s="62" t="n">
        <f aca="false">N247*CC_SharedSell</f>
        <v>0</v>
      </c>
      <c r="T247" s="62" t="n">
        <f aca="false">P247*N(QCont)</f>
        <v>0</v>
      </c>
      <c r="U247" s="62" t="n">
        <f aca="false">Q247+R247+S247+T247</f>
        <v>0</v>
      </c>
      <c r="V247" s="62" t="n">
        <f aca="false">-U247*N(QDisc)</f>
        <v>-0</v>
      </c>
      <c r="W247" s="63" t="n">
        <f aca="false">U247+V247</f>
        <v>0</v>
      </c>
      <c r="X247" s="63" t="n">
        <f aca="false">W247/QRate</f>
        <v>0</v>
      </c>
      <c r="Y247" s="0" t="n">
        <v>8</v>
      </c>
    </row>
    <row r="248" customFormat="false" ht="15" hidden="false" customHeight="false" outlineLevel="0" collapsed="false">
      <c r="A248" s="68" t="n">
        <f aca="false">'CC Volume'!A248</f>
        <v>8</v>
      </c>
      <c r="B248" s="13" t="str">
        <f aca="false">IF('CC Volume'!B248="","",'CC Volume'!B248)</f>
        <v/>
      </c>
      <c r="C248" s="13" t="str">
        <f aca="false">IF('CC Volume'!C248="","",'CC Volume'!C248)</f>
        <v/>
      </c>
      <c r="D248" s="13" t="str">
        <f aca="false">IF('CC Volume'!D248="","",'CC Volume'!D248)</f>
        <v/>
      </c>
      <c r="E248" s="68" t="str">
        <f aca="false">IF('CC Volume'!E248="","",'CC Volume'!E248)</f>
        <v/>
      </c>
      <c r="F248" s="68" t="str">
        <f aca="false">IF('CC Volume'!F248="","",'CC Volume'!F248)</f>
        <v/>
      </c>
      <c r="G248" s="69" t="str">
        <f aca="false">'CC Volume'!AN248</f>
        <v/>
      </c>
      <c r="H248" s="69" t="str">
        <f aca="false">'CC Volume'!AO248</f>
        <v/>
      </c>
      <c r="I248" s="69" t="str">
        <f aca="false">'CC Volume'!AM248</f>
        <v/>
      </c>
      <c r="J248" s="62" t="str">
        <f aca="false">IF(N(H248)=0,"",IFERROR(INDEX(CC_RegRate,MATCH(F248,CC_RegU,0)),0))</f>
        <v/>
      </c>
      <c r="K248" s="62" t="n">
        <f aca="false">N(H248)*N(J248)</f>
        <v>0</v>
      </c>
      <c r="L248" s="62" t="n">
        <f aca="false">IF(CC_IncWaste="Yes",N(I248)*N(XWaste),0)</f>
        <v>0</v>
      </c>
      <c r="M248" s="65" t="n">
        <f aca="false">IF(N(G248)=0,0,IF(CC_AllocBasis="Equipment count",1,IF(CC_AllocBasis="Equipment volume",N(G248),N(H248))))</f>
        <v>0</v>
      </c>
      <c r="N248" s="15" t="n">
        <f aca="false">IF(SUM(CC_P_M)=0,0,M248/SUM(CC_P_M))</f>
        <v>0</v>
      </c>
      <c r="O248" s="62" t="n">
        <f aca="false">N248*CC_SharedCost</f>
        <v>0</v>
      </c>
      <c r="P248" s="63" t="n">
        <f aca="false">K248+L248+O248</f>
        <v>0</v>
      </c>
      <c r="Q248" s="62" t="n">
        <f aca="false">K248*(1+INDEX(MkMatrix,3,3))</f>
        <v>0</v>
      </c>
      <c r="R248" s="62" t="n">
        <f aca="false">L248*(1+INDEX(MkMatrix,3,3))</f>
        <v>0</v>
      </c>
      <c r="S248" s="62" t="n">
        <f aca="false">N248*CC_SharedSell</f>
        <v>0</v>
      </c>
      <c r="T248" s="62" t="n">
        <f aca="false">P248*N(QCont)</f>
        <v>0</v>
      </c>
      <c r="U248" s="62" t="n">
        <f aca="false">Q248+R248+S248+T248</f>
        <v>0</v>
      </c>
      <c r="V248" s="62" t="n">
        <f aca="false">-U248*N(QDisc)</f>
        <v>-0</v>
      </c>
      <c r="W248" s="63" t="n">
        <f aca="false">U248+V248</f>
        <v>0</v>
      </c>
      <c r="X248" s="63" t="n">
        <f aca="false">W248/QRate</f>
        <v>0</v>
      </c>
      <c r="Y248" s="0" t="n">
        <v>8</v>
      </c>
    </row>
    <row r="249" customFormat="false" ht="15" hidden="false" customHeight="false" outlineLevel="0" collapsed="false">
      <c r="A249" s="68" t="n">
        <f aca="false">'CC Volume'!A249</f>
        <v>9</v>
      </c>
      <c r="B249" s="13" t="str">
        <f aca="false">IF('CC Volume'!B249="","",'CC Volume'!B249)</f>
        <v/>
      </c>
      <c r="C249" s="13" t="str">
        <f aca="false">IF('CC Volume'!C249="","",'CC Volume'!C249)</f>
        <v/>
      </c>
      <c r="D249" s="13" t="str">
        <f aca="false">IF('CC Volume'!D249="","",'CC Volume'!D249)</f>
        <v/>
      </c>
      <c r="E249" s="68" t="str">
        <f aca="false">IF('CC Volume'!E249="","",'CC Volume'!E249)</f>
        <v/>
      </c>
      <c r="F249" s="68" t="str">
        <f aca="false">IF('CC Volume'!F249="","",'CC Volume'!F249)</f>
        <v/>
      </c>
      <c r="G249" s="69" t="str">
        <f aca="false">'CC Volume'!AN249</f>
        <v/>
      </c>
      <c r="H249" s="69" t="str">
        <f aca="false">'CC Volume'!AO249</f>
        <v/>
      </c>
      <c r="I249" s="69" t="str">
        <f aca="false">'CC Volume'!AM249</f>
        <v/>
      </c>
      <c r="J249" s="62" t="str">
        <f aca="false">IF(N(H249)=0,"",IFERROR(INDEX(CC_RegRate,MATCH(F249,CC_RegU,0)),0))</f>
        <v/>
      </c>
      <c r="K249" s="62" t="n">
        <f aca="false">N(H249)*N(J249)</f>
        <v>0</v>
      </c>
      <c r="L249" s="62" t="n">
        <f aca="false">IF(CC_IncWaste="Yes",N(I249)*N(XWaste),0)</f>
        <v>0</v>
      </c>
      <c r="M249" s="65" t="n">
        <f aca="false">IF(N(G249)=0,0,IF(CC_AllocBasis="Equipment count",1,IF(CC_AllocBasis="Equipment volume",N(G249),N(H249))))</f>
        <v>0</v>
      </c>
      <c r="N249" s="15" t="n">
        <f aca="false">IF(SUM(CC_P_M)=0,0,M249/SUM(CC_P_M))</f>
        <v>0</v>
      </c>
      <c r="O249" s="62" t="n">
        <f aca="false">N249*CC_SharedCost</f>
        <v>0</v>
      </c>
      <c r="P249" s="63" t="n">
        <f aca="false">K249+L249+O249</f>
        <v>0</v>
      </c>
      <c r="Q249" s="62" t="n">
        <f aca="false">K249*(1+INDEX(MkMatrix,3,3))</f>
        <v>0</v>
      </c>
      <c r="R249" s="62" t="n">
        <f aca="false">L249*(1+INDEX(MkMatrix,3,3))</f>
        <v>0</v>
      </c>
      <c r="S249" s="62" t="n">
        <f aca="false">N249*CC_SharedSell</f>
        <v>0</v>
      </c>
      <c r="T249" s="62" t="n">
        <f aca="false">P249*N(QCont)</f>
        <v>0</v>
      </c>
      <c r="U249" s="62" t="n">
        <f aca="false">Q249+R249+S249+T249</f>
        <v>0</v>
      </c>
      <c r="V249" s="62" t="n">
        <f aca="false">-U249*N(QDisc)</f>
        <v>-0</v>
      </c>
      <c r="W249" s="63" t="n">
        <f aca="false">U249+V249</f>
        <v>0</v>
      </c>
      <c r="X249" s="63" t="n">
        <f aca="false">W249/QRate</f>
        <v>0</v>
      </c>
      <c r="Y249" s="0" t="n">
        <v>8</v>
      </c>
    </row>
    <row r="250" customFormat="false" ht="15" hidden="false" customHeight="false" outlineLevel="0" collapsed="false">
      <c r="A250" s="68" t="n">
        <f aca="false">'CC Volume'!A250</f>
        <v>10</v>
      </c>
      <c r="B250" s="13" t="str">
        <f aca="false">IF('CC Volume'!B250="","",'CC Volume'!B250)</f>
        <v/>
      </c>
      <c r="C250" s="13" t="str">
        <f aca="false">IF('CC Volume'!C250="","",'CC Volume'!C250)</f>
        <v/>
      </c>
      <c r="D250" s="13" t="str">
        <f aca="false">IF('CC Volume'!D250="","",'CC Volume'!D250)</f>
        <v/>
      </c>
      <c r="E250" s="68" t="str">
        <f aca="false">IF('CC Volume'!E250="","",'CC Volume'!E250)</f>
        <v/>
      </c>
      <c r="F250" s="68" t="str">
        <f aca="false">IF('CC Volume'!F250="","",'CC Volume'!F250)</f>
        <v/>
      </c>
      <c r="G250" s="69" t="str">
        <f aca="false">'CC Volume'!AN250</f>
        <v/>
      </c>
      <c r="H250" s="69" t="str">
        <f aca="false">'CC Volume'!AO250</f>
        <v/>
      </c>
      <c r="I250" s="69" t="str">
        <f aca="false">'CC Volume'!AM250</f>
        <v/>
      </c>
      <c r="J250" s="62" t="str">
        <f aca="false">IF(N(H250)=0,"",IFERROR(INDEX(CC_RegRate,MATCH(F250,CC_RegU,0)),0))</f>
        <v/>
      </c>
      <c r="K250" s="62" t="n">
        <f aca="false">N(H250)*N(J250)</f>
        <v>0</v>
      </c>
      <c r="L250" s="62" t="n">
        <f aca="false">IF(CC_IncWaste="Yes",N(I250)*N(XWaste),0)</f>
        <v>0</v>
      </c>
      <c r="M250" s="65" t="n">
        <f aca="false">IF(N(G250)=0,0,IF(CC_AllocBasis="Equipment count",1,IF(CC_AllocBasis="Equipment volume",N(G250),N(H250))))</f>
        <v>0</v>
      </c>
      <c r="N250" s="15" t="n">
        <f aca="false">IF(SUM(CC_P_M)=0,0,M250/SUM(CC_P_M))</f>
        <v>0</v>
      </c>
      <c r="O250" s="62" t="n">
        <f aca="false">N250*CC_SharedCost</f>
        <v>0</v>
      </c>
      <c r="P250" s="63" t="n">
        <f aca="false">K250+L250+O250</f>
        <v>0</v>
      </c>
      <c r="Q250" s="62" t="n">
        <f aca="false">K250*(1+INDEX(MkMatrix,3,3))</f>
        <v>0</v>
      </c>
      <c r="R250" s="62" t="n">
        <f aca="false">L250*(1+INDEX(MkMatrix,3,3))</f>
        <v>0</v>
      </c>
      <c r="S250" s="62" t="n">
        <f aca="false">N250*CC_SharedSell</f>
        <v>0</v>
      </c>
      <c r="T250" s="62" t="n">
        <f aca="false">P250*N(QCont)</f>
        <v>0</v>
      </c>
      <c r="U250" s="62" t="n">
        <f aca="false">Q250+R250+S250+T250</f>
        <v>0</v>
      </c>
      <c r="V250" s="62" t="n">
        <f aca="false">-U250*N(QDisc)</f>
        <v>-0</v>
      </c>
      <c r="W250" s="63" t="n">
        <f aca="false">U250+V250</f>
        <v>0</v>
      </c>
      <c r="X250" s="63" t="n">
        <f aca="false">W250/QRate</f>
        <v>0</v>
      </c>
      <c r="Y250" s="0" t="n">
        <v>8</v>
      </c>
    </row>
    <row r="251" customFormat="false" ht="15" hidden="false" customHeight="false" outlineLevel="0" collapsed="false">
      <c r="A251" s="68" t="n">
        <f aca="false">'CC Volume'!A251</f>
        <v>11</v>
      </c>
      <c r="B251" s="13" t="str">
        <f aca="false">IF('CC Volume'!B251="","",'CC Volume'!B251)</f>
        <v/>
      </c>
      <c r="C251" s="13" t="str">
        <f aca="false">IF('CC Volume'!C251="","",'CC Volume'!C251)</f>
        <v/>
      </c>
      <c r="D251" s="13" t="str">
        <f aca="false">IF('CC Volume'!D251="","",'CC Volume'!D251)</f>
        <v/>
      </c>
      <c r="E251" s="68" t="str">
        <f aca="false">IF('CC Volume'!E251="","",'CC Volume'!E251)</f>
        <v/>
      </c>
      <c r="F251" s="68" t="str">
        <f aca="false">IF('CC Volume'!F251="","",'CC Volume'!F251)</f>
        <v/>
      </c>
      <c r="G251" s="69" t="str">
        <f aca="false">'CC Volume'!AN251</f>
        <v/>
      </c>
      <c r="H251" s="69" t="str">
        <f aca="false">'CC Volume'!AO251</f>
        <v/>
      </c>
      <c r="I251" s="69" t="str">
        <f aca="false">'CC Volume'!AM251</f>
        <v/>
      </c>
      <c r="J251" s="62" t="str">
        <f aca="false">IF(N(H251)=0,"",IFERROR(INDEX(CC_RegRate,MATCH(F251,CC_RegU,0)),0))</f>
        <v/>
      </c>
      <c r="K251" s="62" t="n">
        <f aca="false">N(H251)*N(J251)</f>
        <v>0</v>
      </c>
      <c r="L251" s="62" t="n">
        <f aca="false">IF(CC_IncWaste="Yes",N(I251)*N(XWaste),0)</f>
        <v>0</v>
      </c>
      <c r="M251" s="65" t="n">
        <f aca="false">IF(N(G251)=0,0,IF(CC_AllocBasis="Equipment count",1,IF(CC_AllocBasis="Equipment volume",N(G251),N(H251))))</f>
        <v>0</v>
      </c>
      <c r="N251" s="15" t="n">
        <f aca="false">IF(SUM(CC_P_M)=0,0,M251/SUM(CC_P_M))</f>
        <v>0</v>
      </c>
      <c r="O251" s="62" t="n">
        <f aca="false">N251*CC_SharedCost</f>
        <v>0</v>
      </c>
      <c r="P251" s="63" t="n">
        <f aca="false">K251+L251+O251</f>
        <v>0</v>
      </c>
      <c r="Q251" s="62" t="n">
        <f aca="false">K251*(1+INDEX(MkMatrix,3,3))</f>
        <v>0</v>
      </c>
      <c r="R251" s="62" t="n">
        <f aca="false">L251*(1+INDEX(MkMatrix,3,3))</f>
        <v>0</v>
      </c>
      <c r="S251" s="62" t="n">
        <f aca="false">N251*CC_SharedSell</f>
        <v>0</v>
      </c>
      <c r="T251" s="62" t="n">
        <f aca="false">P251*N(QCont)</f>
        <v>0</v>
      </c>
      <c r="U251" s="62" t="n">
        <f aca="false">Q251+R251+S251+T251</f>
        <v>0</v>
      </c>
      <c r="V251" s="62" t="n">
        <f aca="false">-U251*N(QDisc)</f>
        <v>-0</v>
      </c>
      <c r="W251" s="63" t="n">
        <f aca="false">U251+V251</f>
        <v>0</v>
      </c>
      <c r="X251" s="63" t="n">
        <f aca="false">W251/QRate</f>
        <v>0</v>
      </c>
      <c r="Y251" s="0" t="n">
        <v>8</v>
      </c>
    </row>
    <row r="252" customFormat="false" ht="15" hidden="false" customHeight="false" outlineLevel="0" collapsed="false">
      <c r="A252" s="68" t="n">
        <f aca="false">'CC Volume'!A252</f>
        <v>12</v>
      </c>
      <c r="B252" s="13" t="str">
        <f aca="false">IF('CC Volume'!B252="","",'CC Volume'!B252)</f>
        <v/>
      </c>
      <c r="C252" s="13" t="str">
        <f aca="false">IF('CC Volume'!C252="","",'CC Volume'!C252)</f>
        <v/>
      </c>
      <c r="D252" s="13" t="str">
        <f aca="false">IF('CC Volume'!D252="","",'CC Volume'!D252)</f>
        <v/>
      </c>
      <c r="E252" s="68" t="str">
        <f aca="false">IF('CC Volume'!E252="","",'CC Volume'!E252)</f>
        <v/>
      </c>
      <c r="F252" s="68" t="str">
        <f aca="false">IF('CC Volume'!F252="","",'CC Volume'!F252)</f>
        <v/>
      </c>
      <c r="G252" s="69" t="str">
        <f aca="false">'CC Volume'!AN252</f>
        <v/>
      </c>
      <c r="H252" s="69" t="str">
        <f aca="false">'CC Volume'!AO252</f>
        <v/>
      </c>
      <c r="I252" s="69" t="str">
        <f aca="false">'CC Volume'!AM252</f>
        <v/>
      </c>
      <c r="J252" s="62" t="str">
        <f aca="false">IF(N(H252)=0,"",IFERROR(INDEX(CC_RegRate,MATCH(F252,CC_RegU,0)),0))</f>
        <v/>
      </c>
      <c r="K252" s="62" t="n">
        <f aca="false">N(H252)*N(J252)</f>
        <v>0</v>
      </c>
      <c r="L252" s="62" t="n">
        <f aca="false">IF(CC_IncWaste="Yes",N(I252)*N(XWaste),0)</f>
        <v>0</v>
      </c>
      <c r="M252" s="65" t="n">
        <f aca="false">IF(N(G252)=0,0,IF(CC_AllocBasis="Equipment count",1,IF(CC_AllocBasis="Equipment volume",N(G252),N(H252))))</f>
        <v>0</v>
      </c>
      <c r="N252" s="15" t="n">
        <f aca="false">IF(SUM(CC_P_M)=0,0,M252/SUM(CC_P_M))</f>
        <v>0</v>
      </c>
      <c r="O252" s="62" t="n">
        <f aca="false">N252*CC_SharedCost</f>
        <v>0</v>
      </c>
      <c r="P252" s="63" t="n">
        <f aca="false">K252+L252+O252</f>
        <v>0</v>
      </c>
      <c r="Q252" s="62" t="n">
        <f aca="false">K252*(1+INDEX(MkMatrix,3,3))</f>
        <v>0</v>
      </c>
      <c r="R252" s="62" t="n">
        <f aca="false">L252*(1+INDEX(MkMatrix,3,3))</f>
        <v>0</v>
      </c>
      <c r="S252" s="62" t="n">
        <f aca="false">N252*CC_SharedSell</f>
        <v>0</v>
      </c>
      <c r="T252" s="62" t="n">
        <f aca="false">P252*N(QCont)</f>
        <v>0</v>
      </c>
      <c r="U252" s="62" t="n">
        <f aca="false">Q252+R252+S252+T252</f>
        <v>0</v>
      </c>
      <c r="V252" s="62" t="n">
        <f aca="false">-U252*N(QDisc)</f>
        <v>-0</v>
      </c>
      <c r="W252" s="63" t="n">
        <f aca="false">U252+V252</f>
        <v>0</v>
      </c>
      <c r="X252" s="63" t="n">
        <f aca="false">W252/QRate</f>
        <v>0</v>
      </c>
      <c r="Y252" s="0" t="n">
        <v>8</v>
      </c>
    </row>
    <row r="253" customFormat="false" ht="15" hidden="false" customHeight="false" outlineLevel="0" collapsed="false">
      <c r="A253" s="68" t="n">
        <f aca="false">'CC Volume'!A253</f>
        <v>13</v>
      </c>
      <c r="B253" s="13" t="str">
        <f aca="false">IF('CC Volume'!B253="","",'CC Volume'!B253)</f>
        <v/>
      </c>
      <c r="C253" s="13" t="str">
        <f aca="false">IF('CC Volume'!C253="","",'CC Volume'!C253)</f>
        <v/>
      </c>
      <c r="D253" s="13" t="str">
        <f aca="false">IF('CC Volume'!D253="","",'CC Volume'!D253)</f>
        <v/>
      </c>
      <c r="E253" s="68" t="str">
        <f aca="false">IF('CC Volume'!E253="","",'CC Volume'!E253)</f>
        <v/>
      </c>
      <c r="F253" s="68" t="str">
        <f aca="false">IF('CC Volume'!F253="","",'CC Volume'!F253)</f>
        <v/>
      </c>
      <c r="G253" s="69" t="str">
        <f aca="false">'CC Volume'!AN253</f>
        <v/>
      </c>
      <c r="H253" s="69" t="str">
        <f aca="false">'CC Volume'!AO253</f>
        <v/>
      </c>
      <c r="I253" s="69" t="str">
        <f aca="false">'CC Volume'!AM253</f>
        <v/>
      </c>
      <c r="J253" s="62" t="str">
        <f aca="false">IF(N(H253)=0,"",IFERROR(INDEX(CC_RegRate,MATCH(F253,CC_RegU,0)),0))</f>
        <v/>
      </c>
      <c r="K253" s="62" t="n">
        <f aca="false">N(H253)*N(J253)</f>
        <v>0</v>
      </c>
      <c r="L253" s="62" t="n">
        <f aca="false">IF(CC_IncWaste="Yes",N(I253)*N(XWaste),0)</f>
        <v>0</v>
      </c>
      <c r="M253" s="65" t="n">
        <f aca="false">IF(N(G253)=0,0,IF(CC_AllocBasis="Equipment count",1,IF(CC_AllocBasis="Equipment volume",N(G253),N(H253))))</f>
        <v>0</v>
      </c>
      <c r="N253" s="15" t="n">
        <f aca="false">IF(SUM(CC_P_M)=0,0,M253/SUM(CC_P_M))</f>
        <v>0</v>
      </c>
      <c r="O253" s="62" t="n">
        <f aca="false">N253*CC_SharedCost</f>
        <v>0</v>
      </c>
      <c r="P253" s="63" t="n">
        <f aca="false">K253+L253+O253</f>
        <v>0</v>
      </c>
      <c r="Q253" s="62" t="n">
        <f aca="false">K253*(1+INDEX(MkMatrix,3,3))</f>
        <v>0</v>
      </c>
      <c r="R253" s="62" t="n">
        <f aca="false">L253*(1+INDEX(MkMatrix,3,3))</f>
        <v>0</v>
      </c>
      <c r="S253" s="62" t="n">
        <f aca="false">N253*CC_SharedSell</f>
        <v>0</v>
      </c>
      <c r="T253" s="62" t="n">
        <f aca="false">P253*N(QCont)</f>
        <v>0</v>
      </c>
      <c r="U253" s="62" t="n">
        <f aca="false">Q253+R253+S253+T253</f>
        <v>0</v>
      </c>
      <c r="V253" s="62" t="n">
        <f aca="false">-U253*N(QDisc)</f>
        <v>-0</v>
      </c>
      <c r="W253" s="63" t="n">
        <f aca="false">U253+V253</f>
        <v>0</v>
      </c>
      <c r="X253" s="63" t="n">
        <f aca="false">W253/QRate</f>
        <v>0</v>
      </c>
      <c r="Y253" s="0" t="n">
        <v>8</v>
      </c>
    </row>
    <row r="254" customFormat="false" ht="15" hidden="false" customHeight="false" outlineLevel="0" collapsed="false">
      <c r="A254" s="68" t="n">
        <f aca="false">'CC Volume'!A254</f>
        <v>14</v>
      </c>
      <c r="B254" s="13" t="str">
        <f aca="false">IF('CC Volume'!B254="","",'CC Volume'!B254)</f>
        <v/>
      </c>
      <c r="C254" s="13" t="str">
        <f aca="false">IF('CC Volume'!C254="","",'CC Volume'!C254)</f>
        <v/>
      </c>
      <c r="D254" s="13" t="str">
        <f aca="false">IF('CC Volume'!D254="","",'CC Volume'!D254)</f>
        <v/>
      </c>
      <c r="E254" s="68" t="str">
        <f aca="false">IF('CC Volume'!E254="","",'CC Volume'!E254)</f>
        <v/>
      </c>
      <c r="F254" s="68" t="str">
        <f aca="false">IF('CC Volume'!F254="","",'CC Volume'!F254)</f>
        <v/>
      </c>
      <c r="G254" s="69" t="str">
        <f aca="false">'CC Volume'!AN254</f>
        <v/>
      </c>
      <c r="H254" s="69" t="str">
        <f aca="false">'CC Volume'!AO254</f>
        <v/>
      </c>
      <c r="I254" s="69" t="str">
        <f aca="false">'CC Volume'!AM254</f>
        <v/>
      </c>
      <c r="J254" s="62" t="str">
        <f aca="false">IF(N(H254)=0,"",IFERROR(INDEX(CC_RegRate,MATCH(F254,CC_RegU,0)),0))</f>
        <v/>
      </c>
      <c r="K254" s="62" t="n">
        <f aca="false">N(H254)*N(J254)</f>
        <v>0</v>
      </c>
      <c r="L254" s="62" t="n">
        <f aca="false">IF(CC_IncWaste="Yes",N(I254)*N(XWaste),0)</f>
        <v>0</v>
      </c>
      <c r="M254" s="65" t="n">
        <f aca="false">IF(N(G254)=0,0,IF(CC_AllocBasis="Equipment count",1,IF(CC_AllocBasis="Equipment volume",N(G254),N(H254))))</f>
        <v>0</v>
      </c>
      <c r="N254" s="15" t="n">
        <f aca="false">IF(SUM(CC_P_M)=0,0,M254/SUM(CC_P_M))</f>
        <v>0</v>
      </c>
      <c r="O254" s="62" t="n">
        <f aca="false">N254*CC_SharedCost</f>
        <v>0</v>
      </c>
      <c r="P254" s="63" t="n">
        <f aca="false">K254+L254+O254</f>
        <v>0</v>
      </c>
      <c r="Q254" s="62" t="n">
        <f aca="false">K254*(1+INDEX(MkMatrix,3,3))</f>
        <v>0</v>
      </c>
      <c r="R254" s="62" t="n">
        <f aca="false">L254*(1+INDEX(MkMatrix,3,3))</f>
        <v>0</v>
      </c>
      <c r="S254" s="62" t="n">
        <f aca="false">N254*CC_SharedSell</f>
        <v>0</v>
      </c>
      <c r="T254" s="62" t="n">
        <f aca="false">P254*N(QCont)</f>
        <v>0</v>
      </c>
      <c r="U254" s="62" t="n">
        <f aca="false">Q254+R254+S254+T254</f>
        <v>0</v>
      </c>
      <c r="V254" s="62" t="n">
        <f aca="false">-U254*N(QDisc)</f>
        <v>-0</v>
      </c>
      <c r="W254" s="63" t="n">
        <f aca="false">U254+V254</f>
        <v>0</v>
      </c>
      <c r="X254" s="63" t="n">
        <f aca="false">W254/QRate</f>
        <v>0</v>
      </c>
      <c r="Y254" s="0" t="n">
        <v>8</v>
      </c>
    </row>
    <row r="255" customFormat="false" ht="15" hidden="false" customHeight="false" outlineLevel="0" collapsed="false">
      <c r="A255" s="68" t="n">
        <f aca="false">'CC Volume'!A255</f>
        <v>15</v>
      </c>
      <c r="B255" s="13" t="str">
        <f aca="false">IF('CC Volume'!B255="","",'CC Volume'!B255)</f>
        <v/>
      </c>
      <c r="C255" s="13" t="str">
        <f aca="false">IF('CC Volume'!C255="","",'CC Volume'!C255)</f>
        <v/>
      </c>
      <c r="D255" s="13" t="str">
        <f aca="false">IF('CC Volume'!D255="","",'CC Volume'!D255)</f>
        <v/>
      </c>
      <c r="E255" s="68" t="str">
        <f aca="false">IF('CC Volume'!E255="","",'CC Volume'!E255)</f>
        <v/>
      </c>
      <c r="F255" s="68" t="str">
        <f aca="false">IF('CC Volume'!F255="","",'CC Volume'!F255)</f>
        <v/>
      </c>
      <c r="G255" s="69" t="str">
        <f aca="false">'CC Volume'!AN255</f>
        <v/>
      </c>
      <c r="H255" s="69" t="str">
        <f aca="false">'CC Volume'!AO255</f>
        <v/>
      </c>
      <c r="I255" s="69" t="str">
        <f aca="false">'CC Volume'!AM255</f>
        <v/>
      </c>
      <c r="J255" s="62" t="str">
        <f aca="false">IF(N(H255)=0,"",IFERROR(INDEX(CC_RegRate,MATCH(F255,CC_RegU,0)),0))</f>
        <v/>
      </c>
      <c r="K255" s="62" t="n">
        <f aca="false">N(H255)*N(J255)</f>
        <v>0</v>
      </c>
      <c r="L255" s="62" t="n">
        <f aca="false">IF(CC_IncWaste="Yes",N(I255)*N(XWaste),0)</f>
        <v>0</v>
      </c>
      <c r="M255" s="65" t="n">
        <f aca="false">IF(N(G255)=0,0,IF(CC_AllocBasis="Equipment count",1,IF(CC_AllocBasis="Equipment volume",N(G255),N(H255))))</f>
        <v>0</v>
      </c>
      <c r="N255" s="15" t="n">
        <f aca="false">IF(SUM(CC_P_M)=0,0,M255/SUM(CC_P_M))</f>
        <v>0</v>
      </c>
      <c r="O255" s="62" t="n">
        <f aca="false">N255*CC_SharedCost</f>
        <v>0</v>
      </c>
      <c r="P255" s="63" t="n">
        <f aca="false">K255+L255+O255</f>
        <v>0</v>
      </c>
      <c r="Q255" s="62" t="n">
        <f aca="false">K255*(1+INDEX(MkMatrix,3,3))</f>
        <v>0</v>
      </c>
      <c r="R255" s="62" t="n">
        <f aca="false">L255*(1+INDEX(MkMatrix,3,3))</f>
        <v>0</v>
      </c>
      <c r="S255" s="62" t="n">
        <f aca="false">N255*CC_SharedSell</f>
        <v>0</v>
      </c>
      <c r="T255" s="62" t="n">
        <f aca="false">P255*N(QCont)</f>
        <v>0</v>
      </c>
      <c r="U255" s="62" t="n">
        <f aca="false">Q255+R255+S255+T255</f>
        <v>0</v>
      </c>
      <c r="V255" s="62" t="n">
        <f aca="false">-U255*N(QDisc)</f>
        <v>-0</v>
      </c>
      <c r="W255" s="63" t="n">
        <f aca="false">U255+V255</f>
        <v>0</v>
      </c>
      <c r="X255" s="63" t="n">
        <f aca="false">W255/QRate</f>
        <v>0</v>
      </c>
      <c r="Y255" s="0" t="n">
        <v>8</v>
      </c>
    </row>
    <row r="256" customFormat="false" ht="15" hidden="false" customHeight="false" outlineLevel="0" collapsed="false">
      <c r="A256" s="68" t="n">
        <f aca="false">'CC Volume'!A256</f>
        <v>16</v>
      </c>
      <c r="B256" s="13" t="str">
        <f aca="false">IF('CC Volume'!B256="","",'CC Volume'!B256)</f>
        <v/>
      </c>
      <c r="C256" s="13" t="str">
        <f aca="false">IF('CC Volume'!C256="","",'CC Volume'!C256)</f>
        <v/>
      </c>
      <c r="D256" s="13" t="str">
        <f aca="false">IF('CC Volume'!D256="","",'CC Volume'!D256)</f>
        <v/>
      </c>
      <c r="E256" s="68" t="str">
        <f aca="false">IF('CC Volume'!E256="","",'CC Volume'!E256)</f>
        <v/>
      </c>
      <c r="F256" s="68" t="str">
        <f aca="false">IF('CC Volume'!F256="","",'CC Volume'!F256)</f>
        <v/>
      </c>
      <c r="G256" s="69" t="str">
        <f aca="false">'CC Volume'!AN256</f>
        <v/>
      </c>
      <c r="H256" s="69" t="str">
        <f aca="false">'CC Volume'!AO256</f>
        <v/>
      </c>
      <c r="I256" s="69" t="str">
        <f aca="false">'CC Volume'!AM256</f>
        <v/>
      </c>
      <c r="J256" s="62" t="str">
        <f aca="false">IF(N(H256)=0,"",IFERROR(INDEX(CC_RegRate,MATCH(F256,CC_RegU,0)),0))</f>
        <v/>
      </c>
      <c r="K256" s="62" t="n">
        <f aca="false">N(H256)*N(J256)</f>
        <v>0</v>
      </c>
      <c r="L256" s="62" t="n">
        <f aca="false">IF(CC_IncWaste="Yes",N(I256)*N(XWaste),0)</f>
        <v>0</v>
      </c>
      <c r="M256" s="65" t="n">
        <f aca="false">IF(N(G256)=0,0,IF(CC_AllocBasis="Equipment count",1,IF(CC_AllocBasis="Equipment volume",N(G256),N(H256))))</f>
        <v>0</v>
      </c>
      <c r="N256" s="15" t="n">
        <f aca="false">IF(SUM(CC_P_M)=0,0,M256/SUM(CC_P_M))</f>
        <v>0</v>
      </c>
      <c r="O256" s="62" t="n">
        <f aca="false">N256*CC_SharedCost</f>
        <v>0</v>
      </c>
      <c r="P256" s="63" t="n">
        <f aca="false">K256+L256+O256</f>
        <v>0</v>
      </c>
      <c r="Q256" s="62" t="n">
        <f aca="false">K256*(1+INDEX(MkMatrix,3,3))</f>
        <v>0</v>
      </c>
      <c r="R256" s="62" t="n">
        <f aca="false">L256*(1+INDEX(MkMatrix,3,3))</f>
        <v>0</v>
      </c>
      <c r="S256" s="62" t="n">
        <f aca="false">N256*CC_SharedSell</f>
        <v>0</v>
      </c>
      <c r="T256" s="62" t="n">
        <f aca="false">P256*N(QCont)</f>
        <v>0</v>
      </c>
      <c r="U256" s="62" t="n">
        <f aca="false">Q256+R256+S256+T256</f>
        <v>0</v>
      </c>
      <c r="V256" s="62" t="n">
        <f aca="false">-U256*N(QDisc)</f>
        <v>-0</v>
      </c>
      <c r="W256" s="63" t="n">
        <f aca="false">U256+V256</f>
        <v>0</v>
      </c>
      <c r="X256" s="63" t="n">
        <f aca="false">W256/QRate</f>
        <v>0</v>
      </c>
      <c r="Y256" s="0" t="n">
        <v>8</v>
      </c>
    </row>
    <row r="257" customFormat="false" ht="15" hidden="false" customHeight="false" outlineLevel="0" collapsed="false">
      <c r="A257" s="68" t="n">
        <f aca="false">'CC Volume'!A257</f>
        <v>17</v>
      </c>
      <c r="B257" s="13" t="str">
        <f aca="false">IF('CC Volume'!B257="","",'CC Volume'!B257)</f>
        <v/>
      </c>
      <c r="C257" s="13" t="str">
        <f aca="false">IF('CC Volume'!C257="","",'CC Volume'!C257)</f>
        <v/>
      </c>
      <c r="D257" s="13" t="str">
        <f aca="false">IF('CC Volume'!D257="","",'CC Volume'!D257)</f>
        <v/>
      </c>
      <c r="E257" s="68" t="str">
        <f aca="false">IF('CC Volume'!E257="","",'CC Volume'!E257)</f>
        <v/>
      </c>
      <c r="F257" s="68" t="str">
        <f aca="false">IF('CC Volume'!F257="","",'CC Volume'!F257)</f>
        <v/>
      </c>
      <c r="G257" s="69" t="str">
        <f aca="false">'CC Volume'!AN257</f>
        <v/>
      </c>
      <c r="H257" s="69" t="str">
        <f aca="false">'CC Volume'!AO257</f>
        <v/>
      </c>
      <c r="I257" s="69" t="str">
        <f aca="false">'CC Volume'!AM257</f>
        <v/>
      </c>
      <c r="J257" s="62" t="str">
        <f aca="false">IF(N(H257)=0,"",IFERROR(INDEX(CC_RegRate,MATCH(F257,CC_RegU,0)),0))</f>
        <v/>
      </c>
      <c r="K257" s="62" t="n">
        <f aca="false">N(H257)*N(J257)</f>
        <v>0</v>
      </c>
      <c r="L257" s="62" t="n">
        <f aca="false">IF(CC_IncWaste="Yes",N(I257)*N(XWaste),0)</f>
        <v>0</v>
      </c>
      <c r="M257" s="65" t="n">
        <f aca="false">IF(N(G257)=0,0,IF(CC_AllocBasis="Equipment count",1,IF(CC_AllocBasis="Equipment volume",N(G257),N(H257))))</f>
        <v>0</v>
      </c>
      <c r="N257" s="15" t="n">
        <f aca="false">IF(SUM(CC_P_M)=0,0,M257/SUM(CC_P_M))</f>
        <v>0</v>
      </c>
      <c r="O257" s="62" t="n">
        <f aca="false">N257*CC_SharedCost</f>
        <v>0</v>
      </c>
      <c r="P257" s="63" t="n">
        <f aca="false">K257+L257+O257</f>
        <v>0</v>
      </c>
      <c r="Q257" s="62" t="n">
        <f aca="false">K257*(1+INDEX(MkMatrix,3,3))</f>
        <v>0</v>
      </c>
      <c r="R257" s="62" t="n">
        <f aca="false">L257*(1+INDEX(MkMatrix,3,3))</f>
        <v>0</v>
      </c>
      <c r="S257" s="62" t="n">
        <f aca="false">N257*CC_SharedSell</f>
        <v>0</v>
      </c>
      <c r="T257" s="62" t="n">
        <f aca="false">P257*N(QCont)</f>
        <v>0</v>
      </c>
      <c r="U257" s="62" t="n">
        <f aca="false">Q257+R257+S257+T257</f>
        <v>0</v>
      </c>
      <c r="V257" s="62" t="n">
        <f aca="false">-U257*N(QDisc)</f>
        <v>-0</v>
      </c>
      <c r="W257" s="63" t="n">
        <f aca="false">U257+V257</f>
        <v>0</v>
      </c>
      <c r="X257" s="63" t="n">
        <f aca="false">W257/QRate</f>
        <v>0</v>
      </c>
      <c r="Y257" s="0" t="n">
        <v>8</v>
      </c>
    </row>
    <row r="258" customFormat="false" ht="15" hidden="false" customHeight="false" outlineLevel="0" collapsed="false">
      <c r="A258" s="68" t="n">
        <f aca="false">'CC Volume'!A258</f>
        <v>18</v>
      </c>
      <c r="B258" s="13" t="str">
        <f aca="false">IF('CC Volume'!B258="","",'CC Volume'!B258)</f>
        <v/>
      </c>
      <c r="C258" s="13" t="str">
        <f aca="false">IF('CC Volume'!C258="","",'CC Volume'!C258)</f>
        <v/>
      </c>
      <c r="D258" s="13" t="str">
        <f aca="false">IF('CC Volume'!D258="","",'CC Volume'!D258)</f>
        <v/>
      </c>
      <c r="E258" s="68" t="str">
        <f aca="false">IF('CC Volume'!E258="","",'CC Volume'!E258)</f>
        <v/>
      </c>
      <c r="F258" s="68" t="str">
        <f aca="false">IF('CC Volume'!F258="","",'CC Volume'!F258)</f>
        <v/>
      </c>
      <c r="G258" s="69" t="str">
        <f aca="false">'CC Volume'!AN258</f>
        <v/>
      </c>
      <c r="H258" s="69" t="str">
        <f aca="false">'CC Volume'!AO258</f>
        <v/>
      </c>
      <c r="I258" s="69" t="str">
        <f aca="false">'CC Volume'!AM258</f>
        <v/>
      </c>
      <c r="J258" s="62" t="str">
        <f aca="false">IF(N(H258)=0,"",IFERROR(INDEX(CC_RegRate,MATCH(F258,CC_RegU,0)),0))</f>
        <v/>
      </c>
      <c r="K258" s="62" t="n">
        <f aca="false">N(H258)*N(J258)</f>
        <v>0</v>
      </c>
      <c r="L258" s="62" t="n">
        <f aca="false">IF(CC_IncWaste="Yes",N(I258)*N(XWaste),0)</f>
        <v>0</v>
      </c>
      <c r="M258" s="65" t="n">
        <f aca="false">IF(N(G258)=0,0,IF(CC_AllocBasis="Equipment count",1,IF(CC_AllocBasis="Equipment volume",N(G258),N(H258))))</f>
        <v>0</v>
      </c>
      <c r="N258" s="15" t="n">
        <f aca="false">IF(SUM(CC_P_M)=0,0,M258/SUM(CC_P_M))</f>
        <v>0</v>
      </c>
      <c r="O258" s="62" t="n">
        <f aca="false">N258*CC_SharedCost</f>
        <v>0</v>
      </c>
      <c r="P258" s="63" t="n">
        <f aca="false">K258+L258+O258</f>
        <v>0</v>
      </c>
      <c r="Q258" s="62" t="n">
        <f aca="false">K258*(1+INDEX(MkMatrix,3,3))</f>
        <v>0</v>
      </c>
      <c r="R258" s="62" t="n">
        <f aca="false">L258*(1+INDEX(MkMatrix,3,3))</f>
        <v>0</v>
      </c>
      <c r="S258" s="62" t="n">
        <f aca="false">N258*CC_SharedSell</f>
        <v>0</v>
      </c>
      <c r="T258" s="62" t="n">
        <f aca="false">P258*N(QCont)</f>
        <v>0</v>
      </c>
      <c r="U258" s="62" t="n">
        <f aca="false">Q258+R258+S258+T258</f>
        <v>0</v>
      </c>
      <c r="V258" s="62" t="n">
        <f aca="false">-U258*N(QDisc)</f>
        <v>-0</v>
      </c>
      <c r="W258" s="63" t="n">
        <f aca="false">U258+V258</f>
        <v>0</v>
      </c>
      <c r="X258" s="63" t="n">
        <f aca="false">W258/QRate</f>
        <v>0</v>
      </c>
      <c r="Y258" s="0" t="n">
        <v>8</v>
      </c>
    </row>
    <row r="259" customFormat="false" ht="15" hidden="false" customHeight="false" outlineLevel="0" collapsed="false">
      <c r="A259" s="68" t="n">
        <f aca="false">'CC Volume'!A259</f>
        <v>19</v>
      </c>
      <c r="B259" s="13" t="str">
        <f aca="false">IF('CC Volume'!B259="","",'CC Volume'!B259)</f>
        <v/>
      </c>
      <c r="C259" s="13" t="str">
        <f aca="false">IF('CC Volume'!C259="","",'CC Volume'!C259)</f>
        <v/>
      </c>
      <c r="D259" s="13" t="str">
        <f aca="false">IF('CC Volume'!D259="","",'CC Volume'!D259)</f>
        <v/>
      </c>
      <c r="E259" s="68" t="str">
        <f aca="false">IF('CC Volume'!E259="","",'CC Volume'!E259)</f>
        <v/>
      </c>
      <c r="F259" s="68" t="str">
        <f aca="false">IF('CC Volume'!F259="","",'CC Volume'!F259)</f>
        <v/>
      </c>
      <c r="G259" s="69" t="str">
        <f aca="false">'CC Volume'!AN259</f>
        <v/>
      </c>
      <c r="H259" s="69" t="str">
        <f aca="false">'CC Volume'!AO259</f>
        <v/>
      </c>
      <c r="I259" s="69" t="str">
        <f aca="false">'CC Volume'!AM259</f>
        <v/>
      </c>
      <c r="J259" s="62" t="str">
        <f aca="false">IF(N(H259)=0,"",IFERROR(INDEX(CC_RegRate,MATCH(F259,CC_RegU,0)),0))</f>
        <v/>
      </c>
      <c r="K259" s="62" t="n">
        <f aca="false">N(H259)*N(J259)</f>
        <v>0</v>
      </c>
      <c r="L259" s="62" t="n">
        <f aca="false">IF(CC_IncWaste="Yes",N(I259)*N(XWaste),0)</f>
        <v>0</v>
      </c>
      <c r="M259" s="65" t="n">
        <f aca="false">IF(N(G259)=0,0,IF(CC_AllocBasis="Equipment count",1,IF(CC_AllocBasis="Equipment volume",N(G259),N(H259))))</f>
        <v>0</v>
      </c>
      <c r="N259" s="15" t="n">
        <f aca="false">IF(SUM(CC_P_M)=0,0,M259/SUM(CC_P_M))</f>
        <v>0</v>
      </c>
      <c r="O259" s="62" t="n">
        <f aca="false">N259*CC_SharedCost</f>
        <v>0</v>
      </c>
      <c r="P259" s="63" t="n">
        <f aca="false">K259+L259+O259</f>
        <v>0</v>
      </c>
      <c r="Q259" s="62" t="n">
        <f aca="false">K259*(1+INDEX(MkMatrix,3,3))</f>
        <v>0</v>
      </c>
      <c r="R259" s="62" t="n">
        <f aca="false">L259*(1+INDEX(MkMatrix,3,3))</f>
        <v>0</v>
      </c>
      <c r="S259" s="62" t="n">
        <f aca="false">N259*CC_SharedSell</f>
        <v>0</v>
      </c>
      <c r="T259" s="62" t="n">
        <f aca="false">P259*N(QCont)</f>
        <v>0</v>
      </c>
      <c r="U259" s="62" t="n">
        <f aca="false">Q259+R259+S259+T259</f>
        <v>0</v>
      </c>
      <c r="V259" s="62" t="n">
        <f aca="false">-U259*N(QDisc)</f>
        <v>-0</v>
      </c>
      <c r="W259" s="63" t="n">
        <f aca="false">U259+V259</f>
        <v>0</v>
      </c>
      <c r="X259" s="63" t="n">
        <f aca="false">W259/QRate</f>
        <v>0</v>
      </c>
      <c r="Y259" s="0" t="n">
        <v>8</v>
      </c>
    </row>
    <row r="260" customFormat="false" ht="15" hidden="false" customHeight="false" outlineLevel="0" collapsed="false">
      <c r="A260" s="68" t="n">
        <f aca="false">'CC Volume'!A260</f>
        <v>20</v>
      </c>
      <c r="B260" s="13" t="str">
        <f aca="false">IF('CC Volume'!B260="","",'CC Volume'!B260)</f>
        <v/>
      </c>
      <c r="C260" s="13" t="str">
        <f aca="false">IF('CC Volume'!C260="","",'CC Volume'!C260)</f>
        <v/>
      </c>
      <c r="D260" s="13" t="str">
        <f aca="false">IF('CC Volume'!D260="","",'CC Volume'!D260)</f>
        <v/>
      </c>
      <c r="E260" s="68" t="str">
        <f aca="false">IF('CC Volume'!E260="","",'CC Volume'!E260)</f>
        <v/>
      </c>
      <c r="F260" s="68" t="str">
        <f aca="false">IF('CC Volume'!F260="","",'CC Volume'!F260)</f>
        <v/>
      </c>
      <c r="G260" s="69" t="str">
        <f aca="false">'CC Volume'!AN260</f>
        <v/>
      </c>
      <c r="H260" s="69" t="str">
        <f aca="false">'CC Volume'!AO260</f>
        <v/>
      </c>
      <c r="I260" s="69" t="str">
        <f aca="false">'CC Volume'!AM260</f>
        <v/>
      </c>
      <c r="J260" s="62" t="str">
        <f aca="false">IF(N(H260)=0,"",IFERROR(INDEX(CC_RegRate,MATCH(F260,CC_RegU,0)),0))</f>
        <v/>
      </c>
      <c r="K260" s="62" t="n">
        <f aca="false">N(H260)*N(J260)</f>
        <v>0</v>
      </c>
      <c r="L260" s="62" t="n">
        <f aca="false">IF(CC_IncWaste="Yes",N(I260)*N(XWaste),0)</f>
        <v>0</v>
      </c>
      <c r="M260" s="65" t="n">
        <f aca="false">IF(N(G260)=0,0,IF(CC_AllocBasis="Equipment count",1,IF(CC_AllocBasis="Equipment volume",N(G260),N(H260))))</f>
        <v>0</v>
      </c>
      <c r="N260" s="15" t="n">
        <f aca="false">IF(SUM(CC_P_M)=0,0,M260/SUM(CC_P_M))</f>
        <v>0</v>
      </c>
      <c r="O260" s="62" t="n">
        <f aca="false">N260*CC_SharedCost</f>
        <v>0</v>
      </c>
      <c r="P260" s="63" t="n">
        <f aca="false">K260+L260+O260</f>
        <v>0</v>
      </c>
      <c r="Q260" s="62" t="n">
        <f aca="false">K260*(1+INDEX(MkMatrix,3,3))</f>
        <v>0</v>
      </c>
      <c r="R260" s="62" t="n">
        <f aca="false">L260*(1+INDEX(MkMatrix,3,3))</f>
        <v>0</v>
      </c>
      <c r="S260" s="62" t="n">
        <f aca="false">N260*CC_SharedSell</f>
        <v>0</v>
      </c>
      <c r="T260" s="62" t="n">
        <f aca="false">P260*N(QCont)</f>
        <v>0</v>
      </c>
      <c r="U260" s="62" t="n">
        <f aca="false">Q260+R260+S260+T260</f>
        <v>0</v>
      </c>
      <c r="V260" s="62" t="n">
        <f aca="false">-U260*N(QDisc)</f>
        <v>-0</v>
      </c>
      <c r="W260" s="63" t="n">
        <f aca="false">U260+V260</f>
        <v>0</v>
      </c>
      <c r="X260" s="63" t="n">
        <f aca="false">W260/QRate</f>
        <v>0</v>
      </c>
      <c r="Y260" s="0" t="n">
        <v>8</v>
      </c>
    </row>
    <row r="261" customFormat="false" ht="15" hidden="false" customHeight="false" outlineLevel="0" collapsed="false">
      <c r="A261" s="68" t="n">
        <f aca="false">'CC Volume'!A261</f>
        <v>21</v>
      </c>
      <c r="B261" s="13" t="str">
        <f aca="false">IF('CC Volume'!B261="","",'CC Volume'!B261)</f>
        <v/>
      </c>
      <c r="C261" s="13" t="str">
        <f aca="false">IF('CC Volume'!C261="","",'CC Volume'!C261)</f>
        <v/>
      </c>
      <c r="D261" s="13" t="str">
        <f aca="false">IF('CC Volume'!D261="","",'CC Volume'!D261)</f>
        <v/>
      </c>
      <c r="E261" s="68" t="str">
        <f aca="false">IF('CC Volume'!E261="","",'CC Volume'!E261)</f>
        <v/>
      </c>
      <c r="F261" s="68" t="str">
        <f aca="false">IF('CC Volume'!F261="","",'CC Volume'!F261)</f>
        <v/>
      </c>
      <c r="G261" s="69" t="str">
        <f aca="false">'CC Volume'!AN261</f>
        <v/>
      </c>
      <c r="H261" s="69" t="str">
        <f aca="false">'CC Volume'!AO261</f>
        <v/>
      </c>
      <c r="I261" s="69" t="str">
        <f aca="false">'CC Volume'!AM261</f>
        <v/>
      </c>
      <c r="J261" s="62" t="str">
        <f aca="false">IF(N(H261)=0,"",IFERROR(INDEX(CC_RegRate,MATCH(F261,CC_RegU,0)),0))</f>
        <v/>
      </c>
      <c r="K261" s="62" t="n">
        <f aca="false">N(H261)*N(J261)</f>
        <v>0</v>
      </c>
      <c r="L261" s="62" t="n">
        <f aca="false">IF(CC_IncWaste="Yes",N(I261)*N(XWaste),0)</f>
        <v>0</v>
      </c>
      <c r="M261" s="65" t="n">
        <f aca="false">IF(N(G261)=0,0,IF(CC_AllocBasis="Equipment count",1,IF(CC_AllocBasis="Equipment volume",N(G261),N(H261))))</f>
        <v>0</v>
      </c>
      <c r="N261" s="15" t="n">
        <f aca="false">IF(SUM(CC_P_M)=0,0,M261/SUM(CC_P_M))</f>
        <v>0</v>
      </c>
      <c r="O261" s="62" t="n">
        <f aca="false">N261*CC_SharedCost</f>
        <v>0</v>
      </c>
      <c r="P261" s="63" t="n">
        <f aca="false">K261+L261+O261</f>
        <v>0</v>
      </c>
      <c r="Q261" s="62" t="n">
        <f aca="false">K261*(1+INDEX(MkMatrix,3,3))</f>
        <v>0</v>
      </c>
      <c r="R261" s="62" t="n">
        <f aca="false">L261*(1+INDEX(MkMatrix,3,3))</f>
        <v>0</v>
      </c>
      <c r="S261" s="62" t="n">
        <f aca="false">N261*CC_SharedSell</f>
        <v>0</v>
      </c>
      <c r="T261" s="62" t="n">
        <f aca="false">P261*N(QCont)</f>
        <v>0</v>
      </c>
      <c r="U261" s="62" t="n">
        <f aca="false">Q261+R261+S261+T261</f>
        <v>0</v>
      </c>
      <c r="V261" s="62" t="n">
        <f aca="false">-U261*N(QDisc)</f>
        <v>-0</v>
      </c>
      <c r="W261" s="63" t="n">
        <f aca="false">U261+V261</f>
        <v>0</v>
      </c>
      <c r="X261" s="63" t="n">
        <f aca="false">W261/QRate</f>
        <v>0</v>
      </c>
      <c r="Y261" s="0" t="n">
        <v>8</v>
      </c>
    </row>
    <row r="262" customFormat="false" ht="15" hidden="false" customHeight="false" outlineLevel="0" collapsed="false">
      <c r="A262" s="68" t="n">
        <f aca="false">'CC Volume'!A262</f>
        <v>22</v>
      </c>
      <c r="B262" s="13" t="str">
        <f aca="false">IF('CC Volume'!B262="","",'CC Volume'!B262)</f>
        <v/>
      </c>
      <c r="C262" s="13" t="str">
        <f aca="false">IF('CC Volume'!C262="","",'CC Volume'!C262)</f>
        <v/>
      </c>
      <c r="D262" s="13" t="str">
        <f aca="false">IF('CC Volume'!D262="","",'CC Volume'!D262)</f>
        <v/>
      </c>
      <c r="E262" s="68" t="str">
        <f aca="false">IF('CC Volume'!E262="","",'CC Volume'!E262)</f>
        <v/>
      </c>
      <c r="F262" s="68" t="str">
        <f aca="false">IF('CC Volume'!F262="","",'CC Volume'!F262)</f>
        <v/>
      </c>
      <c r="G262" s="69" t="str">
        <f aca="false">'CC Volume'!AN262</f>
        <v/>
      </c>
      <c r="H262" s="69" t="str">
        <f aca="false">'CC Volume'!AO262</f>
        <v/>
      </c>
      <c r="I262" s="69" t="str">
        <f aca="false">'CC Volume'!AM262</f>
        <v/>
      </c>
      <c r="J262" s="62" t="str">
        <f aca="false">IF(N(H262)=0,"",IFERROR(INDEX(CC_RegRate,MATCH(F262,CC_RegU,0)),0))</f>
        <v/>
      </c>
      <c r="K262" s="62" t="n">
        <f aca="false">N(H262)*N(J262)</f>
        <v>0</v>
      </c>
      <c r="L262" s="62" t="n">
        <f aca="false">IF(CC_IncWaste="Yes",N(I262)*N(XWaste),0)</f>
        <v>0</v>
      </c>
      <c r="M262" s="65" t="n">
        <f aca="false">IF(N(G262)=0,0,IF(CC_AllocBasis="Equipment count",1,IF(CC_AllocBasis="Equipment volume",N(G262),N(H262))))</f>
        <v>0</v>
      </c>
      <c r="N262" s="15" t="n">
        <f aca="false">IF(SUM(CC_P_M)=0,0,M262/SUM(CC_P_M))</f>
        <v>0</v>
      </c>
      <c r="O262" s="62" t="n">
        <f aca="false">N262*CC_SharedCost</f>
        <v>0</v>
      </c>
      <c r="P262" s="63" t="n">
        <f aca="false">K262+L262+O262</f>
        <v>0</v>
      </c>
      <c r="Q262" s="62" t="n">
        <f aca="false">K262*(1+INDEX(MkMatrix,3,3))</f>
        <v>0</v>
      </c>
      <c r="R262" s="62" t="n">
        <f aca="false">L262*(1+INDEX(MkMatrix,3,3))</f>
        <v>0</v>
      </c>
      <c r="S262" s="62" t="n">
        <f aca="false">N262*CC_SharedSell</f>
        <v>0</v>
      </c>
      <c r="T262" s="62" t="n">
        <f aca="false">P262*N(QCont)</f>
        <v>0</v>
      </c>
      <c r="U262" s="62" t="n">
        <f aca="false">Q262+R262+S262+T262</f>
        <v>0</v>
      </c>
      <c r="V262" s="62" t="n">
        <f aca="false">-U262*N(QDisc)</f>
        <v>-0</v>
      </c>
      <c r="W262" s="63" t="n">
        <f aca="false">U262+V262</f>
        <v>0</v>
      </c>
      <c r="X262" s="63" t="n">
        <f aca="false">W262/QRate</f>
        <v>0</v>
      </c>
      <c r="Y262" s="0" t="n">
        <v>8</v>
      </c>
    </row>
    <row r="263" customFormat="false" ht="15" hidden="false" customHeight="false" outlineLevel="0" collapsed="false">
      <c r="A263" s="68" t="n">
        <f aca="false">'CC Volume'!A263</f>
        <v>23</v>
      </c>
      <c r="B263" s="13" t="str">
        <f aca="false">IF('CC Volume'!B263="","",'CC Volume'!B263)</f>
        <v/>
      </c>
      <c r="C263" s="13" t="str">
        <f aca="false">IF('CC Volume'!C263="","",'CC Volume'!C263)</f>
        <v/>
      </c>
      <c r="D263" s="13" t="str">
        <f aca="false">IF('CC Volume'!D263="","",'CC Volume'!D263)</f>
        <v/>
      </c>
      <c r="E263" s="68" t="str">
        <f aca="false">IF('CC Volume'!E263="","",'CC Volume'!E263)</f>
        <v/>
      </c>
      <c r="F263" s="68" t="str">
        <f aca="false">IF('CC Volume'!F263="","",'CC Volume'!F263)</f>
        <v/>
      </c>
      <c r="G263" s="69" t="str">
        <f aca="false">'CC Volume'!AN263</f>
        <v/>
      </c>
      <c r="H263" s="69" t="str">
        <f aca="false">'CC Volume'!AO263</f>
        <v/>
      </c>
      <c r="I263" s="69" t="str">
        <f aca="false">'CC Volume'!AM263</f>
        <v/>
      </c>
      <c r="J263" s="62" t="str">
        <f aca="false">IF(N(H263)=0,"",IFERROR(INDEX(CC_RegRate,MATCH(F263,CC_RegU,0)),0))</f>
        <v/>
      </c>
      <c r="K263" s="62" t="n">
        <f aca="false">N(H263)*N(J263)</f>
        <v>0</v>
      </c>
      <c r="L263" s="62" t="n">
        <f aca="false">IF(CC_IncWaste="Yes",N(I263)*N(XWaste),0)</f>
        <v>0</v>
      </c>
      <c r="M263" s="65" t="n">
        <f aca="false">IF(N(G263)=0,0,IF(CC_AllocBasis="Equipment count",1,IF(CC_AllocBasis="Equipment volume",N(G263),N(H263))))</f>
        <v>0</v>
      </c>
      <c r="N263" s="15" t="n">
        <f aca="false">IF(SUM(CC_P_M)=0,0,M263/SUM(CC_P_M))</f>
        <v>0</v>
      </c>
      <c r="O263" s="62" t="n">
        <f aca="false">N263*CC_SharedCost</f>
        <v>0</v>
      </c>
      <c r="P263" s="63" t="n">
        <f aca="false">K263+L263+O263</f>
        <v>0</v>
      </c>
      <c r="Q263" s="62" t="n">
        <f aca="false">K263*(1+INDEX(MkMatrix,3,3))</f>
        <v>0</v>
      </c>
      <c r="R263" s="62" t="n">
        <f aca="false">L263*(1+INDEX(MkMatrix,3,3))</f>
        <v>0</v>
      </c>
      <c r="S263" s="62" t="n">
        <f aca="false">N263*CC_SharedSell</f>
        <v>0</v>
      </c>
      <c r="T263" s="62" t="n">
        <f aca="false">P263*N(QCont)</f>
        <v>0</v>
      </c>
      <c r="U263" s="62" t="n">
        <f aca="false">Q263+R263+S263+T263</f>
        <v>0</v>
      </c>
      <c r="V263" s="62" t="n">
        <f aca="false">-U263*N(QDisc)</f>
        <v>-0</v>
      </c>
      <c r="W263" s="63" t="n">
        <f aca="false">U263+V263</f>
        <v>0</v>
      </c>
      <c r="X263" s="63" t="n">
        <f aca="false">W263/QRate</f>
        <v>0</v>
      </c>
      <c r="Y263" s="0" t="n">
        <v>8</v>
      </c>
    </row>
    <row r="264" customFormat="false" ht="15" hidden="false" customHeight="false" outlineLevel="0" collapsed="false">
      <c r="A264" s="68" t="n">
        <f aca="false">'CC Volume'!A264</f>
        <v>24</v>
      </c>
      <c r="B264" s="13" t="str">
        <f aca="false">IF('CC Volume'!B264="","",'CC Volume'!B264)</f>
        <v/>
      </c>
      <c r="C264" s="13" t="str">
        <f aca="false">IF('CC Volume'!C264="","",'CC Volume'!C264)</f>
        <v/>
      </c>
      <c r="D264" s="13" t="str">
        <f aca="false">IF('CC Volume'!D264="","",'CC Volume'!D264)</f>
        <v/>
      </c>
      <c r="E264" s="68" t="str">
        <f aca="false">IF('CC Volume'!E264="","",'CC Volume'!E264)</f>
        <v/>
      </c>
      <c r="F264" s="68" t="str">
        <f aca="false">IF('CC Volume'!F264="","",'CC Volume'!F264)</f>
        <v/>
      </c>
      <c r="G264" s="69" t="str">
        <f aca="false">'CC Volume'!AN264</f>
        <v/>
      </c>
      <c r="H264" s="69" t="str">
        <f aca="false">'CC Volume'!AO264</f>
        <v/>
      </c>
      <c r="I264" s="69" t="str">
        <f aca="false">'CC Volume'!AM264</f>
        <v/>
      </c>
      <c r="J264" s="62" t="str">
        <f aca="false">IF(N(H264)=0,"",IFERROR(INDEX(CC_RegRate,MATCH(F264,CC_RegU,0)),0))</f>
        <v/>
      </c>
      <c r="K264" s="62" t="n">
        <f aca="false">N(H264)*N(J264)</f>
        <v>0</v>
      </c>
      <c r="L264" s="62" t="n">
        <f aca="false">IF(CC_IncWaste="Yes",N(I264)*N(XWaste),0)</f>
        <v>0</v>
      </c>
      <c r="M264" s="65" t="n">
        <f aca="false">IF(N(G264)=0,0,IF(CC_AllocBasis="Equipment count",1,IF(CC_AllocBasis="Equipment volume",N(G264),N(H264))))</f>
        <v>0</v>
      </c>
      <c r="N264" s="15" t="n">
        <f aca="false">IF(SUM(CC_P_M)=0,0,M264/SUM(CC_P_M))</f>
        <v>0</v>
      </c>
      <c r="O264" s="62" t="n">
        <f aca="false">N264*CC_SharedCost</f>
        <v>0</v>
      </c>
      <c r="P264" s="63" t="n">
        <f aca="false">K264+L264+O264</f>
        <v>0</v>
      </c>
      <c r="Q264" s="62" t="n">
        <f aca="false">K264*(1+INDEX(MkMatrix,3,3))</f>
        <v>0</v>
      </c>
      <c r="R264" s="62" t="n">
        <f aca="false">L264*(1+INDEX(MkMatrix,3,3))</f>
        <v>0</v>
      </c>
      <c r="S264" s="62" t="n">
        <f aca="false">N264*CC_SharedSell</f>
        <v>0</v>
      </c>
      <c r="T264" s="62" t="n">
        <f aca="false">P264*N(QCont)</f>
        <v>0</v>
      </c>
      <c r="U264" s="62" t="n">
        <f aca="false">Q264+R264+S264+T264</f>
        <v>0</v>
      </c>
      <c r="V264" s="62" t="n">
        <f aca="false">-U264*N(QDisc)</f>
        <v>-0</v>
      </c>
      <c r="W264" s="63" t="n">
        <f aca="false">U264+V264</f>
        <v>0</v>
      </c>
      <c r="X264" s="63" t="n">
        <f aca="false">W264/QRate</f>
        <v>0</v>
      </c>
      <c r="Y264" s="0" t="n">
        <v>8</v>
      </c>
    </row>
    <row r="265" customFormat="false" ht="15" hidden="false" customHeight="false" outlineLevel="0" collapsed="false">
      <c r="A265" s="68" t="n">
        <f aca="false">'CC Volume'!A265</f>
        <v>25</v>
      </c>
      <c r="B265" s="13" t="str">
        <f aca="false">IF('CC Volume'!B265="","",'CC Volume'!B265)</f>
        <v/>
      </c>
      <c r="C265" s="13" t="str">
        <f aca="false">IF('CC Volume'!C265="","",'CC Volume'!C265)</f>
        <v/>
      </c>
      <c r="D265" s="13" t="str">
        <f aca="false">IF('CC Volume'!D265="","",'CC Volume'!D265)</f>
        <v/>
      </c>
      <c r="E265" s="68" t="str">
        <f aca="false">IF('CC Volume'!E265="","",'CC Volume'!E265)</f>
        <v/>
      </c>
      <c r="F265" s="68" t="str">
        <f aca="false">IF('CC Volume'!F265="","",'CC Volume'!F265)</f>
        <v/>
      </c>
      <c r="G265" s="69" t="str">
        <f aca="false">'CC Volume'!AN265</f>
        <v/>
      </c>
      <c r="H265" s="69" t="str">
        <f aca="false">'CC Volume'!AO265</f>
        <v/>
      </c>
      <c r="I265" s="69" t="str">
        <f aca="false">'CC Volume'!AM265</f>
        <v/>
      </c>
      <c r="J265" s="62" t="str">
        <f aca="false">IF(N(H265)=0,"",IFERROR(INDEX(CC_RegRate,MATCH(F265,CC_RegU,0)),0))</f>
        <v/>
      </c>
      <c r="K265" s="62" t="n">
        <f aca="false">N(H265)*N(J265)</f>
        <v>0</v>
      </c>
      <c r="L265" s="62" t="n">
        <f aca="false">IF(CC_IncWaste="Yes",N(I265)*N(XWaste),0)</f>
        <v>0</v>
      </c>
      <c r="M265" s="65" t="n">
        <f aca="false">IF(N(G265)=0,0,IF(CC_AllocBasis="Equipment count",1,IF(CC_AllocBasis="Equipment volume",N(G265),N(H265))))</f>
        <v>0</v>
      </c>
      <c r="N265" s="15" t="n">
        <f aca="false">IF(SUM(CC_P_M)=0,0,M265/SUM(CC_P_M))</f>
        <v>0</v>
      </c>
      <c r="O265" s="62" t="n">
        <f aca="false">N265*CC_SharedCost</f>
        <v>0</v>
      </c>
      <c r="P265" s="63" t="n">
        <f aca="false">K265+L265+O265</f>
        <v>0</v>
      </c>
      <c r="Q265" s="62" t="n">
        <f aca="false">K265*(1+INDEX(MkMatrix,3,3))</f>
        <v>0</v>
      </c>
      <c r="R265" s="62" t="n">
        <f aca="false">L265*(1+INDEX(MkMatrix,3,3))</f>
        <v>0</v>
      </c>
      <c r="S265" s="62" t="n">
        <f aca="false">N265*CC_SharedSell</f>
        <v>0</v>
      </c>
      <c r="T265" s="62" t="n">
        <f aca="false">P265*N(QCont)</f>
        <v>0</v>
      </c>
      <c r="U265" s="62" t="n">
        <f aca="false">Q265+R265+S265+T265</f>
        <v>0</v>
      </c>
      <c r="V265" s="62" t="n">
        <f aca="false">-U265*N(QDisc)</f>
        <v>-0</v>
      </c>
      <c r="W265" s="63" t="n">
        <f aca="false">U265+V265</f>
        <v>0</v>
      </c>
      <c r="X265" s="63" t="n">
        <f aca="false">W265/QRate</f>
        <v>0</v>
      </c>
      <c r="Y265" s="0" t="n">
        <v>8</v>
      </c>
    </row>
    <row r="266" customFormat="false" ht="15" hidden="false" customHeight="false" outlineLevel="0" collapsed="false">
      <c r="A266" s="68" t="n">
        <f aca="false">'CC Volume'!A266</f>
        <v>26</v>
      </c>
      <c r="B266" s="13" t="str">
        <f aca="false">IF('CC Volume'!B266="","",'CC Volume'!B266)</f>
        <v/>
      </c>
      <c r="C266" s="13" t="str">
        <f aca="false">IF('CC Volume'!C266="","",'CC Volume'!C266)</f>
        <v/>
      </c>
      <c r="D266" s="13" t="str">
        <f aca="false">IF('CC Volume'!D266="","",'CC Volume'!D266)</f>
        <v/>
      </c>
      <c r="E266" s="68" t="str">
        <f aca="false">IF('CC Volume'!E266="","",'CC Volume'!E266)</f>
        <v/>
      </c>
      <c r="F266" s="68" t="str">
        <f aca="false">IF('CC Volume'!F266="","",'CC Volume'!F266)</f>
        <v/>
      </c>
      <c r="G266" s="69" t="str">
        <f aca="false">'CC Volume'!AN266</f>
        <v/>
      </c>
      <c r="H266" s="69" t="str">
        <f aca="false">'CC Volume'!AO266</f>
        <v/>
      </c>
      <c r="I266" s="69" t="str">
        <f aca="false">'CC Volume'!AM266</f>
        <v/>
      </c>
      <c r="J266" s="62" t="str">
        <f aca="false">IF(N(H266)=0,"",IFERROR(INDEX(CC_RegRate,MATCH(F266,CC_RegU,0)),0))</f>
        <v/>
      </c>
      <c r="K266" s="62" t="n">
        <f aca="false">N(H266)*N(J266)</f>
        <v>0</v>
      </c>
      <c r="L266" s="62" t="n">
        <f aca="false">IF(CC_IncWaste="Yes",N(I266)*N(XWaste),0)</f>
        <v>0</v>
      </c>
      <c r="M266" s="65" t="n">
        <f aca="false">IF(N(G266)=0,0,IF(CC_AllocBasis="Equipment count",1,IF(CC_AllocBasis="Equipment volume",N(G266),N(H266))))</f>
        <v>0</v>
      </c>
      <c r="N266" s="15" t="n">
        <f aca="false">IF(SUM(CC_P_M)=0,0,M266/SUM(CC_P_M))</f>
        <v>0</v>
      </c>
      <c r="O266" s="62" t="n">
        <f aca="false">N266*CC_SharedCost</f>
        <v>0</v>
      </c>
      <c r="P266" s="63" t="n">
        <f aca="false">K266+L266+O266</f>
        <v>0</v>
      </c>
      <c r="Q266" s="62" t="n">
        <f aca="false">K266*(1+INDEX(MkMatrix,3,3))</f>
        <v>0</v>
      </c>
      <c r="R266" s="62" t="n">
        <f aca="false">L266*(1+INDEX(MkMatrix,3,3))</f>
        <v>0</v>
      </c>
      <c r="S266" s="62" t="n">
        <f aca="false">N266*CC_SharedSell</f>
        <v>0</v>
      </c>
      <c r="T266" s="62" t="n">
        <f aca="false">P266*N(QCont)</f>
        <v>0</v>
      </c>
      <c r="U266" s="62" t="n">
        <f aca="false">Q266+R266+S266+T266</f>
        <v>0</v>
      </c>
      <c r="V266" s="62" t="n">
        <f aca="false">-U266*N(QDisc)</f>
        <v>-0</v>
      </c>
      <c r="W266" s="63" t="n">
        <f aca="false">U266+V266</f>
        <v>0</v>
      </c>
      <c r="X266" s="63" t="n">
        <f aca="false">W266/QRate</f>
        <v>0</v>
      </c>
      <c r="Y266" s="0" t="n">
        <v>8</v>
      </c>
    </row>
    <row r="267" customFormat="false" ht="15" hidden="false" customHeight="false" outlineLevel="0" collapsed="false">
      <c r="A267" s="68" t="n">
        <f aca="false">'CC Volume'!A267</f>
        <v>27</v>
      </c>
      <c r="B267" s="13" t="str">
        <f aca="false">IF('CC Volume'!B267="","",'CC Volume'!B267)</f>
        <v/>
      </c>
      <c r="C267" s="13" t="str">
        <f aca="false">IF('CC Volume'!C267="","",'CC Volume'!C267)</f>
        <v/>
      </c>
      <c r="D267" s="13" t="str">
        <f aca="false">IF('CC Volume'!D267="","",'CC Volume'!D267)</f>
        <v/>
      </c>
      <c r="E267" s="68" t="str">
        <f aca="false">IF('CC Volume'!E267="","",'CC Volume'!E267)</f>
        <v/>
      </c>
      <c r="F267" s="68" t="str">
        <f aca="false">IF('CC Volume'!F267="","",'CC Volume'!F267)</f>
        <v/>
      </c>
      <c r="G267" s="69" t="str">
        <f aca="false">'CC Volume'!AN267</f>
        <v/>
      </c>
      <c r="H267" s="69" t="str">
        <f aca="false">'CC Volume'!AO267</f>
        <v/>
      </c>
      <c r="I267" s="69" t="str">
        <f aca="false">'CC Volume'!AM267</f>
        <v/>
      </c>
      <c r="J267" s="62" t="str">
        <f aca="false">IF(N(H267)=0,"",IFERROR(INDEX(CC_RegRate,MATCH(F267,CC_RegU,0)),0))</f>
        <v/>
      </c>
      <c r="K267" s="62" t="n">
        <f aca="false">N(H267)*N(J267)</f>
        <v>0</v>
      </c>
      <c r="L267" s="62" t="n">
        <f aca="false">IF(CC_IncWaste="Yes",N(I267)*N(XWaste),0)</f>
        <v>0</v>
      </c>
      <c r="M267" s="65" t="n">
        <f aca="false">IF(N(G267)=0,0,IF(CC_AllocBasis="Equipment count",1,IF(CC_AllocBasis="Equipment volume",N(G267),N(H267))))</f>
        <v>0</v>
      </c>
      <c r="N267" s="15" t="n">
        <f aca="false">IF(SUM(CC_P_M)=0,0,M267/SUM(CC_P_M))</f>
        <v>0</v>
      </c>
      <c r="O267" s="62" t="n">
        <f aca="false">N267*CC_SharedCost</f>
        <v>0</v>
      </c>
      <c r="P267" s="63" t="n">
        <f aca="false">K267+L267+O267</f>
        <v>0</v>
      </c>
      <c r="Q267" s="62" t="n">
        <f aca="false">K267*(1+INDEX(MkMatrix,3,3))</f>
        <v>0</v>
      </c>
      <c r="R267" s="62" t="n">
        <f aca="false">L267*(1+INDEX(MkMatrix,3,3))</f>
        <v>0</v>
      </c>
      <c r="S267" s="62" t="n">
        <f aca="false">N267*CC_SharedSell</f>
        <v>0</v>
      </c>
      <c r="T267" s="62" t="n">
        <f aca="false">P267*N(QCont)</f>
        <v>0</v>
      </c>
      <c r="U267" s="62" t="n">
        <f aca="false">Q267+R267+S267+T267</f>
        <v>0</v>
      </c>
      <c r="V267" s="62" t="n">
        <f aca="false">-U267*N(QDisc)</f>
        <v>-0</v>
      </c>
      <c r="W267" s="63" t="n">
        <f aca="false">U267+V267</f>
        <v>0</v>
      </c>
      <c r="X267" s="63" t="n">
        <f aca="false">W267/QRate</f>
        <v>0</v>
      </c>
      <c r="Y267" s="0" t="n">
        <v>8</v>
      </c>
    </row>
    <row r="268" customFormat="false" ht="15" hidden="false" customHeight="false" outlineLevel="0" collapsed="false">
      <c r="A268" s="68" t="n">
        <f aca="false">'CC Volume'!A268</f>
        <v>28</v>
      </c>
      <c r="B268" s="13" t="str">
        <f aca="false">IF('CC Volume'!B268="","",'CC Volume'!B268)</f>
        <v/>
      </c>
      <c r="C268" s="13" t="str">
        <f aca="false">IF('CC Volume'!C268="","",'CC Volume'!C268)</f>
        <v/>
      </c>
      <c r="D268" s="13" t="str">
        <f aca="false">IF('CC Volume'!D268="","",'CC Volume'!D268)</f>
        <v/>
      </c>
      <c r="E268" s="68" t="str">
        <f aca="false">IF('CC Volume'!E268="","",'CC Volume'!E268)</f>
        <v/>
      </c>
      <c r="F268" s="68" t="str">
        <f aca="false">IF('CC Volume'!F268="","",'CC Volume'!F268)</f>
        <v/>
      </c>
      <c r="G268" s="69" t="str">
        <f aca="false">'CC Volume'!AN268</f>
        <v/>
      </c>
      <c r="H268" s="69" t="str">
        <f aca="false">'CC Volume'!AO268</f>
        <v/>
      </c>
      <c r="I268" s="69" t="str">
        <f aca="false">'CC Volume'!AM268</f>
        <v/>
      </c>
      <c r="J268" s="62" t="str">
        <f aca="false">IF(N(H268)=0,"",IFERROR(INDEX(CC_RegRate,MATCH(F268,CC_RegU,0)),0))</f>
        <v/>
      </c>
      <c r="K268" s="62" t="n">
        <f aca="false">N(H268)*N(J268)</f>
        <v>0</v>
      </c>
      <c r="L268" s="62" t="n">
        <f aca="false">IF(CC_IncWaste="Yes",N(I268)*N(XWaste),0)</f>
        <v>0</v>
      </c>
      <c r="M268" s="65" t="n">
        <f aca="false">IF(N(G268)=0,0,IF(CC_AllocBasis="Equipment count",1,IF(CC_AllocBasis="Equipment volume",N(G268),N(H268))))</f>
        <v>0</v>
      </c>
      <c r="N268" s="15" t="n">
        <f aca="false">IF(SUM(CC_P_M)=0,0,M268/SUM(CC_P_M))</f>
        <v>0</v>
      </c>
      <c r="O268" s="62" t="n">
        <f aca="false">N268*CC_SharedCost</f>
        <v>0</v>
      </c>
      <c r="P268" s="63" t="n">
        <f aca="false">K268+L268+O268</f>
        <v>0</v>
      </c>
      <c r="Q268" s="62" t="n">
        <f aca="false">K268*(1+INDEX(MkMatrix,3,3))</f>
        <v>0</v>
      </c>
      <c r="R268" s="62" t="n">
        <f aca="false">L268*(1+INDEX(MkMatrix,3,3))</f>
        <v>0</v>
      </c>
      <c r="S268" s="62" t="n">
        <f aca="false">N268*CC_SharedSell</f>
        <v>0</v>
      </c>
      <c r="T268" s="62" t="n">
        <f aca="false">P268*N(QCont)</f>
        <v>0</v>
      </c>
      <c r="U268" s="62" t="n">
        <f aca="false">Q268+R268+S268+T268</f>
        <v>0</v>
      </c>
      <c r="V268" s="62" t="n">
        <f aca="false">-U268*N(QDisc)</f>
        <v>-0</v>
      </c>
      <c r="W268" s="63" t="n">
        <f aca="false">U268+V268</f>
        <v>0</v>
      </c>
      <c r="X268" s="63" t="n">
        <f aca="false">W268/QRate</f>
        <v>0</v>
      </c>
      <c r="Y268" s="0" t="n">
        <v>8</v>
      </c>
    </row>
    <row r="269" customFormat="false" ht="15" hidden="false" customHeight="false" outlineLevel="0" collapsed="false">
      <c r="A269" s="68" t="n">
        <f aca="false">'CC Volume'!A269</f>
        <v>29</v>
      </c>
      <c r="B269" s="13" t="str">
        <f aca="false">IF('CC Volume'!B269="","",'CC Volume'!B269)</f>
        <v/>
      </c>
      <c r="C269" s="13" t="str">
        <f aca="false">IF('CC Volume'!C269="","",'CC Volume'!C269)</f>
        <v/>
      </c>
      <c r="D269" s="13" t="str">
        <f aca="false">IF('CC Volume'!D269="","",'CC Volume'!D269)</f>
        <v/>
      </c>
      <c r="E269" s="68" t="str">
        <f aca="false">IF('CC Volume'!E269="","",'CC Volume'!E269)</f>
        <v/>
      </c>
      <c r="F269" s="68" t="str">
        <f aca="false">IF('CC Volume'!F269="","",'CC Volume'!F269)</f>
        <v/>
      </c>
      <c r="G269" s="69" t="str">
        <f aca="false">'CC Volume'!AN269</f>
        <v/>
      </c>
      <c r="H269" s="69" t="str">
        <f aca="false">'CC Volume'!AO269</f>
        <v/>
      </c>
      <c r="I269" s="69" t="str">
        <f aca="false">'CC Volume'!AM269</f>
        <v/>
      </c>
      <c r="J269" s="62" t="str">
        <f aca="false">IF(N(H269)=0,"",IFERROR(INDEX(CC_RegRate,MATCH(F269,CC_RegU,0)),0))</f>
        <v/>
      </c>
      <c r="K269" s="62" t="n">
        <f aca="false">N(H269)*N(J269)</f>
        <v>0</v>
      </c>
      <c r="L269" s="62" t="n">
        <f aca="false">IF(CC_IncWaste="Yes",N(I269)*N(XWaste),0)</f>
        <v>0</v>
      </c>
      <c r="M269" s="65" t="n">
        <f aca="false">IF(N(G269)=0,0,IF(CC_AllocBasis="Equipment count",1,IF(CC_AllocBasis="Equipment volume",N(G269),N(H269))))</f>
        <v>0</v>
      </c>
      <c r="N269" s="15" t="n">
        <f aca="false">IF(SUM(CC_P_M)=0,0,M269/SUM(CC_P_M))</f>
        <v>0</v>
      </c>
      <c r="O269" s="62" t="n">
        <f aca="false">N269*CC_SharedCost</f>
        <v>0</v>
      </c>
      <c r="P269" s="63" t="n">
        <f aca="false">K269+L269+O269</f>
        <v>0</v>
      </c>
      <c r="Q269" s="62" t="n">
        <f aca="false">K269*(1+INDEX(MkMatrix,3,3))</f>
        <v>0</v>
      </c>
      <c r="R269" s="62" t="n">
        <f aca="false">L269*(1+INDEX(MkMatrix,3,3))</f>
        <v>0</v>
      </c>
      <c r="S269" s="62" t="n">
        <f aca="false">N269*CC_SharedSell</f>
        <v>0</v>
      </c>
      <c r="T269" s="62" t="n">
        <f aca="false">P269*N(QCont)</f>
        <v>0</v>
      </c>
      <c r="U269" s="62" t="n">
        <f aca="false">Q269+R269+S269+T269</f>
        <v>0</v>
      </c>
      <c r="V269" s="62" t="n">
        <f aca="false">-U269*N(QDisc)</f>
        <v>-0</v>
      </c>
      <c r="W269" s="63" t="n">
        <f aca="false">U269+V269</f>
        <v>0</v>
      </c>
      <c r="X269" s="63" t="n">
        <f aca="false">W269/QRate</f>
        <v>0</v>
      </c>
      <c r="Y269" s="0" t="n">
        <v>8</v>
      </c>
    </row>
    <row r="270" customFormat="false" ht="15" hidden="false" customHeight="false" outlineLevel="0" collapsed="false">
      <c r="A270" s="68" t="n">
        <f aca="false">'CC Volume'!A270</f>
        <v>30</v>
      </c>
      <c r="B270" s="13" t="str">
        <f aca="false">IF('CC Volume'!B270="","",'CC Volume'!B270)</f>
        <v/>
      </c>
      <c r="C270" s="13" t="str">
        <f aca="false">IF('CC Volume'!C270="","",'CC Volume'!C270)</f>
        <v/>
      </c>
      <c r="D270" s="13" t="str">
        <f aca="false">IF('CC Volume'!D270="","",'CC Volume'!D270)</f>
        <v/>
      </c>
      <c r="E270" s="68" t="str">
        <f aca="false">IF('CC Volume'!E270="","",'CC Volume'!E270)</f>
        <v/>
      </c>
      <c r="F270" s="68" t="str">
        <f aca="false">IF('CC Volume'!F270="","",'CC Volume'!F270)</f>
        <v/>
      </c>
      <c r="G270" s="69" t="str">
        <f aca="false">'CC Volume'!AN270</f>
        <v/>
      </c>
      <c r="H270" s="69" t="str">
        <f aca="false">'CC Volume'!AO270</f>
        <v/>
      </c>
      <c r="I270" s="69" t="str">
        <f aca="false">'CC Volume'!AM270</f>
        <v/>
      </c>
      <c r="J270" s="62" t="str">
        <f aca="false">IF(N(H270)=0,"",IFERROR(INDEX(CC_RegRate,MATCH(F270,CC_RegU,0)),0))</f>
        <v/>
      </c>
      <c r="K270" s="62" t="n">
        <f aca="false">N(H270)*N(J270)</f>
        <v>0</v>
      </c>
      <c r="L270" s="62" t="n">
        <f aca="false">IF(CC_IncWaste="Yes",N(I270)*N(XWaste),0)</f>
        <v>0</v>
      </c>
      <c r="M270" s="65" t="n">
        <f aca="false">IF(N(G270)=0,0,IF(CC_AllocBasis="Equipment count",1,IF(CC_AllocBasis="Equipment volume",N(G270),N(H270))))</f>
        <v>0</v>
      </c>
      <c r="N270" s="15" t="n">
        <f aca="false">IF(SUM(CC_P_M)=0,0,M270/SUM(CC_P_M))</f>
        <v>0</v>
      </c>
      <c r="O270" s="62" t="n">
        <f aca="false">N270*CC_SharedCost</f>
        <v>0</v>
      </c>
      <c r="P270" s="63" t="n">
        <f aca="false">K270+L270+O270</f>
        <v>0</v>
      </c>
      <c r="Q270" s="62" t="n">
        <f aca="false">K270*(1+INDEX(MkMatrix,3,3))</f>
        <v>0</v>
      </c>
      <c r="R270" s="62" t="n">
        <f aca="false">L270*(1+INDEX(MkMatrix,3,3))</f>
        <v>0</v>
      </c>
      <c r="S270" s="62" t="n">
        <f aca="false">N270*CC_SharedSell</f>
        <v>0</v>
      </c>
      <c r="T270" s="62" t="n">
        <f aca="false">P270*N(QCont)</f>
        <v>0</v>
      </c>
      <c r="U270" s="62" t="n">
        <f aca="false">Q270+R270+S270+T270</f>
        <v>0</v>
      </c>
      <c r="V270" s="62" t="n">
        <f aca="false">-U270*N(QDisc)</f>
        <v>-0</v>
      </c>
      <c r="W270" s="63" t="n">
        <f aca="false">U270+V270</f>
        <v>0</v>
      </c>
      <c r="X270" s="63" t="n">
        <f aca="false">W270/QRate</f>
        <v>0</v>
      </c>
      <c r="Y270" s="0" t="n">
        <v>8</v>
      </c>
    </row>
    <row r="271" customFormat="false" ht="15" hidden="false" customHeight="false" outlineLevel="0" collapsed="false">
      <c r="A271" s="44" t="str">
        <f aca="false">"TOTAL – "&amp;INDEX(CC_UnitNames,8)</f>
        <v>TOTAL – Unit 8</v>
      </c>
      <c r="B271" s="44"/>
      <c r="C271" s="44"/>
      <c r="D271" s="44"/>
      <c r="E271" s="44"/>
      <c r="F271" s="44"/>
      <c r="G271" s="47" t="n">
        <f aca="false">SUM(G241:G270)</f>
        <v>0</v>
      </c>
      <c r="H271" s="47" t="n">
        <f aca="false">SUM(H241:H270)</f>
        <v>0</v>
      </c>
      <c r="I271" s="47" t="n">
        <f aca="false">SUM(I241:I270)</f>
        <v>0</v>
      </c>
      <c r="J271" s="45"/>
      <c r="K271" s="70" t="n">
        <f aca="false">SUM(K241:K270)</f>
        <v>0</v>
      </c>
      <c r="L271" s="70" t="n">
        <f aca="false">SUM(L241:L270)</f>
        <v>0</v>
      </c>
      <c r="M271" s="45"/>
      <c r="N271" s="45"/>
      <c r="O271" s="70" t="n">
        <f aca="false">SUM(O241:O270)</f>
        <v>0</v>
      </c>
      <c r="P271" s="70" t="n">
        <f aca="false">SUM(P241:P270)</f>
        <v>0</v>
      </c>
      <c r="Q271" s="70" t="n">
        <f aca="false">SUM(Q241:Q270)</f>
        <v>0</v>
      </c>
      <c r="R271" s="70" t="n">
        <f aca="false">SUM(R241:R270)</f>
        <v>0</v>
      </c>
      <c r="S271" s="70" t="n">
        <f aca="false">SUM(S241:S270)</f>
        <v>0</v>
      </c>
      <c r="T271" s="70" t="n">
        <f aca="false">SUM(T241:T270)</f>
        <v>0</v>
      </c>
      <c r="U271" s="70" t="n">
        <f aca="false">SUM(U241:U270)</f>
        <v>0</v>
      </c>
      <c r="V271" s="70" t="n">
        <f aca="false">SUM(V241:V270)</f>
        <v>0</v>
      </c>
      <c r="W271" s="70" t="n">
        <f aca="false">SUM(W241:W270)</f>
        <v>0</v>
      </c>
      <c r="X271" s="70" t="n">
        <f aca="false">SUM(X241:X270)</f>
        <v>0</v>
      </c>
    </row>
    <row r="273" customFormat="false" ht="15" hidden="false" customHeight="false" outlineLevel="0" collapsed="false">
      <c r="A273" s="38" t="str">
        <f aca="false">"UNIT 9:  "&amp;INDEX(CC_UnitNames,9)</f>
        <v>UNIT 9:  Unit 9</v>
      </c>
      <c r="B273" s="38"/>
      <c r="C273" s="38"/>
      <c r="D273" s="38"/>
      <c r="E273" s="39"/>
      <c r="F273" s="39"/>
      <c r="G273" s="39"/>
      <c r="H273" s="39"/>
      <c r="I273" s="39"/>
      <c r="J273" s="39"/>
      <c r="K273" s="39"/>
      <c r="L273" s="39"/>
      <c r="M273" s="39"/>
      <c r="N273" s="39"/>
      <c r="O273" s="39"/>
      <c r="P273" s="39"/>
      <c r="Q273" s="39"/>
      <c r="R273" s="39"/>
      <c r="S273" s="39"/>
      <c r="T273" s="39"/>
      <c r="U273" s="39"/>
      <c r="V273" s="39"/>
      <c r="W273" s="39"/>
      <c r="X273" s="39"/>
    </row>
    <row r="274" customFormat="false" ht="15" hidden="false" customHeight="false" outlineLevel="0" collapsed="false">
      <c r="A274" s="68" t="n">
        <f aca="false">'CC Volume'!A274</f>
        <v>1</v>
      </c>
      <c r="B274" s="13" t="str">
        <f aca="false">IF('CC Volume'!B274="","",'CC Volume'!B274)</f>
        <v/>
      </c>
      <c r="C274" s="13" t="str">
        <f aca="false">IF('CC Volume'!C274="","",'CC Volume'!C274)</f>
        <v/>
      </c>
      <c r="D274" s="13" t="str">
        <f aca="false">IF('CC Volume'!D274="","",'CC Volume'!D274)</f>
        <v/>
      </c>
      <c r="E274" s="68" t="str">
        <f aca="false">IF('CC Volume'!E274="","",'CC Volume'!E274)</f>
        <v/>
      </c>
      <c r="F274" s="68" t="str">
        <f aca="false">IF('CC Volume'!F274="","",'CC Volume'!F274)</f>
        <v/>
      </c>
      <c r="G274" s="69" t="str">
        <f aca="false">'CC Volume'!AN274</f>
        <v/>
      </c>
      <c r="H274" s="69" t="str">
        <f aca="false">'CC Volume'!AO274</f>
        <v/>
      </c>
      <c r="I274" s="69" t="str">
        <f aca="false">'CC Volume'!AM274</f>
        <v/>
      </c>
      <c r="J274" s="62" t="str">
        <f aca="false">IF(N(H274)=0,"",IFERROR(INDEX(CC_RegRate,MATCH(F274,CC_RegU,0)),0))</f>
        <v/>
      </c>
      <c r="K274" s="62" t="n">
        <f aca="false">N(H274)*N(J274)</f>
        <v>0</v>
      </c>
      <c r="L274" s="62" t="n">
        <f aca="false">IF(CC_IncWaste="Yes",N(I274)*N(XWaste),0)</f>
        <v>0</v>
      </c>
      <c r="M274" s="65" t="n">
        <f aca="false">IF(N(G274)=0,0,IF(CC_AllocBasis="Equipment count",1,IF(CC_AllocBasis="Equipment volume",N(G274),N(H274))))</f>
        <v>0</v>
      </c>
      <c r="N274" s="15" t="n">
        <f aca="false">IF(SUM(CC_P_M)=0,0,M274/SUM(CC_P_M))</f>
        <v>0</v>
      </c>
      <c r="O274" s="62" t="n">
        <f aca="false">N274*CC_SharedCost</f>
        <v>0</v>
      </c>
      <c r="P274" s="63" t="n">
        <f aca="false">K274+L274+O274</f>
        <v>0</v>
      </c>
      <c r="Q274" s="62" t="n">
        <f aca="false">K274*(1+INDEX(MkMatrix,3,3))</f>
        <v>0</v>
      </c>
      <c r="R274" s="62" t="n">
        <f aca="false">L274*(1+INDEX(MkMatrix,3,3))</f>
        <v>0</v>
      </c>
      <c r="S274" s="62" t="n">
        <f aca="false">N274*CC_SharedSell</f>
        <v>0</v>
      </c>
      <c r="T274" s="62" t="n">
        <f aca="false">P274*N(QCont)</f>
        <v>0</v>
      </c>
      <c r="U274" s="62" t="n">
        <f aca="false">Q274+R274+S274+T274</f>
        <v>0</v>
      </c>
      <c r="V274" s="62" t="n">
        <f aca="false">-U274*N(QDisc)</f>
        <v>-0</v>
      </c>
      <c r="W274" s="63" t="n">
        <f aca="false">U274+V274</f>
        <v>0</v>
      </c>
      <c r="X274" s="63" t="n">
        <f aca="false">W274/QRate</f>
        <v>0</v>
      </c>
      <c r="Y274" s="0" t="n">
        <v>9</v>
      </c>
    </row>
    <row r="275" customFormat="false" ht="15" hidden="false" customHeight="false" outlineLevel="0" collapsed="false">
      <c r="A275" s="68" t="n">
        <f aca="false">'CC Volume'!A275</f>
        <v>2</v>
      </c>
      <c r="B275" s="13" t="str">
        <f aca="false">IF('CC Volume'!B275="","",'CC Volume'!B275)</f>
        <v/>
      </c>
      <c r="C275" s="13" t="str">
        <f aca="false">IF('CC Volume'!C275="","",'CC Volume'!C275)</f>
        <v/>
      </c>
      <c r="D275" s="13" t="str">
        <f aca="false">IF('CC Volume'!D275="","",'CC Volume'!D275)</f>
        <v/>
      </c>
      <c r="E275" s="68" t="str">
        <f aca="false">IF('CC Volume'!E275="","",'CC Volume'!E275)</f>
        <v/>
      </c>
      <c r="F275" s="68" t="str">
        <f aca="false">IF('CC Volume'!F275="","",'CC Volume'!F275)</f>
        <v/>
      </c>
      <c r="G275" s="69" t="str">
        <f aca="false">'CC Volume'!AN275</f>
        <v/>
      </c>
      <c r="H275" s="69" t="str">
        <f aca="false">'CC Volume'!AO275</f>
        <v/>
      </c>
      <c r="I275" s="69" t="str">
        <f aca="false">'CC Volume'!AM275</f>
        <v/>
      </c>
      <c r="J275" s="62" t="str">
        <f aca="false">IF(N(H275)=0,"",IFERROR(INDEX(CC_RegRate,MATCH(F275,CC_RegU,0)),0))</f>
        <v/>
      </c>
      <c r="K275" s="62" t="n">
        <f aca="false">N(H275)*N(J275)</f>
        <v>0</v>
      </c>
      <c r="L275" s="62" t="n">
        <f aca="false">IF(CC_IncWaste="Yes",N(I275)*N(XWaste),0)</f>
        <v>0</v>
      </c>
      <c r="M275" s="65" t="n">
        <f aca="false">IF(N(G275)=0,0,IF(CC_AllocBasis="Equipment count",1,IF(CC_AllocBasis="Equipment volume",N(G275),N(H275))))</f>
        <v>0</v>
      </c>
      <c r="N275" s="15" t="n">
        <f aca="false">IF(SUM(CC_P_M)=0,0,M275/SUM(CC_P_M))</f>
        <v>0</v>
      </c>
      <c r="O275" s="62" t="n">
        <f aca="false">N275*CC_SharedCost</f>
        <v>0</v>
      </c>
      <c r="P275" s="63" t="n">
        <f aca="false">K275+L275+O275</f>
        <v>0</v>
      </c>
      <c r="Q275" s="62" t="n">
        <f aca="false">K275*(1+INDEX(MkMatrix,3,3))</f>
        <v>0</v>
      </c>
      <c r="R275" s="62" t="n">
        <f aca="false">L275*(1+INDEX(MkMatrix,3,3))</f>
        <v>0</v>
      </c>
      <c r="S275" s="62" t="n">
        <f aca="false">N275*CC_SharedSell</f>
        <v>0</v>
      </c>
      <c r="T275" s="62" t="n">
        <f aca="false">P275*N(QCont)</f>
        <v>0</v>
      </c>
      <c r="U275" s="62" t="n">
        <f aca="false">Q275+R275+S275+T275</f>
        <v>0</v>
      </c>
      <c r="V275" s="62" t="n">
        <f aca="false">-U275*N(QDisc)</f>
        <v>-0</v>
      </c>
      <c r="W275" s="63" t="n">
        <f aca="false">U275+V275</f>
        <v>0</v>
      </c>
      <c r="X275" s="63" t="n">
        <f aca="false">W275/QRate</f>
        <v>0</v>
      </c>
      <c r="Y275" s="0" t="n">
        <v>9</v>
      </c>
    </row>
    <row r="276" customFormat="false" ht="15" hidden="false" customHeight="false" outlineLevel="0" collapsed="false">
      <c r="A276" s="68" t="n">
        <f aca="false">'CC Volume'!A276</f>
        <v>3</v>
      </c>
      <c r="B276" s="13" t="str">
        <f aca="false">IF('CC Volume'!B276="","",'CC Volume'!B276)</f>
        <v/>
      </c>
      <c r="C276" s="13" t="str">
        <f aca="false">IF('CC Volume'!C276="","",'CC Volume'!C276)</f>
        <v/>
      </c>
      <c r="D276" s="13" t="str">
        <f aca="false">IF('CC Volume'!D276="","",'CC Volume'!D276)</f>
        <v/>
      </c>
      <c r="E276" s="68" t="str">
        <f aca="false">IF('CC Volume'!E276="","",'CC Volume'!E276)</f>
        <v/>
      </c>
      <c r="F276" s="68" t="str">
        <f aca="false">IF('CC Volume'!F276="","",'CC Volume'!F276)</f>
        <v/>
      </c>
      <c r="G276" s="69" t="str">
        <f aca="false">'CC Volume'!AN276</f>
        <v/>
      </c>
      <c r="H276" s="69" t="str">
        <f aca="false">'CC Volume'!AO276</f>
        <v/>
      </c>
      <c r="I276" s="69" t="str">
        <f aca="false">'CC Volume'!AM276</f>
        <v/>
      </c>
      <c r="J276" s="62" t="str">
        <f aca="false">IF(N(H276)=0,"",IFERROR(INDEX(CC_RegRate,MATCH(F276,CC_RegU,0)),0))</f>
        <v/>
      </c>
      <c r="K276" s="62" t="n">
        <f aca="false">N(H276)*N(J276)</f>
        <v>0</v>
      </c>
      <c r="L276" s="62" t="n">
        <f aca="false">IF(CC_IncWaste="Yes",N(I276)*N(XWaste),0)</f>
        <v>0</v>
      </c>
      <c r="M276" s="65" t="n">
        <f aca="false">IF(N(G276)=0,0,IF(CC_AllocBasis="Equipment count",1,IF(CC_AllocBasis="Equipment volume",N(G276),N(H276))))</f>
        <v>0</v>
      </c>
      <c r="N276" s="15" t="n">
        <f aca="false">IF(SUM(CC_P_M)=0,0,M276/SUM(CC_P_M))</f>
        <v>0</v>
      </c>
      <c r="O276" s="62" t="n">
        <f aca="false">N276*CC_SharedCost</f>
        <v>0</v>
      </c>
      <c r="P276" s="63" t="n">
        <f aca="false">K276+L276+O276</f>
        <v>0</v>
      </c>
      <c r="Q276" s="62" t="n">
        <f aca="false">K276*(1+INDEX(MkMatrix,3,3))</f>
        <v>0</v>
      </c>
      <c r="R276" s="62" t="n">
        <f aca="false">L276*(1+INDEX(MkMatrix,3,3))</f>
        <v>0</v>
      </c>
      <c r="S276" s="62" t="n">
        <f aca="false">N276*CC_SharedSell</f>
        <v>0</v>
      </c>
      <c r="T276" s="62" t="n">
        <f aca="false">P276*N(QCont)</f>
        <v>0</v>
      </c>
      <c r="U276" s="62" t="n">
        <f aca="false">Q276+R276+S276+T276</f>
        <v>0</v>
      </c>
      <c r="V276" s="62" t="n">
        <f aca="false">-U276*N(QDisc)</f>
        <v>-0</v>
      </c>
      <c r="W276" s="63" t="n">
        <f aca="false">U276+V276</f>
        <v>0</v>
      </c>
      <c r="X276" s="63" t="n">
        <f aca="false">W276/QRate</f>
        <v>0</v>
      </c>
      <c r="Y276" s="0" t="n">
        <v>9</v>
      </c>
    </row>
    <row r="277" customFormat="false" ht="15" hidden="false" customHeight="false" outlineLevel="0" collapsed="false">
      <c r="A277" s="68" t="n">
        <f aca="false">'CC Volume'!A277</f>
        <v>4</v>
      </c>
      <c r="B277" s="13" t="str">
        <f aca="false">IF('CC Volume'!B277="","",'CC Volume'!B277)</f>
        <v/>
      </c>
      <c r="C277" s="13" t="str">
        <f aca="false">IF('CC Volume'!C277="","",'CC Volume'!C277)</f>
        <v/>
      </c>
      <c r="D277" s="13" t="str">
        <f aca="false">IF('CC Volume'!D277="","",'CC Volume'!D277)</f>
        <v/>
      </c>
      <c r="E277" s="68" t="str">
        <f aca="false">IF('CC Volume'!E277="","",'CC Volume'!E277)</f>
        <v/>
      </c>
      <c r="F277" s="68" t="str">
        <f aca="false">IF('CC Volume'!F277="","",'CC Volume'!F277)</f>
        <v/>
      </c>
      <c r="G277" s="69" t="str">
        <f aca="false">'CC Volume'!AN277</f>
        <v/>
      </c>
      <c r="H277" s="69" t="str">
        <f aca="false">'CC Volume'!AO277</f>
        <v/>
      </c>
      <c r="I277" s="69" t="str">
        <f aca="false">'CC Volume'!AM277</f>
        <v/>
      </c>
      <c r="J277" s="62" t="str">
        <f aca="false">IF(N(H277)=0,"",IFERROR(INDEX(CC_RegRate,MATCH(F277,CC_RegU,0)),0))</f>
        <v/>
      </c>
      <c r="K277" s="62" t="n">
        <f aca="false">N(H277)*N(J277)</f>
        <v>0</v>
      </c>
      <c r="L277" s="62" t="n">
        <f aca="false">IF(CC_IncWaste="Yes",N(I277)*N(XWaste),0)</f>
        <v>0</v>
      </c>
      <c r="M277" s="65" t="n">
        <f aca="false">IF(N(G277)=0,0,IF(CC_AllocBasis="Equipment count",1,IF(CC_AllocBasis="Equipment volume",N(G277),N(H277))))</f>
        <v>0</v>
      </c>
      <c r="N277" s="15" t="n">
        <f aca="false">IF(SUM(CC_P_M)=0,0,M277/SUM(CC_P_M))</f>
        <v>0</v>
      </c>
      <c r="O277" s="62" t="n">
        <f aca="false">N277*CC_SharedCost</f>
        <v>0</v>
      </c>
      <c r="P277" s="63" t="n">
        <f aca="false">K277+L277+O277</f>
        <v>0</v>
      </c>
      <c r="Q277" s="62" t="n">
        <f aca="false">K277*(1+INDEX(MkMatrix,3,3))</f>
        <v>0</v>
      </c>
      <c r="R277" s="62" t="n">
        <f aca="false">L277*(1+INDEX(MkMatrix,3,3))</f>
        <v>0</v>
      </c>
      <c r="S277" s="62" t="n">
        <f aca="false">N277*CC_SharedSell</f>
        <v>0</v>
      </c>
      <c r="T277" s="62" t="n">
        <f aca="false">P277*N(QCont)</f>
        <v>0</v>
      </c>
      <c r="U277" s="62" t="n">
        <f aca="false">Q277+R277+S277+T277</f>
        <v>0</v>
      </c>
      <c r="V277" s="62" t="n">
        <f aca="false">-U277*N(QDisc)</f>
        <v>-0</v>
      </c>
      <c r="W277" s="63" t="n">
        <f aca="false">U277+V277</f>
        <v>0</v>
      </c>
      <c r="X277" s="63" t="n">
        <f aca="false">W277/QRate</f>
        <v>0</v>
      </c>
      <c r="Y277" s="0" t="n">
        <v>9</v>
      </c>
    </row>
    <row r="278" customFormat="false" ht="15" hidden="false" customHeight="false" outlineLevel="0" collapsed="false">
      <c r="A278" s="68" t="n">
        <f aca="false">'CC Volume'!A278</f>
        <v>5</v>
      </c>
      <c r="B278" s="13" t="str">
        <f aca="false">IF('CC Volume'!B278="","",'CC Volume'!B278)</f>
        <v/>
      </c>
      <c r="C278" s="13" t="str">
        <f aca="false">IF('CC Volume'!C278="","",'CC Volume'!C278)</f>
        <v/>
      </c>
      <c r="D278" s="13" t="str">
        <f aca="false">IF('CC Volume'!D278="","",'CC Volume'!D278)</f>
        <v/>
      </c>
      <c r="E278" s="68" t="str">
        <f aca="false">IF('CC Volume'!E278="","",'CC Volume'!E278)</f>
        <v/>
      </c>
      <c r="F278" s="68" t="str">
        <f aca="false">IF('CC Volume'!F278="","",'CC Volume'!F278)</f>
        <v/>
      </c>
      <c r="G278" s="69" t="str">
        <f aca="false">'CC Volume'!AN278</f>
        <v/>
      </c>
      <c r="H278" s="69" t="str">
        <f aca="false">'CC Volume'!AO278</f>
        <v/>
      </c>
      <c r="I278" s="69" t="str">
        <f aca="false">'CC Volume'!AM278</f>
        <v/>
      </c>
      <c r="J278" s="62" t="str">
        <f aca="false">IF(N(H278)=0,"",IFERROR(INDEX(CC_RegRate,MATCH(F278,CC_RegU,0)),0))</f>
        <v/>
      </c>
      <c r="K278" s="62" t="n">
        <f aca="false">N(H278)*N(J278)</f>
        <v>0</v>
      </c>
      <c r="L278" s="62" t="n">
        <f aca="false">IF(CC_IncWaste="Yes",N(I278)*N(XWaste),0)</f>
        <v>0</v>
      </c>
      <c r="M278" s="65" t="n">
        <f aca="false">IF(N(G278)=0,0,IF(CC_AllocBasis="Equipment count",1,IF(CC_AllocBasis="Equipment volume",N(G278),N(H278))))</f>
        <v>0</v>
      </c>
      <c r="N278" s="15" t="n">
        <f aca="false">IF(SUM(CC_P_M)=0,0,M278/SUM(CC_P_M))</f>
        <v>0</v>
      </c>
      <c r="O278" s="62" t="n">
        <f aca="false">N278*CC_SharedCost</f>
        <v>0</v>
      </c>
      <c r="P278" s="63" t="n">
        <f aca="false">K278+L278+O278</f>
        <v>0</v>
      </c>
      <c r="Q278" s="62" t="n">
        <f aca="false">K278*(1+INDEX(MkMatrix,3,3))</f>
        <v>0</v>
      </c>
      <c r="R278" s="62" t="n">
        <f aca="false">L278*(1+INDEX(MkMatrix,3,3))</f>
        <v>0</v>
      </c>
      <c r="S278" s="62" t="n">
        <f aca="false">N278*CC_SharedSell</f>
        <v>0</v>
      </c>
      <c r="T278" s="62" t="n">
        <f aca="false">P278*N(QCont)</f>
        <v>0</v>
      </c>
      <c r="U278" s="62" t="n">
        <f aca="false">Q278+R278+S278+T278</f>
        <v>0</v>
      </c>
      <c r="V278" s="62" t="n">
        <f aca="false">-U278*N(QDisc)</f>
        <v>-0</v>
      </c>
      <c r="W278" s="63" t="n">
        <f aca="false">U278+V278</f>
        <v>0</v>
      </c>
      <c r="X278" s="63" t="n">
        <f aca="false">W278/QRate</f>
        <v>0</v>
      </c>
      <c r="Y278" s="0" t="n">
        <v>9</v>
      </c>
    </row>
    <row r="279" customFormat="false" ht="15" hidden="false" customHeight="false" outlineLevel="0" collapsed="false">
      <c r="A279" s="68" t="n">
        <f aca="false">'CC Volume'!A279</f>
        <v>6</v>
      </c>
      <c r="B279" s="13" t="str">
        <f aca="false">IF('CC Volume'!B279="","",'CC Volume'!B279)</f>
        <v/>
      </c>
      <c r="C279" s="13" t="str">
        <f aca="false">IF('CC Volume'!C279="","",'CC Volume'!C279)</f>
        <v/>
      </c>
      <c r="D279" s="13" t="str">
        <f aca="false">IF('CC Volume'!D279="","",'CC Volume'!D279)</f>
        <v/>
      </c>
      <c r="E279" s="68" t="str">
        <f aca="false">IF('CC Volume'!E279="","",'CC Volume'!E279)</f>
        <v/>
      </c>
      <c r="F279" s="68" t="str">
        <f aca="false">IF('CC Volume'!F279="","",'CC Volume'!F279)</f>
        <v/>
      </c>
      <c r="G279" s="69" t="str">
        <f aca="false">'CC Volume'!AN279</f>
        <v/>
      </c>
      <c r="H279" s="69" t="str">
        <f aca="false">'CC Volume'!AO279</f>
        <v/>
      </c>
      <c r="I279" s="69" t="str">
        <f aca="false">'CC Volume'!AM279</f>
        <v/>
      </c>
      <c r="J279" s="62" t="str">
        <f aca="false">IF(N(H279)=0,"",IFERROR(INDEX(CC_RegRate,MATCH(F279,CC_RegU,0)),0))</f>
        <v/>
      </c>
      <c r="K279" s="62" t="n">
        <f aca="false">N(H279)*N(J279)</f>
        <v>0</v>
      </c>
      <c r="L279" s="62" t="n">
        <f aca="false">IF(CC_IncWaste="Yes",N(I279)*N(XWaste),0)</f>
        <v>0</v>
      </c>
      <c r="M279" s="65" t="n">
        <f aca="false">IF(N(G279)=0,0,IF(CC_AllocBasis="Equipment count",1,IF(CC_AllocBasis="Equipment volume",N(G279),N(H279))))</f>
        <v>0</v>
      </c>
      <c r="N279" s="15" t="n">
        <f aca="false">IF(SUM(CC_P_M)=0,0,M279/SUM(CC_P_M))</f>
        <v>0</v>
      </c>
      <c r="O279" s="62" t="n">
        <f aca="false">N279*CC_SharedCost</f>
        <v>0</v>
      </c>
      <c r="P279" s="63" t="n">
        <f aca="false">K279+L279+O279</f>
        <v>0</v>
      </c>
      <c r="Q279" s="62" t="n">
        <f aca="false">K279*(1+INDEX(MkMatrix,3,3))</f>
        <v>0</v>
      </c>
      <c r="R279" s="62" t="n">
        <f aca="false">L279*(1+INDEX(MkMatrix,3,3))</f>
        <v>0</v>
      </c>
      <c r="S279" s="62" t="n">
        <f aca="false">N279*CC_SharedSell</f>
        <v>0</v>
      </c>
      <c r="T279" s="62" t="n">
        <f aca="false">P279*N(QCont)</f>
        <v>0</v>
      </c>
      <c r="U279" s="62" t="n">
        <f aca="false">Q279+R279+S279+T279</f>
        <v>0</v>
      </c>
      <c r="V279" s="62" t="n">
        <f aca="false">-U279*N(QDisc)</f>
        <v>-0</v>
      </c>
      <c r="W279" s="63" t="n">
        <f aca="false">U279+V279</f>
        <v>0</v>
      </c>
      <c r="X279" s="63" t="n">
        <f aca="false">W279/QRate</f>
        <v>0</v>
      </c>
      <c r="Y279" s="0" t="n">
        <v>9</v>
      </c>
    </row>
    <row r="280" customFormat="false" ht="15" hidden="false" customHeight="false" outlineLevel="0" collapsed="false">
      <c r="A280" s="68" t="n">
        <f aca="false">'CC Volume'!A280</f>
        <v>7</v>
      </c>
      <c r="B280" s="13" t="str">
        <f aca="false">IF('CC Volume'!B280="","",'CC Volume'!B280)</f>
        <v/>
      </c>
      <c r="C280" s="13" t="str">
        <f aca="false">IF('CC Volume'!C280="","",'CC Volume'!C280)</f>
        <v/>
      </c>
      <c r="D280" s="13" t="str">
        <f aca="false">IF('CC Volume'!D280="","",'CC Volume'!D280)</f>
        <v/>
      </c>
      <c r="E280" s="68" t="str">
        <f aca="false">IF('CC Volume'!E280="","",'CC Volume'!E280)</f>
        <v/>
      </c>
      <c r="F280" s="68" t="str">
        <f aca="false">IF('CC Volume'!F280="","",'CC Volume'!F280)</f>
        <v/>
      </c>
      <c r="G280" s="69" t="str">
        <f aca="false">'CC Volume'!AN280</f>
        <v/>
      </c>
      <c r="H280" s="69" t="str">
        <f aca="false">'CC Volume'!AO280</f>
        <v/>
      </c>
      <c r="I280" s="69" t="str">
        <f aca="false">'CC Volume'!AM280</f>
        <v/>
      </c>
      <c r="J280" s="62" t="str">
        <f aca="false">IF(N(H280)=0,"",IFERROR(INDEX(CC_RegRate,MATCH(F280,CC_RegU,0)),0))</f>
        <v/>
      </c>
      <c r="K280" s="62" t="n">
        <f aca="false">N(H280)*N(J280)</f>
        <v>0</v>
      </c>
      <c r="L280" s="62" t="n">
        <f aca="false">IF(CC_IncWaste="Yes",N(I280)*N(XWaste),0)</f>
        <v>0</v>
      </c>
      <c r="M280" s="65" t="n">
        <f aca="false">IF(N(G280)=0,0,IF(CC_AllocBasis="Equipment count",1,IF(CC_AllocBasis="Equipment volume",N(G280),N(H280))))</f>
        <v>0</v>
      </c>
      <c r="N280" s="15" t="n">
        <f aca="false">IF(SUM(CC_P_M)=0,0,M280/SUM(CC_P_M))</f>
        <v>0</v>
      </c>
      <c r="O280" s="62" t="n">
        <f aca="false">N280*CC_SharedCost</f>
        <v>0</v>
      </c>
      <c r="P280" s="63" t="n">
        <f aca="false">K280+L280+O280</f>
        <v>0</v>
      </c>
      <c r="Q280" s="62" t="n">
        <f aca="false">K280*(1+INDEX(MkMatrix,3,3))</f>
        <v>0</v>
      </c>
      <c r="R280" s="62" t="n">
        <f aca="false">L280*(1+INDEX(MkMatrix,3,3))</f>
        <v>0</v>
      </c>
      <c r="S280" s="62" t="n">
        <f aca="false">N280*CC_SharedSell</f>
        <v>0</v>
      </c>
      <c r="T280" s="62" t="n">
        <f aca="false">P280*N(QCont)</f>
        <v>0</v>
      </c>
      <c r="U280" s="62" t="n">
        <f aca="false">Q280+R280+S280+T280</f>
        <v>0</v>
      </c>
      <c r="V280" s="62" t="n">
        <f aca="false">-U280*N(QDisc)</f>
        <v>-0</v>
      </c>
      <c r="W280" s="63" t="n">
        <f aca="false">U280+V280</f>
        <v>0</v>
      </c>
      <c r="X280" s="63" t="n">
        <f aca="false">W280/QRate</f>
        <v>0</v>
      </c>
      <c r="Y280" s="0" t="n">
        <v>9</v>
      </c>
    </row>
    <row r="281" customFormat="false" ht="15" hidden="false" customHeight="false" outlineLevel="0" collapsed="false">
      <c r="A281" s="68" t="n">
        <f aca="false">'CC Volume'!A281</f>
        <v>8</v>
      </c>
      <c r="B281" s="13" t="str">
        <f aca="false">IF('CC Volume'!B281="","",'CC Volume'!B281)</f>
        <v/>
      </c>
      <c r="C281" s="13" t="str">
        <f aca="false">IF('CC Volume'!C281="","",'CC Volume'!C281)</f>
        <v/>
      </c>
      <c r="D281" s="13" t="str">
        <f aca="false">IF('CC Volume'!D281="","",'CC Volume'!D281)</f>
        <v/>
      </c>
      <c r="E281" s="68" t="str">
        <f aca="false">IF('CC Volume'!E281="","",'CC Volume'!E281)</f>
        <v/>
      </c>
      <c r="F281" s="68" t="str">
        <f aca="false">IF('CC Volume'!F281="","",'CC Volume'!F281)</f>
        <v/>
      </c>
      <c r="G281" s="69" t="str">
        <f aca="false">'CC Volume'!AN281</f>
        <v/>
      </c>
      <c r="H281" s="69" t="str">
        <f aca="false">'CC Volume'!AO281</f>
        <v/>
      </c>
      <c r="I281" s="69" t="str">
        <f aca="false">'CC Volume'!AM281</f>
        <v/>
      </c>
      <c r="J281" s="62" t="str">
        <f aca="false">IF(N(H281)=0,"",IFERROR(INDEX(CC_RegRate,MATCH(F281,CC_RegU,0)),0))</f>
        <v/>
      </c>
      <c r="K281" s="62" t="n">
        <f aca="false">N(H281)*N(J281)</f>
        <v>0</v>
      </c>
      <c r="L281" s="62" t="n">
        <f aca="false">IF(CC_IncWaste="Yes",N(I281)*N(XWaste),0)</f>
        <v>0</v>
      </c>
      <c r="M281" s="65" t="n">
        <f aca="false">IF(N(G281)=0,0,IF(CC_AllocBasis="Equipment count",1,IF(CC_AllocBasis="Equipment volume",N(G281),N(H281))))</f>
        <v>0</v>
      </c>
      <c r="N281" s="15" t="n">
        <f aca="false">IF(SUM(CC_P_M)=0,0,M281/SUM(CC_P_M))</f>
        <v>0</v>
      </c>
      <c r="O281" s="62" t="n">
        <f aca="false">N281*CC_SharedCost</f>
        <v>0</v>
      </c>
      <c r="P281" s="63" t="n">
        <f aca="false">K281+L281+O281</f>
        <v>0</v>
      </c>
      <c r="Q281" s="62" t="n">
        <f aca="false">K281*(1+INDEX(MkMatrix,3,3))</f>
        <v>0</v>
      </c>
      <c r="R281" s="62" t="n">
        <f aca="false">L281*(1+INDEX(MkMatrix,3,3))</f>
        <v>0</v>
      </c>
      <c r="S281" s="62" t="n">
        <f aca="false">N281*CC_SharedSell</f>
        <v>0</v>
      </c>
      <c r="T281" s="62" t="n">
        <f aca="false">P281*N(QCont)</f>
        <v>0</v>
      </c>
      <c r="U281" s="62" t="n">
        <f aca="false">Q281+R281+S281+T281</f>
        <v>0</v>
      </c>
      <c r="V281" s="62" t="n">
        <f aca="false">-U281*N(QDisc)</f>
        <v>-0</v>
      </c>
      <c r="W281" s="63" t="n">
        <f aca="false">U281+V281</f>
        <v>0</v>
      </c>
      <c r="X281" s="63" t="n">
        <f aca="false">W281/QRate</f>
        <v>0</v>
      </c>
      <c r="Y281" s="0" t="n">
        <v>9</v>
      </c>
    </row>
    <row r="282" customFormat="false" ht="15" hidden="false" customHeight="false" outlineLevel="0" collapsed="false">
      <c r="A282" s="68" t="n">
        <f aca="false">'CC Volume'!A282</f>
        <v>9</v>
      </c>
      <c r="B282" s="13" t="str">
        <f aca="false">IF('CC Volume'!B282="","",'CC Volume'!B282)</f>
        <v/>
      </c>
      <c r="C282" s="13" t="str">
        <f aca="false">IF('CC Volume'!C282="","",'CC Volume'!C282)</f>
        <v/>
      </c>
      <c r="D282" s="13" t="str">
        <f aca="false">IF('CC Volume'!D282="","",'CC Volume'!D282)</f>
        <v/>
      </c>
      <c r="E282" s="68" t="str">
        <f aca="false">IF('CC Volume'!E282="","",'CC Volume'!E282)</f>
        <v/>
      </c>
      <c r="F282" s="68" t="str">
        <f aca="false">IF('CC Volume'!F282="","",'CC Volume'!F282)</f>
        <v/>
      </c>
      <c r="G282" s="69" t="str">
        <f aca="false">'CC Volume'!AN282</f>
        <v/>
      </c>
      <c r="H282" s="69" t="str">
        <f aca="false">'CC Volume'!AO282</f>
        <v/>
      </c>
      <c r="I282" s="69" t="str">
        <f aca="false">'CC Volume'!AM282</f>
        <v/>
      </c>
      <c r="J282" s="62" t="str">
        <f aca="false">IF(N(H282)=0,"",IFERROR(INDEX(CC_RegRate,MATCH(F282,CC_RegU,0)),0))</f>
        <v/>
      </c>
      <c r="K282" s="62" t="n">
        <f aca="false">N(H282)*N(J282)</f>
        <v>0</v>
      </c>
      <c r="L282" s="62" t="n">
        <f aca="false">IF(CC_IncWaste="Yes",N(I282)*N(XWaste),0)</f>
        <v>0</v>
      </c>
      <c r="M282" s="65" t="n">
        <f aca="false">IF(N(G282)=0,0,IF(CC_AllocBasis="Equipment count",1,IF(CC_AllocBasis="Equipment volume",N(G282),N(H282))))</f>
        <v>0</v>
      </c>
      <c r="N282" s="15" t="n">
        <f aca="false">IF(SUM(CC_P_M)=0,0,M282/SUM(CC_P_M))</f>
        <v>0</v>
      </c>
      <c r="O282" s="62" t="n">
        <f aca="false">N282*CC_SharedCost</f>
        <v>0</v>
      </c>
      <c r="P282" s="63" t="n">
        <f aca="false">K282+L282+O282</f>
        <v>0</v>
      </c>
      <c r="Q282" s="62" t="n">
        <f aca="false">K282*(1+INDEX(MkMatrix,3,3))</f>
        <v>0</v>
      </c>
      <c r="R282" s="62" t="n">
        <f aca="false">L282*(1+INDEX(MkMatrix,3,3))</f>
        <v>0</v>
      </c>
      <c r="S282" s="62" t="n">
        <f aca="false">N282*CC_SharedSell</f>
        <v>0</v>
      </c>
      <c r="T282" s="62" t="n">
        <f aca="false">P282*N(QCont)</f>
        <v>0</v>
      </c>
      <c r="U282" s="62" t="n">
        <f aca="false">Q282+R282+S282+T282</f>
        <v>0</v>
      </c>
      <c r="V282" s="62" t="n">
        <f aca="false">-U282*N(QDisc)</f>
        <v>-0</v>
      </c>
      <c r="W282" s="63" t="n">
        <f aca="false">U282+V282</f>
        <v>0</v>
      </c>
      <c r="X282" s="63" t="n">
        <f aca="false">W282/QRate</f>
        <v>0</v>
      </c>
      <c r="Y282" s="0" t="n">
        <v>9</v>
      </c>
    </row>
    <row r="283" customFormat="false" ht="15" hidden="false" customHeight="false" outlineLevel="0" collapsed="false">
      <c r="A283" s="68" t="n">
        <f aca="false">'CC Volume'!A283</f>
        <v>10</v>
      </c>
      <c r="B283" s="13" t="str">
        <f aca="false">IF('CC Volume'!B283="","",'CC Volume'!B283)</f>
        <v/>
      </c>
      <c r="C283" s="13" t="str">
        <f aca="false">IF('CC Volume'!C283="","",'CC Volume'!C283)</f>
        <v/>
      </c>
      <c r="D283" s="13" t="str">
        <f aca="false">IF('CC Volume'!D283="","",'CC Volume'!D283)</f>
        <v/>
      </c>
      <c r="E283" s="68" t="str">
        <f aca="false">IF('CC Volume'!E283="","",'CC Volume'!E283)</f>
        <v/>
      </c>
      <c r="F283" s="68" t="str">
        <f aca="false">IF('CC Volume'!F283="","",'CC Volume'!F283)</f>
        <v/>
      </c>
      <c r="G283" s="69" t="str">
        <f aca="false">'CC Volume'!AN283</f>
        <v/>
      </c>
      <c r="H283" s="69" t="str">
        <f aca="false">'CC Volume'!AO283</f>
        <v/>
      </c>
      <c r="I283" s="69" t="str">
        <f aca="false">'CC Volume'!AM283</f>
        <v/>
      </c>
      <c r="J283" s="62" t="str">
        <f aca="false">IF(N(H283)=0,"",IFERROR(INDEX(CC_RegRate,MATCH(F283,CC_RegU,0)),0))</f>
        <v/>
      </c>
      <c r="K283" s="62" t="n">
        <f aca="false">N(H283)*N(J283)</f>
        <v>0</v>
      </c>
      <c r="L283" s="62" t="n">
        <f aca="false">IF(CC_IncWaste="Yes",N(I283)*N(XWaste),0)</f>
        <v>0</v>
      </c>
      <c r="M283" s="65" t="n">
        <f aca="false">IF(N(G283)=0,0,IF(CC_AllocBasis="Equipment count",1,IF(CC_AllocBasis="Equipment volume",N(G283),N(H283))))</f>
        <v>0</v>
      </c>
      <c r="N283" s="15" t="n">
        <f aca="false">IF(SUM(CC_P_M)=0,0,M283/SUM(CC_P_M))</f>
        <v>0</v>
      </c>
      <c r="O283" s="62" t="n">
        <f aca="false">N283*CC_SharedCost</f>
        <v>0</v>
      </c>
      <c r="P283" s="63" t="n">
        <f aca="false">K283+L283+O283</f>
        <v>0</v>
      </c>
      <c r="Q283" s="62" t="n">
        <f aca="false">K283*(1+INDEX(MkMatrix,3,3))</f>
        <v>0</v>
      </c>
      <c r="R283" s="62" t="n">
        <f aca="false">L283*(1+INDEX(MkMatrix,3,3))</f>
        <v>0</v>
      </c>
      <c r="S283" s="62" t="n">
        <f aca="false">N283*CC_SharedSell</f>
        <v>0</v>
      </c>
      <c r="T283" s="62" t="n">
        <f aca="false">P283*N(QCont)</f>
        <v>0</v>
      </c>
      <c r="U283" s="62" t="n">
        <f aca="false">Q283+R283+S283+T283</f>
        <v>0</v>
      </c>
      <c r="V283" s="62" t="n">
        <f aca="false">-U283*N(QDisc)</f>
        <v>-0</v>
      </c>
      <c r="W283" s="63" t="n">
        <f aca="false">U283+V283</f>
        <v>0</v>
      </c>
      <c r="X283" s="63" t="n">
        <f aca="false">W283/QRate</f>
        <v>0</v>
      </c>
      <c r="Y283" s="0" t="n">
        <v>9</v>
      </c>
    </row>
    <row r="284" customFormat="false" ht="15" hidden="false" customHeight="false" outlineLevel="0" collapsed="false">
      <c r="A284" s="68" t="n">
        <f aca="false">'CC Volume'!A284</f>
        <v>11</v>
      </c>
      <c r="B284" s="13" t="str">
        <f aca="false">IF('CC Volume'!B284="","",'CC Volume'!B284)</f>
        <v/>
      </c>
      <c r="C284" s="13" t="str">
        <f aca="false">IF('CC Volume'!C284="","",'CC Volume'!C284)</f>
        <v/>
      </c>
      <c r="D284" s="13" t="str">
        <f aca="false">IF('CC Volume'!D284="","",'CC Volume'!D284)</f>
        <v/>
      </c>
      <c r="E284" s="68" t="str">
        <f aca="false">IF('CC Volume'!E284="","",'CC Volume'!E284)</f>
        <v/>
      </c>
      <c r="F284" s="68" t="str">
        <f aca="false">IF('CC Volume'!F284="","",'CC Volume'!F284)</f>
        <v/>
      </c>
      <c r="G284" s="69" t="str">
        <f aca="false">'CC Volume'!AN284</f>
        <v/>
      </c>
      <c r="H284" s="69" t="str">
        <f aca="false">'CC Volume'!AO284</f>
        <v/>
      </c>
      <c r="I284" s="69" t="str">
        <f aca="false">'CC Volume'!AM284</f>
        <v/>
      </c>
      <c r="J284" s="62" t="str">
        <f aca="false">IF(N(H284)=0,"",IFERROR(INDEX(CC_RegRate,MATCH(F284,CC_RegU,0)),0))</f>
        <v/>
      </c>
      <c r="K284" s="62" t="n">
        <f aca="false">N(H284)*N(J284)</f>
        <v>0</v>
      </c>
      <c r="L284" s="62" t="n">
        <f aca="false">IF(CC_IncWaste="Yes",N(I284)*N(XWaste),0)</f>
        <v>0</v>
      </c>
      <c r="M284" s="65" t="n">
        <f aca="false">IF(N(G284)=0,0,IF(CC_AllocBasis="Equipment count",1,IF(CC_AllocBasis="Equipment volume",N(G284),N(H284))))</f>
        <v>0</v>
      </c>
      <c r="N284" s="15" t="n">
        <f aca="false">IF(SUM(CC_P_M)=0,0,M284/SUM(CC_P_M))</f>
        <v>0</v>
      </c>
      <c r="O284" s="62" t="n">
        <f aca="false">N284*CC_SharedCost</f>
        <v>0</v>
      </c>
      <c r="P284" s="63" t="n">
        <f aca="false">K284+L284+O284</f>
        <v>0</v>
      </c>
      <c r="Q284" s="62" t="n">
        <f aca="false">K284*(1+INDEX(MkMatrix,3,3))</f>
        <v>0</v>
      </c>
      <c r="R284" s="62" t="n">
        <f aca="false">L284*(1+INDEX(MkMatrix,3,3))</f>
        <v>0</v>
      </c>
      <c r="S284" s="62" t="n">
        <f aca="false">N284*CC_SharedSell</f>
        <v>0</v>
      </c>
      <c r="T284" s="62" t="n">
        <f aca="false">P284*N(QCont)</f>
        <v>0</v>
      </c>
      <c r="U284" s="62" t="n">
        <f aca="false">Q284+R284+S284+T284</f>
        <v>0</v>
      </c>
      <c r="V284" s="62" t="n">
        <f aca="false">-U284*N(QDisc)</f>
        <v>-0</v>
      </c>
      <c r="W284" s="63" t="n">
        <f aca="false">U284+V284</f>
        <v>0</v>
      </c>
      <c r="X284" s="63" t="n">
        <f aca="false">W284/QRate</f>
        <v>0</v>
      </c>
      <c r="Y284" s="0" t="n">
        <v>9</v>
      </c>
    </row>
    <row r="285" customFormat="false" ht="15" hidden="false" customHeight="false" outlineLevel="0" collapsed="false">
      <c r="A285" s="68" t="n">
        <f aca="false">'CC Volume'!A285</f>
        <v>12</v>
      </c>
      <c r="B285" s="13" t="str">
        <f aca="false">IF('CC Volume'!B285="","",'CC Volume'!B285)</f>
        <v/>
      </c>
      <c r="C285" s="13" t="str">
        <f aca="false">IF('CC Volume'!C285="","",'CC Volume'!C285)</f>
        <v/>
      </c>
      <c r="D285" s="13" t="str">
        <f aca="false">IF('CC Volume'!D285="","",'CC Volume'!D285)</f>
        <v/>
      </c>
      <c r="E285" s="68" t="str">
        <f aca="false">IF('CC Volume'!E285="","",'CC Volume'!E285)</f>
        <v/>
      </c>
      <c r="F285" s="68" t="str">
        <f aca="false">IF('CC Volume'!F285="","",'CC Volume'!F285)</f>
        <v/>
      </c>
      <c r="G285" s="69" t="str">
        <f aca="false">'CC Volume'!AN285</f>
        <v/>
      </c>
      <c r="H285" s="69" t="str">
        <f aca="false">'CC Volume'!AO285</f>
        <v/>
      </c>
      <c r="I285" s="69" t="str">
        <f aca="false">'CC Volume'!AM285</f>
        <v/>
      </c>
      <c r="J285" s="62" t="str">
        <f aca="false">IF(N(H285)=0,"",IFERROR(INDEX(CC_RegRate,MATCH(F285,CC_RegU,0)),0))</f>
        <v/>
      </c>
      <c r="K285" s="62" t="n">
        <f aca="false">N(H285)*N(J285)</f>
        <v>0</v>
      </c>
      <c r="L285" s="62" t="n">
        <f aca="false">IF(CC_IncWaste="Yes",N(I285)*N(XWaste),0)</f>
        <v>0</v>
      </c>
      <c r="M285" s="65" t="n">
        <f aca="false">IF(N(G285)=0,0,IF(CC_AllocBasis="Equipment count",1,IF(CC_AllocBasis="Equipment volume",N(G285),N(H285))))</f>
        <v>0</v>
      </c>
      <c r="N285" s="15" t="n">
        <f aca="false">IF(SUM(CC_P_M)=0,0,M285/SUM(CC_P_M))</f>
        <v>0</v>
      </c>
      <c r="O285" s="62" t="n">
        <f aca="false">N285*CC_SharedCost</f>
        <v>0</v>
      </c>
      <c r="P285" s="63" t="n">
        <f aca="false">K285+L285+O285</f>
        <v>0</v>
      </c>
      <c r="Q285" s="62" t="n">
        <f aca="false">K285*(1+INDEX(MkMatrix,3,3))</f>
        <v>0</v>
      </c>
      <c r="R285" s="62" t="n">
        <f aca="false">L285*(1+INDEX(MkMatrix,3,3))</f>
        <v>0</v>
      </c>
      <c r="S285" s="62" t="n">
        <f aca="false">N285*CC_SharedSell</f>
        <v>0</v>
      </c>
      <c r="T285" s="62" t="n">
        <f aca="false">P285*N(QCont)</f>
        <v>0</v>
      </c>
      <c r="U285" s="62" t="n">
        <f aca="false">Q285+R285+S285+T285</f>
        <v>0</v>
      </c>
      <c r="V285" s="62" t="n">
        <f aca="false">-U285*N(QDisc)</f>
        <v>-0</v>
      </c>
      <c r="W285" s="63" t="n">
        <f aca="false">U285+V285</f>
        <v>0</v>
      </c>
      <c r="X285" s="63" t="n">
        <f aca="false">W285/QRate</f>
        <v>0</v>
      </c>
      <c r="Y285" s="0" t="n">
        <v>9</v>
      </c>
    </row>
    <row r="286" customFormat="false" ht="15" hidden="false" customHeight="false" outlineLevel="0" collapsed="false">
      <c r="A286" s="68" t="n">
        <f aca="false">'CC Volume'!A286</f>
        <v>13</v>
      </c>
      <c r="B286" s="13" t="str">
        <f aca="false">IF('CC Volume'!B286="","",'CC Volume'!B286)</f>
        <v/>
      </c>
      <c r="C286" s="13" t="str">
        <f aca="false">IF('CC Volume'!C286="","",'CC Volume'!C286)</f>
        <v/>
      </c>
      <c r="D286" s="13" t="str">
        <f aca="false">IF('CC Volume'!D286="","",'CC Volume'!D286)</f>
        <v/>
      </c>
      <c r="E286" s="68" t="str">
        <f aca="false">IF('CC Volume'!E286="","",'CC Volume'!E286)</f>
        <v/>
      </c>
      <c r="F286" s="68" t="str">
        <f aca="false">IF('CC Volume'!F286="","",'CC Volume'!F286)</f>
        <v/>
      </c>
      <c r="G286" s="69" t="str">
        <f aca="false">'CC Volume'!AN286</f>
        <v/>
      </c>
      <c r="H286" s="69" t="str">
        <f aca="false">'CC Volume'!AO286</f>
        <v/>
      </c>
      <c r="I286" s="69" t="str">
        <f aca="false">'CC Volume'!AM286</f>
        <v/>
      </c>
      <c r="J286" s="62" t="str">
        <f aca="false">IF(N(H286)=0,"",IFERROR(INDEX(CC_RegRate,MATCH(F286,CC_RegU,0)),0))</f>
        <v/>
      </c>
      <c r="K286" s="62" t="n">
        <f aca="false">N(H286)*N(J286)</f>
        <v>0</v>
      </c>
      <c r="L286" s="62" t="n">
        <f aca="false">IF(CC_IncWaste="Yes",N(I286)*N(XWaste),0)</f>
        <v>0</v>
      </c>
      <c r="M286" s="65" t="n">
        <f aca="false">IF(N(G286)=0,0,IF(CC_AllocBasis="Equipment count",1,IF(CC_AllocBasis="Equipment volume",N(G286),N(H286))))</f>
        <v>0</v>
      </c>
      <c r="N286" s="15" t="n">
        <f aca="false">IF(SUM(CC_P_M)=0,0,M286/SUM(CC_P_M))</f>
        <v>0</v>
      </c>
      <c r="O286" s="62" t="n">
        <f aca="false">N286*CC_SharedCost</f>
        <v>0</v>
      </c>
      <c r="P286" s="63" t="n">
        <f aca="false">K286+L286+O286</f>
        <v>0</v>
      </c>
      <c r="Q286" s="62" t="n">
        <f aca="false">K286*(1+INDEX(MkMatrix,3,3))</f>
        <v>0</v>
      </c>
      <c r="R286" s="62" t="n">
        <f aca="false">L286*(1+INDEX(MkMatrix,3,3))</f>
        <v>0</v>
      </c>
      <c r="S286" s="62" t="n">
        <f aca="false">N286*CC_SharedSell</f>
        <v>0</v>
      </c>
      <c r="T286" s="62" t="n">
        <f aca="false">P286*N(QCont)</f>
        <v>0</v>
      </c>
      <c r="U286" s="62" t="n">
        <f aca="false">Q286+R286+S286+T286</f>
        <v>0</v>
      </c>
      <c r="V286" s="62" t="n">
        <f aca="false">-U286*N(QDisc)</f>
        <v>-0</v>
      </c>
      <c r="W286" s="63" t="n">
        <f aca="false">U286+V286</f>
        <v>0</v>
      </c>
      <c r="X286" s="63" t="n">
        <f aca="false">W286/QRate</f>
        <v>0</v>
      </c>
      <c r="Y286" s="0" t="n">
        <v>9</v>
      </c>
    </row>
    <row r="287" customFormat="false" ht="15" hidden="false" customHeight="false" outlineLevel="0" collapsed="false">
      <c r="A287" s="68" t="n">
        <f aca="false">'CC Volume'!A287</f>
        <v>14</v>
      </c>
      <c r="B287" s="13" t="str">
        <f aca="false">IF('CC Volume'!B287="","",'CC Volume'!B287)</f>
        <v/>
      </c>
      <c r="C287" s="13" t="str">
        <f aca="false">IF('CC Volume'!C287="","",'CC Volume'!C287)</f>
        <v/>
      </c>
      <c r="D287" s="13" t="str">
        <f aca="false">IF('CC Volume'!D287="","",'CC Volume'!D287)</f>
        <v/>
      </c>
      <c r="E287" s="68" t="str">
        <f aca="false">IF('CC Volume'!E287="","",'CC Volume'!E287)</f>
        <v/>
      </c>
      <c r="F287" s="68" t="str">
        <f aca="false">IF('CC Volume'!F287="","",'CC Volume'!F287)</f>
        <v/>
      </c>
      <c r="G287" s="69" t="str">
        <f aca="false">'CC Volume'!AN287</f>
        <v/>
      </c>
      <c r="H287" s="69" t="str">
        <f aca="false">'CC Volume'!AO287</f>
        <v/>
      </c>
      <c r="I287" s="69" t="str">
        <f aca="false">'CC Volume'!AM287</f>
        <v/>
      </c>
      <c r="J287" s="62" t="str">
        <f aca="false">IF(N(H287)=0,"",IFERROR(INDEX(CC_RegRate,MATCH(F287,CC_RegU,0)),0))</f>
        <v/>
      </c>
      <c r="K287" s="62" t="n">
        <f aca="false">N(H287)*N(J287)</f>
        <v>0</v>
      </c>
      <c r="L287" s="62" t="n">
        <f aca="false">IF(CC_IncWaste="Yes",N(I287)*N(XWaste),0)</f>
        <v>0</v>
      </c>
      <c r="M287" s="65" t="n">
        <f aca="false">IF(N(G287)=0,0,IF(CC_AllocBasis="Equipment count",1,IF(CC_AllocBasis="Equipment volume",N(G287),N(H287))))</f>
        <v>0</v>
      </c>
      <c r="N287" s="15" t="n">
        <f aca="false">IF(SUM(CC_P_M)=0,0,M287/SUM(CC_P_M))</f>
        <v>0</v>
      </c>
      <c r="O287" s="62" t="n">
        <f aca="false">N287*CC_SharedCost</f>
        <v>0</v>
      </c>
      <c r="P287" s="63" t="n">
        <f aca="false">K287+L287+O287</f>
        <v>0</v>
      </c>
      <c r="Q287" s="62" t="n">
        <f aca="false">K287*(1+INDEX(MkMatrix,3,3))</f>
        <v>0</v>
      </c>
      <c r="R287" s="62" t="n">
        <f aca="false">L287*(1+INDEX(MkMatrix,3,3))</f>
        <v>0</v>
      </c>
      <c r="S287" s="62" t="n">
        <f aca="false">N287*CC_SharedSell</f>
        <v>0</v>
      </c>
      <c r="T287" s="62" t="n">
        <f aca="false">P287*N(QCont)</f>
        <v>0</v>
      </c>
      <c r="U287" s="62" t="n">
        <f aca="false">Q287+R287+S287+T287</f>
        <v>0</v>
      </c>
      <c r="V287" s="62" t="n">
        <f aca="false">-U287*N(QDisc)</f>
        <v>-0</v>
      </c>
      <c r="W287" s="63" t="n">
        <f aca="false">U287+V287</f>
        <v>0</v>
      </c>
      <c r="X287" s="63" t="n">
        <f aca="false">W287/QRate</f>
        <v>0</v>
      </c>
      <c r="Y287" s="0" t="n">
        <v>9</v>
      </c>
    </row>
    <row r="288" customFormat="false" ht="15" hidden="false" customHeight="false" outlineLevel="0" collapsed="false">
      <c r="A288" s="68" t="n">
        <f aca="false">'CC Volume'!A288</f>
        <v>15</v>
      </c>
      <c r="B288" s="13" t="str">
        <f aca="false">IF('CC Volume'!B288="","",'CC Volume'!B288)</f>
        <v/>
      </c>
      <c r="C288" s="13" t="str">
        <f aca="false">IF('CC Volume'!C288="","",'CC Volume'!C288)</f>
        <v/>
      </c>
      <c r="D288" s="13" t="str">
        <f aca="false">IF('CC Volume'!D288="","",'CC Volume'!D288)</f>
        <v/>
      </c>
      <c r="E288" s="68" t="str">
        <f aca="false">IF('CC Volume'!E288="","",'CC Volume'!E288)</f>
        <v/>
      </c>
      <c r="F288" s="68" t="str">
        <f aca="false">IF('CC Volume'!F288="","",'CC Volume'!F288)</f>
        <v/>
      </c>
      <c r="G288" s="69" t="str">
        <f aca="false">'CC Volume'!AN288</f>
        <v/>
      </c>
      <c r="H288" s="69" t="str">
        <f aca="false">'CC Volume'!AO288</f>
        <v/>
      </c>
      <c r="I288" s="69" t="str">
        <f aca="false">'CC Volume'!AM288</f>
        <v/>
      </c>
      <c r="J288" s="62" t="str">
        <f aca="false">IF(N(H288)=0,"",IFERROR(INDEX(CC_RegRate,MATCH(F288,CC_RegU,0)),0))</f>
        <v/>
      </c>
      <c r="K288" s="62" t="n">
        <f aca="false">N(H288)*N(J288)</f>
        <v>0</v>
      </c>
      <c r="L288" s="62" t="n">
        <f aca="false">IF(CC_IncWaste="Yes",N(I288)*N(XWaste),0)</f>
        <v>0</v>
      </c>
      <c r="M288" s="65" t="n">
        <f aca="false">IF(N(G288)=0,0,IF(CC_AllocBasis="Equipment count",1,IF(CC_AllocBasis="Equipment volume",N(G288),N(H288))))</f>
        <v>0</v>
      </c>
      <c r="N288" s="15" t="n">
        <f aca="false">IF(SUM(CC_P_M)=0,0,M288/SUM(CC_P_M))</f>
        <v>0</v>
      </c>
      <c r="O288" s="62" t="n">
        <f aca="false">N288*CC_SharedCost</f>
        <v>0</v>
      </c>
      <c r="P288" s="63" t="n">
        <f aca="false">K288+L288+O288</f>
        <v>0</v>
      </c>
      <c r="Q288" s="62" t="n">
        <f aca="false">K288*(1+INDEX(MkMatrix,3,3))</f>
        <v>0</v>
      </c>
      <c r="R288" s="62" t="n">
        <f aca="false">L288*(1+INDEX(MkMatrix,3,3))</f>
        <v>0</v>
      </c>
      <c r="S288" s="62" t="n">
        <f aca="false">N288*CC_SharedSell</f>
        <v>0</v>
      </c>
      <c r="T288" s="62" t="n">
        <f aca="false">P288*N(QCont)</f>
        <v>0</v>
      </c>
      <c r="U288" s="62" t="n">
        <f aca="false">Q288+R288+S288+T288</f>
        <v>0</v>
      </c>
      <c r="V288" s="62" t="n">
        <f aca="false">-U288*N(QDisc)</f>
        <v>-0</v>
      </c>
      <c r="W288" s="63" t="n">
        <f aca="false">U288+V288</f>
        <v>0</v>
      </c>
      <c r="X288" s="63" t="n">
        <f aca="false">W288/QRate</f>
        <v>0</v>
      </c>
      <c r="Y288" s="0" t="n">
        <v>9</v>
      </c>
    </row>
    <row r="289" customFormat="false" ht="15" hidden="false" customHeight="false" outlineLevel="0" collapsed="false">
      <c r="A289" s="68" t="n">
        <f aca="false">'CC Volume'!A289</f>
        <v>16</v>
      </c>
      <c r="B289" s="13" t="str">
        <f aca="false">IF('CC Volume'!B289="","",'CC Volume'!B289)</f>
        <v/>
      </c>
      <c r="C289" s="13" t="str">
        <f aca="false">IF('CC Volume'!C289="","",'CC Volume'!C289)</f>
        <v/>
      </c>
      <c r="D289" s="13" t="str">
        <f aca="false">IF('CC Volume'!D289="","",'CC Volume'!D289)</f>
        <v/>
      </c>
      <c r="E289" s="68" t="str">
        <f aca="false">IF('CC Volume'!E289="","",'CC Volume'!E289)</f>
        <v/>
      </c>
      <c r="F289" s="68" t="str">
        <f aca="false">IF('CC Volume'!F289="","",'CC Volume'!F289)</f>
        <v/>
      </c>
      <c r="G289" s="69" t="str">
        <f aca="false">'CC Volume'!AN289</f>
        <v/>
      </c>
      <c r="H289" s="69" t="str">
        <f aca="false">'CC Volume'!AO289</f>
        <v/>
      </c>
      <c r="I289" s="69" t="str">
        <f aca="false">'CC Volume'!AM289</f>
        <v/>
      </c>
      <c r="J289" s="62" t="str">
        <f aca="false">IF(N(H289)=0,"",IFERROR(INDEX(CC_RegRate,MATCH(F289,CC_RegU,0)),0))</f>
        <v/>
      </c>
      <c r="K289" s="62" t="n">
        <f aca="false">N(H289)*N(J289)</f>
        <v>0</v>
      </c>
      <c r="L289" s="62" t="n">
        <f aca="false">IF(CC_IncWaste="Yes",N(I289)*N(XWaste),0)</f>
        <v>0</v>
      </c>
      <c r="M289" s="65" t="n">
        <f aca="false">IF(N(G289)=0,0,IF(CC_AllocBasis="Equipment count",1,IF(CC_AllocBasis="Equipment volume",N(G289),N(H289))))</f>
        <v>0</v>
      </c>
      <c r="N289" s="15" t="n">
        <f aca="false">IF(SUM(CC_P_M)=0,0,M289/SUM(CC_P_M))</f>
        <v>0</v>
      </c>
      <c r="O289" s="62" t="n">
        <f aca="false">N289*CC_SharedCost</f>
        <v>0</v>
      </c>
      <c r="P289" s="63" t="n">
        <f aca="false">K289+L289+O289</f>
        <v>0</v>
      </c>
      <c r="Q289" s="62" t="n">
        <f aca="false">K289*(1+INDEX(MkMatrix,3,3))</f>
        <v>0</v>
      </c>
      <c r="R289" s="62" t="n">
        <f aca="false">L289*(1+INDEX(MkMatrix,3,3))</f>
        <v>0</v>
      </c>
      <c r="S289" s="62" t="n">
        <f aca="false">N289*CC_SharedSell</f>
        <v>0</v>
      </c>
      <c r="T289" s="62" t="n">
        <f aca="false">P289*N(QCont)</f>
        <v>0</v>
      </c>
      <c r="U289" s="62" t="n">
        <f aca="false">Q289+R289+S289+T289</f>
        <v>0</v>
      </c>
      <c r="V289" s="62" t="n">
        <f aca="false">-U289*N(QDisc)</f>
        <v>-0</v>
      </c>
      <c r="W289" s="63" t="n">
        <f aca="false">U289+V289</f>
        <v>0</v>
      </c>
      <c r="X289" s="63" t="n">
        <f aca="false">W289/QRate</f>
        <v>0</v>
      </c>
      <c r="Y289" s="0" t="n">
        <v>9</v>
      </c>
    </row>
    <row r="290" customFormat="false" ht="15" hidden="false" customHeight="false" outlineLevel="0" collapsed="false">
      <c r="A290" s="68" t="n">
        <f aca="false">'CC Volume'!A290</f>
        <v>17</v>
      </c>
      <c r="B290" s="13" t="str">
        <f aca="false">IF('CC Volume'!B290="","",'CC Volume'!B290)</f>
        <v/>
      </c>
      <c r="C290" s="13" t="str">
        <f aca="false">IF('CC Volume'!C290="","",'CC Volume'!C290)</f>
        <v/>
      </c>
      <c r="D290" s="13" t="str">
        <f aca="false">IF('CC Volume'!D290="","",'CC Volume'!D290)</f>
        <v/>
      </c>
      <c r="E290" s="68" t="str">
        <f aca="false">IF('CC Volume'!E290="","",'CC Volume'!E290)</f>
        <v/>
      </c>
      <c r="F290" s="68" t="str">
        <f aca="false">IF('CC Volume'!F290="","",'CC Volume'!F290)</f>
        <v/>
      </c>
      <c r="G290" s="69" t="str">
        <f aca="false">'CC Volume'!AN290</f>
        <v/>
      </c>
      <c r="H290" s="69" t="str">
        <f aca="false">'CC Volume'!AO290</f>
        <v/>
      </c>
      <c r="I290" s="69" t="str">
        <f aca="false">'CC Volume'!AM290</f>
        <v/>
      </c>
      <c r="J290" s="62" t="str">
        <f aca="false">IF(N(H290)=0,"",IFERROR(INDEX(CC_RegRate,MATCH(F290,CC_RegU,0)),0))</f>
        <v/>
      </c>
      <c r="K290" s="62" t="n">
        <f aca="false">N(H290)*N(J290)</f>
        <v>0</v>
      </c>
      <c r="L290" s="62" t="n">
        <f aca="false">IF(CC_IncWaste="Yes",N(I290)*N(XWaste),0)</f>
        <v>0</v>
      </c>
      <c r="M290" s="65" t="n">
        <f aca="false">IF(N(G290)=0,0,IF(CC_AllocBasis="Equipment count",1,IF(CC_AllocBasis="Equipment volume",N(G290),N(H290))))</f>
        <v>0</v>
      </c>
      <c r="N290" s="15" t="n">
        <f aca="false">IF(SUM(CC_P_M)=0,0,M290/SUM(CC_P_M))</f>
        <v>0</v>
      </c>
      <c r="O290" s="62" t="n">
        <f aca="false">N290*CC_SharedCost</f>
        <v>0</v>
      </c>
      <c r="P290" s="63" t="n">
        <f aca="false">K290+L290+O290</f>
        <v>0</v>
      </c>
      <c r="Q290" s="62" t="n">
        <f aca="false">K290*(1+INDEX(MkMatrix,3,3))</f>
        <v>0</v>
      </c>
      <c r="R290" s="62" t="n">
        <f aca="false">L290*(1+INDEX(MkMatrix,3,3))</f>
        <v>0</v>
      </c>
      <c r="S290" s="62" t="n">
        <f aca="false">N290*CC_SharedSell</f>
        <v>0</v>
      </c>
      <c r="T290" s="62" t="n">
        <f aca="false">P290*N(QCont)</f>
        <v>0</v>
      </c>
      <c r="U290" s="62" t="n">
        <f aca="false">Q290+R290+S290+T290</f>
        <v>0</v>
      </c>
      <c r="V290" s="62" t="n">
        <f aca="false">-U290*N(QDisc)</f>
        <v>-0</v>
      </c>
      <c r="W290" s="63" t="n">
        <f aca="false">U290+V290</f>
        <v>0</v>
      </c>
      <c r="X290" s="63" t="n">
        <f aca="false">W290/QRate</f>
        <v>0</v>
      </c>
      <c r="Y290" s="0" t="n">
        <v>9</v>
      </c>
    </row>
    <row r="291" customFormat="false" ht="15" hidden="false" customHeight="false" outlineLevel="0" collapsed="false">
      <c r="A291" s="68" t="n">
        <f aca="false">'CC Volume'!A291</f>
        <v>18</v>
      </c>
      <c r="B291" s="13" t="str">
        <f aca="false">IF('CC Volume'!B291="","",'CC Volume'!B291)</f>
        <v/>
      </c>
      <c r="C291" s="13" t="str">
        <f aca="false">IF('CC Volume'!C291="","",'CC Volume'!C291)</f>
        <v/>
      </c>
      <c r="D291" s="13" t="str">
        <f aca="false">IF('CC Volume'!D291="","",'CC Volume'!D291)</f>
        <v/>
      </c>
      <c r="E291" s="68" t="str">
        <f aca="false">IF('CC Volume'!E291="","",'CC Volume'!E291)</f>
        <v/>
      </c>
      <c r="F291" s="68" t="str">
        <f aca="false">IF('CC Volume'!F291="","",'CC Volume'!F291)</f>
        <v/>
      </c>
      <c r="G291" s="69" t="str">
        <f aca="false">'CC Volume'!AN291</f>
        <v/>
      </c>
      <c r="H291" s="69" t="str">
        <f aca="false">'CC Volume'!AO291</f>
        <v/>
      </c>
      <c r="I291" s="69" t="str">
        <f aca="false">'CC Volume'!AM291</f>
        <v/>
      </c>
      <c r="J291" s="62" t="str">
        <f aca="false">IF(N(H291)=0,"",IFERROR(INDEX(CC_RegRate,MATCH(F291,CC_RegU,0)),0))</f>
        <v/>
      </c>
      <c r="K291" s="62" t="n">
        <f aca="false">N(H291)*N(J291)</f>
        <v>0</v>
      </c>
      <c r="L291" s="62" t="n">
        <f aca="false">IF(CC_IncWaste="Yes",N(I291)*N(XWaste),0)</f>
        <v>0</v>
      </c>
      <c r="M291" s="65" t="n">
        <f aca="false">IF(N(G291)=0,0,IF(CC_AllocBasis="Equipment count",1,IF(CC_AllocBasis="Equipment volume",N(G291),N(H291))))</f>
        <v>0</v>
      </c>
      <c r="N291" s="15" t="n">
        <f aca="false">IF(SUM(CC_P_M)=0,0,M291/SUM(CC_P_M))</f>
        <v>0</v>
      </c>
      <c r="O291" s="62" t="n">
        <f aca="false">N291*CC_SharedCost</f>
        <v>0</v>
      </c>
      <c r="P291" s="63" t="n">
        <f aca="false">K291+L291+O291</f>
        <v>0</v>
      </c>
      <c r="Q291" s="62" t="n">
        <f aca="false">K291*(1+INDEX(MkMatrix,3,3))</f>
        <v>0</v>
      </c>
      <c r="R291" s="62" t="n">
        <f aca="false">L291*(1+INDEX(MkMatrix,3,3))</f>
        <v>0</v>
      </c>
      <c r="S291" s="62" t="n">
        <f aca="false">N291*CC_SharedSell</f>
        <v>0</v>
      </c>
      <c r="T291" s="62" t="n">
        <f aca="false">P291*N(QCont)</f>
        <v>0</v>
      </c>
      <c r="U291" s="62" t="n">
        <f aca="false">Q291+R291+S291+T291</f>
        <v>0</v>
      </c>
      <c r="V291" s="62" t="n">
        <f aca="false">-U291*N(QDisc)</f>
        <v>-0</v>
      </c>
      <c r="W291" s="63" t="n">
        <f aca="false">U291+V291</f>
        <v>0</v>
      </c>
      <c r="X291" s="63" t="n">
        <f aca="false">W291/QRate</f>
        <v>0</v>
      </c>
      <c r="Y291" s="0" t="n">
        <v>9</v>
      </c>
    </row>
    <row r="292" customFormat="false" ht="15" hidden="false" customHeight="false" outlineLevel="0" collapsed="false">
      <c r="A292" s="68" t="n">
        <f aca="false">'CC Volume'!A292</f>
        <v>19</v>
      </c>
      <c r="B292" s="13" t="str">
        <f aca="false">IF('CC Volume'!B292="","",'CC Volume'!B292)</f>
        <v/>
      </c>
      <c r="C292" s="13" t="str">
        <f aca="false">IF('CC Volume'!C292="","",'CC Volume'!C292)</f>
        <v/>
      </c>
      <c r="D292" s="13" t="str">
        <f aca="false">IF('CC Volume'!D292="","",'CC Volume'!D292)</f>
        <v/>
      </c>
      <c r="E292" s="68" t="str">
        <f aca="false">IF('CC Volume'!E292="","",'CC Volume'!E292)</f>
        <v/>
      </c>
      <c r="F292" s="68" t="str">
        <f aca="false">IF('CC Volume'!F292="","",'CC Volume'!F292)</f>
        <v/>
      </c>
      <c r="G292" s="69" t="str">
        <f aca="false">'CC Volume'!AN292</f>
        <v/>
      </c>
      <c r="H292" s="69" t="str">
        <f aca="false">'CC Volume'!AO292</f>
        <v/>
      </c>
      <c r="I292" s="69" t="str">
        <f aca="false">'CC Volume'!AM292</f>
        <v/>
      </c>
      <c r="J292" s="62" t="str">
        <f aca="false">IF(N(H292)=0,"",IFERROR(INDEX(CC_RegRate,MATCH(F292,CC_RegU,0)),0))</f>
        <v/>
      </c>
      <c r="K292" s="62" t="n">
        <f aca="false">N(H292)*N(J292)</f>
        <v>0</v>
      </c>
      <c r="L292" s="62" t="n">
        <f aca="false">IF(CC_IncWaste="Yes",N(I292)*N(XWaste),0)</f>
        <v>0</v>
      </c>
      <c r="M292" s="65" t="n">
        <f aca="false">IF(N(G292)=0,0,IF(CC_AllocBasis="Equipment count",1,IF(CC_AllocBasis="Equipment volume",N(G292),N(H292))))</f>
        <v>0</v>
      </c>
      <c r="N292" s="15" t="n">
        <f aca="false">IF(SUM(CC_P_M)=0,0,M292/SUM(CC_P_M))</f>
        <v>0</v>
      </c>
      <c r="O292" s="62" t="n">
        <f aca="false">N292*CC_SharedCost</f>
        <v>0</v>
      </c>
      <c r="P292" s="63" t="n">
        <f aca="false">K292+L292+O292</f>
        <v>0</v>
      </c>
      <c r="Q292" s="62" t="n">
        <f aca="false">K292*(1+INDEX(MkMatrix,3,3))</f>
        <v>0</v>
      </c>
      <c r="R292" s="62" t="n">
        <f aca="false">L292*(1+INDEX(MkMatrix,3,3))</f>
        <v>0</v>
      </c>
      <c r="S292" s="62" t="n">
        <f aca="false">N292*CC_SharedSell</f>
        <v>0</v>
      </c>
      <c r="T292" s="62" t="n">
        <f aca="false">P292*N(QCont)</f>
        <v>0</v>
      </c>
      <c r="U292" s="62" t="n">
        <f aca="false">Q292+R292+S292+T292</f>
        <v>0</v>
      </c>
      <c r="V292" s="62" t="n">
        <f aca="false">-U292*N(QDisc)</f>
        <v>-0</v>
      </c>
      <c r="W292" s="63" t="n">
        <f aca="false">U292+V292</f>
        <v>0</v>
      </c>
      <c r="X292" s="63" t="n">
        <f aca="false">W292/QRate</f>
        <v>0</v>
      </c>
      <c r="Y292" s="0" t="n">
        <v>9</v>
      </c>
    </row>
    <row r="293" customFormat="false" ht="15" hidden="false" customHeight="false" outlineLevel="0" collapsed="false">
      <c r="A293" s="68" t="n">
        <f aca="false">'CC Volume'!A293</f>
        <v>20</v>
      </c>
      <c r="B293" s="13" t="str">
        <f aca="false">IF('CC Volume'!B293="","",'CC Volume'!B293)</f>
        <v/>
      </c>
      <c r="C293" s="13" t="str">
        <f aca="false">IF('CC Volume'!C293="","",'CC Volume'!C293)</f>
        <v/>
      </c>
      <c r="D293" s="13" t="str">
        <f aca="false">IF('CC Volume'!D293="","",'CC Volume'!D293)</f>
        <v/>
      </c>
      <c r="E293" s="68" t="str">
        <f aca="false">IF('CC Volume'!E293="","",'CC Volume'!E293)</f>
        <v/>
      </c>
      <c r="F293" s="68" t="str">
        <f aca="false">IF('CC Volume'!F293="","",'CC Volume'!F293)</f>
        <v/>
      </c>
      <c r="G293" s="69" t="str">
        <f aca="false">'CC Volume'!AN293</f>
        <v/>
      </c>
      <c r="H293" s="69" t="str">
        <f aca="false">'CC Volume'!AO293</f>
        <v/>
      </c>
      <c r="I293" s="69" t="str">
        <f aca="false">'CC Volume'!AM293</f>
        <v/>
      </c>
      <c r="J293" s="62" t="str">
        <f aca="false">IF(N(H293)=0,"",IFERROR(INDEX(CC_RegRate,MATCH(F293,CC_RegU,0)),0))</f>
        <v/>
      </c>
      <c r="K293" s="62" t="n">
        <f aca="false">N(H293)*N(J293)</f>
        <v>0</v>
      </c>
      <c r="L293" s="62" t="n">
        <f aca="false">IF(CC_IncWaste="Yes",N(I293)*N(XWaste),0)</f>
        <v>0</v>
      </c>
      <c r="M293" s="65" t="n">
        <f aca="false">IF(N(G293)=0,0,IF(CC_AllocBasis="Equipment count",1,IF(CC_AllocBasis="Equipment volume",N(G293),N(H293))))</f>
        <v>0</v>
      </c>
      <c r="N293" s="15" t="n">
        <f aca="false">IF(SUM(CC_P_M)=0,0,M293/SUM(CC_P_M))</f>
        <v>0</v>
      </c>
      <c r="O293" s="62" t="n">
        <f aca="false">N293*CC_SharedCost</f>
        <v>0</v>
      </c>
      <c r="P293" s="63" t="n">
        <f aca="false">K293+L293+O293</f>
        <v>0</v>
      </c>
      <c r="Q293" s="62" t="n">
        <f aca="false">K293*(1+INDEX(MkMatrix,3,3))</f>
        <v>0</v>
      </c>
      <c r="R293" s="62" t="n">
        <f aca="false">L293*(1+INDEX(MkMatrix,3,3))</f>
        <v>0</v>
      </c>
      <c r="S293" s="62" t="n">
        <f aca="false">N293*CC_SharedSell</f>
        <v>0</v>
      </c>
      <c r="T293" s="62" t="n">
        <f aca="false">P293*N(QCont)</f>
        <v>0</v>
      </c>
      <c r="U293" s="62" t="n">
        <f aca="false">Q293+R293+S293+T293</f>
        <v>0</v>
      </c>
      <c r="V293" s="62" t="n">
        <f aca="false">-U293*N(QDisc)</f>
        <v>-0</v>
      </c>
      <c r="W293" s="63" t="n">
        <f aca="false">U293+V293</f>
        <v>0</v>
      </c>
      <c r="X293" s="63" t="n">
        <f aca="false">W293/QRate</f>
        <v>0</v>
      </c>
      <c r="Y293" s="0" t="n">
        <v>9</v>
      </c>
    </row>
    <row r="294" customFormat="false" ht="15" hidden="false" customHeight="false" outlineLevel="0" collapsed="false">
      <c r="A294" s="68" t="n">
        <f aca="false">'CC Volume'!A294</f>
        <v>21</v>
      </c>
      <c r="B294" s="13" t="str">
        <f aca="false">IF('CC Volume'!B294="","",'CC Volume'!B294)</f>
        <v/>
      </c>
      <c r="C294" s="13" t="str">
        <f aca="false">IF('CC Volume'!C294="","",'CC Volume'!C294)</f>
        <v/>
      </c>
      <c r="D294" s="13" t="str">
        <f aca="false">IF('CC Volume'!D294="","",'CC Volume'!D294)</f>
        <v/>
      </c>
      <c r="E294" s="68" t="str">
        <f aca="false">IF('CC Volume'!E294="","",'CC Volume'!E294)</f>
        <v/>
      </c>
      <c r="F294" s="68" t="str">
        <f aca="false">IF('CC Volume'!F294="","",'CC Volume'!F294)</f>
        <v/>
      </c>
      <c r="G294" s="69" t="str">
        <f aca="false">'CC Volume'!AN294</f>
        <v/>
      </c>
      <c r="H294" s="69" t="str">
        <f aca="false">'CC Volume'!AO294</f>
        <v/>
      </c>
      <c r="I294" s="69" t="str">
        <f aca="false">'CC Volume'!AM294</f>
        <v/>
      </c>
      <c r="J294" s="62" t="str">
        <f aca="false">IF(N(H294)=0,"",IFERROR(INDEX(CC_RegRate,MATCH(F294,CC_RegU,0)),0))</f>
        <v/>
      </c>
      <c r="K294" s="62" t="n">
        <f aca="false">N(H294)*N(J294)</f>
        <v>0</v>
      </c>
      <c r="L294" s="62" t="n">
        <f aca="false">IF(CC_IncWaste="Yes",N(I294)*N(XWaste),0)</f>
        <v>0</v>
      </c>
      <c r="M294" s="65" t="n">
        <f aca="false">IF(N(G294)=0,0,IF(CC_AllocBasis="Equipment count",1,IF(CC_AllocBasis="Equipment volume",N(G294),N(H294))))</f>
        <v>0</v>
      </c>
      <c r="N294" s="15" t="n">
        <f aca="false">IF(SUM(CC_P_M)=0,0,M294/SUM(CC_P_M))</f>
        <v>0</v>
      </c>
      <c r="O294" s="62" t="n">
        <f aca="false">N294*CC_SharedCost</f>
        <v>0</v>
      </c>
      <c r="P294" s="63" t="n">
        <f aca="false">K294+L294+O294</f>
        <v>0</v>
      </c>
      <c r="Q294" s="62" t="n">
        <f aca="false">K294*(1+INDEX(MkMatrix,3,3))</f>
        <v>0</v>
      </c>
      <c r="R294" s="62" t="n">
        <f aca="false">L294*(1+INDEX(MkMatrix,3,3))</f>
        <v>0</v>
      </c>
      <c r="S294" s="62" t="n">
        <f aca="false">N294*CC_SharedSell</f>
        <v>0</v>
      </c>
      <c r="T294" s="62" t="n">
        <f aca="false">P294*N(QCont)</f>
        <v>0</v>
      </c>
      <c r="U294" s="62" t="n">
        <f aca="false">Q294+R294+S294+T294</f>
        <v>0</v>
      </c>
      <c r="V294" s="62" t="n">
        <f aca="false">-U294*N(QDisc)</f>
        <v>-0</v>
      </c>
      <c r="W294" s="63" t="n">
        <f aca="false">U294+V294</f>
        <v>0</v>
      </c>
      <c r="X294" s="63" t="n">
        <f aca="false">W294/QRate</f>
        <v>0</v>
      </c>
      <c r="Y294" s="0" t="n">
        <v>9</v>
      </c>
    </row>
    <row r="295" customFormat="false" ht="15" hidden="false" customHeight="false" outlineLevel="0" collapsed="false">
      <c r="A295" s="68" t="n">
        <f aca="false">'CC Volume'!A295</f>
        <v>22</v>
      </c>
      <c r="B295" s="13" t="str">
        <f aca="false">IF('CC Volume'!B295="","",'CC Volume'!B295)</f>
        <v/>
      </c>
      <c r="C295" s="13" t="str">
        <f aca="false">IF('CC Volume'!C295="","",'CC Volume'!C295)</f>
        <v/>
      </c>
      <c r="D295" s="13" t="str">
        <f aca="false">IF('CC Volume'!D295="","",'CC Volume'!D295)</f>
        <v/>
      </c>
      <c r="E295" s="68" t="str">
        <f aca="false">IF('CC Volume'!E295="","",'CC Volume'!E295)</f>
        <v/>
      </c>
      <c r="F295" s="68" t="str">
        <f aca="false">IF('CC Volume'!F295="","",'CC Volume'!F295)</f>
        <v/>
      </c>
      <c r="G295" s="69" t="str">
        <f aca="false">'CC Volume'!AN295</f>
        <v/>
      </c>
      <c r="H295" s="69" t="str">
        <f aca="false">'CC Volume'!AO295</f>
        <v/>
      </c>
      <c r="I295" s="69" t="str">
        <f aca="false">'CC Volume'!AM295</f>
        <v/>
      </c>
      <c r="J295" s="62" t="str">
        <f aca="false">IF(N(H295)=0,"",IFERROR(INDEX(CC_RegRate,MATCH(F295,CC_RegU,0)),0))</f>
        <v/>
      </c>
      <c r="K295" s="62" t="n">
        <f aca="false">N(H295)*N(J295)</f>
        <v>0</v>
      </c>
      <c r="L295" s="62" t="n">
        <f aca="false">IF(CC_IncWaste="Yes",N(I295)*N(XWaste),0)</f>
        <v>0</v>
      </c>
      <c r="M295" s="65" t="n">
        <f aca="false">IF(N(G295)=0,0,IF(CC_AllocBasis="Equipment count",1,IF(CC_AllocBasis="Equipment volume",N(G295),N(H295))))</f>
        <v>0</v>
      </c>
      <c r="N295" s="15" t="n">
        <f aca="false">IF(SUM(CC_P_M)=0,0,M295/SUM(CC_P_M))</f>
        <v>0</v>
      </c>
      <c r="O295" s="62" t="n">
        <f aca="false">N295*CC_SharedCost</f>
        <v>0</v>
      </c>
      <c r="P295" s="63" t="n">
        <f aca="false">K295+L295+O295</f>
        <v>0</v>
      </c>
      <c r="Q295" s="62" t="n">
        <f aca="false">K295*(1+INDEX(MkMatrix,3,3))</f>
        <v>0</v>
      </c>
      <c r="R295" s="62" t="n">
        <f aca="false">L295*(1+INDEX(MkMatrix,3,3))</f>
        <v>0</v>
      </c>
      <c r="S295" s="62" t="n">
        <f aca="false">N295*CC_SharedSell</f>
        <v>0</v>
      </c>
      <c r="T295" s="62" t="n">
        <f aca="false">P295*N(QCont)</f>
        <v>0</v>
      </c>
      <c r="U295" s="62" t="n">
        <f aca="false">Q295+R295+S295+T295</f>
        <v>0</v>
      </c>
      <c r="V295" s="62" t="n">
        <f aca="false">-U295*N(QDisc)</f>
        <v>-0</v>
      </c>
      <c r="W295" s="63" t="n">
        <f aca="false">U295+V295</f>
        <v>0</v>
      </c>
      <c r="X295" s="63" t="n">
        <f aca="false">W295/QRate</f>
        <v>0</v>
      </c>
      <c r="Y295" s="0" t="n">
        <v>9</v>
      </c>
    </row>
    <row r="296" customFormat="false" ht="15" hidden="false" customHeight="false" outlineLevel="0" collapsed="false">
      <c r="A296" s="68" t="n">
        <f aca="false">'CC Volume'!A296</f>
        <v>23</v>
      </c>
      <c r="B296" s="13" t="str">
        <f aca="false">IF('CC Volume'!B296="","",'CC Volume'!B296)</f>
        <v/>
      </c>
      <c r="C296" s="13" t="str">
        <f aca="false">IF('CC Volume'!C296="","",'CC Volume'!C296)</f>
        <v/>
      </c>
      <c r="D296" s="13" t="str">
        <f aca="false">IF('CC Volume'!D296="","",'CC Volume'!D296)</f>
        <v/>
      </c>
      <c r="E296" s="68" t="str">
        <f aca="false">IF('CC Volume'!E296="","",'CC Volume'!E296)</f>
        <v/>
      </c>
      <c r="F296" s="68" t="str">
        <f aca="false">IF('CC Volume'!F296="","",'CC Volume'!F296)</f>
        <v/>
      </c>
      <c r="G296" s="69" t="str">
        <f aca="false">'CC Volume'!AN296</f>
        <v/>
      </c>
      <c r="H296" s="69" t="str">
        <f aca="false">'CC Volume'!AO296</f>
        <v/>
      </c>
      <c r="I296" s="69" t="str">
        <f aca="false">'CC Volume'!AM296</f>
        <v/>
      </c>
      <c r="J296" s="62" t="str">
        <f aca="false">IF(N(H296)=0,"",IFERROR(INDEX(CC_RegRate,MATCH(F296,CC_RegU,0)),0))</f>
        <v/>
      </c>
      <c r="K296" s="62" t="n">
        <f aca="false">N(H296)*N(J296)</f>
        <v>0</v>
      </c>
      <c r="L296" s="62" t="n">
        <f aca="false">IF(CC_IncWaste="Yes",N(I296)*N(XWaste),0)</f>
        <v>0</v>
      </c>
      <c r="M296" s="65" t="n">
        <f aca="false">IF(N(G296)=0,0,IF(CC_AllocBasis="Equipment count",1,IF(CC_AllocBasis="Equipment volume",N(G296),N(H296))))</f>
        <v>0</v>
      </c>
      <c r="N296" s="15" t="n">
        <f aca="false">IF(SUM(CC_P_M)=0,0,M296/SUM(CC_P_M))</f>
        <v>0</v>
      </c>
      <c r="O296" s="62" t="n">
        <f aca="false">N296*CC_SharedCost</f>
        <v>0</v>
      </c>
      <c r="P296" s="63" t="n">
        <f aca="false">K296+L296+O296</f>
        <v>0</v>
      </c>
      <c r="Q296" s="62" t="n">
        <f aca="false">K296*(1+INDEX(MkMatrix,3,3))</f>
        <v>0</v>
      </c>
      <c r="R296" s="62" t="n">
        <f aca="false">L296*(1+INDEX(MkMatrix,3,3))</f>
        <v>0</v>
      </c>
      <c r="S296" s="62" t="n">
        <f aca="false">N296*CC_SharedSell</f>
        <v>0</v>
      </c>
      <c r="T296" s="62" t="n">
        <f aca="false">P296*N(QCont)</f>
        <v>0</v>
      </c>
      <c r="U296" s="62" t="n">
        <f aca="false">Q296+R296+S296+T296</f>
        <v>0</v>
      </c>
      <c r="V296" s="62" t="n">
        <f aca="false">-U296*N(QDisc)</f>
        <v>-0</v>
      </c>
      <c r="W296" s="63" t="n">
        <f aca="false">U296+V296</f>
        <v>0</v>
      </c>
      <c r="X296" s="63" t="n">
        <f aca="false">W296/QRate</f>
        <v>0</v>
      </c>
      <c r="Y296" s="0" t="n">
        <v>9</v>
      </c>
    </row>
    <row r="297" customFormat="false" ht="15" hidden="false" customHeight="false" outlineLevel="0" collapsed="false">
      <c r="A297" s="68" t="n">
        <f aca="false">'CC Volume'!A297</f>
        <v>24</v>
      </c>
      <c r="B297" s="13" t="str">
        <f aca="false">IF('CC Volume'!B297="","",'CC Volume'!B297)</f>
        <v/>
      </c>
      <c r="C297" s="13" t="str">
        <f aca="false">IF('CC Volume'!C297="","",'CC Volume'!C297)</f>
        <v/>
      </c>
      <c r="D297" s="13" t="str">
        <f aca="false">IF('CC Volume'!D297="","",'CC Volume'!D297)</f>
        <v/>
      </c>
      <c r="E297" s="68" t="str">
        <f aca="false">IF('CC Volume'!E297="","",'CC Volume'!E297)</f>
        <v/>
      </c>
      <c r="F297" s="68" t="str">
        <f aca="false">IF('CC Volume'!F297="","",'CC Volume'!F297)</f>
        <v/>
      </c>
      <c r="G297" s="69" t="str">
        <f aca="false">'CC Volume'!AN297</f>
        <v/>
      </c>
      <c r="H297" s="69" t="str">
        <f aca="false">'CC Volume'!AO297</f>
        <v/>
      </c>
      <c r="I297" s="69" t="str">
        <f aca="false">'CC Volume'!AM297</f>
        <v/>
      </c>
      <c r="J297" s="62" t="str">
        <f aca="false">IF(N(H297)=0,"",IFERROR(INDEX(CC_RegRate,MATCH(F297,CC_RegU,0)),0))</f>
        <v/>
      </c>
      <c r="K297" s="62" t="n">
        <f aca="false">N(H297)*N(J297)</f>
        <v>0</v>
      </c>
      <c r="L297" s="62" t="n">
        <f aca="false">IF(CC_IncWaste="Yes",N(I297)*N(XWaste),0)</f>
        <v>0</v>
      </c>
      <c r="M297" s="65" t="n">
        <f aca="false">IF(N(G297)=0,0,IF(CC_AllocBasis="Equipment count",1,IF(CC_AllocBasis="Equipment volume",N(G297),N(H297))))</f>
        <v>0</v>
      </c>
      <c r="N297" s="15" t="n">
        <f aca="false">IF(SUM(CC_P_M)=0,0,M297/SUM(CC_P_M))</f>
        <v>0</v>
      </c>
      <c r="O297" s="62" t="n">
        <f aca="false">N297*CC_SharedCost</f>
        <v>0</v>
      </c>
      <c r="P297" s="63" t="n">
        <f aca="false">K297+L297+O297</f>
        <v>0</v>
      </c>
      <c r="Q297" s="62" t="n">
        <f aca="false">K297*(1+INDEX(MkMatrix,3,3))</f>
        <v>0</v>
      </c>
      <c r="R297" s="62" t="n">
        <f aca="false">L297*(1+INDEX(MkMatrix,3,3))</f>
        <v>0</v>
      </c>
      <c r="S297" s="62" t="n">
        <f aca="false">N297*CC_SharedSell</f>
        <v>0</v>
      </c>
      <c r="T297" s="62" t="n">
        <f aca="false">P297*N(QCont)</f>
        <v>0</v>
      </c>
      <c r="U297" s="62" t="n">
        <f aca="false">Q297+R297+S297+T297</f>
        <v>0</v>
      </c>
      <c r="V297" s="62" t="n">
        <f aca="false">-U297*N(QDisc)</f>
        <v>-0</v>
      </c>
      <c r="W297" s="63" t="n">
        <f aca="false">U297+V297</f>
        <v>0</v>
      </c>
      <c r="X297" s="63" t="n">
        <f aca="false">W297/QRate</f>
        <v>0</v>
      </c>
      <c r="Y297" s="0" t="n">
        <v>9</v>
      </c>
    </row>
    <row r="298" customFormat="false" ht="15" hidden="false" customHeight="false" outlineLevel="0" collapsed="false">
      <c r="A298" s="68" t="n">
        <f aca="false">'CC Volume'!A298</f>
        <v>25</v>
      </c>
      <c r="B298" s="13" t="str">
        <f aca="false">IF('CC Volume'!B298="","",'CC Volume'!B298)</f>
        <v/>
      </c>
      <c r="C298" s="13" t="str">
        <f aca="false">IF('CC Volume'!C298="","",'CC Volume'!C298)</f>
        <v/>
      </c>
      <c r="D298" s="13" t="str">
        <f aca="false">IF('CC Volume'!D298="","",'CC Volume'!D298)</f>
        <v/>
      </c>
      <c r="E298" s="68" t="str">
        <f aca="false">IF('CC Volume'!E298="","",'CC Volume'!E298)</f>
        <v/>
      </c>
      <c r="F298" s="68" t="str">
        <f aca="false">IF('CC Volume'!F298="","",'CC Volume'!F298)</f>
        <v/>
      </c>
      <c r="G298" s="69" t="str">
        <f aca="false">'CC Volume'!AN298</f>
        <v/>
      </c>
      <c r="H298" s="69" t="str">
        <f aca="false">'CC Volume'!AO298</f>
        <v/>
      </c>
      <c r="I298" s="69" t="str">
        <f aca="false">'CC Volume'!AM298</f>
        <v/>
      </c>
      <c r="J298" s="62" t="str">
        <f aca="false">IF(N(H298)=0,"",IFERROR(INDEX(CC_RegRate,MATCH(F298,CC_RegU,0)),0))</f>
        <v/>
      </c>
      <c r="K298" s="62" t="n">
        <f aca="false">N(H298)*N(J298)</f>
        <v>0</v>
      </c>
      <c r="L298" s="62" t="n">
        <f aca="false">IF(CC_IncWaste="Yes",N(I298)*N(XWaste),0)</f>
        <v>0</v>
      </c>
      <c r="M298" s="65" t="n">
        <f aca="false">IF(N(G298)=0,0,IF(CC_AllocBasis="Equipment count",1,IF(CC_AllocBasis="Equipment volume",N(G298),N(H298))))</f>
        <v>0</v>
      </c>
      <c r="N298" s="15" t="n">
        <f aca="false">IF(SUM(CC_P_M)=0,0,M298/SUM(CC_P_M))</f>
        <v>0</v>
      </c>
      <c r="O298" s="62" t="n">
        <f aca="false">N298*CC_SharedCost</f>
        <v>0</v>
      </c>
      <c r="P298" s="63" t="n">
        <f aca="false">K298+L298+O298</f>
        <v>0</v>
      </c>
      <c r="Q298" s="62" t="n">
        <f aca="false">K298*(1+INDEX(MkMatrix,3,3))</f>
        <v>0</v>
      </c>
      <c r="R298" s="62" t="n">
        <f aca="false">L298*(1+INDEX(MkMatrix,3,3))</f>
        <v>0</v>
      </c>
      <c r="S298" s="62" t="n">
        <f aca="false">N298*CC_SharedSell</f>
        <v>0</v>
      </c>
      <c r="T298" s="62" t="n">
        <f aca="false">P298*N(QCont)</f>
        <v>0</v>
      </c>
      <c r="U298" s="62" t="n">
        <f aca="false">Q298+R298+S298+T298</f>
        <v>0</v>
      </c>
      <c r="V298" s="62" t="n">
        <f aca="false">-U298*N(QDisc)</f>
        <v>-0</v>
      </c>
      <c r="W298" s="63" t="n">
        <f aca="false">U298+V298</f>
        <v>0</v>
      </c>
      <c r="X298" s="63" t="n">
        <f aca="false">W298/QRate</f>
        <v>0</v>
      </c>
      <c r="Y298" s="0" t="n">
        <v>9</v>
      </c>
    </row>
    <row r="299" customFormat="false" ht="15" hidden="false" customHeight="false" outlineLevel="0" collapsed="false">
      <c r="A299" s="68" t="n">
        <f aca="false">'CC Volume'!A299</f>
        <v>26</v>
      </c>
      <c r="B299" s="13" t="str">
        <f aca="false">IF('CC Volume'!B299="","",'CC Volume'!B299)</f>
        <v/>
      </c>
      <c r="C299" s="13" t="str">
        <f aca="false">IF('CC Volume'!C299="","",'CC Volume'!C299)</f>
        <v/>
      </c>
      <c r="D299" s="13" t="str">
        <f aca="false">IF('CC Volume'!D299="","",'CC Volume'!D299)</f>
        <v/>
      </c>
      <c r="E299" s="68" t="str">
        <f aca="false">IF('CC Volume'!E299="","",'CC Volume'!E299)</f>
        <v/>
      </c>
      <c r="F299" s="68" t="str">
        <f aca="false">IF('CC Volume'!F299="","",'CC Volume'!F299)</f>
        <v/>
      </c>
      <c r="G299" s="69" t="str">
        <f aca="false">'CC Volume'!AN299</f>
        <v/>
      </c>
      <c r="H299" s="69" t="str">
        <f aca="false">'CC Volume'!AO299</f>
        <v/>
      </c>
      <c r="I299" s="69" t="str">
        <f aca="false">'CC Volume'!AM299</f>
        <v/>
      </c>
      <c r="J299" s="62" t="str">
        <f aca="false">IF(N(H299)=0,"",IFERROR(INDEX(CC_RegRate,MATCH(F299,CC_RegU,0)),0))</f>
        <v/>
      </c>
      <c r="K299" s="62" t="n">
        <f aca="false">N(H299)*N(J299)</f>
        <v>0</v>
      </c>
      <c r="L299" s="62" t="n">
        <f aca="false">IF(CC_IncWaste="Yes",N(I299)*N(XWaste),0)</f>
        <v>0</v>
      </c>
      <c r="M299" s="65" t="n">
        <f aca="false">IF(N(G299)=0,0,IF(CC_AllocBasis="Equipment count",1,IF(CC_AllocBasis="Equipment volume",N(G299),N(H299))))</f>
        <v>0</v>
      </c>
      <c r="N299" s="15" t="n">
        <f aca="false">IF(SUM(CC_P_M)=0,0,M299/SUM(CC_P_M))</f>
        <v>0</v>
      </c>
      <c r="O299" s="62" t="n">
        <f aca="false">N299*CC_SharedCost</f>
        <v>0</v>
      </c>
      <c r="P299" s="63" t="n">
        <f aca="false">K299+L299+O299</f>
        <v>0</v>
      </c>
      <c r="Q299" s="62" t="n">
        <f aca="false">K299*(1+INDEX(MkMatrix,3,3))</f>
        <v>0</v>
      </c>
      <c r="R299" s="62" t="n">
        <f aca="false">L299*(1+INDEX(MkMatrix,3,3))</f>
        <v>0</v>
      </c>
      <c r="S299" s="62" t="n">
        <f aca="false">N299*CC_SharedSell</f>
        <v>0</v>
      </c>
      <c r="T299" s="62" t="n">
        <f aca="false">P299*N(QCont)</f>
        <v>0</v>
      </c>
      <c r="U299" s="62" t="n">
        <f aca="false">Q299+R299+S299+T299</f>
        <v>0</v>
      </c>
      <c r="V299" s="62" t="n">
        <f aca="false">-U299*N(QDisc)</f>
        <v>-0</v>
      </c>
      <c r="W299" s="63" t="n">
        <f aca="false">U299+V299</f>
        <v>0</v>
      </c>
      <c r="X299" s="63" t="n">
        <f aca="false">W299/QRate</f>
        <v>0</v>
      </c>
      <c r="Y299" s="0" t="n">
        <v>9</v>
      </c>
    </row>
    <row r="300" customFormat="false" ht="15" hidden="false" customHeight="false" outlineLevel="0" collapsed="false">
      <c r="A300" s="68" t="n">
        <f aca="false">'CC Volume'!A300</f>
        <v>27</v>
      </c>
      <c r="B300" s="13" t="str">
        <f aca="false">IF('CC Volume'!B300="","",'CC Volume'!B300)</f>
        <v/>
      </c>
      <c r="C300" s="13" t="str">
        <f aca="false">IF('CC Volume'!C300="","",'CC Volume'!C300)</f>
        <v/>
      </c>
      <c r="D300" s="13" t="str">
        <f aca="false">IF('CC Volume'!D300="","",'CC Volume'!D300)</f>
        <v/>
      </c>
      <c r="E300" s="68" t="str">
        <f aca="false">IF('CC Volume'!E300="","",'CC Volume'!E300)</f>
        <v/>
      </c>
      <c r="F300" s="68" t="str">
        <f aca="false">IF('CC Volume'!F300="","",'CC Volume'!F300)</f>
        <v/>
      </c>
      <c r="G300" s="69" t="str">
        <f aca="false">'CC Volume'!AN300</f>
        <v/>
      </c>
      <c r="H300" s="69" t="str">
        <f aca="false">'CC Volume'!AO300</f>
        <v/>
      </c>
      <c r="I300" s="69" t="str">
        <f aca="false">'CC Volume'!AM300</f>
        <v/>
      </c>
      <c r="J300" s="62" t="str">
        <f aca="false">IF(N(H300)=0,"",IFERROR(INDEX(CC_RegRate,MATCH(F300,CC_RegU,0)),0))</f>
        <v/>
      </c>
      <c r="K300" s="62" t="n">
        <f aca="false">N(H300)*N(J300)</f>
        <v>0</v>
      </c>
      <c r="L300" s="62" t="n">
        <f aca="false">IF(CC_IncWaste="Yes",N(I300)*N(XWaste),0)</f>
        <v>0</v>
      </c>
      <c r="M300" s="65" t="n">
        <f aca="false">IF(N(G300)=0,0,IF(CC_AllocBasis="Equipment count",1,IF(CC_AllocBasis="Equipment volume",N(G300),N(H300))))</f>
        <v>0</v>
      </c>
      <c r="N300" s="15" t="n">
        <f aca="false">IF(SUM(CC_P_M)=0,0,M300/SUM(CC_P_M))</f>
        <v>0</v>
      </c>
      <c r="O300" s="62" t="n">
        <f aca="false">N300*CC_SharedCost</f>
        <v>0</v>
      </c>
      <c r="P300" s="63" t="n">
        <f aca="false">K300+L300+O300</f>
        <v>0</v>
      </c>
      <c r="Q300" s="62" t="n">
        <f aca="false">K300*(1+INDEX(MkMatrix,3,3))</f>
        <v>0</v>
      </c>
      <c r="R300" s="62" t="n">
        <f aca="false">L300*(1+INDEX(MkMatrix,3,3))</f>
        <v>0</v>
      </c>
      <c r="S300" s="62" t="n">
        <f aca="false">N300*CC_SharedSell</f>
        <v>0</v>
      </c>
      <c r="T300" s="62" t="n">
        <f aca="false">P300*N(QCont)</f>
        <v>0</v>
      </c>
      <c r="U300" s="62" t="n">
        <f aca="false">Q300+R300+S300+T300</f>
        <v>0</v>
      </c>
      <c r="V300" s="62" t="n">
        <f aca="false">-U300*N(QDisc)</f>
        <v>-0</v>
      </c>
      <c r="W300" s="63" t="n">
        <f aca="false">U300+V300</f>
        <v>0</v>
      </c>
      <c r="X300" s="63" t="n">
        <f aca="false">W300/QRate</f>
        <v>0</v>
      </c>
      <c r="Y300" s="0" t="n">
        <v>9</v>
      </c>
    </row>
    <row r="301" customFormat="false" ht="15" hidden="false" customHeight="false" outlineLevel="0" collapsed="false">
      <c r="A301" s="68" t="n">
        <f aca="false">'CC Volume'!A301</f>
        <v>28</v>
      </c>
      <c r="B301" s="13" t="str">
        <f aca="false">IF('CC Volume'!B301="","",'CC Volume'!B301)</f>
        <v/>
      </c>
      <c r="C301" s="13" t="str">
        <f aca="false">IF('CC Volume'!C301="","",'CC Volume'!C301)</f>
        <v/>
      </c>
      <c r="D301" s="13" t="str">
        <f aca="false">IF('CC Volume'!D301="","",'CC Volume'!D301)</f>
        <v/>
      </c>
      <c r="E301" s="68" t="str">
        <f aca="false">IF('CC Volume'!E301="","",'CC Volume'!E301)</f>
        <v/>
      </c>
      <c r="F301" s="68" t="str">
        <f aca="false">IF('CC Volume'!F301="","",'CC Volume'!F301)</f>
        <v/>
      </c>
      <c r="G301" s="69" t="str">
        <f aca="false">'CC Volume'!AN301</f>
        <v/>
      </c>
      <c r="H301" s="69" t="str">
        <f aca="false">'CC Volume'!AO301</f>
        <v/>
      </c>
      <c r="I301" s="69" t="str">
        <f aca="false">'CC Volume'!AM301</f>
        <v/>
      </c>
      <c r="J301" s="62" t="str">
        <f aca="false">IF(N(H301)=0,"",IFERROR(INDEX(CC_RegRate,MATCH(F301,CC_RegU,0)),0))</f>
        <v/>
      </c>
      <c r="K301" s="62" t="n">
        <f aca="false">N(H301)*N(J301)</f>
        <v>0</v>
      </c>
      <c r="L301" s="62" t="n">
        <f aca="false">IF(CC_IncWaste="Yes",N(I301)*N(XWaste),0)</f>
        <v>0</v>
      </c>
      <c r="M301" s="65" t="n">
        <f aca="false">IF(N(G301)=0,0,IF(CC_AllocBasis="Equipment count",1,IF(CC_AllocBasis="Equipment volume",N(G301),N(H301))))</f>
        <v>0</v>
      </c>
      <c r="N301" s="15" t="n">
        <f aca="false">IF(SUM(CC_P_M)=0,0,M301/SUM(CC_P_M))</f>
        <v>0</v>
      </c>
      <c r="O301" s="62" t="n">
        <f aca="false">N301*CC_SharedCost</f>
        <v>0</v>
      </c>
      <c r="P301" s="63" t="n">
        <f aca="false">K301+L301+O301</f>
        <v>0</v>
      </c>
      <c r="Q301" s="62" t="n">
        <f aca="false">K301*(1+INDEX(MkMatrix,3,3))</f>
        <v>0</v>
      </c>
      <c r="R301" s="62" t="n">
        <f aca="false">L301*(1+INDEX(MkMatrix,3,3))</f>
        <v>0</v>
      </c>
      <c r="S301" s="62" t="n">
        <f aca="false">N301*CC_SharedSell</f>
        <v>0</v>
      </c>
      <c r="T301" s="62" t="n">
        <f aca="false">P301*N(QCont)</f>
        <v>0</v>
      </c>
      <c r="U301" s="62" t="n">
        <f aca="false">Q301+R301+S301+T301</f>
        <v>0</v>
      </c>
      <c r="V301" s="62" t="n">
        <f aca="false">-U301*N(QDisc)</f>
        <v>-0</v>
      </c>
      <c r="W301" s="63" t="n">
        <f aca="false">U301+V301</f>
        <v>0</v>
      </c>
      <c r="X301" s="63" t="n">
        <f aca="false">W301/QRate</f>
        <v>0</v>
      </c>
      <c r="Y301" s="0" t="n">
        <v>9</v>
      </c>
    </row>
    <row r="302" customFormat="false" ht="15" hidden="false" customHeight="false" outlineLevel="0" collapsed="false">
      <c r="A302" s="68" t="n">
        <f aca="false">'CC Volume'!A302</f>
        <v>29</v>
      </c>
      <c r="B302" s="13" t="str">
        <f aca="false">IF('CC Volume'!B302="","",'CC Volume'!B302)</f>
        <v/>
      </c>
      <c r="C302" s="13" t="str">
        <f aca="false">IF('CC Volume'!C302="","",'CC Volume'!C302)</f>
        <v/>
      </c>
      <c r="D302" s="13" t="str">
        <f aca="false">IF('CC Volume'!D302="","",'CC Volume'!D302)</f>
        <v/>
      </c>
      <c r="E302" s="68" t="str">
        <f aca="false">IF('CC Volume'!E302="","",'CC Volume'!E302)</f>
        <v/>
      </c>
      <c r="F302" s="68" t="str">
        <f aca="false">IF('CC Volume'!F302="","",'CC Volume'!F302)</f>
        <v/>
      </c>
      <c r="G302" s="69" t="str">
        <f aca="false">'CC Volume'!AN302</f>
        <v/>
      </c>
      <c r="H302" s="69" t="str">
        <f aca="false">'CC Volume'!AO302</f>
        <v/>
      </c>
      <c r="I302" s="69" t="str">
        <f aca="false">'CC Volume'!AM302</f>
        <v/>
      </c>
      <c r="J302" s="62" t="str">
        <f aca="false">IF(N(H302)=0,"",IFERROR(INDEX(CC_RegRate,MATCH(F302,CC_RegU,0)),0))</f>
        <v/>
      </c>
      <c r="K302" s="62" t="n">
        <f aca="false">N(H302)*N(J302)</f>
        <v>0</v>
      </c>
      <c r="L302" s="62" t="n">
        <f aca="false">IF(CC_IncWaste="Yes",N(I302)*N(XWaste),0)</f>
        <v>0</v>
      </c>
      <c r="M302" s="65" t="n">
        <f aca="false">IF(N(G302)=0,0,IF(CC_AllocBasis="Equipment count",1,IF(CC_AllocBasis="Equipment volume",N(G302),N(H302))))</f>
        <v>0</v>
      </c>
      <c r="N302" s="15" t="n">
        <f aca="false">IF(SUM(CC_P_M)=0,0,M302/SUM(CC_P_M))</f>
        <v>0</v>
      </c>
      <c r="O302" s="62" t="n">
        <f aca="false">N302*CC_SharedCost</f>
        <v>0</v>
      </c>
      <c r="P302" s="63" t="n">
        <f aca="false">K302+L302+O302</f>
        <v>0</v>
      </c>
      <c r="Q302" s="62" t="n">
        <f aca="false">K302*(1+INDEX(MkMatrix,3,3))</f>
        <v>0</v>
      </c>
      <c r="R302" s="62" t="n">
        <f aca="false">L302*(1+INDEX(MkMatrix,3,3))</f>
        <v>0</v>
      </c>
      <c r="S302" s="62" t="n">
        <f aca="false">N302*CC_SharedSell</f>
        <v>0</v>
      </c>
      <c r="T302" s="62" t="n">
        <f aca="false">P302*N(QCont)</f>
        <v>0</v>
      </c>
      <c r="U302" s="62" t="n">
        <f aca="false">Q302+R302+S302+T302</f>
        <v>0</v>
      </c>
      <c r="V302" s="62" t="n">
        <f aca="false">-U302*N(QDisc)</f>
        <v>-0</v>
      </c>
      <c r="W302" s="63" t="n">
        <f aca="false">U302+V302</f>
        <v>0</v>
      </c>
      <c r="X302" s="63" t="n">
        <f aca="false">W302/QRate</f>
        <v>0</v>
      </c>
      <c r="Y302" s="0" t="n">
        <v>9</v>
      </c>
    </row>
    <row r="303" customFormat="false" ht="15" hidden="false" customHeight="false" outlineLevel="0" collapsed="false">
      <c r="A303" s="68" t="n">
        <f aca="false">'CC Volume'!A303</f>
        <v>30</v>
      </c>
      <c r="B303" s="13" t="str">
        <f aca="false">IF('CC Volume'!B303="","",'CC Volume'!B303)</f>
        <v/>
      </c>
      <c r="C303" s="13" t="str">
        <f aca="false">IF('CC Volume'!C303="","",'CC Volume'!C303)</f>
        <v/>
      </c>
      <c r="D303" s="13" t="str">
        <f aca="false">IF('CC Volume'!D303="","",'CC Volume'!D303)</f>
        <v/>
      </c>
      <c r="E303" s="68" t="str">
        <f aca="false">IF('CC Volume'!E303="","",'CC Volume'!E303)</f>
        <v/>
      </c>
      <c r="F303" s="68" t="str">
        <f aca="false">IF('CC Volume'!F303="","",'CC Volume'!F303)</f>
        <v/>
      </c>
      <c r="G303" s="69" t="str">
        <f aca="false">'CC Volume'!AN303</f>
        <v/>
      </c>
      <c r="H303" s="69" t="str">
        <f aca="false">'CC Volume'!AO303</f>
        <v/>
      </c>
      <c r="I303" s="69" t="str">
        <f aca="false">'CC Volume'!AM303</f>
        <v/>
      </c>
      <c r="J303" s="62" t="str">
        <f aca="false">IF(N(H303)=0,"",IFERROR(INDEX(CC_RegRate,MATCH(F303,CC_RegU,0)),0))</f>
        <v/>
      </c>
      <c r="K303" s="62" t="n">
        <f aca="false">N(H303)*N(J303)</f>
        <v>0</v>
      </c>
      <c r="L303" s="62" t="n">
        <f aca="false">IF(CC_IncWaste="Yes",N(I303)*N(XWaste),0)</f>
        <v>0</v>
      </c>
      <c r="M303" s="65" t="n">
        <f aca="false">IF(N(G303)=0,0,IF(CC_AllocBasis="Equipment count",1,IF(CC_AllocBasis="Equipment volume",N(G303),N(H303))))</f>
        <v>0</v>
      </c>
      <c r="N303" s="15" t="n">
        <f aca="false">IF(SUM(CC_P_M)=0,0,M303/SUM(CC_P_M))</f>
        <v>0</v>
      </c>
      <c r="O303" s="62" t="n">
        <f aca="false">N303*CC_SharedCost</f>
        <v>0</v>
      </c>
      <c r="P303" s="63" t="n">
        <f aca="false">K303+L303+O303</f>
        <v>0</v>
      </c>
      <c r="Q303" s="62" t="n">
        <f aca="false">K303*(1+INDEX(MkMatrix,3,3))</f>
        <v>0</v>
      </c>
      <c r="R303" s="62" t="n">
        <f aca="false">L303*(1+INDEX(MkMatrix,3,3))</f>
        <v>0</v>
      </c>
      <c r="S303" s="62" t="n">
        <f aca="false">N303*CC_SharedSell</f>
        <v>0</v>
      </c>
      <c r="T303" s="62" t="n">
        <f aca="false">P303*N(QCont)</f>
        <v>0</v>
      </c>
      <c r="U303" s="62" t="n">
        <f aca="false">Q303+R303+S303+T303</f>
        <v>0</v>
      </c>
      <c r="V303" s="62" t="n">
        <f aca="false">-U303*N(QDisc)</f>
        <v>-0</v>
      </c>
      <c r="W303" s="63" t="n">
        <f aca="false">U303+V303</f>
        <v>0</v>
      </c>
      <c r="X303" s="63" t="n">
        <f aca="false">W303/QRate</f>
        <v>0</v>
      </c>
      <c r="Y303" s="0" t="n">
        <v>9</v>
      </c>
    </row>
    <row r="304" customFormat="false" ht="15" hidden="false" customHeight="false" outlineLevel="0" collapsed="false">
      <c r="A304" s="44" t="str">
        <f aca="false">"TOTAL – "&amp;INDEX(CC_UnitNames,9)</f>
        <v>TOTAL – Unit 9</v>
      </c>
      <c r="B304" s="44"/>
      <c r="C304" s="44"/>
      <c r="D304" s="44"/>
      <c r="E304" s="44"/>
      <c r="F304" s="44"/>
      <c r="G304" s="47" t="n">
        <f aca="false">SUM(G274:G303)</f>
        <v>0</v>
      </c>
      <c r="H304" s="47" t="n">
        <f aca="false">SUM(H274:H303)</f>
        <v>0</v>
      </c>
      <c r="I304" s="47" t="n">
        <f aca="false">SUM(I274:I303)</f>
        <v>0</v>
      </c>
      <c r="J304" s="45"/>
      <c r="K304" s="70" t="n">
        <f aca="false">SUM(K274:K303)</f>
        <v>0</v>
      </c>
      <c r="L304" s="70" t="n">
        <f aca="false">SUM(L274:L303)</f>
        <v>0</v>
      </c>
      <c r="M304" s="45"/>
      <c r="N304" s="45"/>
      <c r="O304" s="70" t="n">
        <f aca="false">SUM(O274:O303)</f>
        <v>0</v>
      </c>
      <c r="P304" s="70" t="n">
        <f aca="false">SUM(P274:P303)</f>
        <v>0</v>
      </c>
      <c r="Q304" s="70" t="n">
        <f aca="false">SUM(Q274:Q303)</f>
        <v>0</v>
      </c>
      <c r="R304" s="70" t="n">
        <f aca="false">SUM(R274:R303)</f>
        <v>0</v>
      </c>
      <c r="S304" s="70" t="n">
        <f aca="false">SUM(S274:S303)</f>
        <v>0</v>
      </c>
      <c r="T304" s="70" t="n">
        <f aca="false">SUM(T274:T303)</f>
        <v>0</v>
      </c>
      <c r="U304" s="70" t="n">
        <f aca="false">SUM(U274:U303)</f>
        <v>0</v>
      </c>
      <c r="V304" s="70" t="n">
        <f aca="false">SUM(V274:V303)</f>
        <v>0</v>
      </c>
      <c r="W304" s="70" t="n">
        <f aca="false">SUM(W274:W303)</f>
        <v>0</v>
      </c>
      <c r="X304" s="70" t="n">
        <f aca="false">SUM(X274:X303)</f>
        <v>0</v>
      </c>
    </row>
    <row r="306" customFormat="false" ht="15" hidden="false" customHeight="false" outlineLevel="0" collapsed="false">
      <c r="A306" s="38" t="str">
        <f aca="false">"UNIT 10:  "&amp;INDEX(CC_UnitNames,10)</f>
        <v>UNIT 10:  Unit 10</v>
      </c>
      <c r="B306" s="38"/>
      <c r="C306" s="38"/>
      <c r="D306" s="38"/>
      <c r="E306" s="39"/>
      <c r="F306" s="39"/>
      <c r="G306" s="39"/>
      <c r="H306" s="39"/>
      <c r="I306" s="39"/>
      <c r="J306" s="39"/>
      <c r="K306" s="39"/>
      <c r="L306" s="39"/>
      <c r="M306" s="39"/>
      <c r="N306" s="39"/>
      <c r="O306" s="39"/>
      <c r="P306" s="39"/>
      <c r="Q306" s="39"/>
      <c r="R306" s="39"/>
      <c r="S306" s="39"/>
      <c r="T306" s="39"/>
      <c r="U306" s="39"/>
      <c r="V306" s="39"/>
      <c r="W306" s="39"/>
      <c r="X306" s="39"/>
    </row>
    <row r="307" customFormat="false" ht="15" hidden="false" customHeight="false" outlineLevel="0" collapsed="false">
      <c r="A307" s="68" t="n">
        <f aca="false">'CC Volume'!A307</f>
        <v>1</v>
      </c>
      <c r="B307" s="13" t="str">
        <f aca="false">IF('CC Volume'!B307="","",'CC Volume'!B307)</f>
        <v/>
      </c>
      <c r="C307" s="13" t="str">
        <f aca="false">IF('CC Volume'!C307="","",'CC Volume'!C307)</f>
        <v/>
      </c>
      <c r="D307" s="13" t="str">
        <f aca="false">IF('CC Volume'!D307="","",'CC Volume'!D307)</f>
        <v/>
      </c>
      <c r="E307" s="68" t="str">
        <f aca="false">IF('CC Volume'!E307="","",'CC Volume'!E307)</f>
        <v/>
      </c>
      <c r="F307" s="68" t="str">
        <f aca="false">IF('CC Volume'!F307="","",'CC Volume'!F307)</f>
        <v/>
      </c>
      <c r="G307" s="69" t="str">
        <f aca="false">'CC Volume'!AN307</f>
        <v/>
      </c>
      <c r="H307" s="69" t="str">
        <f aca="false">'CC Volume'!AO307</f>
        <v/>
      </c>
      <c r="I307" s="69" t="str">
        <f aca="false">'CC Volume'!AM307</f>
        <v/>
      </c>
      <c r="J307" s="62" t="str">
        <f aca="false">IF(N(H307)=0,"",IFERROR(INDEX(CC_RegRate,MATCH(F307,CC_RegU,0)),0))</f>
        <v/>
      </c>
      <c r="K307" s="62" t="n">
        <f aca="false">N(H307)*N(J307)</f>
        <v>0</v>
      </c>
      <c r="L307" s="62" t="n">
        <f aca="false">IF(CC_IncWaste="Yes",N(I307)*N(XWaste),0)</f>
        <v>0</v>
      </c>
      <c r="M307" s="65" t="n">
        <f aca="false">IF(N(G307)=0,0,IF(CC_AllocBasis="Equipment count",1,IF(CC_AllocBasis="Equipment volume",N(G307),N(H307))))</f>
        <v>0</v>
      </c>
      <c r="N307" s="15" t="n">
        <f aca="false">IF(SUM(CC_P_M)=0,0,M307/SUM(CC_P_M))</f>
        <v>0</v>
      </c>
      <c r="O307" s="62" t="n">
        <f aca="false">N307*CC_SharedCost</f>
        <v>0</v>
      </c>
      <c r="P307" s="63" t="n">
        <f aca="false">K307+L307+O307</f>
        <v>0</v>
      </c>
      <c r="Q307" s="62" t="n">
        <f aca="false">K307*(1+INDEX(MkMatrix,3,3))</f>
        <v>0</v>
      </c>
      <c r="R307" s="62" t="n">
        <f aca="false">L307*(1+INDEX(MkMatrix,3,3))</f>
        <v>0</v>
      </c>
      <c r="S307" s="62" t="n">
        <f aca="false">N307*CC_SharedSell</f>
        <v>0</v>
      </c>
      <c r="T307" s="62" t="n">
        <f aca="false">P307*N(QCont)</f>
        <v>0</v>
      </c>
      <c r="U307" s="62" t="n">
        <f aca="false">Q307+R307+S307+T307</f>
        <v>0</v>
      </c>
      <c r="V307" s="62" t="n">
        <f aca="false">-U307*N(QDisc)</f>
        <v>-0</v>
      </c>
      <c r="W307" s="63" t="n">
        <f aca="false">U307+V307</f>
        <v>0</v>
      </c>
      <c r="X307" s="63" t="n">
        <f aca="false">W307/QRate</f>
        <v>0</v>
      </c>
      <c r="Y307" s="0" t="n">
        <v>10</v>
      </c>
    </row>
    <row r="308" customFormat="false" ht="15" hidden="false" customHeight="false" outlineLevel="0" collapsed="false">
      <c r="A308" s="68" t="n">
        <f aca="false">'CC Volume'!A308</f>
        <v>2</v>
      </c>
      <c r="B308" s="13" t="str">
        <f aca="false">IF('CC Volume'!B308="","",'CC Volume'!B308)</f>
        <v/>
      </c>
      <c r="C308" s="13" t="str">
        <f aca="false">IF('CC Volume'!C308="","",'CC Volume'!C308)</f>
        <v/>
      </c>
      <c r="D308" s="13" t="str">
        <f aca="false">IF('CC Volume'!D308="","",'CC Volume'!D308)</f>
        <v/>
      </c>
      <c r="E308" s="68" t="str">
        <f aca="false">IF('CC Volume'!E308="","",'CC Volume'!E308)</f>
        <v/>
      </c>
      <c r="F308" s="68" t="str">
        <f aca="false">IF('CC Volume'!F308="","",'CC Volume'!F308)</f>
        <v/>
      </c>
      <c r="G308" s="69" t="str">
        <f aca="false">'CC Volume'!AN308</f>
        <v/>
      </c>
      <c r="H308" s="69" t="str">
        <f aca="false">'CC Volume'!AO308</f>
        <v/>
      </c>
      <c r="I308" s="69" t="str">
        <f aca="false">'CC Volume'!AM308</f>
        <v/>
      </c>
      <c r="J308" s="62" t="str">
        <f aca="false">IF(N(H308)=0,"",IFERROR(INDEX(CC_RegRate,MATCH(F308,CC_RegU,0)),0))</f>
        <v/>
      </c>
      <c r="K308" s="62" t="n">
        <f aca="false">N(H308)*N(J308)</f>
        <v>0</v>
      </c>
      <c r="L308" s="62" t="n">
        <f aca="false">IF(CC_IncWaste="Yes",N(I308)*N(XWaste),0)</f>
        <v>0</v>
      </c>
      <c r="M308" s="65" t="n">
        <f aca="false">IF(N(G308)=0,0,IF(CC_AllocBasis="Equipment count",1,IF(CC_AllocBasis="Equipment volume",N(G308),N(H308))))</f>
        <v>0</v>
      </c>
      <c r="N308" s="15" t="n">
        <f aca="false">IF(SUM(CC_P_M)=0,0,M308/SUM(CC_P_M))</f>
        <v>0</v>
      </c>
      <c r="O308" s="62" t="n">
        <f aca="false">N308*CC_SharedCost</f>
        <v>0</v>
      </c>
      <c r="P308" s="63" t="n">
        <f aca="false">K308+L308+O308</f>
        <v>0</v>
      </c>
      <c r="Q308" s="62" t="n">
        <f aca="false">K308*(1+INDEX(MkMatrix,3,3))</f>
        <v>0</v>
      </c>
      <c r="R308" s="62" t="n">
        <f aca="false">L308*(1+INDEX(MkMatrix,3,3))</f>
        <v>0</v>
      </c>
      <c r="S308" s="62" t="n">
        <f aca="false">N308*CC_SharedSell</f>
        <v>0</v>
      </c>
      <c r="T308" s="62" t="n">
        <f aca="false">P308*N(QCont)</f>
        <v>0</v>
      </c>
      <c r="U308" s="62" t="n">
        <f aca="false">Q308+R308+S308+T308</f>
        <v>0</v>
      </c>
      <c r="V308" s="62" t="n">
        <f aca="false">-U308*N(QDisc)</f>
        <v>-0</v>
      </c>
      <c r="W308" s="63" t="n">
        <f aca="false">U308+V308</f>
        <v>0</v>
      </c>
      <c r="X308" s="63" t="n">
        <f aca="false">W308/QRate</f>
        <v>0</v>
      </c>
      <c r="Y308" s="0" t="n">
        <v>10</v>
      </c>
    </row>
    <row r="309" customFormat="false" ht="15" hidden="false" customHeight="false" outlineLevel="0" collapsed="false">
      <c r="A309" s="68" t="n">
        <f aca="false">'CC Volume'!A309</f>
        <v>3</v>
      </c>
      <c r="B309" s="13" t="str">
        <f aca="false">IF('CC Volume'!B309="","",'CC Volume'!B309)</f>
        <v/>
      </c>
      <c r="C309" s="13" t="str">
        <f aca="false">IF('CC Volume'!C309="","",'CC Volume'!C309)</f>
        <v/>
      </c>
      <c r="D309" s="13" t="str">
        <f aca="false">IF('CC Volume'!D309="","",'CC Volume'!D309)</f>
        <v/>
      </c>
      <c r="E309" s="68" t="str">
        <f aca="false">IF('CC Volume'!E309="","",'CC Volume'!E309)</f>
        <v/>
      </c>
      <c r="F309" s="68" t="str">
        <f aca="false">IF('CC Volume'!F309="","",'CC Volume'!F309)</f>
        <v/>
      </c>
      <c r="G309" s="69" t="str">
        <f aca="false">'CC Volume'!AN309</f>
        <v/>
      </c>
      <c r="H309" s="69" t="str">
        <f aca="false">'CC Volume'!AO309</f>
        <v/>
      </c>
      <c r="I309" s="69" t="str">
        <f aca="false">'CC Volume'!AM309</f>
        <v/>
      </c>
      <c r="J309" s="62" t="str">
        <f aca="false">IF(N(H309)=0,"",IFERROR(INDEX(CC_RegRate,MATCH(F309,CC_RegU,0)),0))</f>
        <v/>
      </c>
      <c r="K309" s="62" t="n">
        <f aca="false">N(H309)*N(J309)</f>
        <v>0</v>
      </c>
      <c r="L309" s="62" t="n">
        <f aca="false">IF(CC_IncWaste="Yes",N(I309)*N(XWaste),0)</f>
        <v>0</v>
      </c>
      <c r="M309" s="65" t="n">
        <f aca="false">IF(N(G309)=0,0,IF(CC_AllocBasis="Equipment count",1,IF(CC_AllocBasis="Equipment volume",N(G309),N(H309))))</f>
        <v>0</v>
      </c>
      <c r="N309" s="15" t="n">
        <f aca="false">IF(SUM(CC_P_M)=0,0,M309/SUM(CC_P_M))</f>
        <v>0</v>
      </c>
      <c r="O309" s="62" t="n">
        <f aca="false">N309*CC_SharedCost</f>
        <v>0</v>
      </c>
      <c r="P309" s="63" t="n">
        <f aca="false">K309+L309+O309</f>
        <v>0</v>
      </c>
      <c r="Q309" s="62" t="n">
        <f aca="false">K309*(1+INDEX(MkMatrix,3,3))</f>
        <v>0</v>
      </c>
      <c r="R309" s="62" t="n">
        <f aca="false">L309*(1+INDEX(MkMatrix,3,3))</f>
        <v>0</v>
      </c>
      <c r="S309" s="62" t="n">
        <f aca="false">N309*CC_SharedSell</f>
        <v>0</v>
      </c>
      <c r="T309" s="62" t="n">
        <f aca="false">P309*N(QCont)</f>
        <v>0</v>
      </c>
      <c r="U309" s="62" t="n">
        <f aca="false">Q309+R309+S309+T309</f>
        <v>0</v>
      </c>
      <c r="V309" s="62" t="n">
        <f aca="false">-U309*N(QDisc)</f>
        <v>-0</v>
      </c>
      <c r="W309" s="63" t="n">
        <f aca="false">U309+V309</f>
        <v>0</v>
      </c>
      <c r="X309" s="63" t="n">
        <f aca="false">W309/QRate</f>
        <v>0</v>
      </c>
      <c r="Y309" s="0" t="n">
        <v>10</v>
      </c>
    </row>
    <row r="310" customFormat="false" ht="15" hidden="false" customHeight="false" outlineLevel="0" collapsed="false">
      <c r="A310" s="68" t="n">
        <f aca="false">'CC Volume'!A310</f>
        <v>4</v>
      </c>
      <c r="B310" s="13" t="str">
        <f aca="false">IF('CC Volume'!B310="","",'CC Volume'!B310)</f>
        <v/>
      </c>
      <c r="C310" s="13" t="str">
        <f aca="false">IF('CC Volume'!C310="","",'CC Volume'!C310)</f>
        <v/>
      </c>
      <c r="D310" s="13" t="str">
        <f aca="false">IF('CC Volume'!D310="","",'CC Volume'!D310)</f>
        <v/>
      </c>
      <c r="E310" s="68" t="str">
        <f aca="false">IF('CC Volume'!E310="","",'CC Volume'!E310)</f>
        <v/>
      </c>
      <c r="F310" s="68" t="str">
        <f aca="false">IF('CC Volume'!F310="","",'CC Volume'!F310)</f>
        <v/>
      </c>
      <c r="G310" s="69" t="str">
        <f aca="false">'CC Volume'!AN310</f>
        <v/>
      </c>
      <c r="H310" s="69" t="str">
        <f aca="false">'CC Volume'!AO310</f>
        <v/>
      </c>
      <c r="I310" s="69" t="str">
        <f aca="false">'CC Volume'!AM310</f>
        <v/>
      </c>
      <c r="J310" s="62" t="str">
        <f aca="false">IF(N(H310)=0,"",IFERROR(INDEX(CC_RegRate,MATCH(F310,CC_RegU,0)),0))</f>
        <v/>
      </c>
      <c r="K310" s="62" t="n">
        <f aca="false">N(H310)*N(J310)</f>
        <v>0</v>
      </c>
      <c r="L310" s="62" t="n">
        <f aca="false">IF(CC_IncWaste="Yes",N(I310)*N(XWaste),0)</f>
        <v>0</v>
      </c>
      <c r="M310" s="65" t="n">
        <f aca="false">IF(N(G310)=0,0,IF(CC_AllocBasis="Equipment count",1,IF(CC_AllocBasis="Equipment volume",N(G310),N(H310))))</f>
        <v>0</v>
      </c>
      <c r="N310" s="15" t="n">
        <f aca="false">IF(SUM(CC_P_M)=0,0,M310/SUM(CC_P_M))</f>
        <v>0</v>
      </c>
      <c r="O310" s="62" t="n">
        <f aca="false">N310*CC_SharedCost</f>
        <v>0</v>
      </c>
      <c r="P310" s="63" t="n">
        <f aca="false">K310+L310+O310</f>
        <v>0</v>
      </c>
      <c r="Q310" s="62" t="n">
        <f aca="false">K310*(1+INDEX(MkMatrix,3,3))</f>
        <v>0</v>
      </c>
      <c r="R310" s="62" t="n">
        <f aca="false">L310*(1+INDEX(MkMatrix,3,3))</f>
        <v>0</v>
      </c>
      <c r="S310" s="62" t="n">
        <f aca="false">N310*CC_SharedSell</f>
        <v>0</v>
      </c>
      <c r="T310" s="62" t="n">
        <f aca="false">P310*N(QCont)</f>
        <v>0</v>
      </c>
      <c r="U310" s="62" t="n">
        <f aca="false">Q310+R310+S310+T310</f>
        <v>0</v>
      </c>
      <c r="V310" s="62" t="n">
        <f aca="false">-U310*N(QDisc)</f>
        <v>-0</v>
      </c>
      <c r="W310" s="63" t="n">
        <f aca="false">U310+V310</f>
        <v>0</v>
      </c>
      <c r="X310" s="63" t="n">
        <f aca="false">W310/QRate</f>
        <v>0</v>
      </c>
      <c r="Y310" s="0" t="n">
        <v>10</v>
      </c>
    </row>
    <row r="311" customFormat="false" ht="15" hidden="false" customHeight="false" outlineLevel="0" collapsed="false">
      <c r="A311" s="68" t="n">
        <f aca="false">'CC Volume'!A311</f>
        <v>5</v>
      </c>
      <c r="B311" s="13" t="str">
        <f aca="false">IF('CC Volume'!B311="","",'CC Volume'!B311)</f>
        <v/>
      </c>
      <c r="C311" s="13" t="str">
        <f aca="false">IF('CC Volume'!C311="","",'CC Volume'!C311)</f>
        <v/>
      </c>
      <c r="D311" s="13" t="str">
        <f aca="false">IF('CC Volume'!D311="","",'CC Volume'!D311)</f>
        <v/>
      </c>
      <c r="E311" s="68" t="str">
        <f aca="false">IF('CC Volume'!E311="","",'CC Volume'!E311)</f>
        <v/>
      </c>
      <c r="F311" s="68" t="str">
        <f aca="false">IF('CC Volume'!F311="","",'CC Volume'!F311)</f>
        <v/>
      </c>
      <c r="G311" s="69" t="str">
        <f aca="false">'CC Volume'!AN311</f>
        <v/>
      </c>
      <c r="H311" s="69" t="str">
        <f aca="false">'CC Volume'!AO311</f>
        <v/>
      </c>
      <c r="I311" s="69" t="str">
        <f aca="false">'CC Volume'!AM311</f>
        <v/>
      </c>
      <c r="J311" s="62" t="str">
        <f aca="false">IF(N(H311)=0,"",IFERROR(INDEX(CC_RegRate,MATCH(F311,CC_RegU,0)),0))</f>
        <v/>
      </c>
      <c r="K311" s="62" t="n">
        <f aca="false">N(H311)*N(J311)</f>
        <v>0</v>
      </c>
      <c r="L311" s="62" t="n">
        <f aca="false">IF(CC_IncWaste="Yes",N(I311)*N(XWaste),0)</f>
        <v>0</v>
      </c>
      <c r="M311" s="65" t="n">
        <f aca="false">IF(N(G311)=0,0,IF(CC_AllocBasis="Equipment count",1,IF(CC_AllocBasis="Equipment volume",N(G311),N(H311))))</f>
        <v>0</v>
      </c>
      <c r="N311" s="15" t="n">
        <f aca="false">IF(SUM(CC_P_M)=0,0,M311/SUM(CC_P_M))</f>
        <v>0</v>
      </c>
      <c r="O311" s="62" t="n">
        <f aca="false">N311*CC_SharedCost</f>
        <v>0</v>
      </c>
      <c r="P311" s="63" t="n">
        <f aca="false">K311+L311+O311</f>
        <v>0</v>
      </c>
      <c r="Q311" s="62" t="n">
        <f aca="false">K311*(1+INDEX(MkMatrix,3,3))</f>
        <v>0</v>
      </c>
      <c r="R311" s="62" t="n">
        <f aca="false">L311*(1+INDEX(MkMatrix,3,3))</f>
        <v>0</v>
      </c>
      <c r="S311" s="62" t="n">
        <f aca="false">N311*CC_SharedSell</f>
        <v>0</v>
      </c>
      <c r="T311" s="62" t="n">
        <f aca="false">P311*N(QCont)</f>
        <v>0</v>
      </c>
      <c r="U311" s="62" t="n">
        <f aca="false">Q311+R311+S311+T311</f>
        <v>0</v>
      </c>
      <c r="V311" s="62" t="n">
        <f aca="false">-U311*N(QDisc)</f>
        <v>-0</v>
      </c>
      <c r="W311" s="63" t="n">
        <f aca="false">U311+V311</f>
        <v>0</v>
      </c>
      <c r="X311" s="63" t="n">
        <f aca="false">W311/QRate</f>
        <v>0</v>
      </c>
      <c r="Y311" s="0" t="n">
        <v>10</v>
      </c>
    </row>
    <row r="312" customFormat="false" ht="15" hidden="false" customHeight="false" outlineLevel="0" collapsed="false">
      <c r="A312" s="68" t="n">
        <f aca="false">'CC Volume'!A312</f>
        <v>6</v>
      </c>
      <c r="B312" s="13" t="str">
        <f aca="false">IF('CC Volume'!B312="","",'CC Volume'!B312)</f>
        <v/>
      </c>
      <c r="C312" s="13" t="str">
        <f aca="false">IF('CC Volume'!C312="","",'CC Volume'!C312)</f>
        <v/>
      </c>
      <c r="D312" s="13" t="str">
        <f aca="false">IF('CC Volume'!D312="","",'CC Volume'!D312)</f>
        <v/>
      </c>
      <c r="E312" s="68" t="str">
        <f aca="false">IF('CC Volume'!E312="","",'CC Volume'!E312)</f>
        <v/>
      </c>
      <c r="F312" s="68" t="str">
        <f aca="false">IF('CC Volume'!F312="","",'CC Volume'!F312)</f>
        <v/>
      </c>
      <c r="G312" s="69" t="str">
        <f aca="false">'CC Volume'!AN312</f>
        <v/>
      </c>
      <c r="H312" s="69" t="str">
        <f aca="false">'CC Volume'!AO312</f>
        <v/>
      </c>
      <c r="I312" s="69" t="str">
        <f aca="false">'CC Volume'!AM312</f>
        <v/>
      </c>
      <c r="J312" s="62" t="str">
        <f aca="false">IF(N(H312)=0,"",IFERROR(INDEX(CC_RegRate,MATCH(F312,CC_RegU,0)),0))</f>
        <v/>
      </c>
      <c r="K312" s="62" t="n">
        <f aca="false">N(H312)*N(J312)</f>
        <v>0</v>
      </c>
      <c r="L312" s="62" t="n">
        <f aca="false">IF(CC_IncWaste="Yes",N(I312)*N(XWaste),0)</f>
        <v>0</v>
      </c>
      <c r="M312" s="65" t="n">
        <f aca="false">IF(N(G312)=0,0,IF(CC_AllocBasis="Equipment count",1,IF(CC_AllocBasis="Equipment volume",N(G312),N(H312))))</f>
        <v>0</v>
      </c>
      <c r="N312" s="15" t="n">
        <f aca="false">IF(SUM(CC_P_M)=0,0,M312/SUM(CC_P_M))</f>
        <v>0</v>
      </c>
      <c r="O312" s="62" t="n">
        <f aca="false">N312*CC_SharedCost</f>
        <v>0</v>
      </c>
      <c r="P312" s="63" t="n">
        <f aca="false">K312+L312+O312</f>
        <v>0</v>
      </c>
      <c r="Q312" s="62" t="n">
        <f aca="false">K312*(1+INDEX(MkMatrix,3,3))</f>
        <v>0</v>
      </c>
      <c r="R312" s="62" t="n">
        <f aca="false">L312*(1+INDEX(MkMatrix,3,3))</f>
        <v>0</v>
      </c>
      <c r="S312" s="62" t="n">
        <f aca="false">N312*CC_SharedSell</f>
        <v>0</v>
      </c>
      <c r="T312" s="62" t="n">
        <f aca="false">P312*N(QCont)</f>
        <v>0</v>
      </c>
      <c r="U312" s="62" t="n">
        <f aca="false">Q312+R312+S312+T312</f>
        <v>0</v>
      </c>
      <c r="V312" s="62" t="n">
        <f aca="false">-U312*N(QDisc)</f>
        <v>-0</v>
      </c>
      <c r="W312" s="63" t="n">
        <f aca="false">U312+V312</f>
        <v>0</v>
      </c>
      <c r="X312" s="63" t="n">
        <f aca="false">W312/QRate</f>
        <v>0</v>
      </c>
      <c r="Y312" s="0" t="n">
        <v>10</v>
      </c>
    </row>
    <row r="313" customFormat="false" ht="15" hidden="false" customHeight="false" outlineLevel="0" collapsed="false">
      <c r="A313" s="68" t="n">
        <f aca="false">'CC Volume'!A313</f>
        <v>7</v>
      </c>
      <c r="B313" s="13" t="str">
        <f aca="false">IF('CC Volume'!B313="","",'CC Volume'!B313)</f>
        <v/>
      </c>
      <c r="C313" s="13" t="str">
        <f aca="false">IF('CC Volume'!C313="","",'CC Volume'!C313)</f>
        <v/>
      </c>
      <c r="D313" s="13" t="str">
        <f aca="false">IF('CC Volume'!D313="","",'CC Volume'!D313)</f>
        <v/>
      </c>
      <c r="E313" s="68" t="str">
        <f aca="false">IF('CC Volume'!E313="","",'CC Volume'!E313)</f>
        <v/>
      </c>
      <c r="F313" s="68" t="str">
        <f aca="false">IF('CC Volume'!F313="","",'CC Volume'!F313)</f>
        <v/>
      </c>
      <c r="G313" s="69" t="str">
        <f aca="false">'CC Volume'!AN313</f>
        <v/>
      </c>
      <c r="H313" s="69" t="str">
        <f aca="false">'CC Volume'!AO313</f>
        <v/>
      </c>
      <c r="I313" s="69" t="str">
        <f aca="false">'CC Volume'!AM313</f>
        <v/>
      </c>
      <c r="J313" s="62" t="str">
        <f aca="false">IF(N(H313)=0,"",IFERROR(INDEX(CC_RegRate,MATCH(F313,CC_RegU,0)),0))</f>
        <v/>
      </c>
      <c r="K313" s="62" t="n">
        <f aca="false">N(H313)*N(J313)</f>
        <v>0</v>
      </c>
      <c r="L313" s="62" t="n">
        <f aca="false">IF(CC_IncWaste="Yes",N(I313)*N(XWaste),0)</f>
        <v>0</v>
      </c>
      <c r="M313" s="65" t="n">
        <f aca="false">IF(N(G313)=0,0,IF(CC_AllocBasis="Equipment count",1,IF(CC_AllocBasis="Equipment volume",N(G313),N(H313))))</f>
        <v>0</v>
      </c>
      <c r="N313" s="15" t="n">
        <f aca="false">IF(SUM(CC_P_M)=0,0,M313/SUM(CC_P_M))</f>
        <v>0</v>
      </c>
      <c r="O313" s="62" t="n">
        <f aca="false">N313*CC_SharedCost</f>
        <v>0</v>
      </c>
      <c r="P313" s="63" t="n">
        <f aca="false">K313+L313+O313</f>
        <v>0</v>
      </c>
      <c r="Q313" s="62" t="n">
        <f aca="false">K313*(1+INDEX(MkMatrix,3,3))</f>
        <v>0</v>
      </c>
      <c r="R313" s="62" t="n">
        <f aca="false">L313*(1+INDEX(MkMatrix,3,3))</f>
        <v>0</v>
      </c>
      <c r="S313" s="62" t="n">
        <f aca="false">N313*CC_SharedSell</f>
        <v>0</v>
      </c>
      <c r="T313" s="62" t="n">
        <f aca="false">P313*N(QCont)</f>
        <v>0</v>
      </c>
      <c r="U313" s="62" t="n">
        <f aca="false">Q313+R313+S313+T313</f>
        <v>0</v>
      </c>
      <c r="V313" s="62" t="n">
        <f aca="false">-U313*N(QDisc)</f>
        <v>-0</v>
      </c>
      <c r="W313" s="63" t="n">
        <f aca="false">U313+V313</f>
        <v>0</v>
      </c>
      <c r="X313" s="63" t="n">
        <f aca="false">W313/QRate</f>
        <v>0</v>
      </c>
      <c r="Y313" s="0" t="n">
        <v>10</v>
      </c>
    </row>
    <row r="314" customFormat="false" ht="15" hidden="false" customHeight="false" outlineLevel="0" collapsed="false">
      <c r="A314" s="68" t="n">
        <f aca="false">'CC Volume'!A314</f>
        <v>8</v>
      </c>
      <c r="B314" s="13" t="str">
        <f aca="false">IF('CC Volume'!B314="","",'CC Volume'!B314)</f>
        <v/>
      </c>
      <c r="C314" s="13" t="str">
        <f aca="false">IF('CC Volume'!C314="","",'CC Volume'!C314)</f>
        <v/>
      </c>
      <c r="D314" s="13" t="str">
        <f aca="false">IF('CC Volume'!D314="","",'CC Volume'!D314)</f>
        <v/>
      </c>
      <c r="E314" s="68" t="str">
        <f aca="false">IF('CC Volume'!E314="","",'CC Volume'!E314)</f>
        <v/>
      </c>
      <c r="F314" s="68" t="str">
        <f aca="false">IF('CC Volume'!F314="","",'CC Volume'!F314)</f>
        <v/>
      </c>
      <c r="G314" s="69" t="str">
        <f aca="false">'CC Volume'!AN314</f>
        <v/>
      </c>
      <c r="H314" s="69" t="str">
        <f aca="false">'CC Volume'!AO314</f>
        <v/>
      </c>
      <c r="I314" s="69" t="str">
        <f aca="false">'CC Volume'!AM314</f>
        <v/>
      </c>
      <c r="J314" s="62" t="str">
        <f aca="false">IF(N(H314)=0,"",IFERROR(INDEX(CC_RegRate,MATCH(F314,CC_RegU,0)),0))</f>
        <v/>
      </c>
      <c r="K314" s="62" t="n">
        <f aca="false">N(H314)*N(J314)</f>
        <v>0</v>
      </c>
      <c r="L314" s="62" t="n">
        <f aca="false">IF(CC_IncWaste="Yes",N(I314)*N(XWaste),0)</f>
        <v>0</v>
      </c>
      <c r="M314" s="65" t="n">
        <f aca="false">IF(N(G314)=0,0,IF(CC_AllocBasis="Equipment count",1,IF(CC_AllocBasis="Equipment volume",N(G314),N(H314))))</f>
        <v>0</v>
      </c>
      <c r="N314" s="15" t="n">
        <f aca="false">IF(SUM(CC_P_M)=0,0,M314/SUM(CC_P_M))</f>
        <v>0</v>
      </c>
      <c r="O314" s="62" t="n">
        <f aca="false">N314*CC_SharedCost</f>
        <v>0</v>
      </c>
      <c r="P314" s="63" t="n">
        <f aca="false">K314+L314+O314</f>
        <v>0</v>
      </c>
      <c r="Q314" s="62" t="n">
        <f aca="false">K314*(1+INDEX(MkMatrix,3,3))</f>
        <v>0</v>
      </c>
      <c r="R314" s="62" t="n">
        <f aca="false">L314*(1+INDEX(MkMatrix,3,3))</f>
        <v>0</v>
      </c>
      <c r="S314" s="62" t="n">
        <f aca="false">N314*CC_SharedSell</f>
        <v>0</v>
      </c>
      <c r="T314" s="62" t="n">
        <f aca="false">P314*N(QCont)</f>
        <v>0</v>
      </c>
      <c r="U314" s="62" t="n">
        <f aca="false">Q314+R314+S314+T314</f>
        <v>0</v>
      </c>
      <c r="V314" s="62" t="n">
        <f aca="false">-U314*N(QDisc)</f>
        <v>-0</v>
      </c>
      <c r="W314" s="63" t="n">
        <f aca="false">U314+V314</f>
        <v>0</v>
      </c>
      <c r="X314" s="63" t="n">
        <f aca="false">W314/QRate</f>
        <v>0</v>
      </c>
      <c r="Y314" s="0" t="n">
        <v>10</v>
      </c>
    </row>
    <row r="315" customFormat="false" ht="15" hidden="false" customHeight="false" outlineLevel="0" collapsed="false">
      <c r="A315" s="68" t="n">
        <f aca="false">'CC Volume'!A315</f>
        <v>9</v>
      </c>
      <c r="B315" s="13" t="str">
        <f aca="false">IF('CC Volume'!B315="","",'CC Volume'!B315)</f>
        <v/>
      </c>
      <c r="C315" s="13" t="str">
        <f aca="false">IF('CC Volume'!C315="","",'CC Volume'!C315)</f>
        <v/>
      </c>
      <c r="D315" s="13" t="str">
        <f aca="false">IF('CC Volume'!D315="","",'CC Volume'!D315)</f>
        <v/>
      </c>
      <c r="E315" s="68" t="str">
        <f aca="false">IF('CC Volume'!E315="","",'CC Volume'!E315)</f>
        <v/>
      </c>
      <c r="F315" s="68" t="str">
        <f aca="false">IF('CC Volume'!F315="","",'CC Volume'!F315)</f>
        <v/>
      </c>
      <c r="G315" s="69" t="str">
        <f aca="false">'CC Volume'!AN315</f>
        <v/>
      </c>
      <c r="H315" s="69" t="str">
        <f aca="false">'CC Volume'!AO315</f>
        <v/>
      </c>
      <c r="I315" s="69" t="str">
        <f aca="false">'CC Volume'!AM315</f>
        <v/>
      </c>
      <c r="J315" s="62" t="str">
        <f aca="false">IF(N(H315)=0,"",IFERROR(INDEX(CC_RegRate,MATCH(F315,CC_RegU,0)),0))</f>
        <v/>
      </c>
      <c r="K315" s="62" t="n">
        <f aca="false">N(H315)*N(J315)</f>
        <v>0</v>
      </c>
      <c r="L315" s="62" t="n">
        <f aca="false">IF(CC_IncWaste="Yes",N(I315)*N(XWaste),0)</f>
        <v>0</v>
      </c>
      <c r="M315" s="65" t="n">
        <f aca="false">IF(N(G315)=0,0,IF(CC_AllocBasis="Equipment count",1,IF(CC_AllocBasis="Equipment volume",N(G315),N(H315))))</f>
        <v>0</v>
      </c>
      <c r="N315" s="15" t="n">
        <f aca="false">IF(SUM(CC_P_M)=0,0,M315/SUM(CC_P_M))</f>
        <v>0</v>
      </c>
      <c r="O315" s="62" t="n">
        <f aca="false">N315*CC_SharedCost</f>
        <v>0</v>
      </c>
      <c r="P315" s="63" t="n">
        <f aca="false">K315+L315+O315</f>
        <v>0</v>
      </c>
      <c r="Q315" s="62" t="n">
        <f aca="false">K315*(1+INDEX(MkMatrix,3,3))</f>
        <v>0</v>
      </c>
      <c r="R315" s="62" t="n">
        <f aca="false">L315*(1+INDEX(MkMatrix,3,3))</f>
        <v>0</v>
      </c>
      <c r="S315" s="62" t="n">
        <f aca="false">N315*CC_SharedSell</f>
        <v>0</v>
      </c>
      <c r="T315" s="62" t="n">
        <f aca="false">P315*N(QCont)</f>
        <v>0</v>
      </c>
      <c r="U315" s="62" t="n">
        <f aca="false">Q315+R315+S315+T315</f>
        <v>0</v>
      </c>
      <c r="V315" s="62" t="n">
        <f aca="false">-U315*N(QDisc)</f>
        <v>-0</v>
      </c>
      <c r="W315" s="63" t="n">
        <f aca="false">U315+V315</f>
        <v>0</v>
      </c>
      <c r="X315" s="63" t="n">
        <f aca="false">W315/QRate</f>
        <v>0</v>
      </c>
      <c r="Y315" s="0" t="n">
        <v>10</v>
      </c>
    </row>
    <row r="316" customFormat="false" ht="15" hidden="false" customHeight="false" outlineLevel="0" collapsed="false">
      <c r="A316" s="68" t="n">
        <f aca="false">'CC Volume'!A316</f>
        <v>10</v>
      </c>
      <c r="B316" s="13" t="str">
        <f aca="false">IF('CC Volume'!B316="","",'CC Volume'!B316)</f>
        <v/>
      </c>
      <c r="C316" s="13" t="str">
        <f aca="false">IF('CC Volume'!C316="","",'CC Volume'!C316)</f>
        <v/>
      </c>
      <c r="D316" s="13" t="str">
        <f aca="false">IF('CC Volume'!D316="","",'CC Volume'!D316)</f>
        <v/>
      </c>
      <c r="E316" s="68" t="str">
        <f aca="false">IF('CC Volume'!E316="","",'CC Volume'!E316)</f>
        <v/>
      </c>
      <c r="F316" s="68" t="str">
        <f aca="false">IF('CC Volume'!F316="","",'CC Volume'!F316)</f>
        <v/>
      </c>
      <c r="G316" s="69" t="str">
        <f aca="false">'CC Volume'!AN316</f>
        <v/>
      </c>
      <c r="H316" s="69" t="str">
        <f aca="false">'CC Volume'!AO316</f>
        <v/>
      </c>
      <c r="I316" s="69" t="str">
        <f aca="false">'CC Volume'!AM316</f>
        <v/>
      </c>
      <c r="J316" s="62" t="str">
        <f aca="false">IF(N(H316)=0,"",IFERROR(INDEX(CC_RegRate,MATCH(F316,CC_RegU,0)),0))</f>
        <v/>
      </c>
      <c r="K316" s="62" t="n">
        <f aca="false">N(H316)*N(J316)</f>
        <v>0</v>
      </c>
      <c r="L316" s="62" t="n">
        <f aca="false">IF(CC_IncWaste="Yes",N(I316)*N(XWaste),0)</f>
        <v>0</v>
      </c>
      <c r="M316" s="65" t="n">
        <f aca="false">IF(N(G316)=0,0,IF(CC_AllocBasis="Equipment count",1,IF(CC_AllocBasis="Equipment volume",N(G316),N(H316))))</f>
        <v>0</v>
      </c>
      <c r="N316" s="15" t="n">
        <f aca="false">IF(SUM(CC_P_M)=0,0,M316/SUM(CC_P_M))</f>
        <v>0</v>
      </c>
      <c r="O316" s="62" t="n">
        <f aca="false">N316*CC_SharedCost</f>
        <v>0</v>
      </c>
      <c r="P316" s="63" t="n">
        <f aca="false">K316+L316+O316</f>
        <v>0</v>
      </c>
      <c r="Q316" s="62" t="n">
        <f aca="false">K316*(1+INDEX(MkMatrix,3,3))</f>
        <v>0</v>
      </c>
      <c r="R316" s="62" t="n">
        <f aca="false">L316*(1+INDEX(MkMatrix,3,3))</f>
        <v>0</v>
      </c>
      <c r="S316" s="62" t="n">
        <f aca="false">N316*CC_SharedSell</f>
        <v>0</v>
      </c>
      <c r="T316" s="62" t="n">
        <f aca="false">P316*N(QCont)</f>
        <v>0</v>
      </c>
      <c r="U316" s="62" t="n">
        <f aca="false">Q316+R316+S316+T316</f>
        <v>0</v>
      </c>
      <c r="V316" s="62" t="n">
        <f aca="false">-U316*N(QDisc)</f>
        <v>-0</v>
      </c>
      <c r="W316" s="63" t="n">
        <f aca="false">U316+V316</f>
        <v>0</v>
      </c>
      <c r="X316" s="63" t="n">
        <f aca="false">W316/QRate</f>
        <v>0</v>
      </c>
      <c r="Y316" s="0" t="n">
        <v>10</v>
      </c>
    </row>
    <row r="317" customFormat="false" ht="15" hidden="false" customHeight="false" outlineLevel="0" collapsed="false">
      <c r="A317" s="68" t="n">
        <f aca="false">'CC Volume'!A317</f>
        <v>11</v>
      </c>
      <c r="B317" s="13" t="str">
        <f aca="false">IF('CC Volume'!B317="","",'CC Volume'!B317)</f>
        <v/>
      </c>
      <c r="C317" s="13" t="str">
        <f aca="false">IF('CC Volume'!C317="","",'CC Volume'!C317)</f>
        <v/>
      </c>
      <c r="D317" s="13" t="str">
        <f aca="false">IF('CC Volume'!D317="","",'CC Volume'!D317)</f>
        <v/>
      </c>
      <c r="E317" s="68" t="str">
        <f aca="false">IF('CC Volume'!E317="","",'CC Volume'!E317)</f>
        <v/>
      </c>
      <c r="F317" s="68" t="str">
        <f aca="false">IF('CC Volume'!F317="","",'CC Volume'!F317)</f>
        <v/>
      </c>
      <c r="G317" s="69" t="str">
        <f aca="false">'CC Volume'!AN317</f>
        <v/>
      </c>
      <c r="H317" s="69" t="str">
        <f aca="false">'CC Volume'!AO317</f>
        <v/>
      </c>
      <c r="I317" s="69" t="str">
        <f aca="false">'CC Volume'!AM317</f>
        <v/>
      </c>
      <c r="J317" s="62" t="str">
        <f aca="false">IF(N(H317)=0,"",IFERROR(INDEX(CC_RegRate,MATCH(F317,CC_RegU,0)),0))</f>
        <v/>
      </c>
      <c r="K317" s="62" t="n">
        <f aca="false">N(H317)*N(J317)</f>
        <v>0</v>
      </c>
      <c r="L317" s="62" t="n">
        <f aca="false">IF(CC_IncWaste="Yes",N(I317)*N(XWaste),0)</f>
        <v>0</v>
      </c>
      <c r="M317" s="65" t="n">
        <f aca="false">IF(N(G317)=0,0,IF(CC_AllocBasis="Equipment count",1,IF(CC_AllocBasis="Equipment volume",N(G317),N(H317))))</f>
        <v>0</v>
      </c>
      <c r="N317" s="15" t="n">
        <f aca="false">IF(SUM(CC_P_M)=0,0,M317/SUM(CC_P_M))</f>
        <v>0</v>
      </c>
      <c r="O317" s="62" t="n">
        <f aca="false">N317*CC_SharedCost</f>
        <v>0</v>
      </c>
      <c r="P317" s="63" t="n">
        <f aca="false">K317+L317+O317</f>
        <v>0</v>
      </c>
      <c r="Q317" s="62" t="n">
        <f aca="false">K317*(1+INDEX(MkMatrix,3,3))</f>
        <v>0</v>
      </c>
      <c r="R317" s="62" t="n">
        <f aca="false">L317*(1+INDEX(MkMatrix,3,3))</f>
        <v>0</v>
      </c>
      <c r="S317" s="62" t="n">
        <f aca="false">N317*CC_SharedSell</f>
        <v>0</v>
      </c>
      <c r="T317" s="62" t="n">
        <f aca="false">P317*N(QCont)</f>
        <v>0</v>
      </c>
      <c r="U317" s="62" t="n">
        <f aca="false">Q317+R317+S317+T317</f>
        <v>0</v>
      </c>
      <c r="V317" s="62" t="n">
        <f aca="false">-U317*N(QDisc)</f>
        <v>-0</v>
      </c>
      <c r="W317" s="63" t="n">
        <f aca="false">U317+V317</f>
        <v>0</v>
      </c>
      <c r="X317" s="63" t="n">
        <f aca="false">W317/QRate</f>
        <v>0</v>
      </c>
      <c r="Y317" s="0" t="n">
        <v>10</v>
      </c>
    </row>
    <row r="318" customFormat="false" ht="15" hidden="false" customHeight="false" outlineLevel="0" collapsed="false">
      <c r="A318" s="68" t="n">
        <f aca="false">'CC Volume'!A318</f>
        <v>12</v>
      </c>
      <c r="B318" s="13" t="str">
        <f aca="false">IF('CC Volume'!B318="","",'CC Volume'!B318)</f>
        <v/>
      </c>
      <c r="C318" s="13" t="str">
        <f aca="false">IF('CC Volume'!C318="","",'CC Volume'!C318)</f>
        <v/>
      </c>
      <c r="D318" s="13" t="str">
        <f aca="false">IF('CC Volume'!D318="","",'CC Volume'!D318)</f>
        <v/>
      </c>
      <c r="E318" s="68" t="str">
        <f aca="false">IF('CC Volume'!E318="","",'CC Volume'!E318)</f>
        <v/>
      </c>
      <c r="F318" s="68" t="str">
        <f aca="false">IF('CC Volume'!F318="","",'CC Volume'!F318)</f>
        <v/>
      </c>
      <c r="G318" s="69" t="str">
        <f aca="false">'CC Volume'!AN318</f>
        <v/>
      </c>
      <c r="H318" s="69" t="str">
        <f aca="false">'CC Volume'!AO318</f>
        <v/>
      </c>
      <c r="I318" s="69" t="str">
        <f aca="false">'CC Volume'!AM318</f>
        <v/>
      </c>
      <c r="J318" s="62" t="str">
        <f aca="false">IF(N(H318)=0,"",IFERROR(INDEX(CC_RegRate,MATCH(F318,CC_RegU,0)),0))</f>
        <v/>
      </c>
      <c r="K318" s="62" t="n">
        <f aca="false">N(H318)*N(J318)</f>
        <v>0</v>
      </c>
      <c r="L318" s="62" t="n">
        <f aca="false">IF(CC_IncWaste="Yes",N(I318)*N(XWaste),0)</f>
        <v>0</v>
      </c>
      <c r="M318" s="65" t="n">
        <f aca="false">IF(N(G318)=0,0,IF(CC_AllocBasis="Equipment count",1,IF(CC_AllocBasis="Equipment volume",N(G318),N(H318))))</f>
        <v>0</v>
      </c>
      <c r="N318" s="15" t="n">
        <f aca="false">IF(SUM(CC_P_M)=0,0,M318/SUM(CC_P_M))</f>
        <v>0</v>
      </c>
      <c r="O318" s="62" t="n">
        <f aca="false">N318*CC_SharedCost</f>
        <v>0</v>
      </c>
      <c r="P318" s="63" t="n">
        <f aca="false">K318+L318+O318</f>
        <v>0</v>
      </c>
      <c r="Q318" s="62" t="n">
        <f aca="false">K318*(1+INDEX(MkMatrix,3,3))</f>
        <v>0</v>
      </c>
      <c r="R318" s="62" t="n">
        <f aca="false">L318*(1+INDEX(MkMatrix,3,3))</f>
        <v>0</v>
      </c>
      <c r="S318" s="62" t="n">
        <f aca="false">N318*CC_SharedSell</f>
        <v>0</v>
      </c>
      <c r="T318" s="62" t="n">
        <f aca="false">P318*N(QCont)</f>
        <v>0</v>
      </c>
      <c r="U318" s="62" t="n">
        <f aca="false">Q318+R318+S318+T318</f>
        <v>0</v>
      </c>
      <c r="V318" s="62" t="n">
        <f aca="false">-U318*N(QDisc)</f>
        <v>-0</v>
      </c>
      <c r="W318" s="63" t="n">
        <f aca="false">U318+V318</f>
        <v>0</v>
      </c>
      <c r="X318" s="63" t="n">
        <f aca="false">W318/QRate</f>
        <v>0</v>
      </c>
      <c r="Y318" s="0" t="n">
        <v>10</v>
      </c>
    </row>
    <row r="319" customFormat="false" ht="15" hidden="false" customHeight="false" outlineLevel="0" collapsed="false">
      <c r="A319" s="68" t="n">
        <f aca="false">'CC Volume'!A319</f>
        <v>13</v>
      </c>
      <c r="B319" s="13" t="str">
        <f aca="false">IF('CC Volume'!B319="","",'CC Volume'!B319)</f>
        <v/>
      </c>
      <c r="C319" s="13" t="str">
        <f aca="false">IF('CC Volume'!C319="","",'CC Volume'!C319)</f>
        <v/>
      </c>
      <c r="D319" s="13" t="str">
        <f aca="false">IF('CC Volume'!D319="","",'CC Volume'!D319)</f>
        <v/>
      </c>
      <c r="E319" s="68" t="str">
        <f aca="false">IF('CC Volume'!E319="","",'CC Volume'!E319)</f>
        <v/>
      </c>
      <c r="F319" s="68" t="str">
        <f aca="false">IF('CC Volume'!F319="","",'CC Volume'!F319)</f>
        <v/>
      </c>
      <c r="G319" s="69" t="str">
        <f aca="false">'CC Volume'!AN319</f>
        <v/>
      </c>
      <c r="H319" s="69" t="str">
        <f aca="false">'CC Volume'!AO319</f>
        <v/>
      </c>
      <c r="I319" s="69" t="str">
        <f aca="false">'CC Volume'!AM319</f>
        <v/>
      </c>
      <c r="J319" s="62" t="str">
        <f aca="false">IF(N(H319)=0,"",IFERROR(INDEX(CC_RegRate,MATCH(F319,CC_RegU,0)),0))</f>
        <v/>
      </c>
      <c r="K319" s="62" t="n">
        <f aca="false">N(H319)*N(J319)</f>
        <v>0</v>
      </c>
      <c r="L319" s="62" t="n">
        <f aca="false">IF(CC_IncWaste="Yes",N(I319)*N(XWaste),0)</f>
        <v>0</v>
      </c>
      <c r="M319" s="65" t="n">
        <f aca="false">IF(N(G319)=0,0,IF(CC_AllocBasis="Equipment count",1,IF(CC_AllocBasis="Equipment volume",N(G319),N(H319))))</f>
        <v>0</v>
      </c>
      <c r="N319" s="15" t="n">
        <f aca="false">IF(SUM(CC_P_M)=0,0,M319/SUM(CC_P_M))</f>
        <v>0</v>
      </c>
      <c r="O319" s="62" t="n">
        <f aca="false">N319*CC_SharedCost</f>
        <v>0</v>
      </c>
      <c r="P319" s="63" t="n">
        <f aca="false">K319+L319+O319</f>
        <v>0</v>
      </c>
      <c r="Q319" s="62" t="n">
        <f aca="false">K319*(1+INDEX(MkMatrix,3,3))</f>
        <v>0</v>
      </c>
      <c r="R319" s="62" t="n">
        <f aca="false">L319*(1+INDEX(MkMatrix,3,3))</f>
        <v>0</v>
      </c>
      <c r="S319" s="62" t="n">
        <f aca="false">N319*CC_SharedSell</f>
        <v>0</v>
      </c>
      <c r="T319" s="62" t="n">
        <f aca="false">P319*N(QCont)</f>
        <v>0</v>
      </c>
      <c r="U319" s="62" t="n">
        <f aca="false">Q319+R319+S319+T319</f>
        <v>0</v>
      </c>
      <c r="V319" s="62" t="n">
        <f aca="false">-U319*N(QDisc)</f>
        <v>-0</v>
      </c>
      <c r="W319" s="63" t="n">
        <f aca="false">U319+V319</f>
        <v>0</v>
      </c>
      <c r="X319" s="63" t="n">
        <f aca="false">W319/QRate</f>
        <v>0</v>
      </c>
      <c r="Y319" s="0" t="n">
        <v>10</v>
      </c>
    </row>
    <row r="320" customFormat="false" ht="15" hidden="false" customHeight="false" outlineLevel="0" collapsed="false">
      <c r="A320" s="68" t="n">
        <f aca="false">'CC Volume'!A320</f>
        <v>14</v>
      </c>
      <c r="B320" s="13" t="str">
        <f aca="false">IF('CC Volume'!B320="","",'CC Volume'!B320)</f>
        <v/>
      </c>
      <c r="C320" s="13" t="str">
        <f aca="false">IF('CC Volume'!C320="","",'CC Volume'!C320)</f>
        <v/>
      </c>
      <c r="D320" s="13" t="str">
        <f aca="false">IF('CC Volume'!D320="","",'CC Volume'!D320)</f>
        <v/>
      </c>
      <c r="E320" s="68" t="str">
        <f aca="false">IF('CC Volume'!E320="","",'CC Volume'!E320)</f>
        <v/>
      </c>
      <c r="F320" s="68" t="str">
        <f aca="false">IF('CC Volume'!F320="","",'CC Volume'!F320)</f>
        <v/>
      </c>
      <c r="G320" s="69" t="str">
        <f aca="false">'CC Volume'!AN320</f>
        <v/>
      </c>
      <c r="H320" s="69" t="str">
        <f aca="false">'CC Volume'!AO320</f>
        <v/>
      </c>
      <c r="I320" s="69" t="str">
        <f aca="false">'CC Volume'!AM320</f>
        <v/>
      </c>
      <c r="J320" s="62" t="str">
        <f aca="false">IF(N(H320)=0,"",IFERROR(INDEX(CC_RegRate,MATCH(F320,CC_RegU,0)),0))</f>
        <v/>
      </c>
      <c r="K320" s="62" t="n">
        <f aca="false">N(H320)*N(J320)</f>
        <v>0</v>
      </c>
      <c r="L320" s="62" t="n">
        <f aca="false">IF(CC_IncWaste="Yes",N(I320)*N(XWaste),0)</f>
        <v>0</v>
      </c>
      <c r="M320" s="65" t="n">
        <f aca="false">IF(N(G320)=0,0,IF(CC_AllocBasis="Equipment count",1,IF(CC_AllocBasis="Equipment volume",N(G320),N(H320))))</f>
        <v>0</v>
      </c>
      <c r="N320" s="15" t="n">
        <f aca="false">IF(SUM(CC_P_M)=0,0,M320/SUM(CC_P_M))</f>
        <v>0</v>
      </c>
      <c r="O320" s="62" t="n">
        <f aca="false">N320*CC_SharedCost</f>
        <v>0</v>
      </c>
      <c r="P320" s="63" t="n">
        <f aca="false">K320+L320+O320</f>
        <v>0</v>
      </c>
      <c r="Q320" s="62" t="n">
        <f aca="false">K320*(1+INDEX(MkMatrix,3,3))</f>
        <v>0</v>
      </c>
      <c r="R320" s="62" t="n">
        <f aca="false">L320*(1+INDEX(MkMatrix,3,3))</f>
        <v>0</v>
      </c>
      <c r="S320" s="62" t="n">
        <f aca="false">N320*CC_SharedSell</f>
        <v>0</v>
      </c>
      <c r="T320" s="62" t="n">
        <f aca="false">P320*N(QCont)</f>
        <v>0</v>
      </c>
      <c r="U320" s="62" t="n">
        <f aca="false">Q320+R320+S320+T320</f>
        <v>0</v>
      </c>
      <c r="V320" s="62" t="n">
        <f aca="false">-U320*N(QDisc)</f>
        <v>-0</v>
      </c>
      <c r="W320" s="63" t="n">
        <f aca="false">U320+V320</f>
        <v>0</v>
      </c>
      <c r="X320" s="63" t="n">
        <f aca="false">W320/QRate</f>
        <v>0</v>
      </c>
      <c r="Y320" s="0" t="n">
        <v>10</v>
      </c>
    </row>
    <row r="321" customFormat="false" ht="15" hidden="false" customHeight="false" outlineLevel="0" collapsed="false">
      <c r="A321" s="68" t="n">
        <f aca="false">'CC Volume'!A321</f>
        <v>15</v>
      </c>
      <c r="B321" s="13" t="str">
        <f aca="false">IF('CC Volume'!B321="","",'CC Volume'!B321)</f>
        <v/>
      </c>
      <c r="C321" s="13" t="str">
        <f aca="false">IF('CC Volume'!C321="","",'CC Volume'!C321)</f>
        <v/>
      </c>
      <c r="D321" s="13" t="str">
        <f aca="false">IF('CC Volume'!D321="","",'CC Volume'!D321)</f>
        <v/>
      </c>
      <c r="E321" s="68" t="str">
        <f aca="false">IF('CC Volume'!E321="","",'CC Volume'!E321)</f>
        <v/>
      </c>
      <c r="F321" s="68" t="str">
        <f aca="false">IF('CC Volume'!F321="","",'CC Volume'!F321)</f>
        <v/>
      </c>
      <c r="G321" s="69" t="str">
        <f aca="false">'CC Volume'!AN321</f>
        <v/>
      </c>
      <c r="H321" s="69" t="str">
        <f aca="false">'CC Volume'!AO321</f>
        <v/>
      </c>
      <c r="I321" s="69" t="str">
        <f aca="false">'CC Volume'!AM321</f>
        <v/>
      </c>
      <c r="J321" s="62" t="str">
        <f aca="false">IF(N(H321)=0,"",IFERROR(INDEX(CC_RegRate,MATCH(F321,CC_RegU,0)),0))</f>
        <v/>
      </c>
      <c r="K321" s="62" t="n">
        <f aca="false">N(H321)*N(J321)</f>
        <v>0</v>
      </c>
      <c r="L321" s="62" t="n">
        <f aca="false">IF(CC_IncWaste="Yes",N(I321)*N(XWaste),0)</f>
        <v>0</v>
      </c>
      <c r="M321" s="65" t="n">
        <f aca="false">IF(N(G321)=0,0,IF(CC_AllocBasis="Equipment count",1,IF(CC_AllocBasis="Equipment volume",N(G321),N(H321))))</f>
        <v>0</v>
      </c>
      <c r="N321" s="15" t="n">
        <f aca="false">IF(SUM(CC_P_M)=0,0,M321/SUM(CC_P_M))</f>
        <v>0</v>
      </c>
      <c r="O321" s="62" t="n">
        <f aca="false">N321*CC_SharedCost</f>
        <v>0</v>
      </c>
      <c r="P321" s="63" t="n">
        <f aca="false">K321+L321+O321</f>
        <v>0</v>
      </c>
      <c r="Q321" s="62" t="n">
        <f aca="false">K321*(1+INDEX(MkMatrix,3,3))</f>
        <v>0</v>
      </c>
      <c r="R321" s="62" t="n">
        <f aca="false">L321*(1+INDEX(MkMatrix,3,3))</f>
        <v>0</v>
      </c>
      <c r="S321" s="62" t="n">
        <f aca="false">N321*CC_SharedSell</f>
        <v>0</v>
      </c>
      <c r="T321" s="62" t="n">
        <f aca="false">P321*N(QCont)</f>
        <v>0</v>
      </c>
      <c r="U321" s="62" t="n">
        <f aca="false">Q321+R321+S321+T321</f>
        <v>0</v>
      </c>
      <c r="V321" s="62" t="n">
        <f aca="false">-U321*N(QDisc)</f>
        <v>-0</v>
      </c>
      <c r="W321" s="63" t="n">
        <f aca="false">U321+V321</f>
        <v>0</v>
      </c>
      <c r="X321" s="63" t="n">
        <f aca="false">W321/QRate</f>
        <v>0</v>
      </c>
      <c r="Y321" s="0" t="n">
        <v>10</v>
      </c>
    </row>
    <row r="322" customFormat="false" ht="15" hidden="false" customHeight="false" outlineLevel="0" collapsed="false">
      <c r="A322" s="68" t="n">
        <f aca="false">'CC Volume'!A322</f>
        <v>16</v>
      </c>
      <c r="B322" s="13" t="str">
        <f aca="false">IF('CC Volume'!B322="","",'CC Volume'!B322)</f>
        <v/>
      </c>
      <c r="C322" s="13" t="str">
        <f aca="false">IF('CC Volume'!C322="","",'CC Volume'!C322)</f>
        <v/>
      </c>
      <c r="D322" s="13" t="str">
        <f aca="false">IF('CC Volume'!D322="","",'CC Volume'!D322)</f>
        <v/>
      </c>
      <c r="E322" s="68" t="str">
        <f aca="false">IF('CC Volume'!E322="","",'CC Volume'!E322)</f>
        <v/>
      </c>
      <c r="F322" s="68" t="str">
        <f aca="false">IF('CC Volume'!F322="","",'CC Volume'!F322)</f>
        <v/>
      </c>
      <c r="G322" s="69" t="str">
        <f aca="false">'CC Volume'!AN322</f>
        <v/>
      </c>
      <c r="H322" s="69" t="str">
        <f aca="false">'CC Volume'!AO322</f>
        <v/>
      </c>
      <c r="I322" s="69" t="str">
        <f aca="false">'CC Volume'!AM322</f>
        <v/>
      </c>
      <c r="J322" s="62" t="str">
        <f aca="false">IF(N(H322)=0,"",IFERROR(INDEX(CC_RegRate,MATCH(F322,CC_RegU,0)),0))</f>
        <v/>
      </c>
      <c r="K322" s="62" t="n">
        <f aca="false">N(H322)*N(J322)</f>
        <v>0</v>
      </c>
      <c r="L322" s="62" t="n">
        <f aca="false">IF(CC_IncWaste="Yes",N(I322)*N(XWaste),0)</f>
        <v>0</v>
      </c>
      <c r="M322" s="65" t="n">
        <f aca="false">IF(N(G322)=0,0,IF(CC_AllocBasis="Equipment count",1,IF(CC_AllocBasis="Equipment volume",N(G322),N(H322))))</f>
        <v>0</v>
      </c>
      <c r="N322" s="15" t="n">
        <f aca="false">IF(SUM(CC_P_M)=0,0,M322/SUM(CC_P_M))</f>
        <v>0</v>
      </c>
      <c r="O322" s="62" t="n">
        <f aca="false">N322*CC_SharedCost</f>
        <v>0</v>
      </c>
      <c r="P322" s="63" t="n">
        <f aca="false">K322+L322+O322</f>
        <v>0</v>
      </c>
      <c r="Q322" s="62" t="n">
        <f aca="false">K322*(1+INDEX(MkMatrix,3,3))</f>
        <v>0</v>
      </c>
      <c r="R322" s="62" t="n">
        <f aca="false">L322*(1+INDEX(MkMatrix,3,3))</f>
        <v>0</v>
      </c>
      <c r="S322" s="62" t="n">
        <f aca="false">N322*CC_SharedSell</f>
        <v>0</v>
      </c>
      <c r="T322" s="62" t="n">
        <f aca="false">P322*N(QCont)</f>
        <v>0</v>
      </c>
      <c r="U322" s="62" t="n">
        <f aca="false">Q322+R322+S322+T322</f>
        <v>0</v>
      </c>
      <c r="V322" s="62" t="n">
        <f aca="false">-U322*N(QDisc)</f>
        <v>-0</v>
      </c>
      <c r="W322" s="63" t="n">
        <f aca="false">U322+V322</f>
        <v>0</v>
      </c>
      <c r="X322" s="63" t="n">
        <f aca="false">W322/QRate</f>
        <v>0</v>
      </c>
      <c r="Y322" s="0" t="n">
        <v>10</v>
      </c>
    </row>
    <row r="323" customFormat="false" ht="15" hidden="false" customHeight="false" outlineLevel="0" collapsed="false">
      <c r="A323" s="68" t="n">
        <f aca="false">'CC Volume'!A323</f>
        <v>17</v>
      </c>
      <c r="B323" s="13" t="str">
        <f aca="false">IF('CC Volume'!B323="","",'CC Volume'!B323)</f>
        <v/>
      </c>
      <c r="C323" s="13" t="str">
        <f aca="false">IF('CC Volume'!C323="","",'CC Volume'!C323)</f>
        <v/>
      </c>
      <c r="D323" s="13" t="str">
        <f aca="false">IF('CC Volume'!D323="","",'CC Volume'!D323)</f>
        <v/>
      </c>
      <c r="E323" s="68" t="str">
        <f aca="false">IF('CC Volume'!E323="","",'CC Volume'!E323)</f>
        <v/>
      </c>
      <c r="F323" s="68" t="str">
        <f aca="false">IF('CC Volume'!F323="","",'CC Volume'!F323)</f>
        <v/>
      </c>
      <c r="G323" s="69" t="str">
        <f aca="false">'CC Volume'!AN323</f>
        <v/>
      </c>
      <c r="H323" s="69" t="str">
        <f aca="false">'CC Volume'!AO323</f>
        <v/>
      </c>
      <c r="I323" s="69" t="str">
        <f aca="false">'CC Volume'!AM323</f>
        <v/>
      </c>
      <c r="J323" s="62" t="str">
        <f aca="false">IF(N(H323)=0,"",IFERROR(INDEX(CC_RegRate,MATCH(F323,CC_RegU,0)),0))</f>
        <v/>
      </c>
      <c r="K323" s="62" t="n">
        <f aca="false">N(H323)*N(J323)</f>
        <v>0</v>
      </c>
      <c r="L323" s="62" t="n">
        <f aca="false">IF(CC_IncWaste="Yes",N(I323)*N(XWaste),0)</f>
        <v>0</v>
      </c>
      <c r="M323" s="65" t="n">
        <f aca="false">IF(N(G323)=0,0,IF(CC_AllocBasis="Equipment count",1,IF(CC_AllocBasis="Equipment volume",N(G323),N(H323))))</f>
        <v>0</v>
      </c>
      <c r="N323" s="15" t="n">
        <f aca="false">IF(SUM(CC_P_M)=0,0,M323/SUM(CC_P_M))</f>
        <v>0</v>
      </c>
      <c r="O323" s="62" t="n">
        <f aca="false">N323*CC_SharedCost</f>
        <v>0</v>
      </c>
      <c r="P323" s="63" t="n">
        <f aca="false">K323+L323+O323</f>
        <v>0</v>
      </c>
      <c r="Q323" s="62" t="n">
        <f aca="false">K323*(1+INDEX(MkMatrix,3,3))</f>
        <v>0</v>
      </c>
      <c r="R323" s="62" t="n">
        <f aca="false">L323*(1+INDEX(MkMatrix,3,3))</f>
        <v>0</v>
      </c>
      <c r="S323" s="62" t="n">
        <f aca="false">N323*CC_SharedSell</f>
        <v>0</v>
      </c>
      <c r="T323" s="62" t="n">
        <f aca="false">P323*N(QCont)</f>
        <v>0</v>
      </c>
      <c r="U323" s="62" t="n">
        <f aca="false">Q323+R323+S323+T323</f>
        <v>0</v>
      </c>
      <c r="V323" s="62" t="n">
        <f aca="false">-U323*N(QDisc)</f>
        <v>-0</v>
      </c>
      <c r="W323" s="63" t="n">
        <f aca="false">U323+V323</f>
        <v>0</v>
      </c>
      <c r="X323" s="63" t="n">
        <f aca="false">W323/QRate</f>
        <v>0</v>
      </c>
      <c r="Y323" s="0" t="n">
        <v>10</v>
      </c>
    </row>
    <row r="324" customFormat="false" ht="15" hidden="false" customHeight="false" outlineLevel="0" collapsed="false">
      <c r="A324" s="68" t="n">
        <f aca="false">'CC Volume'!A324</f>
        <v>18</v>
      </c>
      <c r="B324" s="13" t="str">
        <f aca="false">IF('CC Volume'!B324="","",'CC Volume'!B324)</f>
        <v/>
      </c>
      <c r="C324" s="13" t="str">
        <f aca="false">IF('CC Volume'!C324="","",'CC Volume'!C324)</f>
        <v/>
      </c>
      <c r="D324" s="13" t="str">
        <f aca="false">IF('CC Volume'!D324="","",'CC Volume'!D324)</f>
        <v/>
      </c>
      <c r="E324" s="68" t="str">
        <f aca="false">IF('CC Volume'!E324="","",'CC Volume'!E324)</f>
        <v/>
      </c>
      <c r="F324" s="68" t="str">
        <f aca="false">IF('CC Volume'!F324="","",'CC Volume'!F324)</f>
        <v/>
      </c>
      <c r="G324" s="69" t="str">
        <f aca="false">'CC Volume'!AN324</f>
        <v/>
      </c>
      <c r="H324" s="69" t="str">
        <f aca="false">'CC Volume'!AO324</f>
        <v/>
      </c>
      <c r="I324" s="69" t="str">
        <f aca="false">'CC Volume'!AM324</f>
        <v/>
      </c>
      <c r="J324" s="62" t="str">
        <f aca="false">IF(N(H324)=0,"",IFERROR(INDEX(CC_RegRate,MATCH(F324,CC_RegU,0)),0))</f>
        <v/>
      </c>
      <c r="K324" s="62" t="n">
        <f aca="false">N(H324)*N(J324)</f>
        <v>0</v>
      </c>
      <c r="L324" s="62" t="n">
        <f aca="false">IF(CC_IncWaste="Yes",N(I324)*N(XWaste),0)</f>
        <v>0</v>
      </c>
      <c r="M324" s="65" t="n">
        <f aca="false">IF(N(G324)=0,0,IF(CC_AllocBasis="Equipment count",1,IF(CC_AllocBasis="Equipment volume",N(G324),N(H324))))</f>
        <v>0</v>
      </c>
      <c r="N324" s="15" t="n">
        <f aca="false">IF(SUM(CC_P_M)=0,0,M324/SUM(CC_P_M))</f>
        <v>0</v>
      </c>
      <c r="O324" s="62" t="n">
        <f aca="false">N324*CC_SharedCost</f>
        <v>0</v>
      </c>
      <c r="P324" s="63" t="n">
        <f aca="false">K324+L324+O324</f>
        <v>0</v>
      </c>
      <c r="Q324" s="62" t="n">
        <f aca="false">K324*(1+INDEX(MkMatrix,3,3))</f>
        <v>0</v>
      </c>
      <c r="R324" s="62" t="n">
        <f aca="false">L324*(1+INDEX(MkMatrix,3,3))</f>
        <v>0</v>
      </c>
      <c r="S324" s="62" t="n">
        <f aca="false">N324*CC_SharedSell</f>
        <v>0</v>
      </c>
      <c r="T324" s="62" t="n">
        <f aca="false">P324*N(QCont)</f>
        <v>0</v>
      </c>
      <c r="U324" s="62" t="n">
        <f aca="false">Q324+R324+S324+T324</f>
        <v>0</v>
      </c>
      <c r="V324" s="62" t="n">
        <f aca="false">-U324*N(QDisc)</f>
        <v>-0</v>
      </c>
      <c r="W324" s="63" t="n">
        <f aca="false">U324+V324</f>
        <v>0</v>
      </c>
      <c r="X324" s="63" t="n">
        <f aca="false">W324/QRate</f>
        <v>0</v>
      </c>
      <c r="Y324" s="0" t="n">
        <v>10</v>
      </c>
    </row>
    <row r="325" customFormat="false" ht="15" hidden="false" customHeight="false" outlineLevel="0" collapsed="false">
      <c r="A325" s="68" t="n">
        <f aca="false">'CC Volume'!A325</f>
        <v>19</v>
      </c>
      <c r="B325" s="13" t="str">
        <f aca="false">IF('CC Volume'!B325="","",'CC Volume'!B325)</f>
        <v/>
      </c>
      <c r="C325" s="13" t="str">
        <f aca="false">IF('CC Volume'!C325="","",'CC Volume'!C325)</f>
        <v/>
      </c>
      <c r="D325" s="13" t="str">
        <f aca="false">IF('CC Volume'!D325="","",'CC Volume'!D325)</f>
        <v/>
      </c>
      <c r="E325" s="68" t="str">
        <f aca="false">IF('CC Volume'!E325="","",'CC Volume'!E325)</f>
        <v/>
      </c>
      <c r="F325" s="68" t="str">
        <f aca="false">IF('CC Volume'!F325="","",'CC Volume'!F325)</f>
        <v/>
      </c>
      <c r="G325" s="69" t="str">
        <f aca="false">'CC Volume'!AN325</f>
        <v/>
      </c>
      <c r="H325" s="69" t="str">
        <f aca="false">'CC Volume'!AO325</f>
        <v/>
      </c>
      <c r="I325" s="69" t="str">
        <f aca="false">'CC Volume'!AM325</f>
        <v/>
      </c>
      <c r="J325" s="62" t="str">
        <f aca="false">IF(N(H325)=0,"",IFERROR(INDEX(CC_RegRate,MATCH(F325,CC_RegU,0)),0))</f>
        <v/>
      </c>
      <c r="K325" s="62" t="n">
        <f aca="false">N(H325)*N(J325)</f>
        <v>0</v>
      </c>
      <c r="L325" s="62" t="n">
        <f aca="false">IF(CC_IncWaste="Yes",N(I325)*N(XWaste),0)</f>
        <v>0</v>
      </c>
      <c r="M325" s="65" t="n">
        <f aca="false">IF(N(G325)=0,0,IF(CC_AllocBasis="Equipment count",1,IF(CC_AllocBasis="Equipment volume",N(G325),N(H325))))</f>
        <v>0</v>
      </c>
      <c r="N325" s="15" t="n">
        <f aca="false">IF(SUM(CC_P_M)=0,0,M325/SUM(CC_P_M))</f>
        <v>0</v>
      </c>
      <c r="O325" s="62" t="n">
        <f aca="false">N325*CC_SharedCost</f>
        <v>0</v>
      </c>
      <c r="P325" s="63" t="n">
        <f aca="false">K325+L325+O325</f>
        <v>0</v>
      </c>
      <c r="Q325" s="62" t="n">
        <f aca="false">K325*(1+INDEX(MkMatrix,3,3))</f>
        <v>0</v>
      </c>
      <c r="R325" s="62" t="n">
        <f aca="false">L325*(1+INDEX(MkMatrix,3,3))</f>
        <v>0</v>
      </c>
      <c r="S325" s="62" t="n">
        <f aca="false">N325*CC_SharedSell</f>
        <v>0</v>
      </c>
      <c r="T325" s="62" t="n">
        <f aca="false">P325*N(QCont)</f>
        <v>0</v>
      </c>
      <c r="U325" s="62" t="n">
        <f aca="false">Q325+R325+S325+T325</f>
        <v>0</v>
      </c>
      <c r="V325" s="62" t="n">
        <f aca="false">-U325*N(QDisc)</f>
        <v>-0</v>
      </c>
      <c r="W325" s="63" t="n">
        <f aca="false">U325+V325</f>
        <v>0</v>
      </c>
      <c r="X325" s="63" t="n">
        <f aca="false">W325/QRate</f>
        <v>0</v>
      </c>
      <c r="Y325" s="0" t="n">
        <v>10</v>
      </c>
    </row>
    <row r="326" customFormat="false" ht="15" hidden="false" customHeight="false" outlineLevel="0" collapsed="false">
      <c r="A326" s="68" t="n">
        <f aca="false">'CC Volume'!A326</f>
        <v>20</v>
      </c>
      <c r="B326" s="13" t="str">
        <f aca="false">IF('CC Volume'!B326="","",'CC Volume'!B326)</f>
        <v/>
      </c>
      <c r="C326" s="13" t="str">
        <f aca="false">IF('CC Volume'!C326="","",'CC Volume'!C326)</f>
        <v/>
      </c>
      <c r="D326" s="13" t="str">
        <f aca="false">IF('CC Volume'!D326="","",'CC Volume'!D326)</f>
        <v/>
      </c>
      <c r="E326" s="68" t="str">
        <f aca="false">IF('CC Volume'!E326="","",'CC Volume'!E326)</f>
        <v/>
      </c>
      <c r="F326" s="68" t="str">
        <f aca="false">IF('CC Volume'!F326="","",'CC Volume'!F326)</f>
        <v/>
      </c>
      <c r="G326" s="69" t="str">
        <f aca="false">'CC Volume'!AN326</f>
        <v/>
      </c>
      <c r="H326" s="69" t="str">
        <f aca="false">'CC Volume'!AO326</f>
        <v/>
      </c>
      <c r="I326" s="69" t="str">
        <f aca="false">'CC Volume'!AM326</f>
        <v/>
      </c>
      <c r="J326" s="62" t="str">
        <f aca="false">IF(N(H326)=0,"",IFERROR(INDEX(CC_RegRate,MATCH(F326,CC_RegU,0)),0))</f>
        <v/>
      </c>
      <c r="K326" s="62" t="n">
        <f aca="false">N(H326)*N(J326)</f>
        <v>0</v>
      </c>
      <c r="L326" s="62" t="n">
        <f aca="false">IF(CC_IncWaste="Yes",N(I326)*N(XWaste),0)</f>
        <v>0</v>
      </c>
      <c r="M326" s="65" t="n">
        <f aca="false">IF(N(G326)=0,0,IF(CC_AllocBasis="Equipment count",1,IF(CC_AllocBasis="Equipment volume",N(G326),N(H326))))</f>
        <v>0</v>
      </c>
      <c r="N326" s="15" t="n">
        <f aca="false">IF(SUM(CC_P_M)=0,0,M326/SUM(CC_P_M))</f>
        <v>0</v>
      </c>
      <c r="O326" s="62" t="n">
        <f aca="false">N326*CC_SharedCost</f>
        <v>0</v>
      </c>
      <c r="P326" s="63" t="n">
        <f aca="false">K326+L326+O326</f>
        <v>0</v>
      </c>
      <c r="Q326" s="62" t="n">
        <f aca="false">K326*(1+INDEX(MkMatrix,3,3))</f>
        <v>0</v>
      </c>
      <c r="R326" s="62" t="n">
        <f aca="false">L326*(1+INDEX(MkMatrix,3,3))</f>
        <v>0</v>
      </c>
      <c r="S326" s="62" t="n">
        <f aca="false">N326*CC_SharedSell</f>
        <v>0</v>
      </c>
      <c r="T326" s="62" t="n">
        <f aca="false">P326*N(QCont)</f>
        <v>0</v>
      </c>
      <c r="U326" s="62" t="n">
        <f aca="false">Q326+R326+S326+T326</f>
        <v>0</v>
      </c>
      <c r="V326" s="62" t="n">
        <f aca="false">-U326*N(QDisc)</f>
        <v>-0</v>
      </c>
      <c r="W326" s="63" t="n">
        <f aca="false">U326+V326</f>
        <v>0</v>
      </c>
      <c r="X326" s="63" t="n">
        <f aca="false">W326/QRate</f>
        <v>0</v>
      </c>
      <c r="Y326" s="0" t="n">
        <v>10</v>
      </c>
    </row>
    <row r="327" customFormat="false" ht="15" hidden="false" customHeight="false" outlineLevel="0" collapsed="false">
      <c r="A327" s="68" t="n">
        <f aca="false">'CC Volume'!A327</f>
        <v>21</v>
      </c>
      <c r="B327" s="13" t="str">
        <f aca="false">IF('CC Volume'!B327="","",'CC Volume'!B327)</f>
        <v/>
      </c>
      <c r="C327" s="13" t="str">
        <f aca="false">IF('CC Volume'!C327="","",'CC Volume'!C327)</f>
        <v/>
      </c>
      <c r="D327" s="13" t="str">
        <f aca="false">IF('CC Volume'!D327="","",'CC Volume'!D327)</f>
        <v/>
      </c>
      <c r="E327" s="68" t="str">
        <f aca="false">IF('CC Volume'!E327="","",'CC Volume'!E327)</f>
        <v/>
      </c>
      <c r="F327" s="68" t="str">
        <f aca="false">IF('CC Volume'!F327="","",'CC Volume'!F327)</f>
        <v/>
      </c>
      <c r="G327" s="69" t="str">
        <f aca="false">'CC Volume'!AN327</f>
        <v/>
      </c>
      <c r="H327" s="69" t="str">
        <f aca="false">'CC Volume'!AO327</f>
        <v/>
      </c>
      <c r="I327" s="69" t="str">
        <f aca="false">'CC Volume'!AM327</f>
        <v/>
      </c>
      <c r="J327" s="62" t="str">
        <f aca="false">IF(N(H327)=0,"",IFERROR(INDEX(CC_RegRate,MATCH(F327,CC_RegU,0)),0))</f>
        <v/>
      </c>
      <c r="K327" s="62" t="n">
        <f aca="false">N(H327)*N(J327)</f>
        <v>0</v>
      </c>
      <c r="L327" s="62" t="n">
        <f aca="false">IF(CC_IncWaste="Yes",N(I327)*N(XWaste),0)</f>
        <v>0</v>
      </c>
      <c r="M327" s="65" t="n">
        <f aca="false">IF(N(G327)=0,0,IF(CC_AllocBasis="Equipment count",1,IF(CC_AllocBasis="Equipment volume",N(G327),N(H327))))</f>
        <v>0</v>
      </c>
      <c r="N327" s="15" t="n">
        <f aca="false">IF(SUM(CC_P_M)=0,0,M327/SUM(CC_P_M))</f>
        <v>0</v>
      </c>
      <c r="O327" s="62" t="n">
        <f aca="false">N327*CC_SharedCost</f>
        <v>0</v>
      </c>
      <c r="P327" s="63" t="n">
        <f aca="false">K327+L327+O327</f>
        <v>0</v>
      </c>
      <c r="Q327" s="62" t="n">
        <f aca="false">K327*(1+INDEX(MkMatrix,3,3))</f>
        <v>0</v>
      </c>
      <c r="R327" s="62" t="n">
        <f aca="false">L327*(1+INDEX(MkMatrix,3,3))</f>
        <v>0</v>
      </c>
      <c r="S327" s="62" t="n">
        <f aca="false">N327*CC_SharedSell</f>
        <v>0</v>
      </c>
      <c r="T327" s="62" t="n">
        <f aca="false">P327*N(QCont)</f>
        <v>0</v>
      </c>
      <c r="U327" s="62" t="n">
        <f aca="false">Q327+R327+S327+T327</f>
        <v>0</v>
      </c>
      <c r="V327" s="62" t="n">
        <f aca="false">-U327*N(QDisc)</f>
        <v>-0</v>
      </c>
      <c r="W327" s="63" t="n">
        <f aca="false">U327+V327</f>
        <v>0</v>
      </c>
      <c r="X327" s="63" t="n">
        <f aca="false">W327/QRate</f>
        <v>0</v>
      </c>
      <c r="Y327" s="0" t="n">
        <v>10</v>
      </c>
    </row>
    <row r="328" customFormat="false" ht="15" hidden="false" customHeight="false" outlineLevel="0" collapsed="false">
      <c r="A328" s="68" t="n">
        <f aca="false">'CC Volume'!A328</f>
        <v>22</v>
      </c>
      <c r="B328" s="13" t="str">
        <f aca="false">IF('CC Volume'!B328="","",'CC Volume'!B328)</f>
        <v/>
      </c>
      <c r="C328" s="13" t="str">
        <f aca="false">IF('CC Volume'!C328="","",'CC Volume'!C328)</f>
        <v/>
      </c>
      <c r="D328" s="13" t="str">
        <f aca="false">IF('CC Volume'!D328="","",'CC Volume'!D328)</f>
        <v/>
      </c>
      <c r="E328" s="68" t="str">
        <f aca="false">IF('CC Volume'!E328="","",'CC Volume'!E328)</f>
        <v/>
      </c>
      <c r="F328" s="68" t="str">
        <f aca="false">IF('CC Volume'!F328="","",'CC Volume'!F328)</f>
        <v/>
      </c>
      <c r="G328" s="69" t="str">
        <f aca="false">'CC Volume'!AN328</f>
        <v/>
      </c>
      <c r="H328" s="69" t="str">
        <f aca="false">'CC Volume'!AO328</f>
        <v/>
      </c>
      <c r="I328" s="69" t="str">
        <f aca="false">'CC Volume'!AM328</f>
        <v/>
      </c>
      <c r="J328" s="62" t="str">
        <f aca="false">IF(N(H328)=0,"",IFERROR(INDEX(CC_RegRate,MATCH(F328,CC_RegU,0)),0))</f>
        <v/>
      </c>
      <c r="K328" s="62" t="n">
        <f aca="false">N(H328)*N(J328)</f>
        <v>0</v>
      </c>
      <c r="L328" s="62" t="n">
        <f aca="false">IF(CC_IncWaste="Yes",N(I328)*N(XWaste),0)</f>
        <v>0</v>
      </c>
      <c r="M328" s="65" t="n">
        <f aca="false">IF(N(G328)=0,0,IF(CC_AllocBasis="Equipment count",1,IF(CC_AllocBasis="Equipment volume",N(G328),N(H328))))</f>
        <v>0</v>
      </c>
      <c r="N328" s="15" t="n">
        <f aca="false">IF(SUM(CC_P_M)=0,0,M328/SUM(CC_P_M))</f>
        <v>0</v>
      </c>
      <c r="O328" s="62" t="n">
        <f aca="false">N328*CC_SharedCost</f>
        <v>0</v>
      </c>
      <c r="P328" s="63" t="n">
        <f aca="false">K328+L328+O328</f>
        <v>0</v>
      </c>
      <c r="Q328" s="62" t="n">
        <f aca="false">K328*(1+INDEX(MkMatrix,3,3))</f>
        <v>0</v>
      </c>
      <c r="R328" s="62" t="n">
        <f aca="false">L328*(1+INDEX(MkMatrix,3,3))</f>
        <v>0</v>
      </c>
      <c r="S328" s="62" t="n">
        <f aca="false">N328*CC_SharedSell</f>
        <v>0</v>
      </c>
      <c r="T328" s="62" t="n">
        <f aca="false">P328*N(QCont)</f>
        <v>0</v>
      </c>
      <c r="U328" s="62" t="n">
        <f aca="false">Q328+R328+S328+T328</f>
        <v>0</v>
      </c>
      <c r="V328" s="62" t="n">
        <f aca="false">-U328*N(QDisc)</f>
        <v>-0</v>
      </c>
      <c r="W328" s="63" t="n">
        <f aca="false">U328+V328</f>
        <v>0</v>
      </c>
      <c r="X328" s="63" t="n">
        <f aca="false">W328/QRate</f>
        <v>0</v>
      </c>
      <c r="Y328" s="0" t="n">
        <v>10</v>
      </c>
    </row>
    <row r="329" customFormat="false" ht="15" hidden="false" customHeight="false" outlineLevel="0" collapsed="false">
      <c r="A329" s="68" t="n">
        <f aca="false">'CC Volume'!A329</f>
        <v>23</v>
      </c>
      <c r="B329" s="13" t="str">
        <f aca="false">IF('CC Volume'!B329="","",'CC Volume'!B329)</f>
        <v/>
      </c>
      <c r="C329" s="13" t="str">
        <f aca="false">IF('CC Volume'!C329="","",'CC Volume'!C329)</f>
        <v/>
      </c>
      <c r="D329" s="13" t="str">
        <f aca="false">IF('CC Volume'!D329="","",'CC Volume'!D329)</f>
        <v/>
      </c>
      <c r="E329" s="68" t="str">
        <f aca="false">IF('CC Volume'!E329="","",'CC Volume'!E329)</f>
        <v/>
      </c>
      <c r="F329" s="68" t="str">
        <f aca="false">IF('CC Volume'!F329="","",'CC Volume'!F329)</f>
        <v/>
      </c>
      <c r="G329" s="69" t="str">
        <f aca="false">'CC Volume'!AN329</f>
        <v/>
      </c>
      <c r="H329" s="69" t="str">
        <f aca="false">'CC Volume'!AO329</f>
        <v/>
      </c>
      <c r="I329" s="69" t="str">
        <f aca="false">'CC Volume'!AM329</f>
        <v/>
      </c>
      <c r="J329" s="62" t="str">
        <f aca="false">IF(N(H329)=0,"",IFERROR(INDEX(CC_RegRate,MATCH(F329,CC_RegU,0)),0))</f>
        <v/>
      </c>
      <c r="K329" s="62" t="n">
        <f aca="false">N(H329)*N(J329)</f>
        <v>0</v>
      </c>
      <c r="L329" s="62" t="n">
        <f aca="false">IF(CC_IncWaste="Yes",N(I329)*N(XWaste),0)</f>
        <v>0</v>
      </c>
      <c r="M329" s="65" t="n">
        <f aca="false">IF(N(G329)=0,0,IF(CC_AllocBasis="Equipment count",1,IF(CC_AllocBasis="Equipment volume",N(G329),N(H329))))</f>
        <v>0</v>
      </c>
      <c r="N329" s="15" t="n">
        <f aca="false">IF(SUM(CC_P_M)=0,0,M329/SUM(CC_P_M))</f>
        <v>0</v>
      </c>
      <c r="O329" s="62" t="n">
        <f aca="false">N329*CC_SharedCost</f>
        <v>0</v>
      </c>
      <c r="P329" s="63" t="n">
        <f aca="false">K329+L329+O329</f>
        <v>0</v>
      </c>
      <c r="Q329" s="62" t="n">
        <f aca="false">K329*(1+INDEX(MkMatrix,3,3))</f>
        <v>0</v>
      </c>
      <c r="R329" s="62" t="n">
        <f aca="false">L329*(1+INDEX(MkMatrix,3,3))</f>
        <v>0</v>
      </c>
      <c r="S329" s="62" t="n">
        <f aca="false">N329*CC_SharedSell</f>
        <v>0</v>
      </c>
      <c r="T329" s="62" t="n">
        <f aca="false">P329*N(QCont)</f>
        <v>0</v>
      </c>
      <c r="U329" s="62" t="n">
        <f aca="false">Q329+R329+S329+T329</f>
        <v>0</v>
      </c>
      <c r="V329" s="62" t="n">
        <f aca="false">-U329*N(QDisc)</f>
        <v>-0</v>
      </c>
      <c r="W329" s="63" t="n">
        <f aca="false">U329+V329</f>
        <v>0</v>
      </c>
      <c r="X329" s="63" t="n">
        <f aca="false">W329/QRate</f>
        <v>0</v>
      </c>
      <c r="Y329" s="0" t="n">
        <v>10</v>
      </c>
    </row>
    <row r="330" customFormat="false" ht="15" hidden="false" customHeight="false" outlineLevel="0" collapsed="false">
      <c r="A330" s="68" t="n">
        <f aca="false">'CC Volume'!A330</f>
        <v>24</v>
      </c>
      <c r="B330" s="13" t="str">
        <f aca="false">IF('CC Volume'!B330="","",'CC Volume'!B330)</f>
        <v/>
      </c>
      <c r="C330" s="13" t="str">
        <f aca="false">IF('CC Volume'!C330="","",'CC Volume'!C330)</f>
        <v/>
      </c>
      <c r="D330" s="13" t="str">
        <f aca="false">IF('CC Volume'!D330="","",'CC Volume'!D330)</f>
        <v/>
      </c>
      <c r="E330" s="68" t="str">
        <f aca="false">IF('CC Volume'!E330="","",'CC Volume'!E330)</f>
        <v/>
      </c>
      <c r="F330" s="68" t="str">
        <f aca="false">IF('CC Volume'!F330="","",'CC Volume'!F330)</f>
        <v/>
      </c>
      <c r="G330" s="69" t="str">
        <f aca="false">'CC Volume'!AN330</f>
        <v/>
      </c>
      <c r="H330" s="69" t="str">
        <f aca="false">'CC Volume'!AO330</f>
        <v/>
      </c>
      <c r="I330" s="69" t="str">
        <f aca="false">'CC Volume'!AM330</f>
        <v/>
      </c>
      <c r="J330" s="62" t="str">
        <f aca="false">IF(N(H330)=0,"",IFERROR(INDEX(CC_RegRate,MATCH(F330,CC_RegU,0)),0))</f>
        <v/>
      </c>
      <c r="K330" s="62" t="n">
        <f aca="false">N(H330)*N(J330)</f>
        <v>0</v>
      </c>
      <c r="L330" s="62" t="n">
        <f aca="false">IF(CC_IncWaste="Yes",N(I330)*N(XWaste),0)</f>
        <v>0</v>
      </c>
      <c r="M330" s="65" t="n">
        <f aca="false">IF(N(G330)=0,0,IF(CC_AllocBasis="Equipment count",1,IF(CC_AllocBasis="Equipment volume",N(G330),N(H330))))</f>
        <v>0</v>
      </c>
      <c r="N330" s="15" t="n">
        <f aca="false">IF(SUM(CC_P_M)=0,0,M330/SUM(CC_P_M))</f>
        <v>0</v>
      </c>
      <c r="O330" s="62" t="n">
        <f aca="false">N330*CC_SharedCost</f>
        <v>0</v>
      </c>
      <c r="P330" s="63" t="n">
        <f aca="false">K330+L330+O330</f>
        <v>0</v>
      </c>
      <c r="Q330" s="62" t="n">
        <f aca="false">K330*(1+INDEX(MkMatrix,3,3))</f>
        <v>0</v>
      </c>
      <c r="R330" s="62" t="n">
        <f aca="false">L330*(1+INDEX(MkMatrix,3,3))</f>
        <v>0</v>
      </c>
      <c r="S330" s="62" t="n">
        <f aca="false">N330*CC_SharedSell</f>
        <v>0</v>
      </c>
      <c r="T330" s="62" t="n">
        <f aca="false">P330*N(QCont)</f>
        <v>0</v>
      </c>
      <c r="U330" s="62" t="n">
        <f aca="false">Q330+R330+S330+T330</f>
        <v>0</v>
      </c>
      <c r="V330" s="62" t="n">
        <f aca="false">-U330*N(QDisc)</f>
        <v>-0</v>
      </c>
      <c r="W330" s="63" t="n">
        <f aca="false">U330+V330</f>
        <v>0</v>
      </c>
      <c r="X330" s="63" t="n">
        <f aca="false">W330/QRate</f>
        <v>0</v>
      </c>
      <c r="Y330" s="0" t="n">
        <v>10</v>
      </c>
    </row>
    <row r="331" customFormat="false" ht="15" hidden="false" customHeight="false" outlineLevel="0" collapsed="false">
      <c r="A331" s="68" t="n">
        <f aca="false">'CC Volume'!A331</f>
        <v>25</v>
      </c>
      <c r="B331" s="13" t="str">
        <f aca="false">IF('CC Volume'!B331="","",'CC Volume'!B331)</f>
        <v/>
      </c>
      <c r="C331" s="13" t="str">
        <f aca="false">IF('CC Volume'!C331="","",'CC Volume'!C331)</f>
        <v/>
      </c>
      <c r="D331" s="13" t="str">
        <f aca="false">IF('CC Volume'!D331="","",'CC Volume'!D331)</f>
        <v/>
      </c>
      <c r="E331" s="68" t="str">
        <f aca="false">IF('CC Volume'!E331="","",'CC Volume'!E331)</f>
        <v/>
      </c>
      <c r="F331" s="68" t="str">
        <f aca="false">IF('CC Volume'!F331="","",'CC Volume'!F331)</f>
        <v/>
      </c>
      <c r="G331" s="69" t="str">
        <f aca="false">'CC Volume'!AN331</f>
        <v/>
      </c>
      <c r="H331" s="69" t="str">
        <f aca="false">'CC Volume'!AO331</f>
        <v/>
      </c>
      <c r="I331" s="69" t="str">
        <f aca="false">'CC Volume'!AM331</f>
        <v/>
      </c>
      <c r="J331" s="62" t="str">
        <f aca="false">IF(N(H331)=0,"",IFERROR(INDEX(CC_RegRate,MATCH(F331,CC_RegU,0)),0))</f>
        <v/>
      </c>
      <c r="K331" s="62" t="n">
        <f aca="false">N(H331)*N(J331)</f>
        <v>0</v>
      </c>
      <c r="L331" s="62" t="n">
        <f aca="false">IF(CC_IncWaste="Yes",N(I331)*N(XWaste),0)</f>
        <v>0</v>
      </c>
      <c r="M331" s="65" t="n">
        <f aca="false">IF(N(G331)=0,0,IF(CC_AllocBasis="Equipment count",1,IF(CC_AllocBasis="Equipment volume",N(G331),N(H331))))</f>
        <v>0</v>
      </c>
      <c r="N331" s="15" t="n">
        <f aca="false">IF(SUM(CC_P_M)=0,0,M331/SUM(CC_P_M))</f>
        <v>0</v>
      </c>
      <c r="O331" s="62" t="n">
        <f aca="false">N331*CC_SharedCost</f>
        <v>0</v>
      </c>
      <c r="P331" s="63" t="n">
        <f aca="false">K331+L331+O331</f>
        <v>0</v>
      </c>
      <c r="Q331" s="62" t="n">
        <f aca="false">K331*(1+INDEX(MkMatrix,3,3))</f>
        <v>0</v>
      </c>
      <c r="R331" s="62" t="n">
        <f aca="false">L331*(1+INDEX(MkMatrix,3,3))</f>
        <v>0</v>
      </c>
      <c r="S331" s="62" t="n">
        <f aca="false">N331*CC_SharedSell</f>
        <v>0</v>
      </c>
      <c r="T331" s="62" t="n">
        <f aca="false">P331*N(QCont)</f>
        <v>0</v>
      </c>
      <c r="U331" s="62" t="n">
        <f aca="false">Q331+R331+S331+T331</f>
        <v>0</v>
      </c>
      <c r="V331" s="62" t="n">
        <f aca="false">-U331*N(QDisc)</f>
        <v>-0</v>
      </c>
      <c r="W331" s="63" t="n">
        <f aca="false">U331+V331</f>
        <v>0</v>
      </c>
      <c r="X331" s="63" t="n">
        <f aca="false">W331/QRate</f>
        <v>0</v>
      </c>
      <c r="Y331" s="0" t="n">
        <v>10</v>
      </c>
    </row>
    <row r="332" customFormat="false" ht="15" hidden="false" customHeight="false" outlineLevel="0" collapsed="false">
      <c r="A332" s="68" t="n">
        <f aca="false">'CC Volume'!A332</f>
        <v>26</v>
      </c>
      <c r="B332" s="13" t="str">
        <f aca="false">IF('CC Volume'!B332="","",'CC Volume'!B332)</f>
        <v/>
      </c>
      <c r="C332" s="13" t="str">
        <f aca="false">IF('CC Volume'!C332="","",'CC Volume'!C332)</f>
        <v/>
      </c>
      <c r="D332" s="13" t="str">
        <f aca="false">IF('CC Volume'!D332="","",'CC Volume'!D332)</f>
        <v/>
      </c>
      <c r="E332" s="68" t="str">
        <f aca="false">IF('CC Volume'!E332="","",'CC Volume'!E332)</f>
        <v/>
      </c>
      <c r="F332" s="68" t="str">
        <f aca="false">IF('CC Volume'!F332="","",'CC Volume'!F332)</f>
        <v/>
      </c>
      <c r="G332" s="69" t="str">
        <f aca="false">'CC Volume'!AN332</f>
        <v/>
      </c>
      <c r="H332" s="69" t="str">
        <f aca="false">'CC Volume'!AO332</f>
        <v/>
      </c>
      <c r="I332" s="69" t="str">
        <f aca="false">'CC Volume'!AM332</f>
        <v/>
      </c>
      <c r="J332" s="62" t="str">
        <f aca="false">IF(N(H332)=0,"",IFERROR(INDEX(CC_RegRate,MATCH(F332,CC_RegU,0)),0))</f>
        <v/>
      </c>
      <c r="K332" s="62" t="n">
        <f aca="false">N(H332)*N(J332)</f>
        <v>0</v>
      </c>
      <c r="L332" s="62" t="n">
        <f aca="false">IF(CC_IncWaste="Yes",N(I332)*N(XWaste),0)</f>
        <v>0</v>
      </c>
      <c r="M332" s="65" t="n">
        <f aca="false">IF(N(G332)=0,0,IF(CC_AllocBasis="Equipment count",1,IF(CC_AllocBasis="Equipment volume",N(G332),N(H332))))</f>
        <v>0</v>
      </c>
      <c r="N332" s="15" t="n">
        <f aca="false">IF(SUM(CC_P_M)=0,0,M332/SUM(CC_P_M))</f>
        <v>0</v>
      </c>
      <c r="O332" s="62" t="n">
        <f aca="false">N332*CC_SharedCost</f>
        <v>0</v>
      </c>
      <c r="P332" s="63" t="n">
        <f aca="false">K332+L332+O332</f>
        <v>0</v>
      </c>
      <c r="Q332" s="62" t="n">
        <f aca="false">K332*(1+INDEX(MkMatrix,3,3))</f>
        <v>0</v>
      </c>
      <c r="R332" s="62" t="n">
        <f aca="false">L332*(1+INDEX(MkMatrix,3,3))</f>
        <v>0</v>
      </c>
      <c r="S332" s="62" t="n">
        <f aca="false">N332*CC_SharedSell</f>
        <v>0</v>
      </c>
      <c r="T332" s="62" t="n">
        <f aca="false">P332*N(QCont)</f>
        <v>0</v>
      </c>
      <c r="U332" s="62" t="n">
        <f aca="false">Q332+R332+S332+T332</f>
        <v>0</v>
      </c>
      <c r="V332" s="62" t="n">
        <f aca="false">-U332*N(QDisc)</f>
        <v>-0</v>
      </c>
      <c r="W332" s="63" t="n">
        <f aca="false">U332+V332</f>
        <v>0</v>
      </c>
      <c r="X332" s="63" t="n">
        <f aca="false">W332/QRate</f>
        <v>0</v>
      </c>
      <c r="Y332" s="0" t="n">
        <v>10</v>
      </c>
    </row>
    <row r="333" customFormat="false" ht="15" hidden="false" customHeight="false" outlineLevel="0" collapsed="false">
      <c r="A333" s="68" t="n">
        <f aca="false">'CC Volume'!A333</f>
        <v>27</v>
      </c>
      <c r="B333" s="13" t="str">
        <f aca="false">IF('CC Volume'!B333="","",'CC Volume'!B333)</f>
        <v/>
      </c>
      <c r="C333" s="13" t="str">
        <f aca="false">IF('CC Volume'!C333="","",'CC Volume'!C333)</f>
        <v/>
      </c>
      <c r="D333" s="13" t="str">
        <f aca="false">IF('CC Volume'!D333="","",'CC Volume'!D333)</f>
        <v/>
      </c>
      <c r="E333" s="68" t="str">
        <f aca="false">IF('CC Volume'!E333="","",'CC Volume'!E333)</f>
        <v/>
      </c>
      <c r="F333" s="68" t="str">
        <f aca="false">IF('CC Volume'!F333="","",'CC Volume'!F333)</f>
        <v/>
      </c>
      <c r="G333" s="69" t="str">
        <f aca="false">'CC Volume'!AN333</f>
        <v/>
      </c>
      <c r="H333" s="69" t="str">
        <f aca="false">'CC Volume'!AO333</f>
        <v/>
      </c>
      <c r="I333" s="69" t="str">
        <f aca="false">'CC Volume'!AM333</f>
        <v/>
      </c>
      <c r="J333" s="62" t="str">
        <f aca="false">IF(N(H333)=0,"",IFERROR(INDEX(CC_RegRate,MATCH(F333,CC_RegU,0)),0))</f>
        <v/>
      </c>
      <c r="K333" s="62" t="n">
        <f aca="false">N(H333)*N(J333)</f>
        <v>0</v>
      </c>
      <c r="L333" s="62" t="n">
        <f aca="false">IF(CC_IncWaste="Yes",N(I333)*N(XWaste),0)</f>
        <v>0</v>
      </c>
      <c r="M333" s="65" t="n">
        <f aca="false">IF(N(G333)=0,0,IF(CC_AllocBasis="Equipment count",1,IF(CC_AllocBasis="Equipment volume",N(G333),N(H333))))</f>
        <v>0</v>
      </c>
      <c r="N333" s="15" t="n">
        <f aca="false">IF(SUM(CC_P_M)=0,0,M333/SUM(CC_P_M))</f>
        <v>0</v>
      </c>
      <c r="O333" s="62" t="n">
        <f aca="false">N333*CC_SharedCost</f>
        <v>0</v>
      </c>
      <c r="P333" s="63" t="n">
        <f aca="false">K333+L333+O333</f>
        <v>0</v>
      </c>
      <c r="Q333" s="62" t="n">
        <f aca="false">K333*(1+INDEX(MkMatrix,3,3))</f>
        <v>0</v>
      </c>
      <c r="R333" s="62" t="n">
        <f aca="false">L333*(1+INDEX(MkMatrix,3,3))</f>
        <v>0</v>
      </c>
      <c r="S333" s="62" t="n">
        <f aca="false">N333*CC_SharedSell</f>
        <v>0</v>
      </c>
      <c r="T333" s="62" t="n">
        <f aca="false">P333*N(QCont)</f>
        <v>0</v>
      </c>
      <c r="U333" s="62" t="n">
        <f aca="false">Q333+R333+S333+T333</f>
        <v>0</v>
      </c>
      <c r="V333" s="62" t="n">
        <f aca="false">-U333*N(QDisc)</f>
        <v>-0</v>
      </c>
      <c r="W333" s="63" t="n">
        <f aca="false">U333+V333</f>
        <v>0</v>
      </c>
      <c r="X333" s="63" t="n">
        <f aca="false">W333/QRate</f>
        <v>0</v>
      </c>
      <c r="Y333" s="0" t="n">
        <v>10</v>
      </c>
    </row>
    <row r="334" customFormat="false" ht="15" hidden="false" customHeight="false" outlineLevel="0" collapsed="false">
      <c r="A334" s="68" t="n">
        <f aca="false">'CC Volume'!A334</f>
        <v>28</v>
      </c>
      <c r="B334" s="13" t="str">
        <f aca="false">IF('CC Volume'!B334="","",'CC Volume'!B334)</f>
        <v/>
      </c>
      <c r="C334" s="13" t="str">
        <f aca="false">IF('CC Volume'!C334="","",'CC Volume'!C334)</f>
        <v/>
      </c>
      <c r="D334" s="13" t="str">
        <f aca="false">IF('CC Volume'!D334="","",'CC Volume'!D334)</f>
        <v/>
      </c>
      <c r="E334" s="68" t="str">
        <f aca="false">IF('CC Volume'!E334="","",'CC Volume'!E334)</f>
        <v/>
      </c>
      <c r="F334" s="68" t="str">
        <f aca="false">IF('CC Volume'!F334="","",'CC Volume'!F334)</f>
        <v/>
      </c>
      <c r="G334" s="69" t="str">
        <f aca="false">'CC Volume'!AN334</f>
        <v/>
      </c>
      <c r="H334" s="69" t="str">
        <f aca="false">'CC Volume'!AO334</f>
        <v/>
      </c>
      <c r="I334" s="69" t="str">
        <f aca="false">'CC Volume'!AM334</f>
        <v/>
      </c>
      <c r="J334" s="62" t="str">
        <f aca="false">IF(N(H334)=0,"",IFERROR(INDEX(CC_RegRate,MATCH(F334,CC_RegU,0)),0))</f>
        <v/>
      </c>
      <c r="K334" s="62" t="n">
        <f aca="false">N(H334)*N(J334)</f>
        <v>0</v>
      </c>
      <c r="L334" s="62" t="n">
        <f aca="false">IF(CC_IncWaste="Yes",N(I334)*N(XWaste),0)</f>
        <v>0</v>
      </c>
      <c r="M334" s="65" t="n">
        <f aca="false">IF(N(G334)=0,0,IF(CC_AllocBasis="Equipment count",1,IF(CC_AllocBasis="Equipment volume",N(G334),N(H334))))</f>
        <v>0</v>
      </c>
      <c r="N334" s="15" t="n">
        <f aca="false">IF(SUM(CC_P_M)=0,0,M334/SUM(CC_P_M))</f>
        <v>0</v>
      </c>
      <c r="O334" s="62" t="n">
        <f aca="false">N334*CC_SharedCost</f>
        <v>0</v>
      </c>
      <c r="P334" s="63" t="n">
        <f aca="false">K334+L334+O334</f>
        <v>0</v>
      </c>
      <c r="Q334" s="62" t="n">
        <f aca="false">K334*(1+INDEX(MkMatrix,3,3))</f>
        <v>0</v>
      </c>
      <c r="R334" s="62" t="n">
        <f aca="false">L334*(1+INDEX(MkMatrix,3,3))</f>
        <v>0</v>
      </c>
      <c r="S334" s="62" t="n">
        <f aca="false">N334*CC_SharedSell</f>
        <v>0</v>
      </c>
      <c r="T334" s="62" t="n">
        <f aca="false">P334*N(QCont)</f>
        <v>0</v>
      </c>
      <c r="U334" s="62" t="n">
        <f aca="false">Q334+R334+S334+T334</f>
        <v>0</v>
      </c>
      <c r="V334" s="62" t="n">
        <f aca="false">-U334*N(QDisc)</f>
        <v>-0</v>
      </c>
      <c r="W334" s="63" t="n">
        <f aca="false">U334+V334</f>
        <v>0</v>
      </c>
      <c r="X334" s="63" t="n">
        <f aca="false">W334/QRate</f>
        <v>0</v>
      </c>
      <c r="Y334" s="0" t="n">
        <v>10</v>
      </c>
    </row>
    <row r="335" customFormat="false" ht="15" hidden="false" customHeight="false" outlineLevel="0" collapsed="false">
      <c r="A335" s="68" t="n">
        <f aca="false">'CC Volume'!A335</f>
        <v>29</v>
      </c>
      <c r="B335" s="13" t="str">
        <f aca="false">IF('CC Volume'!B335="","",'CC Volume'!B335)</f>
        <v/>
      </c>
      <c r="C335" s="13" t="str">
        <f aca="false">IF('CC Volume'!C335="","",'CC Volume'!C335)</f>
        <v/>
      </c>
      <c r="D335" s="13" t="str">
        <f aca="false">IF('CC Volume'!D335="","",'CC Volume'!D335)</f>
        <v/>
      </c>
      <c r="E335" s="68" t="str">
        <f aca="false">IF('CC Volume'!E335="","",'CC Volume'!E335)</f>
        <v/>
      </c>
      <c r="F335" s="68" t="str">
        <f aca="false">IF('CC Volume'!F335="","",'CC Volume'!F335)</f>
        <v/>
      </c>
      <c r="G335" s="69" t="str">
        <f aca="false">'CC Volume'!AN335</f>
        <v/>
      </c>
      <c r="H335" s="69" t="str">
        <f aca="false">'CC Volume'!AO335</f>
        <v/>
      </c>
      <c r="I335" s="69" t="str">
        <f aca="false">'CC Volume'!AM335</f>
        <v/>
      </c>
      <c r="J335" s="62" t="str">
        <f aca="false">IF(N(H335)=0,"",IFERROR(INDEX(CC_RegRate,MATCH(F335,CC_RegU,0)),0))</f>
        <v/>
      </c>
      <c r="K335" s="62" t="n">
        <f aca="false">N(H335)*N(J335)</f>
        <v>0</v>
      </c>
      <c r="L335" s="62" t="n">
        <f aca="false">IF(CC_IncWaste="Yes",N(I335)*N(XWaste),0)</f>
        <v>0</v>
      </c>
      <c r="M335" s="65" t="n">
        <f aca="false">IF(N(G335)=0,0,IF(CC_AllocBasis="Equipment count",1,IF(CC_AllocBasis="Equipment volume",N(G335),N(H335))))</f>
        <v>0</v>
      </c>
      <c r="N335" s="15" t="n">
        <f aca="false">IF(SUM(CC_P_M)=0,0,M335/SUM(CC_P_M))</f>
        <v>0</v>
      </c>
      <c r="O335" s="62" t="n">
        <f aca="false">N335*CC_SharedCost</f>
        <v>0</v>
      </c>
      <c r="P335" s="63" t="n">
        <f aca="false">K335+L335+O335</f>
        <v>0</v>
      </c>
      <c r="Q335" s="62" t="n">
        <f aca="false">K335*(1+INDEX(MkMatrix,3,3))</f>
        <v>0</v>
      </c>
      <c r="R335" s="62" t="n">
        <f aca="false">L335*(1+INDEX(MkMatrix,3,3))</f>
        <v>0</v>
      </c>
      <c r="S335" s="62" t="n">
        <f aca="false">N335*CC_SharedSell</f>
        <v>0</v>
      </c>
      <c r="T335" s="62" t="n">
        <f aca="false">P335*N(QCont)</f>
        <v>0</v>
      </c>
      <c r="U335" s="62" t="n">
        <f aca="false">Q335+R335+S335+T335</f>
        <v>0</v>
      </c>
      <c r="V335" s="62" t="n">
        <f aca="false">-U335*N(QDisc)</f>
        <v>-0</v>
      </c>
      <c r="W335" s="63" t="n">
        <f aca="false">U335+V335</f>
        <v>0</v>
      </c>
      <c r="X335" s="63" t="n">
        <f aca="false">W335/QRate</f>
        <v>0</v>
      </c>
      <c r="Y335" s="0" t="n">
        <v>10</v>
      </c>
    </row>
    <row r="336" customFormat="false" ht="15" hidden="false" customHeight="false" outlineLevel="0" collapsed="false">
      <c r="A336" s="68" t="n">
        <f aca="false">'CC Volume'!A336</f>
        <v>30</v>
      </c>
      <c r="B336" s="13" t="str">
        <f aca="false">IF('CC Volume'!B336="","",'CC Volume'!B336)</f>
        <v/>
      </c>
      <c r="C336" s="13" t="str">
        <f aca="false">IF('CC Volume'!C336="","",'CC Volume'!C336)</f>
        <v/>
      </c>
      <c r="D336" s="13" t="str">
        <f aca="false">IF('CC Volume'!D336="","",'CC Volume'!D336)</f>
        <v/>
      </c>
      <c r="E336" s="68" t="str">
        <f aca="false">IF('CC Volume'!E336="","",'CC Volume'!E336)</f>
        <v/>
      </c>
      <c r="F336" s="68" t="str">
        <f aca="false">IF('CC Volume'!F336="","",'CC Volume'!F336)</f>
        <v/>
      </c>
      <c r="G336" s="69" t="str">
        <f aca="false">'CC Volume'!AN336</f>
        <v/>
      </c>
      <c r="H336" s="69" t="str">
        <f aca="false">'CC Volume'!AO336</f>
        <v/>
      </c>
      <c r="I336" s="69" t="str">
        <f aca="false">'CC Volume'!AM336</f>
        <v/>
      </c>
      <c r="J336" s="62" t="str">
        <f aca="false">IF(N(H336)=0,"",IFERROR(INDEX(CC_RegRate,MATCH(F336,CC_RegU,0)),0))</f>
        <v/>
      </c>
      <c r="K336" s="62" t="n">
        <f aca="false">N(H336)*N(J336)</f>
        <v>0</v>
      </c>
      <c r="L336" s="62" t="n">
        <f aca="false">IF(CC_IncWaste="Yes",N(I336)*N(XWaste),0)</f>
        <v>0</v>
      </c>
      <c r="M336" s="65" t="n">
        <f aca="false">IF(N(G336)=0,0,IF(CC_AllocBasis="Equipment count",1,IF(CC_AllocBasis="Equipment volume",N(G336),N(H336))))</f>
        <v>0</v>
      </c>
      <c r="N336" s="15" t="n">
        <f aca="false">IF(SUM(CC_P_M)=0,0,M336/SUM(CC_P_M))</f>
        <v>0</v>
      </c>
      <c r="O336" s="62" t="n">
        <f aca="false">N336*CC_SharedCost</f>
        <v>0</v>
      </c>
      <c r="P336" s="63" t="n">
        <f aca="false">K336+L336+O336</f>
        <v>0</v>
      </c>
      <c r="Q336" s="62" t="n">
        <f aca="false">K336*(1+INDEX(MkMatrix,3,3))</f>
        <v>0</v>
      </c>
      <c r="R336" s="62" t="n">
        <f aca="false">L336*(1+INDEX(MkMatrix,3,3))</f>
        <v>0</v>
      </c>
      <c r="S336" s="62" t="n">
        <f aca="false">N336*CC_SharedSell</f>
        <v>0</v>
      </c>
      <c r="T336" s="62" t="n">
        <f aca="false">P336*N(QCont)</f>
        <v>0</v>
      </c>
      <c r="U336" s="62" t="n">
        <f aca="false">Q336+R336+S336+T336</f>
        <v>0</v>
      </c>
      <c r="V336" s="62" t="n">
        <f aca="false">-U336*N(QDisc)</f>
        <v>-0</v>
      </c>
      <c r="W336" s="63" t="n">
        <f aca="false">U336+V336</f>
        <v>0</v>
      </c>
      <c r="X336" s="63" t="n">
        <f aca="false">W336/QRate</f>
        <v>0</v>
      </c>
      <c r="Y336" s="0" t="n">
        <v>10</v>
      </c>
    </row>
    <row r="337" customFormat="false" ht="15" hidden="false" customHeight="false" outlineLevel="0" collapsed="false">
      <c r="A337" s="44" t="str">
        <f aca="false">"TOTAL – "&amp;INDEX(CC_UnitNames,10)</f>
        <v>TOTAL – Unit 10</v>
      </c>
      <c r="B337" s="44"/>
      <c r="C337" s="44"/>
      <c r="D337" s="44"/>
      <c r="E337" s="44"/>
      <c r="F337" s="44"/>
      <c r="G337" s="47" t="n">
        <f aca="false">SUM(G307:G336)</f>
        <v>0</v>
      </c>
      <c r="H337" s="47" t="n">
        <f aca="false">SUM(H307:H336)</f>
        <v>0</v>
      </c>
      <c r="I337" s="47" t="n">
        <f aca="false">SUM(I307:I336)</f>
        <v>0</v>
      </c>
      <c r="J337" s="45"/>
      <c r="K337" s="70" t="n">
        <f aca="false">SUM(K307:K336)</f>
        <v>0</v>
      </c>
      <c r="L337" s="70" t="n">
        <f aca="false">SUM(L307:L336)</f>
        <v>0</v>
      </c>
      <c r="M337" s="45"/>
      <c r="N337" s="45"/>
      <c r="O337" s="70" t="n">
        <f aca="false">SUM(O307:O336)</f>
        <v>0</v>
      </c>
      <c r="P337" s="70" t="n">
        <f aca="false">SUM(P307:P336)</f>
        <v>0</v>
      </c>
      <c r="Q337" s="70" t="n">
        <f aca="false">SUM(Q307:Q336)</f>
        <v>0</v>
      </c>
      <c r="R337" s="70" t="n">
        <f aca="false">SUM(R307:R336)</f>
        <v>0</v>
      </c>
      <c r="S337" s="70" t="n">
        <f aca="false">SUM(S307:S336)</f>
        <v>0</v>
      </c>
      <c r="T337" s="70" t="n">
        <f aca="false">SUM(T307:T336)</f>
        <v>0</v>
      </c>
      <c r="U337" s="70" t="n">
        <f aca="false">SUM(U307:U336)</f>
        <v>0</v>
      </c>
      <c r="V337" s="70" t="n">
        <f aca="false">SUM(V307:V336)</f>
        <v>0</v>
      </c>
      <c r="W337" s="70" t="n">
        <f aca="false">SUM(W307:W336)</f>
        <v>0</v>
      </c>
      <c r="X337" s="70" t="n">
        <f aca="false">SUM(X307:X336)</f>
        <v>0</v>
      </c>
    </row>
    <row r="339" customFormat="false" ht="15" hidden="false" customHeight="false" outlineLevel="0" collapsed="false">
      <c r="A339" s="38" t="str">
        <f aca="false">"UNIT 11:  "&amp;INDEX(CC_UnitNames,11)</f>
        <v>UNIT 11:  Unit 11</v>
      </c>
      <c r="B339" s="38"/>
      <c r="C339" s="38"/>
      <c r="D339" s="38"/>
      <c r="E339" s="39"/>
      <c r="F339" s="39"/>
      <c r="G339" s="39"/>
      <c r="H339" s="39"/>
      <c r="I339" s="39"/>
      <c r="J339" s="39"/>
      <c r="K339" s="39"/>
      <c r="L339" s="39"/>
      <c r="M339" s="39"/>
      <c r="N339" s="39"/>
      <c r="O339" s="39"/>
      <c r="P339" s="39"/>
      <c r="Q339" s="39"/>
      <c r="R339" s="39"/>
      <c r="S339" s="39"/>
      <c r="T339" s="39"/>
      <c r="U339" s="39"/>
      <c r="V339" s="39"/>
      <c r="W339" s="39"/>
      <c r="X339" s="39"/>
    </row>
    <row r="340" customFormat="false" ht="15" hidden="false" customHeight="false" outlineLevel="0" collapsed="false">
      <c r="A340" s="68" t="n">
        <f aca="false">'CC Volume'!A340</f>
        <v>1</v>
      </c>
      <c r="B340" s="13" t="str">
        <f aca="false">IF('CC Volume'!B340="","",'CC Volume'!B340)</f>
        <v/>
      </c>
      <c r="C340" s="13" t="str">
        <f aca="false">IF('CC Volume'!C340="","",'CC Volume'!C340)</f>
        <v/>
      </c>
      <c r="D340" s="13" t="str">
        <f aca="false">IF('CC Volume'!D340="","",'CC Volume'!D340)</f>
        <v/>
      </c>
      <c r="E340" s="68" t="str">
        <f aca="false">IF('CC Volume'!E340="","",'CC Volume'!E340)</f>
        <v/>
      </c>
      <c r="F340" s="68" t="str">
        <f aca="false">IF('CC Volume'!F340="","",'CC Volume'!F340)</f>
        <v/>
      </c>
      <c r="G340" s="69" t="str">
        <f aca="false">'CC Volume'!AN340</f>
        <v/>
      </c>
      <c r="H340" s="69" t="str">
        <f aca="false">'CC Volume'!AO340</f>
        <v/>
      </c>
      <c r="I340" s="69" t="str">
        <f aca="false">'CC Volume'!AM340</f>
        <v/>
      </c>
      <c r="J340" s="62" t="str">
        <f aca="false">IF(N(H340)=0,"",IFERROR(INDEX(CC_RegRate,MATCH(F340,CC_RegU,0)),0))</f>
        <v/>
      </c>
      <c r="K340" s="62" t="n">
        <f aca="false">N(H340)*N(J340)</f>
        <v>0</v>
      </c>
      <c r="L340" s="62" t="n">
        <f aca="false">IF(CC_IncWaste="Yes",N(I340)*N(XWaste),0)</f>
        <v>0</v>
      </c>
      <c r="M340" s="65" t="n">
        <f aca="false">IF(N(G340)=0,0,IF(CC_AllocBasis="Equipment count",1,IF(CC_AllocBasis="Equipment volume",N(G340),N(H340))))</f>
        <v>0</v>
      </c>
      <c r="N340" s="15" t="n">
        <f aca="false">IF(SUM(CC_P_M)=0,0,M340/SUM(CC_P_M))</f>
        <v>0</v>
      </c>
      <c r="O340" s="62" t="n">
        <f aca="false">N340*CC_SharedCost</f>
        <v>0</v>
      </c>
      <c r="P340" s="63" t="n">
        <f aca="false">K340+L340+O340</f>
        <v>0</v>
      </c>
      <c r="Q340" s="62" t="n">
        <f aca="false">K340*(1+INDEX(MkMatrix,3,3))</f>
        <v>0</v>
      </c>
      <c r="R340" s="62" t="n">
        <f aca="false">L340*(1+INDEX(MkMatrix,3,3))</f>
        <v>0</v>
      </c>
      <c r="S340" s="62" t="n">
        <f aca="false">N340*CC_SharedSell</f>
        <v>0</v>
      </c>
      <c r="T340" s="62" t="n">
        <f aca="false">P340*N(QCont)</f>
        <v>0</v>
      </c>
      <c r="U340" s="62" t="n">
        <f aca="false">Q340+R340+S340+T340</f>
        <v>0</v>
      </c>
      <c r="V340" s="62" t="n">
        <f aca="false">-U340*N(QDisc)</f>
        <v>-0</v>
      </c>
      <c r="W340" s="63" t="n">
        <f aca="false">U340+V340</f>
        <v>0</v>
      </c>
      <c r="X340" s="63" t="n">
        <f aca="false">W340/QRate</f>
        <v>0</v>
      </c>
      <c r="Y340" s="0" t="n">
        <v>11</v>
      </c>
    </row>
    <row r="341" customFormat="false" ht="15" hidden="false" customHeight="false" outlineLevel="0" collapsed="false">
      <c r="A341" s="68" t="n">
        <f aca="false">'CC Volume'!A341</f>
        <v>2</v>
      </c>
      <c r="B341" s="13" t="str">
        <f aca="false">IF('CC Volume'!B341="","",'CC Volume'!B341)</f>
        <v/>
      </c>
      <c r="C341" s="13" t="str">
        <f aca="false">IF('CC Volume'!C341="","",'CC Volume'!C341)</f>
        <v/>
      </c>
      <c r="D341" s="13" t="str">
        <f aca="false">IF('CC Volume'!D341="","",'CC Volume'!D341)</f>
        <v/>
      </c>
      <c r="E341" s="68" t="str">
        <f aca="false">IF('CC Volume'!E341="","",'CC Volume'!E341)</f>
        <v/>
      </c>
      <c r="F341" s="68" t="str">
        <f aca="false">IF('CC Volume'!F341="","",'CC Volume'!F341)</f>
        <v/>
      </c>
      <c r="G341" s="69" t="str">
        <f aca="false">'CC Volume'!AN341</f>
        <v/>
      </c>
      <c r="H341" s="69" t="str">
        <f aca="false">'CC Volume'!AO341</f>
        <v/>
      </c>
      <c r="I341" s="69" t="str">
        <f aca="false">'CC Volume'!AM341</f>
        <v/>
      </c>
      <c r="J341" s="62" t="str">
        <f aca="false">IF(N(H341)=0,"",IFERROR(INDEX(CC_RegRate,MATCH(F341,CC_RegU,0)),0))</f>
        <v/>
      </c>
      <c r="K341" s="62" t="n">
        <f aca="false">N(H341)*N(J341)</f>
        <v>0</v>
      </c>
      <c r="L341" s="62" t="n">
        <f aca="false">IF(CC_IncWaste="Yes",N(I341)*N(XWaste),0)</f>
        <v>0</v>
      </c>
      <c r="M341" s="65" t="n">
        <f aca="false">IF(N(G341)=0,0,IF(CC_AllocBasis="Equipment count",1,IF(CC_AllocBasis="Equipment volume",N(G341),N(H341))))</f>
        <v>0</v>
      </c>
      <c r="N341" s="15" t="n">
        <f aca="false">IF(SUM(CC_P_M)=0,0,M341/SUM(CC_P_M))</f>
        <v>0</v>
      </c>
      <c r="O341" s="62" t="n">
        <f aca="false">N341*CC_SharedCost</f>
        <v>0</v>
      </c>
      <c r="P341" s="63" t="n">
        <f aca="false">K341+L341+O341</f>
        <v>0</v>
      </c>
      <c r="Q341" s="62" t="n">
        <f aca="false">K341*(1+INDEX(MkMatrix,3,3))</f>
        <v>0</v>
      </c>
      <c r="R341" s="62" t="n">
        <f aca="false">L341*(1+INDEX(MkMatrix,3,3))</f>
        <v>0</v>
      </c>
      <c r="S341" s="62" t="n">
        <f aca="false">N341*CC_SharedSell</f>
        <v>0</v>
      </c>
      <c r="T341" s="62" t="n">
        <f aca="false">P341*N(QCont)</f>
        <v>0</v>
      </c>
      <c r="U341" s="62" t="n">
        <f aca="false">Q341+R341+S341+T341</f>
        <v>0</v>
      </c>
      <c r="V341" s="62" t="n">
        <f aca="false">-U341*N(QDisc)</f>
        <v>-0</v>
      </c>
      <c r="W341" s="63" t="n">
        <f aca="false">U341+V341</f>
        <v>0</v>
      </c>
      <c r="X341" s="63" t="n">
        <f aca="false">W341/QRate</f>
        <v>0</v>
      </c>
      <c r="Y341" s="0" t="n">
        <v>11</v>
      </c>
    </row>
    <row r="342" customFormat="false" ht="15" hidden="false" customHeight="false" outlineLevel="0" collapsed="false">
      <c r="A342" s="68" t="n">
        <f aca="false">'CC Volume'!A342</f>
        <v>3</v>
      </c>
      <c r="B342" s="13" t="str">
        <f aca="false">IF('CC Volume'!B342="","",'CC Volume'!B342)</f>
        <v/>
      </c>
      <c r="C342" s="13" t="str">
        <f aca="false">IF('CC Volume'!C342="","",'CC Volume'!C342)</f>
        <v/>
      </c>
      <c r="D342" s="13" t="str">
        <f aca="false">IF('CC Volume'!D342="","",'CC Volume'!D342)</f>
        <v/>
      </c>
      <c r="E342" s="68" t="str">
        <f aca="false">IF('CC Volume'!E342="","",'CC Volume'!E342)</f>
        <v/>
      </c>
      <c r="F342" s="68" t="str">
        <f aca="false">IF('CC Volume'!F342="","",'CC Volume'!F342)</f>
        <v/>
      </c>
      <c r="G342" s="69" t="str">
        <f aca="false">'CC Volume'!AN342</f>
        <v/>
      </c>
      <c r="H342" s="69" t="str">
        <f aca="false">'CC Volume'!AO342</f>
        <v/>
      </c>
      <c r="I342" s="69" t="str">
        <f aca="false">'CC Volume'!AM342</f>
        <v/>
      </c>
      <c r="J342" s="62" t="str">
        <f aca="false">IF(N(H342)=0,"",IFERROR(INDEX(CC_RegRate,MATCH(F342,CC_RegU,0)),0))</f>
        <v/>
      </c>
      <c r="K342" s="62" t="n">
        <f aca="false">N(H342)*N(J342)</f>
        <v>0</v>
      </c>
      <c r="L342" s="62" t="n">
        <f aca="false">IF(CC_IncWaste="Yes",N(I342)*N(XWaste),0)</f>
        <v>0</v>
      </c>
      <c r="M342" s="65" t="n">
        <f aca="false">IF(N(G342)=0,0,IF(CC_AllocBasis="Equipment count",1,IF(CC_AllocBasis="Equipment volume",N(G342),N(H342))))</f>
        <v>0</v>
      </c>
      <c r="N342" s="15" t="n">
        <f aca="false">IF(SUM(CC_P_M)=0,0,M342/SUM(CC_P_M))</f>
        <v>0</v>
      </c>
      <c r="O342" s="62" t="n">
        <f aca="false">N342*CC_SharedCost</f>
        <v>0</v>
      </c>
      <c r="P342" s="63" t="n">
        <f aca="false">K342+L342+O342</f>
        <v>0</v>
      </c>
      <c r="Q342" s="62" t="n">
        <f aca="false">K342*(1+INDEX(MkMatrix,3,3))</f>
        <v>0</v>
      </c>
      <c r="R342" s="62" t="n">
        <f aca="false">L342*(1+INDEX(MkMatrix,3,3))</f>
        <v>0</v>
      </c>
      <c r="S342" s="62" t="n">
        <f aca="false">N342*CC_SharedSell</f>
        <v>0</v>
      </c>
      <c r="T342" s="62" t="n">
        <f aca="false">P342*N(QCont)</f>
        <v>0</v>
      </c>
      <c r="U342" s="62" t="n">
        <f aca="false">Q342+R342+S342+T342</f>
        <v>0</v>
      </c>
      <c r="V342" s="62" t="n">
        <f aca="false">-U342*N(QDisc)</f>
        <v>-0</v>
      </c>
      <c r="W342" s="63" t="n">
        <f aca="false">U342+V342</f>
        <v>0</v>
      </c>
      <c r="X342" s="63" t="n">
        <f aca="false">W342/QRate</f>
        <v>0</v>
      </c>
      <c r="Y342" s="0" t="n">
        <v>11</v>
      </c>
    </row>
    <row r="343" customFormat="false" ht="15" hidden="false" customHeight="false" outlineLevel="0" collapsed="false">
      <c r="A343" s="68" t="n">
        <f aca="false">'CC Volume'!A343</f>
        <v>4</v>
      </c>
      <c r="B343" s="13" t="str">
        <f aca="false">IF('CC Volume'!B343="","",'CC Volume'!B343)</f>
        <v/>
      </c>
      <c r="C343" s="13" t="str">
        <f aca="false">IF('CC Volume'!C343="","",'CC Volume'!C343)</f>
        <v/>
      </c>
      <c r="D343" s="13" t="str">
        <f aca="false">IF('CC Volume'!D343="","",'CC Volume'!D343)</f>
        <v/>
      </c>
      <c r="E343" s="68" t="str">
        <f aca="false">IF('CC Volume'!E343="","",'CC Volume'!E343)</f>
        <v/>
      </c>
      <c r="F343" s="68" t="str">
        <f aca="false">IF('CC Volume'!F343="","",'CC Volume'!F343)</f>
        <v/>
      </c>
      <c r="G343" s="69" t="str">
        <f aca="false">'CC Volume'!AN343</f>
        <v/>
      </c>
      <c r="H343" s="69" t="str">
        <f aca="false">'CC Volume'!AO343</f>
        <v/>
      </c>
      <c r="I343" s="69" t="str">
        <f aca="false">'CC Volume'!AM343</f>
        <v/>
      </c>
      <c r="J343" s="62" t="str">
        <f aca="false">IF(N(H343)=0,"",IFERROR(INDEX(CC_RegRate,MATCH(F343,CC_RegU,0)),0))</f>
        <v/>
      </c>
      <c r="K343" s="62" t="n">
        <f aca="false">N(H343)*N(J343)</f>
        <v>0</v>
      </c>
      <c r="L343" s="62" t="n">
        <f aca="false">IF(CC_IncWaste="Yes",N(I343)*N(XWaste),0)</f>
        <v>0</v>
      </c>
      <c r="M343" s="65" t="n">
        <f aca="false">IF(N(G343)=0,0,IF(CC_AllocBasis="Equipment count",1,IF(CC_AllocBasis="Equipment volume",N(G343),N(H343))))</f>
        <v>0</v>
      </c>
      <c r="N343" s="15" t="n">
        <f aca="false">IF(SUM(CC_P_M)=0,0,M343/SUM(CC_P_M))</f>
        <v>0</v>
      </c>
      <c r="O343" s="62" t="n">
        <f aca="false">N343*CC_SharedCost</f>
        <v>0</v>
      </c>
      <c r="P343" s="63" t="n">
        <f aca="false">K343+L343+O343</f>
        <v>0</v>
      </c>
      <c r="Q343" s="62" t="n">
        <f aca="false">K343*(1+INDEX(MkMatrix,3,3))</f>
        <v>0</v>
      </c>
      <c r="R343" s="62" t="n">
        <f aca="false">L343*(1+INDEX(MkMatrix,3,3))</f>
        <v>0</v>
      </c>
      <c r="S343" s="62" t="n">
        <f aca="false">N343*CC_SharedSell</f>
        <v>0</v>
      </c>
      <c r="T343" s="62" t="n">
        <f aca="false">P343*N(QCont)</f>
        <v>0</v>
      </c>
      <c r="U343" s="62" t="n">
        <f aca="false">Q343+R343+S343+T343</f>
        <v>0</v>
      </c>
      <c r="V343" s="62" t="n">
        <f aca="false">-U343*N(QDisc)</f>
        <v>-0</v>
      </c>
      <c r="W343" s="63" t="n">
        <f aca="false">U343+V343</f>
        <v>0</v>
      </c>
      <c r="X343" s="63" t="n">
        <f aca="false">W343/QRate</f>
        <v>0</v>
      </c>
      <c r="Y343" s="0" t="n">
        <v>11</v>
      </c>
    </row>
    <row r="344" customFormat="false" ht="15" hidden="false" customHeight="false" outlineLevel="0" collapsed="false">
      <c r="A344" s="68" t="n">
        <f aca="false">'CC Volume'!A344</f>
        <v>5</v>
      </c>
      <c r="B344" s="13" t="str">
        <f aca="false">IF('CC Volume'!B344="","",'CC Volume'!B344)</f>
        <v/>
      </c>
      <c r="C344" s="13" t="str">
        <f aca="false">IF('CC Volume'!C344="","",'CC Volume'!C344)</f>
        <v/>
      </c>
      <c r="D344" s="13" t="str">
        <f aca="false">IF('CC Volume'!D344="","",'CC Volume'!D344)</f>
        <v/>
      </c>
      <c r="E344" s="68" t="str">
        <f aca="false">IF('CC Volume'!E344="","",'CC Volume'!E344)</f>
        <v/>
      </c>
      <c r="F344" s="68" t="str">
        <f aca="false">IF('CC Volume'!F344="","",'CC Volume'!F344)</f>
        <v/>
      </c>
      <c r="G344" s="69" t="str">
        <f aca="false">'CC Volume'!AN344</f>
        <v/>
      </c>
      <c r="H344" s="69" t="str">
        <f aca="false">'CC Volume'!AO344</f>
        <v/>
      </c>
      <c r="I344" s="69" t="str">
        <f aca="false">'CC Volume'!AM344</f>
        <v/>
      </c>
      <c r="J344" s="62" t="str">
        <f aca="false">IF(N(H344)=0,"",IFERROR(INDEX(CC_RegRate,MATCH(F344,CC_RegU,0)),0))</f>
        <v/>
      </c>
      <c r="K344" s="62" t="n">
        <f aca="false">N(H344)*N(J344)</f>
        <v>0</v>
      </c>
      <c r="L344" s="62" t="n">
        <f aca="false">IF(CC_IncWaste="Yes",N(I344)*N(XWaste),0)</f>
        <v>0</v>
      </c>
      <c r="M344" s="65" t="n">
        <f aca="false">IF(N(G344)=0,0,IF(CC_AllocBasis="Equipment count",1,IF(CC_AllocBasis="Equipment volume",N(G344),N(H344))))</f>
        <v>0</v>
      </c>
      <c r="N344" s="15" t="n">
        <f aca="false">IF(SUM(CC_P_M)=0,0,M344/SUM(CC_P_M))</f>
        <v>0</v>
      </c>
      <c r="O344" s="62" t="n">
        <f aca="false">N344*CC_SharedCost</f>
        <v>0</v>
      </c>
      <c r="P344" s="63" t="n">
        <f aca="false">K344+L344+O344</f>
        <v>0</v>
      </c>
      <c r="Q344" s="62" t="n">
        <f aca="false">K344*(1+INDEX(MkMatrix,3,3))</f>
        <v>0</v>
      </c>
      <c r="R344" s="62" t="n">
        <f aca="false">L344*(1+INDEX(MkMatrix,3,3))</f>
        <v>0</v>
      </c>
      <c r="S344" s="62" t="n">
        <f aca="false">N344*CC_SharedSell</f>
        <v>0</v>
      </c>
      <c r="T344" s="62" t="n">
        <f aca="false">P344*N(QCont)</f>
        <v>0</v>
      </c>
      <c r="U344" s="62" t="n">
        <f aca="false">Q344+R344+S344+T344</f>
        <v>0</v>
      </c>
      <c r="V344" s="62" t="n">
        <f aca="false">-U344*N(QDisc)</f>
        <v>-0</v>
      </c>
      <c r="W344" s="63" t="n">
        <f aca="false">U344+V344</f>
        <v>0</v>
      </c>
      <c r="X344" s="63" t="n">
        <f aca="false">W344/QRate</f>
        <v>0</v>
      </c>
      <c r="Y344" s="0" t="n">
        <v>11</v>
      </c>
    </row>
    <row r="345" customFormat="false" ht="15" hidden="false" customHeight="false" outlineLevel="0" collapsed="false">
      <c r="A345" s="68" t="n">
        <f aca="false">'CC Volume'!A345</f>
        <v>6</v>
      </c>
      <c r="B345" s="13" t="str">
        <f aca="false">IF('CC Volume'!B345="","",'CC Volume'!B345)</f>
        <v/>
      </c>
      <c r="C345" s="13" t="str">
        <f aca="false">IF('CC Volume'!C345="","",'CC Volume'!C345)</f>
        <v/>
      </c>
      <c r="D345" s="13" t="str">
        <f aca="false">IF('CC Volume'!D345="","",'CC Volume'!D345)</f>
        <v/>
      </c>
      <c r="E345" s="68" t="str">
        <f aca="false">IF('CC Volume'!E345="","",'CC Volume'!E345)</f>
        <v/>
      </c>
      <c r="F345" s="68" t="str">
        <f aca="false">IF('CC Volume'!F345="","",'CC Volume'!F345)</f>
        <v/>
      </c>
      <c r="G345" s="69" t="str">
        <f aca="false">'CC Volume'!AN345</f>
        <v/>
      </c>
      <c r="H345" s="69" t="str">
        <f aca="false">'CC Volume'!AO345</f>
        <v/>
      </c>
      <c r="I345" s="69" t="str">
        <f aca="false">'CC Volume'!AM345</f>
        <v/>
      </c>
      <c r="J345" s="62" t="str">
        <f aca="false">IF(N(H345)=0,"",IFERROR(INDEX(CC_RegRate,MATCH(F345,CC_RegU,0)),0))</f>
        <v/>
      </c>
      <c r="K345" s="62" t="n">
        <f aca="false">N(H345)*N(J345)</f>
        <v>0</v>
      </c>
      <c r="L345" s="62" t="n">
        <f aca="false">IF(CC_IncWaste="Yes",N(I345)*N(XWaste),0)</f>
        <v>0</v>
      </c>
      <c r="M345" s="65" t="n">
        <f aca="false">IF(N(G345)=0,0,IF(CC_AllocBasis="Equipment count",1,IF(CC_AllocBasis="Equipment volume",N(G345),N(H345))))</f>
        <v>0</v>
      </c>
      <c r="N345" s="15" t="n">
        <f aca="false">IF(SUM(CC_P_M)=0,0,M345/SUM(CC_P_M))</f>
        <v>0</v>
      </c>
      <c r="O345" s="62" t="n">
        <f aca="false">N345*CC_SharedCost</f>
        <v>0</v>
      </c>
      <c r="P345" s="63" t="n">
        <f aca="false">K345+L345+O345</f>
        <v>0</v>
      </c>
      <c r="Q345" s="62" t="n">
        <f aca="false">K345*(1+INDEX(MkMatrix,3,3))</f>
        <v>0</v>
      </c>
      <c r="R345" s="62" t="n">
        <f aca="false">L345*(1+INDEX(MkMatrix,3,3))</f>
        <v>0</v>
      </c>
      <c r="S345" s="62" t="n">
        <f aca="false">N345*CC_SharedSell</f>
        <v>0</v>
      </c>
      <c r="T345" s="62" t="n">
        <f aca="false">P345*N(QCont)</f>
        <v>0</v>
      </c>
      <c r="U345" s="62" t="n">
        <f aca="false">Q345+R345+S345+T345</f>
        <v>0</v>
      </c>
      <c r="V345" s="62" t="n">
        <f aca="false">-U345*N(QDisc)</f>
        <v>-0</v>
      </c>
      <c r="W345" s="63" t="n">
        <f aca="false">U345+V345</f>
        <v>0</v>
      </c>
      <c r="X345" s="63" t="n">
        <f aca="false">W345/QRate</f>
        <v>0</v>
      </c>
      <c r="Y345" s="0" t="n">
        <v>11</v>
      </c>
    </row>
    <row r="346" customFormat="false" ht="15" hidden="false" customHeight="false" outlineLevel="0" collapsed="false">
      <c r="A346" s="68" t="n">
        <f aca="false">'CC Volume'!A346</f>
        <v>7</v>
      </c>
      <c r="B346" s="13" t="str">
        <f aca="false">IF('CC Volume'!B346="","",'CC Volume'!B346)</f>
        <v/>
      </c>
      <c r="C346" s="13" t="str">
        <f aca="false">IF('CC Volume'!C346="","",'CC Volume'!C346)</f>
        <v/>
      </c>
      <c r="D346" s="13" t="str">
        <f aca="false">IF('CC Volume'!D346="","",'CC Volume'!D346)</f>
        <v/>
      </c>
      <c r="E346" s="68" t="str">
        <f aca="false">IF('CC Volume'!E346="","",'CC Volume'!E346)</f>
        <v/>
      </c>
      <c r="F346" s="68" t="str">
        <f aca="false">IF('CC Volume'!F346="","",'CC Volume'!F346)</f>
        <v/>
      </c>
      <c r="G346" s="69" t="str">
        <f aca="false">'CC Volume'!AN346</f>
        <v/>
      </c>
      <c r="H346" s="69" t="str">
        <f aca="false">'CC Volume'!AO346</f>
        <v/>
      </c>
      <c r="I346" s="69" t="str">
        <f aca="false">'CC Volume'!AM346</f>
        <v/>
      </c>
      <c r="J346" s="62" t="str">
        <f aca="false">IF(N(H346)=0,"",IFERROR(INDEX(CC_RegRate,MATCH(F346,CC_RegU,0)),0))</f>
        <v/>
      </c>
      <c r="K346" s="62" t="n">
        <f aca="false">N(H346)*N(J346)</f>
        <v>0</v>
      </c>
      <c r="L346" s="62" t="n">
        <f aca="false">IF(CC_IncWaste="Yes",N(I346)*N(XWaste),0)</f>
        <v>0</v>
      </c>
      <c r="M346" s="65" t="n">
        <f aca="false">IF(N(G346)=0,0,IF(CC_AllocBasis="Equipment count",1,IF(CC_AllocBasis="Equipment volume",N(G346),N(H346))))</f>
        <v>0</v>
      </c>
      <c r="N346" s="15" t="n">
        <f aca="false">IF(SUM(CC_P_M)=0,0,M346/SUM(CC_P_M))</f>
        <v>0</v>
      </c>
      <c r="O346" s="62" t="n">
        <f aca="false">N346*CC_SharedCost</f>
        <v>0</v>
      </c>
      <c r="P346" s="63" t="n">
        <f aca="false">K346+L346+O346</f>
        <v>0</v>
      </c>
      <c r="Q346" s="62" t="n">
        <f aca="false">K346*(1+INDEX(MkMatrix,3,3))</f>
        <v>0</v>
      </c>
      <c r="R346" s="62" t="n">
        <f aca="false">L346*(1+INDEX(MkMatrix,3,3))</f>
        <v>0</v>
      </c>
      <c r="S346" s="62" t="n">
        <f aca="false">N346*CC_SharedSell</f>
        <v>0</v>
      </c>
      <c r="T346" s="62" t="n">
        <f aca="false">P346*N(QCont)</f>
        <v>0</v>
      </c>
      <c r="U346" s="62" t="n">
        <f aca="false">Q346+R346+S346+T346</f>
        <v>0</v>
      </c>
      <c r="V346" s="62" t="n">
        <f aca="false">-U346*N(QDisc)</f>
        <v>-0</v>
      </c>
      <c r="W346" s="63" t="n">
        <f aca="false">U346+V346</f>
        <v>0</v>
      </c>
      <c r="X346" s="63" t="n">
        <f aca="false">W346/QRate</f>
        <v>0</v>
      </c>
      <c r="Y346" s="0" t="n">
        <v>11</v>
      </c>
    </row>
    <row r="347" customFormat="false" ht="15" hidden="false" customHeight="false" outlineLevel="0" collapsed="false">
      <c r="A347" s="68" t="n">
        <f aca="false">'CC Volume'!A347</f>
        <v>8</v>
      </c>
      <c r="B347" s="13" t="str">
        <f aca="false">IF('CC Volume'!B347="","",'CC Volume'!B347)</f>
        <v/>
      </c>
      <c r="C347" s="13" t="str">
        <f aca="false">IF('CC Volume'!C347="","",'CC Volume'!C347)</f>
        <v/>
      </c>
      <c r="D347" s="13" t="str">
        <f aca="false">IF('CC Volume'!D347="","",'CC Volume'!D347)</f>
        <v/>
      </c>
      <c r="E347" s="68" t="str">
        <f aca="false">IF('CC Volume'!E347="","",'CC Volume'!E347)</f>
        <v/>
      </c>
      <c r="F347" s="68" t="str">
        <f aca="false">IF('CC Volume'!F347="","",'CC Volume'!F347)</f>
        <v/>
      </c>
      <c r="G347" s="69" t="str">
        <f aca="false">'CC Volume'!AN347</f>
        <v/>
      </c>
      <c r="H347" s="69" t="str">
        <f aca="false">'CC Volume'!AO347</f>
        <v/>
      </c>
      <c r="I347" s="69" t="str">
        <f aca="false">'CC Volume'!AM347</f>
        <v/>
      </c>
      <c r="J347" s="62" t="str">
        <f aca="false">IF(N(H347)=0,"",IFERROR(INDEX(CC_RegRate,MATCH(F347,CC_RegU,0)),0))</f>
        <v/>
      </c>
      <c r="K347" s="62" t="n">
        <f aca="false">N(H347)*N(J347)</f>
        <v>0</v>
      </c>
      <c r="L347" s="62" t="n">
        <f aca="false">IF(CC_IncWaste="Yes",N(I347)*N(XWaste),0)</f>
        <v>0</v>
      </c>
      <c r="M347" s="65" t="n">
        <f aca="false">IF(N(G347)=0,0,IF(CC_AllocBasis="Equipment count",1,IF(CC_AllocBasis="Equipment volume",N(G347),N(H347))))</f>
        <v>0</v>
      </c>
      <c r="N347" s="15" t="n">
        <f aca="false">IF(SUM(CC_P_M)=0,0,M347/SUM(CC_P_M))</f>
        <v>0</v>
      </c>
      <c r="O347" s="62" t="n">
        <f aca="false">N347*CC_SharedCost</f>
        <v>0</v>
      </c>
      <c r="P347" s="63" t="n">
        <f aca="false">K347+L347+O347</f>
        <v>0</v>
      </c>
      <c r="Q347" s="62" t="n">
        <f aca="false">K347*(1+INDEX(MkMatrix,3,3))</f>
        <v>0</v>
      </c>
      <c r="R347" s="62" t="n">
        <f aca="false">L347*(1+INDEX(MkMatrix,3,3))</f>
        <v>0</v>
      </c>
      <c r="S347" s="62" t="n">
        <f aca="false">N347*CC_SharedSell</f>
        <v>0</v>
      </c>
      <c r="T347" s="62" t="n">
        <f aca="false">P347*N(QCont)</f>
        <v>0</v>
      </c>
      <c r="U347" s="62" t="n">
        <f aca="false">Q347+R347+S347+T347</f>
        <v>0</v>
      </c>
      <c r="V347" s="62" t="n">
        <f aca="false">-U347*N(QDisc)</f>
        <v>-0</v>
      </c>
      <c r="W347" s="63" t="n">
        <f aca="false">U347+V347</f>
        <v>0</v>
      </c>
      <c r="X347" s="63" t="n">
        <f aca="false">W347/QRate</f>
        <v>0</v>
      </c>
      <c r="Y347" s="0" t="n">
        <v>11</v>
      </c>
    </row>
    <row r="348" customFormat="false" ht="15" hidden="false" customHeight="false" outlineLevel="0" collapsed="false">
      <c r="A348" s="68" t="n">
        <f aca="false">'CC Volume'!A348</f>
        <v>9</v>
      </c>
      <c r="B348" s="13" t="str">
        <f aca="false">IF('CC Volume'!B348="","",'CC Volume'!B348)</f>
        <v/>
      </c>
      <c r="C348" s="13" t="str">
        <f aca="false">IF('CC Volume'!C348="","",'CC Volume'!C348)</f>
        <v/>
      </c>
      <c r="D348" s="13" t="str">
        <f aca="false">IF('CC Volume'!D348="","",'CC Volume'!D348)</f>
        <v/>
      </c>
      <c r="E348" s="68" t="str">
        <f aca="false">IF('CC Volume'!E348="","",'CC Volume'!E348)</f>
        <v/>
      </c>
      <c r="F348" s="68" t="str">
        <f aca="false">IF('CC Volume'!F348="","",'CC Volume'!F348)</f>
        <v/>
      </c>
      <c r="G348" s="69" t="str">
        <f aca="false">'CC Volume'!AN348</f>
        <v/>
      </c>
      <c r="H348" s="69" t="str">
        <f aca="false">'CC Volume'!AO348</f>
        <v/>
      </c>
      <c r="I348" s="69" t="str">
        <f aca="false">'CC Volume'!AM348</f>
        <v/>
      </c>
      <c r="J348" s="62" t="str">
        <f aca="false">IF(N(H348)=0,"",IFERROR(INDEX(CC_RegRate,MATCH(F348,CC_RegU,0)),0))</f>
        <v/>
      </c>
      <c r="K348" s="62" t="n">
        <f aca="false">N(H348)*N(J348)</f>
        <v>0</v>
      </c>
      <c r="L348" s="62" t="n">
        <f aca="false">IF(CC_IncWaste="Yes",N(I348)*N(XWaste),0)</f>
        <v>0</v>
      </c>
      <c r="M348" s="65" t="n">
        <f aca="false">IF(N(G348)=0,0,IF(CC_AllocBasis="Equipment count",1,IF(CC_AllocBasis="Equipment volume",N(G348),N(H348))))</f>
        <v>0</v>
      </c>
      <c r="N348" s="15" t="n">
        <f aca="false">IF(SUM(CC_P_M)=0,0,M348/SUM(CC_P_M))</f>
        <v>0</v>
      </c>
      <c r="O348" s="62" t="n">
        <f aca="false">N348*CC_SharedCost</f>
        <v>0</v>
      </c>
      <c r="P348" s="63" t="n">
        <f aca="false">K348+L348+O348</f>
        <v>0</v>
      </c>
      <c r="Q348" s="62" t="n">
        <f aca="false">K348*(1+INDEX(MkMatrix,3,3))</f>
        <v>0</v>
      </c>
      <c r="R348" s="62" t="n">
        <f aca="false">L348*(1+INDEX(MkMatrix,3,3))</f>
        <v>0</v>
      </c>
      <c r="S348" s="62" t="n">
        <f aca="false">N348*CC_SharedSell</f>
        <v>0</v>
      </c>
      <c r="T348" s="62" t="n">
        <f aca="false">P348*N(QCont)</f>
        <v>0</v>
      </c>
      <c r="U348" s="62" t="n">
        <f aca="false">Q348+R348+S348+T348</f>
        <v>0</v>
      </c>
      <c r="V348" s="62" t="n">
        <f aca="false">-U348*N(QDisc)</f>
        <v>-0</v>
      </c>
      <c r="W348" s="63" t="n">
        <f aca="false">U348+V348</f>
        <v>0</v>
      </c>
      <c r="X348" s="63" t="n">
        <f aca="false">W348/QRate</f>
        <v>0</v>
      </c>
      <c r="Y348" s="0" t="n">
        <v>11</v>
      </c>
    </row>
    <row r="349" customFormat="false" ht="15" hidden="false" customHeight="false" outlineLevel="0" collapsed="false">
      <c r="A349" s="68" t="n">
        <f aca="false">'CC Volume'!A349</f>
        <v>10</v>
      </c>
      <c r="B349" s="13" t="str">
        <f aca="false">IF('CC Volume'!B349="","",'CC Volume'!B349)</f>
        <v/>
      </c>
      <c r="C349" s="13" t="str">
        <f aca="false">IF('CC Volume'!C349="","",'CC Volume'!C349)</f>
        <v/>
      </c>
      <c r="D349" s="13" t="str">
        <f aca="false">IF('CC Volume'!D349="","",'CC Volume'!D349)</f>
        <v/>
      </c>
      <c r="E349" s="68" t="str">
        <f aca="false">IF('CC Volume'!E349="","",'CC Volume'!E349)</f>
        <v/>
      </c>
      <c r="F349" s="68" t="str">
        <f aca="false">IF('CC Volume'!F349="","",'CC Volume'!F349)</f>
        <v/>
      </c>
      <c r="G349" s="69" t="str">
        <f aca="false">'CC Volume'!AN349</f>
        <v/>
      </c>
      <c r="H349" s="69" t="str">
        <f aca="false">'CC Volume'!AO349</f>
        <v/>
      </c>
      <c r="I349" s="69" t="str">
        <f aca="false">'CC Volume'!AM349</f>
        <v/>
      </c>
      <c r="J349" s="62" t="str">
        <f aca="false">IF(N(H349)=0,"",IFERROR(INDEX(CC_RegRate,MATCH(F349,CC_RegU,0)),0))</f>
        <v/>
      </c>
      <c r="K349" s="62" t="n">
        <f aca="false">N(H349)*N(J349)</f>
        <v>0</v>
      </c>
      <c r="L349" s="62" t="n">
        <f aca="false">IF(CC_IncWaste="Yes",N(I349)*N(XWaste),0)</f>
        <v>0</v>
      </c>
      <c r="M349" s="65" t="n">
        <f aca="false">IF(N(G349)=0,0,IF(CC_AllocBasis="Equipment count",1,IF(CC_AllocBasis="Equipment volume",N(G349),N(H349))))</f>
        <v>0</v>
      </c>
      <c r="N349" s="15" t="n">
        <f aca="false">IF(SUM(CC_P_M)=0,0,M349/SUM(CC_P_M))</f>
        <v>0</v>
      </c>
      <c r="O349" s="62" t="n">
        <f aca="false">N349*CC_SharedCost</f>
        <v>0</v>
      </c>
      <c r="P349" s="63" t="n">
        <f aca="false">K349+L349+O349</f>
        <v>0</v>
      </c>
      <c r="Q349" s="62" t="n">
        <f aca="false">K349*(1+INDEX(MkMatrix,3,3))</f>
        <v>0</v>
      </c>
      <c r="R349" s="62" t="n">
        <f aca="false">L349*(1+INDEX(MkMatrix,3,3))</f>
        <v>0</v>
      </c>
      <c r="S349" s="62" t="n">
        <f aca="false">N349*CC_SharedSell</f>
        <v>0</v>
      </c>
      <c r="T349" s="62" t="n">
        <f aca="false">P349*N(QCont)</f>
        <v>0</v>
      </c>
      <c r="U349" s="62" t="n">
        <f aca="false">Q349+R349+S349+T349</f>
        <v>0</v>
      </c>
      <c r="V349" s="62" t="n">
        <f aca="false">-U349*N(QDisc)</f>
        <v>-0</v>
      </c>
      <c r="W349" s="63" t="n">
        <f aca="false">U349+V349</f>
        <v>0</v>
      </c>
      <c r="X349" s="63" t="n">
        <f aca="false">W349/QRate</f>
        <v>0</v>
      </c>
      <c r="Y349" s="0" t="n">
        <v>11</v>
      </c>
    </row>
    <row r="350" customFormat="false" ht="15" hidden="false" customHeight="false" outlineLevel="0" collapsed="false">
      <c r="A350" s="68" t="n">
        <f aca="false">'CC Volume'!A350</f>
        <v>11</v>
      </c>
      <c r="B350" s="13" t="str">
        <f aca="false">IF('CC Volume'!B350="","",'CC Volume'!B350)</f>
        <v/>
      </c>
      <c r="C350" s="13" t="str">
        <f aca="false">IF('CC Volume'!C350="","",'CC Volume'!C350)</f>
        <v/>
      </c>
      <c r="D350" s="13" t="str">
        <f aca="false">IF('CC Volume'!D350="","",'CC Volume'!D350)</f>
        <v/>
      </c>
      <c r="E350" s="68" t="str">
        <f aca="false">IF('CC Volume'!E350="","",'CC Volume'!E350)</f>
        <v/>
      </c>
      <c r="F350" s="68" t="str">
        <f aca="false">IF('CC Volume'!F350="","",'CC Volume'!F350)</f>
        <v/>
      </c>
      <c r="G350" s="69" t="str">
        <f aca="false">'CC Volume'!AN350</f>
        <v/>
      </c>
      <c r="H350" s="69" t="str">
        <f aca="false">'CC Volume'!AO350</f>
        <v/>
      </c>
      <c r="I350" s="69" t="str">
        <f aca="false">'CC Volume'!AM350</f>
        <v/>
      </c>
      <c r="J350" s="62" t="str">
        <f aca="false">IF(N(H350)=0,"",IFERROR(INDEX(CC_RegRate,MATCH(F350,CC_RegU,0)),0))</f>
        <v/>
      </c>
      <c r="K350" s="62" t="n">
        <f aca="false">N(H350)*N(J350)</f>
        <v>0</v>
      </c>
      <c r="L350" s="62" t="n">
        <f aca="false">IF(CC_IncWaste="Yes",N(I350)*N(XWaste),0)</f>
        <v>0</v>
      </c>
      <c r="M350" s="65" t="n">
        <f aca="false">IF(N(G350)=0,0,IF(CC_AllocBasis="Equipment count",1,IF(CC_AllocBasis="Equipment volume",N(G350),N(H350))))</f>
        <v>0</v>
      </c>
      <c r="N350" s="15" t="n">
        <f aca="false">IF(SUM(CC_P_M)=0,0,M350/SUM(CC_P_M))</f>
        <v>0</v>
      </c>
      <c r="O350" s="62" t="n">
        <f aca="false">N350*CC_SharedCost</f>
        <v>0</v>
      </c>
      <c r="P350" s="63" t="n">
        <f aca="false">K350+L350+O350</f>
        <v>0</v>
      </c>
      <c r="Q350" s="62" t="n">
        <f aca="false">K350*(1+INDEX(MkMatrix,3,3))</f>
        <v>0</v>
      </c>
      <c r="R350" s="62" t="n">
        <f aca="false">L350*(1+INDEX(MkMatrix,3,3))</f>
        <v>0</v>
      </c>
      <c r="S350" s="62" t="n">
        <f aca="false">N350*CC_SharedSell</f>
        <v>0</v>
      </c>
      <c r="T350" s="62" t="n">
        <f aca="false">P350*N(QCont)</f>
        <v>0</v>
      </c>
      <c r="U350" s="62" t="n">
        <f aca="false">Q350+R350+S350+T350</f>
        <v>0</v>
      </c>
      <c r="V350" s="62" t="n">
        <f aca="false">-U350*N(QDisc)</f>
        <v>-0</v>
      </c>
      <c r="W350" s="63" t="n">
        <f aca="false">U350+V350</f>
        <v>0</v>
      </c>
      <c r="X350" s="63" t="n">
        <f aca="false">W350/QRate</f>
        <v>0</v>
      </c>
      <c r="Y350" s="0" t="n">
        <v>11</v>
      </c>
    </row>
    <row r="351" customFormat="false" ht="15" hidden="false" customHeight="false" outlineLevel="0" collapsed="false">
      <c r="A351" s="68" t="n">
        <f aca="false">'CC Volume'!A351</f>
        <v>12</v>
      </c>
      <c r="B351" s="13" t="str">
        <f aca="false">IF('CC Volume'!B351="","",'CC Volume'!B351)</f>
        <v/>
      </c>
      <c r="C351" s="13" t="str">
        <f aca="false">IF('CC Volume'!C351="","",'CC Volume'!C351)</f>
        <v/>
      </c>
      <c r="D351" s="13" t="str">
        <f aca="false">IF('CC Volume'!D351="","",'CC Volume'!D351)</f>
        <v/>
      </c>
      <c r="E351" s="68" t="str">
        <f aca="false">IF('CC Volume'!E351="","",'CC Volume'!E351)</f>
        <v/>
      </c>
      <c r="F351" s="68" t="str">
        <f aca="false">IF('CC Volume'!F351="","",'CC Volume'!F351)</f>
        <v/>
      </c>
      <c r="G351" s="69" t="str">
        <f aca="false">'CC Volume'!AN351</f>
        <v/>
      </c>
      <c r="H351" s="69" t="str">
        <f aca="false">'CC Volume'!AO351</f>
        <v/>
      </c>
      <c r="I351" s="69" t="str">
        <f aca="false">'CC Volume'!AM351</f>
        <v/>
      </c>
      <c r="J351" s="62" t="str">
        <f aca="false">IF(N(H351)=0,"",IFERROR(INDEX(CC_RegRate,MATCH(F351,CC_RegU,0)),0))</f>
        <v/>
      </c>
      <c r="K351" s="62" t="n">
        <f aca="false">N(H351)*N(J351)</f>
        <v>0</v>
      </c>
      <c r="L351" s="62" t="n">
        <f aca="false">IF(CC_IncWaste="Yes",N(I351)*N(XWaste),0)</f>
        <v>0</v>
      </c>
      <c r="M351" s="65" t="n">
        <f aca="false">IF(N(G351)=0,0,IF(CC_AllocBasis="Equipment count",1,IF(CC_AllocBasis="Equipment volume",N(G351),N(H351))))</f>
        <v>0</v>
      </c>
      <c r="N351" s="15" t="n">
        <f aca="false">IF(SUM(CC_P_M)=0,0,M351/SUM(CC_P_M))</f>
        <v>0</v>
      </c>
      <c r="O351" s="62" t="n">
        <f aca="false">N351*CC_SharedCost</f>
        <v>0</v>
      </c>
      <c r="P351" s="63" t="n">
        <f aca="false">K351+L351+O351</f>
        <v>0</v>
      </c>
      <c r="Q351" s="62" t="n">
        <f aca="false">K351*(1+INDEX(MkMatrix,3,3))</f>
        <v>0</v>
      </c>
      <c r="R351" s="62" t="n">
        <f aca="false">L351*(1+INDEX(MkMatrix,3,3))</f>
        <v>0</v>
      </c>
      <c r="S351" s="62" t="n">
        <f aca="false">N351*CC_SharedSell</f>
        <v>0</v>
      </c>
      <c r="T351" s="62" t="n">
        <f aca="false">P351*N(QCont)</f>
        <v>0</v>
      </c>
      <c r="U351" s="62" t="n">
        <f aca="false">Q351+R351+S351+T351</f>
        <v>0</v>
      </c>
      <c r="V351" s="62" t="n">
        <f aca="false">-U351*N(QDisc)</f>
        <v>-0</v>
      </c>
      <c r="W351" s="63" t="n">
        <f aca="false">U351+V351</f>
        <v>0</v>
      </c>
      <c r="X351" s="63" t="n">
        <f aca="false">W351/QRate</f>
        <v>0</v>
      </c>
      <c r="Y351" s="0" t="n">
        <v>11</v>
      </c>
    </row>
    <row r="352" customFormat="false" ht="15" hidden="false" customHeight="false" outlineLevel="0" collapsed="false">
      <c r="A352" s="68" t="n">
        <f aca="false">'CC Volume'!A352</f>
        <v>13</v>
      </c>
      <c r="B352" s="13" t="str">
        <f aca="false">IF('CC Volume'!B352="","",'CC Volume'!B352)</f>
        <v/>
      </c>
      <c r="C352" s="13" t="str">
        <f aca="false">IF('CC Volume'!C352="","",'CC Volume'!C352)</f>
        <v/>
      </c>
      <c r="D352" s="13" t="str">
        <f aca="false">IF('CC Volume'!D352="","",'CC Volume'!D352)</f>
        <v/>
      </c>
      <c r="E352" s="68" t="str">
        <f aca="false">IF('CC Volume'!E352="","",'CC Volume'!E352)</f>
        <v/>
      </c>
      <c r="F352" s="68" t="str">
        <f aca="false">IF('CC Volume'!F352="","",'CC Volume'!F352)</f>
        <v/>
      </c>
      <c r="G352" s="69" t="str">
        <f aca="false">'CC Volume'!AN352</f>
        <v/>
      </c>
      <c r="H352" s="69" t="str">
        <f aca="false">'CC Volume'!AO352</f>
        <v/>
      </c>
      <c r="I352" s="69" t="str">
        <f aca="false">'CC Volume'!AM352</f>
        <v/>
      </c>
      <c r="J352" s="62" t="str">
        <f aca="false">IF(N(H352)=0,"",IFERROR(INDEX(CC_RegRate,MATCH(F352,CC_RegU,0)),0))</f>
        <v/>
      </c>
      <c r="K352" s="62" t="n">
        <f aca="false">N(H352)*N(J352)</f>
        <v>0</v>
      </c>
      <c r="L352" s="62" t="n">
        <f aca="false">IF(CC_IncWaste="Yes",N(I352)*N(XWaste),0)</f>
        <v>0</v>
      </c>
      <c r="M352" s="65" t="n">
        <f aca="false">IF(N(G352)=0,0,IF(CC_AllocBasis="Equipment count",1,IF(CC_AllocBasis="Equipment volume",N(G352),N(H352))))</f>
        <v>0</v>
      </c>
      <c r="N352" s="15" t="n">
        <f aca="false">IF(SUM(CC_P_M)=0,0,M352/SUM(CC_P_M))</f>
        <v>0</v>
      </c>
      <c r="O352" s="62" t="n">
        <f aca="false">N352*CC_SharedCost</f>
        <v>0</v>
      </c>
      <c r="P352" s="63" t="n">
        <f aca="false">K352+L352+O352</f>
        <v>0</v>
      </c>
      <c r="Q352" s="62" t="n">
        <f aca="false">K352*(1+INDEX(MkMatrix,3,3))</f>
        <v>0</v>
      </c>
      <c r="R352" s="62" t="n">
        <f aca="false">L352*(1+INDEX(MkMatrix,3,3))</f>
        <v>0</v>
      </c>
      <c r="S352" s="62" t="n">
        <f aca="false">N352*CC_SharedSell</f>
        <v>0</v>
      </c>
      <c r="T352" s="62" t="n">
        <f aca="false">P352*N(QCont)</f>
        <v>0</v>
      </c>
      <c r="U352" s="62" t="n">
        <f aca="false">Q352+R352+S352+T352</f>
        <v>0</v>
      </c>
      <c r="V352" s="62" t="n">
        <f aca="false">-U352*N(QDisc)</f>
        <v>-0</v>
      </c>
      <c r="W352" s="63" t="n">
        <f aca="false">U352+V352</f>
        <v>0</v>
      </c>
      <c r="X352" s="63" t="n">
        <f aca="false">W352/QRate</f>
        <v>0</v>
      </c>
      <c r="Y352" s="0" t="n">
        <v>11</v>
      </c>
    </row>
    <row r="353" customFormat="false" ht="15" hidden="false" customHeight="false" outlineLevel="0" collapsed="false">
      <c r="A353" s="68" t="n">
        <f aca="false">'CC Volume'!A353</f>
        <v>14</v>
      </c>
      <c r="B353" s="13" t="str">
        <f aca="false">IF('CC Volume'!B353="","",'CC Volume'!B353)</f>
        <v/>
      </c>
      <c r="C353" s="13" t="str">
        <f aca="false">IF('CC Volume'!C353="","",'CC Volume'!C353)</f>
        <v/>
      </c>
      <c r="D353" s="13" t="str">
        <f aca="false">IF('CC Volume'!D353="","",'CC Volume'!D353)</f>
        <v/>
      </c>
      <c r="E353" s="68" t="str">
        <f aca="false">IF('CC Volume'!E353="","",'CC Volume'!E353)</f>
        <v/>
      </c>
      <c r="F353" s="68" t="str">
        <f aca="false">IF('CC Volume'!F353="","",'CC Volume'!F353)</f>
        <v/>
      </c>
      <c r="G353" s="69" t="str">
        <f aca="false">'CC Volume'!AN353</f>
        <v/>
      </c>
      <c r="H353" s="69" t="str">
        <f aca="false">'CC Volume'!AO353</f>
        <v/>
      </c>
      <c r="I353" s="69" t="str">
        <f aca="false">'CC Volume'!AM353</f>
        <v/>
      </c>
      <c r="J353" s="62" t="str">
        <f aca="false">IF(N(H353)=0,"",IFERROR(INDEX(CC_RegRate,MATCH(F353,CC_RegU,0)),0))</f>
        <v/>
      </c>
      <c r="K353" s="62" t="n">
        <f aca="false">N(H353)*N(J353)</f>
        <v>0</v>
      </c>
      <c r="L353" s="62" t="n">
        <f aca="false">IF(CC_IncWaste="Yes",N(I353)*N(XWaste),0)</f>
        <v>0</v>
      </c>
      <c r="M353" s="65" t="n">
        <f aca="false">IF(N(G353)=0,0,IF(CC_AllocBasis="Equipment count",1,IF(CC_AllocBasis="Equipment volume",N(G353),N(H353))))</f>
        <v>0</v>
      </c>
      <c r="N353" s="15" t="n">
        <f aca="false">IF(SUM(CC_P_M)=0,0,M353/SUM(CC_P_M))</f>
        <v>0</v>
      </c>
      <c r="O353" s="62" t="n">
        <f aca="false">N353*CC_SharedCost</f>
        <v>0</v>
      </c>
      <c r="P353" s="63" t="n">
        <f aca="false">K353+L353+O353</f>
        <v>0</v>
      </c>
      <c r="Q353" s="62" t="n">
        <f aca="false">K353*(1+INDEX(MkMatrix,3,3))</f>
        <v>0</v>
      </c>
      <c r="R353" s="62" t="n">
        <f aca="false">L353*(1+INDEX(MkMatrix,3,3))</f>
        <v>0</v>
      </c>
      <c r="S353" s="62" t="n">
        <f aca="false">N353*CC_SharedSell</f>
        <v>0</v>
      </c>
      <c r="T353" s="62" t="n">
        <f aca="false">P353*N(QCont)</f>
        <v>0</v>
      </c>
      <c r="U353" s="62" t="n">
        <f aca="false">Q353+R353+S353+T353</f>
        <v>0</v>
      </c>
      <c r="V353" s="62" t="n">
        <f aca="false">-U353*N(QDisc)</f>
        <v>-0</v>
      </c>
      <c r="W353" s="63" t="n">
        <f aca="false">U353+V353</f>
        <v>0</v>
      </c>
      <c r="X353" s="63" t="n">
        <f aca="false">W353/QRate</f>
        <v>0</v>
      </c>
      <c r="Y353" s="0" t="n">
        <v>11</v>
      </c>
    </row>
    <row r="354" customFormat="false" ht="15" hidden="false" customHeight="false" outlineLevel="0" collapsed="false">
      <c r="A354" s="68" t="n">
        <f aca="false">'CC Volume'!A354</f>
        <v>15</v>
      </c>
      <c r="B354" s="13" t="str">
        <f aca="false">IF('CC Volume'!B354="","",'CC Volume'!B354)</f>
        <v/>
      </c>
      <c r="C354" s="13" t="str">
        <f aca="false">IF('CC Volume'!C354="","",'CC Volume'!C354)</f>
        <v/>
      </c>
      <c r="D354" s="13" t="str">
        <f aca="false">IF('CC Volume'!D354="","",'CC Volume'!D354)</f>
        <v/>
      </c>
      <c r="E354" s="68" t="str">
        <f aca="false">IF('CC Volume'!E354="","",'CC Volume'!E354)</f>
        <v/>
      </c>
      <c r="F354" s="68" t="str">
        <f aca="false">IF('CC Volume'!F354="","",'CC Volume'!F354)</f>
        <v/>
      </c>
      <c r="G354" s="69" t="str">
        <f aca="false">'CC Volume'!AN354</f>
        <v/>
      </c>
      <c r="H354" s="69" t="str">
        <f aca="false">'CC Volume'!AO354</f>
        <v/>
      </c>
      <c r="I354" s="69" t="str">
        <f aca="false">'CC Volume'!AM354</f>
        <v/>
      </c>
      <c r="J354" s="62" t="str">
        <f aca="false">IF(N(H354)=0,"",IFERROR(INDEX(CC_RegRate,MATCH(F354,CC_RegU,0)),0))</f>
        <v/>
      </c>
      <c r="K354" s="62" t="n">
        <f aca="false">N(H354)*N(J354)</f>
        <v>0</v>
      </c>
      <c r="L354" s="62" t="n">
        <f aca="false">IF(CC_IncWaste="Yes",N(I354)*N(XWaste),0)</f>
        <v>0</v>
      </c>
      <c r="M354" s="65" t="n">
        <f aca="false">IF(N(G354)=0,0,IF(CC_AllocBasis="Equipment count",1,IF(CC_AllocBasis="Equipment volume",N(G354),N(H354))))</f>
        <v>0</v>
      </c>
      <c r="N354" s="15" t="n">
        <f aca="false">IF(SUM(CC_P_M)=0,0,M354/SUM(CC_P_M))</f>
        <v>0</v>
      </c>
      <c r="O354" s="62" t="n">
        <f aca="false">N354*CC_SharedCost</f>
        <v>0</v>
      </c>
      <c r="P354" s="63" t="n">
        <f aca="false">K354+L354+O354</f>
        <v>0</v>
      </c>
      <c r="Q354" s="62" t="n">
        <f aca="false">K354*(1+INDEX(MkMatrix,3,3))</f>
        <v>0</v>
      </c>
      <c r="R354" s="62" t="n">
        <f aca="false">L354*(1+INDEX(MkMatrix,3,3))</f>
        <v>0</v>
      </c>
      <c r="S354" s="62" t="n">
        <f aca="false">N354*CC_SharedSell</f>
        <v>0</v>
      </c>
      <c r="T354" s="62" t="n">
        <f aca="false">P354*N(QCont)</f>
        <v>0</v>
      </c>
      <c r="U354" s="62" t="n">
        <f aca="false">Q354+R354+S354+T354</f>
        <v>0</v>
      </c>
      <c r="V354" s="62" t="n">
        <f aca="false">-U354*N(QDisc)</f>
        <v>-0</v>
      </c>
      <c r="W354" s="63" t="n">
        <f aca="false">U354+V354</f>
        <v>0</v>
      </c>
      <c r="X354" s="63" t="n">
        <f aca="false">W354/QRate</f>
        <v>0</v>
      </c>
      <c r="Y354" s="0" t="n">
        <v>11</v>
      </c>
    </row>
    <row r="355" customFormat="false" ht="15" hidden="false" customHeight="false" outlineLevel="0" collapsed="false">
      <c r="A355" s="68" t="n">
        <f aca="false">'CC Volume'!A355</f>
        <v>16</v>
      </c>
      <c r="B355" s="13" t="str">
        <f aca="false">IF('CC Volume'!B355="","",'CC Volume'!B355)</f>
        <v/>
      </c>
      <c r="C355" s="13" t="str">
        <f aca="false">IF('CC Volume'!C355="","",'CC Volume'!C355)</f>
        <v/>
      </c>
      <c r="D355" s="13" t="str">
        <f aca="false">IF('CC Volume'!D355="","",'CC Volume'!D355)</f>
        <v/>
      </c>
      <c r="E355" s="68" t="str">
        <f aca="false">IF('CC Volume'!E355="","",'CC Volume'!E355)</f>
        <v/>
      </c>
      <c r="F355" s="68" t="str">
        <f aca="false">IF('CC Volume'!F355="","",'CC Volume'!F355)</f>
        <v/>
      </c>
      <c r="G355" s="69" t="str">
        <f aca="false">'CC Volume'!AN355</f>
        <v/>
      </c>
      <c r="H355" s="69" t="str">
        <f aca="false">'CC Volume'!AO355</f>
        <v/>
      </c>
      <c r="I355" s="69" t="str">
        <f aca="false">'CC Volume'!AM355</f>
        <v/>
      </c>
      <c r="J355" s="62" t="str">
        <f aca="false">IF(N(H355)=0,"",IFERROR(INDEX(CC_RegRate,MATCH(F355,CC_RegU,0)),0))</f>
        <v/>
      </c>
      <c r="K355" s="62" t="n">
        <f aca="false">N(H355)*N(J355)</f>
        <v>0</v>
      </c>
      <c r="L355" s="62" t="n">
        <f aca="false">IF(CC_IncWaste="Yes",N(I355)*N(XWaste),0)</f>
        <v>0</v>
      </c>
      <c r="M355" s="65" t="n">
        <f aca="false">IF(N(G355)=0,0,IF(CC_AllocBasis="Equipment count",1,IF(CC_AllocBasis="Equipment volume",N(G355),N(H355))))</f>
        <v>0</v>
      </c>
      <c r="N355" s="15" t="n">
        <f aca="false">IF(SUM(CC_P_M)=0,0,M355/SUM(CC_P_M))</f>
        <v>0</v>
      </c>
      <c r="O355" s="62" t="n">
        <f aca="false">N355*CC_SharedCost</f>
        <v>0</v>
      </c>
      <c r="P355" s="63" t="n">
        <f aca="false">K355+L355+O355</f>
        <v>0</v>
      </c>
      <c r="Q355" s="62" t="n">
        <f aca="false">K355*(1+INDEX(MkMatrix,3,3))</f>
        <v>0</v>
      </c>
      <c r="R355" s="62" t="n">
        <f aca="false">L355*(1+INDEX(MkMatrix,3,3))</f>
        <v>0</v>
      </c>
      <c r="S355" s="62" t="n">
        <f aca="false">N355*CC_SharedSell</f>
        <v>0</v>
      </c>
      <c r="T355" s="62" t="n">
        <f aca="false">P355*N(QCont)</f>
        <v>0</v>
      </c>
      <c r="U355" s="62" t="n">
        <f aca="false">Q355+R355+S355+T355</f>
        <v>0</v>
      </c>
      <c r="V355" s="62" t="n">
        <f aca="false">-U355*N(QDisc)</f>
        <v>-0</v>
      </c>
      <c r="W355" s="63" t="n">
        <f aca="false">U355+V355</f>
        <v>0</v>
      </c>
      <c r="X355" s="63" t="n">
        <f aca="false">W355/QRate</f>
        <v>0</v>
      </c>
      <c r="Y355" s="0" t="n">
        <v>11</v>
      </c>
    </row>
    <row r="356" customFormat="false" ht="15" hidden="false" customHeight="false" outlineLevel="0" collapsed="false">
      <c r="A356" s="68" t="n">
        <f aca="false">'CC Volume'!A356</f>
        <v>17</v>
      </c>
      <c r="B356" s="13" t="str">
        <f aca="false">IF('CC Volume'!B356="","",'CC Volume'!B356)</f>
        <v/>
      </c>
      <c r="C356" s="13" t="str">
        <f aca="false">IF('CC Volume'!C356="","",'CC Volume'!C356)</f>
        <v/>
      </c>
      <c r="D356" s="13" t="str">
        <f aca="false">IF('CC Volume'!D356="","",'CC Volume'!D356)</f>
        <v/>
      </c>
      <c r="E356" s="68" t="str">
        <f aca="false">IF('CC Volume'!E356="","",'CC Volume'!E356)</f>
        <v/>
      </c>
      <c r="F356" s="68" t="str">
        <f aca="false">IF('CC Volume'!F356="","",'CC Volume'!F356)</f>
        <v/>
      </c>
      <c r="G356" s="69" t="str">
        <f aca="false">'CC Volume'!AN356</f>
        <v/>
      </c>
      <c r="H356" s="69" t="str">
        <f aca="false">'CC Volume'!AO356</f>
        <v/>
      </c>
      <c r="I356" s="69" t="str">
        <f aca="false">'CC Volume'!AM356</f>
        <v/>
      </c>
      <c r="J356" s="62" t="str">
        <f aca="false">IF(N(H356)=0,"",IFERROR(INDEX(CC_RegRate,MATCH(F356,CC_RegU,0)),0))</f>
        <v/>
      </c>
      <c r="K356" s="62" t="n">
        <f aca="false">N(H356)*N(J356)</f>
        <v>0</v>
      </c>
      <c r="L356" s="62" t="n">
        <f aca="false">IF(CC_IncWaste="Yes",N(I356)*N(XWaste),0)</f>
        <v>0</v>
      </c>
      <c r="M356" s="65" t="n">
        <f aca="false">IF(N(G356)=0,0,IF(CC_AllocBasis="Equipment count",1,IF(CC_AllocBasis="Equipment volume",N(G356),N(H356))))</f>
        <v>0</v>
      </c>
      <c r="N356" s="15" t="n">
        <f aca="false">IF(SUM(CC_P_M)=0,0,M356/SUM(CC_P_M))</f>
        <v>0</v>
      </c>
      <c r="O356" s="62" t="n">
        <f aca="false">N356*CC_SharedCost</f>
        <v>0</v>
      </c>
      <c r="P356" s="63" t="n">
        <f aca="false">K356+L356+O356</f>
        <v>0</v>
      </c>
      <c r="Q356" s="62" t="n">
        <f aca="false">K356*(1+INDEX(MkMatrix,3,3))</f>
        <v>0</v>
      </c>
      <c r="R356" s="62" t="n">
        <f aca="false">L356*(1+INDEX(MkMatrix,3,3))</f>
        <v>0</v>
      </c>
      <c r="S356" s="62" t="n">
        <f aca="false">N356*CC_SharedSell</f>
        <v>0</v>
      </c>
      <c r="T356" s="62" t="n">
        <f aca="false">P356*N(QCont)</f>
        <v>0</v>
      </c>
      <c r="U356" s="62" t="n">
        <f aca="false">Q356+R356+S356+T356</f>
        <v>0</v>
      </c>
      <c r="V356" s="62" t="n">
        <f aca="false">-U356*N(QDisc)</f>
        <v>-0</v>
      </c>
      <c r="W356" s="63" t="n">
        <f aca="false">U356+V356</f>
        <v>0</v>
      </c>
      <c r="X356" s="63" t="n">
        <f aca="false">W356/QRate</f>
        <v>0</v>
      </c>
      <c r="Y356" s="0" t="n">
        <v>11</v>
      </c>
    </row>
    <row r="357" customFormat="false" ht="15" hidden="false" customHeight="false" outlineLevel="0" collapsed="false">
      <c r="A357" s="68" t="n">
        <f aca="false">'CC Volume'!A357</f>
        <v>18</v>
      </c>
      <c r="B357" s="13" t="str">
        <f aca="false">IF('CC Volume'!B357="","",'CC Volume'!B357)</f>
        <v/>
      </c>
      <c r="C357" s="13" t="str">
        <f aca="false">IF('CC Volume'!C357="","",'CC Volume'!C357)</f>
        <v/>
      </c>
      <c r="D357" s="13" t="str">
        <f aca="false">IF('CC Volume'!D357="","",'CC Volume'!D357)</f>
        <v/>
      </c>
      <c r="E357" s="68" t="str">
        <f aca="false">IF('CC Volume'!E357="","",'CC Volume'!E357)</f>
        <v/>
      </c>
      <c r="F357" s="68" t="str">
        <f aca="false">IF('CC Volume'!F357="","",'CC Volume'!F357)</f>
        <v/>
      </c>
      <c r="G357" s="69" t="str">
        <f aca="false">'CC Volume'!AN357</f>
        <v/>
      </c>
      <c r="H357" s="69" t="str">
        <f aca="false">'CC Volume'!AO357</f>
        <v/>
      </c>
      <c r="I357" s="69" t="str">
        <f aca="false">'CC Volume'!AM357</f>
        <v/>
      </c>
      <c r="J357" s="62" t="str">
        <f aca="false">IF(N(H357)=0,"",IFERROR(INDEX(CC_RegRate,MATCH(F357,CC_RegU,0)),0))</f>
        <v/>
      </c>
      <c r="K357" s="62" t="n">
        <f aca="false">N(H357)*N(J357)</f>
        <v>0</v>
      </c>
      <c r="L357" s="62" t="n">
        <f aca="false">IF(CC_IncWaste="Yes",N(I357)*N(XWaste),0)</f>
        <v>0</v>
      </c>
      <c r="M357" s="65" t="n">
        <f aca="false">IF(N(G357)=0,0,IF(CC_AllocBasis="Equipment count",1,IF(CC_AllocBasis="Equipment volume",N(G357),N(H357))))</f>
        <v>0</v>
      </c>
      <c r="N357" s="15" t="n">
        <f aca="false">IF(SUM(CC_P_M)=0,0,M357/SUM(CC_P_M))</f>
        <v>0</v>
      </c>
      <c r="O357" s="62" t="n">
        <f aca="false">N357*CC_SharedCost</f>
        <v>0</v>
      </c>
      <c r="P357" s="63" t="n">
        <f aca="false">K357+L357+O357</f>
        <v>0</v>
      </c>
      <c r="Q357" s="62" t="n">
        <f aca="false">K357*(1+INDEX(MkMatrix,3,3))</f>
        <v>0</v>
      </c>
      <c r="R357" s="62" t="n">
        <f aca="false">L357*(1+INDEX(MkMatrix,3,3))</f>
        <v>0</v>
      </c>
      <c r="S357" s="62" t="n">
        <f aca="false">N357*CC_SharedSell</f>
        <v>0</v>
      </c>
      <c r="T357" s="62" t="n">
        <f aca="false">P357*N(QCont)</f>
        <v>0</v>
      </c>
      <c r="U357" s="62" t="n">
        <f aca="false">Q357+R357+S357+T357</f>
        <v>0</v>
      </c>
      <c r="V357" s="62" t="n">
        <f aca="false">-U357*N(QDisc)</f>
        <v>-0</v>
      </c>
      <c r="W357" s="63" t="n">
        <f aca="false">U357+V357</f>
        <v>0</v>
      </c>
      <c r="X357" s="63" t="n">
        <f aca="false">W357/QRate</f>
        <v>0</v>
      </c>
      <c r="Y357" s="0" t="n">
        <v>11</v>
      </c>
    </row>
    <row r="358" customFormat="false" ht="15" hidden="false" customHeight="false" outlineLevel="0" collapsed="false">
      <c r="A358" s="68" t="n">
        <f aca="false">'CC Volume'!A358</f>
        <v>19</v>
      </c>
      <c r="B358" s="13" t="str">
        <f aca="false">IF('CC Volume'!B358="","",'CC Volume'!B358)</f>
        <v/>
      </c>
      <c r="C358" s="13" t="str">
        <f aca="false">IF('CC Volume'!C358="","",'CC Volume'!C358)</f>
        <v/>
      </c>
      <c r="D358" s="13" t="str">
        <f aca="false">IF('CC Volume'!D358="","",'CC Volume'!D358)</f>
        <v/>
      </c>
      <c r="E358" s="68" t="str">
        <f aca="false">IF('CC Volume'!E358="","",'CC Volume'!E358)</f>
        <v/>
      </c>
      <c r="F358" s="68" t="str">
        <f aca="false">IF('CC Volume'!F358="","",'CC Volume'!F358)</f>
        <v/>
      </c>
      <c r="G358" s="69" t="str">
        <f aca="false">'CC Volume'!AN358</f>
        <v/>
      </c>
      <c r="H358" s="69" t="str">
        <f aca="false">'CC Volume'!AO358</f>
        <v/>
      </c>
      <c r="I358" s="69" t="str">
        <f aca="false">'CC Volume'!AM358</f>
        <v/>
      </c>
      <c r="J358" s="62" t="str">
        <f aca="false">IF(N(H358)=0,"",IFERROR(INDEX(CC_RegRate,MATCH(F358,CC_RegU,0)),0))</f>
        <v/>
      </c>
      <c r="K358" s="62" t="n">
        <f aca="false">N(H358)*N(J358)</f>
        <v>0</v>
      </c>
      <c r="L358" s="62" t="n">
        <f aca="false">IF(CC_IncWaste="Yes",N(I358)*N(XWaste),0)</f>
        <v>0</v>
      </c>
      <c r="M358" s="65" t="n">
        <f aca="false">IF(N(G358)=0,0,IF(CC_AllocBasis="Equipment count",1,IF(CC_AllocBasis="Equipment volume",N(G358),N(H358))))</f>
        <v>0</v>
      </c>
      <c r="N358" s="15" t="n">
        <f aca="false">IF(SUM(CC_P_M)=0,0,M358/SUM(CC_P_M))</f>
        <v>0</v>
      </c>
      <c r="O358" s="62" t="n">
        <f aca="false">N358*CC_SharedCost</f>
        <v>0</v>
      </c>
      <c r="P358" s="63" t="n">
        <f aca="false">K358+L358+O358</f>
        <v>0</v>
      </c>
      <c r="Q358" s="62" t="n">
        <f aca="false">K358*(1+INDEX(MkMatrix,3,3))</f>
        <v>0</v>
      </c>
      <c r="R358" s="62" t="n">
        <f aca="false">L358*(1+INDEX(MkMatrix,3,3))</f>
        <v>0</v>
      </c>
      <c r="S358" s="62" t="n">
        <f aca="false">N358*CC_SharedSell</f>
        <v>0</v>
      </c>
      <c r="T358" s="62" t="n">
        <f aca="false">P358*N(QCont)</f>
        <v>0</v>
      </c>
      <c r="U358" s="62" t="n">
        <f aca="false">Q358+R358+S358+T358</f>
        <v>0</v>
      </c>
      <c r="V358" s="62" t="n">
        <f aca="false">-U358*N(QDisc)</f>
        <v>-0</v>
      </c>
      <c r="W358" s="63" t="n">
        <f aca="false">U358+V358</f>
        <v>0</v>
      </c>
      <c r="X358" s="63" t="n">
        <f aca="false">W358/QRate</f>
        <v>0</v>
      </c>
      <c r="Y358" s="0" t="n">
        <v>11</v>
      </c>
    </row>
    <row r="359" customFormat="false" ht="15" hidden="false" customHeight="false" outlineLevel="0" collapsed="false">
      <c r="A359" s="68" t="n">
        <f aca="false">'CC Volume'!A359</f>
        <v>20</v>
      </c>
      <c r="B359" s="13" t="str">
        <f aca="false">IF('CC Volume'!B359="","",'CC Volume'!B359)</f>
        <v/>
      </c>
      <c r="C359" s="13" t="str">
        <f aca="false">IF('CC Volume'!C359="","",'CC Volume'!C359)</f>
        <v/>
      </c>
      <c r="D359" s="13" t="str">
        <f aca="false">IF('CC Volume'!D359="","",'CC Volume'!D359)</f>
        <v/>
      </c>
      <c r="E359" s="68" t="str">
        <f aca="false">IF('CC Volume'!E359="","",'CC Volume'!E359)</f>
        <v/>
      </c>
      <c r="F359" s="68" t="str">
        <f aca="false">IF('CC Volume'!F359="","",'CC Volume'!F359)</f>
        <v/>
      </c>
      <c r="G359" s="69" t="str">
        <f aca="false">'CC Volume'!AN359</f>
        <v/>
      </c>
      <c r="H359" s="69" t="str">
        <f aca="false">'CC Volume'!AO359</f>
        <v/>
      </c>
      <c r="I359" s="69" t="str">
        <f aca="false">'CC Volume'!AM359</f>
        <v/>
      </c>
      <c r="J359" s="62" t="str">
        <f aca="false">IF(N(H359)=0,"",IFERROR(INDEX(CC_RegRate,MATCH(F359,CC_RegU,0)),0))</f>
        <v/>
      </c>
      <c r="K359" s="62" t="n">
        <f aca="false">N(H359)*N(J359)</f>
        <v>0</v>
      </c>
      <c r="L359" s="62" t="n">
        <f aca="false">IF(CC_IncWaste="Yes",N(I359)*N(XWaste),0)</f>
        <v>0</v>
      </c>
      <c r="M359" s="65" t="n">
        <f aca="false">IF(N(G359)=0,0,IF(CC_AllocBasis="Equipment count",1,IF(CC_AllocBasis="Equipment volume",N(G359),N(H359))))</f>
        <v>0</v>
      </c>
      <c r="N359" s="15" t="n">
        <f aca="false">IF(SUM(CC_P_M)=0,0,M359/SUM(CC_P_M))</f>
        <v>0</v>
      </c>
      <c r="O359" s="62" t="n">
        <f aca="false">N359*CC_SharedCost</f>
        <v>0</v>
      </c>
      <c r="P359" s="63" t="n">
        <f aca="false">K359+L359+O359</f>
        <v>0</v>
      </c>
      <c r="Q359" s="62" t="n">
        <f aca="false">K359*(1+INDEX(MkMatrix,3,3))</f>
        <v>0</v>
      </c>
      <c r="R359" s="62" t="n">
        <f aca="false">L359*(1+INDEX(MkMatrix,3,3))</f>
        <v>0</v>
      </c>
      <c r="S359" s="62" t="n">
        <f aca="false">N359*CC_SharedSell</f>
        <v>0</v>
      </c>
      <c r="T359" s="62" t="n">
        <f aca="false">P359*N(QCont)</f>
        <v>0</v>
      </c>
      <c r="U359" s="62" t="n">
        <f aca="false">Q359+R359+S359+T359</f>
        <v>0</v>
      </c>
      <c r="V359" s="62" t="n">
        <f aca="false">-U359*N(QDisc)</f>
        <v>-0</v>
      </c>
      <c r="W359" s="63" t="n">
        <f aca="false">U359+V359</f>
        <v>0</v>
      </c>
      <c r="X359" s="63" t="n">
        <f aca="false">W359/QRate</f>
        <v>0</v>
      </c>
      <c r="Y359" s="0" t="n">
        <v>11</v>
      </c>
    </row>
    <row r="360" customFormat="false" ht="15" hidden="false" customHeight="false" outlineLevel="0" collapsed="false">
      <c r="A360" s="68" t="n">
        <f aca="false">'CC Volume'!A360</f>
        <v>21</v>
      </c>
      <c r="B360" s="13" t="str">
        <f aca="false">IF('CC Volume'!B360="","",'CC Volume'!B360)</f>
        <v/>
      </c>
      <c r="C360" s="13" t="str">
        <f aca="false">IF('CC Volume'!C360="","",'CC Volume'!C360)</f>
        <v/>
      </c>
      <c r="D360" s="13" t="str">
        <f aca="false">IF('CC Volume'!D360="","",'CC Volume'!D360)</f>
        <v/>
      </c>
      <c r="E360" s="68" t="str">
        <f aca="false">IF('CC Volume'!E360="","",'CC Volume'!E360)</f>
        <v/>
      </c>
      <c r="F360" s="68" t="str">
        <f aca="false">IF('CC Volume'!F360="","",'CC Volume'!F360)</f>
        <v/>
      </c>
      <c r="G360" s="69" t="str">
        <f aca="false">'CC Volume'!AN360</f>
        <v/>
      </c>
      <c r="H360" s="69" t="str">
        <f aca="false">'CC Volume'!AO360</f>
        <v/>
      </c>
      <c r="I360" s="69" t="str">
        <f aca="false">'CC Volume'!AM360</f>
        <v/>
      </c>
      <c r="J360" s="62" t="str">
        <f aca="false">IF(N(H360)=0,"",IFERROR(INDEX(CC_RegRate,MATCH(F360,CC_RegU,0)),0))</f>
        <v/>
      </c>
      <c r="K360" s="62" t="n">
        <f aca="false">N(H360)*N(J360)</f>
        <v>0</v>
      </c>
      <c r="L360" s="62" t="n">
        <f aca="false">IF(CC_IncWaste="Yes",N(I360)*N(XWaste),0)</f>
        <v>0</v>
      </c>
      <c r="M360" s="65" t="n">
        <f aca="false">IF(N(G360)=0,0,IF(CC_AllocBasis="Equipment count",1,IF(CC_AllocBasis="Equipment volume",N(G360),N(H360))))</f>
        <v>0</v>
      </c>
      <c r="N360" s="15" t="n">
        <f aca="false">IF(SUM(CC_P_M)=0,0,M360/SUM(CC_P_M))</f>
        <v>0</v>
      </c>
      <c r="O360" s="62" t="n">
        <f aca="false">N360*CC_SharedCost</f>
        <v>0</v>
      </c>
      <c r="P360" s="63" t="n">
        <f aca="false">K360+L360+O360</f>
        <v>0</v>
      </c>
      <c r="Q360" s="62" t="n">
        <f aca="false">K360*(1+INDEX(MkMatrix,3,3))</f>
        <v>0</v>
      </c>
      <c r="R360" s="62" t="n">
        <f aca="false">L360*(1+INDEX(MkMatrix,3,3))</f>
        <v>0</v>
      </c>
      <c r="S360" s="62" t="n">
        <f aca="false">N360*CC_SharedSell</f>
        <v>0</v>
      </c>
      <c r="T360" s="62" t="n">
        <f aca="false">P360*N(QCont)</f>
        <v>0</v>
      </c>
      <c r="U360" s="62" t="n">
        <f aca="false">Q360+R360+S360+T360</f>
        <v>0</v>
      </c>
      <c r="V360" s="62" t="n">
        <f aca="false">-U360*N(QDisc)</f>
        <v>-0</v>
      </c>
      <c r="W360" s="63" t="n">
        <f aca="false">U360+V360</f>
        <v>0</v>
      </c>
      <c r="X360" s="63" t="n">
        <f aca="false">W360/QRate</f>
        <v>0</v>
      </c>
      <c r="Y360" s="0" t="n">
        <v>11</v>
      </c>
    </row>
    <row r="361" customFormat="false" ht="15" hidden="false" customHeight="false" outlineLevel="0" collapsed="false">
      <c r="A361" s="68" t="n">
        <f aca="false">'CC Volume'!A361</f>
        <v>22</v>
      </c>
      <c r="B361" s="13" t="str">
        <f aca="false">IF('CC Volume'!B361="","",'CC Volume'!B361)</f>
        <v/>
      </c>
      <c r="C361" s="13" t="str">
        <f aca="false">IF('CC Volume'!C361="","",'CC Volume'!C361)</f>
        <v/>
      </c>
      <c r="D361" s="13" t="str">
        <f aca="false">IF('CC Volume'!D361="","",'CC Volume'!D361)</f>
        <v/>
      </c>
      <c r="E361" s="68" t="str">
        <f aca="false">IF('CC Volume'!E361="","",'CC Volume'!E361)</f>
        <v/>
      </c>
      <c r="F361" s="68" t="str">
        <f aca="false">IF('CC Volume'!F361="","",'CC Volume'!F361)</f>
        <v/>
      </c>
      <c r="G361" s="69" t="str">
        <f aca="false">'CC Volume'!AN361</f>
        <v/>
      </c>
      <c r="H361" s="69" t="str">
        <f aca="false">'CC Volume'!AO361</f>
        <v/>
      </c>
      <c r="I361" s="69" t="str">
        <f aca="false">'CC Volume'!AM361</f>
        <v/>
      </c>
      <c r="J361" s="62" t="str">
        <f aca="false">IF(N(H361)=0,"",IFERROR(INDEX(CC_RegRate,MATCH(F361,CC_RegU,0)),0))</f>
        <v/>
      </c>
      <c r="K361" s="62" t="n">
        <f aca="false">N(H361)*N(J361)</f>
        <v>0</v>
      </c>
      <c r="L361" s="62" t="n">
        <f aca="false">IF(CC_IncWaste="Yes",N(I361)*N(XWaste),0)</f>
        <v>0</v>
      </c>
      <c r="M361" s="65" t="n">
        <f aca="false">IF(N(G361)=0,0,IF(CC_AllocBasis="Equipment count",1,IF(CC_AllocBasis="Equipment volume",N(G361),N(H361))))</f>
        <v>0</v>
      </c>
      <c r="N361" s="15" t="n">
        <f aca="false">IF(SUM(CC_P_M)=0,0,M361/SUM(CC_P_M))</f>
        <v>0</v>
      </c>
      <c r="O361" s="62" t="n">
        <f aca="false">N361*CC_SharedCost</f>
        <v>0</v>
      </c>
      <c r="P361" s="63" t="n">
        <f aca="false">K361+L361+O361</f>
        <v>0</v>
      </c>
      <c r="Q361" s="62" t="n">
        <f aca="false">K361*(1+INDEX(MkMatrix,3,3))</f>
        <v>0</v>
      </c>
      <c r="R361" s="62" t="n">
        <f aca="false">L361*(1+INDEX(MkMatrix,3,3))</f>
        <v>0</v>
      </c>
      <c r="S361" s="62" t="n">
        <f aca="false">N361*CC_SharedSell</f>
        <v>0</v>
      </c>
      <c r="T361" s="62" t="n">
        <f aca="false">P361*N(QCont)</f>
        <v>0</v>
      </c>
      <c r="U361" s="62" t="n">
        <f aca="false">Q361+R361+S361+T361</f>
        <v>0</v>
      </c>
      <c r="V361" s="62" t="n">
        <f aca="false">-U361*N(QDisc)</f>
        <v>-0</v>
      </c>
      <c r="W361" s="63" t="n">
        <f aca="false">U361+V361</f>
        <v>0</v>
      </c>
      <c r="X361" s="63" t="n">
        <f aca="false">W361/QRate</f>
        <v>0</v>
      </c>
      <c r="Y361" s="0" t="n">
        <v>11</v>
      </c>
    </row>
    <row r="362" customFormat="false" ht="15" hidden="false" customHeight="false" outlineLevel="0" collapsed="false">
      <c r="A362" s="68" t="n">
        <f aca="false">'CC Volume'!A362</f>
        <v>23</v>
      </c>
      <c r="B362" s="13" t="str">
        <f aca="false">IF('CC Volume'!B362="","",'CC Volume'!B362)</f>
        <v/>
      </c>
      <c r="C362" s="13" t="str">
        <f aca="false">IF('CC Volume'!C362="","",'CC Volume'!C362)</f>
        <v/>
      </c>
      <c r="D362" s="13" t="str">
        <f aca="false">IF('CC Volume'!D362="","",'CC Volume'!D362)</f>
        <v/>
      </c>
      <c r="E362" s="68" t="str">
        <f aca="false">IF('CC Volume'!E362="","",'CC Volume'!E362)</f>
        <v/>
      </c>
      <c r="F362" s="68" t="str">
        <f aca="false">IF('CC Volume'!F362="","",'CC Volume'!F362)</f>
        <v/>
      </c>
      <c r="G362" s="69" t="str">
        <f aca="false">'CC Volume'!AN362</f>
        <v/>
      </c>
      <c r="H362" s="69" t="str">
        <f aca="false">'CC Volume'!AO362</f>
        <v/>
      </c>
      <c r="I362" s="69" t="str">
        <f aca="false">'CC Volume'!AM362</f>
        <v/>
      </c>
      <c r="J362" s="62" t="str">
        <f aca="false">IF(N(H362)=0,"",IFERROR(INDEX(CC_RegRate,MATCH(F362,CC_RegU,0)),0))</f>
        <v/>
      </c>
      <c r="K362" s="62" t="n">
        <f aca="false">N(H362)*N(J362)</f>
        <v>0</v>
      </c>
      <c r="L362" s="62" t="n">
        <f aca="false">IF(CC_IncWaste="Yes",N(I362)*N(XWaste),0)</f>
        <v>0</v>
      </c>
      <c r="M362" s="65" t="n">
        <f aca="false">IF(N(G362)=0,0,IF(CC_AllocBasis="Equipment count",1,IF(CC_AllocBasis="Equipment volume",N(G362),N(H362))))</f>
        <v>0</v>
      </c>
      <c r="N362" s="15" t="n">
        <f aca="false">IF(SUM(CC_P_M)=0,0,M362/SUM(CC_P_M))</f>
        <v>0</v>
      </c>
      <c r="O362" s="62" t="n">
        <f aca="false">N362*CC_SharedCost</f>
        <v>0</v>
      </c>
      <c r="P362" s="63" t="n">
        <f aca="false">K362+L362+O362</f>
        <v>0</v>
      </c>
      <c r="Q362" s="62" t="n">
        <f aca="false">K362*(1+INDEX(MkMatrix,3,3))</f>
        <v>0</v>
      </c>
      <c r="R362" s="62" t="n">
        <f aca="false">L362*(1+INDEX(MkMatrix,3,3))</f>
        <v>0</v>
      </c>
      <c r="S362" s="62" t="n">
        <f aca="false">N362*CC_SharedSell</f>
        <v>0</v>
      </c>
      <c r="T362" s="62" t="n">
        <f aca="false">P362*N(QCont)</f>
        <v>0</v>
      </c>
      <c r="U362" s="62" t="n">
        <f aca="false">Q362+R362+S362+T362</f>
        <v>0</v>
      </c>
      <c r="V362" s="62" t="n">
        <f aca="false">-U362*N(QDisc)</f>
        <v>-0</v>
      </c>
      <c r="W362" s="63" t="n">
        <f aca="false">U362+V362</f>
        <v>0</v>
      </c>
      <c r="X362" s="63" t="n">
        <f aca="false">W362/QRate</f>
        <v>0</v>
      </c>
      <c r="Y362" s="0" t="n">
        <v>11</v>
      </c>
    </row>
    <row r="363" customFormat="false" ht="15" hidden="false" customHeight="false" outlineLevel="0" collapsed="false">
      <c r="A363" s="68" t="n">
        <f aca="false">'CC Volume'!A363</f>
        <v>24</v>
      </c>
      <c r="B363" s="13" t="str">
        <f aca="false">IF('CC Volume'!B363="","",'CC Volume'!B363)</f>
        <v/>
      </c>
      <c r="C363" s="13" t="str">
        <f aca="false">IF('CC Volume'!C363="","",'CC Volume'!C363)</f>
        <v/>
      </c>
      <c r="D363" s="13" t="str">
        <f aca="false">IF('CC Volume'!D363="","",'CC Volume'!D363)</f>
        <v/>
      </c>
      <c r="E363" s="68" t="str">
        <f aca="false">IF('CC Volume'!E363="","",'CC Volume'!E363)</f>
        <v/>
      </c>
      <c r="F363" s="68" t="str">
        <f aca="false">IF('CC Volume'!F363="","",'CC Volume'!F363)</f>
        <v/>
      </c>
      <c r="G363" s="69" t="str">
        <f aca="false">'CC Volume'!AN363</f>
        <v/>
      </c>
      <c r="H363" s="69" t="str">
        <f aca="false">'CC Volume'!AO363</f>
        <v/>
      </c>
      <c r="I363" s="69" t="str">
        <f aca="false">'CC Volume'!AM363</f>
        <v/>
      </c>
      <c r="J363" s="62" t="str">
        <f aca="false">IF(N(H363)=0,"",IFERROR(INDEX(CC_RegRate,MATCH(F363,CC_RegU,0)),0))</f>
        <v/>
      </c>
      <c r="K363" s="62" t="n">
        <f aca="false">N(H363)*N(J363)</f>
        <v>0</v>
      </c>
      <c r="L363" s="62" t="n">
        <f aca="false">IF(CC_IncWaste="Yes",N(I363)*N(XWaste),0)</f>
        <v>0</v>
      </c>
      <c r="M363" s="65" t="n">
        <f aca="false">IF(N(G363)=0,0,IF(CC_AllocBasis="Equipment count",1,IF(CC_AllocBasis="Equipment volume",N(G363),N(H363))))</f>
        <v>0</v>
      </c>
      <c r="N363" s="15" t="n">
        <f aca="false">IF(SUM(CC_P_M)=0,0,M363/SUM(CC_P_M))</f>
        <v>0</v>
      </c>
      <c r="O363" s="62" t="n">
        <f aca="false">N363*CC_SharedCost</f>
        <v>0</v>
      </c>
      <c r="P363" s="63" t="n">
        <f aca="false">K363+L363+O363</f>
        <v>0</v>
      </c>
      <c r="Q363" s="62" t="n">
        <f aca="false">K363*(1+INDEX(MkMatrix,3,3))</f>
        <v>0</v>
      </c>
      <c r="R363" s="62" t="n">
        <f aca="false">L363*(1+INDEX(MkMatrix,3,3))</f>
        <v>0</v>
      </c>
      <c r="S363" s="62" t="n">
        <f aca="false">N363*CC_SharedSell</f>
        <v>0</v>
      </c>
      <c r="T363" s="62" t="n">
        <f aca="false">P363*N(QCont)</f>
        <v>0</v>
      </c>
      <c r="U363" s="62" t="n">
        <f aca="false">Q363+R363+S363+T363</f>
        <v>0</v>
      </c>
      <c r="V363" s="62" t="n">
        <f aca="false">-U363*N(QDisc)</f>
        <v>-0</v>
      </c>
      <c r="W363" s="63" t="n">
        <f aca="false">U363+V363</f>
        <v>0</v>
      </c>
      <c r="X363" s="63" t="n">
        <f aca="false">W363/QRate</f>
        <v>0</v>
      </c>
      <c r="Y363" s="0" t="n">
        <v>11</v>
      </c>
    </row>
    <row r="364" customFormat="false" ht="15" hidden="false" customHeight="false" outlineLevel="0" collapsed="false">
      <c r="A364" s="68" t="n">
        <f aca="false">'CC Volume'!A364</f>
        <v>25</v>
      </c>
      <c r="B364" s="13" t="str">
        <f aca="false">IF('CC Volume'!B364="","",'CC Volume'!B364)</f>
        <v/>
      </c>
      <c r="C364" s="13" t="str">
        <f aca="false">IF('CC Volume'!C364="","",'CC Volume'!C364)</f>
        <v/>
      </c>
      <c r="D364" s="13" t="str">
        <f aca="false">IF('CC Volume'!D364="","",'CC Volume'!D364)</f>
        <v/>
      </c>
      <c r="E364" s="68" t="str">
        <f aca="false">IF('CC Volume'!E364="","",'CC Volume'!E364)</f>
        <v/>
      </c>
      <c r="F364" s="68" t="str">
        <f aca="false">IF('CC Volume'!F364="","",'CC Volume'!F364)</f>
        <v/>
      </c>
      <c r="G364" s="69" t="str">
        <f aca="false">'CC Volume'!AN364</f>
        <v/>
      </c>
      <c r="H364" s="69" t="str">
        <f aca="false">'CC Volume'!AO364</f>
        <v/>
      </c>
      <c r="I364" s="69" t="str">
        <f aca="false">'CC Volume'!AM364</f>
        <v/>
      </c>
      <c r="J364" s="62" t="str">
        <f aca="false">IF(N(H364)=0,"",IFERROR(INDEX(CC_RegRate,MATCH(F364,CC_RegU,0)),0))</f>
        <v/>
      </c>
      <c r="K364" s="62" t="n">
        <f aca="false">N(H364)*N(J364)</f>
        <v>0</v>
      </c>
      <c r="L364" s="62" t="n">
        <f aca="false">IF(CC_IncWaste="Yes",N(I364)*N(XWaste),0)</f>
        <v>0</v>
      </c>
      <c r="M364" s="65" t="n">
        <f aca="false">IF(N(G364)=0,0,IF(CC_AllocBasis="Equipment count",1,IF(CC_AllocBasis="Equipment volume",N(G364),N(H364))))</f>
        <v>0</v>
      </c>
      <c r="N364" s="15" t="n">
        <f aca="false">IF(SUM(CC_P_M)=0,0,M364/SUM(CC_P_M))</f>
        <v>0</v>
      </c>
      <c r="O364" s="62" t="n">
        <f aca="false">N364*CC_SharedCost</f>
        <v>0</v>
      </c>
      <c r="P364" s="63" t="n">
        <f aca="false">K364+L364+O364</f>
        <v>0</v>
      </c>
      <c r="Q364" s="62" t="n">
        <f aca="false">K364*(1+INDEX(MkMatrix,3,3))</f>
        <v>0</v>
      </c>
      <c r="R364" s="62" t="n">
        <f aca="false">L364*(1+INDEX(MkMatrix,3,3))</f>
        <v>0</v>
      </c>
      <c r="S364" s="62" t="n">
        <f aca="false">N364*CC_SharedSell</f>
        <v>0</v>
      </c>
      <c r="T364" s="62" t="n">
        <f aca="false">P364*N(QCont)</f>
        <v>0</v>
      </c>
      <c r="U364" s="62" t="n">
        <f aca="false">Q364+R364+S364+T364</f>
        <v>0</v>
      </c>
      <c r="V364" s="62" t="n">
        <f aca="false">-U364*N(QDisc)</f>
        <v>-0</v>
      </c>
      <c r="W364" s="63" t="n">
        <f aca="false">U364+V364</f>
        <v>0</v>
      </c>
      <c r="X364" s="63" t="n">
        <f aca="false">W364/QRate</f>
        <v>0</v>
      </c>
      <c r="Y364" s="0" t="n">
        <v>11</v>
      </c>
    </row>
    <row r="365" customFormat="false" ht="15" hidden="false" customHeight="false" outlineLevel="0" collapsed="false">
      <c r="A365" s="68" t="n">
        <f aca="false">'CC Volume'!A365</f>
        <v>26</v>
      </c>
      <c r="B365" s="13" t="str">
        <f aca="false">IF('CC Volume'!B365="","",'CC Volume'!B365)</f>
        <v/>
      </c>
      <c r="C365" s="13" t="str">
        <f aca="false">IF('CC Volume'!C365="","",'CC Volume'!C365)</f>
        <v/>
      </c>
      <c r="D365" s="13" t="str">
        <f aca="false">IF('CC Volume'!D365="","",'CC Volume'!D365)</f>
        <v/>
      </c>
      <c r="E365" s="68" t="str">
        <f aca="false">IF('CC Volume'!E365="","",'CC Volume'!E365)</f>
        <v/>
      </c>
      <c r="F365" s="68" t="str">
        <f aca="false">IF('CC Volume'!F365="","",'CC Volume'!F365)</f>
        <v/>
      </c>
      <c r="G365" s="69" t="str">
        <f aca="false">'CC Volume'!AN365</f>
        <v/>
      </c>
      <c r="H365" s="69" t="str">
        <f aca="false">'CC Volume'!AO365</f>
        <v/>
      </c>
      <c r="I365" s="69" t="str">
        <f aca="false">'CC Volume'!AM365</f>
        <v/>
      </c>
      <c r="J365" s="62" t="str">
        <f aca="false">IF(N(H365)=0,"",IFERROR(INDEX(CC_RegRate,MATCH(F365,CC_RegU,0)),0))</f>
        <v/>
      </c>
      <c r="K365" s="62" t="n">
        <f aca="false">N(H365)*N(J365)</f>
        <v>0</v>
      </c>
      <c r="L365" s="62" t="n">
        <f aca="false">IF(CC_IncWaste="Yes",N(I365)*N(XWaste),0)</f>
        <v>0</v>
      </c>
      <c r="M365" s="65" t="n">
        <f aca="false">IF(N(G365)=0,0,IF(CC_AllocBasis="Equipment count",1,IF(CC_AllocBasis="Equipment volume",N(G365),N(H365))))</f>
        <v>0</v>
      </c>
      <c r="N365" s="15" t="n">
        <f aca="false">IF(SUM(CC_P_M)=0,0,M365/SUM(CC_P_M))</f>
        <v>0</v>
      </c>
      <c r="O365" s="62" t="n">
        <f aca="false">N365*CC_SharedCost</f>
        <v>0</v>
      </c>
      <c r="P365" s="63" t="n">
        <f aca="false">K365+L365+O365</f>
        <v>0</v>
      </c>
      <c r="Q365" s="62" t="n">
        <f aca="false">K365*(1+INDEX(MkMatrix,3,3))</f>
        <v>0</v>
      </c>
      <c r="R365" s="62" t="n">
        <f aca="false">L365*(1+INDEX(MkMatrix,3,3))</f>
        <v>0</v>
      </c>
      <c r="S365" s="62" t="n">
        <f aca="false">N365*CC_SharedSell</f>
        <v>0</v>
      </c>
      <c r="T365" s="62" t="n">
        <f aca="false">P365*N(QCont)</f>
        <v>0</v>
      </c>
      <c r="U365" s="62" t="n">
        <f aca="false">Q365+R365+S365+T365</f>
        <v>0</v>
      </c>
      <c r="V365" s="62" t="n">
        <f aca="false">-U365*N(QDisc)</f>
        <v>-0</v>
      </c>
      <c r="W365" s="63" t="n">
        <f aca="false">U365+V365</f>
        <v>0</v>
      </c>
      <c r="X365" s="63" t="n">
        <f aca="false">W365/QRate</f>
        <v>0</v>
      </c>
      <c r="Y365" s="0" t="n">
        <v>11</v>
      </c>
    </row>
    <row r="366" customFormat="false" ht="15" hidden="false" customHeight="false" outlineLevel="0" collapsed="false">
      <c r="A366" s="68" t="n">
        <f aca="false">'CC Volume'!A366</f>
        <v>27</v>
      </c>
      <c r="B366" s="13" t="str">
        <f aca="false">IF('CC Volume'!B366="","",'CC Volume'!B366)</f>
        <v/>
      </c>
      <c r="C366" s="13" t="str">
        <f aca="false">IF('CC Volume'!C366="","",'CC Volume'!C366)</f>
        <v/>
      </c>
      <c r="D366" s="13" t="str">
        <f aca="false">IF('CC Volume'!D366="","",'CC Volume'!D366)</f>
        <v/>
      </c>
      <c r="E366" s="68" t="str">
        <f aca="false">IF('CC Volume'!E366="","",'CC Volume'!E366)</f>
        <v/>
      </c>
      <c r="F366" s="68" t="str">
        <f aca="false">IF('CC Volume'!F366="","",'CC Volume'!F366)</f>
        <v/>
      </c>
      <c r="G366" s="69" t="str">
        <f aca="false">'CC Volume'!AN366</f>
        <v/>
      </c>
      <c r="H366" s="69" t="str">
        <f aca="false">'CC Volume'!AO366</f>
        <v/>
      </c>
      <c r="I366" s="69" t="str">
        <f aca="false">'CC Volume'!AM366</f>
        <v/>
      </c>
      <c r="J366" s="62" t="str">
        <f aca="false">IF(N(H366)=0,"",IFERROR(INDEX(CC_RegRate,MATCH(F366,CC_RegU,0)),0))</f>
        <v/>
      </c>
      <c r="K366" s="62" t="n">
        <f aca="false">N(H366)*N(J366)</f>
        <v>0</v>
      </c>
      <c r="L366" s="62" t="n">
        <f aca="false">IF(CC_IncWaste="Yes",N(I366)*N(XWaste),0)</f>
        <v>0</v>
      </c>
      <c r="M366" s="65" t="n">
        <f aca="false">IF(N(G366)=0,0,IF(CC_AllocBasis="Equipment count",1,IF(CC_AllocBasis="Equipment volume",N(G366),N(H366))))</f>
        <v>0</v>
      </c>
      <c r="N366" s="15" t="n">
        <f aca="false">IF(SUM(CC_P_M)=0,0,M366/SUM(CC_P_M))</f>
        <v>0</v>
      </c>
      <c r="O366" s="62" t="n">
        <f aca="false">N366*CC_SharedCost</f>
        <v>0</v>
      </c>
      <c r="P366" s="63" t="n">
        <f aca="false">K366+L366+O366</f>
        <v>0</v>
      </c>
      <c r="Q366" s="62" t="n">
        <f aca="false">K366*(1+INDEX(MkMatrix,3,3))</f>
        <v>0</v>
      </c>
      <c r="R366" s="62" t="n">
        <f aca="false">L366*(1+INDEX(MkMatrix,3,3))</f>
        <v>0</v>
      </c>
      <c r="S366" s="62" t="n">
        <f aca="false">N366*CC_SharedSell</f>
        <v>0</v>
      </c>
      <c r="T366" s="62" t="n">
        <f aca="false">P366*N(QCont)</f>
        <v>0</v>
      </c>
      <c r="U366" s="62" t="n">
        <f aca="false">Q366+R366+S366+T366</f>
        <v>0</v>
      </c>
      <c r="V366" s="62" t="n">
        <f aca="false">-U366*N(QDisc)</f>
        <v>-0</v>
      </c>
      <c r="W366" s="63" t="n">
        <f aca="false">U366+V366</f>
        <v>0</v>
      </c>
      <c r="X366" s="63" t="n">
        <f aca="false">W366/QRate</f>
        <v>0</v>
      </c>
      <c r="Y366" s="0" t="n">
        <v>11</v>
      </c>
    </row>
    <row r="367" customFormat="false" ht="15" hidden="false" customHeight="false" outlineLevel="0" collapsed="false">
      <c r="A367" s="68" t="n">
        <f aca="false">'CC Volume'!A367</f>
        <v>28</v>
      </c>
      <c r="B367" s="13" t="str">
        <f aca="false">IF('CC Volume'!B367="","",'CC Volume'!B367)</f>
        <v/>
      </c>
      <c r="C367" s="13" t="str">
        <f aca="false">IF('CC Volume'!C367="","",'CC Volume'!C367)</f>
        <v/>
      </c>
      <c r="D367" s="13" t="str">
        <f aca="false">IF('CC Volume'!D367="","",'CC Volume'!D367)</f>
        <v/>
      </c>
      <c r="E367" s="68" t="str">
        <f aca="false">IF('CC Volume'!E367="","",'CC Volume'!E367)</f>
        <v/>
      </c>
      <c r="F367" s="68" t="str">
        <f aca="false">IF('CC Volume'!F367="","",'CC Volume'!F367)</f>
        <v/>
      </c>
      <c r="G367" s="69" t="str">
        <f aca="false">'CC Volume'!AN367</f>
        <v/>
      </c>
      <c r="H367" s="69" t="str">
        <f aca="false">'CC Volume'!AO367</f>
        <v/>
      </c>
      <c r="I367" s="69" t="str">
        <f aca="false">'CC Volume'!AM367</f>
        <v/>
      </c>
      <c r="J367" s="62" t="str">
        <f aca="false">IF(N(H367)=0,"",IFERROR(INDEX(CC_RegRate,MATCH(F367,CC_RegU,0)),0))</f>
        <v/>
      </c>
      <c r="K367" s="62" t="n">
        <f aca="false">N(H367)*N(J367)</f>
        <v>0</v>
      </c>
      <c r="L367" s="62" t="n">
        <f aca="false">IF(CC_IncWaste="Yes",N(I367)*N(XWaste),0)</f>
        <v>0</v>
      </c>
      <c r="M367" s="65" t="n">
        <f aca="false">IF(N(G367)=0,0,IF(CC_AllocBasis="Equipment count",1,IF(CC_AllocBasis="Equipment volume",N(G367),N(H367))))</f>
        <v>0</v>
      </c>
      <c r="N367" s="15" t="n">
        <f aca="false">IF(SUM(CC_P_M)=0,0,M367/SUM(CC_P_M))</f>
        <v>0</v>
      </c>
      <c r="O367" s="62" t="n">
        <f aca="false">N367*CC_SharedCost</f>
        <v>0</v>
      </c>
      <c r="P367" s="63" t="n">
        <f aca="false">K367+L367+O367</f>
        <v>0</v>
      </c>
      <c r="Q367" s="62" t="n">
        <f aca="false">K367*(1+INDEX(MkMatrix,3,3))</f>
        <v>0</v>
      </c>
      <c r="R367" s="62" t="n">
        <f aca="false">L367*(1+INDEX(MkMatrix,3,3))</f>
        <v>0</v>
      </c>
      <c r="S367" s="62" t="n">
        <f aca="false">N367*CC_SharedSell</f>
        <v>0</v>
      </c>
      <c r="T367" s="62" t="n">
        <f aca="false">P367*N(QCont)</f>
        <v>0</v>
      </c>
      <c r="U367" s="62" t="n">
        <f aca="false">Q367+R367+S367+T367</f>
        <v>0</v>
      </c>
      <c r="V367" s="62" t="n">
        <f aca="false">-U367*N(QDisc)</f>
        <v>-0</v>
      </c>
      <c r="W367" s="63" t="n">
        <f aca="false">U367+V367</f>
        <v>0</v>
      </c>
      <c r="X367" s="63" t="n">
        <f aca="false">W367/QRate</f>
        <v>0</v>
      </c>
      <c r="Y367" s="0" t="n">
        <v>11</v>
      </c>
    </row>
    <row r="368" customFormat="false" ht="15" hidden="false" customHeight="false" outlineLevel="0" collapsed="false">
      <c r="A368" s="68" t="n">
        <f aca="false">'CC Volume'!A368</f>
        <v>29</v>
      </c>
      <c r="B368" s="13" t="str">
        <f aca="false">IF('CC Volume'!B368="","",'CC Volume'!B368)</f>
        <v/>
      </c>
      <c r="C368" s="13" t="str">
        <f aca="false">IF('CC Volume'!C368="","",'CC Volume'!C368)</f>
        <v/>
      </c>
      <c r="D368" s="13" t="str">
        <f aca="false">IF('CC Volume'!D368="","",'CC Volume'!D368)</f>
        <v/>
      </c>
      <c r="E368" s="68" t="str">
        <f aca="false">IF('CC Volume'!E368="","",'CC Volume'!E368)</f>
        <v/>
      </c>
      <c r="F368" s="68" t="str">
        <f aca="false">IF('CC Volume'!F368="","",'CC Volume'!F368)</f>
        <v/>
      </c>
      <c r="G368" s="69" t="str">
        <f aca="false">'CC Volume'!AN368</f>
        <v/>
      </c>
      <c r="H368" s="69" t="str">
        <f aca="false">'CC Volume'!AO368</f>
        <v/>
      </c>
      <c r="I368" s="69" t="str">
        <f aca="false">'CC Volume'!AM368</f>
        <v/>
      </c>
      <c r="J368" s="62" t="str">
        <f aca="false">IF(N(H368)=0,"",IFERROR(INDEX(CC_RegRate,MATCH(F368,CC_RegU,0)),0))</f>
        <v/>
      </c>
      <c r="K368" s="62" t="n">
        <f aca="false">N(H368)*N(J368)</f>
        <v>0</v>
      </c>
      <c r="L368" s="62" t="n">
        <f aca="false">IF(CC_IncWaste="Yes",N(I368)*N(XWaste),0)</f>
        <v>0</v>
      </c>
      <c r="M368" s="65" t="n">
        <f aca="false">IF(N(G368)=0,0,IF(CC_AllocBasis="Equipment count",1,IF(CC_AllocBasis="Equipment volume",N(G368),N(H368))))</f>
        <v>0</v>
      </c>
      <c r="N368" s="15" t="n">
        <f aca="false">IF(SUM(CC_P_M)=0,0,M368/SUM(CC_P_M))</f>
        <v>0</v>
      </c>
      <c r="O368" s="62" t="n">
        <f aca="false">N368*CC_SharedCost</f>
        <v>0</v>
      </c>
      <c r="P368" s="63" t="n">
        <f aca="false">K368+L368+O368</f>
        <v>0</v>
      </c>
      <c r="Q368" s="62" t="n">
        <f aca="false">K368*(1+INDEX(MkMatrix,3,3))</f>
        <v>0</v>
      </c>
      <c r="R368" s="62" t="n">
        <f aca="false">L368*(1+INDEX(MkMatrix,3,3))</f>
        <v>0</v>
      </c>
      <c r="S368" s="62" t="n">
        <f aca="false">N368*CC_SharedSell</f>
        <v>0</v>
      </c>
      <c r="T368" s="62" t="n">
        <f aca="false">P368*N(QCont)</f>
        <v>0</v>
      </c>
      <c r="U368" s="62" t="n">
        <f aca="false">Q368+R368+S368+T368</f>
        <v>0</v>
      </c>
      <c r="V368" s="62" t="n">
        <f aca="false">-U368*N(QDisc)</f>
        <v>-0</v>
      </c>
      <c r="W368" s="63" t="n">
        <f aca="false">U368+V368</f>
        <v>0</v>
      </c>
      <c r="X368" s="63" t="n">
        <f aca="false">W368/QRate</f>
        <v>0</v>
      </c>
      <c r="Y368" s="0" t="n">
        <v>11</v>
      </c>
    </row>
    <row r="369" customFormat="false" ht="15" hidden="false" customHeight="false" outlineLevel="0" collapsed="false">
      <c r="A369" s="68" t="n">
        <f aca="false">'CC Volume'!A369</f>
        <v>30</v>
      </c>
      <c r="B369" s="13" t="str">
        <f aca="false">IF('CC Volume'!B369="","",'CC Volume'!B369)</f>
        <v/>
      </c>
      <c r="C369" s="13" t="str">
        <f aca="false">IF('CC Volume'!C369="","",'CC Volume'!C369)</f>
        <v/>
      </c>
      <c r="D369" s="13" t="str">
        <f aca="false">IF('CC Volume'!D369="","",'CC Volume'!D369)</f>
        <v/>
      </c>
      <c r="E369" s="68" t="str">
        <f aca="false">IF('CC Volume'!E369="","",'CC Volume'!E369)</f>
        <v/>
      </c>
      <c r="F369" s="68" t="str">
        <f aca="false">IF('CC Volume'!F369="","",'CC Volume'!F369)</f>
        <v/>
      </c>
      <c r="G369" s="69" t="str">
        <f aca="false">'CC Volume'!AN369</f>
        <v/>
      </c>
      <c r="H369" s="69" t="str">
        <f aca="false">'CC Volume'!AO369</f>
        <v/>
      </c>
      <c r="I369" s="69" t="str">
        <f aca="false">'CC Volume'!AM369</f>
        <v/>
      </c>
      <c r="J369" s="62" t="str">
        <f aca="false">IF(N(H369)=0,"",IFERROR(INDEX(CC_RegRate,MATCH(F369,CC_RegU,0)),0))</f>
        <v/>
      </c>
      <c r="K369" s="62" t="n">
        <f aca="false">N(H369)*N(J369)</f>
        <v>0</v>
      </c>
      <c r="L369" s="62" t="n">
        <f aca="false">IF(CC_IncWaste="Yes",N(I369)*N(XWaste),0)</f>
        <v>0</v>
      </c>
      <c r="M369" s="65" t="n">
        <f aca="false">IF(N(G369)=0,0,IF(CC_AllocBasis="Equipment count",1,IF(CC_AllocBasis="Equipment volume",N(G369),N(H369))))</f>
        <v>0</v>
      </c>
      <c r="N369" s="15" t="n">
        <f aca="false">IF(SUM(CC_P_M)=0,0,M369/SUM(CC_P_M))</f>
        <v>0</v>
      </c>
      <c r="O369" s="62" t="n">
        <f aca="false">N369*CC_SharedCost</f>
        <v>0</v>
      </c>
      <c r="P369" s="63" t="n">
        <f aca="false">K369+L369+O369</f>
        <v>0</v>
      </c>
      <c r="Q369" s="62" t="n">
        <f aca="false">K369*(1+INDEX(MkMatrix,3,3))</f>
        <v>0</v>
      </c>
      <c r="R369" s="62" t="n">
        <f aca="false">L369*(1+INDEX(MkMatrix,3,3))</f>
        <v>0</v>
      </c>
      <c r="S369" s="62" t="n">
        <f aca="false">N369*CC_SharedSell</f>
        <v>0</v>
      </c>
      <c r="T369" s="62" t="n">
        <f aca="false">P369*N(QCont)</f>
        <v>0</v>
      </c>
      <c r="U369" s="62" t="n">
        <f aca="false">Q369+R369+S369+T369</f>
        <v>0</v>
      </c>
      <c r="V369" s="62" t="n">
        <f aca="false">-U369*N(QDisc)</f>
        <v>-0</v>
      </c>
      <c r="W369" s="63" t="n">
        <f aca="false">U369+V369</f>
        <v>0</v>
      </c>
      <c r="X369" s="63" t="n">
        <f aca="false">W369/QRate</f>
        <v>0</v>
      </c>
      <c r="Y369" s="0" t="n">
        <v>11</v>
      </c>
    </row>
    <row r="370" customFormat="false" ht="15" hidden="false" customHeight="false" outlineLevel="0" collapsed="false">
      <c r="A370" s="44" t="str">
        <f aca="false">"TOTAL – "&amp;INDEX(CC_UnitNames,11)</f>
        <v>TOTAL – Unit 11</v>
      </c>
      <c r="B370" s="44"/>
      <c r="C370" s="44"/>
      <c r="D370" s="44"/>
      <c r="E370" s="44"/>
      <c r="F370" s="44"/>
      <c r="G370" s="47" t="n">
        <f aca="false">SUM(G340:G369)</f>
        <v>0</v>
      </c>
      <c r="H370" s="47" t="n">
        <f aca="false">SUM(H340:H369)</f>
        <v>0</v>
      </c>
      <c r="I370" s="47" t="n">
        <f aca="false">SUM(I340:I369)</f>
        <v>0</v>
      </c>
      <c r="J370" s="45"/>
      <c r="K370" s="70" t="n">
        <f aca="false">SUM(K340:K369)</f>
        <v>0</v>
      </c>
      <c r="L370" s="70" t="n">
        <f aca="false">SUM(L340:L369)</f>
        <v>0</v>
      </c>
      <c r="M370" s="45"/>
      <c r="N370" s="45"/>
      <c r="O370" s="70" t="n">
        <f aca="false">SUM(O340:O369)</f>
        <v>0</v>
      </c>
      <c r="P370" s="70" t="n">
        <f aca="false">SUM(P340:P369)</f>
        <v>0</v>
      </c>
      <c r="Q370" s="70" t="n">
        <f aca="false">SUM(Q340:Q369)</f>
        <v>0</v>
      </c>
      <c r="R370" s="70" t="n">
        <f aca="false">SUM(R340:R369)</f>
        <v>0</v>
      </c>
      <c r="S370" s="70" t="n">
        <f aca="false">SUM(S340:S369)</f>
        <v>0</v>
      </c>
      <c r="T370" s="70" t="n">
        <f aca="false">SUM(T340:T369)</f>
        <v>0</v>
      </c>
      <c r="U370" s="70" t="n">
        <f aca="false">SUM(U340:U369)</f>
        <v>0</v>
      </c>
      <c r="V370" s="70" t="n">
        <f aca="false">SUM(V340:V369)</f>
        <v>0</v>
      </c>
      <c r="W370" s="70" t="n">
        <f aca="false">SUM(W340:W369)</f>
        <v>0</v>
      </c>
      <c r="X370" s="70" t="n">
        <f aca="false">SUM(X340:X369)</f>
        <v>0</v>
      </c>
    </row>
    <row r="372" customFormat="false" ht="15" hidden="false" customHeight="false" outlineLevel="0" collapsed="false">
      <c r="A372" s="38" t="str">
        <f aca="false">"UNIT 12:  "&amp;INDEX(CC_UnitNames,12)</f>
        <v>UNIT 12:  Unit 12</v>
      </c>
      <c r="B372" s="38"/>
      <c r="C372" s="38"/>
      <c r="D372" s="38"/>
      <c r="E372" s="39"/>
      <c r="F372" s="39"/>
      <c r="G372" s="39"/>
      <c r="H372" s="39"/>
      <c r="I372" s="39"/>
      <c r="J372" s="39"/>
      <c r="K372" s="39"/>
      <c r="L372" s="39"/>
      <c r="M372" s="39"/>
      <c r="N372" s="39"/>
      <c r="O372" s="39"/>
      <c r="P372" s="39"/>
      <c r="Q372" s="39"/>
      <c r="R372" s="39"/>
      <c r="S372" s="39"/>
      <c r="T372" s="39"/>
      <c r="U372" s="39"/>
      <c r="V372" s="39"/>
      <c r="W372" s="39"/>
      <c r="X372" s="39"/>
    </row>
    <row r="373" customFormat="false" ht="15" hidden="false" customHeight="false" outlineLevel="0" collapsed="false">
      <c r="A373" s="68" t="n">
        <f aca="false">'CC Volume'!A373</f>
        <v>1</v>
      </c>
      <c r="B373" s="13" t="str">
        <f aca="false">IF('CC Volume'!B373="","",'CC Volume'!B373)</f>
        <v/>
      </c>
      <c r="C373" s="13" t="str">
        <f aca="false">IF('CC Volume'!C373="","",'CC Volume'!C373)</f>
        <v/>
      </c>
      <c r="D373" s="13" t="str">
        <f aca="false">IF('CC Volume'!D373="","",'CC Volume'!D373)</f>
        <v/>
      </c>
      <c r="E373" s="68" t="str">
        <f aca="false">IF('CC Volume'!E373="","",'CC Volume'!E373)</f>
        <v/>
      </c>
      <c r="F373" s="68" t="str">
        <f aca="false">IF('CC Volume'!F373="","",'CC Volume'!F373)</f>
        <v/>
      </c>
      <c r="G373" s="69" t="str">
        <f aca="false">'CC Volume'!AN373</f>
        <v/>
      </c>
      <c r="H373" s="69" t="str">
        <f aca="false">'CC Volume'!AO373</f>
        <v/>
      </c>
      <c r="I373" s="69" t="str">
        <f aca="false">'CC Volume'!AM373</f>
        <v/>
      </c>
      <c r="J373" s="62" t="str">
        <f aca="false">IF(N(H373)=0,"",IFERROR(INDEX(CC_RegRate,MATCH(F373,CC_RegU,0)),0))</f>
        <v/>
      </c>
      <c r="K373" s="62" t="n">
        <f aca="false">N(H373)*N(J373)</f>
        <v>0</v>
      </c>
      <c r="L373" s="62" t="n">
        <f aca="false">IF(CC_IncWaste="Yes",N(I373)*N(XWaste),0)</f>
        <v>0</v>
      </c>
      <c r="M373" s="65" t="n">
        <f aca="false">IF(N(G373)=0,0,IF(CC_AllocBasis="Equipment count",1,IF(CC_AllocBasis="Equipment volume",N(G373),N(H373))))</f>
        <v>0</v>
      </c>
      <c r="N373" s="15" t="n">
        <f aca="false">IF(SUM(CC_P_M)=0,0,M373/SUM(CC_P_M))</f>
        <v>0</v>
      </c>
      <c r="O373" s="62" t="n">
        <f aca="false">N373*CC_SharedCost</f>
        <v>0</v>
      </c>
      <c r="P373" s="63" t="n">
        <f aca="false">K373+L373+O373</f>
        <v>0</v>
      </c>
      <c r="Q373" s="62" t="n">
        <f aca="false">K373*(1+INDEX(MkMatrix,3,3))</f>
        <v>0</v>
      </c>
      <c r="R373" s="62" t="n">
        <f aca="false">L373*(1+INDEX(MkMatrix,3,3))</f>
        <v>0</v>
      </c>
      <c r="S373" s="62" t="n">
        <f aca="false">N373*CC_SharedSell</f>
        <v>0</v>
      </c>
      <c r="T373" s="62" t="n">
        <f aca="false">P373*N(QCont)</f>
        <v>0</v>
      </c>
      <c r="U373" s="62" t="n">
        <f aca="false">Q373+R373+S373+T373</f>
        <v>0</v>
      </c>
      <c r="V373" s="62" t="n">
        <f aca="false">-U373*N(QDisc)</f>
        <v>-0</v>
      </c>
      <c r="W373" s="63" t="n">
        <f aca="false">U373+V373</f>
        <v>0</v>
      </c>
      <c r="X373" s="63" t="n">
        <f aca="false">W373/QRate</f>
        <v>0</v>
      </c>
      <c r="Y373" s="0" t="n">
        <v>12</v>
      </c>
    </row>
    <row r="374" customFormat="false" ht="15" hidden="false" customHeight="false" outlineLevel="0" collapsed="false">
      <c r="A374" s="68" t="n">
        <f aca="false">'CC Volume'!A374</f>
        <v>2</v>
      </c>
      <c r="B374" s="13" t="str">
        <f aca="false">IF('CC Volume'!B374="","",'CC Volume'!B374)</f>
        <v/>
      </c>
      <c r="C374" s="13" t="str">
        <f aca="false">IF('CC Volume'!C374="","",'CC Volume'!C374)</f>
        <v/>
      </c>
      <c r="D374" s="13" t="str">
        <f aca="false">IF('CC Volume'!D374="","",'CC Volume'!D374)</f>
        <v/>
      </c>
      <c r="E374" s="68" t="str">
        <f aca="false">IF('CC Volume'!E374="","",'CC Volume'!E374)</f>
        <v/>
      </c>
      <c r="F374" s="68" t="str">
        <f aca="false">IF('CC Volume'!F374="","",'CC Volume'!F374)</f>
        <v/>
      </c>
      <c r="G374" s="69" t="str">
        <f aca="false">'CC Volume'!AN374</f>
        <v/>
      </c>
      <c r="H374" s="69" t="str">
        <f aca="false">'CC Volume'!AO374</f>
        <v/>
      </c>
      <c r="I374" s="69" t="str">
        <f aca="false">'CC Volume'!AM374</f>
        <v/>
      </c>
      <c r="J374" s="62" t="str">
        <f aca="false">IF(N(H374)=0,"",IFERROR(INDEX(CC_RegRate,MATCH(F374,CC_RegU,0)),0))</f>
        <v/>
      </c>
      <c r="K374" s="62" t="n">
        <f aca="false">N(H374)*N(J374)</f>
        <v>0</v>
      </c>
      <c r="L374" s="62" t="n">
        <f aca="false">IF(CC_IncWaste="Yes",N(I374)*N(XWaste),0)</f>
        <v>0</v>
      </c>
      <c r="M374" s="65" t="n">
        <f aca="false">IF(N(G374)=0,0,IF(CC_AllocBasis="Equipment count",1,IF(CC_AllocBasis="Equipment volume",N(G374),N(H374))))</f>
        <v>0</v>
      </c>
      <c r="N374" s="15" t="n">
        <f aca="false">IF(SUM(CC_P_M)=0,0,M374/SUM(CC_P_M))</f>
        <v>0</v>
      </c>
      <c r="O374" s="62" t="n">
        <f aca="false">N374*CC_SharedCost</f>
        <v>0</v>
      </c>
      <c r="P374" s="63" t="n">
        <f aca="false">K374+L374+O374</f>
        <v>0</v>
      </c>
      <c r="Q374" s="62" t="n">
        <f aca="false">K374*(1+INDEX(MkMatrix,3,3))</f>
        <v>0</v>
      </c>
      <c r="R374" s="62" t="n">
        <f aca="false">L374*(1+INDEX(MkMatrix,3,3))</f>
        <v>0</v>
      </c>
      <c r="S374" s="62" t="n">
        <f aca="false">N374*CC_SharedSell</f>
        <v>0</v>
      </c>
      <c r="T374" s="62" t="n">
        <f aca="false">P374*N(QCont)</f>
        <v>0</v>
      </c>
      <c r="U374" s="62" t="n">
        <f aca="false">Q374+R374+S374+T374</f>
        <v>0</v>
      </c>
      <c r="V374" s="62" t="n">
        <f aca="false">-U374*N(QDisc)</f>
        <v>-0</v>
      </c>
      <c r="W374" s="63" t="n">
        <f aca="false">U374+V374</f>
        <v>0</v>
      </c>
      <c r="X374" s="63" t="n">
        <f aca="false">W374/QRate</f>
        <v>0</v>
      </c>
      <c r="Y374" s="0" t="n">
        <v>12</v>
      </c>
    </row>
    <row r="375" customFormat="false" ht="15" hidden="false" customHeight="false" outlineLevel="0" collapsed="false">
      <c r="A375" s="68" t="n">
        <f aca="false">'CC Volume'!A375</f>
        <v>3</v>
      </c>
      <c r="B375" s="13" t="str">
        <f aca="false">IF('CC Volume'!B375="","",'CC Volume'!B375)</f>
        <v/>
      </c>
      <c r="C375" s="13" t="str">
        <f aca="false">IF('CC Volume'!C375="","",'CC Volume'!C375)</f>
        <v/>
      </c>
      <c r="D375" s="13" t="str">
        <f aca="false">IF('CC Volume'!D375="","",'CC Volume'!D375)</f>
        <v/>
      </c>
      <c r="E375" s="68" t="str">
        <f aca="false">IF('CC Volume'!E375="","",'CC Volume'!E375)</f>
        <v/>
      </c>
      <c r="F375" s="68" t="str">
        <f aca="false">IF('CC Volume'!F375="","",'CC Volume'!F375)</f>
        <v/>
      </c>
      <c r="G375" s="69" t="str">
        <f aca="false">'CC Volume'!AN375</f>
        <v/>
      </c>
      <c r="H375" s="69" t="str">
        <f aca="false">'CC Volume'!AO375</f>
        <v/>
      </c>
      <c r="I375" s="69" t="str">
        <f aca="false">'CC Volume'!AM375</f>
        <v/>
      </c>
      <c r="J375" s="62" t="str">
        <f aca="false">IF(N(H375)=0,"",IFERROR(INDEX(CC_RegRate,MATCH(F375,CC_RegU,0)),0))</f>
        <v/>
      </c>
      <c r="K375" s="62" t="n">
        <f aca="false">N(H375)*N(J375)</f>
        <v>0</v>
      </c>
      <c r="L375" s="62" t="n">
        <f aca="false">IF(CC_IncWaste="Yes",N(I375)*N(XWaste),0)</f>
        <v>0</v>
      </c>
      <c r="M375" s="65" t="n">
        <f aca="false">IF(N(G375)=0,0,IF(CC_AllocBasis="Equipment count",1,IF(CC_AllocBasis="Equipment volume",N(G375),N(H375))))</f>
        <v>0</v>
      </c>
      <c r="N375" s="15" t="n">
        <f aca="false">IF(SUM(CC_P_M)=0,0,M375/SUM(CC_P_M))</f>
        <v>0</v>
      </c>
      <c r="O375" s="62" t="n">
        <f aca="false">N375*CC_SharedCost</f>
        <v>0</v>
      </c>
      <c r="P375" s="63" t="n">
        <f aca="false">K375+L375+O375</f>
        <v>0</v>
      </c>
      <c r="Q375" s="62" t="n">
        <f aca="false">K375*(1+INDEX(MkMatrix,3,3))</f>
        <v>0</v>
      </c>
      <c r="R375" s="62" t="n">
        <f aca="false">L375*(1+INDEX(MkMatrix,3,3))</f>
        <v>0</v>
      </c>
      <c r="S375" s="62" t="n">
        <f aca="false">N375*CC_SharedSell</f>
        <v>0</v>
      </c>
      <c r="T375" s="62" t="n">
        <f aca="false">P375*N(QCont)</f>
        <v>0</v>
      </c>
      <c r="U375" s="62" t="n">
        <f aca="false">Q375+R375+S375+T375</f>
        <v>0</v>
      </c>
      <c r="V375" s="62" t="n">
        <f aca="false">-U375*N(QDisc)</f>
        <v>-0</v>
      </c>
      <c r="W375" s="63" t="n">
        <f aca="false">U375+V375</f>
        <v>0</v>
      </c>
      <c r="X375" s="63" t="n">
        <f aca="false">W375/QRate</f>
        <v>0</v>
      </c>
      <c r="Y375" s="0" t="n">
        <v>12</v>
      </c>
    </row>
    <row r="376" customFormat="false" ht="15" hidden="false" customHeight="false" outlineLevel="0" collapsed="false">
      <c r="A376" s="68" t="n">
        <f aca="false">'CC Volume'!A376</f>
        <v>4</v>
      </c>
      <c r="B376" s="13" t="str">
        <f aca="false">IF('CC Volume'!B376="","",'CC Volume'!B376)</f>
        <v/>
      </c>
      <c r="C376" s="13" t="str">
        <f aca="false">IF('CC Volume'!C376="","",'CC Volume'!C376)</f>
        <v/>
      </c>
      <c r="D376" s="13" t="str">
        <f aca="false">IF('CC Volume'!D376="","",'CC Volume'!D376)</f>
        <v/>
      </c>
      <c r="E376" s="68" t="str">
        <f aca="false">IF('CC Volume'!E376="","",'CC Volume'!E376)</f>
        <v/>
      </c>
      <c r="F376" s="68" t="str">
        <f aca="false">IF('CC Volume'!F376="","",'CC Volume'!F376)</f>
        <v/>
      </c>
      <c r="G376" s="69" t="str">
        <f aca="false">'CC Volume'!AN376</f>
        <v/>
      </c>
      <c r="H376" s="69" t="str">
        <f aca="false">'CC Volume'!AO376</f>
        <v/>
      </c>
      <c r="I376" s="69" t="str">
        <f aca="false">'CC Volume'!AM376</f>
        <v/>
      </c>
      <c r="J376" s="62" t="str">
        <f aca="false">IF(N(H376)=0,"",IFERROR(INDEX(CC_RegRate,MATCH(F376,CC_RegU,0)),0))</f>
        <v/>
      </c>
      <c r="K376" s="62" t="n">
        <f aca="false">N(H376)*N(J376)</f>
        <v>0</v>
      </c>
      <c r="L376" s="62" t="n">
        <f aca="false">IF(CC_IncWaste="Yes",N(I376)*N(XWaste),0)</f>
        <v>0</v>
      </c>
      <c r="M376" s="65" t="n">
        <f aca="false">IF(N(G376)=0,0,IF(CC_AllocBasis="Equipment count",1,IF(CC_AllocBasis="Equipment volume",N(G376),N(H376))))</f>
        <v>0</v>
      </c>
      <c r="N376" s="15" t="n">
        <f aca="false">IF(SUM(CC_P_M)=0,0,M376/SUM(CC_P_M))</f>
        <v>0</v>
      </c>
      <c r="O376" s="62" t="n">
        <f aca="false">N376*CC_SharedCost</f>
        <v>0</v>
      </c>
      <c r="P376" s="63" t="n">
        <f aca="false">K376+L376+O376</f>
        <v>0</v>
      </c>
      <c r="Q376" s="62" t="n">
        <f aca="false">K376*(1+INDEX(MkMatrix,3,3))</f>
        <v>0</v>
      </c>
      <c r="R376" s="62" t="n">
        <f aca="false">L376*(1+INDEX(MkMatrix,3,3))</f>
        <v>0</v>
      </c>
      <c r="S376" s="62" t="n">
        <f aca="false">N376*CC_SharedSell</f>
        <v>0</v>
      </c>
      <c r="T376" s="62" t="n">
        <f aca="false">P376*N(QCont)</f>
        <v>0</v>
      </c>
      <c r="U376" s="62" t="n">
        <f aca="false">Q376+R376+S376+T376</f>
        <v>0</v>
      </c>
      <c r="V376" s="62" t="n">
        <f aca="false">-U376*N(QDisc)</f>
        <v>-0</v>
      </c>
      <c r="W376" s="63" t="n">
        <f aca="false">U376+V376</f>
        <v>0</v>
      </c>
      <c r="X376" s="63" t="n">
        <f aca="false">W376/QRate</f>
        <v>0</v>
      </c>
      <c r="Y376" s="0" t="n">
        <v>12</v>
      </c>
    </row>
    <row r="377" customFormat="false" ht="15" hidden="false" customHeight="false" outlineLevel="0" collapsed="false">
      <c r="A377" s="68" t="n">
        <f aca="false">'CC Volume'!A377</f>
        <v>5</v>
      </c>
      <c r="B377" s="13" t="str">
        <f aca="false">IF('CC Volume'!B377="","",'CC Volume'!B377)</f>
        <v/>
      </c>
      <c r="C377" s="13" t="str">
        <f aca="false">IF('CC Volume'!C377="","",'CC Volume'!C377)</f>
        <v/>
      </c>
      <c r="D377" s="13" t="str">
        <f aca="false">IF('CC Volume'!D377="","",'CC Volume'!D377)</f>
        <v/>
      </c>
      <c r="E377" s="68" t="str">
        <f aca="false">IF('CC Volume'!E377="","",'CC Volume'!E377)</f>
        <v/>
      </c>
      <c r="F377" s="68" t="str">
        <f aca="false">IF('CC Volume'!F377="","",'CC Volume'!F377)</f>
        <v/>
      </c>
      <c r="G377" s="69" t="str">
        <f aca="false">'CC Volume'!AN377</f>
        <v/>
      </c>
      <c r="H377" s="69" t="str">
        <f aca="false">'CC Volume'!AO377</f>
        <v/>
      </c>
      <c r="I377" s="69" t="str">
        <f aca="false">'CC Volume'!AM377</f>
        <v/>
      </c>
      <c r="J377" s="62" t="str">
        <f aca="false">IF(N(H377)=0,"",IFERROR(INDEX(CC_RegRate,MATCH(F377,CC_RegU,0)),0))</f>
        <v/>
      </c>
      <c r="K377" s="62" t="n">
        <f aca="false">N(H377)*N(J377)</f>
        <v>0</v>
      </c>
      <c r="L377" s="62" t="n">
        <f aca="false">IF(CC_IncWaste="Yes",N(I377)*N(XWaste),0)</f>
        <v>0</v>
      </c>
      <c r="M377" s="65" t="n">
        <f aca="false">IF(N(G377)=0,0,IF(CC_AllocBasis="Equipment count",1,IF(CC_AllocBasis="Equipment volume",N(G377),N(H377))))</f>
        <v>0</v>
      </c>
      <c r="N377" s="15" t="n">
        <f aca="false">IF(SUM(CC_P_M)=0,0,M377/SUM(CC_P_M))</f>
        <v>0</v>
      </c>
      <c r="O377" s="62" t="n">
        <f aca="false">N377*CC_SharedCost</f>
        <v>0</v>
      </c>
      <c r="P377" s="63" t="n">
        <f aca="false">K377+L377+O377</f>
        <v>0</v>
      </c>
      <c r="Q377" s="62" t="n">
        <f aca="false">K377*(1+INDEX(MkMatrix,3,3))</f>
        <v>0</v>
      </c>
      <c r="R377" s="62" t="n">
        <f aca="false">L377*(1+INDEX(MkMatrix,3,3))</f>
        <v>0</v>
      </c>
      <c r="S377" s="62" t="n">
        <f aca="false">N377*CC_SharedSell</f>
        <v>0</v>
      </c>
      <c r="T377" s="62" t="n">
        <f aca="false">P377*N(QCont)</f>
        <v>0</v>
      </c>
      <c r="U377" s="62" t="n">
        <f aca="false">Q377+R377+S377+T377</f>
        <v>0</v>
      </c>
      <c r="V377" s="62" t="n">
        <f aca="false">-U377*N(QDisc)</f>
        <v>-0</v>
      </c>
      <c r="W377" s="63" t="n">
        <f aca="false">U377+V377</f>
        <v>0</v>
      </c>
      <c r="X377" s="63" t="n">
        <f aca="false">W377/QRate</f>
        <v>0</v>
      </c>
      <c r="Y377" s="0" t="n">
        <v>12</v>
      </c>
    </row>
    <row r="378" customFormat="false" ht="15" hidden="false" customHeight="false" outlineLevel="0" collapsed="false">
      <c r="A378" s="68" t="n">
        <f aca="false">'CC Volume'!A378</f>
        <v>6</v>
      </c>
      <c r="B378" s="13" t="str">
        <f aca="false">IF('CC Volume'!B378="","",'CC Volume'!B378)</f>
        <v/>
      </c>
      <c r="C378" s="13" t="str">
        <f aca="false">IF('CC Volume'!C378="","",'CC Volume'!C378)</f>
        <v/>
      </c>
      <c r="D378" s="13" t="str">
        <f aca="false">IF('CC Volume'!D378="","",'CC Volume'!D378)</f>
        <v/>
      </c>
      <c r="E378" s="68" t="str">
        <f aca="false">IF('CC Volume'!E378="","",'CC Volume'!E378)</f>
        <v/>
      </c>
      <c r="F378" s="68" t="str">
        <f aca="false">IF('CC Volume'!F378="","",'CC Volume'!F378)</f>
        <v/>
      </c>
      <c r="G378" s="69" t="str">
        <f aca="false">'CC Volume'!AN378</f>
        <v/>
      </c>
      <c r="H378" s="69" t="str">
        <f aca="false">'CC Volume'!AO378</f>
        <v/>
      </c>
      <c r="I378" s="69" t="str">
        <f aca="false">'CC Volume'!AM378</f>
        <v/>
      </c>
      <c r="J378" s="62" t="str">
        <f aca="false">IF(N(H378)=0,"",IFERROR(INDEX(CC_RegRate,MATCH(F378,CC_RegU,0)),0))</f>
        <v/>
      </c>
      <c r="K378" s="62" t="n">
        <f aca="false">N(H378)*N(J378)</f>
        <v>0</v>
      </c>
      <c r="L378" s="62" t="n">
        <f aca="false">IF(CC_IncWaste="Yes",N(I378)*N(XWaste),0)</f>
        <v>0</v>
      </c>
      <c r="M378" s="65" t="n">
        <f aca="false">IF(N(G378)=0,0,IF(CC_AllocBasis="Equipment count",1,IF(CC_AllocBasis="Equipment volume",N(G378),N(H378))))</f>
        <v>0</v>
      </c>
      <c r="N378" s="15" t="n">
        <f aca="false">IF(SUM(CC_P_M)=0,0,M378/SUM(CC_P_M))</f>
        <v>0</v>
      </c>
      <c r="O378" s="62" t="n">
        <f aca="false">N378*CC_SharedCost</f>
        <v>0</v>
      </c>
      <c r="P378" s="63" t="n">
        <f aca="false">K378+L378+O378</f>
        <v>0</v>
      </c>
      <c r="Q378" s="62" t="n">
        <f aca="false">K378*(1+INDEX(MkMatrix,3,3))</f>
        <v>0</v>
      </c>
      <c r="R378" s="62" t="n">
        <f aca="false">L378*(1+INDEX(MkMatrix,3,3))</f>
        <v>0</v>
      </c>
      <c r="S378" s="62" t="n">
        <f aca="false">N378*CC_SharedSell</f>
        <v>0</v>
      </c>
      <c r="T378" s="62" t="n">
        <f aca="false">P378*N(QCont)</f>
        <v>0</v>
      </c>
      <c r="U378" s="62" t="n">
        <f aca="false">Q378+R378+S378+T378</f>
        <v>0</v>
      </c>
      <c r="V378" s="62" t="n">
        <f aca="false">-U378*N(QDisc)</f>
        <v>-0</v>
      </c>
      <c r="W378" s="63" t="n">
        <f aca="false">U378+V378</f>
        <v>0</v>
      </c>
      <c r="X378" s="63" t="n">
        <f aca="false">W378/QRate</f>
        <v>0</v>
      </c>
      <c r="Y378" s="0" t="n">
        <v>12</v>
      </c>
    </row>
    <row r="379" customFormat="false" ht="15" hidden="false" customHeight="false" outlineLevel="0" collapsed="false">
      <c r="A379" s="68" t="n">
        <f aca="false">'CC Volume'!A379</f>
        <v>7</v>
      </c>
      <c r="B379" s="13" t="str">
        <f aca="false">IF('CC Volume'!B379="","",'CC Volume'!B379)</f>
        <v/>
      </c>
      <c r="C379" s="13" t="str">
        <f aca="false">IF('CC Volume'!C379="","",'CC Volume'!C379)</f>
        <v/>
      </c>
      <c r="D379" s="13" t="str">
        <f aca="false">IF('CC Volume'!D379="","",'CC Volume'!D379)</f>
        <v/>
      </c>
      <c r="E379" s="68" t="str">
        <f aca="false">IF('CC Volume'!E379="","",'CC Volume'!E379)</f>
        <v/>
      </c>
      <c r="F379" s="68" t="str">
        <f aca="false">IF('CC Volume'!F379="","",'CC Volume'!F379)</f>
        <v/>
      </c>
      <c r="G379" s="69" t="str">
        <f aca="false">'CC Volume'!AN379</f>
        <v/>
      </c>
      <c r="H379" s="69" t="str">
        <f aca="false">'CC Volume'!AO379</f>
        <v/>
      </c>
      <c r="I379" s="69" t="str">
        <f aca="false">'CC Volume'!AM379</f>
        <v/>
      </c>
      <c r="J379" s="62" t="str">
        <f aca="false">IF(N(H379)=0,"",IFERROR(INDEX(CC_RegRate,MATCH(F379,CC_RegU,0)),0))</f>
        <v/>
      </c>
      <c r="K379" s="62" t="n">
        <f aca="false">N(H379)*N(J379)</f>
        <v>0</v>
      </c>
      <c r="L379" s="62" t="n">
        <f aca="false">IF(CC_IncWaste="Yes",N(I379)*N(XWaste),0)</f>
        <v>0</v>
      </c>
      <c r="M379" s="65" t="n">
        <f aca="false">IF(N(G379)=0,0,IF(CC_AllocBasis="Equipment count",1,IF(CC_AllocBasis="Equipment volume",N(G379),N(H379))))</f>
        <v>0</v>
      </c>
      <c r="N379" s="15" t="n">
        <f aca="false">IF(SUM(CC_P_M)=0,0,M379/SUM(CC_P_M))</f>
        <v>0</v>
      </c>
      <c r="O379" s="62" t="n">
        <f aca="false">N379*CC_SharedCost</f>
        <v>0</v>
      </c>
      <c r="P379" s="63" t="n">
        <f aca="false">K379+L379+O379</f>
        <v>0</v>
      </c>
      <c r="Q379" s="62" t="n">
        <f aca="false">K379*(1+INDEX(MkMatrix,3,3))</f>
        <v>0</v>
      </c>
      <c r="R379" s="62" t="n">
        <f aca="false">L379*(1+INDEX(MkMatrix,3,3))</f>
        <v>0</v>
      </c>
      <c r="S379" s="62" t="n">
        <f aca="false">N379*CC_SharedSell</f>
        <v>0</v>
      </c>
      <c r="T379" s="62" t="n">
        <f aca="false">P379*N(QCont)</f>
        <v>0</v>
      </c>
      <c r="U379" s="62" t="n">
        <f aca="false">Q379+R379+S379+T379</f>
        <v>0</v>
      </c>
      <c r="V379" s="62" t="n">
        <f aca="false">-U379*N(QDisc)</f>
        <v>-0</v>
      </c>
      <c r="W379" s="63" t="n">
        <f aca="false">U379+V379</f>
        <v>0</v>
      </c>
      <c r="X379" s="63" t="n">
        <f aca="false">W379/QRate</f>
        <v>0</v>
      </c>
      <c r="Y379" s="0" t="n">
        <v>12</v>
      </c>
    </row>
    <row r="380" customFormat="false" ht="15" hidden="false" customHeight="false" outlineLevel="0" collapsed="false">
      <c r="A380" s="68" t="n">
        <f aca="false">'CC Volume'!A380</f>
        <v>8</v>
      </c>
      <c r="B380" s="13" t="str">
        <f aca="false">IF('CC Volume'!B380="","",'CC Volume'!B380)</f>
        <v/>
      </c>
      <c r="C380" s="13" t="str">
        <f aca="false">IF('CC Volume'!C380="","",'CC Volume'!C380)</f>
        <v/>
      </c>
      <c r="D380" s="13" t="str">
        <f aca="false">IF('CC Volume'!D380="","",'CC Volume'!D380)</f>
        <v/>
      </c>
      <c r="E380" s="68" t="str">
        <f aca="false">IF('CC Volume'!E380="","",'CC Volume'!E380)</f>
        <v/>
      </c>
      <c r="F380" s="68" t="str">
        <f aca="false">IF('CC Volume'!F380="","",'CC Volume'!F380)</f>
        <v/>
      </c>
      <c r="G380" s="69" t="str">
        <f aca="false">'CC Volume'!AN380</f>
        <v/>
      </c>
      <c r="H380" s="69" t="str">
        <f aca="false">'CC Volume'!AO380</f>
        <v/>
      </c>
      <c r="I380" s="69" t="str">
        <f aca="false">'CC Volume'!AM380</f>
        <v/>
      </c>
      <c r="J380" s="62" t="str">
        <f aca="false">IF(N(H380)=0,"",IFERROR(INDEX(CC_RegRate,MATCH(F380,CC_RegU,0)),0))</f>
        <v/>
      </c>
      <c r="K380" s="62" t="n">
        <f aca="false">N(H380)*N(J380)</f>
        <v>0</v>
      </c>
      <c r="L380" s="62" t="n">
        <f aca="false">IF(CC_IncWaste="Yes",N(I380)*N(XWaste),0)</f>
        <v>0</v>
      </c>
      <c r="M380" s="65" t="n">
        <f aca="false">IF(N(G380)=0,0,IF(CC_AllocBasis="Equipment count",1,IF(CC_AllocBasis="Equipment volume",N(G380),N(H380))))</f>
        <v>0</v>
      </c>
      <c r="N380" s="15" t="n">
        <f aca="false">IF(SUM(CC_P_M)=0,0,M380/SUM(CC_P_M))</f>
        <v>0</v>
      </c>
      <c r="O380" s="62" t="n">
        <f aca="false">N380*CC_SharedCost</f>
        <v>0</v>
      </c>
      <c r="P380" s="63" t="n">
        <f aca="false">K380+L380+O380</f>
        <v>0</v>
      </c>
      <c r="Q380" s="62" t="n">
        <f aca="false">K380*(1+INDEX(MkMatrix,3,3))</f>
        <v>0</v>
      </c>
      <c r="R380" s="62" t="n">
        <f aca="false">L380*(1+INDEX(MkMatrix,3,3))</f>
        <v>0</v>
      </c>
      <c r="S380" s="62" t="n">
        <f aca="false">N380*CC_SharedSell</f>
        <v>0</v>
      </c>
      <c r="T380" s="62" t="n">
        <f aca="false">P380*N(QCont)</f>
        <v>0</v>
      </c>
      <c r="U380" s="62" t="n">
        <f aca="false">Q380+R380+S380+T380</f>
        <v>0</v>
      </c>
      <c r="V380" s="62" t="n">
        <f aca="false">-U380*N(QDisc)</f>
        <v>-0</v>
      </c>
      <c r="W380" s="63" t="n">
        <f aca="false">U380+V380</f>
        <v>0</v>
      </c>
      <c r="X380" s="63" t="n">
        <f aca="false">W380/QRate</f>
        <v>0</v>
      </c>
      <c r="Y380" s="0" t="n">
        <v>12</v>
      </c>
    </row>
    <row r="381" customFormat="false" ht="15" hidden="false" customHeight="false" outlineLevel="0" collapsed="false">
      <c r="A381" s="68" t="n">
        <f aca="false">'CC Volume'!A381</f>
        <v>9</v>
      </c>
      <c r="B381" s="13" t="str">
        <f aca="false">IF('CC Volume'!B381="","",'CC Volume'!B381)</f>
        <v/>
      </c>
      <c r="C381" s="13" t="str">
        <f aca="false">IF('CC Volume'!C381="","",'CC Volume'!C381)</f>
        <v/>
      </c>
      <c r="D381" s="13" t="str">
        <f aca="false">IF('CC Volume'!D381="","",'CC Volume'!D381)</f>
        <v/>
      </c>
      <c r="E381" s="68" t="str">
        <f aca="false">IF('CC Volume'!E381="","",'CC Volume'!E381)</f>
        <v/>
      </c>
      <c r="F381" s="68" t="str">
        <f aca="false">IF('CC Volume'!F381="","",'CC Volume'!F381)</f>
        <v/>
      </c>
      <c r="G381" s="69" t="str">
        <f aca="false">'CC Volume'!AN381</f>
        <v/>
      </c>
      <c r="H381" s="69" t="str">
        <f aca="false">'CC Volume'!AO381</f>
        <v/>
      </c>
      <c r="I381" s="69" t="str">
        <f aca="false">'CC Volume'!AM381</f>
        <v/>
      </c>
      <c r="J381" s="62" t="str">
        <f aca="false">IF(N(H381)=0,"",IFERROR(INDEX(CC_RegRate,MATCH(F381,CC_RegU,0)),0))</f>
        <v/>
      </c>
      <c r="K381" s="62" t="n">
        <f aca="false">N(H381)*N(J381)</f>
        <v>0</v>
      </c>
      <c r="L381" s="62" t="n">
        <f aca="false">IF(CC_IncWaste="Yes",N(I381)*N(XWaste),0)</f>
        <v>0</v>
      </c>
      <c r="M381" s="65" t="n">
        <f aca="false">IF(N(G381)=0,0,IF(CC_AllocBasis="Equipment count",1,IF(CC_AllocBasis="Equipment volume",N(G381),N(H381))))</f>
        <v>0</v>
      </c>
      <c r="N381" s="15" t="n">
        <f aca="false">IF(SUM(CC_P_M)=0,0,M381/SUM(CC_P_M))</f>
        <v>0</v>
      </c>
      <c r="O381" s="62" t="n">
        <f aca="false">N381*CC_SharedCost</f>
        <v>0</v>
      </c>
      <c r="P381" s="63" t="n">
        <f aca="false">K381+L381+O381</f>
        <v>0</v>
      </c>
      <c r="Q381" s="62" t="n">
        <f aca="false">K381*(1+INDEX(MkMatrix,3,3))</f>
        <v>0</v>
      </c>
      <c r="R381" s="62" t="n">
        <f aca="false">L381*(1+INDEX(MkMatrix,3,3))</f>
        <v>0</v>
      </c>
      <c r="S381" s="62" t="n">
        <f aca="false">N381*CC_SharedSell</f>
        <v>0</v>
      </c>
      <c r="T381" s="62" t="n">
        <f aca="false">P381*N(QCont)</f>
        <v>0</v>
      </c>
      <c r="U381" s="62" t="n">
        <f aca="false">Q381+R381+S381+T381</f>
        <v>0</v>
      </c>
      <c r="V381" s="62" t="n">
        <f aca="false">-U381*N(QDisc)</f>
        <v>-0</v>
      </c>
      <c r="W381" s="63" t="n">
        <f aca="false">U381+V381</f>
        <v>0</v>
      </c>
      <c r="X381" s="63" t="n">
        <f aca="false">W381/QRate</f>
        <v>0</v>
      </c>
      <c r="Y381" s="0" t="n">
        <v>12</v>
      </c>
    </row>
    <row r="382" customFormat="false" ht="15" hidden="false" customHeight="false" outlineLevel="0" collapsed="false">
      <c r="A382" s="68" t="n">
        <f aca="false">'CC Volume'!A382</f>
        <v>10</v>
      </c>
      <c r="B382" s="13" t="str">
        <f aca="false">IF('CC Volume'!B382="","",'CC Volume'!B382)</f>
        <v/>
      </c>
      <c r="C382" s="13" t="str">
        <f aca="false">IF('CC Volume'!C382="","",'CC Volume'!C382)</f>
        <v/>
      </c>
      <c r="D382" s="13" t="str">
        <f aca="false">IF('CC Volume'!D382="","",'CC Volume'!D382)</f>
        <v/>
      </c>
      <c r="E382" s="68" t="str">
        <f aca="false">IF('CC Volume'!E382="","",'CC Volume'!E382)</f>
        <v/>
      </c>
      <c r="F382" s="68" t="str">
        <f aca="false">IF('CC Volume'!F382="","",'CC Volume'!F382)</f>
        <v/>
      </c>
      <c r="G382" s="69" t="str">
        <f aca="false">'CC Volume'!AN382</f>
        <v/>
      </c>
      <c r="H382" s="69" t="str">
        <f aca="false">'CC Volume'!AO382</f>
        <v/>
      </c>
      <c r="I382" s="69" t="str">
        <f aca="false">'CC Volume'!AM382</f>
        <v/>
      </c>
      <c r="J382" s="62" t="str">
        <f aca="false">IF(N(H382)=0,"",IFERROR(INDEX(CC_RegRate,MATCH(F382,CC_RegU,0)),0))</f>
        <v/>
      </c>
      <c r="K382" s="62" t="n">
        <f aca="false">N(H382)*N(J382)</f>
        <v>0</v>
      </c>
      <c r="L382" s="62" t="n">
        <f aca="false">IF(CC_IncWaste="Yes",N(I382)*N(XWaste),0)</f>
        <v>0</v>
      </c>
      <c r="M382" s="65" t="n">
        <f aca="false">IF(N(G382)=0,0,IF(CC_AllocBasis="Equipment count",1,IF(CC_AllocBasis="Equipment volume",N(G382),N(H382))))</f>
        <v>0</v>
      </c>
      <c r="N382" s="15" t="n">
        <f aca="false">IF(SUM(CC_P_M)=0,0,M382/SUM(CC_P_M))</f>
        <v>0</v>
      </c>
      <c r="O382" s="62" t="n">
        <f aca="false">N382*CC_SharedCost</f>
        <v>0</v>
      </c>
      <c r="P382" s="63" t="n">
        <f aca="false">K382+L382+O382</f>
        <v>0</v>
      </c>
      <c r="Q382" s="62" t="n">
        <f aca="false">K382*(1+INDEX(MkMatrix,3,3))</f>
        <v>0</v>
      </c>
      <c r="R382" s="62" t="n">
        <f aca="false">L382*(1+INDEX(MkMatrix,3,3))</f>
        <v>0</v>
      </c>
      <c r="S382" s="62" t="n">
        <f aca="false">N382*CC_SharedSell</f>
        <v>0</v>
      </c>
      <c r="T382" s="62" t="n">
        <f aca="false">P382*N(QCont)</f>
        <v>0</v>
      </c>
      <c r="U382" s="62" t="n">
        <f aca="false">Q382+R382+S382+T382</f>
        <v>0</v>
      </c>
      <c r="V382" s="62" t="n">
        <f aca="false">-U382*N(QDisc)</f>
        <v>-0</v>
      </c>
      <c r="W382" s="63" t="n">
        <f aca="false">U382+V382</f>
        <v>0</v>
      </c>
      <c r="X382" s="63" t="n">
        <f aca="false">W382/QRate</f>
        <v>0</v>
      </c>
      <c r="Y382" s="0" t="n">
        <v>12</v>
      </c>
    </row>
    <row r="383" customFormat="false" ht="15" hidden="false" customHeight="false" outlineLevel="0" collapsed="false">
      <c r="A383" s="68" t="n">
        <f aca="false">'CC Volume'!A383</f>
        <v>11</v>
      </c>
      <c r="B383" s="13" t="str">
        <f aca="false">IF('CC Volume'!B383="","",'CC Volume'!B383)</f>
        <v/>
      </c>
      <c r="C383" s="13" t="str">
        <f aca="false">IF('CC Volume'!C383="","",'CC Volume'!C383)</f>
        <v/>
      </c>
      <c r="D383" s="13" t="str">
        <f aca="false">IF('CC Volume'!D383="","",'CC Volume'!D383)</f>
        <v/>
      </c>
      <c r="E383" s="68" t="str">
        <f aca="false">IF('CC Volume'!E383="","",'CC Volume'!E383)</f>
        <v/>
      </c>
      <c r="F383" s="68" t="str">
        <f aca="false">IF('CC Volume'!F383="","",'CC Volume'!F383)</f>
        <v/>
      </c>
      <c r="G383" s="69" t="str">
        <f aca="false">'CC Volume'!AN383</f>
        <v/>
      </c>
      <c r="H383" s="69" t="str">
        <f aca="false">'CC Volume'!AO383</f>
        <v/>
      </c>
      <c r="I383" s="69" t="str">
        <f aca="false">'CC Volume'!AM383</f>
        <v/>
      </c>
      <c r="J383" s="62" t="str">
        <f aca="false">IF(N(H383)=0,"",IFERROR(INDEX(CC_RegRate,MATCH(F383,CC_RegU,0)),0))</f>
        <v/>
      </c>
      <c r="K383" s="62" t="n">
        <f aca="false">N(H383)*N(J383)</f>
        <v>0</v>
      </c>
      <c r="L383" s="62" t="n">
        <f aca="false">IF(CC_IncWaste="Yes",N(I383)*N(XWaste),0)</f>
        <v>0</v>
      </c>
      <c r="M383" s="65" t="n">
        <f aca="false">IF(N(G383)=0,0,IF(CC_AllocBasis="Equipment count",1,IF(CC_AllocBasis="Equipment volume",N(G383),N(H383))))</f>
        <v>0</v>
      </c>
      <c r="N383" s="15" t="n">
        <f aca="false">IF(SUM(CC_P_M)=0,0,M383/SUM(CC_P_M))</f>
        <v>0</v>
      </c>
      <c r="O383" s="62" t="n">
        <f aca="false">N383*CC_SharedCost</f>
        <v>0</v>
      </c>
      <c r="P383" s="63" t="n">
        <f aca="false">K383+L383+O383</f>
        <v>0</v>
      </c>
      <c r="Q383" s="62" t="n">
        <f aca="false">K383*(1+INDEX(MkMatrix,3,3))</f>
        <v>0</v>
      </c>
      <c r="R383" s="62" t="n">
        <f aca="false">L383*(1+INDEX(MkMatrix,3,3))</f>
        <v>0</v>
      </c>
      <c r="S383" s="62" t="n">
        <f aca="false">N383*CC_SharedSell</f>
        <v>0</v>
      </c>
      <c r="T383" s="62" t="n">
        <f aca="false">P383*N(QCont)</f>
        <v>0</v>
      </c>
      <c r="U383" s="62" t="n">
        <f aca="false">Q383+R383+S383+T383</f>
        <v>0</v>
      </c>
      <c r="V383" s="62" t="n">
        <f aca="false">-U383*N(QDisc)</f>
        <v>-0</v>
      </c>
      <c r="W383" s="63" t="n">
        <f aca="false">U383+V383</f>
        <v>0</v>
      </c>
      <c r="X383" s="63" t="n">
        <f aca="false">W383/QRate</f>
        <v>0</v>
      </c>
      <c r="Y383" s="0" t="n">
        <v>12</v>
      </c>
    </row>
    <row r="384" customFormat="false" ht="15" hidden="false" customHeight="false" outlineLevel="0" collapsed="false">
      <c r="A384" s="68" t="n">
        <f aca="false">'CC Volume'!A384</f>
        <v>12</v>
      </c>
      <c r="B384" s="13" t="str">
        <f aca="false">IF('CC Volume'!B384="","",'CC Volume'!B384)</f>
        <v/>
      </c>
      <c r="C384" s="13" t="str">
        <f aca="false">IF('CC Volume'!C384="","",'CC Volume'!C384)</f>
        <v/>
      </c>
      <c r="D384" s="13" t="str">
        <f aca="false">IF('CC Volume'!D384="","",'CC Volume'!D384)</f>
        <v/>
      </c>
      <c r="E384" s="68" t="str">
        <f aca="false">IF('CC Volume'!E384="","",'CC Volume'!E384)</f>
        <v/>
      </c>
      <c r="F384" s="68" t="str">
        <f aca="false">IF('CC Volume'!F384="","",'CC Volume'!F384)</f>
        <v/>
      </c>
      <c r="G384" s="69" t="str">
        <f aca="false">'CC Volume'!AN384</f>
        <v/>
      </c>
      <c r="H384" s="69" t="str">
        <f aca="false">'CC Volume'!AO384</f>
        <v/>
      </c>
      <c r="I384" s="69" t="str">
        <f aca="false">'CC Volume'!AM384</f>
        <v/>
      </c>
      <c r="J384" s="62" t="str">
        <f aca="false">IF(N(H384)=0,"",IFERROR(INDEX(CC_RegRate,MATCH(F384,CC_RegU,0)),0))</f>
        <v/>
      </c>
      <c r="K384" s="62" t="n">
        <f aca="false">N(H384)*N(J384)</f>
        <v>0</v>
      </c>
      <c r="L384" s="62" t="n">
        <f aca="false">IF(CC_IncWaste="Yes",N(I384)*N(XWaste),0)</f>
        <v>0</v>
      </c>
      <c r="M384" s="65" t="n">
        <f aca="false">IF(N(G384)=0,0,IF(CC_AllocBasis="Equipment count",1,IF(CC_AllocBasis="Equipment volume",N(G384),N(H384))))</f>
        <v>0</v>
      </c>
      <c r="N384" s="15" t="n">
        <f aca="false">IF(SUM(CC_P_M)=0,0,M384/SUM(CC_P_M))</f>
        <v>0</v>
      </c>
      <c r="O384" s="62" t="n">
        <f aca="false">N384*CC_SharedCost</f>
        <v>0</v>
      </c>
      <c r="P384" s="63" t="n">
        <f aca="false">K384+L384+O384</f>
        <v>0</v>
      </c>
      <c r="Q384" s="62" t="n">
        <f aca="false">K384*(1+INDEX(MkMatrix,3,3))</f>
        <v>0</v>
      </c>
      <c r="R384" s="62" t="n">
        <f aca="false">L384*(1+INDEX(MkMatrix,3,3))</f>
        <v>0</v>
      </c>
      <c r="S384" s="62" t="n">
        <f aca="false">N384*CC_SharedSell</f>
        <v>0</v>
      </c>
      <c r="T384" s="62" t="n">
        <f aca="false">P384*N(QCont)</f>
        <v>0</v>
      </c>
      <c r="U384" s="62" t="n">
        <f aca="false">Q384+R384+S384+T384</f>
        <v>0</v>
      </c>
      <c r="V384" s="62" t="n">
        <f aca="false">-U384*N(QDisc)</f>
        <v>-0</v>
      </c>
      <c r="W384" s="63" t="n">
        <f aca="false">U384+V384</f>
        <v>0</v>
      </c>
      <c r="X384" s="63" t="n">
        <f aca="false">W384/QRate</f>
        <v>0</v>
      </c>
      <c r="Y384" s="0" t="n">
        <v>12</v>
      </c>
    </row>
    <row r="385" customFormat="false" ht="15" hidden="false" customHeight="false" outlineLevel="0" collapsed="false">
      <c r="A385" s="68" t="n">
        <f aca="false">'CC Volume'!A385</f>
        <v>13</v>
      </c>
      <c r="B385" s="13" t="str">
        <f aca="false">IF('CC Volume'!B385="","",'CC Volume'!B385)</f>
        <v/>
      </c>
      <c r="C385" s="13" t="str">
        <f aca="false">IF('CC Volume'!C385="","",'CC Volume'!C385)</f>
        <v/>
      </c>
      <c r="D385" s="13" t="str">
        <f aca="false">IF('CC Volume'!D385="","",'CC Volume'!D385)</f>
        <v/>
      </c>
      <c r="E385" s="68" t="str">
        <f aca="false">IF('CC Volume'!E385="","",'CC Volume'!E385)</f>
        <v/>
      </c>
      <c r="F385" s="68" t="str">
        <f aca="false">IF('CC Volume'!F385="","",'CC Volume'!F385)</f>
        <v/>
      </c>
      <c r="G385" s="69" t="str">
        <f aca="false">'CC Volume'!AN385</f>
        <v/>
      </c>
      <c r="H385" s="69" t="str">
        <f aca="false">'CC Volume'!AO385</f>
        <v/>
      </c>
      <c r="I385" s="69" t="str">
        <f aca="false">'CC Volume'!AM385</f>
        <v/>
      </c>
      <c r="J385" s="62" t="str">
        <f aca="false">IF(N(H385)=0,"",IFERROR(INDEX(CC_RegRate,MATCH(F385,CC_RegU,0)),0))</f>
        <v/>
      </c>
      <c r="K385" s="62" t="n">
        <f aca="false">N(H385)*N(J385)</f>
        <v>0</v>
      </c>
      <c r="L385" s="62" t="n">
        <f aca="false">IF(CC_IncWaste="Yes",N(I385)*N(XWaste),0)</f>
        <v>0</v>
      </c>
      <c r="M385" s="65" t="n">
        <f aca="false">IF(N(G385)=0,0,IF(CC_AllocBasis="Equipment count",1,IF(CC_AllocBasis="Equipment volume",N(G385),N(H385))))</f>
        <v>0</v>
      </c>
      <c r="N385" s="15" t="n">
        <f aca="false">IF(SUM(CC_P_M)=0,0,M385/SUM(CC_P_M))</f>
        <v>0</v>
      </c>
      <c r="O385" s="62" t="n">
        <f aca="false">N385*CC_SharedCost</f>
        <v>0</v>
      </c>
      <c r="P385" s="63" t="n">
        <f aca="false">K385+L385+O385</f>
        <v>0</v>
      </c>
      <c r="Q385" s="62" t="n">
        <f aca="false">K385*(1+INDEX(MkMatrix,3,3))</f>
        <v>0</v>
      </c>
      <c r="R385" s="62" t="n">
        <f aca="false">L385*(1+INDEX(MkMatrix,3,3))</f>
        <v>0</v>
      </c>
      <c r="S385" s="62" t="n">
        <f aca="false">N385*CC_SharedSell</f>
        <v>0</v>
      </c>
      <c r="T385" s="62" t="n">
        <f aca="false">P385*N(QCont)</f>
        <v>0</v>
      </c>
      <c r="U385" s="62" t="n">
        <f aca="false">Q385+R385+S385+T385</f>
        <v>0</v>
      </c>
      <c r="V385" s="62" t="n">
        <f aca="false">-U385*N(QDisc)</f>
        <v>-0</v>
      </c>
      <c r="W385" s="63" t="n">
        <f aca="false">U385+V385</f>
        <v>0</v>
      </c>
      <c r="X385" s="63" t="n">
        <f aca="false">W385/QRate</f>
        <v>0</v>
      </c>
      <c r="Y385" s="0" t="n">
        <v>12</v>
      </c>
    </row>
    <row r="386" customFormat="false" ht="15" hidden="false" customHeight="false" outlineLevel="0" collapsed="false">
      <c r="A386" s="68" t="n">
        <f aca="false">'CC Volume'!A386</f>
        <v>14</v>
      </c>
      <c r="B386" s="13" t="str">
        <f aca="false">IF('CC Volume'!B386="","",'CC Volume'!B386)</f>
        <v/>
      </c>
      <c r="C386" s="13" t="str">
        <f aca="false">IF('CC Volume'!C386="","",'CC Volume'!C386)</f>
        <v/>
      </c>
      <c r="D386" s="13" t="str">
        <f aca="false">IF('CC Volume'!D386="","",'CC Volume'!D386)</f>
        <v/>
      </c>
      <c r="E386" s="68" t="str">
        <f aca="false">IF('CC Volume'!E386="","",'CC Volume'!E386)</f>
        <v/>
      </c>
      <c r="F386" s="68" t="str">
        <f aca="false">IF('CC Volume'!F386="","",'CC Volume'!F386)</f>
        <v/>
      </c>
      <c r="G386" s="69" t="str">
        <f aca="false">'CC Volume'!AN386</f>
        <v/>
      </c>
      <c r="H386" s="69" t="str">
        <f aca="false">'CC Volume'!AO386</f>
        <v/>
      </c>
      <c r="I386" s="69" t="str">
        <f aca="false">'CC Volume'!AM386</f>
        <v/>
      </c>
      <c r="J386" s="62" t="str">
        <f aca="false">IF(N(H386)=0,"",IFERROR(INDEX(CC_RegRate,MATCH(F386,CC_RegU,0)),0))</f>
        <v/>
      </c>
      <c r="K386" s="62" t="n">
        <f aca="false">N(H386)*N(J386)</f>
        <v>0</v>
      </c>
      <c r="L386" s="62" t="n">
        <f aca="false">IF(CC_IncWaste="Yes",N(I386)*N(XWaste),0)</f>
        <v>0</v>
      </c>
      <c r="M386" s="65" t="n">
        <f aca="false">IF(N(G386)=0,0,IF(CC_AllocBasis="Equipment count",1,IF(CC_AllocBasis="Equipment volume",N(G386),N(H386))))</f>
        <v>0</v>
      </c>
      <c r="N386" s="15" t="n">
        <f aca="false">IF(SUM(CC_P_M)=0,0,M386/SUM(CC_P_M))</f>
        <v>0</v>
      </c>
      <c r="O386" s="62" t="n">
        <f aca="false">N386*CC_SharedCost</f>
        <v>0</v>
      </c>
      <c r="P386" s="63" t="n">
        <f aca="false">K386+L386+O386</f>
        <v>0</v>
      </c>
      <c r="Q386" s="62" t="n">
        <f aca="false">K386*(1+INDEX(MkMatrix,3,3))</f>
        <v>0</v>
      </c>
      <c r="R386" s="62" t="n">
        <f aca="false">L386*(1+INDEX(MkMatrix,3,3))</f>
        <v>0</v>
      </c>
      <c r="S386" s="62" t="n">
        <f aca="false">N386*CC_SharedSell</f>
        <v>0</v>
      </c>
      <c r="T386" s="62" t="n">
        <f aca="false">P386*N(QCont)</f>
        <v>0</v>
      </c>
      <c r="U386" s="62" t="n">
        <f aca="false">Q386+R386+S386+T386</f>
        <v>0</v>
      </c>
      <c r="V386" s="62" t="n">
        <f aca="false">-U386*N(QDisc)</f>
        <v>-0</v>
      </c>
      <c r="W386" s="63" t="n">
        <f aca="false">U386+V386</f>
        <v>0</v>
      </c>
      <c r="X386" s="63" t="n">
        <f aca="false">W386/QRate</f>
        <v>0</v>
      </c>
      <c r="Y386" s="0" t="n">
        <v>12</v>
      </c>
    </row>
    <row r="387" customFormat="false" ht="15" hidden="false" customHeight="false" outlineLevel="0" collapsed="false">
      <c r="A387" s="68" t="n">
        <f aca="false">'CC Volume'!A387</f>
        <v>15</v>
      </c>
      <c r="B387" s="13" t="str">
        <f aca="false">IF('CC Volume'!B387="","",'CC Volume'!B387)</f>
        <v/>
      </c>
      <c r="C387" s="13" t="str">
        <f aca="false">IF('CC Volume'!C387="","",'CC Volume'!C387)</f>
        <v/>
      </c>
      <c r="D387" s="13" t="str">
        <f aca="false">IF('CC Volume'!D387="","",'CC Volume'!D387)</f>
        <v/>
      </c>
      <c r="E387" s="68" t="str">
        <f aca="false">IF('CC Volume'!E387="","",'CC Volume'!E387)</f>
        <v/>
      </c>
      <c r="F387" s="68" t="str">
        <f aca="false">IF('CC Volume'!F387="","",'CC Volume'!F387)</f>
        <v/>
      </c>
      <c r="G387" s="69" t="str">
        <f aca="false">'CC Volume'!AN387</f>
        <v/>
      </c>
      <c r="H387" s="69" t="str">
        <f aca="false">'CC Volume'!AO387</f>
        <v/>
      </c>
      <c r="I387" s="69" t="str">
        <f aca="false">'CC Volume'!AM387</f>
        <v/>
      </c>
      <c r="J387" s="62" t="str">
        <f aca="false">IF(N(H387)=0,"",IFERROR(INDEX(CC_RegRate,MATCH(F387,CC_RegU,0)),0))</f>
        <v/>
      </c>
      <c r="K387" s="62" t="n">
        <f aca="false">N(H387)*N(J387)</f>
        <v>0</v>
      </c>
      <c r="L387" s="62" t="n">
        <f aca="false">IF(CC_IncWaste="Yes",N(I387)*N(XWaste),0)</f>
        <v>0</v>
      </c>
      <c r="M387" s="65" t="n">
        <f aca="false">IF(N(G387)=0,0,IF(CC_AllocBasis="Equipment count",1,IF(CC_AllocBasis="Equipment volume",N(G387),N(H387))))</f>
        <v>0</v>
      </c>
      <c r="N387" s="15" t="n">
        <f aca="false">IF(SUM(CC_P_M)=0,0,M387/SUM(CC_P_M))</f>
        <v>0</v>
      </c>
      <c r="O387" s="62" t="n">
        <f aca="false">N387*CC_SharedCost</f>
        <v>0</v>
      </c>
      <c r="P387" s="63" t="n">
        <f aca="false">K387+L387+O387</f>
        <v>0</v>
      </c>
      <c r="Q387" s="62" t="n">
        <f aca="false">K387*(1+INDEX(MkMatrix,3,3))</f>
        <v>0</v>
      </c>
      <c r="R387" s="62" t="n">
        <f aca="false">L387*(1+INDEX(MkMatrix,3,3))</f>
        <v>0</v>
      </c>
      <c r="S387" s="62" t="n">
        <f aca="false">N387*CC_SharedSell</f>
        <v>0</v>
      </c>
      <c r="T387" s="62" t="n">
        <f aca="false">P387*N(QCont)</f>
        <v>0</v>
      </c>
      <c r="U387" s="62" t="n">
        <f aca="false">Q387+R387+S387+T387</f>
        <v>0</v>
      </c>
      <c r="V387" s="62" t="n">
        <f aca="false">-U387*N(QDisc)</f>
        <v>-0</v>
      </c>
      <c r="W387" s="63" t="n">
        <f aca="false">U387+V387</f>
        <v>0</v>
      </c>
      <c r="X387" s="63" t="n">
        <f aca="false">W387/QRate</f>
        <v>0</v>
      </c>
      <c r="Y387" s="0" t="n">
        <v>12</v>
      </c>
    </row>
    <row r="388" customFormat="false" ht="15" hidden="false" customHeight="false" outlineLevel="0" collapsed="false">
      <c r="A388" s="68" t="n">
        <f aca="false">'CC Volume'!A388</f>
        <v>16</v>
      </c>
      <c r="B388" s="13" t="str">
        <f aca="false">IF('CC Volume'!B388="","",'CC Volume'!B388)</f>
        <v/>
      </c>
      <c r="C388" s="13" t="str">
        <f aca="false">IF('CC Volume'!C388="","",'CC Volume'!C388)</f>
        <v/>
      </c>
      <c r="D388" s="13" t="str">
        <f aca="false">IF('CC Volume'!D388="","",'CC Volume'!D388)</f>
        <v/>
      </c>
      <c r="E388" s="68" t="str">
        <f aca="false">IF('CC Volume'!E388="","",'CC Volume'!E388)</f>
        <v/>
      </c>
      <c r="F388" s="68" t="str">
        <f aca="false">IF('CC Volume'!F388="","",'CC Volume'!F388)</f>
        <v/>
      </c>
      <c r="G388" s="69" t="str">
        <f aca="false">'CC Volume'!AN388</f>
        <v/>
      </c>
      <c r="H388" s="69" t="str">
        <f aca="false">'CC Volume'!AO388</f>
        <v/>
      </c>
      <c r="I388" s="69" t="str">
        <f aca="false">'CC Volume'!AM388</f>
        <v/>
      </c>
      <c r="J388" s="62" t="str">
        <f aca="false">IF(N(H388)=0,"",IFERROR(INDEX(CC_RegRate,MATCH(F388,CC_RegU,0)),0))</f>
        <v/>
      </c>
      <c r="K388" s="62" t="n">
        <f aca="false">N(H388)*N(J388)</f>
        <v>0</v>
      </c>
      <c r="L388" s="62" t="n">
        <f aca="false">IF(CC_IncWaste="Yes",N(I388)*N(XWaste),0)</f>
        <v>0</v>
      </c>
      <c r="M388" s="65" t="n">
        <f aca="false">IF(N(G388)=0,0,IF(CC_AllocBasis="Equipment count",1,IF(CC_AllocBasis="Equipment volume",N(G388),N(H388))))</f>
        <v>0</v>
      </c>
      <c r="N388" s="15" t="n">
        <f aca="false">IF(SUM(CC_P_M)=0,0,M388/SUM(CC_P_M))</f>
        <v>0</v>
      </c>
      <c r="O388" s="62" t="n">
        <f aca="false">N388*CC_SharedCost</f>
        <v>0</v>
      </c>
      <c r="P388" s="63" t="n">
        <f aca="false">K388+L388+O388</f>
        <v>0</v>
      </c>
      <c r="Q388" s="62" t="n">
        <f aca="false">K388*(1+INDEX(MkMatrix,3,3))</f>
        <v>0</v>
      </c>
      <c r="R388" s="62" t="n">
        <f aca="false">L388*(1+INDEX(MkMatrix,3,3))</f>
        <v>0</v>
      </c>
      <c r="S388" s="62" t="n">
        <f aca="false">N388*CC_SharedSell</f>
        <v>0</v>
      </c>
      <c r="T388" s="62" t="n">
        <f aca="false">P388*N(QCont)</f>
        <v>0</v>
      </c>
      <c r="U388" s="62" t="n">
        <f aca="false">Q388+R388+S388+T388</f>
        <v>0</v>
      </c>
      <c r="V388" s="62" t="n">
        <f aca="false">-U388*N(QDisc)</f>
        <v>-0</v>
      </c>
      <c r="W388" s="63" t="n">
        <f aca="false">U388+V388</f>
        <v>0</v>
      </c>
      <c r="X388" s="63" t="n">
        <f aca="false">W388/QRate</f>
        <v>0</v>
      </c>
      <c r="Y388" s="0" t="n">
        <v>12</v>
      </c>
    </row>
    <row r="389" customFormat="false" ht="15" hidden="false" customHeight="false" outlineLevel="0" collapsed="false">
      <c r="A389" s="68" t="n">
        <f aca="false">'CC Volume'!A389</f>
        <v>17</v>
      </c>
      <c r="B389" s="13" t="str">
        <f aca="false">IF('CC Volume'!B389="","",'CC Volume'!B389)</f>
        <v/>
      </c>
      <c r="C389" s="13" t="str">
        <f aca="false">IF('CC Volume'!C389="","",'CC Volume'!C389)</f>
        <v/>
      </c>
      <c r="D389" s="13" t="str">
        <f aca="false">IF('CC Volume'!D389="","",'CC Volume'!D389)</f>
        <v/>
      </c>
      <c r="E389" s="68" t="str">
        <f aca="false">IF('CC Volume'!E389="","",'CC Volume'!E389)</f>
        <v/>
      </c>
      <c r="F389" s="68" t="str">
        <f aca="false">IF('CC Volume'!F389="","",'CC Volume'!F389)</f>
        <v/>
      </c>
      <c r="G389" s="69" t="str">
        <f aca="false">'CC Volume'!AN389</f>
        <v/>
      </c>
      <c r="H389" s="69" t="str">
        <f aca="false">'CC Volume'!AO389</f>
        <v/>
      </c>
      <c r="I389" s="69" t="str">
        <f aca="false">'CC Volume'!AM389</f>
        <v/>
      </c>
      <c r="J389" s="62" t="str">
        <f aca="false">IF(N(H389)=0,"",IFERROR(INDEX(CC_RegRate,MATCH(F389,CC_RegU,0)),0))</f>
        <v/>
      </c>
      <c r="K389" s="62" t="n">
        <f aca="false">N(H389)*N(J389)</f>
        <v>0</v>
      </c>
      <c r="L389" s="62" t="n">
        <f aca="false">IF(CC_IncWaste="Yes",N(I389)*N(XWaste),0)</f>
        <v>0</v>
      </c>
      <c r="M389" s="65" t="n">
        <f aca="false">IF(N(G389)=0,0,IF(CC_AllocBasis="Equipment count",1,IF(CC_AllocBasis="Equipment volume",N(G389),N(H389))))</f>
        <v>0</v>
      </c>
      <c r="N389" s="15" t="n">
        <f aca="false">IF(SUM(CC_P_M)=0,0,M389/SUM(CC_P_M))</f>
        <v>0</v>
      </c>
      <c r="O389" s="62" t="n">
        <f aca="false">N389*CC_SharedCost</f>
        <v>0</v>
      </c>
      <c r="P389" s="63" t="n">
        <f aca="false">K389+L389+O389</f>
        <v>0</v>
      </c>
      <c r="Q389" s="62" t="n">
        <f aca="false">K389*(1+INDEX(MkMatrix,3,3))</f>
        <v>0</v>
      </c>
      <c r="R389" s="62" t="n">
        <f aca="false">L389*(1+INDEX(MkMatrix,3,3))</f>
        <v>0</v>
      </c>
      <c r="S389" s="62" t="n">
        <f aca="false">N389*CC_SharedSell</f>
        <v>0</v>
      </c>
      <c r="T389" s="62" t="n">
        <f aca="false">P389*N(QCont)</f>
        <v>0</v>
      </c>
      <c r="U389" s="62" t="n">
        <f aca="false">Q389+R389+S389+T389</f>
        <v>0</v>
      </c>
      <c r="V389" s="62" t="n">
        <f aca="false">-U389*N(QDisc)</f>
        <v>-0</v>
      </c>
      <c r="W389" s="63" t="n">
        <f aca="false">U389+V389</f>
        <v>0</v>
      </c>
      <c r="X389" s="63" t="n">
        <f aca="false">W389/QRate</f>
        <v>0</v>
      </c>
      <c r="Y389" s="0" t="n">
        <v>12</v>
      </c>
    </row>
    <row r="390" customFormat="false" ht="15" hidden="false" customHeight="false" outlineLevel="0" collapsed="false">
      <c r="A390" s="68" t="n">
        <f aca="false">'CC Volume'!A390</f>
        <v>18</v>
      </c>
      <c r="B390" s="13" t="str">
        <f aca="false">IF('CC Volume'!B390="","",'CC Volume'!B390)</f>
        <v/>
      </c>
      <c r="C390" s="13" t="str">
        <f aca="false">IF('CC Volume'!C390="","",'CC Volume'!C390)</f>
        <v/>
      </c>
      <c r="D390" s="13" t="str">
        <f aca="false">IF('CC Volume'!D390="","",'CC Volume'!D390)</f>
        <v/>
      </c>
      <c r="E390" s="68" t="str">
        <f aca="false">IF('CC Volume'!E390="","",'CC Volume'!E390)</f>
        <v/>
      </c>
      <c r="F390" s="68" t="str">
        <f aca="false">IF('CC Volume'!F390="","",'CC Volume'!F390)</f>
        <v/>
      </c>
      <c r="G390" s="69" t="str">
        <f aca="false">'CC Volume'!AN390</f>
        <v/>
      </c>
      <c r="H390" s="69" t="str">
        <f aca="false">'CC Volume'!AO390</f>
        <v/>
      </c>
      <c r="I390" s="69" t="str">
        <f aca="false">'CC Volume'!AM390</f>
        <v/>
      </c>
      <c r="J390" s="62" t="str">
        <f aca="false">IF(N(H390)=0,"",IFERROR(INDEX(CC_RegRate,MATCH(F390,CC_RegU,0)),0))</f>
        <v/>
      </c>
      <c r="K390" s="62" t="n">
        <f aca="false">N(H390)*N(J390)</f>
        <v>0</v>
      </c>
      <c r="L390" s="62" t="n">
        <f aca="false">IF(CC_IncWaste="Yes",N(I390)*N(XWaste),0)</f>
        <v>0</v>
      </c>
      <c r="M390" s="65" t="n">
        <f aca="false">IF(N(G390)=0,0,IF(CC_AllocBasis="Equipment count",1,IF(CC_AllocBasis="Equipment volume",N(G390),N(H390))))</f>
        <v>0</v>
      </c>
      <c r="N390" s="15" t="n">
        <f aca="false">IF(SUM(CC_P_M)=0,0,M390/SUM(CC_P_M))</f>
        <v>0</v>
      </c>
      <c r="O390" s="62" t="n">
        <f aca="false">N390*CC_SharedCost</f>
        <v>0</v>
      </c>
      <c r="P390" s="63" t="n">
        <f aca="false">K390+L390+O390</f>
        <v>0</v>
      </c>
      <c r="Q390" s="62" t="n">
        <f aca="false">K390*(1+INDEX(MkMatrix,3,3))</f>
        <v>0</v>
      </c>
      <c r="R390" s="62" t="n">
        <f aca="false">L390*(1+INDEX(MkMatrix,3,3))</f>
        <v>0</v>
      </c>
      <c r="S390" s="62" t="n">
        <f aca="false">N390*CC_SharedSell</f>
        <v>0</v>
      </c>
      <c r="T390" s="62" t="n">
        <f aca="false">P390*N(QCont)</f>
        <v>0</v>
      </c>
      <c r="U390" s="62" t="n">
        <f aca="false">Q390+R390+S390+T390</f>
        <v>0</v>
      </c>
      <c r="V390" s="62" t="n">
        <f aca="false">-U390*N(QDisc)</f>
        <v>-0</v>
      </c>
      <c r="W390" s="63" t="n">
        <f aca="false">U390+V390</f>
        <v>0</v>
      </c>
      <c r="X390" s="63" t="n">
        <f aca="false">W390/QRate</f>
        <v>0</v>
      </c>
      <c r="Y390" s="0" t="n">
        <v>12</v>
      </c>
    </row>
    <row r="391" customFormat="false" ht="15" hidden="false" customHeight="false" outlineLevel="0" collapsed="false">
      <c r="A391" s="68" t="n">
        <f aca="false">'CC Volume'!A391</f>
        <v>19</v>
      </c>
      <c r="B391" s="13" t="str">
        <f aca="false">IF('CC Volume'!B391="","",'CC Volume'!B391)</f>
        <v/>
      </c>
      <c r="C391" s="13" t="str">
        <f aca="false">IF('CC Volume'!C391="","",'CC Volume'!C391)</f>
        <v/>
      </c>
      <c r="D391" s="13" t="str">
        <f aca="false">IF('CC Volume'!D391="","",'CC Volume'!D391)</f>
        <v/>
      </c>
      <c r="E391" s="68" t="str">
        <f aca="false">IF('CC Volume'!E391="","",'CC Volume'!E391)</f>
        <v/>
      </c>
      <c r="F391" s="68" t="str">
        <f aca="false">IF('CC Volume'!F391="","",'CC Volume'!F391)</f>
        <v/>
      </c>
      <c r="G391" s="69" t="str">
        <f aca="false">'CC Volume'!AN391</f>
        <v/>
      </c>
      <c r="H391" s="69" t="str">
        <f aca="false">'CC Volume'!AO391</f>
        <v/>
      </c>
      <c r="I391" s="69" t="str">
        <f aca="false">'CC Volume'!AM391</f>
        <v/>
      </c>
      <c r="J391" s="62" t="str">
        <f aca="false">IF(N(H391)=0,"",IFERROR(INDEX(CC_RegRate,MATCH(F391,CC_RegU,0)),0))</f>
        <v/>
      </c>
      <c r="K391" s="62" t="n">
        <f aca="false">N(H391)*N(J391)</f>
        <v>0</v>
      </c>
      <c r="L391" s="62" t="n">
        <f aca="false">IF(CC_IncWaste="Yes",N(I391)*N(XWaste),0)</f>
        <v>0</v>
      </c>
      <c r="M391" s="65" t="n">
        <f aca="false">IF(N(G391)=0,0,IF(CC_AllocBasis="Equipment count",1,IF(CC_AllocBasis="Equipment volume",N(G391),N(H391))))</f>
        <v>0</v>
      </c>
      <c r="N391" s="15" t="n">
        <f aca="false">IF(SUM(CC_P_M)=0,0,M391/SUM(CC_P_M))</f>
        <v>0</v>
      </c>
      <c r="O391" s="62" t="n">
        <f aca="false">N391*CC_SharedCost</f>
        <v>0</v>
      </c>
      <c r="P391" s="63" t="n">
        <f aca="false">K391+L391+O391</f>
        <v>0</v>
      </c>
      <c r="Q391" s="62" t="n">
        <f aca="false">K391*(1+INDEX(MkMatrix,3,3))</f>
        <v>0</v>
      </c>
      <c r="R391" s="62" t="n">
        <f aca="false">L391*(1+INDEX(MkMatrix,3,3))</f>
        <v>0</v>
      </c>
      <c r="S391" s="62" t="n">
        <f aca="false">N391*CC_SharedSell</f>
        <v>0</v>
      </c>
      <c r="T391" s="62" t="n">
        <f aca="false">P391*N(QCont)</f>
        <v>0</v>
      </c>
      <c r="U391" s="62" t="n">
        <f aca="false">Q391+R391+S391+T391</f>
        <v>0</v>
      </c>
      <c r="V391" s="62" t="n">
        <f aca="false">-U391*N(QDisc)</f>
        <v>-0</v>
      </c>
      <c r="W391" s="63" t="n">
        <f aca="false">U391+V391</f>
        <v>0</v>
      </c>
      <c r="X391" s="63" t="n">
        <f aca="false">W391/QRate</f>
        <v>0</v>
      </c>
      <c r="Y391" s="0" t="n">
        <v>12</v>
      </c>
    </row>
    <row r="392" customFormat="false" ht="15" hidden="false" customHeight="false" outlineLevel="0" collapsed="false">
      <c r="A392" s="68" t="n">
        <f aca="false">'CC Volume'!A392</f>
        <v>20</v>
      </c>
      <c r="B392" s="13" t="str">
        <f aca="false">IF('CC Volume'!B392="","",'CC Volume'!B392)</f>
        <v/>
      </c>
      <c r="C392" s="13" t="str">
        <f aca="false">IF('CC Volume'!C392="","",'CC Volume'!C392)</f>
        <v/>
      </c>
      <c r="D392" s="13" t="str">
        <f aca="false">IF('CC Volume'!D392="","",'CC Volume'!D392)</f>
        <v/>
      </c>
      <c r="E392" s="68" t="str">
        <f aca="false">IF('CC Volume'!E392="","",'CC Volume'!E392)</f>
        <v/>
      </c>
      <c r="F392" s="68" t="str">
        <f aca="false">IF('CC Volume'!F392="","",'CC Volume'!F392)</f>
        <v/>
      </c>
      <c r="G392" s="69" t="str">
        <f aca="false">'CC Volume'!AN392</f>
        <v/>
      </c>
      <c r="H392" s="69" t="str">
        <f aca="false">'CC Volume'!AO392</f>
        <v/>
      </c>
      <c r="I392" s="69" t="str">
        <f aca="false">'CC Volume'!AM392</f>
        <v/>
      </c>
      <c r="J392" s="62" t="str">
        <f aca="false">IF(N(H392)=0,"",IFERROR(INDEX(CC_RegRate,MATCH(F392,CC_RegU,0)),0))</f>
        <v/>
      </c>
      <c r="K392" s="62" t="n">
        <f aca="false">N(H392)*N(J392)</f>
        <v>0</v>
      </c>
      <c r="L392" s="62" t="n">
        <f aca="false">IF(CC_IncWaste="Yes",N(I392)*N(XWaste),0)</f>
        <v>0</v>
      </c>
      <c r="M392" s="65" t="n">
        <f aca="false">IF(N(G392)=0,0,IF(CC_AllocBasis="Equipment count",1,IF(CC_AllocBasis="Equipment volume",N(G392),N(H392))))</f>
        <v>0</v>
      </c>
      <c r="N392" s="15" t="n">
        <f aca="false">IF(SUM(CC_P_M)=0,0,M392/SUM(CC_P_M))</f>
        <v>0</v>
      </c>
      <c r="O392" s="62" t="n">
        <f aca="false">N392*CC_SharedCost</f>
        <v>0</v>
      </c>
      <c r="P392" s="63" t="n">
        <f aca="false">K392+L392+O392</f>
        <v>0</v>
      </c>
      <c r="Q392" s="62" t="n">
        <f aca="false">K392*(1+INDEX(MkMatrix,3,3))</f>
        <v>0</v>
      </c>
      <c r="R392" s="62" t="n">
        <f aca="false">L392*(1+INDEX(MkMatrix,3,3))</f>
        <v>0</v>
      </c>
      <c r="S392" s="62" t="n">
        <f aca="false">N392*CC_SharedSell</f>
        <v>0</v>
      </c>
      <c r="T392" s="62" t="n">
        <f aca="false">P392*N(QCont)</f>
        <v>0</v>
      </c>
      <c r="U392" s="62" t="n">
        <f aca="false">Q392+R392+S392+T392</f>
        <v>0</v>
      </c>
      <c r="V392" s="62" t="n">
        <f aca="false">-U392*N(QDisc)</f>
        <v>-0</v>
      </c>
      <c r="W392" s="63" t="n">
        <f aca="false">U392+V392</f>
        <v>0</v>
      </c>
      <c r="X392" s="63" t="n">
        <f aca="false">W392/QRate</f>
        <v>0</v>
      </c>
      <c r="Y392" s="0" t="n">
        <v>12</v>
      </c>
    </row>
    <row r="393" customFormat="false" ht="15" hidden="false" customHeight="false" outlineLevel="0" collapsed="false">
      <c r="A393" s="68" t="n">
        <f aca="false">'CC Volume'!A393</f>
        <v>21</v>
      </c>
      <c r="B393" s="13" t="str">
        <f aca="false">IF('CC Volume'!B393="","",'CC Volume'!B393)</f>
        <v/>
      </c>
      <c r="C393" s="13" t="str">
        <f aca="false">IF('CC Volume'!C393="","",'CC Volume'!C393)</f>
        <v/>
      </c>
      <c r="D393" s="13" t="str">
        <f aca="false">IF('CC Volume'!D393="","",'CC Volume'!D393)</f>
        <v/>
      </c>
      <c r="E393" s="68" t="str">
        <f aca="false">IF('CC Volume'!E393="","",'CC Volume'!E393)</f>
        <v/>
      </c>
      <c r="F393" s="68" t="str">
        <f aca="false">IF('CC Volume'!F393="","",'CC Volume'!F393)</f>
        <v/>
      </c>
      <c r="G393" s="69" t="str">
        <f aca="false">'CC Volume'!AN393</f>
        <v/>
      </c>
      <c r="H393" s="69" t="str">
        <f aca="false">'CC Volume'!AO393</f>
        <v/>
      </c>
      <c r="I393" s="69" t="str">
        <f aca="false">'CC Volume'!AM393</f>
        <v/>
      </c>
      <c r="J393" s="62" t="str">
        <f aca="false">IF(N(H393)=0,"",IFERROR(INDEX(CC_RegRate,MATCH(F393,CC_RegU,0)),0))</f>
        <v/>
      </c>
      <c r="K393" s="62" t="n">
        <f aca="false">N(H393)*N(J393)</f>
        <v>0</v>
      </c>
      <c r="L393" s="62" t="n">
        <f aca="false">IF(CC_IncWaste="Yes",N(I393)*N(XWaste),0)</f>
        <v>0</v>
      </c>
      <c r="M393" s="65" t="n">
        <f aca="false">IF(N(G393)=0,0,IF(CC_AllocBasis="Equipment count",1,IF(CC_AllocBasis="Equipment volume",N(G393),N(H393))))</f>
        <v>0</v>
      </c>
      <c r="N393" s="15" t="n">
        <f aca="false">IF(SUM(CC_P_M)=0,0,M393/SUM(CC_P_M))</f>
        <v>0</v>
      </c>
      <c r="O393" s="62" t="n">
        <f aca="false">N393*CC_SharedCost</f>
        <v>0</v>
      </c>
      <c r="P393" s="63" t="n">
        <f aca="false">K393+L393+O393</f>
        <v>0</v>
      </c>
      <c r="Q393" s="62" t="n">
        <f aca="false">K393*(1+INDEX(MkMatrix,3,3))</f>
        <v>0</v>
      </c>
      <c r="R393" s="62" t="n">
        <f aca="false">L393*(1+INDEX(MkMatrix,3,3))</f>
        <v>0</v>
      </c>
      <c r="S393" s="62" t="n">
        <f aca="false">N393*CC_SharedSell</f>
        <v>0</v>
      </c>
      <c r="T393" s="62" t="n">
        <f aca="false">P393*N(QCont)</f>
        <v>0</v>
      </c>
      <c r="U393" s="62" t="n">
        <f aca="false">Q393+R393+S393+T393</f>
        <v>0</v>
      </c>
      <c r="V393" s="62" t="n">
        <f aca="false">-U393*N(QDisc)</f>
        <v>-0</v>
      </c>
      <c r="W393" s="63" t="n">
        <f aca="false">U393+V393</f>
        <v>0</v>
      </c>
      <c r="X393" s="63" t="n">
        <f aca="false">W393/QRate</f>
        <v>0</v>
      </c>
      <c r="Y393" s="0" t="n">
        <v>12</v>
      </c>
    </row>
    <row r="394" customFormat="false" ht="15" hidden="false" customHeight="false" outlineLevel="0" collapsed="false">
      <c r="A394" s="68" t="n">
        <f aca="false">'CC Volume'!A394</f>
        <v>22</v>
      </c>
      <c r="B394" s="13" t="str">
        <f aca="false">IF('CC Volume'!B394="","",'CC Volume'!B394)</f>
        <v/>
      </c>
      <c r="C394" s="13" t="str">
        <f aca="false">IF('CC Volume'!C394="","",'CC Volume'!C394)</f>
        <v/>
      </c>
      <c r="D394" s="13" t="str">
        <f aca="false">IF('CC Volume'!D394="","",'CC Volume'!D394)</f>
        <v/>
      </c>
      <c r="E394" s="68" t="str">
        <f aca="false">IF('CC Volume'!E394="","",'CC Volume'!E394)</f>
        <v/>
      </c>
      <c r="F394" s="68" t="str">
        <f aca="false">IF('CC Volume'!F394="","",'CC Volume'!F394)</f>
        <v/>
      </c>
      <c r="G394" s="69" t="str">
        <f aca="false">'CC Volume'!AN394</f>
        <v/>
      </c>
      <c r="H394" s="69" t="str">
        <f aca="false">'CC Volume'!AO394</f>
        <v/>
      </c>
      <c r="I394" s="69" t="str">
        <f aca="false">'CC Volume'!AM394</f>
        <v/>
      </c>
      <c r="J394" s="62" t="str">
        <f aca="false">IF(N(H394)=0,"",IFERROR(INDEX(CC_RegRate,MATCH(F394,CC_RegU,0)),0))</f>
        <v/>
      </c>
      <c r="K394" s="62" t="n">
        <f aca="false">N(H394)*N(J394)</f>
        <v>0</v>
      </c>
      <c r="L394" s="62" t="n">
        <f aca="false">IF(CC_IncWaste="Yes",N(I394)*N(XWaste),0)</f>
        <v>0</v>
      </c>
      <c r="M394" s="65" t="n">
        <f aca="false">IF(N(G394)=0,0,IF(CC_AllocBasis="Equipment count",1,IF(CC_AllocBasis="Equipment volume",N(G394),N(H394))))</f>
        <v>0</v>
      </c>
      <c r="N394" s="15" t="n">
        <f aca="false">IF(SUM(CC_P_M)=0,0,M394/SUM(CC_P_M))</f>
        <v>0</v>
      </c>
      <c r="O394" s="62" t="n">
        <f aca="false">N394*CC_SharedCost</f>
        <v>0</v>
      </c>
      <c r="P394" s="63" t="n">
        <f aca="false">K394+L394+O394</f>
        <v>0</v>
      </c>
      <c r="Q394" s="62" t="n">
        <f aca="false">K394*(1+INDEX(MkMatrix,3,3))</f>
        <v>0</v>
      </c>
      <c r="R394" s="62" t="n">
        <f aca="false">L394*(1+INDEX(MkMatrix,3,3))</f>
        <v>0</v>
      </c>
      <c r="S394" s="62" t="n">
        <f aca="false">N394*CC_SharedSell</f>
        <v>0</v>
      </c>
      <c r="T394" s="62" t="n">
        <f aca="false">P394*N(QCont)</f>
        <v>0</v>
      </c>
      <c r="U394" s="62" t="n">
        <f aca="false">Q394+R394+S394+T394</f>
        <v>0</v>
      </c>
      <c r="V394" s="62" t="n">
        <f aca="false">-U394*N(QDisc)</f>
        <v>-0</v>
      </c>
      <c r="W394" s="63" t="n">
        <f aca="false">U394+V394</f>
        <v>0</v>
      </c>
      <c r="X394" s="63" t="n">
        <f aca="false">W394/QRate</f>
        <v>0</v>
      </c>
      <c r="Y394" s="0" t="n">
        <v>12</v>
      </c>
    </row>
    <row r="395" customFormat="false" ht="15" hidden="false" customHeight="false" outlineLevel="0" collapsed="false">
      <c r="A395" s="68" t="n">
        <f aca="false">'CC Volume'!A395</f>
        <v>23</v>
      </c>
      <c r="B395" s="13" t="str">
        <f aca="false">IF('CC Volume'!B395="","",'CC Volume'!B395)</f>
        <v/>
      </c>
      <c r="C395" s="13" t="str">
        <f aca="false">IF('CC Volume'!C395="","",'CC Volume'!C395)</f>
        <v/>
      </c>
      <c r="D395" s="13" t="str">
        <f aca="false">IF('CC Volume'!D395="","",'CC Volume'!D395)</f>
        <v/>
      </c>
      <c r="E395" s="68" t="str">
        <f aca="false">IF('CC Volume'!E395="","",'CC Volume'!E395)</f>
        <v/>
      </c>
      <c r="F395" s="68" t="str">
        <f aca="false">IF('CC Volume'!F395="","",'CC Volume'!F395)</f>
        <v/>
      </c>
      <c r="G395" s="69" t="str">
        <f aca="false">'CC Volume'!AN395</f>
        <v/>
      </c>
      <c r="H395" s="69" t="str">
        <f aca="false">'CC Volume'!AO395</f>
        <v/>
      </c>
      <c r="I395" s="69" t="str">
        <f aca="false">'CC Volume'!AM395</f>
        <v/>
      </c>
      <c r="J395" s="62" t="str">
        <f aca="false">IF(N(H395)=0,"",IFERROR(INDEX(CC_RegRate,MATCH(F395,CC_RegU,0)),0))</f>
        <v/>
      </c>
      <c r="K395" s="62" t="n">
        <f aca="false">N(H395)*N(J395)</f>
        <v>0</v>
      </c>
      <c r="L395" s="62" t="n">
        <f aca="false">IF(CC_IncWaste="Yes",N(I395)*N(XWaste),0)</f>
        <v>0</v>
      </c>
      <c r="M395" s="65" t="n">
        <f aca="false">IF(N(G395)=0,0,IF(CC_AllocBasis="Equipment count",1,IF(CC_AllocBasis="Equipment volume",N(G395),N(H395))))</f>
        <v>0</v>
      </c>
      <c r="N395" s="15" t="n">
        <f aca="false">IF(SUM(CC_P_M)=0,0,M395/SUM(CC_P_M))</f>
        <v>0</v>
      </c>
      <c r="O395" s="62" t="n">
        <f aca="false">N395*CC_SharedCost</f>
        <v>0</v>
      </c>
      <c r="P395" s="63" t="n">
        <f aca="false">K395+L395+O395</f>
        <v>0</v>
      </c>
      <c r="Q395" s="62" t="n">
        <f aca="false">K395*(1+INDEX(MkMatrix,3,3))</f>
        <v>0</v>
      </c>
      <c r="R395" s="62" t="n">
        <f aca="false">L395*(1+INDEX(MkMatrix,3,3))</f>
        <v>0</v>
      </c>
      <c r="S395" s="62" t="n">
        <f aca="false">N395*CC_SharedSell</f>
        <v>0</v>
      </c>
      <c r="T395" s="62" t="n">
        <f aca="false">P395*N(QCont)</f>
        <v>0</v>
      </c>
      <c r="U395" s="62" t="n">
        <f aca="false">Q395+R395+S395+T395</f>
        <v>0</v>
      </c>
      <c r="V395" s="62" t="n">
        <f aca="false">-U395*N(QDisc)</f>
        <v>-0</v>
      </c>
      <c r="W395" s="63" t="n">
        <f aca="false">U395+V395</f>
        <v>0</v>
      </c>
      <c r="X395" s="63" t="n">
        <f aca="false">W395/QRate</f>
        <v>0</v>
      </c>
      <c r="Y395" s="0" t="n">
        <v>12</v>
      </c>
    </row>
    <row r="396" customFormat="false" ht="15" hidden="false" customHeight="false" outlineLevel="0" collapsed="false">
      <c r="A396" s="68" t="n">
        <f aca="false">'CC Volume'!A396</f>
        <v>24</v>
      </c>
      <c r="B396" s="13" t="str">
        <f aca="false">IF('CC Volume'!B396="","",'CC Volume'!B396)</f>
        <v/>
      </c>
      <c r="C396" s="13" t="str">
        <f aca="false">IF('CC Volume'!C396="","",'CC Volume'!C396)</f>
        <v/>
      </c>
      <c r="D396" s="13" t="str">
        <f aca="false">IF('CC Volume'!D396="","",'CC Volume'!D396)</f>
        <v/>
      </c>
      <c r="E396" s="68" t="str">
        <f aca="false">IF('CC Volume'!E396="","",'CC Volume'!E396)</f>
        <v/>
      </c>
      <c r="F396" s="68" t="str">
        <f aca="false">IF('CC Volume'!F396="","",'CC Volume'!F396)</f>
        <v/>
      </c>
      <c r="G396" s="69" t="str">
        <f aca="false">'CC Volume'!AN396</f>
        <v/>
      </c>
      <c r="H396" s="69" t="str">
        <f aca="false">'CC Volume'!AO396</f>
        <v/>
      </c>
      <c r="I396" s="69" t="str">
        <f aca="false">'CC Volume'!AM396</f>
        <v/>
      </c>
      <c r="J396" s="62" t="str">
        <f aca="false">IF(N(H396)=0,"",IFERROR(INDEX(CC_RegRate,MATCH(F396,CC_RegU,0)),0))</f>
        <v/>
      </c>
      <c r="K396" s="62" t="n">
        <f aca="false">N(H396)*N(J396)</f>
        <v>0</v>
      </c>
      <c r="L396" s="62" t="n">
        <f aca="false">IF(CC_IncWaste="Yes",N(I396)*N(XWaste),0)</f>
        <v>0</v>
      </c>
      <c r="M396" s="65" t="n">
        <f aca="false">IF(N(G396)=0,0,IF(CC_AllocBasis="Equipment count",1,IF(CC_AllocBasis="Equipment volume",N(G396),N(H396))))</f>
        <v>0</v>
      </c>
      <c r="N396" s="15" t="n">
        <f aca="false">IF(SUM(CC_P_M)=0,0,M396/SUM(CC_P_M))</f>
        <v>0</v>
      </c>
      <c r="O396" s="62" t="n">
        <f aca="false">N396*CC_SharedCost</f>
        <v>0</v>
      </c>
      <c r="P396" s="63" t="n">
        <f aca="false">K396+L396+O396</f>
        <v>0</v>
      </c>
      <c r="Q396" s="62" t="n">
        <f aca="false">K396*(1+INDEX(MkMatrix,3,3))</f>
        <v>0</v>
      </c>
      <c r="R396" s="62" t="n">
        <f aca="false">L396*(1+INDEX(MkMatrix,3,3))</f>
        <v>0</v>
      </c>
      <c r="S396" s="62" t="n">
        <f aca="false">N396*CC_SharedSell</f>
        <v>0</v>
      </c>
      <c r="T396" s="62" t="n">
        <f aca="false">P396*N(QCont)</f>
        <v>0</v>
      </c>
      <c r="U396" s="62" t="n">
        <f aca="false">Q396+R396+S396+T396</f>
        <v>0</v>
      </c>
      <c r="V396" s="62" t="n">
        <f aca="false">-U396*N(QDisc)</f>
        <v>-0</v>
      </c>
      <c r="W396" s="63" t="n">
        <f aca="false">U396+V396</f>
        <v>0</v>
      </c>
      <c r="X396" s="63" t="n">
        <f aca="false">W396/QRate</f>
        <v>0</v>
      </c>
      <c r="Y396" s="0" t="n">
        <v>12</v>
      </c>
    </row>
    <row r="397" customFormat="false" ht="15" hidden="false" customHeight="false" outlineLevel="0" collapsed="false">
      <c r="A397" s="68" t="n">
        <f aca="false">'CC Volume'!A397</f>
        <v>25</v>
      </c>
      <c r="B397" s="13" t="str">
        <f aca="false">IF('CC Volume'!B397="","",'CC Volume'!B397)</f>
        <v/>
      </c>
      <c r="C397" s="13" t="str">
        <f aca="false">IF('CC Volume'!C397="","",'CC Volume'!C397)</f>
        <v/>
      </c>
      <c r="D397" s="13" t="str">
        <f aca="false">IF('CC Volume'!D397="","",'CC Volume'!D397)</f>
        <v/>
      </c>
      <c r="E397" s="68" t="str">
        <f aca="false">IF('CC Volume'!E397="","",'CC Volume'!E397)</f>
        <v/>
      </c>
      <c r="F397" s="68" t="str">
        <f aca="false">IF('CC Volume'!F397="","",'CC Volume'!F397)</f>
        <v/>
      </c>
      <c r="G397" s="69" t="str">
        <f aca="false">'CC Volume'!AN397</f>
        <v/>
      </c>
      <c r="H397" s="69" t="str">
        <f aca="false">'CC Volume'!AO397</f>
        <v/>
      </c>
      <c r="I397" s="69" t="str">
        <f aca="false">'CC Volume'!AM397</f>
        <v/>
      </c>
      <c r="J397" s="62" t="str">
        <f aca="false">IF(N(H397)=0,"",IFERROR(INDEX(CC_RegRate,MATCH(F397,CC_RegU,0)),0))</f>
        <v/>
      </c>
      <c r="K397" s="62" t="n">
        <f aca="false">N(H397)*N(J397)</f>
        <v>0</v>
      </c>
      <c r="L397" s="62" t="n">
        <f aca="false">IF(CC_IncWaste="Yes",N(I397)*N(XWaste),0)</f>
        <v>0</v>
      </c>
      <c r="M397" s="65" t="n">
        <f aca="false">IF(N(G397)=0,0,IF(CC_AllocBasis="Equipment count",1,IF(CC_AllocBasis="Equipment volume",N(G397),N(H397))))</f>
        <v>0</v>
      </c>
      <c r="N397" s="15" t="n">
        <f aca="false">IF(SUM(CC_P_M)=0,0,M397/SUM(CC_P_M))</f>
        <v>0</v>
      </c>
      <c r="O397" s="62" t="n">
        <f aca="false">N397*CC_SharedCost</f>
        <v>0</v>
      </c>
      <c r="P397" s="63" t="n">
        <f aca="false">K397+L397+O397</f>
        <v>0</v>
      </c>
      <c r="Q397" s="62" t="n">
        <f aca="false">K397*(1+INDEX(MkMatrix,3,3))</f>
        <v>0</v>
      </c>
      <c r="R397" s="62" t="n">
        <f aca="false">L397*(1+INDEX(MkMatrix,3,3))</f>
        <v>0</v>
      </c>
      <c r="S397" s="62" t="n">
        <f aca="false">N397*CC_SharedSell</f>
        <v>0</v>
      </c>
      <c r="T397" s="62" t="n">
        <f aca="false">P397*N(QCont)</f>
        <v>0</v>
      </c>
      <c r="U397" s="62" t="n">
        <f aca="false">Q397+R397+S397+T397</f>
        <v>0</v>
      </c>
      <c r="V397" s="62" t="n">
        <f aca="false">-U397*N(QDisc)</f>
        <v>-0</v>
      </c>
      <c r="W397" s="63" t="n">
        <f aca="false">U397+V397</f>
        <v>0</v>
      </c>
      <c r="X397" s="63" t="n">
        <f aca="false">W397/QRate</f>
        <v>0</v>
      </c>
      <c r="Y397" s="0" t="n">
        <v>12</v>
      </c>
    </row>
    <row r="398" customFormat="false" ht="15" hidden="false" customHeight="false" outlineLevel="0" collapsed="false">
      <c r="A398" s="68" t="n">
        <f aca="false">'CC Volume'!A398</f>
        <v>26</v>
      </c>
      <c r="B398" s="13" t="str">
        <f aca="false">IF('CC Volume'!B398="","",'CC Volume'!B398)</f>
        <v/>
      </c>
      <c r="C398" s="13" t="str">
        <f aca="false">IF('CC Volume'!C398="","",'CC Volume'!C398)</f>
        <v/>
      </c>
      <c r="D398" s="13" t="str">
        <f aca="false">IF('CC Volume'!D398="","",'CC Volume'!D398)</f>
        <v/>
      </c>
      <c r="E398" s="68" t="str">
        <f aca="false">IF('CC Volume'!E398="","",'CC Volume'!E398)</f>
        <v/>
      </c>
      <c r="F398" s="68" t="str">
        <f aca="false">IF('CC Volume'!F398="","",'CC Volume'!F398)</f>
        <v/>
      </c>
      <c r="G398" s="69" t="str">
        <f aca="false">'CC Volume'!AN398</f>
        <v/>
      </c>
      <c r="H398" s="69" t="str">
        <f aca="false">'CC Volume'!AO398</f>
        <v/>
      </c>
      <c r="I398" s="69" t="str">
        <f aca="false">'CC Volume'!AM398</f>
        <v/>
      </c>
      <c r="J398" s="62" t="str">
        <f aca="false">IF(N(H398)=0,"",IFERROR(INDEX(CC_RegRate,MATCH(F398,CC_RegU,0)),0))</f>
        <v/>
      </c>
      <c r="K398" s="62" t="n">
        <f aca="false">N(H398)*N(J398)</f>
        <v>0</v>
      </c>
      <c r="L398" s="62" t="n">
        <f aca="false">IF(CC_IncWaste="Yes",N(I398)*N(XWaste),0)</f>
        <v>0</v>
      </c>
      <c r="M398" s="65" t="n">
        <f aca="false">IF(N(G398)=0,0,IF(CC_AllocBasis="Equipment count",1,IF(CC_AllocBasis="Equipment volume",N(G398),N(H398))))</f>
        <v>0</v>
      </c>
      <c r="N398" s="15" t="n">
        <f aca="false">IF(SUM(CC_P_M)=0,0,M398/SUM(CC_P_M))</f>
        <v>0</v>
      </c>
      <c r="O398" s="62" t="n">
        <f aca="false">N398*CC_SharedCost</f>
        <v>0</v>
      </c>
      <c r="P398" s="63" t="n">
        <f aca="false">K398+L398+O398</f>
        <v>0</v>
      </c>
      <c r="Q398" s="62" t="n">
        <f aca="false">K398*(1+INDEX(MkMatrix,3,3))</f>
        <v>0</v>
      </c>
      <c r="R398" s="62" t="n">
        <f aca="false">L398*(1+INDEX(MkMatrix,3,3))</f>
        <v>0</v>
      </c>
      <c r="S398" s="62" t="n">
        <f aca="false">N398*CC_SharedSell</f>
        <v>0</v>
      </c>
      <c r="T398" s="62" t="n">
        <f aca="false">P398*N(QCont)</f>
        <v>0</v>
      </c>
      <c r="U398" s="62" t="n">
        <f aca="false">Q398+R398+S398+T398</f>
        <v>0</v>
      </c>
      <c r="V398" s="62" t="n">
        <f aca="false">-U398*N(QDisc)</f>
        <v>-0</v>
      </c>
      <c r="W398" s="63" t="n">
        <f aca="false">U398+V398</f>
        <v>0</v>
      </c>
      <c r="X398" s="63" t="n">
        <f aca="false">W398/QRate</f>
        <v>0</v>
      </c>
      <c r="Y398" s="0" t="n">
        <v>12</v>
      </c>
    </row>
    <row r="399" customFormat="false" ht="15" hidden="false" customHeight="false" outlineLevel="0" collapsed="false">
      <c r="A399" s="68" t="n">
        <f aca="false">'CC Volume'!A399</f>
        <v>27</v>
      </c>
      <c r="B399" s="13" t="str">
        <f aca="false">IF('CC Volume'!B399="","",'CC Volume'!B399)</f>
        <v/>
      </c>
      <c r="C399" s="13" t="str">
        <f aca="false">IF('CC Volume'!C399="","",'CC Volume'!C399)</f>
        <v/>
      </c>
      <c r="D399" s="13" t="str">
        <f aca="false">IF('CC Volume'!D399="","",'CC Volume'!D399)</f>
        <v/>
      </c>
      <c r="E399" s="68" t="str">
        <f aca="false">IF('CC Volume'!E399="","",'CC Volume'!E399)</f>
        <v/>
      </c>
      <c r="F399" s="68" t="str">
        <f aca="false">IF('CC Volume'!F399="","",'CC Volume'!F399)</f>
        <v/>
      </c>
      <c r="G399" s="69" t="str">
        <f aca="false">'CC Volume'!AN399</f>
        <v/>
      </c>
      <c r="H399" s="69" t="str">
        <f aca="false">'CC Volume'!AO399</f>
        <v/>
      </c>
      <c r="I399" s="69" t="str">
        <f aca="false">'CC Volume'!AM399</f>
        <v/>
      </c>
      <c r="J399" s="62" t="str">
        <f aca="false">IF(N(H399)=0,"",IFERROR(INDEX(CC_RegRate,MATCH(F399,CC_RegU,0)),0))</f>
        <v/>
      </c>
      <c r="K399" s="62" t="n">
        <f aca="false">N(H399)*N(J399)</f>
        <v>0</v>
      </c>
      <c r="L399" s="62" t="n">
        <f aca="false">IF(CC_IncWaste="Yes",N(I399)*N(XWaste),0)</f>
        <v>0</v>
      </c>
      <c r="M399" s="65" t="n">
        <f aca="false">IF(N(G399)=0,0,IF(CC_AllocBasis="Equipment count",1,IF(CC_AllocBasis="Equipment volume",N(G399),N(H399))))</f>
        <v>0</v>
      </c>
      <c r="N399" s="15" t="n">
        <f aca="false">IF(SUM(CC_P_M)=0,0,M399/SUM(CC_P_M))</f>
        <v>0</v>
      </c>
      <c r="O399" s="62" t="n">
        <f aca="false">N399*CC_SharedCost</f>
        <v>0</v>
      </c>
      <c r="P399" s="63" t="n">
        <f aca="false">K399+L399+O399</f>
        <v>0</v>
      </c>
      <c r="Q399" s="62" t="n">
        <f aca="false">K399*(1+INDEX(MkMatrix,3,3))</f>
        <v>0</v>
      </c>
      <c r="R399" s="62" t="n">
        <f aca="false">L399*(1+INDEX(MkMatrix,3,3))</f>
        <v>0</v>
      </c>
      <c r="S399" s="62" t="n">
        <f aca="false">N399*CC_SharedSell</f>
        <v>0</v>
      </c>
      <c r="T399" s="62" t="n">
        <f aca="false">P399*N(QCont)</f>
        <v>0</v>
      </c>
      <c r="U399" s="62" t="n">
        <f aca="false">Q399+R399+S399+T399</f>
        <v>0</v>
      </c>
      <c r="V399" s="62" t="n">
        <f aca="false">-U399*N(QDisc)</f>
        <v>-0</v>
      </c>
      <c r="W399" s="63" t="n">
        <f aca="false">U399+V399</f>
        <v>0</v>
      </c>
      <c r="X399" s="63" t="n">
        <f aca="false">W399/QRate</f>
        <v>0</v>
      </c>
      <c r="Y399" s="0" t="n">
        <v>12</v>
      </c>
    </row>
    <row r="400" customFormat="false" ht="15" hidden="false" customHeight="false" outlineLevel="0" collapsed="false">
      <c r="A400" s="68" t="n">
        <f aca="false">'CC Volume'!A400</f>
        <v>28</v>
      </c>
      <c r="B400" s="13" t="str">
        <f aca="false">IF('CC Volume'!B400="","",'CC Volume'!B400)</f>
        <v/>
      </c>
      <c r="C400" s="13" t="str">
        <f aca="false">IF('CC Volume'!C400="","",'CC Volume'!C400)</f>
        <v/>
      </c>
      <c r="D400" s="13" t="str">
        <f aca="false">IF('CC Volume'!D400="","",'CC Volume'!D400)</f>
        <v/>
      </c>
      <c r="E400" s="68" t="str">
        <f aca="false">IF('CC Volume'!E400="","",'CC Volume'!E400)</f>
        <v/>
      </c>
      <c r="F400" s="68" t="str">
        <f aca="false">IF('CC Volume'!F400="","",'CC Volume'!F400)</f>
        <v/>
      </c>
      <c r="G400" s="69" t="str">
        <f aca="false">'CC Volume'!AN400</f>
        <v/>
      </c>
      <c r="H400" s="69" t="str">
        <f aca="false">'CC Volume'!AO400</f>
        <v/>
      </c>
      <c r="I400" s="69" t="str">
        <f aca="false">'CC Volume'!AM400</f>
        <v/>
      </c>
      <c r="J400" s="62" t="str">
        <f aca="false">IF(N(H400)=0,"",IFERROR(INDEX(CC_RegRate,MATCH(F400,CC_RegU,0)),0))</f>
        <v/>
      </c>
      <c r="K400" s="62" t="n">
        <f aca="false">N(H400)*N(J400)</f>
        <v>0</v>
      </c>
      <c r="L400" s="62" t="n">
        <f aca="false">IF(CC_IncWaste="Yes",N(I400)*N(XWaste),0)</f>
        <v>0</v>
      </c>
      <c r="M400" s="65" t="n">
        <f aca="false">IF(N(G400)=0,0,IF(CC_AllocBasis="Equipment count",1,IF(CC_AllocBasis="Equipment volume",N(G400),N(H400))))</f>
        <v>0</v>
      </c>
      <c r="N400" s="15" t="n">
        <f aca="false">IF(SUM(CC_P_M)=0,0,M400/SUM(CC_P_M))</f>
        <v>0</v>
      </c>
      <c r="O400" s="62" t="n">
        <f aca="false">N400*CC_SharedCost</f>
        <v>0</v>
      </c>
      <c r="P400" s="63" t="n">
        <f aca="false">K400+L400+O400</f>
        <v>0</v>
      </c>
      <c r="Q400" s="62" t="n">
        <f aca="false">K400*(1+INDEX(MkMatrix,3,3))</f>
        <v>0</v>
      </c>
      <c r="R400" s="62" t="n">
        <f aca="false">L400*(1+INDEX(MkMatrix,3,3))</f>
        <v>0</v>
      </c>
      <c r="S400" s="62" t="n">
        <f aca="false">N400*CC_SharedSell</f>
        <v>0</v>
      </c>
      <c r="T400" s="62" t="n">
        <f aca="false">P400*N(QCont)</f>
        <v>0</v>
      </c>
      <c r="U400" s="62" t="n">
        <f aca="false">Q400+R400+S400+T400</f>
        <v>0</v>
      </c>
      <c r="V400" s="62" t="n">
        <f aca="false">-U400*N(QDisc)</f>
        <v>-0</v>
      </c>
      <c r="W400" s="63" t="n">
        <f aca="false">U400+V400</f>
        <v>0</v>
      </c>
      <c r="X400" s="63" t="n">
        <f aca="false">W400/QRate</f>
        <v>0</v>
      </c>
      <c r="Y400" s="0" t="n">
        <v>12</v>
      </c>
    </row>
    <row r="401" customFormat="false" ht="15" hidden="false" customHeight="false" outlineLevel="0" collapsed="false">
      <c r="A401" s="68" t="n">
        <f aca="false">'CC Volume'!A401</f>
        <v>29</v>
      </c>
      <c r="B401" s="13" t="str">
        <f aca="false">IF('CC Volume'!B401="","",'CC Volume'!B401)</f>
        <v/>
      </c>
      <c r="C401" s="13" t="str">
        <f aca="false">IF('CC Volume'!C401="","",'CC Volume'!C401)</f>
        <v/>
      </c>
      <c r="D401" s="13" t="str">
        <f aca="false">IF('CC Volume'!D401="","",'CC Volume'!D401)</f>
        <v/>
      </c>
      <c r="E401" s="68" t="str">
        <f aca="false">IF('CC Volume'!E401="","",'CC Volume'!E401)</f>
        <v/>
      </c>
      <c r="F401" s="68" t="str">
        <f aca="false">IF('CC Volume'!F401="","",'CC Volume'!F401)</f>
        <v/>
      </c>
      <c r="G401" s="69" t="str">
        <f aca="false">'CC Volume'!AN401</f>
        <v/>
      </c>
      <c r="H401" s="69" t="str">
        <f aca="false">'CC Volume'!AO401</f>
        <v/>
      </c>
      <c r="I401" s="69" t="str">
        <f aca="false">'CC Volume'!AM401</f>
        <v/>
      </c>
      <c r="J401" s="62" t="str">
        <f aca="false">IF(N(H401)=0,"",IFERROR(INDEX(CC_RegRate,MATCH(F401,CC_RegU,0)),0))</f>
        <v/>
      </c>
      <c r="K401" s="62" t="n">
        <f aca="false">N(H401)*N(J401)</f>
        <v>0</v>
      </c>
      <c r="L401" s="62" t="n">
        <f aca="false">IF(CC_IncWaste="Yes",N(I401)*N(XWaste),0)</f>
        <v>0</v>
      </c>
      <c r="M401" s="65" t="n">
        <f aca="false">IF(N(G401)=0,0,IF(CC_AllocBasis="Equipment count",1,IF(CC_AllocBasis="Equipment volume",N(G401),N(H401))))</f>
        <v>0</v>
      </c>
      <c r="N401" s="15" t="n">
        <f aca="false">IF(SUM(CC_P_M)=0,0,M401/SUM(CC_P_M))</f>
        <v>0</v>
      </c>
      <c r="O401" s="62" t="n">
        <f aca="false">N401*CC_SharedCost</f>
        <v>0</v>
      </c>
      <c r="P401" s="63" t="n">
        <f aca="false">K401+L401+O401</f>
        <v>0</v>
      </c>
      <c r="Q401" s="62" t="n">
        <f aca="false">K401*(1+INDEX(MkMatrix,3,3))</f>
        <v>0</v>
      </c>
      <c r="R401" s="62" t="n">
        <f aca="false">L401*(1+INDEX(MkMatrix,3,3))</f>
        <v>0</v>
      </c>
      <c r="S401" s="62" t="n">
        <f aca="false">N401*CC_SharedSell</f>
        <v>0</v>
      </c>
      <c r="T401" s="62" t="n">
        <f aca="false">P401*N(QCont)</f>
        <v>0</v>
      </c>
      <c r="U401" s="62" t="n">
        <f aca="false">Q401+R401+S401+T401</f>
        <v>0</v>
      </c>
      <c r="V401" s="62" t="n">
        <f aca="false">-U401*N(QDisc)</f>
        <v>-0</v>
      </c>
      <c r="W401" s="63" t="n">
        <f aca="false">U401+V401</f>
        <v>0</v>
      </c>
      <c r="X401" s="63" t="n">
        <f aca="false">W401/QRate</f>
        <v>0</v>
      </c>
      <c r="Y401" s="0" t="n">
        <v>12</v>
      </c>
    </row>
    <row r="402" customFormat="false" ht="15" hidden="false" customHeight="false" outlineLevel="0" collapsed="false">
      <c r="A402" s="68" t="n">
        <f aca="false">'CC Volume'!A402</f>
        <v>30</v>
      </c>
      <c r="B402" s="13" t="str">
        <f aca="false">IF('CC Volume'!B402="","",'CC Volume'!B402)</f>
        <v/>
      </c>
      <c r="C402" s="13" t="str">
        <f aca="false">IF('CC Volume'!C402="","",'CC Volume'!C402)</f>
        <v/>
      </c>
      <c r="D402" s="13" t="str">
        <f aca="false">IF('CC Volume'!D402="","",'CC Volume'!D402)</f>
        <v/>
      </c>
      <c r="E402" s="68" t="str">
        <f aca="false">IF('CC Volume'!E402="","",'CC Volume'!E402)</f>
        <v/>
      </c>
      <c r="F402" s="68" t="str">
        <f aca="false">IF('CC Volume'!F402="","",'CC Volume'!F402)</f>
        <v/>
      </c>
      <c r="G402" s="69" t="str">
        <f aca="false">'CC Volume'!AN402</f>
        <v/>
      </c>
      <c r="H402" s="69" t="str">
        <f aca="false">'CC Volume'!AO402</f>
        <v/>
      </c>
      <c r="I402" s="69" t="str">
        <f aca="false">'CC Volume'!AM402</f>
        <v/>
      </c>
      <c r="J402" s="62" t="str">
        <f aca="false">IF(N(H402)=0,"",IFERROR(INDEX(CC_RegRate,MATCH(F402,CC_RegU,0)),0))</f>
        <v/>
      </c>
      <c r="K402" s="62" t="n">
        <f aca="false">N(H402)*N(J402)</f>
        <v>0</v>
      </c>
      <c r="L402" s="62" t="n">
        <f aca="false">IF(CC_IncWaste="Yes",N(I402)*N(XWaste),0)</f>
        <v>0</v>
      </c>
      <c r="M402" s="65" t="n">
        <f aca="false">IF(N(G402)=0,0,IF(CC_AllocBasis="Equipment count",1,IF(CC_AllocBasis="Equipment volume",N(G402),N(H402))))</f>
        <v>0</v>
      </c>
      <c r="N402" s="15" t="n">
        <f aca="false">IF(SUM(CC_P_M)=0,0,M402/SUM(CC_P_M))</f>
        <v>0</v>
      </c>
      <c r="O402" s="62" t="n">
        <f aca="false">N402*CC_SharedCost</f>
        <v>0</v>
      </c>
      <c r="P402" s="63" t="n">
        <f aca="false">K402+L402+O402</f>
        <v>0</v>
      </c>
      <c r="Q402" s="62" t="n">
        <f aca="false">K402*(1+INDEX(MkMatrix,3,3))</f>
        <v>0</v>
      </c>
      <c r="R402" s="62" t="n">
        <f aca="false">L402*(1+INDEX(MkMatrix,3,3))</f>
        <v>0</v>
      </c>
      <c r="S402" s="62" t="n">
        <f aca="false">N402*CC_SharedSell</f>
        <v>0</v>
      </c>
      <c r="T402" s="62" t="n">
        <f aca="false">P402*N(QCont)</f>
        <v>0</v>
      </c>
      <c r="U402" s="62" t="n">
        <f aca="false">Q402+R402+S402+T402</f>
        <v>0</v>
      </c>
      <c r="V402" s="62" t="n">
        <f aca="false">-U402*N(QDisc)</f>
        <v>-0</v>
      </c>
      <c r="W402" s="63" t="n">
        <f aca="false">U402+V402</f>
        <v>0</v>
      </c>
      <c r="X402" s="63" t="n">
        <f aca="false">W402/QRate</f>
        <v>0</v>
      </c>
      <c r="Y402" s="0" t="n">
        <v>12</v>
      </c>
    </row>
    <row r="403" customFormat="false" ht="15" hidden="false" customHeight="false" outlineLevel="0" collapsed="false">
      <c r="A403" s="44" t="str">
        <f aca="false">"TOTAL – "&amp;INDEX(CC_UnitNames,12)</f>
        <v>TOTAL – Unit 12</v>
      </c>
      <c r="B403" s="44"/>
      <c r="C403" s="44"/>
      <c r="D403" s="44"/>
      <c r="E403" s="44"/>
      <c r="F403" s="44"/>
      <c r="G403" s="47" t="n">
        <f aca="false">SUM(G373:G402)</f>
        <v>0</v>
      </c>
      <c r="H403" s="47" t="n">
        <f aca="false">SUM(H373:H402)</f>
        <v>0</v>
      </c>
      <c r="I403" s="47" t="n">
        <f aca="false">SUM(I373:I402)</f>
        <v>0</v>
      </c>
      <c r="J403" s="45"/>
      <c r="K403" s="70" t="n">
        <f aca="false">SUM(K373:K402)</f>
        <v>0</v>
      </c>
      <c r="L403" s="70" t="n">
        <f aca="false">SUM(L373:L402)</f>
        <v>0</v>
      </c>
      <c r="M403" s="45"/>
      <c r="N403" s="45"/>
      <c r="O403" s="70" t="n">
        <f aca="false">SUM(O373:O402)</f>
        <v>0</v>
      </c>
      <c r="P403" s="70" t="n">
        <f aca="false">SUM(P373:P402)</f>
        <v>0</v>
      </c>
      <c r="Q403" s="70" t="n">
        <f aca="false">SUM(Q373:Q402)</f>
        <v>0</v>
      </c>
      <c r="R403" s="70" t="n">
        <f aca="false">SUM(R373:R402)</f>
        <v>0</v>
      </c>
      <c r="S403" s="70" t="n">
        <f aca="false">SUM(S373:S402)</f>
        <v>0</v>
      </c>
      <c r="T403" s="70" t="n">
        <f aca="false">SUM(T373:T402)</f>
        <v>0</v>
      </c>
      <c r="U403" s="70" t="n">
        <f aca="false">SUM(U373:U402)</f>
        <v>0</v>
      </c>
      <c r="V403" s="70" t="n">
        <f aca="false">SUM(V373:V402)</f>
        <v>0</v>
      </c>
      <c r="W403" s="70" t="n">
        <f aca="false">SUM(W373:W402)</f>
        <v>0</v>
      </c>
      <c r="X403" s="70" t="n">
        <f aca="false">SUM(X373:X402)</f>
        <v>0</v>
      </c>
    </row>
    <row r="405" customFormat="false" ht="15" hidden="false" customHeight="false" outlineLevel="0" collapsed="false">
      <c r="A405" s="48" t="s">
        <v>398</v>
      </c>
      <c r="B405" s="48"/>
      <c r="C405" s="48"/>
      <c r="D405" s="48"/>
      <c r="E405" s="48"/>
      <c r="F405" s="48"/>
      <c r="G405" s="50" t="n">
        <f aca="false">G40+G73+G106+G139+G172+G205+G238+G271+G304+G337+G370+G403</f>
        <v>53.5568784251653</v>
      </c>
      <c r="H405" s="50" t="n">
        <f aca="false">H40+H73+H106+H139+H172+H205+H238+H271+H304+H337+H370+H403</f>
        <v>41.1176980630466</v>
      </c>
      <c r="I405" s="50" t="n">
        <f aca="false">I40+I73+I106+I139+I172+I205+I238+I271+I304+I337+I370+I403</f>
        <v>256.985612894041</v>
      </c>
      <c r="J405" s="49"/>
      <c r="K405" s="71" t="n">
        <f aca="false">K40+K73+K106+K139+K172+K205+K238+K271+K304+K337+K370+K403</f>
        <v>15765.5637641572</v>
      </c>
      <c r="L405" s="71" t="n">
        <f aca="false">L40+L73+L106+L139+L172+L205+L238+L271+L304+L337+L370+L403</f>
        <v>74525.827739272</v>
      </c>
      <c r="M405" s="49"/>
      <c r="N405" s="49"/>
      <c r="O405" s="71" t="n">
        <f aca="false">O40+O73+O106+O139+O172+O205+O238+O271+O304+O337+O370+O403</f>
        <v>0</v>
      </c>
      <c r="P405" s="71" t="n">
        <f aca="false">P40+P73+P106+P139+P172+P205+P238+P271+P304+P337+P370+P403</f>
        <v>90291.3915034292</v>
      </c>
      <c r="Q405" s="71" t="n">
        <f aca="false">Q40+Q73+Q106+Q139+Q172+Q205+Q238+Q271+Q304+Q337+Q370+Q403</f>
        <v>20495.2328934044</v>
      </c>
      <c r="R405" s="71" t="n">
        <f aca="false">R40+R73+R106+R139+R172+R205+R238+R271+R304+R337+R370+R403</f>
        <v>96883.5760610536</v>
      </c>
      <c r="S405" s="71" t="n">
        <f aca="false">S40+S73+S106+S139+S172+S205+S238+S271+S304+S337+S370+S403</f>
        <v>0</v>
      </c>
      <c r="T405" s="71" t="n">
        <f aca="false">T40+T73+T106+T139+T172+T205+T238+T271+T304+T337+T370+T403</f>
        <v>0</v>
      </c>
      <c r="U405" s="71" t="n">
        <f aca="false">U40+U73+U106+U139+U172+U205+U238+U271+U304+U337+U370+U403</f>
        <v>117378.808954458</v>
      </c>
      <c r="V405" s="71" t="n">
        <f aca="false">V40+V73+V106+V139+V172+V205+V238+V271+V304+V337+V370+V403</f>
        <v>0</v>
      </c>
      <c r="W405" s="71" t="n">
        <f aca="false">W40+W73+W106+W139+W172+W205+W238+W271+W304+W337+W370+W403</f>
        <v>117378.808954458</v>
      </c>
      <c r="X405" s="71" t="n">
        <f aca="false">X40+X73+X106+X139+X172+X205+X238+X271+X304+X337+X370+X403</f>
        <v>117378.808954458</v>
      </c>
    </row>
  </sheetData>
  <mergeCells count="25">
    <mergeCell ref="A9:D9"/>
    <mergeCell ref="A40:F40"/>
    <mergeCell ref="A42:D42"/>
    <mergeCell ref="A73:F73"/>
    <mergeCell ref="A75:D75"/>
    <mergeCell ref="A106:F106"/>
    <mergeCell ref="A108:D108"/>
    <mergeCell ref="A139:F139"/>
    <mergeCell ref="A141:D141"/>
    <mergeCell ref="A172:F172"/>
    <mergeCell ref="A174:D174"/>
    <mergeCell ref="A205:F205"/>
    <mergeCell ref="A207:D207"/>
    <mergeCell ref="A238:F238"/>
    <mergeCell ref="A240:D240"/>
    <mergeCell ref="A271:F271"/>
    <mergeCell ref="A273:D273"/>
    <mergeCell ref="A304:F304"/>
    <mergeCell ref="A306:D306"/>
    <mergeCell ref="A337:F337"/>
    <mergeCell ref="A339:D339"/>
    <mergeCell ref="A370:F370"/>
    <mergeCell ref="A372:D372"/>
    <mergeCell ref="A403:F403"/>
    <mergeCell ref="A405:F405"/>
  </mergeCells>
  <conditionalFormatting sqref="J10">
    <cfRule type="expression" priority="2" aboveAverage="0" equalAverage="0" bottom="0" percent="0" rank="0" text="" dxfId="0">
      <formula>AND(N(H10)&gt;0,N(J10)=0)</formula>
    </cfRule>
  </conditionalFormatting>
  <conditionalFormatting sqref="J11">
    <cfRule type="expression" priority="3" aboveAverage="0" equalAverage="0" bottom="0" percent="0" rank="0" text="" dxfId="0">
      <formula>AND(N(H11)&gt;0,N(J11)=0)</formula>
    </cfRule>
  </conditionalFormatting>
  <conditionalFormatting sqref="J12">
    <cfRule type="expression" priority="4" aboveAverage="0" equalAverage="0" bottom="0" percent="0" rank="0" text="" dxfId="0">
      <formula>AND(N(H12)&gt;0,N(J12)=0)</formula>
    </cfRule>
  </conditionalFormatting>
  <conditionalFormatting sqref="J13">
    <cfRule type="expression" priority="5" aboveAverage="0" equalAverage="0" bottom="0" percent="0" rank="0" text="" dxfId="0">
      <formula>AND(N(H13)&gt;0,N(J13)=0)</formula>
    </cfRule>
  </conditionalFormatting>
  <conditionalFormatting sqref="J14">
    <cfRule type="expression" priority="6" aboveAverage="0" equalAverage="0" bottom="0" percent="0" rank="0" text="" dxfId="0">
      <formula>AND(N(H14)&gt;0,N(J14)=0)</formula>
    </cfRule>
  </conditionalFormatting>
  <conditionalFormatting sqref="J15">
    <cfRule type="expression" priority="7" aboveAverage="0" equalAverage="0" bottom="0" percent="0" rank="0" text="" dxfId="0">
      <formula>AND(N(H15)&gt;0,N(J15)=0)</formula>
    </cfRule>
  </conditionalFormatting>
  <conditionalFormatting sqref="J16">
    <cfRule type="expression" priority="8" aboveAverage="0" equalAverage="0" bottom="0" percent="0" rank="0" text="" dxfId="0">
      <formula>AND(N(H16)&gt;0,N(J16)=0)</formula>
    </cfRule>
  </conditionalFormatting>
  <conditionalFormatting sqref="J17">
    <cfRule type="expression" priority="9" aboveAverage="0" equalAverage="0" bottom="0" percent="0" rank="0" text="" dxfId="0">
      <formula>AND(N(H17)&gt;0,N(J17)=0)</formula>
    </cfRule>
  </conditionalFormatting>
  <conditionalFormatting sqref="J18">
    <cfRule type="expression" priority="10" aboveAverage="0" equalAverage="0" bottom="0" percent="0" rank="0" text="" dxfId="0">
      <formula>AND(N(H18)&gt;0,N(J18)=0)</formula>
    </cfRule>
  </conditionalFormatting>
  <conditionalFormatting sqref="J19">
    <cfRule type="expression" priority="11" aboveAverage="0" equalAverage="0" bottom="0" percent="0" rank="0" text="" dxfId="0">
      <formula>AND(N(H19)&gt;0,N(J19)=0)</formula>
    </cfRule>
  </conditionalFormatting>
  <conditionalFormatting sqref="J20">
    <cfRule type="expression" priority="12" aboveAverage="0" equalAverage="0" bottom="0" percent="0" rank="0" text="" dxfId="0">
      <formula>AND(N(H20)&gt;0,N(J20)=0)</formula>
    </cfRule>
  </conditionalFormatting>
  <conditionalFormatting sqref="J21">
    <cfRule type="expression" priority="13" aboveAverage="0" equalAverage="0" bottom="0" percent="0" rank="0" text="" dxfId="0">
      <formula>AND(N(H21)&gt;0,N(J21)=0)</formula>
    </cfRule>
  </conditionalFormatting>
  <conditionalFormatting sqref="J22">
    <cfRule type="expression" priority="14" aboveAverage="0" equalAverage="0" bottom="0" percent="0" rank="0" text="" dxfId="0">
      <formula>AND(N(H22)&gt;0,N(J22)=0)</formula>
    </cfRule>
  </conditionalFormatting>
  <conditionalFormatting sqref="J23">
    <cfRule type="expression" priority="15" aboveAverage="0" equalAverage="0" bottom="0" percent="0" rank="0" text="" dxfId="0">
      <formula>AND(N(H23)&gt;0,N(J23)=0)</formula>
    </cfRule>
  </conditionalFormatting>
  <conditionalFormatting sqref="J24">
    <cfRule type="expression" priority="16" aboveAverage="0" equalAverage="0" bottom="0" percent="0" rank="0" text="" dxfId="0">
      <formula>AND(N(H24)&gt;0,N(J24)=0)</formula>
    </cfRule>
  </conditionalFormatting>
  <conditionalFormatting sqref="J25">
    <cfRule type="expression" priority="17" aboveAverage="0" equalAverage="0" bottom="0" percent="0" rank="0" text="" dxfId="0">
      <formula>AND(N(H25)&gt;0,N(J25)=0)</formula>
    </cfRule>
  </conditionalFormatting>
  <conditionalFormatting sqref="J26">
    <cfRule type="expression" priority="18" aboveAverage="0" equalAverage="0" bottom="0" percent="0" rank="0" text="" dxfId="0">
      <formula>AND(N(H26)&gt;0,N(J26)=0)</formula>
    </cfRule>
  </conditionalFormatting>
  <conditionalFormatting sqref="J27">
    <cfRule type="expression" priority="19" aboveAverage="0" equalAverage="0" bottom="0" percent="0" rank="0" text="" dxfId="0">
      <formula>AND(N(H27)&gt;0,N(J27)=0)</formula>
    </cfRule>
  </conditionalFormatting>
  <conditionalFormatting sqref="J28">
    <cfRule type="expression" priority="20" aboveAverage="0" equalAverage="0" bottom="0" percent="0" rank="0" text="" dxfId="0">
      <formula>AND(N(H28)&gt;0,N(J28)=0)</formula>
    </cfRule>
  </conditionalFormatting>
  <conditionalFormatting sqref="J29">
    <cfRule type="expression" priority="21" aboveAverage="0" equalAverage="0" bottom="0" percent="0" rank="0" text="" dxfId="0">
      <formula>AND(N(H29)&gt;0,N(J29)=0)</formula>
    </cfRule>
  </conditionalFormatting>
  <conditionalFormatting sqref="J30">
    <cfRule type="expression" priority="22" aboveAverage="0" equalAverage="0" bottom="0" percent="0" rank="0" text="" dxfId="0">
      <formula>AND(N(H30)&gt;0,N(J30)=0)</formula>
    </cfRule>
  </conditionalFormatting>
  <conditionalFormatting sqref="J31">
    <cfRule type="expression" priority="23" aboveAverage="0" equalAverage="0" bottom="0" percent="0" rank="0" text="" dxfId="0">
      <formula>AND(N(H31)&gt;0,N(J31)=0)</formula>
    </cfRule>
  </conditionalFormatting>
  <conditionalFormatting sqref="J32">
    <cfRule type="expression" priority="24" aboveAverage="0" equalAverage="0" bottom="0" percent="0" rank="0" text="" dxfId="0">
      <formula>AND(N(H32)&gt;0,N(J32)=0)</formula>
    </cfRule>
  </conditionalFormatting>
  <conditionalFormatting sqref="J33">
    <cfRule type="expression" priority="25" aboveAverage="0" equalAverage="0" bottom="0" percent="0" rank="0" text="" dxfId="0">
      <formula>AND(N(H33)&gt;0,N(J33)=0)</formula>
    </cfRule>
  </conditionalFormatting>
  <conditionalFormatting sqref="J34">
    <cfRule type="expression" priority="26" aboveAverage="0" equalAverage="0" bottom="0" percent="0" rank="0" text="" dxfId="0">
      <formula>AND(N(H34)&gt;0,N(J34)=0)</formula>
    </cfRule>
  </conditionalFormatting>
  <conditionalFormatting sqref="J35">
    <cfRule type="expression" priority="27" aboveAverage="0" equalAverage="0" bottom="0" percent="0" rank="0" text="" dxfId="0">
      <formula>AND(N(H35)&gt;0,N(J35)=0)</formula>
    </cfRule>
  </conditionalFormatting>
  <conditionalFormatting sqref="J36">
    <cfRule type="expression" priority="28" aboveAverage="0" equalAverage="0" bottom="0" percent="0" rank="0" text="" dxfId="0">
      <formula>AND(N(H36)&gt;0,N(J36)=0)</formula>
    </cfRule>
  </conditionalFormatting>
  <conditionalFormatting sqref="J37">
    <cfRule type="expression" priority="29" aboveAverage="0" equalAverage="0" bottom="0" percent="0" rank="0" text="" dxfId="0">
      <formula>AND(N(H37)&gt;0,N(J37)=0)</formula>
    </cfRule>
  </conditionalFormatting>
  <conditionalFormatting sqref="J38">
    <cfRule type="expression" priority="30" aboveAverage="0" equalAverage="0" bottom="0" percent="0" rank="0" text="" dxfId="0">
      <formula>AND(N(H38)&gt;0,N(J38)=0)</formula>
    </cfRule>
  </conditionalFormatting>
  <conditionalFormatting sqref="J39">
    <cfRule type="expression" priority="31" aboveAverage="0" equalAverage="0" bottom="0" percent="0" rank="0" text="" dxfId="0">
      <formula>AND(N(H39)&gt;0,N(J39)=0)</formula>
    </cfRule>
  </conditionalFormatting>
  <conditionalFormatting sqref="J43">
    <cfRule type="expression" priority="32" aboveAverage="0" equalAverage="0" bottom="0" percent="0" rank="0" text="" dxfId="0">
      <formula>AND(N(H43)&gt;0,N(J43)=0)</formula>
    </cfRule>
  </conditionalFormatting>
  <conditionalFormatting sqref="J44">
    <cfRule type="expression" priority="33" aboveAverage="0" equalAverage="0" bottom="0" percent="0" rank="0" text="" dxfId="0">
      <formula>AND(N(H44)&gt;0,N(J44)=0)</formula>
    </cfRule>
  </conditionalFormatting>
  <conditionalFormatting sqref="J45">
    <cfRule type="expression" priority="34" aboveAverage="0" equalAverage="0" bottom="0" percent="0" rank="0" text="" dxfId="0">
      <formula>AND(N(H45)&gt;0,N(J45)=0)</formula>
    </cfRule>
  </conditionalFormatting>
  <conditionalFormatting sqref="J46">
    <cfRule type="expression" priority="35" aboveAverage="0" equalAverage="0" bottom="0" percent="0" rank="0" text="" dxfId="0">
      <formula>AND(N(H46)&gt;0,N(J46)=0)</formula>
    </cfRule>
  </conditionalFormatting>
  <conditionalFormatting sqref="J47">
    <cfRule type="expression" priority="36" aboveAverage="0" equalAverage="0" bottom="0" percent="0" rank="0" text="" dxfId="0">
      <formula>AND(N(H47)&gt;0,N(J47)=0)</formula>
    </cfRule>
  </conditionalFormatting>
  <conditionalFormatting sqref="J48">
    <cfRule type="expression" priority="37" aboveAverage="0" equalAverage="0" bottom="0" percent="0" rank="0" text="" dxfId="0">
      <formula>AND(N(H48)&gt;0,N(J48)=0)</formula>
    </cfRule>
  </conditionalFormatting>
  <conditionalFormatting sqref="J49">
    <cfRule type="expression" priority="38" aboveAverage="0" equalAverage="0" bottom="0" percent="0" rank="0" text="" dxfId="0">
      <formula>AND(N(H49)&gt;0,N(J49)=0)</formula>
    </cfRule>
  </conditionalFormatting>
  <conditionalFormatting sqref="J50">
    <cfRule type="expression" priority="39" aboveAverage="0" equalAverage="0" bottom="0" percent="0" rank="0" text="" dxfId="0">
      <formula>AND(N(H50)&gt;0,N(J50)=0)</formula>
    </cfRule>
  </conditionalFormatting>
  <conditionalFormatting sqref="J51">
    <cfRule type="expression" priority="40" aboveAverage="0" equalAverage="0" bottom="0" percent="0" rank="0" text="" dxfId="0">
      <formula>AND(N(H51)&gt;0,N(J51)=0)</formula>
    </cfRule>
  </conditionalFormatting>
  <conditionalFormatting sqref="J52">
    <cfRule type="expression" priority="41" aboveAverage="0" equalAverage="0" bottom="0" percent="0" rank="0" text="" dxfId="0">
      <formula>AND(N(H52)&gt;0,N(J52)=0)</formula>
    </cfRule>
  </conditionalFormatting>
  <conditionalFormatting sqref="J53">
    <cfRule type="expression" priority="42" aboveAverage="0" equalAverage="0" bottom="0" percent="0" rank="0" text="" dxfId="0">
      <formula>AND(N(H53)&gt;0,N(J53)=0)</formula>
    </cfRule>
  </conditionalFormatting>
  <conditionalFormatting sqref="J54">
    <cfRule type="expression" priority="43" aboveAverage="0" equalAverage="0" bottom="0" percent="0" rank="0" text="" dxfId="0">
      <formula>AND(N(H54)&gt;0,N(J54)=0)</formula>
    </cfRule>
  </conditionalFormatting>
  <conditionalFormatting sqref="J55">
    <cfRule type="expression" priority="44" aboveAverage="0" equalAverage="0" bottom="0" percent="0" rank="0" text="" dxfId="0">
      <formula>AND(N(H55)&gt;0,N(J55)=0)</formula>
    </cfRule>
  </conditionalFormatting>
  <conditionalFormatting sqref="J56">
    <cfRule type="expression" priority="45" aboveAverage="0" equalAverage="0" bottom="0" percent="0" rank="0" text="" dxfId="0">
      <formula>AND(N(H56)&gt;0,N(J56)=0)</formula>
    </cfRule>
  </conditionalFormatting>
  <conditionalFormatting sqref="J57">
    <cfRule type="expression" priority="46" aboveAverage="0" equalAverage="0" bottom="0" percent="0" rank="0" text="" dxfId="0">
      <formula>AND(N(H57)&gt;0,N(J57)=0)</formula>
    </cfRule>
  </conditionalFormatting>
  <conditionalFormatting sqref="J58">
    <cfRule type="expression" priority="47" aboveAverage="0" equalAverage="0" bottom="0" percent="0" rank="0" text="" dxfId="0">
      <formula>AND(N(H58)&gt;0,N(J58)=0)</formula>
    </cfRule>
  </conditionalFormatting>
  <conditionalFormatting sqref="J59">
    <cfRule type="expression" priority="48" aboveAverage="0" equalAverage="0" bottom="0" percent="0" rank="0" text="" dxfId="0">
      <formula>AND(N(H59)&gt;0,N(J59)=0)</formula>
    </cfRule>
  </conditionalFormatting>
  <conditionalFormatting sqref="J60">
    <cfRule type="expression" priority="49" aboveAverage="0" equalAverage="0" bottom="0" percent="0" rank="0" text="" dxfId="0">
      <formula>AND(N(H60)&gt;0,N(J60)=0)</formula>
    </cfRule>
  </conditionalFormatting>
  <conditionalFormatting sqref="J61">
    <cfRule type="expression" priority="50" aboveAverage="0" equalAverage="0" bottom="0" percent="0" rank="0" text="" dxfId="0">
      <formula>AND(N(H61)&gt;0,N(J61)=0)</formula>
    </cfRule>
  </conditionalFormatting>
  <conditionalFormatting sqref="J62">
    <cfRule type="expression" priority="51" aboveAverage="0" equalAverage="0" bottom="0" percent="0" rank="0" text="" dxfId="0">
      <formula>AND(N(H62)&gt;0,N(J62)=0)</formula>
    </cfRule>
  </conditionalFormatting>
  <conditionalFormatting sqref="J63">
    <cfRule type="expression" priority="52" aboveAverage="0" equalAverage="0" bottom="0" percent="0" rank="0" text="" dxfId="0">
      <formula>AND(N(H63)&gt;0,N(J63)=0)</formula>
    </cfRule>
  </conditionalFormatting>
  <conditionalFormatting sqref="J64">
    <cfRule type="expression" priority="53" aboveAverage="0" equalAverage="0" bottom="0" percent="0" rank="0" text="" dxfId="0">
      <formula>AND(N(H64)&gt;0,N(J64)=0)</formula>
    </cfRule>
  </conditionalFormatting>
  <conditionalFormatting sqref="J65">
    <cfRule type="expression" priority="54" aboveAverage="0" equalAverage="0" bottom="0" percent="0" rank="0" text="" dxfId="0">
      <formula>AND(N(H65)&gt;0,N(J65)=0)</formula>
    </cfRule>
  </conditionalFormatting>
  <conditionalFormatting sqref="J66">
    <cfRule type="expression" priority="55" aboveAverage="0" equalAverage="0" bottom="0" percent="0" rank="0" text="" dxfId="0">
      <formula>AND(N(H66)&gt;0,N(J66)=0)</formula>
    </cfRule>
  </conditionalFormatting>
  <conditionalFormatting sqref="J67">
    <cfRule type="expression" priority="56" aboveAverage="0" equalAverage="0" bottom="0" percent="0" rank="0" text="" dxfId="0">
      <formula>AND(N(H67)&gt;0,N(J67)=0)</formula>
    </cfRule>
  </conditionalFormatting>
  <conditionalFormatting sqref="J68">
    <cfRule type="expression" priority="57" aboveAverage="0" equalAverage="0" bottom="0" percent="0" rank="0" text="" dxfId="0">
      <formula>AND(N(H68)&gt;0,N(J68)=0)</formula>
    </cfRule>
  </conditionalFormatting>
  <conditionalFormatting sqref="J69">
    <cfRule type="expression" priority="58" aboveAverage="0" equalAverage="0" bottom="0" percent="0" rank="0" text="" dxfId="0">
      <formula>AND(N(H69)&gt;0,N(J69)=0)</formula>
    </cfRule>
  </conditionalFormatting>
  <conditionalFormatting sqref="J70">
    <cfRule type="expression" priority="59" aboveAverage="0" equalAverage="0" bottom="0" percent="0" rank="0" text="" dxfId="0">
      <formula>AND(N(H70)&gt;0,N(J70)=0)</formula>
    </cfRule>
  </conditionalFormatting>
  <conditionalFormatting sqref="J71">
    <cfRule type="expression" priority="60" aboveAverage="0" equalAverage="0" bottom="0" percent="0" rank="0" text="" dxfId="0">
      <formula>AND(N(H71)&gt;0,N(J71)=0)</formula>
    </cfRule>
  </conditionalFormatting>
  <conditionalFormatting sqref="J72">
    <cfRule type="expression" priority="61" aboveAverage="0" equalAverage="0" bottom="0" percent="0" rank="0" text="" dxfId="0">
      <formula>AND(N(H72)&gt;0,N(J72)=0)</formula>
    </cfRule>
  </conditionalFormatting>
  <conditionalFormatting sqref="J76">
    <cfRule type="expression" priority="62" aboveAverage="0" equalAverage="0" bottom="0" percent="0" rank="0" text="" dxfId="0">
      <formula>AND(N(H76)&gt;0,N(J76)=0)</formula>
    </cfRule>
  </conditionalFormatting>
  <conditionalFormatting sqref="J77">
    <cfRule type="expression" priority="63" aboveAverage="0" equalAverage="0" bottom="0" percent="0" rank="0" text="" dxfId="0">
      <formula>AND(N(H77)&gt;0,N(J77)=0)</formula>
    </cfRule>
  </conditionalFormatting>
  <conditionalFormatting sqref="J78">
    <cfRule type="expression" priority="64" aboveAverage="0" equalAverage="0" bottom="0" percent="0" rank="0" text="" dxfId="0">
      <formula>AND(N(H78)&gt;0,N(J78)=0)</formula>
    </cfRule>
  </conditionalFormatting>
  <conditionalFormatting sqref="J79">
    <cfRule type="expression" priority="65" aboveAverage="0" equalAverage="0" bottom="0" percent="0" rank="0" text="" dxfId="0">
      <formula>AND(N(H79)&gt;0,N(J79)=0)</formula>
    </cfRule>
  </conditionalFormatting>
  <conditionalFormatting sqref="J80">
    <cfRule type="expression" priority="66" aboveAverage="0" equalAverage="0" bottom="0" percent="0" rank="0" text="" dxfId="0">
      <formula>AND(N(H80)&gt;0,N(J80)=0)</formula>
    </cfRule>
  </conditionalFormatting>
  <conditionalFormatting sqref="J81">
    <cfRule type="expression" priority="67" aboveAverage="0" equalAverage="0" bottom="0" percent="0" rank="0" text="" dxfId="0">
      <formula>AND(N(H81)&gt;0,N(J81)=0)</formula>
    </cfRule>
  </conditionalFormatting>
  <conditionalFormatting sqref="J82">
    <cfRule type="expression" priority="68" aboveAverage="0" equalAverage="0" bottom="0" percent="0" rank="0" text="" dxfId="0">
      <formula>AND(N(H82)&gt;0,N(J82)=0)</formula>
    </cfRule>
  </conditionalFormatting>
  <conditionalFormatting sqref="J83">
    <cfRule type="expression" priority="69" aboveAverage="0" equalAverage="0" bottom="0" percent="0" rank="0" text="" dxfId="0">
      <formula>AND(N(H83)&gt;0,N(J83)=0)</formula>
    </cfRule>
  </conditionalFormatting>
  <conditionalFormatting sqref="J84">
    <cfRule type="expression" priority="70" aboveAverage="0" equalAverage="0" bottom="0" percent="0" rank="0" text="" dxfId="0">
      <formula>AND(N(H84)&gt;0,N(J84)=0)</formula>
    </cfRule>
  </conditionalFormatting>
  <conditionalFormatting sqref="J85">
    <cfRule type="expression" priority="71" aboveAverage="0" equalAverage="0" bottom="0" percent="0" rank="0" text="" dxfId="0">
      <formula>AND(N(H85)&gt;0,N(J85)=0)</formula>
    </cfRule>
  </conditionalFormatting>
  <conditionalFormatting sqref="J86">
    <cfRule type="expression" priority="72" aboveAverage="0" equalAverage="0" bottom="0" percent="0" rank="0" text="" dxfId="0">
      <formula>AND(N(H86)&gt;0,N(J86)=0)</formula>
    </cfRule>
  </conditionalFormatting>
  <conditionalFormatting sqref="J87">
    <cfRule type="expression" priority="73" aboveAverage="0" equalAverage="0" bottom="0" percent="0" rank="0" text="" dxfId="0">
      <formula>AND(N(H87)&gt;0,N(J87)=0)</formula>
    </cfRule>
  </conditionalFormatting>
  <conditionalFormatting sqref="J88">
    <cfRule type="expression" priority="74" aboveAverage="0" equalAverage="0" bottom="0" percent="0" rank="0" text="" dxfId="0">
      <formula>AND(N(H88)&gt;0,N(J88)=0)</formula>
    </cfRule>
  </conditionalFormatting>
  <conditionalFormatting sqref="J89">
    <cfRule type="expression" priority="75" aboveAverage="0" equalAverage="0" bottom="0" percent="0" rank="0" text="" dxfId="0">
      <formula>AND(N(H89)&gt;0,N(J89)=0)</formula>
    </cfRule>
  </conditionalFormatting>
  <conditionalFormatting sqref="J90">
    <cfRule type="expression" priority="76" aboveAverage="0" equalAverage="0" bottom="0" percent="0" rank="0" text="" dxfId="0">
      <formula>AND(N(H90)&gt;0,N(J90)=0)</formula>
    </cfRule>
  </conditionalFormatting>
  <conditionalFormatting sqref="J91">
    <cfRule type="expression" priority="77" aboveAverage="0" equalAverage="0" bottom="0" percent="0" rank="0" text="" dxfId="0">
      <formula>AND(N(H91)&gt;0,N(J91)=0)</formula>
    </cfRule>
  </conditionalFormatting>
  <conditionalFormatting sqref="J92">
    <cfRule type="expression" priority="78" aboveAverage="0" equalAverage="0" bottom="0" percent="0" rank="0" text="" dxfId="0">
      <formula>AND(N(H92)&gt;0,N(J92)=0)</formula>
    </cfRule>
  </conditionalFormatting>
  <conditionalFormatting sqref="J93">
    <cfRule type="expression" priority="79" aboveAverage="0" equalAverage="0" bottom="0" percent="0" rank="0" text="" dxfId="0">
      <formula>AND(N(H93)&gt;0,N(J93)=0)</formula>
    </cfRule>
  </conditionalFormatting>
  <conditionalFormatting sqref="J94">
    <cfRule type="expression" priority="80" aboveAverage="0" equalAverage="0" bottom="0" percent="0" rank="0" text="" dxfId="0">
      <formula>AND(N(H94)&gt;0,N(J94)=0)</formula>
    </cfRule>
  </conditionalFormatting>
  <conditionalFormatting sqref="J95">
    <cfRule type="expression" priority="81" aboveAverage="0" equalAverage="0" bottom="0" percent="0" rank="0" text="" dxfId="0">
      <formula>AND(N(H95)&gt;0,N(J95)=0)</formula>
    </cfRule>
  </conditionalFormatting>
  <conditionalFormatting sqref="J96">
    <cfRule type="expression" priority="82" aboveAverage="0" equalAverage="0" bottom="0" percent="0" rank="0" text="" dxfId="0">
      <formula>AND(N(H96)&gt;0,N(J96)=0)</formula>
    </cfRule>
  </conditionalFormatting>
  <conditionalFormatting sqref="J97">
    <cfRule type="expression" priority="83" aboveAverage="0" equalAverage="0" bottom="0" percent="0" rank="0" text="" dxfId="0">
      <formula>AND(N(H97)&gt;0,N(J97)=0)</formula>
    </cfRule>
  </conditionalFormatting>
  <conditionalFormatting sqref="J98">
    <cfRule type="expression" priority="84" aboveAverage="0" equalAverage="0" bottom="0" percent="0" rank="0" text="" dxfId="0">
      <formula>AND(N(H98)&gt;0,N(J98)=0)</formula>
    </cfRule>
  </conditionalFormatting>
  <conditionalFormatting sqref="J99">
    <cfRule type="expression" priority="85" aboveAverage="0" equalAverage="0" bottom="0" percent="0" rank="0" text="" dxfId="0">
      <formula>AND(N(H99)&gt;0,N(J99)=0)</formula>
    </cfRule>
  </conditionalFormatting>
  <conditionalFormatting sqref="J100">
    <cfRule type="expression" priority="86" aboveAverage="0" equalAverage="0" bottom="0" percent="0" rank="0" text="" dxfId="0">
      <formula>AND(N(H100)&gt;0,N(J100)=0)</formula>
    </cfRule>
  </conditionalFormatting>
  <conditionalFormatting sqref="J101">
    <cfRule type="expression" priority="87" aboveAverage="0" equalAverage="0" bottom="0" percent="0" rank="0" text="" dxfId="0">
      <formula>AND(N(H101)&gt;0,N(J101)=0)</formula>
    </cfRule>
  </conditionalFormatting>
  <conditionalFormatting sqref="J102">
    <cfRule type="expression" priority="88" aboveAverage="0" equalAverage="0" bottom="0" percent="0" rank="0" text="" dxfId="0">
      <formula>AND(N(H102)&gt;0,N(J102)=0)</formula>
    </cfRule>
  </conditionalFormatting>
  <conditionalFormatting sqref="J103">
    <cfRule type="expression" priority="89" aboveAverage="0" equalAverage="0" bottom="0" percent="0" rank="0" text="" dxfId="0">
      <formula>AND(N(H103)&gt;0,N(J103)=0)</formula>
    </cfRule>
  </conditionalFormatting>
  <conditionalFormatting sqref="J104">
    <cfRule type="expression" priority="90" aboveAverage="0" equalAverage="0" bottom="0" percent="0" rank="0" text="" dxfId="0">
      <formula>AND(N(H104)&gt;0,N(J104)=0)</formula>
    </cfRule>
  </conditionalFormatting>
  <conditionalFormatting sqref="J105">
    <cfRule type="expression" priority="91" aboveAverage="0" equalAverage="0" bottom="0" percent="0" rank="0" text="" dxfId="0">
      <formula>AND(N(H105)&gt;0,N(J105)=0)</formula>
    </cfRule>
  </conditionalFormatting>
  <conditionalFormatting sqref="J109">
    <cfRule type="expression" priority="92" aboveAverage="0" equalAverage="0" bottom="0" percent="0" rank="0" text="" dxfId="0">
      <formula>AND(N(H109)&gt;0,N(J109)=0)</formula>
    </cfRule>
  </conditionalFormatting>
  <conditionalFormatting sqref="J110">
    <cfRule type="expression" priority="93" aboveAverage="0" equalAverage="0" bottom="0" percent="0" rank="0" text="" dxfId="0">
      <formula>AND(N(H110)&gt;0,N(J110)=0)</formula>
    </cfRule>
  </conditionalFormatting>
  <conditionalFormatting sqref="J111">
    <cfRule type="expression" priority="94" aboveAverage="0" equalAverage="0" bottom="0" percent="0" rank="0" text="" dxfId="0">
      <formula>AND(N(H111)&gt;0,N(J111)=0)</formula>
    </cfRule>
  </conditionalFormatting>
  <conditionalFormatting sqref="J112">
    <cfRule type="expression" priority="95" aboveAverage="0" equalAverage="0" bottom="0" percent="0" rank="0" text="" dxfId="0">
      <formula>AND(N(H112)&gt;0,N(J112)=0)</formula>
    </cfRule>
  </conditionalFormatting>
  <conditionalFormatting sqref="J113">
    <cfRule type="expression" priority="96" aboveAverage="0" equalAverage="0" bottom="0" percent="0" rank="0" text="" dxfId="0">
      <formula>AND(N(H113)&gt;0,N(J113)=0)</formula>
    </cfRule>
  </conditionalFormatting>
  <conditionalFormatting sqref="J114">
    <cfRule type="expression" priority="97" aboveAverage="0" equalAverage="0" bottom="0" percent="0" rank="0" text="" dxfId="0">
      <formula>AND(N(H114)&gt;0,N(J114)=0)</formula>
    </cfRule>
  </conditionalFormatting>
  <conditionalFormatting sqref="J115">
    <cfRule type="expression" priority="98" aboveAverage="0" equalAverage="0" bottom="0" percent="0" rank="0" text="" dxfId="0">
      <formula>AND(N(H115)&gt;0,N(J115)=0)</formula>
    </cfRule>
  </conditionalFormatting>
  <conditionalFormatting sqref="J116">
    <cfRule type="expression" priority="99" aboveAverage="0" equalAverage="0" bottom="0" percent="0" rank="0" text="" dxfId="0">
      <formula>AND(N(H116)&gt;0,N(J116)=0)</formula>
    </cfRule>
  </conditionalFormatting>
  <conditionalFormatting sqref="J117">
    <cfRule type="expression" priority="100" aboveAverage="0" equalAverage="0" bottom="0" percent="0" rank="0" text="" dxfId="0">
      <formula>AND(N(H117)&gt;0,N(J117)=0)</formula>
    </cfRule>
  </conditionalFormatting>
  <conditionalFormatting sqref="J118">
    <cfRule type="expression" priority="101" aboveAverage="0" equalAverage="0" bottom="0" percent="0" rank="0" text="" dxfId="0">
      <formula>AND(N(H118)&gt;0,N(J118)=0)</formula>
    </cfRule>
  </conditionalFormatting>
  <conditionalFormatting sqref="J119">
    <cfRule type="expression" priority="102" aboveAverage="0" equalAverage="0" bottom="0" percent="0" rank="0" text="" dxfId="0">
      <formula>AND(N(H119)&gt;0,N(J119)=0)</formula>
    </cfRule>
  </conditionalFormatting>
  <conditionalFormatting sqref="J120">
    <cfRule type="expression" priority="103" aboveAverage="0" equalAverage="0" bottom="0" percent="0" rank="0" text="" dxfId="0">
      <formula>AND(N(H120)&gt;0,N(J120)=0)</formula>
    </cfRule>
  </conditionalFormatting>
  <conditionalFormatting sqref="J121">
    <cfRule type="expression" priority="104" aboveAverage="0" equalAverage="0" bottom="0" percent="0" rank="0" text="" dxfId="0">
      <formula>AND(N(H121)&gt;0,N(J121)=0)</formula>
    </cfRule>
  </conditionalFormatting>
  <conditionalFormatting sqref="J122">
    <cfRule type="expression" priority="105" aboveAverage="0" equalAverage="0" bottom="0" percent="0" rank="0" text="" dxfId="0">
      <formula>AND(N(H122)&gt;0,N(J122)=0)</formula>
    </cfRule>
  </conditionalFormatting>
  <conditionalFormatting sqref="J123">
    <cfRule type="expression" priority="106" aboveAverage="0" equalAverage="0" bottom="0" percent="0" rank="0" text="" dxfId="0">
      <formula>AND(N(H123)&gt;0,N(J123)=0)</formula>
    </cfRule>
  </conditionalFormatting>
  <conditionalFormatting sqref="J124">
    <cfRule type="expression" priority="107" aboveAverage="0" equalAverage="0" bottom="0" percent="0" rank="0" text="" dxfId="0">
      <formula>AND(N(H124)&gt;0,N(J124)=0)</formula>
    </cfRule>
  </conditionalFormatting>
  <conditionalFormatting sqref="J125">
    <cfRule type="expression" priority="108" aboveAverage="0" equalAverage="0" bottom="0" percent="0" rank="0" text="" dxfId="0">
      <formula>AND(N(H125)&gt;0,N(J125)=0)</formula>
    </cfRule>
  </conditionalFormatting>
  <conditionalFormatting sqref="J126">
    <cfRule type="expression" priority="109" aboveAverage="0" equalAverage="0" bottom="0" percent="0" rank="0" text="" dxfId="0">
      <formula>AND(N(H126)&gt;0,N(J126)=0)</formula>
    </cfRule>
  </conditionalFormatting>
  <conditionalFormatting sqref="J127">
    <cfRule type="expression" priority="110" aboveAverage="0" equalAverage="0" bottom="0" percent="0" rank="0" text="" dxfId="0">
      <formula>AND(N(H127)&gt;0,N(J127)=0)</formula>
    </cfRule>
  </conditionalFormatting>
  <conditionalFormatting sqref="J128">
    <cfRule type="expression" priority="111" aboveAverage="0" equalAverage="0" bottom="0" percent="0" rank="0" text="" dxfId="0">
      <formula>AND(N(H128)&gt;0,N(J128)=0)</formula>
    </cfRule>
  </conditionalFormatting>
  <conditionalFormatting sqref="J129">
    <cfRule type="expression" priority="112" aboveAverage="0" equalAverage="0" bottom="0" percent="0" rank="0" text="" dxfId="0">
      <formula>AND(N(H129)&gt;0,N(J129)=0)</formula>
    </cfRule>
  </conditionalFormatting>
  <conditionalFormatting sqref="J130">
    <cfRule type="expression" priority="113" aboveAverage="0" equalAverage="0" bottom="0" percent="0" rank="0" text="" dxfId="0">
      <formula>AND(N(H130)&gt;0,N(J130)=0)</formula>
    </cfRule>
  </conditionalFormatting>
  <conditionalFormatting sqref="J131">
    <cfRule type="expression" priority="114" aboveAverage="0" equalAverage="0" bottom="0" percent="0" rank="0" text="" dxfId="0">
      <formula>AND(N(H131)&gt;0,N(J131)=0)</formula>
    </cfRule>
  </conditionalFormatting>
  <conditionalFormatting sqref="J132">
    <cfRule type="expression" priority="115" aboveAverage="0" equalAverage="0" bottom="0" percent="0" rank="0" text="" dxfId="0">
      <formula>AND(N(H132)&gt;0,N(J132)=0)</formula>
    </cfRule>
  </conditionalFormatting>
  <conditionalFormatting sqref="J133">
    <cfRule type="expression" priority="116" aboveAverage="0" equalAverage="0" bottom="0" percent="0" rank="0" text="" dxfId="0">
      <formula>AND(N(H133)&gt;0,N(J133)=0)</formula>
    </cfRule>
  </conditionalFormatting>
  <conditionalFormatting sqref="J134">
    <cfRule type="expression" priority="117" aboveAverage="0" equalAverage="0" bottom="0" percent="0" rank="0" text="" dxfId="0">
      <formula>AND(N(H134)&gt;0,N(J134)=0)</formula>
    </cfRule>
  </conditionalFormatting>
  <conditionalFormatting sqref="J135">
    <cfRule type="expression" priority="118" aboveAverage="0" equalAverage="0" bottom="0" percent="0" rank="0" text="" dxfId="0">
      <formula>AND(N(H135)&gt;0,N(J135)=0)</formula>
    </cfRule>
  </conditionalFormatting>
  <conditionalFormatting sqref="J136">
    <cfRule type="expression" priority="119" aboveAverage="0" equalAverage="0" bottom="0" percent="0" rank="0" text="" dxfId="0">
      <formula>AND(N(H136)&gt;0,N(J136)=0)</formula>
    </cfRule>
  </conditionalFormatting>
  <conditionalFormatting sqref="J137">
    <cfRule type="expression" priority="120" aboveAverage="0" equalAverage="0" bottom="0" percent="0" rank="0" text="" dxfId="0">
      <formula>AND(N(H137)&gt;0,N(J137)=0)</formula>
    </cfRule>
  </conditionalFormatting>
  <conditionalFormatting sqref="J138">
    <cfRule type="expression" priority="121" aboveAverage="0" equalAverage="0" bottom="0" percent="0" rank="0" text="" dxfId="0">
      <formula>AND(N(H138)&gt;0,N(J138)=0)</formula>
    </cfRule>
  </conditionalFormatting>
  <conditionalFormatting sqref="J142">
    <cfRule type="expression" priority="122" aboveAverage="0" equalAverage="0" bottom="0" percent="0" rank="0" text="" dxfId="0">
      <formula>AND(N(H142)&gt;0,N(J142)=0)</formula>
    </cfRule>
  </conditionalFormatting>
  <conditionalFormatting sqref="J143">
    <cfRule type="expression" priority="123" aboveAverage="0" equalAverage="0" bottom="0" percent="0" rank="0" text="" dxfId="0">
      <formula>AND(N(H143)&gt;0,N(J143)=0)</formula>
    </cfRule>
  </conditionalFormatting>
  <conditionalFormatting sqref="J144">
    <cfRule type="expression" priority="124" aboveAverage="0" equalAverage="0" bottom="0" percent="0" rank="0" text="" dxfId="0">
      <formula>AND(N(H144)&gt;0,N(J144)=0)</formula>
    </cfRule>
  </conditionalFormatting>
  <conditionalFormatting sqref="J145">
    <cfRule type="expression" priority="125" aboveAverage="0" equalAverage="0" bottom="0" percent="0" rank="0" text="" dxfId="0">
      <formula>AND(N(H145)&gt;0,N(J145)=0)</formula>
    </cfRule>
  </conditionalFormatting>
  <conditionalFormatting sqref="J146">
    <cfRule type="expression" priority="126" aboveAverage="0" equalAverage="0" bottom="0" percent="0" rank="0" text="" dxfId="0">
      <formula>AND(N(H146)&gt;0,N(J146)=0)</formula>
    </cfRule>
  </conditionalFormatting>
  <conditionalFormatting sqref="J147">
    <cfRule type="expression" priority="127" aboveAverage="0" equalAverage="0" bottom="0" percent="0" rank="0" text="" dxfId="0">
      <formula>AND(N(H147)&gt;0,N(J147)=0)</formula>
    </cfRule>
  </conditionalFormatting>
  <conditionalFormatting sqref="J148">
    <cfRule type="expression" priority="128" aboveAverage="0" equalAverage="0" bottom="0" percent="0" rank="0" text="" dxfId="0">
      <formula>AND(N(H148)&gt;0,N(J148)=0)</formula>
    </cfRule>
  </conditionalFormatting>
  <conditionalFormatting sqref="J149">
    <cfRule type="expression" priority="129" aboveAverage="0" equalAverage="0" bottom="0" percent="0" rank="0" text="" dxfId="0">
      <formula>AND(N(H149)&gt;0,N(J149)=0)</formula>
    </cfRule>
  </conditionalFormatting>
  <conditionalFormatting sqref="J150">
    <cfRule type="expression" priority="130" aboveAverage="0" equalAverage="0" bottom="0" percent="0" rank="0" text="" dxfId="0">
      <formula>AND(N(H150)&gt;0,N(J150)=0)</formula>
    </cfRule>
  </conditionalFormatting>
  <conditionalFormatting sqref="J151">
    <cfRule type="expression" priority="131" aboveAverage="0" equalAverage="0" bottom="0" percent="0" rank="0" text="" dxfId="0">
      <formula>AND(N(H151)&gt;0,N(J151)=0)</formula>
    </cfRule>
  </conditionalFormatting>
  <conditionalFormatting sqref="J152">
    <cfRule type="expression" priority="132" aboveAverage="0" equalAverage="0" bottom="0" percent="0" rank="0" text="" dxfId="0">
      <formula>AND(N(H152)&gt;0,N(J152)=0)</formula>
    </cfRule>
  </conditionalFormatting>
  <conditionalFormatting sqref="J153">
    <cfRule type="expression" priority="133" aboveAverage="0" equalAverage="0" bottom="0" percent="0" rank="0" text="" dxfId="0">
      <formula>AND(N(H153)&gt;0,N(J153)=0)</formula>
    </cfRule>
  </conditionalFormatting>
  <conditionalFormatting sqref="J154">
    <cfRule type="expression" priority="134" aboveAverage="0" equalAverage="0" bottom="0" percent="0" rank="0" text="" dxfId="0">
      <formula>AND(N(H154)&gt;0,N(J154)=0)</formula>
    </cfRule>
  </conditionalFormatting>
  <conditionalFormatting sqref="J155">
    <cfRule type="expression" priority="135" aboveAverage="0" equalAverage="0" bottom="0" percent="0" rank="0" text="" dxfId="0">
      <formula>AND(N(H155)&gt;0,N(J155)=0)</formula>
    </cfRule>
  </conditionalFormatting>
  <conditionalFormatting sqref="J156">
    <cfRule type="expression" priority="136" aboveAverage="0" equalAverage="0" bottom="0" percent="0" rank="0" text="" dxfId="0">
      <formula>AND(N(H156)&gt;0,N(J156)=0)</formula>
    </cfRule>
  </conditionalFormatting>
  <conditionalFormatting sqref="J157">
    <cfRule type="expression" priority="137" aboveAverage="0" equalAverage="0" bottom="0" percent="0" rank="0" text="" dxfId="0">
      <formula>AND(N(H157)&gt;0,N(J157)=0)</formula>
    </cfRule>
  </conditionalFormatting>
  <conditionalFormatting sqref="J158">
    <cfRule type="expression" priority="138" aboveAverage="0" equalAverage="0" bottom="0" percent="0" rank="0" text="" dxfId="0">
      <formula>AND(N(H158)&gt;0,N(J158)=0)</formula>
    </cfRule>
  </conditionalFormatting>
  <conditionalFormatting sqref="J159">
    <cfRule type="expression" priority="139" aboveAverage="0" equalAverage="0" bottom="0" percent="0" rank="0" text="" dxfId="0">
      <formula>AND(N(H159)&gt;0,N(J159)=0)</formula>
    </cfRule>
  </conditionalFormatting>
  <conditionalFormatting sqref="J160">
    <cfRule type="expression" priority="140" aboveAverage="0" equalAverage="0" bottom="0" percent="0" rank="0" text="" dxfId="0">
      <formula>AND(N(H160)&gt;0,N(J160)=0)</formula>
    </cfRule>
  </conditionalFormatting>
  <conditionalFormatting sqref="J161">
    <cfRule type="expression" priority="141" aboveAverage="0" equalAverage="0" bottom="0" percent="0" rank="0" text="" dxfId="0">
      <formula>AND(N(H161)&gt;0,N(J161)=0)</formula>
    </cfRule>
  </conditionalFormatting>
  <conditionalFormatting sqref="J162">
    <cfRule type="expression" priority="142" aboveAverage="0" equalAverage="0" bottom="0" percent="0" rank="0" text="" dxfId="0">
      <formula>AND(N(H162)&gt;0,N(J162)=0)</formula>
    </cfRule>
  </conditionalFormatting>
  <conditionalFormatting sqref="J163">
    <cfRule type="expression" priority="143" aboveAverage="0" equalAverage="0" bottom="0" percent="0" rank="0" text="" dxfId="0">
      <formula>AND(N(H163)&gt;0,N(J163)=0)</formula>
    </cfRule>
  </conditionalFormatting>
  <conditionalFormatting sqref="J164">
    <cfRule type="expression" priority="144" aboveAverage="0" equalAverage="0" bottom="0" percent="0" rank="0" text="" dxfId="0">
      <formula>AND(N(H164)&gt;0,N(J164)=0)</formula>
    </cfRule>
  </conditionalFormatting>
  <conditionalFormatting sqref="J165">
    <cfRule type="expression" priority="145" aboveAverage="0" equalAverage="0" bottom="0" percent="0" rank="0" text="" dxfId="0">
      <formula>AND(N(H165)&gt;0,N(J165)=0)</formula>
    </cfRule>
  </conditionalFormatting>
  <conditionalFormatting sqref="J166">
    <cfRule type="expression" priority="146" aboveAverage="0" equalAverage="0" bottom="0" percent="0" rank="0" text="" dxfId="0">
      <formula>AND(N(H166)&gt;0,N(J166)=0)</formula>
    </cfRule>
  </conditionalFormatting>
  <conditionalFormatting sqref="J167">
    <cfRule type="expression" priority="147" aboveAverage="0" equalAverage="0" bottom="0" percent="0" rank="0" text="" dxfId="0">
      <formula>AND(N(H167)&gt;0,N(J167)=0)</formula>
    </cfRule>
  </conditionalFormatting>
  <conditionalFormatting sqref="J168">
    <cfRule type="expression" priority="148" aboveAverage="0" equalAverage="0" bottom="0" percent="0" rank="0" text="" dxfId="0">
      <formula>AND(N(H168)&gt;0,N(J168)=0)</formula>
    </cfRule>
  </conditionalFormatting>
  <conditionalFormatting sqref="J169">
    <cfRule type="expression" priority="149" aboveAverage="0" equalAverage="0" bottom="0" percent="0" rank="0" text="" dxfId="0">
      <formula>AND(N(H169)&gt;0,N(J169)=0)</formula>
    </cfRule>
  </conditionalFormatting>
  <conditionalFormatting sqref="J170">
    <cfRule type="expression" priority="150" aboveAverage="0" equalAverage="0" bottom="0" percent="0" rank="0" text="" dxfId="0">
      <formula>AND(N(H170)&gt;0,N(J170)=0)</formula>
    </cfRule>
  </conditionalFormatting>
  <conditionalFormatting sqref="J171">
    <cfRule type="expression" priority="151" aboveAverage="0" equalAverage="0" bottom="0" percent="0" rank="0" text="" dxfId="0">
      <formula>AND(N(H171)&gt;0,N(J171)=0)</formula>
    </cfRule>
  </conditionalFormatting>
  <conditionalFormatting sqref="J175">
    <cfRule type="expression" priority="152" aboveAverage="0" equalAverage="0" bottom="0" percent="0" rank="0" text="" dxfId="0">
      <formula>AND(N(H175)&gt;0,N(J175)=0)</formula>
    </cfRule>
  </conditionalFormatting>
  <conditionalFormatting sqref="J176">
    <cfRule type="expression" priority="153" aboveAverage="0" equalAverage="0" bottom="0" percent="0" rank="0" text="" dxfId="0">
      <formula>AND(N(H176)&gt;0,N(J176)=0)</formula>
    </cfRule>
  </conditionalFormatting>
  <conditionalFormatting sqref="J177">
    <cfRule type="expression" priority="154" aboveAverage="0" equalAverage="0" bottom="0" percent="0" rank="0" text="" dxfId="0">
      <formula>AND(N(H177)&gt;0,N(J177)=0)</formula>
    </cfRule>
  </conditionalFormatting>
  <conditionalFormatting sqref="J178">
    <cfRule type="expression" priority="155" aboveAverage="0" equalAverage="0" bottom="0" percent="0" rank="0" text="" dxfId="0">
      <formula>AND(N(H178)&gt;0,N(J178)=0)</formula>
    </cfRule>
  </conditionalFormatting>
  <conditionalFormatting sqref="J179">
    <cfRule type="expression" priority="156" aboveAverage="0" equalAverage="0" bottom="0" percent="0" rank="0" text="" dxfId="0">
      <formula>AND(N(H179)&gt;0,N(J179)=0)</formula>
    </cfRule>
  </conditionalFormatting>
  <conditionalFormatting sqref="J180">
    <cfRule type="expression" priority="157" aboveAverage="0" equalAverage="0" bottom="0" percent="0" rank="0" text="" dxfId="0">
      <formula>AND(N(H180)&gt;0,N(J180)=0)</formula>
    </cfRule>
  </conditionalFormatting>
  <conditionalFormatting sqref="J181">
    <cfRule type="expression" priority="158" aboveAverage="0" equalAverage="0" bottom="0" percent="0" rank="0" text="" dxfId="0">
      <formula>AND(N(H181)&gt;0,N(J181)=0)</formula>
    </cfRule>
  </conditionalFormatting>
  <conditionalFormatting sqref="J182">
    <cfRule type="expression" priority="159" aboveAverage="0" equalAverage="0" bottom="0" percent="0" rank="0" text="" dxfId="0">
      <formula>AND(N(H182)&gt;0,N(J182)=0)</formula>
    </cfRule>
  </conditionalFormatting>
  <conditionalFormatting sqref="J183">
    <cfRule type="expression" priority="160" aboveAverage="0" equalAverage="0" bottom="0" percent="0" rank="0" text="" dxfId="0">
      <formula>AND(N(H183)&gt;0,N(J183)=0)</formula>
    </cfRule>
  </conditionalFormatting>
  <conditionalFormatting sqref="J184">
    <cfRule type="expression" priority="161" aboveAverage="0" equalAverage="0" bottom="0" percent="0" rank="0" text="" dxfId="0">
      <formula>AND(N(H184)&gt;0,N(J184)=0)</formula>
    </cfRule>
  </conditionalFormatting>
  <conditionalFormatting sqref="J185">
    <cfRule type="expression" priority="162" aboveAverage="0" equalAverage="0" bottom="0" percent="0" rank="0" text="" dxfId="0">
      <formula>AND(N(H185)&gt;0,N(J185)=0)</formula>
    </cfRule>
  </conditionalFormatting>
  <conditionalFormatting sqref="J186">
    <cfRule type="expression" priority="163" aboveAverage="0" equalAverage="0" bottom="0" percent="0" rank="0" text="" dxfId="0">
      <formula>AND(N(H186)&gt;0,N(J186)=0)</formula>
    </cfRule>
  </conditionalFormatting>
  <conditionalFormatting sqref="J187">
    <cfRule type="expression" priority="164" aboveAverage="0" equalAverage="0" bottom="0" percent="0" rank="0" text="" dxfId="0">
      <formula>AND(N(H187)&gt;0,N(J187)=0)</formula>
    </cfRule>
  </conditionalFormatting>
  <conditionalFormatting sqref="J188">
    <cfRule type="expression" priority="165" aboveAverage="0" equalAverage="0" bottom="0" percent="0" rank="0" text="" dxfId="0">
      <formula>AND(N(H188)&gt;0,N(J188)=0)</formula>
    </cfRule>
  </conditionalFormatting>
  <conditionalFormatting sqref="J189">
    <cfRule type="expression" priority="166" aboveAverage="0" equalAverage="0" bottom="0" percent="0" rank="0" text="" dxfId="0">
      <formula>AND(N(H189)&gt;0,N(J189)=0)</formula>
    </cfRule>
  </conditionalFormatting>
  <conditionalFormatting sqref="J190">
    <cfRule type="expression" priority="167" aboveAverage="0" equalAverage="0" bottom="0" percent="0" rank="0" text="" dxfId="0">
      <formula>AND(N(H190)&gt;0,N(J190)=0)</formula>
    </cfRule>
  </conditionalFormatting>
  <conditionalFormatting sqref="J191">
    <cfRule type="expression" priority="168" aboveAverage="0" equalAverage="0" bottom="0" percent="0" rank="0" text="" dxfId="0">
      <formula>AND(N(H191)&gt;0,N(J191)=0)</formula>
    </cfRule>
  </conditionalFormatting>
  <conditionalFormatting sqref="J192">
    <cfRule type="expression" priority="169" aboveAverage="0" equalAverage="0" bottom="0" percent="0" rank="0" text="" dxfId="0">
      <formula>AND(N(H192)&gt;0,N(J192)=0)</formula>
    </cfRule>
  </conditionalFormatting>
  <conditionalFormatting sqref="J193">
    <cfRule type="expression" priority="170" aboveAverage="0" equalAverage="0" bottom="0" percent="0" rank="0" text="" dxfId="0">
      <formula>AND(N(H193)&gt;0,N(J193)=0)</formula>
    </cfRule>
  </conditionalFormatting>
  <conditionalFormatting sqref="J194">
    <cfRule type="expression" priority="171" aboveAverage="0" equalAverage="0" bottom="0" percent="0" rank="0" text="" dxfId="0">
      <formula>AND(N(H194)&gt;0,N(J194)=0)</formula>
    </cfRule>
  </conditionalFormatting>
  <conditionalFormatting sqref="J195">
    <cfRule type="expression" priority="172" aboveAverage="0" equalAverage="0" bottom="0" percent="0" rank="0" text="" dxfId="0">
      <formula>AND(N(H195)&gt;0,N(J195)=0)</formula>
    </cfRule>
  </conditionalFormatting>
  <conditionalFormatting sqref="J196">
    <cfRule type="expression" priority="173" aboveAverage="0" equalAverage="0" bottom="0" percent="0" rank="0" text="" dxfId="0">
      <formula>AND(N(H196)&gt;0,N(J196)=0)</formula>
    </cfRule>
  </conditionalFormatting>
  <conditionalFormatting sqref="J197">
    <cfRule type="expression" priority="174" aboveAverage="0" equalAverage="0" bottom="0" percent="0" rank="0" text="" dxfId="0">
      <formula>AND(N(H197)&gt;0,N(J197)=0)</formula>
    </cfRule>
  </conditionalFormatting>
  <conditionalFormatting sqref="J198">
    <cfRule type="expression" priority="175" aboveAverage="0" equalAverage="0" bottom="0" percent="0" rank="0" text="" dxfId="0">
      <formula>AND(N(H198)&gt;0,N(J198)=0)</formula>
    </cfRule>
  </conditionalFormatting>
  <conditionalFormatting sqref="J199">
    <cfRule type="expression" priority="176" aboveAverage="0" equalAverage="0" bottom="0" percent="0" rank="0" text="" dxfId="0">
      <formula>AND(N(H199)&gt;0,N(J199)=0)</formula>
    </cfRule>
  </conditionalFormatting>
  <conditionalFormatting sqref="J200">
    <cfRule type="expression" priority="177" aboveAverage="0" equalAverage="0" bottom="0" percent="0" rank="0" text="" dxfId="0">
      <formula>AND(N(H200)&gt;0,N(J200)=0)</formula>
    </cfRule>
  </conditionalFormatting>
  <conditionalFormatting sqref="J201">
    <cfRule type="expression" priority="178" aboveAverage="0" equalAverage="0" bottom="0" percent="0" rank="0" text="" dxfId="0">
      <formula>AND(N(H201)&gt;0,N(J201)=0)</formula>
    </cfRule>
  </conditionalFormatting>
  <conditionalFormatting sqref="J202">
    <cfRule type="expression" priority="179" aboveAverage="0" equalAverage="0" bottom="0" percent="0" rank="0" text="" dxfId="0">
      <formula>AND(N(H202)&gt;0,N(J202)=0)</formula>
    </cfRule>
  </conditionalFormatting>
  <conditionalFormatting sqref="J203">
    <cfRule type="expression" priority="180" aboveAverage="0" equalAverage="0" bottom="0" percent="0" rank="0" text="" dxfId="0">
      <formula>AND(N(H203)&gt;0,N(J203)=0)</formula>
    </cfRule>
  </conditionalFormatting>
  <conditionalFormatting sqref="J204">
    <cfRule type="expression" priority="181" aboveAverage="0" equalAverage="0" bottom="0" percent="0" rank="0" text="" dxfId="0">
      <formula>AND(N(H204)&gt;0,N(J204)=0)</formula>
    </cfRule>
  </conditionalFormatting>
  <conditionalFormatting sqref="J208">
    <cfRule type="expression" priority="182" aboveAverage="0" equalAverage="0" bottom="0" percent="0" rank="0" text="" dxfId="0">
      <formula>AND(N(H208)&gt;0,N(J208)=0)</formula>
    </cfRule>
  </conditionalFormatting>
  <conditionalFormatting sqref="J209">
    <cfRule type="expression" priority="183" aboveAverage="0" equalAverage="0" bottom="0" percent="0" rank="0" text="" dxfId="0">
      <formula>AND(N(H209)&gt;0,N(J209)=0)</formula>
    </cfRule>
  </conditionalFormatting>
  <conditionalFormatting sqref="J210">
    <cfRule type="expression" priority="184" aboveAverage="0" equalAverage="0" bottom="0" percent="0" rank="0" text="" dxfId="0">
      <formula>AND(N(H210)&gt;0,N(J210)=0)</formula>
    </cfRule>
  </conditionalFormatting>
  <conditionalFormatting sqref="J211">
    <cfRule type="expression" priority="185" aboveAverage="0" equalAverage="0" bottom="0" percent="0" rank="0" text="" dxfId="0">
      <formula>AND(N(H211)&gt;0,N(J211)=0)</formula>
    </cfRule>
  </conditionalFormatting>
  <conditionalFormatting sqref="J212">
    <cfRule type="expression" priority="186" aboveAverage="0" equalAverage="0" bottom="0" percent="0" rank="0" text="" dxfId="0">
      <formula>AND(N(H212)&gt;0,N(J212)=0)</formula>
    </cfRule>
  </conditionalFormatting>
  <conditionalFormatting sqref="J213">
    <cfRule type="expression" priority="187" aboveAverage="0" equalAverage="0" bottom="0" percent="0" rank="0" text="" dxfId="0">
      <formula>AND(N(H213)&gt;0,N(J213)=0)</formula>
    </cfRule>
  </conditionalFormatting>
  <conditionalFormatting sqref="J214">
    <cfRule type="expression" priority="188" aboveAverage="0" equalAverage="0" bottom="0" percent="0" rank="0" text="" dxfId="0">
      <formula>AND(N(H214)&gt;0,N(J214)=0)</formula>
    </cfRule>
  </conditionalFormatting>
  <conditionalFormatting sqref="J215">
    <cfRule type="expression" priority="189" aboveAverage="0" equalAverage="0" bottom="0" percent="0" rank="0" text="" dxfId="0">
      <formula>AND(N(H215)&gt;0,N(J215)=0)</formula>
    </cfRule>
  </conditionalFormatting>
  <conditionalFormatting sqref="J216">
    <cfRule type="expression" priority="190" aboveAverage="0" equalAverage="0" bottom="0" percent="0" rank="0" text="" dxfId="0">
      <formula>AND(N(H216)&gt;0,N(J216)=0)</formula>
    </cfRule>
  </conditionalFormatting>
  <conditionalFormatting sqref="J217">
    <cfRule type="expression" priority="191" aboveAverage="0" equalAverage="0" bottom="0" percent="0" rank="0" text="" dxfId="0">
      <formula>AND(N(H217)&gt;0,N(J217)=0)</formula>
    </cfRule>
  </conditionalFormatting>
  <conditionalFormatting sqref="J218">
    <cfRule type="expression" priority="192" aboveAverage="0" equalAverage="0" bottom="0" percent="0" rank="0" text="" dxfId="0">
      <formula>AND(N(H218)&gt;0,N(J218)=0)</formula>
    </cfRule>
  </conditionalFormatting>
  <conditionalFormatting sqref="J219">
    <cfRule type="expression" priority="193" aboveAverage="0" equalAverage="0" bottom="0" percent="0" rank="0" text="" dxfId="0">
      <formula>AND(N(H219)&gt;0,N(J219)=0)</formula>
    </cfRule>
  </conditionalFormatting>
  <conditionalFormatting sqref="J220">
    <cfRule type="expression" priority="194" aboveAverage="0" equalAverage="0" bottom="0" percent="0" rank="0" text="" dxfId="0">
      <formula>AND(N(H220)&gt;0,N(J220)=0)</formula>
    </cfRule>
  </conditionalFormatting>
  <conditionalFormatting sqref="J221">
    <cfRule type="expression" priority="195" aboveAverage="0" equalAverage="0" bottom="0" percent="0" rank="0" text="" dxfId="0">
      <formula>AND(N(H221)&gt;0,N(J221)=0)</formula>
    </cfRule>
  </conditionalFormatting>
  <conditionalFormatting sqref="J222">
    <cfRule type="expression" priority="196" aboveAverage="0" equalAverage="0" bottom="0" percent="0" rank="0" text="" dxfId="0">
      <formula>AND(N(H222)&gt;0,N(J222)=0)</formula>
    </cfRule>
  </conditionalFormatting>
  <conditionalFormatting sqref="J223">
    <cfRule type="expression" priority="197" aboveAverage="0" equalAverage="0" bottom="0" percent="0" rank="0" text="" dxfId="0">
      <formula>AND(N(H223)&gt;0,N(J223)=0)</formula>
    </cfRule>
  </conditionalFormatting>
  <conditionalFormatting sqref="J224">
    <cfRule type="expression" priority="198" aboveAverage="0" equalAverage="0" bottom="0" percent="0" rank="0" text="" dxfId="0">
      <formula>AND(N(H224)&gt;0,N(J224)=0)</formula>
    </cfRule>
  </conditionalFormatting>
  <conditionalFormatting sqref="J225">
    <cfRule type="expression" priority="199" aboveAverage="0" equalAverage="0" bottom="0" percent="0" rank="0" text="" dxfId="0">
      <formula>AND(N(H225)&gt;0,N(J225)=0)</formula>
    </cfRule>
  </conditionalFormatting>
  <conditionalFormatting sqref="J226">
    <cfRule type="expression" priority="200" aboveAverage="0" equalAverage="0" bottom="0" percent="0" rank="0" text="" dxfId="0">
      <formula>AND(N(H226)&gt;0,N(J226)=0)</formula>
    </cfRule>
  </conditionalFormatting>
  <conditionalFormatting sqref="J227">
    <cfRule type="expression" priority="201" aboveAverage="0" equalAverage="0" bottom="0" percent="0" rank="0" text="" dxfId="0">
      <formula>AND(N(H227)&gt;0,N(J227)=0)</formula>
    </cfRule>
  </conditionalFormatting>
  <conditionalFormatting sqref="J228">
    <cfRule type="expression" priority="202" aboveAverage="0" equalAverage="0" bottom="0" percent="0" rank="0" text="" dxfId="0">
      <formula>AND(N(H228)&gt;0,N(J228)=0)</formula>
    </cfRule>
  </conditionalFormatting>
  <conditionalFormatting sqref="J229">
    <cfRule type="expression" priority="203" aboveAverage="0" equalAverage="0" bottom="0" percent="0" rank="0" text="" dxfId="0">
      <formula>AND(N(H229)&gt;0,N(J229)=0)</formula>
    </cfRule>
  </conditionalFormatting>
  <conditionalFormatting sqref="J230">
    <cfRule type="expression" priority="204" aboveAverage="0" equalAverage="0" bottom="0" percent="0" rank="0" text="" dxfId="0">
      <formula>AND(N(H230)&gt;0,N(J230)=0)</formula>
    </cfRule>
  </conditionalFormatting>
  <conditionalFormatting sqref="J231">
    <cfRule type="expression" priority="205" aboveAverage="0" equalAverage="0" bottom="0" percent="0" rank="0" text="" dxfId="0">
      <formula>AND(N(H231)&gt;0,N(J231)=0)</formula>
    </cfRule>
  </conditionalFormatting>
  <conditionalFormatting sqref="J232">
    <cfRule type="expression" priority="206" aboveAverage="0" equalAverage="0" bottom="0" percent="0" rank="0" text="" dxfId="0">
      <formula>AND(N(H232)&gt;0,N(J232)=0)</formula>
    </cfRule>
  </conditionalFormatting>
  <conditionalFormatting sqref="J233">
    <cfRule type="expression" priority="207" aboveAverage="0" equalAverage="0" bottom="0" percent="0" rank="0" text="" dxfId="0">
      <formula>AND(N(H233)&gt;0,N(J233)=0)</formula>
    </cfRule>
  </conditionalFormatting>
  <conditionalFormatting sqref="J234">
    <cfRule type="expression" priority="208" aboveAverage="0" equalAverage="0" bottom="0" percent="0" rank="0" text="" dxfId="0">
      <formula>AND(N(H234)&gt;0,N(J234)=0)</formula>
    </cfRule>
  </conditionalFormatting>
  <conditionalFormatting sqref="J235">
    <cfRule type="expression" priority="209" aboveAverage="0" equalAverage="0" bottom="0" percent="0" rank="0" text="" dxfId="0">
      <formula>AND(N(H235)&gt;0,N(J235)=0)</formula>
    </cfRule>
  </conditionalFormatting>
  <conditionalFormatting sqref="J236">
    <cfRule type="expression" priority="210" aboveAverage="0" equalAverage="0" bottom="0" percent="0" rank="0" text="" dxfId="0">
      <formula>AND(N(H236)&gt;0,N(J236)=0)</formula>
    </cfRule>
  </conditionalFormatting>
  <conditionalFormatting sqref="J237">
    <cfRule type="expression" priority="211" aboveAverage="0" equalAverage="0" bottom="0" percent="0" rank="0" text="" dxfId="0">
      <formula>AND(N(H237)&gt;0,N(J237)=0)</formula>
    </cfRule>
  </conditionalFormatting>
  <conditionalFormatting sqref="J241">
    <cfRule type="expression" priority="212" aboveAverage="0" equalAverage="0" bottom="0" percent="0" rank="0" text="" dxfId="0">
      <formula>AND(N(H241)&gt;0,N(J241)=0)</formula>
    </cfRule>
  </conditionalFormatting>
  <conditionalFormatting sqref="J242">
    <cfRule type="expression" priority="213" aboveAverage="0" equalAverage="0" bottom="0" percent="0" rank="0" text="" dxfId="0">
      <formula>AND(N(H242)&gt;0,N(J242)=0)</formula>
    </cfRule>
  </conditionalFormatting>
  <conditionalFormatting sqref="J243">
    <cfRule type="expression" priority="214" aboveAverage="0" equalAverage="0" bottom="0" percent="0" rank="0" text="" dxfId="0">
      <formula>AND(N(H243)&gt;0,N(J243)=0)</formula>
    </cfRule>
  </conditionalFormatting>
  <conditionalFormatting sqref="J244">
    <cfRule type="expression" priority="215" aboveAverage="0" equalAverage="0" bottom="0" percent="0" rank="0" text="" dxfId="0">
      <formula>AND(N(H244)&gt;0,N(J244)=0)</formula>
    </cfRule>
  </conditionalFormatting>
  <conditionalFormatting sqref="J245">
    <cfRule type="expression" priority="216" aboveAverage="0" equalAverage="0" bottom="0" percent="0" rank="0" text="" dxfId="0">
      <formula>AND(N(H245)&gt;0,N(J245)=0)</formula>
    </cfRule>
  </conditionalFormatting>
  <conditionalFormatting sqref="J246">
    <cfRule type="expression" priority="217" aboveAverage="0" equalAverage="0" bottom="0" percent="0" rank="0" text="" dxfId="0">
      <formula>AND(N(H246)&gt;0,N(J246)=0)</formula>
    </cfRule>
  </conditionalFormatting>
  <conditionalFormatting sqref="J247">
    <cfRule type="expression" priority="218" aboveAverage="0" equalAverage="0" bottom="0" percent="0" rank="0" text="" dxfId="0">
      <formula>AND(N(H247)&gt;0,N(J247)=0)</formula>
    </cfRule>
  </conditionalFormatting>
  <conditionalFormatting sqref="J248">
    <cfRule type="expression" priority="219" aboveAverage="0" equalAverage="0" bottom="0" percent="0" rank="0" text="" dxfId="0">
      <formula>AND(N(H248)&gt;0,N(J248)=0)</formula>
    </cfRule>
  </conditionalFormatting>
  <conditionalFormatting sqref="J249">
    <cfRule type="expression" priority="220" aboveAverage="0" equalAverage="0" bottom="0" percent="0" rank="0" text="" dxfId="0">
      <formula>AND(N(H249)&gt;0,N(J249)=0)</formula>
    </cfRule>
  </conditionalFormatting>
  <conditionalFormatting sqref="J250">
    <cfRule type="expression" priority="221" aboveAverage="0" equalAverage="0" bottom="0" percent="0" rank="0" text="" dxfId="0">
      <formula>AND(N(H250)&gt;0,N(J250)=0)</formula>
    </cfRule>
  </conditionalFormatting>
  <conditionalFormatting sqref="J251">
    <cfRule type="expression" priority="222" aboveAverage="0" equalAverage="0" bottom="0" percent="0" rank="0" text="" dxfId="0">
      <formula>AND(N(H251)&gt;0,N(J251)=0)</formula>
    </cfRule>
  </conditionalFormatting>
  <conditionalFormatting sqref="J252">
    <cfRule type="expression" priority="223" aboveAverage="0" equalAverage="0" bottom="0" percent="0" rank="0" text="" dxfId="0">
      <formula>AND(N(H252)&gt;0,N(J252)=0)</formula>
    </cfRule>
  </conditionalFormatting>
  <conditionalFormatting sqref="J253">
    <cfRule type="expression" priority="224" aboveAverage="0" equalAverage="0" bottom="0" percent="0" rank="0" text="" dxfId="0">
      <formula>AND(N(H253)&gt;0,N(J253)=0)</formula>
    </cfRule>
  </conditionalFormatting>
  <conditionalFormatting sqref="J254">
    <cfRule type="expression" priority="225" aboveAverage="0" equalAverage="0" bottom="0" percent="0" rank="0" text="" dxfId="0">
      <formula>AND(N(H254)&gt;0,N(J254)=0)</formula>
    </cfRule>
  </conditionalFormatting>
  <conditionalFormatting sqref="J255">
    <cfRule type="expression" priority="226" aboveAverage="0" equalAverage="0" bottom="0" percent="0" rank="0" text="" dxfId="0">
      <formula>AND(N(H255)&gt;0,N(J255)=0)</formula>
    </cfRule>
  </conditionalFormatting>
  <conditionalFormatting sqref="J256">
    <cfRule type="expression" priority="227" aboveAverage="0" equalAverage="0" bottom="0" percent="0" rank="0" text="" dxfId="0">
      <formula>AND(N(H256)&gt;0,N(J256)=0)</formula>
    </cfRule>
  </conditionalFormatting>
  <conditionalFormatting sqref="J257">
    <cfRule type="expression" priority="228" aboveAverage="0" equalAverage="0" bottom="0" percent="0" rank="0" text="" dxfId="0">
      <formula>AND(N(H257)&gt;0,N(J257)=0)</formula>
    </cfRule>
  </conditionalFormatting>
  <conditionalFormatting sqref="J258">
    <cfRule type="expression" priority="229" aboveAverage="0" equalAverage="0" bottom="0" percent="0" rank="0" text="" dxfId="0">
      <formula>AND(N(H258)&gt;0,N(J258)=0)</formula>
    </cfRule>
  </conditionalFormatting>
  <conditionalFormatting sqref="J259">
    <cfRule type="expression" priority="230" aboveAverage="0" equalAverage="0" bottom="0" percent="0" rank="0" text="" dxfId="0">
      <formula>AND(N(H259)&gt;0,N(J259)=0)</formula>
    </cfRule>
  </conditionalFormatting>
  <conditionalFormatting sqref="J260">
    <cfRule type="expression" priority="231" aboveAverage="0" equalAverage="0" bottom="0" percent="0" rank="0" text="" dxfId="0">
      <formula>AND(N(H260)&gt;0,N(J260)=0)</formula>
    </cfRule>
  </conditionalFormatting>
  <conditionalFormatting sqref="J261">
    <cfRule type="expression" priority="232" aboveAverage="0" equalAverage="0" bottom="0" percent="0" rank="0" text="" dxfId="0">
      <formula>AND(N(H261)&gt;0,N(J261)=0)</formula>
    </cfRule>
  </conditionalFormatting>
  <conditionalFormatting sqref="J262">
    <cfRule type="expression" priority="233" aboveAverage="0" equalAverage="0" bottom="0" percent="0" rank="0" text="" dxfId="0">
      <formula>AND(N(H262)&gt;0,N(J262)=0)</formula>
    </cfRule>
  </conditionalFormatting>
  <conditionalFormatting sqref="J263">
    <cfRule type="expression" priority="234" aboveAverage="0" equalAverage="0" bottom="0" percent="0" rank="0" text="" dxfId="0">
      <formula>AND(N(H263)&gt;0,N(J263)=0)</formula>
    </cfRule>
  </conditionalFormatting>
  <conditionalFormatting sqref="J264">
    <cfRule type="expression" priority="235" aboveAverage="0" equalAverage="0" bottom="0" percent="0" rank="0" text="" dxfId="0">
      <formula>AND(N(H264)&gt;0,N(J264)=0)</formula>
    </cfRule>
  </conditionalFormatting>
  <conditionalFormatting sqref="J265">
    <cfRule type="expression" priority="236" aboveAverage="0" equalAverage="0" bottom="0" percent="0" rank="0" text="" dxfId="0">
      <formula>AND(N(H265)&gt;0,N(J265)=0)</formula>
    </cfRule>
  </conditionalFormatting>
  <conditionalFormatting sqref="J266">
    <cfRule type="expression" priority="237" aboveAverage="0" equalAverage="0" bottom="0" percent="0" rank="0" text="" dxfId="0">
      <formula>AND(N(H266)&gt;0,N(J266)=0)</formula>
    </cfRule>
  </conditionalFormatting>
  <conditionalFormatting sqref="J267">
    <cfRule type="expression" priority="238" aboveAverage="0" equalAverage="0" bottom="0" percent="0" rank="0" text="" dxfId="0">
      <formula>AND(N(H267)&gt;0,N(J267)=0)</formula>
    </cfRule>
  </conditionalFormatting>
  <conditionalFormatting sqref="J268">
    <cfRule type="expression" priority="239" aboveAverage="0" equalAverage="0" bottom="0" percent="0" rank="0" text="" dxfId="0">
      <formula>AND(N(H268)&gt;0,N(J268)=0)</formula>
    </cfRule>
  </conditionalFormatting>
  <conditionalFormatting sqref="J269">
    <cfRule type="expression" priority="240" aboveAverage="0" equalAverage="0" bottom="0" percent="0" rank="0" text="" dxfId="0">
      <formula>AND(N(H269)&gt;0,N(J269)=0)</formula>
    </cfRule>
  </conditionalFormatting>
  <conditionalFormatting sqref="J270">
    <cfRule type="expression" priority="241" aboveAverage="0" equalAverage="0" bottom="0" percent="0" rank="0" text="" dxfId="0">
      <formula>AND(N(H270)&gt;0,N(J270)=0)</formula>
    </cfRule>
  </conditionalFormatting>
  <conditionalFormatting sqref="J274">
    <cfRule type="expression" priority="242" aboveAverage="0" equalAverage="0" bottom="0" percent="0" rank="0" text="" dxfId="0">
      <formula>AND(N(H274)&gt;0,N(J274)=0)</formula>
    </cfRule>
  </conditionalFormatting>
  <conditionalFormatting sqref="J275">
    <cfRule type="expression" priority="243" aboveAverage="0" equalAverage="0" bottom="0" percent="0" rank="0" text="" dxfId="0">
      <formula>AND(N(H275)&gt;0,N(J275)=0)</formula>
    </cfRule>
  </conditionalFormatting>
  <conditionalFormatting sqref="J276">
    <cfRule type="expression" priority="244" aboveAverage="0" equalAverage="0" bottom="0" percent="0" rank="0" text="" dxfId="0">
      <formula>AND(N(H276)&gt;0,N(J276)=0)</formula>
    </cfRule>
  </conditionalFormatting>
  <conditionalFormatting sqref="J277">
    <cfRule type="expression" priority="245" aboveAverage="0" equalAverage="0" bottom="0" percent="0" rank="0" text="" dxfId="0">
      <formula>AND(N(H277)&gt;0,N(J277)=0)</formula>
    </cfRule>
  </conditionalFormatting>
  <conditionalFormatting sqref="J278">
    <cfRule type="expression" priority="246" aboveAverage="0" equalAverage="0" bottom="0" percent="0" rank="0" text="" dxfId="0">
      <formula>AND(N(H278)&gt;0,N(J278)=0)</formula>
    </cfRule>
  </conditionalFormatting>
  <conditionalFormatting sqref="J279">
    <cfRule type="expression" priority="247" aboveAverage="0" equalAverage="0" bottom="0" percent="0" rank="0" text="" dxfId="0">
      <formula>AND(N(H279)&gt;0,N(J279)=0)</formula>
    </cfRule>
  </conditionalFormatting>
  <conditionalFormatting sqref="J280">
    <cfRule type="expression" priority="248" aboveAverage="0" equalAverage="0" bottom="0" percent="0" rank="0" text="" dxfId="0">
      <formula>AND(N(H280)&gt;0,N(J280)=0)</formula>
    </cfRule>
  </conditionalFormatting>
  <conditionalFormatting sqref="J281">
    <cfRule type="expression" priority="249" aboveAverage="0" equalAverage="0" bottom="0" percent="0" rank="0" text="" dxfId="0">
      <formula>AND(N(H281)&gt;0,N(J281)=0)</formula>
    </cfRule>
  </conditionalFormatting>
  <conditionalFormatting sqref="J282">
    <cfRule type="expression" priority="250" aboveAverage="0" equalAverage="0" bottom="0" percent="0" rank="0" text="" dxfId="0">
      <formula>AND(N(H282)&gt;0,N(J282)=0)</formula>
    </cfRule>
  </conditionalFormatting>
  <conditionalFormatting sqref="J283">
    <cfRule type="expression" priority="251" aboveAverage="0" equalAverage="0" bottom="0" percent="0" rank="0" text="" dxfId="0">
      <formula>AND(N(H283)&gt;0,N(J283)=0)</formula>
    </cfRule>
  </conditionalFormatting>
  <conditionalFormatting sqref="J284">
    <cfRule type="expression" priority="252" aboveAverage="0" equalAverage="0" bottom="0" percent="0" rank="0" text="" dxfId="0">
      <formula>AND(N(H284)&gt;0,N(J284)=0)</formula>
    </cfRule>
  </conditionalFormatting>
  <conditionalFormatting sqref="J285">
    <cfRule type="expression" priority="253" aboveAverage="0" equalAverage="0" bottom="0" percent="0" rank="0" text="" dxfId="0">
      <formula>AND(N(H285)&gt;0,N(J285)=0)</formula>
    </cfRule>
  </conditionalFormatting>
  <conditionalFormatting sqref="J286">
    <cfRule type="expression" priority="254" aboveAverage="0" equalAverage="0" bottom="0" percent="0" rank="0" text="" dxfId="0">
      <formula>AND(N(H286)&gt;0,N(J286)=0)</formula>
    </cfRule>
  </conditionalFormatting>
  <conditionalFormatting sqref="J287">
    <cfRule type="expression" priority="255" aboveAverage="0" equalAverage="0" bottom="0" percent="0" rank="0" text="" dxfId="0">
      <formula>AND(N(H287)&gt;0,N(J287)=0)</formula>
    </cfRule>
  </conditionalFormatting>
  <conditionalFormatting sqref="J288">
    <cfRule type="expression" priority="256" aboveAverage="0" equalAverage="0" bottom="0" percent="0" rank="0" text="" dxfId="0">
      <formula>AND(N(H288)&gt;0,N(J288)=0)</formula>
    </cfRule>
  </conditionalFormatting>
  <conditionalFormatting sqref="J289">
    <cfRule type="expression" priority="257" aboveAverage="0" equalAverage="0" bottom="0" percent="0" rank="0" text="" dxfId="0">
      <formula>AND(N(H289)&gt;0,N(J289)=0)</formula>
    </cfRule>
  </conditionalFormatting>
  <conditionalFormatting sqref="J290">
    <cfRule type="expression" priority="258" aboveAverage="0" equalAverage="0" bottom="0" percent="0" rank="0" text="" dxfId="0">
      <formula>AND(N(H290)&gt;0,N(J290)=0)</formula>
    </cfRule>
  </conditionalFormatting>
  <conditionalFormatting sqref="J291">
    <cfRule type="expression" priority="259" aboveAverage="0" equalAverage="0" bottom="0" percent="0" rank="0" text="" dxfId="0">
      <formula>AND(N(H291)&gt;0,N(J291)=0)</formula>
    </cfRule>
  </conditionalFormatting>
  <conditionalFormatting sqref="J292">
    <cfRule type="expression" priority="260" aboveAverage="0" equalAverage="0" bottom="0" percent="0" rank="0" text="" dxfId="0">
      <formula>AND(N(H292)&gt;0,N(J292)=0)</formula>
    </cfRule>
  </conditionalFormatting>
  <conditionalFormatting sqref="J293">
    <cfRule type="expression" priority="261" aboveAverage="0" equalAverage="0" bottom="0" percent="0" rank="0" text="" dxfId="0">
      <formula>AND(N(H293)&gt;0,N(J293)=0)</formula>
    </cfRule>
  </conditionalFormatting>
  <conditionalFormatting sqref="J294">
    <cfRule type="expression" priority="262" aboveAverage="0" equalAverage="0" bottom="0" percent="0" rank="0" text="" dxfId="0">
      <formula>AND(N(H294)&gt;0,N(J294)=0)</formula>
    </cfRule>
  </conditionalFormatting>
  <conditionalFormatting sqref="J295">
    <cfRule type="expression" priority="263" aboveAverage="0" equalAverage="0" bottom="0" percent="0" rank="0" text="" dxfId="0">
      <formula>AND(N(H295)&gt;0,N(J295)=0)</formula>
    </cfRule>
  </conditionalFormatting>
  <conditionalFormatting sqref="J296">
    <cfRule type="expression" priority="264" aboveAverage="0" equalAverage="0" bottom="0" percent="0" rank="0" text="" dxfId="0">
      <formula>AND(N(H296)&gt;0,N(J296)=0)</formula>
    </cfRule>
  </conditionalFormatting>
  <conditionalFormatting sqref="J297">
    <cfRule type="expression" priority="265" aboveAverage="0" equalAverage="0" bottom="0" percent="0" rank="0" text="" dxfId="0">
      <formula>AND(N(H297)&gt;0,N(J297)=0)</formula>
    </cfRule>
  </conditionalFormatting>
  <conditionalFormatting sqref="J298">
    <cfRule type="expression" priority="266" aboveAverage="0" equalAverage="0" bottom="0" percent="0" rank="0" text="" dxfId="0">
      <formula>AND(N(H298)&gt;0,N(J298)=0)</formula>
    </cfRule>
  </conditionalFormatting>
  <conditionalFormatting sqref="J299">
    <cfRule type="expression" priority="267" aboveAverage="0" equalAverage="0" bottom="0" percent="0" rank="0" text="" dxfId="0">
      <formula>AND(N(H299)&gt;0,N(J299)=0)</formula>
    </cfRule>
  </conditionalFormatting>
  <conditionalFormatting sqref="J300">
    <cfRule type="expression" priority="268" aboveAverage="0" equalAverage="0" bottom="0" percent="0" rank="0" text="" dxfId="0">
      <formula>AND(N(H300)&gt;0,N(J300)=0)</formula>
    </cfRule>
  </conditionalFormatting>
  <conditionalFormatting sqref="J301">
    <cfRule type="expression" priority="269" aboveAverage="0" equalAverage="0" bottom="0" percent="0" rank="0" text="" dxfId="0">
      <formula>AND(N(H301)&gt;0,N(J301)=0)</formula>
    </cfRule>
  </conditionalFormatting>
  <conditionalFormatting sqref="J302">
    <cfRule type="expression" priority="270" aboveAverage="0" equalAverage="0" bottom="0" percent="0" rank="0" text="" dxfId="0">
      <formula>AND(N(H302)&gt;0,N(J302)=0)</formula>
    </cfRule>
  </conditionalFormatting>
  <conditionalFormatting sqref="J303">
    <cfRule type="expression" priority="271" aboveAverage="0" equalAverage="0" bottom="0" percent="0" rank="0" text="" dxfId="0">
      <formula>AND(N(H303)&gt;0,N(J303)=0)</formula>
    </cfRule>
  </conditionalFormatting>
  <conditionalFormatting sqref="J307">
    <cfRule type="expression" priority="272" aboveAverage="0" equalAverage="0" bottom="0" percent="0" rank="0" text="" dxfId="0">
      <formula>AND(N(H307)&gt;0,N(J307)=0)</formula>
    </cfRule>
  </conditionalFormatting>
  <conditionalFormatting sqref="J308">
    <cfRule type="expression" priority="273" aboveAverage="0" equalAverage="0" bottom="0" percent="0" rank="0" text="" dxfId="0">
      <formula>AND(N(H308)&gt;0,N(J308)=0)</formula>
    </cfRule>
  </conditionalFormatting>
  <conditionalFormatting sqref="J309">
    <cfRule type="expression" priority="274" aboveAverage="0" equalAverage="0" bottom="0" percent="0" rank="0" text="" dxfId="0">
      <formula>AND(N(H309)&gt;0,N(J309)=0)</formula>
    </cfRule>
  </conditionalFormatting>
  <conditionalFormatting sqref="J310">
    <cfRule type="expression" priority="275" aboveAverage="0" equalAverage="0" bottom="0" percent="0" rank="0" text="" dxfId="0">
      <formula>AND(N(H310)&gt;0,N(J310)=0)</formula>
    </cfRule>
  </conditionalFormatting>
  <conditionalFormatting sqref="J311">
    <cfRule type="expression" priority="276" aboveAverage="0" equalAverage="0" bottom="0" percent="0" rank="0" text="" dxfId="0">
      <formula>AND(N(H311)&gt;0,N(J311)=0)</formula>
    </cfRule>
  </conditionalFormatting>
  <conditionalFormatting sqref="J312">
    <cfRule type="expression" priority="277" aboveAverage="0" equalAverage="0" bottom="0" percent="0" rank="0" text="" dxfId="0">
      <formula>AND(N(H312)&gt;0,N(J312)=0)</formula>
    </cfRule>
  </conditionalFormatting>
  <conditionalFormatting sqref="J313">
    <cfRule type="expression" priority="278" aboveAverage="0" equalAverage="0" bottom="0" percent="0" rank="0" text="" dxfId="0">
      <formula>AND(N(H313)&gt;0,N(J313)=0)</formula>
    </cfRule>
  </conditionalFormatting>
  <conditionalFormatting sqref="J314">
    <cfRule type="expression" priority="279" aboveAverage="0" equalAverage="0" bottom="0" percent="0" rank="0" text="" dxfId="0">
      <formula>AND(N(H314)&gt;0,N(J314)=0)</formula>
    </cfRule>
  </conditionalFormatting>
  <conditionalFormatting sqref="J315">
    <cfRule type="expression" priority="280" aboveAverage="0" equalAverage="0" bottom="0" percent="0" rank="0" text="" dxfId="0">
      <formula>AND(N(H315)&gt;0,N(J315)=0)</formula>
    </cfRule>
  </conditionalFormatting>
  <conditionalFormatting sqref="J316">
    <cfRule type="expression" priority="281" aboveAverage="0" equalAverage="0" bottom="0" percent="0" rank="0" text="" dxfId="0">
      <formula>AND(N(H316)&gt;0,N(J316)=0)</formula>
    </cfRule>
  </conditionalFormatting>
  <conditionalFormatting sqref="J317">
    <cfRule type="expression" priority="282" aboveAverage="0" equalAverage="0" bottom="0" percent="0" rank="0" text="" dxfId="0">
      <formula>AND(N(H317)&gt;0,N(J317)=0)</formula>
    </cfRule>
  </conditionalFormatting>
  <conditionalFormatting sqref="J318">
    <cfRule type="expression" priority="283" aboveAverage="0" equalAverage="0" bottom="0" percent="0" rank="0" text="" dxfId="0">
      <formula>AND(N(H318)&gt;0,N(J318)=0)</formula>
    </cfRule>
  </conditionalFormatting>
  <conditionalFormatting sqref="J319">
    <cfRule type="expression" priority="284" aboveAverage="0" equalAverage="0" bottom="0" percent="0" rank="0" text="" dxfId="0">
      <formula>AND(N(H319)&gt;0,N(J319)=0)</formula>
    </cfRule>
  </conditionalFormatting>
  <conditionalFormatting sqref="J320">
    <cfRule type="expression" priority="285" aboveAverage="0" equalAverage="0" bottom="0" percent="0" rank="0" text="" dxfId="0">
      <formula>AND(N(H320)&gt;0,N(J320)=0)</formula>
    </cfRule>
  </conditionalFormatting>
  <conditionalFormatting sqref="J321">
    <cfRule type="expression" priority="286" aboveAverage="0" equalAverage="0" bottom="0" percent="0" rank="0" text="" dxfId="0">
      <formula>AND(N(H321)&gt;0,N(J321)=0)</formula>
    </cfRule>
  </conditionalFormatting>
  <conditionalFormatting sqref="J322">
    <cfRule type="expression" priority="287" aboveAverage="0" equalAverage="0" bottom="0" percent="0" rank="0" text="" dxfId="0">
      <formula>AND(N(H322)&gt;0,N(J322)=0)</formula>
    </cfRule>
  </conditionalFormatting>
  <conditionalFormatting sqref="J323">
    <cfRule type="expression" priority="288" aboveAverage="0" equalAverage="0" bottom="0" percent="0" rank="0" text="" dxfId="0">
      <formula>AND(N(H323)&gt;0,N(J323)=0)</formula>
    </cfRule>
  </conditionalFormatting>
  <conditionalFormatting sqref="J324">
    <cfRule type="expression" priority="289" aboveAverage="0" equalAverage="0" bottom="0" percent="0" rank="0" text="" dxfId="0">
      <formula>AND(N(H324)&gt;0,N(J324)=0)</formula>
    </cfRule>
  </conditionalFormatting>
  <conditionalFormatting sqref="J325">
    <cfRule type="expression" priority="290" aboveAverage="0" equalAverage="0" bottom="0" percent="0" rank="0" text="" dxfId="0">
      <formula>AND(N(H325)&gt;0,N(J325)=0)</formula>
    </cfRule>
  </conditionalFormatting>
  <conditionalFormatting sqref="J326">
    <cfRule type="expression" priority="291" aboveAverage="0" equalAverage="0" bottom="0" percent="0" rank="0" text="" dxfId="0">
      <formula>AND(N(H326)&gt;0,N(J326)=0)</formula>
    </cfRule>
  </conditionalFormatting>
  <conditionalFormatting sqref="J327">
    <cfRule type="expression" priority="292" aboveAverage="0" equalAverage="0" bottom="0" percent="0" rank="0" text="" dxfId="0">
      <formula>AND(N(H327)&gt;0,N(J327)=0)</formula>
    </cfRule>
  </conditionalFormatting>
  <conditionalFormatting sqref="J328">
    <cfRule type="expression" priority="293" aboveAverage="0" equalAverage="0" bottom="0" percent="0" rank="0" text="" dxfId="0">
      <formula>AND(N(H328)&gt;0,N(J328)=0)</formula>
    </cfRule>
  </conditionalFormatting>
  <conditionalFormatting sqref="J329">
    <cfRule type="expression" priority="294" aboveAverage="0" equalAverage="0" bottom="0" percent="0" rank="0" text="" dxfId="0">
      <formula>AND(N(H329)&gt;0,N(J329)=0)</formula>
    </cfRule>
  </conditionalFormatting>
  <conditionalFormatting sqref="J330">
    <cfRule type="expression" priority="295" aboveAverage="0" equalAverage="0" bottom="0" percent="0" rank="0" text="" dxfId="0">
      <formula>AND(N(H330)&gt;0,N(J330)=0)</formula>
    </cfRule>
  </conditionalFormatting>
  <conditionalFormatting sqref="J331">
    <cfRule type="expression" priority="296" aboveAverage="0" equalAverage="0" bottom="0" percent="0" rank="0" text="" dxfId="0">
      <formula>AND(N(H331)&gt;0,N(J331)=0)</formula>
    </cfRule>
  </conditionalFormatting>
  <conditionalFormatting sqref="J332">
    <cfRule type="expression" priority="297" aboveAverage="0" equalAverage="0" bottom="0" percent="0" rank="0" text="" dxfId="0">
      <formula>AND(N(H332)&gt;0,N(J332)=0)</formula>
    </cfRule>
  </conditionalFormatting>
  <conditionalFormatting sqref="J333">
    <cfRule type="expression" priority="298" aboveAverage="0" equalAverage="0" bottom="0" percent="0" rank="0" text="" dxfId="0">
      <formula>AND(N(H333)&gt;0,N(J333)=0)</formula>
    </cfRule>
  </conditionalFormatting>
  <conditionalFormatting sqref="J334">
    <cfRule type="expression" priority="299" aboveAverage="0" equalAverage="0" bottom="0" percent="0" rank="0" text="" dxfId="0">
      <formula>AND(N(H334)&gt;0,N(J334)=0)</formula>
    </cfRule>
  </conditionalFormatting>
  <conditionalFormatting sqref="J335">
    <cfRule type="expression" priority="300" aboveAverage="0" equalAverage="0" bottom="0" percent="0" rank="0" text="" dxfId="0">
      <formula>AND(N(H335)&gt;0,N(J335)=0)</formula>
    </cfRule>
  </conditionalFormatting>
  <conditionalFormatting sqref="J336">
    <cfRule type="expression" priority="301" aboveAverage="0" equalAverage="0" bottom="0" percent="0" rank="0" text="" dxfId="0">
      <formula>AND(N(H336)&gt;0,N(J336)=0)</formula>
    </cfRule>
  </conditionalFormatting>
  <conditionalFormatting sqref="J340">
    <cfRule type="expression" priority="302" aboveAverage="0" equalAverage="0" bottom="0" percent="0" rank="0" text="" dxfId="0">
      <formula>AND(N(H340)&gt;0,N(J340)=0)</formula>
    </cfRule>
  </conditionalFormatting>
  <conditionalFormatting sqref="J341">
    <cfRule type="expression" priority="303" aboveAverage="0" equalAverage="0" bottom="0" percent="0" rank="0" text="" dxfId="0">
      <formula>AND(N(H341)&gt;0,N(J341)=0)</formula>
    </cfRule>
  </conditionalFormatting>
  <conditionalFormatting sqref="J342">
    <cfRule type="expression" priority="304" aboveAverage="0" equalAverage="0" bottom="0" percent="0" rank="0" text="" dxfId="0">
      <formula>AND(N(H342)&gt;0,N(J342)=0)</formula>
    </cfRule>
  </conditionalFormatting>
  <conditionalFormatting sqref="J343">
    <cfRule type="expression" priority="305" aboveAverage="0" equalAverage="0" bottom="0" percent="0" rank="0" text="" dxfId="0">
      <formula>AND(N(H343)&gt;0,N(J343)=0)</formula>
    </cfRule>
  </conditionalFormatting>
  <conditionalFormatting sqref="J344">
    <cfRule type="expression" priority="306" aboveAverage="0" equalAverage="0" bottom="0" percent="0" rank="0" text="" dxfId="0">
      <formula>AND(N(H344)&gt;0,N(J344)=0)</formula>
    </cfRule>
  </conditionalFormatting>
  <conditionalFormatting sqref="J345">
    <cfRule type="expression" priority="307" aboveAverage="0" equalAverage="0" bottom="0" percent="0" rank="0" text="" dxfId="0">
      <formula>AND(N(H345)&gt;0,N(J345)=0)</formula>
    </cfRule>
  </conditionalFormatting>
  <conditionalFormatting sqref="J346">
    <cfRule type="expression" priority="308" aboveAverage="0" equalAverage="0" bottom="0" percent="0" rank="0" text="" dxfId="0">
      <formula>AND(N(H346)&gt;0,N(J346)=0)</formula>
    </cfRule>
  </conditionalFormatting>
  <conditionalFormatting sqref="J347">
    <cfRule type="expression" priority="309" aboveAverage="0" equalAverage="0" bottom="0" percent="0" rank="0" text="" dxfId="0">
      <formula>AND(N(H347)&gt;0,N(J347)=0)</formula>
    </cfRule>
  </conditionalFormatting>
  <conditionalFormatting sqref="J348">
    <cfRule type="expression" priority="310" aboveAverage="0" equalAverage="0" bottom="0" percent="0" rank="0" text="" dxfId="0">
      <formula>AND(N(H348)&gt;0,N(J348)=0)</formula>
    </cfRule>
  </conditionalFormatting>
  <conditionalFormatting sqref="J349">
    <cfRule type="expression" priority="311" aboveAverage="0" equalAverage="0" bottom="0" percent="0" rank="0" text="" dxfId="0">
      <formula>AND(N(H349)&gt;0,N(J349)=0)</formula>
    </cfRule>
  </conditionalFormatting>
  <conditionalFormatting sqref="J350">
    <cfRule type="expression" priority="312" aboveAverage="0" equalAverage="0" bottom="0" percent="0" rank="0" text="" dxfId="0">
      <formula>AND(N(H350)&gt;0,N(J350)=0)</formula>
    </cfRule>
  </conditionalFormatting>
  <conditionalFormatting sqref="J351">
    <cfRule type="expression" priority="313" aboveAverage="0" equalAverage="0" bottom="0" percent="0" rank="0" text="" dxfId="0">
      <formula>AND(N(H351)&gt;0,N(J351)=0)</formula>
    </cfRule>
  </conditionalFormatting>
  <conditionalFormatting sqref="J352">
    <cfRule type="expression" priority="314" aboveAverage="0" equalAverage="0" bottom="0" percent="0" rank="0" text="" dxfId="0">
      <formula>AND(N(H352)&gt;0,N(J352)=0)</formula>
    </cfRule>
  </conditionalFormatting>
  <conditionalFormatting sqref="J353">
    <cfRule type="expression" priority="315" aboveAverage="0" equalAverage="0" bottom="0" percent="0" rank="0" text="" dxfId="0">
      <formula>AND(N(H353)&gt;0,N(J353)=0)</formula>
    </cfRule>
  </conditionalFormatting>
  <conditionalFormatting sqref="J354">
    <cfRule type="expression" priority="316" aboveAverage="0" equalAverage="0" bottom="0" percent="0" rank="0" text="" dxfId="0">
      <formula>AND(N(H354)&gt;0,N(J354)=0)</formula>
    </cfRule>
  </conditionalFormatting>
  <conditionalFormatting sqref="J355">
    <cfRule type="expression" priority="317" aboveAverage="0" equalAverage="0" bottom="0" percent="0" rank="0" text="" dxfId="0">
      <formula>AND(N(H355)&gt;0,N(J355)=0)</formula>
    </cfRule>
  </conditionalFormatting>
  <conditionalFormatting sqref="J356">
    <cfRule type="expression" priority="318" aboveAverage="0" equalAverage="0" bottom="0" percent="0" rank="0" text="" dxfId="0">
      <formula>AND(N(H356)&gt;0,N(J356)=0)</formula>
    </cfRule>
  </conditionalFormatting>
  <conditionalFormatting sqref="J357">
    <cfRule type="expression" priority="319" aboveAverage="0" equalAverage="0" bottom="0" percent="0" rank="0" text="" dxfId="0">
      <formula>AND(N(H357)&gt;0,N(J357)=0)</formula>
    </cfRule>
  </conditionalFormatting>
  <conditionalFormatting sqref="J358">
    <cfRule type="expression" priority="320" aboveAverage="0" equalAverage="0" bottom="0" percent="0" rank="0" text="" dxfId="0">
      <formula>AND(N(H358)&gt;0,N(J358)=0)</formula>
    </cfRule>
  </conditionalFormatting>
  <conditionalFormatting sqref="J359">
    <cfRule type="expression" priority="321" aboveAverage="0" equalAverage="0" bottom="0" percent="0" rank="0" text="" dxfId="0">
      <formula>AND(N(H359)&gt;0,N(J359)=0)</formula>
    </cfRule>
  </conditionalFormatting>
  <conditionalFormatting sqref="J360">
    <cfRule type="expression" priority="322" aboveAverage="0" equalAverage="0" bottom="0" percent="0" rank="0" text="" dxfId="0">
      <formula>AND(N(H360)&gt;0,N(J360)=0)</formula>
    </cfRule>
  </conditionalFormatting>
  <conditionalFormatting sqref="J361">
    <cfRule type="expression" priority="323" aboveAverage="0" equalAverage="0" bottom="0" percent="0" rank="0" text="" dxfId="0">
      <formula>AND(N(H361)&gt;0,N(J361)=0)</formula>
    </cfRule>
  </conditionalFormatting>
  <conditionalFormatting sqref="J362">
    <cfRule type="expression" priority="324" aboveAverage="0" equalAverage="0" bottom="0" percent="0" rank="0" text="" dxfId="0">
      <formula>AND(N(H362)&gt;0,N(J362)=0)</formula>
    </cfRule>
  </conditionalFormatting>
  <conditionalFormatting sqref="J363">
    <cfRule type="expression" priority="325" aboveAverage="0" equalAverage="0" bottom="0" percent="0" rank="0" text="" dxfId="0">
      <formula>AND(N(H363)&gt;0,N(J363)=0)</formula>
    </cfRule>
  </conditionalFormatting>
  <conditionalFormatting sqref="J364">
    <cfRule type="expression" priority="326" aboveAverage="0" equalAverage="0" bottom="0" percent="0" rank="0" text="" dxfId="0">
      <formula>AND(N(H364)&gt;0,N(J364)=0)</formula>
    </cfRule>
  </conditionalFormatting>
  <conditionalFormatting sqref="J365">
    <cfRule type="expression" priority="327" aboveAverage="0" equalAverage="0" bottom="0" percent="0" rank="0" text="" dxfId="0">
      <formula>AND(N(H365)&gt;0,N(J365)=0)</formula>
    </cfRule>
  </conditionalFormatting>
  <conditionalFormatting sqref="J366">
    <cfRule type="expression" priority="328" aboveAverage="0" equalAverage="0" bottom="0" percent="0" rank="0" text="" dxfId="0">
      <formula>AND(N(H366)&gt;0,N(J366)=0)</formula>
    </cfRule>
  </conditionalFormatting>
  <conditionalFormatting sqref="J367">
    <cfRule type="expression" priority="329" aboveAverage="0" equalAverage="0" bottom="0" percent="0" rank="0" text="" dxfId="0">
      <formula>AND(N(H367)&gt;0,N(J367)=0)</formula>
    </cfRule>
  </conditionalFormatting>
  <conditionalFormatting sqref="J368">
    <cfRule type="expression" priority="330" aboveAverage="0" equalAverage="0" bottom="0" percent="0" rank="0" text="" dxfId="0">
      <formula>AND(N(H368)&gt;0,N(J368)=0)</formula>
    </cfRule>
  </conditionalFormatting>
  <conditionalFormatting sqref="J369">
    <cfRule type="expression" priority="331" aboveAverage="0" equalAverage="0" bottom="0" percent="0" rank="0" text="" dxfId="0">
      <formula>AND(N(H369)&gt;0,N(J369)=0)</formula>
    </cfRule>
  </conditionalFormatting>
  <conditionalFormatting sqref="J373">
    <cfRule type="expression" priority="332" aboveAverage="0" equalAverage="0" bottom="0" percent="0" rank="0" text="" dxfId="0">
      <formula>AND(N(H373)&gt;0,N(J373)=0)</formula>
    </cfRule>
  </conditionalFormatting>
  <conditionalFormatting sqref="J374">
    <cfRule type="expression" priority="333" aboveAverage="0" equalAverage="0" bottom="0" percent="0" rank="0" text="" dxfId="0">
      <formula>AND(N(H374)&gt;0,N(J374)=0)</formula>
    </cfRule>
  </conditionalFormatting>
  <conditionalFormatting sqref="J375">
    <cfRule type="expression" priority="334" aboveAverage="0" equalAverage="0" bottom="0" percent="0" rank="0" text="" dxfId="0">
      <formula>AND(N(H375)&gt;0,N(J375)=0)</formula>
    </cfRule>
  </conditionalFormatting>
  <conditionalFormatting sqref="J376">
    <cfRule type="expression" priority="335" aboveAverage="0" equalAverage="0" bottom="0" percent="0" rank="0" text="" dxfId="0">
      <formula>AND(N(H376)&gt;0,N(J376)=0)</formula>
    </cfRule>
  </conditionalFormatting>
  <conditionalFormatting sqref="J377">
    <cfRule type="expression" priority="336" aboveAverage="0" equalAverage="0" bottom="0" percent="0" rank="0" text="" dxfId="0">
      <formula>AND(N(H377)&gt;0,N(J377)=0)</formula>
    </cfRule>
  </conditionalFormatting>
  <conditionalFormatting sqref="J378">
    <cfRule type="expression" priority="337" aboveAverage="0" equalAverage="0" bottom="0" percent="0" rank="0" text="" dxfId="0">
      <formula>AND(N(H378)&gt;0,N(J378)=0)</formula>
    </cfRule>
  </conditionalFormatting>
  <conditionalFormatting sqref="J379">
    <cfRule type="expression" priority="338" aboveAverage="0" equalAverage="0" bottom="0" percent="0" rank="0" text="" dxfId="0">
      <formula>AND(N(H379)&gt;0,N(J379)=0)</formula>
    </cfRule>
  </conditionalFormatting>
  <conditionalFormatting sqref="J380">
    <cfRule type="expression" priority="339" aboveAverage="0" equalAverage="0" bottom="0" percent="0" rank="0" text="" dxfId="0">
      <formula>AND(N(H380)&gt;0,N(J380)=0)</formula>
    </cfRule>
  </conditionalFormatting>
  <conditionalFormatting sqref="J381">
    <cfRule type="expression" priority="340" aboveAverage="0" equalAverage="0" bottom="0" percent="0" rank="0" text="" dxfId="0">
      <formula>AND(N(H381)&gt;0,N(J381)=0)</formula>
    </cfRule>
  </conditionalFormatting>
  <conditionalFormatting sqref="J382">
    <cfRule type="expression" priority="341" aboveAverage="0" equalAverage="0" bottom="0" percent="0" rank="0" text="" dxfId="0">
      <formula>AND(N(H382)&gt;0,N(J382)=0)</formula>
    </cfRule>
  </conditionalFormatting>
  <conditionalFormatting sqref="J383">
    <cfRule type="expression" priority="342" aboveAverage="0" equalAverage="0" bottom="0" percent="0" rank="0" text="" dxfId="0">
      <formula>AND(N(H383)&gt;0,N(J383)=0)</formula>
    </cfRule>
  </conditionalFormatting>
  <conditionalFormatting sqref="J384">
    <cfRule type="expression" priority="343" aboveAverage="0" equalAverage="0" bottom="0" percent="0" rank="0" text="" dxfId="0">
      <formula>AND(N(H384)&gt;0,N(J384)=0)</formula>
    </cfRule>
  </conditionalFormatting>
  <conditionalFormatting sqref="J385">
    <cfRule type="expression" priority="344" aboveAverage="0" equalAverage="0" bottom="0" percent="0" rank="0" text="" dxfId="0">
      <formula>AND(N(H385)&gt;0,N(J385)=0)</formula>
    </cfRule>
  </conditionalFormatting>
  <conditionalFormatting sqref="J386">
    <cfRule type="expression" priority="345" aboveAverage="0" equalAverage="0" bottom="0" percent="0" rank="0" text="" dxfId="0">
      <formula>AND(N(H386)&gt;0,N(J386)=0)</formula>
    </cfRule>
  </conditionalFormatting>
  <conditionalFormatting sqref="J387">
    <cfRule type="expression" priority="346" aboveAverage="0" equalAverage="0" bottom="0" percent="0" rank="0" text="" dxfId="0">
      <formula>AND(N(H387)&gt;0,N(J387)=0)</formula>
    </cfRule>
  </conditionalFormatting>
  <conditionalFormatting sqref="J388">
    <cfRule type="expression" priority="347" aboveAverage="0" equalAverage="0" bottom="0" percent="0" rank="0" text="" dxfId="0">
      <formula>AND(N(H388)&gt;0,N(J388)=0)</formula>
    </cfRule>
  </conditionalFormatting>
  <conditionalFormatting sqref="J389">
    <cfRule type="expression" priority="348" aboveAverage="0" equalAverage="0" bottom="0" percent="0" rank="0" text="" dxfId="0">
      <formula>AND(N(H389)&gt;0,N(J389)=0)</formula>
    </cfRule>
  </conditionalFormatting>
  <conditionalFormatting sqref="J390">
    <cfRule type="expression" priority="349" aboveAverage="0" equalAverage="0" bottom="0" percent="0" rank="0" text="" dxfId="0">
      <formula>AND(N(H390)&gt;0,N(J390)=0)</formula>
    </cfRule>
  </conditionalFormatting>
  <conditionalFormatting sqref="J391">
    <cfRule type="expression" priority="350" aboveAverage="0" equalAverage="0" bottom="0" percent="0" rank="0" text="" dxfId="0">
      <formula>AND(N(H391)&gt;0,N(J391)=0)</formula>
    </cfRule>
  </conditionalFormatting>
  <conditionalFormatting sqref="J392">
    <cfRule type="expression" priority="351" aboveAverage="0" equalAverage="0" bottom="0" percent="0" rank="0" text="" dxfId="0">
      <formula>AND(N(H392)&gt;0,N(J392)=0)</formula>
    </cfRule>
  </conditionalFormatting>
  <conditionalFormatting sqref="J393">
    <cfRule type="expression" priority="352" aboveAverage="0" equalAverage="0" bottom="0" percent="0" rank="0" text="" dxfId="0">
      <formula>AND(N(H393)&gt;0,N(J393)=0)</formula>
    </cfRule>
  </conditionalFormatting>
  <conditionalFormatting sqref="J394">
    <cfRule type="expression" priority="353" aboveAverage="0" equalAverage="0" bottom="0" percent="0" rank="0" text="" dxfId="0">
      <formula>AND(N(H394)&gt;0,N(J394)=0)</formula>
    </cfRule>
  </conditionalFormatting>
  <conditionalFormatting sqref="J395">
    <cfRule type="expression" priority="354" aboveAverage="0" equalAverage="0" bottom="0" percent="0" rank="0" text="" dxfId="0">
      <formula>AND(N(H395)&gt;0,N(J395)=0)</formula>
    </cfRule>
  </conditionalFormatting>
  <conditionalFormatting sqref="J396">
    <cfRule type="expression" priority="355" aboveAverage="0" equalAverage="0" bottom="0" percent="0" rank="0" text="" dxfId="0">
      <formula>AND(N(H396)&gt;0,N(J396)=0)</formula>
    </cfRule>
  </conditionalFormatting>
  <conditionalFormatting sqref="J397">
    <cfRule type="expression" priority="356" aboveAverage="0" equalAverage="0" bottom="0" percent="0" rank="0" text="" dxfId="0">
      <formula>AND(N(H397)&gt;0,N(J397)=0)</formula>
    </cfRule>
  </conditionalFormatting>
  <conditionalFormatting sqref="J398">
    <cfRule type="expression" priority="357" aboveAverage="0" equalAverage="0" bottom="0" percent="0" rank="0" text="" dxfId="0">
      <formula>AND(N(H398)&gt;0,N(J398)=0)</formula>
    </cfRule>
  </conditionalFormatting>
  <conditionalFormatting sqref="J399">
    <cfRule type="expression" priority="358" aboveAverage="0" equalAverage="0" bottom="0" percent="0" rank="0" text="" dxfId="0">
      <formula>AND(N(H399)&gt;0,N(J399)=0)</formula>
    </cfRule>
  </conditionalFormatting>
  <conditionalFormatting sqref="J400">
    <cfRule type="expression" priority="359" aboveAverage="0" equalAverage="0" bottom="0" percent="0" rank="0" text="" dxfId="0">
      <formula>AND(N(H400)&gt;0,N(J400)=0)</formula>
    </cfRule>
  </conditionalFormatting>
  <conditionalFormatting sqref="J401">
    <cfRule type="expression" priority="360" aboveAverage="0" equalAverage="0" bottom="0" percent="0" rank="0" text="" dxfId="0">
      <formula>AND(N(H401)&gt;0,N(J401)=0)</formula>
    </cfRule>
  </conditionalFormatting>
  <conditionalFormatting sqref="J402">
    <cfRule type="expression" priority="361" aboveAverage="0" equalAverage="0" bottom="0" percent="0" rank="0" text="" dxfId="0">
      <formula>AND(N(H402)&gt;0,N(J402)=0)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2"/>
    <col collapsed="false" customWidth="true" hidden="false" outlineLevel="0" max="4" min="4" style="0" width="8"/>
    <col collapsed="false" customWidth="true" hidden="false" outlineLevel="0" max="7" min="5" style="0" width="14"/>
    <col collapsed="false" customWidth="true" hidden="false" outlineLevel="0" max="9" min="8" style="0" width="15"/>
    <col collapsed="false" customWidth="true" hidden="false" outlineLevel="0" max="11" min="10" style="0" width="16"/>
  </cols>
  <sheetData>
    <row r="1" customFormat="false" ht="19.7" hidden="false" customHeight="false" outlineLevel="0" collapsed="false">
      <c r="B1" s="1" t="s">
        <v>510</v>
      </c>
    </row>
    <row r="3" customFormat="false" ht="19.5" hidden="false" customHeight="true" outlineLevel="0" collapsed="false">
      <c r="B3" s="3" t="s">
        <v>511</v>
      </c>
      <c r="C3" s="3"/>
      <c r="D3" s="3"/>
      <c r="E3" s="3"/>
      <c r="F3" s="3"/>
      <c r="G3" s="3"/>
      <c r="H3" s="3"/>
      <c r="I3" s="3"/>
      <c r="J3" s="3"/>
      <c r="K3" s="3"/>
    </row>
    <row r="4" customFormat="false" ht="15" hidden="false" customHeight="false" outlineLevel="0" collapsed="false">
      <c r="B4" s="8" t="s">
        <v>334</v>
      </c>
      <c r="C4" s="8" t="s">
        <v>512</v>
      </c>
      <c r="D4" s="8" t="s">
        <v>513</v>
      </c>
      <c r="E4" s="8" t="s">
        <v>492</v>
      </c>
      <c r="F4" s="8" t="s">
        <v>493</v>
      </c>
      <c r="G4" s="8" t="s">
        <v>494</v>
      </c>
      <c r="H4" s="8" t="s">
        <v>496</v>
      </c>
      <c r="I4" s="8" t="s">
        <v>514</v>
      </c>
      <c r="J4" s="8" t="s">
        <v>507</v>
      </c>
      <c r="K4" s="8" t="str">
        <f aca="false">"Net ("&amp;QCurr&amp;")"</f>
        <v>Net (AED)</v>
      </c>
    </row>
    <row r="5" customFormat="false" ht="15" hidden="false" customHeight="false" outlineLevel="0" collapsed="false">
      <c r="B5" s="68" t="n">
        <v>1</v>
      </c>
      <c r="C5" s="13" t="str">
        <f aca="false">INDEX(CC_UnitNames,1)</f>
        <v>Unit 1</v>
      </c>
      <c r="D5" s="68" t="n">
        <f aca="false">SUMPRODUCT((CC_P_unit=1)*(CC_P_unit&gt;0)*ISNUMBER(CC_P_vol))</f>
        <v>4</v>
      </c>
      <c r="E5" s="69" t="n">
        <f aca="false">SUMIFS(CC_P_vol,CC_P_unit,1,CC_P_unit,"&gt;0")</f>
        <v>53.5568784251653</v>
      </c>
      <c r="F5" s="69" t="n">
        <f aca="false">SUMIFS(CC_P_sol,CC_P_unit,1,CC_P_unit,"&gt;0")</f>
        <v>41.1176980630466</v>
      </c>
      <c r="G5" s="69" t="n">
        <f aca="false">SUMIFS(CC_P_waste,CC_P_unit,1,CC_P_unit,"&gt;0")</f>
        <v>256.985612894041</v>
      </c>
      <c r="H5" s="62" t="n">
        <f aca="false">SUMIFS(CC_P_chem,CC_P_unit,1,CC_P_unit,"&gt;0")</f>
        <v>15765.5637641572</v>
      </c>
      <c r="I5" s="62" t="n">
        <f aca="false">SUMIFS(CC_P_cost,CC_P_unit,1,CC_P_unit,"&gt;0")</f>
        <v>90291.3915034292</v>
      </c>
      <c r="J5" s="63" t="n">
        <f aca="false">SUMIFS(CC_P_net,CC_P_unit,1,CC_P_unit,"&gt;0")</f>
        <v>117378.808954458</v>
      </c>
      <c r="K5" s="63" t="n">
        <f aca="false">J5/QRate</f>
        <v>117378.808954458</v>
      </c>
    </row>
    <row r="6" customFormat="false" ht="15" hidden="false" customHeight="false" outlineLevel="0" collapsed="false">
      <c r="B6" s="68" t="n">
        <v>2</v>
      </c>
      <c r="C6" s="13" t="str">
        <f aca="false">INDEX(CC_UnitNames,2)</f>
        <v>Unit 2</v>
      </c>
      <c r="D6" s="68" t="n">
        <f aca="false">SUMPRODUCT((CC_P_unit=2)*(CC_P_unit&gt;0)*ISNUMBER(CC_P_vol))</f>
        <v>0</v>
      </c>
      <c r="E6" s="69" t="n">
        <f aca="false">SUMIFS(CC_P_vol,CC_P_unit,2,CC_P_unit,"&gt;0")</f>
        <v>0</v>
      </c>
      <c r="F6" s="69" t="n">
        <f aca="false">SUMIFS(CC_P_sol,CC_P_unit,2,CC_P_unit,"&gt;0")</f>
        <v>0</v>
      </c>
      <c r="G6" s="69" t="n">
        <f aca="false">SUMIFS(CC_P_waste,CC_P_unit,2,CC_P_unit,"&gt;0")</f>
        <v>0</v>
      </c>
      <c r="H6" s="62" t="n">
        <f aca="false">SUMIFS(CC_P_chem,CC_P_unit,2,CC_P_unit,"&gt;0")</f>
        <v>0</v>
      </c>
      <c r="I6" s="62" t="n">
        <f aca="false">SUMIFS(CC_P_cost,CC_P_unit,2,CC_P_unit,"&gt;0")</f>
        <v>0</v>
      </c>
      <c r="J6" s="63" t="n">
        <f aca="false">SUMIFS(CC_P_net,CC_P_unit,2,CC_P_unit,"&gt;0")</f>
        <v>0</v>
      </c>
      <c r="K6" s="63" t="n">
        <f aca="false">J6/QRate</f>
        <v>0</v>
      </c>
    </row>
    <row r="7" customFormat="false" ht="15" hidden="false" customHeight="false" outlineLevel="0" collapsed="false">
      <c r="B7" s="68" t="n">
        <v>3</v>
      </c>
      <c r="C7" s="13" t="str">
        <f aca="false">INDEX(CC_UnitNames,3)</f>
        <v>Unit 3</v>
      </c>
      <c r="D7" s="68" t="n">
        <f aca="false">SUMPRODUCT((CC_P_unit=3)*(CC_P_unit&gt;0)*ISNUMBER(CC_P_vol))</f>
        <v>0</v>
      </c>
      <c r="E7" s="69" t="n">
        <f aca="false">SUMIFS(CC_P_vol,CC_P_unit,3,CC_P_unit,"&gt;0")</f>
        <v>0</v>
      </c>
      <c r="F7" s="69" t="n">
        <f aca="false">SUMIFS(CC_P_sol,CC_P_unit,3,CC_P_unit,"&gt;0")</f>
        <v>0</v>
      </c>
      <c r="G7" s="69" t="n">
        <f aca="false">SUMIFS(CC_P_waste,CC_P_unit,3,CC_P_unit,"&gt;0")</f>
        <v>0</v>
      </c>
      <c r="H7" s="62" t="n">
        <f aca="false">SUMIFS(CC_P_chem,CC_P_unit,3,CC_P_unit,"&gt;0")</f>
        <v>0</v>
      </c>
      <c r="I7" s="62" t="n">
        <f aca="false">SUMIFS(CC_P_cost,CC_P_unit,3,CC_P_unit,"&gt;0")</f>
        <v>0</v>
      </c>
      <c r="J7" s="63" t="n">
        <f aca="false">SUMIFS(CC_P_net,CC_P_unit,3,CC_P_unit,"&gt;0")</f>
        <v>0</v>
      </c>
      <c r="K7" s="63" t="n">
        <f aca="false">J7/QRate</f>
        <v>0</v>
      </c>
    </row>
    <row r="8" customFormat="false" ht="15" hidden="false" customHeight="false" outlineLevel="0" collapsed="false">
      <c r="B8" s="68" t="n">
        <v>4</v>
      </c>
      <c r="C8" s="13" t="str">
        <f aca="false">INDEX(CC_UnitNames,4)</f>
        <v>Unit 4</v>
      </c>
      <c r="D8" s="68" t="n">
        <f aca="false">SUMPRODUCT((CC_P_unit=4)*(CC_P_unit&gt;0)*ISNUMBER(CC_P_vol))</f>
        <v>0</v>
      </c>
      <c r="E8" s="69" t="n">
        <f aca="false">SUMIFS(CC_P_vol,CC_P_unit,4,CC_P_unit,"&gt;0")</f>
        <v>0</v>
      </c>
      <c r="F8" s="69" t="n">
        <f aca="false">SUMIFS(CC_P_sol,CC_P_unit,4,CC_P_unit,"&gt;0")</f>
        <v>0</v>
      </c>
      <c r="G8" s="69" t="n">
        <f aca="false">SUMIFS(CC_P_waste,CC_P_unit,4,CC_P_unit,"&gt;0")</f>
        <v>0</v>
      </c>
      <c r="H8" s="62" t="n">
        <f aca="false">SUMIFS(CC_P_chem,CC_P_unit,4,CC_P_unit,"&gt;0")</f>
        <v>0</v>
      </c>
      <c r="I8" s="62" t="n">
        <f aca="false">SUMIFS(CC_P_cost,CC_P_unit,4,CC_P_unit,"&gt;0")</f>
        <v>0</v>
      </c>
      <c r="J8" s="63" t="n">
        <f aca="false">SUMIFS(CC_P_net,CC_P_unit,4,CC_P_unit,"&gt;0")</f>
        <v>0</v>
      </c>
      <c r="K8" s="63" t="n">
        <f aca="false">J8/QRate</f>
        <v>0</v>
      </c>
    </row>
    <row r="9" customFormat="false" ht="15" hidden="false" customHeight="false" outlineLevel="0" collapsed="false">
      <c r="B9" s="68" t="n">
        <v>5</v>
      </c>
      <c r="C9" s="13" t="str">
        <f aca="false">INDEX(CC_UnitNames,5)</f>
        <v>Unit 5</v>
      </c>
      <c r="D9" s="68" t="n">
        <f aca="false">SUMPRODUCT((CC_P_unit=5)*(CC_P_unit&gt;0)*ISNUMBER(CC_P_vol))</f>
        <v>0</v>
      </c>
      <c r="E9" s="69" t="n">
        <f aca="false">SUMIFS(CC_P_vol,CC_P_unit,5,CC_P_unit,"&gt;0")</f>
        <v>0</v>
      </c>
      <c r="F9" s="69" t="n">
        <f aca="false">SUMIFS(CC_P_sol,CC_P_unit,5,CC_P_unit,"&gt;0")</f>
        <v>0</v>
      </c>
      <c r="G9" s="69" t="n">
        <f aca="false">SUMIFS(CC_P_waste,CC_P_unit,5,CC_P_unit,"&gt;0")</f>
        <v>0</v>
      </c>
      <c r="H9" s="62" t="n">
        <f aca="false">SUMIFS(CC_P_chem,CC_P_unit,5,CC_P_unit,"&gt;0")</f>
        <v>0</v>
      </c>
      <c r="I9" s="62" t="n">
        <f aca="false">SUMIFS(CC_P_cost,CC_P_unit,5,CC_P_unit,"&gt;0")</f>
        <v>0</v>
      </c>
      <c r="J9" s="63" t="n">
        <f aca="false">SUMIFS(CC_P_net,CC_P_unit,5,CC_P_unit,"&gt;0")</f>
        <v>0</v>
      </c>
      <c r="K9" s="63" t="n">
        <f aca="false">J9/QRate</f>
        <v>0</v>
      </c>
    </row>
    <row r="10" customFormat="false" ht="15" hidden="false" customHeight="false" outlineLevel="0" collapsed="false">
      <c r="B10" s="68" t="n">
        <v>6</v>
      </c>
      <c r="C10" s="13" t="str">
        <f aca="false">INDEX(CC_UnitNames,6)</f>
        <v>Unit 6</v>
      </c>
      <c r="D10" s="68" t="n">
        <f aca="false">SUMPRODUCT((CC_P_unit=6)*(CC_P_unit&gt;0)*ISNUMBER(CC_P_vol))</f>
        <v>0</v>
      </c>
      <c r="E10" s="69" t="n">
        <f aca="false">SUMIFS(CC_P_vol,CC_P_unit,6,CC_P_unit,"&gt;0")</f>
        <v>0</v>
      </c>
      <c r="F10" s="69" t="n">
        <f aca="false">SUMIFS(CC_P_sol,CC_P_unit,6,CC_P_unit,"&gt;0")</f>
        <v>0</v>
      </c>
      <c r="G10" s="69" t="n">
        <f aca="false">SUMIFS(CC_P_waste,CC_P_unit,6,CC_P_unit,"&gt;0")</f>
        <v>0</v>
      </c>
      <c r="H10" s="62" t="n">
        <f aca="false">SUMIFS(CC_P_chem,CC_P_unit,6,CC_P_unit,"&gt;0")</f>
        <v>0</v>
      </c>
      <c r="I10" s="62" t="n">
        <f aca="false">SUMIFS(CC_P_cost,CC_P_unit,6,CC_P_unit,"&gt;0")</f>
        <v>0</v>
      </c>
      <c r="J10" s="63" t="n">
        <f aca="false">SUMIFS(CC_P_net,CC_P_unit,6,CC_P_unit,"&gt;0")</f>
        <v>0</v>
      </c>
      <c r="K10" s="63" t="n">
        <f aca="false">J10/QRate</f>
        <v>0</v>
      </c>
    </row>
    <row r="11" customFormat="false" ht="15" hidden="false" customHeight="false" outlineLevel="0" collapsed="false">
      <c r="B11" s="68" t="n">
        <v>7</v>
      </c>
      <c r="C11" s="13" t="str">
        <f aca="false">INDEX(CC_UnitNames,7)</f>
        <v>Unit 7</v>
      </c>
      <c r="D11" s="68" t="n">
        <f aca="false">SUMPRODUCT((CC_P_unit=7)*(CC_P_unit&gt;0)*ISNUMBER(CC_P_vol))</f>
        <v>0</v>
      </c>
      <c r="E11" s="69" t="n">
        <f aca="false">SUMIFS(CC_P_vol,CC_P_unit,7,CC_P_unit,"&gt;0")</f>
        <v>0</v>
      </c>
      <c r="F11" s="69" t="n">
        <f aca="false">SUMIFS(CC_P_sol,CC_P_unit,7,CC_P_unit,"&gt;0")</f>
        <v>0</v>
      </c>
      <c r="G11" s="69" t="n">
        <f aca="false">SUMIFS(CC_P_waste,CC_P_unit,7,CC_P_unit,"&gt;0")</f>
        <v>0</v>
      </c>
      <c r="H11" s="62" t="n">
        <f aca="false">SUMIFS(CC_P_chem,CC_P_unit,7,CC_P_unit,"&gt;0")</f>
        <v>0</v>
      </c>
      <c r="I11" s="62" t="n">
        <f aca="false">SUMIFS(CC_P_cost,CC_P_unit,7,CC_P_unit,"&gt;0")</f>
        <v>0</v>
      </c>
      <c r="J11" s="63" t="n">
        <f aca="false">SUMIFS(CC_P_net,CC_P_unit,7,CC_P_unit,"&gt;0")</f>
        <v>0</v>
      </c>
      <c r="K11" s="63" t="n">
        <f aca="false">J11/QRate</f>
        <v>0</v>
      </c>
    </row>
    <row r="12" customFormat="false" ht="15" hidden="false" customHeight="false" outlineLevel="0" collapsed="false">
      <c r="B12" s="68" t="n">
        <v>8</v>
      </c>
      <c r="C12" s="13" t="str">
        <f aca="false">INDEX(CC_UnitNames,8)</f>
        <v>Unit 8</v>
      </c>
      <c r="D12" s="68" t="n">
        <f aca="false">SUMPRODUCT((CC_P_unit=8)*(CC_P_unit&gt;0)*ISNUMBER(CC_P_vol))</f>
        <v>0</v>
      </c>
      <c r="E12" s="69" t="n">
        <f aca="false">SUMIFS(CC_P_vol,CC_P_unit,8,CC_P_unit,"&gt;0")</f>
        <v>0</v>
      </c>
      <c r="F12" s="69" t="n">
        <f aca="false">SUMIFS(CC_P_sol,CC_P_unit,8,CC_P_unit,"&gt;0")</f>
        <v>0</v>
      </c>
      <c r="G12" s="69" t="n">
        <f aca="false">SUMIFS(CC_P_waste,CC_P_unit,8,CC_P_unit,"&gt;0")</f>
        <v>0</v>
      </c>
      <c r="H12" s="62" t="n">
        <f aca="false">SUMIFS(CC_P_chem,CC_P_unit,8,CC_P_unit,"&gt;0")</f>
        <v>0</v>
      </c>
      <c r="I12" s="62" t="n">
        <f aca="false">SUMIFS(CC_P_cost,CC_P_unit,8,CC_P_unit,"&gt;0")</f>
        <v>0</v>
      </c>
      <c r="J12" s="63" t="n">
        <f aca="false">SUMIFS(CC_P_net,CC_P_unit,8,CC_P_unit,"&gt;0")</f>
        <v>0</v>
      </c>
      <c r="K12" s="63" t="n">
        <f aca="false">J12/QRate</f>
        <v>0</v>
      </c>
    </row>
    <row r="13" customFormat="false" ht="15" hidden="false" customHeight="false" outlineLevel="0" collapsed="false">
      <c r="B13" s="68" t="n">
        <v>9</v>
      </c>
      <c r="C13" s="13" t="str">
        <f aca="false">INDEX(CC_UnitNames,9)</f>
        <v>Unit 9</v>
      </c>
      <c r="D13" s="68" t="n">
        <f aca="false">SUMPRODUCT((CC_P_unit=9)*(CC_P_unit&gt;0)*ISNUMBER(CC_P_vol))</f>
        <v>0</v>
      </c>
      <c r="E13" s="69" t="n">
        <f aca="false">SUMIFS(CC_P_vol,CC_P_unit,9,CC_P_unit,"&gt;0")</f>
        <v>0</v>
      </c>
      <c r="F13" s="69" t="n">
        <f aca="false">SUMIFS(CC_P_sol,CC_P_unit,9,CC_P_unit,"&gt;0")</f>
        <v>0</v>
      </c>
      <c r="G13" s="69" t="n">
        <f aca="false">SUMIFS(CC_P_waste,CC_P_unit,9,CC_P_unit,"&gt;0")</f>
        <v>0</v>
      </c>
      <c r="H13" s="62" t="n">
        <f aca="false">SUMIFS(CC_P_chem,CC_P_unit,9,CC_P_unit,"&gt;0")</f>
        <v>0</v>
      </c>
      <c r="I13" s="62" t="n">
        <f aca="false">SUMIFS(CC_P_cost,CC_P_unit,9,CC_P_unit,"&gt;0")</f>
        <v>0</v>
      </c>
      <c r="J13" s="63" t="n">
        <f aca="false">SUMIFS(CC_P_net,CC_P_unit,9,CC_P_unit,"&gt;0")</f>
        <v>0</v>
      </c>
      <c r="K13" s="63" t="n">
        <f aca="false">J13/QRate</f>
        <v>0</v>
      </c>
    </row>
    <row r="14" customFormat="false" ht="15" hidden="false" customHeight="false" outlineLevel="0" collapsed="false">
      <c r="B14" s="68" t="n">
        <v>10</v>
      </c>
      <c r="C14" s="13" t="str">
        <f aca="false">INDEX(CC_UnitNames,10)</f>
        <v>Unit 10</v>
      </c>
      <c r="D14" s="68" t="n">
        <f aca="false">SUMPRODUCT((CC_P_unit=10)*(CC_P_unit&gt;0)*ISNUMBER(CC_P_vol))</f>
        <v>0</v>
      </c>
      <c r="E14" s="69" t="n">
        <f aca="false">SUMIFS(CC_P_vol,CC_P_unit,10,CC_P_unit,"&gt;0")</f>
        <v>0</v>
      </c>
      <c r="F14" s="69" t="n">
        <f aca="false">SUMIFS(CC_P_sol,CC_P_unit,10,CC_P_unit,"&gt;0")</f>
        <v>0</v>
      </c>
      <c r="G14" s="69" t="n">
        <f aca="false">SUMIFS(CC_P_waste,CC_P_unit,10,CC_P_unit,"&gt;0")</f>
        <v>0</v>
      </c>
      <c r="H14" s="62" t="n">
        <f aca="false">SUMIFS(CC_P_chem,CC_P_unit,10,CC_P_unit,"&gt;0")</f>
        <v>0</v>
      </c>
      <c r="I14" s="62" t="n">
        <f aca="false">SUMIFS(CC_P_cost,CC_P_unit,10,CC_P_unit,"&gt;0")</f>
        <v>0</v>
      </c>
      <c r="J14" s="63" t="n">
        <f aca="false">SUMIFS(CC_P_net,CC_P_unit,10,CC_P_unit,"&gt;0")</f>
        <v>0</v>
      </c>
      <c r="K14" s="63" t="n">
        <f aca="false">J14/QRate</f>
        <v>0</v>
      </c>
    </row>
    <row r="15" customFormat="false" ht="15" hidden="false" customHeight="false" outlineLevel="0" collapsed="false">
      <c r="B15" s="68" t="n">
        <v>11</v>
      </c>
      <c r="C15" s="13" t="str">
        <f aca="false">INDEX(CC_UnitNames,11)</f>
        <v>Unit 11</v>
      </c>
      <c r="D15" s="68" t="n">
        <f aca="false">SUMPRODUCT((CC_P_unit=11)*(CC_P_unit&gt;0)*ISNUMBER(CC_P_vol))</f>
        <v>0</v>
      </c>
      <c r="E15" s="69" t="n">
        <f aca="false">SUMIFS(CC_P_vol,CC_P_unit,11,CC_P_unit,"&gt;0")</f>
        <v>0</v>
      </c>
      <c r="F15" s="69" t="n">
        <f aca="false">SUMIFS(CC_P_sol,CC_P_unit,11,CC_P_unit,"&gt;0")</f>
        <v>0</v>
      </c>
      <c r="G15" s="69" t="n">
        <f aca="false">SUMIFS(CC_P_waste,CC_P_unit,11,CC_P_unit,"&gt;0")</f>
        <v>0</v>
      </c>
      <c r="H15" s="62" t="n">
        <f aca="false">SUMIFS(CC_P_chem,CC_P_unit,11,CC_P_unit,"&gt;0")</f>
        <v>0</v>
      </c>
      <c r="I15" s="62" t="n">
        <f aca="false">SUMIFS(CC_P_cost,CC_P_unit,11,CC_P_unit,"&gt;0")</f>
        <v>0</v>
      </c>
      <c r="J15" s="63" t="n">
        <f aca="false">SUMIFS(CC_P_net,CC_P_unit,11,CC_P_unit,"&gt;0")</f>
        <v>0</v>
      </c>
      <c r="K15" s="63" t="n">
        <f aca="false">J15/QRate</f>
        <v>0</v>
      </c>
    </row>
    <row r="16" customFormat="false" ht="15" hidden="false" customHeight="false" outlineLevel="0" collapsed="false">
      <c r="B16" s="68" t="n">
        <v>12</v>
      </c>
      <c r="C16" s="13" t="str">
        <f aca="false">INDEX(CC_UnitNames,12)</f>
        <v>Unit 12</v>
      </c>
      <c r="D16" s="68" t="n">
        <f aca="false">SUMPRODUCT((CC_P_unit=12)*(CC_P_unit&gt;0)*ISNUMBER(CC_P_vol))</f>
        <v>0</v>
      </c>
      <c r="E16" s="69" t="n">
        <f aca="false">SUMIFS(CC_P_vol,CC_P_unit,12,CC_P_unit,"&gt;0")</f>
        <v>0</v>
      </c>
      <c r="F16" s="69" t="n">
        <f aca="false">SUMIFS(CC_P_sol,CC_P_unit,12,CC_P_unit,"&gt;0")</f>
        <v>0</v>
      </c>
      <c r="G16" s="69" t="n">
        <f aca="false">SUMIFS(CC_P_waste,CC_P_unit,12,CC_P_unit,"&gt;0")</f>
        <v>0</v>
      </c>
      <c r="H16" s="62" t="n">
        <f aca="false">SUMIFS(CC_P_chem,CC_P_unit,12,CC_P_unit,"&gt;0")</f>
        <v>0</v>
      </c>
      <c r="I16" s="62" t="n">
        <f aca="false">SUMIFS(CC_P_cost,CC_P_unit,12,CC_P_unit,"&gt;0")</f>
        <v>0</v>
      </c>
      <c r="J16" s="63" t="n">
        <f aca="false">SUMIFS(CC_P_net,CC_P_unit,12,CC_P_unit,"&gt;0")</f>
        <v>0</v>
      </c>
      <c r="K16" s="63" t="n">
        <f aca="false">J16/QRate</f>
        <v>0</v>
      </c>
    </row>
    <row r="17" customFormat="false" ht="15" hidden="false" customHeight="false" outlineLevel="0" collapsed="false">
      <c r="B17" s="72"/>
      <c r="C17" s="72" t="s">
        <v>416</v>
      </c>
      <c r="D17" s="72" t="n">
        <f aca="false">SUM(D5:D16)</f>
        <v>4</v>
      </c>
      <c r="E17" s="47" t="n">
        <f aca="false">SUM(E5:E16)</f>
        <v>53.5568784251653</v>
      </c>
      <c r="F17" s="47" t="n">
        <f aca="false">SUM(F5:F16)</f>
        <v>41.1176980630466</v>
      </c>
      <c r="G17" s="47" t="n">
        <f aca="false">SUM(G5:G16)</f>
        <v>256.985612894041</v>
      </c>
      <c r="H17" s="70" t="n">
        <f aca="false">SUM(H5:H16)</f>
        <v>15765.5637641572</v>
      </c>
      <c r="I17" s="70" t="n">
        <f aca="false">SUM(I5:I16)</f>
        <v>90291.3915034292</v>
      </c>
      <c r="J17" s="70" t="n">
        <f aca="false">SUM(J5:J16)</f>
        <v>117378.808954458</v>
      </c>
      <c r="K17" s="70" t="n">
        <f aca="false">SUM(K5:K16)</f>
        <v>117378.808954458</v>
      </c>
    </row>
    <row r="20" customFormat="false" ht="19.5" hidden="false" customHeight="true" outlineLevel="0" collapsed="false">
      <c r="B20" s="3" t="s">
        <v>515</v>
      </c>
      <c r="C20" s="3"/>
      <c r="D20" s="3"/>
      <c r="E20" s="3"/>
      <c r="F20" s="3"/>
      <c r="G20" s="3"/>
      <c r="H20" s="3"/>
      <c r="I20" s="3"/>
      <c r="J20" s="3"/>
      <c r="K20" s="3"/>
    </row>
    <row r="21" customFormat="false" ht="15" hidden="false" customHeight="false" outlineLevel="0" collapsed="false">
      <c r="B21" s="8" t="s">
        <v>334</v>
      </c>
      <c r="C21" s="8" t="s">
        <v>335</v>
      </c>
      <c r="D21" s="8" t="s">
        <v>513</v>
      </c>
      <c r="E21" s="8" t="s">
        <v>492</v>
      </c>
      <c r="F21" s="8" t="s">
        <v>493</v>
      </c>
      <c r="G21" s="8" t="s">
        <v>494</v>
      </c>
      <c r="H21" s="8" t="s">
        <v>496</v>
      </c>
      <c r="I21" s="8" t="s">
        <v>514</v>
      </c>
      <c r="J21" s="8" t="s">
        <v>507</v>
      </c>
      <c r="K21" s="8" t="str">
        <f aca="false">"Net ("&amp;QCurr&amp;")"</f>
        <v>Net (AED)</v>
      </c>
    </row>
    <row r="22" customFormat="false" ht="15" hidden="false" customHeight="false" outlineLevel="0" collapsed="false">
      <c r="B22" s="68" t="n">
        <v>1</v>
      </c>
      <c r="C22" s="13" t="str">
        <f aca="false">INDEX(CC_LoopU,1)</f>
        <v>Loop 1</v>
      </c>
      <c r="D22" s="68" t="n">
        <f aca="false">SUMPRODUCT((CC_P_loop=$C$22)*(CC_P_unit&gt;0)*ISNUMBER(CC_P_vol))</f>
        <v>1</v>
      </c>
      <c r="E22" s="69" t="n">
        <f aca="false">SUMIFS(CC_P_vol,CC_P_loop,$C$22,CC_P_unit,"&gt;0")</f>
        <v>27.115</v>
      </c>
      <c r="F22" s="69" t="n">
        <f aca="false">SUMIFS(CC_P_sol,CC_P_loop,$C$22,CC_P_unit,"&gt;0")</f>
        <v>31.18225</v>
      </c>
      <c r="G22" s="69" t="n">
        <f aca="false">SUMIFS(CC_P_waste,CC_P_loop,$C$22,CC_P_unit,"&gt;0")</f>
        <v>194.8890625</v>
      </c>
      <c r="H22" s="62" t="n">
        <f aca="false">SUMIFS(CC_P_chem,CC_P_loop,$C$22,CC_P_unit,"&gt;0")</f>
        <v>11662.1615</v>
      </c>
      <c r="I22" s="62" t="n">
        <f aca="false">SUMIFS(CC_P_cost,CC_P_loop,$C$22,CC_P_unit,"&gt;0")</f>
        <v>68179.989625</v>
      </c>
      <c r="J22" s="63" t="n">
        <f aca="false">SUMIFS(CC_P_net,CC_P_loop,$C$22,CC_P_unit,"&gt;0")</f>
        <v>88633.9865125</v>
      </c>
      <c r="K22" s="63" t="n">
        <f aca="false">J22/QRate</f>
        <v>88633.9865125</v>
      </c>
    </row>
    <row r="23" customFormat="false" ht="15" hidden="false" customHeight="false" outlineLevel="0" collapsed="false">
      <c r="B23" s="68" t="n">
        <v>2</v>
      </c>
      <c r="C23" s="13" t="str">
        <f aca="false">INDEX(CC_LoopU,2)</f>
        <v>Loop 2</v>
      </c>
      <c r="D23" s="68" t="n">
        <f aca="false">SUMPRODUCT((CC_P_loop=$C$23)*(CC_P_unit&gt;0)*ISNUMBER(CC_P_vol))</f>
        <v>2</v>
      </c>
      <c r="E23" s="69" t="n">
        <f aca="false">SUMIFS(CC_P_vol,CC_P_loop,$C$23,CC_P_unit,"&gt;0")</f>
        <v>24.2043752155139</v>
      </c>
      <c r="F23" s="69" t="n">
        <f aca="false">SUMIFS(CC_P_sol,CC_P_loop,$C$23,CC_P_unit,"&gt;0")</f>
        <v>7.36231937194752</v>
      </c>
      <c r="G23" s="69" t="n">
        <f aca="false">SUMIFS(CC_P_waste,CC_P_loop,$C$23,CC_P_unit,"&gt;0")</f>
        <v>46.014496074672</v>
      </c>
      <c r="H23" s="62" t="n">
        <f aca="false">SUMIFS(CC_P_chem,CC_P_loop,$C$23,CC_P_unit,"&gt;0")</f>
        <v>2753.50744510837</v>
      </c>
      <c r="I23" s="62" t="n">
        <f aca="false">SUMIFS(CC_P_cost,CC_P_loop,$C$23,CC_P_unit,"&gt;0")</f>
        <v>16097.7113067633</v>
      </c>
      <c r="J23" s="63" t="n">
        <f aca="false">SUMIFS(CC_P_net,CC_P_loop,$C$23,CC_P_unit,"&gt;0")</f>
        <v>20927.0246987922</v>
      </c>
      <c r="K23" s="63" t="n">
        <f aca="false">J23/QRate</f>
        <v>20927.0246987922</v>
      </c>
    </row>
    <row r="24" customFormat="false" ht="15" hidden="false" customHeight="false" outlineLevel="0" collapsed="false">
      <c r="B24" s="68" t="n">
        <v>3</v>
      </c>
      <c r="C24" s="13" t="str">
        <f aca="false">INDEX(CC_LoopU,3)</f>
        <v>Loop 3</v>
      </c>
      <c r="D24" s="68" t="n">
        <f aca="false">SUMPRODUCT((CC_P_loop=$C$24)*(CC_P_unit&gt;0)*ISNUMBER(CC_P_vol))</f>
        <v>0</v>
      </c>
      <c r="E24" s="69" t="n">
        <f aca="false">SUMIFS(CC_P_vol,CC_P_loop,$C$24,CC_P_unit,"&gt;0")</f>
        <v>0</v>
      </c>
      <c r="F24" s="69" t="n">
        <f aca="false">SUMIFS(CC_P_sol,CC_P_loop,$C$24,CC_P_unit,"&gt;0")</f>
        <v>0</v>
      </c>
      <c r="G24" s="69" t="n">
        <f aca="false">SUMIFS(CC_P_waste,CC_P_loop,$C$24,CC_P_unit,"&gt;0")</f>
        <v>0</v>
      </c>
      <c r="H24" s="62" t="n">
        <f aca="false">SUMIFS(CC_P_chem,CC_P_loop,$C$24,CC_P_unit,"&gt;0")</f>
        <v>0</v>
      </c>
      <c r="I24" s="62" t="n">
        <f aca="false">SUMIFS(CC_P_cost,CC_P_loop,$C$24,CC_P_unit,"&gt;0")</f>
        <v>0</v>
      </c>
      <c r="J24" s="63" t="n">
        <f aca="false">SUMIFS(CC_P_net,CC_P_loop,$C$24,CC_P_unit,"&gt;0")</f>
        <v>0</v>
      </c>
      <c r="K24" s="63" t="n">
        <f aca="false">J24/QRate</f>
        <v>0</v>
      </c>
    </row>
    <row r="25" customFormat="false" ht="15" hidden="false" customHeight="false" outlineLevel="0" collapsed="false">
      <c r="B25" s="68" t="n">
        <v>4</v>
      </c>
      <c r="C25" s="13" t="str">
        <f aca="false">INDEX(CC_LoopU,4)</f>
        <v>Loop 4</v>
      </c>
      <c r="D25" s="68" t="n">
        <f aca="false">SUMPRODUCT((CC_P_loop=$C$25)*(CC_P_unit&gt;0)*ISNUMBER(CC_P_vol))</f>
        <v>0</v>
      </c>
      <c r="E25" s="69" t="n">
        <f aca="false">SUMIFS(CC_P_vol,CC_P_loop,$C$25,CC_P_unit,"&gt;0")</f>
        <v>0</v>
      </c>
      <c r="F25" s="69" t="n">
        <f aca="false">SUMIFS(CC_P_sol,CC_P_loop,$C$25,CC_P_unit,"&gt;0")</f>
        <v>0</v>
      </c>
      <c r="G25" s="69" t="n">
        <f aca="false">SUMIFS(CC_P_waste,CC_P_loop,$C$25,CC_P_unit,"&gt;0")</f>
        <v>0</v>
      </c>
      <c r="H25" s="62" t="n">
        <f aca="false">SUMIFS(CC_P_chem,CC_P_loop,$C$25,CC_P_unit,"&gt;0")</f>
        <v>0</v>
      </c>
      <c r="I25" s="62" t="n">
        <f aca="false">SUMIFS(CC_P_cost,CC_P_loop,$C$25,CC_P_unit,"&gt;0")</f>
        <v>0</v>
      </c>
      <c r="J25" s="63" t="n">
        <f aca="false">SUMIFS(CC_P_net,CC_P_loop,$C$25,CC_P_unit,"&gt;0")</f>
        <v>0</v>
      </c>
      <c r="K25" s="63" t="n">
        <f aca="false">J25/QRate</f>
        <v>0</v>
      </c>
    </row>
    <row r="26" customFormat="false" ht="15" hidden="false" customHeight="false" outlineLevel="0" collapsed="false">
      <c r="B26" s="68" t="n">
        <v>5</v>
      </c>
      <c r="C26" s="13" t="str">
        <f aca="false">INDEX(CC_LoopU,5)</f>
        <v>Loop 5</v>
      </c>
      <c r="D26" s="68" t="n">
        <f aca="false">SUMPRODUCT((CC_P_loop=$C$26)*(CC_P_unit&gt;0)*ISNUMBER(CC_P_vol))</f>
        <v>0</v>
      </c>
      <c r="E26" s="69" t="n">
        <f aca="false">SUMIFS(CC_P_vol,CC_P_loop,$C$26,CC_P_unit,"&gt;0")</f>
        <v>0</v>
      </c>
      <c r="F26" s="69" t="n">
        <f aca="false">SUMIFS(CC_P_sol,CC_P_loop,$C$26,CC_P_unit,"&gt;0")</f>
        <v>0</v>
      </c>
      <c r="G26" s="69" t="n">
        <f aca="false">SUMIFS(CC_P_waste,CC_P_loop,$C$26,CC_P_unit,"&gt;0")</f>
        <v>0</v>
      </c>
      <c r="H26" s="62" t="n">
        <f aca="false">SUMIFS(CC_P_chem,CC_P_loop,$C$26,CC_P_unit,"&gt;0")</f>
        <v>0</v>
      </c>
      <c r="I26" s="62" t="n">
        <f aca="false">SUMIFS(CC_P_cost,CC_P_loop,$C$26,CC_P_unit,"&gt;0")</f>
        <v>0</v>
      </c>
      <c r="J26" s="63" t="n">
        <f aca="false">SUMIFS(CC_P_net,CC_P_loop,$C$26,CC_P_unit,"&gt;0")</f>
        <v>0</v>
      </c>
      <c r="K26" s="63" t="n">
        <f aca="false">J26/QRate</f>
        <v>0</v>
      </c>
    </row>
    <row r="27" customFormat="false" ht="15" hidden="false" customHeight="false" outlineLevel="0" collapsed="false">
      <c r="B27" s="68" t="n">
        <v>6</v>
      </c>
      <c r="C27" s="13" t="str">
        <f aca="false">INDEX(CC_LoopU,6)</f>
        <v>Loop 6</v>
      </c>
      <c r="D27" s="68" t="n">
        <f aca="false">SUMPRODUCT((CC_P_loop=$C$27)*(CC_P_unit&gt;0)*ISNUMBER(CC_P_vol))</f>
        <v>0</v>
      </c>
      <c r="E27" s="69" t="n">
        <f aca="false">SUMIFS(CC_P_vol,CC_P_loop,$C$27,CC_P_unit,"&gt;0")</f>
        <v>0</v>
      </c>
      <c r="F27" s="69" t="n">
        <f aca="false">SUMIFS(CC_P_sol,CC_P_loop,$C$27,CC_P_unit,"&gt;0")</f>
        <v>0</v>
      </c>
      <c r="G27" s="69" t="n">
        <f aca="false">SUMIFS(CC_P_waste,CC_P_loop,$C$27,CC_P_unit,"&gt;0")</f>
        <v>0</v>
      </c>
      <c r="H27" s="62" t="n">
        <f aca="false">SUMIFS(CC_P_chem,CC_P_loop,$C$27,CC_P_unit,"&gt;0")</f>
        <v>0</v>
      </c>
      <c r="I27" s="62" t="n">
        <f aca="false">SUMIFS(CC_P_cost,CC_P_loop,$C$27,CC_P_unit,"&gt;0")</f>
        <v>0</v>
      </c>
      <c r="J27" s="63" t="n">
        <f aca="false">SUMIFS(CC_P_net,CC_P_loop,$C$27,CC_P_unit,"&gt;0")</f>
        <v>0</v>
      </c>
      <c r="K27" s="63" t="n">
        <f aca="false">J27/QRate</f>
        <v>0</v>
      </c>
    </row>
    <row r="28" customFormat="false" ht="15" hidden="false" customHeight="false" outlineLevel="0" collapsed="false">
      <c r="B28" s="68" t="n">
        <v>7</v>
      </c>
      <c r="C28" s="13" t="str">
        <f aca="false">INDEX(CC_LoopU,7)</f>
        <v>Loop 7</v>
      </c>
      <c r="D28" s="68" t="n">
        <f aca="false">SUMPRODUCT((CC_P_loop=$C$28)*(CC_P_unit&gt;0)*ISNUMBER(CC_P_vol))</f>
        <v>0</v>
      </c>
      <c r="E28" s="69" t="n">
        <f aca="false">SUMIFS(CC_P_vol,CC_P_loop,$C$28,CC_P_unit,"&gt;0")</f>
        <v>0</v>
      </c>
      <c r="F28" s="69" t="n">
        <f aca="false">SUMIFS(CC_P_sol,CC_P_loop,$C$28,CC_P_unit,"&gt;0")</f>
        <v>0</v>
      </c>
      <c r="G28" s="69" t="n">
        <f aca="false">SUMIFS(CC_P_waste,CC_P_loop,$C$28,CC_P_unit,"&gt;0")</f>
        <v>0</v>
      </c>
      <c r="H28" s="62" t="n">
        <f aca="false">SUMIFS(CC_P_chem,CC_P_loop,$C$28,CC_P_unit,"&gt;0")</f>
        <v>0</v>
      </c>
      <c r="I28" s="62" t="n">
        <f aca="false">SUMIFS(CC_P_cost,CC_P_loop,$C$28,CC_P_unit,"&gt;0")</f>
        <v>0</v>
      </c>
      <c r="J28" s="63" t="n">
        <f aca="false">SUMIFS(CC_P_net,CC_P_loop,$C$28,CC_P_unit,"&gt;0")</f>
        <v>0</v>
      </c>
      <c r="K28" s="63" t="n">
        <f aca="false">J28/QRate</f>
        <v>0</v>
      </c>
    </row>
    <row r="29" customFormat="false" ht="15" hidden="false" customHeight="false" outlineLevel="0" collapsed="false">
      <c r="B29" s="68" t="n">
        <v>8</v>
      </c>
      <c r="C29" s="13" t="str">
        <f aca="false">INDEX(CC_LoopU,8)</f>
        <v>Loop 8</v>
      </c>
      <c r="D29" s="68" t="n">
        <f aca="false">SUMPRODUCT((CC_P_loop=$C$29)*(CC_P_unit&gt;0)*ISNUMBER(CC_P_vol))</f>
        <v>0</v>
      </c>
      <c r="E29" s="69" t="n">
        <f aca="false">SUMIFS(CC_P_vol,CC_P_loop,$C$29,CC_P_unit,"&gt;0")</f>
        <v>0</v>
      </c>
      <c r="F29" s="69" t="n">
        <f aca="false">SUMIFS(CC_P_sol,CC_P_loop,$C$29,CC_P_unit,"&gt;0")</f>
        <v>0</v>
      </c>
      <c r="G29" s="69" t="n">
        <f aca="false">SUMIFS(CC_P_waste,CC_P_loop,$C$29,CC_P_unit,"&gt;0")</f>
        <v>0</v>
      </c>
      <c r="H29" s="62" t="n">
        <f aca="false">SUMIFS(CC_P_chem,CC_P_loop,$C$29,CC_P_unit,"&gt;0")</f>
        <v>0</v>
      </c>
      <c r="I29" s="62" t="n">
        <f aca="false">SUMIFS(CC_P_cost,CC_P_loop,$C$29,CC_P_unit,"&gt;0")</f>
        <v>0</v>
      </c>
      <c r="J29" s="63" t="n">
        <f aca="false">SUMIFS(CC_P_net,CC_P_loop,$C$29,CC_P_unit,"&gt;0")</f>
        <v>0</v>
      </c>
      <c r="K29" s="63" t="n">
        <f aca="false">J29/QRate</f>
        <v>0</v>
      </c>
    </row>
    <row r="30" customFormat="false" ht="15" hidden="false" customHeight="false" outlineLevel="0" collapsed="false">
      <c r="B30" s="68" t="n">
        <v>9</v>
      </c>
      <c r="C30" s="13" t="str">
        <f aca="false">INDEX(CC_LoopU,9)</f>
        <v>Loop 9</v>
      </c>
      <c r="D30" s="68" t="n">
        <f aca="false">SUMPRODUCT((CC_P_loop=$C$30)*(CC_P_unit&gt;0)*ISNUMBER(CC_P_vol))</f>
        <v>0</v>
      </c>
      <c r="E30" s="69" t="n">
        <f aca="false">SUMIFS(CC_P_vol,CC_P_loop,$C$30,CC_P_unit,"&gt;0")</f>
        <v>0</v>
      </c>
      <c r="F30" s="69" t="n">
        <f aca="false">SUMIFS(CC_P_sol,CC_P_loop,$C$30,CC_P_unit,"&gt;0")</f>
        <v>0</v>
      </c>
      <c r="G30" s="69" t="n">
        <f aca="false">SUMIFS(CC_P_waste,CC_P_loop,$C$30,CC_P_unit,"&gt;0")</f>
        <v>0</v>
      </c>
      <c r="H30" s="62" t="n">
        <f aca="false">SUMIFS(CC_P_chem,CC_P_loop,$C$30,CC_P_unit,"&gt;0")</f>
        <v>0</v>
      </c>
      <c r="I30" s="62" t="n">
        <f aca="false">SUMIFS(CC_P_cost,CC_P_loop,$C$30,CC_P_unit,"&gt;0")</f>
        <v>0</v>
      </c>
      <c r="J30" s="63" t="n">
        <f aca="false">SUMIFS(CC_P_net,CC_P_loop,$C$30,CC_P_unit,"&gt;0")</f>
        <v>0</v>
      </c>
      <c r="K30" s="63" t="n">
        <f aca="false">J30/QRate</f>
        <v>0</v>
      </c>
    </row>
    <row r="31" customFormat="false" ht="15" hidden="false" customHeight="false" outlineLevel="0" collapsed="false">
      <c r="B31" s="68" t="n">
        <v>10</v>
      </c>
      <c r="C31" s="13" t="str">
        <f aca="false">INDEX(CC_LoopU,10)</f>
        <v>Loop 10</v>
      </c>
      <c r="D31" s="68" t="n">
        <f aca="false">SUMPRODUCT((CC_P_loop=$C$31)*(CC_P_unit&gt;0)*ISNUMBER(CC_P_vol))</f>
        <v>0</v>
      </c>
      <c r="E31" s="69" t="n">
        <f aca="false">SUMIFS(CC_P_vol,CC_P_loop,$C$31,CC_P_unit,"&gt;0")</f>
        <v>0</v>
      </c>
      <c r="F31" s="69" t="n">
        <f aca="false">SUMIFS(CC_P_sol,CC_P_loop,$C$31,CC_P_unit,"&gt;0")</f>
        <v>0</v>
      </c>
      <c r="G31" s="69" t="n">
        <f aca="false">SUMIFS(CC_P_waste,CC_P_loop,$C$31,CC_P_unit,"&gt;0")</f>
        <v>0</v>
      </c>
      <c r="H31" s="62" t="n">
        <f aca="false">SUMIFS(CC_P_chem,CC_P_loop,$C$31,CC_P_unit,"&gt;0")</f>
        <v>0</v>
      </c>
      <c r="I31" s="62" t="n">
        <f aca="false">SUMIFS(CC_P_cost,CC_P_loop,$C$31,CC_P_unit,"&gt;0")</f>
        <v>0</v>
      </c>
      <c r="J31" s="63" t="n">
        <f aca="false">SUMIFS(CC_P_net,CC_P_loop,$C$31,CC_P_unit,"&gt;0")</f>
        <v>0</v>
      </c>
      <c r="K31" s="63" t="n">
        <f aca="false">J31/QRate</f>
        <v>0</v>
      </c>
    </row>
    <row r="32" customFormat="false" ht="15" hidden="false" customHeight="false" outlineLevel="0" collapsed="false">
      <c r="B32" s="68" t="n">
        <v>11</v>
      </c>
      <c r="C32" s="13" t="str">
        <f aca="false">INDEX(CC_LoopU,11)</f>
        <v>Loop 11</v>
      </c>
      <c r="D32" s="68" t="n">
        <f aca="false">SUMPRODUCT((CC_P_loop=$C$32)*(CC_P_unit&gt;0)*ISNUMBER(CC_P_vol))</f>
        <v>0</v>
      </c>
      <c r="E32" s="69" t="n">
        <f aca="false">SUMIFS(CC_P_vol,CC_P_loop,$C$32,CC_P_unit,"&gt;0")</f>
        <v>0</v>
      </c>
      <c r="F32" s="69" t="n">
        <f aca="false">SUMIFS(CC_P_sol,CC_P_loop,$C$32,CC_P_unit,"&gt;0")</f>
        <v>0</v>
      </c>
      <c r="G32" s="69" t="n">
        <f aca="false">SUMIFS(CC_P_waste,CC_P_loop,$C$32,CC_P_unit,"&gt;0")</f>
        <v>0</v>
      </c>
      <c r="H32" s="62" t="n">
        <f aca="false">SUMIFS(CC_P_chem,CC_P_loop,$C$32,CC_P_unit,"&gt;0")</f>
        <v>0</v>
      </c>
      <c r="I32" s="62" t="n">
        <f aca="false">SUMIFS(CC_P_cost,CC_P_loop,$C$32,CC_P_unit,"&gt;0")</f>
        <v>0</v>
      </c>
      <c r="J32" s="63" t="n">
        <f aca="false">SUMIFS(CC_P_net,CC_P_loop,$C$32,CC_P_unit,"&gt;0")</f>
        <v>0</v>
      </c>
      <c r="K32" s="63" t="n">
        <f aca="false">J32/QRate</f>
        <v>0</v>
      </c>
    </row>
    <row r="33" customFormat="false" ht="15" hidden="false" customHeight="false" outlineLevel="0" collapsed="false">
      <c r="B33" s="68" t="n">
        <v>12</v>
      </c>
      <c r="C33" s="13" t="str">
        <f aca="false">INDEX(CC_LoopU,12)</f>
        <v>Loop 12</v>
      </c>
      <c r="D33" s="68" t="n">
        <f aca="false">SUMPRODUCT((CC_P_loop=$C$33)*(CC_P_unit&gt;0)*ISNUMBER(CC_P_vol))</f>
        <v>0</v>
      </c>
      <c r="E33" s="69" t="n">
        <f aca="false">SUMIFS(CC_P_vol,CC_P_loop,$C$33,CC_P_unit,"&gt;0")</f>
        <v>0</v>
      </c>
      <c r="F33" s="69" t="n">
        <f aca="false">SUMIFS(CC_P_sol,CC_P_loop,$C$33,CC_P_unit,"&gt;0")</f>
        <v>0</v>
      </c>
      <c r="G33" s="69" t="n">
        <f aca="false">SUMIFS(CC_P_waste,CC_P_loop,$C$33,CC_P_unit,"&gt;0")</f>
        <v>0</v>
      </c>
      <c r="H33" s="62" t="n">
        <f aca="false">SUMIFS(CC_P_chem,CC_P_loop,$C$33,CC_P_unit,"&gt;0")</f>
        <v>0</v>
      </c>
      <c r="I33" s="62" t="n">
        <f aca="false">SUMIFS(CC_P_cost,CC_P_loop,$C$33,CC_P_unit,"&gt;0")</f>
        <v>0</v>
      </c>
      <c r="J33" s="63" t="n">
        <f aca="false">SUMIFS(CC_P_net,CC_P_loop,$C$33,CC_P_unit,"&gt;0")</f>
        <v>0</v>
      </c>
      <c r="K33" s="63" t="n">
        <f aca="false">J33/QRate</f>
        <v>0</v>
      </c>
    </row>
    <row r="34" customFormat="false" ht="15" hidden="false" customHeight="false" outlineLevel="0" collapsed="false">
      <c r="B34" s="68" t="n">
        <v>13</v>
      </c>
      <c r="C34" s="13" t="str">
        <f aca="false">INDEX(CC_LoopU,13)</f>
        <v>Loop 13</v>
      </c>
      <c r="D34" s="68" t="n">
        <f aca="false">SUMPRODUCT((CC_P_loop=$C$34)*(CC_P_unit&gt;0)*ISNUMBER(CC_P_vol))</f>
        <v>0</v>
      </c>
      <c r="E34" s="69" t="n">
        <f aca="false">SUMIFS(CC_P_vol,CC_P_loop,$C$34,CC_P_unit,"&gt;0")</f>
        <v>0</v>
      </c>
      <c r="F34" s="69" t="n">
        <f aca="false">SUMIFS(CC_P_sol,CC_P_loop,$C$34,CC_P_unit,"&gt;0")</f>
        <v>0</v>
      </c>
      <c r="G34" s="69" t="n">
        <f aca="false">SUMIFS(CC_P_waste,CC_P_loop,$C$34,CC_P_unit,"&gt;0")</f>
        <v>0</v>
      </c>
      <c r="H34" s="62" t="n">
        <f aca="false">SUMIFS(CC_P_chem,CC_P_loop,$C$34,CC_P_unit,"&gt;0")</f>
        <v>0</v>
      </c>
      <c r="I34" s="62" t="n">
        <f aca="false">SUMIFS(CC_P_cost,CC_P_loop,$C$34,CC_P_unit,"&gt;0")</f>
        <v>0</v>
      </c>
      <c r="J34" s="63" t="n">
        <f aca="false">SUMIFS(CC_P_net,CC_P_loop,$C$34,CC_P_unit,"&gt;0")</f>
        <v>0</v>
      </c>
      <c r="K34" s="63" t="n">
        <f aca="false">J34/QRate</f>
        <v>0</v>
      </c>
    </row>
    <row r="35" customFormat="false" ht="15" hidden="false" customHeight="false" outlineLevel="0" collapsed="false">
      <c r="B35" s="68" t="n">
        <v>14</v>
      </c>
      <c r="C35" s="13" t="str">
        <f aca="false">INDEX(CC_LoopU,14)</f>
        <v>Loop 14</v>
      </c>
      <c r="D35" s="68" t="n">
        <f aca="false">SUMPRODUCT((CC_P_loop=$C$35)*(CC_P_unit&gt;0)*ISNUMBER(CC_P_vol))</f>
        <v>0</v>
      </c>
      <c r="E35" s="69" t="n">
        <f aca="false">SUMIFS(CC_P_vol,CC_P_loop,$C$35,CC_P_unit,"&gt;0")</f>
        <v>0</v>
      </c>
      <c r="F35" s="69" t="n">
        <f aca="false">SUMIFS(CC_P_sol,CC_P_loop,$C$35,CC_P_unit,"&gt;0")</f>
        <v>0</v>
      </c>
      <c r="G35" s="69" t="n">
        <f aca="false">SUMIFS(CC_P_waste,CC_P_loop,$C$35,CC_P_unit,"&gt;0")</f>
        <v>0</v>
      </c>
      <c r="H35" s="62" t="n">
        <f aca="false">SUMIFS(CC_P_chem,CC_P_loop,$C$35,CC_P_unit,"&gt;0")</f>
        <v>0</v>
      </c>
      <c r="I35" s="62" t="n">
        <f aca="false">SUMIFS(CC_P_cost,CC_P_loop,$C$35,CC_P_unit,"&gt;0")</f>
        <v>0</v>
      </c>
      <c r="J35" s="63" t="n">
        <f aca="false">SUMIFS(CC_P_net,CC_P_loop,$C$35,CC_P_unit,"&gt;0")</f>
        <v>0</v>
      </c>
      <c r="K35" s="63" t="n">
        <f aca="false">J35/QRate</f>
        <v>0</v>
      </c>
    </row>
    <row r="36" customFormat="false" ht="15" hidden="false" customHeight="false" outlineLevel="0" collapsed="false">
      <c r="B36" s="68" t="n">
        <v>15</v>
      </c>
      <c r="C36" s="13" t="str">
        <f aca="false">INDEX(CC_LoopU,15)</f>
        <v>Loop 15</v>
      </c>
      <c r="D36" s="68" t="n">
        <f aca="false">SUMPRODUCT((CC_P_loop=$C$36)*(CC_P_unit&gt;0)*ISNUMBER(CC_P_vol))</f>
        <v>0</v>
      </c>
      <c r="E36" s="69" t="n">
        <f aca="false">SUMIFS(CC_P_vol,CC_P_loop,$C$36,CC_P_unit,"&gt;0")</f>
        <v>0</v>
      </c>
      <c r="F36" s="69" t="n">
        <f aca="false">SUMIFS(CC_P_sol,CC_P_loop,$C$36,CC_P_unit,"&gt;0")</f>
        <v>0</v>
      </c>
      <c r="G36" s="69" t="n">
        <f aca="false">SUMIFS(CC_P_waste,CC_P_loop,$C$36,CC_P_unit,"&gt;0")</f>
        <v>0</v>
      </c>
      <c r="H36" s="62" t="n">
        <f aca="false">SUMIFS(CC_P_chem,CC_P_loop,$C$36,CC_P_unit,"&gt;0")</f>
        <v>0</v>
      </c>
      <c r="I36" s="62" t="n">
        <f aca="false">SUMIFS(CC_P_cost,CC_P_loop,$C$36,CC_P_unit,"&gt;0")</f>
        <v>0</v>
      </c>
      <c r="J36" s="63" t="n">
        <f aca="false">SUMIFS(CC_P_net,CC_P_loop,$C$36,CC_P_unit,"&gt;0")</f>
        <v>0</v>
      </c>
      <c r="K36" s="63" t="n">
        <f aca="false">J36/QRate</f>
        <v>0</v>
      </c>
    </row>
    <row r="37" customFormat="false" ht="15" hidden="false" customHeight="false" outlineLevel="0" collapsed="false">
      <c r="B37" s="68" t="n">
        <v>16</v>
      </c>
      <c r="C37" s="13" t="str">
        <f aca="false">INDEX(CC_LoopU,16)</f>
        <v>Loop 16</v>
      </c>
      <c r="D37" s="68" t="n">
        <f aca="false">SUMPRODUCT((CC_P_loop=$C$37)*(CC_P_unit&gt;0)*ISNUMBER(CC_P_vol))</f>
        <v>0</v>
      </c>
      <c r="E37" s="69" t="n">
        <f aca="false">SUMIFS(CC_P_vol,CC_P_loop,$C$37,CC_P_unit,"&gt;0")</f>
        <v>0</v>
      </c>
      <c r="F37" s="69" t="n">
        <f aca="false">SUMIFS(CC_P_sol,CC_P_loop,$C$37,CC_P_unit,"&gt;0")</f>
        <v>0</v>
      </c>
      <c r="G37" s="69" t="n">
        <f aca="false">SUMIFS(CC_P_waste,CC_P_loop,$C$37,CC_P_unit,"&gt;0")</f>
        <v>0</v>
      </c>
      <c r="H37" s="62" t="n">
        <f aca="false">SUMIFS(CC_P_chem,CC_P_loop,$C$37,CC_P_unit,"&gt;0")</f>
        <v>0</v>
      </c>
      <c r="I37" s="62" t="n">
        <f aca="false">SUMIFS(CC_P_cost,CC_P_loop,$C$37,CC_P_unit,"&gt;0")</f>
        <v>0</v>
      </c>
      <c r="J37" s="63" t="n">
        <f aca="false">SUMIFS(CC_P_net,CC_P_loop,$C$37,CC_P_unit,"&gt;0")</f>
        <v>0</v>
      </c>
      <c r="K37" s="63" t="n">
        <f aca="false">J37/QRate</f>
        <v>0</v>
      </c>
    </row>
    <row r="38" customFormat="false" ht="15" hidden="false" customHeight="false" outlineLevel="0" collapsed="false">
      <c r="B38" s="68" t="n">
        <v>17</v>
      </c>
      <c r="C38" s="13" t="str">
        <f aca="false">INDEX(CC_LoopU,17)</f>
        <v>Loop 17</v>
      </c>
      <c r="D38" s="68" t="n">
        <f aca="false">SUMPRODUCT((CC_P_loop=$C$38)*(CC_P_unit&gt;0)*ISNUMBER(CC_P_vol))</f>
        <v>0</v>
      </c>
      <c r="E38" s="69" t="n">
        <f aca="false">SUMIFS(CC_P_vol,CC_P_loop,$C$38,CC_P_unit,"&gt;0")</f>
        <v>0</v>
      </c>
      <c r="F38" s="69" t="n">
        <f aca="false">SUMIFS(CC_P_sol,CC_P_loop,$C$38,CC_P_unit,"&gt;0")</f>
        <v>0</v>
      </c>
      <c r="G38" s="69" t="n">
        <f aca="false">SUMIFS(CC_P_waste,CC_P_loop,$C$38,CC_P_unit,"&gt;0")</f>
        <v>0</v>
      </c>
      <c r="H38" s="62" t="n">
        <f aca="false">SUMIFS(CC_P_chem,CC_P_loop,$C$38,CC_P_unit,"&gt;0")</f>
        <v>0</v>
      </c>
      <c r="I38" s="62" t="n">
        <f aca="false">SUMIFS(CC_P_cost,CC_P_loop,$C$38,CC_P_unit,"&gt;0")</f>
        <v>0</v>
      </c>
      <c r="J38" s="63" t="n">
        <f aca="false">SUMIFS(CC_P_net,CC_P_loop,$C$38,CC_P_unit,"&gt;0")</f>
        <v>0</v>
      </c>
      <c r="K38" s="63" t="n">
        <f aca="false">J38/QRate</f>
        <v>0</v>
      </c>
    </row>
    <row r="39" customFormat="false" ht="15" hidden="false" customHeight="false" outlineLevel="0" collapsed="false">
      <c r="B39" s="68" t="n">
        <v>18</v>
      </c>
      <c r="C39" s="13" t="str">
        <f aca="false">INDEX(CC_LoopU,18)</f>
        <v>Loop 18</v>
      </c>
      <c r="D39" s="68" t="n">
        <f aca="false">SUMPRODUCT((CC_P_loop=$C$39)*(CC_P_unit&gt;0)*ISNUMBER(CC_P_vol))</f>
        <v>0</v>
      </c>
      <c r="E39" s="69" t="n">
        <f aca="false">SUMIFS(CC_P_vol,CC_P_loop,$C$39,CC_P_unit,"&gt;0")</f>
        <v>0</v>
      </c>
      <c r="F39" s="69" t="n">
        <f aca="false">SUMIFS(CC_P_sol,CC_P_loop,$C$39,CC_P_unit,"&gt;0")</f>
        <v>0</v>
      </c>
      <c r="G39" s="69" t="n">
        <f aca="false">SUMIFS(CC_P_waste,CC_P_loop,$C$39,CC_P_unit,"&gt;0")</f>
        <v>0</v>
      </c>
      <c r="H39" s="62" t="n">
        <f aca="false">SUMIFS(CC_P_chem,CC_P_loop,$C$39,CC_P_unit,"&gt;0")</f>
        <v>0</v>
      </c>
      <c r="I39" s="62" t="n">
        <f aca="false">SUMIFS(CC_P_cost,CC_P_loop,$C$39,CC_P_unit,"&gt;0")</f>
        <v>0</v>
      </c>
      <c r="J39" s="63" t="n">
        <f aca="false">SUMIFS(CC_P_net,CC_P_loop,$C$39,CC_P_unit,"&gt;0")</f>
        <v>0</v>
      </c>
      <c r="K39" s="63" t="n">
        <f aca="false">J39/QRate</f>
        <v>0</v>
      </c>
    </row>
    <row r="40" customFormat="false" ht="15" hidden="false" customHeight="false" outlineLevel="0" collapsed="false">
      <c r="B40" s="68" t="n">
        <v>19</v>
      </c>
      <c r="C40" s="13" t="str">
        <f aca="false">INDEX(CC_LoopU,19)</f>
        <v>Loop 19</v>
      </c>
      <c r="D40" s="68" t="n">
        <f aca="false">SUMPRODUCT((CC_P_loop=$C$40)*(CC_P_unit&gt;0)*ISNUMBER(CC_P_vol))</f>
        <v>0</v>
      </c>
      <c r="E40" s="69" t="n">
        <f aca="false">SUMIFS(CC_P_vol,CC_P_loop,$C$40,CC_P_unit,"&gt;0")</f>
        <v>0</v>
      </c>
      <c r="F40" s="69" t="n">
        <f aca="false">SUMIFS(CC_P_sol,CC_P_loop,$C$40,CC_P_unit,"&gt;0")</f>
        <v>0</v>
      </c>
      <c r="G40" s="69" t="n">
        <f aca="false">SUMIFS(CC_P_waste,CC_P_loop,$C$40,CC_P_unit,"&gt;0")</f>
        <v>0</v>
      </c>
      <c r="H40" s="62" t="n">
        <f aca="false">SUMIFS(CC_P_chem,CC_P_loop,$C$40,CC_P_unit,"&gt;0")</f>
        <v>0</v>
      </c>
      <c r="I40" s="62" t="n">
        <f aca="false">SUMIFS(CC_P_cost,CC_P_loop,$C$40,CC_P_unit,"&gt;0")</f>
        <v>0</v>
      </c>
      <c r="J40" s="63" t="n">
        <f aca="false">SUMIFS(CC_P_net,CC_P_loop,$C$40,CC_P_unit,"&gt;0")</f>
        <v>0</v>
      </c>
      <c r="K40" s="63" t="n">
        <f aca="false">J40/QRate</f>
        <v>0</v>
      </c>
    </row>
    <row r="41" customFormat="false" ht="15" hidden="false" customHeight="false" outlineLevel="0" collapsed="false">
      <c r="B41" s="68" t="n">
        <v>20</v>
      </c>
      <c r="C41" s="13" t="str">
        <f aca="false">INDEX(CC_LoopU,20)</f>
        <v>Loop 20</v>
      </c>
      <c r="D41" s="68" t="n">
        <f aca="false">SUMPRODUCT((CC_P_loop=$C$41)*(CC_P_unit&gt;0)*ISNUMBER(CC_P_vol))</f>
        <v>0</v>
      </c>
      <c r="E41" s="69" t="n">
        <f aca="false">SUMIFS(CC_P_vol,CC_P_loop,$C$41,CC_P_unit,"&gt;0")</f>
        <v>0</v>
      </c>
      <c r="F41" s="69" t="n">
        <f aca="false">SUMIFS(CC_P_sol,CC_P_loop,$C$41,CC_P_unit,"&gt;0")</f>
        <v>0</v>
      </c>
      <c r="G41" s="69" t="n">
        <f aca="false">SUMIFS(CC_P_waste,CC_P_loop,$C$41,CC_P_unit,"&gt;0")</f>
        <v>0</v>
      </c>
      <c r="H41" s="62" t="n">
        <f aca="false">SUMIFS(CC_P_chem,CC_P_loop,$C$41,CC_P_unit,"&gt;0")</f>
        <v>0</v>
      </c>
      <c r="I41" s="62" t="n">
        <f aca="false">SUMIFS(CC_P_cost,CC_P_loop,$C$41,CC_P_unit,"&gt;0")</f>
        <v>0</v>
      </c>
      <c r="J41" s="63" t="n">
        <f aca="false">SUMIFS(CC_P_net,CC_P_loop,$C$41,CC_P_unit,"&gt;0")</f>
        <v>0</v>
      </c>
      <c r="K41" s="63" t="n">
        <f aca="false">J41/QRate</f>
        <v>0</v>
      </c>
    </row>
    <row r="42" customFormat="false" ht="15" hidden="false" customHeight="false" outlineLevel="0" collapsed="false">
      <c r="B42" s="68" t="n">
        <v>21</v>
      </c>
      <c r="C42" s="13" t="str">
        <f aca="false">INDEX(CC_LoopU,21)</f>
        <v>Loop 21</v>
      </c>
      <c r="D42" s="68" t="n">
        <f aca="false">SUMPRODUCT((CC_P_loop=$C$42)*(CC_P_unit&gt;0)*ISNUMBER(CC_P_vol))</f>
        <v>0</v>
      </c>
      <c r="E42" s="69" t="n">
        <f aca="false">SUMIFS(CC_P_vol,CC_P_loop,$C$42,CC_P_unit,"&gt;0")</f>
        <v>0</v>
      </c>
      <c r="F42" s="69" t="n">
        <f aca="false">SUMIFS(CC_P_sol,CC_P_loop,$C$42,CC_P_unit,"&gt;0")</f>
        <v>0</v>
      </c>
      <c r="G42" s="69" t="n">
        <f aca="false">SUMIFS(CC_P_waste,CC_P_loop,$C$42,CC_P_unit,"&gt;0")</f>
        <v>0</v>
      </c>
      <c r="H42" s="62" t="n">
        <f aca="false">SUMIFS(CC_P_chem,CC_P_loop,$C$42,CC_P_unit,"&gt;0")</f>
        <v>0</v>
      </c>
      <c r="I42" s="62" t="n">
        <f aca="false">SUMIFS(CC_P_cost,CC_P_loop,$C$42,CC_P_unit,"&gt;0")</f>
        <v>0</v>
      </c>
      <c r="J42" s="63" t="n">
        <f aca="false">SUMIFS(CC_P_net,CC_P_loop,$C$42,CC_P_unit,"&gt;0")</f>
        <v>0</v>
      </c>
      <c r="K42" s="63" t="n">
        <f aca="false">J42/QRate</f>
        <v>0</v>
      </c>
    </row>
    <row r="43" customFormat="false" ht="15" hidden="false" customHeight="false" outlineLevel="0" collapsed="false">
      <c r="B43" s="68" t="n">
        <v>22</v>
      </c>
      <c r="C43" s="13" t="str">
        <f aca="false">INDEX(CC_LoopU,22)</f>
        <v>Loop 22</v>
      </c>
      <c r="D43" s="68" t="n">
        <f aca="false">SUMPRODUCT((CC_P_loop=$C$43)*(CC_P_unit&gt;0)*ISNUMBER(CC_P_vol))</f>
        <v>0</v>
      </c>
      <c r="E43" s="69" t="n">
        <f aca="false">SUMIFS(CC_P_vol,CC_P_loop,$C$43,CC_P_unit,"&gt;0")</f>
        <v>0</v>
      </c>
      <c r="F43" s="69" t="n">
        <f aca="false">SUMIFS(CC_P_sol,CC_P_loop,$C$43,CC_P_unit,"&gt;0")</f>
        <v>0</v>
      </c>
      <c r="G43" s="69" t="n">
        <f aca="false">SUMIFS(CC_P_waste,CC_P_loop,$C$43,CC_P_unit,"&gt;0")</f>
        <v>0</v>
      </c>
      <c r="H43" s="62" t="n">
        <f aca="false">SUMIFS(CC_P_chem,CC_P_loop,$C$43,CC_P_unit,"&gt;0")</f>
        <v>0</v>
      </c>
      <c r="I43" s="62" t="n">
        <f aca="false">SUMIFS(CC_P_cost,CC_P_loop,$C$43,CC_P_unit,"&gt;0")</f>
        <v>0</v>
      </c>
      <c r="J43" s="63" t="n">
        <f aca="false">SUMIFS(CC_P_net,CC_P_loop,$C$43,CC_P_unit,"&gt;0")</f>
        <v>0</v>
      </c>
      <c r="K43" s="63" t="n">
        <f aca="false">J43/QRate</f>
        <v>0</v>
      </c>
    </row>
    <row r="44" customFormat="false" ht="15" hidden="false" customHeight="false" outlineLevel="0" collapsed="false">
      <c r="B44" s="68" t="n">
        <v>23</v>
      </c>
      <c r="C44" s="13" t="str">
        <f aca="false">INDEX(CC_LoopU,23)</f>
        <v>Loop 23</v>
      </c>
      <c r="D44" s="68" t="n">
        <f aca="false">SUMPRODUCT((CC_P_loop=$C$44)*(CC_P_unit&gt;0)*ISNUMBER(CC_P_vol))</f>
        <v>0</v>
      </c>
      <c r="E44" s="69" t="n">
        <f aca="false">SUMIFS(CC_P_vol,CC_P_loop,$C$44,CC_P_unit,"&gt;0")</f>
        <v>0</v>
      </c>
      <c r="F44" s="69" t="n">
        <f aca="false">SUMIFS(CC_P_sol,CC_P_loop,$C$44,CC_P_unit,"&gt;0")</f>
        <v>0</v>
      </c>
      <c r="G44" s="69" t="n">
        <f aca="false">SUMIFS(CC_P_waste,CC_P_loop,$C$44,CC_P_unit,"&gt;0")</f>
        <v>0</v>
      </c>
      <c r="H44" s="62" t="n">
        <f aca="false">SUMIFS(CC_P_chem,CC_P_loop,$C$44,CC_P_unit,"&gt;0")</f>
        <v>0</v>
      </c>
      <c r="I44" s="62" t="n">
        <f aca="false">SUMIFS(CC_P_cost,CC_P_loop,$C$44,CC_P_unit,"&gt;0")</f>
        <v>0</v>
      </c>
      <c r="J44" s="63" t="n">
        <f aca="false">SUMIFS(CC_P_net,CC_P_loop,$C$44,CC_P_unit,"&gt;0")</f>
        <v>0</v>
      </c>
      <c r="K44" s="63" t="n">
        <f aca="false">J44/QRate</f>
        <v>0</v>
      </c>
    </row>
    <row r="45" customFormat="false" ht="15" hidden="false" customHeight="false" outlineLevel="0" collapsed="false">
      <c r="B45" s="68" t="n">
        <v>24</v>
      </c>
      <c r="C45" s="13" t="str">
        <f aca="false">INDEX(CC_LoopU,24)</f>
        <v>Loop 24</v>
      </c>
      <c r="D45" s="68" t="n">
        <f aca="false">SUMPRODUCT((CC_P_loop=$C$45)*(CC_P_unit&gt;0)*ISNUMBER(CC_P_vol))</f>
        <v>0</v>
      </c>
      <c r="E45" s="69" t="n">
        <f aca="false">SUMIFS(CC_P_vol,CC_P_loop,$C$45,CC_P_unit,"&gt;0")</f>
        <v>0</v>
      </c>
      <c r="F45" s="69" t="n">
        <f aca="false">SUMIFS(CC_P_sol,CC_P_loop,$C$45,CC_P_unit,"&gt;0")</f>
        <v>0</v>
      </c>
      <c r="G45" s="69" t="n">
        <f aca="false">SUMIFS(CC_P_waste,CC_P_loop,$C$45,CC_P_unit,"&gt;0")</f>
        <v>0</v>
      </c>
      <c r="H45" s="62" t="n">
        <f aca="false">SUMIFS(CC_P_chem,CC_P_loop,$C$45,CC_P_unit,"&gt;0")</f>
        <v>0</v>
      </c>
      <c r="I45" s="62" t="n">
        <f aca="false">SUMIFS(CC_P_cost,CC_P_loop,$C$45,CC_P_unit,"&gt;0")</f>
        <v>0</v>
      </c>
      <c r="J45" s="63" t="n">
        <f aca="false">SUMIFS(CC_P_net,CC_P_loop,$C$45,CC_P_unit,"&gt;0")</f>
        <v>0</v>
      </c>
      <c r="K45" s="63" t="n">
        <f aca="false">J45/QRate</f>
        <v>0</v>
      </c>
    </row>
    <row r="46" customFormat="false" ht="15" hidden="false" customHeight="false" outlineLevel="0" collapsed="false">
      <c r="B46" s="68" t="n">
        <v>25</v>
      </c>
      <c r="C46" s="13" t="str">
        <f aca="false">INDEX(CC_LoopU,25)</f>
        <v>Loop 25</v>
      </c>
      <c r="D46" s="68" t="n">
        <f aca="false">SUMPRODUCT((CC_P_loop=$C$46)*(CC_P_unit&gt;0)*ISNUMBER(CC_P_vol))</f>
        <v>0</v>
      </c>
      <c r="E46" s="69" t="n">
        <f aca="false">SUMIFS(CC_P_vol,CC_P_loop,$C$46,CC_P_unit,"&gt;0")</f>
        <v>0</v>
      </c>
      <c r="F46" s="69" t="n">
        <f aca="false">SUMIFS(CC_P_sol,CC_P_loop,$C$46,CC_P_unit,"&gt;0")</f>
        <v>0</v>
      </c>
      <c r="G46" s="69" t="n">
        <f aca="false">SUMIFS(CC_P_waste,CC_P_loop,$C$46,CC_P_unit,"&gt;0")</f>
        <v>0</v>
      </c>
      <c r="H46" s="62" t="n">
        <f aca="false">SUMIFS(CC_P_chem,CC_P_loop,$C$46,CC_P_unit,"&gt;0")</f>
        <v>0</v>
      </c>
      <c r="I46" s="62" t="n">
        <f aca="false">SUMIFS(CC_P_cost,CC_P_loop,$C$46,CC_P_unit,"&gt;0")</f>
        <v>0</v>
      </c>
      <c r="J46" s="63" t="n">
        <f aca="false">SUMIFS(CC_P_net,CC_P_loop,$C$46,CC_P_unit,"&gt;0")</f>
        <v>0</v>
      </c>
      <c r="K46" s="63" t="n">
        <f aca="false">J46/QRate</f>
        <v>0</v>
      </c>
    </row>
    <row r="47" customFormat="false" ht="15" hidden="false" customHeight="false" outlineLevel="0" collapsed="false">
      <c r="B47" s="68" t="n">
        <v>26</v>
      </c>
      <c r="C47" s="13" t="str">
        <f aca="false">INDEX(CC_LoopU,26)</f>
        <v>Loop 26</v>
      </c>
      <c r="D47" s="68" t="n">
        <f aca="false">SUMPRODUCT((CC_P_loop=$C$47)*(CC_P_unit&gt;0)*ISNUMBER(CC_P_vol))</f>
        <v>0</v>
      </c>
      <c r="E47" s="69" t="n">
        <f aca="false">SUMIFS(CC_P_vol,CC_P_loop,$C$47,CC_P_unit,"&gt;0")</f>
        <v>0</v>
      </c>
      <c r="F47" s="69" t="n">
        <f aca="false">SUMIFS(CC_P_sol,CC_P_loop,$C$47,CC_P_unit,"&gt;0")</f>
        <v>0</v>
      </c>
      <c r="G47" s="69" t="n">
        <f aca="false">SUMIFS(CC_P_waste,CC_P_loop,$C$47,CC_P_unit,"&gt;0")</f>
        <v>0</v>
      </c>
      <c r="H47" s="62" t="n">
        <f aca="false">SUMIFS(CC_P_chem,CC_P_loop,$C$47,CC_P_unit,"&gt;0")</f>
        <v>0</v>
      </c>
      <c r="I47" s="62" t="n">
        <f aca="false">SUMIFS(CC_P_cost,CC_P_loop,$C$47,CC_P_unit,"&gt;0")</f>
        <v>0</v>
      </c>
      <c r="J47" s="63" t="n">
        <f aca="false">SUMIFS(CC_P_net,CC_P_loop,$C$47,CC_P_unit,"&gt;0")</f>
        <v>0</v>
      </c>
      <c r="K47" s="63" t="n">
        <f aca="false">J47/QRate</f>
        <v>0</v>
      </c>
    </row>
    <row r="48" customFormat="false" ht="15" hidden="false" customHeight="false" outlineLevel="0" collapsed="false">
      <c r="B48" s="68" t="n">
        <v>27</v>
      </c>
      <c r="C48" s="13" t="str">
        <f aca="false">INDEX(CC_LoopU,27)</f>
        <v>Loop 27</v>
      </c>
      <c r="D48" s="68" t="n">
        <f aca="false">SUMPRODUCT((CC_P_loop=$C$48)*(CC_P_unit&gt;0)*ISNUMBER(CC_P_vol))</f>
        <v>0</v>
      </c>
      <c r="E48" s="69" t="n">
        <f aca="false">SUMIFS(CC_P_vol,CC_P_loop,$C$48,CC_P_unit,"&gt;0")</f>
        <v>0</v>
      </c>
      <c r="F48" s="69" t="n">
        <f aca="false">SUMIFS(CC_P_sol,CC_P_loop,$C$48,CC_P_unit,"&gt;0")</f>
        <v>0</v>
      </c>
      <c r="G48" s="69" t="n">
        <f aca="false">SUMIFS(CC_P_waste,CC_P_loop,$C$48,CC_P_unit,"&gt;0")</f>
        <v>0</v>
      </c>
      <c r="H48" s="62" t="n">
        <f aca="false">SUMIFS(CC_P_chem,CC_P_loop,$C$48,CC_P_unit,"&gt;0")</f>
        <v>0</v>
      </c>
      <c r="I48" s="62" t="n">
        <f aca="false">SUMIFS(CC_P_cost,CC_P_loop,$C$48,CC_P_unit,"&gt;0")</f>
        <v>0</v>
      </c>
      <c r="J48" s="63" t="n">
        <f aca="false">SUMIFS(CC_P_net,CC_P_loop,$C$48,CC_P_unit,"&gt;0")</f>
        <v>0</v>
      </c>
      <c r="K48" s="63" t="n">
        <f aca="false">J48/QRate</f>
        <v>0</v>
      </c>
    </row>
    <row r="49" customFormat="false" ht="15" hidden="false" customHeight="false" outlineLevel="0" collapsed="false">
      <c r="B49" s="68" t="n">
        <v>28</v>
      </c>
      <c r="C49" s="13" t="str">
        <f aca="false">INDEX(CC_LoopU,28)</f>
        <v>Loop 28</v>
      </c>
      <c r="D49" s="68" t="n">
        <f aca="false">SUMPRODUCT((CC_P_loop=$C$49)*(CC_P_unit&gt;0)*ISNUMBER(CC_P_vol))</f>
        <v>0</v>
      </c>
      <c r="E49" s="69" t="n">
        <f aca="false">SUMIFS(CC_P_vol,CC_P_loop,$C$49,CC_P_unit,"&gt;0")</f>
        <v>0</v>
      </c>
      <c r="F49" s="69" t="n">
        <f aca="false">SUMIFS(CC_P_sol,CC_P_loop,$C$49,CC_P_unit,"&gt;0")</f>
        <v>0</v>
      </c>
      <c r="G49" s="69" t="n">
        <f aca="false">SUMIFS(CC_P_waste,CC_P_loop,$C$49,CC_P_unit,"&gt;0")</f>
        <v>0</v>
      </c>
      <c r="H49" s="62" t="n">
        <f aca="false">SUMIFS(CC_P_chem,CC_P_loop,$C$49,CC_P_unit,"&gt;0")</f>
        <v>0</v>
      </c>
      <c r="I49" s="62" t="n">
        <f aca="false">SUMIFS(CC_P_cost,CC_P_loop,$C$49,CC_P_unit,"&gt;0")</f>
        <v>0</v>
      </c>
      <c r="J49" s="63" t="n">
        <f aca="false">SUMIFS(CC_P_net,CC_P_loop,$C$49,CC_P_unit,"&gt;0")</f>
        <v>0</v>
      </c>
      <c r="K49" s="63" t="n">
        <f aca="false">J49/QRate</f>
        <v>0</v>
      </c>
    </row>
    <row r="50" customFormat="false" ht="15" hidden="false" customHeight="false" outlineLevel="0" collapsed="false">
      <c r="B50" s="68" t="n">
        <v>29</v>
      </c>
      <c r="C50" s="13" t="str">
        <f aca="false">INDEX(CC_LoopU,29)</f>
        <v>Loop 29</v>
      </c>
      <c r="D50" s="68" t="n">
        <f aca="false">SUMPRODUCT((CC_P_loop=$C$50)*(CC_P_unit&gt;0)*ISNUMBER(CC_P_vol))</f>
        <v>0</v>
      </c>
      <c r="E50" s="69" t="n">
        <f aca="false">SUMIFS(CC_P_vol,CC_P_loop,$C$50,CC_P_unit,"&gt;0")</f>
        <v>0</v>
      </c>
      <c r="F50" s="69" t="n">
        <f aca="false">SUMIFS(CC_P_sol,CC_P_loop,$C$50,CC_P_unit,"&gt;0")</f>
        <v>0</v>
      </c>
      <c r="G50" s="69" t="n">
        <f aca="false">SUMIFS(CC_P_waste,CC_P_loop,$C$50,CC_P_unit,"&gt;0")</f>
        <v>0</v>
      </c>
      <c r="H50" s="62" t="n">
        <f aca="false">SUMIFS(CC_P_chem,CC_P_loop,$C$50,CC_P_unit,"&gt;0")</f>
        <v>0</v>
      </c>
      <c r="I50" s="62" t="n">
        <f aca="false">SUMIFS(CC_P_cost,CC_P_loop,$C$50,CC_P_unit,"&gt;0")</f>
        <v>0</v>
      </c>
      <c r="J50" s="63" t="n">
        <f aca="false">SUMIFS(CC_P_net,CC_P_loop,$C$50,CC_P_unit,"&gt;0")</f>
        <v>0</v>
      </c>
      <c r="K50" s="63" t="n">
        <f aca="false">J50/QRate</f>
        <v>0</v>
      </c>
    </row>
    <row r="51" customFormat="false" ht="15" hidden="false" customHeight="false" outlineLevel="0" collapsed="false">
      <c r="B51" s="68" t="n">
        <v>30</v>
      </c>
      <c r="C51" s="13" t="str">
        <f aca="false">INDEX(CC_LoopU,30)</f>
        <v>Loop 30</v>
      </c>
      <c r="D51" s="68" t="n">
        <f aca="false">SUMPRODUCT((CC_P_loop=$C$51)*(CC_P_unit&gt;0)*ISNUMBER(CC_P_vol))</f>
        <v>0</v>
      </c>
      <c r="E51" s="69" t="n">
        <f aca="false">SUMIFS(CC_P_vol,CC_P_loop,$C$51,CC_P_unit,"&gt;0")</f>
        <v>0</v>
      </c>
      <c r="F51" s="69" t="n">
        <f aca="false">SUMIFS(CC_P_sol,CC_P_loop,$C$51,CC_P_unit,"&gt;0")</f>
        <v>0</v>
      </c>
      <c r="G51" s="69" t="n">
        <f aca="false">SUMIFS(CC_P_waste,CC_P_loop,$C$51,CC_P_unit,"&gt;0")</f>
        <v>0</v>
      </c>
      <c r="H51" s="62" t="n">
        <f aca="false">SUMIFS(CC_P_chem,CC_P_loop,$C$51,CC_P_unit,"&gt;0")</f>
        <v>0</v>
      </c>
      <c r="I51" s="62" t="n">
        <f aca="false">SUMIFS(CC_P_cost,CC_P_loop,$C$51,CC_P_unit,"&gt;0")</f>
        <v>0</v>
      </c>
      <c r="J51" s="63" t="n">
        <f aca="false">SUMIFS(CC_P_net,CC_P_loop,$C$51,CC_P_unit,"&gt;0")</f>
        <v>0</v>
      </c>
      <c r="K51" s="63" t="n">
        <f aca="false">J51/QRate</f>
        <v>0</v>
      </c>
    </row>
    <row r="52" customFormat="false" ht="15" hidden="false" customHeight="false" outlineLevel="0" collapsed="false">
      <c r="B52" s="68" t="n">
        <v>31</v>
      </c>
      <c r="C52" s="13" t="str">
        <f aca="false">INDEX(CC_LoopU,31)</f>
        <v>Loop 31</v>
      </c>
      <c r="D52" s="68" t="n">
        <f aca="false">SUMPRODUCT((CC_P_loop=$C$52)*(CC_P_unit&gt;0)*ISNUMBER(CC_P_vol))</f>
        <v>0</v>
      </c>
      <c r="E52" s="69" t="n">
        <f aca="false">SUMIFS(CC_P_vol,CC_P_loop,$C$52,CC_P_unit,"&gt;0")</f>
        <v>0</v>
      </c>
      <c r="F52" s="69" t="n">
        <f aca="false">SUMIFS(CC_P_sol,CC_P_loop,$C$52,CC_P_unit,"&gt;0")</f>
        <v>0</v>
      </c>
      <c r="G52" s="69" t="n">
        <f aca="false">SUMIFS(CC_P_waste,CC_P_loop,$C$52,CC_P_unit,"&gt;0")</f>
        <v>0</v>
      </c>
      <c r="H52" s="62" t="n">
        <f aca="false">SUMIFS(CC_P_chem,CC_P_loop,$C$52,CC_P_unit,"&gt;0")</f>
        <v>0</v>
      </c>
      <c r="I52" s="62" t="n">
        <f aca="false">SUMIFS(CC_P_cost,CC_P_loop,$C$52,CC_P_unit,"&gt;0")</f>
        <v>0</v>
      </c>
      <c r="J52" s="63" t="n">
        <f aca="false">SUMIFS(CC_P_net,CC_P_loop,$C$52,CC_P_unit,"&gt;0")</f>
        <v>0</v>
      </c>
      <c r="K52" s="63" t="n">
        <f aca="false">J52/QRate</f>
        <v>0</v>
      </c>
    </row>
    <row r="53" customFormat="false" ht="15" hidden="false" customHeight="false" outlineLevel="0" collapsed="false">
      <c r="B53" s="68" t="n">
        <v>32</v>
      </c>
      <c r="C53" s="13" t="str">
        <f aca="false">INDEX(CC_LoopU,32)</f>
        <v>Loop 32</v>
      </c>
      <c r="D53" s="68" t="n">
        <f aca="false">SUMPRODUCT((CC_P_loop=$C$53)*(CC_P_unit&gt;0)*ISNUMBER(CC_P_vol))</f>
        <v>0</v>
      </c>
      <c r="E53" s="69" t="n">
        <f aca="false">SUMIFS(CC_P_vol,CC_P_loop,$C$53,CC_P_unit,"&gt;0")</f>
        <v>0</v>
      </c>
      <c r="F53" s="69" t="n">
        <f aca="false">SUMIFS(CC_P_sol,CC_P_loop,$C$53,CC_P_unit,"&gt;0")</f>
        <v>0</v>
      </c>
      <c r="G53" s="69" t="n">
        <f aca="false">SUMIFS(CC_P_waste,CC_P_loop,$C$53,CC_P_unit,"&gt;0")</f>
        <v>0</v>
      </c>
      <c r="H53" s="62" t="n">
        <f aca="false">SUMIFS(CC_P_chem,CC_P_loop,$C$53,CC_P_unit,"&gt;0")</f>
        <v>0</v>
      </c>
      <c r="I53" s="62" t="n">
        <f aca="false">SUMIFS(CC_P_cost,CC_P_loop,$C$53,CC_P_unit,"&gt;0")</f>
        <v>0</v>
      </c>
      <c r="J53" s="63" t="n">
        <f aca="false">SUMIFS(CC_P_net,CC_P_loop,$C$53,CC_P_unit,"&gt;0")</f>
        <v>0</v>
      </c>
      <c r="K53" s="63" t="n">
        <f aca="false">J53/QRate</f>
        <v>0</v>
      </c>
    </row>
    <row r="54" customFormat="false" ht="15" hidden="false" customHeight="false" outlineLevel="0" collapsed="false">
      <c r="B54" s="68" t="n">
        <v>33</v>
      </c>
      <c r="C54" s="13" t="str">
        <f aca="false">INDEX(CC_LoopU,33)</f>
        <v>Loop 33</v>
      </c>
      <c r="D54" s="68" t="n">
        <f aca="false">SUMPRODUCT((CC_P_loop=$C$54)*(CC_P_unit&gt;0)*ISNUMBER(CC_P_vol))</f>
        <v>0</v>
      </c>
      <c r="E54" s="69" t="n">
        <f aca="false">SUMIFS(CC_P_vol,CC_P_loop,$C$54,CC_P_unit,"&gt;0")</f>
        <v>0</v>
      </c>
      <c r="F54" s="69" t="n">
        <f aca="false">SUMIFS(CC_P_sol,CC_P_loop,$C$54,CC_P_unit,"&gt;0")</f>
        <v>0</v>
      </c>
      <c r="G54" s="69" t="n">
        <f aca="false">SUMIFS(CC_P_waste,CC_P_loop,$C$54,CC_P_unit,"&gt;0")</f>
        <v>0</v>
      </c>
      <c r="H54" s="62" t="n">
        <f aca="false">SUMIFS(CC_P_chem,CC_P_loop,$C$54,CC_P_unit,"&gt;0")</f>
        <v>0</v>
      </c>
      <c r="I54" s="62" t="n">
        <f aca="false">SUMIFS(CC_P_cost,CC_P_loop,$C$54,CC_P_unit,"&gt;0")</f>
        <v>0</v>
      </c>
      <c r="J54" s="63" t="n">
        <f aca="false">SUMIFS(CC_P_net,CC_P_loop,$C$54,CC_P_unit,"&gt;0")</f>
        <v>0</v>
      </c>
      <c r="K54" s="63" t="n">
        <f aca="false">J54/QRate</f>
        <v>0</v>
      </c>
    </row>
    <row r="55" customFormat="false" ht="15" hidden="false" customHeight="false" outlineLevel="0" collapsed="false">
      <c r="B55" s="68" t="n">
        <v>34</v>
      </c>
      <c r="C55" s="13" t="str">
        <f aca="false">INDEX(CC_LoopU,34)</f>
        <v>Loop 34</v>
      </c>
      <c r="D55" s="68" t="n">
        <f aca="false">SUMPRODUCT((CC_P_loop=$C$55)*(CC_P_unit&gt;0)*ISNUMBER(CC_P_vol))</f>
        <v>0</v>
      </c>
      <c r="E55" s="69" t="n">
        <f aca="false">SUMIFS(CC_P_vol,CC_P_loop,$C$55,CC_P_unit,"&gt;0")</f>
        <v>0</v>
      </c>
      <c r="F55" s="69" t="n">
        <f aca="false">SUMIFS(CC_P_sol,CC_P_loop,$C$55,CC_P_unit,"&gt;0")</f>
        <v>0</v>
      </c>
      <c r="G55" s="69" t="n">
        <f aca="false">SUMIFS(CC_P_waste,CC_P_loop,$C$55,CC_P_unit,"&gt;0")</f>
        <v>0</v>
      </c>
      <c r="H55" s="62" t="n">
        <f aca="false">SUMIFS(CC_P_chem,CC_P_loop,$C$55,CC_P_unit,"&gt;0")</f>
        <v>0</v>
      </c>
      <c r="I55" s="62" t="n">
        <f aca="false">SUMIFS(CC_P_cost,CC_P_loop,$C$55,CC_P_unit,"&gt;0")</f>
        <v>0</v>
      </c>
      <c r="J55" s="63" t="n">
        <f aca="false">SUMIFS(CC_P_net,CC_P_loop,$C$55,CC_P_unit,"&gt;0")</f>
        <v>0</v>
      </c>
      <c r="K55" s="63" t="n">
        <f aca="false">J55/QRate</f>
        <v>0</v>
      </c>
    </row>
    <row r="56" customFormat="false" ht="15" hidden="false" customHeight="false" outlineLevel="0" collapsed="false">
      <c r="B56" s="68" t="n">
        <v>35</v>
      </c>
      <c r="C56" s="13" t="str">
        <f aca="false">INDEX(CC_LoopU,35)</f>
        <v>Loop 35</v>
      </c>
      <c r="D56" s="68" t="n">
        <f aca="false">SUMPRODUCT((CC_P_loop=$C$56)*(CC_P_unit&gt;0)*ISNUMBER(CC_P_vol))</f>
        <v>0</v>
      </c>
      <c r="E56" s="69" t="n">
        <f aca="false">SUMIFS(CC_P_vol,CC_P_loop,$C$56,CC_P_unit,"&gt;0")</f>
        <v>0</v>
      </c>
      <c r="F56" s="69" t="n">
        <f aca="false">SUMIFS(CC_P_sol,CC_P_loop,$C$56,CC_P_unit,"&gt;0")</f>
        <v>0</v>
      </c>
      <c r="G56" s="69" t="n">
        <f aca="false">SUMIFS(CC_P_waste,CC_P_loop,$C$56,CC_P_unit,"&gt;0")</f>
        <v>0</v>
      </c>
      <c r="H56" s="62" t="n">
        <f aca="false">SUMIFS(CC_P_chem,CC_P_loop,$C$56,CC_P_unit,"&gt;0")</f>
        <v>0</v>
      </c>
      <c r="I56" s="62" t="n">
        <f aca="false">SUMIFS(CC_P_cost,CC_P_loop,$C$56,CC_P_unit,"&gt;0")</f>
        <v>0</v>
      </c>
      <c r="J56" s="63" t="n">
        <f aca="false">SUMIFS(CC_P_net,CC_P_loop,$C$56,CC_P_unit,"&gt;0")</f>
        <v>0</v>
      </c>
      <c r="K56" s="63" t="n">
        <f aca="false">J56/QRate</f>
        <v>0</v>
      </c>
    </row>
    <row r="57" customFormat="false" ht="15" hidden="false" customHeight="false" outlineLevel="0" collapsed="false">
      <c r="B57" s="68" t="n">
        <v>36</v>
      </c>
      <c r="C57" s="13" t="str">
        <f aca="false">INDEX(CC_LoopU,36)</f>
        <v>Loop 36</v>
      </c>
      <c r="D57" s="68" t="n">
        <f aca="false">SUMPRODUCT((CC_P_loop=$C$57)*(CC_P_unit&gt;0)*ISNUMBER(CC_P_vol))</f>
        <v>0</v>
      </c>
      <c r="E57" s="69" t="n">
        <f aca="false">SUMIFS(CC_P_vol,CC_P_loop,$C$57,CC_P_unit,"&gt;0")</f>
        <v>0</v>
      </c>
      <c r="F57" s="69" t="n">
        <f aca="false">SUMIFS(CC_P_sol,CC_P_loop,$C$57,CC_P_unit,"&gt;0")</f>
        <v>0</v>
      </c>
      <c r="G57" s="69" t="n">
        <f aca="false">SUMIFS(CC_P_waste,CC_P_loop,$C$57,CC_P_unit,"&gt;0")</f>
        <v>0</v>
      </c>
      <c r="H57" s="62" t="n">
        <f aca="false">SUMIFS(CC_P_chem,CC_P_loop,$C$57,CC_P_unit,"&gt;0")</f>
        <v>0</v>
      </c>
      <c r="I57" s="62" t="n">
        <f aca="false">SUMIFS(CC_P_cost,CC_P_loop,$C$57,CC_P_unit,"&gt;0")</f>
        <v>0</v>
      </c>
      <c r="J57" s="63" t="n">
        <f aca="false">SUMIFS(CC_P_net,CC_P_loop,$C$57,CC_P_unit,"&gt;0")</f>
        <v>0</v>
      </c>
      <c r="K57" s="63" t="n">
        <f aca="false">J57/QRate</f>
        <v>0</v>
      </c>
    </row>
    <row r="58" customFormat="false" ht="15" hidden="false" customHeight="false" outlineLevel="0" collapsed="false">
      <c r="B58" s="68" t="n">
        <v>37</v>
      </c>
      <c r="C58" s="13" t="str">
        <f aca="false">INDEX(CC_LoopU,37)</f>
        <v>Loop 37</v>
      </c>
      <c r="D58" s="68" t="n">
        <f aca="false">SUMPRODUCT((CC_P_loop=$C$58)*(CC_P_unit&gt;0)*ISNUMBER(CC_P_vol))</f>
        <v>0</v>
      </c>
      <c r="E58" s="69" t="n">
        <f aca="false">SUMIFS(CC_P_vol,CC_P_loop,$C$58,CC_P_unit,"&gt;0")</f>
        <v>0</v>
      </c>
      <c r="F58" s="69" t="n">
        <f aca="false">SUMIFS(CC_P_sol,CC_P_loop,$C$58,CC_P_unit,"&gt;0")</f>
        <v>0</v>
      </c>
      <c r="G58" s="69" t="n">
        <f aca="false">SUMIFS(CC_P_waste,CC_P_loop,$C$58,CC_P_unit,"&gt;0")</f>
        <v>0</v>
      </c>
      <c r="H58" s="62" t="n">
        <f aca="false">SUMIFS(CC_P_chem,CC_P_loop,$C$58,CC_P_unit,"&gt;0")</f>
        <v>0</v>
      </c>
      <c r="I58" s="62" t="n">
        <f aca="false">SUMIFS(CC_P_cost,CC_P_loop,$C$58,CC_P_unit,"&gt;0")</f>
        <v>0</v>
      </c>
      <c r="J58" s="63" t="n">
        <f aca="false">SUMIFS(CC_P_net,CC_P_loop,$C$58,CC_P_unit,"&gt;0")</f>
        <v>0</v>
      </c>
      <c r="K58" s="63" t="n">
        <f aca="false">J58/QRate</f>
        <v>0</v>
      </c>
    </row>
    <row r="59" customFormat="false" ht="15" hidden="false" customHeight="false" outlineLevel="0" collapsed="false">
      <c r="B59" s="68" t="n">
        <v>38</v>
      </c>
      <c r="C59" s="13" t="str">
        <f aca="false">INDEX(CC_LoopU,38)</f>
        <v>Loop 38</v>
      </c>
      <c r="D59" s="68" t="n">
        <f aca="false">SUMPRODUCT((CC_P_loop=$C$59)*(CC_P_unit&gt;0)*ISNUMBER(CC_P_vol))</f>
        <v>0</v>
      </c>
      <c r="E59" s="69" t="n">
        <f aca="false">SUMIFS(CC_P_vol,CC_P_loop,$C$59,CC_P_unit,"&gt;0")</f>
        <v>0</v>
      </c>
      <c r="F59" s="69" t="n">
        <f aca="false">SUMIFS(CC_P_sol,CC_P_loop,$C$59,CC_P_unit,"&gt;0")</f>
        <v>0</v>
      </c>
      <c r="G59" s="69" t="n">
        <f aca="false">SUMIFS(CC_P_waste,CC_P_loop,$C$59,CC_P_unit,"&gt;0")</f>
        <v>0</v>
      </c>
      <c r="H59" s="62" t="n">
        <f aca="false">SUMIFS(CC_P_chem,CC_P_loop,$C$59,CC_P_unit,"&gt;0")</f>
        <v>0</v>
      </c>
      <c r="I59" s="62" t="n">
        <f aca="false">SUMIFS(CC_P_cost,CC_P_loop,$C$59,CC_P_unit,"&gt;0")</f>
        <v>0</v>
      </c>
      <c r="J59" s="63" t="n">
        <f aca="false">SUMIFS(CC_P_net,CC_P_loop,$C$59,CC_P_unit,"&gt;0")</f>
        <v>0</v>
      </c>
      <c r="K59" s="63" t="n">
        <f aca="false">J59/QRate</f>
        <v>0</v>
      </c>
    </row>
    <row r="60" customFormat="false" ht="15" hidden="false" customHeight="false" outlineLevel="0" collapsed="false">
      <c r="B60" s="68" t="n">
        <v>39</v>
      </c>
      <c r="C60" s="13" t="str">
        <f aca="false">INDEX(CC_LoopU,39)</f>
        <v>Loop 39</v>
      </c>
      <c r="D60" s="68" t="n">
        <f aca="false">SUMPRODUCT((CC_P_loop=$C$60)*(CC_P_unit&gt;0)*ISNUMBER(CC_P_vol))</f>
        <v>0</v>
      </c>
      <c r="E60" s="69" t="n">
        <f aca="false">SUMIFS(CC_P_vol,CC_P_loop,$C$60,CC_P_unit,"&gt;0")</f>
        <v>0</v>
      </c>
      <c r="F60" s="69" t="n">
        <f aca="false">SUMIFS(CC_P_sol,CC_P_loop,$C$60,CC_P_unit,"&gt;0")</f>
        <v>0</v>
      </c>
      <c r="G60" s="69" t="n">
        <f aca="false">SUMIFS(CC_P_waste,CC_P_loop,$C$60,CC_P_unit,"&gt;0")</f>
        <v>0</v>
      </c>
      <c r="H60" s="62" t="n">
        <f aca="false">SUMIFS(CC_P_chem,CC_P_loop,$C$60,CC_P_unit,"&gt;0")</f>
        <v>0</v>
      </c>
      <c r="I60" s="62" t="n">
        <f aca="false">SUMIFS(CC_P_cost,CC_P_loop,$C$60,CC_P_unit,"&gt;0")</f>
        <v>0</v>
      </c>
      <c r="J60" s="63" t="n">
        <f aca="false">SUMIFS(CC_P_net,CC_P_loop,$C$60,CC_P_unit,"&gt;0")</f>
        <v>0</v>
      </c>
      <c r="K60" s="63" t="n">
        <f aca="false">J60/QRate</f>
        <v>0</v>
      </c>
    </row>
    <row r="61" customFormat="false" ht="15" hidden="false" customHeight="false" outlineLevel="0" collapsed="false">
      <c r="B61" s="68" t="n">
        <v>40</v>
      </c>
      <c r="C61" s="13" t="str">
        <f aca="false">INDEX(CC_LoopU,40)</f>
        <v>Loop 40</v>
      </c>
      <c r="D61" s="68" t="n">
        <f aca="false">SUMPRODUCT((CC_P_loop=$C$61)*(CC_P_unit&gt;0)*ISNUMBER(CC_P_vol))</f>
        <v>0</v>
      </c>
      <c r="E61" s="69" t="n">
        <f aca="false">SUMIFS(CC_P_vol,CC_P_loop,$C$61,CC_P_unit,"&gt;0")</f>
        <v>0</v>
      </c>
      <c r="F61" s="69" t="n">
        <f aca="false">SUMIFS(CC_P_sol,CC_P_loop,$C$61,CC_P_unit,"&gt;0")</f>
        <v>0</v>
      </c>
      <c r="G61" s="69" t="n">
        <f aca="false">SUMIFS(CC_P_waste,CC_P_loop,$C$61,CC_P_unit,"&gt;0")</f>
        <v>0</v>
      </c>
      <c r="H61" s="62" t="n">
        <f aca="false">SUMIFS(CC_P_chem,CC_P_loop,$C$61,CC_P_unit,"&gt;0")</f>
        <v>0</v>
      </c>
      <c r="I61" s="62" t="n">
        <f aca="false">SUMIFS(CC_P_cost,CC_P_loop,$C$61,CC_P_unit,"&gt;0")</f>
        <v>0</v>
      </c>
      <c r="J61" s="63" t="n">
        <f aca="false">SUMIFS(CC_P_net,CC_P_loop,$C$61,CC_P_unit,"&gt;0")</f>
        <v>0</v>
      </c>
      <c r="K61" s="63" t="n">
        <f aca="false">J61/QRate</f>
        <v>0</v>
      </c>
    </row>
    <row r="62" customFormat="false" ht="15" hidden="false" customHeight="false" outlineLevel="0" collapsed="false">
      <c r="B62" s="68" t="s">
        <v>221</v>
      </c>
      <c r="C62" s="13" t="s">
        <v>516</v>
      </c>
      <c r="D62" s="68" t="n">
        <f aca="false">SUMPRODUCT((CC_P_loop="")*(CC_P_unit&gt;0)*ISNUMBER(CC_P_vol))</f>
        <v>1</v>
      </c>
      <c r="E62" s="69" t="n">
        <f aca="false">SUMIFS(CC_P_vol,CC_P_loop,"",CC_P_unit,"&gt;0")</f>
        <v>2.23750320965139</v>
      </c>
      <c r="F62" s="69" t="n">
        <f aca="false">SUMIFS(CC_P_sol,CC_P_loop,"",CC_P_unit,"&gt;0")</f>
        <v>2.5731286910991</v>
      </c>
      <c r="G62" s="69" t="n">
        <f aca="false">SUMIFS(CC_P_waste,CC_P_loop,"",CC_P_unit,"&gt;0")</f>
        <v>16.0820543193694</v>
      </c>
      <c r="H62" s="62" t="n">
        <f aca="false">SUMIFS(CC_P_chem,CC_P_loop,"",CC_P_unit,"&gt;0")</f>
        <v>1349.89481904885</v>
      </c>
      <c r="I62" s="62" t="n">
        <f aca="false">SUMIFS(CC_P_cost,CC_P_loop,"",CC_P_unit,"&gt;0")</f>
        <v>6013.69057166596</v>
      </c>
      <c r="J62" s="63" t="n">
        <f aca="false">SUMIFS(CC_P_net,CC_P_loop,"",CC_P_unit,"&gt;0")</f>
        <v>7817.79774316575</v>
      </c>
      <c r="K62" s="63" t="n">
        <f aca="false">J62/QRate</f>
        <v>7817.79774316575</v>
      </c>
    </row>
    <row r="63" customFormat="false" ht="15" hidden="false" customHeight="false" outlineLevel="0" collapsed="false">
      <c r="B63" s="72"/>
      <c r="C63" s="72" t="s">
        <v>416</v>
      </c>
      <c r="D63" s="72" t="n">
        <f aca="false">SUM(D22:D62)</f>
        <v>4</v>
      </c>
      <c r="E63" s="47" t="n">
        <f aca="false">SUM(E22:E62)</f>
        <v>53.5568784251653</v>
      </c>
      <c r="F63" s="47" t="n">
        <f aca="false">SUM(F22:F62)</f>
        <v>41.1176980630466</v>
      </c>
      <c r="G63" s="47" t="n">
        <f aca="false">SUM(G22:G62)</f>
        <v>256.985612894041</v>
      </c>
      <c r="H63" s="70" t="n">
        <f aca="false">SUM(H22:H62)</f>
        <v>15765.5637641572</v>
      </c>
      <c r="I63" s="70" t="n">
        <f aca="false">SUM(I22:I62)</f>
        <v>90291.3915034292</v>
      </c>
      <c r="J63" s="70" t="n">
        <f aca="false">SUM(J22:J62)</f>
        <v>117378.808954458</v>
      </c>
      <c r="K63" s="70" t="n">
        <f aca="false">SUM(K22:K62)</f>
        <v>117378.808954458</v>
      </c>
    </row>
  </sheetData>
  <mergeCells count="2">
    <mergeCell ref="B3:K3"/>
    <mergeCell ref="B20: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44"/>
    <col collapsed="false" customWidth="true" hidden="false" outlineLevel="0" max="4" min="4" style="0" width="18"/>
    <col collapsed="false" customWidth="true" hidden="false" outlineLevel="0" max="5" min="5" style="0" width="14"/>
    <col collapsed="false" customWidth="true" hidden="false" outlineLevel="0" max="6" min="6" style="0" width="20"/>
    <col collapsed="false" customWidth="true" hidden="false" outlineLevel="0" max="7" min="7" style="0" width="2"/>
  </cols>
  <sheetData>
    <row r="1" customFormat="false" ht="22.05" hidden="false" customHeight="false" outlineLevel="0" collapsed="false">
      <c r="B1" s="73" t="str">
        <f aca="false">UPPER(CoName)</f>
        <v>DELIGHT EQUIPMENT INTERNATIONAL L.L.C.</v>
      </c>
      <c r="C1" s="73"/>
      <c r="D1" s="73"/>
      <c r="E1" s="73"/>
      <c r="F1" s="73"/>
    </row>
    <row r="2" customFormat="false" ht="15" hidden="false" customHeight="false" outlineLevel="0" collapsed="false">
      <c r="B2" s="74" t="str">
        <f aca="false">CoTag</f>
        <v>MAINTENANCE SIMPLIFIED</v>
      </c>
      <c r="C2" s="74"/>
      <c r="D2" s="74"/>
      <c r="E2" s="74"/>
      <c r="F2" s="74"/>
    </row>
    <row r="3" customFormat="false" ht="15" hidden="false" customHeight="false" outlineLevel="0" collapsed="false">
      <c r="B3" s="75" t="str">
        <f aca="false">CoAddr</f>
        <v>P.O. Box 2932, Abu Dhabi, United Arab Emirates</v>
      </c>
      <c r="C3" s="75"/>
      <c r="D3" s="75"/>
      <c r="E3" s="75"/>
      <c r="F3" s="75"/>
    </row>
    <row r="4" customFormat="false" ht="15" hidden="false" customHeight="false" outlineLevel="0" collapsed="false">
      <c r="B4" s="75" t="str">
        <f aca="false">CoTel</f>
        <v>Tel: +971 2 5515641  |  Fax: +971 2 5515643</v>
      </c>
      <c r="C4" s="75"/>
      <c r="D4" s="75"/>
      <c r="E4" s="75"/>
      <c r="F4" s="75"/>
    </row>
    <row r="5" customFormat="false" ht="15" hidden="false" customHeight="false" outlineLevel="0" collapsed="false">
      <c r="B5" s="75" t="str">
        <f aca="false">CoWeb</f>
        <v>info@delightintl.ae  |  www.delightintl.ae</v>
      </c>
      <c r="C5" s="75"/>
      <c r="D5" s="75"/>
      <c r="E5" s="75"/>
      <c r="F5" s="75"/>
    </row>
    <row r="6" customFormat="false" ht="15" hidden="false" customHeight="false" outlineLevel="0" collapsed="false">
      <c r="B6" s="75" t="str">
        <f aca="false">CoCert</f>
        <v>ISO 9001 · ISO 14001 · ISO 45001</v>
      </c>
      <c r="C6" s="75"/>
      <c r="D6" s="75"/>
      <c r="E6" s="75"/>
      <c r="F6" s="75"/>
    </row>
    <row r="7" customFormat="false" ht="15" hidden="false" customHeight="false" outlineLevel="0" collapsed="false">
      <c r="B7" s="76"/>
      <c r="C7" s="76"/>
      <c r="D7" s="76"/>
      <c r="E7" s="76"/>
      <c r="F7" s="76"/>
    </row>
    <row r="9" customFormat="false" ht="17.35" hidden="false" customHeight="true" outlineLevel="0" collapsed="false">
      <c r="B9" s="77" t="s">
        <v>517</v>
      </c>
      <c r="C9" s="77"/>
      <c r="D9" s="77"/>
      <c r="E9" s="77"/>
      <c r="F9" s="77"/>
    </row>
    <row r="11" customFormat="false" ht="15" hidden="false" customHeight="false" outlineLevel="0" collapsed="false">
      <c r="B11" s="78" t="s">
        <v>3</v>
      </c>
      <c r="C11" s="79" t="str">
        <f aca="false">QNo&amp;IF(QRev="","","  Rev "&amp;QRev)</f>
        <v/>
      </c>
      <c r="E11" s="80" t="s">
        <v>5</v>
      </c>
      <c r="F11" s="81" t="str">
        <f aca="false">IF(QDate="","",QDate)</f>
        <v/>
      </c>
    </row>
    <row r="12" customFormat="false" ht="15" hidden="false" customHeight="false" outlineLevel="0" collapsed="false">
      <c r="B12" s="78" t="s">
        <v>6</v>
      </c>
      <c r="C12" s="79" t="str">
        <f aca="false">IF(QClient="","",QClient)</f>
        <v/>
      </c>
      <c r="E12" s="80" t="s">
        <v>15</v>
      </c>
      <c r="F12" s="79" t="str">
        <f aca="false">QCurr</f>
        <v>AED</v>
      </c>
    </row>
    <row r="13" customFormat="false" ht="15" hidden="false" customHeight="false" outlineLevel="0" collapsed="false">
      <c r="B13" s="78" t="s">
        <v>518</v>
      </c>
      <c r="C13" s="79" t="str">
        <f aca="false">IF(QAttn="","",QAttn)</f>
        <v/>
      </c>
      <c r="E13" s="80" t="s">
        <v>519</v>
      </c>
      <c r="F13" s="79" t="str">
        <f aca="false">IF(QRef="","",QRef)</f>
        <v/>
      </c>
    </row>
    <row r="14" customFormat="false" ht="15" hidden="false" customHeight="false" outlineLevel="0" collapsed="false">
      <c r="B14" s="78" t="s">
        <v>8</v>
      </c>
      <c r="C14" s="79" t="str">
        <f aca="false">IF(QProject="","",QProject)</f>
        <v/>
      </c>
      <c r="E14" s="80" t="s">
        <v>520</v>
      </c>
      <c r="F14" s="79" t="str">
        <f aca="false">IF(QLoc="","",QLoc)</f>
        <v/>
      </c>
    </row>
    <row r="16" customFormat="false" ht="30" hidden="false" customHeight="true" outlineLevel="0" collapsed="false">
      <c r="B16" s="82" t="s">
        <v>521</v>
      </c>
      <c r="C16" s="82"/>
      <c r="D16" s="82"/>
      <c r="E16" s="82"/>
      <c r="F16" s="82"/>
    </row>
    <row r="18" customFormat="false" ht="19.5" hidden="false" customHeight="true" outlineLevel="0" collapsed="false">
      <c r="B18" s="83" t="s">
        <v>522</v>
      </c>
      <c r="C18" s="83"/>
      <c r="D18" s="83"/>
      <c r="E18" s="83"/>
      <c r="F18" s="83"/>
    </row>
    <row r="19" customFormat="false" ht="15" hidden="false" customHeight="false" outlineLevel="0" collapsed="false">
      <c r="B19" s="84" t="str">
        <f aca="false">"Price before discount "&amp;"("&amp;QCurr&amp;")"</f>
        <v>Price before discount (AED)</v>
      </c>
      <c r="C19" s="84"/>
      <c r="D19" s="84"/>
      <c r="E19" s="85" t="n">
        <f aca="false">CC_PriceGross/QRate</f>
        <v>117378.808954458</v>
      </c>
      <c r="F19" s="85"/>
    </row>
    <row r="20" customFormat="false" ht="15" hidden="false" customHeight="false" outlineLevel="0" collapsed="false">
      <c r="B20" s="84" t="str">
        <f aca="false">"Discount "&amp;"("&amp;QCurr&amp;")"</f>
        <v>Discount (AED)</v>
      </c>
      <c r="C20" s="84"/>
      <c r="D20" s="84"/>
      <c r="E20" s="85" t="n">
        <f aca="false">CC_Discount/QRate</f>
        <v>-0</v>
      </c>
      <c r="F20" s="85"/>
    </row>
    <row r="21" customFormat="false" ht="15" hidden="false" customHeight="false" outlineLevel="0" collapsed="false">
      <c r="B21" s="86" t="str">
        <f aca="false">"TOTAL PRICE EXCL. VAT "&amp;"("&amp;QCurr&amp;")"</f>
        <v>TOTAL PRICE EXCL. VAT (AED)</v>
      </c>
      <c r="C21" s="86"/>
      <c r="D21" s="86"/>
      <c r="E21" s="87" t="n">
        <f aca="false">CC_Net/QRate</f>
        <v>117378.808954458</v>
      </c>
      <c r="F21" s="87"/>
    </row>
    <row r="22" customFormat="false" ht="15" hidden="false" customHeight="false" outlineLevel="0" collapsed="false">
      <c r="B22" s="84" t="str">
        <f aca="false">"VAT @ "&amp;TEXT(QVAT,"0%")</f>
        <v>VAT @ 5%</v>
      </c>
      <c r="C22" s="84"/>
      <c r="D22" s="84"/>
      <c r="E22" s="85" t="n">
        <f aca="false">CC_Net/QRate*N(QVAT)</f>
        <v>5868.9404477229</v>
      </c>
      <c r="F22" s="85"/>
    </row>
    <row r="23" customFormat="false" ht="15" hidden="false" customHeight="false" outlineLevel="0" collapsed="false">
      <c r="B23" s="86" t="str">
        <f aca="false">"TOTAL PRICE INCL. VAT "&amp;"("&amp;QCurr&amp;")"</f>
        <v>TOTAL PRICE INCL. VAT (AED)</v>
      </c>
      <c r="C23" s="86"/>
      <c r="D23" s="86"/>
      <c r="E23" s="87" t="n">
        <f aca="false">CC_Net/QRate*(1+N(QVAT))</f>
        <v>123247.749402181</v>
      </c>
      <c r="F23" s="87"/>
    </row>
    <row r="25" customFormat="false" ht="19.5" hidden="false" customHeight="true" outlineLevel="0" collapsed="false">
      <c r="B25" s="83" t="s">
        <v>523</v>
      </c>
      <c r="C25" s="83"/>
      <c r="D25" s="83"/>
      <c r="E25" s="83"/>
      <c r="F25" s="83"/>
    </row>
    <row r="26" customFormat="false" ht="27.75" hidden="false" customHeight="true" outlineLevel="0" collapsed="false">
      <c r="B26" s="88" t="s">
        <v>60</v>
      </c>
      <c r="C26" s="82" t="str">
        <f aca="false">IF(QTValidity="","–",QTValidity)</f>
        <v>–</v>
      </c>
      <c r="D26" s="82"/>
      <c r="E26" s="82"/>
      <c r="F26" s="82"/>
    </row>
    <row r="27" customFormat="false" ht="27.75" hidden="false" customHeight="true" outlineLevel="0" collapsed="false">
      <c r="B27" s="88" t="s">
        <v>61</v>
      </c>
      <c r="C27" s="82" t="str">
        <f aca="false">IF(QTPayment="","–",QTPayment)</f>
        <v>–</v>
      </c>
      <c r="D27" s="82"/>
      <c r="E27" s="82"/>
      <c r="F27" s="82"/>
    </row>
    <row r="28" customFormat="false" ht="27.75" hidden="false" customHeight="true" outlineLevel="0" collapsed="false">
      <c r="B28" s="88" t="s">
        <v>524</v>
      </c>
      <c r="C28" s="82" t="str">
        <f aca="false">IF(QTMob="","–",QTMob)</f>
        <v>–</v>
      </c>
      <c r="D28" s="82"/>
      <c r="E28" s="82"/>
      <c r="F28" s="82"/>
    </row>
    <row r="29" customFormat="false" ht="27.75" hidden="false" customHeight="true" outlineLevel="0" collapsed="false">
      <c r="B29" s="88" t="s">
        <v>63</v>
      </c>
      <c r="C29" s="82" t="str">
        <f aca="false">IF(QTExcl="","–",QTExcl)</f>
        <v>–</v>
      </c>
      <c r="D29" s="82"/>
      <c r="E29" s="82"/>
      <c r="F29" s="82"/>
    </row>
    <row r="30" customFormat="false" ht="27.75" hidden="false" customHeight="true" outlineLevel="0" collapsed="false">
      <c r="B30" s="88" t="s">
        <v>525</v>
      </c>
      <c r="C30" s="82" t="str">
        <f aca="false">IF(QTClient="","–",QTClient)</f>
        <v>–</v>
      </c>
      <c r="D30" s="82"/>
      <c r="E30" s="82"/>
      <c r="F30" s="82"/>
    </row>
    <row r="31" customFormat="false" ht="27.75" hidden="false" customHeight="true" outlineLevel="0" collapsed="false">
      <c r="B31" s="88" t="s">
        <v>461</v>
      </c>
      <c r="C31" s="82" t="str">
        <f aca="false">IF(QTNotes="","–",QTNotes)</f>
        <v>–</v>
      </c>
      <c r="D31" s="82"/>
      <c r="E31" s="82"/>
      <c r="F31" s="82"/>
    </row>
    <row r="33" customFormat="false" ht="15" hidden="false" customHeight="false" outlineLevel="0" collapsed="false">
      <c r="B33" s="89" t="s">
        <v>526</v>
      </c>
    </row>
    <row r="34" customFormat="false" ht="15" hidden="false" customHeight="false" outlineLevel="0" collapsed="false">
      <c r="B34" s="78" t="str">
        <f aca="false">CoName</f>
        <v>Delight Equipment International L.L.C.</v>
      </c>
    </row>
    <row r="36" customFormat="false" ht="15" hidden="false" customHeight="false" outlineLevel="0" collapsed="false">
      <c r="B36" s="89" t="str">
        <f aca="false">IF(QPrep="","",QPrep)</f>
        <v/>
      </c>
    </row>
    <row r="39" customFormat="false" ht="19.5" hidden="false" customHeight="true" outlineLevel="0" collapsed="false">
      <c r="B39" s="83" t="s">
        <v>527</v>
      </c>
      <c r="C39" s="83"/>
      <c r="D39" s="83"/>
      <c r="E39" s="83"/>
      <c r="F39" s="83"/>
      <c r="H39" s="10" t="s">
        <v>528</v>
      </c>
      <c r="I39" s="10" t="n">
        <f aca="false">CC_NItems</f>
        <v>4</v>
      </c>
    </row>
    <row r="40" customFormat="false" ht="15" hidden="false" customHeight="false" outlineLevel="0" collapsed="false">
      <c r="B40" s="90" t="s">
        <v>172</v>
      </c>
      <c r="C40" s="90" t="s">
        <v>490</v>
      </c>
      <c r="D40" s="90" t="s">
        <v>512</v>
      </c>
      <c r="E40" s="90" t="s">
        <v>529</v>
      </c>
      <c r="F40" s="90" t="str">
        <f aca="false">"Price ("&amp;QCurr&amp;")"</f>
        <v>Price (AED)</v>
      </c>
    </row>
    <row r="41" customFormat="false" ht="15" hidden="false" customHeight="false" outlineLevel="0" collapsed="false">
      <c r="B41" s="91" t="n">
        <f aca="false">IF('CC Alloc'!R4="","",1)</f>
        <v>1</v>
      </c>
      <c r="C41" s="92" t="str">
        <f aca="false">'CC Alloc'!R4</f>
        <v>EXAMPLE ML-1 – Piping loop – volume given (ASAB ML-1)</v>
      </c>
      <c r="D41" s="93" t="str">
        <f aca="false">'CC Alloc'!S4</f>
        <v>Unit 1</v>
      </c>
      <c r="E41" s="94" t="n">
        <f aca="false">'CC Alloc'!T4</f>
        <v>27.115</v>
      </c>
      <c r="F41" s="95" t="n">
        <f aca="false">IF('CC Alloc'!U4="","",'CC Alloc'!U4/QRate)</f>
        <v>88633.9865125</v>
      </c>
    </row>
    <row r="42" customFormat="false" ht="15" hidden="false" customHeight="false" outlineLevel="0" collapsed="false">
      <c r="B42" s="91" t="n">
        <f aca="false">IF('CC Alloc'!R5="","",2)</f>
        <v>2</v>
      </c>
      <c r="C42" s="92" t="str">
        <f aca="false">'CC Alloc'!R5</f>
        <v>EXAMPLE V-101 – Vertical vessel (dimensions)</v>
      </c>
      <c r="D42" s="93" t="str">
        <f aca="false">'CC Alloc'!S5</f>
        <v>Unit 1</v>
      </c>
      <c r="E42" s="94" t="n">
        <f aca="false">'CC Alloc'!T5</f>
        <v>20.943951023932</v>
      </c>
      <c r="F42" s="95" t="n">
        <f aca="false">IF('CC Alloc'!U5="","",'CC Alloc'!U5/QRate)</f>
        <v>10269.2930439258</v>
      </c>
    </row>
    <row r="43" customFormat="false" ht="15" hidden="false" customHeight="false" outlineLevel="0" collapsed="false">
      <c r="B43" s="91" t="n">
        <f aca="false">IF('CC Alloc'!R6="","",3)</f>
        <v>3</v>
      </c>
      <c r="C43" s="92" t="str">
        <f aca="false">'CC Alloc'!R6</f>
        <v>EXAMPLE E-101 – Shell &amp; tube exchanger</v>
      </c>
      <c r="D43" s="93" t="str">
        <f aca="false">'CC Alloc'!S6</f>
        <v>Unit 1</v>
      </c>
      <c r="E43" s="94" t="n">
        <f aca="false">'CC Alloc'!T6</f>
        <v>3.26042419158197</v>
      </c>
      <c r="F43" s="95" t="n">
        <f aca="false">IF('CC Alloc'!U6="","",'CC Alloc'!U6/QRate)</f>
        <v>10657.7316548665</v>
      </c>
    </row>
    <row r="44" customFormat="false" ht="15" hidden="false" customHeight="false" outlineLevel="0" collapsed="false">
      <c r="B44" s="91" t="n">
        <f aca="false">IF('CC Alloc'!R7="","",4)</f>
        <v>4</v>
      </c>
      <c r="C44" s="92" t="str">
        <f aca="false">'CC Alloc'!R7</f>
        <v>EXAMPLE 6"-P-1001 – Line from isometric</v>
      </c>
      <c r="D44" s="93" t="str">
        <f aca="false">'CC Alloc'!S7</f>
        <v>Unit 1</v>
      </c>
      <c r="E44" s="94" t="n">
        <f aca="false">'CC Alloc'!T7</f>
        <v>2.23750320965139</v>
      </c>
      <c r="F44" s="95" t="n">
        <f aca="false">IF('CC Alloc'!U7="","",'CC Alloc'!U7/QRate)</f>
        <v>7817.79774316575</v>
      </c>
    </row>
    <row r="45" customFormat="false" ht="15" hidden="false" customHeight="false" outlineLevel="0" collapsed="false">
      <c r="B45" s="91" t="str">
        <f aca="false">IF('CC Alloc'!R8="","",5)</f>
        <v/>
      </c>
      <c r="C45" s="92" t="str">
        <f aca="false">'CC Alloc'!R8</f>
        <v/>
      </c>
      <c r="D45" s="93" t="str">
        <f aca="false">'CC Alloc'!S8</f>
        <v/>
      </c>
      <c r="E45" s="94" t="str">
        <f aca="false">'CC Alloc'!T8</f>
        <v/>
      </c>
      <c r="F45" s="95" t="str">
        <f aca="false">IF('CC Alloc'!U8="","",'CC Alloc'!U8/QRate)</f>
        <v/>
      </c>
    </row>
    <row r="46" customFormat="false" ht="15" hidden="false" customHeight="false" outlineLevel="0" collapsed="false">
      <c r="B46" s="91" t="str">
        <f aca="false">IF('CC Alloc'!R9="","",6)</f>
        <v/>
      </c>
      <c r="C46" s="92" t="str">
        <f aca="false">'CC Alloc'!R9</f>
        <v/>
      </c>
      <c r="D46" s="93" t="str">
        <f aca="false">'CC Alloc'!S9</f>
        <v/>
      </c>
      <c r="E46" s="94" t="str">
        <f aca="false">'CC Alloc'!T9</f>
        <v/>
      </c>
      <c r="F46" s="95" t="str">
        <f aca="false">IF('CC Alloc'!U9="","",'CC Alloc'!U9/QRate)</f>
        <v/>
      </c>
    </row>
    <row r="47" customFormat="false" ht="15" hidden="false" customHeight="false" outlineLevel="0" collapsed="false">
      <c r="B47" s="91" t="str">
        <f aca="false">IF('CC Alloc'!R10="","",7)</f>
        <v/>
      </c>
      <c r="C47" s="92" t="str">
        <f aca="false">'CC Alloc'!R10</f>
        <v/>
      </c>
      <c r="D47" s="93" t="str">
        <f aca="false">'CC Alloc'!S10</f>
        <v/>
      </c>
      <c r="E47" s="94" t="str">
        <f aca="false">'CC Alloc'!T10</f>
        <v/>
      </c>
      <c r="F47" s="95" t="str">
        <f aca="false">IF('CC Alloc'!U10="","",'CC Alloc'!U10/QRate)</f>
        <v/>
      </c>
    </row>
    <row r="48" customFormat="false" ht="15" hidden="false" customHeight="false" outlineLevel="0" collapsed="false">
      <c r="B48" s="91" t="str">
        <f aca="false">IF('CC Alloc'!R11="","",8)</f>
        <v/>
      </c>
      <c r="C48" s="92" t="str">
        <f aca="false">'CC Alloc'!R11</f>
        <v/>
      </c>
      <c r="D48" s="93" t="str">
        <f aca="false">'CC Alloc'!S11</f>
        <v/>
      </c>
      <c r="E48" s="94" t="str">
        <f aca="false">'CC Alloc'!T11</f>
        <v/>
      </c>
      <c r="F48" s="95" t="str">
        <f aca="false">IF('CC Alloc'!U11="","",'CC Alloc'!U11/QRate)</f>
        <v/>
      </c>
    </row>
    <row r="49" customFormat="false" ht="15" hidden="false" customHeight="false" outlineLevel="0" collapsed="false">
      <c r="B49" s="91" t="str">
        <f aca="false">IF('CC Alloc'!R12="","",9)</f>
        <v/>
      </c>
      <c r="C49" s="92" t="str">
        <f aca="false">'CC Alloc'!R12</f>
        <v/>
      </c>
      <c r="D49" s="93" t="str">
        <f aca="false">'CC Alloc'!S12</f>
        <v/>
      </c>
      <c r="E49" s="94" t="str">
        <f aca="false">'CC Alloc'!T12</f>
        <v/>
      </c>
      <c r="F49" s="95" t="str">
        <f aca="false">IF('CC Alloc'!U12="","",'CC Alloc'!U12/QRate)</f>
        <v/>
      </c>
    </row>
    <row r="50" customFormat="false" ht="15" hidden="false" customHeight="false" outlineLevel="0" collapsed="false">
      <c r="B50" s="91" t="str">
        <f aca="false">IF('CC Alloc'!R13="","",10)</f>
        <v/>
      </c>
      <c r="C50" s="92" t="str">
        <f aca="false">'CC Alloc'!R13</f>
        <v/>
      </c>
      <c r="D50" s="93" t="str">
        <f aca="false">'CC Alloc'!S13</f>
        <v/>
      </c>
      <c r="E50" s="94" t="str">
        <f aca="false">'CC Alloc'!T13</f>
        <v/>
      </c>
      <c r="F50" s="95" t="str">
        <f aca="false">IF('CC Alloc'!U13="","",'CC Alloc'!U13/QRate)</f>
        <v/>
      </c>
    </row>
    <row r="51" customFormat="false" ht="15" hidden="false" customHeight="false" outlineLevel="0" collapsed="false">
      <c r="B51" s="91" t="str">
        <f aca="false">IF('CC Alloc'!R14="","",11)</f>
        <v/>
      </c>
      <c r="C51" s="92" t="str">
        <f aca="false">'CC Alloc'!R14</f>
        <v/>
      </c>
      <c r="D51" s="93" t="str">
        <f aca="false">'CC Alloc'!S14</f>
        <v/>
      </c>
      <c r="E51" s="94" t="str">
        <f aca="false">'CC Alloc'!T14</f>
        <v/>
      </c>
      <c r="F51" s="95" t="str">
        <f aca="false">IF('CC Alloc'!U14="","",'CC Alloc'!U14/QRate)</f>
        <v/>
      </c>
    </row>
    <row r="52" customFormat="false" ht="15" hidden="false" customHeight="false" outlineLevel="0" collapsed="false">
      <c r="B52" s="91" t="str">
        <f aca="false">IF('CC Alloc'!R15="","",12)</f>
        <v/>
      </c>
      <c r="C52" s="92" t="str">
        <f aca="false">'CC Alloc'!R15</f>
        <v/>
      </c>
      <c r="D52" s="93" t="str">
        <f aca="false">'CC Alloc'!S15</f>
        <v/>
      </c>
      <c r="E52" s="94" t="str">
        <f aca="false">'CC Alloc'!T15</f>
        <v/>
      </c>
      <c r="F52" s="95" t="str">
        <f aca="false">IF('CC Alloc'!U15="","",'CC Alloc'!U15/QRate)</f>
        <v/>
      </c>
    </row>
    <row r="53" customFormat="false" ht="15" hidden="false" customHeight="false" outlineLevel="0" collapsed="false">
      <c r="B53" s="91" t="str">
        <f aca="false">IF('CC Alloc'!R16="","",13)</f>
        <v/>
      </c>
      <c r="C53" s="92" t="str">
        <f aca="false">'CC Alloc'!R16</f>
        <v/>
      </c>
      <c r="D53" s="93" t="str">
        <f aca="false">'CC Alloc'!S16</f>
        <v/>
      </c>
      <c r="E53" s="94" t="str">
        <f aca="false">'CC Alloc'!T16</f>
        <v/>
      </c>
      <c r="F53" s="95" t="str">
        <f aca="false">IF('CC Alloc'!U16="","",'CC Alloc'!U16/QRate)</f>
        <v/>
      </c>
    </row>
    <row r="54" customFormat="false" ht="15" hidden="false" customHeight="false" outlineLevel="0" collapsed="false">
      <c r="B54" s="91" t="str">
        <f aca="false">IF('CC Alloc'!R17="","",14)</f>
        <v/>
      </c>
      <c r="C54" s="92" t="str">
        <f aca="false">'CC Alloc'!R17</f>
        <v/>
      </c>
      <c r="D54" s="93" t="str">
        <f aca="false">'CC Alloc'!S17</f>
        <v/>
      </c>
      <c r="E54" s="94" t="str">
        <f aca="false">'CC Alloc'!T17</f>
        <v/>
      </c>
      <c r="F54" s="95" t="str">
        <f aca="false">IF('CC Alloc'!U17="","",'CC Alloc'!U17/QRate)</f>
        <v/>
      </c>
    </row>
    <row r="55" customFormat="false" ht="15" hidden="false" customHeight="false" outlineLevel="0" collapsed="false">
      <c r="B55" s="91" t="str">
        <f aca="false">IF('CC Alloc'!R18="","",15)</f>
        <v/>
      </c>
      <c r="C55" s="92" t="str">
        <f aca="false">'CC Alloc'!R18</f>
        <v/>
      </c>
      <c r="D55" s="93" t="str">
        <f aca="false">'CC Alloc'!S18</f>
        <v/>
      </c>
      <c r="E55" s="94" t="str">
        <f aca="false">'CC Alloc'!T18</f>
        <v/>
      </c>
      <c r="F55" s="95" t="str">
        <f aca="false">IF('CC Alloc'!U18="","",'CC Alloc'!U18/QRate)</f>
        <v/>
      </c>
    </row>
    <row r="56" customFormat="false" ht="15" hidden="false" customHeight="false" outlineLevel="0" collapsed="false">
      <c r="B56" s="91" t="str">
        <f aca="false">IF('CC Alloc'!R19="","",16)</f>
        <v/>
      </c>
      <c r="C56" s="92" t="str">
        <f aca="false">'CC Alloc'!R19</f>
        <v/>
      </c>
      <c r="D56" s="93" t="str">
        <f aca="false">'CC Alloc'!S19</f>
        <v/>
      </c>
      <c r="E56" s="94" t="str">
        <f aca="false">'CC Alloc'!T19</f>
        <v/>
      </c>
      <c r="F56" s="95" t="str">
        <f aca="false">IF('CC Alloc'!U19="","",'CC Alloc'!U19/QRate)</f>
        <v/>
      </c>
    </row>
    <row r="57" customFormat="false" ht="15" hidden="false" customHeight="false" outlineLevel="0" collapsed="false">
      <c r="B57" s="91" t="str">
        <f aca="false">IF('CC Alloc'!R20="","",17)</f>
        <v/>
      </c>
      <c r="C57" s="92" t="str">
        <f aca="false">'CC Alloc'!R20</f>
        <v/>
      </c>
      <c r="D57" s="93" t="str">
        <f aca="false">'CC Alloc'!S20</f>
        <v/>
      </c>
      <c r="E57" s="94" t="str">
        <f aca="false">'CC Alloc'!T20</f>
        <v/>
      </c>
      <c r="F57" s="95" t="str">
        <f aca="false">IF('CC Alloc'!U20="","",'CC Alloc'!U20/QRate)</f>
        <v/>
      </c>
    </row>
    <row r="58" customFormat="false" ht="15" hidden="false" customHeight="false" outlineLevel="0" collapsed="false">
      <c r="B58" s="91" t="str">
        <f aca="false">IF('CC Alloc'!R21="","",18)</f>
        <v/>
      </c>
      <c r="C58" s="92" t="str">
        <f aca="false">'CC Alloc'!R21</f>
        <v/>
      </c>
      <c r="D58" s="93" t="str">
        <f aca="false">'CC Alloc'!S21</f>
        <v/>
      </c>
      <c r="E58" s="94" t="str">
        <f aca="false">'CC Alloc'!T21</f>
        <v/>
      </c>
      <c r="F58" s="95" t="str">
        <f aca="false">IF('CC Alloc'!U21="","",'CC Alloc'!U21/QRate)</f>
        <v/>
      </c>
    </row>
    <row r="59" customFormat="false" ht="15" hidden="false" customHeight="false" outlineLevel="0" collapsed="false">
      <c r="B59" s="91" t="str">
        <f aca="false">IF('CC Alloc'!R22="","",19)</f>
        <v/>
      </c>
      <c r="C59" s="92" t="str">
        <f aca="false">'CC Alloc'!R22</f>
        <v/>
      </c>
      <c r="D59" s="93" t="str">
        <f aca="false">'CC Alloc'!S22</f>
        <v/>
      </c>
      <c r="E59" s="94" t="str">
        <f aca="false">'CC Alloc'!T22</f>
        <v/>
      </c>
      <c r="F59" s="95" t="str">
        <f aca="false">IF('CC Alloc'!U22="","",'CC Alloc'!U22/QRate)</f>
        <v/>
      </c>
    </row>
    <row r="60" customFormat="false" ht="15" hidden="false" customHeight="false" outlineLevel="0" collapsed="false">
      <c r="B60" s="91" t="str">
        <f aca="false">IF('CC Alloc'!R23="","",20)</f>
        <v/>
      </c>
      <c r="C60" s="92" t="str">
        <f aca="false">'CC Alloc'!R23</f>
        <v/>
      </c>
      <c r="D60" s="93" t="str">
        <f aca="false">'CC Alloc'!S23</f>
        <v/>
      </c>
      <c r="E60" s="94" t="str">
        <f aca="false">'CC Alloc'!T23</f>
        <v/>
      </c>
      <c r="F60" s="95" t="str">
        <f aca="false">IF('CC Alloc'!U23="","",'CC Alloc'!U23/QRate)</f>
        <v/>
      </c>
    </row>
    <row r="61" customFormat="false" ht="15" hidden="false" customHeight="false" outlineLevel="0" collapsed="false">
      <c r="B61" s="91" t="str">
        <f aca="false">IF('CC Alloc'!R24="","",21)</f>
        <v/>
      </c>
      <c r="C61" s="92" t="str">
        <f aca="false">'CC Alloc'!R24</f>
        <v/>
      </c>
      <c r="D61" s="93" t="str">
        <f aca="false">'CC Alloc'!S24</f>
        <v/>
      </c>
      <c r="E61" s="94" t="str">
        <f aca="false">'CC Alloc'!T24</f>
        <v/>
      </c>
      <c r="F61" s="95" t="str">
        <f aca="false">IF('CC Alloc'!U24="","",'CC Alloc'!U24/QRate)</f>
        <v/>
      </c>
    </row>
    <row r="62" customFormat="false" ht="15" hidden="false" customHeight="false" outlineLevel="0" collapsed="false">
      <c r="B62" s="91" t="str">
        <f aca="false">IF('CC Alloc'!R25="","",22)</f>
        <v/>
      </c>
      <c r="C62" s="92" t="str">
        <f aca="false">'CC Alloc'!R25</f>
        <v/>
      </c>
      <c r="D62" s="93" t="str">
        <f aca="false">'CC Alloc'!S25</f>
        <v/>
      </c>
      <c r="E62" s="94" t="str">
        <f aca="false">'CC Alloc'!T25</f>
        <v/>
      </c>
      <c r="F62" s="95" t="str">
        <f aca="false">IF('CC Alloc'!U25="","",'CC Alloc'!U25/QRate)</f>
        <v/>
      </c>
    </row>
    <row r="63" customFormat="false" ht="15" hidden="false" customHeight="false" outlineLevel="0" collapsed="false">
      <c r="B63" s="91" t="str">
        <f aca="false">IF('CC Alloc'!R26="","",23)</f>
        <v/>
      </c>
      <c r="C63" s="92" t="str">
        <f aca="false">'CC Alloc'!R26</f>
        <v/>
      </c>
      <c r="D63" s="93" t="str">
        <f aca="false">'CC Alloc'!S26</f>
        <v/>
      </c>
      <c r="E63" s="94" t="str">
        <f aca="false">'CC Alloc'!T26</f>
        <v/>
      </c>
      <c r="F63" s="95" t="str">
        <f aca="false">IF('CC Alloc'!U26="","",'CC Alloc'!U26/QRate)</f>
        <v/>
      </c>
    </row>
    <row r="64" customFormat="false" ht="15" hidden="false" customHeight="false" outlineLevel="0" collapsed="false">
      <c r="B64" s="91" t="str">
        <f aca="false">IF('CC Alloc'!R27="","",24)</f>
        <v/>
      </c>
      <c r="C64" s="92" t="str">
        <f aca="false">'CC Alloc'!R27</f>
        <v/>
      </c>
      <c r="D64" s="93" t="str">
        <f aca="false">'CC Alloc'!S27</f>
        <v/>
      </c>
      <c r="E64" s="94" t="str">
        <f aca="false">'CC Alloc'!T27</f>
        <v/>
      </c>
      <c r="F64" s="95" t="str">
        <f aca="false">IF('CC Alloc'!U27="","",'CC Alloc'!U27/QRate)</f>
        <v/>
      </c>
    </row>
    <row r="65" customFormat="false" ht="15" hidden="false" customHeight="false" outlineLevel="0" collapsed="false">
      <c r="B65" s="91" t="str">
        <f aca="false">IF('CC Alloc'!R28="","",25)</f>
        <v/>
      </c>
      <c r="C65" s="92" t="str">
        <f aca="false">'CC Alloc'!R28</f>
        <v/>
      </c>
      <c r="D65" s="93" t="str">
        <f aca="false">'CC Alloc'!S28</f>
        <v/>
      </c>
      <c r="E65" s="94" t="str">
        <f aca="false">'CC Alloc'!T28</f>
        <v/>
      </c>
      <c r="F65" s="95" t="str">
        <f aca="false">IF('CC Alloc'!U28="","",'CC Alloc'!U28/QRate)</f>
        <v/>
      </c>
    </row>
    <row r="66" customFormat="false" ht="15" hidden="false" customHeight="false" outlineLevel="0" collapsed="false">
      <c r="B66" s="91" t="str">
        <f aca="false">IF('CC Alloc'!R29="","",26)</f>
        <v/>
      </c>
      <c r="C66" s="92" t="str">
        <f aca="false">'CC Alloc'!R29</f>
        <v/>
      </c>
      <c r="D66" s="93" t="str">
        <f aca="false">'CC Alloc'!S29</f>
        <v/>
      </c>
      <c r="E66" s="94" t="str">
        <f aca="false">'CC Alloc'!T29</f>
        <v/>
      </c>
      <c r="F66" s="95" t="str">
        <f aca="false">IF('CC Alloc'!U29="","",'CC Alloc'!U29/QRate)</f>
        <v/>
      </c>
    </row>
    <row r="67" customFormat="false" ht="15" hidden="false" customHeight="false" outlineLevel="0" collapsed="false">
      <c r="B67" s="91" t="str">
        <f aca="false">IF('CC Alloc'!R30="","",27)</f>
        <v/>
      </c>
      <c r="C67" s="92" t="str">
        <f aca="false">'CC Alloc'!R30</f>
        <v/>
      </c>
      <c r="D67" s="93" t="str">
        <f aca="false">'CC Alloc'!S30</f>
        <v/>
      </c>
      <c r="E67" s="94" t="str">
        <f aca="false">'CC Alloc'!T30</f>
        <v/>
      </c>
      <c r="F67" s="95" t="str">
        <f aca="false">IF('CC Alloc'!U30="","",'CC Alloc'!U30/QRate)</f>
        <v/>
      </c>
    </row>
    <row r="68" customFormat="false" ht="15" hidden="false" customHeight="false" outlineLevel="0" collapsed="false">
      <c r="B68" s="91" t="str">
        <f aca="false">IF('CC Alloc'!R31="","",28)</f>
        <v/>
      </c>
      <c r="C68" s="92" t="str">
        <f aca="false">'CC Alloc'!R31</f>
        <v/>
      </c>
      <c r="D68" s="93" t="str">
        <f aca="false">'CC Alloc'!S31</f>
        <v/>
      </c>
      <c r="E68" s="94" t="str">
        <f aca="false">'CC Alloc'!T31</f>
        <v/>
      </c>
      <c r="F68" s="95" t="str">
        <f aca="false">IF('CC Alloc'!U31="","",'CC Alloc'!U31/QRate)</f>
        <v/>
      </c>
    </row>
    <row r="69" customFormat="false" ht="15" hidden="false" customHeight="false" outlineLevel="0" collapsed="false">
      <c r="B69" s="91" t="str">
        <f aca="false">IF('CC Alloc'!R32="","",29)</f>
        <v/>
      </c>
      <c r="C69" s="92" t="str">
        <f aca="false">'CC Alloc'!R32</f>
        <v/>
      </c>
      <c r="D69" s="93" t="str">
        <f aca="false">'CC Alloc'!S32</f>
        <v/>
      </c>
      <c r="E69" s="94" t="str">
        <f aca="false">'CC Alloc'!T32</f>
        <v/>
      </c>
      <c r="F69" s="95" t="str">
        <f aca="false">IF('CC Alloc'!U32="","",'CC Alloc'!U32/QRate)</f>
        <v/>
      </c>
    </row>
    <row r="70" customFormat="false" ht="15" hidden="false" customHeight="false" outlineLevel="0" collapsed="false">
      <c r="B70" s="91" t="str">
        <f aca="false">IF('CC Alloc'!R33="","",30)</f>
        <v/>
      </c>
      <c r="C70" s="92" t="str">
        <f aca="false">'CC Alloc'!R33</f>
        <v/>
      </c>
      <c r="D70" s="93" t="str">
        <f aca="false">'CC Alloc'!S33</f>
        <v/>
      </c>
      <c r="E70" s="94" t="str">
        <f aca="false">'CC Alloc'!T33</f>
        <v/>
      </c>
      <c r="F70" s="95" t="str">
        <f aca="false">IF('CC Alloc'!U33="","",'CC Alloc'!U33/QRate)</f>
        <v/>
      </c>
    </row>
    <row r="71" customFormat="false" ht="15" hidden="false" customHeight="false" outlineLevel="0" collapsed="false">
      <c r="B71" s="91" t="str">
        <f aca="false">IF('CC Alloc'!R34="","",31)</f>
        <v/>
      </c>
      <c r="C71" s="92" t="str">
        <f aca="false">'CC Alloc'!R34</f>
        <v/>
      </c>
      <c r="D71" s="93" t="str">
        <f aca="false">'CC Alloc'!S34</f>
        <v/>
      </c>
      <c r="E71" s="94" t="str">
        <f aca="false">'CC Alloc'!T34</f>
        <v/>
      </c>
      <c r="F71" s="95" t="str">
        <f aca="false">IF('CC Alloc'!U34="","",'CC Alloc'!U34/QRate)</f>
        <v/>
      </c>
    </row>
    <row r="72" customFormat="false" ht="15" hidden="false" customHeight="false" outlineLevel="0" collapsed="false">
      <c r="B72" s="91" t="str">
        <f aca="false">IF('CC Alloc'!R35="","",32)</f>
        <v/>
      </c>
      <c r="C72" s="92" t="str">
        <f aca="false">'CC Alloc'!R35</f>
        <v/>
      </c>
      <c r="D72" s="93" t="str">
        <f aca="false">'CC Alloc'!S35</f>
        <v/>
      </c>
      <c r="E72" s="94" t="str">
        <f aca="false">'CC Alloc'!T35</f>
        <v/>
      </c>
      <c r="F72" s="95" t="str">
        <f aca="false">IF('CC Alloc'!U35="","",'CC Alloc'!U35/QRate)</f>
        <v/>
      </c>
    </row>
    <row r="73" customFormat="false" ht="15" hidden="false" customHeight="false" outlineLevel="0" collapsed="false">
      <c r="B73" s="91" t="str">
        <f aca="false">IF('CC Alloc'!R36="","",33)</f>
        <v/>
      </c>
      <c r="C73" s="92" t="str">
        <f aca="false">'CC Alloc'!R36</f>
        <v/>
      </c>
      <c r="D73" s="93" t="str">
        <f aca="false">'CC Alloc'!S36</f>
        <v/>
      </c>
      <c r="E73" s="94" t="str">
        <f aca="false">'CC Alloc'!T36</f>
        <v/>
      </c>
      <c r="F73" s="95" t="str">
        <f aca="false">IF('CC Alloc'!U36="","",'CC Alloc'!U36/QRate)</f>
        <v/>
      </c>
    </row>
    <row r="74" customFormat="false" ht="15" hidden="false" customHeight="false" outlineLevel="0" collapsed="false">
      <c r="B74" s="91" t="str">
        <f aca="false">IF('CC Alloc'!R37="","",34)</f>
        <v/>
      </c>
      <c r="C74" s="92" t="str">
        <f aca="false">'CC Alloc'!R37</f>
        <v/>
      </c>
      <c r="D74" s="93" t="str">
        <f aca="false">'CC Alloc'!S37</f>
        <v/>
      </c>
      <c r="E74" s="94" t="str">
        <f aca="false">'CC Alloc'!T37</f>
        <v/>
      </c>
      <c r="F74" s="95" t="str">
        <f aca="false">IF('CC Alloc'!U37="","",'CC Alloc'!U37/QRate)</f>
        <v/>
      </c>
    </row>
    <row r="75" customFormat="false" ht="15" hidden="false" customHeight="false" outlineLevel="0" collapsed="false">
      <c r="B75" s="91" t="str">
        <f aca="false">IF('CC Alloc'!R38="","",35)</f>
        <v/>
      </c>
      <c r="C75" s="92" t="str">
        <f aca="false">'CC Alloc'!R38</f>
        <v/>
      </c>
      <c r="D75" s="93" t="str">
        <f aca="false">'CC Alloc'!S38</f>
        <v/>
      </c>
      <c r="E75" s="94" t="str">
        <f aca="false">'CC Alloc'!T38</f>
        <v/>
      </c>
      <c r="F75" s="95" t="str">
        <f aca="false">IF('CC Alloc'!U38="","",'CC Alloc'!U38/QRate)</f>
        <v/>
      </c>
    </row>
    <row r="76" customFormat="false" ht="15" hidden="false" customHeight="false" outlineLevel="0" collapsed="false">
      <c r="B76" s="91" t="str">
        <f aca="false">IF('CC Alloc'!R39="","",36)</f>
        <v/>
      </c>
      <c r="C76" s="92" t="str">
        <f aca="false">'CC Alloc'!R39</f>
        <v/>
      </c>
      <c r="D76" s="93" t="str">
        <f aca="false">'CC Alloc'!S39</f>
        <v/>
      </c>
      <c r="E76" s="94" t="str">
        <f aca="false">'CC Alloc'!T39</f>
        <v/>
      </c>
      <c r="F76" s="95" t="str">
        <f aca="false">IF('CC Alloc'!U39="","",'CC Alloc'!U39/QRate)</f>
        <v/>
      </c>
    </row>
    <row r="77" customFormat="false" ht="15" hidden="false" customHeight="false" outlineLevel="0" collapsed="false">
      <c r="B77" s="91" t="str">
        <f aca="false">IF('CC Alloc'!R40="","",37)</f>
        <v/>
      </c>
      <c r="C77" s="92" t="str">
        <f aca="false">'CC Alloc'!R40</f>
        <v/>
      </c>
      <c r="D77" s="93" t="str">
        <f aca="false">'CC Alloc'!S40</f>
        <v/>
      </c>
      <c r="E77" s="94" t="str">
        <f aca="false">'CC Alloc'!T40</f>
        <v/>
      </c>
      <c r="F77" s="95" t="str">
        <f aca="false">IF('CC Alloc'!U40="","",'CC Alloc'!U40/QRate)</f>
        <v/>
      </c>
    </row>
    <row r="78" customFormat="false" ht="15" hidden="false" customHeight="false" outlineLevel="0" collapsed="false">
      <c r="B78" s="91" t="str">
        <f aca="false">IF('CC Alloc'!R41="","",38)</f>
        <v/>
      </c>
      <c r="C78" s="92" t="str">
        <f aca="false">'CC Alloc'!R41</f>
        <v/>
      </c>
      <c r="D78" s="93" t="str">
        <f aca="false">'CC Alloc'!S41</f>
        <v/>
      </c>
      <c r="E78" s="94" t="str">
        <f aca="false">'CC Alloc'!T41</f>
        <v/>
      </c>
      <c r="F78" s="95" t="str">
        <f aca="false">IF('CC Alloc'!U41="","",'CC Alloc'!U41/QRate)</f>
        <v/>
      </c>
    </row>
    <row r="79" customFormat="false" ht="15" hidden="false" customHeight="false" outlineLevel="0" collapsed="false">
      <c r="B79" s="91" t="str">
        <f aca="false">IF('CC Alloc'!R42="","",39)</f>
        <v/>
      </c>
      <c r="C79" s="92" t="str">
        <f aca="false">'CC Alloc'!R42</f>
        <v/>
      </c>
      <c r="D79" s="93" t="str">
        <f aca="false">'CC Alloc'!S42</f>
        <v/>
      </c>
      <c r="E79" s="94" t="str">
        <f aca="false">'CC Alloc'!T42</f>
        <v/>
      </c>
      <c r="F79" s="95" t="str">
        <f aca="false">IF('CC Alloc'!U42="","",'CC Alloc'!U42/QRate)</f>
        <v/>
      </c>
    </row>
    <row r="80" customFormat="false" ht="15" hidden="false" customHeight="false" outlineLevel="0" collapsed="false">
      <c r="B80" s="91" t="str">
        <f aca="false">IF('CC Alloc'!R43="","",40)</f>
        <v/>
      </c>
      <c r="C80" s="92" t="str">
        <f aca="false">'CC Alloc'!R43</f>
        <v/>
      </c>
      <c r="D80" s="93" t="str">
        <f aca="false">'CC Alloc'!S43</f>
        <v/>
      </c>
      <c r="E80" s="94" t="str">
        <f aca="false">'CC Alloc'!T43</f>
        <v/>
      </c>
      <c r="F80" s="95" t="str">
        <f aca="false">IF('CC Alloc'!U43="","",'CC Alloc'!U43/QRate)</f>
        <v/>
      </c>
    </row>
    <row r="81" customFormat="false" ht="15" hidden="false" customHeight="false" outlineLevel="0" collapsed="false">
      <c r="B81" s="91" t="str">
        <f aca="false">IF('CC Alloc'!R44="","",41)</f>
        <v/>
      </c>
      <c r="C81" s="92" t="str">
        <f aca="false">'CC Alloc'!R44</f>
        <v/>
      </c>
      <c r="D81" s="93" t="str">
        <f aca="false">'CC Alloc'!S44</f>
        <v/>
      </c>
      <c r="E81" s="94" t="str">
        <f aca="false">'CC Alloc'!T44</f>
        <v/>
      </c>
      <c r="F81" s="95" t="str">
        <f aca="false">IF('CC Alloc'!U44="","",'CC Alloc'!U44/QRate)</f>
        <v/>
      </c>
    </row>
    <row r="82" customFormat="false" ht="15" hidden="false" customHeight="false" outlineLevel="0" collapsed="false">
      <c r="B82" s="91" t="str">
        <f aca="false">IF('CC Alloc'!R45="","",42)</f>
        <v/>
      </c>
      <c r="C82" s="92" t="str">
        <f aca="false">'CC Alloc'!R45</f>
        <v/>
      </c>
      <c r="D82" s="93" t="str">
        <f aca="false">'CC Alloc'!S45</f>
        <v/>
      </c>
      <c r="E82" s="94" t="str">
        <f aca="false">'CC Alloc'!T45</f>
        <v/>
      </c>
      <c r="F82" s="95" t="str">
        <f aca="false">IF('CC Alloc'!U45="","",'CC Alloc'!U45/QRate)</f>
        <v/>
      </c>
    </row>
    <row r="83" customFormat="false" ht="15" hidden="false" customHeight="false" outlineLevel="0" collapsed="false">
      <c r="B83" s="91" t="str">
        <f aca="false">IF('CC Alloc'!R46="","",43)</f>
        <v/>
      </c>
      <c r="C83" s="92" t="str">
        <f aca="false">'CC Alloc'!R46</f>
        <v/>
      </c>
      <c r="D83" s="93" t="str">
        <f aca="false">'CC Alloc'!S46</f>
        <v/>
      </c>
      <c r="E83" s="94" t="str">
        <f aca="false">'CC Alloc'!T46</f>
        <v/>
      </c>
      <c r="F83" s="95" t="str">
        <f aca="false">IF('CC Alloc'!U46="","",'CC Alloc'!U46/QRate)</f>
        <v/>
      </c>
    </row>
    <row r="84" customFormat="false" ht="15" hidden="false" customHeight="false" outlineLevel="0" collapsed="false">
      <c r="B84" s="91" t="str">
        <f aca="false">IF('CC Alloc'!R47="","",44)</f>
        <v/>
      </c>
      <c r="C84" s="92" t="str">
        <f aca="false">'CC Alloc'!R47</f>
        <v/>
      </c>
      <c r="D84" s="93" t="str">
        <f aca="false">'CC Alloc'!S47</f>
        <v/>
      </c>
      <c r="E84" s="94" t="str">
        <f aca="false">'CC Alloc'!T47</f>
        <v/>
      </c>
      <c r="F84" s="95" t="str">
        <f aca="false">IF('CC Alloc'!U47="","",'CC Alloc'!U47/QRate)</f>
        <v/>
      </c>
    </row>
    <row r="85" customFormat="false" ht="15" hidden="false" customHeight="false" outlineLevel="0" collapsed="false">
      <c r="B85" s="91" t="str">
        <f aca="false">IF('CC Alloc'!R48="","",45)</f>
        <v/>
      </c>
      <c r="C85" s="92" t="str">
        <f aca="false">'CC Alloc'!R48</f>
        <v/>
      </c>
      <c r="D85" s="93" t="str">
        <f aca="false">'CC Alloc'!S48</f>
        <v/>
      </c>
      <c r="E85" s="94" t="str">
        <f aca="false">'CC Alloc'!T48</f>
        <v/>
      </c>
      <c r="F85" s="95" t="str">
        <f aca="false">IF('CC Alloc'!U48="","",'CC Alloc'!U48/QRate)</f>
        <v/>
      </c>
    </row>
    <row r="86" customFormat="false" ht="15" hidden="false" customHeight="false" outlineLevel="0" collapsed="false">
      <c r="B86" s="91" t="str">
        <f aca="false">IF('CC Alloc'!R49="","",46)</f>
        <v/>
      </c>
      <c r="C86" s="92" t="str">
        <f aca="false">'CC Alloc'!R49</f>
        <v/>
      </c>
      <c r="D86" s="93" t="str">
        <f aca="false">'CC Alloc'!S49</f>
        <v/>
      </c>
      <c r="E86" s="94" t="str">
        <f aca="false">'CC Alloc'!T49</f>
        <v/>
      </c>
      <c r="F86" s="95" t="str">
        <f aca="false">IF('CC Alloc'!U49="","",'CC Alloc'!U49/QRate)</f>
        <v/>
      </c>
    </row>
    <row r="87" customFormat="false" ht="15" hidden="false" customHeight="false" outlineLevel="0" collapsed="false">
      <c r="B87" s="91" t="str">
        <f aca="false">IF('CC Alloc'!R50="","",47)</f>
        <v/>
      </c>
      <c r="C87" s="92" t="str">
        <f aca="false">'CC Alloc'!R50</f>
        <v/>
      </c>
      <c r="D87" s="93" t="str">
        <f aca="false">'CC Alloc'!S50</f>
        <v/>
      </c>
      <c r="E87" s="94" t="str">
        <f aca="false">'CC Alloc'!T50</f>
        <v/>
      </c>
      <c r="F87" s="95" t="str">
        <f aca="false">IF('CC Alloc'!U50="","",'CC Alloc'!U50/QRate)</f>
        <v/>
      </c>
    </row>
    <row r="88" customFormat="false" ht="15" hidden="false" customHeight="false" outlineLevel="0" collapsed="false">
      <c r="B88" s="91" t="str">
        <f aca="false">IF('CC Alloc'!R51="","",48)</f>
        <v/>
      </c>
      <c r="C88" s="92" t="str">
        <f aca="false">'CC Alloc'!R51</f>
        <v/>
      </c>
      <c r="D88" s="93" t="str">
        <f aca="false">'CC Alloc'!S51</f>
        <v/>
      </c>
      <c r="E88" s="94" t="str">
        <f aca="false">'CC Alloc'!T51</f>
        <v/>
      </c>
      <c r="F88" s="95" t="str">
        <f aca="false">IF('CC Alloc'!U51="","",'CC Alloc'!U51/QRate)</f>
        <v/>
      </c>
    </row>
    <row r="89" customFormat="false" ht="15" hidden="false" customHeight="false" outlineLevel="0" collapsed="false">
      <c r="B89" s="91" t="str">
        <f aca="false">IF('CC Alloc'!R52="","",49)</f>
        <v/>
      </c>
      <c r="C89" s="92" t="str">
        <f aca="false">'CC Alloc'!R52</f>
        <v/>
      </c>
      <c r="D89" s="93" t="str">
        <f aca="false">'CC Alloc'!S52</f>
        <v/>
      </c>
      <c r="E89" s="94" t="str">
        <f aca="false">'CC Alloc'!T52</f>
        <v/>
      </c>
      <c r="F89" s="95" t="str">
        <f aca="false">IF('CC Alloc'!U52="","",'CC Alloc'!U52/QRate)</f>
        <v/>
      </c>
    </row>
    <row r="90" customFormat="false" ht="15" hidden="false" customHeight="false" outlineLevel="0" collapsed="false">
      <c r="B90" s="91" t="str">
        <f aca="false">IF('CC Alloc'!R53="","",50)</f>
        <v/>
      </c>
      <c r="C90" s="92" t="str">
        <f aca="false">'CC Alloc'!R53</f>
        <v/>
      </c>
      <c r="D90" s="93" t="str">
        <f aca="false">'CC Alloc'!S53</f>
        <v/>
      </c>
      <c r="E90" s="94" t="str">
        <f aca="false">'CC Alloc'!T53</f>
        <v/>
      </c>
      <c r="F90" s="95" t="str">
        <f aca="false">IF('CC Alloc'!U53="","",'CC Alloc'!U53/QRate)</f>
        <v/>
      </c>
    </row>
    <row r="91" customFormat="false" ht="15" hidden="false" customHeight="false" outlineLevel="0" collapsed="false">
      <c r="B91" s="91" t="str">
        <f aca="false">IF('CC Alloc'!R54="","",51)</f>
        <v/>
      </c>
      <c r="C91" s="92" t="str">
        <f aca="false">'CC Alloc'!R54</f>
        <v/>
      </c>
      <c r="D91" s="93" t="str">
        <f aca="false">'CC Alloc'!S54</f>
        <v/>
      </c>
      <c r="E91" s="94" t="str">
        <f aca="false">'CC Alloc'!T54</f>
        <v/>
      </c>
      <c r="F91" s="95" t="str">
        <f aca="false">IF('CC Alloc'!U54="","",'CC Alloc'!U54/QRate)</f>
        <v/>
      </c>
    </row>
    <row r="92" customFormat="false" ht="15" hidden="false" customHeight="false" outlineLevel="0" collapsed="false">
      <c r="B92" s="91" t="str">
        <f aca="false">IF('CC Alloc'!R55="","",52)</f>
        <v/>
      </c>
      <c r="C92" s="92" t="str">
        <f aca="false">'CC Alloc'!R55</f>
        <v/>
      </c>
      <c r="D92" s="93" t="str">
        <f aca="false">'CC Alloc'!S55</f>
        <v/>
      </c>
      <c r="E92" s="94" t="str">
        <f aca="false">'CC Alloc'!T55</f>
        <v/>
      </c>
      <c r="F92" s="95" t="str">
        <f aca="false">IF('CC Alloc'!U55="","",'CC Alloc'!U55/QRate)</f>
        <v/>
      </c>
    </row>
    <row r="93" customFormat="false" ht="15" hidden="false" customHeight="false" outlineLevel="0" collapsed="false">
      <c r="B93" s="91" t="str">
        <f aca="false">IF('CC Alloc'!R56="","",53)</f>
        <v/>
      </c>
      <c r="C93" s="92" t="str">
        <f aca="false">'CC Alloc'!R56</f>
        <v/>
      </c>
      <c r="D93" s="93" t="str">
        <f aca="false">'CC Alloc'!S56</f>
        <v/>
      </c>
      <c r="E93" s="94" t="str">
        <f aca="false">'CC Alloc'!T56</f>
        <v/>
      </c>
      <c r="F93" s="95" t="str">
        <f aca="false">IF('CC Alloc'!U56="","",'CC Alloc'!U56/QRate)</f>
        <v/>
      </c>
    </row>
    <row r="94" customFormat="false" ht="15" hidden="false" customHeight="false" outlineLevel="0" collapsed="false">
      <c r="B94" s="91" t="str">
        <f aca="false">IF('CC Alloc'!R57="","",54)</f>
        <v/>
      </c>
      <c r="C94" s="92" t="str">
        <f aca="false">'CC Alloc'!R57</f>
        <v/>
      </c>
      <c r="D94" s="93" t="str">
        <f aca="false">'CC Alloc'!S57</f>
        <v/>
      </c>
      <c r="E94" s="94" t="str">
        <f aca="false">'CC Alloc'!T57</f>
        <v/>
      </c>
      <c r="F94" s="95" t="str">
        <f aca="false">IF('CC Alloc'!U57="","",'CC Alloc'!U57/QRate)</f>
        <v/>
      </c>
    </row>
    <row r="95" customFormat="false" ht="15" hidden="false" customHeight="false" outlineLevel="0" collapsed="false">
      <c r="B95" s="91" t="str">
        <f aca="false">IF('CC Alloc'!R58="","",55)</f>
        <v/>
      </c>
      <c r="C95" s="92" t="str">
        <f aca="false">'CC Alloc'!R58</f>
        <v/>
      </c>
      <c r="D95" s="93" t="str">
        <f aca="false">'CC Alloc'!S58</f>
        <v/>
      </c>
      <c r="E95" s="94" t="str">
        <f aca="false">'CC Alloc'!T58</f>
        <v/>
      </c>
      <c r="F95" s="95" t="str">
        <f aca="false">IF('CC Alloc'!U58="","",'CC Alloc'!U58/QRate)</f>
        <v/>
      </c>
    </row>
    <row r="96" customFormat="false" ht="15" hidden="false" customHeight="false" outlineLevel="0" collapsed="false">
      <c r="B96" s="91" t="str">
        <f aca="false">IF('CC Alloc'!R59="","",56)</f>
        <v/>
      </c>
      <c r="C96" s="92" t="str">
        <f aca="false">'CC Alloc'!R59</f>
        <v/>
      </c>
      <c r="D96" s="93" t="str">
        <f aca="false">'CC Alloc'!S59</f>
        <v/>
      </c>
      <c r="E96" s="94" t="str">
        <f aca="false">'CC Alloc'!T59</f>
        <v/>
      </c>
      <c r="F96" s="95" t="str">
        <f aca="false">IF('CC Alloc'!U59="","",'CC Alloc'!U59/QRate)</f>
        <v/>
      </c>
    </row>
    <row r="97" customFormat="false" ht="15" hidden="false" customHeight="false" outlineLevel="0" collapsed="false">
      <c r="B97" s="91" t="str">
        <f aca="false">IF('CC Alloc'!R60="","",57)</f>
        <v/>
      </c>
      <c r="C97" s="92" t="str">
        <f aca="false">'CC Alloc'!R60</f>
        <v/>
      </c>
      <c r="D97" s="93" t="str">
        <f aca="false">'CC Alloc'!S60</f>
        <v/>
      </c>
      <c r="E97" s="94" t="str">
        <f aca="false">'CC Alloc'!T60</f>
        <v/>
      </c>
      <c r="F97" s="95" t="str">
        <f aca="false">IF('CC Alloc'!U60="","",'CC Alloc'!U60/QRate)</f>
        <v/>
      </c>
    </row>
    <row r="98" customFormat="false" ht="15" hidden="false" customHeight="false" outlineLevel="0" collapsed="false">
      <c r="B98" s="91" t="str">
        <f aca="false">IF('CC Alloc'!R61="","",58)</f>
        <v/>
      </c>
      <c r="C98" s="92" t="str">
        <f aca="false">'CC Alloc'!R61</f>
        <v/>
      </c>
      <c r="D98" s="93" t="str">
        <f aca="false">'CC Alloc'!S61</f>
        <v/>
      </c>
      <c r="E98" s="94" t="str">
        <f aca="false">'CC Alloc'!T61</f>
        <v/>
      </c>
      <c r="F98" s="95" t="str">
        <f aca="false">IF('CC Alloc'!U61="","",'CC Alloc'!U61/QRate)</f>
        <v/>
      </c>
    </row>
    <row r="99" customFormat="false" ht="15" hidden="false" customHeight="false" outlineLevel="0" collapsed="false">
      <c r="B99" s="91" t="str">
        <f aca="false">IF('CC Alloc'!R62="","",59)</f>
        <v/>
      </c>
      <c r="C99" s="92" t="str">
        <f aca="false">'CC Alloc'!R62</f>
        <v/>
      </c>
      <c r="D99" s="93" t="str">
        <f aca="false">'CC Alloc'!S62</f>
        <v/>
      </c>
      <c r="E99" s="94" t="str">
        <f aca="false">'CC Alloc'!T62</f>
        <v/>
      </c>
      <c r="F99" s="95" t="str">
        <f aca="false">IF('CC Alloc'!U62="","",'CC Alloc'!U62/QRate)</f>
        <v/>
      </c>
    </row>
    <row r="100" customFormat="false" ht="15" hidden="false" customHeight="false" outlineLevel="0" collapsed="false">
      <c r="B100" s="91" t="str">
        <f aca="false">IF('CC Alloc'!R63="","",60)</f>
        <v/>
      </c>
      <c r="C100" s="92" t="str">
        <f aca="false">'CC Alloc'!R63</f>
        <v/>
      </c>
      <c r="D100" s="93" t="str">
        <f aca="false">'CC Alloc'!S63</f>
        <v/>
      </c>
      <c r="E100" s="94" t="str">
        <f aca="false">'CC Alloc'!T63</f>
        <v/>
      </c>
      <c r="F100" s="95" t="str">
        <f aca="false">IF('CC Alloc'!U63="","",'CC Alloc'!U63/QRate)</f>
        <v/>
      </c>
    </row>
    <row r="101" customFormat="false" ht="15" hidden="false" customHeight="false" outlineLevel="0" collapsed="false">
      <c r="B101" s="91" t="str">
        <f aca="false">IF('CC Alloc'!R64="","",61)</f>
        <v/>
      </c>
      <c r="C101" s="92" t="str">
        <f aca="false">'CC Alloc'!R64</f>
        <v/>
      </c>
      <c r="D101" s="93" t="str">
        <f aca="false">'CC Alloc'!S64</f>
        <v/>
      </c>
      <c r="E101" s="94" t="str">
        <f aca="false">'CC Alloc'!T64</f>
        <v/>
      </c>
      <c r="F101" s="95" t="str">
        <f aca="false">IF('CC Alloc'!U64="","",'CC Alloc'!U64/QRate)</f>
        <v/>
      </c>
    </row>
    <row r="102" customFormat="false" ht="15" hidden="false" customHeight="false" outlineLevel="0" collapsed="false">
      <c r="B102" s="91" t="str">
        <f aca="false">IF('CC Alloc'!R65="","",62)</f>
        <v/>
      </c>
      <c r="C102" s="92" t="str">
        <f aca="false">'CC Alloc'!R65</f>
        <v/>
      </c>
      <c r="D102" s="93" t="str">
        <f aca="false">'CC Alloc'!S65</f>
        <v/>
      </c>
      <c r="E102" s="94" t="str">
        <f aca="false">'CC Alloc'!T65</f>
        <v/>
      </c>
      <c r="F102" s="95" t="str">
        <f aca="false">IF('CC Alloc'!U65="","",'CC Alloc'!U65/QRate)</f>
        <v/>
      </c>
    </row>
    <row r="103" customFormat="false" ht="15" hidden="false" customHeight="false" outlineLevel="0" collapsed="false">
      <c r="B103" s="91" t="str">
        <f aca="false">IF('CC Alloc'!R66="","",63)</f>
        <v/>
      </c>
      <c r="C103" s="92" t="str">
        <f aca="false">'CC Alloc'!R66</f>
        <v/>
      </c>
      <c r="D103" s="93" t="str">
        <f aca="false">'CC Alloc'!S66</f>
        <v/>
      </c>
      <c r="E103" s="94" t="str">
        <f aca="false">'CC Alloc'!T66</f>
        <v/>
      </c>
      <c r="F103" s="95" t="str">
        <f aca="false">IF('CC Alloc'!U66="","",'CC Alloc'!U66/QRate)</f>
        <v/>
      </c>
    </row>
    <row r="104" customFormat="false" ht="15" hidden="false" customHeight="false" outlineLevel="0" collapsed="false">
      <c r="B104" s="91" t="str">
        <f aca="false">IF('CC Alloc'!R67="","",64)</f>
        <v/>
      </c>
      <c r="C104" s="92" t="str">
        <f aca="false">'CC Alloc'!R67</f>
        <v/>
      </c>
      <c r="D104" s="93" t="str">
        <f aca="false">'CC Alloc'!S67</f>
        <v/>
      </c>
      <c r="E104" s="94" t="str">
        <f aca="false">'CC Alloc'!T67</f>
        <v/>
      </c>
      <c r="F104" s="95" t="str">
        <f aca="false">IF('CC Alloc'!U67="","",'CC Alloc'!U67/QRate)</f>
        <v/>
      </c>
    </row>
    <row r="105" customFormat="false" ht="15" hidden="false" customHeight="false" outlineLevel="0" collapsed="false">
      <c r="B105" s="91" t="str">
        <f aca="false">IF('CC Alloc'!R68="","",65)</f>
        <v/>
      </c>
      <c r="C105" s="92" t="str">
        <f aca="false">'CC Alloc'!R68</f>
        <v/>
      </c>
      <c r="D105" s="93" t="str">
        <f aca="false">'CC Alloc'!S68</f>
        <v/>
      </c>
      <c r="E105" s="94" t="str">
        <f aca="false">'CC Alloc'!T68</f>
        <v/>
      </c>
      <c r="F105" s="95" t="str">
        <f aca="false">IF('CC Alloc'!U68="","",'CC Alloc'!U68/QRate)</f>
        <v/>
      </c>
    </row>
    <row r="106" customFormat="false" ht="15" hidden="false" customHeight="false" outlineLevel="0" collapsed="false">
      <c r="B106" s="91" t="str">
        <f aca="false">IF('CC Alloc'!R69="","",66)</f>
        <v/>
      </c>
      <c r="C106" s="92" t="str">
        <f aca="false">'CC Alloc'!R69</f>
        <v/>
      </c>
      <c r="D106" s="93" t="str">
        <f aca="false">'CC Alloc'!S69</f>
        <v/>
      </c>
      <c r="E106" s="94" t="str">
        <f aca="false">'CC Alloc'!T69</f>
        <v/>
      </c>
      <c r="F106" s="95" t="str">
        <f aca="false">IF('CC Alloc'!U69="","",'CC Alloc'!U69/QRate)</f>
        <v/>
      </c>
    </row>
    <row r="107" customFormat="false" ht="15" hidden="false" customHeight="false" outlineLevel="0" collapsed="false">
      <c r="B107" s="91" t="str">
        <f aca="false">IF('CC Alloc'!R70="","",67)</f>
        <v/>
      </c>
      <c r="C107" s="92" t="str">
        <f aca="false">'CC Alloc'!R70</f>
        <v/>
      </c>
      <c r="D107" s="93" t="str">
        <f aca="false">'CC Alloc'!S70</f>
        <v/>
      </c>
      <c r="E107" s="94" t="str">
        <f aca="false">'CC Alloc'!T70</f>
        <v/>
      </c>
      <c r="F107" s="95" t="str">
        <f aca="false">IF('CC Alloc'!U70="","",'CC Alloc'!U70/QRate)</f>
        <v/>
      </c>
    </row>
    <row r="108" customFormat="false" ht="15" hidden="false" customHeight="false" outlineLevel="0" collapsed="false">
      <c r="B108" s="91" t="str">
        <f aca="false">IF('CC Alloc'!R71="","",68)</f>
        <v/>
      </c>
      <c r="C108" s="92" t="str">
        <f aca="false">'CC Alloc'!R71</f>
        <v/>
      </c>
      <c r="D108" s="93" t="str">
        <f aca="false">'CC Alloc'!S71</f>
        <v/>
      </c>
      <c r="E108" s="94" t="str">
        <f aca="false">'CC Alloc'!T71</f>
        <v/>
      </c>
      <c r="F108" s="95" t="str">
        <f aca="false">IF('CC Alloc'!U71="","",'CC Alloc'!U71/QRate)</f>
        <v/>
      </c>
    </row>
    <row r="109" customFormat="false" ht="15" hidden="false" customHeight="false" outlineLevel="0" collapsed="false">
      <c r="B109" s="91" t="str">
        <f aca="false">IF('CC Alloc'!R72="","",69)</f>
        <v/>
      </c>
      <c r="C109" s="92" t="str">
        <f aca="false">'CC Alloc'!R72</f>
        <v/>
      </c>
      <c r="D109" s="93" t="str">
        <f aca="false">'CC Alloc'!S72</f>
        <v/>
      </c>
      <c r="E109" s="94" t="str">
        <f aca="false">'CC Alloc'!T72</f>
        <v/>
      </c>
      <c r="F109" s="95" t="str">
        <f aca="false">IF('CC Alloc'!U72="","",'CC Alloc'!U72/QRate)</f>
        <v/>
      </c>
    </row>
    <row r="110" customFormat="false" ht="15" hidden="false" customHeight="false" outlineLevel="0" collapsed="false">
      <c r="B110" s="91" t="str">
        <f aca="false">IF('CC Alloc'!R73="","",70)</f>
        <v/>
      </c>
      <c r="C110" s="92" t="str">
        <f aca="false">'CC Alloc'!R73</f>
        <v/>
      </c>
      <c r="D110" s="93" t="str">
        <f aca="false">'CC Alloc'!S73</f>
        <v/>
      </c>
      <c r="E110" s="94" t="str">
        <f aca="false">'CC Alloc'!T73</f>
        <v/>
      </c>
      <c r="F110" s="95" t="str">
        <f aca="false">IF('CC Alloc'!U73="","",'CC Alloc'!U73/QRate)</f>
        <v/>
      </c>
    </row>
    <row r="111" customFormat="false" ht="15" hidden="false" customHeight="false" outlineLevel="0" collapsed="false">
      <c r="B111" s="91" t="str">
        <f aca="false">IF('CC Alloc'!R74="","",71)</f>
        <v/>
      </c>
      <c r="C111" s="92" t="str">
        <f aca="false">'CC Alloc'!R74</f>
        <v/>
      </c>
      <c r="D111" s="93" t="str">
        <f aca="false">'CC Alloc'!S74</f>
        <v/>
      </c>
      <c r="E111" s="94" t="str">
        <f aca="false">'CC Alloc'!T74</f>
        <v/>
      </c>
      <c r="F111" s="95" t="str">
        <f aca="false">IF('CC Alloc'!U74="","",'CC Alloc'!U74/QRate)</f>
        <v/>
      </c>
    </row>
    <row r="112" customFormat="false" ht="15" hidden="false" customHeight="false" outlineLevel="0" collapsed="false">
      <c r="B112" s="91" t="str">
        <f aca="false">IF('CC Alloc'!R75="","",72)</f>
        <v/>
      </c>
      <c r="C112" s="92" t="str">
        <f aca="false">'CC Alloc'!R75</f>
        <v/>
      </c>
      <c r="D112" s="93" t="str">
        <f aca="false">'CC Alloc'!S75</f>
        <v/>
      </c>
      <c r="E112" s="94" t="str">
        <f aca="false">'CC Alloc'!T75</f>
        <v/>
      </c>
      <c r="F112" s="95" t="str">
        <f aca="false">IF('CC Alloc'!U75="","",'CC Alloc'!U75/QRate)</f>
        <v/>
      </c>
    </row>
    <row r="113" customFormat="false" ht="15" hidden="false" customHeight="false" outlineLevel="0" collapsed="false">
      <c r="B113" s="91" t="str">
        <f aca="false">IF('CC Alloc'!R76="","",73)</f>
        <v/>
      </c>
      <c r="C113" s="92" t="str">
        <f aca="false">'CC Alloc'!R76</f>
        <v/>
      </c>
      <c r="D113" s="93" t="str">
        <f aca="false">'CC Alloc'!S76</f>
        <v/>
      </c>
      <c r="E113" s="94" t="str">
        <f aca="false">'CC Alloc'!T76</f>
        <v/>
      </c>
      <c r="F113" s="95" t="str">
        <f aca="false">IF('CC Alloc'!U76="","",'CC Alloc'!U76/QRate)</f>
        <v/>
      </c>
    </row>
    <row r="114" customFormat="false" ht="15" hidden="false" customHeight="false" outlineLevel="0" collapsed="false">
      <c r="B114" s="91" t="str">
        <f aca="false">IF('CC Alloc'!R77="","",74)</f>
        <v/>
      </c>
      <c r="C114" s="92" t="str">
        <f aca="false">'CC Alloc'!R77</f>
        <v/>
      </c>
      <c r="D114" s="93" t="str">
        <f aca="false">'CC Alloc'!S77</f>
        <v/>
      </c>
      <c r="E114" s="94" t="str">
        <f aca="false">'CC Alloc'!T77</f>
        <v/>
      </c>
      <c r="F114" s="95" t="str">
        <f aca="false">IF('CC Alloc'!U77="","",'CC Alloc'!U77/QRate)</f>
        <v/>
      </c>
    </row>
    <row r="115" customFormat="false" ht="15" hidden="false" customHeight="false" outlineLevel="0" collapsed="false">
      <c r="B115" s="91" t="str">
        <f aca="false">IF('CC Alloc'!R78="","",75)</f>
        <v/>
      </c>
      <c r="C115" s="92" t="str">
        <f aca="false">'CC Alloc'!R78</f>
        <v/>
      </c>
      <c r="D115" s="93" t="str">
        <f aca="false">'CC Alloc'!S78</f>
        <v/>
      </c>
      <c r="E115" s="94" t="str">
        <f aca="false">'CC Alloc'!T78</f>
        <v/>
      </c>
      <c r="F115" s="95" t="str">
        <f aca="false">IF('CC Alloc'!U78="","",'CC Alloc'!U78/QRate)</f>
        <v/>
      </c>
    </row>
    <row r="116" customFormat="false" ht="15" hidden="false" customHeight="false" outlineLevel="0" collapsed="false">
      <c r="B116" s="91" t="str">
        <f aca="false">IF('CC Alloc'!R79="","",76)</f>
        <v/>
      </c>
      <c r="C116" s="92" t="str">
        <f aca="false">'CC Alloc'!R79</f>
        <v/>
      </c>
      <c r="D116" s="93" t="str">
        <f aca="false">'CC Alloc'!S79</f>
        <v/>
      </c>
      <c r="E116" s="94" t="str">
        <f aca="false">'CC Alloc'!T79</f>
        <v/>
      </c>
      <c r="F116" s="95" t="str">
        <f aca="false">IF('CC Alloc'!U79="","",'CC Alloc'!U79/QRate)</f>
        <v/>
      </c>
    </row>
    <row r="117" customFormat="false" ht="15" hidden="false" customHeight="false" outlineLevel="0" collapsed="false">
      <c r="B117" s="91" t="str">
        <f aca="false">IF('CC Alloc'!R80="","",77)</f>
        <v/>
      </c>
      <c r="C117" s="92" t="str">
        <f aca="false">'CC Alloc'!R80</f>
        <v/>
      </c>
      <c r="D117" s="93" t="str">
        <f aca="false">'CC Alloc'!S80</f>
        <v/>
      </c>
      <c r="E117" s="94" t="str">
        <f aca="false">'CC Alloc'!T80</f>
        <v/>
      </c>
      <c r="F117" s="95" t="str">
        <f aca="false">IF('CC Alloc'!U80="","",'CC Alloc'!U80/QRate)</f>
        <v/>
      </c>
    </row>
    <row r="118" customFormat="false" ht="15" hidden="false" customHeight="false" outlineLevel="0" collapsed="false">
      <c r="B118" s="91" t="str">
        <f aca="false">IF('CC Alloc'!R81="","",78)</f>
        <v/>
      </c>
      <c r="C118" s="92" t="str">
        <f aca="false">'CC Alloc'!R81</f>
        <v/>
      </c>
      <c r="D118" s="93" t="str">
        <f aca="false">'CC Alloc'!S81</f>
        <v/>
      </c>
      <c r="E118" s="94" t="str">
        <f aca="false">'CC Alloc'!T81</f>
        <v/>
      </c>
      <c r="F118" s="95" t="str">
        <f aca="false">IF('CC Alloc'!U81="","",'CC Alloc'!U81/QRate)</f>
        <v/>
      </c>
    </row>
    <row r="119" customFormat="false" ht="15" hidden="false" customHeight="false" outlineLevel="0" collapsed="false">
      <c r="B119" s="91" t="str">
        <f aca="false">IF('CC Alloc'!R82="","",79)</f>
        <v/>
      </c>
      <c r="C119" s="92" t="str">
        <f aca="false">'CC Alloc'!R82</f>
        <v/>
      </c>
      <c r="D119" s="93" t="str">
        <f aca="false">'CC Alloc'!S82</f>
        <v/>
      </c>
      <c r="E119" s="94" t="str">
        <f aca="false">'CC Alloc'!T82</f>
        <v/>
      </c>
      <c r="F119" s="95" t="str">
        <f aca="false">IF('CC Alloc'!U82="","",'CC Alloc'!U82/QRate)</f>
        <v/>
      </c>
    </row>
    <row r="120" customFormat="false" ht="15" hidden="false" customHeight="false" outlineLevel="0" collapsed="false">
      <c r="B120" s="91" t="str">
        <f aca="false">IF('CC Alloc'!R83="","",80)</f>
        <v/>
      </c>
      <c r="C120" s="92" t="str">
        <f aca="false">'CC Alloc'!R83</f>
        <v/>
      </c>
      <c r="D120" s="93" t="str">
        <f aca="false">'CC Alloc'!S83</f>
        <v/>
      </c>
      <c r="E120" s="94" t="str">
        <f aca="false">'CC Alloc'!T83</f>
        <v/>
      </c>
      <c r="F120" s="95" t="str">
        <f aca="false">IF('CC Alloc'!U83="","",'CC Alloc'!U83/QRate)</f>
        <v/>
      </c>
    </row>
    <row r="121" customFormat="false" ht="15" hidden="false" customHeight="false" outlineLevel="0" collapsed="false">
      <c r="B121" s="91" t="str">
        <f aca="false">IF('CC Alloc'!R84="","",81)</f>
        <v/>
      </c>
      <c r="C121" s="92" t="str">
        <f aca="false">'CC Alloc'!R84</f>
        <v/>
      </c>
      <c r="D121" s="93" t="str">
        <f aca="false">'CC Alloc'!S84</f>
        <v/>
      </c>
      <c r="E121" s="94" t="str">
        <f aca="false">'CC Alloc'!T84</f>
        <v/>
      </c>
      <c r="F121" s="95" t="str">
        <f aca="false">IF('CC Alloc'!U84="","",'CC Alloc'!U84/QRate)</f>
        <v/>
      </c>
    </row>
    <row r="122" customFormat="false" ht="15" hidden="false" customHeight="false" outlineLevel="0" collapsed="false">
      <c r="B122" s="91" t="str">
        <f aca="false">IF('CC Alloc'!R85="","",82)</f>
        <v/>
      </c>
      <c r="C122" s="92" t="str">
        <f aca="false">'CC Alloc'!R85</f>
        <v/>
      </c>
      <c r="D122" s="93" t="str">
        <f aca="false">'CC Alloc'!S85</f>
        <v/>
      </c>
      <c r="E122" s="94" t="str">
        <f aca="false">'CC Alloc'!T85</f>
        <v/>
      </c>
      <c r="F122" s="95" t="str">
        <f aca="false">IF('CC Alloc'!U85="","",'CC Alloc'!U85/QRate)</f>
        <v/>
      </c>
    </row>
    <row r="123" customFormat="false" ht="15" hidden="false" customHeight="false" outlineLevel="0" collapsed="false">
      <c r="B123" s="91" t="str">
        <f aca="false">IF('CC Alloc'!R86="","",83)</f>
        <v/>
      </c>
      <c r="C123" s="92" t="str">
        <f aca="false">'CC Alloc'!R86</f>
        <v/>
      </c>
      <c r="D123" s="93" t="str">
        <f aca="false">'CC Alloc'!S86</f>
        <v/>
      </c>
      <c r="E123" s="94" t="str">
        <f aca="false">'CC Alloc'!T86</f>
        <v/>
      </c>
      <c r="F123" s="95" t="str">
        <f aca="false">IF('CC Alloc'!U86="","",'CC Alloc'!U86/QRate)</f>
        <v/>
      </c>
    </row>
    <row r="124" customFormat="false" ht="15" hidden="false" customHeight="false" outlineLevel="0" collapsed="false">
      <c r="B124" s="91" t="str">
        <f aca="false">IF('CC Alloc'!R87="","",84)</f>
        <v/>
      </c>
      <c r="C124" s="92" t="str">
        <f aca="false">'CC Alloc'!R87</f>
        <v/>
      </c>
      <c r="D124" s="93" t="str">
        <f aca="false">'CC Alloc'!S87</f>
        <v/>
      </c>
      <c r="E124" s="94" t="str">
        <f aca="false">'CC Alloc'!T87</f>
        <v/>
      </c>
      <c r="F124" s="95" t="str">
        <f aca="false">IF('CC Alloc'!U87="","",'CC Alloc'!U87/QRate)</f>
        <v/>
      </c>
    </row>
    <row r="125" customFormat="false" ht="15" hidden="false" customHeight="false" outlineLevel="0" collapsed="false">
      <c r="B125" s="91" t="str">
        <f aca="false">IF('CC Alloc'!R88="","",85)</f>
        <v/>
      </c>
      <c r="C125" s="92" t="str">
        <f aca="false">'CC Alloc'!R88</f>
        <v/>
      </c>
      <c r="D125" s="93" t="str">
        <f aca="false">'CC Alloc'!S88</f>
        <v/>
      </c>
      <c r="E125" s="94" t="str">
        <f aca="false">'CC Alloc'!T88</f>
        <v/>
      </c>
      <c r="F125" s="95" t="str">
        <f aca="false">IF('CC Alloc'!U88="","",'CC Alloc'!U88/QRate)</f>
        <v/>
      </c>
    </row>
    <row r="126" customFormat="false" ht="15" hidden="false" customHeight="false" outlineLevel="0" collapsed="false">
      <c r="B126" s="91" t="str">
        <f aca="false">IF('CC Alloc'!R89="","",86)</f>
        <v/>
      </c>
      <c r="C126" s="92" t="str">
        <f aca="false">'CC Alloc'!R89</f>
        <v/>
      </c>
      <c r="D126" s="93" t="str">
        <f aca="false">'CC Alloc'!S89</f>
        <v/>
      </c>
      <c r="E126" s="94" t="str">
        <f aca="false">'CC Alloc'!T89</f>
        <v/>
      </c>
      <c r="F126" s="95" t="str">
        <f aca="false">IF('CC Alloc'!U89="","",'CC Alloc'!U89/QRate)</f>
        <v/>
      </c>
    </row>
    <row r="127" customFormat="false" ht="15" hidden="false" customHeight="false" outlineLevel="0" collapsed="false">
      <c r="B127" s="91" t="str">
        <f aca="false">IF('CC Alloc'!R90="","",87)</f>
        <v/>
      </c>
      <c r="C127" s="92" t="str">
        <f aca="false">'CC Alloc'!R90</f>
        <v/>
      </c>
      <c r="D127" s="93" t="str">
        <f aca="false">'CC Alloc'!S90</f>
        <v/>
      </c>
      <c r="E127" s="94" t="str">
        <f aca="false">'CC Alloc'!T90</f>
        <v/>
      </c>
      <c r="F127" s="95" t="str">
        <f aca="false">IF('CC Alloc'!U90="","",'CC Alloc'!U90/QRate)</f>
        <v/>
      </c>
    </row>
    <row r="128" customFormat="false" ht="15" hidden="false" customHeight="false" outlineLevel="0" collapsed="false">
      <c r="B128" s="91" t="str">
        <f aca="false">IF('CC Alloc'!R91="","",88)</f>
        <v/>
      </c>
      <c r="C128" s="92" t="str">
        <f aca="false">'CC Alloc'!R91</f>
        <v/>
      </c>
      <c r="D128" s="93" t="str">
        <f aca="false">'CC Alloc'!S91</f>
        <v/>
      </c>
      <c r="E128" s="94" t="str">
        <f aca="false">'CC Alloc'!T91</f>
        <v/>
      </c>
      <c r="F128" s="95" t="str">
        <f aca="false">IF('CC Alloc'!U91="","",'CC Alloc'!U91/QRate)</f>
        <v/>
      </c>
    </row>
    <row r="129" customFormat="false" ht="15" hidden="false" customHeight="false" outlineLevel="0" collapsed="false">
      <c r="B129" s="91" t="str">
        <f aca="false">IF('CC Alloc'!R92="","",89)</f>
        <v/>
      </c>
      <c r="C129" s="92" t="str">
        <f aca="false">'CC Alloc'!R92</f>
        <v/>
      </c>
      <c r="D129" s="93" t="str">
        <f aca="false">'CC Alloc'!S92</f>
        <v/>
      </c>
      <c r="E129" s="94" t="str">
        <f aca="false">'CC Alloc'!T92</f>
        <v/>
      </c>
      <c r="F129" s="95" t="str">
        <f aca="false">IF('CC Alloc'!U92="","",'CC Alloc'!U92/QRate)</f>
        <v/>
      </c>
    </row>
    <row r="130" customFormat="false" ht="15" hidden="false" customHeight="false" outlineLevel="0" collapsed="false">
      <c r="B130" s="91" t="str">
        <f aca="false">IF('CC Alloc'!R93="","",90)</f>
        <v/>
      </c>
      <c r="C130" s="92" t="str">
        <f aca="false">'CC Alloc'!R93</f>
        <v/>
      </c>
      <c r="D130" s="93" t="str">
        <f aca="false">'CC Alloc'!S93</f>
        <v/>
      </c>
      <c r="E130" s="94" t="str">
        <f aca="false">'CC Alloc'!T93</f>
        <v/>
      </c>
      <c r="F130" s="95" t="str">
        <f aca="false">IF('CC Alloc'!U93="","",'CC Alloc'!U93/QRate)</f>
        <v/>
      </c>
    </row>
    <row r="131" customFormat="false" ht="15" hidden="false" customHeight="false" outlineLevel="0" collapsed="false">
      <c r="B131" s="91" t="str">
        <f aca="false">IF('CC Alloc'!R94="","",91)</f>
        <v/>
      </c>
      <c r="C131" s="92" t="str">
        <f aca="false">'CC Alloc'!R94</f>
        <v/>
      </c>
      <c r="D131" s="93" t="str">
        <f aca="false">'CC Alloc'!S94</f>
        <v/>
      </c>
      <c r="E131" s="94" t="str">
        <f aca="false">'CC Alloc'!T94</f>
        <v/>
      </c>
      <c r="F131" s="95" t="str">
        <f aca="false">IF('CC Alloc'!U94="","",'CC Alloc'!U94/QRate)</f>
        <v/>
      </c>
    </row>
    <row r="132" customFormat="false" ht="15" hidden="false" customHeight="false" outlineLevel="0" collapsed="false">
      <c r="B132" s="91" t="str">
        <f aca="false">IF('CC Alloc'!R95="","",92)</f>
        <v/>
      </c>
      <c r="C132" s="92" t="str">
        <f aca="false">'CC Alloc'!R95</f>
        <v/>
      </c>
      <c r="D132" s="93" t="str">
        <f aca="false">'CC Alloc'!S95</f>
        <v/>
      </c>
      <c r="E132" s="94" t="str">
        <f aca="false">'CC Alloc'!T95</f>
        <v/>
      </c>
      <c r="F132" s="95" t="str">
        <f aca="false">IF('CC Alloc'!U95="","",'CC Alloc'!U95/QRate)</f>
        <v/>
      </c>
    </row>
    <row r="133" customFormat="false" ht="15" hidden="false" customHeight="false" outlineLevel="0" collapsed="false">
      <c r="B133" s="91" t="str">
        <f aca="false">IF('CC Alloc'!R96="","",93)</f>
        <v/>
      </c>
      <c r="C133" s="92" t="str">
        <f aca="false">'CC Alloc'!R96</f>
        <v/>
      </c>
      <c r="D133" s="93" t="str">
        <f aca="false">'CC Alloc'!S96</f>
        <v/>
      </c>
      <c r="E133" s="94" t="str">
        <f aca="false">'CC Alloc'!T96</f>
        <v/>
      </c>
      <c r="F133" s="95" t="str">
        <f aca="false">IF('CC Alloc'!U96="","",'CC Alloc'!U96/QRate)</f>
        <v/>
      </c>
    </row>
    <row r="134" customFormat="false" ht="15" hidden="false" customHeight="false" outlineLevel="0" collapsed="false">
      <c r="B134" s="91" t="str">
        <f aca="false">IF('CC Alloc'!R97="","",94)</f>
        <v/>
      </c>
      <c r="C134" s="92" t="str">
        <f aca="false">'CC Alloc'!R97</f>
        <v/>
      </c>
      <c r="D134" s="93" t="str">
        <f aca="false">'CC Alloc'!S97</f>
        <v/>
      </c>
      <c r="E134" s="94" t="str">
        <f aca="false">'CC Alloc'!T97</f>
        <v/>
      </c>
      <c r="F134" s="95" t="str">
        <f aca="false">IF('CC Alloc'!U97="","",'CC Alloc'!U97/QRate)</f>
        <v/>
      </c>
    </row>
    <row r="135" customFormat="false" ht="15" hidden="false" customHeight="false" outlineLevel="0" collapsed="false">
      <c r="B135" s="91" t="str">
        <f aca="false">IF('CC Alloc'!R98="","",95)</f>
        <v/>
      </c>
      <c r="C135" s="92" t="str">
        <f aca="false">'CC Alloc'!R98</f>
        <v/>
      </c>
      <c r="D135" s="93" t="str">
        <f aca="false">'CC Alloc'!S98</f>
        <v/>
      </c>
      <c r="E135" s="94" t="str">
        <f aca="false">'CC Alloc'!T98</f>
        <v/>
      </c>
      <c r="F135" s="95" t="str">
        <f aca="false">IF('CC Alloc'!U98="","",'CC Alloc'!U98/QRate)</f>
        <v/>
      </c>
    </row>
    <row r="136" customFormat="false" ht="15" hidden="false" customHeight="false" outlineLevel="0" collapsed="false">
      <c r="B136" s="91" t="str">
        <f aca="false">IF('CC Alloc'!R99="","",96)</f>
        <v/>
      </c>
      <c r="C136" s="92" t="str">
        <f aca="false">'CC Alloc'!R99</f>
        <v/>
      </c>
      <c r="D136" s="93" t="str">
        <f aca="false">'CC Alloc'!S99</f>
        <v/>
      </c>
      <c r="E136" s="94" t="str">
        <f aca="false">'CC Alloc'!T99</f>
        <v/>
      </c>
      <c r="F136" s="95" t="str">
        <f aca="false">IF('CC Alloc'!U99="","",'CC Alloc'!U99/QRate)</f>
        <v/>
      </c>
    </row>
    <row r="137" customFormat="false" ht="15" hidden="false" customHeight="false" outlineLevel="0" collapsed="false">
      <c r="B137" s="91" t="str">
        <f aca="false">IF('CC Alloc'!R100="","",97)</f>
        <v/>
      </c>
      <c r="C137" s="92" t="str">
        <f aca="false">'CC Alloc'!R100</f>
        <v/>
      </c>
      <c r="D137" s="93" t="str">
        <f aca="false">'CC Alloc'!S100</f>
        <v/>
      </c>
      <c r="E137" s="94" t="str">
        <f aca="false">'CC Alloc'!T100</f>
        <v/>
      </c>
      <c r="F137" s="95" t="str">
        <f aca="false">IF('CC Alloc'!U100="","",'CC Alloc'!U100/QRate)</f>
        <v/>
      </c>
    </row>
    <row r="138" customFormat="false" ht="15" hidden="false" customHeight="false" outlineLevel="0" collapsed="false">
      <c r="B138" s="91" t="str">
        <f aca="false">IF('CC Alloc'!R101="","",98)</f>
        <v/>
      </c>
      <c r="C138" s="92" t="str">
        <f aca="false">'CC Alloc'!R101</f>
        <v/>
      </c>
      <c r="D138" s="93" t="str">
        <f aca="false">'CC Alloc'!S101</f>
        <v/>
      </c>
      <c r="E138" s="94" t="str">
        <f aca="false">'CC Alloc'!T101</f>
        <v/>
      </c>
      <c r="F138" s="95" t="str">
        <f aca="false">IF('CC Alloc'!U101="","",'CC Alloc'!U101/QRate)</f>
        <v/>
      </c>
    </row>
    <row r="139" customFormat="false" ht="15" hidden="false" customHeight="false" outlineLevel="0" collapsed="false">
      <c r="B139" s="91" t="str">
        <f aca="false">IF('CC Alloc'!R102="","",99)</f>
        <v/>
      </c>
      <c r="C139" s="92" t="str">
        <f aca="false">'CC Alloc'!R102</f>
        <v/>
      </c>
      <c r="D139" s="93" t="str">
        <f aca="false">'CC Alloc'!S102</f>
        <v/>
      </c>
      <c r="E139" s="94" t="str">
        <f aca="false">'CC Alloc'!T102</f>
        <v/>
      </c>
      <c r="F139" s="95" t="str">
        <f aca="false">IF('CC Alloc'!U102="","",'CC Alloc'!U102/QRate)</f>
        <v/>
      </c>
    </row>
    <row r="140" customFormat="false" ht="15" hidden="false" customHeight="false" outlineLevel="0" collapsed="false">
      <c r="B140" s="91" t="str">
        <f aca="false">IF('CC Alloc'!R103="","",100)</f>
        <v/>
      </c>
      <c r="C140" s="92" t="str">
        <f aca="false">'CC Alloc'!R103</f>
        <v/>
      </c>
      <c r="D140" s="93" t="str">
        <f aca="false">'CC Alloc'!S103</f>
        <v/>
      </c>
      <c r="E140" s="94" t="str">
        <f aca="false">'CC Alloc'!T103</f>
        <v/>
      </c>
      <c r="F140" s="95" t="str">
        <f aca="false">IF('CC Alloc'!U103="","",'CC Alloc'!U103/QRate)</f>
        <v/>
      </c>
    </row>
    <row r="141" customFormat="false" ht="15" hidden="false" customHeight="false" outlineLevel="0" collapsed="false">
      <c r="B141" s="91" t="str">
        <f aca="false">IF('CC Alloc'!R104="","",101)</f>
        <v/>
      </c>
      <c r="C141" s="92" t="str">
        <f aca="false">'CC Alloc'!R104</f>
        <v/>
      </c>
      <c r="D141" s="93" t="str">
        <f aca="false">'CC Alloc'!S104</f>
        <v/>
      </c>
      <c r="E141" s="94" t="str">
        <f aca="false">'CC Alloc'!T104</f>
        <v/>
      </c>
      <c r="F141" s="95" t="str">
        <f aca="false">IF('CC Alloc'!U104="","",'CC Alloc'!U104/QRate)</f>
        <v/>
      </c>
    </row>
    <row r="142" customFormat="false" ht="15" hidden="false" customHeight="false" outlineLevel="0" collapsed="false">
      <c r="B142" s="91" t="str">
        <f aca="false">IF('CC Alloc'!R105="","",102)</f>
        <v/>
      </c>
      <c r="C142" s="92" t="str">
        <f aca="false">'CC Alloc'!R105</f>
        <v/>
      </c>
      <c r="D142" s="93" t="str">
        <f aca="false">'CC Alloc'!S105</f>
        <v/>
      </c>
      <c r="E142" s="94" t="str">
        <f aca="false">'CC Alloc'!T105</f>
        <v/>
      </c>
      <c r="F142" s="95" t="str">
        <f aca="false">IF('CC Alloc'!U105="","",'CC Alloc'!U105/QRate)</f>
        <v/>
      </c>
    </row>
    <row r="143" customFormat="false" ht="15" hidden="false" customHeight="false" outlineLevel="0" collapsed="false">
      <c r="B143" s="91" t="str">
        <f aca="false">IF('CC Alloc'!R106="","",103)</f>
        <v/>
      </c>
      <c r="C143" s="92" t="str">
        <f aca="false">'CC Alloc'!R106</f>
        <v/>
      </c>
      <c r="D143" s="93" t="str">
        <f aca="false">'CC Alloc'!S106</f>
        <v/>
      </c>
      <c r="E143" s="94" t="str">
        <f aca="false">'CC Alloc'!T106</f>
        <v/>
      </c>
      <c r="F143" s="95" t="str">
        <f aca="false">IF('CC Alloc'!U106="","",'CC Alloc'!U106/QRate)</f>
        <v/>
      </c>
    </row>
    <row r="144" customFormat="false" ht="15" hidden="false" customHeight="false" outlineLevel="0" collapsed="false">
      <c r="B144" s="91" t="str">
        <f aca="false">IF('CC Alloc'!R107="","",104)</f>
        <v/>
      </c>
      <c r="C144" s="92" t="str">
        <f aca="false">'CC Alloc'!R107</f>
        <v/>
      </c>
      <c r="D144" s="93" t="str">
        <f aca="false">'CC Alloc'!S107</f>
        <v/>
      </c>
      <c r="E144" s="94" t="str">
        <f aca="false">'CC Alloc'!T107</f>
        <v/>
      </c>
      <c r="F144" s="95" t="str">
        <f aca="false">IF('CC Alloc'!U107="","",'CC Alloc'!U107/QRate)</f>
        <v/>
      </c>
    </row>
    <row r="145" customFormat="false" ht="15" hidden="false" customHeight="false" outlineLevel="0" collapsed="false">
      <c r="B145" s="91" t="str">
        <f aca="false">IF('CC Alloc'!R108="","",105)</f>
        <v/>
      </c>
      <c r="C145" s="92" t="str">
        <f aca="false">'CC Alloc'!R108</f>
        <v/>
      </c>
      <c r="D145" s="93" t="str">
        <f aca="false">'CC Alloc'!S108</f>
        <v/>
      </c>
      <c r="E145" s="94" t="str">
        <f aca="false">'CC Alloc'!T108</f>
        <v/>
      </c>
      <c r="F145" s="95" t="str">
        <f aca="false">IF('CC Alloc'!U108="","",'CC Alloc'!U108/QRate)</f>
        <v/>
      </c>
    </row>
    <row r="146" customFormat="false" ht="15" hidden="false" customHeight="false" outlineLevel="0" collapsed="false">
      <c r="B146" s="91" t="str">
        <f aca="false">IF('CC Alloc'!R109="","",106)</f>
        <v/>
      </c>
      <c r="C146" s="92" t="str">
        <f aca="false">'CC Alloc'!R109</f>
        <v/>
      </c>
      <c r="D146" s="93" t="str">
        <f aca="false">'CC Alloc'!S109</f>
        <v/>
      </c>
      <c r="E146" s="94" t="str">
        <f aca="false">'CC Alloc'!T109</f>
        <v/>
      </c>
      <c r="F146" s="95" t="str">
        <f aca="false">IF('CC Alloc'!U109="","",'CC Alloc'!U109/QRate)</f>
        <v/>
      </c>
    </row>
    <row r="147" customFormat="false" ht="15" hidden="false" customHeight="false" outlineLevel="0" collapsed="false">
      <c r="B147" s="91" t="str">
        <f aca="false">IF('CC Alloc'!R110="","",107)</f>
        <v/>
      </c>
      <c r="C147" s="92" t="str">
        <f aca="false">'CC Alloc'!R110</f>
        <v/>
      </c>
      <c r="D147" s="93" t="str">
        <f aca="false">'CC Alloc'!S110</f>
        <v/>
      </c>
      <c r="E147" s="94" t="str">
        <f aca="false">'CC Alloc'!T110</f>
        <v/>
      </c>
      <c r="F147" s="95" t="str">
        <f aca="false">IF('CC Alloc'!U110="","",'CC Alloc'!U110/QRate)</f>
        <v/>
      </c>
    </row>
    <row r="148" customFormat="false" ht="15" hidden="false" customHeight="false" outlineLevel="0" collapsed="false">
      <c r="B148" s="91" t="str">
        <f aca="false">IF('CC Alloc'!R111="","",108)</f>
        <v/>
      </c>
      <c r="C148" s="92" t="str">
        <f aca="false">'CC Alloc'!R111</f>
        <v/>
      </c>
      <c r="D148" s="93" t="str">
        <f aca="false">'CC Alloc'!S111</f>
        <v/>
      </c>
      <c r="E148" s="94" t="str">
        <f aca="false">'CC Alloc'!T111</f>
        <v/>
      </c>
      <c r="F148" s="95" t="str">
        <f aca="false">IF('CC Alloc'!U111="","",'CC Alloc'!U111/QRate)</f>
        <v/>
      </c>
    </row>
    <row r="149" customFormat="false" ht="15" hidden="false" customHeight="false" outlineLevel="0" collapsed="false">
      <c r="B149" s="91" t="str">
        <f aca="false">IF('CC Alloc'!R112="","",109)</f>
        <v/>
      </c>
      <c r="C149" s="92" t="str">
        <f aca="false">'CC Alloc'!R112</f>
        <v/>
      </c>
      <c r="D149" s="93" t="str">
        <f aca="false">'CC Alloc'!S112</f>
        <v/>
      </c>
      <c r="E149" s="94" t="str">
        <f aca="false">'CC Alloc'!T112</f>
        <v/>
      </c>
      <c r="F149" s="95" t="str">
        <f aca="false">IF('CC Alloc'!U112="","",'CC Alloc'!U112/QRate)</f>
        <v/>
      </c>
    </row>
    <row r="150" customFormat="false" ht="15" hidden="false" customHeight="false" outlineLevel="0" collapsed="false">
      <c r="B150" s="91" t="str">
        <f aca="false">IF('CC Alloc'!R113="","",110)</f>
        <v/>
      </c>
      <c r="C150" s="92" t="str">
        <f aca="false">'CC Alloc'!R113</f>
        <v/>
      </c>
      <c r="D150" s="93" t="str">
        <f aca="false">'CC Alloc'!S113</f>
        <v/>
      </c>
      <c r="E150" s="94" t="str">
        <f aca="false">'CC Alloc'!T113</f>
        <v/>
      </c>
      <c r="F150" s="95" t="str">
        <f aca="false">IF('CC Alloc'!U113="","",'CC Alloc'!U113/QRate)</f>
        <v/>
      </c>
    </row>
    <row r="151" customFormat="false" ht="15" hidden="false" customHeight="false" outlineLevel="0" collapsed="false">
      <c r="B151" s="91" t="str">
        <f aca="false">IF('CC Alloc'!R114="","",111)</f>
        <v/>
      </c>
      <c r="C151" s="92" t="str">
        <f aca="false">'CC Alloc'!R114</f>
        <v/>
      </c>
      <c r="D151" s="93" t="str">
        <f aca="false">'CC Alloc'!S114</f>
        <v/>
      </c>
      <c r="E151" s="94" t="str">
        <f aca="false">'CC Alloc'!T114</f>
        <v/>
      </c>
      <c r="F151" s="95" t="str">
        <f aca="false">IF('CC Alloc'!U114="","",'CC Alloc'!U114/QRate)</f>
        <v/>
      </c>
    </row>
    <row r="152" customFormat="false" ht="15" hidden="false" customHeight="false" outlineLevel="0" collapsed="false">
      <c r="B152" s="91" t="str">
        <f aca="false">IF('CC Alloc'!R115="","",112)</f>
        <v/>
      </c>
      <c r="C152" s="92" t="str">
        <f aca="false">'CC Alloc'!R115</f>
        <v/>
      </c>
      <c r="D152" s="93" t="str">
        <f aca="false">'CC Alloc'!S115</f>
        <v/>
      </c>
      <c r="E152" s="94" t="str">
        <f aca="false">'CC Alloc'!T115</f>
        <v/>
      </c>
      <c r="F152" s="95" t="str">
        <f aca="false">IF('CC Alloc'!U115="","",'CC Alloc'!U115/QRate)</f>
        <v/>
      </c>
    </row>
    <row r="153" customFormat="false" ht="15" hidden="false" customHeight="false" outlineLevel="0" collapsed="false">
      <c r="B153" s="91" t="str">
        <f aca="false">IF('CC Alloc'!R116="","",113)</f>
        <v/>
      </c>
      <c r="C153" s="92" t="str">
        <f aca="false">'CC Alloc'!R116</f>
        <v/>
      </c>
      <c r="D153" s="93" t="str">
        <f aca="false">'CC Alloc'!S116</f>
        <v/>
      </c>
      <c r="E153" s="94" t="str">
        <f aca="false">'CC Alloc'!T116</f>
        <v/>
      </c>
      <c r="F153" s="95" t="str">
        <f aca="false">IF('CC Alloc'!U116="","",'CC Alloc'!U116/QRate)</f>
        <v/>
      </c>
    </row>
    <row r="154" customFormat="false" ht="15" hidden="false" customHeight="false" outlineLevel="0" collapsed="false">
      <c r="B154" s="91" t="str">
        <f aca="false">IF('CC Alloc'!R117="","",114)</f>
        <v/>
      </c>
      <c r="C154" s="92" t="str">
        <f aca="false">'CC Alloc'!R117</f>
        <v/>
      </c>
      <c r="D154" s="93" t="str">
        <f aca="false">'CC Alloc'!S117</f>
        <v/>
      </c>
      <c r="E154" s="94" t="str">
        <f aca="false">'CC Alloc'!T117</f>
        <v/>
      </c>
      <c r="F154" s="95" t="str">
        <f aca="false">IF('CC Alloc'!U117="","",'CC Alloc'!U117/QRate)</f>
        <v/>
      </c>
    </row>
    <row r="155" customFormat="false" ht="15" hidden="false" customHeight="false" outlineLevel="0" collapsed="false">
      <c r="B155" s="91" t="str">
        <f aca="false">IF('CC Alloc'!R118="","",115)</f>
        <v/>
      </c>
      <c r="C155" s="92" t="str">
        <f aca="false">'CC Alloc'!R118</f>
        <v/>
      </c>
      <c r="D155" s="93" t="str">
        <f aca="false">'CC Alloc'!S118</f>
        <v/>
      </c>
      <c r="E155" s="94" t="str">
        <f aca="false">'CC Alloc'!T118</f>
        <v/>
      </c>
      <c r="F155" s="95" t="str">
        <f aca="false">IF('CC Alloc'!U118="","",'CC Alloc'!U118/QRate)</f>
        <v/>
      </c>
    </row>
    <row r="156" customFormat="false" ht="15" hidden="false" customHeight="false" outlineLevel="0" collapsed="false">
      <c r="B156" s="91" t="str">
        <f aca="false">IF('CC Alloc'!R119="","",116)</f>
        <v/>
      </c>
      <c r="C156" s="92" t="str">
        <f aca="false">'CC Alloc'!R119</f>
        <v/>
      </c>
      <c r="D156" s="93" t="str">
        <f aca="false">'CC Alloc'!S119</f>
        <v/>
      </c>
      <c r="E156" s="94" t="str">
        <f aca="false">'CC Alloc'!T119</f>
        <v/>
      </c>
      <c r="F156" s="95" t="str">
        <f aca="false">IF('CC Alloc'!U119="","",'CC Alloc'!U119/QRate)</f>
        <v/>
      </c>
    </row>
    <row r="157" customFormat="false" ht="15" hidden="false" customHeight="false" outlineLevel="0" collapsed="false">
      <c r="B157" s="91" t="str">
        <f aca="false">IF('CC Alloc'!R120="","",117)</f>
        <v/>
      </c>
      <c r="C157" s="92" t="str">
        <f aca="false">'CC Alloc'!R120</f>
        <v/>
      </c>
      <c r="D157" s="93" t="str">
        <f aca="false">'CC Alloc'!S120</f>
        <v/>
      </c>
      <c r="E157" s="94" t="str">
        <f aca="false">'CC Alloc'!T120</f>
        <v/>
      </c>
      <c r="F157" s="95" t="str">
        <f aca="false">IF('CC Alloc'!U120="","",'CC Alloc'!U120/QRate)</f>
        <v/>
      </c>
    </row>
    <row r="158" customFormat="false" ht="15" hidden="false" customHeight="false" outlineLevel="0" collapsed="false">
      <c r="B158" s="91" t="str">
        <f aca="false">IF('CC Alloc'!R121="","",118)</f>
        <v/>
      </c>
      <c r="C158" s="92" t="str">
        <f aca="false">'CC Alloc'!R121</f>
        <v/>
      </c>
      <c r="D158" s="93" t="str">
        <f aca="false">'CC Alloc'!S121</f>
        <v/>
      </c>
      <c r="E158" s="94" t="str">
        <f aca="false">'CC Alloc'!T121</f>
        <v/>
      </c>
      <c r="F158" s="95" t="str">
        <f aca="false">IF('CC Alloc'!U121="","",'CC Alloc'!U121/QRate)</f>
        <v/>
      </c>
    </row>
    <row r="159" customFormat="false" ht="15" hidden="false" customHeight="false" outlineLevel="0" collapsed="false">
      <c r="B159" s="91" t="str">
        <f aca="false">IF('CC Alloc'!R122="","",119)</f>
        <v/>
      </c>
      <c r="C159" s="92" t="str">
        <f aca="false">'CC Alloc'!R122</f>
        <v/>
      </c>
      <c r="D159" s="93" t="str">
        <f aca="false">'CC Alloc'!S122</f>
        <v/>
      </c>
      <c r="E159" s="94" t="str">
        <f aca="false">'CC Alloc'!T122</f>
        <v/>
      </c>
      <c r="F159" s="95" t="str">
        <f aca="false">IF('CC Alloc'!U122="","",'CC Alloc'!U122/QRate)</f>
        <v/>
      </c>
    </row>
    <row r="160" customFormat="false" ht="15" hidden="false" customHeight="false" outlineLevel="0" collapsed="false">
      <c r="B160" s="91" t="str">
        <f aca="false">IF('CC Alloc'!R123="","",120)</f>
        <v/>
      </c>
      <c r="C160" s="92" t="str">
        <f aca="false">'CC Alloc'!R123</f>
        <v/>
      </c>
      <c r="D160" s="93" t="str">
        <f aca="false">'CC Alloc'!S123</f>
        <v/>
      </c>
      <c r="E160" s="94" t="str">
        <f aca="false">'CC Alloc'!T123</f>
        <v/>
      </c>
      <c r="F160" s="95" t="str">
        <f aca="false">IF('CC Alloc'!U123="","",'CC Alloc'!U123/QRate)</f>
        <v/>
      </c>
    </row>
    <row r="161" customFormat="false" ht="15" hidden="false" customHeight="false" outlineLevel="0" collapsed="false">
      <c r="B161" s="91" t="str">
        <f aca="false">IF('CC Alloc'!R124="","",121)</f>
        <v/>
      </c>
      <c r="C161" s="92" t="str">
        <f aca="false">'CC Alloc'!R124</f>
        <v/>
      </c>
      <c r="D161" s="93" t="str">
        <f aca="false">'CC Alloc'!S124</f>
        <v/>
      </c>
      <c r="E161" s="94" t="str">
        <f aca="false">'CC Alloc'!T124</f>
        <v/>
      </c>
      <c r="F161" s="95" t="str">
        <f aca="false">IF('CC Alloc'!U124="","",'CC Alloc'!U124/QRate)</f>
        <v/>
      </c>
    </row>
    <row r="162" customFormat="false" ht="15" hidden="false" customHeight="false" outlineLevel="0" collapsed="false">
      <c r="B162" s="91" t="str">
        <f aca="false">IF('CC Alloc'!R125="","",122)</f>
        <v/>
      </c>
      <c r="C162" s="92" t="str">
        <f aca="false">'CC Alloc'!R125</f>
        <v/>
      </c>
      <c r="D162" s="93" t="str">
        <f aca="false">'CC Alloc'!S125</f>
        <v/>
      </c>
      <c r="E162" s="94" t="str">
        <f aca="false">'CC Alloc'!T125</f>
        <v/>
      </c>
      <c r="F162" s="95" t="str">
        <f aca="false">IF('CC Alloc'!U125="","",'CC Alloc'!U125/QRate)</f>
        <v/>
      </c>
    </row>
    <row r="163" customFormat="false" ht="15" hidden="false" customHeight="false" outlineLevel="0" collapsed="false">
      <c r="B163" s="91" t="str">
        <f aca="false">IF('CC Alloc'!R126="","",123)</f>
        <v/>
      </c>
      <c r="C163" s="92" t="str">
        <f aca="false">'CC Alloc'!R126</f>
        <v/>
      </c>
      <c r="D163" s="93" t="str">
        <f aca="false">'CC Alloc'!S126</f>
        <v/>
      </c>
      <c r="E163" s="94" t="str">
        <f aca="false">'CC Alloc'!T126</f>
        <v/>
      </c>
      <c r="F163" s="95" t="str">
        <f aca="false">IF('CC Alloc'!U126="","",'CC Alloc'!U126/QRate)</f>
        <v/>
      </c>
    </row>
    <row r="164" customFormat="false" ht="15" hidden="false" customHeight="false" outlineLevel="0" collapsed="false">
      <c r="B164" s="91" t="str">
        <f aca="false">IF('CC Alloc'!R127="","",124)</f>
        <v/>
      </c>
      <c r="C164" s="92" t="str">
        <f aca="false">'CC Alloc'!R127</f>
        <v/>
      </c>
      <c r="D164" s="93" t="str">
        <f aca="false">'CC Alloc'!S127</f>
        <v/>
      </c>
      <c r="E164" s="94" t="str">
        <f aca="false">'CC Alloc'!T127</f>
        <v/>
      </c>
      <c r="F164" s="95" t="str">
        <f aca="false">IF('CC Alloc'!U127="","",'CC Alloc'!U127/QRate)</f>
        <v/>
      </c>
    </row>
    <row r="165" customFormat="false" ht="15" hidden="false" customHeight="false" outlineLevel="0" collapsed="false">
      <c r="B165" s="91" t="str">
        <f aca="false">IF('CC Alloc'!R128="","",125)</f>
        <v/>
      </c>
      <c r="C165" s="92" t="str">
        <f aca="false">'CC Alloc'!R128</f>
        <v/>
      </c>
      <c r="D165" s="93" t="str">
        <f aca="false">'CC Alloc'!S128</f>
        <v/>
      </c>
      <c r="E165" s="94" t="str">
        <f aca="false">'CC Alloc'!T128</f>
        <v/>
      </c>
      <c r="F165" s="95" t="str">
        <f aca="false">IF('CC Alloc'!U128="","",'CC Alloc'!U128/QRate)</f>
        <v/>
      </c>
    </row>
    <row r="166" customFormat="false" ht="15" hidden="false" customHeight="false" outlineLevel="0" collapsed="false">
      <c r="B166" s="91" t="str">
        <f aca="false">IF('CC Alloc'!R129="","",126)</f>
        <v/>
      </c>
      <c r="C166" s="92" t="str">
        <f aca="false">'CC Alloc'!R129</f>
        <v/>
      </c>
      <c r="D166" s="93" t="str">
        <f aca="false">'CC Alloc'!S129</f>
        <v/>
      </c>
      <c r="E166" s="94" t="str">
        <f aca="false">'CC Alloc'!T129</f>
        <v/>
      </c>
      <c r="F166" s="95" t="str">
        <f aca="false">IF('CC Alloc'!U129="","",'CC Alloc'!U129/QRate)</f>
        <v/>
      </c>
    </row>
    <row r="167" customFormat="false" ht="15" hidden="false" customHeight="false" outlineLevel="0" collapsed="false">
      <c r="B167" s="91" t="str">
        <f aca="false">IF('CC Alloc'!R130="","",127)</f>
        <v/>
      </c>
      <c r="C167" s="92" t="str">
        <f aca="false">'CC Alloc'!R130</f>
        <v/>
      </c>
      <c r="D167" s="93" t="str">
        <f aca="false">'CC Alloc'!S130</f>
        <v/>
      </c>
      <c r="E167" s="94" t="str">
        <f aca="false">'CC Alloc'!T130</f>
        <v/>
      </c>
      <c r="F167" s="95" t="str">
        <f aca="false">IF('CC Alloc'!U130="","",'CC Alloc'!U130/QRate)</f>
        <v/>
      </c>
    </row>
    <row r="168" customFormat="false" ht="15" hidden="false" customHeight="false" outlineLevel="0" collapsed="false">
      <c r="B168" s="91" t="str">
        <f aca="false">IF('CC Alloc'!R131="","",128)</f>
        <v/>
      </c>
      <c r="C168" s="92" t="str">
        <f aca="false">'CC Alloc'!R131</f>
        <v/>
      </c>
      <c r="D168" s="93" t="str">
        <f aca="false">'CC Alloc'!S131</f>
        <v/>
      </c>
      <c r="E168" s="94" t="str">
        <f aca="false">'CC Alloc'!T131</f>
        <v/>
      </c>
      <c r="F168" s="95" t="str">
        <f aca="false">IF('CC Alloc'!U131="","",'CC Alloc'!U131/QRate)</f>
        <v/>
      </c>
    </row>
    <row r="169" customFormat="false" ht="15" hidden="false" customHeight="false" outlineLevel="0" collapsed="false">
      <c r="B169" s="91" t="str">
        <f aca="false">IF('CC Alloc'!R132="","",129)</f>
        <v/>
      </c>
      <c r="C169" s="92" t="str">
        <f aca="false">'CC Alloc'!R132</f>
        <v/>
      </c>
      <c r="D169" s="93" t="str">
        <f aca="false">'CC Alloc'!S132</f>
        <v/>
      </c>
      <c r="E169" s="94" t="str">
        <f aca="false">'CC Alloc'!T132</f>
        <v/>
      </c>
      <c r="F169" s="95" t="str">
        <f aca="false">IF('CC Alloc'!U132="","",'CC Alloc'!U132/QRate)</f>
        <v/>
      </c>
    </row>
    <row r="170" customFormat="false" ht="15" hidden="false" customHeight="false" outlineLevel="0" collapsed="false">
      <c r="B170" s="91" t="str">
        <f aca="false">IF('CC Alloc'!R133="","",130)</f>
        <v/>
      </c>
      <c r="C170" s="92" t="str">
        <f aca="false">'CC Alloc'!R133</f>
        <v/>
      </c>
      <c r="D170" s="93" t="str">
        <f aca="false">'CC Alloc'!S133</f>
        <v/>
      </c>
      <c r="E170" s="94" t="str">
        <f aca="false">'CC Alloc'!T133</f>
        <v/>
      </c>
      <c r="F170" s="95" t="str">
        <f aca="false">IF('CC Alloc'!U133="","",'CC Alloc'!U133/QRate)</f>
        <v/>
      </c>
    </row>
    <row r="171" customFormat="false" ht="15" hidden="false" customHeight="false" outlineLevel="0" collapsed="false">
      <c r="B171" s="91" t="str">
        <f aca="false">IF('CC Alloc'!R134="","",131)</f>
        <v/>
      </c>
      <c r="C171" s="92" t="str">
        <f aca="false">'CC Alloc'!R134</f>
        <v/>
      </c>
      <c r="D171" s="93" t="str">
        <f aca="false">'CC Alloc'!S134</f>
        <v/>
      </c>
      <c r="E171" s="94" t="str">
        <f aca="false">'CC Alloc'!T134</f>
        <v/>
      </c>
      <c r="F171" s="95" t="str">
        <f aca="false">IF('CC Alloc'!U134="","",'CC Alloc'!U134/QRate)</f>
        <v/>
      </c>
    </row>
    <row r="172" customFormat="false" ht="15" hidden="false" customHeight="false" outlineLevel="0" collapsed="false">
      <c r="B172" s="91" t="str">
        <f aca="false">IF('CC Alloc'!R135="","",132)</f>
        <v/>
      </c>
      <c r="C172" s="92" t="str">
        <f aca="false">'CC Alloc'!R135</f>
        <v/>
      </c>
      <c r="D172" s="93" t="str">
        <f aca="false">'CC Alloc'!S135</f>
        <v/>
      </c>
      <c r="E172" s="94" t="str">
        <f aca="false">'CC Alloc'!T135</f>
        <v/>
      </c>
      <c r="F172" s="95" t="str">
        <f aca="false">IF('CC Alloc'!U135="","",'CC Alloc'!U135/QRate)</f>
        <v/>
      </c>
    </row>
    <row r="173" customFormat="false" ht="15" hidden="false" customHeight="false" outlineLevel="0" collapsed="false">
      <c r="B173" s="91" t="str">
        <f aca="false">IF('CC Alloc'!R136="","",133)</f>
        <v/>
      </c>
      <c r="C173" s="92" t="str">
        <f aca="false">'CC Alloc'!R136</f>
        <v/>
      </c>
      <c r="D173" s="93" t="str">
        <f aca="false">'CC Alloc'!S136</f>
        <v/>
      </c>
      <c r="E173" s="94" t="str">
        <f aca="false">'CC Alloc'!T136</f>
        <v/>
      </c>
      <c r="F173" s="95" t="str">
        <f aca="false">IF('CC Alloc'!U136="","",'CC Alloc'!U136/QRate)</f>
        <v/>
      </c>
    </row>
    <row r="174" customFormat="false" ht="15" hidden="false" customHeight="false" outlineLevel="0" collapsed="false">
      <c r="B174" s="91" t="str">
        <f aca="false">IF('CC Alloc'!R137="","",134)</f>
        <v/>
      </c>
      <c r="C174" s="92" t="str">
        <f aca="false">'CC Alloc'!R137</f>
        <v/>
      </c>
      <c r="D174" s="93" t="str">
        <f aca="false">'CC Alloc'!S137</f>
        <v/>
      </c>
      <c r="E174" s="94" t="str">
        <f aca="false">'CC Alloc'!T137</f>
        <v/>
      </c>
      <c r="F174" s="95" t="str">
        <f aca="false">IF('CC Alloc'!U137="","",'CC Alloc'!U137/QRate)</f>
        <v/>
      </c>
    </row>
    <row r="175" customFormat="false" ht="15" hidden="false" customHeight="false" outlineLevel="0" collapsed="false">
      <c r="B175" s="91" t="str">
        <f aca="false">IF('CC Alloc'!R138="","",135)</f>
        <v/>
      </c>
      <c r="C175" s="92" t="str">
        <f aca="false">'CC Alloc'!R138</f>
        <v/>
      </c>
      <c r="D175" s="93" t="str">
        <f aca="false">'CC Alloc'!S138</f>
        <v/>
      </c>
      <c r="E175" s="94" t="str">
        <f aca="false">'CC Alloc'!T138</f>
        <v/>
      </c>
      <c r="F175" s="95" t="str">
        <f aca="false">IF('CC Alloc'!U138="","",'CC Alloc'!U138/QRate)</f>
        <v/>
      </c>
    </row>
    <row r="176" customFormat="false" ht="15" hidden="false" customHeight="false" outlineLevel="0" collapsed="false">
      <c r="B176" s="91" t="str">
        <f aca="false">IF('CC Alloc'!R139="","",136)</f>
        <v/>
      </c>
      <c r="C176" s="92" t="str">
        <f aca="false">'CC Alloc'!R139</f>
        <v/>
      </c>
      <c r="D176" s="93" t="str">
        <f aca="false">'CC Alloc'!S139</f>
        <v/>
      </c>
      <c r="E176" s="94" t="str">
        <f aca="false">'CC Alloc'!T139</f>
        <v/>
      </c>
      <c r="F176" s="95" t="str">
        <f aca="false">IF('CC Alloc'!U139="","",'CC Alloc'!U139/QRate)</f>
        <v/>
      </c>
    </row>
    <row r="177" customFormat="false" ht="15" hidden="false" customHeight="false" outlineLevel="0" collapsed="false">
      <c r="B177" s="91" t="str">
        <f aca="false">IF('CC Alloc'!R140="","",137)</f>
        <v/>
      </c>
      <c r="C177" s="92" t="str">
        <f aca="false">'CC Alloc'!R140</f>
        <v/>
      </c>
      <c r="D177" s="93" t="str">
        <f aca="false">'CC Alloc'!S140</f>
        <v/>
      </c>
      <c r="E177" s="94" t="str">
        <f aca="false">'CC Alloc'!T140</f>
        <v/>
      </c>
      <c r="F177" s="95" t="str">
        <f aca="false">IF('CC Alloc'!U140="","",'CC Alloc'!U140/QRate)</f>
        <v/>
      </c>
    </row>
    <row r="178" customFormat="false" ht="15" hidden="false" customHeight="false" outlineLevel="0" collapsed="false">
      <c r="B178" s="91" t="str">
        <f aca="false">IF('CC Alloc'!R141="","",138)</f>
        <v/>
      </c>
      <c r="C178" s="92" t="str">
        <f aca="false">'CC Alloc'!R141</f>
        <v/>
      </c>
      <c r="D178" s="93" t="str">
        <f aca="false">'CC Alloc'!S141</f>
        <v/>
      </c>
      <c r="E178" s="94" t="str">
        <f aca="false">'CC Alloc'!T141</f>
        <v/>
      </c>
      <c r="F178" s="95" t="str">
        <f aca="false">IF('CC Alloc'!U141="","",'CC Alloc'!U141/QRate)</f>
        <v/>
      </c>
    </row>
    <row r="179" customFormat="false" ht="15" hidden="false" customHeight="false" outlineLevel="0" collapsed="false">
      <c r="B179" s="91" t="str">
        <f aca="false">IF('CC Alloc'!R142="","",139)</f>
        <v/>
      </c>
      <c r="C179" s="92" t="str">
        <f aca="false">'CC Alloc'!R142</f>
        <v/>
      </c>
      <c r="D179" s="93" t="str">
        <f aca="false">'CC Alloc'!S142</f>
        <v/>
      </c>
      <c r="E179" s="94" t="str">
        <f aca="false">'CC Alloc'!T142</f>
        <v/>
      </c>
      <c r="F179" s="95" t="str">
        <f aca="false">IF('CC Alloc'!U142="","",'CC Alloc'!U142/QRate)</f>
        <v/>
      </c>
    </row>
    <row r="180" customFormat="false" ht="15" hidden="false" customHeight="false" outlineLevel="0" collapsed="false">
      <c r="B180" s="91" t="str">
        <f aca="false">IF('CC Alloc'!R143="","",140)</f>
        <v/>
      </c>
      <c r="C180" s="92" t="str">
        <f aca="false">'CC Alloc'!R143</f>
        <v/>
      </c>
      <c r="D180" s="93" t="str">
        <f aca="false">'CC Alloc'!S143</f>
        <v/>
      </c>
      <c r="E180" s="94" t="str">
        <f aca="false">'CC Alloc'!T143</f>
        <v/>
      </c>
      <c r="F180" s="95" t="str">
        <f aca="false">IF('CC Alloc'!U143="","",'CC Alloc'!U143/QRate)</f>
        <v/>
      </c>
    </row>
    <row r="181" customFormat="false" ht="15" hidden="false" customHeight="false" outlineLevel="0" collapsed="false">
      <c r="B181" s="91" t="str">
        <f aca="false">IF('CC Alloc'!R144="","",141)</f>
        <v/>
      </c>
      <c r="C181" s="92" t="str">
        <f aca="false">'CC Alloc'!R144</f>
        <v/>
      </c>
      <c r="D181" s="93" t="str">
        <f aca="false">'CC Alloc'!S144</f>
        <v/>
      </c>
      <c r="E181" s="94" t="str">
        <f aca="false">'CC Alloc'!T144</f>
        <v/>
      </c>
      <c r="F181" s="95" t="str">
        <f aca="false">IF('CC Alloc'!U144="","",'CC Alloc'!U144/QRate)</f>
        <v/>
      </c>
    </row>
    <row r="182" customFormat="false" ht="15" hidden="false" customHeight="false" outlineLevel="0" collapsed="false">
      <c r="B182" s="91" t="str">
        <f aca="false">IF('CC Alloc'!R145="","",142)</f>
        <v/>
      </c>
      <c r="C182" s="92" t="str">
        <f aca="false">'CC Alloc'!R145</f>
        <v/>
      </c>
      <c r="D182" s="93" t="str">
        <f aca="false">'CC Alloc'!S145</f>
        <v/>
      </c>
      <c r="E182" s="94" t="str">
        <f aca="false">'CC Alloc'!T145</f>
        <v/>
      </c>
      <c r="F182" s="95" t="str">
        <f aca="false">IF('CC Alloc'!U145="","",'CC Alloc'!U145/QRate)</f>
        <v/>
      </c>
    </row>
    <row r="183" customFormat="false" ht="15" hidden="false" customHeight="false" outlineLevel="0" collapsed="false">
      <c r="B183" s="91" t="str">
        <f aca="false">IF('CC Alloc'!R146="","",143)</f>
        <v/>
      </c>
      <c r="C183" s="92" t="str">
        <f aca="false">'CC Alloc'!R146</f>
        <v/>
      </c>
      <c r="D183" s="93" t="str">
        <f aca="false">'CC Alloc'!S146</f>
        <v/>
      </c>
      <c r="E183" s="94" t="str">
        <f aca="false">'CC Alloc'!T146</f>
        <v/>
      </c>
      <c r="F183" s="95" t="str">
        <f aca="false">IF('CC Alloc'!U146="","",'CC Alloc'!U146/QRate)</f>
        <v/>
      </c>
    </row>
    <row r="184" customFormat="false" ht="15" hidden="false" customHeight="false" outlineLevel="0" collapsed="false">
      <c r="B184" s="91" t="str">
        <f aca="false">IF('CC Alloc'!R147="","",144)</f>
        <v/>
      </c>
      <c r="C184" s="92" t="str">
        <f aca="false">'CC Alloc'!R147</f>
        <v/>
      </c>
      <c r="D184" s="93" t="str">
        <f aca="false">'CC Alloc'!S147</f>
        <v/>
      </c>
      <c r="E184" s="94" t="str">
        <f aca="false">'CC Alloc'!T147</f>
        <v/>
      </c>
      <c r="F184" s="95" t="str">
        <f aca="false">IF('CC Alloc'!U147="","",'CC Alloc'!U147/QRate)</f>
        <v/>
      </c>
    </row>
    <row r="185" customFormat="false" ht="15" hidden="false" customHeight="false" outlineLevel="0" collapsed="false">
      <c r="B185" s="91" t="str">
        <f aca="false">IF('CC Alloc'!R148="","",145)</f>
        <v/>
      </c>
      <c r="C185" s="92" t="str">
        <f aca="false">'CC Alloc'!R148</f>
        <v/>
      </c>
      <c r="D185" s="93" t="str">
        <f aca="false">'CC Alloc'!S148</f>
        <v/>
      </c>
      <c r="E185" s="94" t="str">
        <f aca="false">'CC Alloc'!T148</f>
        <v/>
      </c>
      <c r="F185" s="95" t="str">
        <f aca="false">IF('CC Alloc'!U148="","",'CC Alloc'!U148/QRate)</f>
        <v/>
      </c>
    </row>
    <row r="186" customFormat="false" ht="15" hidden="false" customHeight="false" outlineLevel="0" collapsed="false">
      <c r="B186" s="91" t="str">
        <f aca="false">IF('CC Alloc'!R149="","",146)</f>
        <v/>
      </c>
      <c r="C186" s="92" t="str">
        <f aca="false">'CC Alloc'!R149</f>
        <v/>
      </c>
      <c r="D186" s="93" t="str">
        <f aca="false">'CC Alloc'!S149</f>
        <v/>
      </c>
      <c r="E186" s="94" t="str">
        <f aca="false">'CC Alloc'!T149</f>
        <v/>
      </c>
      <c r="F186" s="95" t="str">
        <f aca="false">IF('CC Alloc'!U149="","",'CC Alloc'!U149/QRate)</f>
        <v/>
      </c>
    </row>
    <row r="187" customFormat="false" ht="15" hidden="false" customHeight="false" outlineLevel="0" collapsed="false">
      <c r="B187" s="91" t="str">
        <f aca="false">IF('CC Alloc'!R150="","",147)</f>
        <v/>
      </c>
      <c r="C187" s="92" t="str">
        <f aca="false">'CC Alloc'!R150</f>
        <v/>
      </c>
      <c r="D187" s="93" t="str">
        <f aca="false">'CC Alloc'!S150</f>
        <v/>
      </c>
      <c r="E187" s="94" t="str">
        <f aca="false">'CC Alloc'!T150</f>
        <v/>
      </c>
      <c r="F187" s="95" t="str">
        <f aca="false">IF('CC Alloc'!U150="","",'CC Alloc'!U150/QRate)</f>
        <v/>
      </c>
    </row>
    <row r="188" customFormat="false" ht="15" hidden="false" customHeight="false" outlineLevel="0" collapsed="false">
      <c r="B188" s="91" t="str">
        <f aca="false">IF('CC Alloc'!R151="","",148)</f>
        <v/>
      </c>
      <c r="C188" s="92" t="str">
        <f aca="false">'CC Alloc'!R151</f>
        <v/>
      </c>
      <c r="D188" s="93" t="str">
        <f aca="false">'CC Alloc'!S151</f>
        <v/>
      </c>
      <c r="E188" s="94" t="str">
        <f aca="false">'CC Alloc'!T151</f>
        <v/>
      </c>
      <c r="F188" s="95" t="str">
        <f aca="false">IF('CC Alloc'!U151="","",'CC Alloc'!U151/QRate)</f>
        <v/>
      </c>
    </row>
    <row r="189" customFormat="false" ht="15" hidden="false" customHeight="false" outlineLevel="0" collapsed="false">
      <c r="B189" s="91" t="str">
        <f aca="false">IF('CC Alloc'!R152="","",149)</f>
        <v/>
      </c>
      <c r="C189" s="92" t="str">
        <f aca="false">'CC Alloc'!R152</f>
        <v/>
      </c>
      <c r="D189" s="93" t="str">
        <f aca="false">'CC Alloc'!S152</f>
        <v/>
      </c>
      <c r="E189" s="94" t="str">
        <f aca="false">'CC Alloc'!T152</f>
        <v/>
      </c>
      <c r="F189" s="95" t="str">
        <f aca="false">IF('CC Alloc'!U152="","",'CC Alloc'!U152/QRate)</f>
        <v/>
      </c>
    </row>
    <row r="190" customFormat="false" ht="15" hidden="false" customHeight="false" outlineLevel="0" collapsed="false">
      <c r="B190" s="91" t="str">
        <f aca="false">IF('CC Alloc'!R153="","",150)</f>
        <v/>
      </c>
      <c r="C190" s="92" t="str">
        <f aca="false">'CC Alloc'!R153</f>
        <v/>
      </c>
      <c r="D190" s="93" t="str">
        <f aca="false">'CC Alloc'!S153</f>
        <v/>
      </c>
      <c r="E190" s="94" t="str">
        <f aca="false">'CC Alloc'!T153</f>
        <v/>
      </c>
      <c r="F190" s="95" t="str">
        <f aca="false">IF('CC Alloc'!U153="","",'CC Alloc'!U153/QRate)</f>
        <v/>
      </c>
    </row>
    <row r="191" customFormat="false" ht="15" hidden="false" customHeight="false" outlineLevel="0" collapsed="false">
      <c r="B191" s="91" t="str">
        <f aca="false">IF('CC Alloc'!R154="","",151)</f>
        <v/>
      </c>
      <c r="C191" s="92" t="str">
        <f aca="false">'CC Alloc'!R154</f>
        <v/>
      </c>
      <c r="D191" s="93" t="str">
        <f aca="false">'CC Alloc'!S154</f>
        <v/>
      </c>
      <c r="E191" s="94" t="str">
        <f aca="false">'CC Alloc'!T154</f>
        <v/>
      </c>
      <c r="F191" s="95" t="str">
        <f aca="false">IF('CC Alloc'!U154="","",'CC Alloc'!U154/QRate)</f>
        <v/>
      </c>
    </row>
    <row r="192" customFormat="false" ht="15" hidden="false" customHeight="false" outlineLevel="0" collapsed="false">
      <c r="B192" s="91" t="str">
        <f aca="false">IF('CC Alloc'!R155="","",152)</f>
        <v/>
      </c>
      <c r="C192" s="92" t="str">
        <f aca="false">'CC Alloc'!R155</f>
        <v/>
      </c>
      <c r="D192" s="93" t="str">
        <f aca="false">'CC Alloc'!S155</f>
        <v/>
      </c>
      <c r="E192" s="94" t="str">
        <f aca="false">'CC Alloc'!T155</f>
        <v/>
      </c>
      <c r="F192" s="95" t="str">
        <f aca="false">IF('CC Alloc'!U155="","",'CC Alloc'!U155/QRate)</f>
        <v/>
      </c>
    </row>
    <row r="193" customFormat="false" ht="15" hidden="false" customHeight="false" outlineLevel="0" collapsed="false">
      <c r="B193" s="91" t="str">
        <f aca="false">IF('CC Alloc'!R156="","",153)</f>
        <v/>
      </c>
      <c r="C193" s="92" t="str">
        <f aca="false">'CC Alloc'!R156</f>
        <v/>
      </c>
      <c r="D193" s="93" t="str">
        <f aca="false">'CC Alloc'!S156</f>
        <v/>
      </c>
      <c r="E193" s="94" t="str">
        <f aca="false">'CC Alloc'!T156</f>
        <v/>
      </c>
      <c r="F193" s="95" t="str">
        <f aca="false">IF('CC Alloc'!U156="","",'CC Alloc'!U156/QRate)</f>
        <v/>
      </c>
    </row>
    <row r="194" customFormat="false" ht="15" hidden="false" customHeight="false" outlineLevel="0" collapsed="false">
      <c r="B194" s="91" t="str">
        <f aca="false">IF('CC Alloc'!R157="","",154)</f>
        <v/>
      </c>
      <c r="C194" s="92" t="str">
        <f aca="false">'CC Alloc'!R157</f>
        <v/>
      </c>
      <c r="D194" s="93" t="str">
        <f aca="false">'CC Alloc'!S157</f>
        <v/>
      </c>
      <c r="E194" s="94" t="str">
        <f aca="false">'CC Alloc'!T157</f>
        <v/>
      </c>
      <c r="F194" s="95" t="str">
        <f aca="false">IF('CC Alloc'!U157="","",'CC Alloc'!U157/QRate)</f>
        <v/>
      </c>
    </row>
    <row r="195" customFormat="false" ht="15" hidden="false" customHeight="false" outlineLevel="0" collapsed="false">
      <c r="B195" s="91" t="str">
        <f aca="false">IF('CC Alloc'!R158="","",155)</f>
        <v/>
      </c>
      <c r="C195" s="92" t="str">
        <f aca="false">'CC Alloc'!R158</f>
        <v/>
      </c>
      <c r="D195" s="93" t="str">
        <f aca="false">'CC Alloc'!S158</f>
        <v/>
      </c>
      <c r="E195" s="94" t="str">
        <f aca="false">'CC Alloc'!T158</f>
        <v/>
      </c>
      <c r="F195" s="95" t="str">
        <f aca="false">IF('CC Alloc'!U158="","",'CC Alloc'!U158/QRate)</f>
        <v/>
      </c>
    </row>
    <row r="196" customFormat="false" ht="15" hidden="false" customHeight="false" outlineLevel="0" collapsed="false">
      <c r="B196" s="91" t="str">
        <f aca="false">IF('CC Alloc'!R159="","",156)</f>
        <v/>
      </c>
      <c r="C196" s="92" t="str">
        <f aca="false">'CC Alloc'!R159</f>
        <v/>
      </c>
      <c r="D196" s="93" t="str">
        <f aca="false">'CC Alloc'!S159</f>
        <v/>
      </c>
      <c r="E196" s="94" t="str">
        <f aca="false">'CC Alloc'!T159</f>
        <v/>
      </c>
      <c r="F196" s="95" t="str">
        <f aca="false">IF('CC Alloc'!U159="","",'CC Alloc'!U159/QRate)</f>
        <v/>
      </c>
    </row>
    <row r="197" customFormat="false" ht="15" hidden="false" customHeight="false" outlineLevel="0" collapsed="false">
      <c r="B197" s="91" t="str">
        <f aca="false">IF('CC Alloc'!R160="","",157)</f>
        <v/>
      </c>
      <c r="C197" s="92" t="str">
        <f aca="false">'CC Alloc'!R160</f>
        <v/>
      </c>
      <c r="D197" s="93" t="str">
        <f aca="false">'CC Alloc'!S160</f>
        <v/>
      </c>
      <c r="E197" s="94" t="str">
        <f aca="false">'CC Alloc'!T160</f>
        <v/>
      </c>
      <c r="F197" s="95" t="str">
        <f aca="false">IF('CC Alloc'!U160="","",'CC Alloc'!U160/QRate)</f>
        <v/>
      </c>
    </row>
    <row r="198" customFormat="false" ht="15" hidden="false" customHeight="false" outlineLevel="0" collapsed="false">
      <c r="B198" s="91" t="str">
        <f aca="false">IF('CC Alloc'!R161="","",158)</f>
        <v/>
      </c>
      <c r="C198" s="92" t="str">
        <f aca="false">'CC Alloc'!R161</f>
        <v/>
      </c>
      <c r="D198" s="93" t="str">
        <f aca="false">'CC Alloc'!S161</f>
        <v/>
      </c>
      <c r="E198" s="94" t="str">
        <f aca="false">'CC Alloc'!T161</f>
        <v/>
      </c>
      <c r="F198" s="95" t="str">
        <f aca="false">IF('CC Alloc'!U161="","",'CC Alloc'!U161/QRate)</f>
        <v/>
      </c>
    </row>
    <row r="199" customFormat="false" ht="15" hidden="false" customHeight="false" outlineLevel="0" collapsed="false">
      <c r="B199" s="91" t="str">
        <f aca="false">IF('CC Alloc'!R162="","",159)</f>
        <v/>
      </c>
      <c r="C199" s="92" t="str">
        <f aca="false">'CC Alloc'!R162</f>
        <v/>
      </c>
      <c r="D199" s="93" t="str">
        <f aca="false">'CC Alloc'!S162</f>
        <v/>
      </c>
      <c r="E199" s="94" t="str">
        <f aca="false">'CC Alloc'!T162</f>
        <v/>
      </c>
      <c r="F199" s="95" t="str">
        <f aca="false">IF('CC Alloc'!U162="","",'CC Alloc'!U162/QRate)</f>
        <v/>
      </c>
    </row>
    <row r="200" customFormat="false" ht="15" hidden="false" customHeight="false" outlineLevel="0" collapsed="false">
      <c r="B200" s="91" t="str">
        <f aca="false">IF('CC Alloc'!R163="","",160)</f>
        <v/>
      </c>
      <c r="C200" s="92" t="str">
        <f aca="false">'CC Alloc'!R163</f>
        <v/>
      </c>
      <c r="D200" s="93" t="str">
        <f aca="false">'CC Alloc'!S163</f>
        <v/>
      </c>
      <c r="E200" s="94" t="str">
        <f aca="false">'CC Alloc'!T163</f>
        <v/>
      </c>
      <c r="F200" s="95" t="str">
        <f aca="false">IF('CC Alloc'!U163="","",'CC Alloc'!U163/QRate)</f>
        <v/>
      </c>
    </row>
    <row r="201" customFormat="false" ht="15" hidden="false" customHeight="false" outlineLevel="0" collapsed="false">
      <c r="B201" s="91" t="str">
        <f aca="false">IF('CC Alloc'!R164="","",161)</f>
        <v/>
      </c>
      <c r="C201" s="92" t="str">
        <f aca="false">'CC Alloc'!R164</f>
        <v/>
      </c>
      <c r="D201" s="93" t="str">
        <f aca="false">'CC Alloc'!S164</f>
        <v/>
      </c>
      <c r="E201" s="94" t="str">
        <f aca="false">'CC Alloc'!T164</f>
        <v/>
      </c>
      <c r="F201" s="95" t="str">
        <f aca="false">IF('CC Alloc'!U164="","",'CC Alloc'!U164/QRate)</f>
        <v/>
      </c>
    </row>
    <row r="202" customFormat="false" ht="15" hidden="false" customHeight="false" outlineLevel="0" collapsed="false">
      <c r="B202" s="91" t="str">
        <f aca="false">IF('CC Alloc'!R165="","",162)</f>
        <v/>
      </c>
      <c r="C202" s="92" t="str">
        <f aca="false">'CC Alloc'!R165</f>
        <v/>
      </c>
      <c r="D202" s="93" t="str">
        <f aca="false">'CC Alloc'!S165</f>
        <v/>
      </c>
      <c r="E202" s="94" t="str">
        <f aca="false">'CC Alloc'!T165</f>
        <v/>
      </c>
      <c r="F202" s="95" t="str">
        <f aca="false">IF('CC Alloc'!U165="","",'CC Alloc'!U165/QRate)</f>
        <v/>
      </c>
    </row>
    <row r="203" customFormat="false" ht="15" hidden="false" customHeight="false" outlineLevel="0" collapsed="false">
      <c r="B203" s="91" t="str">
        <f aca="false">IF('CC Alloc'!R166="","",163)</f>
        <v/>
      </c>
      <c r="C203" s="92" t="str">
        <f aca="false">'CC Alloc'!R166</f>
        <v/>
      </c>
      <c r="D203" s="93" t="str">
        <f aca="false">'CC Alloc'!S166</f>
        <v/>
      </c>
      <c r="E203" s="94" t="str">
        <f aca="false">'CC Alloc'!T166</f>
        <v/>
      </c>
      <c r="F203" s="95" t="str">
        <f aca="false">IF('CC Alloc'!U166="","",'CC Alloc'!U166/QRate)</f>
        <v/>
      </c>
    </row>
    <row r="204" customFormat="false" ht="15" hidden="false" customHeight="false" outlineLevel="0" collapsed="false">
      <c r="B204" s="91" t="str">
        <f aca="false">IF('CC Alloc'!R167="","",164)</f>
        <v/>
      </c>
      <c r="C204" s="92" t="str">
        <f aca="false">'CC Alloc'!R167</f>
        <v/>
      </c>
      <c r="D204" s="93" t="str">
        <f aca="false">'CC Alloc'!S167</f>
        <v/>
      </c>
      <c r="E204" s="94" t="str">
        <f aca="false">'CC Alloc'!T167</f>
        <v/>
      </c>
      <c r="F204" s="95" t="str">
        <f aca="false">IF('CC Alloc'!U167="","",'CC Alloc'!U167/QRate)</f>
        <v/>
      </c>
    </row>
    <row r="205" customFormat="false" ht="15" hidden="false" customHeight="false" outlineLevel="0" collapsed="false">
      <c r="B205" s="91" t="str">
        <f aca="false">IF('CC Alloc'!R168="","",165)</f>
        <v/>
      </c>
      <c r="C205" s="92" t="str">
        <f aca="false">'CC Alloc'!R168</f>
        <v/>
      </c>
      <c r="D205" s="93" t="str">
        <f aca="false">'CC Alloc'!S168</f>
        <v/>
      </c>
      <c r="E205" s="94" t="str">
        <f aca="false">'CC Alloc'!T168</f>
        <v/>
      </c>
      <c r="F205" s="95" t="str">
        <f aca="false">IF('CC Alloc'!U168="","",'CC Alloc'!U168/QRate)</f>
        <v/>
      </c>
    </row>
    <row r="206" customFormat="false" ht="15" hidden="false" customHeight="false" outlineLevel="0" collapsed="false">
      <c r="B206" s="91" t="str">
        <f aca="false">IF('CC Alloc'!R169="","",166)</f>
        <v/>
      </c>
      <c r="C206" s="92" t="str">
        <f aca="false">'CC Alloc'!R169</f>
        <v/>
      </c>
      <c r="D206" s="93" t="str">
        <f aca="false">'CC Alloc'!S169</f>
        <v/>
      </c>
      <c r="E206" s="94" t="str">
        <f aca="false">'CC Alloc'!T169</f>
        <v/>
      </c>
      <c r="F206" s="95" t="str">
        <f aca="false">IF('CC Alloc'!U169="","",'CC Alloc'!U169/QRate)</f>
        <v/>
      </c>
    </row>
    <row r="207" customFormat="false" ht="15" hidden="false" customHeight="false" outlineLevel="0" collapsed="false">
      <c r="B207" s="91" t="str">
        <f aca="false">IF('CC Alloc'!R170="","",167)</f>
        <v/>
      </c>
      <c r="C207" s="92" t="str">
        <f aca="false">'CC Alloc'!R170</f>
        <v/>
      </c>
      <c r="D207" s="93" t="str">
        <f aca="false">'CC Alloc'!S170</f>
        <v/>
      </c>
      <c r="E207" s="94" t="str">
        <f aca="false">'CC Alloc'!T170</f>
        <v/>
      </c>
      <c r="F207" s="95" t="str">
        <f aca="false">IF('CC Alloc'!U170="","",'CC Alloc'!U170/QRate)</f>
        <v/>
      </c>
    </row>
    <row r="208" customFormat="false" ht="15" hidden="false" customHeight="false" outlineLevel="0" collapsed="false">
      <c r="B208" s="91" t="str">
        <f aca="false">IF('CC Alloc'!R171="","",168)</f>
        <v/>
      </c>
      <c r="C208" s="92" t="str">
        <f aca="false">'CC Alloc'!R171</f>
        <v/>
      </c>
      <c r="D208" s="93" t="str">
        <f aca="false">'CC Alloc'!S171</f>
        <v/>
      </c>
      <c r="E208" s="94" t="str">
        <f aca="false">'CC Alloc'!T171</f>
        <v/>
      </c>
      <c r="F208" s="95" t="str">
        <f aca="false">IF('CC Alloc'!U171="","",'CC Alloc'!U171/QRate)</f>
        <v/>
      </c>
    </row>
    <row r="209" customFormat="false" ht="15" hidden="false" customHeight="false" outlineLevel="0" collapsed="false">
      <c r="B209" s="91" t="str">
        <f aca="false">IF('CC Alloc'!R172="","",169)</f>
        <v/>
      </c>
      <c r="C209" s="92" t="str">
        <f aca="false">'CC Alloc'!R172</f>
        <v/>
      </c>
      <c r="D209" s="93" t="str">
        <f aca="false">'CC Alloc'!S172</f>
        <v/>
      </c>
      <c r="E209" s="94" t="str">
        <f aca="false">'CC Alloc'!T172</f>
        <v/>
      </c>
      <c r="F209" s="95" t="str">
        <f aca="false">IF('CC Alloc'!U172="","",'CC Alloc'!U172/QRate)</f>
        <v/>
      </c>
    </row>
    <row r="210" customFormat="false" ht="15" hidden="false" customHeight="false" outlineLevel="0" collapsed="false">
      <c r="B210" s="91" t="str">
        <f aca="false">IF('CC Alloc'!R173="","",170)</f>
        <v/>
      </c>
      <c r="C210" s="92" t="str">
        <f aca="false">'CC Alloc'!R173</f>
        <v/>
      </c>
      <c r="D210" s="93" t="str">
        <f aca="false">'CC Alloc'!S173</f>
        <v/>
      </c>
      <c r="E210" s="94" t="str">
        <f aca="false">'CC Alloc'!T173</f>
        <v/>
      </c>
      <c r="F210" s="95" t="str">
        <f aca="false">IF('CC Alloc'!U173="","",'CC Alloc'!U173/QRate)</f>
        <v/>
      </c>
    </row>
    <row r="211" customFormat="false" ht="15" hidden="false" customHeight="false" outlineLevel="0" collapsed="false">
      <c r="B211" s="91" t="str">
        <f aca="false">IF('CC Alloc'!R174="","",171)</f>
        <v/>
      </c>
      <c r="C211" s="92" t="str">
        <f aca="false">'CC Alloc'!R174</f>
        <v/>
      </c>
      <c r="D211" s="93" t="str">
        <f aca="false">'CC Alloc'!S174</f>
        <v/>
      </c>
      <c r="E211" s="94" t="str">
        <f aca="false">'CC Alloc'!T174</f>
        <v/>
      </c>
      <c r="F211" s="95" t="str">
        <f aca="false">IF('CC Alloc'!U174="","",'CC Alloc'!U174/QRate)</f>
        <v/>
      </c>
    </row>
    <row r="212" customFormat="false" ht="15" hidden="false" customHeight="false" outlineLevel="0" collapsed="false">
      <c r="B212" s="91" t="str">
        <f aca="false">IF('CC Alloc'!R175="","",172)</f>
        <v/>
      </c>
      <c r="C212" s="92" t="str">
        <f aca="false">'CC Alloc'!R175</f>
        <v/>
      </c>
      <c r="D212" s="93" t="str">
        <f aca="false">'CC Alloc'!S175</f>
        <v/>
      </c>
      <c r="E212" s="94" t="str">
        <f aca="false">'CC Alloc'!T175</f>
        <v/>
      </c>
      <c r="F212" s="95" t="str">
        <f aca="false">IF('CC Alloc'!U175="","",'CC Alloc'!U175/QRate)</f>
        <v/>
      </c>
    </row>
    <row r="213" customFormat="false" ht="15" hidden="false" customHeight="false" outlineLevel="0" collapsed="false">
      <c r="B213" s="91" t="str">
        <f aca="false">IF('CC Alloc'!R176="","",173)</f>
        <v/>
      </c>
      <c r="C213" s="92" t="str">
        <f aca="false">'CC Alloc'!R176</f>
        <v/>
      </c>
      <c r="D213" s="93" t="str">
        <f aca="false">'CC Alloc'!S176</f>
        <v/>
      </c>
      <c r="E213" s="94" t="str">
        <f aca="false">'CC Alloc'!T176</f>
        <v/>
      </c>
      <c r="F213" s="95" t="str">
        <f aca="false">IF('CC Alloc'!U176="","",'CC Alloc'!U176/QRate)</f>
        <v/>
      </c>
    </row>
    <row r="214" customFormat="false" ht="15" hidden="false" customHeight="false" outlineLevel="0" collapsed="false">
      <c r="B214" s="91" t="str">
        <f aca="false">IF('CC Alloc'!R177="","",174)</f>
        <v/>
      </c>
      <c r="C214" s="92" t="str">
        <f aca="false">'CC Alloc'!R177</f>
        <v/>
      </c>
      <c r="D214" s="93" t="str">
        <f aca="false">'CC Alloc'!S177</f>
        <v/>
      </c>
      <c r="E214" s="94" t="str">
        <f aca="false">'CC Alloc'!T177</f>
        <v/>
      </c>
      <c r="F214" s="95" t="str">
        <f aca="false">IF('CC Alloc'!U177="","",'CC Alloc'!U177/QRate)</f>
        <v/>
      </c>
    </row>
    <row r="215" customFormat="false" ht="15" hidden="false" customHeight="false" outlineLevel="0" collapsed="false">
      <c r="B215" s="91" t="str">
        <f aca="false">IF('CC Alloc'!R178="","",175)</f>
        <v/>
      </c>
      <c r="C215" s="92" t="str">
        <f aca="false">'CC Alloc'!R178</f>
        <v/>
      </c>
      <c r="D215" s="93" t="str">
        <f aca="false">'CC Alloc'!S178</f>
        <v/>
      </c>
      <c r="E215" s="94" t="str">
        <f aca="false">'CC Alloc'!T178</f>
        <v/>
      </c>
      <c r="F215" s="95" t="str">
        <f aca="false">IF('CC Alloc'!U178="","",'CC Alloc'!U178/QRate)</f>
        <v/>
      </c>
    </row>
    <row r="216" customFormat="false" ht="15" hidden="false" customHeight="false" outlineLevel="0" collapsed="false">
      <c r="B216" s="91" t="str">
        <f aca="false">IF('CC Alloc'!R179="","",176)</f>
        <v/>
      </c>
      <c r="C216" s="92" t="str">
        <f aca="false">'CC Alloc'!R179</f>
        <v/>
      </c>
      <c r="D216" s="93" t="str">
        <f aca="false">'CC Alloc'!S179</f>
        <v/>
      </c>
      <c r="E216" s="94" t="str">
        <f aca="false">'CC Alloc'!T179</f>
        <v/>
      </c>
      <c r="F216" s="95" t="str">
        <f aca="false">IF('CC Alloc'!U179="","",'CC Alloc'!U179/QRate)</f>
        <v/>
      </c>
    </row>
    <row r="217" customFormat="false" ht="15" hidden="false" customHeight="false" outlineLevel="0" collapsed="false">
      <c r="B217" s="91" t="str">
        <f aca="false">IF('CC Alloc'!R180="","",177)</f>
        <v/>
      </c>
      <c r="C217" s="92" t="str">
        <f aca="false">'CC Alloc'!R180</f>
        <v/>
      </c>
      <c r="D217" s="93" t="str">
        <f aca="false">'CC Alloc'!S180</f>
        <v/>
      </c>
      <c r="E217" s="94" t="str">
        <f aca="false">'CC Alloc'!T180</f>
        <v/>
      </c>
      <c r="F217" s="95" t="str">
        <f aca="false">IF('CC Alloc'!U180="","",'CC Alloc'!U180/QRate)</f>
        <v/>
      </c>
    </row>
    <row r="218" customFormat="false" ht="15" hidden="false" customHeight="false" outlineLevel="0" collapsed="false">
      <c r="B218" s="91" t="str">
        <f aca="false">IF('CC Alloc'!R181="","",178)</f>
        <v/>
      </c>
      <c r="C218" s="92" t="str">
        <f aca="false">'CC Alloc'!R181</f>
        <v/>
      </c>
      <c r="D218" s="93" t="str">
        <f aca="false">'CC Alloc'!S181</f>
        <v/>
      </c>
      <c r="E218" s="94" t="str">
        <f aca="false">'CC Alloc'!T181</f>
        <v/>
      </c>
      <c r="F218" s="95" t="str">
        <f aca="false">IF('CC Alloc'!U181="","",'CC Alloc'!U181/QRate)</f>
        <v/>
      </c>
    </row>
    <row r="219" customFormat="false" ht="15" hidden="false" customHeight="false" outlineLevel="0" collapsed="false">
      <c r="B219" s="91" t="str">
        <f aca="false">IF('CC Alloc'!R182="","",179)</f>
        <v/>
      </c>
      <c r="C219" s="92" t="str">
        <f aca="false">'CC Alloc'!R182</f>
        <v/>
      </c>
      <c r="D219" s="93" t="str">
        <f aca="false">'CC Alloc'!S182</f>
        <v/>
      </c>
      <c r="E219" s="94" t="str">
        <f aca="false">'CC Alloc'!T182</f>
        <v/>
      </c>
      <c r="F219" s="95" t="str">
        <f aca="false">IF('CC Alloc'!U182="","",'CC Alloc'!U182/QRate)</f>
        <v/>
      </c>
    </row>
    <row r="220" customFormat="false" ht="15" hidden="false" customHeight="false" outlineLevel="0" collapsed="false">
      <c r="B220" s="91" t="str">
        <f aca="false">IF('CC Alloc'!R183="","",180)</f>
        <v/>
      </c>
      <c r="C220" s="92" t="str">
        <f aca="false">'CC Alloc'!R183</f>
        <v/>
      </c>
      <c r="D220" s="93" t="str">
        <f aca="false">'CC Alloc'!S183</f>
        <v/>
      </c>
      <c r="E220" s="94" t="str">
        <f aca="false">'CC Alloc'!T183</f>
        <v/>
      </c>
      <c r="F220" s="95" t="str">
        <f aca="false">IF('CC Alloc'!U183="","",'CC Alloc'!U183/QRate)</f>
        <v/>
      </c>
    </row>
    <row r="221" customFormat="false" ht="15" hidden="false" customHeight="false" outlineLevel="0" collapsed="false">
      <c r="B221" s="91" t="str">
        <f aca="false">IF('CC Alloc'!R184="","",181)</f>
        <v/>
      </c>
      <c r="C221" s="92" t="str">
        <f aca="false">'CC Alloc'!R184</f>
        <v/>
      </c>
      <c r="D221" s="93" t="str">
        <f aca="false">'CC Alloc'!S184</f>
        <v/>
      </c>
      <c r="E221" s="94" t="str">
        <f aca="false">'CC Alloc'!T184</f>
        <v/>
      </c>
      <c r="F221" s="95" t="str">
        <f aca="false">IF('CC Alloc'!U184="","",'CC Alloc'!U184/QRate)</f>
        <v/>
      </c>
    </row>
    <row r="222" customFormat="false" ht="15" hidden="false" customHeight="false" outlineLevel="0" collapsed="false">
      <c r="B222" s="91" t="str">
        <f aca="false">IF('CC Alloc'!R185="","",182)</f>
        <v/>
      </c>
      <c r="C222" s="92" t="str">
        <f aca="false">'CC Alloc'!R185</f>
        <v/>
      </c>
      <c r="D222" s="93" t="str">
        <f aca="false">'CC Alloc'!S185</f>
        <v/>
      </c>
      <c r="E222" s="94" t="str">
        <f aca="false">'CC Alloc'!T185</f>
        <v/>
      </c>
      <c r="F222" s="95" t="str">
        <f aca="false">IF('CC Alloc'!U185="","",'CC Alloc'!U185/QRate)</f>
        <v/>
      </c>
    </row>
    <row r="223" customFormat="false" ht="15" hidden="false" customHeight="false" outlineLevel="0" collapsed="false">
      <c r="B223" s="91" t="str">
        <f aca="false">IF('CC Alloc'!R186="","",183)</f>
        <v/>
      </c>
      <c r="C223" s="92" t="str">
        <f aca="false">'CC Alloc'!R186</f>
        <v/>
      </c>
      <c r="D223" s="93" t="str">
        <f aca="false">'CC Alloc'!S186</f>
        <v/>
      </c>
      <c r="E223" s="94" t="str">
        <f aca="false">'CC Alloc'!T186</f>
        <v/>
      </c>
      <c r="F223" s="95" t="str">
        <f aca="false">IF('CC Alloc'!U186="","",'CC Alloc'!U186/QRate)</f>
        <v/>
      </c>
    </row>
    <row r="224" customFormat="false" ht="15" hidden="false" customHeight="false" outlineLevel="0" collapsed="false">
      <c r="B224" s="91" t="str">
        <f aca="false">IF('CC Alloc'!R187="","",184)</f>
        <v/>
      </c>
      <c r="C224" s="92" t="str">
        <f aca="false">'CC Alloc'!R187</f>
        <v/>
      </c>
      <c r="D224" s="93" t="str">
        <f aca="false">'CC Alloc'!S187</f>
        <v/>
      </c>
      <c r="E224" s="94" t="str">
        <f aca="false">'CC Alloc'!T187</f>
        <v/>
      </c>
      <c r="F224" s="95" t="str">
        <f aca="false">IF('CC Alloc'!U187="","",'CC Alloc'!U187/QRate)</f>
        <v/>
      </c>
    </row>
    <row r="225" customFormat="false" ht="15" hidden="false" customHeight="false" outlineLevel="0" collapsed="false">
      <c r="B225" s="91" t="str">
        <f aca="false">IF('CC Alloc'!R188="","",185)</f>
        <v/>
      </c>
      <c r="C225" s="92" t="str">
        <f aca="false">'CC Alloc'!R188</f>
        <v/>
      </c>
      <c r="D225" s="93" t="str">
        <f aca="false">'CC Alloc'!S188</f>
        <v/>
      </c>
      <c r="E225" s="94" t="str">
        <f aca="false">'CC Alloc'!T188</f>
        <v/>
      </c>
      <c r="F225" s="95" t="str">
        <f aca="false">IF('CC Alloc'!U188="","",'CC Alloc'!U188/QRate)</f>
        <v/>
      </c>
    </row>
    <row r="226" customFormat="false" ht="15" hidden="false" customHeight="false" outlineLevel="0" collapsed="false">
      <c r="B226" s="91" t="str">
        <f aca="false">IF('CC Alloc'!R189="","",186)</f>
        <v/>
      </c>
      <c r="C226" s="92" t="str">
        <f aca="false">'CC Alloc'!R189</f>
        <v/>
      </c>
      <c r="D226" s="93" t="str">
        <f aca="false">'CC Alloc'!S189</f>
        <v/>
      </c>
      <c r="E226" s="94" t="str">
        <f aca="false">'CC Alloc'!T189</f>
        <v/>
      </c>
      <c r="F226" s="95" t="str">
        <f aca="false">IF('CC Alloc'!U189="","",'CC Alloc'!U189/QRate)</f>
        <v/>
      </c>
    </row>
    <row r="227" customFormat="false" ht="15" hidden="false" customHeight="false" outlineLevel="0" collapsed="false">
      <c r="B227" s="91" t="str">
        <f aca="false">IF('CC Alloc'!R190="","",187)</f>
        <v/>
      </c>
      <c r="C227" s="92" t="str">
        <f aca="false">'CC Alloc'!R190</f>
        <v/>
      </c>
      <c r="D227" s="93" t="str">
        <f aca="false">'CC Alloc'!S190</f>
        <v/>
      </c>
      <c r="E227" s="94" t="str">
        <f aca="false">'CC Alloc'!T190</f>
        <v/>
      </c>
      <c r="F227" s="95" t="str">
        <f aca="false">IF('CC Alloc'!U190="","",'CC Alloc'!U190/QRate)</f>
        <v/>
      </c>
    </row>
    <row r="228" customFormat="false" ht="15" hidden="false" customHeight="false" outlineLevel="0" collapsed="false">
      <c r="B228" s="91" t="str">
        <f aca="false">IF('CC Alloc'!R191="","",188)</f>
        <v/>
      </c>
      <c r="C228" s="92" t="str">
        <f aca="false">'CC Alloc'!R191</f>
        <v/>
      </c>
      <c r="D228" s="93" t="str">
        <f aca="false">'CC Alloc'!S191</f>
        <v/>
      </c>
      <c r="E228" s="94" t="str">
        <f aca="false">'CC Alloc'!T191</f>
        <v/>
      </c>
      <c r="F228" s="95" t="str">
        <f aca="false">IF('CC Alloc'!U191="","",'CC Alloc'!U191/QRate)</f>
        <v/>
      </c>
    </row>
    <row r="229" customFormat="false" ht="15" hidden="false" customHeight="false" outlineLevel="0" collapsed="false">
      <c r="B229" s="91" t="str">
        <f aca="false">IF('CC Alloc'!R192="","",189)</f>
        <v/>
      </c>
      <c r="C229" s="92" t="str">
        <f aca="false">'CC Alloc'!R192</f>
        <v/>
      </c>
      <c r="D229" s="93" t="str">
        <f aca="false">'CC Alloc'!S192</f>
        <v/>
      </c>
      <c r="E229" s="94" t="str">
        <f aca="false">'CC Alloc'!T192</f>
        <v/>
      </c>
      <c r="F229" s="95" t="str">
        <f aca="false">IF('CC Alloc'!U192="","",'CC Alloc'!U192/QRate)</f>
        <v/>
      </c>
    </row>
    <row r="230" customFormat="false" ht="15" hidden="false" customHeight="false" outlineLevel="0" collapsed="false">
      <c r="B230" s="91" t="str">
        <f aca="false">IF('CC Alloc'!R193="","",190)</f>
        <v/>
      </c>
      <c r="C230" s="92" t="str">
        <f aca="false">'CC Alloc'!R193</f>
        <v/>
      </c>
      <c r="D230" s="93" t="str">
        <f aca="false">'CC Alloc'!S193</f>
        <v/>
      </c>
      <c r="E230" s="94" t="str">
        <f aca="false">'CC Alloc'!T193</f>
        <v/>
      </c>
      <c r="F230" s="95" t="str">
        <f aca="false">IF('CC Alloc'!U193="","",'CC Alloc'!U193/QRate)</f>
        <v/>
      </c>
    </row>
    <row r="231" customFormat="false" ht="15" hidden="false" customHeight="false" outlineLevel="0" collapsed="false">
      <c r="B231" s="91" t="str">
        <f aca="false">IF('CC Alloc'!R194="","",191)</f>
        <v/>
      </c>
      <c r="C231" s="92" t="str">
        <f aca="false">'CC Alloc'!R194</f>
        <v/>
      </c>
      <c r="D231" s="93" t="str">
        <f aca="false">'CC Alloc'!S194</f>
        <v/>
      </c>
      <c r="E231" s="94" t="str">
        <f aca="false">'CC Alloc'!T194</f>
        <v/>
      </c>
      <c r="F231" s="95" t="str">
        <f aca="false">IF('CC Alloc'!U194="","",'CC Alloc'!U194/QRate)</f>
        <v/>
      </c>
    </row>
    <row r="232" customFormat="false" ht="15" hidden="false" customHeight="false" outlineLevel="0" collapsed="false">
      <c r="B232" s="91" t="str">
        <f aca="false">IF('CC Alloc'!R195="","",192)</f>
        <v/>
      </c>
      <c r="C232" s="92" t="str">
        <f aca="false">'CC Alloc'!R195</f>
        <v/>
      </c>
      <c r="D232" s="93" t="str">
        <f aca="false">'CC Alloc'!S195</f>
        <v/>
      </c>
      <c r="E232" s="94" t="str">
        <f aca="false">'CC Alloc'!T195</f>
        <v/>
      </c>
      <c r="F232" s="95" t="str">
        <f aca="false">IF('CC Alloc'!U195="","",'CC Alloc'!U195/QRate)</f>
        <v/>
      </c>
    </row>
    <row r="233" customFormat="false" ht="15" hidden="false" customHeight="false" outlineLevel="0" collapsed="false">
      <c r="B233" s="91" t="str">
        <f aca="false">IF('CC Alloc'!R196="","",193)</f>
        <v/>
      </c>
      <c r="C233" s="92" t="str">
        <f aca="false">'CC Alloc'!R196</f>
        <v/>
      </c>
      <c r="D233" s="93" t="str">
        <f aca="false">'CC Alloc'!S196</f>
        <v/>
      </c>
      <c r="E233" s="94" t="str">
        <f aca="false">'CC Alloc'!T196</f>
        <v/>
      </c>
      <c r="F233" s="95" t="str">
        <f aca="false">IF('CC Alloc'!U196="","",'CC Alloc'!U196/QRate)</f>
        <v/>
      </c>
    </row>
    <row r="234" customFormat="false" ht="15" hidden="false" customHeight="false" outlineLevel="0" collapsed="false">
      <c r="B234" s="91" t="str">
        <f aca="false">IF('CC Alloc'!R197="","",194)</f>
        <v/>
      </c>
      <c r="C234" s="92" t="str">
        <f aca="false">'CC Alloc'!R197</f>
        <v/>
      </c>
      <c r="D234" s="93" t="str">
        <f aca="false">'CC Alloc'!S197</f>
        <v/>
      </c>
      <c r="E234" s="94" t="str">
        <f aca="false">'CC Alloc'!T197</f>
        <v/>
      </c>
      <c r="F234" s="95" t="str">
        <f aca="false">IF('CC Alloc'!U197="","",'CC Alloc'!U197/QRate)</f>
        <v/>
      </c>
    </row>
    <row r="235" customFormat="false" ht="15" hidden="false" customHeight="false" outlineLevel="0" collapsed="false">
      <c r="B235" s="91" t="str">
        <f aca="false">IF('CC Alloc'!R198="","",195)</f>
        <v/>
      </c>
      <c r="C235" s="92" t="str">
        <f aca="false">'CC Alloc'!R198</f>
        <v/>
      </c>
      <c r="D235" s="93" t="str">
        <f aca="false">'CC Alloc'!S198</f>
        <v/>
      </c>
      <c r="E235" s="94" t="str">
        <f aca="false">'CC Alloc'!T198</f>
        <v/>
      </c>
      <c r="F235" s="95" t="str">
        <f aca="false">IF('CC Alloc'!U198="","",'CC Alloc'!U198/QRate)</f>
        <v/>
      </c>
    </row>
    <row r="236" customFormat="false" ht="15" hidden="false" customHeight="false" outlineLevel="0" collapsed="false">
      <c r="B236" s="91" t="str">
        <f aca="false">IF('CC Alloc'!R199="","",196)</f>
        <v/>
      </c>
      <c r="C236" s="92" t="str">
        <f aca="false">'CC Alloc'!R199</f>
        <v/>
      </c>
      <c r="D236" s="93" t="str">
        <f aca="false">'CC Alloc'!S199</f>
        <v/>
      </c>
      <c r="E236" s="94" t="str">
        <f aca="false">'CC Alloc'!T199</f>
        <v/>
      </c>
      <c r="F236" s="95" t="str">
        <f aca="false">IF('CC Alloc'!U199="","",'CC Alloc'!U199/QRate)</f>
        <v/>
      </c>
    </row>
    <row r="237" customFormat="false" ht="15" hidden="false" customHeight="false" outlineLevel="0" collapsed="false">
      <c r="B237" s="91" t="str">
        <f aca="false">IF('CC Alloc'!R200="","",197)</f>
        <v/>
      </c>
      <c r="C237" s="92" t="str">
        <f aca="false">'CC Alloc'!R200</f>
        <v/>
      </c>
      <c r="D237" s="93" t="str">
        <f aca="false">'CC Alloc'!S200</f>
        <v/>
      </c>
      <c r="E237" s="94" t="str">
        <f aca="false">'CC Alloc'!T200</f>
        <v/>
      </c>
      <c r="F237" s="95" t="str">
        <f aca="false">IF('CC Alloc'!U200="","",'CC Alloc'!U200/QRate)</f>
        <v/>
      </c>
    </row>
    <row r="238" customFormat="false" ht="15" hidden="false" customHeight="false" outlineLevel="0" collapsed="false">
      <c r="B238" s="91" t="str">
        <f aca="false">IF('CC Alloc'!R201="","",198)</f>
        <v/>
      </c>
      <c r="C238" s="92" t="str">
        <f aca="false">'CC Alloc'!R201</f>
        <v/>
      </c>
      <c r="D238" s="93" t="str">
        <f aca="false">'CC Alloc'!S201</f>
        <v/>
      </c>
      <c r="E238" s="94" t="str">
        <f aca="false">'CC Alloc'!T201</f>
        <v/>
      </c>
      <c r="F238" s="95" t="str">
        <f aca="false">IF('CC Alloc'!U201="","",'CC Alloc'!U201/QRate)</f>
        <v/>
      </c>
    </row>
    <row r="239" customFormat="false" ht="15" hidden="false" customHeight="false" outlineLevel="0" collapsed="false">
      <c r="B239" s="91" t="str">
        <f aca="false">IF('CC Alloc'!R202="","",199)</f>
        <v/>
      </c>
      <c r="C239" s="92" t="str">
        <f aca="false">'CC Alloc'!R202</f>
        <v/>
      </c>
      <c r="D239" s="93" t="str">
        <f aca="false">'CC Alloc'!S202</f>
        <v/>
      </c>
      <c r="E239" s="94" t="str">
        <f aca="false">'CC Alloc'!T202</f>
        <v/>
      </c>
      <c r="F239" s="95" t="str">
        <f aca="false">IF('CC Alloc'!U202="","",'CC Alloc'!U202/QRate)</f>
        <v/>
      </c>
    </row>
    <row r="240" customFormat="false" ht="15" hidden="false" customHeight="false" outlineLevel="0" collapsed="false">
      <c r="B240" s="91" t="str">
        <f aca="false">IF('CC Alloc'!R203="","",200)</f>
        <v/>
      </c>
      <c r="C240" s="92" t="str">
        <f aca="false">'CC Alloc'!R203</f>
        <v/>
      </c>
      <c r="D240" s="93" t="str">
        <f aca="false">'CC Alloc'!S203</f>
        <v/>
      </c>
      <c r="E240" s="94" t="str">
        <f aca="false">'CC Alloc'!T203</f>
        <v/>
      </c>
      <c r="F240" s="95" t="str">
        <f aca="false">IF('CC Alloc'!U203="","",'CC Alloc'!U203/QRate)</f>
        <v/>
      </c>
    </row>
    <row r="241" customFormat="false" ht="15" hidden="false" customHeight="false" outlineLevel="0" collapsed="false">
      <c r="B241" s="91" t="str">
        <f aca="false">IF('CC Alloc'!R204="","",201)</f>
        <v/>
      </c>
      <c r="C241" s="92" t="str">
        <f aca="false">'CC Alloc'!R204</f>
        <v/>
      </c>
      <c r="D241" s="93" t="str">
        <f aca="false">'CC Alloc'!S204</f>
        <v/>
      </c>
      <c r="E241" s="94" t="str">
        <f aca="false">'CC Alloc'!T204</f>
        <v/>
      </c>
      <c r="F241" s="95" t="str">
        <f aca="false">IF('CC Alloc'!U204="","",'CC Alloc'!U204/QRate)</f>
        <v/>
      </c>
    </row>
    <row r="242" customFormat="false" ht="15" hidden="false" customHeight="false" outlineLevel="0" collapsed="false">
      <c r="B242" s="91" t="str">
        <f aca="false">IF('CC Alloc'!R205="","",202)</f>
        <v/>
      </c>
      <c r="C242" s="92" t="str">
        <f aca="false">'CC Alloc'!R205</f>
        <v/>
      </c>
      <c r="D242" s="93" t="str">
        <f aca="false">'CC Alloc'!S205</f>
        <v/>
      </c>
      <c r="E242" s="94" t="str">
        <f aca="false">'CC Alloc'!T205</f>
        <v/>
      </c>
      <c r="F242" s="95" t="str">
        <f aca="false">IF('CC Alloc'!U205="","",'CC Alloc'!U205/QRate)</f>
        <v/>
      </c>
    </row>
    <row r="243" customFormat="false" ht="15" hidden="false" customHeight="false" outlineLevel="0" collapsed="false">
      <c r="B243" s="91" t="str">
        <f aca="false">IF('CC Alloc'!R206="","",203)</f>
        <v/>
      </c>
      <c r="C243" s="92" t="str">
        <f aca="false">'CC Alloc'!R206</f>
        <v/>
      </c>
      <c r="D243" s="93" t="str">
        <f aca="false">'CC Alloc'!S206</f>
        <v/>
      </c>
      <c r="E243" s="94" t="str">
        <f aca="false">'CC Alloc'!T206</f>
        <v/>
      </c>
      <c r="F243" s="95" t="str">
        <f aca="false">IF('CC Alloc'!U206="","",'CC Alloc'!U206/QRate)</f>
        <v/>
      </c>
    </row>
    <row r="244" customFormat="false" ht="15" hidden="false" customHeight="false" outlineLevel="0" collapsed="false">
      <c r="B244" s="91" t="str">
        <f aca="false">IF('CC Alloc'!R207="","",204)</f>
        <v/>
      </c>
      <c r="C244" s="92" t="str">
        <f aca="false">'CC Alloc'!R207</f>
        <v/>
      </c>
      <c r="D244" s="93" t="str">
        <f aca="false">'CC Alloc'!S207</f>
        <v/>
      </c>
      <c r="E244" s="94" t="str">
        <f aca="false">'CC Alloc'!T207</f>
        <v/>
      </c>
      <c r="F244" s="95" t="str">
        <f aca="false">IF('CC Alloc'!U207="","",'CC Alloc'!U207/QRate)</f>
        <v/>
      </c>
    </row>
    <row r="245" customFormat="false" ht="15" hidden="false" customHeight="false" outlineLevel="0" collapsed="false">
      <c r="B245" s="91" t="str">
        <f aca="false">IF('CC Alloc'!R208="","",205)</f>
        <v/>
      </c>
      <c r="C245" s="92" t="str">
        <f aca="false">'CC Alloc'!R208</f>
        <v/>
      </c>
      <c r="D245" s="93" t="str">
        <f aca="false">'CC Alloc'!S208</f>
        <v/>
      </c>
      <c r="E245" s="94" t="str">
        <f aca="false">'CC Alloc'!T208</f>
        <v/>
      </c>
      <c r="F245" s="95" t="str">
        <f aca="false">IF('CC Alloc'!U208="","",'CC Alloc'!U208/QRate)</f>
        <v/>
      </c>
    </row>
    <row r="246" customFormat="false" ht="15" hidden="false" customHeight="false" outlineLevel="0" collapsed="false">
      <c r="B246" s="91" t="str">
        <f aca="false">IF('CC Alloc'!R209="","",206)</f>
        <v/>
      </c>
      <c r="C246" s="92" t="str">
        <f aca="false">'CC Alloc'!R209</f>
        <v/>
      </c>
      <c r="D246" s="93" t="str">
        <f aca="false">'CC Alloc'!S209</f>
        <v/>
      </c>
      <c r="E246" s="94" t="str">
        <f aca="false">'CC Alloc'!T209</f>
        <v/>
      </c>
      <c r="F246" s="95" t="str">
        <f aca="false">IF('CC Alloc'!U209="","",'CC Alloc'!U209/QRate)</f>
        <v/>
      </c>
    </row>
    <row r="247" customFormat="false" ht="15" hidden="false" customHeight="false" outlineLevel="0" collapsed="false">
      <c r="B247" s="91" t="str">
        <f aca="false">IF('CC Alloc'!R210="","",207)</f>
        <v/>
      </c>
      <c r="C247" s="92" t="str">
        <f aca="false">'CC Alloc'!R210</f>
        <v/>
      </c>
      <c r="D247" s="93" t="str">
        <f aca="false">'CC Alloc'!S210</f>
        <v/>
      </c>
      <c r="E247" s="94" t="str">
        <f aca="false">'CC Alloc'!T210</f>
        <v/>
      </c>
      <c r="F247" s="95" t="str">
        <f aca="false">IF('CC Alloc'!U210="","",'CC Alloc'!U210/QRate)</f>
        <v/>
      </c>
    </row>
    <row r="248" customFormat="false" ht="15" hidden="false" customHeight="false" outlineLevel="0" collapsed="false">
      <c r="B248" s="91" t="str">
        <f aca="false">IF('CC Alloc'!R211="","",208)</f>
        <v/>
      </c>
      <c r="C248" s="92" t="str">
        <f aca="false">'CC Alloc'!R211</f>
        <v/>
      </c>
      <c r="D248" s="93" t="str">
        <f aca="false">'CC Alloc'!S211</f>
        <v/>
      </c>
      <c r="E248" s="94" t="str">
        <f aca="false">'CC Alloc'!T211</f>
        <v/>
      </c>
      <c r="F248" s="95" t="str">
        <f aca="false">IF('CC Alloc'!U211="","",'CC Alloc'!U211/QRate)</f>
        <v/>
      </c>
    </row>
    <row r="249" customFormat="false" ht="15" hidden="false" customHeight="false" outlineLevel="0" collapsed="false">
      <c r="B249" s="91" t="str">
        <f aca="false">IF('CC Alloc'!R212="","",209)</f>
        <v/>
      </c>
      <c r="C249" s="92" t="str">
        <f aca="false">'CC Alloc'!R212</f>
        <v/>
      </c>
      <c r="D249" s="93" t="str">
        <f aca="false">'CC Alloc'!S212</f>
        <v/>
      </c>
      <c r="E249" s="94" t="str">
        <f aca="false">'CC Alloc'!T212</f>
        <v/>
      </c>
      <c r="F249" s="95" t="str">
        <f aca="false">IF('CC Alloc'!U212="","",'CC Alloc'!U212/QRate)</f>
        <v/>
      </c>
    </row>
    <row r="250" customFormat="false" ht="15" hidden="false" customHeight="false" outlineLevel="0" collapsed="false">
      <c r="B250" s="91" t="str">
        <f aca="false">IF('CC Alloc'!R213="","",210)</f>
        <v/>
      </c>
      <c r="C250" s="92" t="str">
        <f aca="false">'CC Alloc'!R213</f>
        <v/>
      </c>
      <c r="D250" s="93" t="str">
        <f aca="false">'CC Alloc'!S213</f>
        <v/>
      </c>
      <c r="E250" s="94" t="str">
        <f aca="false">'CC Alloc'!T213</f>
        <v/>
      </c>
      <c r="F250" s="95" t="str">
        <f aca="false">IF('CC Alloc'!U213="","",'CC Alloc'!U213/QRate)</f>
        <v/>
      </c>
    </row>
    <row r="251" customFormat="false" ht="15" hidden="false" customHeight="false" outlineLevel="0" collapsed="false">
      <c r="B251" s="91" t="str">
        <f aca="false">IF('CC Alloc'!R214="","",211)</f>
        <v/>
      </c>
      <c r="C251" s="92" t="str">
        <f aca="false">'CC Alloc'!R214</f>
        <v/>
      </c>
      <c r="D251" s="93" t="str">
        <f aca="false">'CC Alloc'!S214</f>
        <v/>
      </c>
      <c r="E251" s="94" t="str">
        <f aca="false">'CC Alloc'!T214</f>
        <v/>
      </c>
      <c r="F251" s="95" t="str">
        <f aca="false">IF('CC Alloc'!U214="","",'CC Alloc'!U214/QRate)</f>
        <v/>
      </c>
    </row>
    <row r="252" customFormat="false" ht="15" hidden="false" customHeight="false" outlineLevel="0" collapsed="false">
      <c r="B252" s="91" t="str">
        <f aca="false">IF('CC Alloc'!R215="","",212)</f>
        <v/>
      </c>
      <c r="C252" s="92" t="str">
        <f aca="false">'CC Alloc'!R215</f>
        <v/>
      </c>
      <c r="D252" s="93" t="str">
        <f aca="false">'CC Alloc'!S215</f>
        <v/>
      </c>
      <c r="E252" s="94" t="str">
        <f aca="false">'CC Alloc'!T215</f>
        <v/>
      </c>
      <c r="F252" s="95" t="str">
        <f aca="false">IF('CC Alloc'!U215="","",'CC Alloc'!U215/QRate)</f>
        <v/>
      </c>
    </row>
    <row r="253" customFormat="false" ht="15" hidden="false" customHeight="false" outlineLevel="0" collapsed="false">
      <c r="B253" s="91" t="str">
        <f aca="false">IF('CC Alloc'!R216="","",213)</f>
        <v/>
      </c>
      <c r="C253" s="92" t="str">
        <f aca="false">'CC Alloc'!R216</f>
        <v/>
      </c>
      <c r="D253" s="93" t="str">
        <f aca="false">'CC Alloc'!S216</f>
        <v/>
      </c>
      <c r="E253" s="94" t="str">
        <f aca="false">'CC Alloc'!T216</f>
        <v/>
      </c>
      <c r="F253" s="95" t="str">
        <f aca="false">IF('CC Alloc'!U216="","",'CC Alloc'!U216/QRate)</f>
        <v/>
      </c>
    </row>
    <row r="254" customFormat="false" ht="15" hidden="false" customHeight="false" outlineLevel="0" collapsed="false">
      <c r="B254" s="91" t="str">
        <f aca="false">IF('CC Alloc'!R217="","",214)</f>
        <v/>
      </c>
      <c r="C254" s="92" t="str">
        <f aca="false">'CC Alloc'!R217</f>
        <v/>
      </c>
      <c r="D254" s="93" t="str">
        <f aca="false">'CC Alloc'!S217</f>
        <v/>
      </c>
      <c r="E254" s="94" t="str">
        <f aca="false">'CC Alloc'!T217</f>
        <v/>
      </c>
      <c r="F254" s="95" t="str">
        <f aca="false">IF('CC Alloc'!U217="","",'CC Alloc'!U217/QRate)</f>
        <v/>
      </c>
    </row>
    <row r="255" customFormat="false" ht="15" hidden="false" customHeight="false" outlineLevel="0" collapsed="false">
      <c r="B255" s="91" t="str">
        <f aca="false">IF('CC Alloc'!R218="","",215)</f>
        <v/>
      </c>
      <c r="C255" s="92" t="str">
        <f aca="false">'CC Alloc'!R218</f>
        <v/>
      </c>
      <c r="D255" s="93" t="str">
        <f aca="false">'CC Alloc'!S218</f>
        <v/>
      </c>
      <c r="E255" s="94" t="str">
        <f aca="false">'CC Alloc'!T218</f>
        <v/>
      </c>
      <c r="F255" s="95" t="str">
        <f aca="false">IF('CC Alloc'!U218="","",'CC Alloc'!U218/QRate)</f>
        <v/>
      </c>
    </row>
    <row r="256" customFormat="false" ht="15" hidden="false" customHeight="false" outlineLevel="0" collapsed="false">
      <c r="B256" s="91" t="str">
        <f aca="false">IF('CC Alloc'!R219="","",216)</f>
        <v/>
      </c>
      <c r="C256" s="92" t="str">
        <f aca="false">'CC Alloc'!R219</f>
        <v/>
      </c>
      <c r="D256" s="93" t="str">
        <f aca="false">'CC Alloc'!S219</f>
        <v/>
      </c>
      <c r="E256" s="94" t="str">
        <f aca="false">'CC Alloc'!T219</f>
        <v/>
      </c>
      <c r="F256" s="95" t="str">
        <f aca="false">IF('CC Alloc'!U219="","",'CC Alloc'!U219/QRate)</f>
        <v/>
      </c>
    </row>
    <row r="257" customFormat="false" ht="15" hidden="false" customHeight="false" outlineLevel="0" collapsed="false">
      <c r="B257" s="91" t="str">
        <f aca="false">IF('CC Alloc'!R220="","",217)</f>
        <v/>
      </c>
      <c r="C257" s="92" t="str">
        <f aca="false">'CC Alloc'!R220</f>
        <v/>
      </c>
      <c r="D257" s="93" t="str">
        <f aca="false">'CC Alloc'!S220</f>
        <v/>
      </c>
      <c r="E257" s="94" t="str">
        <f aca="false">'CC Alloc'!T220</f>
        <v/>
      </c>
      <c r="F257" s="95" t="str">
        <f aca="false">IF('CC Alloc'!U220="","",'CC Alloc'!U220/QRate)</f>
        <v/>
      </c>
    </row>
    <row r="258" customFormat="false" ht="15" hidden="false" customHeight="false" outlineLevel="0" collapsed="false">
      <c r="B258" s="91" t="str">
        <f aca="false">IF('CC Alloc'!R221="","",218)</f>
        <v/>
      </c>
      <c r="C258" s="92" t="str">
        <f aca="false">'CC Alloc'!R221</f>
        <v/>
      </c>
      <c r="D258" s="93" t="str">
        <f aca="false">'CC Alloc'!S221</f>
        <v/>
      </c>
      <c r="E258" s="94" t="str">
        <f aca="false">'CC Alloc'!T221</f>
        <v/>
      </c>
      <c r="F258" s="95" t="str">
        <f aca="false">IF('CC Alloc'!U221="","",'CC Alloc'!U221/QRate)</f>
        <v/>
      </c>
    </row>
    <row r="259" customFormat="false" ht="15" hidden="false" customHeight="false" outlineLevel="0" collapsed="false">
      <c r="B259" s="91" t="str">
        <f aca="false">IF('CC Alloc'!R222="","",219)</f>
        <v/>
      </c>
      <c r="C259" s="92" t="str">
        <f aca="false">'CC Alloc'!R222</f>
        <v/>
      </c>
      <c r="D259" s="93" t="str">
        <f aca="false">'CC Alloc'!S222</f>
        <v/>
      </c>
      <c r="E259" s="94" t="str">
        <f aca="false">'CC Alloc'!T222</f>
        <v/>
      </c>
      <c r="F259" s="95" t="str">
        <f aca="false">IF('CC Alloc'!U222="","",'CC Alloc'!U222/QRate)</f>
        <v/>
      </c>
    </row>
    <row r="260" customFormat="false" ht="15" hidden="false" customHeight="false" outlineLevel="0" collapsed="false">
      <c r="B260" s="91" t="str">
        <f aca="false">IF('CC Alloc'!R223="","",220)</f>
        <v/>
      </c>
      <c r="C260" s="92" t="str">
        <f aca="false">'CC Alloc'!R223</f>
        <v/>
      </c>
      <c r="D260" s="93" t="str">
        <f aca="false">'CC Alloc'!S223</f>
        <v/>
      </c>
      <c r="E260" s="94" t="str">
        <f aca="false">'CC Alloc'!T223</f>
        <v/>
      </c>
      <c r="F260" s="95" t="str">
        <f aca="false">IF('CC Alloc'!U223="","",'CC Alloc'!U223/QRate)</f>
        <v/>
      </c>
    </row>
    <row r="261" customFormat="false" ht="15" hidden="false" customHeight="false" outlineLevel="0" collapsed="false">
      <c r="B261" s="91" t="str">
        <f aca="false">IF('CC Alloc'!R224="","",221)</f>
        <v/>
      </c>
      <c r="C261" s="92" t="str">
        <f aca="false">'CC Alloc'!R224</f>
        <v/>
      </c>
      <c r="D261" s="93" t="str">
        <f aca="false">'CC Alloc'!S224</f>
        <v/>
      </c>
      <c r="E261" s="94" t="str">
        <f aca="false">'CC Alloc'!T224</f>
        <v/>
      </c>
      <c r="F261" s="95" t="str">
        <f aca="false">IF('CC Alloc'!U224="","",'CC Alloc'!U224/QRate)</f>
        <v/>
      </c>
    </row>
    <row r="262" customFormat="false" ht="15" hidden="false" customHeight="false" outlineLevel="0" collapsed="false">
      <c r="B262" s="91" t="str">
        <f aca="false">IF('CC Alloc'!R225="","",222)</f>
        <v/>
      </c>
      <c r="C262" s="92" t="str">
        <f aca="false">'CC Alloc'!R225</f>
        <v/>
      </c>
      <c r="D262" s="93" t="str">
        <f aca="false">'CC Alloc'!S225</f>
        <v/>
      </c>
      <c r="E262" s="94" t="str">
        <f aca="false">'CC Alloc'!T225</f>
        <v/>
      </c>
      <c r="F262" s="95" t="str">
        <f aca="false">IF('CC Alloc'!U225="","",'CC Alloc'!U225/QRate)</f>
        <v/>
      </c>
    </row>
    <row r="263" customFormat="false" ht="15" hidden="false" customHeight="false" outlineLevel="0" collapsed="false">
      <c r="B263" s="91" t="str">
        <f aca="false">IF('CC Alloc'!R226="","",223)</f>
        <v/>
      </c>
      <c r="C263" s="92" t="str">
        <f aca="false">'CC Alloc'!R226</f>
        <v/>
      </c>
      <c r="D263" s="93" t="str">
        <f aca="false">'CC Alloc'!S226</f>
        <v/>
      </c>
      <c r="E263" s="94" t="str">
        <f aca="false">'CC Alloc'!T226</f>
        <v/>
      </c>
      <c r="F263" s="95" t="str">
        <f aca="false">IF('CC Alloc'!U226="","",'CC Alloc'!U226/QRate)</f>
        <v/>
      </c>
    </row>
    <row r="264" customFormat="false" ht="15" hidden="false" customHeight="false" outlineLevel="0" collapsed="false">
      <c r="B264" s="91" t="str">
        <f aca="false">IF('CC Alloc'!R227="","",224)</f>
        <v/>
      </c>
      <c r="C264" s="92" t="str">
        <f aca="false">'CC Alloc'!R227</f>
        <v/>
      </c>
      <c r="D264" s="93" t="str">
        <f aca="false">'CC Alloc'!S227</f>
        <v/>
      </c>
      <c r="E264" s="94" t="str">
        <f aca="false">'CC Alloc'!T227</f>
        <v/>
      </c>
      <c r="F264" s="95" t="str">
        <f aca="false">IF('CC Alloc'!U227="","",'CC Alloc'!U227/QRate)</f>
        <v/>
      </c>
    </row>
    <row r="265" customFormat="false" ht="15" hidden="false" customHeight="false" outlineLevel="0" collapsed="false">
      <c r="B265" s="91" t="str">
        <f aca="false">IF('CC Alloc'!R228="","",225)</f>
        <v/>
      </c>
      <c r="C265" s="92" t="str">
        <f aca="false">'CC Alloc'!R228</f>
        <v/>
      </c>
      <c r="D265" s="93" t="str">
        <f aca="false">'CC Alloc'!S228</f>
        <v/>
      </c>
      <c r="E265" s="94" t="str">
        <f aca="false">'CC Alloc'!T228</f>
        <v/>
      </c>
      <c r="F265" s="95" t="str">
        <f aca="false">IF('CC Alloc'!U228="","",'CC Alloc'!U228/QRate)</f>
        <v/>
      </c>
    </row>
    <row r="266" customFormat="false" ht="15" hidden="false" customHeight="false" outlineLevel="0" collapsed="false">
      <c r="B266" s="91" t="str">
        <f aca="false">IF('CC Alloc'!R229="","",226)</f>
        <v/>
      </c>
      <c r="C266" s="92" t="str">
        <f aca="false">'CC Alloc'!R229</f>
        <v/>
      </c>
      <c r="D266" s="93" t="str">
        <f aca="false">'CC Alloc'!S229</f>
        <v/>
      </c>
      <c r="E266" s="94" t="str">
        <f aca="false">'CC Alloc'!T229</f>
        <v/>
      </c>
      <c r="F266" s="95" t="str">
        <f aca="false">IF('CC Alloc'!U229="","",'CC Alloc'!U229/QRate)</f>
        <v/>
      </c>
    </row>
    <row r="267" customFormat="false" ht="15" hidden="false" customHeight="false" outlineLevel="0" collapsed="false">
      <c r="B267" s="91" t="str">
        <f aca="false">IF('CC Alloc'!R230="","",227)</f>
        <v/>
      </c>
      <c r="C267" s="92" t="str">
        <f aca="false">'CC Alloc'!R230</f>
        <v/>
      </c>
      <c r="D267" s="93" t="str">
        <f aca="false">'CC Alloc'!S230</f>
        <v/>
      </c>
      <c r="E267" s="94" t="str">
        <f aca="false">'CC Alloc'!T230</f>
        <v/>
      </c>
      <c r="F267" s="95" t="str">
        <f aca="false">IF('CC Alloc'!U230="","",'CC Alloc'!U230/QRate)</f>
        <v/>
      </c>
    </row>
    <row r="268" customFormat="false" ht="15" hidden="false" customHeight="false" outlineLevel="0" collapsed="false">
      <c r="B268" s="91" t="str">
        <f aca="false">IF('CC Alloc'!R231="","",228)</f>
        <v/>
      </c>
      <c r="C268" s="92" t="str">
        <f aca="false">'CC Alloc'!R231</f>
        <v/>
      </c>
      <c r="D268" s="93" t="str">
        <f aca="false">'CC Alloc'!S231</f>
        <v/>
      </c>
      <c r="E268" s="94" t="str">
        <f aca="false">'CC Alloc'!T231</f>
        <v/>
      </c>
      <c r="F268" s="95" t="str">
        <f aca="false">IF('CC Alloc'!U231="","",'CC Alloc'!U231/QRate)</f>
        <v/>
      </c>
    </row>
    <row r="269" customFormat="false" ht="15" hidden="false" customHeight="false" outlineLevel="0" collapsed="false">
      <c r="B269" s="91" t="str">
        <f aca="false">IF('CC Alloc'!R232="","",229)</f>
        <v/>
      </c>
      <c r="C269" s="92" t="str">
        <f aca="false">'CC Alloc'!R232</f>
        <v/>
      </c>
      <c r="D269" s="93" t="str">
        <f aca="false">'CC Alloc'!S232</f>
        <v/>
      </c>
      <c r="E269" s="94" t="str">
        <f aca="false">'CC Alloc'!T232</f>
        <v/>
      </c>
      <c r="F269" s="95" t="str">
        <f aca="false">IF('CC Alloc'!U232="","",'CC Alloc'!U232/QRate)</f>
        <v/>
      </c>
    </row>
    <row r="270" customFormat="false" ht="15" hidden="false" customHeight="false" outlineLevel="0" collapsed="false">
      <c r="B270" s="91" t="str">
        <f aca="false">IF('CC Alloc'!R233="","",230)</f>
        <v/>
      </c>
      <c r="C270" s="92" t="str">
        <f aca="false">'CC Alloc'!R233</f>
        <v/>
      </c>
      <c r="D270" s="93" t="str">
        <f aca="false">'CC Alloc'!S233</f>
        <v/>
      </c>
      <c r="E270" s="94" t="str">
        <f aca="false">'CC Alloc'!T233</f>
        <v/>
      </c>
      <c r="F270" s="95" t="str">
        <f aca="false">IF('CC Alloc'!U233="","",'CC Alloc'!U233/QRate)</f>
        <v/>
      </c>
    </row>
    <row r="271" customFormat="false" ht="15" hidden="false" customHeight="false" outlineLevel="0" collapsed="false">
      <c r="B271" s="91" t="str">
        <f aca="false">IF('CC Alloc'!R234="","",231)</f>
        <v/>
      </c>
      <c r="C271" s="92" t="str">
        <f aca="false">'CC Alloc'!R234</f>
        <v/>
      </c>
      <c r="D271" s="93" t="str">
        <f aca="false">'CC Alloc'!S234</f>
        <v/>
      </c>
      <c r="E271" s="94" t="str">
        <f aca="false">'CC Alloc'!T234</f>
        <v/>
      </c>
      <c r="F271" s="95" t="str">
        <f aca="false">IF('CC Alloc'!U234="","",'CC Alloc'!U234/QRate)</f>
        <v/>
      </c>
    </row>
    <row r="272" customFormat="false" ht="15" hidden="false" customHeight="false" outlineLevel="0" collapsed="false">
      <c r="B272" s="91" t="str">
        <f aca="false">IF('CC Alloc'!R235="","",232)</f>
        <v/>
      </c>
      <c r="C272" s="92" t="str">
        <f aca="false">'CC Alloc'!R235</f>
        <v/>
      </c>
      <c r="D272" s="93" t="str">
        <f aca="false">'CC Alloc'!S235</f>
        <v/>
      </c>
      <c r="E272" s="94" t="str">
        <f aca="false">'CC Alloc'!T235</f>
        <v/>
      </c>
      <c r="F272" s="95" t="str">
        <f aca="false">IF('CC Alloc'!U235="","",'CC Alloc'!U235/QRate)</f>
        <v/>
      </c>
    </row>
    <row r="273" customFormat="false" ht="15" hidden="false" customHeight="false" outlineLevel="0" collapsed="false">
      <c r="B273" s="91" t="str">
        <f aca="false">IF('CC Alloc'!R236="","",233)</f>
        <v/>
      </c>
      <c r="C273" s="92" t="str">
        <f aca="false">'CC Alloc'!R236</f>
        <v/>
      </c>
      <c r="D273" s="93" t="str">
        <f aca="false">'CC Alloc'!S236</f>
        <v/>
      </c>
      <c r="E273" s="94" t="str">
        <f aca="false">'CC Alloc'!T236</f>
        <v/>
      </c>
      <c r="F273" s="95" t="str">
        <f aca="false">IF('CC Alloc'!U236="","",'CC Alloc'!U236/QRate)</f>
        <v/>
      </c>
    </row>
    <row r="274" customFormat="false" ht="15" hidden="false" customHeight="false" outlineLevel="0" collapsed="false">
      <c r="B274" s="91" t="str">
        <f aca="false">IF('CC Alloc'!R237="","",234)</f>
        <v/>
      </c>
      <c r="C274" s="92" t="str">
        <f aca="false">'CC Alloc'!R237</f>
        <v/>
      </c>
      <c r="D274" s="93" t="str">
        <f aca="false">'CC Alloc'!S237</f>
        <v/>
      </c>
      <c r="E274" s="94" t="str">
        <f aca="false">'CC Alloc'!T237</f>
        <v/>
      </c>
      <c r="F274" s="95" t="str">
        <f aca="false">IF('CC Alloc'!U237="","",'CC Alloc'!U237/QRate)</f>
        <v/>
      </c>
    </row>
    <row r="275" customFormat="false" ht="15" hidden="false" customHeight="false" outlineLevel="0" collapsed="false">
      <c r="B275" s="91" t="str">
        <f aca="false">IF('CC Alloc'!R238="","",235)</f>
        <v/>
      </c>
      <c r="C275" s="92" t="str">
        <f aca="false">'CC Alloc'!R238</f>
        <v/>
      </c>
      <c r="D275" s="93" t="str">
        <f aca="false">'CC Alloc'!S238</f>
        <v/>
      </c>
      <c r="E275" s="94" t="str">
        <f aca="false">'CC Alloc'!T238</f>
        <v/>
      </c>
      <c r="F275" s="95" t="str">
        <f aca="false">IF('CC Alloc'!U238="","",'CC Alloc'!U238/QRate)</f>
        <v/>
      </c>
    </row>
    <row r="276" customFormat="false" ht="15" hidden="false" customHeight="false" outlineLevel="0" collapsed="false">
      <c r="B276" s="91" t="str">
        <f aca="false">IF('CC Alloc'!R239="","",236)</f>
        <v/>
      </c>
      <c r="C276" s="92" t="str">
        <f aca="false">'CC Alloc'!R239</f>
        <v/>
      </c>
      <c r="D276" s="93" t="str">
        <f aca="false">'CC Alloc'!S239</f>
        <v/>
      </c>
      <c r="E276" s="94" t="str">
        <f aca="false">'CC Alloc'!T239</f>
        <v/>
      </c>
      <c r="F276" s="95" t="str">
        <f aca="false">IF('CC Alloc'!U239="","",'CC Alloc'!U239/QRate)</f>
        <v/>
      </c>
    </row>
    <row r="277" customFormat="false" ht="15" hidden="false" customHeight="false" outlineLevel="0" collapsed="false">
      <c r="B277" s="91" t="str">
        <f aca="false">IF('CC Alloc'!R240="","",237)</f>
        <v/>
      </c>
      <c r="C277" s="92" t="str">
        <f aca="false">'CC Alloc'!R240</f>
        <v/>
      </c>
      <c r="D277" s="93" t="str">
        <f aca="false">'CC Alloc'!S240</f>
        <v/>
      </c>
      <c r="E277" s="94" t="str">
        <f aca="false">'CC Alloc'!T240</f>
        <v/>
      </c>
      <c r="F277" s="95" t="str">
        <f aca="false">IF('CC Alloc'!U240="","",'CC Alloc'!U240/QRate)</f>
        <v/>
      </c>
    </row>
    <row r="278" customFormat="false" ht="15" hidden="false" customHeight="false" outlineLevel="0" collapsed="false">
      <c r="B278" s="91" t="str">
        <f aca="false">IF('CC Alloc'!R241="","",238)</f>
        <v/>
      </c>
      <c r="C278" s="92" t="str">
        <f aca="false">'CC Alloc'!R241</f>
        <v/>
      </c>
      <c r="D278" s="93" t="str">
        <f aca="false">'CC Alloc'!S241</f>
        <v/>
      </c>
      <c r="E278" s="94" t="str">
        <f aca="false">'CC Alloc'!T241</f>
        <v/>
      </c>
      <c r="F278" s="95" t="str">
        <f aca="false">IF('CC Alloc'!U241="","",'CC Alloc'!U241/QRate)</f>
        <v/>
      </c>
    </row>
    <row r="279" customFormat="false" ht="15" hidden="false" customHeight="false" outlineLevel="0" collapsed="false">
      <c r="B279" s="91" t="str">
        <f aca="false">IF('CC Alloc'!R242="","",239)</f>
        <v/>
      </c>
      <c r="C279" s="92" t="str">
        <f aca="false">'CC Alloc'!R242</f>
        <v/>
      </c>
      <c r="D279" s="93" t="str">
        <f aca="false">'CC Alloc'!S242</f>
        <v/>
      </c>
      <c r="E279" s="94" t="str">
        <f aca="false">'CC Alloc'!T242</f>
        <v/>
      </c>
      <c r="F279" s="95" t="str">
        <f aca="false">IF('CC Alloc'!U242="","",'CC Alloc'!U242/QRate)</f>
        <v/>
      </c>
    </row>
    <row r="280" customFormat="false" ht="15" hidden="false" customHeight="false" outlineLevel="0" collapsed="false">
      <c r="B280" s="91" t="str">
        <f aca="false">IF('CC Alloc'!R243="","",240)</f>
        <v/>
      </c>
      <c r="C280" s="92" t="str">
        <f aca="false">'CC Alloc'!R243</f>
        <v/>
      </c>
      <c r="D280" s="93" t="str">
        <f aca="false">'CC Alloc'!S243</f>
        <v/>
      </c>
      <c r="E280" s="94" t="str">
        <f aca="false">'CC Alloc'!T243</f>
        <v/>
      </c>
      <c r="F280" s="95" t="str">
        <f aca="false">IF('CC Alloc'!U243="","",'CC Alloc'!U243/QRate)</f>
        <v/>
      </c>
    </row>
    <row r="281" customFormat="false" ht="15" hidden="false" customHeight="false" outlineLevel="0" collapsed="false">
      <c r="B281" s="91" t="str">
        <f aca="false">IF('CC Alloc'!R244="","",241)</f>
        <v/>
      </c>
      <c r="C281" s="92" t="str">
        <f aca="false">'CC Alloc'!R244</f>
        <v/>
      </c>
      <c r="D281" s="93" t="str">
        <f aca="false">'CC Alloc'!S244</f>
        <v/>
      </c>
      <c r="E281" s="94" t="str">
        <f aca="false">'CC Alloc'!T244</f>
        <v/>
      </c>
      <c r="F281" s="95" t="str">
        <f aca="false">IF('CC Alloc'!U244="","",'CC Alloc'!U244/QRate)</f>
        <v/>
      </c>
    </row>
    <row r="282" customFormat="false" ht="15" hidden="false" customHeight="false" outlineLevel="0" collapsed="false">
      <c r="B282" s="91" t="str">
        <f aca="false">IF('CC Alloc'!R245="","",242)</f>
        <v/>
      </c>
      <c r="C282" s="92" t="str">
        <f aca="false">'CC Alloc'!R245</f>
        <v/>
      </c>
      <c r="D282" s="93" t="str">
        <f aca="false">'CC Alloc'!S245</f>
        <v/>
      </c>
      <c r="E282" s="94" t="str">
        <f aca="false">'CC Alloc'!T245</f>
        <v/>
      </c>
      <c r="F282" s="95" t="str">
        <f aca="false">IF('CC Alloc'!U245="","",'CC Alloc'!U245/QRate)</f>
        <v/>
      </c>
    </row>
    <row r="283" customFormat="false" ht="15" hidden="false" customHeight="false" outlineLevel="0" collapsed="false">
      <c r="B283" s="91" t="str">
        <f aca="false">IF('CC Alloc'!R246="","",243)</f>
        <v/>
      </c>
      <c r="C283" s="92" t="str">
        <f aca="false">'CC Alloc'!R246</f>
        <v/>
      </c>
      <c r="D283" s="93" t="str">
        <f aca="false">'CC Alloc'!S246</f>
        <v/>
      </c>
      <c r="E283" s="94" t="str">
        <f aca="false">'CC Alloc'!T246</f>
        <v/>
      </c>
      <c r="F283" s="95" t="str">
        <f aca="false">IF('CC Alloc'!U246="","",'CC Alloc'!U246/QRate)</f>
        <v/>
      </c>
    </row>
    <row r="284" customFormat="false" ht="15" hidden="false" customHeight="false" outlineLevel="0" collapsed="false">
      <c r="B284" s="91" t="str">
        <f aca="false">IF('CC Alloc'!R247="","",244)</f>
        <v/>
      </c>
      <c r="C284" s="92" t="str">
        <f aca="false">'CC Alloc'!R247</f>
        <v/>
      </c>
      <c r="D284" s="93" t="str">
        <f aca="false">'CC Alloc'!S247</f>
        <v/>
      </c>
      <c r="E284" s="94" t="str">
        <f aca="false">'CC Alloc'!T247</f>
        <v/>
      </c>
      <c r="F284" s="95" t="str">
        <f aca="false">IF('CC Alloc'!U247="","",'CC Alloc'!U247/QRate)</f>
        <v/>
      </c>
    </row>
    <row r="285" customFormat="false" ht="15" hidden="false" customHeight="false" outlineLevel="0" collapsed="false">
      <c r="B285" s="91" t="str">
        <f aca="false">IF('CC Alloc'!R248="","",245)</f>
        <v/>
      </c>
      <c r="C285" s="92" t="str">
        <f aca="false">'CC Alloc'!R248</f>
        <v/>
      </c>
      <c r="D285" s="93" t="str">
        <f aca="false">'CC Alloc'!S248</f>
        <v/>
      </c>
      <c r="E285" s="94" t="str">
        <f aca="false">'CC Alloc'!T248</f>
        <v/>
      </c>
      <c r="F285" s="95" t="str">
        <f aca="false">IF('CC Alloc'!U248="","",'CC Alloc'!U248/QRate)</f>
        <v/>
      </c>
    </row>
    <row r="286" customFormat="false" ht="15" hidden="false" customHeight="false" outlineLevel="0" collapsed="false">
      <c r="B286" s="91" t="str">
        <f aca="false">IF('CC Alloc'!R249="","",246)</f>
        <v/>
      </c>
      <c r="C286" s="92" t="str">
        <f aca="false">'CC Alloc'!R249</f>
        <v/>
      </c>
      <c r="D286" s="93" t="str">
        <f aca="false">'CC Alloc'!S249</f>
        <v/>
      </c>
      <c r="E286" s="94" t="str">
        <f aca="false">'CC Alloc'!T249</f>
        <v/>
      </c>
      <c r="F286" s="95" t="str">
        <f aca="false">IF('CC Alloc'!U249="","",'CC Alloc'!U249/QRate)</f>
        <v/>
      </c>
    </row>
    <row r="287" customFormat="false" ht="15" hidden="false" customHeight="false" outlineLevel="0" collapsed="false">
      <c r="B287" s="91" t="str">
        <f aca="false">IF('CC Alloc'!R250="","",247)</f>
        <v/>
      </c>
      <c r="C287" s="92" t="str">
        <f aca="false">'CC Alloc'!R250</f>
        <v/>
      </c>
      <c r="D287" s="93" t="str">
        <f aca="false">'CC Alloc'!S250</f>
        <v/>
      </c>
      <c r="E287" s="94" t="str">
        <f aca="false">'CC Alloc'!T250</f>
        <v/>
      </c>
      <c r="F287" s="95" t="str">
        <f aca="false">IF('CC Alloc'!U250="","",'CC Alloc'!U250/QRate)</f>
        <v/>
      </c>
    </row>
    <row r="288" customFormat="false" ht="15" hidden="false" customHeight="false" outlineLevel="0" collapsed="false">
      <c r="B288" s="91" t="str">
        <f aca="false">IF('CC Alloc'!R251="","",248)</f>
        <v/>
      </c>
      <c r="C288" s="92" t="str">
        <f aca="false">'CC Alloc'!R251</f>
        <v/>
      </c>
      <c r="D288" s="93" t="str">
        <f aca="false">'CC Alloc'!S251</f>
        <v/>
      </c>
      <c r="E288" s="94" t="str">
        <f aca="false">'CC Alloc'!T251</f>
        <v/>
      </c>
      <c r="F288" s="95" t="str">
        <f aca="false">IF('CC Alloc'!U251="","",'CC Alloc'!U251/QRate)</f>
        <v/>
      </c>
    </row>
    <row r="289" customFormat="false" ht="15" hidden="false" customHeight="false" outlineLevel="0" collapsed="false">
      <c r="B289" s="91" t="str">
        <f aca="false">IF('CC Alloc'!R252="","",249)</f>
        <v/>
      </c>
      <c r="C289" s="92" t="str">
        <f aca="false">'CC Alloc'!R252</f>
        <v/>
      </c>
      <c r="D289" s="93" t="str">
        <f aca="false">'CC Alloc'!S252</f>
        <v/>
      </c>
      <c r="E289" s="94" t="str">
        <f aca="false">'CC Alloc'!T252</f>
        <v/>
      </c>
      <c r="F289" s="95" t="str">
        <f aca="false">IF('CC Alloc'!U252="","",'CC Alloc'!U252/QRate)</f>
        <v/>
      </c>
    </row>
    <row r="290" customFormat="false" ht="15" hidden="false" customHeight="false" outlineLevel="0" collapsed="false">
      <c r="B290" s="91" t="str">
        <f aca="false">IF('CC Alloc'!R253="","",250)</f>
        <v/>
      </c>
      <c r="C290" s="92" t="str">
        <f aca="false">'CC Alloc'!R253</f>
        <v/>
      </c>
      <c r="D290" s="93" t="str">
        <f aca="false">'CC Alloc'!S253</f>
        <v/>
      </c>
      <c r="E290" s="94" t="str">
        <f aca="false">'CC Alloc'!T253</f>
        <v/>
      </c>
      <c r="F290" s="95" t="str">
        <f aca="false">IF('CC Alloc'!U253="","",'CC Alloc'!U253/QRate)</f>
        <v/>
      </c>
    </row>
    <row r="291" customFormat="false" ht="15" hidden="false" customHeight="false" outlineLevel="0" collapsed="false">
      <c r="B291" s="91" t="str">
        <f aca="false">IF('CC Alloc'!R254="","",251)</f>
        <v/>
      </c>
      <c r="C291" s="92" t="str">
        <f aca="false">'CC Alloc'!R254</f>
        <v/>
      </c>
      <c r="D291" s="93" t="str">
        <f aca="false">'CC Alloc'!S254</f>
        <v/>
      </c>
      <c r="E291" s="94" t="str">
        <f aca="false">'CC Alloc'!T254</f>
        <v/>
      </c>
      <c r="F291" s="95" t="str">
        <f aca="false">IF('CC Alloc'!U254="","",'CC Alloc'!U254/QRate)</f>
        <v/>
      </c>
    </row>
    <row r="292" customFormat="false" ht="15" hidden="false" customHeight="false" outlineLevel="0" collapsed="false">
      <c r="B292" s="91" t="str">
        <f aca="false">IF('CC Alloc'!R255="","",252)</f>
        <v/>
      </c>
      <c r="C292" s="92" t="str">
        <f aca="false">'CC Alloc'!R255</f>
        <v/>
      </c>
      <c r="D292" s="93" t="str">
        <f aca="false">'CC Alloc'!S255</f>
        <v/>
      </c>
      <c r="E292" s="94" t="str">
        <f aca="false">'CC Alloc'!T255</f>
        <v/>
      </c>
      <c r="F292" s="95" t="str">
        <f aca="false">IF('CC Alloc'!U255="","",'CC Alloc'!U255/QRate)</f>
        <v/>
      </c>
    </row>
    <row r="293" customFormat="false" ht="15" hidden="false" customHeight="false" outlineLevel="0" collapsed="false">
      <c r="B293" s="91" t="str">
        <f aca="false">IF('CC Alloc'!R256="","",253)</f>
        <v/>
      </c>
      <c r="C293" s="92" t="str">
        <f aca="false">'CC Alloc'!R256</f>
        <v/>
      </c>
      <c r="D293" s="93" t="str">
        <f aca="false">'CC Alloc'!S256</f>
        <v/>
      </c>
      <c r="E293" s="94" t="str">
        <f aca="false">'CC Alloc'!T256</f>
        <v/>
      </c>
      <c r="F293" s="95" t="str">
        <f aca="false">IF('CC Alloc'!U256="","",'CC Alloc'!U256/QRate)</f>
        <v/>
      </c>
    </row>
    <row r="294" customFormat="false" ht="15" hidden="false" customHeight="false" outlineLevel="0" collapsed="false">
      <c r="B294" s="91" t="str">
        <f aca="false">IF('CC Alloc'!R257="","",254)</f>
        <v/>
      </c>
      <c r="C294" s="92" t="str">
        <f aca="false">'CC Alloc'!R257</f>
        <v/>
      </c>
      <c r="D294" s="93" t="str">
        <f aca="false">'CC Alloc'!S257</f>
        <v/>
      </c>
      <c r="E294" s="94" t="str">
        <f aca="false">'CC Alloc'!T257</f>
        <v/>
      </c>
      <c r="F294" s="95" t="str">
        <f aca="false">IF('CC Alloc'!U257="","",'CC Alloc'!U257/QRate)</f>
        <v/>
      </c>
    </row>
    <row r="295" customFormat="false" ht="15" hidden="false" customHeight="false" outlineLevel="0" collapsed="false">
      <c r="B295" s="91" t="str">
        <f aca="false">IF('CC Alloc'!R258="","",255)</f>
        <v/>
      </c>
      <c r="C295" s="92" t="str">
        <f aca="false">'CC Alloc'!R258</f>
        <v/>
      </c>
      <c r="D295" s="93" t="str">
        <f aca="false">'CC Alloc'!S258</f>
        <v/>
      </c>
      <c r="E295" s="94" t="str">
        <f aca="false">'CC Alloc'!T258</f>
        <v/>
      </c>
      <c r="F295" s="95" t="str">
        <f aca="false">IF('CC Alloc'!U258="","",'CC Alloc'!U258/QRate)</f>
        <v/>
      </c>
    </row>
    <row r="296" customFormat="false" ht="15" hidden="false" customHeight="false" outlineLevel="0" collapsed="false">
      <c r="B296" s="91" t="str">
        <f aca="false">IF('CC Alloc'!R259="","",256)</f>
        <v/>
      </c>
      <c r="C296" s="92" t="str">
        <f aca="false">'CC Alloc'!R259</f>
        <v/>
      </c>
      <c r="D296" s="93" t="str">
        <f aca="false">'CC Alloc'!S259</f>
        <v/>
      </c>
      <c r="E296" s="94" t="str">
        <f aca="false">'CC Alloc'!T259</f>
        <v/>
      </c>
      <c r="F296" s="95" t="str">
        <f aca="false">IF('CC Alloc'!U259="","",'CC Alloc'!U259/QRate)</f>
        <v/>
      </c>
    </row>
    <row r="297" customFormat="false" ht="15" hidden="false" customHeight="false" outlineLevel="0" collapsed="false">
      <c r="B297" s="91" t="str">
        <f aca="false">IF('CC Alloc'!R260="","",257)</f>
        <v/>
      </c>
      <c r="C297" s="92" t="str">
        <f aca="false">'CC Alloc'!R260</f>
        <v/>
      </c>
      <c r="D297" s="93" t="str">
        <f aca="false">'CC Alloc'!S260</f>
        <v/>
      </c>
      <c r="E297" s="94" t="str">
        <f aca="false">'CC Alloc'!T260</f>
        <v/>
      </c>
      <c r="F297" s="95" t="str">
        <f aca="false">IF('CC Alloc'!U260="","",'CC Alloc'!U260/QRate)</f>
        <v/>
      </c>
    </row>
    <row r="298" customFormat="false" ht="15" hidden="false" customHeight="false" outlineLevel="0" collapsed="false">
      <c r="B298" s="91" t="str">
        <f aca="false">IF('CC Alloc'!R261="","",258)</f>
        <v/>
      </c>
      <c r="C298" s="92" t="str">
        <f aca="false">'CC Alloc'!R261</f>
        <v/>
      </c>
      <c r="D298" s="93" t="str">
        <f aca="false">'CC Alloc'!S261</f>
        <v/>
      </c>
      <c r="E298" s="94" t="str">
        <f aca="false">'CC Alloc'!T261</f>
        <v/>
      </c>
      <c r="F298" s="95" t="str">
        <f aca="false">IF('CC Alloc'!U261="","",'CC Alloc'!U261/QRate)</f>
        <v/>
      </c>
    </row>
    <row r="299" customFormat="false" ht="15" hidden="false" customHeight="false" outlineLevel="0" collapsed="false">
      <c r="B299" s="91" t="str">
        <f aca="false">IF('CC Alloc'!R262="","",259)</f>
        <v/>
      </c>
      <c r="C299" s="92" t="str">
        <f aca="false">'CC Alloc'!R262</f>
        <v/>
      </c>
      <c r="D299" s="93" t="str">
        <f aca="false">'CC Alloc'!S262</f>
        <v/>
      </c>
      <c r="E299" s="94" t="str">
        <f aca="false">'CC Alloc'!T262</f>
        <v/>
      </c>
      <c r="F299" s="95" t="str">
        <f aca="false">IF('CC Alloc'!U262="","",'CC Alloc'!U262/QRate)</f>
        <v/>
      </c>
    </row>
    <row r="300" customFormat="false" ht="15" hidden="false" customHeight="false" outlineLevel="0" collapsed="false">
      <c r="B300" s="91" t="str">
        <f aca="false">IF('CC Alloc'!R263="","",260)</f>
        <v/>
      </c>
      <c r="C300" s="92" t="str">
        <f aca="false">'CC Alloc'!R263</f>
        <v/>
      </c>
      <c r="D300" s="93" t="str">
        <f aca="false">'CC Alloc'!S263</f>
        <v/>
      </c>
      <c r="E300" s="94" t="str">
        <f aca="false">'CC Alloc'!T263</f>
        <v/>
      </c>
      <c r="F300" s="95" t="str">
        <f aca="false">IF('CC Alloc'!U263="","",'CC Alloc'!U263/QRate)</f>
        <v/>
      </c>
    </row>
    <row r="301" customFormat="false" ht="15" hidden="false" customHeight="false" outlineLevel="0" collapsed="false">
      <c r="B301" s="91" t="str">
        <f aca="false">IF('CC Alloc'!R264="","",261)</f>
        <v/>
      </c>
      <c r="C301" s="92" t="str">
        <f aca="false">'CC Alloc'!R264</f>
        <v/>
      </c>
      <c r="D301" s="93" t="str">
        <f aca="false">'CC Alloc'!S264</f>
        <v/>
      </c>
      <c r="E301" s="94" t="str">
        <f aca="false">'CC Alloc'!T264</f>
        <v/>
      </c>
      <c r="F301" s="95" t="str">
        <f aca="false">IF('CC Alloc'!U264="","",'CC Alloc'!U264/QRate)</f>
        <v/>
      </c>
    </row>
    <row r="302" customFormat="false" ht="15" hidden="false" customHeight="false" outlineLevel="0" collapsed="false">
      <c r="B302" s="91" t="str">
        <f aca="false">IF('CC Alloc'!R265="","",262)</f>
        <v/>
      </c>
      <c r="C302" s="92" t="str">
        <f aca="false">'CC Alloc'!R265</f>
        <v/>
      </c>
      <c r="D302" s="93" t="str">
        <f aca="false">'CC Alloc'!S265</f>
        <v/>
      </c>
      <c r="E302" s="94" t="str">
        <f aca="false">'CC Alloc'!T265</f>
        <v/>
      </c>
      <c r="F302" s="95" t="str">
        <f aca="false">IF('CC Alloc'!U265="","",'CC Alloc'!U265/QRate)</f>
        <v/>
      </c>
    </row>
    <row r="303" customFormat="false" ht="15" hidden="false" customHeight="false" outlineLevel="0" collapsed="false">
      <c r="B303" s="91" t="str">
        <f aca="false">IF('CC Alloc'!R266="","",263)</f>
        <v/>
      </c>
      <c r="C303" s="92" t="str">
        <f aca="false">'CC Alloc'!R266</f>
        <v/>
      </c>
      <c r="D303" s="93" t="str">
        <f aca="false">'CC Alloc'!S266</f>
        <v/>
      </c>
      <c r="E303" s="94" t="str">
        <f aca="false">'CC Alloc'!T266</f>
        <v/>
      </c>
      <c r="F303" s="95" t="str">
        <f aca="false">IF('CC Alloc'!U266="","",'CC Alloc'!U266/QRate)</f>
        <v/>
      </c>
    </row>
    <row r="304" customFormat="false" ht="15" hidden="false" customHeight="false" outlineLevel="0" collapsed="false">
      <c r="B304" s="91" t="str">
        <f aca="false">IF('CC Alloc'!R267="","",264)</f>
        <v/>
      </c>
      <c r="C304" s="92" t="str">
        <f aca="false">'CC Alloc'!R267</f>
        <v/>
      </c>
      <c r="D304" s="93" t="str">
        <f aca="false">'CC Alloc'!S267</f>
        <v/>
      </c>
      <c r="E304" s="94" t="str">
        <f aca="false">'CC Alloc'!T267</f>
        <v/>
      </c>
      <c r="F304" s="95" t="str">
        <f aca="false">IF('CC Alloc'!U267="","",'CC Alloc'!U267/QRate)</f>
        <v/>
      </c>
    </row>
    <row r="305" customFormat="false" ht="15" hidden="false" customHeight="false" outlineLevel="0" collapsed="false">
      <c r="B305" s="91" t="str">
        <f aca="false">IF('CC Alloc'!R268="","",265)</f>
        <v/>
      </c>
      <c r="C305" s="92" t="str">
        <f aca="false">'CC Alloc'!R268</f>
        <v/>
      </c>
      <c r="D305" s="93" t="str">
        <f aca="false">'CC Alloc'!S268</f>
        <v/>
      </c>
      <c r="E305" s="94" t="str">
        <f aca="false">'CC Alloc'!T268</f>
        <v/>
      </c>
      <c r="F305" s="95" t="str">
        <f aca="false">IF('CC Alloc'!U268="","",'CC Alloc'!U268/QRate)</f>
        <v/>
      </c>
    </row>
    <row r="306" customFormat="false" ht="15" hidden="false" customHeight="false" outlineLevel="0" collapsed="false">
      <c r="B306" s="91" t="str">
        <f aca="false">IF('CC Alloc'!R269="","",266)</f>
        <v/>
      </c>
      <c r="C306" s="92" t="str">
        <f aca="false">'CC Alloc'!R269</f>
        <v/>
      </c>
      <c r="D306" s="93" t="str">
        <f aca="false">'CC Alloc'!S269</f>
        <v/>
      </c>
      <c r="E306" s="94" t="str">
        <f aca="false">'CC Alloc'!T269</f>
        <v/>
      </c>
      <c r="F306" s="95" t="str">
        <f aca="false">IF('CC Alloc'!U269="","",'CC Alloc'!U269/QRate)</f>
        <v/>
      </c>
    </row>
    <row r="307" customFormat="false" ht="15" hidden="false" customHeight="false" outlineLevel="0" collapsed="false">
      <c r="B307" s="91" t="str">
        <f aca="false">IF('CC Alloc'!R270="","",267)</f>
        <v/>
      </c>
      <c r="C307" s="92" t="str">
        <f aca="false">'CC Alloc'!R270</f>
        <v/>
      </c>
      <c r="D307" s="93" t="str">
        <f aca="false">'CC Alloc'!S270</f>
        <v/>
      </c>
      <c r="E307" s="94" t="str">
        <f aca="false">'CC Alloc'!T270</f>
        <v/>
      </c>
      <c r="F307" s="95" t="str">
        <f aca="false">IF('CC Alloc'!U270="","",'CC Alloc'!U270/QRate)</f>
        <v/>
      </c>
    </row>
    <row r="308" customFormat="false" ht="15" hidden="false" customHeight="false" outlineLevel="0" collapsed="false">
      <c r="B308" s="91" t="str">
        <f aca="false">IF('CC Alloc'!R271="","",268)</f>
        <v/>
      </c>
      <c r="C308" s="92" t="str">
        <f aca="false">'CC Alloc'!R271</f>
        <v/>
      </c>
      <c r="D308" s="93" t="str">
        <f aca="false">'CC Alloc'!S271</f>
        <v/>
      </c>
      <c r="E308" s="94" t="str">
        <f aca="false">'CC Alloc'!T271</f>
        <v/>
      </c>
      <c r="F308" s="95" t="str">
        <f aca="false">IF('CC Alloc'!U271="","",'CC Alloc'!U271/QRate)</f>
        <v/>
      </c>
    </row>
    <row r="309" customFormat="false" ht="15" hidden="false" customHeight="false" outlineLevel="0" collapsed="false">
      <c r="B309" s="91" t="str">
        <f aca="false">IF('CC Alloc'!R272="","",269)</f>
        <v/>
      </c>
      <c r="C309" s="92" t="str">
        <f aca="false">'CC Alloc'!R272</f>
        <v/>
      </c>
      <c r="D309" s="93" t="str">
        <f aca="false">'CC Alloc'!S272</f>
        <v/>
      </c>
      <c r="E309" s="94" t="str">
        <f aca="false">'CC Alloc'!T272</f>
        <v/>
      </c>
      <c r="F309" s="95" t="str">
        <f aca="false">IF('CC Alloc'!U272="","",'CC Alloc'!U272/QRate)</f>
        <v/>
      </c>
    </row>
    <row r="310" customFormat="false" ht="15" hidden="false" customHeight="false" outlineLevel="0" collapsed="false">
      <c r="B310" s="91" t="str">
        <f aca="false">IF('CC Alloc'!R273="","",270)</f>
        <v/>
      </c>
      <c r="C310" s="92" t="str">
        <f aca="false">'CC Alloc'!R273</f>
        <v/>
      </c>
      <c r="D310" s="93" t="str">
        <f aca="false">'CC Alloc'!S273</f>
        <v/>
      </c>
      <c r="E310" s="94" t="str">
        <f aca="false">'CC Alloc'!T273</f>
        <v/>
      </c>
      <c r="F310" s="95" t="str">
        <f aca="false">IF('CC Alloc'!U273="","",'CC Alloc'!U273/QRate)</f>
        <v/>
      </c>
    </row>
    <row r="311" customFormat="false" ht="15" hidden="false" customHeight="false" outlineLevel="0" collapsed="false">
      <c r="B311" s="91" t="str">
        <f aca="false">IF('CC Alloc'!R274="","",271)</f>
        <v/>
      </c>
      <c r="C311" s="92" t="str">
        <f aca="false">'CC Alloc'!R274</f>
        <v/>
      </c>
      <c r="D311" s="93" t="str">
        <f aca="false">'CC Alloc'!S274</f>
        <v/>
      </c>
      <c r="E311" s="94" t="str">
        <f aca="false">'CC Alloc'!T274</f>
        <v/>
      </c>
      <c r="F311" s="95" t="str">
        <f aca="false">IF('CC Alloc'!U274="","",'CC Alloc'!U274/QRate)</f>
        <v/>
      </c>
    </row>
    <row r="312" customFormat="false" ht="15" hidden="false" customHeight="false" outlineLevel="0" collapsed="false">
      <c r="B312" s="91" t="str">
        <f aca="false">IF('CC Alloc'!R275="","",272)</f>
        <v/>
      </c>
      <c r="C312" s="92" t="str">
        <f aca="false">'CC Alloc'!R275</f>
        <v/>
      </c>
      <c r="D312" s="93" t="str">
        <f aca="false">'CC Alloc'!S275</f>
        <v/>
      </c>
      <c r="E312" s="94" t="str">
        <f aca="false">'CC Alloc'!T275</f>
        <v/>
      </c>
      <c r="F312" s="95" t="str">
        <f aca="false">IF('CC Alloc'!U275="","",'CC Alloc'!U275/QRate)</f>
        <v/>
      </c>
    </row>
    <row r="313" customFormat="false" ht="15" hidden="false" customHeight="false" outlineLevel="0" collapsed="false">
      <c r="B313" s="91" t="str">
        <f aca="false">IF('CC Alloc'!R276="","",273)</f>
        <v/>
      </c>
      <c r="C313" s="92" t="str">
        <f aca="false">'CC Alloc'!R276</f>
        <v/>
      </c>
      <c r="D313" s="93" t="str">
        <f aca="false">'CC Alloc'!S276</f>
        <v/>
      </c>
      <c r="E313" s="94" t="str">
        <f aca="false">'CC Alloc'!T276</f>
        <v/>
      </c>
      <c r="F313" s="95" t="str">
        <f aca="false">IF('CC Alloc'!U276="","",'CC Alloc'!U276/QRate)</f>
        <v/>
      </c>
    </row>
    <row r="314" customFormat="false" ht="15" hidden="false" customHeight="false" outlineLevel="0" collapsed="false">
      <c r="B314" s="91" t="str">
        <f aca="false">IF('CC Alloc'!R277="","",274)</f>
        <v/>
      </c>
      <c r="C314" s="92" t="str">
        <f aca="false">'CC Alloc'!R277</f>
        <v/>
      </c>
      <c r="D314" s="93" t="str">
        <f aca="false">'CC Alloc'!S277</f>
        <v/>
      </c>
      <c r="E314" s="94" t="str">
        <f aca="false">'CC Alloc'!T277</f>
        <v/>
      </c>
      <c r="F314" s="95" t="str">
        <f aca="false">IF('CC Alloc'!U277="","",'CC Alloc'!U277/QRate)</f>
        <v/>
      </c>
    </row>
    <row r="315" customFormat="false" ht="15" hidden="false" customHeight="false" outlineLevel="0" collapsed="false">
      <c r="B315" s="91" t="str">
        <f aca="false">IF('CC Alloc'!R278="","",275)</f>
        <v/>
      </c>
      <c r="C315" s="92" t="str">
        <f aca="false">'CC Alloc'!R278</f>
        <v/>
      </c>
      <c r="D315" s="93" t="str">
        <f aca="false">'CC Alloc'!S278</f>
        <v/>
      </c>
      <c r="E315" s="94" t="str">
        <f aca="false">'CC Alloc'!T278</f>
        <v/>
      </c>
      <c r="F315" s="95" t="str">
        <f aca="false">IF('CC Alloc'!U278="","",'CC Alloc'!U278/QRate)</f>
        <v/>
      </c>
    </row>
    <row r="316" customFormat="false" ht="15" hidden="false" customHeight="false" outlineLevel="0" collapsed="false">
      <c r="B316" s="91" t="str">
        <f aca="false">IF('CC Alloc'!R279="","",276)</f>
        <v/>
      </c>
      <c r="C316" s="92" t="str">
        <f aca="false">'CC Alloc'!R279</f>
        <v/>
      </c>
      <c r="D316" s="93" t="str">
        <f aca="false">'CC Alloc'!S279</f>
        <v/>
      </c>
      <c r="E316" s="94" t="str">
        <f aca="false">'CC Alloc'!T279</f>
        <v/>
      </c>
      <c r="F316" s="95" t="str">
        <f aca="false">IF('CC Alloc'!U279="","",'CC Alloc'!U279/QRate)</f>
        <v/>
      </c>
    </row>
    <row r="317" customFormat="false" ht="15" hidden="false" customHeight="false" outlineLevel="0" collapsed="false">
      <c r="B317" s="91" t="str">
        <f aca="false">IF('CC Alloc'!R280="","",277)</f>
        <v/>
      </c>
      <c r="C317" s="92" t="str">
        <f aca="false">'CC Alloc'!R280</f>
        <v/>
      </c>
      <c r="D317" s="93" t="str">
        <f aca="false">'CC Alloc'!S280</f>
        <v/>
      </c>
      <c r="E317" s="94" t="str">
        <f aca="false">'CC Alloc'!T280</f>
        <v/>
      </c>
      <c r="F317" s="95" t="str">
        <f aca="false">IF('CC Alloc'!U280="","",'CC Alloc'!U280/QRate)</f>
        <v/>
      </c>
    </row>
    <row r="318" customFormat="false" ht="15" hidden="false" customHeight="false" outlineLevel="0" collapsed="false">
      <c r="B318" s="91" t="str">
        <f aca="false">IF('CC Alloc'!R281="","",278)</f>
        <v/>
      </c>
      <c r="C318" s="92" t="str">
        <f aca="false">'CC Alloc'!R281</f>
        <v/>
      </c>
      <c r="D318" s="93" t="str">
        <f aca="false">'CC Alloc'!S281</f>
        <v/>
      </c>
      <c r="E318" s="94" t="str">
        <f aca="false">'CC Alloc'!T281</f>
        <v/>
      </c>
      <c r="F318" s="95" t="str">
        <f aca="false">IF('CC Alloc'!U281="","",'CC Alloc'!U281/QRate)</f>
        <v/>
      </c>
    </row>
    <row r="319" customFormat="false" ht="15" hidden="false" customHeight="false" outlineLevel="0" collapsed="false">
      <c r="B319" s="91" t="str">
        <f aca="false">IF('CC Alloc'!R282="","",279)</f>
        <v/>
      </c>
      <c r="C319" s="92" t="str">
        <f aca="false">'CC Alloc'!R282</f>
        <v/>
      </c>
      <c r="D319" s="93" t="str">
        <f aca="false">'CC Alloc'!S282</f>
        <v/>
      </c>
      <c r="E319" s="94" t="str">
        <f aca="false">'CC Alloc'!T282</f>
        <v/>
      </c>
      <c r="F319" s="95" t="str">
        <f aca="false">IF('CC Alloc'!U282="","",'CC Alloc'!U282/QRate)</f>
        <v/>
      </c>
    </row>
    <row r="320" customFormat="false" ht="15" hidden="false" customHeight="false" outlineLevel="0" collapsed="false">
      <c r="B320" s="91" t="str">
        <f aca="false">IF('CC Alloc'!R283="","",280)</f>
        <v/>
      </c>
      <c r="C320" s="92" t="str">
        <f aca="false">'CC Alloc'!R283</f>
        <v/>
      </c>
      <c r="D320" s="93" t="str">
        <f aca="false">'CC Alloc'!S283</f>
        <v/>
      </c>
      <c r="E320" s="94" t="str">
        <f aca="false">'CC Alloc'!T283</f>
        <v/>
      </c>
      <c r="F320" s="95" t="str">
        <f aca="false">IF('CC Alloc'!U283="","",'CC Alloc'!U283/QRate)</f>
        <v/>
      </c>
    </row>
    <row r="321" customFormat="false" ht="15" hidden="false" customHeight="false" outlineLevel="0" collapsed="false">
      <c r="B321" s="91" t="str">
        <f aca="false">IF('CC Alloc'!R284="","",281)</f>
        <v/>
      </c>
      <c r="C321" s="92" t="str">
        <f aca="false">'CC Alloc'!R284</f>
        <v/>
      </c>
      <c r="D321" s="93" t="str">
        <f aca="false">'CC Alloc'!S284</f>
        <v/>
      </c>
      <c r="E321" s="94" t="str">
        <f aca="false">'CC Alloc'!T284</f>
        <v/>
      </c>
      <c r="F321" s="95" t="str">
        <f aca="false">IF('CC Alloc'!U284="","",'CC Alloc'!U284/QRate)</f>
        <v/>
      </c>
    </row>
    <row r="322" customFormat="false" ht="15" hidden="false" customHeight="false" outlineLevel="0" collapsed="false">
      <c r="B322" s="91" t="str">
        <f aca="false">IF('CC Alloc'!R285="","",282)</f>
        <v/>
      </c>
      <c r="C322" s="92" t="str">
        <f aca="false">'CC Alloc'!R285</f>
        <v/>
      </c>
      <c r="D322" s="93" t="str">
        <f aca="false">'CC Alloc'!S285</f>
        <v/>
      </c>
      <c r="E322" s="94" t="str">
        <f aca="false">'CC Alloc'!T285</f>
        <v/>
      </c>
      <c r="F322" s="95" t="str">
        <f aca="false">IF('CC Alloc'!U285="","",'CC Alloc'!U285/QRate)</f>
        <v/>
      </c>
    </row>
    <row r="323" customFormat="false" ht="15" hidden="false" customHeight="false" outlineLevel="0" collapsed="false">
      <c r="B323" s="91" t="str">
        <f aca="false">IF('CC Alloc'!R286="","",283)</f>
        <v/>
      </c>
      <c r="C323" s="92" t="str">
        <f aca="false">'CC Alloc'!R286</f>
        <v/>
      </c>
      <c r="D323" s="93" t="str">
        <f aca="false">'CC Alloc'!S286</f>
        <v/>
      </c>
      <c r="E323" s="94" t="str">
        <f aca="false">'CC Alloc'!T286</f>
        <v/>
      </c>
      <c r="F323" s="95" t="str">
        <f aca="false">IF('CC Alloc'!U286="","",'CC Alloc'!U286/QRate)</f>
        <v/>
      </c>
    </row>
    <row r="324" customFormat="false" ht="15" hidden="false" customHeight="false" outlineLevel="0" collapsed="false">
      <c r="B324" s="91" t="str">
        <f aca="false">IF('CC Alloc'!R287="","",284)</f>
        <v/>
      </c>
      <c r="C324" s="92" t="str">
        <f aca="false">'CC Alloc'!R287</f>
        <v/>
      </c>
      <c r="D324" s="93" t="str">
        <f aca="false">'CC Alloc'!S287</f>
        <v/>
      </c>
      <c r="E324" s="94" t="str">
        <f aca="false">'CC Alloc'!T287</f>
        <v/>
      </c>
      <c r="F324" s="95" t="str">
        <f aca="false">IF('CC Alloc'!U287="","",'CC Alloc'!U287/QRate)</f>
        <v/>
      </c>
    </row>
    <row r="325" customFormat="false" ht="15" hidden="false" customHeight="false" outlineLevel="0" collapsed="false">
      <c r="B325" s="91" t="str">
        <f aca="false">IF('CC Alloc'!R288="","",285)</f>
        <v/>
      </c>
      <c r="C325" s="92" t="str">
        <f aca="false">'CC Alloc'!R288</f>
        <v/>
      </c>
      <c r="D325" s="93" t="str">
        <f aca="false">'CC Alloc'!S288</f>
        <v/>
      </c>
      <c r="E325" s="94" t="str">
        <f aca="false">'CC Alloc'!T288</f>
        <v/>
      </c>
      <c r="F325" s="95" t="str">
        <f aca="false">IF('CC Alloc'!U288="","",'CC Alloc'!U288/QRate)</f>
        <v/>
      </c>
    </row>
    <row r="326" customFormat="false" ht="15" hidden="false" customHeight="false" outlineLevel="0" collapsed="false">
      <c r="B326" s="91" t="str">
        <f aca="false">IF('CC Alloc'!R289="","",286)</f>
        <v/>
      </c>
      <c r="C326" s="92" t="str">
        <f aca="false">'CC Alloc'!R289</f>
        <v/>
      </c>
      <c r="D326" s="93" t="str">
        <f aca="false">'CC Alloc'!S289</f>
        <v/>
      </c>
      <c r="E326" s="94" t="str">
        <f aca="false">'CC Alloc'!T289</f>
        <v/>
      </c>
      <c r="F326" s="95" t="str">
        <f aca="false">IF('CC Alloc'!U289="","",'CC Alloc'!U289/QRate)</f>
        <v/>
      </c>
    </row>
    <row r="327" customFormat="false" ht="15" hidden="false" customHeight="false" outlineLevel="0" collapsed="false">
      <c r="B327" s="91" t="str">
        <f aca="false">IF('CC Alloc'!R290="","",287)</f>
        <v/>
      </c>
      <c r="C327" s="92" t="str">
        <f aca="false">'CC Alloc'!R290</f>
        <v/>
      </c>
      <c r="D327" s="93" t="str">
        <f aca="false">'CC Alloc'!S290</f>
        <v/>
      </c>
      <c r="E327" s="94" t="str">
        <f aca="false">'CC Alloc'!T290</f>
        <v/>
      </c>
      <c r="F327" s="95" t="str">
        <f aca="false">IF('CC Alloc'!U290="","",'CC Alloc'!U290/QRate)</f>
        <v/>
      </c>
    </row>
    <row r="328" customFormat="false" ht="15" hidden="false" customHeight="false" outlineLevel="0" collapsed="false">
      <c r="B328" s="91" t="str">
        <f aca="false">IF('CC Alloc'!R291="","",288)</f>
        <v/>
      </c>
      <c r="C328" s="92" t="str">
        <f aca="false">'CC Alloc'!R291</f>
        <v/>
      </c>
      <c r="D328" s="93" t="str">
        <f aca="false">'CC Alloc'!S291</f>
        <v/>
      </c>
      <c r="E328" s="94" t="str">
        <f aca="false">'CC Alloc'!T291</f>
        <v/>
      </c>
      <c r="F328" s="95" t="str">
        <f aca="false">IF('CC Alloc'!U291="","",'CC Alloc'!U291/QRate)</f>
        <v/>
      </c>
    </row>
    <row r="329" customFormat="false" ht="15" hidden="false" customHeight="false" outlineLevel="0" collapsed="false">
      <c r="B329" s="91" t="str">
        <f aca="false">IF('CC Alloc'!R292="","",289)</f>
        <v/>
      </c>
      <c r="C329" s="92" t="str">
        <f aca="false">'CC Alloc'!R292</f>
        <v/>
      </c>
      <c r="D329" s="93" t="str">
        <f aca="false">'CC Alloc'!S292</f>
        <v/>
      </c>
      <c r="E329" s="94" t="str">
        <f aca="false">'CC Alloc'!T292</f>
        <v/>
      </c>
      <c r="F329" s="95" t="str">
        <f aca="false">IF('CC Alloc'!U292="","",'CC Alloc'!U292/QRate)</f>
        <v/>
      </c>
    </row>
    <row r="330" customFormat="false" ht="15" hidden="false" customHeight="false" outlineLevel="0" collapsed="false">
      <c r="B330" s="91" t="str">
        <f aca="false">IF('CC Alloc'!R293="","",290)</f>
        <v/>
      </c>
      <c r="C330" s="92" t="str">
        <f aca="false">'CC Alloc'!R293</f>
        <v/>
      </c>
      <c r="D330" s="93" t="str">
        <f aca="false">'CC Alloc'!S293</f>
        <v/>
      </c>
      <c r="E330" s="94" t="str">
        <f aca="false">'CC Alloc'!T293</f>
        <v/>
      </c>
      <c r="F330" s="95" t="str">
        <f aca="false">IF('CC Alloc'!U293="","",'CC Alloc'!U293/QRate)</f>
        <v/>
      </c>
    </row>
    <row r="331" customFormat="false" ht="15" hidden="false" customHeight="false" outlineLevel="0" collapsed="false">
      <c r="B331" s="91" t="str">
        <f aca="false">IF('CC Alloc'!R294="","",291)</f>
        <v/>
      </c>
      <c r="C331" s="92" t="str">
        <f aca="false">'CC Alloc'!R294</f>
        <v/>
      </c>
      <c r="D331" s="93" t="str">
        <f aca="false">'CC Alloc'!S294</f>
        <v/>
      </c>
      <c r="E331" s="94" t="str">
        <f aca="false">'CC Alloc'!T294</f>
        <v/>
      </c>
      <c r="F331" s="95" t="str">
        <f aca="false">IF('CC Alloc'!U294="","",'CC Alloc'!U294/QRate)</f>
        <v/>
      </c>
    </row>
    <row r="332" customFormat="false" ht="15" hidden="false" customHeight="false" outlineLevel="0" collapsed="false">
      <c r="B332" s="91" t="str">
        <f aca="false">IF('CC Alloc'!R295="","",292)</f>
        <v/>
      </c>
      <c r="C332" s="92" t="str">
        <f aca="false">'CC Alloc'!R295</f>
        <v/>
      </c>
      <c r="D332" s="93" t="str">
        <f aca="false">'CC Alloc'!S295</f>
        <v/>
      </c>
      <c r="E332" s="94" t="str">
        <f aca="false">'CC Alloc'!T295</f>
        <v/>
      </c>
      <c r="F332" s="95" t="str">
        <f aca="false">IF('CC Alloc'!U295="","",'CC Alloc'!U295/QRate)</f>
        <v/>
      </c>
    </row>
    <row r="333" customFormat="false" ht="15" hidden="false" customHeight="false" outlineLevel="0" collapsed="false">
      <c r="B333" s="91" t="str">
        <f aca="false">IF('CC Alloc'!R296="","",293)</f>
        <v/>
      </c>
      <c r="C333" s="92" t="str">
        <f aca="false">'CC Alloc'!R296</f>
        <v/>
      </c>
      <c r="D333" s="93" t="str">
        <f aca="false">'CC Alloc'!S296</f>
        <v/>
      </c>
      <c r="E333" s="94" t="str">
        <f aca="false">'CC Alloc'!T296</f>
        <v/>
      </c>
      <c r="F333" s="95" t="str">
        <f aca="false">IF('CC Alloc'!U296="","",'CC Alloc'!U296/QRate)</f>
        <v/>
      </c>
    </row>
    <row r="334" customFormat="false" ht="15" hidden="false" customHeight="false" outlineLevel="0" collapsed="false">
      <c r="B334" s="91" t="str">
        <f aca="false">IF('CC Alloc'!R297="","",294)</f>
        <v/>
      </c>
      <c r="C334" s="92" t="str">
        <f aca="false">'CC Alloc'!R297</f>
        <v/>
      </c>
      <c r="D334" s="93" t="str">
        <f aca="false">'CC Alloc'!S297</f>
        <v/>
      </c>
      <c r="E334" s="94" t="str">
        <f aca="false">'CC Alloc'!T297</f>
        <v/>
      </c>
      <c r="F334" s="95" t="str">
        <f aca="false">IF('CC Alloc'!U297="","",'CC Alloc'!U297/QRate)</f>
        <v/>
      </c>
    </row>
    <row r="335" customFormat="false" ht="15" hidden="false" customHeight="false" outlineLevel="0" collapsed="false">
      <c r="B335" s="91" t="str">
        <f aca="false">IF('CC Alloc'!R298="","",295)</f>
        <v/>
      </c>
      <c r="C335" s="92" t="str">
        <f aca="false">'CC Alloc'!R298</f>
        <v/>
      </c>
      <c r="D335" s="93" t="str">
        <f aca="false">'CC Alloc'!S298</f>
        <v/>
      </c>
      <c r="E335" s="94" t="str">
        <f aca="false">'CC Alloc'!T298</f>
        <v/>
      </c>
      <c r="F335" s="95" t="str">
        <f aca="false">IF('CC Alloc'!U298="","",'CC Alloc'!U298/QRate)</f>
        <v/>
      </c>
    </row>
    <row r="336" customFormat="false" ht="15" hidden="false" customHeight="false" outlineLevel="0" collapsed="false">
      <c r="B336" s="91" t="str">
        <f aca="false">IF('CC Alloc'!R299="","",296)</f>
        <v/>
      </c>
      <c r="C336" s="92" t="str">
        <f aca="false">'CC Alloc'!R299</f>
        <v/>
      </c>
      <c r="D336" s="93" t="str">
        <f aca="false">'CC Alloc'!S299</f>
        <v/>
      </c>
      <c r="E336" s="94" t="str">
        <f aca="false">'CC Alloc'!T299</f>
        <v/>
      </c>
      <c r="F336" s="95" t="str">
        <f aca="false">IF('CC Alloc'!U299="","",'CC Alloc'!U299/QRate)</f>
        <v/>
      </c>
    </row>
    <row r="337" customFormat="false" ht="15" hidden="false" customHeight="false" outlineLevel="0" collapsed="false">
      <c r="B337" s="91" t="str">
        <f aca="false">IF('CC Alloc'!R300="","",297)</f>
        <v/>
      </c>
      <c r="C337" s="92" t="str">
        <f aca="false">'CC Alloc'!R300</f>
        <v/>
      </c>
      <c r="D337" s="93" t="str">
        <f aca="false">'CC Alloc'!S300</f>
        <v/>
      </c>
      <c r="E337" s="94" t="str">
        <f aca="false">'CC Alloc'!T300</f>
        <v/>
      </c>
      <c r="F337" s="95" t="str">
        <f aca="false">IF('CC Alloc'!U300="","",'CC Alloc'!U300/QRate)</f>
        <v/>
      </c>
    </row>
    <row r="338" customFormat="false" ht="15" hidden="false" customHeight="false" outlineLevel="0" collapsed="false">
      <c r="B338" s="91" t="str">
        <f aca="false">IF('CC Alloc'!R301="","",298)</f>
        <v/>
      </c>
      <c r="C338" s="92" t="str">
        <f aca="false">'CC Alloc'!R301</f>
        <v/>
      </c>
      <c r="D338" s="93" t="str">
        <f aca="false">'CC Alloc'!S301</f>
        <v/>
      </c>
      <c r="E338" s="94" t="str">
        <f aca="false">'CC Alloc'!T301</f>
        <v/>
      </c>
      <c r="F338" s="95" t="str">
        <f aca="false">IF('CC Alloc'!U301="","",'CC Alloc'!U301/QRate)</f>
        <v/>
      </c>
    </row>
    <row r="339" customFormat="false" ht="15" hidden="false" customHeight="false" outlineLevel="0" collapsed="false">
      <c r="B339" s="91" t="str">
        <f aca="false">IF('CC Alloc'!R302="","",299)</f>
        <v/>
      </c>
      <c r="C339" s="92" t="str">
        <f aca="false">'CC Alloc'!R302</f>
        <v/>
      </c>
      <c r="D339" s="93" t="str">
        <f aca="false">'CC Alloc'!S302</f>
        <v/>
      </c>
      <c r="E339" s="94" t="str">
        <f aca="false">'CC Alloc'!T302</f>
        <v/>
      </c>
      <c r="F339" s="95" t="str">
        <f aca="false">IF('CC Alloc'!U302="","",'CC Alloc'!U302/QRate)</f>
        <v/>
      </c>
    </row>
    <row r="340" customFormat="false" ht="15" hidden="false" customHeight="false" outlineLevel="0" collapsed="false">
      <c r="B340" s="91" t="str">
        <f aca="false">IF('CC Alloc'!R303="","",300)</f>
        <v/>
      </c>
      <c r="C340" s="92" t="str">
        <f aca="false">'CC Alloc'!R303</f>
        <v/>
      </c>
      <c r="D340" s="93" t="str">
        <f aca="false">'CC Alloc'!S303</f>
        <v/>
      </c>
      <c r="E340" s="94" t="str">
        <f aca="false">'CC Alloc'!T303</f>
        <v/>
      </c>
      <c r="F340" s="95" t="str">
        <f aca="false">IF('CC Alloc'!U303="","",'CC Alloc'!U303/QRate)</f>
        <v/>
      </c>
    </row>
    <row r="341" customFormat="false" ht="15" hidden="false" customHeight="false" outlineLevel="0" collapsed="false">
      <c r="B341" s="91" t="str">
        <f aca="false">IF('CC Alloc'!R304="","",301)</f>
        <v/>
      </c>
      <c r="C341" s="92" t="str">
        <f aca="false">'CC Alloc'!R304</f>
        <v/>
      </c>
      <c r="D341" s="93" t="str">
        <f aca="false">'CC Alloc'!S304</f>
        <v/>
      </c>
      <c r="E341" s="94" t="str">
        <f aca="false">'CC Alloc'!T304</f>
        <v/>
      </c>
      <c r="F341" s="95" t="str">
        <f aca="false">IF('CC Alloc'!U304="","",'CC Alloc'!U304/QRate)</f>
        <v/>
      </c>
    </row>
    <row r="342" customFormat="false" ht="15" hidden="false" customHeight="false" outlineLevel="0" collapsed="false">
      <c r="B342" s="91" t="str">
        <f aca="false">IF('CC Alloc'!R305="","",302)</f>
        <v/>
      </c>
      <c r="C342" s="92" t="str">
        <f aca="false">'CC Alloc'!R305</f>
        <v/>
      </c>
      <c r="D342" s="93" t="str">
        <f aca="false">'CC Alloc'!S305</f>
        <v/>
      </c>
      <c r="E342" s="94" t="str">
        <f aca="false">'CC Alloc'!T305</f>
        <v/>
      </c>
      <c r="F342" s="95" t="str">
        <f aca="false">IF('CC Alloc'!U305="","",'CC Alloc'!U305/QRate)</f>
        <v/>
      </c>
    </row>
    <row r="343" customFormat="false" ht="15" hidden="false" customHeight="false" outlineLevel="0" collapsed="false">
      <c r="B343" s="91" t="str">
        <f aca="false">IF('CC Alloc'!R306="","",303)</f>
        <v/>
      </c>
      <c r="C343" s="92" t="str">
        <f aca="false">'CC Alloc'!R306</f>
        <v/>
      </c>
      <c r="D343" s="93" t="str">
        <f aca="false">'CC Alloc'!S306</f>
        <v/>
      </c>
      <c r="E343" s="94" t="str">
        <f aca="false">'CC Alloc'!T306</f>
        <v/>
      </c>
      <c r="F343" s="95" t="str">
        <f aca="false">IF('CC Alloc'!U306="","",'CC Alloc'!U306/QRate)</f>
        <v/>
      </c>
    </row>
    <row r="344" customFormat="false" ht="15" hidden="false" customHeight="false" outlineLevel="0" collapsed="false">
      <c r="B344" s="91" t="str">
        <f aca="false">IF('CC Alloc'!R307="","",304)</f>
        <v/>
      </c>
      <c r="C344" s="92" t="str">
        <f aca="false">'CC Alloc'!R307</f>
        <v/>
      </c>
      <c r="D344" s="93" t="str">
        <f aca="false">'CC Alloc'!S307</f>
        <v/>
      </c>
      <c r="E344" s="94" t="str">
        <f aca="false">'CC Alloc'!T307</f>
        <v/>
      </c>
      <c r="F344" s="95" t="str">
        <f aca="false">IF('CC Alloc'!U307="","",'CC Alloc'!U307/QRate)</f>
        <v/>
      </c>
    </row>
    <row r="345" customFormat="false" ht="15" hidden="false" customHeight="false" outlineLevel="0" collapsed="false">
      <c r="B345" s="91" t="str">
        <f aca="false">IF('CC Alloc'!R308="","",305)</f>
        <v/>
      </c>
      <c r="C345" s="92" t="str">
        <f aca="false">'CC Alloc'!R308</f>
        <v/>
      </c>
      <c r="D345" s="93" t="str">
        <f aca="false">'CC Alloc'!S308</f>
        <v/>
      </c>
      <c r="E345" s="94" t="str">
        <f aca="false">'CC Alloc'!T308</f>
        <v/>
      </c>
      <c r="F345" s="95" t="str">
        <f aca="false">IF('CC Alloc'!U308="","",'CC Alloc'!U308/QRate)</f>
        <v/>
      </c>
    </row>
    <row r="346" customFormat="false" ht="15" hidden="false" customHeight="false" outlineLevel="0" collapsed="false">
      <c r="B346" s="91" t="str">
        <f aca="false">IF('CC Alloc'!R309="","",306)</f>
        <v/>
      </c>
      <c r="C346" s="92" t="str">
        <f aca="false">'CC Alloc'!R309</f>
        <v/>
      </c>
      <c r="D346" s="93" t="str">
        <f aca="false">'CC Alloc'!S309</f>
        <v/>
      </c>
      <c r="E346" s="94" t="str">
        <f aca="false">'CC Alloc'!T309</f>
        <v/>
      </c>
      <c r="F346" s="95" t="str">
        <f aca="false">IF('CC Alloc'!U309="","",'CC Alloc'!U309/QRate)</f>
        <v/>
      </c>
    </row>
    <row r="347" customFormat="false" ht="15" hidden="false" customHeight="false" outlineLevel="0" collapsed="false">
      <c r="B347" s="91" t="str">
        <f aca="false">IF('CC Alloc'!R310="","",307)</f>
        <v/>
      </c>
      <c r="C347" s="92" t="str">
        <f aca="false">'CC Alloc'!R310</f>
        <v/>
      </c>
      <c r="D347" s="93" t="str">
        <f aca="false">'CC Alloc'!S310</f>
        <v/>
      </c>
      <c r="E347" s="94" t="str">
        <f aca="false">'CC Alloc'!T310</f>
        <v/>
      </c>
      <c r="F347" s="95" t="str">
        <f aca="false">IF('CC Alloc'!U310="","",'CC Alloc'!U310/QRate)</f>
        <v/>
      </c>
    </row>
    <row r="348" customFormat="false" ht="15" hidden="false" customHeight="false" outlineLevel="0" collapsed="false">
      <c r="B348" s="91" t="str">
        <f aca="false">IF('CC Alloc'!R311="","",308)</f>
        <v/>
      </c>
      <c r="C348" s="92" t="str">
        <f aca="false">'CC Alloc'!R311</f>
        <v/>
      </c>
      <c r="D348" s="93" t="str">
        <f aca="false">'CC Alloc'!S311</f>
        <v/>
      </c>
      <c r="E348" s="94" t="str">
        <f aca="false">'CC Alloc'!T311</f>
        <v/>
      </c>
      <c r="F348" s="95" t="str">
        <f aca="false">IF('CC Alloc'!U311="","",'CC Alloc'!U311/QRate)</f>
        <v/>
      </c>
    </row>
    <row r="349" customFormat="false" ht="15" hidden="false" customHeight="false" outlineLevel="0" collapsed="false">
      <c r="B349" s="91" t="str">
        <f aca="false">IF('CC Alloc'!R312="","",309)</f>
        <v/>
      </c>
      <c r="C349" s="92" t="str">
        <f aca="false">'CC Alloc'!R312</f>
        <v/>
      </c>
      <c r="D349" s="93" t="str">
        <f aca="false">'CC Alloc'!S312</f>
        <v/>
      </c>
      <c r="E349" s="94" t="str">
        <f aca="false">'CC Alloc'!T312</f>
        <v/>
      </c>
      <c r="F349" s="95" t="str">
        <f aca="false">IF('CC Alloc'!U312="","",'CC Alloc'!U312/QRate)</f>
        <v/>
      </c>
    </row>
    <row r="350" customFormat="false" ht="15" hidden="false" customHeight="false" outlineLevel="0" collapsed="false">
      <c r="B350" s="91" t="str">
        <f aca="false">IF('CC Alloc'!R313="","",310)</f>
        <v/>
      </c>
      <c r="C350" s="92" t="str">
        <f aca="false">'CC Alloc'!R313</f>
        <v/>
      </c>
      <c r="D350" s="93" t="str">
        <f aca="false">'CC Alloc'!S313</f>
        <v/>
      </c>
      <c r="E350" s="94" t="str">
        <f aca="false">'CC Alloc'!T313</f>
        <v/>
      </c>
      <c r="F350" s="95" t="str">
        <f aca="false">IF('CC Alloc'!U313="","",'CC Alloc'!U313/QRate)</f>
        <v/>
      </c>
    </row>
    <row r="351" customFormat="false" ht="15" hidden="false" customHeight="false" outlineLevel="0" collapsed="false">
      <c r="B351" s="91" t="str">
        <f aca="false">IF('CC Alloc'!R314="","",311)</f>
        <v/>
      </c>
      <c r="C351" s="92" t="str">
        <f aca="false">'CC Alloc'!R314</f>
        <v/>
      </c>
      <c r="D351" s="93" t="str">
        <f aca="false">'CC Alloc'!S314</f>
        <v/>
      </c>
      <c r="E351" s="94" t="str">
        <f aca="false">'CC Alloc'!T314</f>
        <v/>
      </c>
      <c r="F351" s="95" t="str">
        <f aca="false">IF('CC Alloc'!U314="","",'CC Alloc'!U314/QRate)</f>
        <v/>
      </c>
    </row>
    <row r="352" customFormat="false" ht="15" hidden="false" customHeight="false" outlineLevel="0" collapsed="false">
      <c r="B352" s="91" t="str">
        <f aca="false">IF('CC Alloc'!R315="","",312)</f>
        <v/>
      </c>
      <c r="C352" s="92" t="str">
        <f aca="false">'CC Alloc'!R315</f>
        <v/>
      </c>
      <c r="D352" s="93" t="str">
        <f aca="false">'CC Alloc'!S315</f>
        <v/>
      </c>
      <c r="E352" s="94" t="str">
        <f aca="false">'CC Alloc'!T315</f>
        <v/>
      </c>
      <c r="F352" s="95" t="str">
        <f aca="false">IF('CC Alloc'!U315="","",'CC Alloc'!U315/QRate)</f>
        <v/>
      </c>
    </row>
    <row r="353" customFormat="false" ht="15" hidden="false" customHeight="false" outlineLevel="0" collapsed="false">
      <c r="B353" s="91" t="str">
        <f aca="false">IF('CC Alloc'!R316="","",313)</f>
        <v/>
      </c>
      <c r="C353" s="92" t="str">
        <f aca="false">'CC Alloc'!R316</f>
        <v/>
      </c>
      <c r="D353" s="93" t="str">
        <f aca="false">'CC Alloc'!S316</f>
        <v/>
      </c>
      <c r="E353" s="94" t="str">
        <f aca="false">'CC Alloc'!T316</f>
        <v/>
      </c>
      <c r="F353" s="95" t="str">
        <f aca="false">IF('CC Alloc'!U316="","",'CC Alloc'!U316/QRate)</f>
        <v/>
      </c>
    </row>
    <row r="354" customFormat="false" ht="15" hidden="false" customHeight="false" outlineLevel="0" collapsed="false">
      <c r="B354" s="91" t="str">
        <f aca="false">IF('CC Alloc'!R317="","",314)</f>
        <v/>
      </c>
      <c r="C354" s="92" t="str">
        <f aca="false">'CC Alloc'!R317</f>
        <v/>
      </c>
      <c r="D354" s="93" t="str">
        <f aca="false">'CC Alloc'!S317</f>
        <v/>
      </c>
      <c r="E354" s="94" t="str">
        <f aca="false">'CC Alloc'!T317</f>
        <v/>
      </c>
      <c r="F354" s="95" t="str">
        <f aca="false">IF('CC Alloc'!U317="","",'CC Alloc'!U317/QRate)</f>
        <v/>
      </c>
    </row>
    <row r="355" customFormat="false" ht="15" hidden="false" customHeight="false" outlineLevel="0" collapsed="false">
      <c r="B355" s="91" t="str">
        <f aca="false">IF('CC Alloc'!R318="","",315)</f>
        <v/>
      </c>
      <c r="C355" s="92" t="str">
        <f aca="false">'CC Alloc'!R318</f>
        <v/>
      </c>
      <c r="D355" s="93" t="str">
        <f aca="false">'CC Alloc'!S318</f>
        <v/>
      </c>
      <c r="E355" s="94" t="str">
        <f aca="false">'CC Alloc'!T318</f>
        <v/>
      </c>
      <c r="F355" s="95" t="str">
        <f aca="false">IF('CC Alloc'!U318="","",'CC Alloc'!U318/QRate)</f>
        <v/>
      </c>
    </row>
    <row r="356" customFormat="false" ht="15" hidden="false" customHeight="false" outlineLevel="0" collapsed="false">
      <c r="B356" s="91" t="str">
        <f aca="false">IF('CC Alloc'!R319="","",316)</f>
        <v/>
      </c>
      <c r="C356" s="92" t="str">
        <f aca="false">'CC Alloc'!R319</f>
        <v/>
      </c>
      <c r="D356" s="93" t="str">
        <f aca="false">'CC Alloc'!S319</f>
        <v/>
      </c>
      <c r="E356" s="94" t="str">
        <f aca="false">'CC Alloc'!T319</f>
        <v/>
      </c>
      <c r="F356" s="95" t="str">
        <f aca="false">IF('CC Alloc'!U319="","",'CC Alloc'!U319/QRate)</f>
        <v/>
      </c>
    </row>
    <row r="357" customFormat="false" ht="15" hidden="false" customHeight="false" outlineLevel="0" collapsed="false">
      <c r="B357" s="91" t="str">
        <f aca="false">IF('CC Alloc'!R320="","",317)</f>
        <v/>
      </c>
      <c r="C357" s="92" t="str">
        <f aca="false">'CC Alloc'!R320</f>
        <v/>
      </c>
      <c r="D357" s="93" t="str">
        <f aca="false">'CC Alloc'!S320</f>
        <v/>
      </c>
      <c r="E357" s="94" t="str">
        <f aca="false">'CC Alloc'!T320</f>
        <v/>
      </c>
      <c r="F357" s="95" t="str">
        <f aca="false">IF('CC Alloc'!U320="","",'CC Alloc'!U320/QRate)</f>
        <v/>
      </c>
    </row>
    <row r="358" customFormat="false" ht="15" hidden="false" customHeight="false" outlineLevel="0" collapsed="false">
      <c r="B358" s="91" t="str">
        <f aca="false">IF('CC Alloc'!R321="","",318)</f>
        <v/>
      </c>
      <c r="C358" s="92" t="str">
        <f aca="false">'CC Alloc'!R321</f>
        <v/>
      </c>
      <c r="D358" s="93" t="str">
        <f aca="false">'CC Alloc'!S321</f>
        <v/>
      </c>
      <c r="E358" s="94" t="str">
        <f aca="false">'CC Alloc'!T321</f>
        <v/>
      </c>
      <c r="F358" s="95" t="str">
        <f aca="false">IF('CC Alloc'!U321="","",'CC Alloc'!U321/QRate)</f>
        <v/>
      </c>
    </row>
    <row r="359" customFormat="false" ht="15" hidden="false" customHeight="false" outlineLevel="0" collapsed="false">
      <c r="B359" s="91" t="str">
        <f aca="false">IF('CC Alloc'!R322="","",319)</f>
        <v/>
      </c>
      <c r="C359" s="92" t="str">
        <f aca="false">'CC Alloc'!R322</f>
        <v/>
      </c>
      <c r="D359" s="93" t="str">
        <f aca="false">'CC Alloc'!S322</f>
        <v/>
      </c>
      <c r="E359" s="94" t="str">
        <f aca="false">'CC Alloc'!T322</f>
        <v/>
      </c>
      <c r="F359" s="95" t="str">
        <f aca="false">IF('CC Alloc'!U322="","",'CC Alloc'!U322/QRate)</f>
        <v/>
      </c>
    </row>
    <row r="360" customFormat="false" ht="15" hidden="false" customHeight="false" outlineLevel="0" collapsed="false">
      <c r="B360" s="91" t="str">
        <f aca="false">IF('CC Alloc'!R323="","",320)</f>
        <v/>
      </c>
      <c r="C360" s="92" t="str">
        <f aca="false">'CC Alloc'!R323</f>
        <v/>
      </c>
      <c r="D360" s="93" t="str">
        <f aca="false">'CC Alloc'!S323</f>
        <v/>
      </c>
      <c r="E360" s="94" t="str">
        <f aca="false">'CC Alloc'!T323</f>
        <v/>
      </c>
      <c r="F360" s="95" t="str">
        <f aca="false">IF('CC Alloc'!U323="","",'CC Alloc'!U323/QRate)</f>
        <v/>
      </c>
    </row>
    <row r="361" customFormat="false" ht="15" hidden="false" customHeight="false" outlineLevel="0" collapsed="false">
      <c r="B361" s="91" t="str">
        <f aca="false">IF('CC Alloc'!R324="","",321)</f>
        <v/>
      </c>
      <c r="C361" s="92" t="str">
        <f aca="false">'CC Alloc'!R324</f>
        <v/>
      </c>
      <c r="D361" s="93" t="str">
        <f aca="false">'CC Alloc'!S324</f>
        <v/>
      </c>
      <c r="E361" s="94" t="str">
        <f aca="false">'CC Alloc'!T324</f>
        <v/>
      </c>
      <c r="F361" s="95" t="str">
        <f aca="false">IF('CC Alloc'!U324="","",'CC Alloc'!U324/QRate)</f>
        <v/>
      </c>
    </row>
    <row r="362" customFormat="false" ht="15" hidden="false" customHeight="false" outlineLevel="0" collapsed="false">
      <c r="B362" s="91" t="str">
        <f aca="false">IF('CC Alloc'!R325="","",322)</f>
        <v/>
      </c>
      <c r="C362" s="92" t="str">
        <f aca="false">'CC Alloc'!R325</f>
        <v/>
      </c>
      <c r="D362" s="93" t="str">
        <f aca="false">'CC Alloc'!S325</f>
        <v/>
      </c>
      <c r="E362" s="94" t="str">
        <f aca="false">'CC Alloc'!T325</f>
        <v/>
      </c>
      <c r="F362" s="95" t="str">
        <f aca="false">IF('CC Alloc'!U325="","",'CC Alloc'!U325/QRate)</f>
        <v/>
      </c>
    </row>
    <row r="363" customFormat="false" ht="15" hidden="false" customHeight="false" outlineLevel="0" collapsed="false">
      <c r="B363" s="91" t="str">
        <f aca="false">IF('CC Alloc'!R326="","",323)</f>
        <v/>
      </c>
      <c r="C363" s="92" t="str">
        <f aca="false">'CC Alloc'!R326</f>
        <v/>
      </c>
      <c r="D363" s="93" t="str">
        <f aca="false">'CC Alloc'!S326</f>
        <v/>
      </c>
      <c r="E363" s="94" t="str">
        <f aca="false">'CC Alloc'!T326</f>
        <v/>
      </c>
      <c r="F363" s="95" t="str">
        <f aca="false">IF('CC Alloc'!U326="","",'CC Alloc'!U326/QRate)</f>
        <v/>
      </c>
    </row>
    <row r="364" customFormat="false" ht="15" hidden="false" customHeight="false" outlineLevel="0" collapsed="false">
      <c r="B364" s="91" t="str">
        <f aca="false">IF('CC Alloc'!R327="","",324)</f>
        <v/>
      </c>
      <c r="C364" s="92" t="str">
        <f aca="false">'CC Alloc'!R327</f>
        <v/>
      </c>
      <c r="D364" s="93" t="str">
        <f aca="false">'CC Alloc'!S327</f>
        <v/>
      </c>
      <c r="E364" s="94" t="str">
        <f aca="false">'CC Alloc'!T327</f>
        <v/>
      </c>
      <c r="F364" s="95" t="str">
        <f aca="false">IF('CC Alloc'!U327="","",'CC Alloc'!U327/QRate)</f>
        <v/>
      </c>
    </row>
    <row r="365" customFormat="false" ht="15" hidden="false" customHeight="false" outlineLevel="0" collapsed="false">
      <c r="B365" s="91" t="str">
        <f aca="false">IF('CC Alloc'!R328="","",325)</f>
        <v/>
      </c>
      <c r="C365" s="92" t="str">
        <f aca="false">'CC Alloc'!R328</f>
        <v/>
      </c>
      <c r="D365" s="93" t="str">
        <f aca="false">'CC Alloc'!S328</f>
        <v/>
      </c>
      <c r="E365" s="94" t="str">
        <f aca="false">'CC Alloc'!T328</f>
        <v/>
      </c>
      <c r="F365" s="95" t="str">
        <f aca="false">IF('CC Alloc'!U328="","",'CC Alloc'!U328/QRate)</f>
        <v/>
      </c>
    </row>
    <row r="366" customFormat="false" ht="15" hidden="false" customHeight="false" outlineLevel="0" collapsed="false">
      <c r="B366" s="91" t="str">
        <f aca="false">IF('CC Alloc'!R329="","",326)</f>
        <v/>
      </c>
      <c r="C366" s="92" t="str">
        <f aca="false">'CC Alloc'!R329</f>
        <v/>
      </c>
      <c r="D366" s="93" t="str">
        <f aca="false">'CC Alloc'!S329</f>
        <v/>
      </c>
      <c r="E366" s="94" t="str">
        <f aca="false">'CC Alloc'!T329</f>
        <v/>
      </c>
      <c r="F366" s="95" t="str">
        <f aca="false">IF('CC Alloc'!U329="","",'CC Alloc'!U329/QRate)</f>
        <v/>
      </c>
    </row>
    <row r="367" customFormat="false" ht="15" hidden="false" customHeight="false" outlineLevel="0" collapsed="false">
      <c r="B367" s="91" t="str">
        <f aca="false">IF('CC Alloc'!R330="","",327)</f>
        <v/>
      </c>
      <c r="C367" s="92" t="str">
        <f aca="false">'CC Alloc'!R330</f>
        <v/>
      </c>
      <c r="D367" s="93" t="str">
        <f aca="false">'CC Alloc'!S330</f>
        <v/>
      </c>
      <c r="E367" s="94" t="str">
        <f aca="false">'CC Alloc'!T330</f>
        <v/>
      </c>
      <c r="F367" s="95" t="str">
        <f aca="false">IF('CC Alloc'!U330="","",'CC Alloc'!U330/QRate)</f>
        <v/>
      </c>
    </row>
    <row r="368" customFormat="false" ht="15" hidden="false" customHeight="false" outlineLevel="0" collapsed="false">
      <c r="B368" s="91" t="str">
        <f aca="false">IF('CC Alloc'!R331="","",328)</f>
        <v/>
      </c>
      <c r="C368" s="92" t="str">
        <f aca="false">'CC Alloc'!R331</f>
        <v/>
      </c>
      <c r="D368" s="93" t="str">
        <f aca="false">'CC Alloc'!S331</f>
        <v/>
      </c>
      <c r="E368" s="94" t="str">
        <f aca="false">'CC Alloc'!T331</f>
        <v/>
      </c>
      <c r="F368" s="95" t="str">
        <f aca="false">IF('CC Alloc'!U331="","",'CC Alloc'!U331/QRate)</f>
        <v/>
      </c>
    </row>
    <row r="369" customFormat="false" ht="15" hidden="false" customHeight="false" outlineLevel="0" collapsed="false">
      <c r="B369" s="91" t="str">
        <f aca="false">IF('CC Alloc'!R332="","",329)</f>
        <v/>
      </c>
      <c r="C369" s="92" t="str">
        <f aca="false">'CC Alloc'!R332</f>
        <v/>
      </c>
      <c r="D369" s="93" t="str">
        <f aca="false">'CC Alloc'!S332</f>
        <v/>
      </c>
      <c r="E369" s="94" t="str">
        <f aca="false">'CC Alloc'!T332</f>
        <v/>
      </c>
      <c r="F369" s="95" t="str">
        <f aca="false">IF('CC Alloc'!U332="","",'CC Alloc'!U332/QRate)</f>
        <v/>
      </c>
    </row>
    <row r="370" customFormat="false" ht="15" hidden="false" customHeight="false" outlineLevel="0" collapsed="false">
      <c r="B370" s="91" t="str">
        <f aca="false">IF('CC Alloc'!R333="","",330)</f>
        <v/>
      </c>
      <c r="C370" s="92" t="str">
        <f aca="false">'CC Alloc'!R333</f>
        <v/>
      </c>
      <c r="D370" s="93" t="str">
        <f aca="false">'CC Alloc'!S333</f>
        <v/>
      </c>
      <c r="E370" s="94" t="str">
        <f aca="false">'CC Alloc'!T333</f>
        <v/>
      </c>
      <c r="F370" s="95" t="str">
        <f aca="false">IF('CC Alloc'!U333="","",'CC Alloc'!U333/QRate)</f>
        <v/>
      </c>
    </row>
    <row r="371" customFormat="false" ht="15" hidden="false" customHeight="false" outlineLevel="0" collapsed="false">
      <c r="B371" s="91" t="str">
        <f aca="false">IF('CC Alloc'!R334="","",331)</f>
        <v/>
      </c>
      <c r="C371" s="92" t="str">
        <f aca="false">'CC Alloc'!R334</f>
        <v/>
      </c>
      <c r="D371" s="93" t="str">
        <f aca="false">'CC Alloc'!S334</f>
        <v/>
      </c>
      <c r="E371" s="94" t="str">
        <f aca="false">'CC Alloc'!T334</f>
        <v/>
      </c>
      <c r="F371" s="95" t="str">
        <f aca="false">IF('CC Alloc'!U334="","",'CC Alloc'!U334/QRate)</f>
        <v/>
      </c>
    </row>
    <row r="372" customFormat="false" ht="15" hidden="false" customHeight="false" outlineLevel="0" collapsed="false">
      <c r="B372" s="91" t="str">
        <f aca="false">IF('CC Alloc'!R335="","",332)</f>
        <v/>
      </c>
      <c r="C372" s="92" t="str">
        <f aca="false">'CC Alloc'!R335</f>
        <v/>
      </c>
      <c r="D372" s="93" t="str">
        <f aca="false">'CC Alloc'!S335</f>
        <v/>
      </c>
      <c r="E372" s="94" t="str">
        <f aca="false">'CC Alloc'!T335</f>
        <v/>
      </c>
      <c r="F372" s="95" t="str">
        <f aca="false">IF('CC Alloc'!U335="","",'CC Alloc'!U335/QRate)</f>
        <v/>
      </c>
    </row>
    <row r="373" customFormat="false" ht="15" hidden="false" customHeight="false" outlineLevel="0" collapsed="false">
      <c r="B373" s="91" t="str">
        <f aca="false">IF('CC Alloc'!R336="","",333)</f>
        <v/>
      </c>
      <c r="C373" s="92" t="str">
        <f aca="false">'CC Alloc'!R336</f>
        <v/>
      </c>
      <c r="D373" s="93" t="str">
        <f aca="false">'CC Alloc'!S336</f>
        <v/>
      </c>
      <c r="E373" s="94" t="str">
        <f aca="false">'CC Alloc'!T336</f>
        <v/>
      </c>
      <c r="F373" s="95" t="str">
        <f aca="false">IF('CC Alloc'!U336="","",'CC Alloc'!U336/QRate)</f>
        <v/>
      </c>
    </row>
    <row r="374" customFormat="false" ht="15" hidden="false" customHeight="false" outlineLevel="0" collapsed="false">
      <c r="B374" s="91" t="str">
        <f aca="false">IF('CC Alloc'!R337="","",334)</f>
        <v/>
      </c>
      <c r="C374" s="92" t="str">
        <f aca="false">'CC Alloc'!R337</f>
        <v/>
      </c>
      <c r="D374" s="93" t="str">
        <f aca="false">'CC Alloc'!S337</f>
        <v/>
      </c>
      <c r="E374" s="94" t="str">
        <f aca="false">'CC Alloc'!T337</f>
        <v/>
      </c>
      <c r="F374" s="95" t="str">
        <f aca="false">IF('CC Alloc'!U337="","",'CC Alloc'!U337/QRate)</f>
        <v/>
      </c>
    </row>
    <row r="375" customFormat="false" ht="15" hidden="false" customHeight="false" outlineLevel="0" collapsed="false">
      <c r="B375" s="91" t="str">
        <f aca="false">IF('CC Alloc'!R338="","",335)</f>
        <v/>
      </c>
      <c r="C375" s="92" t="str">
        <f aca="false">'CC Alloc'!R338</f>
        <v/>
      </c>
      <c r="D375" s="93" t="str">
        <f aca="false">'CC Alloc'!S338</f>
        <v/>
      </c>
      <c r="E375" s="94" t="str">
        <f aca="false">'CC Alloc'!T338</f>
        <v/>
      </c>
      <c r="F375" s="95" t="str">
        <f aca="false">IF('CC Alloc'!U338="","",'CC Alloc'!U338/QRate)</f>
        <v/>
      </c>
    </row>
    <row r="376" customFormat="false" ht="15" hidden="false" customHeight="false" outlineLevel="0" collapsed="false">
      <c r="B376" s="91" t="str">
        <f aca="false">IF('CC Alloc'!R339="","",336)</f>
        <v/>
      </c>
      <c r="C376" s="92" t="str">
        <f aca="false">'CC Alloc'!R339</f>
        <v/>
      </c>
      <c r="D376" s="93" t="str">
        <f aca="false">'CC Alloc'!S339</f>
        <v/>
      </c>
      <c r="E376" s="94" t="str">
        <f aca="false">'CC Alloc'!T339</f>
        <v/>
      </c>
      <c r="F376" s="95" t="str">
        <f aca="false">IF('CC Alloc'!U339="","",'CC Alloc'!U339/QRate)</f>
        <v/>
      </c>
    </row>
    <row r="377" customFormat="false" ht="15" hidden="false" customHeight="false" outlineLevel="0" collapsed="false">
      <c r="B377" s="91" t="str">
        <f aca="false">IF('CC Alloc'!R340="","",337)</f>
        <v/>
      </c>
      <c r="C377" s="92" t="str">
        <f aca="false">'CC Alloc'!R340</f>
        <v/>
      </c>
      <c r="D377" s="93" t="str">
        <f aca="false">'CC Alloc'!S340</f>
        <v/>
      </c>
      <c r="E377" s="94" t="str">
        <f aca="false">'CC Alloc'!T340</f>
        <v/>
      </c>
      <c r="F377" s="95" t="str">
        <f aca="false">IF('CC Alloc'!U340="","",'CC Alloc'!U340/QRate)</f>
        <v/>
      </c>
    </row>
    <row r="378" customFormat="false" ht="15" hidden="false" customHeight="false" outlineLevel="0" collapsed="false">
      <c r="B378" s="91" t="str">
        <f aca="false">IF('CC Alloc'!R341="","",338)</f>
        <v/>
      </c>
      <c r="C378" s="92" t="str">
        <f aca="false">'CC Alloc'!R341</f>
        <v/>
      </c>
      <c r="D378" s="93" t="str">
        <f aca="false">'CC Alloc'!S341</f>
        <v/>
      </c>
      <c r="E378" s="94" t="str">
        <f aca="false">'CC Alloc'!T341</f>
        <v/>
      </c>
      <c r="F378" s="95" t="str">
        <f aca="false">IF('CC Alloc'!U341="","",'CC Alloc'!U341/QRate)</f>
        <v/>
      </c>
    </row>
    <row r="379" customFormat="false" ht="15" hidden="false" customHeight="false" outlineLevel="0" collapsed="false">
      <c r="B379" s="91" t="str">
        <f aca="false">IF('CC Alloc'!R342="","",339)</f>
        <v/>
      </c>
      <c r="C379" s="92" t="str">
        <f aca="false">'CC Alloc'!R342</f>
        <v/>
      </c>
      <c r="D379" s="93" t="str">
        <f aca="false">'CC Alloc'!S342</f>
        <v/>
      </c>
      <c r="E379" s="94" t="str">
        <f aca="false">'CC Alloc'!T342</f>
        <v/>
      </c>
      <c r="F379" s="95" t="str">
        <f aca="false">IF('CC Alloc'!U342="","",'CC Alloc'!U342/QRate)</f>
        <v/>
      </c>
    </row>
    <row r="380" customFormat="false" ht="15" hidden="false" customHeight="false" outlineLevel="0" collapsed="false">
      <c r="B380" s="91" t="str">
        <f aca="false">IF('CC Alloc'!R343="","",340)</f>
        <v/>
      </c>
      <c r="C380" s="92" t="str">
        <f aca="false">'CC Alloc'!R343</f>
        <v/>
      </c>
      <c r="D380" s="93" t="str">
        <f aca="false">'CC Alloc'!S343</f>
        <v/>
      </c>
      <c r="E380" s="94" t="str">
        <f aca="false">'CC Alloc'!T343</f>
        <v/>
      </c>
      <c r="F380" s="95" t="str">
        <f aca="false">IF('CC Alloc'!U343="","",'CC Alloc'!U343/QRate)</f>
        <v/>
      </c>
    </row>
    <row r="381" customFormat="false" ht="15" hidden="false" customHeight="false" outlineLevel="0" collapsed="false">
      <c r="B381" s="91" t="str">
        <f aca="false">IF('CC Alloc'!R344="","",341)</f>
        <v/>
      </c>
      <c r="C381" s="92" t="str">
        <f aca="false">'CC Alloc'!R344</f>
        <v/>
      </c>
      <c r="D381" s="93" t="str">
        <f aca="false">'CC Alloc'!S344</f>
        <v/>
      </c>
      <c r="E381" s="94" t="str">
        <f aca="false">'CC Alloc'!T344</f>
        <v/>
      </c>
      <c r="F381" s="95" t="str">
        <f aca="false">IF('CC Alloc'!U344="","",'CC Alloc'!U344/QRate)</f>
        <v/>
      </c>
    </row>
    <row r="382" customFormat="false" ht="15" hidden="false" customHeight="false" outlineLevel="0" collapsed="false">
      <c r="B382" s="91" t="str">
        <f aca="false">IF('CC Alloc'!R345="","",342)</f>
        <v/>
      </c>
      <c r="C382" s="92" t="str">
        <f aca="false">'CC Alloc'!R345</f>
        <v/>
      </c>
      <c r="D382" s="93" t="str">
        <f aca="false">'CC Alloc'!S345</f>
        <v/>
      </c>
      <c r="E382" s="94" t="str">
        <f aca="false">'CC Alloc'!T345</f>
        <v/>
      </c>
      <c r="F382" s="95" t="str">
        <f aca="false">IF('CC Alloc'!U345="","",'CC Alloc'!U345/QRate)</f>
        <v/>
      </c>
    </row>
    <row r="383" customFormat="false" ht="15" hidden="false" customHeight="false" outlineLevel="0" collapsed="false">
      <c r="B383" s="91" t="str">
        <f aca="false">IF('CC Alloc'!R346="","",343)</f>
        <v/>
      </c>
      <c r="C383" s="92" t="str">
        <f aca="false">'CC Alloc'!R346</f>
        <v/>
      </c>
      <c r="D383" s="93" t="str">
        <f aca="false">'CC Alloc'!S346</f>
        <v/>
      </c>
      <c r="E383" s="94" t="str">
        <f aca="false">'CC Alloc'!T346</f>
        <v/>
      </c>
      <c r="F383" s="95" t="str">
        <f aca="false">IF('CC Alloc'!U346="","",'CC Alloc'!U346/QRate)</f>
        <v/>
      </c>
    </row>
    <row r="384" customFormat="false" ht="15" hidden="false" customHeight="false" outlineLevel="0" collapsed="false">
      <c r="B384" s="91" t="str">
        <f aca="false">IF('CC Alloc'!R347="","",344)</f>
        <v/>
      </c>
      <c r="C384" s="92" t="str">
        <f aca="false">'CC Alloc'!R347</f>
        <v/>
      </c>
      <c r="D384" s="93" t="str">
        <f aca="false">'CC Alloc'!S347</f>
        <v/>
      </c>
      <c r="E384" s="94" t="str">
        <f aca="false">'CC Alloc'!T347</f>
        <v/>
      </c>
      <c r="F384" s="95" t="str">
        <f aca="false">IF('CC Alloc'!U347="","",'CC Alloc'!U347/QRate)</f>
        <v/>
      </c>
    </row>
    <row r="385" customFormat="false" ht="15" hidden="false" customHeight="false" outlineLevel="0" collapsed="false">
      <c r="B385" s="91" t="str">
        <f aca="false">IF('CC Alloc'!R348="","",345)</f>
        <v/>
      </c>
      <c r="C385" s="92" t="str">
        <f aca="false">'CC Alloc'!R348</f>
        <v/>
      </c>
      <c r="D385" s="93" t="str">
        <f aca="false">'CC Alloc'!S348</f>
        <v/>
      </c>
      <c r="E385" s="94" t="str">
        <f aca="false">'CC Alloc'!T348</f>
        <v/>
      </c>
      <c r="F385" s="95" t="str">
        <f aca="false">IF('CC Alloc'!U348="","",'CC Alloc'!U348/QRate)</f>
        <v/>
      </c>
    </row>
    <row r="386" customFormat="false" ht="15" hidden="false" customHeight="false" outlineLevel="0" collapsed="false">
      <c r="B386" s="91" t="str">
        <f aca="false">IF('CC Alloc'!R349="","",346)</f>
        <v/>
      </c>
      <c r="C386" s="92" t="str">
        <f aca="false">'CC Alloc'!R349</f>
        <v/>
      </c>
      <c r="D386" s="93" t="str">
        <f aca="false">'CC Alloc'!S349</f>
        <v/>
      </c>
      <c r="E386" s="94" t="str">
        <f aca="false">'CC Alloc'!T349</f>
        <v/>
      </c>
      <c r="F386" s="95" t="str">
        <f aca="false">IF('CC Alloc'!U349="","",'CC Alloc'!U349/QRate)</f>
        <v/>
      </c>
    </row>
    <row r="387" customFormat="false" ht="15" hidden="false" customHeight="false" outlineLevel="0" collapsed="false">
      <c r="B387" s="91" t="str">
        <f aca="false">IF('CC Alloc'!R350="","",347)</f>
        <v/>
      </c>
      <c r="C387" s="92" t="str">
        <f aca="false">'CC Alloc'!R350</f>
        <v/>
      </c>
      <c r="D387" s="93" t="str">
        <f aca="false">'CC Alloc'!S350</f>
        <v/>
      </c>
      <c r="E387" s="94" t="str">
        <f aca="false">'CC Alloc'!T350</f>
        <v/>
      </c>
      <c r="F387" s="95" t="str">
        <f aca="false">IF('CC Alloc'!U350="","",'CC Alloc'!U350/QRate)</f>
        <v/>
      </c>
    </row>
    <row r="388" customFormat="false" ht="15" hidden="false" customHeight="false" outlineLevel="0" collapsed="false">
      <c r="B388" s="91" t="str">
        <f aca="false">IF('CC Alloc'!R351="","",348)</f>
        <v/>
      </c>
      <c r="C388" s="92" t="str">
        <f aca="false">'CC Alloc'!R351</f>
        <v/>
      </c>
      <c r="D388" s="93" t="str">
        <f aca="false">'CC Alloc'!S351</f>
        <v/>
      </c>
      <c r="E388" s="94" t="str">
        <f aca="false">'CC Alloc'!T351</f>
        <v/>
      </c>
      <c r="F388" s="95" t="str">
        <f aca="false">IF('CC Alloc'!U351="","",'CC Alloc'!U351/QRate)</f>
        <v/>
      </c>
    </row>
    <row r="389" customFormat="false" ht="15" hidden="false" customHeight="false" outlineLevel="0" collapsed="false">
      <c r="B389" s="91" t="str">
        <f aca="false">IF('CC Alloc'!R352="","",349)</f>
        <v/>
      </c>
      <c r="C389" s="92" t="str">
        <f aca="false">'CC Alloc'!R352</f>
        <v/>
      </c>
      <c r="D389" s="93" t="str">
        <f aca="false">'CC Alloc'!S352</f>
        <v/>
      </c>
      <c r="E389" s="94" t="str">
        <f aca="false">'CC Alloc'!T352</f>
        <v/>
      </c>
      <c r="F389" s="95" t="str">
        <f aca="false">IF('CC Alloc'!U352="","",'CC Alloc'!U352/QRate)</f>
        <v/>
      </c>
    </row>
    <row r="390" customFormat="false" ht="15" hidden="false" customHeight="false" outlineLevel="0" collapsed="false">
      <c r="B390" s="91" t="str">
        <f aca="false">IF('CC Alloc'!R353="","",350)</f>
        <v/>
      </c>
      <c r="C390" s="92" t="str">
        <f aca="false">'CC Alloc'!R353</f>
        <v/>
      </c>
      <c r="D390" s="93" t="str">
        <f aca="false">'CC Alloc'!S353</f>
        <v/>
      </c>
      <c r="E390" s="94" t="str">
        <f aca="false">'CC Alloc'!T353</f>
        <v/>
      </c>
      <c r="F390" s="95" t="str">
        <f aca="false">IF('CC Alloc'!U353="","",'CC Alloc'!U353/QRate)</f>
        <v/>
      </c>
    </row>
    <row r="391" customFormat="false" ht="15" hidden="false" customHeight="false" outlineLevel="0" collapsed="false">
      <c r="B391" s="91" t="str">
        <f aca="false">IF('CC Alloc'!R354="","",351)</f>
        <v/>
      </c>
      <c r="C391" s="92" t="str">
        <f aca="false">'CC Alloc'!R354</f>
        <v/>
      </c>
      <c r="D391" s="93" t="str">
        <f aca="false">'CC Alloc'!S354</f>
        <v/>
      </c>
      <c r="E391" s="94" t="str">
        <f aca="false">'CC Alloc'!T354</f>
        <v/>
      </c>
      <c r="F391" s="95" t="str">
        <f aca="false">IF('CC Alloc'!U354="","",'CC Alloc'!U354/QRate)</f>
        <v/>
      </c>
    </row>
    <row r="392" customFormat="false" ht="15" hidden="false" customHeight="false" outlineLevel="0" collapsed="false">
      <c r="B392" s="91" t="str">
        <f aca="false">IF('CC Alloc'!R355="","",352)</f>
        <v/>
      </c>
      <c r="C392" s="92" t="str">
        <f aca="false">'CC Alloc'!R355</f>
        <v/>
      </c>
      <c r="D392" s="93" t="str">
        <f aca="false">'CC Alloc'!S355</f>
        <v/>
      </c>
      <c r="E392" s="94" t="str">
        <f aca="false">'CC Alloc'!T355</f>
        <v/>
      </c>
      <c r="F392" s="95" t="str">
        <f aca="false">IF('CC Alloc'!U355="","",'CC Alloc'!U355/QRate)</f>
        <v/>
      </c>
    </row>
    <row r="393" customFormat="false" ht="15" hidden="false" customHeight="false" outlineLevel="0" collapsed="false">
      <c r="B393" s="91" t="str">
        <f aca="false">IF('CC Alloc'!R356="","",353)</f>
        <v/>
      </c>
      <c r="C393" s="92" t="str">
        <f aca="false">'CC Alloc'!R356</f>
        <v/>
      </c>
      <c r="D393" s="93" t="str">
        <f aca="false">'CC Alloc'!S356</f>
        <v/>
      </c>
      <c r="E393" s="94" t="str">
        <f aca="false">'CC Alloc'!T356</f>
        <v/>
      </c>
      <c r="F393" s="95" t="str">
        <f aca="false">IF('CC Alloc'!U356="","",'CC Alloc'!U356/QRate)</f>
        <v/>
      </c>
    </row>
    <row r="394" customFormat="false" ht="15" hidden="false" customHeight="false" outlineLevel="0" collapsed="false">
      <c r="B394" s="91" t="str">
        <f aca="false">IF('CC Alloc'!R357="","",354)</f>
        <v/>
      </c>
      <c r="C394" s="92" t="str">
        <f aca="false">'CC Alloc'!R357</f>
        <v/>
      </c>
      <c r="D394" s="93" t="str">
        <f aca="false">'CC Alloc'!S357</f>
        <v/>
      </c>
      <c r="E394" s="94" t="str">
        <f aca="false">'CC Alloc'!T357</f>
        <v/>
      </c>
      <c r="F394" s="95" t="str">
        <f aca="false">IF('CC Alloc'!U357="","",'CC Alloc'!U357/QRate)</f>
        <v/>
      </c>
    </row>
    <row r="395" customFormat="false" ht="15" hidden="false" customHeight="false" outlineLevel="0" collapsed="false">
      <c r="B395" s="91" t="str">
        <f aca="false">IF('CC Alloc'!R358="","",355)</f>
        <v/>
      </c>
      <c r="C395" s="92" t="str">
        <f aca="false">'CC Alloc'!R358</f>
        <v/>
      </c>
      <c r="D395" s="93" t="str">
        <f aca="false">'CC Alloc'!S358</f>
        <v/>
      </c>
      <c r="E395" s="94" t="str">
        <f aca="false">'CC Alloc'!T358</f>
        <v/>
      </c>
      <c r="F395" s="95" t="str">
        <f aca="false">IF('CC Alloc'!U358="","",'CC Alloc'!U358/QRate)</f>
        <v/>
      </c>
    </row>
    <row r="396" customFormat="false" ht="15" hidden="false" customHeight="false" outlineLevel="0" collapsed="false">
      <c r="B396" s="91" t="str">
        <f aca="false">IF('CC Alloc'!R359="","",356)</f>
        <v/>
      </c>
      <c r="C396" s="92" t="str">
        <f aca="false">'CC Alloc'!R359</f>
        <v/>
      </c>
      <c r="D396" s="93" t="str">
        <f aca="false">'CC Alloc'!S359</f>
        <v/>
      </c>
      <c r="E396" s="94" t="str">
        <f aca="false">'CC Alloc'!T359</f>
        <v/>
      </c>
      <c r="F396" s="95" t="str">
        <f aca="false">IF('CC Alloc'!U359="","",'CC Alloc'!U359/QRate)</f>
        <v/>
      </c>
    </row>
    <row r="397" customFormat="false" ht="15" hidden="false" customHeight="false" outlineLevel="0" collapsed="false">
      <c r="B397" s="91" t="str">
        <f aca="false">IF('CC Alloc'!R360="","",357)</f>
        <v/>
      </c>
      <c r="C397" s="92" t="str">
        <f aca="false">'CC Alloc'!R360</f>
        <v/>
      </c>
      <c r="D397" s="93" t="str">
        <f aca="false">'CC Alloc'!S360</f>
        <v/>
      </c>
      <c r="E397" s="94" t="str">
        <f aca="false">'CC Alloc'!T360</f>
        <v/>
      </c>
      <c r="F397" s="95" t="str">
        <f aca="false">IF('CC Alloc'!U360="","",'CC Alloc'!U360/QRate)</f>
        <v/>
      </c>
    </row>
    <row r="398" customFormat="false" ht="15" hidden="false" customHeight="false" outlineLevel="0" collapsed="false">
      <c r="B398" s="91" t="str">
        <f aca="false">IF('CC Alloc'!R361="","",358)</f>
        <v/>
      </c>
      <c r="C398" s="92" t="str">
        <f aca="false">'CC Alloc'!R361</f>
        <v/>
      </c>
      <c r="D398" s="93" t="str">
        <f aca="false">'CC Alloc'!S361</f>
        <v/>
      </c>
      <c r="E398" s="94" t="str">
        <f aca="false">'CC Alloc'!T361</f>
        <v/>
      </c>
      <c r="F398" s="95" t="str">
        <f aca="false">IF('CC Alloc'!U361="","",'CC Alloc'!U361/QRate)</f>
        <v/>
      </c>
    </row>
    <row r="399" customFormat="false" ht="15" hidden="false" customHeight="false" outlineLevel="0" collapsed="false">
      <c r="B399" s="91" t="str">
        <f aca="false">IF('CC Alloc'!R362="","",359)</f>
        <v/>
      </c>
      <c r="C399" s="92" t="str">
        <f aca="false">'CC Alloc'!R362</f>
        <v/>
      </c>
      <c r="D399" s="93" t="str">
        <f aca="false">'CC Alloc'!S362</f>
        <v/>
      </c>
      <c r="E399" s="94" t="str">
        <f aca="false">'CC Alloc'!T362</f>
        <v/>
      </c>
      <c r="F399" s="95" t="str">
        <f aca="false">IF('CC Alloc'!U362="","",'CC Alloc'!U362/QRate)</f>
        <v/>
      </c>
    </row>
    <row r="400" customFormat="false" ht="15" hidden="false" customHeight="false" outlineLevel="0" collapsed="false">
      <c r="B400" s="91" t="str">
        <f aca="false">IF('CC Alloc'!R363="","",360)</f>
        <v/>
      </c>
      <c r="C400" s="92" t="str">
        <f aca="false">'CC Alloc'!R363</f>
        <v/>
      </c>
      <c r="D400" s="93" t="str">
        <f aca="false">'CC Alloc'!S363</f>
        <v/>
      </c>
      <c r="E400" s="94" t="str">
        <f aca="false">'CC Alloc'!T363</f>
        <v/>
      </c>
      <c r="F400" s="95" t="str">
        <f aca="false">IF('CC Alloc'!U363="","",'CC Alloc'!U363/QRate)</f>
        <v/>
      </c>
    </row>
    <row r="401" customFormat="false" ht="15" hidden="false" customHeight="false" outlineLevel="0" collapsed="false">
      <c r="B401" s="91" t="str">
        <f aca="false">IF('CC Alloc'!R364="","",361)</f>
        <v/>
      </c>
      <c r="C401" s="92" t="str">
        <f aca="false">'CC Alloc'!R364</f>
        <v/>
      </c>
      <c r="D401" s="93" t="str">
        <f aca="false">'CC Alloc'!S364</f>
        <v/>
      </c>
      <c r="E401" s="94" t="str">
        <f aca="false">'CC Alloc'!T364</f>
        <v/>
      </c>
      <c r="F401" s="95" t="str">
        <f aca="false">IF('CC Alloc'!U364="","",'CC Alloc'!U364/QRate)</f>
        <v/>
      </c>
    </row>
    <row r="402" customFormat="false" ht="15" hidden="false" customHeight="false" outlineLevel="0" collapsed="false">
      <c r="B402" s="91" t="str">
        <f aca="false">IF('CC Alloc'!R365="","",362)</f>
        <v/>
      </c>
      <c r="C402" s="92" t="str">
        <f aca="false">'CC Alloc'!R365</f>
        <v/>
      </c>
      <c r="D402" s="93" t="str">
        <f aca="false">'CC Alloc'!S365</f>
        <v/>
      </c>
      <c r="E402" s="94" t="str">
        <f aca="false">'CC Alloc'!T365</f>
        <v/>
      </c>
      <c r="F402" s="95" t="str">
        <f aca="false">IF('CC Alloc'!U365="","",'CC Alloc'!U365/QRate)</f>
        <v/>
      </c>
    </row>
    <row r="403" customFormat="false" ht="15" hidden="false" customHeight="false" outlineLevel="0" collapsed="false">
      <c r="B403" s="91" t="str">
        <f aca="false">IF('CC Alloc'!R366="","",363)</f>
        <v/>
      </c>
      <c r="C403" s="92" t="str">
        <f aca="false">'CC Alloc'!R366</f>
        <v/>
      </c>
      <c r="D403" s="93" t="str">
        <f aca="false">'CC Alloc'!S366</f>
        <v/>
      </c>
      <c r="E403" s="94" t="str">
        <f aca="false">'CC Alloc'!T366</f>
        <v/>
      </c>
      <c r="F403" s="95" t="str">
        <f aca="false">IF('CC Alloc'!U366="","",'CC Alloc'!U366/QRate)</f>
        <v/>
      </c>
    </row>
    <row r="404" customFormat="false" ht="15" hidden="false" customHeight="false" outlineLevel="0" collapsed="false">
      <c r="B404" s="91" t="str">
        <f aca="false">IF('CC Alloc'!R367="","",364)</f>
        <v/>
      </c>
      <c r="C404" s="92" t="str">
        <f aca="false">'CC Alloc'!R367</f>
        <v/>
      </c>
      <c r="D404" s="93" t="str">
        <f aca="false">'CC Alloc'!S367</f>
        <v/>
      </c>
      <c r="E404" s="94" t="str">
        <f aca="false">'CC Alloc'!T367</f>
        <v/>
      </c>
      <c r="F404" s="95" t="str">
        <f aca="false">IF('CC Alloc'!U367="","",'CC Alloc'!U367/QRate)</f>
        <v/>
      </c>
    </row>
    <row r="405" customFormat="false" ht="15" hidden="false" customHeight="false" outlineLevel="0" collapsed="false">
      <c r="B405" s="91" t="str">
        <f aca="false">IF('CC Alloc'!R368="","",365)</f>
        <v/>
      </c>
      <c r="C405" s="92" t="str">
        <f aca="false">'CC Alloc'!R368</f>
        <v/>
      </c>
      <c r="D405" s="93" t="str">
        <f aca="false">'CC Alloc'!S368</f>
        <v/>
      </c>
      <c r="E405" s="94" t="str">
        <f aca="false">'CC Alloc'!T368</f>
        <v/>
      </c>
      <c r="F405" s="95" t="str">
        <f aca="false">IF('CC Alloc'!U368="","",'CC Alloc'!U368/QRate)</f>
        <v/>
      </c>
    </row>
    <row r="406" customFormat="false" ht="15" hidden="false" customHeight="false" outlineLevel="0" collapsed="false">
      <c r="B406" s="91" t="str">
        <f aca="false">IF('CC Alloc'!R369="","",366)</f>
        <v/>
      </c>
      <c r="C406" s="92" t="str">
        <f aca="false">'CC Alloc'!R369</f>
        <v/>
      </c>
      <c r="D406" s="93" t="str">
        <f aca="false">'CC Alloc'!S369</f>
        <v/>
      </c>
      <c r="E406" s="94" t="str">
        <f aca="false">'CC Alloc'!T369</f>
        <v/>
      </c>
      <c r="F406" s="95" t="str">
        <f aca="false">IF('CC Alloc'!U369="","",'CC Alloc'!U369/QRate)</f>
        <v/>
      </c>
    </row>
    <row r="407" customFormat="false" ht="15" hidden="false" customHeight="false" outlineLevel="0" collapsed="false">
      <c r="B407" s="91" t="str">
        <f aca="false">IF('CC Alloc'!R370="","",367)</f>
        <v/>
      </c>
      <c r="C407" s="92" t="str">
        <f aca="false">'CC Alloc'!R370</f>
        <v/>
      </c>
      <c r="D407" s="93" t="str">
        <f aca="false">'CC Alloc'!S370</f>
        <v/>
      </c>
      <c r="E407" s="94" t="str">
        <f aca="false">'CC Alloc'!T370</f>
        <v/>
      </c>
      <c r="F407" s="95" t="str">
        <f aca="false">IF('CC Alloc'!U370="","",'CC Alloc'!U370/QRate)</f>
        <v/>
      </c>
    </row>
    <row r="408" customFormat="false" ht="15" hidden="false" customHeight="false" outlineLevel="0" collapsed="false">
      <c r="B408" s="91" t="str">
        <f aca="false">IF('CC Alloc'!R371="","",368)</f>
        <v/>
      </c>
      <c r="C408" s="92" t="str">
        <f aca="false">'CC Alloc'!R371</f>
        <v/>
      </c>
      <c r="D408" s="93" t="str">
        <f aca="false">'CC Alloc'!S371</f>
        <v/>
      </c>
      <c r="E408" s="94" t="str">
        <f aca="false">'CC Alloc'!T371</f>
        <v/>
      </c>
      <c r="F408" s="95" t="str">
        <f aca="false">IF('CC Alloc'!U371="","",'CC Alloc'!U371/QRate)</f>
        <v/>
      </c>
    </row>
    <row r="409" customFormat="false" ht="15" hidden="false" customHeight="false" outlineLevel="0" collapsed="false">
      <c r="B409" s="91" t="str">
        <f aca="false">IF('CC Alloc'!R372="","",369)</f>
        <v/>
      </c>
      <c r="C409" s="92" t="str">
        <f aca="false">'CC Alloc'!R372</f>
        <v/>
      </c>
      <c r="D409" s="93" t="str">
        <f aca="false">'CC Alloc'!S372</f>
        <v/>
      </c>
      <c r="E409" s="94" t="str">
        <f aca="false">'CC Alloc'!T372</f>
        <v/>
      </c>
      <c r="F409" s="95" t="str">
        <f aca="false">IF('CC Alloc'!U372="","",'CC Alloc'!U372/QRate)</f>
        <v/>
      </c>
    </row>
    <row r="410" customFormat="false" ht="15" hidden="false" customHeight="false" outlineLevel="0" collapsed="false">
      <c r="B410" s="91" t="str">
        <f aca="false">IF('CC Alloc'!R373="","",370)</f>
        <v/>
      </c>
      <c r="C410" s="92" t="str">
        <f aca="false">'CC Alloc'!R373</f>
        <v/>
      </c>
      <c r="D410" s="93" t="str">
        <f aca="false">'CC Alloc'!S373</f>
        <v/>
      </c>
      <c r="E410" s="94" t="str">
        <f aca="false">'CC Alloc'!T373</f>
        <v/>
      </c>
      <c r="F410" s="95" t="str">
        <f aca="false">IF('CC Alloc'!U373="","",'CC Alloc'!U373/QRate)</f>
        <v/>
      </c>
    </row>
    <row r="411" customFormat="false" ht="15" hidden="false" customHeight="false" outlineLevel="0" collapsed="false">
      <c r="B411" s="91" t="str">
        <f aca="false">IF('CC Alloc'!R374="","",371)</f>
        <v/>
      </c>
      <c r="C411" s="92" t="str">
        <f aca="false">'CC Alloc'!R374</f>
        <v/>
      </c>
      <c r="D411" s="93" t="str">
        <f aca="false">'CC Alloc'!S374</f>
        <v/>
      </c>
      <c r="E411" s="94" t="str">
        <f aca="false">'CC Alloc'!T374</f>
        <v/>
      </c>
      <c r="F411" s="95" t="str">
        <f aca="false">IF('CC Alloc'!U374="","",'CC Alloc'!U374/QRate)</f>
        <v/>
      </c>
    </row>
    <row r="412" customFormat="false" ht="15" hidden="false" customHeight="false" outlineLevel="0" collapsed="false">
      <c r="B412" s="91" t="str">
        <f aca="false">IF('CC Alloc'!R375="","",372)</f>
        <v/>
      </c>
      <c r="C412" s="92" t="str">
        <f aca="false">'CC Alloc'!R375</f>
        <v/>
      </c>
      <c r="D412" s="93" t="str">
        <f aca="false">'CC Alloc'!S375</f>
        <v/>
      </c>
      <c r="E412" s="94" t="str">
        <f aca="false">'CC Alloc'!T375</f>
        <v/>
      </c>
      <c r="F412" s="95" t="str">
        <f aca="false">IF('CC Alloc'!U375="","",'CC Alloc'!U375/QRate)</f>
        <v/>
      </c>
    </row>
    <row r="413" customFormat="false" ht="15" hidden="false" customHeight="false" outlineLevel="0" collapsed="false">
      <c r="B413" s="91" t="str">
        <f aca="false">IF('CC Alloc'!R376="","",373)</f>
        <v/>
      </c>
      <c r="C413" s="92" t="str">
        <f aca="false">'CC Alloc'!R376</f>
        <v/>
      </c>
      <c r="D413" s="93" t="str">
        <f aca="false">'CC Alloc'!S376</f>
        <v/>
      </c>
      <c r="E413" s="94" t="str">
        <f aca="false">'CC Alloc'!T376</f>
        <v/>
      </c>
      <c r="F413" s="95" t="str">
        <f aca="false">IF('CC Alloc'!U376="","",'CC Alloc'!U376/QRate)</f>
        <v/>
      </c>
    </row>
    <row r="414" customFormat="false" ht="15" hidden="false" customHeight="false" outlineLevel="0" collapsed="false">
      <c r="B414" s="91" t="str">
        <f aca="false">IF('CC Alloc'!R377="","",374)</f>
        <v/>
      </c>
      <c r="C414" s="92" t="str">
        <f aca="false">'CC Alloc'!R377</f>
        <v/>
      </c>
      <c r="D414" s="93" t="str">
        <f aca="false">'CC Alloc'!S377</f>
        <v/>
      </c>
      <c r="E414" s="94" t="str">
        <f aca="false">'CC Alloc'!T377</f>
        <v/>
      </c>
      <c r="F414" s="95" t="str">
        <f aca="false">IF('CC Alloc'!U377="","",'CC Alloc'!U377/QRate)</f>
        <v/>
      </c>
    </row>
    <row r="415" customFormat="false" ht="15" hidden="false" customHeight="false" outlineLevel="0" collapsed="false">
      <c r="B415" s="91" t="str">
        <f aca="false">IF('CC Alloc'!R378="","",375)</f>
        <v/>
      </c>
      <c r="C415" s="92" t="str">
        <f aca="false">'CC Alloc'!R378</f>
        <v/>
      </c>
      <c r="D415" s="93" t="str">
        <f aca="false">'CC Alloc'!S378</f>
        <v/>
      </c>
      <c r="E415" s="94" t="str">
        <f aca="false">'CC Alloc'!T378</f>
        <v/>
      </c>
      <c r="F415" s="95" t="str">
        <f aca="false">IF('CC Alloc'!U378="","",'CC Alloc'!U378/QRate)</f>
        <v/>
      </c>
    </row>
    <row r="416" customFormat="false" ht="15" hidden="false" customHeight="false" outlineLevel="0" collapsed="false">
      <c r="B416" s="91" t="str">
        <f aca="false">IF('CC Alloc'!R379="","",376)</f>
        <v/>
      </c>
      <c r="C416" s="92" t="str">
        <f aca="false">'CC Alloc'!R379</f>
        <v/>
      </c>
      <c r="D416" s="93" t="str">
        <f aca="false">'CC Alloc'!S379</f>
        <v/>
      </c>
      <c r="E416" s="94" t="str">
        <f aca="false">'CC Alloc'!T379</f>
        <v/>
      </c>
      <c r="F416" s="95" t="str">
        <f aca="false">IF('CC Alloc'!U379="","",'CC Alloc'!U379/QRate)</f>
        <v/>
      </c>
    </row>
    <row r="417" customFormat="false" ht="15" hidden="false" customHeight="false" outlineLevel="0" collapsed="false">
      <c r="B417" s="91" t="str">
        <f aca="false">IF('CC Alloc'!R380="","",377)</f>
        <v/>
      </c>
      <c r="C417" s="92" t="str">
        <f aca="false">'CC Alloc'!R380</f>
        <v/>
      </c>
      <c r="D417" s="93" t="str">
        <f aca="false">'CC Alloc'!S380</f>
        <v/>
      </c>
      <c r="E417" s="94" t="str">
        <f aca="false">'CC Alloc'!T380</f>
        <v/>
      </c>
      <c r="F417" s="95" t="str">
        <f aca="false">IF('CC Alloc'!U380="","",'CC Alloc'!U380/QRate)</f>
        <v/>
      </c>
    </row>
    <row r="418" customFormat="false" ht="15" hidden="false" customHeight="false" outlineLevel="0" collapsed="false">
      <c r="B418" s="91" t="str">
        <f aca="false">IF('CC Alloc'!R381="","",378)</f>
        <v/>
      </c>
      <c r="C418" s="92" t="str">
        <f aca="false">'CC Alloc'!R381</f>
        <v/>
      </c>
      <c r="D418" s="93" t="str">
        <f aca="false">'CC Alloc'!S381</f>
        <v/>
      </c>
      <c r="E418" s="94" t="str">
        <f aca="false">'CC Alloc'!T381</f>
        <v/>
      </c>
      <c r="F418" s="95" t="str">
        <f aca="false">IF('CC Alloc'!U381="","",'CC Alloc'!U381/QRate)</f>
        <v/>
      </c>
    </row>
    <row r="419" customFormat="false" ht="15" hidden="false" customHeight="false" outlineLevel="0" collapsed="false">
      <c r="B419" s="91" t="str">
        <f aca="false">IF('CC Alloc'!R382="","",379)</f>
        <v/>
      </c>
      <c r="C419" s="92" t="str">
        <f aca="false">'CC Alloc'!R382</f>
        <v/>
      </c>
      <c r="D419" s="93" t="str">
        <f aca="false">'CC Alloc'!S382</f>
        <v/>
      </c>
      <c r="E419" s="94" t="str">
        <f aca="false">'CC Alloc'!T382</f>
        <v/>
      </c>
      <c r="F419" s="95" t="str">
        <f aca="false">IF('CC Alloc'!U382="","",'CC Alloc'!U382/QRate)</f>
        <v/>
      </c>
    </row>
    <row r="420" customFormat="false" ht="15" hidden="false" customHeight="false" outlineLevel="0" collapsed="false">
      <c r="B420" s="91" t="str">
        <f aca="false">IF('CC Alloc'!R383="","",380)</f>
        <v/>
      </c>
      <c r="C420" s="92" t="str">
        <f aca="false">'CC Alloc'!R383</f>
        <v/>
      </c>
      <c r="D420" s="93" t="str">
        <f aca="false">'CC Alloc'!S383</f>
        <v/>
      </c>
      <c r="E420" s="94" t="str">
        <f aca="false">'CC Alloc'!T383</f>
        <v/>
      </c>
      <c r="F420" s="95" t="str">
        <f aca="false">IF('CC Alloc'!U383="","",'CC Alloc'!U383/QRate)</f>
        <v/>
      </c>
    </row>
    <row r="421" customFormat="false" ht="15" hidden="false" customHeight="false" outlineLevel="0" collapsed="false">
      <c r="B421" s="91" t="str">
        <f aca="false">IF('CC Alloc'!R384="","",381)</f>
        <v/>
      </c>
      <c r="C421" s="92" t="str">
        <f aca="false">'CC Alloc'!R384</f>
        <v/>
      </c>
      <c r="D421" s="93" t="str">
        <f aca="false">'CC Alloc'!S384</f>
        <v/>
      </c>
      <c r="E421" s="94" t="str">
        <f aca="false">'CC Alloc'!T384</f>
        <v/>
      </c>
      <c r="F421" s="95" t="str">
        <f aca="false">IF('CC Alloc'!U384="","",'CC Alloc'!U384/QRate)</f>
        <v/>
      </c>
    </row>
    <row r="422" customFormat="false" ht="15" hidden="false" customHeight="false" outlineLevel="0" collapsed="false">
      <c r="B422" s="91" t="str">
        <f aca="false">IF('CC Alloc'!R385="","",382)</f>
        <v/>
      </c>
      <c r="C422" s="92" t="str">
        <f aca="false">'CC Alloc'!R385</f>
        <v/>
      </c>
      <c r="D422" s="93" t="str">
        <f aca="false">'CC Alloc'!S385</f>
        <v/>
      </c>
      <c r="E422" s="94" t="str">
        <f aca="false">'CC Alloc'!T385</f>
        <v/>
      </c>
      <c r="F422" s="95" t="str">
        <f aca="false">IF('CC Alloc'!U385="","",'CC Alloc'!U385/QRate)</f>
        <v/>
      </c>
    </row>
    <row r="423" customFormat="false" ht="15" hidden="false" customHeight="false" outlineLevel="0" collapsed="false">
      <c r="B423" s="91" t="str">
        <f aca="false">IF('CC Alloc'!R386="","",383)</f>
        <v/>
      </c>
      <c r="C423" s="92" t="str">
        <f aca="false">'CC Alloc'!R386</f>
        <v/>
      </c>
      <c r="D423" s="93" t="str">
        <f aca="false">'CC Alloc'!S386</f>
        <v/>
      </c>
      <c r="E423" s="94" t="str">
        <f aca="false">'CC Alloc'!T386</f>
        <v/>
      </c>
      <c r="F423" s="95" t="str">
        <f aca="false">IF('CC Alloc'!U386="","",'CC Alloc'!U386/QRate)</f>
        <v/>
      </c>
    </row>
    <row r="424" customFormat="false" ht="15" hidden="false" customHeight="false" outlineLevel="0" collapsed="false">
      <c r="B424" s="91" t="str">
        <f aca="false">IF('CC Alloc'!R387="","",384)</f>
        <v/>
      </c>
      <c r="C424" s="92" t="str">
        <f aca="false">'CC Alloc'!R387</f>
        <v/>
      </c>
      <c r="D424" s="93" t="str">
        <f aca="false">'CC Alloc'!S387</f>
        <v/>
      </c>
      <c r="E424" s="94" t="str">
        <f aca="false">'CC Alloc'!T387</f>
        <v/>
      </c>
      <c r="F424" s="95" t="str">
        <f aca="false">IF('CC Alloc'!U387="","",'CC Alloc'!U387/QRate)</f>
        <v/>
      </c>
    </row>
    <row r="425" customFormat="false" ht="15" hidden="false" customHeight="false" outlineLevel="0" collapsed="false">
      <c r="B425" s="91" t="str">
        <f aca="false">IF('CC Alloc'!R388="","",385)</f>
        <v/>
      </c>
      <c r="C425" s="92" t="str">
        <f aca="false">'CC Alloc'!R388</f>
        <v/>
      </c>
      <c r="D425" s="93" t="str">
        <f aca="false">'CC Alloc'!S388</f>
        <v/>
      </c>
      <c r="E425" s="94" t="str">
        <f aca="false">'CC Alloc'!T388</f>
        <v/>
      </c>
      <c r="F425" s="95" t="str">
        <f aca="false">IF('CC Alloc'!U388="","",'CC Alloc'!U388/QRate)</f>
        <v/>
      </c>
    </row>
    <row r="426" customFormat="false" ht="15" hidden="false" customHeight="false" outlineLevel="0" collapsed="false">
      <c r="B426" s="91" t="str">
        <f aca="false">IF('CC Alloc'!R389="","",386)</f>
        <v/>
      </c>
      <c r="C426" s="92" t="str">
        <f aca="false">'CC Alloc'!R389</f>
        <v/>
      </c>
      <c r="D426" s="93" t="str">
        <f aca="false">'CC Alloc'!S389</f>
        <v/>
      </c>
      <c r="E426" s="94" t="str">
        <f aca="false">'CC Alloc'!T389</f>
        <v/>
      </c>
      <c r="F426" s="95" t="str">
        <f aca="false">IF('CC Alloc'!U389="","",'CC Alloc'!U389/QRate)</f>
        <v/>
      </c>
    </row>
    <row r="427" customFormat="false" ht="15" hidden="false" customHeight="false" outlineLevel="0" collapsed="false">
      <c r="B427" s="91" t="str">
        <f aca="false">IF('CC Alloc'!R390="","",387)</f>
        <v/>
      </c>
      <c r="C427" s="92" t="str">
        <f aca="false">'CC Alloc'!R390</f>
        <v/>
      </c>
      <c r="D427" s="93" t="str">
        <f aca="false">'CC Alloc'!S390</f>
        <v/>
      </c>
      <c r="E427" s="94" t="str">
        <f aca="false">'CC Alloc'!T390</f>
        <v/>
      </c>
      <c r="F427" s="95" t="str">
        <f aca="false">IF('CC Alloc'!U390="","",'CC Alloc'!U390/QRate)</f>
        <v/>
      </c>
    </row>
    <row r="428" customFormat="false" ht="15" hidden="false" customHeight="false" outlineLevel="0" collapsed="false">
      <c r="B428" s="91" t="str">
        <f aca="false">IF('CC Alloc'!R391="","",388)</f>
        <v/>
      </c>
      <c r="C428" s="92" t="str">
        <f aca="false">'CC Alloc'!R391</f>
        <v/>
      </c>
      <c r="D428" s="93" t="str">
        <f aca="false">'CC Alloc'!S391</f>
        <v/>
      </c>
      <c r="E428" s="94" t="str">
        <f aca="false">'CC Alloc'!T391</f>
        <v/>
      </c>
      <c r="F428" s="95" t="str">
        <f aca="false">IF('CC Alloc'!U391="","",'CC Alloc'!U391/QRate)</f>
        <v/>
      </c>
    </row>
    <row r="429" customFormat="false" ht="15" hidden="false" customHeight="false" outlineLevel="0" collapsed="false">
      <c r="B429" s="91" t="str">
        <f aca="false">IF('CC Alloc'!R392="","",389)</f>
        <v/>
      </c>
      <c r="C429" s="92" t="str">
        <f aca="false">'CC Alloc'!R392</f>
        <v/>
      </c>
      <c r="D429" s="93" t="str">
        <f aca="false">'CC Alloc'!S392</f>
        <v/>
      </c>
      <c r="E429" s="94" t="str">
        <f aca="false">'CC Alloc'!T392</f>
        <v/>
      </c>
      <c r="F429" s="95" t="str">
        <f aca="false">IF('CC Alloc'!U392="","",'CC Alloc'!U392/QRate)</f>
        <v/>
      </c>
    </row>
    <row r="430" customFormat="false" ht="15" hidden="false" customHeight="false" outlineLevel="0" collapsed="false">
      <c r="B430" s="91" t="str">
        <f aca="false">IF('CC Alloc'!R393="","",390)</f>
        <v/>
      </c>
      <c r="C430" s="92" t="str">
        <f aca="false">'CC Alloc'!R393</f>
        <v/>
      </c>
      <c r="D430" s="93" t="str">
        <f aca="false">'CC Alloc'!S393</f>
        <v/>
      </c>
      <c r="E430" s="94" t="str">
        <f aca="false">'CC Alloc'!T393</f>
        <v/>
      </c>
      <c r="F430" s="95" t="str">
        <f aca="false">IF('CC Alloc'!U393="","",'CC Alloc'!U393/QRate)</f>
        <v/>
      </c>
    </row>
    <row r="431" customFormat="false" ht="15" hidden="false" customHeight="false" outlineLevel="0" collapsed="false">
      <c r="B431" s="91" t="str">
        <f aca="false">IF('CC Alloc'!R394="","",391)</f>
        <v/>
      </c>
      <c r="C431" s="92" t="str">
        <f aca="false">'CC Alloc'!R394</f>
        <v/>
      </c>
      <c r="D431" s="93" t="str">
        <f aca="false">'CC Alloc'!S394</f>
        <v/>
      </c>
      <c r="E431" s="94" t="str">
        <f aca="false">'CC Alloc'!T394</f>
        <v/>
      </c>
      <c r="F431" s="95" t="str">
        <f aca="false">IF('CC Alloc'!U394="","",'CC Alloc'!U394/QRate)</f>
        <v/>
      </c>
    </row>
    <row r="432" customFormat="false" ht="15" hidden="false" customHeight="false" outlineLevel="0" collapsed="false">
      <c r="B432" s="91" t="str">
        <f aca="false">IF('CC Alloc'!R395="","",392)</f>
        <v/>
      </c>
      <c r="C432" s="92" t="str">
        <f aca="false">'CC Alloc'!R395</f>
        <v/>
      </c>
      <c r="D432" s="93" t="str">
        <f aca="false">'CC Alloc'!S395</f>
        <v/>
      </c>
      <c r="E432" s="94" t="str">
        <f aca="false">'CC Alloc'!T395</f>
        <v/>
      </c>
      <c r="F432" s="95" t="str">
        <f aca="false">IF('CC Alloc'!U395="","",'CC Alloc'!U395/QRate)</f>
        <v/>
      </c>
    </row>
    <row r="433" customFormat="false" ht="15" hidden="false" customHeight="false" outlineLevel="0" collapsed="false">
      <c r="B433" s="91" t="str">
        <f aca="false">IF('CC Alloc'!R396="","",393)</f>
        <v/>
      </c>
      <c r="C433" s="92" t="str">
        <f aca="false">'CC Alloc'!R396</f>
        <v/>
      </c>
      <c r="D433" s="93" t="str">
        <f aca="false">'CC Alloc'!S396</f>
        <v/>
      </c>
      <c r="E433" s="94" t="str">
        <f aca="false">'CC Alloc'!T396</f>
        <v/>
      </c>
      <c r="F433" s="95" t="str">
        <f aca="false">IF('CC Alloc'!U396="","",'CC Alloc'!U396/QRate)</f>
        <v/>
      </c>
    </row>
    <row r="434" customFormat="false" ht="15" hidden="false" customHeight="false" outlineLevel="0" collapsed="false">
      <c r="B434" s="91" t="str">
        <f aca="false">IF('CC Alloc'!R397="","",394)</f>
        <v/>
      </c>
      <c r="C434" s="92" t="str">
        <f aca="false">'CC Alloc'!R397</f>
        <v/>
      </c>
      <c r="D434" s="93" t="str">
        <f aca="false">'CC Alloc'!S397</f>
        <v/>
      </c>
      <c r="E434" s="94" t="str">
        <f aca="false">'CC Alloc'!T397</f>
        <v/>
      </c>
      <c r="F434" s="95" t="str">
        <f aca="false">IF('CC Alloc'!U397="","",'CC Alloc'!U397/QRate)</f>
        <v/>
      </c>
    </row>
    <row r="435" customFormat="false" ht="15" hidden="false" customHeight="false" outlineLevel="0" collapsed="false">
      <c r="B435" s="91" t="str">
        <f aca="false">IF('CC Alloc'!R398="","",395)</f>
        <v/>
      </c>
      <c r="C435" s="92" t="str">
        <f aca="false">'CC Alloc'!R398</f>
        <v/>
      </c>
      <c r="D435" s="93" t="str">
        <f aca="false">'CC Alloc'!S398</f>
        <v/>
      </c>
      <c r="E435" s="94" t="str">
        <f aca="false">'CC Alloc'!T398</f>
        <v/>
      </c>
      <c r="F435" s="95" t="str">
        <f aca="false">IF('CC Alloc'!U398="","",'CC Alloc'!U398/QRate)</f>
        <v/>
      </c>
    </row>
    <row r="436" customFormat="false" ht="15" hidden="false" customHeight="false" outlineLevel="0" collapsed="false">
      <c r="B436" s="91" t="str">
        <f aca="false">IF('CC Alloc'!R399="","",396)</f>
        <v/>
      </c>
      <c r="C436" s="92" t="str">
        <f aca="false">'CC Alloc'!R399</f>
        <v/>
      </c>
      <c r="D436" s="93" t="str">
        <f aca="false">'CC Alloc'!S399</f>
        <v/>
      </c>
      <c r="E436" s="94" t="str">
        <f aca="false">'CC Alloc'!T399</f>
        <v/>
      </c>
      <c r="F436" s="95" t="str">
        <f aca="false">IF('CC Alloc'!U399="","",'CC Alloc'!U399/QRate)</f>
        <v/>
      </c>
    </row>
    <row r="437" customFormat="false" ht="15" hidden="false" customHeight="false" outlineLevel="0" collapsed="false">
      <c r="B437" s="91" t="str">
        <f aca="false">IF('CC Alloc'!R400="","",397)</f>
        <v/>
      </c>
      <c r="C437" s="92" t="str">
        <f aca="false">'CC Alloc'!R400</f>
        <v/>
      </c>
      <c r="D437" s="93" t="str">
        <f aca="false">'CC Alloc'!S400</f>
        <v/>
      </c>
      <c r="E437" s="94" t="str">
        <f aca="false">'CC Alloc'!T400</f>
        <v/>
      </c>
      <c r="F437" s="95" t="str">
        <f aca="false">IF('CC Alloc'!U400="","",'CC Alloc'!U400/QRate)</f>
        <v/>
      </c>
    </row>
    <row r="438" customFormat="false" ht="15" hidden="false" customHeight="false" outlineLevel="0" collapsed="false">
      <c r="B438" s="91" t="str">
        <f aca="false">IF('CC Alloc'!R401="","",398)</f>
        <v/>
      </c>
      <c r="C438" s="92" t="str">
        <f aca="false">'CC Alloc'!R401</f>
        <v/>
      </c>
      <c r="D438" s="93" t="str">
        <f aca="false">'CC Alloc'!S401</f>
        <v/>
      </c>
      <c r="E438" s="94" t="str">
        <f aca="false">'CC Alloc'!T401</f>
        <v/>
      </c>
      <c r="F438" s="95" t="str">
        <f aca="false">IF('CC Alloc'!U401="","",'CC Alloc'!U401/QRate)</f>
        <v/>
      </c>
    </row>
    <row r="439" customFormat="false" ht="15" hidden="false" customHeight="false" outlineLevel="0" collapsed="false">
      <c r="B439" s="91" t="str">
        <f aca="false">IF('CC Alloc'!R402="","",399)</f>
        <v/>
      </c>
      <c r="C439" s="92" t="str">
        <f aca="false">'CC Alloc'!R402</f>
        <v/>
      </c>
      <c r="D439" s="93" t="str">
        <f aca="false">'CC Alloc'!S402</f>
        <v/>
      </c>
      <c r="E439" s="94" t="str">
        <f aca="false">'CC Alloc'!T402</f>
        <v/>
      </c>
      <c r="F439" s="95" t="str">
        <f aca="false">IF('CC Alloc'!U402="","",'CC Alloc'!U402/QRate)</f>
        <v/>
      </c>
    </row>
    <row r="440" customFormat="false" ht="15" hidden="false" customHeight="false" outlineLevel="0" collapsed="false">
      <c r="B440" s="91" t="str">
        <f aca="false">IF('CC Alloc'!R403="","",400)</f>
        <v/>
      </c>
      <c r="C440" s="92" t="str">
        <f aca="false">'CC Alloc'!R403</f>
        <v/>
      </c>
      <c r="D440" s="93" t="str">
        <f aca="false">'CC Alloc'!S403</f>
        <v/>
      </c>
      <c r="E440" s="94" t="str">
        <f aca="false">'CC Alloc'!T403</f>
        <v/>
      </c>
      <c r="F440" s="95" t="str">
        <f aca="false">IF('CC Alloc'!U403="","",'CC Alloc'!U403/QRate)</f>
        <v/>
      </c>
    </row>
  </sheetData>
  <mergeCells count="27">
    <mergeCell ref="B1:F1"/>
    <mergeCell ref="B2:F2"/>
    <mergeCell ref="B3:F3"/>
    <mergeCell ref="B4:F4"/>
    <mergeCell ref="B5:F5"/>
    <mergeCell ref="B6:F6"/>
    <mergeCell ref="B9:F9"/>
    <mergeCell ref="B16:F16"/>
    <mergeCell ref="B18:F18"/>
    <mergeCell ref="B19:D19"/>
    <mergeCell ref="E19:F19"/>
    <mergeCell ref="B20:D20"/>
    <mergeCell ref="E20:F20"/>
    <mergeCell ref="B21:D21"/>
    <mergeCell ref="E21:F21"/>
    <mergeCell ref="B22:D22"/>
    <mergeCell ref="E22:F22"/>
    <mergeCell ref="B23:D23"/>
    <mergeCell ref="E23:F23"/>
    <mergeCell ref="B25:F25"/>
    <mergeCell ref="C26:F26"/>
    <mergeCell ref="C27:F27"/>
    <mergeCell ref="C28:F28"/>
    <mergeCell ref="C29:F29"/>
    <mergeCell ref="C30:F30"/>
    <mergeCell ref="C31:F31"/>
    <mergeCell ref="B39:F39"/>
  </mergeCells>
  <conditionalFormatting sqref="B41:F440">
    <cfRule type="expression" priority="2" aboveAverage="0" equalAverage="0" bottom="0" percent="0" rank="0" text="" dxfId="1">
      <formula>$C41&lt;&gt;""</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23" t="s">
        <v>530</v>
      </c>
    </row>
    <row r="3" customFormat="false" ht="15" hidden="false" customHeight="false" outlineLevel="0" collapsed="false">
      <c r="A3" s="23" t="s">
        <v>531</v>
      </c>
      <c r="D3" s="23" t="s">
        <v>532</v>
      </c>
      <c r="G3" s="23" t="s">
        <v>533</v>
      </c>
      <c r="J3" s="23" t="s">
        <v>534</v>
      </c>
      <c r="M3" s="23" t="s">
        <v>535</v>
      </c>
      <c r="P3" s="23" t="s">
        <v>536</v>
      </c>
      <c r="R3" s="23" t="s">
        <v>537</v>
      </c>
      <c r="T3" s="23" t="s">
        <v>538</v>
      </c>
    </row>
    <row r="4" customFormat="false" ht="15" hidden="false" customHeight="false" outlineLevel="0" collapsed="false">
      <c r="A4" s="0" t="s">
        <v>381</v>
      </c>
      <c r="B4" s="0" t="n">
        <v>0.001</v>
      </c>
      <c r="D4" s="0" t="s">
        <v>174</v>
      </c>
      <c r="E4" s="0" t="n">
        <v>1</v>
      </c>
      <c r="G4" s="0" t="s">
        <v>380</v>
      </c>
      <c r="H4" s="0" t="n">
        <v>1</v>
      </c>
      <c r="J4" s="0" t="s">
        <v>539</v>
      </c>
      <c r="K4" s="0" t="s">
        <v>540</v>
      </c>
      <c r="M4" s="0" t="s">
        <v>392</v>
      </c>
      <c r="N4" s="0" t="n">
        <f aca="false">SQRT(3)/2</f>
        <v>0.866025403784439</v>
      </c>
      <c r="P4" s="0" t="s">
        <v>541</v>
      </c>
      <c r="R4" s="0" t="s">
        <v>235</v>
      </c>
      <c r="T4" s="0" t="s">
        <v>215</v>
      </c>
    </row>
    <row r="5" customFormat="false" ht="15" hidden="false" customHeight="false" outlineLevel="0" collapsed="false">
      <c r="A5" s="0" t="s">
        <v>542</v>
      </c>
      <c r="B5" s="0" t="n">
        <v>0.01</v>
      </c>
      <c r="D5" s="0" t="s">
        <v>543</v>
      </c>
      <c r="E5" s="0" t="n">
        <v>0.001</v>
      </c>
      <c r="G5" s="0" t="s">
        <v>544</v>
      </c>
      <c r="H5" s="0" t="n">
        <v>1000</v>
      </c>
      <c r="J5" s="0" t="s">
        <v>393</v>
      </c>
      <c r="K5" s="0" t="s">
        <v>540</v>
      </c>
      <c r="M5" s="0" t="s">
        <v>545</v>
      </c>
      <c r="N5" s="0" t="n">
        <f aca="false">SQRT(3)/2</f>
        <v>0.866025403784439</v>
      </c>
      <c r="P5" s="0" t="s">
        <v>341</v>
      </c>
      <c r="R5" s="0" t="s">
        <v>237</v>
      </c>
      <c r="T5" s="0" t="s">
        <v>233</v>
      </c>
    </row>
    <row r="6" customFormat="false" ht="15" hidden="false" customHeight="false" outlineLevel="0" collapsed="false">
      <c r="A6" s="0" t="s">
        <v>382</v>
      </c>
      <c r="B6" s="0" t="n">
        <v>1</v>
      </c>
      <c r="D6" s="0" t="s">
        <v>546</v>
      </c>
      <c r="E6" s="0" t="n">
        <v>0.003785411784</v>
      </c>
      <c r="G6" s="0" t="s">
        <v>547</v>
      </c>
      <c r="H6" s="0" t="n">
        <v>0.45359237</v>
      </c>
      <c r="J6" s="0" t="s">
        <v>389</v>
      </c>
      <c r="K6" s="0" t="n">
        <f aca="false">PI()/24</f>
        <v>0.130899693899575</v>
      </c>
      <c r="M6" s="0" t="s">
        <v>548</v>
      </c>
      <c r="N6" s="0" t="n">
        <v>1</v>
      </c>
      <c r="P6" s="0" t="s">
        <v>340</v>
      </c>
      <c r="R6" s="0" t="s">
        <v>238</v>
      </c>
    </row>
    <row r="7" customFormat="false" ht="15" hidden="false" customHeight="false" outlineLevel="0" collapsed="false">
      <c r="A7" s="0" t="s">
        <v>549</v>
      </c>
      <c r="B7" s="0" t="n">
        <v>0.0254</v>
      </c>
      <c r="D7" s="0" t="s">
        <v>550</v>
      </c>
      <c r="E7" s="0" t="n">
        <v>0.00454609</v>
      </c>
      <c r="J7" s="0" t="s">
        <v>551</v>
      </c>
      <c r="K7" s="0" t="n">
        <f aca="false">PI()/12</f>
        <v>0.261799387799149</v>
      </c>
      <c r="M7" s="0" t="s">
        <v>552</v>
      </c>
      <c r="N7" s="0" t="n">
        <v>1</v>
      </c>
      <c r="R7" s="0" t="s">
        <v>240</v>
      </c>
    </row>
    <row r="8" customFormat="false" ht="15" hidden="false" customHeight="false" outlineLevel="0" collapsed="false">
      <c r="A8" s="0" t="s">
        <v>553</v>
      </c>
      <c r="B8" s="0" t="n">
        <v>0.3048</v>
      </c>
      <c r="D8" s="0" t="s">
        <v>554</v>
      </c>
      <c r="E8" s="0" t="n">
        <v>0.158987294928</v>
      </c>
      <c r="J8" s="0" t="s">
        <v>555</v>
      </c>
      <c r="K8" s="0" t="s">
        <v>556</v>
      </c>
      <c r="R8" s="0" t="s">
        <v>242</v>
      </c>
    </row>
    <row r="9" customFormat="false" ht="15" hidden="false" customHeight="false" outlineLevel="0" collapsed="false">
      <c r="D9" s="0" t="s">
        <v>557</v>
      </c>
      <c r="E9" s="0" t="n">
        <v>0.028316846592</v>
      </c>
      <c r="J9" s="0" t="s">
        <v>558</v>
      </c>
      <c r="K9" s="0" t="s">
        <v>540</v>
      </c>
      <c r="R9" s="0" t="s">
        <v>243</v>
      </c>
    </row>
    <row r="10" customFormat="false" ht="15" hidden="false" customHeight="false" outlineLevel="0" collapsed="false">
      <c r="R10" s="0" t="s">
        <v>245</v>
      </c>
    </row>
    <row r="14" customFormat="false" ht="15" hidden="false" customHeight="false" outlineLevel="0" collapsed="false">
      <c r="A14" s="23" t="s">
        <v>559</v>
      </c>
    </row>
    <row r="15" customFormat="false" ht="15" hidden="false" customHeight="false" outlineLevel="0" collapsed="false">
      <c r="A15" s="0" t="s">
        <v>342</v>
      </c>
      <c r="B15" s="0" t="s">
        <v>560</v>
      </c>
      <c r="C15" s="0" t="s">
        <v>561</v>
      </c>
      <c r="D15" s="0" t="s">
        <v>562</v>
      </c>
      <c r="E15" s="0" t="s">
        <v>563</v>
      </c>
      <c r="F15" s="0" t="s">
        <v>564</v>
      </c>
      <c r="G15" s="0" t="s">
        <v>565</v>
      </c>
      <c r="H15" s="0" t="s">
        <v>397</v>
      </c>
      <c r="I15" s="0" t="s">
        <v>566</v>
      </c>
      <c r="J15" s="0" t="s">
        <v>567</v>
      </c>
      <c r="K15" s="0" t="s">
        <v>568</v>
      </c>
      <c r="L15" s="0" t="s">
        <v>569</v>
      </c>
      <c r="M15" s="0" t="s">
        <v>570</v>
      </c>
      <c r="N15" s="0" t="s">
        <v>571</v>
      </c>
      <c r="O15" s="0" t="s">
        <v>572</v>
      </c>
      <c r="P15" s="0" t="s">
        <v>573</v>
      </c>
      <c r="Q15" s="0" t="s">
        <v>574</v>
      </c>
      <c r="R15" s="0" t="s">
        <v>575</v>
      </c>
      <c r="S15" s="0" t="s">
        <v>576</v>
      </c>
    </row>
    <row r="16" customFormat="false" ht="15" hidden="false" customHeight="false" outlineLevel="0" collapsed="false">
      <c r="A16" s="0" t="s">
        <v>577</v>
      </c>
      <c r="B16" s="0" t="n">
        <v>21.3</v>
      </c>
      <c r="C16" s="0" t="n">
        <v>1.65</v>
      </c>
      <c r="D16" s="0" t="n">
        <v>2.11</v>
      </c>
      <c r="H16" s="0" t="n">
        <v>2.77</v>
      </c>
      <c r="I16" s="0" t="n">
        <v>2.77</v>
      </c>
      <c r="J16" s="0" t="n">
        <v>2.77</v>
      </c>
      <c r="L16" s="0" t="n">
        <v>3.73</v>
      </c>
      <c r="M16" s="0" t="n">
        <v>3.73</v>
      </c>
      <c r="N16" s="0" t="n">
        <v>3.73</v>
      </c>
      <c r="R16" s="0" t="n">
        <v>4.78</v>
      </c>
      <c r="S16" s="0" t="n">
        <v>7.47</v>
      </c>
    </row>
    <row r="17" customFormat="false" ht="15" hidden="false" customHeight="false" outlineLevel="0" collapsed="false">
      <c r="A17" s="0" t="s">
        <v>578</v>
      </c>
      <c r="B17" s="0" t="n">
        <v>26.7</v>
      </c>
      <c r="C17" s="0" t="n">
        <v>1.65</v>
      </c>
      <c r="D17" s="0" t="n">
        <v>2.11</v>
      </c>
      <c r="H17" s="0" t="n">
        <v>2.87</v>
      </c>
      <c r="I17" s="0" t="n">
        <v>2.87</v>
      </c>
      <c r="J17" s="0" t="n">
        <v>2.87</v>
      </c>
      <c r="L17" s="0" t="n">
        <v>3.91</v>
      </c>
      <c r="M17" s="0" t="n">
        <v>3.91</v>
      </c>
      <c r="N17" s="0" t="n">
        <v>3.91</v>
      </c>
      <c r="R17" s="0" t="n">
        <v>5.56</v>
      </c>
      <c r="S17" s="0" t="n">
        <v>7.82</v>
      </c>
    </row>
    <row r="18" customFormat="false" ht="15" hidden="false" customHeight="false" outlineLevel="0" collapsed="false">
      <c r="A18" s="0" t="s">
        <v>579</v>
      </c>
      <c r="B18" s="0" t="n">
        <v>33.4</v>
      </c>
      <c r="C18" s="0" t="n">
        <v>1.65</v>
      </c>
      <c r="D18" s="0" t="n">
        <v>2.77</v>
      </c>
      <c r="H18" s="0" t="n">
        <v>3.38</v>
      </c>
      <c r="I18" s="0" t="n">
        <v>3.38</v>
      </c>
      <c r="J18" s="0" t="n">
        <v>3.38</v>
      </c>
      <c r="L18" s="0" t="n">
        <v>4.55</v>
      </c>
      <c r="M18" s="0" t="n">
        <v>4.55</v>
      </c>
      <c r="N18" s="0" t="n">
        <v>4.55</v>
      </c>
      <c r="R18" s="0" t="n">
        <v>6.35</v>
      </c>
      <c r="S18" s="0" t="n">
        <v>9.09</v>
      </c>
    </row>
    <row r="19" customFormat="false" ht="15" hidden="false" customHeight="false" outlineLevel="0" collapsed="false">
      <c r="A19" s="0" t="s">
        <v>580</v>
      </c>
      <c r="B19" s="0" t="n">
        <v>42.2</v>
      </c>
      <c r="C19" s="0" t="n">
        <v>1.65</v>
      </c>
      <c r="D19" s="0" t="n">
        <v>2.77</v>
      </c>
      <c r="H19" s="0" t="n">
        <v>3.56</v>
      </c>
      <c r="I19" s="0" t="n">
        <v>3.56</v>
      </c>
      <c r="J19" s="0" t="n">
        <v>3.56</v>
      </c>
      <c r="L19" s="0" t="n">
        <v>4.85</v>
      </c>
      <c r="M19" s="0" t="n">
        <v>4.85</v>
      </c>
      <c r="N19" s="0" t="n">
        <v>4.85</v>
      </c>
      <c r="R19" s="0" t="n">
        <v>6.35</v>
      </c>
      <c r="S19" s="0" t="n">
        <v>9.7</v>
      </c>
    </row>
    <row r="20" customFormat="false" ht="15" hidden="false" customHeight="false" outlineLevel="0" collapsed="false">
      <c r="A20" s="0" t="s">
        <v>581</v>
      </c>
      <c r="B20" s="0" t="n">
        <v>48.3</v>
      </c>
      <c r="C20" s="0" t="n">
        <v>1.65</v>
      </c>
      <c r="D20" s="0" t="n">
        <v>2.77</v>
      </c>
      <c r="H20" s="0" t="n">
        <v>3.68</v>
      </c>
      <c r="I20" s="0" t="n">
        <v>3.68</v>
      </c>
      <c r="J20" s="0" t="n">
        <v>3.68</v>
      </c>
      <c r="L20" s="0" t="n">
        <v>5.08</v>
      </c>
      <c r="M20" s="0" t="n">
        <v>5.08</v>
      </c>
      <c r="N20" s="0" t="n">
        <v>5.08</v>
      </c>
      <c r="R20" s="0" t="n">
        <v>7.14</v>
      </c>
      <c r="S20" s="0" t="n">
        <v>10.15</v>
      </c>
    </row>
    <row r="21" customFormat="false" ht="15" hidden="false" customHeight="false" outlineLevel="0" collapsed="false">
      <c r="A21" s="0" t="s">
        <v>582</v>
      </c>
      <c r="B21" s="0" t="n">
        <v>60.3</v>
      </c>
      <c r="C21" s="0" t="n">
        <v>1.65</v>
      </c>
      <c r="D21" s="0" t="n">
        <v>2.77</v>
      </c>
      <c r="H21" s="0" t="n">
        <v>3.91</v>
      </c>
      <c r="I21" s="0" t="n">
        <v>3.91</v>
      </c>
      <c r="J21" s="0" t="n">
        <v>3.91</v>
      </c>
      <c r="L21" s="0" t="n">
        <v>5.54</v>
      </c>
      <c r="M21" s="0" t="n">
        <v>5.54</v>
      </c>
      <c r="N21" s="0" t="n">
        <v>5.54</v>
      </c>
      <c r="R21" s="0" t="n">
        <v>8.74</v>
      </c>
      <c r="S21" s="0" t="n">
        <v>11.07</v>
      </c>
    </row>
    <row r="22" customFormat="false" ht="15" hidden="false" customHeight="false" outlineLevel="0" collapsed="false">
      <c r="A22" s="0" t="s">
        <v>583</v>
      </c>
      <c r="B22" s="0" t="n">
        <v>73</v>
      </c>
      <c r="C22" s="0" t="n">
        <v>2.11</v>
      </c>
      <c r="D22" s="0" t="n">
        <v>3.05</v>
      </c>
      <c r="H22" s="0" t="n">
        <v>5.16</v>
      </c>
      <c r="I22" s="0" t="n">
        <v>5.16</v>
      </c>
      <c r="J22" s="0" t="n">
        <v>5.16</v>
      </c>
      <c r="L22" s="0" t="n">
        <v>7.01</v>
      </c>
      <c r="M22" s="0" t="n">
        <v>7.01</v>
      </c>
      <c r="N22" s="0" t="n">
        <v>7.01</v>
      </c>
      <c r="R22" s="0" t="n">
        <v>9.53</v>
      </c>
      <c r="S22" s="0" t="n">
        <v>14.02</v>
      </c>
    </row>
    <row r="23" customFormat="false" ht="15" hidden="false" customHeight="false" outlineLevel="0" collapsed="false">
      <c r="A23" s="0" t="s">
        <v>584</v>
      </c>
      <c r="B23" s="0" t="n">
        <v>88.9</v>
      </c>
      <c r="C23" s="0" t="n">
        <v>2.11</v>
      </c>
      <c r="D23" s="0" t="n">
        <v>3.05</v>
      </c>
      <c r="H23" s="0" t="n">
        <v>5.49</v>
      </c>
      <c r="I23" s="0" t="n">
        <v>5.49</v>
      </c>
      <c r="J23" s="0" t="n">
        <v>5.49</v>
      </c>
      <c r="L23" s="0" t="n">
        <v>7.62</v>
      </c>
      <c r="M23" s="0" t="n">
        <v>7.62</v>
      </c>
      <c r="N23" s="0" t="n">
        <v>7.62</v>
      </c>
      <c r="R23" s="0" t="n">
        <v>11.13</v>
      </c>
      <c r="S23" s="0" t="n">
        <v>15.24</v>
      </c>
    </row>
    <row r="24" customFormat="false" ht="15" hidden="false" customHeight="false" outlineLevel="0" collapsed="false">
      <c r="A24" s="0" t="s">
        <v>585</v>
      </c>
      <c r="B24" s="0" t="n">
        <v>114.3</v>
      </c>
      <c r="C24" s="0" t="n">
        <v>2.11</v>
      </c>
      <c r="D24" s="0" t="n">
        <v>3.05</v>
      </c>
      <c r="H24" s="0" t="n">
        <v>6.02</v>
      </c>
      <c r="I24" s="0" t="n">
        <v>6.02</v>
      </c>
      <c r="J24" s="0" t="n">
        <v>6.02</v>
      </c>
      <c r="L24" s="0" t="n">
        <v>8.56</v>
      </c>
      <c r="M24" s="0" t="n">
        <v>8.56</v>
      </c>
      <c r="N24" s="0" t="n">
        <v>8.56</v>
      </c>
      <c r="P24" s="0" t="n">
        <v>11.13</v>
      </c>
      <c r="R24" s="0" t="n">
        <v>13.49</v>
      </c>
      <c r="S24" s="0" t="n">
        <v>17.12</v>
      </c>
    </row>
    <row r="25" customFormat="false" ht="15" hidden="false" customHeight="false" outlineLevel="0" collapsed="false">
      <c r="A25" s="0" t="s">
        <v>586</v>
      </c>
      <c r="B25" s="0" t="n">
        <v>141.3</v>
      </c>
      <c r="C25" s="0" t="n">
        <v>2.77</v>
      </c>
      <c r="D25" s="0" t="n">
        <v>3.4</v>
      </c>
      <c r="H25" s="0" t="n">
        <v>6.55</v>
      </c>
      <c r="I25" s="0" t="n">
        <v>6.55</v>
      </c>
      <c r="J25" s="0" t="n">
        <v>6.55</v>
      </c>
      <c r="L25" s="0" t="n">
        <v>9.53</v>
      </c>
      <c r="M25" s="0" t="n">
        <v>9.53</v>
      </c>
      <c r="N25" s="0" t="n">
        <v>9.53</v>
      </c>
      <c r="P25" s="0" t="n">
        <v>12.7</v>
      </c>
      <c r="R25" s="0" t="n">
        <v>15.88</v>
      </c>
      <c r="S25" s="0" t="n">
        <v>19.05</v>
      </c>
    </row>
    <row r="26" customFormat="false" ht="15" hidden="false" customHeight="false" outlineLevel="0" collapsed="false">
      <c r="A26" s="0" t="s">
        <v>396</v>
      </c>
      <c r="B26" s="0" t="n">
        <v>168.3</v>
      </c>
      <c r="C26" s="0" t="n">
        <v>2.77</v>
      </c>
      <c r="D26" s="0" t="n">
        <v>3.4</v>
      </c>
      <c r="H26" s="0" t="n">
        <v>7.11</v>
      </c>
      <c r="I26" s="0" t="n">
        <v>7.11</v>
      </c>
      <c r="J26" s="0" t="n">
        <v>7.11</v>
      </c>
      <c r="L26" s="0" t="n">
        <v>10.97</v>
      </c>
      <c r="M26" s="0" t="n">
        <v>10.97</v>
      </c>
      <c r="N26" s="0" t="n">
        <v>10.97</v>
      </c>
      <c r="P26" s="0" t="n">
        <v>14.27</v>
      </c>
      <c r="R26" s="0" t="n">
        <v>18.26</v>
      </c>
      <c r="S26" s="0" t="n">
        <v>21.95</v>
      </c>
    </row>
    <row r="27" customFormat="false" ht="15" hidden="false" customHeight="false" outlineLevel="0" collapsed="false">
      <c r="A27" s="0" t="s">
        <v>587</v>
      </c>
      <c r="B27" s="0" t="n">
        <v>219.1</v>
      </c>
      <c r="C27" s="0" t="n">
        <v>2.77</v>
      </c>
      <c r="D27" s="0" t="n">
        <v>3.76</v>
      </c>
      <c r="F27" s="0" t="n">
        <v>6.35</v>
      </c>
      <c r="G27" s="0" t="n">
        <v>7.04</v>
      </c>
      <c r="H27" s="0" t="n">
        <v>8.18</v>
      </c>
      <c r="I27" s="0" t="n">
        <v>8.18</v>
      </c>
      <c r="J27" s="0" t="n">
        <v>8.18</v>
      </c>
      <c r="K27" s="0" t="n">
        <v>10.31</v>
      </c>
      <c r="L27" s="0" t="n">
        <v>12.7</v>
      </c>
      <c r="M27" s="0" t="n">
        <v>12.7</v>
      </c>
      <c r="N27" s="0" t="n">
        <v>12.7</v>
      </c>
      <c r="O27" s="0" t="n">
        <v>15.09</v>
      </c>
      <c r="P27" s="0" t="n">
        <v>18.26</v>
      </c>
      <c r="Q27" s="0" t="n">
        <v>20.62</v>
      </c>
      <c r="R27" s="0" t="n">
        <v>23.01</v>
      </c>
      <c r="S27" s="0" t="n">
        <v>22.23</v>
      </c>
    </row>
    <row r="28" customFormat="false" ht="15" hidden="false" customHeight="false" outlineLevel="0" collapsed="false">
      <c r="A28" s="0" t="s">
        <v>588</v>
      </c>
      <c r="B28" s="0" t="n">
        <v>273</v>
      </c>
      <c r="C28" s="0" t="n">
        <v>3.4</v>
      </c>
      <c r="D28" s="0" t="n">
        <v>4.19</v>
      </c>
      <c r="F28" s="0" t="n">
        <v>6.35</v>
      </c>
      <c r="G28" s="0" t="n">
        <v>7.8</v>
      </c>
      <c r="H28" s="0" t="n">
        <v>9.27</v>
      </c>
      <c r="I28" s="0" t="n">
        <v>9.27</v>
      </c>
      <c r="J28" s="0" t="n">
        <v>9.27</v>
      </c>
      <c r="K28" s="0" t="n">
        <v>12.7</v>
      </c>
      <c r="L28" s="0" t="n">
        <v>15.09</v>
      </c>
      <c r="M28" s="0" t="n">
        <v>12.7</v>
      </c>
      <c r="N28" s="0" t="n">
        <v>12.7</v>
      </c>
      <c r="O28" s="0" t="n">
        <v>18.26</v>
      </c>
      <c r="P28" s="0" t="n">
        <v>21.44</v>
      </c>
      <c r="Q28" s="0" t="n">
        <v>25.4</v>
      </c>
      <c r="R28" s="0" t="n">
        <v>28.58</v>
      </c>
      <c r="S28" s="0" t="n">
        <v>25.4</v>
      </c>
    </row>
    <row r="29" customFormat="false" ht="15" hidden="false" customHeight="false" outlineLevel="0" collapsed="false">
      <c r="A29" s="0" t="s">
        <v>589</v>
      </c>
      <c r="B29" s="0" t="n">
        <v>323.8</v>
      </c>
      <c r="C29" s="0" t="n">
        <v>3.96</v>
      </c>
      <c r="D29" s="0" t="n">
        <v>4.57</v>
      </c>
      <c r="F29" s="0" t="n">
        <v>6.35</v>
      </c>
      <c r="G29" s="0" t="n">
        <v>8.38</v>
      </c>
      <c r="H29" s="0" t="n">
        <v>10.31</v>
      </c>
      <c r="I29" s="0" t="n">
        <v>9.53</v>
      </c>
      <c r="J29" s="0" t="n">
        <v>9.53</v>
      </c>
      <c r="K29" s="0" t="n">
        <v>14.27</v>
      </c>
      <c r="L29" s="0" t="n">
        <v>17.48</v>
      </c>
      <c r="M29" s="0" t="n">
        <v>12.7</v>
      </c>
      <c r="N29" s="0" t="n">
        <v>12.7</v>
      </c>
      <c r="O29" s="0" t="n">
        <v>21.44</v>
      </c>
      <c r="P29" s="0" t="n">
        <v>25.4</v>
      </c>
      <c r="Q29" s="0" t="n">
        <v>28.58</v>
      </c>
      <c r="R29" s="0" t="n">
        <v>33.32</v>
      </c>
      <c r="S29" s="0" t="n">
        <v>25.4</v>
      </c>
    </row>
    <row r="30" customFormat="false" ht="15" hidden="false" customHeight="false" outlineLevel="0" collapsed="false">
      <c r="A30" s="0" t="s">
        <v>590</v>
      </c>
      <c r="B30" s="0" t="n">
        <v>355.6</v>
      </c>
      <c r="C30" s="0" t="n">
        <v>3.96</v>
      </c>
      <c r="D30" s="0" t="n">
        <v>4.78</v>
      </c>
      <c r="E30" s="0" t="n">
        <v>6.35</v>
      </c>
      <c r="F30" s="0" t="n">
        <v>7.92</v>
      </c>
      <c r="G30" s="0" t="n">
        <v>9.53</v>
      </c>
      <c r="H30" s="0" t="n">
        <v>11.13</v>
      </c>
      <c r="I30" s="0" t="n">
        <v>9.53</v>
      </c>
      <c r="K30" s="0" t="n">
        <v>15.09</v>
      </c>
      <c r="L30" s="0" t="n">
        <v>19.05</v>
      </c>
      <c r="M30" s="0" t="n">
        <v>12.7</v>
      </c>
      <c r="O30" s="0" t="n">
        <v>23.83</v>
      </c>
      <c r="P30" s="0" t="n">
        <v>27.79</v>
      </c>
      <c r="Q30" s="0" t="n">
        <v>31.75</v>
      </c>
      <c r="R30" s="0" t="n">
        <v>35.71</v>
      </c>
    </row>
    <row r="31" customFormat="false" ht="15" hidden="false" customHeight="false" outlineLevel="0" collapsed="false">
      <c r="A31" s="0" t="s">
        <v>591</v>
      </c>
      <c r="B31" s="0" t="n">
        <v>406.4</v>
      </c>
      <c r="C31" s="0" t="n">
        <v>4.19</v>
      </c>
      <c r="D31" s="0" t="n">
        <v>4.78</v>
      </c>
      <c r="E31" s="0" t="n">
        <v>6.35</v>
      </c>
      <c r="F31" s="0" t="n">
        <v>7.92</v>
      </c>
      <c r="G31" s="0" t="n">
        <v>9.53</v>
      </c>
      <c r="H31" s="0" t="n">
        <v>12.7</v>
      </c>
      <c r="I31" s="0" t="n">
        <v>9.53</v>
      </c>
      <c r="K31" s="0" t="n">
        <v>16.66</v>
      </c>
      <c r="L31" s="0" t="n">
        <v>21.44</v>
      </c>
      <c r="M31" s="0" t="n">
        <v>12.7</v>
      </c>
      <c r="O31" s="0" t="n">
        <v>26.19</v>
      </c>
      <c r="P31" s="0" t="n">
        <v>30.96</v>
      </c>
      <c r="Q31" s="0" t="n">
        <v>36.53</v>
      </c>
      <c r="R31" s="0" t="n">
        <v>40.49</v>
      </c>
    </row>
    <row r="32" customFormat="false" ht="15" hidden="false" customHeight="false" outlineLevel="0" collapsed="false">
      <c r="A32" s="0" t="s">
        <v>592</v>
      </c>
      <c r="B32" s="0" t="n">
        <v>457</v>
      </c>
      <c r="C32" s="0" t="n">
        <v>4.19</v>
      </c>
      <c r="D32" s="0" t="n">
        <v>4.78</v>
      </c>
      <c r="E32" s="0" t="n">
        <v>6.35</v>
      </c>
      <c r="F32" s="0" t="n">
        <v>7.92</v>
      </c>
      <c r="G32" s="0" t="n">
        <v>11.13</v>
      </c>
      <c r="H32" s="0" t="n">
        <v>14.27</v>
      </c>
      <c r="I32" s="0" t="n">
        <v>9.53</v>
      </c>
      <c r="K32" s="0" t="n">
        <v>19.05</v>
      </c>
      <c r="L32" s="0" t="n">
        <v>23.83</v>
      </c>
      <c r="M32" s="0" t="n">
        <v>12.7</v>
      </c>
      <c r="O32" s="0" t="n">
        <v>29.36</v>
      </c>
      <c r="P32" s="0" t="n">
        <v>34.93</v>
      </c>
      <c r="Q32" s="0" t="n">
        <v>39.67</v>
      </c>
      <c r="R32" s="0" t="n">
        <v>45.24</v>
      </c>
    </row>
    <row r="33" customFormat="false" ht="15" hidden="false" customHeight="false" outlineLevel="0" collapsed="false">
      <c r="A33" s="0" t="s">
        <v>593</v>
      </c>
      <c r="B33" s="0" t="n">
        <v>508</v>
      </c>
      <c r="C33" s="0" t="n">
        <v>4.78</v>
      </c>
      <c r="D33" s="0" t="n">
        <v>5.54</v>
      </c>
      <c r="E33" s="0" t="n">
        <v>6.35</v>
      </c>
      <c r="F33" s="0" t="n">
        <v>9.53</v>
      </c>
      <c r="G33" s="0" t="n">
        <v>12.7</v>
      </c>
      <c r="H33" s="0" t="n">
        <v>15.09</v>
      </c>
      <c r="I33" s="0" t="n">
        <v>9.53</v>
      </c>
      <c r="K33" s="0" t="n">
        <v>20.62</v>
      </c>
      <c r="L33" s="0" t="n">
        <v>26.19</v>
      </c>
      <c r="M33" s="0" t="n">
        <v>12.7</v>
      </c>
      <c r="O33" s="0" t="n">
        <v>32.54</v>
      </c>
      <c r="P33" s="0" t="n">
        <v>38.1</v>
      </c>
      <c r="Q33" s="0" t="n">
        <v>44.45</v>
      </c>
      <c r="R33" s="0" t="n">
        <v>50.01</v>
      </c>
    </row>
    <row r="34" customFormat="false" ht="15" hidden="false" customHeight="false" outlineLevel="0" collapsed="false">
      <c r="A34" s="0" t="s">
        <v>594</v>
      </c>
      <c r="B34" s="0" t="n">
        <v>610</v>
      </c>
      <c r="C34" s="0" t="n">
        <v>5.54</v>
      </c>
      <c r="D34" s="0" t="n">
        <v>6.35</v>
      </c>
      <c r="E34" s="0" t="n">
        <v>6.35</v>
      </c>
      <c r="F34" s="0" t="n">
        <v>9.53</v>
      </c>
      <c r="G34" s="0" t="n">
        <v>14.27</v>
      </c>
      <c r="H34" s="0" t="n">
        <v>17.48</v>
      </c>
      <c r="I34" s="0" t="n">
        <v>9.53</v>
      </c>
      <c r="K34" s="0" t="n">
        <v>24.61</v>
      </c>
      <c r="L34" s="0" t="n">
        <v>30.96</v>
      </c>
      <c r="M34" s="0" t="n">
        <v>12.7</v>
      </c>
      <c r="O34" s="0" t="n">
        <v>38.89</v>
      </c>
      <c r="P34" s="0" t="n">
        <v>46.02</v>
      </c>
      <c r="Q34" s="0" t="n">
        <v>52.37</v>
      </c>
      <c r="R34" s="0" t="n">
        <v>59.54</v>
      </c>
    </row>
    <row r="35" customFormat="false" ht="15" hidden="false" customHeight="false" outlineLevel="0" collapsed="false">
      <c r="A35" s="0" t="s">
        <v>595</v>
      </c>
      <c r="B35" s="0" t="n">
        <v>762</v>
      </c>
      <c r="C35" s="0" t="n">
        <v>6.35</v>
      </c>
      <c r="D35" s="0" t="n">
        <v>7.92</v>
      </c>
      <c r="E35" s="0" t="n">
        <v>7.92</v>
      </c>
      <c r="F35" s="0" t="n">
        <v>12.7</v>
      </c>
      <c r="G35" s="0" t="n">
        <v>15.88</v>
      </c>
      <c r="I35" s="0" t="n">
        <v>9.53</v>
      </c>
      <c r="M35" s="0" t="n">
        <v>12.7</v>
      </c>
    </row>
    <row r="36" customFormat="false" ht="15" hidden="false" customHeight="false" outlineLevel="0" collapsed="false">
      <c r="A36" s="0" t="s">
        <v>596</v>
      </c>
      <c r="B36" s="0" t="n">
        <v>914</v>
      </c>
      <c r="E36" s="0" t="n">
        <v>7.92</v>
      </c>
      <c r="F36" s="0" t="n">
        <v>12.7</v>
      </c>
      <c r="G36" s="0" t="n">
        <v>15.88</v>
      </c>
      <c r="H36" s="0" t="n">
        <v>19.05</v>
      </c>
      <c r="I36" s="0" t="n">
        <v>9.53</v>
      </c>
      <c r="M36" s="0" t="n">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78" t="s">
        <v>597</v>
      </c>
    </row>
    <row r="3" customFormat="false" ht="15" hidden="false" customHeight="false" outlineLevel="0" collapsed="false">
      <c r="A3" s="78" t="s">
        <v>598</v>
      </c>
      <c r="B3" s="78" t="s">
        <v>490</v>
      </c>
      <c r="C3" s="78" t="s">
        <v>512</v>
      </c>
      <c r="D3" s="78" t="s">
        <v>529</v>
      </c>
      <c r="E3" s="78" t="s">
        <v>599</v>
      </c>
      <c r="F3" s="78" t="s">
        <v>600</v>
      </c>
      <c r="G3" s="78" t="s">
        <v>601</v>
      </c>
      <c r="H3" s="78" t="s">
        <v>602</v>
      </c>
      <c r="I3" s="78" t="s">
        <v>603</v>
      </c>
      <c r="K3" s="78" t="s">
        <v>107</v>
      </c>
      <c r="L3" s="78" t="s">
        <v>604</v>
      </c>
      <c r="M3" s="78" t="s">
        <v>605</v>
      </c>
      <c r="N3" s="78" t="s">
        <v>606</v>
      </c>
      <c r="P3" s="96" t="s">
        <v>607</v>
      </c>
    </row>
    <row r="4" customFormat="false" ht="15" hidden="false" customHeight="false" outlineLevel="0" collapsed="false">
      <c r="A4" s="0" t="s">
        <v>335</v>
      </c>
      <c r="B4" s="0" t="str">
        <f aca="false">'CC Summary'!C22&amp;IF(INDEX(CC_LoopD,1)="",""," – "&amp;INDEX(CC_LoopD,1))&amp;" ("&amp;'CC Summary'!D22&amp;" item"&amp;IF('CC Summary'!D22=1,"","s")&amp;")"</f>
        <v>Loop 1 (1 item)</v>
      </c>
      <c r="C4" s="0" t="s">
        <v>221</v>
      </c>
      <c r="D4" s="97" t="n">
        <f aca="false">'CC Summary'!E22</f>
        <v>27.115</v>
      </c>
      <c r="E4" s="98" t="n">
        <f aca="false">'CC Summary'!J22</f>
        <v>88633.9865125</v>
      </c>
      <c r="F4" s="96" t="n">
        <f aca="false">IF('CC Summary'!D22&gt;0,1,0)</f>
        <v>1</v>
      </c>
      <c r="G4" s="0" t="n">
        <v>0</v>
      </c>
      <c r="H4" s="96" t="n">
        <f aca="false">IF(F4=1,COUNTIF($F$4:F4,1),"")</f>
        <v>1</v>
      </c>
      <c r="I4" s="0" t="str">
        <f aca="false">IF(G4=1,COUNTIF($G$4:G4,1),"")</f>
        <v/>
      </c>
      <c r="K4" s="0" t="str">
        <f aca="false">'CC Summary'!C5</f>
        <v>Unit 1</v>
      </c>
      <c r="L4" s="98" t="n">
        <f aca="false">'CC Summary'!J5</f>
        <v>117378.808954458</v>
      </c>
      <c r="M4" s="97" t="n">
        <f aca="false">'CC Summary'!E5</f>
        <v>53.5568784251653</v>
      </c>
      <c r="N4" s="96" t="n">
        <f aca="false">IF(L4&gt;0,COUNTIF($L$4:L4,"&gt;0"),"")</f>
        <v>1</v>
      </c>
      <c r="P4" s="96" t="n">
        <f aca="false">IF(CC_Mode="Per equipment",MAX(0,MAX(I4:I403)),IF(CC_Mode="Per loop",MAX(0,MAX(H4:H403)),IF(CC_Mode="Per unit",MAX(0,MAX(N4:N15)),1)))</f>
        <v>4</v>
      </c>
      <c r="R4" s="0" t="str">
        <f aca="false">IF(CC_Mode="Per equipment",IFERROR(INDEX($B$4:$B$403,MATCH(1,$I$4:$I$403,0)),""),IF(CC_Mode="Per loop",IFERROR(INDEX($B$4:$B$403,MATCH(1,$H$4:$H$403,0)),""),IF(CC_Mode="Per unit",IFERROR("Chemical cleaning – "&amp;INDEX($K$4:$K$15,MATCH(1,$N$4:$N$15,0)),""),IF(1=1,"LUMP SUM – "&amp;QProject,""))))</f>
        <v>EXAMPLE ML-1 – Piping loop – volume given (ASAB ML-1)</v>
      </c>
      <c r="S4" s="0" t="str">
        <f aca="false">IF(CC_Mode="Per equipment",IFERROR(INDEX($C$4:$C$403,MATCH(1,$I$4:$I$403,0)),""),IF(CC_Mode="Per loop",IFERROR(INDEX($C$4:$C$403,MATCH(1,$H$4:$H$403,0)),""),IF(CC_Mode="Per unit",IFERROR(INDEX($K$4:$K$15,MATCH(1,$N$4:$N$15,0)),""),IF(1=1,"All units",""))))</f>
        <v>Unit 1</v>
      </c>
      <c r="T4" s="96" t="n">
        <f aca="false">IF(CC_Mode="Per equipment",IFERROR(INDEX($D$4:$D$403,MATCH(1,$I$4:$I$403,0)),""),IF(CC_Mode="Per loop",IFERROR(INDEX($D$4:$D$403,MATCH(1,$H$4:$H$403,0)),""),IF(CC_Mode="Per unit",IFERROR(INDEX($M$4:$M$15,MATCH(1,$N$4:$N$15,0)),""),IF(1=1,CC_V_GrandVol,""))))</f>
        <v>27.115</v>
      </c>
      <c r="U4" s="98" t="n">
        <f aca="false">IF(CC_Mode="Per equipment",IFERROR(INDEX($E$4:$E$403,MATCH(1,$I$4:$I$403,0)),""),IF(CC_Mode="Per loop",IFERROR(INDEX($E$4:$E$403,MATCH(1,$H$4:$H$403,0)),""),IF(CC_Mode="Per unit",IFERROR(INDEX($L$4:$L$15,MATCH(1,$N$4:$N$15,0)),""),IF(1=1,CC_Net,""))))</f>
        <v>88633.9865125</v>
      </c>
    </row>
    <row r="5" customFormat="false" ht="15" hidden="false" customHeight="false" outlineLevel="0" collapsed="false">
      <c r="A5" s="0" t="s">
        <v>335</v>
      </c>
      <c r="B5" s="0" t="str">
        <f aca="false">'CC Summary'!C23&amp;IF(INDEX(CC_LoopD,2)="",""," – "&amp;INDEX(CC_LoopD,2))&amp;" ("&amp;'CC Summary'!D23&amp;" item"&amp;IF('CC Summary'!D23=1,"","s")&amp;")"</f>
        <v>Loop 2 (2 items)</v>
      </c>
      <c r="C5" s="0" t="s">
        <v>221</v>
      </c>
      <c r="D5" s="97" t="n">
        <f aca="false">'CC Summary'!E23</f>
        <v>24.2043752155139</v>
      </c>
      <c r="E5" s="98" t="n">
        <f aca="false">'CC Summary'!J23</f>
        <v>20927.0246987922</v>
      </c>
      <c r="F5" s="96" t="n">
        <f aca="false">IF('CC Summary'!D23&gt;0,1,0)</f>
        <v>1</v>
      </c>
      <c r="G5" s="0" t="n">
        <v>0</v>
      </c>
      <c r="H5" s="96" t="n">
        <f aca="false">IF(F5=1,COUNTIF($F$4:F5,1),"")</f>
        <v>2</v>
      </c>
      <c r="I5" s="0" t="str">
        <f aca="false">IF(G5=1,COUNTIF($G$4:G5,1),"")</f>
        <v/>
      </c>
      <c r="K5" s="0" t="str">
        <f aca="false">'CC Summary'!C6</f>
        <v>Unit 2</v>
      </c>
      <c r="L5" s="98" t="n">
        <f aca="false">'CC Summary'!J6</f>
        <v>0</v>
      </c>
      <c r="M5" s="97" t="n">
        <f aca="false">'CC Summary'!E6</f>
        <v>0</v>
      </c>
      <c r="N5" s="0" t="str">
        <f aca="false">IF(L5&gt;0,COUNTIF($L$4:L5,"&gt;0"),"")</f>
        <v/>
      </c>
      <c r="R5" s="0" t="str">
        <f aca="false">IF(CC_Mode="Per equipment",IFERROR(INDEX($B$4:$B$403,MATCH(2,$I$4:$I$403,0)),""),IF(CC_Mode="Per loop",IFERROR(INDEX($B$4:$B$403,MATCH(2,$H$4:$H$403,0)),""),IF(CC_Mode="Per unit",IFERROR("Chemical cleaning – "&amp;INDEX($K$4:$K$15,MATCH(2,$N$4:$N$15,0)),""),IF(2=1,"LUMP SUM – "&amp;QProject,""))))</f>
        <v>EXAMPLE V-101 – Vertical vessel (dimensions)</v>
      </c>
      <c r="S5" s="0" t="str">
        <f aca="false">IF(CC_Mode="Per equipment",IFERROR(INDEX($C$4:$C$403,MATCH(2,$I$4:$I$403,0)),""),IF(CC_Mode="Per loop",IFERROR(INDEX($C$4:$C$403,MATCH(2,$H$4:$H$403,0)),""),IF(CC_Mode="Per unit",IFERROR(INDEX($K$4:$K$15,MATCH(2,$N$4:$N$15,0)),""),IF(2=1,"All units",""))))</f>
        <v>Unit 1</v>
      </c>
      <c r="T5" s="96" t="n">
        <f aca="false">IF(CC_Mode="Per equipment",IFERROR(INDEX($D$4:$D$403,MATCH(2,$I$4:$I$403,0)),""),IF(CC_Mode="Per loop",IFERROR(INDEX($D$4:$D$403,MATCH(2,$H$4:$H$403,0)),""),IF(CC_Mode="Per unit",IFERROR(INDEX($M$4:$M$15,MATCH(2,$N$4:$N$15,0)),""),IF(2=1,CC_V_GrandVol,""))))</f>
        <v>20.943951023932</v>
      </c>
      <c r="U5" s="98" t="n">
        <f aca="false">IF(CC_Mode="Per equipment",IFERROR(INDEX($E$4:$E$403,MATCH(2,$I$4:$I$403,0)),""),IF(CC_Mode="Per loop",IFERROR(INDEX($E$4:$E$403,MATCH(2,$H$4:$H$403,0)),""),IF(CC_Mode="Per unit",IFERROR(INDEX($L$4:$L$15,MATCH(2,$N$4:$N$15,0)),""),IF(2=1,CC_Net,""))))</f>
        <v>10269.2930439258</v>
      </c>
    </row>
    <row r="6" customFormat="false" ht="15" hidden="false" customHeight="false" outlineLevel="0" collapsed="false">
      <c r="A6" s="0" t="s">
        <v>335</v>
      </c>
      <c r="B6" s="0" t="str">
        <f aca="false">'CC Summary'!C24&amp;IF(INDEX(CC_LoopD,3)="",""," – "&amp;INDEX(CC_LoopD,3))&amp;" ("&amp;'CC Summary'!D24&amp;" item"&amp;IF('CC Summary'!D24=1,"","s")&amp;")"</f>
        <v>Loop 3 (0 items)</v>
      </c>
      <c r="C6" s="0" t="s">
        <v>221</v>
      </c>
      <c r="D6" s="97" t="n">
        <f aca="false">'CC Summary'!E24</f>
        <v>0</v>
      </c>
      <c r="E6" s="98" t="n">
        <f aca="false">'CC Summary'!J24</f>
        <v>0</v>
      </c>
      <c r="F6" s="96" t="n">
        <f aca="false">IF('CC Summary'!D24&gt;0,1,0)</f>
        <v>0</v>
      </c>
      <c r="G6" s="0" t="n">
        <v>0</v>
      </c>
      <c r="H6" s="0" t="str">
        <f aca="false">IF(F6=1,COUNTIF($F$4:F6,1),"")</f>
        <v/>
      </c>
      <c r="I6" s="0" t="str">
        <f aca="false">IF(G6=1,COUNTIF($G$4:G6,1),"")</f>
        <v/>
      </c>
      <c r="K6" s="0" t="str">
        <f aca="false">'CC Summary'!C7</f>
        <v>Unit 3</v>
      </c>
      <c r="L6" s="98" t="n">
        <f aca="false">'CC Summary'!J7</f>
        <v>0</v>
      </c>
      <c r="M6" s="97" t="n">
        <f aca="false">'CC Summary'!E7</f>
        <v>0</v>
      </c>
      <c r="N6" s="0" t="str">
        <f aca="false">IF(L6&gt;0,COUNTIF($L$4:L6,"&gt;0"),"")</f>
        <v/>
      </c>
      <c r="R6" s="0" t="str">
        <f aca="false">IF(CC_Mode="Per equipment",IFERROR(INDEX($B$4:$B$403,MATCH(3,$I$4:$I$403,0)),""),IF(CC_Mode="Per loop",IFERROR(INDEX($B$4:$B$403,MATCH(3,$H$4:$H$403,0)),""),IF(CC_Mode="Per unit",IFERROR("Chemical cleaning – "&amp;INDEX($K$4:$K$15,MATCH(3,$N$4:$N$15,0)),""),IF(3=1,"LUMP SUM – "&amp;QProject,""))))</f>
        <v>EXAMPLE E-101 – Shell &amp; tube exchanger</v>
      </c>
      <c r="S6" s="0" t="str">
        <f aca="false">IF(CC_Mode="Per equipment",IFERROR(INDEX($C$4:$C$403,MATCH(3,$I$4:$I$403,0)),""),IF(CC_Mode="Per loop",IFERROR(INDEX($C$4:$C$403,MATCH(3,$H$4:$H$403,0)),""),IF(CC_Mode="Per unit",IFERROR(INDEX($K$4:$K$15,MATCH(3,$N$4:$N$15,0)),""),IF(3=1,"All units",""))))</f>
        <v>Unit 1</v>
      </c>
      <c r="T6" s="96" t="n">
        <f aca="false">IF(CC_Mode="Per equipment",IFERROR(INDEX($D$4:$D$403,MATCH(3,$I$4:$I$403,0)),""),IF(CC_Mode="Per loop",IFERROR(INDEX($D$4:$D$403,MATCH(3,$H$4:$H$403,0)),""),IF(CC_Mode="Per unit",IFERROR(INDEX($M$4:$M$15,MATCH(3,$N$4:$N$15,0)),""),IF(3=1,CC_V_GrandVol,""))))</f>
        <v>3.26042419158197</v>
      </c>
      <c r="U6" s="98" t="n">
        <f aca="false">IF(CC_Mode="Per equipment",IFERROR(INDEX($E$4:$E$403,MATCH(3,$I$4:$I$403,0)),""),IF(CC_Mode="Per loop",IFERROR(INDEX($E$4:$E$403,MATCH(3,$H$4:$H$403,0)),""),IF(CC_Mode="Per unit",IFERROR(INDEX($L$4:$L$15,MATCH(3,$N$4:$N$15,0)),""),IF(3=1,CC_Net,""))))</f>
        <v>10657.7316548665</v>
      </c>
    </row>
    <row r="7" customFormat="false" ht="15" hidden="false" customHeight="false" outlineLevel="0" collapsed="false">
      <c r="A7" s="0" t="s">
        <v>335</v>
      </c>
      <c r="B7" s="0" t="str">
        <f aca="false">'CC Summary'!C25&amp;IF(INDEX(CC_LoopD,4)="",""," – "&amp;INDEX(CC_LoopD,4))&amp;" ("&amp;'CC Summary'!D25&amp;" item"&amp;IF('CC Summary'!D25=1,"","s")&amp;")"</f>
        <v>Loop 4 (0 items)</v>
      </c>
      <c r="C7" s="0" t="s">
        <v>221</v>
      </c>
      <c r="D7" s="97" t="n">
        <f aca="false">'CC Summary'!E25</f>
        <v>0</v>
      </c>
      <c r="E7" s="98" t="n">
        <f aca="false">'CC Summary'!J25</f>
        <v>0</v>
      </c>
      <c r="F7" s="96" t="n">
        <f aca="false">IF('CC Summary'!D25&gt;0,1,0)</f>
        <v>0</v>
      </c>
      <c r="G7" s="0" t="n">
        <v>0</v>
      </c>
      <c r="H7" s="0" t="str">
        <f aca="false">IF(F7=1,COUNTIF($F$4:F7,1),"")</f>
        <v/>
      </c>
      <c r="I7" s="0" t="str">
        <f aca="false">IF(G7=1,COUNTIF($G$4:G7,1),"")</f>
        <v/>
      </c>
      <c r="K7" s="0" t="str">
        <f aca="false">'CC Summary'!C8</f>
        <v>Unit 4</v>
      </c>
      <c r="L7" s="98" t="n">
        <f aca="false">'CC Summary'!J8</f>
        <v>0</v>
      </c>
      <c r="M7" s="97" t="n">
        <f aca="false">'CC Summary'!E8</f>
        <v>0</v>
      </c>
      <c r="N7" s="0" t="str">
        <f aca="false">IF(L7&gt;0,COUNTIF($L$4:L7,"&gt;0"),"")</f>
        <v/>
      </c>
      <c r="R7" s="0" t="str">
        <f aca="false">IF(CC_Mode="Per equipment",IFERROR(INDEX($B$4:$B$403,MATCH(4,$I$4:$I$403,0)),""),IF(CC_Mode="Per loop",IFERROR(INDEX($B$4:$B$403,MATCH(4,$H$4:$H$403,0)),""),IF(CC_Mode="Per unit",IFERROR("Chemical cleaning – "&amp;INDEX($K$4:$K$15,MATCH(4,$N$4:$N$15,0)),""),IF(4=1,"LUMP SUM – "&amp;QProject,""))))</f>
        <v>EXAMPLE 6"-P-1001 – Line from isometric</v>
      </c>
      <c r="S7" s="0" t="str">
        <f aca="false">IF(CC_Mode="Per equipment",IFERROR(INDEX($C$4:$C$403,MATCH(4,$I$4:$I$403,0)),""),IF(CC_Mode="Per loop",IFERROR(INDEX($C$4:$C$403,MATCH(4,$H$4:$H$403,0)),""),IF(CC_Mode="Per unit",IFERROR(INDEX($K$4:$K$15,MATCH(4,$N$4:$N$15,0)),""),IF(4=1,"All units",""))))</f>
        <v>Unit 1</v>
      </c>
      <c r="T7" s="96" t="n">
        <f aca="false">IF(CC_Mode="Per equipment",IFERROR(INDEX($D$4:$D$403,MATCH(4,$I$4:$I$403,0)),""),IF(CC_Mode="Per loop",IFERROR(INDEX($D$4:$D$403,MATCH(4,$H$4:$H$403,0)),""),IF(CC_Mode="Per unit",IFERROR(INDEX($M$4:$M$15,MATCH(4,$N$4:$N$15,0)),""),IF(4=1,CC_V_GrandVol,""))))</f>
        <v>2.23750320965139</v>
      </c>
      <c r="U7" s="98" t="n">
        <f aca="false">IF(CC_Mode="Per equipment",IFERROR(INDEX($E$4:$E$403,MATCH(4,$I$4:$I$403,0)),""),IF(CC_Mode="Per loop",IFERROR(INDEX($E$4:$E$403,MATCH(4,$H$4:$H$403,0)),""),IF(CC_Mode="Per unit",IFERROR(INDEX($L$4:$L$15,MATCH(4,$N$4:$N$15,0)),""),IF(4=1,CC_Net,""))))</f>
        <v>7817.79774316575</v>
      </c>
    </row>
    <row r="8" customFormat="false" ht="15" hidden="false" customHeight="false" outlineLevel="0" collapsed="false">
      <c r="A8" s="0" t="s">
        <v>335</v>
      </c>
      <c r="B8" s="0" t="str">
        <f aca="false">'CC Summary'!C26&amp;IF(INDEX(CC_LoopD,5)="",""," – "&amp;INDEX(CC_LoopD,5))&amp;" ("&amp;'CC Summary'!D26&amp;" item"&amp;IF('CC Summary'!D26=1,"","s")&amp;")"</f>
        <v>Loop 5 (0 items)</v>
      </c>
      <c r="C8" s="0" t="s">
        <v>221</v>
      </c>
      <c r="D8" s="97" t="n">
        <f aca="false">'CC Summary'!E26</f>
        <v>0</v>
      </c>
      <c r="E8" s="98" t="n">
        <f aca="false">'CC Summary'!J26</f>
        <v>0</v>
      </c>
      <c r="F8" s="96" t="n">
        <f aca="false">IF('CC Summary'!D26&gt;0,1,0)</f>
        <v>0</v>
      </c>
      <c r="G8" s="0" t="n">
        <v>0</v>
      </c>
      <c r="H8" s="0" t="str">
        <f aca="false">IF(F8=1,COUNTIF($F$4:F8,1),"")</f>
        <v/>
      </c>
      <c r="I8" s="0" t="str">
        <f aca="false">IF(G8=1,COUNTIF($G$4:G8,1),"")</f>
        <v/>
      </c>
      <c r="K8" s="0" t="str">
        <f aca="false">'CC Summary'!C9</f>
        <v>Unit 5</v>
      </c>
      <c r="L8" s="98" t="n">
        <f aca="false">'CC Summary'!J9</f>
        <v>0</v>
      </c>
      <c r="M8" s="97" t="n">
        <f aca="false">'CC Summary'!E9</f>
        <v>0</v>
      </c>
      <c r="N8" s="0" t="str">
        <f aca="false">IF(L8&gt;0,COUNTIF($L$4:L8,"&gt;0"),"")</f>
        <v/>
      </c>
      <c r="R8" s="0" t="str">
        <f aca="false">IF(CC_Mode="Per equipment",IFERROR(INDEX($B$4:$B$403,MATCH(5,$I$4:$I$403,0)),""),IF(CC_Mode="Per loop",IFERROR(INDEX($B$4:$B$403,MATCH(5,$H$4:$H$403,0)),""),IF(CC_Mode="Per unit",IFERROR("Chemical cleaning – "&amp;INDEX($K$4:$K$15,MATCH(5,$N$4:$N$15,0)),""),IF(5=1,"LUMP SUM – "&amp;QProject,""))))</f>
        <v/>
      </c>
      <c r="S8" s="0" t="str">
        <f aca="false">IF(CC_Mode="Per equipment",IFERROR(INDEX($C$4:$C$403,MATCH(5,$I$4:$I$403,0)),""),IF(CC_Mode="Per loop",IFERROR(INDEX($C$4:$C$403,MATCH(5,$H$4:$H$403,0)),""),IF(CC_Mode="Per unit",IFERROR(INDEX($K$4:$K$15,MATCH(5,$N$4:$N$15,0)),""),IF(5=1,"All units",""))))</f>
        <v/>
      </c>
      <c r="T8" s="0" t="str">
        <f aca="false">IF(CC_Mode="Per equipment",IFERROR(INDEX($D$4:$D$403,MATCH(5,$I$4:$I$403,0)),""),IF(CC_Mode="Per loop",IFERROR(INDEX($D$4:$D$403,MATCH(5,$H$4:$H$403,0)),""),IF(CC_Mode="Per unit",IFERROR(INDEX($M$4:$M$15,MATCH(5,$N$4:$N$15,0)),""),IF(5=1,CC_V_GrandVol,""))))</f>
        <v/>
      </c>
      <c r="U8" s="0" t="str">
        <f aca="false">IF(CC_Mode="Per equipment",IFERROR(INDEX($E$4:$E$403,MATCH(5,$I$4:$I$403,0)),""),IF(CC_Mode="Per loop",IFERROR(INDEX($E$4:$E$403,MATCH(5,$H$4:$H$403,0)),""),IF(CC_Mode="Per unit",IFERROR(INDEX($L$4:$L$15,MATCH(5,$N$4:$N$15,0)),""),IF(5=1,CC_Net,""))))</f>
        <v/>
      </c>
    </row>
    <row r="9" customFormat="false" ht="15" hidden="false" customHeight="false" outlineLevel="0" collapsed="false">
      <c r="A9" s="0" t="s">
        <v>335</v>
      </c>
      <c r="B9" s="0" t="str">
        <f aca="false">'CC Summary'!C27&amp;IF(INDEX(CC_LoopD,6)="",""," – "&amp;INDEX(CC_LoopD,6))&amp;" ("&amp;'CC Summary'!D27&amp;" item"&amp;IF('CC Summary'!D27=1,"","s")&amp;")"</f>
        <v>Loop 6 (0 items)</v>
      </c>
      <c r="C9" s="0" t="s">
        <v>221</v>
      </c>
      <c r="D9" s="97" t="n">
        <f aca="false">'CC Summary'!E27</f>
        <v>0</v>
      </c>
      <c r="E9" s="98" t="n">
        <f aca="false">'CC Summary'!J27</f>
        <v>0</v>
      </c>
      <c r="F9" s="96" t="n">
        <f aca="false">IF('CC Summary'!D27&gt;0,1,0)</f>
        <v>0</v>
      </c>
      <c r="G9" s="0" t="n">
        <v>0</v>
      </c>
      <c r="H9" s="0" t="str">
        <f aca="false">IF(F9=1,COUNTIF($F$4:F9,1),"")</f>
        <v/>
      </c>
      <c r="I9" s="0" t="str">
        <f aca="false">IF(G9=1,COUNTIF($G$4:G9,1),"")</f>
        <v/>
      </c>
      <c r="K9" s="0" t="str">
        <f aca="false">'CC Summary'!C10</f>
        <v>Unit 6</v>
      </c>
      <c r="L9" s="98" t="n">
        <f aca="false">'CC Summary'!J10</f>
        <v>0</v>
      </c>
      <c r="M9" s="97" t="n">
        <f aca="false">'CC Summary'!E10</f>
        <v>0</v>
      </c>
      <c r="N9" s="0" t="str">
        <f aca="false">IF(L9&gt;0,COUNTIF($L$4:L9,"&gt;0"),"")</f>
        <v/>
      </c>
      <c r="R9" s="0" t="str">
        <f aca="false">IF(CC_Mode="Per equipment",IFERROR(INDEX($B$4:$B$403,MATCH(6,$I$4:$I$403,0)),""),IF(CC_Mode="Per loop",IFERROR(INDEX($B$4:$B$403,MATCH(6,$H$4:$H$403,0)),""),IF(CC_Mode="Per unit",IFERROR("Chemical cleaning – "&amp;INDEX($K$4:$K$15,MATCH(6,$N$4:$N$15,0)),""),IF(6=1,"LUMP SUM – "&amp;QProject,""))))</f>
        <v/>
      </c>
      <c r="S9" s="0" t="str">
        <f aca="false">IF(CC_Mode="Per equipment",IFERROR(INDEX($C$4:$C$403,MATCH(6,$I$4:$I$403,0)),""),IF(CC_Mode="Per loop",IFERROR(INDEX($C$4:$C$403,MATCH(6,$H$4:$H$403,0)),""),IF(CC_Mode="Per unit",IFERROR(INDEX($K$4:$K$15,MATCH(6,$N$4:$N$15,0)),""),IF(6=1,"All units",""))))</f>
        <v/>
      </c>
      <c r="T9" s="0" t="str">
        <f aca="false">IF(CC_Mode="Per equipment",IFERROR(INDEX($D$4:$D$403,MATCH(6,$I$4:$I$403,0)),""),IF(CC_Mode="Per loop",IFERROR(INDEX($D$4:$D$403,MATCH(6,$H$4:$H$403,0)),""),IF(CC_Mode="Per unit",IFERROR(INDEX($M$4:$M$15,MATCH(6,$N$4:$N$15,0)),""),IF(6=1,CC_V_GrandVol,""))))</f>
        <v/>
      </c>
      <c r="U9" s="0" t="str">
        <f aca="false">IF(CC_Mode="Per equipment",IFERROR(INDEX($E$4:$E$403,MATCH(6,$I$4:$I$403,0)),""),IF(CC_Mode="Per loop",IFERROR(INDEX($E$4:$E$403,MATCH(6,$H$4:$H$403,0)),""),IF(CC_Mode="Per unit",IFERROR(INDEX($L$4:$L$15,MATCH(6,$N$4:$N$15,0)),""),IF(6=1,CC_Net,""))))</f>
        <v/>
      </c>
    </row>
    <row r="10" customFormat="false" ht="15" hidden="false" customHeight="false" outlineLevel="0" collapsed="false">
      <c r="A10" s="0" t="s">
        <v>335</v>
      </c>
      <c r="B10" s="0" t="str">
        <f aca="false">'CC Summary'!C28&amp;IF(INDEX(CC_LoopD,7)="",""," – "&amp;INDEX(CC_LoopD,7))&amp;" ("&amp;'CC Summary'!D28&amp;" item"&amp;IF('CC Summary'!D28=1,"","s")&amp;")"</f>
        <v>Loop 7 (0 items)</v>
      </c>
      <c r="C10" s="0" t="s">
        <v>221</v>
      </c>
      <c r="D10" s="97" t="n">
        <f aca="false">'CC Summary'!E28</f>
        <v>0</v>
      </c>
      <c r="E10" s="98" t="n">
        <f aca="false">'CC Summary'!J28</f>
        <v>0</v>
      </c>
      <c r="F10" s="96" t="n">
        <f aca="false">IF('CC Summary'!D28&gt;0,1,0)</f>
        <v>0</v>
      </c>
      <c r="G10" s="0" t="n">
        <v>0</v>
      </c>
      <c r="H10" s="0" t="str">
        <f aca="false">IF(F10=1,COUNTIF($F$4:F10,1),"")</f>
        <v/>
      </c>
      <c r="I10" s="0" t="str">
        <f aca="false">IF(G10=1,COUNTIF($G$4:G10,1),"")</f>
        <v/>
      </c>
      <c r="K10" s="0" t="str">
        <f aca="false">'CC Summary'!C11</f>
        <v>Unit 7</v>
      </c>
      <c r="L10" s="98" t="n">
        <f aca="false">'CC Summary'!J11</f>
        <v>0</v>
      </c>
      <c r="M10" s="97" t="n">
        <f aca="false">'CC Summary'!E11</f>
        <v>0</v>
      </c>
      <c r="N10" s="0" t="str">
        <f aca="false">IF(L10&gt;0,COUNTIF($L$4:L10,"&gt;0"),"")</f>
        <v/>
      </c>
      <c r="R10" s="0" t="str">
        <f aca="false">IF(CC_Mode="Per equipment",IFERROR(INDEX($B$4:$B$403,MATCH(7,$I$4:$I$403,0)),""),IF(CC_Mode="Per loop",IFERROR(INDEX($B$4:$B$403,MATCH(7,$H$4:$H$403,0)),""),IF(CC_Mode="Per unit",IFERROR("Chemical cleaning – "&amp;INDEX($K$4:$K$15,MATCH(7,$N$4:$N$15,0)),""),IF(7=1,"LUMP SUM – "&amp;QProject,""))))</f>
        <v/>
      </c>
      <c r="S10" s="0" t="str">
        <f aca="false">IF(CC_Mode="Per equipment",IFERROR(INDEX($C$4:$C$403,MATCH(7,$I$4:$I$403,0)),""),IF(CC_Mode="Per loop",IFERROR(INDEX($C$4:$C$403,MATCH(7,$H$4:$H$403,0)),""),IF(CC_Mode="Per unit",IFERROR(INDEX($K$4:$K$15,MATCH(7,$N$4:$N$15,0)),""),IF(7=1,"All units",""))))</f>
        <v/>
      </c>
      <c r="T10" s="0" t="str">
        <f aca="false">IF(CC_Mode="Per equipment",IFERROR(INDEX($D$4:$D$403,MATCH(7,$I$4:$I$403,0)),""),IF(CC_Mode="Per loop",IFERROR(INDEX($D$4:$D$403,MATCH(7,$H$4:$H$403,0)),""),IF(CC_Mode="Per unit",IFERROR(INDEX($M$4:$M$15,MATCH(7,$N$4:$N$15,0)),""),IF(7=1,CC_V_GrandVol,""))))</f>
        <v/>
      </c>
      <c r="U10" s="0" t="str">
        <f aca="false">IF(CC_Mode="Per equipment",IFERROR(INDEX($E$4:$E$403,MATCH(7,$I$4:$I$403,0)),""),IF(CC_Mode="Per loop",IFERROR(INDEX($E$4:$E$403,MATCH(7,$H$4:$H$403,0)),""),IF(CC_Mode="Per unit",IFERROR(INDEX($L$4:$L$15,MATCH(7,$N$4:$N$15,0)),""),IF(7=1,CC_Net,""))))</f>
        <v/>
      </c>
    </row>
    <row r="11" customFormat="false" ht="15" hidden="false" customHeight="false" outlineLevel="0" collapsed="false">
      <c r="A11" s="0" t="s">
        <v>335</v>
      </c>
      <c r="B11" s="0" t="str">
        <f aca="false">'CC Summary'!C29&amp;IF(INDEX(CC_LoopD,8)="",""," – "&amp;INDEX(CC_LoopD,8))&amp;" ("&amp;'CC Summary'!D29&amp;" item"&amp;IF('CC Summary'!D29=1,"","s")&amp;")"</f>
        <v>Loop 8 (0 items)</v>
      </c>
      <c r="C11" s="0" t="s">
        <v>221</v>
      </c>
      <c r="D11" s="97" t="n">
        <f aca="false">'CC Summary'!E29</f>
        <v>0</v>
      </c>
      <c r="E11" s="98" t="n">
        <f aca="false">'CC Summary'!J29</f>
        <v>0</v>
      </c>
      <c r="F11" s="96" t="n">
        <f aca="false">IF('CC Summary'!D29&gt;0,1,0)</f>
        <v>0</v>
      </c>
      <c r="G11" s="0" t="n">
        <v>0</v>
      </c>
      <c r="H11" s="0" t="str">
        <f aca="false">IF(F11=1,COUNTIF($F$4:F11,1),"")</f>
        <v/>
      </c>
      <c r="I11" s="0" t="str">
        <f aca="false">IF(G11=1,COUNTIF($G$4:G11,1),"")</f>
        <v/>
      </c>
      <c r="K11" s="0" t="str">
        <f aca="false">'CC Summary'!C12</f>
        <v>Unit 8</v>
      </c>
      <c r="L11" s="98" t="n">
        <f aca="false">'CC Summary'!J12</f>
        <v>0</v>
      </c>
      <c r="M11" s="97" t="n">
        <f aca="false">'CC Summary'!E12</f>
        <v>0</v>
      </c>
      <c r="N11" s="0" t="str">
        <f aca="false">IF(L11&gt;0,COUNTIF($L$4:L11,"&gt;0"),"")</f>
        <v/>
      </c>
      <c r="R11" s="0" t="str">
        <f aca="false">IF(CC_Mode="Per equipment",IFERROR(INDEX($B$4:$B$403,MATCH(8,$I$4:$I$403,0)),""),IF(CC_Mode="Per loop",IFERROR(INDEX($B$4:$B$403,MATCH(8,$H$4:$H$403,0)),""),IF(CC_Mode="Per unit",IFERROR("Chemical cleaning – "&amp;INDEX($K$4:$K$15,MATCH(8,$N$4:$N$15,0)),""),IF(8=1,"LUMP SUM – "&amp;QProject,""))))</f>
        <v/>
      </c>
      <c r="S11" s="0" t="str">
        <f aca="false">IF(CC_Mode="Per equipment",IFERROR(INDEX($C$4:$C$403,MATCH(8,$I$4:$I$403,0)),""),IF(CC_Mode="Per loop",IFERROR(INDEX($C$4:$C$403,MATCH(8,$H$4:$H$403,0)),""),IF(CC_Mode="Per unit",IFERROR(INDEX($K$4:$K$15,MATCH(8,$N$4:$N$15,0)),""),IF(8=1,"All units",""))))</f>
        <v/>
      </c>
      <c r="T11" s="0" t="str">
        <f aca="false">IF(CC_Mode="Per equipment",IFERROR(INDEX($D$4:$D$403,MATCH(8,$I$4:$I$403,0)),""),IF(CC_Mode="Per loop",IFERROR(INDEX($D$4:$D$403,MATCH(8,$H$4:$H$403,0)),""),IF(CC_Mode="Per unit",IFERROR(INDEX($M$4:$M$15,MATCH(8,$N$4:$N$15,0)),""),IF(8=1,CC_V_GrandVol,""))))</f>
        <v/>
      </c>
      <c r="U11" s="0" t="str">
        <f aca="false">IF(CC_Mode="Per equipment",IFERROR(INDEX($E$4:$E$403,MATCH(8,$I$4:$I$403,0)),""),IF(CC_Mode="Per loop",IFERROR(INDEX($E$4:$E$403,MATCH(8,$H$4:$H$403,0)),""),IF(CC_Mode="Per unit",IFERROR(INDEX($L$4:$L$15,MATCH(8,$N$4:$N$15,0)),""),IF(8=1,CC_Net,""))))</f>
        <v/>
      </c>
    </row>
    <row r="12" customFormat="false" ht="15" hidden="false" customHeight="false" outlineLevel="0" collapsed="false">
      <c r="A12" s="0" t="s">
        <v>335</v>
      </c>
      <c r="B12" s="0" t="str">
        <f aca="false">'CC Summary'!C30&amp;IF(INDEX(CC_LoopD,9)="",""," – "&amp;INDEX(CC_LoopD,9))&amp;" ("&amp;'CC Summary'!D30&amp;" item"&amp;IF('CC Summary'!D30=1,"","s")&amp;")"</f>
        <v>Loop 9 (0 items)</v>
      </c>
      <c r="C12" s="0" t="s">
        <v>221</v>
      </c>
      <c r="D12" s="97" t="n">
        <f aca="false">'CC Summary'!E30</f>
        <v>0</v>
      </c>
      <c r="E12" s="98" t="n">
        <f aca="false">'CC Summary'!J30</f>
        <v>0</v>
      </c>
      <c r="F12" s="96" t="n">
        <f aca="false">IF('CC Summary'!D30&gt;0,1,0)</f>
        <v>0</v>
      </c>
      <c r="G12" s="0" t="n">
        <v>0</v>
      </c>
      <c r="H12" s="0" t="str">
        <f aca="false">IF(F12=1,COUNTIF($F$4:F12,1),"")</f>
        <v/>
      </c>
      <c r="I12" s="0" t="str">
        <f aca="false">IF(G12=1,COUNTIF($G$4:G12,1),"")</f>
        <v/>
      </c>
      <c r="K12" s="0" t="str">
        <f aca="false">'CC Summary'!C13</f>
        <v>Unit 9</v>
      </c>
      <c r="L12" s="98" t="n">
        <f aca="false">'CC Summary'!J13</f>
        <v>0</v>
      </c>
      <c r="M12" s="97" t="n">
        <f aca="false">'CC Summary'!E13</f>
        <v>0</v>
      </c>
      <c r="N12" s="0" t="str">
        <f aca="false">IF(L12&gt;0,COUNTIF($L$4:L12,"&gt;0"),"")</f>
        <v/>
      </c>
      <c r="R12" s="0" t="str">
        <f aca="false">IF(CC_Mode="Per equipment",IFERROR(INDEX($B$4:$B$403,MATCH(9,$I$4:$I$403,0)),""),IF(CC_Mode="Per loop",IFERROR(INDEX($B$4:$B$403,MATCH(9,$H$4:$H$403,0)),""),IF(CC_Mode="Per unit",IFERROR("Chemical cleaning – "&amp;INDEX($K$4:$K$15,MATCH(9,$N$4:$N$15,0)),""),IF(9=1,"LUMP SUM – "&amp;QProject,""))))</f>
        <v/>
      </c>
      <c r="S12" s="0" t="str">
        <f aca="false">IF(CC_Mode="Per equipment",IFERROR(INDEX($C$4:$C$403,MATCH(9,$I$4:$I$403,0)),""),IF(CC_Mode="Per loop",IFERROR(INDEX($C$4:$C$403,MATCH(9,$H$4:$H$403,0)),""),IF(CC_Mode="Per unit",IFERROR(INDEX($K$4:$K$15,MATCH(9,$N$4:$N$15,0)),""),IF(9=1,"All units",""))))</f>
        <v/>
      </c>
      <c r="T12" s="0" t="str">
        <f aca="false">IF(CC_Mode="Per equipment",IFERROR(INDEX($D$4:$D$403,MATCH(9,$I$4:$I$403,0)),""),IF(CC_Mode="Per loop",IFERROR(INDEX($D$4:$D$403,MATCH(9,$H$4:$H$403,0)),""),IF(CC_Mode="Per unit",IFERROR(INDEX($M$4:$M$15,MATCH(9,$N$4:$N$15,0)),""),IF(9=1,CC_V_GrandVol,""))))</f>
        <v/>
      </c>
      <c r="U12" s="0" t="str">
        <f aca="false">IF(CC_Mode="Per equipment",IFERROR(INDEX($E$4:$E$403,MATCH(9,$I$4:$I$403,0)),""),IF(CC_Mode="Per loop",IFERROR(INDEX($E$4:$E$403,MATCH(9,$H$4:$H$403,0)),""),IF(CC_Mode="Per unit",IFERROR(INDEX($L$4:$L$15,MATCH(9,$N$4:$N$15,0)),""),IF(9=1,CC_Net,""))))</f>
        <v/>
      </c>
    </row>
    <row r="13" customFormat="false" ht="15" hidden="false" customHeight="false" outlineLevel="0" collapsed="false">
      <c r="A13" s="0" t="s">
        <v>335</v>
      </c>
      <c r="B13" s="0" t="str">
        <f aca="false">'CC Summary'!C31&amp;IF(INDEX(CC_LoopD,10)="",""," – "&amp;INDEX(CC_LoopD,10))&amp;" ("&amp;'CC Summary'!D31&amp;" item"&amp;IF('CC Summary'!D31=1,"","s")&amp;")"</f>
        <v>Loop 10 (0 items)</v>
      </c>
      <c r="C13" s="0" t="s">
        <v>221</v>
      </c>
      <c r="D13" s="97" t="n">
        <f aca="false">'CC Summary'!E31</f>
        <v>0</v>
      </c>
      <c r="E13" s="98" t="n">
        <f aca="false">'CC Summary'!J31</f>
        <v>0</v>
      </c>
      <c r="F13" s="96" t="n">
        <f aca="false">IF('CC Summary'!D31&gt;0,1,0)</f>
        <v>0</v>
      </c>
      <c r="G13" s="0" t="n">
        <v>0</v>
      </c>
      <c r="H13" s="0" t="str">
        <f aca="false">IF(F13=1,COUNTIF($F$4:F13,1),"")</f>
        <v/>
      </c>
      <c r="I13" s="0" t="str">
        <f aca="false">IF(G13=1,COUNTIF($G$4:G13,1),"")</f>
        <v/>
      </c>
      <c r="K13" s="0" t="str">
        <f aca="false">'CC Summary'!C14</f>
        <v>Unit 10</v>
      </c>
      <c r="L13" s="98" t="n">
        <f aca="false">'CC Summary'!J14</f>
        <v>0</v>
      </c>
      <c r="M13" s="97" t="n">
        <f aca="false">'CC Summary'!E14</f>
        <v>0</v>
      </c>
      <c r="N13" s="0" t="str">
        <f aca="false">IF(L13&gt;0,COUNTIF($L$4:L13,"&gt;0"),"")</f>
        <v/>
      </c>
      <c r="R13" s="0" t="str">
        <f aca="false">IF(CC_Mode="Per equipment",IFERROR(INDEX($B$4:$B$403,MATCH(10,$I$4:$I$403,0)),""),IF(CC_Mode="Per loop",IFERROR(INDEX($B$4:$B$403,MATCH(10,$H$4:$H$403,0)),""),IF(CC_Mode="Per unit",IFERROR("Chemical cleaning – "&amp;INDEX($K$4:$K$15,MATCH(10,$N$4:$N$15,0)),""),IF(10=1,"LUMP SUM – "&amp;QProject,""))))</f>
        <v/>
      </c>
      <c r="S13" s="0" t="str">
        <f aca="false">IF(CC_Mode="Per equipment",IFERROR(INDEX($C$4:$C$403,MATCH(10,$I$4:$I$403,0)),""),IF(CC_Mode="Per loop",IFERROR(INDEX($C$4:$C$403,MATCH(10,$H$4:$H$403,0)),""),IF(CC_Mode="Per unit",IFERROR(INDEX($K$4:$K$15,MATCH(10,$N$4:$N$15,0)),""),IF(10=1,"All units",""))))</f>
        <v/>
      </c>
      <c r="T13" s="0" t="str">
        <f aca="false">IF(CC_Mode="Per equipment",IFERROR(INDEX($D$4:$D$403,MATCH(10,$I$4:$I$403,0)),""),IF(CC_Mode="Per loop",IFERROR(INDEX($D$4:$D$403,MATCH(10,$H$4:$H$403,0)),""),IF(CC_Mode="Per unit",IFERROR(INDEX($M$4:$M$15,MATCH(10,$N$4:$N$15,0)),""),IF(10=1,CC_V_GrandVol,""))))</f>
        <v/>
      </c>
      <c r="U13" s="0" t="str">
        <f aca="false">IF(CC_Mode="Per equipment",IFERROR(INDEX($E$4:$E$403,MATCH(10,$I$4:$I$403,0)),""),IF(CC_Mode="Per loop",IFERROR(INDEX($E$4:$E$403,MATCH(10,$H$4:$H$403,0)),""),IF(CC_Mode="Per unit",IFERROR(INDEX($L$4:$L$15,MATCH(10,$N$4:$N$15,0)),""),IF(10=1,CC_Net,""))))</f>
        <v/>
      </c>
    </row>
    <row r="14" customFormat="false" ht="15" hidden="false" customHeight="false" outlineLevel="0" collapsed="false">
      <c r="A14" s="0" t="s">
        <v>335</v>
      </c>
      <c r="B14" s="0" t="str">
        <f aca="false">'CC Summary'!C32&amp;IF(INDEX(CC_LoopD,11)="",""," – "&amp;INDEX(CC_LoopD,11))&amp;" ("&amp;'CC Summary'!D32&amp;" item"&amp;IF('CC Summary'!D32=1,"","s")&amp;")"</f>
        <v>Loop 11 (0 items)</v>
      </c>
      <c r="C14" s="0" t="s">
        <v>221</v>
      </c>
      <c r="D14" s="97" t="n">
        <f aca="false">'CC Summary'!E32</f>
        <v>0</v>
      </c>
      <c r="E14" s="98" t="n">
        <f aca="false">'CC Summary'!J32</f>
        <v>0</v>
      </c>
      <c r="F14" s="96" t="n">
        <f aca="false">IF('CC Summary'!D32&gt;0,1,0)</f>
        <v>0</v>
      </c>
      <c r="G14" s="0" t="n">
        <v>0</v>
      </c>
      <c r="H14" s="0" t="str">
        <f aca="false">IF(F14=1,COUNTIF($F$4:F14,1),"")</f>
        <v/>
      </c>
      <c r="I14" s="0" t="str">
        <f aca="false">IF(G14=1,COUNTIF($G$4:G14,1),"")</f>
        <v/>
      </c>
      <c r="K14" s="0" t="str">
        <f aca="false">'CC Summary'!C15</f>
        <v>Unit 11</v>
      </c>
      <c r="L14" s="98" t="n">
        <f aca="false">'CC Summary'!J15</f>
        <v>0</v>
      </c>
      <c r="M14" s="97" t="n">
        <f aca="false">'CC Summary'!E15</f>
        <v>0</v>
      </c>
      <c r="N14" s="0" t="str">
        <f aca="false">IF(L14&gt;0,COUNTIF($L$4:L14,"&gt;0"),"")</f>
        <v/>
      </c>
      <c r="R14" s="0" t="str">
        <f aca="false">IF(CC_Mode="Per equipment",IFERROR(INDEX($B$4:$B$403,MATCH(11,$I$4:$I$403,0)),""),IF(CC_Mode="Per loop",IFERROR(INDEX($B$4:$B$403,MATCH(11,$H$4:$H$403,0)),""),IF(CC_Mode="Per unit",IFERROR("Chemical cleaning – "&amp;INDEX($K$4:$K$15,MATCH(11,$N$4:$N$15,0)),""),IF(11=1,"LUMP SUM – "&amp;QProject,""))))</f>
        <v/>
      </c>
      <c r="S14" s="0" t="str">
        <f aca="false">IF(CC_Mode="Per equipment",IFERROR(INDEX($C$4:$C$403,MATCH(11,$I$4:$I$403,0)),""),IF(CC_Mode="Per loop",IFERROR(INDEX($C$4:$C$403,MATCH(11,$H$4:$H$403,0)),""),IF(CC_Mode="Per unit",IFERROR(INDEX($K$4:$K$15,MATCH(11,$N$4:$N$15,0)),""),IF(11=1,"All units",""))))</f>
        <v/>
      </c>
      <c r="T14" s="0" t="str">
        <f aca="false">IF(CC_Mode="Per equipment",IFERROR(INDEX($D$4:$D$403,MATCH(11,$I$4:$I$403,0)),""),IF(CC_Mode="Per loop",IFERROR(INDEX($D$4:$D$403,MATCH(11,$H$4:$H$403,0)),""),IF(CC_Mode="Per unit",IFERROR(INDEX($M$4:$M$15,MATCH(11,$N$4:$N$15,0)),""),IF(11=1,CC_V_GrandVol,""))))</f>
        <v/>
      </c>
      <c r="U14" s="0" t="str">
        <f aca="false">IF(CC_Mode="Per equipment",IFERROR(INDEX($E$4:$E$403,MATCH(11,$I$4:$I$403,0)),""),IF(CC_Mode="Per loop",IFERROR(INDEX($E$4:$E$403,MATCH(11,$H$4:$H$403,0)),""),IF(CC_Mode="Per unit",IFERROR(INDEX($L$4:$L$15,MATCH(11,$N$4:$N$15,0)),""),IF(11=1,CC_Net,""))))</f>
        <v/>
      </c>
    </row>
    <row r="15" customFormat="false" ht="15" hidden="false" customHeight="false" outlineLevel="0" collapsed="false">
      <c r="A15" s="0" t="s">
        <v>335</v>
      </c>
      <c r="B15" s="0" t="str">
        <f aca="false">'CC Summary'!C33&amp;IF(INDEX(CC_LoopD,12)="",""," – "&amp;INDEX(CC_LoopD,12))&amp;" ("&amp;'CC Summary'!D33&amp;" item"&amp;IF('CC Summary'!D33=1,"","s")&amp;")"</f>
        <v>Loop 12 (0 items)</v>
      </c>
      <c r="C15" s="0" t="s">
        <v>221</v>
      </c>
      <c r="D15" s="97" t="n">
        <f aca="false">'CC Summary'!E33</f>
        <v>0</v>
      </c>
      <c r="E15" s="98" t="n">
        <f aca="false">'CC Summary'!J33</f>
        <v>0</v>
      </c>
      <c r="F15" s="96" t="n">
        <f aca="false">IF('CC Summary'!D33&gt;0,1,0)</f>
        <v>0</v>
      </c>
      <c r="G15" s="0" t="n">
        <v>0</v>
      </c>
      <c r="H15" s="0" t="str">
        <f aca="false">IF(F15=1,COUNTIF($F$4:F15,1),"")</f>
        <v/>
      </c>
      <c r="I15" s="0" t="str">
        <f aca="false">IF(G15=1,COUNTIF($G$4:G15,1),"")</f>
        <v/>
      </c>
      <c r="K15" s="0" t="str">
        <f aca="false">'CC Summary'!C16</f>
        <v>Unit 12</v>
      </c>
      <c r="L15" s="98" t="n">
        <f aca="false">'CC Summary'!J16</f>
        <v>0</v>
      </c>
      <c r="M15" s="97" t="n">
        <f aca="false">'CC Summary'!E16</f>
        <v>0</v>
      </c>
      <c r="N15" s="0" t="str">
        <f aca="false">IF(L15&gt;0,COUNTIF($L$4:L15,"&gt;0"),"")</f>
        <v/>
      </c>
      <c r="R15" s="0" t="str">
        <f aca="false">IF(CC_Mode="Per equipment",IFERROR(INDEX($B$4:$B$403,MATCH(12,$I$4:$I$403,0)),""),IF(CC_Mode="Per loop",IFERROR(INDEX($B$4:$B$403,MATCH(12,$H$4:$H$403,0)),""),IF(CC_Mode="Per unit",IFERROR("Chemical cleaning – "&amp;INDEX($K$4:$K$15,MATCH(12,$N$4:$N$15,0)),""),IF(12=1,"LUMP SUM – "&amp;QProject,""))))</f>
        <v/>
      </c>
      <c r="S15" s="0" t="str">
        <f aca="false">IF(CC_Mode="Per equipment",IFERROR(INDEX($C$4:$C$403,MATCH(12,$I$4:$I$403,0)),""),IF(CC_Mode="Per loop",IFERROR(INDEX($C$4:$C$403,MATCH(12,$H$4:$H$403,0)),""),IF(CC_Mode="Per unit",IFERROR(INDEX($K$4:$K$15,MATCH(12,$N$4:$N$15,0)),""),IF(12=1,"All units",""))))</f>
        <v/>
      </c>
      <c r="T15" s="0" t="str">
        <f aca="false">IF(CC_Mode="Per equipment",IFERROR(INDEX($D$4:$D$403,MATCH(12,$I$4:$I$403,0)),""),IF(CC_Mode="Per loop",IFERROR(INDEX($D$4:$D$403,MATCH(12,$H$4:$H$403,0)),""),IF(CC_Mode="Per unit",IFERROR(INDEX($M$4:$M$15,MATCH(12,$N$4:$N$15,0)),""),IF(12=1,CC_V_GrandVol,""))))</f>
        <v/>
      </c>
      <c r="U15" s="0" t="str">
        <f aca="false">IF(CC_Mode="Per equipment",IFERROR(INDEX($E$4:$E$403,MATCH(12,$I$4:$I$403,0)),""),IF(CC_Mode="Per loop",IFERROR(INDEX($E$4:$E$403,MATCH(12,$H$4:$H$403,0)),""),IF(CC_Mode="Per unit",IFERROR(INDEX($L$4:$L$15,MATCH(12,$N$4:$N$15,0)),""),IF(12=1,CC_Net,""))))</f>
        <v/>
      </c>
    </row>
    <row r="16" customFormat="false" ht="15" hidden="false" customHeight="false" outlineLevel="0" collapsed="false">
      <c r="A16" s="0" t="s">
        <v>335</v>
      </c>
      <c r="B16" s="0" t="str">
        <f aca="false">'CC Summary'!C34&amp;IF(INDEX(CC_LoopD,13)="",""," – "&amp;INDEX(CC_LoopD,13))&amp;" ("&amp;'CC Summary'!D34&amp;" item"&amp;IF('CC Summary'!D34=1,"","s")&amp;")"</f>
        <v>Loop 13 (0 items)</v>
      </c>
      <c r="C16" s="0" t="s">
        <v>221</v>
      </c>
      <c r="D16" s="97" t="n">
        <f aca="false">'CC Summary'!E34</f>
        <v>0</v>
      </c>
      <c r="E16" s="98" t="n">
        <f aca="false">'CC Summary'!J34</f>
        <v>0</v>
      </c>
      <c r="F16" s="96" t="n">
        <f aca="false">IF('CC Summary'!D34&gt;0,1,0)</f>
        <v>0</v>
      </c>
      <c r="G16" s="0" t="n">
        <v>0</v>
      </c>
      <c r="H16" s="0" t="str">
        <f aca="false">IF(F16=1,COUNTIF($F$4:F16,1),"")</f>
        <v/>
      </c>
      <c r="I16" s="0" t="str">
        <f aca="false">IF(G16=1,COUNTIF($G$4:G16,1),"")</f>
        <v/>
      </c>
      <c r="R16" s="0" t="str">
        <f aca="false">IF(CC_Mode="Per equipment",IFERROR(INDEX($B$4:$B$403,MATCH(13,$I$4:$I$403,0)),""),IF(CC_Mode="Per loop",IFERROR(INDEX($B$4:$B$403,MATCH(13,$H$4:$H$403,0)),""),IF(CC_Mode="Per unit",IFERROR("Chemical cleaning – "&amp;INDEX($K$4:$K$15,MATCH(13,$N$4:$N$15,0)),""),IF(13=1,"LUMP SUM – "&amp;QProject,""))))</f>
        <v/>
      </c>
      <c r="S16" s="0" t="str">
        <f aca="false">IF(CC_Mode="Per equipment",IFERROR(INDEX($C$4:$C$403,MATCH(13,$I$4:$I$403,0)),""),IF(CC_Mode="Per loop",IFERROR(INDEX($C$4:$C$403,MATCH(13,$H$4:$H$403,0)),""),IF(CC_Mode="Per unit",IFERROR(INDEX($K$4:$K$15,MATCH(13,$N$4:$N$15,0)),""),IF(13=1,"All units",""))))</f>
        <v/>
      </c>
      <c r="T16" s="0" t="str">
        <f aca="false">IF(CC_Mode="Per equipment",IFERROR(INDEX($D$4:$D$403,MATCH(13,$I$4:$I$403,0)),""),IF(CC_Mode="Per loop",IFERROR(INDEX($D$4:$D$403,MATCH(13,$H$4:$H$403,0)),""),IF(CC_Mode="Per unit",IFERROR(INDEX($M$4:$M$15,MATCH(13,$N$4:$N$15,0)),""),IF(13=1,CC_V_GrandVol,""))))</f>
        <v/>
      </c>
      <c r="U16" s="0" t="str">
        <f aca="false">IF(CC_Mode="Per equipment",IFERROR(INDEX($E$4:$E$403,MATCH(13,$I$4:$I$403,0)),""),IF(CC_Mode="Per loop",IFERROR(INDEX($E$4:$E$403,MATCH(13,$H$4:$H$403,0)),""),IF(CC_Mode="Per unit",IFERROR(INDEX($L$4:$L$15,MATCH(13,$N$4:$N$15,0)),""),IF(13=1,CC_Net,""))))</f>
        <v/>
      </c>
    </row>
    <row r="17" customFormat="false" ht="15" hidden="false" customHeight="false" outlineLevel="0" collapsed="false">
      <c r="A17" s="0" t="s">
        <v>335</v>
      </c>
      <c r="B17" s="0" t="str">
        <f aca="false">'CC Summary'!C35&amp;IF(INDEX(CC_LoopD,14)="",""," – "&amp;INDEX(CC_LoopD,14))&amp;" ("&amp;'CC Summary'!D35&amp;" item"&amp;IF('CC Summary'!D35=1,"","s")&amp;")"</f>
        <v>Loop 14 (0 items)</v>
      </c>
      <c r="C17" s="0" t="s">
        <v>221</v>
      </c>
      <c r="D17" s="97" t="n">
        <f aca="false">'CC Summary'!E35</f>
        <v>0</v>
      </c>
      <c r="E17" s="98" t="n">
        <f aca="false">'CC Summary'!J35</f>
        <v>0</v>
      </c>
      <c r="F17" s="96" t="n">
        <f aca="false">IF('CC Summary'!D35&gt;0,1,0)</f>
        <v>0</v>
      </c>
      <c r="G17" s="0" t="n">
        <v>0</v>
      </c>
      <c r="H17" s="0" t="str">
        <f aca="false">IF(F17=1,COUNTIF($F$4:F17,1),"")</f>
        <v/>
      </c>
      <c r="I17" s="0" t="str">
        <f aca="false">IF(G17=1,COUNTIF($G$4:G17,1),"")</f>
        <v/>
      </c>
      <c r="R17" s="0" t="str">
        <f aca="false">IF(CC_Mode="Per equipment",IFERROR(INDEX($B$4:$B$403,MATCH(14,$I$4:$I$403,0)),""),IF(CC_Mode="Per loop",IFERROR(INDEX($B$4:$B$403,MATCH(14,$H$4:$H$403,0)),""),IF(CC_Mode="Per unit",IFERROR("Chemical cleaning – "&amp;INDEX($K$4:$K$15,MATCH(14,$N$4:$N$15,0)),""),IF(14=1,"LUMP SUM – "&amp;QProject,""))))</f>
        <v/>
      </c>
      <c r="S17" s="0" t="str">
        <f aca="false">IF(CC_Mode="Per equipment",IFERROR(INDEX($C$4:$C$403,MATCH(14,$I$4:$I$403,0)),""),IF(CC_Mode="Per loop",IFERROR(INDEX($C$4:$C$403,MATCH(14,$H$4:$H$403,0)),""),IF(CC_Mode="Per unit",IFERROR(INDEX($K$4:$K$15,MATCH(14,$N$4:$N$15,0)),""),IF(14=1,"All units",""))))</f>
        <v/>
      </c>
      <c r="T17" s="0" t="str">
        <f aca="false">IF(CC_Mode="Per equipment",IFERROR(INDEX($D$4:$D$403,MATCH(14,$I$4:$I$403,0)),""),IF(CC_Mode="Per loop",IFERROR(INDEX($D$4:$D$403,MATCH(14,$H$4:$H$403,0)),""),IF(CC_Mode="Per unit",IFERROR(INDEX($M$4:$M$15,MATCH(14,$N$4:$N$15,0)),""),IF(14=1,CC_V_GrandVol,""))))</f>
        <v/>
      </c>
      <c r="U17" s="0" t="str">
        <f aca="false">IF(CC_Mode="Per equipment",IFERROR(INDEX($E$4:$E$403,MATCH(14,$I$4:$I$403,0)),""),IF(CC_Mode="Per loop",IFERROR(INDEX($E$4:$E$403,MATCH(14,$H$4:$H$403,0)),""),IF(CC_Mode="Per unit",IFERROR(INDEX($L$4:$L$15,MATCH(14,$N$4:$N$15,0)),""),IF(14=1,CC_Net,""))))</f>
        <v/>
      </c>
    </row>
    <row r="18" customFormat="false" ht="15" hidden="false" customHeight="false" outlineLevel="0" collapsed="false">
      <c r="A18" s="0" t="s">
        <v>335</v>
      </c>
      <c r="B18" s="0" t="str">
        <f aca="false">'CC Summary'!C36&amp;IF(INDEX(CC_LoopD,15)="",""," – "&amp;INDEX(CC_LoopD,15))&amp;" ("&amp;'CC Summary'!D36&amp;" item"&amp;IF('CC Summary'!D36=1,"","s")&amp;")"</f>
        <v>Loop 15 (0 items)</v>
      </c>
      <c r="C18" s="0" t="s">
        <v>221</v>
      </c>
      <c r="D18" s="97" t="n">
        <f aca="false">'CC Summary'!E36</f>
        <v>0</v>
      </c>
      <c r="E18" s="98" t="n">
        <f aca="false">'CC Summary'!J36</f>
        <v>0</v>
      </c>
      <c r="F18" s="96" t="n">
        <f aca="false">IF('CC Summary'!D36&gt;0,1,0)</f>
        <v>0</v>
      </c>
      <c r="G18" s="0" t="n">
        <v>0</v>
      </c>
      <c r="H18" s="0" t="str">
        <f aca="false">IF(F18=1,COUNTIF($F$4:F18,1),"")</f>
        <v/>
      </c>
      <c r="I18" s="0" t="str">
        <f aca="false">IF(G18=1,COUNTIF($G$4:G18,1),"")</f>
        <v/>
      </c>
      <c r="R18" s="0" t="str">
        <f aca="false">IF(CC_Mode="Per equipment",IFERROR(INDEX($B$4:$B$403,MATCH(15,$I$4:$I$403,0)),""),IF(CC_Mode="Per loop",IFERROR(INDEX($B$4:$B$403,MATCH(15,$H$4:$H$403,0)),""),IF(CC_Mode="Per unit",IFERROR("Chemical cleaning – "&amp;INDEX($K$4:$K$15,MATCH(15,$N$4:$N$15,0)),""),IF(15=1,"LUMP SUM – "&amp;QProject,""))))</f>
        <v/>
      </c>
      <c r="S18" s="0" t="str">
        <f aca="false">IF(CC_Mode="Per equipment",IFERROR(INDEX($C$4:$C$403,MATCH(15,$I$4:$I$403,0)),""),IF(CC_Mode="Per loop",IFERROR(INDEX($C$4:$C$403,MATCH(15,$H$4:$H$403,0)),""),IF(CC_Mode="Per unit",IFERROR(INDEX($K$4:$K$15,MATCH(15,$N$4:$N$15,0)),""),IF(15=1,"All units",""))))</f>
        <v/>
      </c>
      <c r="T18" s="0" t="str">
        <f aca="false">IF(CC_Mode="Per equipment",IFERROR(INDEX($D$4:$D$403,MATCH(15,$I$4:$I$403,0)),""),IF(CC_Mode="Per loop",IFERROR(INDEX($D$4:$D$403,MATCH(15,$H$4:$H$403,0)),""),IF(CC_Mode="Per unit",IFERROR(INDEX($M$4:$M$15,MATCH(15,$N$4:$N$15,0)),""),IF(15=1,CC_V_GrandVol,""))))</f>
        <v/>
      </c>
      <c r="U18" s="0" t="str">
        <f aca="false">IF(CC_Mode="Per equipment",IFERROR(INDEX($E$4:$E$403,MATCH(15,$I$4:$I$403,0)),""),IF(CC_Mode="Per loop",IFERROR(INDEX($E$4:$E$403,MATCH(15,$H$4:$H$403,0)),""),IF(CC_Mode="Per unit",IFERROR(INDEX($L$4:$L$15,MATCH(15,$N$4:$N$15,0)),""),IF(15=1,CC_Net,""))))</f>
        <v/>
      </c>
    </row>
    <row r="19" customFormat="false" ht="15" hidden="false" customHeight="false" outlineLevel="0" collapsed="false">
      <c r="A19" s="0" t="s">
        <v>335</v>
      </c>
      <c r="B19" s="0" t="str">
        <f aca="false">'CC Summary'!C37&amp;IF(INDEX(CC_LoopD,16)="",""," – "&amp;INDEX(CC_LoopD,16))&amp;" ("&amp;'CC Summary'!D37&amp;" item"&amp;IF('CC Summary'!D37=1,"","s")&amp;")"</f>
        <v>Loop 16 (0 items)</v>
      </c>
      <c r="C19" s="0" t="s">
        <v>221</v>
      </c>
      <c r="D19" s="97" t="n">
        <f aca="false">'CC Summary'!E37</f>
        <v>0</v>
      </c>
      <c r="E19" s="98" t="n">
        <f aca="false">'CC Summary'!J37</f>
        <v>0</v>
      </c>
      <c r="F19" s="96" t="n">
        <f aca="false">IF('CC Summary'!D37&gt;0,1,0)</f>
        <v>0</v>
      </c>
      <c r="G19" s="0" t="n">
        <v>0</v>
      </c>
      <c r="H19" s="0" t="str">
        <f aca="false">IF(F19=1,COUNTIF($F$4:F19,1),"")</f>
        <v/>
      </c>
      <c r="I19" s="0" t="str">
        <f aca="false">IF(G19=1,COUNTIF($G$4:G19,1),"")</f>
        <v/>
      </c>
      <c r="R19" s="0" t="str">
        <f aca="false">IF(CC_Mode="Per equipment",IFERROR(INDEX($B$4:$B$403,MATCH(16,$I$4:$I$403,0)),""),IF(CC_Mode="Per loop",IFERROR(INDEX($B$4:$B$403,MATCH(16,$H$4:$H$403,0)),""),IF(CC_Mode="Per unit",IFERROR("Chemical cleaning – "&amp;INDEX($K$4:$K$15,MATCH(16,$N$4:$N$15,0)),""),IF(16=1,"LUMP SUM – "&amp;QProject,""))))</f>
        <v/>
      </c>
      <c r="S19" s="0" t="str">
        <f aca="false">IF(CC_Mode="Per equipment",IFERROR(INDEX($C$4:$C$403,MATCH(16,$I$4:$I$403,0)),""),IF(CC_Mode="Per loop",IFERROR(INDEX($C$4:$C$403,MATCH(16,$H$4:$H$403,0)),""),IF(CC_Mode="Per unit",IFERROR(INDEX($K$4:$K$15,MATCH(16,$N$4:$N$15,0)),""),IF(16=1,"All units",""))))</f>
        <v/>
      </c>
      <c r="T19" s="0" t="str">
        <f aca="false">IF(CC_Mode="Per equipment",IFERROR(INDEX($D$4:$D$403,MATCH(16,$I$4:$I$403,0)),""),IF(CC_Mode="Per loop",IFERROR(INDEX($D$4:$D$403,MATCH(16,$H$4:$H$403,0)),""),IF(CC_Mode="Per unit",IFERROR(INDEX($M$4:$M$15,MATCH(16,$N$4:$N$15,0)),""),IF(16=1,CC_V_GrandVol,""))))</f>
        <v/>
      </c>
      <c r="U19" s="0" t="str">
        <f aca="false">IF(CC_Mode="Per equipment",IFERROR(INDEX($E$4:$E$403,MATCH(16,$I$4:$I$403,0)),""),IF(CC_Mode="Per loop",IFERROR(INDEX($E$4:$E$403,MATCH(16,$H$4:$H$403,0)),""),IF(CC_Mode="Per unit",IFERROR(INDEX($L$4:$L$15,MATCH(16,$N$4:$N$15,0)),""),IF(16=1,CC_Net,""))))</f>
        <v/>
      </c>
    </row>
    <row r="20" customFormat="false" ht="15" hidden="false" customHeight="false" outlineLevel="0" collapsed="false">
      <c r="A20" s="0" t="s">
        <v>335</v>
      </c>
      <c r="B20" s="0" t="str">
        <f aca="false">'CC Summary'!C38&amp;IF(INDEX(CC_LoopD,17)="",""," – "&amp;INDEX(CC_LoopD,17))&amp;" ("&amp;'CC Summary'!D38&amp;" item"&amp;IF('CC Summary'!D38=1,"","s")&amp;")"</f>
        <v>Loop 17 (0 items)</v>
      </c>
      <c r="C20" s="0" t="s">
        <v>221</v>
      </c>
      <c r="D20" s="97" t="n">
        <f aca="false">'CC Summary'!E38</f>
        <v>0</v>
      </c>
      <c r="E20" s="98" t="n">
        <f aca="false">'CC Summary'!J38</f>
        <v>0</v>
      </c>
      <c r="F20" s="96" t="n">
        <f aca="false">IF('CC Summary'!D38&gt;0,1,0)</f>
        <v>0</v>
      </c>
      <c r="G20" s="0" t="n">
        <v>0</v>
      </c>
      <c r="H20" s="0" t="str">
        <f aca="false">IF(F20=1,COUNTIF($F$4:F20,1),"")</f>
        <v/>
      </c>
      <c r="I20" s="0" t="str">
        <f aca="false">IF(G20=1,COUNTIF($G$4:G20,1),"")</f>
        <v/>
      </c>
      <c r="R20" s="0" t="str">
        <f aca="false">IF(CC_Mode="Per equipment",IFERROR(INDEX($B$4:$B$403,MATCH(17,$I$4:$I$403,0)),""),IF(CC_Mode="Per loop",IFERROR(INDEX($B$4:$B$403,MATCH(17,$H$4:$H$403,0)),""),IF(CC_Mode="Per unit",IFERROR("Chemical cleaning – "&amp;INDEX($K$4:$K$15,MATCH(17,$N$4:$N$15,0)),""),IF(17=1,"LUMP SUM – "&amp;QProject,""))))</f>
        <v/>
      </c>
      <c r="S20" s="0" t="str">
        <f aca="false">IF(CC_Mode="Per equipment",IFERROR(INDEX($C$4:$C$403,MATCH(17,$I$4:$I$403,0)),""),IF(CC_Mode="Per loop",IFERROR(INDEX($C$4:$C$403,MATCH(17,$H$4:$H$403,0)),""),IF(CC_Mode="Per unit",IFERROR(INDEX($K$4:$K$15,MATCH(17,$N$4:$N$15,0)),""),IF(17=1,"All units",""))))</f>
        <v/>
      </c>
      <c r="T20" s="0" t="str">
        <f aca="false">IF(CC_Mode="Per equipment",IFERROR(INDEX($D$4:$D$403,MATCH(17,$I$4:$I$403,0)),""),IF(CC_Mode="Per loop",IFERROR(INDEX($D$4:$D$403,MATCH(17,$H$4:$H$403,0)),""),IF(CC_Mode="Per unit",IFERROR(INDEX($M$4:$M$15,MATCH(17,$N$4:$N$15,0)),""),IF(17=1,CC_V_GrandVol,""))))</f>
        <v/>
      </c>
      <c r="U20" s="0" t="str">
        <f aca="false">IF(CC_Mode="Per equipment",IFERROR(INDEX($E$4:$E$403,MATCH(17,$I$4:$I$403,0)),""),IF(CC_Mode="Per loop",IFERROR(INDEX($E$4:$E$403,MATCH(17,$H$4:$H$403,0)),""),IF(CC_Mode="Per unit",IFERROR(INDEX($L$4:$L$15,MATCH(17,$N$4:$N$15,0)),""),IF(17=1,CC_Net,""))))</f>
        <v/>
      </c>
    </row>
    <row r="21" customFormat="false" ht="15" hidden="false" customHeight="false" outlineLevel="0" collapsed="false">
      <c r="A21" s="0" t="s">
        <v>335</v>
      </c>
      <c r="B21" s="0" t="str">
        <f aca="false">'CC Summary'!C39&amp;IF(INDEX(CC_LoopD,18)="",""," – "&amp;INDEX(CC_LoopD,18))&amp;" ("&amp;'CC Summary'!D39&amp;" item"&amp;IF('CC Summary'!D39=1,"","s")&amp;")"</f>
        <v>Loop 18 (0 items)</v>
      </c>
      <c r="C21" s="0" t="s">
        <v>221</v>
      </c>
      <c r="D21" s="97" t="n">
        <f aca="false">'CC Summary'!E39</f>
        <v>0</v>
      </c>
      <c r="E21" s="98" t="n">
        <f aca="false">'CC Summary'!J39</f>
        <v>0</v>
      </c>
      <c r="F21" s="96" t="n">
        <f aca="false">IF('CC Summary'!D39&gt;0,1,0)</f>
        <v>0</v>
      </c>
      <c r="G21" s="0" t="n">
        <v>0</v>
      </c>
      <c r="H21" s="0" t="str">
        <f aca="false">IF(F21=1,COUNTIF($F$4:F21,1),"")</f>
        <v/>
      </c>
      <c r="I21" s="0" t="str">
        <f aca="false">IF(G21=1,COUNTIF($G$4:G21,1),"")</f>
        <v/>
      </c>
      <c r="R21" s="0" t="str">
        <f aca="false">IF(CC_Mode="Per equipment",IFERROR(INDEX($B$4:$B$403,MATCH(18,$I$4:$I$403,0)),""),IF(CC_Mode="Per loop",IFERROR(INDEX($B$4:$B$403,MATCH(18,$H$4:$H$403,0)),""),IF(CC_Mode="Per unit",IFERROR("Chemical cleaning – "&amp;INDEX($K$4:$K$15,MATCH(18,$N$4:$N$15,0)),""),IF(18=1,"LUMP SUM – "&amp;QProject,""))))</f>
        <v/>
      </c>
      <c r="S21" s="0" t="str">
        <f aca="false">IF(CC_Mode="Per equipment",IFERROR(INDEX($C$4:$C$403,MATCH(18,$I$4:$I$403,0)),""),IF(CC_Mode="Per loop",IFERROR(INDEX($C$4:$C$403,MATCH(18,$H$4:$H$403,0)),""),IF(CC_Mode="Per unit",IFERROR(INDEX($K$4:$K$15,MATCH(18,$N$4:$N$15,0)),""),IF(18=1,"All units",""))))</f>
        <v/>
      </c>
      <c r="T21" s="0" t="str">
        <f aca="false">IF(CC_Mode="Per equipment",IFERROR(INDEX($D$4:$D$403,MATCH(18,$I$4:$I$403,0)),""),IF(CC_Mode="Per loop",IFERROR(INDEX($D$4:$D$403,MATCH(18,$H$4:$H$403,0)),""),IF(CC_Mode="Per unit",IFERROR(INDEX($M$4:$M$15,MATCH(18,$N$4:$N$15,0)),""),IF(18=1,CC_V_GrandVol,""))))</f>
        <v/>
      </c>
      <c r="U21" s="0" t="str">
        <f aca="false">IF(CC_Mode="Per equipment",IFERROR(INDEX($E$4:$E$403,MATCH(18,$I$4:$I$403,0)),""),IF(CC_Mode="Per loop",IFERROR(INDEX($E$4:$E$403,MATCH(18,$H$4:$H$403,0)),""),IF(CC_Mode="Per unit",IFERROR(INDEX($L$4:$L$15,MATCH(18,$N$4:$N$15,0)),""),IF(18=1,CC_Net,""))))</f>
        <v/>
      </c>
    </row>
    <row r="22" customFormat="false" ht="15" hidden="false" customHeight="false" outlineLevel="0" collapsed="false">
      <c r="A22" s="0" t="s">
        <v>335</v>
      </c>
      <c r="B22" s="0" t="str">
        <f aca="false">'CC Summary'!C40&amp;IF(INDEX(CC_LoopD,19)="",""," – "&amp;INDEX(CC_LoopD,19))&amp;" ("&amp;'CC Summary'!D40&amp;" item"&amp;IF('CC Summary'!D40=1,"","s")&amp;")"</f>
        <v>Loop 19 (0 items)</v>
      </c>
      <c r="C22" s="0" t="s">
        <v>221</v>
      </c>
      <c r="D22" s="97" t="n">
        <f aca="false">'CC Summary'!E40</f>
        <v>0</v>
      </c>
      <c r="E22" s="98" t="n">
        <f aca="false">'CC Summary'!J40</f>
        <v>0</v>
      </c>
      <c r="F22" s="96" t="n">
        <f aca="false">IF('CC Summary'!D40&gt;0,1,0)</f>
        <v>0</v>
      </c>
      <c r="G22" s="0" t="n">
        <v>0</v>
      </c>
      <c r="H22" s="0" t="str">
        <f aca="false">IF(F22=1,COUNTIF($F$4:F22,1),"")</f>
        <v/>
      </c>
      <c r="I22" s="0" t="str">
        <f aca="false">IF(G22=1,COUNTIF($G$4:G22,1),"")</f>
        <v/>
      </c>
      <c r="R22" s="0" t="str">
        <f aca="false">IF(CC_Mode="Per equipment",IFERROR(INDEX($B$4:$B$403,MATCH(19,$I$4:$I$403,0)),""),IF(CC_Mode="Per loop",IFERROR(INDEX($B$4:$B$403,MATCH(19,$H$4:$H$403,0)),""),IF(CC_Mode="Per unit",IFERROR("Chemical cleaning – "&amp;INDEX($K$4:$K$15,MATCH(19,$N$4:$N$15,0)),""),IF(19=1,"LUMP SUM – "&amp;QProject,""))))</f>
        <v/>
      </c>
      <c r="S22" s="0" t="str">
        <f aca="false">IF(CC_Mode="Per equipment",IFERROR(INDEX($C$4:$C$403,MATCH(19,$I$4:$I$403,0)),""),IF(CC_Mode="Per loop",IFERROR(INDEX($C$4:$C$403,MATCH(19,$H$4:$H$403,0)),""),IF(CC_Mode="Per unit",IFERROR(INDEX($K$4:$K$15,MATCH(19,$N$4:$N$15,0)),""),IF(19=1,"All units",""))))</f>
        <v/>
      </c>
      <c r="T22" s="0" t="str">
        <f aca="false">IF(CC_Mode="Per equipment",IFERROR(INDEX($D$4:$D$403,MATCH(19,$I$4:$I$403,0)),""),IF(CC_Mode="Per loop",IFERROR(INDEX($D$4:$D$403,MATCH(19,$H$4:$H$403,0)),""),IF(CC_Mode="Per unit",IFERROR(INDEX($M$4:$M$15,MATCH(19,$N$4:$N$15,0)),""),IF(19=1,CC_V_GrandVol,""))))</f>
        <v/>
      </c>
      <c r="U22" s="0" t="str">
        <f aca="false">IF(CC_Mode="Per equipment",IFERROR(INDEX($E$4:$E$403,MATCH(19,$I$4:$I$403,0)),""),IF(CC_Mode="Per loop",IFERROR(INDEX($E$4:$E$403,MATCH(19,$H$4:$H$403,0)),""),IF(CC_Mode="Per unit",IFERROR(INDEX($L$4:$L$15,MATCH(19,$N$4:$N$15,0)),""),IF(19=1,CC_Net,""))))</f>
        <v/>
      </c>
    </row>
    <row r="23" customFormat="false" ht="15" hidden="false" customHeight="false" outlineLevel="0" collapsed="false">
      <c r="A23" s="0" t="s">
        <v>335</v>
      </c>
      <c r="B23" s="0" t="str">
        <f aca="false">'CC Summary'!C41&amp;IF(INDEX(CC_LoopD,20)="",""," – "&amp;INDEX(CC_LoopD,20))&amp;" ("&amp;'CC Summary'!D41&amp;" item"&amp;IF('CC Summary'!D41=1,"","s")&amp;")"</f>
        <v>Loop 20 (0 items)</v>
      </c>
      <c r="C23" s="0" t="s">
        <v>221</v>
      </c>
      <c r="D23" s="97" t="n">
        <f aca="false">'CC Summary'!E41</f>
        <v>0</v>
      </c>
      <c r="E23" s="98" t="n">
        <f aca="false">'CC Summary'!J41</f>
        <v>0</v>
      </c>
      <c r="F23" s="96" t="n">
        <f aca="false">IF('CC Summary'!D41&gt;0,1,0)</f>
        <v>0</v>
      </c>
      <c r="G23" s="0" t="n">
        <v>0</v>
      </c>
      <c r="H23" s="0" t="str">
        <f aca="false">IF(F23=1,COUNTIF($F$4:F23,1),"")</f>
        <v/>
      </c>
      <c r="I23" s="0" t="str">
        <f aca="false">IF(G23=1,COUNTIF($G$4:G23,1),"")</f>
        <v/>
      </c>
      <c r="R23" s="0" t="str">
        <f aca="false">IF(CC_Mode="Per equipment",IFERROR(INDEX($B$4:$B$403,MATCH(20,$I$4:$I$403,0)),""),IF(CC_Mode="Per loop",IFERROR(INDEX($B$4:$B$403,MATCH(20,$H$4:$H$403,0)),""),IF(CC_Mode="Per unit",IFERROR("Chemical cleaning – "&amp;INDEX($K$4:$K$15,MATCH(20,$N$4:$N$15,0)),""),IF(20=1,"LUMP SUM – "&amp;QProject,""))))</f>
        <v/>
      </c>
      <c r="S23" s="0" t="str">
        <f aca="false">IF(CC_Mode="Per equipment",IFERROR(INDEX($C$4:$C$403,MATCH(20,$I$4:$I$403,0)),""),IF(CC_Mode="Per loop",IFERROR(INDEX($C$4:$C$403,MATCH(20,$H$4:$H$403,0)),""),IF(CC_Mode="Per unit",IFERROR(INDEX($K$4:$K$15,MATCH(20,$N$4:$N$15,0)),""),IF(20=1,"All units",""))))</f>
        <v/>
      </c>
      <c r="T23" s="0" t="str">
        <f aca="false">IF(CC_Mode="Per equipment",IFERROR(INDEX($D$4:$D$403,MATCH(20,$I$4:$I$403,0)),""),IF(CC_Mode="Per loop",IFERROR(INDEX($D$4:$D$403,MATCH(20,$H$4:$H$403,0)),""),IF(CC_Mode="Per unit",IFERROR(INDEX($M$4:$M$15,MATCH(20,$N$4:$N$15,0)),""),IF(20=1,CC_V_GrandVol,""))))</f>
        <v/>
      </c>
      <c r="U23" s="0" t="str">
        <f aca="false">IF(CC_Mode="Per equipment",IFERROR(INDEX($E$4:$E$403,MATCH(20,$I$4:$I$403,0)),""),IF(CC_Mode="Per loop",IFERROR(INDEX($E$4:$E$403,MATCH(20,$H$4:$H$403,0)),""),IF(CC_Mode="Per unit",IFERROR(INDEX($L$4:$L$15,MATCH(20,$N$4:$N$15,0)),""),IF(20=1,CC_Net,""))))</f>
        <v/>
      </c>
    </row>
    <row r="24" customFormat="false" ht="15" hidden="false" customHeight="false" outlineLevel="0" collapsed="false">
      <c r="A24" s="0" t="s">
        <v>335</v>
      </c>
      <c r="B24" s="0" t="str">
        <f aca="false">'CC Summary'!C42&amp;IF(INDEX(CC_LoopD,21)="",""," – "&amp;INDEX(CC_LoopD,21))&amp;" ("&amp;'CC Summary'!D42&amp;" item"&amp;IF('CC Summary'!D42=1,"","s")&amp;")"</f>
        <v>Loop 21 (0 items)</v>
      </c>
      <c r="C24" s="0" t="s">
        <v>221</v>
      </c>
      <c r="D24" s="97" t="n">
        <f aca="false">'CC Summary'!E42</f>
        <v>0</v>
      </c>
      <c r="E24" s="98" t="n">
        <f aca="false">'CC Summary'!J42</f>
        <v>0</v>
      </c>
      <c r="F24" s="96" t="n">
        <f aca="false">IF('CC Summary'!D42&gt;0,1,0)</f>
        <v>0</v>
      </c>
      <c r="G24" s="0" t="n">
        <v>0</v>
      </c>
      <c r="H24" s="0" t="str">
        <f aca="false">IF(F24=1,COUNTIF($F$4:F24,1),"")</f>
        <v/>
      </c>
      <c r="I24" s="0" t="str">
        <f aca="false">IF(G24=1,COUNTIF($G$4:G24,1),"")</f>
        <v/>
      </c>
      <c r="R24" s="0" t="str">
        <f aca="false">IF(CC_Mode="Per equipment",IFERROR(INDEX($B$4:$B$403,MATCH(21,$I$4:$I$403,0)),""),IF(CC_Mode="Per loop",IFERROR(INDEX($B$4:$B$403,MATCH(21,$H$4:$H$403,0)),""),IF(CC_Mode="Per unit",IFERROR("Chemical cleaning – "&amp;INDEX($K$4:$K$15,MATCH(21,$N$4:$N$15,0)),""),IF(21=1,"LUMP SUM – "&amp;QProject,""))))</f>
        <v/>
      </c>
      <c r="S24" s="0" t="str">
        <f aca="false">IF(CC_Mode="Per equipment",IFERROR(INDEX($C$4:$C$403,MATCH(21,$I$4:$I$403,0)),""),IF(CC_Mode="Per loop",IFERROR(INDEX($C$4:$C$403,MATCH(21,$H$4:$H$403,0)),""),IF(CC_Mode="Per unit",IFERROR(INDEX($K$4:$K$15,MATCH(21,$N$4:$N$15,0)),""),IF(21=1,"All units",""))))</f>
        <v/>
      </c>
      <c r="T24" s="0" t="str">
        <f aca="false">IF(CC_Mode="Per equipment",IFERROR(INDEX($D$4:$D$403,MATCH(21,$I$4:$I$403,0)),""),IF(CC_Mode="Per loop",IFERROR(INDEX($D$4:$D$403,MATCH(21,$H$4:$H$403,0)),""),IF(CC_Mode="Per unit",IFERROR(INDEX($M$4:$M$15,MATCH(21,$N$4:$N$15,0)),""),IF(21=1,CC_V_GrandVol,""))))</f>
        <v/>
      </c>
      <c r="U24" s="0" t="str">
        <f aca="false">IF(CC_Mode="Per equipment",IFERROR(INDEX($E$4:$E$403,MATCH(21,$I$4:$I$403,0)),""),IF(CC_Mode="Per loop",IFERROR(INDEX($E$4:$E$403,MATCH(21,$H$4:$H$403,0)),""),IF(CC_Mode="Per unit",IFERROR(INDEX($L$4:$L$15,MATCH(21,$N$4:$N$15,0)),""),IF(21=1,CC_Net,""))))</f>
        <v/>
      </c>
    </row>
    <row r="25" customFormat="false" ht="15" hidden="false" customHeight="false" outlineLevel="0" collapsed="false">
      <c r="A25" s="0" t="s">
        <v>335</v>
      </c>
      <c r="B25" s="0" t="str">
        <f aca="false">'CC Summary'!C43&amp;IF(INDEX(CC_LoopD,22)="",""," – "&amp;INDEX(CC_LoopD,22))&amp;" ("&amp;'CC Summary'!D43&amp;" item"&amp;IF('CC Summary'!D43=1,"","s")&amp;")"</f>
        <v>Loop 22 (0 items)</v>
      </c>
      <c r="C25" s="0" t="s">
        <v>221</v>
      </c>
      <c r="D25" s="97" t="n">
        <f aca="false">'CC Summary'!E43</f>
        <v>0</v>
      </c>
      <c r="E25" s="98" t="n">
        <f aca="false">'CC Summary'!J43</f>
        <v>0</v>
      </c>
      <c r="F25" s="96" t="n">
        <f aca="false">IF('CC Summary'!D43&gt;0,1,0)</f>
        <v>0</v>
      </c>
      <c r="G25" s="0" t="n">
        <v>0</v>
      </c>
      <c r="H25" s="0" t="str">
        <f aca="false">IF(F25=1,COUNTIF($F$4:F25,1),"")</f>
        <v/>
      </c>
      <c r="I25" s="0" t="str">
        <f aca="false">IF(G25=1,COUNTIF($G$4:G25,1),"")</f>
        <v/>
      </c>
      <c r="R25" s="0" t="str">
        <f aca="false">IF(CC_Mode="Per equipment",IFERROR(INDEX($B$4:$B$403,MATCH(22,$I$4:$I$403,0)),""),IF(CC_Mode="Per loop",IFERROR(INDEX($B$4:$B$403,MATCH(22,$H$4:$H$403,0)),""),IF(CC_Mode="Per unit",IFERROR("Chemical cleaning – "&amp;INDEX($K$4:$K$15,MATCH(22,$N$4:$N$15,0)),""),IF(22=1,"LUMP SUM – "&amp;QProject,""))))</f>
        <v/>
      </c>
      <c r="S25" s="0" t="str">
        <f aca="false">IF(CC_Mode="Per equipment",IFERROR(INDEX($C$4:$C$403,MATCH(22,$I$4:$I$403,0)),""),IF(CC_Mode="Per loop",IFERROR(INDEX($C$4:$C$403,MATCH(22,$H$4:$H$403,0)),""),IF(CC_Mode="Per unit",IFERROR(INDEX($K$4:$K$15,MATCH(22,$N$4:$N$15,0)),""),IF(22=1,"All units",""))))</f>
        <v/>
      </c>
      <c r="T25" s="0" t="str">
        <f aca="false">IF(CC_Mode="Per equipment",IFERROR(INDEX($D$4:$D$403,MATCH(22,$I$4:$I$403,0)),""),IF(CC_Mode="Per loop",IFERROR(INDEX($D$4:$D$403,MATCH(22,$H$4:$H$403,0)),""),IF(CC_Mode="Per unit",IFERROR(INDEX($M$4:$M$15,MATCH(22,$N$4:$N$15,0)),""),IF(22=1,CC_V_GrandVol,""))))</f>
        <v/>
      </c>
      <c r="U25" s="0" t="str">
        <f aca="false">IF(CC_Mode="Per equipment",IFERROR(INDEX($E$4:$E$403,MATCH(22,$I$4:$I$403,0)),""),IF(CC_Mode="Per loop",IFERROR(INDEX($E$4:$E$403,MATCH(22,$H$4:$H$403,0)),""),IF(CC_Mode="Per unit",IFERROR(INDEX($L$4:$L$15,MATCH(22,$N$4:$N$15,0)),""),IF(22=1,CC_Net,""))))</f>
        <v/>
      </c>
    </row>
    <row r="26" customFormat="false" ht="15" hidden="false" customHeight="false" outlineLevel="0" collapsed="false">
      <c r="A26" s="0" t="s">
        <v>335</v>
      </c>
      <c r="B26" s="0" t="str">
        <f aca="false">'CC Summary'!C44&amp;IF(INDEX(CC_LoopD,23)="",""," – "&amp;INDEX(CC_LoopD,23))&amp;" ("&amp;'CC Summary'!D44&amp;" item"&amp;IF('CC Summary'!D44=1,"","s")&amp;")"</f>
        <v>Loop 23 (0 items)</v>
      </c>
      <c r="C26" s="0" t="s">
        <v>221</v>
      </c>
      <c r="D26" s="97" t="n">
        <f aca="false">'CC Summary'!E44</f>
        <v>0</v>
      </c>
      <c r="E26" s="98" t="n">
        <f aca="false">'CC Summary'!J44</f>
        <v>0</v>
      </c>
      <c r="F26" s="96" t="n">
        <f aca="false">IF('CC Summary'!D44&gt;0,1,0)</f>
        <v>0</v>
      </c>
      <c r="G26" s="0" t="n">
        <v>0</v>
      </c>
      <c r="H26" s="0" t="str">
        <f aca="false">IF(F26=1,COUNTIF($F$4:F26,1),"")</f>
        <v/>
      </c>
      <c r="I26" s="0" t="str">
        <f aca="false">IF(G26=1,COUNTIF($G$4:G26,1),"")</f>
        <v/>
      </c>
      <c r="R26" s="0" t="str">
        <f aca="false">IF(CC_Mode="Per equipment",IFERROR(INDEX($B$4:$B$403,MATCH(23,$I$4:$I$403,0)),""),IF(CC_Mode="Per loop",IFERROR(INDEX($B$4:$B$403,MATCH(23,$H$4:$H$403,0)),""),IF(CC_Mode="Per unit",IFERROR("Chemical cleaning – "&amp;INDEX($K$4:$K$15,MATCH(23,$N$4:$N$15,0)),""),IF(23=1,"LUMP SUM – "&amp;QProject,""))))</f>
        <v/>
      </c>
      <c r="S26" s="0" t="str">
        <f aca="false">IF(CC_Mode="Per equipment",IFERROR(INDEX($C$4:$C$403,MATCH(23,$I$4:$I$403,0)),""),IF(CC_Mode="Per loop",IFERROR(INDEX($C$4:$C$403,MATCH(23,$H$4:$H$403,0)),""),IF(CC_Mode="Per unit",IFERROR(INDEX($K$4:$K$15,MATCH(23,$N$4:$N$15,0)),""),IF(23=1,"All units",""))))</f>
        <v/>
      </c>
      <c r="T26" s="0" t="str">
        <f aca="false">IF(CC_Mode="Per equipment",IFERROR(INDEX($D$4:$D$403,MATCH(23,$I$4:$I$403,0)),""),IF(CC_Mode="Per loop",IFERROR(INDEX($D$4:$D$403,MATCH(23,$H$4:$H$403,0)),""),IF(CC_Mode="Per unit",IFERROR(INDEX($M$4:$M$15,MATCH(23,$N$4:$N$15,0)),""),IF(23=1,CC_V_GrandVol,""))))</f>
        <v/>
      </c>
      <c r="U26" s="0" t="str">
        <f aca="false">IF(CC_Mode="Per equipment",IFERROR(INDEX($E$4:$E$403,MATCH(23,$I$4:$I$403,0)),""),IF(CC_Mode="Per loop",IFERROR(INDEX($E$4:$E$403,MATCH(23,$H$4:$H$403,0)),""),IF(CC_Mode="Per unit",IFERROR(INDEX($L$4:$L$15,MATCH(23,$N$4:$N$15,0)),""),IF(23=1,CC_Net,""))))</f>
        <v/>
      </c>
    </row>
    <row r="27" customFormat="false" ht="15" hidden="false" customHeight="false" outlineLevel="0" collapsed="false">
      <c r="A27" s="0" t="s">
        <v>335</v>
      </c>
      <c r="B27" s="0" t="str">
        <f aca="false">'CC Summary'!C45&amp;IF(INDEX(CC_LoopD,24)="",""," – "&amp;INDEX(CC_LoopD,24))&amp;" ("&amp;'CC Summary'!D45&amp;" item"&amp;IF('CC Summary'!D45=1,"","s")&amp;")"</f>
        <v>Loop 24 (0 items)</v>
      </c>
      <c r="C27" s="0" t="s">
        <v>221</v>
      </c>
      <c r="D27" s="97" t="n">
        <f aca="false">'CC Summary'!E45</f>
        <v>0</v>
      </c>
      <c r="E27" s="98" t="n">
        <f aca="false">'CC Summary'!J45</f>
        <v>0</v>
      </c>
      <c r="F27" s="96" t="n">
        <f aca="false">IF('CC Summary'!D45&gt;0,1,0)</f>
        <v>0</v>
      </c>
      <c r="G27" s="0" t="n">
        <v>0</v>
      </c>
      <c r="H27" s="0" t="str">
        <f aca="false">IF(F27=1,COUNTIF($F$4:F27,1),"")</f>
        <v/>
      </c>
      <c r="I27" s="0" t="str">
        <f aca="false">IF(G27=1,COUNTIF($G$4:G27,1),"")</f>
        <v/>
      </c>
      <c r="R27" s="0" t="str">
        <f aca="false">IF(CC_Mode="Per equipment",IFERROR(INDEX($B$4:$B$403,MATCH(24,$I$4:$I$403,0)),""),IF(CC_Mode="Per loop",IFERROR(INDEX($B$4:$B$403,MATCH(24,$H$4:$H$403,0)),""),IF(CC_Mode="Per unit",IFERROR("Chemical cleaning – "&amp;INDEX($K$4:$K$15,MATCH(24,$N$4:$N$15,0)),""),IF(24=1,"LUMP SUM – "&amp;QProject,""))))</f>
        <v/>
      </c>
      <c r="S27" s="0" t="str">
        <f aca="false">IF(CC_Mode="Per equipment",IFERROR(INDEX($C$4:$C$403,MATCH(24,$I$4:$I$403,0)),""),IF(CC_Mode="Per loop",IFERROR(INDEX($C$4:$C$403,MATCH(24,$H$4:$H$403,0)),""),IF(CC_Mode="Per unit",IFERROR(INDEX($K$4:$K$15,MATCH(24,$N$4:$N$15,0)),""),IF(24=1,"All units",""))))</f>
        <v/>
      </c>
      <c r="T27" s="0" t="str">
        <f aca="false">IF(CC_Mode="Per equipment",IFERROR(INDEX($D$4:$D$403,MATCH(24,$I$4:$I$403,0)),""),IF(CC_Mode="Per loop",IFERROR(INDEX($D$4:$D$403,MATCH(24,$H$4:$H$403,0)),""),IF(CC_Mode="Per unit",IFERROR(INDEX($M$4:$M$15,MATCH(24,$N$4:$N$15,0)),""),IF(24=1,CC_V_GrandVol,""))))</f>
        <v/>
      </c>
      <c r="U27" s="0" t="str">
        <f aca="false">IF(CC_Mode="Per equipment",IFERROR(INDEX($E$4:$E$403,MATCH(24,$I$4:$I$403,0)),""),IF(CC_Mode="Per loop",IFERROR(INDEX($E$4:$E$403,MATCH(24,$H$4:$H$403,0)),""),IF(CC_Mode="Per unit",IFERROR(INDEX($L$4:$L$15,MATCH(24,$N$4:$N$15,0)),""),IF(24=1,CC_Net,""))))</f>
        <v/>
      </c>
    </row>
    <row r="28" customFormat="false" ht="15" hidden="false" customHeight="false" outlineLevel="0" collapsed="false">
      <c r="A28" s="0" t="s">
        <v>335</v>
      </c>
      <c r="B28" s="0" t="str">
        <f aca="false">'CC Summary'!C46&amp;IF(INDEX(CC_LoopD,25)="",""," – "&amp;INDEX(CC_LoopD,25))&amp;" ("&amp;'CC Summary'!D46&amp;" item"&amp;IF('CC Summary'!D46=1,"","s")&amp;")"</f>
        <v>Loop 25 (0 items)</v>
      </c>
      <c r="C28" s="0" t="s">
        <v>221</v>
      </c>
      <c r="D28" s="97" t="n">
        <f aca="false">'CC Summary'!E46</f>
        <v>0</v>
      </c>
      <c r="E28" s="98" t="n">
        <f aca="false">'CC Summary'!J46</f>
        <v>0</v>
      </c>
      <c r="F28" s="96" t="n">
        <f aca="false">IF('CC Summary'!D46&gt;0,1,0)</f>
        <v>0</v>
      </c>
      <c r="G28" s="0" t="n">
        <v>0</v>
      </c>
      <c r="H28" s="0" t="str">
        <f aca="false">IF(F28=1,COUNTIF($F$4:F28,1),"")</f>
        <v/>
      </c>
      <c r="I28" s="0" t="str">
        <f aca="false">IF(G28=1,COUNTIF($G$4:G28,1),"")</f>
        <v/>
      </c>
      <c r="R28" s="0" t="str">
        <f aca="false">IF(CC_Mode="Per equipment",IFERROR(INDEX($B$4:$B$403,MATCH(25,$I$4:$I$403,0)),""),IF(CC_Mode="Per loop",IFERROR(INDEX($B$4:$B$403,MATCH(25,$H$4:$H$403,0)),""),IF(CC_Mode="Per unit",IFERROR("Chemical cleaning – "&amp;INDEX($K$4:$K$15,MATCH(25,$N$4:$N$15,0)),""),IF(25=1,"LUMP SUM – "&amp;QProject,""))))</f>
        <v/>
      </c>
      <c r="S28" s="0" t="str">
        <f aca="false">IF(CC_Mode="Per equipment",IFERROR(INDEX($C$4:$C$403,MATCH(25,$I$4:$I$403,0)),""),IF(CC_Mode="Per loop",IFERROR(INDEX($C$4:$C$403,MATCH(25,$H$4:$H$403,0)),""),IF(CC_Mode="Per unit",IFERROR(INDEX($K$4:$K$15,MATCH(25,$N$4:$N$15,0)),""),IF(25=1,"All units",""))))</f>
        <v/>
      </c>
      <c r="T28" s="0" t="str">
        <f aca="false">IF(CC_Mode="Per equipment",IFERROR(INDEX($D$4:$D$403,MATCH(25,$I$4:$I$403,0)),""),IF(CC_Mode="Per loop",IFERROR(INDEX($D$4:$D$403,MATCH(25,$H$4:$H$403,0)),""),IF(CC_Mode="Per unit",IFERROR(INDEX($M$4:$M$15,MATCH(25,$N$4:$N$15,0)),""),IF(25=1,CC_V_GrandVol,""))))</f>
        <v/>
      </c>
      <c r="U28" s="0" t="str">
        <f aca="false">IF(CC_Mode="Per equipment",IFERROR(INDEX($E$4:$E$403,MATCH(25,$I$4:$I$403,0)),""),IF(CC_Mode="Per loop",IFERROR(INDEX($E$4:$E$403,MATCH(25,$H$4:$H$403,0)),""),IF(CC_Mode="Per unit",IFERROR(INDEX($L$4:$L$15,MATCH(25,$N$4:$N$15,0)),""),IF(25=1,CC_Net,""))))</f>
        <v/>
      </c>
    </row>
    <row r="29" customFormat="false" ht="15" hidden="false" customHeight="false" outlineLevel="0" collapsed="false">
      <c r="A29" s="0" t="s">
        <v>335</v>
      </c>
      <c r="B29" s="0" t="str">
        <f aca="false">'CC Summary'!C47&amp;IF(INDEX(CC_LoopD,26)="",""," – "&amp;INDEX(CC_LoopD,26))&amp;" ("&amp;'CC Summary'!D47&amp;" item"&amp;IF('CC Summary'!D47=1,"","s")&amp;")"</f>
        <v>Loop 26 (0 items)</v>
      </c>
      <c r="C29" s="0" t="s">
        <v>221</v>
      </c>
      <c r="D29" s="97" t="n">
        <f aca="false">'CC Summary'!E47</f>
        <v>0</v>
      </c>
      <c r="E29" s="98" t="n">
        <f aca="false">'CC Summary'!J47</f>
        <v>0</v>
      </c>
      <c r="F29" s="96" t="n">
        <f aca="false">IF('CC Summary'!D47&gt;0,1,0)</f>
        <v>0</v>
      </c>
      <c r="G29" s="0" t="n">
        <v>0</v>
      </c>
      <c r="H29" s="0" t="str">
        <f aca="false">IF(F29=1,COUNTIF($F$4:F29,1),"")</f>
        <v/>
      </c>
      <c r="I29" s="0" t="str">
        <f aca="false">IF(G29=1,COUNTIF($G$4:G29,1),"")</f>
        <v/>
      </c>
      <c r="R29" s="0" t="str">
        <f aca="false">IF(CC_Mode="Per equipment",IFERROR(INDEX($B$4:$B$403,MATCH(26,$I$4:$I$403,0)),""),IF(CC_Mode="Per loop",IFERROR(INDEX($B$4:$B$403,MATCH(26,$H$4:$H$403,0)),""),IF(CC_Mode="Per unit",IFERROR("Chemical cleaning – "&amp;INDEX($K$4:$K$15,MATCH(26,$N$4:$N$15,0)),""),IF(26=1,"LUMP SUM – "&amp;QProject,""))))</f>
        <v/>
      </c>
      <c r="S29" s="0" t="str">
        <f aca="false">IF(CC_Mode="Per equipment",IFERROR(INDEX($C$4:$C$403,MATCH(26,$I$4:$I$403,0)),""),IF(CC_Mode="Per loop",IFERROR(INDEX($C$4:$C$403,MATCH(26,$H$4:$H$403,0)),""),IF(CC_Mode="Per unit",IFERROR(INDEX($K$4:$K$15,MATCH(26,$N$4:$N$15,0)),""),IF(26=1,"All units",""))))</f>
        <v/>
      </c>
      <c r="T29" s="0" t="str">
        <f aca="false">IF(CC_Mode="Per equipment",IFERROR(INDEX($D$4:$D$403,MATCH(26,$I$4:$I$403,0)),""),IF(CC_Mode="Per loop",IFERROR(INDEX($D$4:$D$403,MATCH(26,$H$4:$H$403,0)),""),IF(CC_Mode="Per unit",IFERROR(INDEX($M$4:$M$15,MATCH(26,$N$4:$N$15,0)),""),IF(26=1,CC_V_GrandVol,""))))</f>
        <v/>
      </c>
      <c r="U29" s="0" t="str">
        <f aca="false">IF(CC_Mode="Per equipment",IFERROR(INDEX($E$4:$E$403,MATCH(26,$I$4:$I$403,0)),""),IF(CC_Mode="Per loop",IFERROR(INDEX($E$4:$E$403,MATCH(26,$H$4:$H$403,0)),""),IF(CC_Mode="Per unit",IFERROR(INDEX($L$4:$L$15,MATCH(26,$N$4:$N$15,0)),""),IF(26=1,CC_Net,""))))</f>
        <v/>
      </c>
    </row>
    <row r="30" customFormat="false" ht="15" hidden="false" customHeight="false" outlineLevel="0" collapsed="false">
      <c r="A30" s="0" t="s">
        <v>335</v>
      </c>
      <c r="B30" s="0" t="str">
        <f aca="false">'CC Summary'!C48&amp;IF(INDEX(CC_LoopD,27)="",""," – "&amp;INDEX(CC_LoopD,27))&amp;" ("&amp;'CC Summary'!D48&amp;" item"&amp;IF('CC Summary'!D48=1,"","s")&amp;")"</f>
        <v>Loop 27 (0 items)</v>
      </c>
      <c r="C30" s="0" t="s">
        <v>221</v>
      </c>
      <c r="D30" s="97" t="n">
        <f aca="false">'CC Summary'!E48</f>
        <v>0</v>
      </c>
      <c r="E30" s="98" t="n">
        <f aca="false">'CC Summary'!J48</f>
        <v>0</v>
      </c>
      <c r="F30" s="96" t="n">
        <f aca="false">IF('CC Summary'!D48&gt;0,1,0)</f>
        <v>0</v>
      </c>
      <c r="G30" s="0" t="n">
        <v>0</v>
      </c>
      <c r="H30" s="0" t="str">
        <f aca="false">IF(F30=1,COUNTIF($F$4:F30,1),"")</f>
        <v/>
      </c>
      <c r="I30" s="0" t="str">
        <f aca="false">IF(G30=1,COUNTIF($G$4:G30,1),"")</f>
        <v/>
      </c>
      <c r="R30" s="0" t="str">
        <f aca="false">IF(CC_Mode="Per equipment",IFERROR(INDEX($B$4:$B$403,MATCH(27,$I$4:$I$403,0)),""),IF(CC_Mode="Per loop",IFERROR(INDEX($B$4:$B$403,MATCH(27,$H$4:$H$403,0)),""),IF(CC_Mode="Per unit",IFERROR("Chemical cleaning – "&amp;INDEX($K$4:$K$15,MATCH(27,$N$4:$N$15,0)),""),IF(27=1,"LUMP SUM – "&amp;QProject,""))))</f>
        <v/>
      </c>
      <c r="S30" s="0" t="str">
        <f aca="false">IF(CC_Mode="Per equipment",IFERROR(INDEX($C$4:$C$403,MATCH(27,$I$4:$I$403,0)),""),IF(CC_Mode="Per loop",IFERROR(INDEX($C$4:$C$403,MATCH(27,$H$4:$H$403,0)),""),IF(CC_Mode="Per unit",IFERROR(INDEX($K$4:$K$15,MATCH(27,$N$4:$N$15,0)),""),IF(27=1,"All units",""))))</f>
        <v/>
      </c>
      <c r="T30" s="0" t="str">
        <f aca="false">IF(CC_Mode="Per equipment",IFERROR(INDEX($D$4:$D$403,MATCH(27,$I$4:$I$403,0)),""),IF(CC_Mode="Per loop",IFERROR(INDEX($D$4:$D$403,MATCH(27,$H$4:$H$403,0)),""),IF(CC_Mode="Per unit",IFERROR(INDEX($M$4:$M$15,MATCH(27,$N$4:$N$15,0)),""),IF(27=1,CC_V_GrandVol,""))))</f>
        <v/>
      </c>
      <c r="U30" s="0" t="str">
        <f aca="false">IF(CC_Mode="Per equipment",IFERROR(INDEX($E$4:$E$403,MATCH(27,$I$4:$I$403,0)),""),IF(CC_Mode="Per loop",IFERROR(INDEX($E$4:$E$403,MATCH(27,$H$4:$H$403,0)),""),IF(CC_Mode="Per unit",IFERROR(INDEX($L$4:$L$15,MATCH(27,$N$4:$N$15,0)),""),IF(27=1,CC_Net,""))))</f>
        <v/>
      </c>
    </row>
    <row r="31" customFormat="false" ht="15" hidden="false" customHeight="false" outlineLevel="0" collapsed="false">
      <c r="A31" s="0" t="s">
        <v>335</v>
      </c>
      <c r="B31" s="0" t="str">
        <f aca="false">'CC Summary'!C49&amp;IF(INDEX(CC_LoopD,28)="",""," – "&amp;INDEX(CC_LoopD,28))&amp;" ("&amp;'CC Summary'!D49&amp;" item"&amp;IF('CC Summary'!D49=1,"","s")&amp;")"</f>
        <v>Loop 28 (0 items)</v>
      </c>
      <c r="C31" s="0" t="s">
        <v>221</v>
      </c>
      <c r="D31" s="97" t="n">
        <f aca="false">'CC Summary'!E49</f>
        <v>0</v>
      </c>
      <c r="E31" s="98" t="n">
        <f aca="false">'CC Summary'!J49</f>
        <v>0</v>
      </c>
      <c r="F31" s="96" t="n">
        <f aca="false">IF('CC Summary'!D49&gt;0,1,0)</f>
        <v>0</v>
      </c>
      <c r="G31" s="0" t="n">
        <v>0</v>
      </c>
      <c r="H31" s="0" t="str">
        <f aca="false">IF(F31=1,COUNTIF($F$4:F31,1),"")</f>
        <v/>
      </c>
      <c r="I31" s="0" t="str">
        <f aca="false">IF(G31=1,COUNTIF($G$4:G31,1),"")</f>
        <v/>
      </c>
      <c r="R31" s="0" t="str">
        <f aca="false">IF(CC_Mode="Per equipment",IFERROR(INDEX($B$4:$B$403,MATCH(28,$I$4:$I$403,0)),""),IF(CC_Mode="Per loop",IFERROR(INDEX($B$4:$B$403,MATCH(28,$H$4:$H$403,0)),""),IF(CC_Mode="Per unit",IFERROR("Chemical cleaning – "&amp;INDEX($K$4:$K$15,MATCH(28,$N$4:$N$15,0)),""),IF(28=1,"LUMP SUM – "&amp;QProject,""))))</f>
        <v/>
      </c>
      <c r="S31" s="0" t="str">
        <f aca="false">IF(CC_Mode="Per equipment",IFERROR(INDEX($C$4:$C$403,MATCH(28,$I$4:$I$403,0)),""),IF(CC_Mode="Per loop",IFERROR(INDEX($C$4:$C$403,MATCH(28,$H$4:$H$403,0)),""),IF(CC_Mode="Per unit",IFERROR(INDEX($K$4:$K$15,MATCH(28,$N$4:$N$15,0)),""),IF(28=1,"All units",""))))</f>
        <v/>
      </c>
      <c r="T31" s="0" t="str">
        <f aca="false">IF(CC_Mode="Per equipment",IFERROR(INDEX($D$4:$D$403,MATCH(28,$I$4:$I$403,0)),""),IF(CC_Mode="Per loop",IFERROR(INDEX($D$4:$D$403,MATCH(28,$H$4:$H$403,0)),""),IF(CC_Mode="Per unit",IFERROR(INDEX($M$4:$M$15,MATCH(28,$N$4:$N$15,0)),""),IF(28=1,CC_V_GrandVol,""))))</f>
        <v/>
      </c>
      <c r="U31" s="0" t="str">
        <f aca="false">IF(CC_Mode="Per equipment",IFERROR(INDEX($E$4:$E$403,MATCH(28,$I$4:$I$403,0)),""),IF(CC_Mode="Per loop",IFERROR(INDEX($E$4:$E$403,MATCH(28,$H$4:$H$403,0)),""),IF(CC_Mode="Per unit",IFERROR(INDEX($L$4:$L$15,MATCH(28,$N$4:$N$15,0)),""),IF(28=1,CC_Net,""))))</f>
        <v/>
      </c>
    </row>
    <row r="32" customFormat="false" ht="15" hidden="false" customHeight="false" outlineLevel="0" collapsed="false">
      <c r="A32" s="0" t="s">
        <v>335</v>
      </c>
      <c r="B32" s="0" t="str">
        <f aca="false">'CC Summary'!C50&amp;IF(INDEX(CC_LoopD,29)="",""," – "&amp;INDEX(CC_LoopD,29))&amp;" ("&amp;'CC Summary'!D50&amp;" item"&amp;IF('CC Summary'!D50=1,"","s")&amp;")"</f>
        <v>Loop 29 (0 items)</v>
      </c>
      <c r="C32" s="0" t="s">
        <v>221</v>
      </c>
      <c r="D32" s="97" t="n">
        <f aca="false">'CC Summary'!E50</f>
        <v>0</v>
      </c>
      <c r="E32" s="98" t="n">
        <f aca="false">'CC Summary'!J50</f>
        <v>0</v>
      </c>
      <c r="F32" s="96" t="n">
        <f aca="false">IF('CC Summary'!D50&gt;0,1,0)</f>
        <v>0</v>
      </c>
      <c r="G32" s="0" t="n">
        <v>0</v>
      </c>
      <c r="H32" s="0" t="str">
        <f aca="false">IF(F32=1,COUNTIF($F$4:F32,1),"")</f>
        <v/>
      </c>
      <c r="I32" s="0" t="str">
        <f aca="false">IF(G32=1,COUNTIF($G$4:G32,1),"")</f>
        <v/>
      </c>
      <c r="R32" s="0" t="str">
        <f aca="false">IF(CC_Mode="Per equipment",IFERROR(INDEX($B$4:$B$403,MATCH(29,$I$4:$I$403,0)),""),IF(CC_Mode="Per loop",IFERROR(INDEX($B$4:$B$403,MATCH(29,$H$4:$H$403,0)),""),IF(CC_Mode="Per unit",IFERROR("Chemical cleaning – "&amp;INDEX($K$4:$K$15,MATCH(29,$N$4:$N$15,0)),""),IF(29=1,"LUMP SUM – "&amp;QProject,""))))</f>
        <v/>
      </c>
      <c r="S32" s="0" t="str">
        <f aca="false">IF(CC_Mode="Per equipment",IFERROR(INDEX($C$4:$C$403,MATCH(29,$I$4:$I$403,0)),""),IF(CC_Mode="Per loop",IFERROR(INDEX($C$4:$C$403,MATCH(29,$H$4:$H$403,0)),""),IF(CC_Mode="Per unit",IFERROR(INDEX($K$4:$K$15,MATCH(29,$N$4:$N$15,0)),""),IF(29=1,"All units",""))))</f>
        <v/>
      </c>
      <c r="T32" s="0" t="str">
        <f aca="false">IF(CC_Mode="Per equipment",IFERROR(INDEX($D$4:$D$403,MATCH(29,$I$4:$I$403,0)),""),IF(CC_Mode="Per loop",IFERROR(INDEX($D$4:$D$403,MATCH(29,$H$4:$H$403,0)),""),IF(CC_Mode="Per unit",IFERROR(INDEX($M$4:$M$15,MATCH(29,$N$4:$N$15,0)),""),IF(29=1,CC_V_GrandVol,""))))</f>
        <v/>
      </c>
      <c r="U32" s="0" t="str">
        <f aca="false">IF(CC_Mode="Per equipment",IFERROR(INDEX($E$4:$E$403,MATCH(29,$I$4:$I$403,0)),""),IF(CC_Mode="Per loop",IFERROR(INDEX($E$4:$E$403,MATCH(29,$H$4:$H$403,0)),""),IF(CC_Mode="Per unit",IFERROR(INDEX($L$4:$L$15,MATCH(29,$N$4:$N$15,0)),""),IF(29=1,CC_Net,""))))</f>
        <v/>
      </c>
    </row>
    <row r="33" customFormat="false" ht="15" hidden="false" customHeight="false" outlineLevel="0" collapsed="false">
      <c r="A33" s="0" t="s">
        <v>335</v>
      </c>
      <c r="B33" s="0" t="str">
        <f aca="false">'CC Summary'!C51&amp;IF(INDEX(CC_LoopD,30)="",""," – "&amp;INDEX(CC_LoopD,30))&amp;" ("&amp;'CC Summary'!D51&amp;" item"&amp;IF('CC Summary'!D51=1,"","s")&amp;")"</f>
        <v>Loop 30 (0 items)</v>
      </c>
      <c r="C33" s="0" t="s">
        <v>221</v>
      </c>
      <c r="D33" s="97" t="n">
        <f aca="false">'CC Summary'!E51</f>
        <v>0</v>
      </c>
      <c r="E33" s="98" t="n">
        <f aca="false">'CC Summary'!J51</f>
        <v>0</v>
      </c>
      <c r="F33" s="96" t="n">
        <f aca="false">IF('CC Summary'!D51&gt;0,1,0)</f>
        <v>0</v>
      </c>
      <c r="G33" s="0" t="n">
        <v>0</v>
      </c>
      <c r="H33" s="0" t="str">
        <f aca="false">IF(F33=1,COUNTIF($F$4:F33,1),"")</f>
        <v/>
      </c>
      <c r="I33" s="0" t="str">
        <f aca="false">IF(G33=1,COUNTIF($G$4:G33,1),"")</f>
        <v/>
      </c>
      <c r="R33" s="0" t="str">
        <f aca="false">IF(CC_Mode="Per equipment",IFERROR(INDEX($B$4:$B$403,MATCH(30,$I$4:$I$403,0)),""),IF(CC_Mode="Per loop",IFERROR(INDEX($B$4:$B$403,MATCH(30,$H$4:$H$403,0)),""),IF(CC_Mode="Per unit",IFERROR("Chemical cleaning – "&amp;INDEX($K$4:$K$15,MATCH(30,$N$4:$N$15,0)),""),IF(30=1,"LUMP SUM – "&amp;QProject,""))))</f>
        <v/>
      </c>
      <c r="S33" s="0" t="str">
        <f aca="false">IF(CC_Mode="Per equipment",IFERROR(INDEX($C$4:$C$403,MATCH(30,$I$4:$I$403,0)),""),IF(CC_Mode="Per loop",IFERROR(INDEX($C$4:$C$403,MATCH(30,$H$4:$H$403,0)),""),IF(CC_Mode="Per unit",IFERROR(INDEX($K$4:$K$15,MATCH(30,$N$4:$N$15,0)),""),IF(30=1,"All units",""))))</f>
        <v/>
      </c>
      <c r="T33" s="0" t="str">
        <f aca="false">IF(CC_Mode="Per equipment",IFERROR(INDEX($D$4:$D$403,MATCH(30,$I$4:$I$403,0)),""),IF(CC_Mode="Per loop",IFERROR(INDEX($D$4:$D$403,MATCH(30,$H$4:$H$403,0)),""),IF(CC_Mode="Per unit",IFERROR(INDEX($M$4:$M$15,MATCH(30,$N$4:$N$15,0)),""),IF(30=1,CC_V_GrandVol,""))))</f>
        <v/>
      </c>
      <c r="U33" s="0" t="str">
        <f aca="false">IF(CC_Mode="Per equipment",IFERROR(INDEX($E$4:$E$403,MATCH(30,$I$4:$I$403,0)),""),IF(CC_Mode="Per loop",IFERROR(INDEX($E$4:$E$403,MATCH(30,$H$4:$H$403,0)),""),IF(CC_Mode="Per unit",IFERROR(INDEX($L$4:$L$15,MATCH(30,$N$4:$N$15,0)),""),IF(30=1,CC_Net,""))))</f>
        <v/>
      </c>
    </row>
    <row r="34" customFormat="false" ht="15" hidden="false" customHeight="false" outlineLevel="0" collapsed="false">
      <c r="A34" s="0" t="s">
        <v>335</v>
      </c>
      <c r="B34" s="0" t="str">
        <f aca="false">'CC Summary'!C52&amp;IF(INDEX(CC_LoopD,31)="",""," – "&amp;INDEX(CC_LoopD,31))&amp;" ("&amp;'CC Summary'!D52&amp;" item"&amp;IF('CC Summary'!D52=1,"","s")&amp;")"</f>
        <v>Loop 31 (0 items)</v>
      </c>
      <c r="C34" s="0" t="s">
        <v>221</v>
      </c>
      <c r="D34" s="97" t="n">
        <f aca="false">'CC Summary'!E52</f>
        <v>0</v>
      </c>
      <c r="E34" s="98" t="n">
        <f aca="false">'CC Summary'!J52</f>
        <v>0</v>
      </c>
      <c r="F34" s="96" t="n">
        <f aca="false">IF('CC Summary'!D52&gt;0,1,0)</f>
        <v>0</v>
      </c>
      <c r="G34" s="0" t="n">
        <v>0</v>
      </c>
      <c r="H34" s="0" t="str">
        <f aca="false">IF(F34=1,COUNTIF($F$4:F34,1),"")</f>
        <v/>
      </c>
      <c r="I34" s="0" t="str">
        <f aca="false">IF(G34=1,COUNTIF($G$4:G34,1),"")</f>
        <v/>
      </c>
      <c r="R34" s="0" t="str">
        <f aca="false">IF(CC_Mode="Per equipment",IFERROR(INDEX($B$4:$B$403,MATCH(31,$I$4:$I$403,0)),""),IF(CC_Mode="Per loop",IFERROR(INDEX($B$4:$B$403,MATCH(31,$H$4:$H$403,0)),""),IF(CC_Mode="Per unit",IFERROR("Chemical cleaning – "&amp;INDEX($K$4:$K$15,MATCH(31,$N$4:$N$15,0)),""),IF(31=1,"LUMP SUM – "&amp;QProject,""))))</f>
        <v/>
      </c>
      <c r="S34" s="0" t="str">
        <f aca="false">IF(CC_Mode="Per equipment",IFERROR(INDEX($C$4:$C$403,MATCH(31,$I$4:$I$403,0)),""),IF(CC_Mode="Per loop",IFERROR(INDEX($C$4:$C$403,MATCH(31,$H$4:$H$403,0)),""),IF(CC_Mode="Per unit",IFERROR(INDEX($K$4:$K$15,MATCH(31,$N$4:$N$15,0)),""),IF(31=1,"All units",""))))</f>
        <v/>
      </c>
      <c r="T34" s="0" t="str">
        <f aca="false">IF(CC_Mode="Per equipment",IFERROR(INDEX($D$4:$D$403,MATCH(31,$I$4:$I$403,0)),""),IF(CC_Mode="Per loop",IFERROR(INDEX($D$4:$D$403,MATCH(31,$H$4:$H$403,0)),""),IF(CC_Mode="Per unit",IFERROR(INDEX($M$4:$M$15,MATCH(31,$N$4:$N$15,0)),""),IF(31=1,CC_V_GrandVol,""))))</f>
        <v/>
      </c>
      <c r="U34" s="0" t="str">
        <f aca="false">IF(CC_Mode="Per equipment",IFERROR(INDEX($E$4:$E$403,MATCH(31,$I$4:$I$403,0)),""),IF(CC_Mode="Per loop",IFERROR(INDEX($E$4:$E$403,MATCH(31,$H$4:$H$403,0)),""),IF(CC_Mode="Per unit",IFERROR(INDEX($L$4:$L$15,MATCH(31,$N$4:$N$15,0)),""),IF(31=1,CC_Net,""))))</f>
        <v/>
      </c>
    </row>
    <row r="35" customFormat="false" ht="15" hidden="false" customHeight="false" outlineLevel="0" collapsed="false">
      <c r="A35" s="0" t="s">
        <v>335</v>
      </c>
      <c r="B35" s="0" t="str">
        <f aca="false">'CC Summary'!C53&amp;IF(INDEX(CC_LoopD,32)="",""," – "&amp;INDEX(CC_LoopD,32))&amp;" ("&amp;'CC Summary'!D53&amp;" item"&amp;IF('CC Summary'!D53=1,"","s")&amp;")"</f>
        <v>Loop 32 (0 items)</v>
      </c>
      <c r="C35" s="0" t="s">
        <v>221</v>
      </c>
      <c r="D35" s="97" t="n">
        <f aca="false">'CC Summary'!E53</f>
        <v>0</v>
      </c>
      <c r="E35" s="98" t="n">
        <f aca="false">'CC Summary'!J53</f>
        <v>0</v>
      </c>
      <c r="F35" s="96" t="n">
        <f aca="false">IF('CC Summary'!D53&gt;0,1,0)</f>
        <v>0</v>
      </c>
      <c r="G35" s="0" t="n">
        <v>0</v>
      </c>
      <c r="H35" s="0" t="str">
        <f aca="false">IF(F35=1,COUNTIF($F$4:F35,1),"")</f>
        <v/>
      </c>
      <c r="I35" s="0" t="str">
        <f aca="false">IF(G35=1,COUNTIF($G$4:G35,1),"")</f>
        <v/>
      </c>
      <c r="R35" s="0" t="str">
        <f aca="false">IF(CC_Mode="Per equipment",IFERROR(INDEX($B$4:$B$403,MATCH(32,$I$4:$I$403,0)),""),IF(CC_Mode="Per loop",IFERROR(INDEX($B$4:$B$403,MATCH(32,$H$4:$H$403,0)),""),IF(CC_Mode="Per unit",IFERROR("Chemical cleaning – "&amp;INDEX($K$4:$K$15,MATCH(32,$N$4:$N$15,0)),""),IF(32=1,"LUMP SUM – "&amp;QProject,""))))</f>
        <v/>
      </c>
      <c r="S35" s="0" t="str">
        <f aca="false">IF(CC_Mode="Per equipment",IFERROR(INDEX($C$4:$C$403,MATCH(32,$I$4:$I$403,0)),""),IF(CC_Mode="Per loop",IFERROR(INDEX($C$4:$C$403,MATCH(32,$H$4:$H$403,0)),""),IF(CC_Mode="Per unit",IFERROR(INDEX($K$4:$K$15,MATCH(32,$N$4:$N$15,0)),""),IF(32=1,"All units",""))))</f>
        <v/>
      </c>
      <c r="T35" s="0" t="str">
        <f aca="false">IF(CC_Mode="Per equipment",IFERROR(INDEX($D$4:$D$403,MATCH(32,$I$4:$I$403,0)),""),IF(CC_Mode="Per loop",IFERROR(INDEX($D$4:$D$403,MATCH(32,$H$4:$H$403,0)),""),IF(CC_Mode="Per unit",IFERROR(INDEX($M$4:$M$15,MATCH(32,$N$4:$N$15,0)),""),IF(32=1,CC_V_GrandVol,""))))</f>
        <v/>
      </c>
      <c r="U35" s="0" t="str">
        <f aca="false">IF(CC_Mode="Per equipment",IFERROR(INDEX($E$4:$E$403,MATCH(32,$I$4:$I$403,0)),""),IF(CC_Mode="Per loop",IFERROR(INDEX($E$4:$E$403,MATCH(32,$H$4:$H$403,0)),""),IF(CC_Mode="Per unit",IFERROR(INDEX($L$4:$L$15,MATCH(32,$N$4:$N$15,0)),""),IF(32=1,CC_Net,""))))</f>
        <v/>
      </c>
    </row>
    <row r="36" customFormat="false" ht="15" hidden="false" customHeight="false" outlineLevel="0" collapsed="false">
      <c r="A36" s="0" t="s">
        <v>335</v>
      </c>
      <c r="B36" s="0" t="str">
        <f aca="false">'CC Summary'!C54&amp;IF(INDEX(CC_LoopD,33)="",""," – "&amp;INDEX(CC_LoopD,33))&amp;" ("&amp;'CC Summary'!D54&amp;" item"&amp;IF('CC Summary'!D54=1,"","s")&amp;")"</f>
        <v>Loop 33 (0 items)</v>
      </c>
      <c r="C36" s="0" t="s">
        <v>221</v>
      </c>
      <c r="D36" s="97" t="n">
        <f aca="false">'CC Summary'!E54</f>
        <v>0</v>
      </c>
      <c r="E36" s="98" t="n">
        <f aca="false">'CC Summary'!J54</f>
        <v>0</v>
      </c>
      <c r="F36" s="96" t="n">
        <f aca="false">IF('CC Summary'!D54&gt;0,1,0)</f>
        <v>0</v>
      </c>
      <c r="G36" s="0" t="n">
        <v>0</v>
      </c>
      <c r="H36" s="0" t="str">
        <f aca="false">IF(F36=1,COUNTIF($F$4:F36,1),"")</f>
        <v/>
      </c>
      <c r="I36" s="0" t="str">
        <f aca="false">IF(G36=1,COUNTIF($G$4:G36,1),"")</f>
        <v/>
      </c>
      <c r="R36" s="0" t="str">
        <f aca="false">IF(CC_Mode="Per equipment",IFERROR(INDEX($B$4:$B$403,MATCH(33,$I$4:$I$403,0)),""),IF(CC_Mode="Per loop",IFERROR(INDEX($B$4:$B$403,MATCH(33,$H$4:$H$403,0)),""),IF(CC_Mode="Per unit",IFERROR("Chemical cleaning – "&amp;INDEX($K$4:$K$15,MATCH(33,$N$4:$N$15,0)),""),IF(33=1,"LUMP SUM – "&amp;QProject,""))))</f>
        <v/>
      </c>
      <c r="S36" s="0" t="str">
        <f aca="false">IF(CC_Mode="Per equipment",IFERROR(INDEX($C$4:$C$403,MATCH(33,$I$4:$I$403,0)),""),IF(CC_Mode="Per loop",IFERROR(INDEX($C$4:$C$403,MATCH(33,$H$4:$H$403,0)),""),IF(CC_Mode="Per unit",IFERROR(INDEX($K$4:$K$15,MATCH(33,$N$4:$N$15,0)),""),IF(33=1,"All units",""))))</f>
        <v/>
      </c>
      <c r="T36" s="0" t="str">
        <f aca="false">IF(CC_Mode="Per equipment",IFERROR(INDEX($D$4:$D$403,MATCH(33,$I$4:$I$403,0)),""),IF(CC_Mode="Per loop",IFERROR(INDEX($D$4:$D$403,MATCH(33,$H$4:$H$403,0)),""),IF(CC_Mode="Per unit",IFERROR(INDEX($M$4:$M$15,MATCH(33,$N$4:$N$15,0)),""),IF(33=1,CC_V_GrandVol,""))))</f>
        <v/>
      </c>
      <c r="U36" s="0" t="str">
        <f aca="false">IF(CC_Mode="Per equipment",IFERROR(INDEX($E$4:$E$403,MATCH(33,$I$4:$I$403,0)),""),IF(CC_Mode="Per loop",IFERROR(INDEX($E$4:$E$403,MATCH(33,$H$4:$H$403,0)),""),IF(CC_Mode="Per unit",IFERROR(INDEX($L$4:$L$15,MATCH(33,$N$4:$N$15,0)),""),IF(33=1,CC_Net,""))))</f>
        <v/>
      </c>
    </row>
    <row r="37" customFormat="false" ht="15" hidden="false" customHeight="false" outlineLevel="0" collapsed="false">
      <c r="A37" s="0" t="s">
        <v>335</v>
      </c>
      <c r="B37" s="0" t="str">
        <f aca="false">'CC Summary'!C55&amp;IF(INDEX(CC_LoopD,34)="",""," – "&amp;INDEX(CC_LoopD,34))&amp;" ("&amp;'CC Summary'!D55&amp;" item"&amp;IF('CC Summary'!D55=1,"","s")&amp;")"</f>
        <v>Loop 34 (0 items)</v>
      </c>
      <c r="C37" s="0" t="s">
        <v>221</v>
      </c>
      <c r="D37" s="97" t="n">
        <f aca="false">'CC Summary'!E55</f>
        <v>0</v>
      </c>
      <c r="E37" s="98" t="n">
        <f aca="false">'CC Summary'!J55</f>
        <v>0</v>
      </c>
      <c r="F37" s="96" t="n">
        <f aca="false">IF('CC Summary'!D55&gt;0,1,0)</f>
        <v>0</v>
      </c>
      <c r="G37" s="0" t="n">
        <v>0</v>
      </c>
      <c r="H37" s="0" t="str">
        <f aca="false">IF(F37=1,COUNTIF($F$4:F37,1),"")</f>
        <v/>
      </c>
      <c r="I37" s="0" t="str">
        <f aca="false">IF(G37=1,COUNTIF($G$4:G37,1),"")</f>
        <v/>
      </c>
      <c r="R37" s="0" t="str">
        <f aca="false">IF(CC_Mode="Per equipment",IFERROR(INDEX($B$4:$B$403,MATCH(34,$I$4:$I$403,0)),""),IF(CC_Mode="Per loop",IFERROR(INDEX($B$4:$B$403,MATCH(34,$H$4:$H$403,0)),""),IF(CC_Mode="Per unit",IFERROR("Chemical cleaning – "&amp;INDEX($K$4:$K$15,MATCH(34,$N$4:$N$15,0)),""),IF(34=1,"LUMP SUM – "&amp;QProject,""))))</f>
        <v/>
      </c>
      <c r="S37" s="0" t="str">
        <f aca="false">IF(CC_Mode="Per equipment",IFERROR(INDEX($C$4:$C$403,MATCH(34,$I$4:$I$403,0)),""),IF(CC_Mode="Per loop",IFERROR(INDEX($C$4:$C$403,MATCH(34,$H$4:$H$403,0)),""),IF(CC_Mode="Per unit",IFERROR(INDEX($K$4:$K$15,MATCH(34,$N$4:$N$15,0)),""),IF(34=1,"All units",""))))</f>
        <v/>
      </c>
      <c r="T37" s="0" t="str">
        <f aca="false">IF(CC_Mode="Per equipment",IFERROR(INDEX($D$4:$D$403,MATCH(34,$I$4:$I$403,0)),""),IF(CC_Mode="Per loop",IFERROR(INDEX($D$4:$D$403,MATCH(34,$H$4:$H$403,0)),""),IF(CC_Mode="Per unit",IFERROR(INDEX($M$4:$M$15,MATCH(34,$N$4:$N$15,0)),""),IF(34=1,CC_V_GrandVol,""))))</f>
        <v/>
      </c>
      <c r="U37" s="0" t="str">
        <f aca="false">IF(CC_Mode="Per equipment",IFERROR(INDEX($E$4:$E$403,MATCH(34,$I$4:$I$403,0)),""),IF(CC_Mode="Per loop",IFERROR(INDEX($E$4:$E$403,MATCH(34,$H$4:$H$403,0)),""),IF(CC_Mode="Per unit",IFERROR(INDEX($L$4:$L$15,MATCH(34,$N$4:$N$15,0)),""),IF(34=1,CC_Net,""))))</f>
        <v/>
      </c>
    </row>
    <row r="38" customFormat="false" ht="15" hidden="false" customHeight="false" outlineLevel="0" collapsed="false">
      <c r="A38" s="0" t="s">
        <v>335</v>
      </c>
      <c r="B38" s="0" t="str">
        <f aca="false">'CC Summary'!C56&amp;IF(INDEX(CC_LoopD,35)="",""," – "&amp;INDEX(CC_LoopD,35))&amp;" ("&amp;'CC Summary'!D56&amp;" item"&amp;IF('CC Summary'!D56=1,"","s")&amp;")"</f>
        <v>Loop 35 (0 items)</v>
      </c>
      <c r="C38" s="0" t="s">
        <v>221</v>
      </c>
      <c r="D38" s="97" t="n">
        <f aca="false">'CC Summary'!E56</f>
        <v>0</v>
      </c>
      <c r="E38" s="98" t="n">
        <f aca="false">'CC Summary'!J56</f>
        <v>0</v>
      </c>
      <c r="F38" s="96" t="n">
        <f aca="false">IF('CC Summary'!D56&gt;0,1,0)</f>
        <v>0</v>
      </c>
      <c r="G38" s="0" t="n">
        <v>0</v>
      </c>
      <c r="H38" s="0" t="str">
        <f aca="false">IF(F38=1,COUNTIF($F$4:F38,1),"")</f>
        <v/>
      </c>
      <c r="I38" s="0" t="str">
        <f aca="false">IF(G38=1,COUNTIF($G$4:G38,1),"")</f>
        <v/>
      </c>
      <c r="R38" s="0" t="str">
        <f aca="false">IF(CC_Mode="Per equipment",IFERROR(INDEX($B$4:$B$403,MATCH(35,$I$4:$I$403,0)),""),IF(CC_Mode="Per loop",IFERROR(INDEX($B$4:$B$403,MATCH(35,$H$4:$H$403,0)),""),IF(CC_Mode="Per unit",IFERROR("Chemical cleaning – "&amp;INDEX($K$4:$K$15,MATCH(35,$N$4:$N$15,0)),""),IF(35=1,"LUMP SUM – "&amp;QProject,""))))</f>
        <v/>
      </c>
      <c r="S38" s="0" t="str">
        <f aca="false">IF(CC_Mode="Per equipment",IFERROR(INDEX($C$4:$C$403,MATCH(35,$I$4:$I$403,0)),""),IF(CC_Mode="Per loop",IFERROR(INDEX($C$4:$C$403,MATCH(35,$H$4:$H$403,0)),""),IF(CC_Mode="Per unit",IFERROR(INDEX($K$4:$K$15,MATCH(35,$N$4:$N$15,0)),""),IF(35=1,"All units",""))))</f>
        <v/>
      </c>
      <c r="T38" s="0" t="str">
        <f aca="false">IF(CC_Mode="Per equipment",IFERROR(INDEX($D$4:$D$403,MATCH(35,$I$4:$I$403,0)),""),IF(CC_Mode="Per loop",IFERROR(INDEX($D$4:$D$403,MATCH(35,$H$4:$H$403,0)),""),IF(CC_Mode="Per unit",IFERROR(INDEX($M$4:$M$15,MATCH(35,$N$4:$N$15,0)),""),IF(35=1,CC_V_GrandVol,""))))</f>
        <v/>
      </c>
      <c r="U38" s="0" t="str">
        <f aca="false">IF(CC_Mode="Per equipment",IFERROR(INDEX($E$4:$E$403,MATCH(35,$I$4:$I$403,0)),""),IF(CC_Mode="Per loop",IFERROR(INDEX($E$4:$E$403,MATCH(35,$H$4:$H$403,0)),""),IF(CC_Mode="Per unit",IFERROR(INDEX($L$4:$L$15,MATCH(35,$N$4:$N$15,0)),""),IF(35=1,CC_Net,""))))</f>
        <v/>
      </c>
    </row>
    <row r="39" customFormat="false" ht="15" hidden="false" customHeight="false" outlineLevel="0" collapsed="false">
      <c r="A39" s="0" t="s">
        <v>335</v>
      </c>
      <c r="B39" s="0" t="str">
        <f aca="false">'CC Summary'!C57&amp;IF(INDEX(CC_LoopD,36)="",""," – "&amp;INDEX(CC_LoopD,36))&amp;" ("&amp;'CC Summary'!D57&amp;" item"&amp;IF('CC Summary'!D57=1,"","s")&amp;")"</f>
        <v>Loop 36 (0 items)</v>
      </c>
      <c r="C39" s="0" t="s">
        <v>221</v>
      </c>
      <c r="D39" s="97" t="n">
        <f aca="false">'CC Summary'!E57</f>
        <v>0</v>
      </c>
      <c r="E39" s="98" t="n">
        <f aca="false">'CC Summary'!J57</f>
        <v>0</v>
      </c>
      <c r="F39" s="96" t="n">
        <f aca="false">IF('CC Summary'!D57&gt;0,1,0)</f>
        <v>0</v>
      </c>
      <c r="G39" s="0" t="n">
        <v>0</v>
      </c>
      <c r="H39" s="0" t="str">
        <f aca="false">IF(F39=1,COUNTIF($F$4:F39,1),"")</f>
        <v/>
      </c>
      <c r="I39" s="0" t="str">
        <f aca="false">IF(G39=1,COUNTIF($G$4:G39,1),"")</f>
        <v/>
      </c>
      <c r="R39" s="0" t="str">
        <f aca="false">IF(CC_Mode="Per equipment",IFERROR(INDEX($B$4:$B$403,MATCH(36,$I$4:$I$403,0)),""),IF(CC_Mode="Per loop",IFERROR(INDEX($B$4:$B$403,MATCH(36,$H$4:$H$403,0)),""),IF(CC_Mode="Per unit",IFERROR("Chemical cleaning – "&amp;INDEX($K$4:$K$15,MATCH(36,$N$4:$N$15,0)),""),IF(36=1,"LUMP SUM – "&amp;QProject,""))))</f>
        <v/>
      </c>
      <c r="S39" s="0" t="str">
        <f aca="false">IF(CC_Mode="Per equipment",IFERROR(INDEX($C$4:$C$403,MATCH(36,$I$4:$I$403,0)),""),IF(CC_Mode="Per loop",IFERROR(INDEX($C$4:$C$403,MATCH(36,$H$4:$H$403,0)),""),IF(CC_Mode="Per unit",IFERROR(INDEX($K$4:$K$15,MATCH(36,$N$4:$N$15,0)),""),IF(36=1,"All units",""))))</f>
        <v/>
      </c>
      <c r="T39" s="0" t="str">
        <f aca="false">IF(CC_Mode="Per equipment",IFERROR(INDEX($D$4:$D$403,MATCH(36,$I$4:$I$403,0)),""),IF(CC_Mode="Per loop",IFERROR(INDEX($D$4:$D$403,MATCH(36,$H$4:$H$403,0)),""),IF(CC_Mode="Per unit",IFERROR(INDEX($M$4:$M$15,MATCH(36,$N$4:$N$15,0)),""),IF(36=1,CC_V_GrandVol,""))))</f>
        <v/>
      </c>
      <c r="U39" s="0" t="str">
        <f aca="false">IF(CC_Mode="Per equipment",IFERROR(INDEX($E$4:$E$403,MATCH(36,$I$4:$I$403,0)),""),IF(CC_Mode="Per loop",IFERROR(INDEX($E$4:$E$403,MATCH(36,$H$4:$H$403,0)),""),IF(CC_Mode="Per unit",IFERROR(INDEX($L$4:$L$15,MATCH(36,$N$4:$N$15,0)),""),IF(36=1,CC_Net,""))))</f>
        <v/>
      </c>
    </row>
    <row r="40" customFormat="false" ht="15" hidden="false" customHeight="false" outlineLevel="0" collapsed="false">
      <c r="A40" s="0" t="s">
        <v>335</v>
      </c>
      <c r="B40" s="0" t="str">
        <f aca="false">'CC Summary'!C58&amp;IF(INDEX(CC_LoopD,37)="",""," – "&amp;INDEX(CC_LoopD,37))&amp;" ("&amp;'CC Summary'!D58&amp;" item"&amp;IF('CC Summary'!D58=1,"","s")&amp;")"</f>
        <v>Loop 37 (0 items)</v>
      </c>
      <c r="C40" s="0" t="s">
        <v>221</v>
      </c>
      <c r="D40" s="97" t="n">
        <f aca="false">'CC Summary'!E58</f>
        <v>0</v>
      </c>
      <c r="E40" s="98" t="n">
        <f aca="false">'CC Summary'!J58</f>
        <v>0</v>
      </c>
      <c r="F40" s="96" t="n">
        <f aca="false">IF('CC Summary'!D58&gt;0,1,0)</f>
        <v>0</v>
      </c>
      <c r="G40" s="0" t="n">
        <v>0</v>
      </c>
      <c r="H40" s="0" t="str">
        <f aca="false">IF(F40=1,COUNTIF($F$4:F40,1),"")</f>
        <v/>
      </c>
      <c r="I40" s="0" t="str">
        <f aca="false">IF(G40=1,COUNTIF($G$4:G40,1),"")</f>
        <v/>
      </c>
      <c r="R40" s="0" t="str">
        <f aca="false">IF(CC_Mode="Per equipment",IFERROR(INDEX($B$4:$B$403,MATCH(37,$I$4:$I$403,0)),""),IF(CC_Mode="Per loop",IFERROR(INDEX($B$4:$B$403,MATCH(37,$H$4:$H$403,0)),""),IF(CC_Mode="Per unit",IFERROR("Chemical cleaning – "&amp;INDEX($K$4:$K$15,MATCH(37,$N$4:$N$15,0)),""),IF(37=1,"LUMP SUM – "&amp;QProject,""))))</f>
        <v/>
      </c>
      <c r="S40" s="0" t="str">
        <f aca="false">IF(CC_Mode="Per equipment",IFERROR(INDEX($C$4:$C$403,MATCH(37,$I$4:$I$403,0)),""),IF(CC_Mode="Per loop",IFERROR(INDEX($C$4:$C$403,MATCH(37,$H$4:$H$403,0)),""),IF(CC_Mode="Per unit",IFERROR(INDEX($K$4:$K$15,MATCH(37,$N$4:$N$15,0)),""),IF(37=1,"All units",""))))</f>
        <v/>
      </c>
      <c r="T40" s="0" t="str">
        <f aca="false">IF(CC_Mode="Per equipment",IFERROR(INDEX($D$4:$D$403,MATCH(37,$I$4:$I$403,0)),""),IF(CC_Mode="Per loop",IFERROR(INDEX($D$4:$D$403,MATCH(37,$H$4:$H$403,0)),""),IF(CC_Mode="Per unit",IFERROR(INDEX($M$4:$M$15,MATCH(37,$N$4:$N$15,0)),""),IF(37=1,CC_V_GrandVol,""))))</f>
        <v/>
      </c>
      <c r="U40" s="0" t="str">
        <f aca="false">IF(CC_Mode="Per equipment",IFERROR(INDEX($E$4:$E$403,MATCH(37,$I$4:$I$403,0)),""),IF(CC_Mode="Per loop",IFERROR(INDEX($E$4:$E$403,MATCH(37,$H$4:$H$403,0)),""),IF(CC_Mode="Per unit",IFERROR(INDEX($L$4:$L$15,MATCH(37,$N$4:$N$15,0)),""),IF(37=1,CC_Net,""))))</f>
        <v/>
      </c>
    </row>
    <row r="41" customFormat="false" ht="15" hidden="false" customHeight="false" outlineLevel="0" collapsed="false">
      <c r="A41" s="0" t="s">
        <v>335</v>
      </c>
      <c r="B41" s="0" t="str">
        <f aca="false">'CC Summary'!C59&amp;IF(INDEX(CC_LoopD,38)="",""," – "&amp;INDEX(CC_LoopD,38))&amp;" ("&amp;'CC Summary'!D59&amp;" item"&amp;IF('CC Summary'!D59=1,"","s")&amp;")"</f>
        <v>Loop 38 (0 items)</v>
      </c>
      <c r="C41" s="0" t="s">
        <v>221</v>
      </c>
      <c r="D41" s="97" t="n">
        <f aca="false">'CC Summary'!E59</f>
        <v>0</v>
      </c>
      <c r="E41" s="98" t="n">
        <f aca="false">'CC Summary'!J59</f>
        <v>0</v>
      </c>
      <c r="F41" s="96" t="n">
        <f aca="false">IF('CC Summary'!D59&gt;0,1,0)</f>
        <v>0</v>
      </c>
      <c r="G41" s="0" t="n">
        <v>0</v>
      </c>
      <c r="H41" s="0" t="str">
        <f aca="false">IF(F41=1,COUNTIF($F$4:F41,1),"")</f>
        <v/>
      </c>
      <c r="I41" s="0" t="str">
        <f aca="false">IF(G41=1,COUNTIF($G$4:G41,1),"")</f>
        <v/>
      </c>
      <c r="R41" s="0" t="str">
        <f aca="false">IF(CC_Mode="Per equipment",IFERROR(INDEX($B$4:$B$403,MATCH(38,$I$4:$I$403,0)),""),IF(CC_Mode="Per loop",IFERROR(INDEX($B$4:$B$403,MATCH(38,$H$4:$H$403,0)),""),IF(CC_Mode="Per unit",IFERROR("Chemical cleaning – "&amp;INDEX($K$4:$K$15,MATCH(38,$N$4:$N$15,0)),""),IF(38=1,"LUMP SUM – "&amp;QProject,""))))</f>
        <v/>
      </c>
      <c r="S41" s="0" t="str">
        <f aca="false">IF(CC_Mode="Per equipment",IFERROR(INDEX($C$4:$C$403,MATCH(38,$I$4:$I$403,0)),""),IF(CC_Mode="Per loop",IFERROR(INDEX($C$4:$C$403,MATCH(38,$H$4:$H$403,0)),""),IF(CC_Mode="Per unit",IFERROR(INDEX($K$4:$K$15,MATCH(38,$N$4:$N$15,0)),""),IF(38=1,"All units",""))))</f>
        <v/>
      </c>
      <c r="T41" s="0" t="str">
        <f aca="false">IF(CC_Mode="Per equipment",IFERROR(INDEX($D$4:$D$403,MATCH(38,$I$4:$I$403,0)),""),IF(CC_Mode="Per loop",IFERROR(INDEX($D$4:$D$403,MATCH(38,$H$4:$H$403,0)),""),IF(CC_Mode="Per unit",IFERROR(INDEX($M$4:$M$15,MATCH(38,$N$4:$N$15,0)),""),IF(38=1,CC_V_GrandVol,""))))</f>
        <v/>
      </c>
      <c r="U41" s="0" t="str">
        <f aca="false">IF(CC_Mode="Per equipment",IFERROR(INDEX($E$4:$E$403,MATCH(38,$I$4:$I$403,0)),""),IF(CC_Mode="Per loop",IFERROR(INDEX($E$4:$E$403,MATCH(38,$H$4:$H$403,0)),""),IF(CC_Mode="Per unit",IFERROR(INDEX($L$4:$L$15,MATCH(38,$N$4:$N$15,0)),""),IF(38=1,CC_Net,""))))</f>
        <v/>
      </c>
    </row>
    <row r="42" customFormat="false" ht="15" hidden="false" customHeight="false" outlineLevel="0" collapsed="false">
      <c r="A42" s="0" t="s">
        <v>335</v>
      </c>
      <c r="B42" s="0" t="str">
        <f aca="false">'CC Summary'!C60&amp;IF(INDEX(CC_LoopD,39)="",""," – "&amp;INDEX(CC_LoopD,39))&amp;" ("&amp;'CC Summary'!D60&amp;" item"&amp;IF('CC Summary'!D60=1,"","s")&amp;")"</f>
        <v>Loop 39 (0 items)</v>
      </c>
      <c r="C42" s="0" t="s">
        <v>221</v>
      </c>
      <c r="D42" s="97" t="n">
        <f aca="false">'CC Summary'!E60</f>
        <v>0</v>
      </c>
      <c r="E42" s="98" t="n">
        <f aca="false">'CC Summary'!J60</f>
        <v>0</v>
      </c>
      <c r="F42" s="96" t="n">
        <f aca="false">IF('CC Summary'!D60&gt;0,1,0)</f>
        <v>0</v>
      </c>
      <c r="G42" s="0" t="n">
        <v>0</v>
      </c>
      <c r="H42" s="0" t="str">
        <f aca="false">IF(F42=1,COUNTIF($F$4:F42,1),"")</f>
        <v/>
      </c>
      <c r="I42" s="0" t="str">
        <f aca="false">IF(G42=1,COUNTIF($G$4:G42,1),"")</f>
        <v/>
      </c>
      <c r="R42" s="0" t="str">
        <f aca="false">IF(CC_Mode="Per equipment",IFERROR(INDEX($B$4:$B$403,MATCH(39,$I$4:$I$403,0)),""),IF(CC_Mode="Per loop",IFERROR(INDEX($B$4:$B$403,MATCH(39,$H$4:$H$403,0)),""),IF(CC_Mode="Per unit",IFERROR("Chemical cleaning – "&amp;INDEX($K$4:$K$15,MATCH(39,$N$4:$N$15,0)),""),IF(39=1,"LUMP SUM – "&amp;QProject,""))))</f>
        <v/>
      </c>
      <c r="S42" s="0" t="str">
        <f aca="false">IF(CC_Mode="Per equipment",IFERROR(INDEX($C$4:$C$403,MATCH(39,$I$4:$I$403,0)),""),IF(CC_Mode="Per loop",IFERROR(INDEX($C$4:$C$403,MATCH(39,$H$4:$H$403,0)),""),IF(CC_Mode="Per unit",IFERROR(INDEX($K$4:$K$15,MATCH(39,$N$4:$N$15,0)),""),IF(39=1,"All units",""))))</f>
        <v/>
      </c>
      <c r="T42" s="0" t="str">
        <f aca="false">IF(CC_Mode="Per equipment",IFERROR(INDEX($D$4:$D$403,MATCH(39,$I$4:$I$403,0)),""),IF(CC_Mode="Per loop",IFERROR(INDEX($D$4:$D$403,MATCH(39,$H$4:$H$403,0)),""),IF(CC_Mode="Per unit",IFERROR(INDEX($M$4:$M$15,MATCH(39,$N$4:$N$15,0)),""),IF(39=1,CC_V_GrandVol,""))))</f>
        <v/>
      </c>
      <c r="U42" s="0" t="str">
        <f aca="false">IF(CC_Mode="Per equipment",IFERROR(INDEX($E$4:$E$403,MATCH(39,$I$4:$I$403,0)),""),IF(CC_Mode="Per loop",IFERROR(INDEX($E$4:$E$403,MATCH(39,$H$4:$H$403,0)),""),IF(CC_Mode="Per unit",IFERROR(INDEX($L$4:$L$15,MATCH(39,$N$4:$N$15,0)),""),IF(39=1,CC_Net,""))))</f>
        <v/>
      </c>
    </row>
    <row r="43" customFormat="false" ht="15" hidden="false" customHeight="false" outlineLevel="0" collapsed="false">
      <c r="A43" s="0" t="s">
        <v>335</v>
      </c>
      <c r="B43" s="0" t="str">
        <f aca="false">'CC Summary'!C61&amp;IF(INDEX(CC_LoopD,40)="",""," – "&amp;INDEX(CC_LoopD,40))&amp;" ("&amp;'CC Summary'!D61&amp;" item"&amp;IF('CC Summary'!D61=1,"","s")&amp;")"</f>
        <v>Loop 40 (0 items)</v>
      </c>
      <c r="C43" s="0" t="s">
        <v>221</v>
      </c>
      <c r="D43" s="97" t="n">
        <f aca="false">'CC Summary'!E61</f>
        <v>0</v>
      </c>
      <c r="E43" s="98" t="n">
        <f aca="false">'CC Summary'!J61</f>
        <v>0</v>
      </c>
      <c r="F43" s="96" t="n">
        <f aca="false">IF('CC Summary'!D61&gt;0,1,0)</f>
        <v>0</v>
      </c>
      <c r="G43" s="0" t="n">
        <v>0</v>
      </c>
      <c r="H43" s="0" t="str">
        <f aca="false">IF(F43=1,COUNTIF($F$4:F43,1),"")</f>
        <v/>
      </c>
      <c r="I43" s="0" t="str">
        <f aca="false">IF(G43=1,COUNTIF($G$4:G43,1),"")</f>
        <v/>
      </c>
      <c r="R43" s="0" t="str">
        <f aca="false">IF(CC_Mode="Per equipment",IFERROR(INDEX($B$4:$B$403,MATCH(40,$I$4:$I$403,0)),""),IF(CC_Mode="Per loop",IFERROR(INDEX($B$4:$B$403,MATCH(40,$H$4:$H$403,0)),""),IF(CC_Mode="Per unit",IFERROR("Chemical cleaning – "&amp;INDEX($K$4:$K$15,MATCH(40,$N$4:$N$15,0)),""),IF(40=1,"LUMP SUM – "&amp;QProject,""))))</f>
        <v/>
      </c>
      <c r="S43" s="0" t="str">
        <f aca="false">IF(CC_Mode="Per equipment",IFERROR(INDEX($C$4:$C$403,MATCH(40,$I$4:$I$403,0)),""),IF(CC_Mode="Per loop",IFERROR(INDEX($C$4:$C$403,MATCH(40,$H$4:$H$403,0)),""),IF(CC_Mode="Per unit",IFERROR(INDEX($K$4:$K$15,MATCH(40,$N$4:$N$15,0)),""),IF(40=1,"All units",""))))</f>
        <v/>
      </c>
      <c r="T43" s="0" t="str">
        <f aca="false">IF(CC_Mode="Per equipment",IFERROR(INDEX($D$4:$D$403,MATCH(40,$I$4:$I$403,0)),""),IF(CC_Mode="Per loop",IFERROR(INDEX($D$4:$D$403,MATCH(40,$H$4:$H$403,0)),""),IF(CC_Mode="Per unit",IFERROR(INDEX($M$4:$M$15,MATCH(40,$N$4:$N$15,0)),""),IF(40=1,CC_V_GrandVol,""))))</f>
        <v/>
      </c>
      <c r="U43" s="0" t="str">
        <f aca="false">IF(CC_Mode="Per equipment",IFERROR(INDEX($E$4:$E$403,MATCH(40,$I$4:$I$403,0)),""),IF(CC_Mode="Per loop",IFERROR(INDEX($E$4:$E$403,MATCH(40,$H$4:$H$403,0)),""),IF(CC_Mode="Per unit",IFERROR(INDEX($L$4:$L$15,MATCH(40,$N$4:$N$15,0)),""),IF(40=1,CC_Net,""))))</f>
        <v/>
      </c>
    </row>
    <row r="44" customFormat="false" ht="15" hidden="false" customHeight="false" outlineLevel="0" collapsed="false">
      <c r="A44" s="0" t="s">
        <v>172</v>
      </c>
      <c r="B44" s="0" t="str">
        <f aca="false">'CC Item Pricing'!C10&amp;IF('CC Item Pricing'!D10="",""," – "&amp;'CC Item Pricing'!D10)</f>
        <v>EXAMPLE ML-1 – Piping loop – volume given (ASAB ML-1)</v>
      </c>
      <c r="C44" s="0" t="str">
        <f aca="false">INDEX(CC_UnitNames,'CC Item Pricing'!Y10)</f>
        <v>Unit 1</v>
      </c>
      <c r="D44" s="0" t="n">
        <f aca="false">N('CC Item Pricing'!G10)</f>
        <v>27.115</v>
      </c>
      <c r="E44" s="98" t="n">
        <f aca="false">'CC Item Pricing'!W10</f>
        <v>88633.9865125</v>
      </c>
      <c r="F44" s="96" t="n">
        <f aca="false">IF(AND(G44=1,'CC Item Pricing'!B10=""),1,0)</f>
        <v>0</v>
      </c>
      <c r="G44" s="96" t="n">
        <f aca="false">IF(D44&gt;0,1,0)</f>
        <v>1</v>
      </c>
      <c r="H44" s="0" t="str">
        <f aca="false">IF(F44=1,COUNTIF($F$4:F44,1),"")</f>
        <v/>
      </c>
      <c r="I44" s="96" t="n">
        <f aca="false">IF(G44=1,COUNTIF($G$4:G44,1),"")</f>
        <v>1</v>
      </c>
      <c r="R44" s="0" t="str">
        <f aca="false">IF(CC_Mode="Per equipment",IFERROR(INDEX($B$4:$B$403,MATCH(41,$I$4:$I$403,0)),""),IF(CC_Mode="Per loop",IFERROR(INDEX($B$4:$B$403,MATCH(41,$H$4:$H$403,0)),""),IF(CC_Mode="Per unit",IFERROR("Chemical cleaning – "&amp;INDEX($K$4:$K$15,MATCH(41,$N$4:$N$15,0)),""),IF(41=1,"LUMP SUM – "&amp;QProject,""))))</f>
        <v/>
      </c>
      <c r="S44" s="0" t="str">
        <f aca="false">IF(CC_Mode="Per equipment",IFERROR(INDEX($C$4:$C$403,MATCH(41,$I$4:$I$403,0)),""),IF(CC_Mode="Per loop",IFERROR(INDEX($C$4:$C$403,MATCH(41,$H$4:$H$403,0)),""),IF(CC_Mode="Per unit",IFERROR(INDEX($K$4:$K$15,MATCH(41,$N$4:$N$15,0)),""),IF(41=1,"All units",""))))</f>
        <v/>
      </c>
      <c r="T44" s="0" t="str">
        <f aca="false">IF(CC_Mode="Per equipment",IFERROR(INDEX($D$4:$D$403,MATCH(41,$I$4:$I$403,0)),""),IF(CC_Mode="Per loop",IFERROR(INDEX($D$4:$D$403,MATCH(41,$H$4:$H$403,0)),""),IF(CC_Mode="Per unit",IFERROR(INDEX($M$4:$M$15,MATCH(41,$N$4:$N$15,0)),""),IF(41=1,CC_V_GrandVol,""))))</f>
        <v/>
      </c>
      <c r="U44" s="0" t="str">
        <f aca="false">IF(CC_Mode="Per equipment",IFERROR(INDEX($E$4:$E$403,MATCH(41,$I$4:$I$403,0)),""),IF(CC_Mode="Per loop",IFERROR(INDEX($E$4:$E$403,MATCH(41,$H$4:$H$403,0)),""),IF(CC_Mode="Per unit",IFERROR(INDEX($L$4:$L$15,MATCH(41,$N$4:$N$15,0)),""),IF(41=1,CC_Net,""))))</f>
        <v/>
      </c>
    </row>
    <row r="45" customFormat="false" ht="15" hidden="false" customHeight="false" outlineLevel="0" collapsed="false">
      <c r="A45" s="0" t="s">
        <v>172</v>
      </c>
      <c r="B45" s="0" t="str">
        <f aca="false">'CC Item Pricing'!C11&amp;IF('CC Item Pricing'!D11="",""," – "&amp;'CC Item Pricing'!D11)</f>
        <v>EXAMPLE V-101 – Vertical vessel (dimensions)</v>
      </c>
      <c r="C45" s="0" t="str">
        <f aca="false">INDEX(CC_UnitNames,'CC Item Pricing'!Y11)</f>
        <v>Unit 1</v>
      </c>
      <c r="D45" s="0" t="n">
        <f aca="false">N('CC Item Pricing'!G11)</f>
        <v>20.943951023932</v>
      </c>
      <c r="E45" s="98" t="n">
        <f aca="false">'CC Item Pricing'!W11</f>
        <v>10269.2930439258</v>
      </c>
      <c r="F45" s="96" t="n">
        <f aca="false">IF(AND(G45=1,'CC Item Pricing'!B11=""),1,0)</f>
        <v>0</v>
      </c>
      <c r="G45" s="96" t="n">
        <f aca="false">IF(D45&gt;0,1,0)</f>
        <v>1</v>
      </c>
      <c r="H45" s="0" t="str">
        <f aca="false">IF(F45=1,COUNTIF($F$4:F45,1),"")</f>
        <v/>
      </c>
      <c r="I45" s="96" t="n">
        <f aca="false">IF(G45=1,COUNTIF($G$4:G45,1),"")</f>
        <v>2</v>
      </c>
      <c r="R45" s="0" t="str">
        <f aca="false">IF(CC_Mode="Per equipment",IFERROR(INDEX($B$4:$B$403,MATCH(42,$I$4:$I$403,0)),""),IF(CC_Mode="Per loop",IFERROR(INDEX($B$4:$B$403,MATCH(42,$H$4:$H$403,0)),""),IF(CC_Mode="Per unit",IFERROR("Chemical cleaning – "&amp;INDEX($K$4:$K$15,MATCH(42,$N$4:$N$15,0)),""),IF(42=1,"LUMP SUM – "&amp;QProject,""))))</f>
        <v/>
      </c>
      <c r="S45" s="0" t="str">
        <f aca="false">IF(CC_Mode="Per equipment",IFERROR(INDEX($C$4:$C$403,MATCH(42,$I$4:$I$403,0)),""),IF(CC_Mode="Per loop",IFERROR(INDEX($C$4:$C$403,MATCH(42,$H$4:$H$403,0)),""),IF(CC_Mode="Per unit",IFERROR(INDEX($K$4:$K$15,MATCH(42,$N$4:$N$15,0)),""),IF(42=1,"All units",""))))</f>
        <v/>
      </c>
      <c r="T45" s="0" t="str">
        <f aca="false">IF(CC_Mode="Per equipment",IFERROR(INDEX($D$4:$D$403,MATCH(42,$I$4:$I$403,0)),""),IF(CC_Mode="Per loop",IFERROR(INDEX($D$4:$D$403,MATCH(42,$H$4:$H$403,0)),""),IF(CC_Mode="Per unit",IFERROR(INDEX($M$4:$M$15,MATCH(42,$N$4:$N$15,0)),""),IF(42=1,CC_V_GrandVol,""))))</f>
        <v/>
      </c>
      <c r="U45" s="0" t="str">
        <f aca="false">IF(CC_Mode="Per equipment",IFERROR(INDEX($E$4:$E$403,MATCH(42,$I$4:$I$403,0)),""),IF(CC_Mode="Per loop",IFERROR(INDEX($E$4:$E$403,MATCH(42,$H$4:$H$403,0)),""),IF(CC_Mode="Per unit",IFERROR(INDEX($L$4:$L$15,MATCH(42,$N$4:$N$15,0)),""),IF(42=1,CC_Net,""))))</f>
        <v/>
      </c>
    </row>
    <row r="46" customFormat="false" ht="15" hidden="false" customHeight="false" outlineLevel="0" collapsed="false">
      <c r="A46" s="0" t="s">
        <v>172</v>
      </c>
      <c r="B46" s="0" t="str">
        <f aca="false">'CC Item Pricing'!C12&amp;IF('CC Item Pricing'!D12="",""," – "&amp;'CC Item Pricing'!D12)</f>
        <v>EXAMPLE E-101 – Shell &amp; tube exchanger</v>
      </c>
      <c r="C46" s="0" t="str">
        <f aca="false">INDEX(CC_UnitNames,'CC Item Pricing'!Y12)</f>
        <v>Unit 1</v>
      </c>
      <c r="D46" s="0" t="n">
        <f aca="false">N('CC Item Pricing'!G12)</f>
        <v>3.26042419158197</v>
      </c>
      <c r="E46" s="98" t="n">
        <f aca="false">'CC Item Pricing'!W12</f>
        <v>10657.7316548665</v>
      </c>
      <c r="F46" s="96" t="n">
        <f aca="false">IF(AND(G46=1,'CC Item Pricing'!B12=""),1,0)</f>
        <v>0</v>
      </c>
      <c r="G46" s="96" t="n">
        <f aca="false">IF(D46&gt;0,1,0)</f>
        <v>1</v>
      </c>
      <c r="H46" s="0" t="str">
        <f aca="false">IF(F46=1,COUNTIF($F$4:F46,1),"")</f>
        <v/>
      </c>
      <c r="I46" s="96" t="n">
        <f aca="false">IF(G46=1,COUNTIF($G$4:G46,1),"")</f>
        <v>3</v>
      </c>
      <c r="R46" s="0" t="str">
        <f aca="false">IF(CC_Mode="Per equipment",IFERROR(INDEX($B$4:$B$403,MATCH(43,$I$4:$I$403,0)),""),IF(CC_Mode="Per loop",IFERROR(INDEX($B$4:$B$403,MATCH(43,$H$4:$H$403,0)),""),IF(CC_Mode="Per unit",IFERROR("Chemical cleaning – "&amp;INDEX($K$4:$K$15,MATCH(43,$N$4:$N$15,0)),""),IF(43=1,"LUMP SUM – "&amp;QProject,""))))</f>
        <v/>
      </c>
      <c r="S46" s="0" t="str">
        <f aca="false">IF(CC_Mode="Per equipment",IFERROR(INDEX($C$4:$C$403,MATCH(43,$I$4:$I$403,0)),""),IF(CC_Mode="Per loop",IFERROR(INDEX($C$4:$C$403,MATCH(43,$H$4:$H$403,0)),""),IF(CC_Mode="Per unit",IFERROR(INDEX($K$4:$K$15,MATCH(43,$N$4:$N$15,0)),""),IF(43=1,"All units",""))))</f>
        <v/>
      </c>
      <c r="T46" s="0" t="str">
        <f aca="false">IF(CC_Mode="Per equipment",IFERROR(INDEX($D$4:$D$403,MATCH(43,$I$4:$I$403,0)),""),IF(CC_Mode="Per loop",IFERROR(INDEX($D$4:$D$403,MATCH(43,$H$4:$H$403,0)),""),IF(CC_Mode="Per unit",IFERROR(INDEX($M$4:$M$15,MATCH(43,$N$4:$N$15,0)),""),IF(43=1,CC_V_GrandVol,""))))</f>
        <v/>
      </c>
      <c r="U46" s="0" t="str">
        <f aca="false">IF(CC_Mode="Per equipment",IFERROR(INDEX($E$4:$E$403,MATCH(43,$I$4:$I$403,0)),""),IF(CC_Mode="Per loop",IFERROR(INDEX($E$4:$E$403,MATCH(43,$H$4:$H$403,0)),""),IF(CC_Mode="Per unit",IFERROR(INDEX($L$4:$L$15,MATCH(43,$N$4:$N$15,0)),""),IF(43=1,CC_Net,""))))</f>
        <v/>
      </c>
    </row>
    <row r="47" customFormat="false" ht="15" hidden="false" customHeight="false" outlineLevel="0" collapsed="false">
      <c r="A47" s="0" t="s">
        <v>172</v>
      </c>
      <c r="B47" s="0" t="str">
        <f aca="false">'CC Item Pricing'!C13&amp;IF('CC Item Pricing'!D13="",""," – "&amp;'CC Item Pricing'!D13)</f>
        <v>EXAMPLE 6"-P-1001 – Line from isometric</v>
      </c>
      <c r="C47" s="0" t="str">
        <f aca="false">INDEX(CC_UnitNames,'CC Item Pricing'!Y13)</f>
        <v>Unit 1</v>
      </c>
      <c r="D47" s="0" t="n">
        <f aca="false">N('CC Item Pricing'!G13)</f>
        <v>2.23750320965139</v>
      </c>
      <c r="E47" s="98" t="n">
        <f aca="false">'CC Item Pricing'!W13</f>
        <v>7817.79774316575</v>
      </c>
      <c r="F47" s="96" t="n">
        <f aca="false">IF(AND(G47=1,'CC Item Pricing'!B13=""),1,0)</f>
        <v>1</v>
      </c>
      <c r="G47" s="96" t="n">
        <f aca="false">IF(D47&gt;0,1,0)</f>
        <v>1</v>
      </c>
      <c r="H47" s="96" t="n">
        <f aca="false">IF(F47=1,COUNTIF($F$4:F47,1),"")</f>
        <v>3</v>
      </c>
      <c r="I47" s="96" t="n">
        <f aca="false">IF(G47=1,COUNTIF($G$4:G47,1),"")</f>
        <v>4</v>
      </c>
      <c r="R47" s="0" t="str">
        <f aca="false">IF(CC_Mode="Per equipment",IFERROR(INDEX($B$4:$B$403,MATCH(44,$I$4:$I$403,0)),""),IF(CC_Mode="Per loop",IFERROR(INDEX($B$4:$B$403,MATCH(44,$H$4:$H$403,0)),""),IF(CC_Mode="Per unit",IFERROR("Chemical cleaning – "&amp;INDEX($K$4:$K$15,MATCH(44,$N$4:$N$15,0)),""),IF(44=1,"LUMP SUM – "&amp;QProject,""))))</f>
        <v/>
      </c>
      <c r="S47" s="0" t="str">
        <f aca="false">IF(CC_Mode="Per equipment",IFERROR(INDEX($C$4:$C$403,MATCH(44,$I$4:$I$403,0)),""),IF(CC_Mode="Per loop",IFERROR(INDEX($C$4:$C$403,MATCH(44,$H$4:$H$403,0)),""),IF(CC_Mode="Per unit",IFERROR(INDEX($K$4:$K$15,MATCH(44,$N$4:$N$15,0)),""),IF(44=1,"All units",""))))</f>
        <v/>
      </c>
      <c r="T47" s="0" t="str">
        <f aca="false">IF(CC_Mode="Per equipment",IFERROR(INDEX($D$4:$D$403,MATCH(44,$I$4:$I$403,0)),""),IF(CC_Mode="Per loop",IFERROR(INDEX($D$4:$D$403,MATCH(44,$H$4:$H$403,0)),""),IF(CC_Mode="Per unit",IFERROR(INDEX($M$4:$M$15,MATCH(44,$N$4:$N$15,0)),""),IF(44=1,CC_V_GrandVol,""))))</f>
        <v/>
      </c>
      <c r="U47" s="0" t="str">
        <f aca="false">IF(CC_Mode="Per equipment",IFERROR(INDEX($E$4:$E$403,MATCH(44,$I$4:$I$403,0)),""),IF(CC_Mode="Per loop",IFERROR(INDEX($E$4:$E$403,MATCH(44,$H$4:$H$403,0)),""),IF(CC_Mode="Per unit",IFERROR(INDEX($L$4:$L$15,MATCH(44,$N$4:$N$15,0)),""),IF(44=1,CC_Net,""))))</f>
        <v/>
      </c>
    </row>
    <row r="48" customFormat="false" ht="15" hidden="false" customHeight="false" outlineLevel="0" collapsed="false">
      <c r="A48" s="0" t="s">
        <v>172</v>
      </c>
      <c r="B48" s="0" t="str">
        <f aca="false">'CC Item Pricing'!C14&amp;IF('CC Item Pricing'!D14="",""," – "&amp;'CC Item Pricing'!D14)</f>
        <v/>
      </c>
      <c r="C48" s="0" t="str">
        <f aca="false">INDEX(CC_UnitNames,'CC Item Pricing'!Y14)</f>
        <v>Unit 1</v>
      </c>
      <c r="D48" s="0" t="n">
        <f aca="false">N('CC Item Pricing'!G14)</f>
        <v>0</v>
      </c>
      <c r="E48" s="98" t="n">
        <f aca="false">'CC Item Pricing'!W14</f>
        <v>0</v>
      </c>
      <c r="F48" s="96" t="n">
        <f aca="false">IF(AND(G48=1,'CC Item Pricing'!B14=""),1,0)</f>
        <v>0</v>
      </c>
      <c r="G48" s="96" t="n">
        <f aca="false">IF(D48&gt;0,1,0)</f>
        <v>0</v>
      </c>
      <c r="H48" s="0" t="str">
        <f aca="false">IF(F48=1,COUNTIF($F$4:F48,1),"")</f>
        <v/>
      </c>
      <c r="I48" s="0" t="str">
        <f aca="false">IF(G48=1,COUNTIF($G$4:G48,1),"")</f>
        <v/>
      </c>
      <c r="R48" s="0" t="str">
        <f aca="false">IF(CC_Mode="Per equipment",IFERROR(INDEX($B$4:$B$403,MATCH(45,$I$4:$I$403,0)),""),IF(CC_Mode="Per loop",IFERROR(INDEX($B$4:$B$403,MATCH(45,$H$4:$H$403,0)),""),IF(CC_Mode="Per unit",IFERROR("Chemical cleaning – "&amp;INDEX($K$4:$K$15,MATCH(45,$N$4:$N$15,0)),""),IF(45=1,"LUMP SUM – "&amp;QProject,""))))</f>
        <v/>
      </c>
      <c r="S48" s="0" t="str">
        <f aca="false">IF(CC_Mode="Per equipment",IFERROR(INDEX($C$4:$C$403,MATCH(45,$I$4:$I$403,0)),""),IF(CC_Mode="Per loop",IFERROR(INDEX($C$4:$C$403,MATCH(45,$H$4:$H$403,0)),""),IF(CC_Mode="Per unit",IFERROR(INDEX($K$4:$K$15,MATCH(45,$N$4:$N$15,0)),""),IF(45=1,"All units",""))))</f>
        <v/>
      </c>
      <c r="T48" s="0" t="str">
        <f aca="false">IF(CC_Mode="Per equipment",IFERROR(INDEX($D$4:$D$403,MATCH(45,$I$4:$I$403,0)),""),IF(CC_Mode="Per loop",IFERROR(INDEX($D$4:$D$403,MATCH(45,$H$4:$H$403,0)),""),IF(CC_Mode="Per unit",IFERROR(INDEX($M$4:$M$15,MATCH(45,$N$4:$N$15,0)),""),IF(45=1,CC_V_GrandVol,""))))</f>
        <v/>
      </c>
      <c r="U48" s="0" t="str">
        <f aca="false">IF(CC_Mode="Per equipment",IFERROR(INDEX($E$4:$E$403,MATCH(45,$I$4:$I$403,0)),""),IF(CC_Mode="Per loop",IFERROR(INDEX($E$4:$E$403,MATCH(45,$H$4:$H$403,0)),""),IF(CC_Mode="Per unit",IFERROR(INDEX($L$4:$L$15,MATCH(45,$N$4:$N$15,0)),""),IF(45=1,CC_Net,""))))</f>
        <v/>
      </c>
    </row>
    <row r="49" customFormat="false" ht="15" hidden="false" customHeight="false" outlineLevel="0" collapsed="false">
      <c r="A49" s="0" t="s">
        <v>172</v>
      </c>
      <c r="B49" s="0" t="str">
        <f aca="false">'CC Item Pricing'!C15&amp;IF('CC Item Pricing'!D15="",""," – "&amp;'CC Item Pricing'!D15)</f>
        <v/>
      </c>
      <c r="C49" s="0" t="str">
        <f aca="false">INDEX(CC_UnitNames,'CC Item Pricing'!Y15)</f>
        <v>Unit 1</v>
      </c>
      <c r="D49" s="0" t="n">
        <f aca="false">N('CC Item Pricing'!G15)</f>
        <v>0</v>
      </c>
      <c r="E49" s="98" t="n">
        <f aca="false">'CC Item Pricing'!W15</f>
        <v>0</v>
      </c>
      <c r="F49" s="96" t="n">
        <f aca="false">IF(AND(G49=1,'CC Item Pricing'!B15=""),1,0)</f>
        <v>0</v>
      </c>
      <c r="G49" s="96" t="n">
        <f aca="false">IF(D49&gt;0,1,0)</f>
        <v>0</v>
      </c>
      <c r="H49" s="0" t="str">
        <f aca="false">IF(F49=1,COUNTIF($F$4:F49,1),"")</f>
        <v/>
      </c>
      <c r="I49" s="0" t="str">
        <f aca="false">IF(G49=1,COUNTIF($G$4:G49,1),"")</f>
        <v/>
      </c>
      <c r="R49" s="0" t="str">
        <f aca="false">IF(CC_Mode="Per equipment",IFERROR(INDEX($B$4:$B$403,MATCH(46,$I$4:$I$403,0)),""),IF(CC_Mode="Per loop",IFERROR(INDEX($B$4:$B$403,MATCH(46,$H$4:$H$403,0)),""),IF(CC_Mode="Per unit",IFERROR("Chemical cleaning – "&amp;INDEX($K$4:$K$15,MATCH(46,$N$4:$N$15,0)),""),IF(46=1,"LUMP SUM – "&amp;QProject,""))))</f>
        <v/>
      </c>
      <c r="S49" s="0" t="str">
        <f aca="false">IF(CC_Mode="Per equipment",IFERROR(INDEX($C$4:$C$403,MATCH(46,$I$4:$I$403,0)),""),IF(CC_Mode="Per loop",IFERROR(INDEX($C$4:$C$403,MATCH(46,$H$4:$H$403,0)),""),IF(CC_Mode="Per unit",IFERROR(INDEX($K$4:$K$15,MATCH(46,$N$4:$N$15,0)),""),IF(46=1,"All units",""))))</f>
        <v/>
      </c>
      <c r="T49" s="0" t="str">
        <f aca="false">IF(CC_Mode="Per equipment",IFERROR(INDEX($D$4:$D$403,MATCH(46,$I$4:$I$403,0)),""),IF(CC_Mode="Per loop",IFERROR(INDEX($D$4:$D$403,MATCH(46,$H$4:$H$403,0)),""),IF(CC_Mode="Per unit",IFERROR(INDEX($M$4:$M$15,MATCH(46,$N$4:$N$15,0)),""),IF(46=1,CC_V_GrandVol,""))))</f>
        <v/>
      </c>
      <c r="U49" s="0" t="str">
        <f aca="false">IF(CC_Mode="Per equipment",IFERROR(INDEX($E$4:$E$403,MATCH(46,$I$4:$I$403,0)),""),IF(CC_Mode="Per loop",IFERROR(INDEX($E$4:$E$403,MATCH(46,$H$4:$H$403,0)),""),IF(CC_Mode="Per unit",IFERROR(INDEX($L$4:$L$15,MATCH(46,$N$4:$N$15,0)),""),IF(46=1,CC_Net,""))))</f>
        <v/>
      </c>
    </row>
    <row r="50" customFormat="false" ht="15" hidden="false" customHeight="false" outlineLevel="0" collapsed="false">
      <c r="A50" s="0" t="s">
        <v>172</v>
      </c>
      <c r="B50" s="0" t="str">
        <f aca="false">'CC Item Pricing'!C16&amp;IF('CC Item Pricing'!D16="",""," – "&amp;'CC Item Pricing'!D16)</f>
        <v/>
      </c>
      <c r="C50" s="0" t="str">
        <f aca="false">INDEX(CC_UnitNames,'CC Item Pricing'!Y16)</f>
        <v>Unit 1</v>
      </c>
      <c r="D50" s="0" t="n">
        <f aca="false">N('CC Item Pricing'!G16)</f>
        <v>0</v>
      </c>
      <c r="E50" s="98" t="n">
        <f aca="false">'CC Item Pricing'!W16</f>
        <v>0</v>
      </c>
      <c r="F50" s="96" t="n">
        <f aca="false">IF(AND(G50=1,'CC Item Pricing'!B16=""),1,0)</f>
        <v>0</v>
      </c>
      <c r="G50" s="96" t="n">
        <f aca="false">IF(D50&gt;0,1,0)</f>
        <v>0</v>
      </c>
      <c r="H50" s="0" t="str">
        <f aca="false">IF(F50=1,COUNTIF($F$4:F50,1),"")</f>
        <v/>
      </c>
      <c r="I50" s="0" t="str">
        <f aca="false">IF(G50=1,COUNTIF($G$4:G50,1),"")</f>
        <v/>
      </c>
      <c r="R50" s="0" t="str">
        <f aca="false">IF(CC_Mode="Per equipment",IFERROR(INDEX($B$4:$B$403,MATCH(47,$I$4:$I$403,0)),""),IF(CC_Mode="Per loop",IFERROR(INDEX($B$4:$B$403,MATCH(47,$H$4:$H$403,0)),""),IF(CC_Mode="Per unit",IFERROR("Chemical cleaning – "&amp;INDEX($K$4:$K$15,MATCH(47,$N$4:$N$15,0)),""),IF(47=1,"LUMP SUM – "&amp;QProject,""))))</f>
        <v/>
      </c>
      <c r="S50" s="0" t="str">
        <f aca="false">IF(CC_Mode="Per equipment",IFERROR(INDEX($C$4:$C$403,MATCH(47,$I$4:$I$403,0)),""),IF(CC_Mode="Per loop",IFERROR(INDEX($C$4:$C$403,MATCH(47,$H$4:$H$403,0)),""),IF(CC_Mode="Per unit",IFERROR(INDEX($K$4:$K$15,MATCH(47,$N$4:$N$15,0)),""),IF(47=1,"All units",""))))</f>
        <v/>
      </c>
      <c r="T50" s="0" t="str">
        <f aca="false">IF(CC_Mode="Per equipment",IFERROR(INDEX($D$4:$D$403,MATCH(47,$I$4:$I$403,0)),""),IF(CC_Mode="Per loop",IFERROR(INDEX($D$4:$D$403,MATCH(47,$H$4:$H$403,0)),""),IF(CC_Mode="Per unit",IFERROR(INDEX($M$4:$M$15,MATCH(47,$N$4:$N$15,0)),""),IF(47=1,CC_V_GrandVol,""))))</f>
        <v/>
      </c>
      <c r="U50" s="0" t="str">
        <f aca="false">IF(CC_Mode="Per equipment",IFERROR(INDEX($E$4:$E$403,MATCH(47,$I$4:$I$403,0)),""),IF(CC_Mode="Per loop",IFERROR(INDEX($E$4:$E$403,MATCH(47,$H$4:$H$403,0)),""),IF(CC_Mode="Per unit",IFERROR(INDEX($L$4:$L$15,MATCH(47,$N$4:$N$15,0)),""),IF(47=1,CC_Net,""))))</f>
        <v/>
      </c>
    </row>
    <row r="51" customFormat="false" ht="15" hidden="false" customHeight="false" outlineLevel="0" collapsed="false">
      <c r="A51" s="0" t="s">
        <v>172</v>
      </c>
      <c r="B51" s="0" t="str">
        <f aca="false">'CC Item Pricing'!C17&amp;IF('CC Item Pricing'!D17="",""," – "&amp;'CC Item Pricing'!D17)</f>
        <v/>
      </c>
      <c r="C51" s="0" t="str">
        <f aca="false">INDEX(CC_UnitNames,'CC Item Pricing'!Y17)</f>
        <v>Unit 1</v>
      </c>
      <c r="D51" s="0" t="n">
        <f aca="false">N('CC Item Pricing'!G17)</f>
        <v>0</v>
      </c>
      <c r="E51" s="98" t="n">
        <f aca="false">'CC Item Pricing'!W17</f>
        <v>0</v>
      </c>
      <c r="F51" s="96" t="n">
        <f aca="false">IF(AND(G51=1,'CC Item Pricing'!B17=""),1,0)</f>
        <v>0</v>
      </c>
      <c r="G51" s="96" t="n">
        <f aca="false">IF(D51&gt;0,1,0)</f>
        <v>0</v>
      </c>
      <c r="H51" s="0" t="str">
        <f aca="false">IF(F51=1,COUNTIF($F$4:F51,1),"")</f>
        <v/>
      </c>
      <c r="I51" s="0" t="str">
        <f aca="false">IF(G51=1,COUNTIF($G$4:G51,1),"")</f>
        <v/>
      </c>
      <c r="R51" s="0" t="str">
        <f aca="false">IF(CC_Mode="Per equipment",IFERROR(INDEX($B$4:$B$403,MATCH(48,$I$4:$I$403,0)),""),IF(CC_Mode="Per loop",IFERROR(INDEX($B$4:$B$403,MATCH(48,$H$4:$H$403,0)),""),IF(CC_Mode="Per unit",IFERROR("Chemical cleaning – "&amp;INDEX($K$4:$K$15,MATCH(48,$N$4:$N$15,0)),""),IF(48=1,"LUMP SUM – "&amp;QProject,""))))</f>
        <v/>
      </c>
      <c r="S51" s="0" t="str">
        <f aca="false">IF(CC_Mode="Per equipment",IFERROR(INDEX($C$4:$C$403,MATCH(48,$I$4:$I$403,0)),""),IF(CC_Mode="Per loop",IFERROR(INDEX($C$4:$C$403,MATCH(48,$H$4:$H$403,0)),""),IF(CC_Mode="Per unit",IFERROR(INDEX($K$4:$K$15,MATCH(48,$N$4:$N$15,0)),""),IF(48=1,"All units",""))))</f>
        <v/>
      </c>
      <c r="T51" s="0" t="str">
        <f aca="false">IF(CC_Mode="Per equipment",IFERROR(INDEX($D$4:$D$403,MATCH(48,$I$4:$I$403,0)),""),IF(CC_Mode="Per loop",IFERROR(INDEX($D$4:$D$403,MATCH(48,$H$4:$H$403,0)),""),IF(CC_Mode="Per unit",IFERROR(INDEX($M$4:$M$15,MATCH(48,$N$4:$N$15,0)),""),IF(48=1,CC_V_GrandVol,""))))</f>
        <v/>
      </c>
      <c r="U51" s="0" t="str">
        <f aca="false">IF(CC_Mode="Per equipment",IFERROR(INDEX($E$4:$E$403,MATCH(48,$I$4:$I$403,0)),""),IF(CC_Mode="Per loop",IFERROR(INDEX($E$4:$E$403,MATCH(48,$H$4:$H$403,0)),""),IF(CC_Mode="Per unit",IFERROR(INDEX($L$4:$L$15,MATCH(48,$N$4:$N$15,0)),""),IF(48=1,CC_Net,""))))</f>
        <v/>
      </c>
    </row>
    <row r="52" customFormat="false" ht="15" hidden="false" customHeight="false" outlineLevel="0" collapsed="false">
      <c r="A52" s="0" t="s">
        <v>172</v>
      </c>
      <c r="B52" s="0" t="str">
        <f aca="false">'CC Item Pricing'!C18&amp;IF('CC Item Pricing'!D18="",""," – "&amp;'CC Item Pricing'!D18)</f>
        <v/>
      </c>
      <c r="C52" s="0" t="str">
        <f aca="false">INDEX(CC_UnitNames,'CC Item Pricing'!Y18)</f>
        <v>Unit 1</v>
      </c>
      <c r="D52" s="0" t="n">
        <f aca="false">N('CC Item Pricing'!G18)</f>
        <v>0</v>
      </c>
      <c r="E52" s="98" t="n">
        <f aca="false">'CC Item Pricing'!W18</f>
        <v>0</v>
      </c>
      <c r="F52" s="96" t="n">
        <f aca="false">IF(AND(G52=1,'CC Item Pricing'!B18=""),1,0)</f>
        <v>0</v>
      </c>
      <c r="G52" s="96" t="n">
        <f aca="false">IF(D52&gt;0,1,0)</f>
        <v>0</v>
      </c>
      <c r="H52" s="0" t="str">
        <f aca="false">IF(F52=1,COUNTIF($F$4:F52,1),"")</f>
        <v/>
      </c>
      <c r="I52" s="0" t="str">
        <f aca="false">IF(G52=1,COUNTIF($G$4:G52,1),"")</f>
        <v/>
      </c>
      <c r="R52" s="0" t="str">
        <f aca="false">IF(CC_Mode="Per equipment",IFERROR(INDEX($B$4:$B$403,MATCH(49,$I$4:$I$403,0)),""),IF(CC_Mode="Per loop",IFERROR(INDEX($B$4:$B$403,MATCH(49,$H$4:$H$403,0)),""),IF(CC_Mode="Per unit",IFERROR("Chemical cleaning – "&amp;INDEX($K$4:$K$15,MATCH(49,$N$4:$N$15,0)),""),IF(49=1,"LUMP SUM – "&amp;QProject,""))))</f>
        <v/>
      </c>
      <c r="S52" s="0" t="str">
        <f aca="false">IF(CC_Mode="Per equipment",IFERROR(INDEX($C$4:$C$403,MATCH(49,$I$4:$I$403,0)),""),IF(CC_Mode="Per loop",IFERROR(INDEX($C$4:$C$403,MATCH(49,$H$4:$H$403,0)),""),IF(CC_Mode="Per unit",IFERROR(INDEX($K$4:$K$15,MATCH(49,$N$4:$N$15,0)),""),IF(49=1,"All units",""))))</f>
        <v/>
      </c>
      <c r="T52" s="0" t="str">
        <f aca="false">IF(CC_Mode="Per equipment",IFERROR(INDEX($D$4:$D$403,MATCH(49,$I$4:$I$403,0)),""),IF(CC_Mode="Per loop",IFERROR(INDEX($D$4:$D$403,MATCH(49,$H$4:$H$403,0)),""),IF(CC_Mode="Per unit",IFERROR(INDEX($M$4:$M$15,MATCH(49,$N$4:$N$15,0)),""),IF(49=1,CC_V_GrandVol,""))))</f>
        <v/>
      </c>
      <c r="U52" s="0" t="str">
        <f aca="false">IF(CC_Mode="Per equipment",IFERROR(INDEX($E$4:$E$403,MATCH(49,$I$4:$I$403,0)),""),IF(CC_Mode="Per loop",IFERROR(INDEX($E$4:$E$403,MATCH(49,$H$4:$H$403,0)),""),IF(CC_Mode="Per unit",IFERROR(INDEX($L$4:$L$15,MATCH(49,$N$4:$N$15,0)),""),IF(49=1,CC_Net,""))))</f>
        <v/>
      </c>
    </row>
    <row r="53" customFormat="false" ht="15" hidden="false" customHeight="false" outlineLevel="0" collapsed="false">
      <c r="A53" s="0" t="s">
        <v>172</v>
      </c>
      <c r="B53" s="0" t="str">
        <f aca="false">'CC Item Pricing'!C19&amp;IF('CC Item Pricing'!D19="",""," – "&amp;'CC Item Pricing'!D19)</f>
        <v/>
      </c>
      <c r="C53" s="0" t="str">
        <f aca="false">INDEX(CC_UnitNames,'CC Item Pricing'!Y19)</f>
        <v>Unit 1</v>
      </c>
      <c r="D53" s="0" t="n">
        <f aca="false">N('CC Item Pricing'!G19)</f>
        <v>0</v>
      </c>
      <c r="E53" s="98" t="n">
        <f aca="false">'CC Item Pricing'!W19</f>
        <v>0</v>
      </c>
      <c r="F53" s="96" t="n">
        <f aca="false">IF(AND(G53=1,'CC Item Pricing'!B19=""),1,0)</f>
        <v>0</v>
      </c>
      <c r="G53" s="96" t="n">
        <f aca="false">IF(D53&gt;0,1,0)</f>
        <v>0</v>
      </c>
      <c r="H53" s="0" t="str">
        <f aca="false">IF(F53=1,COUNTIF($F$4:F53,1),"")</f>
        <v/>
      </c>
      <c r="I53" s="0" t="str">
        <f aca="false">IF(G53=1,COUNTIF($G$4:G53,1),"")</f>
        <v/>
      </c>
      <c r="R53" s="0" t="str">
        <f aca="false">IF(CC_Mode="Per equipment",IFERROR(INDEX($B$4:$B$403,MATCH(50,$I$4:$I$403,0)),""),IF(CC_Mode="Per loop",IFERROR(INDEX($B$4:$B$403,MATCH(50,$H$4:$H$403,0)),""),IF(CC_Mode="Per unit",IFERROR("Chemical cleaning – "&amp;INDEX($K$4:$K$15,MATCH(50,$N$4:$N$15,0)),""),IF(50=1,"LUMP SUM – "&amp;QProject,""))))</f>
        <v/>
      </c>
      <c r="S53" s="0" t="str">
        <f aca="false">IF(CC_Mode="Per equipment",IFERROR(INDEX($C$4:$C$403,MATCH(50,$I$4:$I$403,0)),""),IF(CC_Mode="Per loop",IFERROR(INDEX($C$4:$C$403,MATCH(50,$H$4:$H$403,0)),""),IF(CC_Mode="Per unit",IFERROR(INDEX($K$4:$K$15,MATCH(50,$N$4:$N$15,0)),""),IF(50=1,"All units",""))))</f>
        <v/>
      </c>
      <c r="T53" s="0" t="str">
        <f aca="false">IF(CC_Mode="Per equipment",IFERROR(INDEX($D$4:$D$403,MATCH(50,$I$4:$I$403,0)),""),IF(CC_Mode="Per loop",IFERROR(INDEX($D$4:$D$403,MATCH(50,$H$4:$H$403,0)),""),IF(CC_Mode="Per unit",IFERROR(INDEX($M$4:$M$15,MATCH(50,$N$4:$N$15,0)),""),IF(50=1,CC_V_GrandVol,""))))</f>
        <v/>
      </c>
      <c r="U53" s="0" t="str">
        <f aca="false">IF(CC_Mode="Per equipment",IFERROR(INDEX($E$4:$E$403,MATCH(50,$I$4:$I$403,0)),""),IF(CC_Mode="Per loop",IFERROR(INDEX($E$4:$E$403,MATCH(50,$H$4:$H$403,0)),""),IF(CC_Mode="Per unit",IFERROR(INDEX($L$4:$L$15,MATCH(50,$N$4:$N$15,0)),""),IF(50=1,CC_Net,""))))</f>
        <v/>
      </c>
    </row>
    <row r="54" customFormat="false" ht="15" hidden="false" customHeight="false" outlineLevel="0" collapsed="false">
      <c r="A54" s="0" t="s">
        <v>172</v>
      </c>
      <c r="B54" s="0" t="str">
        <f aca="false">'CC Item Pricing'!C20&amp;IF('CC Item Pricing'!D20="",""," – "&amp;'CC Item Pricing'!D20)</f>
        <v/>
      </c>
      <c r="C54" s="0" t="str">
        <f aca="false">INDEX(CC_UnitNames,'CC Item Pricing'!Y20)</f>
        <v>Unit 1</v>
      </c>
      <c r="D54" s="0" t="n">
        <f aca="false">N('CC Item Pricing'!G20)</f>
        <v>0</v>
      </c>
      <c r="E54" s="98" t="n">
        <f aca="false">'CC Item Pricing'!W20</f>
        <v>0</v>
      </c>
      <c r="F54" s="96" t="n">
        <f aca="false">IF(AND(G54=1,'CC Item Pricing'!B20=""),1,0)</f>
        <v>0</v>
      </c>
      <c r="G54" s="96" t="n">
        <f aca="false">IF(D54&gt;0,1,0)</f>
        <v>0</v>
      </c>
      <c r="H54" s="0" t="str">
        <f aca="false">IF(F54=1,COUNTIF($F$4:F54,1),"")</f>
        <v/>
      </c>
      <c r="I54" s="0" t="str">
        <f aca="false">IF(G54=1,COUNTIF($G$4:G54,1),"")</f>
        <v/>
      </c>
      <c r="R54" s="0" t="str">
        <f aca="false">IF(CC_Mode="Per equipment",IFERROR(INDEX($B$4:$B$403,MATCH(51,$I$4:$I$403,0)),""),IF(CC_Mode="Per loop",IFERROR(INDEX($B$4:$B$403,MATCH(51,$H$4:$H$403,0)),""),IF(CC_Mode="Per unit",IFERROR("Chemical cleaning – "&amp;INDEX($K$4:$K$15,MATCH(51,$N$4:$N$15,0)),""),IF(51=1,"LUMP SUM – "&amp;QProject,""))))</f>
        <v/>
      </c>
      <c r="S54" s="0" t="str">
        <f aca="false">IF(CC_Mode="Per equipment",IFERROR(INDEX($C$4:$C$403,MATCH(51,$I$4:$I$403,0)),""),IF(CC_Mode="Per loop",IFERROR(INDEX($C$4:$C$403,MATCH(51,$H$4:$H$403,0)),""),IF(CC_Mode="Per unit",IFERROR(INDEX($K$4:$K$15,MATCH(51,$N$4:$N$15,0)),""),IF(51=1,"All units",""))))</f>
        <v/>
      </c>
      <c r="T54" s="0" t="str">
        <f aca="false">IF(CC_Mode="Per equipment",IFERROR(INDEX($D$4:$D$403,MATCH(51,$I$4:$I$403,0)),""),IF(CC_Mode="Per loop",IFERROR(INDEX($D$4:$D$403,MATCH(51,$H$4:$H$403,0)),""),IF(CC_Mode="Per unit",IFERROR(INDEX($M$4:$M$15,MATCH(51,$N$4:$N$15,0)),""),IF(51=1,CC_V_GrandVol,""))))</f>
        <v/>
      </c>
      <c r="U54" s="0" t="str">
        <f aca="false">IF(CC_Mode="Per equipment",IFERROR(INDEX($E$4:$E$403,MATCH(51,$I$4:$I$403,0)),""),IF(CC_Mode="Per loop",IFERROR(INDEX($E$4:$E$403,MATCH(51,$H$4:$H$403,0)),""),IF(CC_Mode="Per unit",IFERROR(INDEX($L$4:$L$15,MATCH(51,$N$4:$N$15,0)),""),IF(51=1,CC_Net,""))))</f>
        <v/>
      </c>
    </row>
    <row r="55" customFormat="false" ht="15" hidden="false" customHeight="false" outlineLevel="0" collapsed="false">
      <c r="A55" s="0" t="s">
        <v>172</v>
      </c>
      <c r="B55" s="0" t="str">
        <f aca="false">'CC Item Pricing'!C21&amp;IF('CC Item Pricing'!D21="",""," – "&amp;'CC Item Pricing'!D21)</f>
        <v/>
      </c>
      <c r="C55" s="0" t="str">
        <f aca="false">INDEX(CC_UnitNames,'CC Item Pricing'!Y21)</f>
        <v>Unit 1</v>
      </c>
      <c r="D55" s="0" t="n">
        <f aca="false">N('CC Item Pricing'!G21)</f>
        <v>0</v>
      </c>
      <c r="E55" s="98" t="n">
        <f aca="false">'CC Item Pricing'!W21</f>
        <v>0</v>
      </c>
      <c r="F55" s="96" t="n">
        <f aca="false">IF(AND(G55=1,'CC Item Pricing'!B21=""),1,0)</f>
        <v>0</v>
      </c>
      <c r="G55" s="96" t="n">
        <f aca="false">IF(D55&gt;0,1,0)</f>
        <v>0</v>
      </c>
      <c r="H55" s="0" t="str">
        <f aca="false">IF(F55=1,COUNTIF($F$4:F55,1),"")</f>
        <v/>
      </c>
      <c r="I55" s="0" t="str">
        <f aca="false">IF(G55=1,COUNTIF($G$4:G55,1),"")</f>
        <v/>
      </c>
      <c r="R55" s="0" t="str">
        <f aca="false">IF(CC_Mode="Per equipment",IFERROR(INDEX($B$4:$B$403,MATCH(52,$I$4:$I$403,0)),""),IF(CC_Mode="Per loop",IFERROR(INDEX($B$4:$B$403,MATCH(52,$H$4:$H$403,0)),""),IF(CC_Mode="Per unit",IFERROR("Chemical cleaning – "&amp;INDEX($K$4:$K$15,MATCH(52,$N$4:$N$15,0)),""),IF(52=1,"LUMP SUM – "&amp;QProject,""))))</f>
        <v/>
      </c>
      <c r="S55" s="0" t="str">
        <f aca="false">IF(CC_Mode="Per equipment",IFERROR(INDEX($C$4:$C$403,MATCH(52,$I$4:$I$403,0)),""),IF(CC_Mode="Per loop",IFERROR(INDEX($C$4:$C$403,MATCH(52,$H$4:$H$403,0)),""),IF(CC_Mode="Per unit",IFERROR(INDEX($K$4:$K$15,MATCH(52,$N$4:$N$15,0)),""),IF(52=1,"All units",""))))</f>
        <v/>
      </c>
      <c r="T55" s="0" t="str">
        <f aca="false">IF(CC_Mode="Per equipment",IFERROR(INDEX($D$4:$D$403,MATCH(52,$I$4:$I$403,0)),""),IF(CC_Mode="Per loop",IFERROR(INDEX($D$4:$D$403,MATCH(52,$H$4:$H$403,0)),""),IF(CC_Mode="Per unit",IFERROR(INDEX($M$4:$M$15,MATCH(52,$N$4:$N$15,0)),""),IF(52=1,CC_V_GrandVol,""))))</f>
        <v/>
      </c>
      <c r="U55" s="0" t="str">
        <f aca="false">IF(CC_Mode="Per equipment",IFERROR(INDEX($E$4:$E$403,MATCH(52,$I$4:$I$403,0)),""),IF(CC_Mode="Per loop",IFERROR(INDEX($E$4:$E$403,MATCH(52,$H$4:$H$403,0)),""),IF(CC_Mode="Per unit",IFERROR(INDEX($L$4:$L$15,MATCH(52,$N$4:$N$15,0)),""),IF(52=1,CC_Net,""))))</f>
        <v/>
      </c>
    </row>
    <row r="56" customFormat="false" ht="15" hidden="false" customHeight="false" outlineLevel="0" collapsed="false">
      <c r="A56" s="0" t="s">
        <v>172</v>
      </c>
      <c r="B56" s="0" t="str">
        <f aca="false">'CC Item Pricing'!C22&amp;IF('CC Item Pricing'!D22="",""," – "&amp;'CC Item Pricing'!D22)</f>
        <v/>
      </c>
      <c r="C56" s="0" t="str">
        <f aca="false">INDEX(CC_UnitNames,'CC Item Pricing'!Y22)</f>
        <v>Unit 1</v>
      </c>
      <c r="D56" s="0" t="n">
        <f aca="false">N('CC Item Pricing'!G22)</f>
        <v>0</v>
      </c>
      <c r="E56" s="98" t="n">
        <f aca="false">'CC Item Pricing'!W22</f>
        <v>0</v>
      </c>
      <c r="F56" s="96" t="n">
        <f aca="false">IF(AND(G56=1,'CC Item Pricing'!B22=""),1,0)</f>
        <v>0</v>
      </c>
      <c r="G56" s="96" t="n">
        <f aca="false">IF(D56&gt;0,1,0)</f>
        <v>0</v>
      </c>
      <c r="H56" s="0" t="str">
        <f aca="false">IF(F56=1,COUNTIF($F$4:F56,1),"")</f>
        <v/>
      </c>
      <c r="I56" s="0" t="str">
        <f aca="false">IF(G56=1,COUNTIF($G$4:G56,1),"")</f>
        <v/>
      </c>
      <c r="R56" s="0" t="str">
        <f aca="false">IF(CC_Mode="Per equipment",IFERROR(INDEX($B$4:$B$403,MATCH(53,$I$4:$I$403,0)),""),IF(CC_Mode="Per loop",IFERROR(INDEX($B$4:$B$403,MATCH(53,$H$4:$H$403,0)),""),IF(CC_Mode="Per unit",IFERROR("Chemical cleaning – "&amp;INDEX($K$4:$K$15,MATCH(53,$N$4:$N$15,0)),""),IF(53=1,"LUMP SUM – "&amp;QProject,""))))</f>
        <v/>
      </c>
      <c r="S56" s="0" t="str">
        <f aca="false">IF(CC_Mode="Per equipment",IFERROR(INDEX($C$4:$C$403,MATCH(53,$I$4:$I$403,0)),""),IF(CC_Mode="Per loop",IFERROR(INDEX($C$4:$C$403,MATCH(53,$H$4:$H$403,0)),""),IF(CC_Mode="Per unit",IFERROR(INDEX($K$4:$K$15,MATCH(53,$N$4:$N$15,0)),""),IF(53=1,"All units",""))))</f>
        <v/>
      </c>
      <c r="T56" s="0" t="str">
        <f aca="false">IF(CC_Mode="Per equipment",IFERROR(INDEX($D$4:$D$403,MATCH(53,$I$4:$I$403,0)),""),IF(CC_Mode="Per loop",IFERROR(INDEX($D$4:$D$403,MATCH(53,$H$4:$H$403,0)),""),IF(CC_Mode="Per unit",IFERROR(INDEX($M$4:$M$15,MATCH(53,$N$4:$N$15,0)),""),IF(53=1,CC_V_GrandVol,""))))</f>
        <v/>
      </c>
      <c r="U56" s="0" t="str">
        <f aca="false">IF(CC_Mode="Per equipment",IFERROR(INDEX($E$4:$E$403,MATCH(53,$I$4:$I$403,0)),""),IF(CC_Mode="Per loop",IFERROR(INDEX($E$4:$E$403,MATCH(53,$H$4:$H$403,0)),""),IF(CC_Mode="Per unit",IFERROR(INDEX($L$4:$L$15,MATCH(53,$N$4:$N$15,0)),""),IF(53=1,CC_Net,""))))</f>
        <v/>
      </c>
    </row>
    <row r="57" customFormat="false" ht="15" hidden="false" customHeight="false" outlineLevel="0" collapsed="false">
      <c r="A57" s="0" t="s">
        <v>172</v>
      </c>
      <c r="B57" s="0" t="str">
        <f aca="false">'CC Item Pricing'!C23&amp;IF('CC Item Pricing'!D23="",""," – "&amp;'CC Item Pricing'!D23)</f>
        <v/>
      </c>
      <c r="C57" s="0" t="str">
        <f aca="false">INDEX(CC_UnitNames,'CC Item Pricing'!Y23)</f>
        <v>Unit 1</v>
      </c>
      <c r="D57" s="0" t="n">
        <f aca="false">N('CC Item Pricing'!G23)</f>
        <v>0</v>
      </c>
      <c r="E57" s="98" t="n">
        <f aca="false">'CC Item Pricing'!W23</f>
        <v>0</v>
      </c>
      <c r="F57" s="96" t="n">
        <f aca="false">IF(AND(G57=1,'CC Item Pricing'!B23=""),1,0)</f>
        <v>0</v>
      </c>
      <c r="G57" s="96" t="n">
        <f aca="false">IF(D57&gt;0,1,0)</f>
        <v>0</v>
      </c>
      <c r="H57" s="0" t="str">
        <f aca="false">IF(F57=1,COUNTIF($F$4:F57,1),"")</f>
        <v/>
      </c>
      <c r="I57" s="0" t="str">
        <f aca="false">IF(G57=1,COUNTIF($G$4:G57,1),"")</f>
        <v/>
      </c>
      <c r="R57" s="0" t="str">
        <f aca="false">IF(CC_Mode="Per equipment",IFERROR(INDEX($B$4:$B$403,MATCH(54,$I$4:$I$403,0)),""),IF(CC_Mode="Per loop",IFERROR(INDEX($B$4:$B$403,MATCH(54,$H$4:$H$403,0)),""),IF(CC_Mode="Per unit",IFERROR("Chemical cleaning – "&amp;INDEX($K$4:$K$15,MATCH(54,$N$4:$N$15,0)),""),IF(54=1,"LUMP SUM – "&amp;QProject,""))))</f>
        <v/>
      </c>
      <c r="S57" s="0" t="str">
        <f aca="false">IF(CC_Mode="Per equipment",IFERROR(INDEX($C$4:$C$403,MATCH(54,$I$4:$I$403,0)),""),IF(CC_Mode="Per loop",IFERROR(INDEX($C$4:$C$403,MATCH(54,$H$4:$H$403,0)),""),IF(CC_Mode="Per unit",IFERROR(INDEX($K$4:$K$15,MATCH(54,$N$4:$N$15,0)),""),IF(54=1,"All units",""))))</f>
        <v/>
      </c>
      <c r="T57" s="0" t="str">
        <f aca="false">IF(CC_Mode="Per equipment",IFERROR(INDEX($D$4:$D$403,MATCH(54,$I$4:$I$403,0)),""),IF(CC_Mode="Per loop",IFERROR(INDEX($D$4:$D$403,MATCH(54,$H$4:$H$403,0)),""),IF(CC_Mode="Per unit",IFERROR(INDEX($M$4:$M$15,MATCH(54,$N$4:$N$15,0)),""),IF(54=1,CC_V_GrandVol,""))))</f>
        <v/>
      </c>
      <c r="U57" s="0" t="str">
        <f aca="false">IF(CC_Mode="Per equipment",IFERROR(INDEX($E$4:$E$403,MATCH(54,$I$4:$I$403,0)),""),IF(CC_Mode="Per loop",IFERROR(INDEX($E$4:$E$403,MATCH(54,$H$4:$H$403,0)),""),IF(CC_Mode="Per unit",IFERROR(INDEX($L$4:$L$15,MATCH(54,$N$4:$N$15,0)),""),IF(54=1,CC_Net,""))))</f>
        <v/>
      </c>
    </row>
    <row r="58" customFormat="false" ht="15" hidden="false" customHeight="false" outlineLevel="0" collapsed="false">
      <c r="A58" s="0" t="s">
        <v>172</v>
      </c>
      <c r="B58" s="0" t="str">
        <f aca="false">'CC Item Pricing'!C24&amp;IF('CC Item Pricing'!D24="",""," – "&amp;'CC Item Pricing'!D24)</f>
        <v/>
      </c>
      <c r="C58" s="0" t="str">
        <f aca="false">INDEX(CC_UnitNames,'CC Item Pricing'!Y24)</f>
        <v>Unit 1</v>
      </c>
      <c r="D58" s="0" t="n">
        <f aca="false">N('CC Item Pricing'!G24)</f>
        <v>0</v>
      </c>
      <c r="E58" s="98" t="n">
        <f aca="false">'CC Item Pricing'!W24</f>
        <v>0</v>
      </c>
      <c r="F58" s="96" t="n">
        <f aca="false">IF(AND(G58=1,'CC Item Pricing'!B24=""),1,0)</f>
        <v>0</v>
      </c>
      <c r="G58" s="96" t="n">
        <f aca="false">IF(D58&gt;0,1,0)</f>
        <v>0</v>
      </c>
      <c r="H58" s="0" t="str">
        <f aca="false">IF(F58=1,COUNTIF($F$4:F58,1),"")</f>
        <v/>
      </c>
      <c r="I58" s="0" t="str">
        <f aca="false">IF(G58=1,COUNTIF($G$4:G58,1),"")</f>
        <v/>
      </c>
      <c r="R58" s="0" t="str">
        <f aca="false">IF(CC_Mode="Per equipment",IFERROR(INDEX($B$4:$B$403,MATCH(55,$I$4:$I$403,0)),""),IF(CC_Mode="Per loop",IFERROR(INDEX($B$4:$B$403,MATCH(55,$H$4:$H$403,0)),""),IF(CC_Mode="Per unit",IFERROR("Chemical cleaning – "&amp;INDEX($K$4:$K$15,MATCH(55,$N$4:$N$15,0)),""),IF(55=1,"LUMP SUM – "&amp;QProject,""))))</f>
        <v/>
      </c>
      <c r="S58" s="0" t="str">
        <f aca="false">IF(CC_Mode="Per equipment",IFERROR(INDEX($C$4:$C$403,MATCH(55,$I$4:$I$403,0)),""),IF(CC_Mode="Per loop",IFERROR(INDEX($C$4:$C$403,MATCH(55,$H$4:$H$403,0)),""),IF(CC_Mode="Per unit",IFERROR(INDEX($K$4:$K$15,MATCH(55,$N$4:$N$15,0)),""),IF(55=1,"All units",""))))</f>
        <v/>
      </c>
      <c r="T58" s="0" t="str">
        <f aca="false">IF(CC_Mode="Per equipment",IFERROR(INDEX($D$4:$D$403,MATCH(55,$I$4:$I$403,0)),""),IF(CC_Mode="Per loop",IFERROR(INDEX($D$4:$D$403,MATCH(55,$H$4:$H$403,0)),""),IF(CC_Mode="Per unit",IFERROR(INDEX($M$4:$M$15,MATCH(55,$N$4:$N$15,0)),""),IF(55=1,CC_V_GrandVol,""))))</f>
        <v/>
      </c>
      <c r="U58" s="0" t="str">
        <f aca="false">IF(CC_Mode="Per equipment",IFERROR(INDEX($E$4:$E$403,MATCH(55,$I$4:$I$403,0)),""),IF(CC_Mode="Per loop",IFERROR(INDEX($E$4:$E$403,MATCH(55,$H$4:$H$403,0)),""),IF(CC_Mode="Per unit",IFERROR(INDEX($L$4:$L$15,MATCH(55,$N$4:$N$15,0)),""),IF(55=1,CC_Net,""))))</f>
        <v/>
      </c>
    </row>
    <row r="59" customFormat="false" ht="15" hidden="false" customHeight="false" outlineLevel="0" collapsed="false">
      <c r="A59" s="0" t="s">
        <v>172</v>
      </c>
      <c r="B59" s="0" t="str">
        <f aca="false">'CC Item Pricing'!C25&amp;IF('CC Item Pricing'!D25="",""," – "&amp;'CC Item Pricing'!D25)</f>
        <v/>
      </c>
      <c r="C59" s="0" t="str">
        <f aca="false">INDEX(CC_UnitNames,'CC Item Pricing'!Y25)</f>
        <v>Unit 1</v>
      </c>
      <c r="D59" s="0" t="n">
        <f aca="false">N('CC Item Pricing'!G25)</f>
        <v>0</v>
      </c>
      <c r="E59" s="98" t="n">
        <f aca="false">'CC Item Pricing'!W25</f>
        <v>0</v>
      </c>
      <c r="F59" s="96" t="n">
        <f aca="false">IF(AND(G59=1,'CC Item Pricing'!B25=""),1,0)</f>
        <v>0</v>
      </c>
      <c r="G59" s="96" t="n">
        <f aca="false">IF(D59&gt;0,1,0)</f>
        <v>0</v>
      </c>
      <c r="H59" s="0" t="str">
        <f aca="false">IF(F59=1,COUNTIF($F$4:F59,1),"")</f>
        <v/>
      </c>
      <c r="I59" s="0" t="str">
        <f aca="false">IF(G59=1,COUNTIF($G$4:G59,1),"")</f>
        <v/>
      </c>
      <c r="R59" s="0" t="str">
        <f aca="false">IF(CC_Mode="Per equipment",IFERROR(INDEX($B$4:$B$403,MATCH(56,$I$4:$I$403,0)),""),IF(CC_Mode="Per loop",IFERROR(INDEX($B$4:$B$403,MATCH(56,$H$4:$H$403,0)),""),IF(CC_Mode="Per unit",IFERROR("Chemical cleaning – "&amp;INDEX($K$4:$K$15,MATCH(56,$N$4:$N$15,0)),""),IF(56=1,"LUMP SUM – "&amp;QProject,""))))</f>
        <v/>
      </c>
      <c r="S59" s="0" t="str">
        <f aca="false">IF(CC_Mode="Per equipment",IFERROR(INDEX($C$4:$C$403,MATCH(56,$I$4:$I$403,0)),""),IF(CC_Mode="Per loop",IFERROR(INDEX($C$4:$C$403,MATCH(56,$H$4:$H$403,0)),""),IF(CC_Mode="Per unit",IFERROR(INDEX($K$4:$K$15,MATCH(56,$N$4:$N$15,0)),""),IF(56=1,"All units",""))))</f>
        <v/>
      </c>
      <c r="T59" s="0" t="str">
        <f aca="false">IF(CC_Mode="Per equipment",IFERROR(INDEX($D$4:$D$403,MATCH(56,$I$4:$I$403,0)),""),IF(CC_Mode="Per loop",IFERROR(INDEX($D$4:$D$403,MATCH(56,$H$4:$H$403,0)),""),IF(CC_Mode="Per unit",IFERROR(INDEX($M$4:$M$15,MATCH(56,$N$4:$N$15,0)),""),IF(56=1,CC_V_GrandVol,""))))</f>
        <v/>
      </c>
      <c r="U59" s="0" t="str">
        <f aca="false">IF(CC_Mode="Per equipment",IFERROR(INDEX($E$4:$E$403,MATCH(56,$I$4:$I$403,0)),""),IF(CC_Mode="Per loop",IFERROR(INDEX($E$4:$E$403,MATCH(56,$H$4:$H$403,0)),""),IF(CC_Mode="Per unit",IFERROR(INDEX($L$4:$L$15,MATCH(56,$N$4:$N$15,0)),""),IF(56=1,CC_Net,""))))</f>
        <v/>
      </c>
    </row>
    <row r="60" customFormat="false" ht="15" hidden="false" customHeight="false" outlineLevel="0" collapsed="false">
      <c r="A60" s="0" t="s">
        <v>172</v>
      </c>
      <c r="B60" s="0" t="str">
        <f aca="false">'CC Item Pricing'!C26&amp;IF('CC Item Pricing'!D26="",""," – "&amp;'CC Item Pricing'!D26)</f>
        <v/>
      </c>
      <c r="C60" s="0" t="str">
        <f aca="false">INDEX(CC_UnitNames,'CC Item Pricing'!Y26)</f>
        <v>Unit 1</v>
      </c>
      <c r="D60" s="0" t="n">
        <f aca="false">N('CC Item Pricing'!G26)</f>
        <v>0</v>
      </c>
      <c r="E60" s="98" t="n">
        <f aca="false">'CC Item Pricing'!W26</f>
        <v>0</v>
      </c>
      <c r="F60" s="96" t="n">
        <f aca="false">IF(AND(G60=1,'CC Item Pricing'!B26=""),1,0)</f>
        <v>0</v>
      </c>
      <c r="G60" s="96" t="n">
        <f aca="false">IF(D60&gt;0,1,0)</f>
        <v>0</v>
      </c>
      <c r="H60" s="0" t="str">
        <f aca="false">IF(F60=1,COUNTIF($F$4:F60,1),"")</f>
        <v/>
      </c>
      <c r="I60" s="0" t="str">
        <f aca="false">IF(G60=1,COUNTIF($G$4:G60,1),"")</f>
        <v/>
      </c>
      <c r="R60" s="0" t="str">
        <f aca="false">IF(CC_Mode="Per equipment",IFERROR(INDEX($B$4:$B$403,MATCH(57,$I$4:$I$403,0)),""),IF(CC_Mode="Per loop",IFERROR(INDEX($B$4:$B$403,MATCH(57,$H$4:$H$403,0)),""),IF(CC_Mode="Per unit",IFERROR("Chemical cleaning – "&amp;INDEX($K$4:$K$15,MATCH(57,$N$4:$N$15,0)),""),IF(57=1,"LUMP SUM – "&amp;QProject,""))))</f>
        <v/>
      </c>
      <c r="S60" s="0" t="str">
        <f aca="false">IF(CC_Mode="Per equipment",IFERROR(INDEX($C$4:$C$403,MATCH(57,$I$4:$I$403,0)),""),IF(CC_Mode="Per loop",IFERROR(INDEX($C$4:$C$403,MATCH(57,$H$4:$H$403,0)),""),IF(CC_Mode="Per unit",IFERROR(INDEX($K$4:$K$15,MATCH(57,$N$4:$N$15,0)),""),IF(57=1,"All units",""))))</f>
        <v/>
      </c>
      <c r="T60" s="0" t="str">
        <f aca="false">IF(CC_Mode="Per equipment",IFERROR(INDEX($D$4:$D$403,MATCH(57,$I$4:$I$403,0)),""),IF(CC_Mode="Per loop",IFERROR(INDEX($D$4:$D$403,MATCH(57,$H$4:$H$403,0)),""),IF(CC_Mode="Per unit",IFERROR(INDEX($M$4:$M$15,MATCH(57,$N$4:$N$15,0)),""),IF(57=1,CC_V_GrandVol,""))))</f>
        <v/>
      </c>
      <c r="U60" s="0" t="str">
        <f aca="false">IF(CC_Mode="Per equipment",IFERROR(INDEX($E$4:$E$403,MATCH(57,$I$4:$I$403,0)),""),IF(CC_Mode="Per loop",IFERROR(INDEX($E$4:$E$403,MATCH(57,$H$4:$H$403,0)),""),IF(CC_Mode="Per unit",IFERROR(INDEX($L$4:$L$15,MATCH(57,$N$4:$N$15,0)),""),IF(57=1,CC_Net,""))))</f>
        <v/>
      </c>
    </row>
    <row r="61" customFormat="false" ht="15" hidden="false" customHeight="false" outlineLevel="0" collapsed="false">
      <c r="A61" s="0" t="s">
        <v>172</v>
      </c>
      <c r="B61" s="0" t="str">
        <f aca="false">'CC Item Pricing'!C27&amp;IF('CC Item Pricing'!D27="",""," – "&amp;'CC Item Pricing'!D27)</f>
        <v/>
      </c>
      <c r="C61" s="0" t="str">
        <f aca="false">INDEX(CC_UnitNames,'CC Item Pricing'!Y27)</f>
        <v>Unit 1</v>
      </c>
      <c r="D61" s="0" t="n">
        <f aca="false">N('CC Item Pricing'!G27)</f>
        <v>0</v>
      </c>
      <c r="E61" s="98" t="n">
        <f aca="false">'CC Item Pricing'!W27</f>
        <v>0</v>
      </c>
      <c r="F61" s="96" t="n">
        <f aca="false">IF(AND(G61=1,'CC Item Pricing'!B27=""),1,0)</f>
        <v>0</v>
      </c>
      <c r="G61" s="96" t="n">
        <f aca="false">IF(D61&gt;0,1,0)</f>
        <v>0</v>
      </c>
      <c r="H61" s="0" t="str">
        <f aca="false">IF(F61=1,COUNTIF($F$4:F61,1),"")</f>
        <v/>
      </c>
      <c r="I61" s="0" t="str">
        <f aca="false">IF(G61=1,COUNTIF($G$4:G61,1),"")</f>
        <v/>
      </c>
      <c r="R61" s="0" t="str">
        <f aca="false">IF(CC_Mode="Per equipment",IFERROR(INDEX($B$4:$B$403,MATCH(58,$I$4:$I$403,0)),""),IF(CC_Mode="Per loop",IFERROR(INDEX($B$4:$B$403,MATCH(58,$H$4:$H$403,0)),""),IF(CC_Mode="Per unit",IFERROR("Chemical cleaning – "&amp;INDEX($K$4:$K$15,MATCH(58,$N$4:$N$15,0)),""),IF(58=1,"LUMP SUM – "&amp;QProject,""))))</f>
        <v/>
      </c>
      <c r="S61" s="0" t="str">
        <f aca="false">IF(CC_Mode="Per equipment",IFERROR(INDEX($C$4:$C$403,MATCH(58,$I$4:$I$403,0)),""),IF(CC_Mode="Per loop",IFERROR(INDEX($C$4:$C$403,MATCH(58,$H$4:$H$403,0)),""),IF(CC_Mode="Per unit",IFERROR(INDEX($K$4:$K$15,MATCH(58,$N$4:$N$15,0)),""),IF(58=1,"All units",""))))</f>
        <v/>
      </c>
      <c r="T61" s="0" t="str">
        <f aca="false">IF(CC_Mode="Per equipment",IFERROR(INDEX($D$4:$D$403,MATCH(58,$I$4:$I$403,0)),""),IF(CC_Mode="Per loop",IFERROR(INDEX($D$4:$D$403,MATCH(58,$H$4:$H$403,0)),""),IF(CC_Mode="Per unit",IFERROR(INDEX($M$4:$M$15,MATCH(58,$N$4:$N$15,0)),""),IF(58=1,CC_V_GrandVol,""))))</f>
        <v/>
      </c>
      <c r="U61" s="0" t="str">
        <f aca="false">IF(CC_Mode="Per equipment",IFERROR(INDEX($E$4:$E$403,MATCH(58,$I$4:$I$403,0)),""),IF(CC_Mode="Per loop",IFERROR(INDEX($E$4:$E$403,MATCH(58,$H$4:$H$403,0)),""),IF(CC_Mode="Per unit",IFERROR(INDEX($L$4:$L$15,MATCH(58,$N$4:$N$15,0)),""),IF(58=1,CC_Net,""))))</f>
        <v/>
      </c>
    </row>
    <row r="62" customFormat="false" ht="15" hidden="false" customHeight="false" outlineLevel="0" collapsed="false">
      <c r="A62" s="0" t="s">
        <v>172</v>
      </c>
      <c r="B62" s="0" t="str">
        <f aca="false">'CC Item Pricing'!C28&amp;IF('CC Item Pricing'!D28="",""," – "&amp;'CC Item Pricing'!D28)</f>
        <v/>
      </c>
      <c r="C62" s="0" t="str">
        <f aca="false">INDEX(CC_UnitNames,'CC Item Pricing'!Y28)</f>
        <v>Unit 1</v>
      </c>
      <c r="D62" s="0" t="n">
        <f aca="false">N('CC Item Pricing'!G28)</f>
        <v>0</v>
      </c>
      <c r="E62" s="98" t="n">
        <f aca="false">'CC Item Pricing'!W28</f>
        <v>0</v>
      </c>
      <c r="F62" s="96" t="n">
        <f aca="false">IF(AND(G62=1,'CC Item Pricing'!B28=""),1,0)</f>
        <v>0</v>
      </c>
      <c r="G62" s="96" t="n">
        <f aca="false">IF(D62&gt;0,1,0)</f>
        <v>0</v>
      </c>
      <c r="H62" s="0" t="str">
        <f aca="false">IF(F62=1,COUNTIF($F$4:F62,1),"")</f>
        <v/>
      </c>
      <c r="I62" s="0" t="str">
        <f aca="false">IF(G62=1,COUNTIF($G$4:G62,1),"")</f>
        <v/>
      </c>
      <c r="R62" s="0" t="str">
        <f aca="false">IF(CC_Mode="Per equipment",IFERROR(INDEX($B$4:$B$403,MATCH(59,$I$4:$I$403,0)),""),IF(CC_Mode="Per loop",IFERROR(INDEX($B$4:$B$403,MATCH(59,$H$4:$H$403,0)),""),IF(CC_Mode="Per unit",IFERROR("Chemical cleaning – "&amp;INDEX($K$4:$K$15,MATCH(59,$N$4:$N$15,0)),""),IF(59=1,"LUMP SUM – "&amp;QProject,""))))</f>
        <v/>
      </c>
      <c r="S62" s="0" t="str">
        <f aca="false">IF(CC_Mode="Per equipment",IFERROR(INDEX($C$4:$C$403,MATCH(59,$I$4:$I$403,0)),""),IF(CC_Mode="Per loop",IFERROR(INDEX($C$4:$C$403,MATCH(59,$H$4:$H$403,0)),""),IF(CC_Mode="Per unit",IFERROR(INDEX($K$4:$K$15,MATCH(59,$N$4:$N$15,0)),""),IF(59=1,"All units",""))))</f>
        <v/>
      </c>
      <c r="T62" s="0" t="str">
        <f aca="false">IF(CC_Mode="Per equipment",IFERROR(INDEX($D$4:$D$403,MATCH(59,$I$4:$I$403,0)),""),IF(CC_Mode="Per loop",IFERROR(INDEX($D$4:$D$403,MATCH(59,$H$4:$H$403,0)),""),IF(CC_Mode="Per unit",IFERROR(INDEX($M$4:$M$15,MATCH(59,$N$4:$N$15,0)),""),IF(59=1,CC_V_GrandVol,""))))</f>
        <v/>
      </c>
      <c r="U62" s="0" t="str">
        <f aca="false">IF(CC_Mode="Per equipment",IFERROR(INDEX($E$4:$E$403,MATCH(59,$I$4:$I$403,0)),""),IF(CC_Mode="Per loop",IFERROR(INDEX($E$4:$E$403,MATCH(59,$H$4:$H$403,0)),""),IF(CC_Mode="Per unit",IFERROR(INDEX($L$4:$L$15,MATCH(59,$N$4:$N$15,0)),""),IF(59=1,CC_Net,""))))</f>
        <v/>
      </c>
    </row>
    <row r="63" customFormat="false" ht="15" hidden="false" customHeight="false" outlineLevel="0" collapsed="false">
      <c r="A63" s="0" t="s">
        <v>172</v>
      </c>
      <c r="B63" s="0" t="str">
        <f aca="false">'CC Item Pricing'!C29&amp;IF('CC Item Pricing'!D29="",""," – "&amp;'CC Item Pricing'!D29)</f>
        <v/>
      </c>
      <c r="C63" s="0" t="str">
        <f aca="false">INDEX(CC_UnitNames,'CC Item Pricing'!Y29)</f>
        <v>Unit 1</v>
      </c>
      <c r="D63" s="0" t="n">
        <f aca="false">N('CC Item Pricing'!G29)</f>
        <v>0</v>
      </c>
      <c r="E63" s="98" t="n">
        <f aca="false">'CC Item Pricing'!W29</f>
        <v>0</v>
      </c>
      <c r="F63" s="96" t="n">
        <f aca="false">IF(AND(G63=1,'CC Item Pricing'!B29=""),1,0)</f>
        <v>0</v>
      </c>
      <c r="G63" s="96" t="n">
        <f aca="false">IF(D63&gt;0,1,0)</f>
        <v>0</v>
      </c>
      <c r="H63" s="0" t="str">
        <f aca="false">IF(F63=1,COUNTIF($F$4:F63,1),"")</f>
        <v/>
      </c>
      <c r="I63" s="0" t="str">
        <f aca="false">IF(G63=1,COUNTIF($G$4:G63,1),"")</f>
        <v/>
      </c>
      <c r="R63" s="0" t="str">
        <f aca="false">IF(CC_Mode="Per equipment",IFERROR(INDEX($B$4:$B$403,MATCH(60,$I$4:$I$403,0)),""),IF(CC_Mode="Per loop",IFERROR(INDEX($B$4:$B$403,MATCH(60,$H$4:$H$403,0)),""),IF(CC_Mode="Per unit",IFERROR("Chemical cleaning – "&amp;INDEX($K$4:$K$15,MATCH(60,$N$4:$N$15,0)),""),IF(60=1,"LUMP SUM – "&amp;QProject,""))))</f>
        <v/>
      </c>
      <c r="S63" s="0" t="str">
        <f aca="false">IF(CC_Mode="Per equipment",IFERROR(INDEX($C$4:$C$403,MATCH(60,$I$4:$I$403,0)),""),IF(CC_Mode="Per loop",IFERROR(INDEX($C$4:$C$403,MATCH(60,$H$4:$H$403,0)),""),IF(CC_Mode="Per unit",IFERROR(INDEX($K$4:$K$15,MATCH(60,$N$4:$N$15,0)),""),IF(60=1,"All units",""))))</f>
        <v/>
      </c>
      <c r="T63" s="0" t="str">
        <f aca="false">IF(CC_Mode="Per equipment",IFERROR(INDEX($D$4:$D$403,MATCH(60,$I$4:$I$403,0)),""),IF(CC_Mode="Per loop",IFERROR(INDEX($D$4:$D$403,MATCH(60,$H$4:$H$403,0)),""),IF(CC_Mode="Per unit",IFERROR(INDEX($M$4:$M$15,MATCH(60,$N$4:$N$15,0)),""),IF(60=1,CC_V_GrandVol,""))))</f>
        <v/>
      </c>
      <c r="U63" s="0" t="str">
        <f aca="false">IF(CC_Mode="Per equipment",IFERROR(INDEX($E$4:$E$403,MATCH(60,$I$4:$I$403,0)),""),IF(CC_Mode="Per loop",IFERROR(INDEX($E$4:$E$403,MATCH(60,$H$4:$H$403,0)),""),IF(CC_Mode="Per unit",IFERROR(INDEX($L$4:$L$15,MATCH(60,$N$4:$N$15,0)),""),IF(60=1,CC_Net,""))))</f>
        <v/>
      </c>
    </row>
    <row r="64" customFormat="false" ht="15" hidden="false" customHeight="false" outlineLevel="0" collapsed="false">
      <c r="A64" s="0" t="s">
        <v>172</v>
      </c>
      <c r="B64" s="0" t="str">
        <f aca="false">'CC Item Pricing'!C30&amp;IF('CC Item Pricing'!D30="",""," – "&amp;'CC Item Pricing'!D30)</f>
        <v/>
      </c>
      <c r="C64" s="0" t="str">
        <f aca="false">INDEX(CC_UnitNames,'CC Item Pricing'!Y30)</f>
        <v>Unit 1</v>
      </c>
      <c r="D64" s="0" t="n">
        <f aca="false">N('CC Item Pricing'!G30)</f>
        <v>0</v>
      </c>
      <c r="E64" s="98" t="n">
        <f aca="false">'CC Item Pricing'!W30</f>
        <v>0</v>
      </c>
      <c r="F64" s="96" t="n">
        <f aca="false">IF(AND(G64=1,'CC Item Pricing'!B30=""),1,0)</f>
        <v>0</v>
      </c>
      <c r="G64" s="96" t="n">
        <f aca="false">IF(D64&gt;0,1,0)</f>
        <v>0</v>
      </c>
      <c r="H64" s="0" t="str">
        <f aca="false">IF(F64=1,COUNTIF($F$4:F64,1),"")</f>
        <v/>
      </c>
      <c r="I64" s="0" t="str">
        <f aca="false">IF(G64=1,COUNTIF($G$4:G64,1),"")</f>
        <v/>
      </c>
      <c r="R64" s="0" t="str">
        <f aca="false">IF(CC_Mode="Per equipment",IFERROR(INDEX($B$4:$B$403,MATCH(61,$I$4:$I$403,0)),""),IF(CC_Mode="Per loop",IFERROR(INDEX($B$4:$B$403,MATCH(61,$H$4:$H$403,0)),""),IF(CC_Mode="Per unit",IFERROR("Chemical cleaning – "&amp;INDEX($K$4:$K$15,MATCH(61,$N$4:$N$15,0)),""),IF(61=1,"LUMP SUM – "&amp;QProject,""))))</f>
        <v/>
      </c>
      <c r="S64" s="0" t="str">
        <f aca="false">IF(CC_Mode="Per equipment",IFERROR(INDEX($C$4:$C$403,MATCH(61,$I$4:$I$403,0)),""),IF(CC_Mode="Per loop",IFERROR(INDEX($C$4:$C$403,MATCH(61,$H$4:$H$403,0)),""),IF(CC_Mode="Per unit",IFERROR(INDEX($K$4:$K$15,MATCH(61,$N$4:$N$15,0)),""),IF(61=1,"All units",""))))</f>
        <v/>
      </c>
      <c r="T64" s="0" t="str">
        <f aca="false">IF(CC_Mode="Per equipment",IFERROR(INDEX($D$4:$D$403,MATCH(61,$I$4:$I$403,0)),""),IF(CC_Mode="Per loop",IFERROR(INDEX($D$4:$D$403,MATCH(61,$H$4:$H$403,0)),""),IF(CC_Mode="Per unit",IFERROR(INDEX($M$4:$M$15,MATCH(61,$N$4:$N$15,0)),""),IF(61=1,CC_V_GrandVol,""))))</f>
        <v/>
      </c>
      <c r="U64" s="0" t="str">
        <f aca="false">IF(CC_Mode="Per equipment",IFERROR(INDEX($E$4:$E$403,MATCH(61,$I$4:$I$403,0)),""),IF(CC_Mode="Per loop",IFERROR(INDEX($E$4:$E$403,MATCH(61,$H$4:$H$403,0)),""),IF(CC_Mode="Per unit",IFERROR(INDEX($L$4:$L$15,MATCH(61,$N$4:$N$15,0)),""),IF(61=1,CC_Net,""))))</f>
        <v/>
      </c>
    </row>
    <row r="65" customFormat="false" ht="15" hidden="false" customHeight="false" outlineLevel="0" collapsed="false">
      <c r="A65" s="0" t="s">
        <v>172</v>
      </c>
      <c r="B65" s="0" t="str">
        <f aca="false">'CC Item Pricing'!C31&amp;IF('CC Item Pricing'!D31="",""," – "&amp;'CC Item Pricing'!D31)</f>
        <v/>
      </c>
      <c r="C65" s="0" t="str">
        <f aca="false">INDEX(CC_UnitNames,'CC Item Pricing'!Y31)</f>
        <v>Unit 1</v>
      </c>
      <c r="D65" s="0" t="n">
        <f aca="false">N('CC Item Pricing'!G31)</f>
        <v>0</v>
      </c>
      <c r="E65" s="98" t="n">
        <f aca="false">'CC Item Pricing'!W31</f>
        <v>0</v>
      </c>
      <c r="F65" s="96" t="n">
        <f aca="false">IF(AND(G65=1,'CC Item Pricing'!B31=""),1,0)</f>
        <v>0</v>
      </c>
      <c r="G65" s="96" t="n">
        <f aca="false">IF(D65&gt;0,1,0)</f>
        <v>0</v>
      </c>
      <c r="H65" s="0" t="str">
        <f aca="false">IF(F65=1,COUNTIF($F$4:F65,1),"")</f>
        <v/>
      </c>
      <c r="I65" s="0" t="str">
        <f aca="false">IF(G65=1,COUNTIF($G$4:G65,1),"")</f>
        <v/>
      </c>
      <c r="R65" s="0" t="str">
        <f aca="false">IF(CC_Mode="Per equipment",IFERROR(INDEX($B$4:$B$403,MATCH(62,$I$4:$I$403,0)),""),IF(CC_Mode="Per loop",IFERROR(INDEX($B$4:$B$403,MATCH(62,$H$4:$H$403,0)),""),IF(CC_Mode="Per unit",IFERROR("Chemical cleaning – "&amp;INDEX($K$4:$K$15,MATCH(62,$N$4:$N$15,0)),""),IF(62=1,"LUMP SUM – "&amp;QProject,""))))</f>
        <v/>
      </c>
      <c r="S65" s="0" t="str">
        <f aca="false">IF(CC_Mode="Per equipment",IFERROR(INDEX($C$4:$C$403,MATCH(62,$I$4:$I$403,0)),""),IF(CC_Mode="Per loop",IFERROR(INDEX($C$4:$C$403,MATCH(62,$H$4:$H$403,0)),""),IF(CC_Mode="Per unit",IFERROR(INDEX($K$4:$K$15,MATCH(62,$N$4:$N$15,0)),""),IF(62=1,"All units",""))))</f>
        <v/>
      </c>
      <c r="T65" s="0" t="str">
        <f aca="false">IF(CC_Mode="Per equipment",IFERROR(INDEX($D$4:$D$403,MATCH(62,$I$4:$I$403,0)),""),IF(CC_Mode="Per loop",IFERROR(INDEX($D$4:$D$403,MATCH(62,$H$4:$H$403,0)),""),IF(CC_Mode="Per unit",IFERROR(INDEX($M$4:$M$15,MATCH(62,$N$4:$N$15,0)),""),IF(62=1,CC_V_GrandVol,""))))</f>
        <v/>
      </c>
      <c r="U65" s="0" t="str">
        <f aca="false">IF(CC_Mode="Per equipment",IFERROR(INDEX($E$4:$E$403,MATCH(62,$I$4:$I$403,0)),""),IF(CC_Mode="Per loop",IFERROR(INDEX($E$4:$E$403,MATCH(62,$H$4:$H$403,0)),""),IF(CC_Mode="Per unit",IFERROR(INDEX($L$4:$L$15,MATCH(62,$N$4:$N$15,0)),""),IF(62=1,CC_Net,""))))</f>
        <v/>
      </c>
    </row>
    <row r="66" customFormat="false" ht="15" hidden="false" customHeight="false" outlineLevel="0" collapsed="false">
      <c r="A66" s="0" t="s">
        <v>172</v>
      </c>
      <c r="B66" s="0" t="str">
        <f aca="false">'CC Item Pricing'!C32&amp;IF('CC Item Pricing'!D32="",""," – "&amp;'CC Item Pricing'!D32)</f>
        <v/>
      </c>
      <c r="C66" s="0" t="str">
        <f aca="false">INDEX(CC_UnitNames,'CC Item Pricing'!Y32)</f>
        <v>Unit 1</v>
      </c>
      <c r="D66" s="0" t="n">
        <f aca="false">N('CC Item Pricing'!G32)</f>
        <v>0</v>
      </c>
      <c r="E66" s="98" t="n">
        <f aca="false">'CC Item Pricing'!W32</f>
        <v>0</v>
      </c>
      <c r="F66" s="96" t="n">
        <f aca="false">IF(AND(G66=1,'CC Item Pricing'!B32=""),1,0)</f>
        <v>0</v>
      </c>
      <c r="G66" s="96" t="n">
        <f aca="false">IF(D66&gt;0,1,0)</f>
        <v>0</v>
      </c>
      <c r="H66" s="0" t="str">
        <f aca="false">IF(F66=1,COUNTIF($F$4:F66,1),"")</f>
        <v/>
      </c>
      <c r="I66" s="0" t="str">
        <f aca="false">IF(G66=1,COUNTIF($G$4:G66,1),"")</f>
        <v/>
      </c>
      <c r="R66" s="0" t="str">
        <f aca="false">IF(CC_Mode="Per equipment",IFERROR(INDEX($B$4:$B$403,MATCH(63,$I$4:$I$403,0)),""),IF(CC_Mode="Per loop",IFERROR(INDEX($B$4:$B$403,MATCH(63,$H$4:$H$403,0)),""),IF(CC_Mode="Per unit",IFERROR("Chemical cleaning – "&amp;INDEX($K$4:$K$15,MATCH(63,$N$4:$N$15,0)),""),IF(63=1,"LUMP SUM – "&amp;QProject,""))))</f>
        <v/>
      </c>
      <c r="S66" s="0" t="str">
        <f aca="false">IF(CC_Mode="Per equipment",IFERROR(INDEX($C$4:$C$403,MATCH(63,$I$4:$I$403,0)),""),IF(CC_Mode="Per loop",IFERROR(INDEX($C$4:$C$403,MATCH(63,$H$4:$H$403,0)),""),IF(CC_Mode="Per unit",IFERROR(INDEX($K$4:$K$15,MATCH(63,$N$4:$N$15,0)),""),IF(63=1,"All units",""))))</f>
        <v/>
      </c>
      <c r="T66" s="0" t="str">
        <f aca="false">IF(CC_Mode="Per equipment",IFERROR(INDEX($D$4:$D$403,MATCH(63,$I$4:$I$403,0)),""),IF(CC_Mode="Per loop",IFERROR(INDEX($D$4:$D$403,MATCH(63,$H$4:$H$403,0)),""),IF(CC_Mode="Per unit",IFERROR(INDEX($M$4:$M$15,MATCH(63,$N$4:$N$15,0)),""),IF(63=1,CC_V_GrandVol,""))))</f>
        <v/>
      </c>
      <c r="U66" s="0" t="str">
        <f aca="false">IF(CC_Mode="Per equipment",IFERROR(INDEX($E$4:$E$403,MATCH(63,$I$4:$I$403,0)),""),IF(CC_Mode="Per loop",IFERROR(INDEX($E$4:$E$403,MATCH(63,$H$4:$H$403,0)),""),IF(CC_Mode="Per unit",IFERROR(INDEX($L$4:$L$15,MATCH(63,$N$4:$N$15,0)),""),IF(63=1,CC_Net,""))))</f>
        <v/>
      </c>
    </row>
    <row r="67" customFormat="false" ht="15" hidden="false" customHeight="false" outlineLevel="0" collapsed="false">
      <c r="A67" s="0" t="s">
        <v>172</v>
      </c>
      <c r="B67" s="0" t="str">
        <f aca="false">'CC Item Pricing'!C33&amp;IF('CC Item Pricing'!D33="",""," – "&amp;'CC Item Pricing'!D33)</f>
        <v/>
      </c>
      <c r="C67" s="0" t="str">
        <f aca="false">INDEX(CC_UnitNames,'CC Item Pricing'!Y33)</f>
        <v>Unit 1</v>
      </c>
      <c r="D67" s="0" t="n">
        <f aca="false">N('CC Item Pricing'!G33)</f>
        <v>0</v>
      </c>
      <c r="E67" s="98" t="n">
        <f aca="false">'CC Item Pricing'!W33</f>
        <v>0</v>
      </c>
      <c r="F67" s="96" t="n">
        <f aca="false">IF(AND(G67=1,'CC Item Pricing'!B33=""),1,0)</f>
        <v>0</v>
      </c>
      <c r="G67" s="96" t="n">
        <f aca="false">IF(D67&gt;0,1,0)</f>
        <v>0</v>
      </c>
      <c r="H67" s="0" t="str">
        <f aca="false">IF(F67=1,COUNTIF($F$4:F67,1),"")</f>
        <v/>
      </c>
      <c r="I67" s="0" t="str">
        <f aca="false">IF(G67=1,COUNTIF($G$4:G67,1),"")</f>
        <v/>
      </c>
      <c r="R67" s="0" t="str">
        <f aca="false">IF(CC_Mode="Per equipment",IFERROR(INDEX($B$4:$B$403,MATCH(64,$I$4:$I$403,0)),""),IF(CC_Mode="Per loop",IFERROR(INDEX($B$4:$B$403,MATCH(64,$H$4:$H$403,0)),""),IF(CC_Mode="Per unit",IFERROR("Chemical cleaning – "&amp;INDEX($K$4:$K$15,MATCH(64,$N$4:$N$15,0)),""),IF(64=1,"LUMP SUM – "&amp;QProject,""))))</f>
        <v/>
      </c>
      <c r="S67" s="0" t="str">
        <f aca="false">IF(CC_Mode="Per equipment",IFERROR(INDEX($C$4:$C$403,MATCH(64,$I$4:$I$403,0)),""),IF(CC_Mode="Per loop",IFERROR(INDEX($C$4:$C$403,MATCH(64,$H$4:$H$403,0)),""),IF(CC_Mode="Per unit",IFERROR(INDEX($K$4:$K$15,MATCH(64,$N$4:$N$15,0)),""),IF(64=1,"All units",""))))</f>
        <v/>
      </c>
      <c r="T67" s="0" t="str">
        <f aca="false">IF(CC_Mode="Per equipment",IFERROR(INDEX($D$4:$D$403,MATCH(64,$I$4:$I$403,0)),""),IF(CC_Mode="Per loop",IFERROR(INDEX($D$4:$D$403,MATCH(64,$H$4:$H$403,0)),""),IF(CC_Mode="Per unit",IFERROR(INDEX($M$4:$M$15,MATCH(64,$N$4:$N$15,0)),""),IF(64=1,CC_V_GrandVol,""))))</f>
        <v/>
      </c>
      <c r="U67" s="0" t="str">
        <f aca="false">IF(CC_Mode="Per equipment",IFERROR(INDEX($E$4:$E$403,MATCH(64,$I$4:$I$403,0)),""),IF(CC_Mode="Per loop",IFERROR(INDEX($E$4:$E$403,MATCH(64,$H$4:$H$403,0)),""),IF(CC_Mode="Per unit",IFERROR(INDEX($L$4:$L$15,MATCH(64,$N$4:$N$15,0)),""),IF(64=1,CC_Net,""))))</f>
        <v/>
      </c>
    </row>
    <row r="68" customFormat="false" ht="15" hidden="false" customHeight="false" outlineLevel="0" collapsed="false">
      <c r="A68" s="0" t="s">
        <v>172</v>
      </c>
      <c r="B68" s="0" t="str">
        <f aca="false">'CC Item Pricing'!C34&amp;IF('CC Item Pricing'!D34="",""," – "&amp;'CC Item Pricing'!D34)</f>
        <v/>
      </c>
      <c r="C68" s="0" t="str">
        <f aca="false">INDEX(CC_UnitNames,'CC Item Pricing'!Y34)</f>
        <v>Unit 1</v>
      </c>
      <c r="D68" s="0" t="n">
        <f aca="false">N('CC Item Pricing'!G34)</f>
        <v>0</v>
      </c>
      <c r="E68" s="98" t="n">
        <f aca="false">'CC Item Pricing'!W34</f>
        <v>0</v>
      </c>
      <c r="F68" s="96" t="n">
        <f aca="false">IF(AND(G68=1,'CC Item Pricing'!B34=""),1,0)</f>
        <v>0</v>
      </c>
      <c r="G68" s="96" t="n">
        <f aca="false">IF(D68&gt;0,1,0)</f>
        <v>0</v>
      </c>
      <c r="H68" s="0" t="str">
        <f aca="false">IF(F68=1,COUNTIF($F$4:F68,1),"")</f>
        <v/>
      </c>
      <c r="I68" s="0" t="str">
        <f aca="false">IF(G68=1,COUNTIF($G$4:G68,1),"")</f>
        <v/>
      </c>
      <c r="R68" s="0" t="str">
        <f aca="false">IF(CC_Mode="Per equipment",IFERROR(INDEX($B$4:$B$403,MATCH(65,$I$4:$I$403,0)),""),IF(CC_Mode="Per loop",IFERROR(INDEX($B$4:$B$403,MATCH(65,$H$4:$H$403,0)),""),IF(CC_Mode="Per unit",IFERROR("Chemical cleaning – "&amp;INDEX($K$4:$K$15,MATCH(65,$N$4:$N$15,0)),""),IF(65=1,"LUMP SUM – "&amp;QProject,""))))</f>
        <v/>
      </c>
      <c r="S68" s="0" t="str">
        <f aca="false">IF(CC_Mode="Per equipment",IFERROR(INDEX($C$4:$C$403,MATCH(65,$I$4:$I$403,0)),""),IF(CC_Mode="Per loop",IFERROR(INDEX($C$4:$C$403,MATCH(65,$H$4:$H$403,0)),""),IF(CC_Mode="Per unit",IFERROR(INDEX($K$4:$K$15,MATCH(65,$N$4:$N$15,0)),""),IF(65=1,"All units",""))))</f>
        <v/>
      </c>
      <c r="T68" s="0" t="str">
        <f aca="false">IF(CC_Mode="Per equipment",IFERROR(INDEX($D$4:$D$403,MATCH(65,$I$4:$I$403,0)),""),IF(CC_Mode="Per loop",IFERROR(INDEX($D$4:$D$403,MATCH(65,$H$4:$H$403,0)),""),IF(CC_Mode="Per unit",IFERROR(INDEX($M$4:$M$15,MATCH(65,$N$4:$N$15,0)),""),IF(65=1,CC_V_GrandVol,""))))</f>
        <v/>
      </c>
      <c r="U68" s="0" t="str">
        <f aca="false">IF(CC_Mode="Per equipment",IFERROR(INDEX($E$4:$E$403,MATCH(65,$I$4:$I$403,0)),""),IF(CC_Mode="Per loop",IFERROR(INDEX($E$4:$E$403,MATCH(65,$H$4:$H$403,0)),""),IF(CC_Mode="Per unit",IFERROR(INDEX($L$4:$L$15,MATCH(65,$N$4:$N$15,0)),""),IF(65=1,CC_Net,""))))</f>
        <v/>
      </c>
    </row>
    <row r="69" customFormat="false" ht="15" hidden="false" customHeight="false" outlineLevel="0" collapsed="false">
      <c r="A69" s="0" t="s">
        <v>172</v>
      </c>
      <c r="B69" s="0" t="str">
        <f aca="false">'CC Item Pricing'!C35&amp;IF('CC Item Pricing'!D35="",""," – "&amp;'CC Item Pricing'!D35)</f>
        <v/>
      </c>
      <c r="C69" s="0" t="str">
        <f aca="false">INDEX(CC_UnitNames,'CC Item Pricing'!Y35)</f>
        <v>Unit 1</v>
      </c>
      <c r="D69" s="0" t="n">
        <f aca="false">N('CC Item Pricing'!G35)</f>
        <v>0</v>
      </c>
      <c r="E69" s="98" t="n">
        <f aca="false">'CC Item Pricing'!W35</f>
        <v>0</v>
      </c>
      <c r="F69" s="96" t="n">
        <f aca="false">IF(AND(G69=1,'CC Item Pricing'!B35=""),1,0)</f>
        <v>0</v>
      </c>
      <c r="G69" s="96" t="n">
        <f aca="false">IF(D69&gt;0,1,0)</f>
        <v>0</v>
      </c>
      <c r="H69" s="0" t="str">
        <f aca="false">IF(F69=1,COUNTIF($F$4:F69,1),"")</f>
        <v/>
      </c>
      <c r="I69" s="0" t="str">
        <f aca="false">IF(G69=1,COUNTIF($G$4:G69,1),"")</f>
        <v/>
      </c>
      <c r="R69" s="0" t="str">
        <f aca="false">IF(CC_Mode="Per equipment",IFERROR(INDEX($B$4:$B$403,MATCH(66,$I$4:$I$403,0)),""),IF(CC_Mode="Per loop",IFERROR(INDEX($B$4:$B$403,MATCH(66,$H$4:$H$403,0)),""),IF(CC_Mode="Per unit",IFERROR("Chemical cleaning – "&amp;INDEX($K$4:$K$15,MATCH(66,$N$4:$N$15,0)),""),IF(66=1,"LUMP SUM – "&amp;QProject,""))))</f>
        <v/>
      </c>
      <c r="S69" s="0" t="str">
        <f aca="false">IF(CC_Mode="Per equipment",IFERROR(INDEX($C$4:$C$403,MATCH(66,$I$4:$I$403,0)),""),IF(CC_Mode="Per loop",IFERROR(INDEX($C$4:$C$403,MATCH(66,$H$4:$H$403,0)),""),IF(CC_Mode="Per unit",IFERROR(INDEX($K$4:$K$15,MATCH(66,$N$4:$N$15,0)),""),IF(66=1,"All units",""))))</f>
        <v/>
      </c>
      <c r="T69" s="0" t="str">
        <f aca="false">IF(CC_Mode="Per equipment",IFERROR(INDEX($D$4:$D$403,MATCH(66,$I$4:$I$403,0)),""),IF(CC_Mode="Per loop",IFERROR(INDEX($D$4:$D$403,MATCH(66,$H$4:$H$403,0)),""),IF(CC_Mode="Per unit",IFERROR(INDEX($M$4:$M$15,MATCH(66,$N$4:$N$15,0)),""),IF(66=1,CC_V_GrandVol,""))))</f>
        <v/>
      </c>
      <c r="U69" s="0" t="str">
        <f aca="false">IF(CC_Mode="Per equipment",IFERROR(INDEX($E$4:$E$403,MATCH(66,$I$4:$I$403,0)),""),IF(CC_Mode="Per loop",IFERROR(INDEX($E$4:$E$403,MATCH(66,$H$4:$H$403,0)),""),IF(CC_Mode="Per unit",IFERROR(INDEX($L$4:$L$15,MATCH(66,$N$4:$N$15,0)),""),IF(66=1,CC_Net,""))))</f>
        <v/>
      </c>
    </row>
    <row r="70" customFormat="false" ht="15" hidden="false" customHeight="false" outlineLevel="0" collapsed="false">
      <c r="A70" s="0" t="s">
        <v>172</v>
      </c>
      <c r="B70" s="0" t="str">
        <f aca="false">'CC Item Pricing'!C36&amp;IF('CC Item Pricing'!D36="",""," – "&amp;'CC Item Pricing'!D36)</f>
        <v/>
      </c>
      <c r="C70" s="0" t="str">
        <f aca="false">INDEX(CC_UnitNames,'CC Item Pricing'!Y36)</f>
        <v>Unit 1</v>
      </c>
      <c r="D70" s="0" t="n">
        <f aca="false">N('CC Item Pricing'!G36)</f>
        <v>0</v>
      </c>
      <c r="E70" s="98" t="n">
        <f aca="false">'CC Item Pricing'!W36</f>
        <v>0</v>
      </c>
      <c r="F70" s="96" t="n">
        <f aca="false">IF(AND(G70=1,'CC Item Pricing'!B36=""),1,0)</f>
        <v>0</v>
      </c>
      <c r="G70" s="96" t="n">
        <f aca="false">IF(D70&gt;0,1,0)</f>
        <v>0</v>
      </c>
      <c r="H70" s="0" t="str">
        <f aca="false">IF(F70=1,COUNTIF($F$4:F70,1),"")</f>
        <v/>
      </c>
      <c r="I70" s="0" t="str">
        <f aca="false">IF(G70=1,COUNTIF($G$4:G70,1),"")</f>
        <v/>
      </c>
      <c r="R70" s="0" t="str">
        <f aca="false">IF(CC_Mode="Per equipment",IFERROR(INDEX($B$4:$B$403,MATCH(67,$I$4:$I$403,0)),""),IF(CC_Mode="Per loop",IFERROR(INDEX($B$4:$B$403,MATCH(67,$H$4:$H$403,0)),""),IF(CC_Mode="Per unit",IFERROR("Chemical cleaning – "&amp;INDEX($K$4:$K$15,MATCH(67,$N$4:$N$15,0)),""),IF(67=1,"LUMP SUM – "&amp;QProject,""))))</f>
        <v/>
      </c>
      <c r="S70" s="0" t="str">
        <f aca="false">IF(CC_Mode="Per equipment",IFERROR(INDEX($C$4:$C$403,MATCH(67,$I$4:$I$403,0)),""),IF(CC_Mode="Per loop",IFERROR(INDEX($C$4:$C$403,MATCH(67,$H$4:$H$403,0)),""),IF(CC_Mode="Per unit",IFERROR(INDEX($K$4:$K$15,MATCH(67,$N$4:$N$15,0)),""),IF(67=1,"All units",""))))</f>
        <v/>
      </c>
      <c r="T70" s="0" t="str">
        <f aca="false">IF(CC_Mode="Per equipment",IFERROR(INDEX($D$4:$D$403,MATCH(67,$I$4:$I$403,0)),""),IF(CC_Mode="Per loop",IFERROR(INDEX($D$4:$D$403,MATCH(67,$H$4:$H$403,0)),""),IF(CC_Mode="Per unit",IFERROR(INDEX($M$4:$M$15,MATCH(67,$N$4:$N$15,0)),""),IF(67=1,CC_V_GrandVol,""))))</f>
        <v/>
      </c>
      <c r="U70" s="0" t="str">
        <f aca="false">IF(CC_Mode="Per equipment",IFERROR(INDEX($E$4:$E$403,MATCH(67,$I$4:$I$403,0)),""),IF(CC_Mode="Per loop",IFERROR(INDEX($E$4:$E$403,MATCH(67,$H$4:$H$403,0)),""),IF(CC_Mode="Per unit",IFERROR(INDEX($L$4:$L$15,MATCH(67,$N$4:$N$15,0)),""),IF(67=1,CC_Net,""))))</f>
        <v/>
      </c>
    </row>
    <row r="71" customFormat="false" ht="15" hidden="false" customHeight="false" outlineLevel="0" collapsed="false">
      <c r="A71" s="0" t="s">
        <v>172</v>
      </c>
      <c r="B71" s="0" t="str">
        <f aca="false">'CC Item Pricing'!C37&amp;IF('CC Item Pricing'!D37="",""," – "&amp;'CC Item Pricing'!D37)</f>
        <v/>
      </c>
      <c r="C71" s="0" t="str">
        <f aca="false">INDEX(CC_UnitNames,'CC Item Pricing'!Y37)</f>
        <v>Unit 1</v>
      </c>
      <c r="D71" s="0" t="n">
        <f aca="false">N('CC Item Pricing'!G37)</f>
        <v>0</v>
      </c>
      <c r="E71" s="98" t="n">
        <f aca="false">'CC Item Pricing'!W37</f>
        <v>0</v>
      </c>
      <c r="F71" s="96" t="n">
        <f aca="false">IF(AND(G71=1,'CC Item Pricing'!B37=""),1,0)</f>
        <v>0</v>
      </c>
      <c r="G71" s="96" t="n">
        <f aca="false">IF(D71&gt;0,1,0)</f>
        <v>0</v>
      </c>
      <c r="H71" s="0" t="str">
        <f aca="false">IF(F71=1,COUNTIF($F$4:F71,1),"")</f>
        <v/>
      </c>
      <c r="I71" s="0" t="str">
        <f aca="false">IF(G71=1,COUNTIF($G$4:G71,1),"")</f>
        <v/>
      </c>
      <c r="R71" s="0" t="str">
        <f aca="false">IF(CC_Mode="Per equipment",IFERROR(INDEX($B$4:$B$403,MATCH(68,$I$4:$I$403,0)),""),IF(CC_Mode="Per loop",IFERROR(INDEX($B$4:$B$403,MATCH(68,$H$4:$H$403,0)),""),IF(CC_Mode="Per unit",IFERROR("Chemical cleaning – "&amp;INDEX($K$4:$K$15,MATCH(68,$N$4:$N$15,0)),""),IF(68=1,"LUMP SUM – "&amp;QProject,""))))</f>
        <v/>
      </c>
      <c r="S71" s="0" t="str">
        <f aca="false">IF(CC_Mode="Per equipment",IFERROR(INDEX($C$4:$C$403,MATCH(68,$I$4:$I$403,0)),""),IF(CC_Mode="Per loop",IFERROR(INDEX($C$4:$C$403,MATCH(68,$H$4:$H$403,0)),""),IF(CC_Mode="Per unit",IFERROR(INDEX($K$4:$K$15,MATCH(68,$N$4:$N$15,0)),""),IF(68=1,"All units",""))))</f>
        <v/>
      </c>
      <c r="T71" s="0" t="str">
        <f aca="false">IF(CC_Mode="Per equipment",IFERROR(INDEX($D$4:$D$403,MATCH(68,$I$4:$I$403,0)),""),IF(CC_Mode="Per loop",IFERROR(INDEX($D$4:$D$403,MATCH(68,$H$4:$H$403,0)),""),IF(CC_Mode="Per unit",IFERROR(INDEX($M$4:$M$15,MATCH(68,$N$4:$N$15,0)),""),IF(68=1,CC_V_GrandVol,""))))</f>
        <v/>
      </c>
      <c r="U71" s="0" t="str">
        <f aca="false">IF(CC_Mode="Per equipment",IFERROR(INDEX($E$4:$E$403,MATCH(68,$I$4:$I$403,0)),""),IF(CC_Mode="Per loop",IFERROR(INDEX($E$4:$E$403,MATCH(68,$H$4:$H$403,0)),""),IF(CC_Mode="Per unit",IFERROR(INDEX($L$4:$L$15,MATCH(68,$N$4:$N$15,0)),""),IF(68=1,CC_Net,""))))</f>
        <v/>
      </c>
    </row>
    <row r="72" customFormat="false" ht="15" hidden="false" customHeight="false" outlineLevel="0" collapsed="false">
      <c r="A72" s="0" t="s">
        <v>172</v>
      </c>
      <c r="B72" s="0" t="str">
        <f aca="false">'CC Item Pricing'!C38&amp;IF('CC Item Pricing'!D38="",""," – "&amp;'CC Item Pricing'!D38)</f>
        <v/>
      </c>
      <c r="C72" s="0" t="str">
        <f aca="false">INDEX(CC_UnitNames,'CC Item Pricing'!Y38)</f>
        <v>Unit 1</v>
      </c>
      <c r="D72" s="0" t="n">
        <f aca="false">N('CC Item Pricing'!G38)</f>
        <v>0</v>
      </c>
      <c r="E72" s="98" t="n">
        <f aca="false">'CC Item Pricing'!W38</f>
        <v>0</v>
      </c>
      <c r="F72" s="96" t="n">
        <f aca="false">IF(AND(G72=1,'CC Item Pricing'!B38=""),1,0)</f>
        <v>0</v>
      </c>
      <c r="G72" s="96" t="n">
        <f aca="false">IF(D72&gt;0,1,0)</f>
        <v>0</v>
      </c>
      <c r="H72" s="0" t="str">
        <f aca="false">IF(F72=1,COUNTIF($F$4:F72,1),"")</f>
        <v/>
      </c>
      <c r="I72" s="0" t="str">
        <f aca="false">IF(G72=1,COUNTIF($G$4:G72,1),"")</f>
        <v/>
      </c>
      <c r="R72" s="0" t="str">
        <f aca="false">IF(CC_Mode="Per equipment",IFERROR(INDEX($B$4:$B$403,MATCH(69,$I$4:$I$403,0)),""),IF(CC_Mode="Per loop",IFERROR(INDEX($B$4:$B$403,MATCH(69,$H$4:$H$403,0)),""),IF(CC_Mode="Per unit",IFERROR("Chemical cleaning – "&amp;INDEX($K$4:$K$15,MATCH(69,$N$4:$N$15,0)),""),IF(69=1,"LUMP SUM – "&amp;QProject,""))))</f>
        <v/>
      </c>
      <c r="S72" s="0" t="str">
        <f aca="false">IF(CC_Mode="Per equipment",IFERROR(INDEX($C$4:$C$403,MATCH(69,$I$4:$I$403,0)),""),IF(CC_Mode="Per loop",IFERROR(INDEX($C$4:$C$403,MATCH(69,$H$4:$H$403,0)),""),IF(CC_Mode="Per unit",IFERROR(INDEX($K$4:$K$15,MATCH(69,$N$4:$N$15,0)),""),IF(69=1,"All units",""))))</f>
        <v/>
      </c>
      <c r="T72" s="0" t="str">
        <f aca="false">IF(CC_Mode="Per equipment",IFERROR(INDEX($D$4:$D$403,MATCH(69,$I$4:$I$403,0)),""),IF(CC_Mode="Per loop",IFERROR(INDEX($D$4:$D$403,MATCH(69,$H$4:$H$403,0)),""),IF(CC_Mode="Per unit",IFERROR(INDEX($M$4:$M$15,MATCH(69,$N$4:$N$15,0)),""),IF(69=1,CC_V_GrandVol,""))))</f>
        <v/>
      </c>
      <c r="U72" s="0" t="str">
        <f aca="false">IF(CC_Mode="Per equipment",IFERROR(INDEX($E$4:$E$403,MATCH(69,$I$4:$I$403,0)),""),IF(CC_Mode="Per loop",IFERROR(INDEX($E$4:$E$403,MATCH(69,$H$4:$H$403,0)),""),IF(CC_Mode="Per unit",IFERROR(INDEX($L$4:$L$15,MATCH(69,$N$4:$N$15,0)),""),IF(69=1,CC_Net,""))))</f>
        <v/>
      </c>
    </row>
    <row r="73" customFormat="false" ht="15" hidden="false" customHeight="false" outlineLevel="0" collapsed="false">
      <c r="A73" s="0" t="s">
        <v>172</v>
      </c>
      <c r="B73" s="0" t="str">
        <f aca="false">'CC Item Pricing'!C39&amp;IF('CC Item Pricing'!D39="",""," – "&amp;'CC Item Pricing'!D39)</f>
        <v/>
      </c>
      <c r="C73" s="0" t="str">
        <f aca="false">INDEX(CC_UnitNames,'CC Item Pricing'!Y39)</f>
        <v>Unit 1</v>
      </c>
      <c r="D73" s="0" t="n">
        <f aca="false">N('CC Item Pricing'!G39)</f>
        <v>0</v>
      </c>
      <c r="E73" s="98" t="n">
        <f aca="false">'CC Item Pricing'!W39</f>
        <v>0</v>
      </c>
      <c r="F73" s="96" t="n">
        <f aca="false">IF(AND(G73=1,'CC Item Pricing'!B39=""),1,0)</f>
        <v>0</v>
      </c>
      <c r="G73" s="96" t="n">
        <f aca="false">IF(D73&gt;0,1,0)</f>
        <v>0</v>
      </c>
      <c r="H73" s="0" t="str">
        <f aca="false">IF(F73=1,COUNTIF($F$4:F73,1),"")</f>
        <v/>
      </c>
      <c r="I73" s="0" t="str">
        <f aca="false">IF(G73=1,COUNTIF($G$4:G73,1),"")</f>
        <v/>
      </c>
      <c r="R73" s="0" t="str">
        <f aca="false">IF(CC_Mode="Per equipment",IFERROR(INDEX($B$4:$B$403,MATCH(70,$I$4:$I$403,0)),""),IF(CC_Mode="Per loop",IFERROR(INDEX($B$4:$B$403,MATCH(70,$H$4:$H$403,0)),""),IF(CC_Mode="Per unit",IFERROR("Chemical cleaning – "&amp;INDEX($K$4:$K$15,MATCH(70,$N$4:$N$15,0)),""),IF(70=1,"LUMP SUM – "&amp;QProject,""))))</f>
        <v/>
      </c>
      <c r="S73" s="0" t="str">
        <f aca="false">IF(CC_Mode="Per equipment",IFERROR(INDEX($C$4:$C$403,MATCH(70,$I$4:$I$403,0)),""),IF(CC_Mode="Per loop",IFERROR(INDEX($C$4:$C$403,MATCH(70,$H$4:$H$403,0)),""),IF(CC_Mode="Per unit",IFERROR(INDEX($K$4:$K$15,MATCH(70,$N$4:$N$15,0)),""),IF(70=1,"All units",""))))</f>
        <v/>
      </c>
      <c r="T73" s="0" t="str">
        <f aca="false">IF(CC_Mode="Per equipment",IFERROR(INDEX($D$4:$D$403,MATCH(70,$I$4:$I$403,0)),""),IF(CC_Mode="Per loop",IFERROR(INDEX($D$4:$D$403,MATCH(70,$H$4:$H$403,0)),""),IF(CC_Mode="Per unit",IFERROR(INDEX($M$4:$M$15,MATCH(70,$N$4:$N$15,0)),""),IF(70=1,CC_V_GrandVol,""))))</f>
        <v/>
      </c>
      <c r="U73" s="0" t="str">
        <f aca="false">IF(CC_Mode="Per equipment",IFERROR(INDEX($E$4:$E$403,MATCH(70,$I$4:$I$403,0)),""),IF(CC_Mode="Per loop",IFERROR(INDEX($E$4:$E$403,MATCH(70,$H$4:$H$403,0)),""),IF(CC_Mode="Per unit",IFERROR(INDEX($L$4:$L$15,MATCH(70,$N$4:$N$15,0)),""),IF(70=1,CC_Net,""))))</f>
        <v/>
      </c>
    </row>
    <row r="74" customFormat="false" ht="15" hidden="false" customHeight="false" outlineLevel="0" collapsed="false">
      <c r="A74" s="0" t="s">
        <v>172</v>
      </c>
      <c r="B74" s="0" t="str">
        <f aca="false">'CC Item Pricing'!C43&amp;IF('CC Item Pricing'!D43="",""," – "&amp;'CC Item Pricing'!D43)</f>
        <v/>
      </c>
      <c r="C74" s="0" t="str">
        <f aca="false">INDEX(CC_UnitNames,'CC Item Pricing'!Y43)</f>
        <v>Unit 2</v>
      </c>
      <c r="D74" s="0" t="n">
        <f aca="false">N('CC Item Pricing'!G43)</f>
        <v>0</v>
      </c>
      <c r="E74" s="98" t="n">
        <f aca="false">'CC Item Pricing'!W43</f>
        <v>0</v>
      </c>
      <c r="F74" s="96" t="n">
        <f aca="false">IF(AND(G74=1,'CC Item Pricing'!B43=""),1,0)</f>
        <v>0</v>
      </c>
      <c r="G74" s="96" t="n">
        <f aca="false">IF(D74&gt;0,1,0)</f>
        <v>0</v>
      </c>
      <c r="H74" s="0" t="str">
        <f aca="false">IF(F74=1,COUNTIF($F$4:F74,1),"")</f>
        <v/>
      </c>
      <c r="I74" s="0" t="str">
        <f aca="false">IF(G74=1,COUNTIF($G$4:G74,1),"")</f>
        <v/>
      </c>
      <c r="R74" s="0" t="str">
        <f aca="false">IF(CC_Mode="Per equipment",IFERROR(INDEX($B$4:$B$403,MATCH(71,$I$4:$I$403,0)),""),IF(CC_Mode="Per loop",IFERROR(INDEX($B$4:$B$403,MATCH(71,$H$4:$H$403,0)),""),IF(CC_Mode="Per unit",IFERROR("Chemical cleaning – "&amp;INDEX($K$4:$K$15,MATCH(71,$N$4:$N$15,0)),""),IF(71=1,"LUMP SUM – "&amp;QProject,""))))</f>
        <v/>
      </c>
      <c r="S74" s="0" t="str">
        <f aca="false">IF(CC_Mode="Per equipment",IFERROR(INDEX($C$4:$C$403,MATCH(71,$I$4:$I$403,0)),""),IF(CC_Mode="Per loop",IFERROR(INDEX($C$4:$C$403,MATCH(71,$H$4:$H$403,0)),""),IF(CC_Mode="Per unit",IFERROR(INDEX($K$4:$K$15,MATCH(71,$N$4:$N$15,0)),""),IF(71=1,"All units",""))))</f>
        <v/>
      </c>
      <c r="T74" s="0" t="str">
        <f aca="false">IF(CC_Mode="Per equipment",IFERROR(INDEX($D$4:$D$403,MATCH(71,$I$4:$I$403,0)),""),IF(CC_Mode="Per loop",IFERROR(INDEX($D$4:$D$403,MATCH(71,$H$4:$H$403,0)),""),IF(CC_Mode="Per unit",IFERROR(INDEX($M$4:$M$15,MATCH(71,$N$4:$N$15,0)),""),IF(71=1,CC_V_GrandVol,""))))</f>
        <v/>
      </c>
      <c r="U74" s="0" t="str">
        <f aca="false">IF(CC_Mode="Per equipment",IFERROR(INDEX($E$4:$E$403,MATCH(71,$I$4:$I$403,0)),""),IF(CC_Mode="Per loop",IFERROR(INDEX($E$4:$E$403,MATCH(71,$H$4:$H$403,0)),""),IF(CC_Mode="Per unit",IFERROR(INDEX($L$4:$L$15,MATCH(71,$N$4:$N$15,0)),""),IF(71=1,CC_Net,""))))</f>
        <v/>
      </c>
    </row>
    <row r="75" customFormat="false" ht="15" hidden="false" customHeight="false" outlineLevel="0" collapsed="false">
      <c r="A75" s="0" t="s">
        <v>172</v>
      </c>
      <c r="B75" s="0" t="str">
        <f aca="false">'CC Item Pricing'!C44&amp;IF('CC Item Pricing'!D44="",""," – "&amp;'CC Item Pricing'!D44)</f>
        <v/>
      </c>
      <c r="C75" s="0" t="str">
        <f aca="false">INDEX(CC_UnitNames,'CC Item Pricing'!Y44)</f>
        <v>Unit 2</v>
      </c>
      <c r="D75" s="0" t="n">
        <f aca="false">N('CC Item Pricing'!G44)</f>
        <v>0</v>
      </c>
      <c r="E75" s="98" t="n">
        <f aca="false">'CC Item Pricing'!W44</f>
        <v>0</v>
      </c>
      <c r="F75" s="96" t="n">
        <f aca="false">IF(AND(G75=1,'CC Item Pricing'!B44=""),1,0)</f>
        <v>0</v>
      </c>
      <c r="G75" s="96" t="n">
        <f aca="false">IF(D75&gt;0,1,0)</f>
        <v>0</v>
      </c>
      <c r="H75" s="0" t="str">
        <f aca="false">IF(F75=1,COUNTIF($F$4:F75,1),"")</f>
        <v/>
      </c>
      <c r="I75" s="0" t="str">
        <f aca="false">IF(G75=1,COUNTIF($G$4:G75,1),"")</f>
        <v/>
      </c>
      <c r="R75" s="0" t="str">
        <f aca="false">IF(CC_Mode="Per equipment",IFERROR(INDEX($B$4:$B$403,MATCH(72,$I$4:$I$403,0)),""),IF(CC_Mode="Per loop",IFERROR(INDEX($B$4:$B$403,MATCH(72,$H$4:$H$403,0)),""),IF(CC_Mode="Per unit",IFERROR("Chemical cleaning – "&amp;INDEX($K$4:$K$15,MATCH(72,$N$4:$N$15,0)),""),IF(72=1,"LUMP SUM – "&amp;QProject,""))))</f>
        <v/>
      </c>
      <c r="S75" s="0" t="str">
        <f aca="false">IF(CC_Mode="Per equipment",IFERROR(INDEX($C$4:$C$403,MATCH(72,$I$4:$I$403,0)),""),IF(CC_Mode="Per loop",IFERROR(INDEX($C$4:$C$403,MATCH(72,$H$4:$H$403,0)),""),IF(CC_Mode="Per unit",IFERROR(INDEX($K$4:$K$15,MATCH(72,$N$4:$N$15,0)),""),IF(72=1,"All units",""))))</f>
        <v/>
      </c>
      <c r="T75" s="0" t="str">
        <f aca="false">IF(CC_Mode="Per equipment",IFERROR(INDEX($D$4:$D$403,MATCH(72,$I$4:$I$403,0)),""),IF(CC_Mode="Per loop",IFERROR(INDEX($D$4:$D$403,MATCH(72,$H$4:$H$403,0)),""),IF(CC_Mode="Per unit",IFERROR(INDEX($M$4:$M$15,MATCH(72,$N$4:$N$15,0)),""),IF(72=1,CC_V_GrandVol,""))))</f>
        <v/>
      </c>
      <c r="U75" s="0" t="str">
        <f aca="false">IF(CC_Mode="Per equipment",IFERROR(INDEX($E$4:$E$403,MATCH(72,$I$4:$I$403,0)),""),IF(CC_Mode="Per loop",IFERROR(INDEX($E$4:$E$403,MATCH(72,$H$4:$H$403,0)),""),IF(CC_Mode="Per unit",IFERROR(INDEX($L$4:$L$15,MATCH(72,$N$4:$N$15,0)),""),IF(72=1,CC_Net,""))))</f>
        <v/>
      </c>
    </row>
    <row r="76" customFormat="false" ht="15" hidden="false" customHeight="false" outlineLevel="0" collapsed="false">
      <c r="A76" s="0" t="s">
        <v>172</v>
      </c>
      <c r="B76" s="0" t="str">
        <f aca="false">'CC Item Pricing'!C45&amp;IF('CC Item Pricing'!D45="",""," – "&amp;'CC Item Pricing'!D45)</f>
        <v/>
      </c>
      <c r="C76" s="0" t="str">
        <f aca="false">INDEX(CC_UnitNames,'CC Item Pricing'!Y45)</f>
        <v>Unit 2</v>
      </c>
      <c r="D76" s="0" t="n">
        <f aca="false">N('CC Item Pricing'!G45)</f>
        <v>0</v>
      </c>
      <c r="E76" s="98" t="n">
        <f aca="false">'CC Item Pricing'!W45</f>
        <v>0</v>
      </c>
      <c r="F76" s="96" t="n">
        <f aca="false">IF(AND(G76=1,'CC Item Pricing'!B45=""),1,0)</f>
        <v>0</v>
      </c>
      <c r="G76" s="96" t="n">
        <f aca="false">IF(D76&gt;0,1,0)</f>
        <v>0</v>
      </c>
      <c r="H76" s="0" t="str">
        <f aca="false">IF(F76=1,COUNTIF($F$4:F76,1),"")</f>
        <v/>
      </c>
      <c r="I76" s="0" t="str">
        <f aca="false">IF(G76=1,COUNTIF($G$4:G76,1),"")</f>
        <v/>
      </c>
      <c r="R76" s="0" t="str">
        <f aca="false">IF(CC_Mode="Per equipment",IFERROR(INDEX($B$4:$B$403,MATCH(73,$I$4:$I$403,0)),""),IF(CC_Mode="Per loop",IFERROR(INDEX($B$4:$B$403,MATCH(73,$H$4:$H$403,0)),""),IF(CC_Mode="Per unit",IFERROR("Chemical cleaning – "&amp;INDEX($K$4:$K$15,MATCH(73,$N$4:$N$15,0)),""),IF(73=1,"LUMP SUM – "&amp;QProject,""))))</f>
        <v/>
      </c>
      <c r="S76" s="0" t="str">
        <f aca="false">IF(CC_Mode="Per equipment",IFERROR(INDEX($C$4:$C$403,MATCH(73,$I$4:$I$403,0)),""),IF(CC_Mode="Per loop",IFERROR(INDEX($C$4:$C$403,MATCH(73,$H$4:$H$403,0)),""),IF(CC_Mode="Per unit",IFERROR(INDEX($K$4:$K$15,MATCH(73,$N$4:$N$15,0)),""),IF(73=1,"All units",""))))</f>
        <v/>
      </c>
      <c r="T76" s="0" t="str">
        <f aca="false">IF(CC_Mode="Per equipment",IFERROR(INDEX($D$4:$D$403,MATCH(73,$I$4:$I$403,0)),""),IF(CC_Mode="Per loop",IFERROR(INDEX($D$4:$D$403,MATCH(73,$H$4:$H$403,0)),""),IF(CC_Mode="Per unit",IFERROR(INDEX($M$4:$M$15,MATCH(73,$N$4:$N$15,0)),""),IF(73=1,CC_V_GrandVol,""))))</f>
        <v/>
      </c>
      <c r="U76" s="0" t="str">
        <f aca="false">IF(CC_Mode="Per equipment",IFERROR(INDEX($E$4:$E$403,MATCH(73,$I$4:$I$403,0)),""),IF(CC_Mode="Per loop",IFERROR(INDEX($E$4:$E$403,MATCH(73,$H$4:$H$403,0)),""),IF(CC_Mode="Per unit",IFERROR(INDEX($L$4:$L$15,MATCH(73,$N$4:$N$15,0)),""),IF(73=1,CC_Net,""))))</f>
        <v/>
      </c>
    </row>
    <row r="77" customFormat="false" ht="15" hidden="false" customHeight="false" outlineLevel="0" collapsed="false">
      <c r="A77" s="0" t="s">
        <v>172</v>
      </c>
      <c r="B77" s="0" t="str">
        <f aca="false">'CC Item Pricing'!C46&amp;IF('CC Item Pricing'!D46="",""," – "&amp;'CC Item Pricing'!D46)</f>
        <v/>
      </c>
      <c r="C77" s="0" t="str">
        <f aca="false">INDEX(CC_UnitNames,'CC Item Pricing'!Y46)</f>
        <v>Unit 2</v>
      </c>
      <c r="D77" s="0" t="n">
        <f aca="false">N('CC Item Pricing'!G46)</f>
        <v>0</v>
      </c>
      <c r="E77" s="98" t="n">
        <f aca="false">'CC Item Pricing'!W46</f>
        <v>0</v>
      </c>
      <c r="F77" s="96" t="n">
        <f aca="false">IF(AND(G77=1,'CC Item Pricing'!B46=""),1,0)</f>
        <v>0</v>
      </c>
      <c r="G77" s="96" t="n">
        <f aca="false">IF(D77&gt;0,1,0)</f>
        <v>0</v>
      </c>
      <c r="H77" s="0" t="str">
        <f aca="false">IF(F77=1,COUNTIF($F$4:F77,1),"")</f>
        <v/>
      </c>
      <c r="I77" s="0" t="str">
        <f aca="false">IF(G77=1,COUNTIF($G$4:G77,1),"")</f>
        <v/>
      </c>
      <c r="R77" s="0" t="str">
        <f aca="false">IF(CC_Mode="Per equipment",IFERROR(INDEX($B$4:$B$403,MATCH(74,$I$4:$I$403,0)),""),IF(CC_Mode="Per loop",IFERROR(INDEX($B$4:$B$403,MATCH(74,$H$4:$H$403,0)),""),IF(CC_Mode="Per unit",IFERROR("Chemical cleaning – "&amp;INDEX($K$4:$K$15,MATCH(74,$N$4:$N$15,0)),""),IF(74=1,"LUMP SUM – "&amp;QProject,""))))</f>
        <v/>
      </c>
      <c r="S77" s="0" t="str">
        <f aca="false">IF(CC_Mode="Per equipment",IFERROR(INDEX($C$4:$C$403,MATCH(74,$I$4:$I$403,0)),""),IF(CC_Mode="Per loop",IFERROR(INDEX($C$4:$C$403,MATCH(74,$H$4:$H$403,0)),""),IF(CC_Mode="Per unit",IFERROR(INDEX($K$4:$K$15,MATCH(74,$N$4:$N$15,0)),""),IF(74=1,"All units",""))))</f>
        <v/>
      </c>
      <c r="T77" s="0" t="str">
        <f aca="false">IF(CC_Mode="Per equipment",IFERROR(INDEX($D$4:$D$403,MATCH(74,$I$4:$I$403,0)),""),IF(CC_Mode="Per loop",IFERROR(INDEX($D$4:$D$403,MATCH(74,$H$4:$H$403,0)),""),IF(CC_Mode="Per unit",IFERROR(INDEX($M$4:$M$15,MATCH(74,$N$4:$N$15,0)),""),IF(74=1,CC_V_GrandVol,""))))</f>
        <v/>
      </c>
      <c r="U77" s="0" t="str">
        <f aca="false">IF(CC_Mode="Per equipment",IFERROR(INDEX($E$4:$E$403,MATCH(74,$I$4:$I$403,0)),""),IF(CC_Mode="Per loop",IFERROR(INDEX($E$4:$E$403,MATCH(74,$H$4:$H$403,0)),""),IF(CC_Mode="Per unit",IFERROR(INDEX($L$4:$L$15,MATCH(74,$N$4:$N$15,0)),""),IF(74=1,CC_Net,""))))</f>
        <v/>
      </c>
    </row>
    <row r="78" customFormat="false" ht="15" hidden="false" customHeight="false" outlineLevel="0" collapsed="false">
      <c r="A78" s="0" t="s">
        <v>172</v>
      </c>
      <c r="B78" s="0" t="str">
        <f aca="false">'CC Item Pricing'!C47&amp;IF('CC Item Pricing'!D47="",""," – "&amp;'CC Item Pricing'!D47)</f>
        <v/>
      </c>
      <c r="C78" s="0" t="str">
        <f aca="false">INDEX(CC_UnitNames,'CC Item Pricing'!Y47)</f>
        <v>Unit 2</v>
      </c>
      <c r="D78" s="0" t="n">
        <f aca="false">N('CC Item Pricing'!G47)</f>
        <v>0</v>
      </c>
      <c r="E78" s="98" t="n">
        <f aca="false">'CC Item Pricing'!W47</f>
        <v>0</v>
      </c>
      <c r="F78" s="96" t="n">
        <f aca="false">IF(AND(G78=1,'CC Item Pricing'!B47=""),1,0)</f>
        <v>0</v>
      </c>
      <c r="G78" s="96" t="n">
        <f aca="false">IF(D78&gt;0,1,0)</f>
        <v>0</v>
      </c>
      <c r="H78" s="0" t="str">
        <f aca="false">IF(F78=1,COUNTIF($F$4:F78,1),"")</f>
        <v/>
      </c>
      <c r="I78" s="0" t="str">
        <f aca="false">IF(G78=1,COUNTIF($G$4:G78,1),"")</f>
        <v/>
      </c>
      <c r="R78" s="0" t="str">
        <f aca="false">IF(CC_Mode="Per equipment",IFERROR(INDEX($B$4:$B$403,MATCH(75,$I$4:$I$403,0)),""),IF(CC_Mode="Per loop",IFERROR(INDEX($B$4:$B$403,MATCH(75,$H$4:$H$403,0)),""),IF(CC_Mode="Per unit",IFERROR("Chemical cleaning – "&amp;INDEX($K$4:$K$15,MATCH(75,$N$4:$N$15,0)),""),IF(75=1,"LUMP SUM – "&amp;QProject,""))))</f>
        <v/>
      </c>
      <c r="S78" s="0" t="str">
        <f aca="false">IF(CC_Mode="Per equipment",IFERROR(INDEX($C$4:$C$403,MATCH(75,$I$4:$I$403,0)),""),IF(CC_Mode="Per loop",IFERROR(INDEX($C$4:$C$403,MATCH(75,$H$4:$H$403,0)),""),IF(CC_Mode="Per unit",IFERROR(INDEX($K$4:$K$15,MATCH(75,$N$4:$N$15,0)),""),IF(75=1,"All units",""))))</f>
        <v/>
      </c>
      <c r="T78" s="0" t="str">
        <f aca="false">IF(CC_Mode="Per equipment",IFERROR(INDEX($D$4:$D$403,MATCH(75,$I$4:$I$403,0)),""),IF(CC_Mode="Per loop",IFERROR(INDEX($D$4:$D$403,MATCH(75,$H$4:$H$403,0)),""),IF(CC_Mode="Per unit",IFERROR(INDEX($M$4:$M$15,MATCH(75,$N$4:$N$15,0)),""),IF(75=1,CC_V_GrandVol,""))))</f>
        <v/>
      </c>
      <c r="U78" s="0" t="str">
        <f aca="false">IF(CC_Mode="Per equipment",IFERROR(INDEX($E$4:$E$403,MATCH(75,$I$4:$I$403,0)),""),IF(CC_Mode="Per loop",IFERROR(INDEX($E$4:$E$403,MATCH(75,$H$4:$H$403,0)),""),IF(CC_Mode="Per unit",IFERROR(INDEX($L$4:$L$15,MATCH(75,$N$4:$N$15,0)),""),IF(75=1,CC_Net,""))))</f>
        <v/>
      </c>
    </row>
    <row r="79" customFormat="false" ht="15" hidden="false" customHeight="false" outlineLevel="0" collapsed="false">
      <c r="A79" s="0" t="s">
        <v>172</v>
      </c>
      <c r="B79" s="0" t="str">
        <f aca="false">'CC Item Pricing'!C48&amp;IF('CC Item Pricing'!D48="",""," – "&amp;'CC Item Pricing'!D48)</f>
        <v/>
      </c>
      <c r="C79" s="0" t="str">
        <f aca="false">INDEX(CC_UnitNames,'CC Item Pricing'!Y48)</f>
        <v>Unit 2</v>
      </c>
      <c r="D79" s="0" t="n">
        <f aca="false">N('CC Item Pricing'!G48)</f>
        <v>0</v>
      </c>
      <c r="E79" s="98" t="n">
        <f aca="false">'CC Item Pricing'!W48</f>
        <v>0</v>
      </c>
      <c r="F79" s="96" t="n">
        <f aca="false">IF(AND(G79=1,'CC Item Pricing'!B48=""),1,0)</f>
        <v>0</v>
      </c>
      <c r="G79" s="96" t="n">
        <f aca="false">IF(D79&gt;0,1,0)</f>
        <v>0</v>
      </c>
      <c r="H79" s="0" t="str">
        <f aca="false">IF(F79=1,COUNTIF($F$4:F79,1),"")</f>
        <v/>
      </c>
      <c r="I79" s="0" t="str">
        <f aca="false">IF(G79=1,COUNTIF($G$4:G79,1),"")</f>
        <v/>
      </c>
      <c r="R79" s="0" t="str">
        <f aca="false">IF(CC_Mode="Per equipment",IFERROR(INDEX($B$4:$B$403,MATCH(76,$I$4:$I$403,0)),""),IF(CC_Mode="Per loop",IFERROR(INDEX($B$4:$B$403,MATCH(76,$H$4:$H$403,0)),""),IF(CC_Mode="Per unit",IFERROR("Chemical cleaning – "&amp;INDEX($K$4:$K$15,MATCH(76,$N$4:$N$15,0)),""),IF(76=1,"LUMP SUM – "&amp;QProject,""))))</f>
        <v/>
      </c>
      <c r="S79" s="0" t="str">
        <f aca="false">IF(CC_Mode="Per equipment",IFERROR(INDEX($C$4:$C$403,MATCH(76,$I$4:$I$403,0)),""),IF(CC_Mode="Per loop",IFERROR(INDEX($C$4:$C$403,MATCH(76,$H$4:$H$403,0)),""),IF(CC_Mode="Per unit",IFERROR(INDEX($K$4:$K$15,MATCH(76,$N$4:$N$15,0)),""),IF(76=1,"All units",""))))</f>
        <v/>
      </c>
      <c r="T79" s="0" t="str">
        <f aca="false">IF(CC_Mode="Per equipment",IFERROR(INDEX($D$4:$D$403,MATCH(76,$I$4:$I$403,0)),""),IF(CC_Mode="Per loop",IFERROR(INDEX($D$4:$D$403,MATCH(76,$H$4:$H$403,0)),""),IF(CC_Mode="Per unit",IFERROR(INDEX($M$4:$M$15,MATCH(76,$N$4:$N$15,0)),""),IF(76=1,CC_V_GrandVol,""))))</f>
        <v/>
      </c>
      <c r="U79" s="0" t="str">
        <f aca="false">IF(CC_Mode="Per equipment",IFERROR(INDEX($E$4:$E$403,MATCH(76,$I$4:$I$403,0)),""),IF(CC_Mode="Per loop",IFERROR(INDEX($E$4:$E$403,MATCH(76,$H$4:$H$403,0)),""),IF(CC_Mode="Per unit",IFERROR(INDEX($L$4:$L$15,MATCH(76,$N$4:$N$15,0)),""),IF(76=1,CC_Net,""))))</f>
        <v/>
      </c>
    </row>
    <row r="80" customFormat="false" ht="15" hidden="false" customHeight="false" outlineLevel="0" collapsed="false">
      <c r="A80" s="0" t="s">
        <v>172</v>
      </c>
      <c r="B80" s="0" t="str">
        <f aca="false">'CC Item Pricing'!C49&amp;IF('CC Item Pricing'!D49="",""," – "&amp;'CC Item Pricing'!D49)</f>
        <v/>
      </c>
      <c r="C80" s="0" t="str">
        <f aca="false">INDEX(CC_UnitNames,'CC Item Pricing'!Y49)</f>
        <v>Unit 2</v>
      </c>
      <c r="D80" s="0" t="n">
        <f aca="false">N('CC Item Pricing'!G49)</f>
        <v>0</v>
      </c>
      <c r="E80" s="98" t="n">
        <f aca="false">'CC Item Pricing'!W49</f>
        <v>0</v>
      </c>
      <c r="F80" s="96" t="n">
        <f aca="false">IF(AND(G80=1,'CC Item Pricing'!B49=""),1,0)</f>
        <v>0</v>
      </c>
      <c r="G80" s="96" t="n">
        <f aca="false">IF(D80&gt;0,1,0)</f>
        <v>0</v>
      </c>
      <c r="H80" s="0" t="str">
        <f aca="false">IF(F80=1,COUNTIF($F$4:F80,1),"")</f>
        <v/>
      </c>
      <c r="I80" s="0" t="str">
        <f aca="false">IF(G80=1,COUNTIF($G$4:G80,1),"")</f>
        <v/>
      </c>
      <c r="R80" s="0" t="str">
        <f aca="false">IF(CC_Mode="Per equipment",IFERROR(INDEX($B$4:$B$403,MATCH(77,$I$4:$I$403,0)),""),IF(CC_Mode="Per loop",IFERROR(INDEX($B$4:$B$403,MATCH(77,$H$4:$H$403,0)),""),IF(CC_Mode="Per unit",IFERROR("Chemical cleaning – "&amp;INDEX($K$4:$K$15,MATCH(77,$N$4:$N$15,0)),""),IF(77=1,"LUMP SUM – "&amp;QProject,""))))</f>
        <v/>
      </c>
      <c r="S80" s="0" t="str">
        <f aca="false">IF(CC_Mode="Per equipment",IFERROR(INDEX($C$4:$C$403,MATCH(77,$I$4:$I$403,0)),""),IF(CC_Mode="Per loop",IFERROR(INDEX($C$4:$C$403,MATCH(77,$H$4:$H$403,0)),""),IF(CC_Mode="Per unit",IFERROR(INDEX($K$4:$K$15,MATCH(77,$N$4:$N$15,0)),""),IF(77=1,"All units",""))))</f>
        <v/>
      </c>
      <c r="T80" s="0" t="str">
        <f aca="false">IF(CC_Mode="Per equipment",IFERROR(INDEX($D$4:$D$403,MATCH(77,$I$4:$I$403,0)),""),IF(CC_Mode="Per loop",IFERROR(INDEX($D$4:$D$403,MATCH(77,$H$4:$H$403,0)),""),IF(CC_Mode="Per unit",IFERROR(INDEX($M$4:$M$15,MATCH(77,$N$4:$N$15,0)),""),IF(77=1,CC_V_GrandVol,""))))</f>
        <v/>
      </c>
      <c r="U80" s="0" t="str">
        <f aca="false">IF(CC_Mode="Per equipment",IFERROR(INDEX($E$4:$E$403,MATCH(77,$I$4:$I$403,0)),""),IF(CC_Mode="Per loop",IFERROR(INDEX($E$4:$E$403,MATCH(77,$H$4:$H$403,0)),""),IF(CC_Mode="Per unit",IFERROR(INDEX($L$4:$L$15,MATCH(77,$N$4:$N$15,0)),""),IF(77=1,CC_Net,""))))</f>
        <v/>
      </c>
    </row>
    <row r="81" customFormat="false" ht="15" hidden="false" customHeight="false" outlineLevel="0" collapsed="false">
      <c r="A81" s="0" t="s">
        <v>172</v>
      </c>
      <c r="B81" s="0" t="str">
        <f aca="false">'CC Item Pricing'!C50&amp;IF('CC Item Pricing'!D50="",""," – "&amp;'CC Item Pricing'!D50)</f>
        <v/>
      </c>
      <c r="C81" s="0" t="str">
        <f aca="false">INDEX(CC_UnitNames,'CC Item Pricing'!Y50)</f>
        <v>Unit 2</v>
      </c>
      <c r="D81" s="0" t="n">
        <f aca="false">N('CC Item Pricing'!G50)</f>
        <v>0</v>
      </c>
      <c r="E81" s="98" t="n">
        <f aca="false">'CC Item Pricing'!W50</f>
        <v>0</v>
      </c>
      <c r="F81" s="96" t="n">
        <f aca="false">IF(AND(G81=1,'CC Item Pricing'!B50=""),1,0)</f>
        <v>0</v>
      </c>
      <c r="G81" s="96" t="n">
        <f aca="false">IF(D81&gt;0,1,0)</f>
        <v>0</v>
      </c>
      <c r="H81" s="0" t="str">
        <f aca="false">IF(F81=1,COUNTIF($F$4:F81,1),"")</f>
        <v/>
      </c>
      <c r="I81" s="0" t="str">
        <f aca="false">IF(G81=1,COUNTIF($G$4:G81,1),"")</f>
        <v/>
      </c>
      <c r="R81" s="0" t="str">
        <f aca="false">IF(CC_Mode="Per equipment",IFERROR(INDEX($B$4:$B$403,MATCH(78,$I$4:$I$403,0)),""),IF(CC_Mode="Per loop",IFERROR(INDEX($B$4:$B$403,MATCH(78,$H$4:$H$403,0)),""),IF(CC_Mode="Per unit",IFERROR("Chemical cleaning – "&amp;INDEX($K$4:$K$15,MATCH(78,$N$4:$N$15,0)),""),IF(78=1,"LUMP SUM – "&amp;QProject,""))))</f>
        <v/>
      </c>
      <c r="S81" s="0" t="str">
        <f aca="false">IF(CC_Mode="Per equipment",IFERROR(INDEX($C$4:$C$403,MATCH(78,$I$4:$I$403,0)),""),IF(CC_Mode="Per loop",IFERROR(INDEX($C$4:$C$403,MATCH(78,$H$4:$H$403,0)),""),IF(CC_Mode="Per unit",IFERROR(INDEX($K$4:$K$15,MATCH(78,$N$4:$N$15,0)),""),IF(78=1,"All units",""))))</f>
        <v/>
      </c>
      <c r="T81" s="0" t="str">
        <f aca="false">IF(CC_Mode="Per equipment",IFERROR(INDEX($D$4:$D$403,MATCH(78,$I$4:$I$403,0)),""),IF(CC_Mode="Per loop",IFERROR(INDEX($D$4:$D$403,MATCH(78,$H$4:$H$403,0)),""),IF(CC_Mode="Per unit",IFERROR(INDEX($M$4:$M$15,MATCH(78,$N$4:$N$15,0)),""),IF(78=1,CC_V_GrandVol,""))))</f>
        <v/>
      </c>
      <c r="U81" s="0" t="str">
        <f aca="false">IF(CC_Mode="Per equipment",IFERROR(INDEX($E$4:$E$403,MATCH(78,$I$4:$I$403,0)),""),IF(CC_Mode="Per loop",IFERROR(INDEX($E$4:$E$403,MATCH(78,$H$4:$H$403,0)),""),IF(CC_Mode="Per unit",IFERROR(INDEX($L$4:$L$15,MATCH(78,$N$4:$N$15,0)),""),IF(78=1,CC_Net,""))))</f>
        <v/>
      </c>
    </row>
    <row r="82" customFormat="false" ht="15" hidden="false" customHeight="false" outlineLevel="0" collapsed="false">
      <c r="A82" s="0" t="s">
        <v>172</v>
      </c>
      <c r="B82" s="0" t="str">
        <f aca="false">'CC Item Pricing'!C51&amp;IF('CC Item Pricing'!D51="",""," – "&amp;'CC Item Pricing'!D51)</f>
        <v/>
      </c>
      <c r="C82" s="0" t="str">
        <f aca="false">INDEX(CC_UnitNames,'CC Item Pricing'!Y51)</f>
        <v>Unit 2</v>
      </c>
      <c r="D82" s="0" t="n">
        <f aca="false">N('CC Item Pricing'!G51)</f>
        <v>0</v>
      </c>
      <c r="E82" s="98" t="n">
        <f aca="false">'CC Item Pricing'!W51</f>
        <v>0</v>
      </c>
      <c r="F82" s="96" t="n">
        <f aca="false">IF(AND(G82=1,'CC Item Pricing'!B51=""),1,0)</f>
        <v>0</v>
      </c>
      <c r="G82" s="96" t="n">
        <f aca="false">IF(D82&gt;0,1,0)</f>
        <v>0</v>
      </c>
      <c r="H82" s="0" t="str">
        <f aca="false">IF(F82=1,COUNTIF($F$4:F82,1),"")</f>
        <v/>
      </c>
      <c r="I82" s="0" t="str">
        <f aca="false">IF(G82=1,COUNTIF($G$4:G82,1),"")</f>
        <v/>
      </c>
      <c r="R82" s="0" t="str">
        <f aca="false">IF(CC_Mode="Per equipment",IFERROR(INDEX($B$4:$B$403,MATCH(79,$I$4:$I$403,0)),""),IF(CC_Mode="Per loop",IFERROR(INDEX($B$4:$B$403,MATCH(79,$H$4:$H$403,0)),""),IF(CC_Mode="Per unit",IFERROR("Chemical cleaning – "&amp;INDEX($K$4:$K$15,MATCH(79,$N$4:$N$15,0)),""),IF(79=1,"LUMP SUM – "&amp;QProject,""))))</f>
        <v/>
      </c>
      <c r="S82" s="0" t="str">
        <f aca="false">IF(CC_Mode="Per equipment",IFERROR(INDEX($C$4:$C$403,MATCH(79,$I$4:$I$403,0)),""),IF(CC_Mode="Per loop",IFERROR(INDEX($C$4:$C$403,MATCH(79,$H$4:$H$403,0)),""),IF(CC_Mode="Per unit",IFERROR(INDEX($K$4:$K$15,MATCH(79,$N$4:$N$15,0)),""),IF(79=1,"All units",""))))</f>
        <v/>
      </c>
      <c r="T82" s="0" t="str">
        <f aca="false">IF(CC_Mode="Per equipment",IFERROR(INDEX($D$4:$D$403,MATCH(79,$I$4:$I$403,0)),""),IF(CC_Mode="Per loop",IFERROR(INDEX($D$4:$D$403,MATCH(79,$H$4:$H$403,0)),""),IF(CC_Mode="Per unit",IFERROR(INDEX($M$4:$M$15,MATCH(79,$N$4:$N$15,0)),""),IF(79=1,CC_V_GrandVol,""))))</f>
        <v/>
      </c>
      <c r="U82" s="0" t="str">
        <f aca="false">IF(CC_Mode="Per equipment",IFERROR(INDEX($E$4:$E$403,MATCH(79,$I$4:$I$403,0)),""),IF(CC_Mode="Per loop",IFERROR(INDEX($E$4:$E$403,MATCH(79,$H$4:$H$403,0)),""),IF(CC_Mode="Per unit",IFERROR(INDEX($L$4:$L$15,MATCH(79,$N$4:$N$15,0)),""),IF(79=1,CC_Net,""))))</f>
        <v/>
      </c>
    </row>
    <row r="83" customFormat="false" ht="15" hidden="false" customHeight="false" outlineLevel="0" collapsed="false">
      <c r="A83" s="0" t="s">
        <v>172</v>
      </c>
      <c r="B83" s="0" t="str">
        <f aca="false">'CC Item Pricing'!C52&amp;IF('CC Item Pricing'!D52="",""," – "&amp;'CC Item Pricing'!D52)</f>
        <v/>
      </c>
      <c r="C83" s="0" t="str">
        <f aca="false">INDEX(CC_UnitNames,'CC Item Pricing'!Y52)</f>
        <v>Unit 2</v>
      </c>
      <c r="D83" s="0" t="n">
        <f aca="false">N('CC Item Pricing'!G52)</f>
        <v>0</v>
      </c>
      <c r="E83" s="98" t="n">
        <f aca="false">'CC Item Pricing'!W52</f>
        <v>0</v>
      </c>
      <c r="F83" s="96" t="n">
        <f aca="false">IF(AND(G83=1,'CC Item Pricing'!B52=""),1,0)</f>
        <v>0</v>
      </c>
      <c r="G83" s="96" t="n">
        <f aca="false">IF(D83&gt;0,1,0)</f>
        <v>0</v>
      </c>
      <c r="H83" s="0" t="str">
        <f aca="false">IF(F83=1,COUNTIF($F$4:F83,1),"")</f>
        <v/>
      </c>
      <c r="I83" s="0" t="str">
        <f aca="false">IF(G83=1,COUNTIF($G$4:G83,1),"")</f>
        <v/>
      </c>
      <c r="R83" s="0" t="str">
        <f aca="false">IF(CC_Mode="Per equipment",IFERROR(INDEX($B$4:$B$403,MATCH(80,$I$4:$I$403,0)),""),IF(CC_Mode="Per loop",IFERROR(INDEX($B$4:$B$403,MATCH(80,$H$4:$H$403,0)),""),IF(CC_Mode="Per unit",IFERROR("Chemical cleaning – "&amp;INDEX($K$4:$K$15,MATCH(80,$N$4:$N$15,0)),""),IF(80=1,"LUMP SUM – "&amp;QProject,""))))</f>
        <v/>
      </c>
      <c r="S83" s="0" t="str">
        <f aca="false">IF(CC_Mode="Per equipment",IFERROR(INDEX($C$4:$C$403,MATCH(80,$I$4:$I$403,0)),""),IF(CC_Mode="Per loop",IFERROR(INDEX($C$4:$C$403,MATCH(80,$H$4:$H$403,0)),""),IF(CC_Mode="Per unit",IFERROR(INDEX($K$4:$K$15,MATCH(80,$N$4:$N$15,0)),""),IF(80=1,"All units",""))))</f>
        <v/>
      </c>
      <c r="T83" s="0" t="str">
        <f aca="false">IF(CC_Mode="Per equipment",IFERROR(INDEX($D$4:$D$403,MATCH(80,$I$4:$I$403,0)),""),IF(CC_Mode="Per loop",IFERROR(INDEX($D$4:$D$403,MATCH(80,$H$4:$H$403,0)),""),IF(CC_Mode="Per unit",IFERROR(INDEX($M$4:$M$15,MATCH(80,$N$4:$N$15,0)),""),IF(80=1,CC_V_GrandVol,""))))</f>
        <v/>
      </c>
      <c r="U83" s="0" t="str">
        <f aca="false">IF(CC_Mode="Per equipment",IFERROR(INDEX($E$4:$E$403,MATCH(80,$I$4:$I$403,0)),""),IF(CC_Mode="Per loop",IFERROR(INDEX($E$4:$E$403,MATCH(80,$H$4:$H$403,0)),""),IF(CC_Mode="Per unit",IFERROR(INDEX($L$4:$L$15,MATCH(80,$N$4:$N$15,0)),""),IF(80=1,CC_Net,""))))</f>
        <v/>
      </c>
    </row>
    <row r="84" customFormat="false" ht="15" hidden="false" customHeight="false" outlineLevel="0" collapsed="false">
      <c r="A84" s="0" t="s">
        <v>172</v>
      </c>
      <c r="B84" s="0" t="str">
        <f aca="false">'CC Item Pricing'!C53&amp;IF('CC Item Pricing'!D53="",""," – "&amp;'CC Item Pricing'!D53)</f>
        <v/>
      </c>
      <c r="C84" s="0" t="str">
        <f aca="false">INDEX(CC_UnitNames,'CC Item Pricing'!Y53)</f>
        <v>Unit 2</v>
      </c>
      <c r="D84" s="0" t="n">
        <f aca="false">N('CC Item Pricing'!G53)</f>
        <v>0</v>
      </c>
      <c r="E84" s="98" t="n">
        <f aca="false">'CC Item Pricing'!W53</f>
        <v>0</v>
      </c>
      <c r="F84" s="96" t="n">
        <f aca="false">IF(AND(G84=1,'CC Item Pricing'!B53=""),1,0)</f>
        <v>0</v>
      </c>
      <c r="G84" s="96" t="n">
        <f aca="false">IF(D84&gt;0,1,0)</f>
        <v>0</v>
      </c>
      <c r="H84" s="0" t="str">
        <f aca="false">IF(F84=1,COUNTIF($F$4:F84,1),"")</f>
        <v/>
      </c>
      <c r="I84" s="0" t="str">
        <f aca="false">IF(G84=1,COUNTIF($G$4:G84,1),"")</f>
        <v/>
      </c>
      <c r="R84" s="0" t="str">
        <f aca="false">IF(CC_Mode="Per equipment",IFERROR(INDEX($B$4:$B$403,MATCH(81,$I$4:$I$403,0)),""),IF(CC_Mode="Per loop",IFERROR(INDEX($B$4:$B$403,MATCH(81,$H$4:$H$403,0)),""),IF(CC_Mode="Per unit",IFERROR("Chemical cleaning – "&amp;INDEX($K$4:$K$15,MATCH(81,$N$4:$N$15,0)),""),IF(81=1,"LUMP SUM – "&amp;QProject,""))))</f>
        <v/>
      </c>
      <c r="S84" s="0" t="str">
        <f aca="false">IF(CC_Mode="Per equipment",IFERROR(INDEX($C$4:$C$403,MATCH(81,$I$4:$I$403,0)),""),IF(CC_Mode="Per loop",IFERROR(INDEX($C$4:$C$403,MATCH(81,$H$4:$H$403,0)),""),IF(CC_Mode="Per unit",IFERROR(INDEX($K$4:$K$15,MATCH(81,$N$4:$N$15,0)),""),IF(81=1,"All units",""))))</f>
        <v/>
      </c>
      <c r="T84" s="0" t="str">
        <f aca="false">IF(CC_Mode="Per equipment",IFERROR(INDEX($D$4:$D$403,MATCH(81,$I$4:$I$403,0)),""),IF(CC_Mode="Per loop",IFERROR(INDEX($D$4:$D$403,MATCH(81,$H$4:$H$403,0)),""),IF(CC_Mode="Per unit",IFERROR(INDEX($M$4:$M$15,MATCH(81,$N$4:$N$15,0)),""),IF(81=1,CC_V_GrandVol,""))))</f>
        <v/>
      </c>
      <c r="U84" s="0" t="str">
        <f aca="false">IF(CC_Mode="Per equipment",IFERROR(INDEX($E$4:$E$403,MATCH(81,$I$4:$I$403,0)),""),IF(CC_Mode="Per loop",IFERROR(INDEX($E$4:$E$403,MATCH(81,$H$4:$H$403,0)),""),IF(CC_Mode="Per unit",IFERROR(INDEX($L$4:$L$15,MATCH(81,$N$4:$N$15,0)),""),IF(81=1,CC_Net,""))))</f>
        <v/>
      </c>
    </row>
    <row r="85" customFormat="false" ht="15" hidden="false" customHeight="false" outlineLevel="0" collapsed="false">
      <c r="A85" s="0" t="s">
        <v>172</v>
      </c>
      <c r="B85" s="0" t="str">
        <f aca="false">'CC Item Pricing'!C54&amp;IF('CC Item Pricing'!D54="",""," – "&amp;'CC Item Pricing'!D54)</f>
        <v/>
      </c>
      <c r="C85" s="0" t="str">
        <f aca="false">INDEX(CC_UnitNames,'CC Item Pricing'!Y54)</f>
        <v>Unit 2</v>
      </c>
      <c r="D85" s="0" t="n">
        <f aca="false">N('CC Item Pricing'!G54)</f>
        <v>0</v>
      </c>
      <c r="E85" s="98" t="n">
        <f aca="false">'CC Item Pricing'!W54</f>
        <v>0</v>
      </c>
      <c r="F85" s="96" t="n">
        <f aca="false">IF(AND(G85=1,'CC Item Pricing'!B54=""),1,0)</f>
        <v>0</v>
      </c>
      <c r="G85" s="96" t="n">
        <f aca="false">IF(D85&gt;0,1,0)</f>
        <v>0</v>
      </c>
      <c r="H85" s="0" t="str">
        <f aca="false">IF(F85=1,COUNTIF($F$4:F85,1),"")</f>
        <v/>
      </c>
      <c r="I85" s="0" t="str">
        <f aca="false">IF(G85=1,COUNTIF($G$4:G85,1),"")</f>
        <v/>
      </c>
      <c r="R85" s="0" t="str">
        <f aca="false">IF(CC_Mode="Per equipment",IFERROR(INDEX($B$4:$B$403,MATCH(82,$I$4:$I$403,0)),""),IF(CC_Mode="Per loop",IFERROR(INDEX($B$4:$B$403,MATCH(82,$H$4:$H$403,0)),""),IF(CC_Mode="Per unit",IFERROR("Chemical cleaning – "&amp;INDEX($K$4:$K$15,MATCH(82,$N$4:$N$15,0)),""),IF(82=1,"LUMP SUM – "&amp;QProject,""))))</f>
        <v/>
      </c>
      <c r="S85" s="0" t="str">
        <f aca="false">IF(CC_Mode="Per equipment",IFERROR(INDEX($C$4:$C$403,MATCH(82,$I$4:$I$403,0)),""),IF(CC_Mode="Per loop",IFERROR(INDEX($C$4:$C$403,MATCH(82,$H$4:$H$403,0)),""),IF(CC_Mode="Per unit",IFERROR(INDEX($K$4:$K$15,MATCH(82,$N$4:$N$15,0)),""),IF(82=1,"All units",""))))</f>
        <v/>
      </c>
      <c r="T85" s="0" t="str">
        <f aca="false">IF(CC_Mode="Per equipment",IFERROR(INDEX($D$4:$D$403,MATCH(82,$I$4:$I$403,0)),""),IF(CC_Mode="Per loop",IFERROR(INDEX($D$4:$D$403,MATCH(82,$H$4:$H$403,0)),""),IF(CC_Mode="Per unit",IFERROR(INDEX($M$4:$M$15,MATCH(82,$N$4:$N$15,0)),""),IF(82=1,CC_V_GrandVol,""))))</f>
        <v/>
      </c>
      <c r="U85" s="0" t="str">
        <f aca="false">IF(CC_Mode="Per equipment",IFERROR(INDEX($E$4:$E$403,MATCH(82,$I$4:$I$403,0)),""),IF(CC_Mode="Per loop",IFERROR(INDEX($E$4:$E$403,MATCH(82,$H$4:$H$403,0)),""),IF(CC_Mode="Per unit",IFERROR(INDEX($L$4:$L$15,MATCH(82,$N$4:$N$15,0)),""),IF(82=1,CC_Net,""))))</f>
        <v/>
      </c>
    </row>
    <row r="86" customFormat="false" ht="15" hidden="false" customHeight="false" outlineLevel="0" collapsed="false">
      <c r="A86" s="0" t="s">
        <v>172</v>
      </c>
      <c r="B86" s="0" t="str">
        <f aca="false">'CC Item Pricing'!C55&amp;IF('CC Item Pricing'!D55="",""," – "&amp;'CC Item Pricing'!D55)</f>
        <v/>
      </c>
      <c r="C86" s="0" t="str">
        <f aca="false">INDEX(CC_UnitNames,'CC Item Pricing'!Y55)</f>
        <v>Unit 2</v>
      </c>
      <c r="D86" s="0" t="n">
        <f aca="false">N('CC Item Pricing'!G55)</f>
        <v>0</v>
      </c>
      <c r="E86" s="98" t="n">
        <f aca="false">'CC Item Pricing'!W55</f>
        <v>0</v>
      </c>
      <c r="F86" s="96" t="n">
        <f aca="false">IF(AND(G86=1,'CC Item Pricing'!B55=""),1,0)</f>
        <v>0</v>
      </c>
      <c r="G86" s="96" t="n">
        <f aca="false">IF(D86&gt;0,1,0)</f>
        <v>0</v>
      </c>
      <c r="H86" s="0" t="str">
        <f aca="false">IF(F86=1,COUNTIF($F$4:F86,1),"")</f>
        <v/>
      </c>
      <c r="I86" s="0" t="str">
        <f aca="false">IF(G86=1,COUNTIF($G$4:G86,1),"")</f>
        <v/>
      </c>
      <c r="R86" s="0" t="str">
        <f aca="false">IF(CC_Mode="Per equipment",IFERROR(INDEX($B$4:$B$403,MATCH(83,$I$4:$I$403,0)),""),IF(CC_Mode="Per loop",IFERROR(INDEX($B$4:$B$403,MATCH(83,$H$4:$H$403,0)),""),IF(CC_Mode="Per unit",IFERROR("Chemical cleaning – "&amp;INDEX($K$4:$K$15,MATCH(83,$N$4:$N$15,0)),""),IF(83=1,"LUMP SUM – "&amp;QProject,""))))</f>
        <v/>
      </c>
      <c r="S86" s="0" t="str">
        <f aca="false">IF(CC_Mode="Per equipment",IFERROR(INDEX($C$4:$C$403,MATCH(83,$I$4:$I$403,0)),""),IF(CC_Mode="Per loop",IFERROR(INDEX($C$4:$C$403,MATCH(83,$H$4:$H$403,0)),""),IF(CC_Mode="Per unit",IFERROR(INDEX($K$4:$K$15,MATCH(83,$N$4:$N$15,0)),""),IF(83=1,"All units",""))))</f>
        <v/>
      </c>
      <c r="T86" s="0" t="str">
        <f aca="false">IF(CC_Mode="Per equipment",IFERROR(INDEX($D$4:$D$403,MATCH(83,$I$4:$I$403,0)),""),IF(CC_Mode="Per loop",IFERROR(INDEX($D$4:$D$403,MATCH(83,$H$4:$H$403,0)),""),IF(CC_Mode="Per unit",IFERROR(INDEX($M$4:$M$15,MATCH(83,$N$4:$N$15,0)),""),IF(83=1,CC_V_GrandVol,""))))</f>
        <v/>
      </c>
      <c r="U86" s="0" t="str">
        <f aca="false">IF(CC_Mode="Per equipment",IFERROR(INDEX($E$4:$E$403,MATCH(83,$I$4:$I$403,0)),""),IF(CC_Mode="Per loop",IFERROR(INDEX($E$4:$E$403,MATCH(83,$H$4:$H$403,0)),""),IF(CC_Mode="Per unit",IFERROR(INDEX($L$4:$L$15,MATCH(83,$N$4:$N$15,0)),""),IF(83=1,CC_Net,""))))</f>
        <v/>
      </c>
    </row>
    <row r="87" customFormat="false" ht="15" hidden="false" customHeight="false" outlineLevel="0" collapsed="false">
      <c r="A87" s="0" t="s">
        <v>172</v>
      </c>
      <c r="B87" s="0" t="str">
        <f aca="false">'CC Item Pricing'!C56&amp;IF('CC Item Pricing'!D56="",""," – "&amp;'CC Item Pricing'!D56)</f>
        <v/>
      </c>
      <c r="C87" s="0" t="str">
        <f aca="false">INDEX(CC_UnitNames,'CC Item Pricing'!Y56)</f>
        <v>Unit 2</v>
      </c>
      <c r="D87" s="0" t="n">
        <f aca="false">N('CC Item Pricing'!G56)</f>
        <v>0</v>
      </c>
      <c r="E87" s="98" t="n">
        <f aca="false">'CC Item Pricing'!W56</f>
        <v>0</v>
      </c>
      <c r="F87" s="96" t="n">
        <f aca="false">IF(AND(G87=1,'CC Item Pricing'!B56=""),1,0)</f>
        <v>0</v>
      </c>
      <c r="G87" s="96" t="n">
        <f aca="false">IF(D87&gt;0,1,0)</f>
        <v>0</v>
      </c>
      <c r="H87" s="0" t="str">
        <f aca="false">IF(F87=1,COUNTIF($F$4:F87,1),"")</f>
        <v/>
      </c>
      <c r="I87" s="0" t="str">
        <f aca="false">IF(G87=1,COUNTIF($G$4:G87,1),"")</f>
        <v/>
      </c>
      <c r="R87" s="0" t="str">
        <f aca="false">IF(CC_Mode="Per equipment",IFERROR(INDEX($B$4:$B$403,MATCH(84,$I$4:$I$403,0)),""),IF(CC_Mode="Per loop",IFERROR(INDEX($B$4:$B$403,MATCH(84,$H$4:$H$403,0)),""),IF(CC_Mode="Per unit",IFERROR("Chemical cleaning – "&amp;INDEX($K$4:$K$15,MATCH(84,$N$4:$N$15,0)),""),IF(84=1,"LUMP SUM – "&amp;QProject,""))))</f>
        <v/>
      </c>
      <c r="S87" s="0" t="str">
        <f aca="false">IF(CC_Mode="Per equipment",IFERROR(INDEX($C$4:$C$403,MATCH(84,$I$4:$I$403,0)),""),IF(CC_Mode="Per loop",IFERROR(INDEX($C$4:$C$403,MATCH(84,$H$4:$H$403,0)),""),IF(CC_Mode="Per unit",IFERROR(INDEX($K$4:$K$15,MATCH(84,$N$4:$N$15,0)),""),IF(84=1,"All units",""))))</f>
        <v/>
      </c>
      <c r="T87" s="0" t="str">
        <f aca="false">IF(CC_Mode="Per equipment",IFERROR(INDEX($D$4:$D$403,MATCH(84,$I$4:$I$403,0)),""),IF(CC_Mode="Per loop",IFERROR(INDEX($D$4:$D$403,MATCH(84,$H$4:$H$403,0)),""),IF(CC_Mode="Per unit",IFERROR(INDEX($M$4:$M$15,MATCH(84,$N$4:$N$15,0)),""),IF(84=1,CC_V_GrandVol,""))))</f>
        <v/>
      </c>
      <c r="U87" s="0" t="str">
        <f aca="false">IF(CC_Mode="Per equipment",IFERROR(INDEX($E$4:$E$403,MATCH(84,$I$4:$I$403,0)),""),IF(CC_Mode="Per loop",IFERROR(INDEX($E$4:$E$403,MATCH(84,$H$4:$H$403,0)),""),IF(CC_Mode="Per unit",IFERROR(INDEX($L$4:$L$15,MATCH(84,$N$4:$N$15,0)),""),IF(84=1,CC_Net,""))))</f>
        <v/>
      </c>
    </row>
    <row r="88" customFormat="false" ht="15" hidden="false" customHeight="false" outlineLevel="0" collapsed="false">
      <c r="A88" s="0" t="s">
        <v>172</v>
      </c>
      <c r="B88" s="0" t="str">
        <f aca="false">'CC Item Pricing'!C57&amp;IF('CC Item Pricing'!D57="",""," – "&amp;'CC Item Pricing'!D57)</f>
        <v/>
      </c>
      <c r="C88" s="0" t="str">
        <f aca="false">INDEX(CC_UnitNames,'CC Item Pricing'!Y57)</f>
        <v>Unit 2</v>
      </c>
      <c r="D88" s="0" t="n">
        <f aca="false">N('CC Item Pricing'!G57)</f>
        <v>0</v>
      </c>
      <c r="E88" s="98" t="n">
        <f aca="false">'CC Item Pricing'!W57</f>
        <v>0</v>
      </c>
      <c r="F88" s="96" t="n">
        <f aca="false">IF(AND(G88=1,'CC Item Pricing'!B57=""),1,0)</f>
        <v>0</v>
      </c>
      <c r="G88" s="96" t="n">
        <f aca="false">IF(D88&gt;0,1,0)</f>
        <v>0</v>
      </c>
      <c r="H88" s="0" t="str">
        <f aca="false">IF(F88=1,COUNTIF($F$4:F88,1),"")</f>
        <v/>
      </c>
      <c r="I88" s="0" t="str">
        <f aca="false">IF(G88=1,COUNTIF($G$4:G88,1),"")</f>
        <v/>
      </c>
      <c r="R88" s="0" t="str">
        <f aca="false">IF(CC_Mode="Per equipment",IFERROR(INDEX($B$4:$B$403,MATCH(85,$I$4:$I$403,0)),""),IF(CC_Mode="Per loop",IFERROR(INDEX($B$4:$B$403,MATCH(85,$H$4:$H$403,0)),""),IF(CC_Mode="Per unit",IFERROR("Chemical cleaning – "&amp;INDEX($K$4:$K$15,MATCH(85,$N$4:$N$15,0)),""),IF(85=1,"LUMP SUM – "&amp;QProject,""))))</f>
        <v/>
      </c>
      <c r="S88" s="0" t="str">
        <f aca="false">IF(CC_Mode="Per equipment",IFERROR(INDEX($C$4:$C$403,MATCH(85,$I$4:$I$403,0)),""),IF(CC_Mode="Per loop",IFERROR(INDEX($C$4:$C$403,MATCH(85,$H$4:$H$403,0)),""),IF(CC_Mode="Per unit",IFERROR(INDEX($K$4:$K$15,MATCH(85,$N$4:$N$15,0)),""),IF(85=1,"All units",""))))</f>
        <v/>
      </c>
      <c r="T88" s="0" t="str">
        <f aca="false">IF(CC_Mode="Per equipment",IFERROR(INDEX($D$4:$D$403,MATCH(85,$I$4:$I$403,0)),""),IF(CC_Mode="Per loop",IFERROR(INDEX($D$4:$D$403,MATCH(85,$H$4:$H$403,0)),""),IF(CC_Mode="Per unit",IFERROR(INDEX($M$4:$M$15,MATCH(85,$N$4:$N$15,0)),""),IF(85=1,CC_V_GrandVol,""))))</f>
        <v/>
      </c>
      <c r="U88" s="0" t="str">
        <f aca="false">IF(CC_Mode="Per equipment",IFERROR(INDEX($E$4:$E$403,MATCH(85,$I$4:$I$403,0)),""),IF(CC_Mode="Per loop",IFERROR(INDEX($E$4:$E$403,MATCH(85,$H$4:$H$403,0)),""),IF(CC_Mode="Per unit",IFERROR(INDEX($L$4:$L$15,MATCH(85,$N$4:$N$15,0)),""),IF(85=1,CC_Net,""))))</f>
        <v/>
      </c>
    </row>
    <row r="89" customFormat="false" ht="15" hidden="false" customHeight="false" outlineLevel="0" collapsed="false">
      <c r="A89" s="0" t="s">
        <v>172</v>
      </c>
      <c r="B89" s="0" t="str">
        <f aca="false">'CC Item Pricing'!C58&amp;IF('CC Item Pricing'!D58="",""," – "&amp;'CC Item Pricing'!D58)</f>
        <v/>
      </c>
      <c r="C89" s="0" t="str">
        <f aca="false">INDEX(CC_UnitNames,'CC Item Pricing'!Y58)</f>
        <v>Unit 2</v>
      </c>
      <c r="D89" s="0" t="n">
        <f aca="false">N('CC Item Pricing'!G58)</f>
        <v>0</v>
      </c>
      <c r="E89" s="98" t="n">
        <f aca="false">'CC Item Pricing'!W58</f>
        <v>0</v>
      </c>
      <c r="F89" s="96" t="n">
        <f aca="false">IF(AND(G89=1,'CC Item Pricing'!B58=""),1,0)</f>
        <v>0</v>
      </c>
      <c r="G89" s="96" t="n">
        <f aca="false">IF(D89&gt;0,1,0)</f>
        <v>0</v>
      </c>
      <c r="H89" s="0" t="str">
        <f aca="false">IF(F89=1,COUNTIF($F$4:F89,1),"")</f>
        <v/>
      </c>
      <c r="I89" s="0" t="str">
        <f aca="false">IF(G89=1,COUNTIF($G$4:G89,1),"")</f>
        <v/>
      </c>
      <c r="R89" s="0" t="str">
        <f aca="false">IF(CC_Mode="Per equipment",IFERROR(INDEX($B$4:$B$403,MATCH(86,$I$4:$I$403,0)),""),IF(CC_Mode="Per loop",IFERROR(INDEX($B$4:$B$403,MATCH(86,$H$4:$H$403,0)),""),IF(CC_Mode="Per unit",IFERROR("Chemical cleaning – "&amp;INDEX($K$4:$K$15,MATCH(86,$N$4:$N$15,0)),""),IF(86=1,"LUMP SUM – "&amp;QProject,""))))</f>
        <v/>
      </c>
      <c r="S89" s="0" t="str">
        <f aca="false">IF(CC_Mode="Per equipment",IFERROR(INDEX($C$4:$C$403,MATCH(86,$I$4:$I$403,0)),""),IF(CC_Mode="Per loop",IFERROR(INDEX($C$4:$C$403,MATCH(86,$H$4:$H$403,0)),""),IF(CC_Mode="Per unit",IFERROR(INDEX($K$4:$K$15,MATCH(86,$N$4:$N$15,0)),""),IF(86=1,"All units",""))))</f>
        <v/>
      </c>
      <c r="T89" s="0" t="str">
        <f aca="false">IF(CC_Mode="Per equipment",IFERROR(INDEX($D$4:$D$403,MATCH(86,$I$4:$I$403,0)),""),IF(CC_Mode="Per loop",IFERROR(INDEX($D$4:$D$403,MATCH(86,$H$4:$H$403,0)),""),IF(CC_Mode="Per unit",IFERROR(INDEX($M$4:$M$15,MATCH(86,$N$4:$N$15,0)),""),IF(86=1,CC_V_GrandVol,""))))</f>
        <v/>
      </c>
      <c r="U89" s="0" t="str">
        <f aca="false">IF(CC_Mode="Per equipment",IFERROR(INDEX($E$4:$E$403,MATCH(86,$I$4:$I$403,0)),""),IF(CC_Mode="Per loop",IFERROR(INDEX($E$4:$E$403,MATCH(86,$H$4:$H$403,0)),""),IF(CC_Mode="Per unit",IFERROR(INDEX($L$4:$L$15,MATCH(86,$N$4:$N$15,0)),""),IF(86=1,CC_Net,""))))</f>
        <v/>
      </c>
    </row>
    <row r="90" customFormat="false" ht="15" hidden="false" customHeight="false" outlineLevel="0" collapsed="false">
      <c r="A90" s="0" t="s">
        <v>172</v>
      </c>
      <c r="B90" s="0" t="str">
        <f aca="false">'CC Item Pricing'!C59&amp;IF('CC Item Pricing'!D59="",""," – "&amp;'CC Item Pricing'!D59)</f>
        <v/>
      </c>
      <c r="C90" s="0" t="str">
        <f aca="false">INDEX(CC_UnitNames,'CC Item Pricing'!Y59)</f>
        <v>Unit 2</v>
      </c>
      <c r="D90" s="0" t="n">
        <f aca="false">N('CC Item Pricing'!G59)</f>
        <v>0</v>
      </c>
      <c r="E90" s="98" t="n">
        <f aca="false">'CC Item Pricing'!W59</f>
        <v>0</v>
      </c>
      <c r="F90" s="96" t="n">
        <f aca="false">IF(AND(G90=1,'CC Item Pricing'!B59=""),1,0)</f>
        <v>0</v>
      </c>
      <c r="G90" s="96" t="n">
        <f aca="false">IF(D90&gt;0,1,0)</f>
        <v>0</v>
      </c>
      <c r="H90" s="0" t="str">
        <f aca="false">IF(F90=1,COUNTIF($F$4:F90,1),"")</f>
        <v/>
      </c>
      <c r="I90" s="0" t="str">
        <f aca="false">IF(G90=1,COUNTIF($G$4:G90,1),"")</f>
        <v/>
      </c>
      <c r="R90" s="0" t="str">
        <f aca="false">IF(CC_Mode="Per equipment",IFERROR(INDEX($B$4:$B$403,MATCH(87,$I$4:$I$403,0)),""),IF(CC_Mode="Per loop",IFERROR(INDEX($B$4:$B$403,MATCH(87,$H$4:$H$403,0)),""),IF(CC_Mode="Per unit",IFERROR("Chemical cleaning – "&amp;INDEX($K$4:$K$15,MATCH(87,$N$4:$N$15,0)),""),IF(87=1,"LUMP SUM – "&amp;QProject,""))))</f>
        <v/>
      </c>
      <c r="S90" s="0" t="str">
        <f aca="false">IF(CC_Mode="Per equipment",IFERROR(INDEX($C$4:$C$403,MATCH(87,$I$4:$I$403,0)),""),IF(CC_Mode="Per loop",IFERROR(INDEX($C$4:$C$403,MATCH(87,$H$4:$H$403,0)),""),IF(CC_Mode="Per unit",IFERROR(INDEX($K$4:$K$15,MATCH(87,$N$4:$N$15,0)),""),IF(87=1,"All units",""))))</f>
        <v/>
      </c>
      <c r="T90" s="0" t="str">
        <f aca="false">IF(CC_Mode="Per equipment",IFERROR(INDEX($D$4:$D$403,MATCH(87,$I$4:$I$403,0)),""),IF(CC_Mode="Per loop",IFERROR(INDEX($D$4:$D$403,MATCH(87,$H$4:$H$403,0)),""),IF(CC_Mode="Per unit",IFERROR(INDEX($M$4:$M$15,MATCH(87,$N$4:$N$15,0)),""),IF(87=1,CC_V_GrandVol,""))))</f>
        <v/>
      </c>
      <c r="U90" s="0" t="str">
        <f aca="false">IF(CC_Mode="Per equipment",IFERROR(INDEX($E$4:$E$403,MATCH(87,$I$4:$I$403,0)),""),IF(CC_Mode="Per loop",IFERROR(INDEX($E$4:$E$403,MATCH(87,$H$4:$H$403,0)),""),IF(CC_Mode="Per unit",IFERROR(INDEX($L$4:$L$15,MATCH(87,$N$4:$N$15,0)),""),IF(87=1,CC_Net,""))))</f>
        <v/>
      </c>
    </row>
    <row r="91" customFormat="false" ht="15" hidden="false" customHeight="false" outlineLevel="0" collapsed="false">
      <c r="A91" s="0" t="s">
        <v>172</v>
      </c>
      <c r="B91" s="0" t="str">
        <f aca="false">'CC Item Pricing'!C60&amp;IF('CC Item Pricing'!D60="",""," – "&amp;'CC Item Pricing'!D60)</f>
        <v/>
      </c>
      <c r="C91" s="0" t="str">
        <f aca="false">INDEX(CC_UnitNames,'CC Item Pricing'!Y60)</f>
        <v>Unit 2</v>
      </c>
      <c r="D91" s="0" t="n">
        <f aca="false">N('CC Item Pricing'!G60)</f>
        <v>0</v>
      </c>
      <c r="E91" s="98" t="n">
        <f aca="false">'CC Item Pricing'!W60</f>
        <v>0</v>
      </c>
      <c r="F91" s="96" t="n">
        <f aca="false">IF(AND(G91=1,'CC Item Pricing'!B60=""),1,0)</f>
        <v>0</v>
      </c>
      <c r="G91" s="96" t="n">
        <f aca="false">IF(D91&gt;0,1,0)</f>
        <v>0</v>
      </c>
      <c r="H91" s="0" t="str">
        <f aca="false">IF(F91=1,COUNTIF($F$4:F91,1),"")</f>
        <v/>
      </c>
      <c r="I91" s="0" t="str">
        <f aca="false">IF(G91=1,COUNTIF($G$4:G91,1),"")</f>
        <v/>
      </c>
      <c r="R91" s="0" t="str">
        <f aca="false">IF(CC_Mode="Per equipment",IFERROR(INDEX($B$4:$B$403,MATCH(88,$I$4:$I$403,0)),""),IF(CC_Mode="Per loop",IFERROR(INDEX($B$4:$B$403,MATCH(88,$H$4:$H$403,0)),""),IF(CC_Mode="Per unit",IFERROR("Chemical cleaning – "&amp;INDEX($K$4:$K$15,MATCH(88,$N$4:$N$15,0)),""),IF(88=1,"LUMP SUM – "&amp;QProject,""))))</f>
        <v/>
      </c>
      <c r="S91" s="0" t="str">
        <f aca="false">IF(CC_Mode="Per equipment",IFERROR(INDEX($C$4:$C$403,MATCH(88,$I$4:$I$403,0)),""),IF(CC_Mode="Per loop",IFERROR(INDEX($C$4:$C$403,MATCH(88,$H$4:$H$403,0)),""),IF(CC_Mode="Per unit",IFERROR(INDEX($K$4:$K$15,MATCH(88,$N$4:$N$15,0)),""),IF(88=1,"All units",""))))</f>
        <v/>
      </c>
      <c r="T91" s="0" t="str">
        <f aca="false">IF(CC_Mode="Per equipment",IFERROR(INDEX($D$4:$D$403,MATCH(88,$I$4:$I$403,0)),""),IF(CC_Mode="Per loop",IFERROR(INDEX($D$4:$D$403,MATCH(88,$H$4:$H$403,0)),""),IF(CC_Mode="Per unit",IFERROR(INDEX($M$4:$M$15,MATCH(88,$N$4:$N$15,0)),""),IF(88=1,CC_V_GrandVol,""))))</f>
        <v/>
      </c>
      <c r="U91" s="0" t="str">
        <f aca="false">IF(CC_Mode="Per equipment",IFERROR(INDEX($E$4:$E$403,MATCH(88,$I$4:$I$403,0)),""),IF(CC_Mode="Per loop",IFERROR(INDEX($E$4:$E$403,MATCH(88,$H$4:$H$403,0)),""),IF(CC_Mode="Per unit",IFERROR(INDEX($L$4:$L$15,MATCH(88,$N$4:$N$15,0)),""),IF(88=1,CC_Net,""))))</f>
        <v/>
      </c>
    </row>
    <row r="92" customFormat="false" ht="15" hidden="false" customHeight="false" outlineLevel="0" collapsed="false">
      <c r="A92" s="0" t="s">
        <v>172</v>
      </c>
      <c r="B92" s="0" t="str">
        <f aca="false">'CC Item Pricing'!C61&amp;IF('CC Item Pricing'!D61="",""," – "&amp;'CC Item Pricing'!D61)</f>
        <v/>
      </c>
      <c r="C92" s="0" t="str">
        <f aca="false">INDEX(CC_UnitNames,'CC Item Pricing'!Y61)</f>
        <v>Unit 2</v>
      </c>
      <c r="D92" s="0" t="n">
        <f aca="false">N('CC Item Pricing'!G61)</f>
        <v>0</v>
      </c>
      <c r="E92" s="98" t="n">
        <f aca="false">'CC Item Pricing'!W61</f>
        <v>0</v>
      </c>
      <c r="F92" s="96" t="n">
        <f aca="false">IF(AND(G92=1,'CC Item Pricing'!B61=""),1,0)</f>
        <v>0</v>
      </c>
      <c r="G92" s="96" t="n">
        <f aca="false">IF(D92&gt;0,1,0)</f>
        <v>0</v>
      </c>
      <c r="H92" s="0" t="str">
        <f aca="false">IF(F92=1,COUNTIF($F$4:F92,1),"")</f>
        <v/>
      </c>
      <c r="I92" s="0" t="str">
        <f aca="false">IF(G92=1,COUNTIF($G$4:G92,1),"")</f>
        <v/>
      </c>
      <c r="R92" s="0" t="str">
        <f aca="false">IF(CC_Mode="Per equipment",IFERROR(INDEX($B$4:$B$403,MATCH(89,$I$4:$I$403,0)),""),IF(CC_Mode="Per loop",IFERROR(INDEX($B$4:$B$403,MATCH(89,$H$4:$H$403,0)),""),IF(CC_Mode="Per unit",IFERROR("Chemical cleaning – "&amp;INDEX($K$4:$K$15,MATCH(89,$N$4:$N$15,0)),""),IF(89=1,"LUMP SUM – "&amp;QProject,""))))</f>
        <v/>
      </c>
      <c r="S92" s="0" t="str">
        <f aca="false">IF(CC_Mode="Per equipment",IFERROR(INDEX($C$4:$C$403,MATCH(89,$I$4:$I$403,0)),""),IF(CC_Mode="Per loop",IFERROR(INDEX($C$4:$C$403,MATCH(89,$H$4:$H$403,0)),""),IF(CC_Mode="Per unit",IFERROR(INDEX($K$4:$K$15,MATCH(89,$N$4:$N$15,0)),""),IF(89=1,"All units",""))))</f>
        <v/>
      </c>
      <c r="T92" s="0" t="str">
        <f aca="false">IF(CC_Mode="Per equipment",IFERROR(INDEX($D$4:$D$403,MATCH(89,$I$4:$I$403,0)),""),IF(CC_Mode="Per loop",IFERROR(INDEX($D$4:$D$403,MATCH(89,$H$4:$H$403,0)),""),IF(CC_Mode="Per unit",IFERROR(INDEX($M$4:$M$15,MATCH(89,$N$4:$N$15,0)),""),IF(89=1,CC_V_GrandVol,""))))</f>
        <v/>
      </c>
      <c r="U92" s="0" t="str">
        <f aca="false">IF(CC_Mode="Per equipment",IFERROR(INDEX($E$4:$E$403,MATCH(89,$I$4:$I$403,0)),""),IF(CC_Mode="Per loop",IFERROR(INDEX($E$4:$E$403,MATCH(89,$H$4:$H$403,0)),""),IF(CC_Mode="Per unit",IFERROR(INDEX($L$4:$L$15,MATCH(89,$N$4:$N$15,0)),""),IF(89=1,CC_Net,""))))</f>
        <v/>
      </c>
    </row>
    <row r="93" customFormat="false" ht="15" hidden="false" customHeight="false" outlineLevel="0" collapsed="false">
      <c r="A93" s="0" t="s">
        <v>172</v>
      </c>
      <c r="B93" s="0" t="str">
        <f aca="false">'CC Item Pricing'!C62&amp;IF('CC Item Pricing'!D62="",""," – "&amp;'CC Item Pricing'!D62)</f>
        <v/>
      </c>
      <c r="C93" s="0" t="str">
        <f aca="false">INDEX(CC_UnitNames,'CC Item Pricing'!Y62)</f>
        <v>Unit 2</v>
      </c>
      <c r="D93" s="0" t="n">
        <f aca="false">N('CC Item Pricing'!G62)</f>
        <v>0</v>
      </c>
      <c r="E93" s="98" t="n">
        <f aca="false">'CC Item Pricing'!W62</f>
        <v>0</v>
      </c>
      <c r="F93" s="96" t="n">
        <f aca="false">IF(AND(G93=1,'CC Item Pricing'!B62=""),1,0)</f>
        <v>0</v>
      </c>
      <c r="G93" s="96" t="n">
        <f aca="false">IF(D93&gt;0,1,0)</f>
        <v>0</v>
      </c>
      <c r="H93" s="0" t="str">
        <f aca="false">IF(F93=1,COUNTIF($F$4:F93,1),"")</f>
        <v/>
      </c>
      <c r="I93" s="0" t="str">
        <f aca="false">IF(G93=1,COUNTIF($G$4:G93,1),"")</f>
        <v/>
      </c>
      <c r="R93" s="0" t="str">
        <f aca="false">IF(CC_Mode="Per equipment",IFERROR(INDEX($B$4:$B$403,MATCH(90,$I$4:$I$403,0)),""),IF(CC_Mode="Per loop",IFERROR(INDEX($B$4:$B$403,MATCH(90,$H$4:$H$403,0)),""),IF(CC_Mode="Per unit",IFERROR("Chemical cleaning – "&amp;INDEX($K$4:$K$15,MATCH(90,$N$4:$N$15,0)),""),IF(90=1,"LUMP SUM – "&amp;QProject,""))))</f>
        <v/>
      </c>
      <c r="S93" s="0" t="str">
        <f aca="false">IF(CC_Mode="Per equipment",IFERROR(INDEX($C$4:$C$403,MATCH(90,$I$4:$I$403,0)),""),IF(CC_Mode="Per loop",IFERROR(INDEX($C$4:$C$403,MATCH(90,$H$4:$H$403,0)),""),IF(CC_Mode="Per unit",IFERROR(INDEX($K$4:$K$15,MATCH(90,$N$4:$N$15,0)),""),IF(90=1,"All units",""))))</f>
        <v/>
      </c>
      <c r="T93" s="0" t="str">
        <f aca="false">IF(CC_Mode="Per equipment",IFERROR(INDEX($D$4:$D$403,MATCH(90,$I$4:$I$403,0)),""),IF(CC_Mode="Per loop",IFERROR(INDEX($D$4:$D$403,MATCH(90,$H$4:$H$403,0)),""),IF(CC_Mode="Per unit",IFERROR(INDEX($M$4:$M$15,MATCH(90,$N$4:$N$15,0)),""),IF(90=1,CC_V_GrandVol,""))))</f>
        <v/>
      </c>
      <c r="U93" s="0" t="str">
        <f aca="false">IF(CC_Mode="Per equipment",IFERROR(INDEX($E$4:$E$403,MATCH(90,$I$4:$I$403,0)),""),IF(CC_Mode="Per loop",IFERROR(INDEX($E$4:$E$403,MATCH(90,$H$4:$H$403,0)),""),IF(CC_Mode="Per unit",IFERROR(INDEX($L$4:$L$15,MATCH(90,$N$4:$N$15,0)),""),IF(90=1,CC_Net,""))))</f>
        <v/>
      </c>
    </row>
    <row r="94" customFormat="false" ht="15" hidden="false" customHeight="false" outlineLevel="0" collapsed="false">
      <c r="A94" s="0" t="s">
        <v>172</v>
      </c>
      <c r="B94" s="0" t="str">
        <f aca="false">'CC Item Pricing'!C63&amp;IF('CC Item Pricing'!D63="",""," – "&amp;'CC Item Pricing'!D63)</f>
        <v/>
      </c>
      <c r="C94" s="0" t="str">
        <f aca="false">INDEX(CC_UnitNames,'CC Item Pricing'!Y63)</f>
        <v>Unit 2</v>
      </c>
      <c r="D94" s="0" t="n">
        <f aca="false">N('CC Item Pricing'!G63)</f>
        <v>0</v>
      </c>
      <c r="E94" s="98" t="n">
        <f aca="false">'CC Item Pricing'!W63</f>
        <v>0</v>
      </c>
      <c r="F94" s="96" t="n">
        <f aca="false">IF(AND(G94=1,'CC Item Pricing'!B63=""),1,0)</f>
        <v>0</v>
      </c>
      <c r="G94" s="96" t="n">
        <f aca="false">IF(D94&gt;0,1,0)</f>
        <v>0</v>
      </c>
      <c r="H94" s="0" t="str">
        <f aca="false">IF(F94=1,COUNTIF($F$4:F94,1),"")</f>
        <v/>
      </c>
      <c r="I94" s="0" t="str">
        <f aca="false">IF(G94=1,COUNTIF($G$4:G94,1),"")</f>
        <v/>
      </c>
      <c r="R94" s="0" t="str">
        <f aca="false">IF(CC_Mode="Per equipment",IFERROR(INDEX($B$4:$B$403,MATCH(91,$I$4:$I$403,0)),""),IF(CC_Mode="Per loop",IFERROR(INDEX($B$4:$B$403,MATCH(91,$H$4:$H$403,0)),""),IF(CC_Mode="Per unit",IFERROR("Chemical cleaning – "&amp;INDEX($K$4:$K$15,MATCH(91,$N$4:$N$15,0)),""),IF(91=1,"LUMP SUM – "&amp;QProject,""))))</f>
        <v/>
      </c>
      <c r="S94" s="0" t="str">
        <f aca="false">IF(CC_Mode="Per equipment",IFERROR(INDEX($C$4:$C$403,MATCH(91,$I$4:$I$403,0)),""),IF(CC_Mode="Per loop",IFERROR(INDEX($C$4:$C$403,MATCH(91,$H$4:$H$403,0)),""),IF(CC_Mode="Per unit",IFERROR(INDEX($K$4:$K$15,MATCH(91,$N$4:$N$15,0)),""),IF(91=1,"All units",""))))</f>
        <v/>
      </c>
      <c r="T94" s="0" t="str">
        <f aca="false">IF(CC_Mode="Per equipment",IFERROR(INDEX($D$4:$D$403,MATCH(91,$I$4:$I$403,0)),""),IF(CC_Mode="Per loop",IFERROR(INDEX($D$4:$D$403,MATCH(91,$H$4:$H$403,0)),""),IF(CC_Mode="Per unit",IFERROR(INDEX($M$4:$M$15,MATCH(91,$N$4:$N$15,0)),""),IF(91=1,CC_V_GrandVol,""))))</f>
        <v/>
      </c>
      <c r="U94" s="0" t="str">
        <f aca="false">IF(CC_Mode="Per equipment",IFERROR(INDEX($E$4:$E$403,MATCH(91,$I$4:$I$403,0)),""),IF(CC_Mode="Per loop",IFERROR(INDEX($E$4:$E$403,MATCH(91,$H$4:$H$403,0)),""),IF(CC_Mode="Per unit",IFERROR(INDEX($L$4:$L$15,MATCH(91,$N$4:$N$15,0)),""),IF(91=1,CC_Net,""))))</f>
        <v/>
      </c>
    </row>
    <row r="95" customFormat="false" ht="15" hidden="false" customHeight="false" outlineLevel="0" collapsed="false">
      <c r="A95" s="0" t="s">
        <v>172</v>
      </c>
      <c r="B95" s="0" t="str">
        <f aca="false">'CC Item Pricing'!C64&amp;IF('CC Item Pricing'!D64="",""," – "&amp;'CC Item Pricing'!D64)</f>
        <v/>
      </c>
      <c r="C95" s="0" t="str">
        <f aca="false">INDEX(CC_UnitNames,'CC Item Pricing'!Y64)</f>
        <v>Unit 2</v>
      </c>
      <c r="D95" s="0" t="n">
        <f aca="false">N('CC Item Pricing'!G64)</f>
        <v>0</v>
      </c>
      <c r="E95" s="98" t="n">
        <f aca="false">'CC Item Pricing'!W64</f>
        <v>0</v>
      </c>
      <c r="F95" s="96" t="n">
        <f aca="false">IF(AND(G95=1,'CC Item Pricing'!B64=""),1,0)</f>
        <v>0</v>
      </c>
      <c r="G95" s="96" t="n">
        <f aca="false">IF(D95&gt;0,1,0)</f>
        <v>0</v>
      </c>
      <c r="H95" s="0" t="str">
        <f aca="false">IF(F95=1,COUNTIF($F$4:F95,1),"")</f>
        <v/>
      </c>
      <c r="I95" s="0" t="str">
        <f aca="false">IF(G95=1,COUNTIF($G$4:G95,1),"")</f>
        <v/>
      </c>
      <c r="R95" s="0" t="str">
        <f aca="false">IF(CC_Mode="Per equipment",IFERROR(INDEX($B$4:$B$403,MATCH(92,$I$4:$I$403,0)),""),IF(CC_Mode="Per loop",IFERROR(INDEX($B$4:$B$403,MATCH(92,$H$4:$H$403,0)),""),IF(CC_Mode="Per unit",IFERROR("Chemical cleaning – "&amp;INDEX($K$4:$K$15,MATCH(92,$N$4:$N$15,0)),""),IF(92=1,"LUMP SUM – "&amp;QProject,""))))</f>
        <v/>
      </c>
      <c r="S95" s="0" t="str">
        <f aca="false">IF(CC_Mode="Per equipment",IFERROR(INDEX($C$4:$C$403,MATCH(92,$I$4:$I$403,0)),""),IF(CC_Mode="Per loop",IFERROR(INDEX($C$4:$C$403,MATCH(92,$H$4:$H$403,0)),""),IF(CC_Mode="Per unit",IFERROR(INDEX($K$4:$K$15,MATCH(92,$N$4:$N$15,0)),""),IF(92=1,"All units",""))))</f>
        <v/>
      </c>
      <c r="T95" s="0" t="str">
        <f aca="false">IF(CC_Mode="Per equipment",IFERROR(INDEX($D$4:$D$403,MATCH(92,$I$4:$I$403,0)),""),IF(CC_Mode="Per loop",IFERROR(INDEX($D$4:$D$403,MATCH(92,$H$4:$H$403,0)),""),IF(CC_Mode="Per unit",IFERROR(INDEX($M$4:$M$15,MATCH(92,$N$4:$N$15,0)),""),IF(92=1,CC_V_GrandVol,""))))</f>
        <v/>
      </c>
      <c r="U95" s="0" t="str">
        <f aca="false">IF(CC_Mode="Per equipment",IFERROR(INDEX($E$4:$E$403,MATCH(92,$I$4:$I$403,0)),""),IF(CC_Mode="Per loop",IFERROR(INDEX($E$4:$E$403,MATCH(92,$H$4:$H$403,0)),""),IF(CC_Mode="Per unit",IFERROR(INDEX($L$4:$L$15,MATCH(92,$N$4:$N$15,0)),""),IF(92=1,CC_Net,""))))</f>
        <v/>
      </c>
    </row>
    <row r="96" customFormat="false" ht="15" hidden="false" customHeight="false" outlineLevel="0" collapsed="false">
      <c r="A96" s="0" t="s">
        <v>172</v>
      </c>
      <c r="B96" s="0" t="str">
        <f aca="false">'CC Item Pricing'!C65&amp;IF('CC Item Pricing'!D65="",""," – "&amp;'CC Item Pricing'!D65)</f>
        <v/>
      </c>
      <c r="C96" s="0" t="str">
        <f aca="false">INDEX(CC_UnitNames,'CC Item Pricing'!Y65)</f>
        <v>Unit 2</v>
      </c>
      <c r="D96" s="0" t="n">
        <f aca="false">N('CC Item Pricing'!G65)</f>
        <v>0</v>
      </c>
      <c r="E96" s="98" t="n">
        <f aca="false">'CC Item Pricing'!W65</f>
        <v>0</v>
      </c>
      <c r="F96" s="96" t="n">
        <f aca="false">IF(AND(G96=1,'CC Item Pricing'!B65=""),1,0)</f>
        <v>0</v>
      </c>
      <c r="G96" s="96" t="n">
        <f aca="false">IF(D96&gt;0,1,0)</f>
        <v>0</v>
      </c>
      <c r="H96" s="0" t="str">
        <f aca="false">IF(F96=1,COUNTIF($F$4:F96,1),"")</f>
        <v/>
      </c>
      <c r="I96" s="0" t="str">
        <f aca="false">IF(G96=1,COUNTIF($G$4:G96,1),"")</f>
        <v/>
      </c>
      <c r="R96" s="0" t="str">
        <f aca="false">IF(CC_Mode="Per equipment",IFERROR(INDEX($B$4:$B$403,MATCH(93,$I$4:$I$403,0)),""),IF(CC_Mode="Per loop",IFERROR(INDEX($B$4:$B$403,MATCH(93,$H$4:$H$403,0)),""),IF(CC_Mode="Per unit",IFERROR("Chemical cleaning – "&amp;INDEX($K$4:$K$15,MATCH(93,$N$4:$N$15,0)),""),IF(93=1,"LUMP SUM – "&amp;QProject,""))))</f>
        <v/>
      </c>
      <c r="S96" s="0" t="str">
        <f aca="false">IF(CC_Mode="Per equipment",IFERROR(INDEX($C$4:$C$403,MATCH(93,$I$4:$I$403,0)),""),IF(CC_Mode="Per loop",IFERROR(INDEX($C$4:$C$403,MATCH(93,$H$4:$H$403,0)),""),IF(CC_Mode="Per unit",IFERROR(INDEX($K$4:$K$15,MATCH(93,$N$4:$N$15,0)),""),IF(93=1,"All units",""))))</f>
        <v/>
      </c>
      <c r="T96" s="0" t="str">
        <f aca="false">IF(CC_Mode="Per equipment",IFERROR(INDEX($D$4:$D$403,MATCH(93,$I$4:$I$403,0)),""),IF(CC_Mode="Per loop",IFERROR(INDEX($D$4:$D$403,MATCH(93,$H$4:$H$403,0)),""),IF(CC_Mode="Per unit",IFERROR(INDEX($M$4:$M$15,MATCH(93,$N$4:$N$15,0)),""),IF(93=1,CC_V_GrandVol,""))))</f>
        <v/>
      </c>
      <c r="U96" s="0" t="str">
        <f aca="false">IF(CC_Mode="Per equipment",IFERROR(INDEX($E$4:$E$403,MATCH(93,$I$4:$I$403,0)),""),IF(CC_Mode="Per loop",IFERROR(INDEX($E$4:$E$403,MATCH(93,$H$4:$H$403,0)),""),IF(CC_Mode="Per unit",IFERROR(INDEX($L$4:$L$15,MATCH(93,$N$4:$N$15,0)),""),IF(93=1,CC_Net,""))))</f>
        <v/>
      </c>
    </row>
    <row r="97" customFormat="false" ht="15" hidden="false" customHeight="false" outlineLevel="0" collapsed="false">
      <c r="A97" s="0" t="s">
        <v>172</v>
      </c>
      <c r="B97" s="0" t="str">
        <f aca="false">'CC Item Pricing'!C66&amp;IF('CC Item Pricing'!D66="",""," – "&amp;'CC Item Pricing'!D66)</f>
        <v/>
      </c>
      <c r="C97" s="0" t="str">
        <f aca="false">INDEX(CC_UnitNames,'CC Item Pricing'!Y66)</f>
        <v>Unit 2</v>
      </c>
      <c r="D97" s="0" t="n">
        <f aca="false">N('CC Item Pricing'!G66)</f>
        <v>0</v>
      </c>
      <c r="E97" s="98" t="n">
        <f aca="false">'CC Item Pricing'!W66</f>
        <v>0</v>
      </c>
      <c r="F97" s="96" t="n">
        <f aca="false">IF(AND(G97=1,'CC Item Pricing'!B66=""),1,0)</f>
        <v>0</v>
      </c>
      <c r="G97" s="96" t="n">
        <f aca="false">IF(D97&gt;0,1,0)</f>
        <v>0</v>
      </c>
      <c r="H97" s="0" t="str">
        <f aca="false">IF(F97=1,COUNTIF($F$4:F97,1),"")</f>
        <v/>
      </c>
      <c r="I97" s="0" t="str">
        <f aca="false">IF(G97=1,COUNTIF($G$4:G97,1),"")</f>
        <v/>
      </c>
      <c r="R97" s="0" t="str">
        <f aca="false">IF(CC_Mode="Per equipment",IFERROR(INDEX($B$4:$B$403,MATCH(94,$I$4:$I$403,0)),""),IF(CC_Mode="Per loop",IFERROR(INDEX($B$4:$B$403,MATCH(94,$H$4:$H$403,0)),""),IF(CC_Mode="Per unit",IFERROR("Chemical cleaning – "&amp;INDEX($K$4:$K$15,MATCH(94,$N$4:$N$15,0)),""),IF(94=1,"LUMP SUM – "&amp;QProject,""))))</f>
        <v/>
      </c>
      <c r="S97" s="0" t="str">
        <f aca="false">IF(CC_Mode="Per equipment",IFERROR(INDEX($C$4:$C$403,MATCH(94,$I$4:$I$403,0)),""),IF(CC_Mode="Per loop",IFERROR(INDEX($C$4:$C$403,MATCH(94,$H$4:$H$403,0)),""),IF(CC_Mode="Per unit",IFERROR(INDEX($K$4:$K$15,MATCH(94,$N$4:$N$15,0)),""),IF(94=1,"All units",""))))</f>
        <v/>
      </c>
      <c r="T97" s="0" t="str">
        <f aca="false">IF(CC_Mode="Per equipment",IFERROR(INDEX($D$4:$D$403,MATCH(94,$I$4:$I$403,0)),""),IF(CC_Mode="Per loop",IFERROR(INDEX($D$4:$D$403,MATCH(94,$H$4:$H$403,0)),""),IF(CC_Mode="Per unit",IFERROR(INDEX($M$4:$M$15,MATCH(94,$N$4:$N$15,0)),""),IF(94=1,CC_V_GrandVol,""))))</f>
        <v/>
      </c>
      <c r="U97" s="0" t="str">
        <f aca="false">IF(CC_Mode="Per equipment",IFERROR(INDEX($E$4:$E$403,MATCH(94,$I$4:$I$403,0)),""),IF(CC_Mode="Per loop",IFERROR(INDEX($E$4:$E$403,MATCH(94,$H$4:$H$403,0)),""),IF(CC_Mode="Per unit",IFERROR(INDEX($L$4:$L$15,MATCH(94,$N$4:$N$15,0)),""),IF(94=1,CC_Net,""))))</f>
        <v/>
      </c>
    </row>
    <row r="98" customFormat="false" ht="15" hidden="false" customHeight="false" outlineLevel="0" collapsed="false">
      <c r="A98" s="0" t="s">
        <v>172</v>
      </c>
      <c r="B98" s="0" t="str">
        <f aca="false">'CC Item Pricing'!C67&amp;IF('CC Item Pricing'!D67="",""," – "&amp;'CC Item Pricing'!D67)</f>
        <v/>
      </c>
      <c r="C98" s="0" t="str">
        <f aca="false">INDEX(CC_UnitNames,'CC Item Pricing'!Y67)</f>
        <v>Unit 2</v>
      </c>
      <c r="D98" s="0" t="n">
        <f aca="false">N('CC Item Pricing'!G67)</f>
        <v>0</v>
      </c>
      <c r="E98" s="98" t="n">
        <f aca="false">'CC Item Pricing'!W67</f>
        <v>0</v>
      </c>
      <c r="F98" s="96" t="n">
        <f aca="false">IF(AND(G98=1,'CC Item Pricing'!B67=""),1,0)</f>
        <v>0</v>
      </c>
      <c r="G98" s="96" t="n">
        <f aca="false">IF(D98&gt;0,1,0)</f>
        <v>0</v>
      </c>
      <c r="H98" s="0" t="str">
        <f aca="false">IF(F98=1,COUNTIF($F$4:F98,1),"")</f>
        <v/>
      </c>
      <c r="I98" s="0" t="str">
        <f aca="false">IF(G98=1,COUNTIF($G$4:G98,1),"")</f>
        <v/>
      </c>
      <c r="R98" s="0" t="str">
        <f aca="false">IF(CC_Mode="Per equipment",IFERROR(INDEX($B$4:$B$403,MATCH(95,$I$4:$I$403,0)),""),IF(CC_Mode="Per loop",IFERROR(INDEX($B$4:$B$403,MATCH(95,$H$4:$H$403,0)),""),IF(CC_Mode="Per unit",IFERROR("Chemical cleaning – "&amp;INDEX($K$4:$K$15,MATCH(95,$N$4:$N$15,0)),""),IF(95=1,"LUMP SUM – "&amp;QProject,""))))</f>
        <v/>
      </c>
      <c r="S98" s="0" t="str">
        <f aca="false">IF(CC_Mode="Per equipment",IFERROR(INDEX($C$4:$C$403,MATCH(95,$I$4:$I$403,0)),""),IF(CC_Mode="Per loop",IFERROR(INDEX($C$4:$C$403,MATCH(95,$H$4:$H$403,0)),""),IF(CC_Mode="Per unit",IFERROR(INDEX($K$4:$K$15,MATCH(95,$N$4:$N$15,0)),""),IF(95=1,"All units",""))))</f>
        <v/>
      </c>
      <c r="T98" s="0" t="str">
        <f aca="false">IF(CC_Mode="Per equipment",IFERROR(INDEX($D$4:$D$403,MATCH(95,$I$4:$I$403,0)),""),IF(CC_Mode="Per loop",IFERROR(INDEX($D$4:$D$403,MATCH(95,$H$4:$H$403,0)),""),IF(CC_Mode="Per unit",IFERROR(INDEX($M$4:$M$15,MATCH(95,$N$4:$N$15,0)),""),IF(95=1,CC_V_GrandVol,""))))</f>
        <v/>
      </c>
      <c r="U98" s="0" t="str">
        <f aca="false">IF(CC_Mode="Per equipment",IFERROR(INDEX($E$4:$E$403,MATCH(95,$I$4:$I$403,0)),""),IF(CC_Mode="Per loop",IFERROR(INDEX($E$4:$E$403,MATCH(95,$H$4:$H$403,0)),""),IF(CC_Mode="Per unit",IFERROR(INDEX($L$4:$L$15,MATCH(95,$N$4:$N$15,0)),""),IF(95=1,CC_Net,""))))</f>
        <v/>
      </c>
    </row>
    <row r="99" customFormat="false" ht="15" hidden="false" customHeight="false" outlineLevel="0" collapsed="false">
      <c r="A99" s="0" t="s">
        <v>172</v>
      </c>
      <c r="B99" s="0" t="str">
        <f aca="false">'CC Item Pricing'!C68&amp;IF('CC Item Pricing'!D68="",""," – "&amp;'CC Item Pricing'!D68)</f>
        <v/>
      </c>
      <c r="C99" s="0" t="str">
        <f aca="false">INDEX(CC_UnitNames,'CC Item Pricing'!Y68)</f>
        <v>Unit 2</v>
      </c>
      <c r="D99" s="0" t="n">
        <f aca="false">N('CC Item Pricing'!G68)</f>
        <v>0</v>
      </c>
      <c r="E99" s="98" t="n">
        <f aca="false">'CC Item Pricing'!W68</f>
        <v>0</v>
      </c>
      <c r="F99" s="96" t="n">
        <f aca="false">IF(AND(G99=1,'CC Item Pricing'!B68=""),1,0)</f>
        <v>0</v>
      </c>
      <c r="G99" s="96" t="n">
        <f aca="false">IF(D99&gt;0,1,0)</f>
        <v>0</v>
      </c>
      <c r="H99" s="0" t="str">
        <f aca="false">IF(F99=1,COUNTIF($F$4:F99,1),"")</f>
        <v/>
      </c>
      <c r="I99" s="0" t="str">
        <f aca="false">IF(G99=1,COUNTIF($G$4:G99,1),"")</f>
        <v/>
      </c>
      <c r="R99" s="0" t="str">
        <f aca="false">IF(CC_Mode="Per equipment",IFERROR(INDEX($B$4:$B$403,MATCH(96,$I$4:$I$403,0)),""),IF(CC_Mode="Per loop",IFERROR(INDEX($B$4:$B$403,MATCH(96,$H$4:$H$403,0)),""),IF(CC_Mode="Per unit",IFERROR("Chemical cleaning – "&amp;INDEX($K$4:$K$15,MATCH(96,$N$4:$N$15,0)),""),IF(96=1,"LUMP SUM – "&amp;QProject,""))))</f>
        <v/>
      </c>
      <c r="S99" s="0" t="str">
        <f aca="false">IF(CC_Mode="Per equipment",IFERROR(INDEX($C$4:$C$403,MATCH(96,$I$4:$I$403,0)),""),IF(CC_Mode="Per loop",IFERROR(INDEX($C$4:$C$403,MATCH(96,$H$4:$H$403,0)),""),IF(CC_Mode="Per unit",IFERROR(INDEX($K$4:$K$15,MATCH(96,$N$4:$N$15,0)),""),IF(96=1,"All units",""))))</f>
        <v/>
      </c>
      <c r="T99" s="0" t="str">
        <f aca="false">IF(CC_Mode="Per equipment",IFERROR(INDEX($D$4:$D$403,MATCH(96,$I$4:$I$403,0)),""),IF(CC_Mode="Per loop",IFERROR(INDEX($D$4:$D$403,MATCH(96,$H$4:$H$403,0)),""),IF(CC_Mode="Per unit",IFERROR(INDEX($M$4:$M$15,MATCH(96,$N$4:$N$15,0)),""),IF(96=1,CC_V_GrandVol,""))))</f>
        <v/>
      </c>
      <c r="U99" s="0" t="str">
        <f aca="false">IF(CC_Mode="Per equipment",IFERROR(INDEX($E$4:$E$403,MATCH(96,$I$4:$I$403,0)),""),IF(CC_Mode="Per loop",IFERROR(INDEX($E$4:$E$403,MATCH(96,$H$4:$H$403,0)),""),IF(CC_Mode="Per unit",IFERROR(INDEX($L$4:$L$15,MATCH(96,$N$4:$N$15,0)),""),IF(96=1,CC_Net,""))))</f>
        <v/>
      </c>
    </row>
    <row r="100" customFormat="false" ht="15" hidden="false" customHeight="false" outlineLevel="0" collapsed="false">
      <c r="A100" s="0" t="s">
        <v>172</v>
      </c>
      <c r="B100" s="0" t="str">
        <f aca="false">'CC Item Pricing'!C69&amp;IF('CC Item Pricing'!D69="",""," – "&amp;'CC Item Pricing'!D69)</f>
        <v/>
      </c>
      <c r="C100" s="0" t="str">
        <f aca="false">INDEX(CC_UnitNames,'CC Item Pricing'!Y69)</f>
        <v>Unit 2</v>
      </c>
      <c r="D100" s="0" t="n">
        <f aca="false">N('CC Item Pricing'!G69)</f>
        <v>0</v>
      </c>
      <c r="E100" s="98" t="n">
        <f aca="false">'CC Item Pricing'!W69</f>
        <v>0</v>
      </c>
      <c r="F100" s="96" t="n">
        <f aca="false">IF(AND(G100=1,'CC Item Pricing'!B69=""),1,0)</f>
        <v>0</v>
      </c>
      <c r="G100" s="96" t="n">
        <f aca="false">IF(D100&gt;0,1,0)</f>
        <v>0</v>
      </c>
      <c r="H100" s="0" t="str">
        <f aca="false">IF(F100=1,COUNTIF($F$4:F100,1),"")</f>
        <v/>
      </c>
      <c r="I100" s="0" t="str">
        <f aca="false">IF(G100=1,COUNTIF($G$4:G100,1),"")</f>
        <v/>
      </c>
      <c r="R100" s="0" t="str">
        <f aca="false">IF(CC_Mode="Per equipment",IFERROR(INDEX($B$4:$B$403,MATCH(97,$I$4:$I$403,0)),""),IF(CC_Mode="Per loop",IFERROR(INDEX($B$4:$B$403,MATCH(97,$H$4:$H$403,0)),""),IF(CC_Mode="Per unit",IFERROR("Chemical cleaning – "&amp;INDEX($K$4:$K$15,MATCH(97,$N$4:$N$15,0)),""),IF(97=1,"LUMP SUM – "&amp;QProject,""))))</f>
        <v/>
      </c>
      <c r="S100" s="0" t="str">
        <f aca="false">IF(CC_Mode="Per equipment",IFERROR(INDEX($C$4:$C$403,MATCH(97,$I$4:$I$403,0)),""),IF(CC_Mode="Per loop",IFERROR(INDEX($C$4:$C$403,MATCH(97,$H$4:$H$403,0)),""),IF(CC_Mode="Per unit",IFERROR(INDEX($K$4:$K$15,MATCH(97,$N$4:$N$15,0)),""),IF(97=1,"All units",""))))</f>
        <v/>
      </c>
      <c r="T100" s="0" t="str">
        <f aca="false">IF(CC_Mode="Per equipment",IFERROR(INDEX($D$4:$D$403,MATCH(97,$I$4:$I$403,0)),""),IF(CC_Mode="Per loop",IFERROR(INDEX($D$4:$D$403,MATCH(97,$H$4:$H$403,0)),""),IF(CC_Mode="Per unit",IFERROR(INDEX($M$4:$M$15,MATCH(97,$N$4:$N$15,0)),""),IF(97=1,CC_V_GrandVol,""))))</f>
        <v/>
      </c>
      <c r="U100" s="0" t="str">
        <f aca="false">IF(CC_Mode="Per equipment",IFERROR(INDEX($E$4:$E$403,MATCH(97,$I$4:$I$403,0)),""),IF(CC_Mode="Per loop",IFERROR(INDEX($E$4:$E$403,MATCH(97,$H$4:$H$403,0)),""),IF(CC_Mode="Per unit",IFERROR(INDEX($L$4:$L$15,MATCH(97,$N$4:$N$15,0)),""),IF(97=1,CC_Net,""))))</f>
        <v/>
      </c>
    </row>
    <row r="101" customFormat="false" ht="15" hidden="false" customHeight="false" outlineLevel="0" collapsed="false">
      <c r="A101" s="0" t="s">
        <v>172</v>
      </c>
      <c r="B101" s="0" t="str">
        <f aca="false">'CC Item Pricing'!C70&amp;IF('CC Item Pricing'!D70="",""," – "&amp;'CC Item Pricing'!D70)</f>
        <v/>
      </c>
      <c r="C101" s="0" t="str">
        <f aca="false">INDEX(CC_UnitNames,'CC Item Pricing'!Y70)</f>
        <v>Unit 2</v>
      </c>
      <c r="D101" s="0" t="n">
        <f aca="false">N('CC Item Pricing'!G70)</f>
        <v>0</v>
      </c>
      <c r="E101" s="98" t="n">
        <f aca="false">'CC Item Pricing'!W70</f>
        <v>0</v>
      </c>
      <c r="F101" s="96" t="n">
        <f aca="false">IF(AND(G101=1,'CC Item Pricing'!B70=""),1,0)</f>
        <v>0</v>
      </c>
      <c r="G101" s="96" t="n">
        <f aca="false">IF(D101&gt;0,1,0)</f>
        <v>0</v>
      </c>
      <c r="H101" s="0" t="str">
        <f aca="false">IF(F101=1,COUNTIF($F$4:F101,1),"")</f>
        <v/>
      </c>
      <c r="I101" s="0" t="str">
        <f aca="false">IF(G101=1,COUNTIF($G$4:G101,1),"")</f>
        <v/>
      </c>
      <c r="R101" s="0" t="str">
        <f aca="false">IF(CC_Mode="Per equipment",IFERROR(INDEX($B$4:$B$403,MATCH(98,$I$4:$I$403,0)),""),IF(CC_Mode="Per loop",IFERROR(INDEX($B$4:$B$403,MATCH(98,$H$4:$H$403,0)),""),IF(CC_Mode="Per unit",IFERROR("Chemical cleaning – "&amp;INDEX($K$4:$K$15,MATCH(98,$N$4:$N$15,0)),""),IF(98=1,"LUMP SUM – "&amp;QProject,""))))</f>
        <v/>
      </c>
      <c r="S101" s="0" t="str">
        <f aca="false">IF(CC_Mode="Per equipment",IFERROR(INDEX($C$4:$C$403,MATCH(98,$I$4:$I$403,0)),""),IF(CC_Mode="Per loop",IFERROR(INDEX($C$4:$C$403,MATCH(98,$H$4:$H$403,0)),""),IF(CC_Mode="Per unit",IFERROR(INDEX($K$4:$K$15,MATCH(98,$N$4:$N$15,0)),""),IF(98=1,"All units",""))))</f>
        <v/>
      </c>
      <c r="T101" s="0" t="str">
        <f aca="false">IF(CC_Mode="Per equipment",IFERROR(INDEX($D$4:$D$403,MATCH(98,$I$4:$I$403,0)),""),IF(CC_Mode="Per loop",IFERROR(INDEX($D$4:$D$403,MATCH(98,$H$4:$H$403,0)),""),IF(CC_Mode="Per unit",IFERROR(INDEX($M$4:$M$15,MATCH(98,$N$4:$N$15,0)),""),IF(98=1,CC_V_GrandVol,""))))</f>
        <v/>
      </c>
      <c r="U101" s="0" t="str">
        <f aca="false">IF(CC_Mode="Per equipment",IFERROR(INDEX($E$4:$E$403,MATCH(98,$I$4:$I$403,0)),""),IF(CC_Mode="Per loop",IFERROR(INDEX($E$4:$E$403,MATCH(98,$H$4:$H$403,0)),""),IF(CC_Mode="Per unit",IFERROR(INDEX($L$4:$L$15,MATCH(98,$N$4:$N$15,0)),""),IF(98=1,CC_Net,""))))</f>
        <v/>
      </c>
    </row>
    <row r="102" customFormat="false" ht="15" hidden="false" customHeight="false" outlineLevel="0" collapsed="false">
      <c r="A102" s="0" t="s">
        <v>172</v>
      </c>
      <c r="B102" s="0" t="str">
        <f aca="false">'CC Item Pricing'!C71&amp;IF('CC Item Pricing'!D71="",""," – "&amp;'CC Item Pricing'!D71)</f>
        <v/>
      </c>
      <c r="C102" s="0" t="str">
        <f aca="false">INDEX(CC_UnitNames,'CC Item Pricing'!Y71)</f>
        <v>Unit 2</v>
      </c>
      <c r="D102" s="0" t="n">
        <f aca="false">N('CC Item Pricing'!G71)</f>
        <v>0</v>
      </c>
      <c r="E102" s="98" t="n">
        <f aca="false">'CC Item Pricing'!W71</f>
        <v>0</v>
      </c>
      <c r="F102" s="96" t="n">
        <f aca="false">IF(AND(G102=1,'CC Item Pricing'!B71=""),1,0)</f>
        <v>0</v>
      </c>
      <c r="G102" s="96" t="n">
        <f aca="false">IF(D102&gt;0,1,0)</f>
        <v>0</v>
      </c>
      <c r="H102" s="0" t="str">
        <f aca="false">IF(F102=1,COUNTIF($F$4:F102,1),"")</f>
        <v/>
      </c>
      <c r="I102" s="0" t="str">
        <f aca="false">IF(G102=1,COUNTIF($G$4:G102,1),"")</f>
        <v/>
      </c>
      <c r="R102" s="0" t="str">
        <f aca="false">IF(CC_Mode="Per equipment",IFERROR(INDEX($B$4:$B$403,MATCH(99,$I$4:$I$403,0)),""),IF(CC_Mode="Per loop",IFERROR(INDEX($B$4:$B$403,MATCH(99,$H$4:$H$403,0)),""),IF(CC_Mode="Per unit",IFERROR("Chemical cleaning – "&amp;INDEX($K$4:$K$15,MATCH(99,$N$4:$N$15,0)),""),IF(99=1,"LUMP SUM – "&amp;QProject,""))))</f>
        <v/>
      </c>
      <c r="S102" s="0" t="str">
        <f aca="false">IF(CC_Mode="Per equipment",IFERROR(INDEX($C$4:$C$403,MATCH(99,$I$4:$I$403,0)),""),IF(CC_Mode="Per loop",IFERROR(INDEX($C$4:$C$403,MATCH(99,$H$4:$H$403,0)),""),IF(CC_Mode="Per unit",IFERROR(INDEX($K$4:$K$15,MATCH(99,$N$4:$N$15,0)),""),IF(99=1,"All units",""))))</f>
        <v/>
      </c>
      <c r="T102" s="0" t="str">
        <f aca="false">IF(CC_Mode="Per equipment",IFERROR(INDEX($D$4:$D$403,MATCH(99,$I$4:$I$403,0)),""),IF(CC_Mode="Per loop",IFERROR(INDEX($D$4:$D$403,MATCH(99,$H$4:$H$403,0)),""),IF(CC_Mode="Per unit",IFERROR(INDEX($M$4:$M$15,MATCH(99,$N$4:$N$15,0)),""),IF(99=1,CC_V_GrandVol,""))))</f>
        <v/>
      </c>
      <c r="U102" s="0" t="str">
        <f aca="false">IF(CC_Mode="Per equipment",IFERROR(INDEX($E$4:$E$403,MATCH(99,$I$4:$I$403,0)),""),IF(CC_Mode="Per loop",IFERROR(INDEX($E$4:$E$403,MATCH(99,$H$4:$H$403,0)),""),IF(CC_Mode="Per unit",IFERROR(INDEX($L$4:$L$15,MATCH(99,$N$4:$N$15,0)),""),IF(99=1,CC_Net,""))))</f>
        <v/>
      </c>
    </row>
    <row r="103" customFormat="false" ht="15" hidden="false" customHeight="false" outlineLevel="0" collapsed="false">
      <c r="A103" s="0" t="s">
        <v>172</v>
      </c>
      <c r="B103" s="0" t="str">
        <f aca="false">'CC Item Pricing'!C72&amp;IF('CC Item Pricing'!D72="",""," – "&amp;'CC Item Pricing'!D72)</f>
        <v/>
      </c>
      <c r="C103" s="0" t="str">
        <f aca="false">INDEX(CC_UnitNames,'CC Item Pricing'!Y72)</f>
        <v>Unit 2</v>
      </c>
      <c r="D103" s="0" t="n">
        <f aca="false">N('CC Item Pricing'!G72)</f>
        <v>0</v>
      </c>
      <c r="E103" s="98" t="n">
        <f aca="false">'CC Item Pricing'!W72</f>
        <v>0</v>
      </c>
      <c r="F103" s="96" t="n">
        <f aca="false">IF(AND(G103=1,'CC Item Pricing'!B72=""),1,0)</f>
        <v>0</v>
      </c>
      <c r="G103" s="96" t="n">
        <f aca="false">IF(D103&gt;0,1,0)</f>
        <v>0</v>
      </c>
      <c r="H103" s="0" t="str">
        <f aca="false">IF(F103=1,COUNTIF($F$4:F103,1),"")</f>
        <v/>
      </c>
      <c r="I103" s="0" t="str">
        <f aca="false">IF(G103=1,COUNTIF($G$4:G103,1),"")</f>
        <v/>
      </c>
      <c r="R103" s="0" t="str">
        <f aca="false">IF(CC_Mode="Per equipment",IFERROR(INDEX($B$4:$B$403,MATCH(100,$I$4:$I$403,0)),""),IF(CC_Mode="Per loop",IFERROR(INDEX($B$4:$B$403,MATCH(100,$H$4:$H$403,0)),""),IF(CC_Mode="Per unit",IFERROR("Chemical cleaning – "&amp;INDEX($K$4:$K$15,MATCH(100,$N$4:$N$15,0)),""),IF(100=1,"LUMP SUM – "&amp;QProject,""))))</f>
        <v/>
      </c>
      <c r="S103" s="0" t="str">
        <f aca="false">IF(CC_Mode="Per equipment",IFERROR(INDEX($C$4:$C$403,MATCH(100,$I$4:$I$403,0)),""),IF(CC_Mode="Per loop",IFERROR(INDEX($C$4:$C$403,MATCH(100,$H$4:$H$403,0)),""),IF(CC_Mode="Per unit",IFERROR(INDEX($K$4:$K$15,MATCH(100,$N$4:$N$15,0)),""),IF(100=1,"All units",""))))</f>
        <v/>
      </c>
      <c r="T103" s="0" t="str">
        <f aca="false">IF(CC_Mode="Per equipment",IFERROR(INDEX($D$4:$D$403,MATCH(100,$I$4:$I$403,0)),""),IF(CC_Mode="Per loop",IFERROR(INDEX($D$4:$D$403,MATCH(100,$H$4:$H$403,0)),""),IF(CC_Mode="Per unit",IFERROR(INDEX($M$4:$M$15,MATCH(100,$N$4:$N$15,0)),""),IF(100=1,CC_V_GrandVol,""))))</f>
        <v/>
      </c>
      <c r="U103" s="0" t="str">
        <f aca="false">IF(CC_Mode="Per equipment",IFERROR(INDEX($E$4:$E$403,MATCH(100,$I$4:$I$403,0)),""),IF(CC_Mode="Per loop",IFERROR(INDEX($E$4:$E$403,MATCH(100,$H$4:$H$403,0)),""),IF(CC_Mode="Per unit",IFERROR(INDEX($L$4:$L$15,MATCH(100,$N$4:$N$15,0)),""),IF(100=1,CC_Net,""))))</f>
        <v/>
      </c>
    </row>
    <row r="104" customFormat="false" ht="15" hidden="false" customHeight="false" outlineLevel="0" collapsed="false">
      <c r="A104" s="0" t="s">
        <v>172</v>
      </c>
      <c r="B104" s="0" t="str">
        <f aca="false">'CC Item Pricing'!C76&amp;IF('CC Item Pricing'!D76="",""," – "&amp;'CC Item Pricing'!D76)</f>
        <v/>
      </c>
      <c r="C104" s="0" t="str">
        <f aca="false">INDEX(CC_UnitNames,'CC Item Pricing'!Y76)</f>
        <v>Unit 3</v>
      </c>
      <c r="D104" s="0" t="n">
        <f aca="false">N('CC Item Pricing'!G76)</f>
        <v>0</v>
      </c>
      <c r="E104" s="98" t="n">
        <f aca="false">'CC Item Pricing'!W76</f>
        <v>0</v>
      </c>
      <c r="F104" s="96" t="n">
        <f aca="false">IF(AND(G104=1,'CC Item Pricing'!B76=""),1,0)</f>
        <v>0</v>
      </c>
      <c r="G104" s="96" t="n">
        <f aca="false">IF(D104&gt;0,1,0)</f>
        <v>0</v>
      </c>
      <c r="H104" s="0" t="str">
        <f aca="false">IF(F104=1,COUNTIF($F$4:F104,1),"")</f>
        <v/>
      </c>
      <c r="I104" s="0" t="str">
        <f aca="false">IF(G104=1,COUNTIF($G$4:G104,1),"")</f>
        <v/>
      </c>
      <c r="R104" s="0" t="str">
        <f aca="false">IF(CC_Mode="Per equipment",IFERROR(INDEX($B$4:$B$403,MATCH(101,$I$4:$I$403,0)),""),IF(CC_Mode="Per loop",IFERROR(INDEX($B$4:$B$403,MATCH(101,$H$4:$H$403,0)),""),IF(CC_Mode="Per unit",IFERROR("Chemical cleaning – "&amp;INDEX($K$4:$K$15,MATCH(101,$N$4:$N$15,0)),""),IF(101=1,"LUMP SUM – "&amp;QProject,""))))</f>
        <v/>
      </c>
      <c r="S104" s="0" t="str">
        <f aca="false">IF(CC_Mode="Per equipment",IFERROR(INDEX($C$4:$C$403,MATCH(101,$I$4:$I$403,0)),""),IF(CC_Mode="Per loop",IFERROR(INDEX($C$4:$C$403,MATCH(101,$H$4:$H$403,0)),""),IF(CC_Mode="Per unit",IFERROR(INDEX($K$4:$K$15,MATCH(101,$N$4:$N$15,0)),""),IF(101=1,"All units",""))))</f>
        <v/>
      </c>
      <c r="T104" s="0" t="str">
        <f aca="false">IF(CC_Mode="Per equipment",IFERROR(INDEX($D$4:$D$403,MATCH(101,$I$4:$I$403,0)),""),IF(CC_Mode="Per loop",IFERROR(INDEX($D$4:$D$403,MATCH(101,$H$4:$H$403,0)),""),IF(CC_Mode="Per unit",IFERROR(INDEX($M$4:$M$15,MATCH(101,$N$4:$N$15,0)),""),IF(101=1,CC_V_GrandVol,""))))</f>
        <v/>
      </c>
      <c r="U104" s="0" t="str">
        <f aca="false">IF(CC_Mode="Per equipment",IFERROR(INDEX($E$4:$E$403,MATCH(101,$I$4:$I$403,0)),""),IF(CC_Mode="Per loop",IFERROR(INDEX($E$4:$E$403,MATCH(101,$H$4:$H$403,0)),""),IF(CC_Mode="Per unit",IFERROR(INDEX($L$4:$L$15,MATCH(101,$N$4:$N$15,0)),""),IF(101=1,CC_Net,""))))</f>
        <v/>
      </c>
    </row>
    <row r="105" customFormat="false" ht="15" hidden="false" customHeight="false" outlineLevel="0" collapsed="false">
      <c r="A105" s="0" t="s">
        <v>172</v>
      </c>
      <c r="B105" s="0" t="str">
        <f aca="false">'CC Item Pricing'!C77&amp;IF('CC Item Pricing'!D77="",""," – "&amp;'CC Item Pricing'!D77)</f>
        <v/>
      </c>
      <c r="C105" s="0" t="str">
        <f aca="false">INDEX(CC_UnitNames,'CC Item Pricing'!Y77)</f>
        <v>Unit 3</v>
      </c>
      <c r="D105" s="0" t="n">
        <f aca="false">N('CC Item Pricing'!G77)</f>
        <v>0</v>
      </c>
      <c r="E105" s="98" t="n">
        <f aca="false">'CC Item Pricing'!W77</f>
        <v>0</v>
      </c>
      <c r="F105" s="96" t="n">
        <f aca="false">IF(AND(G105=1,'CC Item Pricing'!B77=""),1,0)</f>
        <v>0</v>
      </c>
      <c r="G105" s="96" t="n">
        <f aca="false">IF(D105&gt;0,1,0)</f>
        <v>0</v>
      </c>
      <c r="H105" s="0" t="str">
        <f aca="false">IF(F105=1,COUNTIF($F$4:F105,1),"")</f>
        <v/>
      </c>
      <c r="I105" s="0" t="str">
        <f aca="false">IF(G105=1,COUNTIF($G$4:G105,1),"")</f>
        <v/>
      </c>
      <c r="R105" s="0" t="str">
        <f aca="false">IF(CC_Mode="Per equipment",IFERROR(INDEX($B$4:$B$403,MATCH(102,$I$4:$I$403,0)),""),IF(CC_Mode="Per loop",IFERROR(INDEX($B$4:$B$403,MATCH(102,$H$4:$H$403,0)),""),IF(CC_Mode="Per unit",IFERROR("Chemical cleaning – "&amp;INDEX($K$4:$K$15,MATCH(102,$N$4:$N$15,0)),""),IF(102=1,"LUMP SUM – "&amp;QProject,""))))</f>
        <v/>
      </c>
      <c r="S105" s="0" t="str">
        <f aca="false">IF(CC_Mode="Per equipment",IFERROR(INDEX($C$4:$C$403,MATCH(102,$I$4:$I$403,0)),""),IF(CC_Mode="Per loop",IFERROR(INDEX($C$4:$C$403,MATCH(102,$H$4:$H$403,0)),""),IF(CC_Mode="Per unit",IFERROR(INDEX($K$4:$K$15,MATCH(102,$N$4:$N$15,0)),""),IF(102=1,"All units",""))))</f>
        <v/>
      </c>
      <c r="T105" s="0" t="str">
        <f aca="false">IF(CC_Mode="Per equipment",IFERROR(INDEX($D$4:$D$403,MATCH(102,$I$4:$I$403,0)),""),IF(CC_Mode="Per loop",IFERROR(INDEX($D$4:$D$403,MATCH(102,$H$4:$H$403,0)),""),IF(CC_Mode="Per unit",IFERROR(INDEX($M$4:$M$15,MATCH(102,$N$4:$N$15,0)),""),IF(102=1,CC_V_GrandVol,""))))</f>
        <v/>
      </c>
      <c r="U105" s="0" t="str">
        <f aca="false">IF(CC_Mode="Per equipment",IFERROR(INDEX($E$4:$E$403,MATCH(102,$I$4:$I$403,0)),""),IF(CC_Mode="Per loop",IFERROR(INDEX($E$4:$E$403,MATCH(102,$H$4:$H$403,0)),""),IF(CC_Mode="Per unit",IFERROR(INDEX($L$4:$L$15,MATCH(102,$N$4:$N$15,0)),""),IF(102=1,CC_Net,""))))</f>
        <v/>
      </c>
    </row>
    <row r="106" customFormat="false" ht="15" hidden="false" customHeight="false" outlineLevel="0" collapsed="false">
      <c r="A106" s="0" t="s">
        <v>172</v>
      </c>
      <c r="B106" s="0" t="str">
        <f aca="false">'CC Item Pricing'!C78&amp;IF('CC Item Pricing'!D78="",""," – "&amp;'CC Item Pricing'!D78)</f>
        <v/>
      </c>
      <c r="C106" s="0" t="str">
        <f aca="false">INDEX(CC_UnitNames,'CC Item Pricing'!Y78)</f>
        <v>Unit 3</v>
      </c>
      <c r="D106" s="0" t="n">
        <f aca="false">N('CC Item Pricing'!G78)</f>
        <v>0</v>
      </c>
      <c r="E106" s="98" t="n">
        <f aca="false">'CC Item Pricing'!W78</f>
        <v>0</v>
      </c>
      <c r="F106" s="96" t="n">
        <f aca="false">IF(AND(G106=1,'CC Item Pricing'!B78=""),1,0)</f>
        <v>0</v>
      </c>
      <c r="G106" s="96" t="n">
        <f aca="false">IF(D106&gt;0,1,0)</f>
        <v>0</v>
      </c>
      <c r="H106" s="0" t="str">
        <f aca="false">IF(F106=1,COUNTIF($F$4:F106,1),"")</f>
        <v/>
      </c>
      <c r="I106" s="0" t="str">
        <f aca="false">IF(G106=1,COUNTIF($G$4:G106,1),"")</f>
        <v/>
      </c>
      <c r="R106" s="0" t="str">
        <f aca="false">IF(CC_Mode="Per equipment",IFERROR(INDEX($B$4:$B$403,MATCH(103,$I$4:$I$403,0)),""),IF(CC_Mode="Per loop",IFERROR(INDEX($B$4:$B$403,MATCH(103,$H$4:$H$403,0)),""),IF(CC_Mode="Per unit",IFERROR("Chemical cleaning – "&amp;INDEX($K$4:$K$15,MATCH(103,$N$4:$N$15,0)),""),IF(103=1,"LUMP SUM – "&amp;QProject,""))))</f>
        <v/>
      </c>
      <c r="S106" s="0" t="str">
        <f aca="false">IF(CC_Mode="Per equipment",IFERROR(INDEX($C$4:$C$403,MATCH(103,$I$4:$I$403,0)),""),IF(CC_Mode="Per loop",IFERROR(INDEX($C$4:$C$403,MATCH(103,$H$4:$H$403,0)),""),IF(CC_Mode="Per unit",IFERROR(INDEX($K$4:$K$15,MATCH(103,$N$4:$N$15,0)),""),IF(103=1,"All units",""))))</f>
        <v/>
      </c>
      <c r="T106" s="0" t="str">
        <f aca="false">IF(CC_Mode="Per equipment",IFERROR(INDEX($D$4:$D$403,MATCH(103,$I$4:$I$403,0)),""),IF(CC_Mode="Per loop",IFERROR(INDEX($D$4:$D$403,MATCH(103,$H$4:$H$403,0)),""),IF(CC_Mode="Per unit",IFERROR(INDEX($M$4:$M$15,MATCH(103,$N$4:$N$15,0)),""),IF(103=1,CC_V_GrandVol,""))))</f>
        <v/>
      </c>
      <c r="U106" s="0" t="str">
        <f aca="false">IF(CC_Mode="Per equipment",IFERROR(INDEX($E$4:$E$403,MATCH(103,$I$4:$I$403,0)),""),IF(CC_Mode="Per loop",IFERROR(INDEX($E$4:$E$403,MATCH(103,$H$4:$H$403,0)),""),IF(CC_Mode="Per unit",IFERROR(INDEX($L$4:$L$15,MATCH(103,$N$4:$N$15,0)),""),IF(103=1,CC_Net,""))))</f>
        <v/>
      </c>
    </row>
    <row r="107" customFormat="false" ht="15" hidden="false" customHeight="false" outlineLevel="0" collapsed="false">
      <c r="A107" s="0" t="s">
        <v>172</v>
      </c>
      <c r="B107" s="0" t="str">
        <f aca="false">'CC Item Pricing'!C79&amp;IF('CC Item Pricing'!D79="",""," – "&amp;'CC Item Pricing'!D79)</f>
        <v/>
      </c>
      <c r="C107" s="0" t="str">
        <f aca="false">INDEX(CC_UnitNames,'CC Item Pricing'!Y79)</f>
        <v>Unit 3</v>
      </c>
      <c r="D107" s="0" t="n">
        <f aca="false">N('CC Item Pricing'!G79)</f>
        <v>0</v>
      </c>
      <c r="E107" s="98" t="n">
        <f aca="false">'CC Item Pricing'!W79</f>
        <v>0</v>
      </c>
      <c r="F107" s="96" t="n">
        <f aca="false">IF(AND(G107=1,'CC Item Pricing'!B79=""),1,0)</f>
        <v>0</v>
      </c>
      <c r="G107" s="96" t="n">
        <f aca="false">IF(D107&gt;0,1,0)</f>
        <v>0</v>
      </c>
      <c r="H107" s="0" t="str">
        <f aca="false">IF(F107=1,COUNTIF($F$4:F107,1),"")</f>
        <v/>
      </c>
      <c r="I107" s="0" t="str">
        <f aca="false">IF(G107=1,COUNTIF($G$4:G107,1),"")</f>
        <v/>
      </c>
      <c r="R107" s="0" t="str">
        <f aca="false">IF(CC_Mode="Per equipment",IFERROR(INDEX($B$4:$B$403,MATCH(104,$I$4:$I$403,0)),""),IF(CC_Mode="Per loop",IFERROR(INDEX($B$4:$B$403,MATCH(104,$H$4:$H$403,0)),""),IF(CC_Mode="Per unit",IFERROR("Chemical cleaning – "&amp;INDEX($K$4:$K$15,MATCH(104,$N$4:$N$15,0)),""),IF(104=1,"LUMP SUM – "&amp;QProject,""))))</f>
        <v/>
      </c>
      <c r="S107" s="0" t="str">
        <f aca="false">IF(CC_Mode="Per equipment",IFERROR(INDEX($C$4:$C$403,MATCH(104,$I$4:$I$403,0)),""),IF(CC_Mode="Per loop",IFERROR(INDEX($C$4:$C$403,MATCH(104,$H$4:$H$403,0)),""),IF(CC_Mode="Per unit",IFERROR(INDEX($K$4:$K$15,MATCH(104,$N$4:$N$15,0)),""),IF(104=1,"All units",""))))</f>
        <v/>
      </c>
      <c r="T107" s="0" t="str">
        <f aca="false">IF(CC_Mode="Per equipment",IFERROR(INDEX($D$4:$D$403,MATCH(104,$I$4:$I$403,0)),""),IF(CC_Mode="Per loop",IFERROR(INDEX($D$4:$D$403,MATCH(104,$H$4:$H$403,0)),""),IF(CC_Mode="Per unit",IFERROR(INDEX($M$4:$M$15,MATCH(104,$N$4:$N$15,0)),""),IF(104=1,CC_V_GrandVol,""))))</f>
        <v/>
      </c>
      <c r="U107" s="0" t="str">
        <f aca="false">IF(CC_Mode="Per equipment",IFERROR(INDEX($E$4:$E$403,MATCH(104,$I$4:$I$403,0)),""),IF(CC_Mode="Per loop",IFERROR(INDEX($E$4:$E$403,MATCH(104,$H$4:$H$403,0)),""),IF(CC_Mode="Per unit",IFERROR(INDEX($L$4:$L$15,MATCH(104,$N$4:$N$15,0)),""),IF(104=1,CC_Net,""))))</f>
        <v/>
      </c>
    </row>
    <row r="108" customFormat="false" ht="15" hidden="false" customHeight="false" outlineLevel="0" collapsed="false">
      <c r="A108" s="0" t="s">
        <v>172</v>
      </c>
      <c r="B108" s="0" t="str">
        <f aca="false">'CC Item Pricing'!C80&amp;IF('CC Item Pricing'!D80="",""," – "&amp;'CC Item Pricing'!D80)</f>
        <v/>
      </c>
      <c r="C108" s="0" t="str">
        <f aca="false">INDEX(CC_UnitNames,'CC Item Pricing'!Y80)</f>
        <v>Unit 3</v>
      </c>
      <c r="D108" s="0" t="n">
        <f aca="false">N('CC Item Pricing'!G80)</f>
        <v>0</v>
      </c>
      <c r="E108" s="98" t="n">
        <f aca="false">'CC Item Pricing'!W80</f>
        <v>0</v>
      </c>
      <c r="F108" s="96" t="n">
        <f aca="false">IF(AND(G108=1,'CC Item Pricing'!B80=""),1,0)</f>
        <v>0</v>
      </c>
      <c r="G108" s="96" t="n">
        <f aca="false">IF(D108&gt;0,1,0)</f>
        <v>0</v>
      </c>
      <c r="H108" s="0" t="str">
        <f aca="false">IF(F108=1,COUNTIF($F$4:F108,1),"")</f>
        <v/>
      </c>
      <c r="I108" s="0" t="str">
        <f aca="false">IF(G108=1,COUNTIF($G$4:G108,1),"")</f>
        <v/>
      </c>
      <c r="R108" s="0" t="str">
        <f aca="false">IF(CC_Mode="Per equipment",IFERROR(INDEX($B$4:$B$403,MATCH(105,$I$4:$I$403,0)),""),IF(CC_Mode="Per loop",IFERROR(INDEX($B$4:$B$403,MATCH(105,$H$4:$H$403,0)),""),IF(CC_Mode="Per unit",IFERROR("Chemical cleaning – "&amp;INDEX($K$4:$K$15,MATCH(105,$N$4:$N$15,0)),""),IF(105=1,"LUMP SUM – "&amp;QProject,""))))</f>
        <v/>
      </c>
      <c r="S108" s="0" t="str">
        <f aca="false">IF(CC_Mode="Per equipment",IFERROR(INDEX($C$4:$C$403,MATCH(105,$I$4:$I$403,0)),""),IF(CC_Mode="Per loop",IFERROR(INDEX($C$4:$C$403,MATCH(105,$H$4:$H$403,0)),""),IF(CC_Mode="Per unit",IFERROR(INDEX($K$4:$K$15,MATCH(105,$N$4:$N$15,0)),""),IF(105=1,"All units",""))))</f>
        <v/>
      </c>
      <c r="T108" s="0" t="str">
        <f aca="false">IF(CC_Mode="Per equipment",IFERROR(INDEX($D$4:$D$403,MATCH(105,$I$4:$I$403,0)),""),IF(CC_Mode="Per loop",IFERROR(INDEX($D$4:$D$403,MATCH(105,$H$4:$H$403,0)),""),IF(CC_Mode="Per unit",IFERROR(INDEX($M$4:$M$15,MATCH(105,$N$4:$N$15,0)),""),IF(105=1,CC_V_GrandVol,""))))</f>
        <v/>
      </c>
      <c r="U108" s="0" t="str">
        <f aca="false">IF(CC_Mode="Per equipment",IFERROR(INDEX($E$4:$E$403,MATCH(105,$I$4:$I$403,0)),""),IF(CC_Mode="Per loop",IFERROR(INDEX($E$4:$E$403,MATCH(105,$H$4:$H$403,0)),""),IF(CC_Mode="Per unit",IFERROR(INDEX($L$4:$L$15,MATCH(105,$N$4:$N$15,0)),""),IF(105=1,CC_Net,""))))</f>
        <v/>
      </c>
    </row>
    <row r="109" customFormat="false" ht="15" hidden="false" customHeight="false" outlineLevel="0" collapsed="false">
      <c r="A109" s="0" t="s">
        <v>172</v>
      </c>
      <c r="B109" s="0" t="str">
        <f aca="false">'CC Item Pricing'!C81&amp;IF('CC Item Pricing'!D81="",""," – "&amp;'CC Item Pricing'!D81)</f>
        <v/>
      </c>
      <c r="C109" s="0" t="str">
        <f aca="false">INDEX(CC_UnitNames,'CC Item Pricing'!Y81)</f>
        <v>Unit 3</v>
      </c>
      <c r="D109" s="0" t="n">
        <f aca="false">N('CC Item Pricing'!G81)</f>
        <v>0</v>
      </c>
      <c r="E109" s="98" t="n">
        <f aca="false">'CC Item Pricing'!W81</f>
        <v>0</v>
      </c>
      <c r="F109" s="96" t="n">
        <f aca="false">IF(AND(G109=1,'CC Item Pricing'!B81=""),1,0)</f>
        <v>0</v>
      </c>
      <c r="G109" s="96" t="n">
        <f aca="false">IF(D109&gt;0,1,0)</f>
        <v>0</v>
      </c>
      <c r="H109" s="0" t="str">
        <f aca="false">IF(F109=1,COUNTIF($F$4:F109,1),"")</f>
        <v/>
      </c>
      <c r="I109" s="0" t="str">
        <f aca="false">IF(G109=1,COUNTIF($G$4:G109,1),"")</f>
        <v/>
      </c>
      <c r="R109" s="0" t="str">
        <f aca="false">IF(CC_Mode="Per equipment",IFERROR(INDEX($B$4:$B$403,MATCH(106,$I$4:$I$403,0)),""),IF(CC_Mode="Per loop",IFERROR(INDEX($B$4:$B$403,MATCH(106,$H$4:$H$403,0)),""),IF(CC_Mode="Per unit",IFERROR("Chemical cleaning – "&amp;INDEX($K$4:$K$15,MATCH(106,$N$4:$N$15,0)),""),IF(106=1,"LUMP SUM – "&amp;QProject,""))))</f>
        <v/>
      </c>
      <c r="S109" s="0" t="str">
        <f aca="false">IF(CC_Mode="Per equipment",IFERROR(INDEX($C$4:$C$403,MATCH(106,$I$4:$I$403,0)),""),IF(CC_Mode="Per loop",IFERROR(INDEX($C$4:$C$403,MATCH(106,$H$4:$H$403,0)),""),IF(CC_Mode="Per unit",IFERROR(INDEX($K$4:$K$15,MATCH(106,$N$4:$N$15,0)),""),IF(106=1,"All units",""))))</f>
        <v/>
      </c>
      <c r="T109" s="0" t="str">
        <f aca="false">IF(CC_Mode="Per equipment",IFERROR(INDEX($D$4:$D$403,MATCH(106,$I$4:$I$403,0)),""),IF(CC_Mode="Per loop",IFERROR(INDEX($D$4:$D$403,MATCH(106,$H$4:$H$403,0)),""),IF(CC_Mode="Per unit",IFERROR(INDEX($M$4:$M$15,MATCH(106,$N$4:$N$15,0)),""),IF(106=1,CC_V_GrandVol,""))))</f>
        <v/>
      </c>
      <c r="U109" s="0" t="str">
        <f aca="false">IF(CC_Mode="Per equipment",IFERROR(INDEX($E$4:$E$403,MATCH(106,$I$4:$I$403,0)),""),IF(CC_Mode="Per loop",IFERROR(INDEX($E$4:$E$403,MATCH(106,$H$4:$H$403,0)),""),IF(CC_Mode="Per unit",IFERROR(INDEX($L$4:$L$15,MATCH(106,$N$4:$N$15,0)),""),IF(106=1,CC_Net,""))))</f>
        <v/>
      </c>
    </row>
    <row r="110" customFormat="false" ht="15" hidden="false" customHeight="false" outlineLevel="0" collapsed="false">
      <c r="A110" s="0" t="s">
        <v>172</v>
      </c>
      <c r="B110" s="0" t="str">
        <f aca="false">'CC Item Pricing'!C82&amp;IF('CC Item Pricing'!D82="",""," – "&amp;'CC Item Pricing'!D82)</f>
        <v/>
      </c>
      <c r="C110" s="0" t="str">
        <f aca="false">INDEX(CC_UnitNames,'CC Item Pricing'!Y82)</f>
        <v>Unit 3</v>
      </c>
      <c r="D110" s="0" t="n">
        <f aca="false">N('CC Item Pricing'!G82)</f>
        <v>0</v>
      </c>
      <c r="E110" s="98" t="n">
        <f aca="false">'CC Item Pricing'!W82</f>
        <v>0</v>
      </c>
      <c r="F110" s="96" t="n">
        <f aca="false">IF(AND(G110=1,'CC Item Pricing'!B82=""),1,0)</f>
        <v>0</v>
      </c>
      <c r="G110" s="96" t="n">
        <f aca="false">IF(D110&gt;0,1,0)</f>
        <v>0</v>
      </c>
      <c r="H110" s="0" t="str">
        <f aca="false">IF(F110=1,COUNTIF($F$4:F110,1),"")</f>
        <v/>
      </c>
      <c r="I110" s="0" t="str">
        <f aca="false">IF(G110=1,COUNTIF($G$4:G110,1),"")</f>
        <v/>
      </c>
      <c r="R110" s="0" t="str">
        <f aca="false">IF(CC_Mode="Per equipment",IFERROR(INDEX($B$4:$B$403,MATCH(107,$I$4:$I$403,0)),""),IF(CC_Mode="Per loop",IFERROR(INDEX($B$4:$B$403,MATCH(107,$H$4:$H$403,0)),""),IF(CC_Mode="Per unit",IFERROR("Chemical cleaning – "&amp;INDEX($K$4:$K$15,MATCH(107,$N$4:$N$15,0)),""),IF(107=1,"LUMP SUM – "&amp;QProject,""))))</f>
        <v/>
      </c>
      <c r="S110" s="0" t="str">
        <f aca="false">IF(CC_Mode="Per equipment",IFERROR(INDEX($C$4:$C$403,MATCH(107,$I$4:$I$403,0)),""),IF(CC_Mode="Per loop",IFERROR(INDEX($C$4:$C$403,MATCH(107,$H$4:$H$403,0)),""),IF(CC_Mode="Per unit",IFERROR(INDEX($K$4:$K$15,MATCH(107,$N$4:$N$15,0)),""),IF(107=1,"All units",""))))</f>
        <v/>
      </c>
      <c r="T110" s="0" t="str">
        <f aca="false">IF(CC_Mode="Per equipment",IFERROR(INDEX($D$4:$D$403,MATCH(107,$I$4:$I$403,0)),""),IF(CC_Mode="Per loop",IFERROR(INDEX($D$4:$D$403,MATCH(107,$H$4:$H$403,0)),""),IF(CC_Mode="Per unit",IFERROR(INDEX($M$4:$M$15,MATCH(107,$N$4:$N$15,0)),""),IF(107=1,CC_V_GrandVol,""))))</f>
        <v/>
      </c>
      <c r="U110" s="0" t="str">
        <f aca="false">IF(CC_Mode="Per equipment",IFERROR(INDEX($E$4:$E$403,MATCH(107,$I$4:$I$403,0)),""),IF(CC_Mode="Per loop",IFERROR(INDEX($E$4:$E$403,MATCH(107,$H$4:$H$403,0)),""),IF(CC_Mode="Per unit",IFERROR(INDEX($L$4:$L$15,MATCH(107,$N$4:$N$15,0)),""),IF(107=1,CC_Net,""))))</f>
        <v/>
      </c>
    </row>
    <row r="111" customFormat="false" ht="15" hidden="false" customHeight="false" outlineLevel="0" collapsed="false">
      <c r="A111" s="0" t="s">
        <v>172</v>
      </c>
      <c r="B111" s="0" t="str">
        <f aca="false">'CC Item Pricing'!C83&amp;IF('CC Item Pricing'!D83="",""," – "&amp;'CC Item Pricing'!D83)</f>
        <v/>
      </c>
      <c r="C111" s="0" t="str">
        <f aca="false">INDEX(CC_UnitNames,'CC Item Pricing'!Y83)</f>
        <v>Unit 3</v>
      </c>
      <c r="D111" s="0" t="n">
        <f aca="false">N('CC Item Pricing'!G83)</f>
        <v>0</v>
      </c>
      <c r="E111" s="98" t="n">
        <f aca="false">'CC Item Pricing'!W83</f>
        <v>0</v>
      </c>
      <c r="F111" s="96" t="n">
        <f aca="false">IF(AND(G111=1,'CC Item Pricing'!B83=""),1,0)</f>
        <v>0</v>
      </c>
      <c r="G111" s="96" t="n">
        <f aca="false">IF(D111&gt;0,1,0)</f>
        <v>0</v>
      </c>
      <c r="H111" s="0" t="str">
        <f aca="false">IF(F111=1,COUNTIF($F$4:F111,1),"")</f>
        <v/>
      </c>
      <c r="I111" s="0" t="str">
        <f aca="false">IF(G111=1,COUNTIF($G$4:G111,1),"")</f>
        <v/>
      </c>
      <c r="R111" s="0" t="str">
        <f aca="false">IF(CC_Mode="Per equipment",IFERROR(INDEX($B$4:$B$403,MATCH(108,$I$4:$I$403,0)),""),IF(CC_Mode="Per loop",IFERROR(INDEX($B$4:$B$403,MATCH(108,$H$4:$H$403,0)),""),IF(CC_Mode="Per unit",IFERROR("Chemical cleaning – "&amp;INDEX($K$4:$K$15,MATCH(108,$N$4:$N$15,0)),""),IF(108=1,"LUMP SUM – "&amp;QProject,""))))</f>
        <v/>
      </c>
      <c r="S111" s="0" t="str">
        <f aca="false">IF(CC_Mode="Per equipment",IFERROR(INDEX($C$4:$C$403,MATCH(108,$I$4:$I$403,0)),""),IF(CC_Mode="Per loop",IFERROR(INDEX($C$4:$C$403,MATCH(108,$H$4:$H$403,0)),""),IF(CC_Mode="Per unit",IFERROR(INDEX($K$4:$K$15,MATCH(108,$N$4:$N$15,0)),""),IF(108=1,"All units",""))))</f>
        <v/>
      </c>
      <c r="T111" s="0" t="str">
        <f aca="false">IF(CC_Mode="Per equipment",IFERROR(INDEX($D$4:$D$403,MATCH(108,$I$4:$I$403,0)),""),IF(CC_Mode="Per loop",IFERROR(INDEX($D$4:$D$403,MATCH(108,$H$4:$H$403,0)),""),IF(CC_Mode="Per unit",IFERROR(INDEX($M$4:$M$15,MATCH(108,$N$4:$N$15,0)),""),IF(108=1,CC_V_GrandVol,""))))</f>
        <v/>
      </c>
      <c r="U111" s="0" t="str">
        <f aca="false">IF(CC_Mode="Per equipment",IFERROR(INDEX($E$4:$E$403,MATCH(108,$I$4:$I$403,0)),""),IF(CC_Mode="Per loop",IFERROR(INDEX($E$4:$E$403,MATCH(108,$H$4:$H$403,0)),""),IF(CC_Mode="Per unit",IFERROR(INDEX($L$4:$L$15,MATCH(108,$N$4:$N$15,0)),""),IF(108=1,CC_Net,""))))</f>
        <v/>
      </c>
    </row>
    <row r="112" customFormat="false" ht="15" hidden="false" customHeight="false" outlineLevel="0" collapsed="false">
      <c r="A112" s="0" t="s">
        <v>172</v>
      </c>
      <c r="B112" s="0" t="str">
        <f aca="false">'CC Item Pricing'!C84&amp;IF('CC Item Pricing'!D84="",""," – "&amp;'CC Item Pricing'!D84)</f>
        <v/>
      </c>
      <c r="C112" s="0" t="str">
        <f aca="false">INDEX(CC_UnitNames,'CC Item Pricing'!Y84)</f>
        <v>Unit 3</v>
      </c>
      <c r="D112" s="0" t="n">
        <f aca="false">N('CC Item Pricing'!G84)</f>
        <v>0</v>
      </c>
      <c r="E112" s="98" t="n">
        <f aca="false">'CC Item Pricing'!W84</f>
        <v>0</v>
      </c>
      <c r="F112" s="96" t="n">
        <f aca="false">IF(AND(G112=1,'CC Item Pricing'!B84=""),1,0)</f>
        <v>0</v>
      </c>
      <c r="G112" s="96" t="n">
        <f aca="false">IF(D112&gt;0,1,0)</f>
        <v>0</v>
      </c>
      <c r="H112" s="0" t="str">
        <f aca="false">IF(F112=1,COUNTIF($F$4:F112,1),"")</f>
        <v/>
      </c>
      <c r="I112" s="0" t="str">
        <f aca="false">IF(G112=1,COUNTIF($G$4:G112,1),"")</f>
        <v/>
      </c>
      <c r="R112" s="0" t="str">
        <f aca="false">IF(CC_Mode="Per equipment",IFERROR(INDEX($B$4:$B$403,MATCH(109,$I$4:$I$403,0)),""),IF(CC_Mode="Per loop",IFERROR(INDEX($B$4:$B$403,MATCH(109,$H$4:$H$403,0)),""),IF(CC_Mode="Per unit",IFERROR("Chemical cleaning – "&amp;INDEX($K$4:$K$15,MATCH(109,$N$4:$N$15,0)),""),IF(109=1,"LUMP SUM – "&amp;QProject,""))))</f>
        <v/>
      </c>
      <c r="S112" s="0" t="str">
        <f aca="false">IF(CC_Mode="Per equipment",IFERROR(INDEX($C$4:$C$403,MATCH(109,$I$4:$I$403,0)),""),IF(CC_Mode="Per loop",IFERROR(INDEX($C$4:$C$403,MATCH(109,$H$4:$H$403,0)),""),IF(CC_Mode="Per unit",IFERROR(INDEX($K$4:$K$15,MATCH(109,$N$4:$N$15,0)),""),IF(109=1,"All units",""))))</f>
        <v/>
      </c>
      <c r="T112" s="0" t="str">
        <f aca="false">IF(CC_Mode="Per equipment",IFERROR(INDEX($D$4:$D$403,MATCH(109,$I$4:$I$403,0)),""),IF(CC_Mode="Per loop",IFERROR(INDEX($D$4:$D$403,MATCH(109,$H$4:$H$403,0)),""),IF(CC_Mode="Per unit",IFERROR(INDEX($M$4:$M$15,MATCH(109,$N$4:$N$15,0)),""),IF(109=1,CC_V_GrandVol,""))))</f>
        <v/>
      </c>
      <c r="U112" s="0" t="str">
        <f aca="false">IF(CC_Mode="Per equipment",IFERROR(INDEX($E$4:$E$403,MATCH(109,$I$4:$I$403,0)),""),IF(CC_Mode="Per loop",IFERROR(INDEX($E$4:$E$403,MATCH(109,$H$4:$H$403,0)),""),IF(CC_Mode="Per unit",IFERROR(INDEX($L$4:$L$15,MATCH(109,$N$4:$N$15,0)),""),IF(109=1,CC_Net,""))))</f>
        <v/>
      </c>
    </row>
    <row r="113" customFormat="false" ht="15" hidden="false" customHeight="false" outlineLevel="0" collapsed="false">
      <c r="A113" s="0" t="s">
        <v>172</v>
      </c>
      <c r="B113" s="0" t="str">
        <f aca="false">'CC Item Pricing'!C85&amp;IF('CC Item Pricing'!D85="",""," – "&amp;'CC Item Pricing'!D85)</f>
        <v/>
      </c>
      <c r="C113" s="0" t="str">
        <f aca="false">INDEX(CC_UnitNames,'CC Item Pricing'!Y85)</f>
        <v>Unit 3</v>
      </c>
      <c r="D113" s="0" t="n">
        <f aca="false">N('CC Item Pricing'!G85)</f>
        <v>0</v>
      </c>
      <c r="E113" s="98" t="n">
        <f aca="false">'CC Item Pricing'!W85</f>
        <v>0</v>
      </c>
      <c r="F113" s="96" t="n">
        <f aca="false">IF(AND(G113=1,'CC Item Pricing'!B85=""),1,0)</f>
        <v>0</v>
      </c>
      <c r="G113" s="96" t="n">
        <f aca="false">IF(D113&gt;0,1,0)</f>
        <v>0</v>
      </c>
      <c r="H113" s="0" t="str">
        <f aca="false">IF(F113=1,COUNTIF($F$4:F113,1),"")</f>
        <v/>
      </c>
      <c r="I113" s="0" t="str">
        <f aca="false">IF(G113=1,COUNTIF($G$4:G113,1),"")</f>
        <v/>
      </c>
      <c r="R113" s="0" t="str">
        <f aca="false">IF(CC_Mode="Per equipment",IFERROR(INDEX($B$4:$B$403,MATCH(110,$I$4:$I$403,0)),""),IF(CC_Mode="Per loop",IFERROR(INDEX($B$4:$B$403,MATCH(110,$H$4:$H$403,0)),""),IF(CC_Mode="Per unit",IFERROR("Chemical cleaning – "&amp;INDEX($K$4:$K$15,MATCH(110,$N$4:$N$15,0)),""),IF(110=1,"LUMP SUM – "&amp;QProject,""))))</f>
        <v/>
      </c>
      <c r="S113" s="0" t="str">
        <f aca="false">IF(CC_Mode="Per equipment",IFERROR(INDEX($C$4:$C$403,MATCH(110,$I$4:$I$403,0)),""),IF(CC_Mode="Per loop",IFERROR(INDEX($C$4:$C$403,MATCH(110,$H$4:$H$403,0)),""),IF(CC_Mode="Per unit",IFERROR(INDEX($K$4:$K$15,MATCH(110,$N$4:$N$15,0)),""),IF(110=1,"All units",""))))</f>
        <v/>
      </c>
      <c r="T113" s="0" t="str">
        <f aca="false">IF(CC_Mode="Per equipment",IFERROR(INDEX($D$4:$D$403,MATCH(110,$I$4:$I$403,0)),""),IF(CC_Mode="Per loop",IFERROR(INDEX($D$4:$D$403,MATCH(110,$H$4:$H$403,0)),""),IF(CC_Mode="Per unit",IFERROR(INDEX($M$4:$M$15,MATCH(110,$N$4:$N$15,0)),""),IF(110=1,CC_V_GrandVol,""))))</f>
        <v/>
      </c>
      <c r="U113" s="0" t="str">
        <f aca="false">IF(CC_Mode="Per equipment",IFERROR(INDEX($E$4:$E$403,MATCH(110,$I$4:$I$403,0)),""),IF(CC_Mode="Per loop",IFERROR(INDEX($E$4:$E$403,MATCH(110,$H$4:$H$403,0)),""),IF(CC_Mode="Per unit",IFERROR(INDEX($L$4:$L$15,MATCH(110,$N$4:$N$15,0)),""),IF(110=1,CC_Net,""))))</f>
        <v/>
      </c>
    </row>
    <row r="114" customFormat="false" ht="15" hidden="false" customHeight="false" outlineLevel="0" collapsed="false">
      <c r="A114" s="0" t="s">
        <v>172</v>
      </c>
      <c r="B114" s="0" t="str">
        <f aca="false">'CC Item Pricing'!C86&amp;IF('CC Item Pricing'!D86="",""," – "&amp;'CC Item Pricing'!D86)</f>
        <v/>
      </c>
      <c r="C114" s="0" t="str">
        <f aca="false">INDEX(CC_UnitNames,'CC Item Pricing'!Y86)</f>
        <v>Unit 3</v>
      </c>
      <c r="D114" s="0" t="n">
        <f aca="false">N('CC Item Pricing'!G86)</f>
        <v>0</v>
      </c>
      <c r="E114" s="98" t="n">
        <f aca="false">'CC Item Pricing'!W86</f>
        <v>0</v>
      </c>
      <c r="F114" s="96" t="n">
        <f aca="false">IF(AND(G114=1,'CC Item Pricing'!B86=""),1,0)</f>
        <v>0</v>
      </c>
      <c r="G114" s="96" t="n">
        <f aca="false">IF(D114&gt;0,1,0)</f>
        <v>0</v>
      </c>
      <c r="H114" s="0" t="str">
        <f aca="false">IF(F114=1,COUNTIF($F$4:F114,1),"")</f>
        <v/>
      </c>
      <c r="I114" s="0" t="str">
        <f aca="false">IF(G114=1,COUNTIF($G$4:G114,1),"")</f>
        <v/>
      </c>
      <c r="R114" s="0" t="str">
        <f aca="false">IF(CC_Mode="Per equipment",IFERROR(INDEX($B$4:$B$403,MATCH(111,$I$4:$I$403,0)),""),IF(CC_Mode="Per loop",IFERROR(INDEX($B$4:$B$403,MATCH(111,$H$4:$H$403,0)),""),IF(CC_Mode="Per unit",IFERROR("Chemical cleaning – "&amp;INDEX($K$4:$K$15,MATCH(111,$N$4:$N$15,0)),""),IF(111=1,"LUMP SUM – "&amp;QProject,""))))</f>
        <v/>
      </c>
      <c r="S114" s="0" t="str">
        <f aca="false">IF(CC_Mode="Per equipment",IFERROR(INDEX($C$4:$C$403,MATCH(111,$I$4:$I$403,0)),""),IF(CC_Mode="Per loop",IFERROR(INDEX($C$4:$C$403,MATCH(111,$H$4:$H$403,0)),""),IF(CC_Mode="Per unit",IFERROR(INDEX($K$4:$K$15,MATCH(111,$N$4:$N$15,0)),""),IF(111=1,"All units",""))))</f>
        <v/>
      </c>
      <c r="T114" s="0" t="str">
        <f aca="false">IF(CC_Mode="Per equipment",IFERROR(INDEX($D$4:$D$403,MATCH(111,$I$4:$I$403,0)),""),IF(CC_Mode="Per loop",IFERROR(INDEX($D$4:$D$403,MATCH(111,$H$4:$H$403,0)),""),IF(CC_Mode="Per unit",IFERROR(INDEX($M$4:$M$15,MATCH(111,$N$4:$N$15,0)),""),IF(111=1,CC_V_GrandVol,""))))</f>
        <v/>
      </c>
      <c r="U114" s="0" t="str">
        <f aca="false">IF(CC_Mode="Per equipment",IFERROR(INDEX($E$4:$E$403,MATCH(111,$I$4:$I$403,0)),""),IF(CC_Mode="Per loop",IFERROR(INDEX($E$4:$E$403,MATCH(111,$H$4:$H$403,0)),""),IF(CC_Mode="Per unit",IFERROR(INDEX($L$4:$L$15,MATCH(111,$N$4:$N$15,0)),""),IF(111=1,CC_Net,""))))</f>
        <v/>
      </c>
    </row>
    <row r="115" customFormat="false" ht="15" hidden="false" customHeight="false" outlineLevel="0" collapsed="false">
      <c r="A115" s="0" t="s">
        <v>172</v>
      </c>
      <c r="B115" s="0" t="str">
        <f aca="false">'CC Item Pricing'!C87&amp;IF('CC Item Pricing'!D87="",""," – "&amp;'CC Item Pricing'!D87)</f>
        <v/>
      </c>
      <c r="C115" s="0" t="str">
        <f aca="false">INDEX(CC_UnitNames,'CC Item Pricing'!Y87)</f>
        <v>Unit 3</v>
      </c>
      <c r="D115" s="0" t="n">
        <f aca="false">N('CC Item Pricing'!G87)</f>
        <v>0</v>
      </c>
      <c r="E115" s="98" t="n">
        <f aca="false">'CC Item Pricing'!W87</f>
        <v>0</v>
      </c>
      <c r="F115" s="96" t="n">
        <f aca="false">IF(AND(G115=1,'CC Item Pricing'!B87=""),1,0)</f>
        <v>0</v>
      </c>
      <c r="G115" s="96" t="n">
        <f aca="false">IF(D115&gt;0,1,0)</f>
        <v>0</v>
      </c>
      <c r="H115" s="0" t="str">
        <f aca="false">IF(F115=1,COUNTIF($F$4:F115,1),"")</f>
        <v/>
      </c>
      <c r="I115" s="0" t="str">
        <f aca="false">IF(G115=1,COUNTIF($G$4:G115,1),"")</f>
        <v/>
      </c>
      <c r="R115" s="0" t="str">
        <f aca="false">IF(CC_Mode="Per equipment",IFERROR(INDEX($B$4:$B$403,MATCH(112,$I$4:$I$403,0)),""),IF(CC_Mode="Per loop",IFERROR(INDEX($B$4:$B$403,MATCH(112,$H$4:$H$403,0)),""),IF(CC_Mode="Per unit",IFERROR("Chemical cleaning – "&amp;INDEX($K$4:$K$15,MATCH(112,$N$4:$N$15,0)),""),IF(112=1,"LUMP SUM – "&amp;QProject,""))))</f>
        <v/>
      </c>
      <c r="S115" s="0" t="str">
        <f aca="false">IF(CC_Mode="Per equipment",IFERROR(INDEX($C$4:$C$403,MATCH(112,$I$4:$I$403,0)),""),IF(CC_Mode="Per loop",IFERROR(INDEX($C$4:$C$403,MATCH(112,$H$4:$H$403,0)),""),IF(CC_Mode="Per unit",IFERROR(INDEX($K$4:$K$15,MATCH(112,$N$4:$N$15,0)),""),IF(112=1,"All units",""))))</f>
        <v/>
      </c>
      <c r="T115" s="0" t="str">
        <f aca="false">IF(CC_Mode="Per equipment",IFERROR(INDEX($D$4:$D$403,MATCH(112,$I$4:$I$403,0)),""),IF(CC_Mode="Per loop",IFERROR(INDEX($D$4:$D$403,MATCH(112,$H$4:$H$403,0)),""),IF(CC_Mode="Per unit",IFERROR(INDEX($M$4:$M$15,MATCH(112,$N$4:$N$15,0)),""),IF(112=1,CC_V_GrandVol,""))))</f>
        <v/>
      </c>
      <c r="U115" s="0" t="str">
        <f aca="false">IF(CC_Mode="Per equipment",IFERROR(INDEX($E$4:$E$403,MATCH(112,$I$4:$I$403,0)),""),IF(CC_Mode="Per loop",IFERROR(INDEX($E$4:$E$403,MATCH(112,$H$4:$H$403,0)),""),IF(CC_Mode="Per unit",IFERROR(INDEX($L$4:$L$15,MATCH(112,$N$4:$N$15,0)),""),IF(112=1,CC_Net,""))))</f>
        <v/>
      </c>
    </row>
    <row r="116" customFormat="false" ht="15" hidden="false" customHeight="false" outlineLevel="0" collapsed="false">
      <c r="A116" s="0" t="s">
        <v>172</v>
      </c>
      <c r="B116" s="0" t="str">
        <f aca="false">'CC Item Pricing'!C88&amp;IF('CC Item Pricing'!D88="",""," – "&amp;'CC Item Pricing'!D88)</f>
        <v/>
      </c>
      <c r="C116" s="0" t="str">
        <f aca="false">INDEX(CC_UnitNames,'CC Item Pricing'!Y88)</f>
        <v>Unit 3</v>
      </c>
      <c r="D116" s="0" t="n">
        <f aca="false">N('CC Item Pricing'!G88)</f>
        <v>0</v>
      </c>
      <c r="E116" s="98" t="n">
        <f aca="false">'CC Item Pricing'!W88</f>
        <v>0</v>
      </c>
      <c r="F116" s="96" t="n">
        <f aca="false">IF(AND(G116=1,'CC Item Pricing'!B88=""),1,0)</f>
        <v>0</v>
      </c>
      <c r="G116" s="96" t="n">
        <f aca="false">IF(D116&gt;0,1,0)</f>
        <v>0</v>
      </c>
      <c r="H116" s="0" t="str">
        <f aca="false">IF(F116=1,COUNTIF($F$4:F116,1),"")</f>
        <v/>
      </c>
      <c r="I116" s="0" t="str">
        <f aca="false">IF(G116=1,COUNTIF($G$4:G116,1),"")</f>
        <v/>
      </c>
      <c r="R116" s="0" t="str">
        <f aca="false">IF(CC_Mode="Per equipment",IFERROR(INDEX($B$4:$B$403,MATCH(113,$I$4:$I$403,0)),""),IF(CC_Mode="Per loop",IFERROR(INDEX($B$4:$B$403,MATCH(113,$H$4:$H$403,0)),""),IF(CC_Mode="Per unit",IFERROR("Chemical cleaning – "&amp;INDEX($K$4:$K$15,MATCH(113,$N$4:$N$15,0)),""),IF(113=1,"LUMP SUM – "&amp;QProject,""))))</f>
        <v/>
      </c>
      <c r="S116" s="0" t="str">
        <f aca="false">IF(CC_Mode="Per equipment",IFERROR(INDEX($C$4:$C$403,MATCH(113,$I$4:$I$403,0)),""),IF(CC_Mode="Per loop",IFERROR(INDEX($C$4:$C$403,MATCH(113,$H$4:$H$403,0)),""),IF(CC_Mode="Per unit",IFERROR(INDEX($K$4:$K$15,MATCH(113,$N$4:$N$15,0)),""),IF(113=1,"All units",""))))</f>
        <v/>
      </c>
      <c r="T116" s="0" t="str">
        <f aca="false">IF(CC_Mode="Per equipment",IFERROR(INDEX($D$4:$D$403,MATCH(113,$I$4:$I$403,0)),""),IF(CC_Mode="Per loop",IFERROR(INDEX($D$4:$D$403,MATCH(113,$H$4:$H$403,0)),""),IF(CC_Mode="Per unit",IFERROR(INDEX($M$4:$M$15,MATCH(113,$N$4:$N$15,0)),""),IF(113=1,CC_V_GrandVol,""))))</f>
        <v/>
      </c>
      <c r="U116" s="0" t="str">
        <f aca="false">IF(CC_Mode="Per equipment",IFERROR(INDEX($E$4:$E$403,MATCH(113,$I$4:$I$403,0)),""),IF(CC_Mode="Per loop",IFERROR(INDEX($E$4:$E$403,MATCH(113,$H$4:$H$403,0)),""),IF(CC_Mode="Per unit",IFERROR(INDEX($L$4:$L$15,MATCH(113,$N$4:$N$15,0)),""),IF(113=1,CC_Net,""))))</f>
        <v/>
      </c>
    </row>
    <row r="117" customFormat="false" ht="15" hidden="false" customHeight="false" outlineLevel="0" collapsed="false">
      <c r="A117" s="0" t="s">
        <v>172</v>
      </c>
      <c r="B117" s="0" t="str">
        <f aca="false">'CC Item Pricing'!C89&amp;IF('CC Item Pricing'!D89="",""," – "&amp;'CC Item Pricing'!D89)</f>
        <v/>
      </c>
      <c r="C117" s="0" t="str">
        <f aca="false">INDEX(CC_UnitNames,'CC Item Pricing'!Y89)</f>
        <v>Unit 3</v>
      </c>
      <c r="D117" s="0" t="n">
        <f aca="false">N('CC Item Pricing'!G89)</f>
        <v>0</v>
      </c>
      <c r="E117" s="98" t="n">
        <f aca="false">'CC Item Pricing'!W89</f>
        <v>0</v>
      </c>
      <c r="F117" s="96" t="n">
        <f aca="false">IF(AND(G117=1,'CC Item Pricing'!B89=""),1,0)</f>
        <v>0</v>
      </c>
      <c r="G117" s="96" t="n">
        <f aca="false">IF(D117&gt;0,1,0)</f>
        <v>0</v>
      </c>
      <c r="H117" s="0" t="str">
        <f aca="false">IF(F117=1,COUNTIF($F$4:F117,1),"")</f>
        <v/>
      </c>
      <c r="I117" s="0" t="str">
        <f aca="false">IF(G117=1,COUNTIF($G$4:G117,1),"")</f>
        <v/>
      </c>
      <c r="R117" s="0" t="str">
        <f aca="false">IF(CC_Mode="Per equipment",IFERROR(INDEX($B$4:$B$403,MATCH(114,$I$4:$I$403,0)),""),IF(CC_Mode="Per loop",IFERROR(INDEX($B$4:$B$403,MATCH(114,$H$4:$H$403,0)),""),IF(CC_Mode="Per unit",IFERROR("Chemical cleaning – "&amp;INDEX($K$4:$K$15,MATCH(114,$N$4:$N$15,0)),""),IF(114=1,"LUMP SUM – "&amp;QProject,""))))</f>
        <v/>
      </c>
      <c r="S117" s="0" t="str">
        <f aca="false">IF(CC_Mode="Per equipment",IFERROR(INDEX($C$4:$C$403,MATCH(114,$I$4:$I$403,0)),""),IF(CC_Mode="Per loop",IFERROR(INDEX($C$4:$C$403,MATCH(114,$H$4:$H$403,0)),""),IF(CC_Mode="Per unit",IFERROR(INDEX($K$4:$K$15,MATCH(114,$N$4:$N$15,0)),""),IF(114=1,"All units",""))))</f>
        <v/>
      </c>
      <c r="T117" s="0" t="str">
        <f aca="false">IF(CC_Mode="Per equipment",IFERROR(INDEX($D$4:$D$403,MATCH(114,$I$4:$I$403,0)),""),IF(CC_Mode="Per loop",IFERROR(INDEX($D$4:$D$403,MATCH(114,$H$4:$H$403,0)),""),IF(CC_Mode="Per unit",IFERROR(INDEX($M$4:$M$15,MATCH(114,$N$4:$N$15,0)),""),IF(114=1,CC_V_GrandVol,""))))</f>
        <v/>
      </c>
      <c r="U117" s="0" t="str">
        <f aca="false">IF(CC_Mode="Per equipment",IFERROR(INDEX($E$4:$E$403,MATCH(114,$I$4:$I$403,0)),""),IF(CC_Mode="Per loop",IFERROR(INDEX($E$4:$E$403,MATCH(114,$H$4:$H$403,0)),""),IF(CC_Mode="Per unit",IFERROR(INDEX($L$4:$L$15,MATCH(114,$N$4:$N$15,0)),""),IF(114=1,CC_Net,""))))</f>
        <v/>
      </c>
    </row>
    <row r="118" customFormat="false" ht="15" hidden="false" customHeight="false" outlineLevel="0" collapsed="false">
      <c r="A118" s="0" t="s">
        <v>172</v>
      </c>
      <c r="B118" s="0" t="str">
        <f aca="false">'CC Item Pricing'!C90&amp;IF('CC Item Pricing'!D90="",""," – "&amp;'CC Item Pricing'!D90)</f>
        <v/>
      </c>
      <c r="C118" s="0" t="str">
        <f aca="false">INDEX(CC_UnitNames,'CC Item Pricing'!Y90)</f>
        <v>Unit 3</v>
      </c>
      <c r="D118" s="0" t="n">
        <f aca="false">N('CC Item Pricing'!G90)</f>
        <v>0</v>
      </c>
      <c r="E118" s="98" t="n">
        <f aca="false">'CC Item Pricing'!W90</f>
        <v>0</v>
      </c>
      <c r="F118" s="96" t="n">
        <f aca="false">IF(AND(G118=1,'CC Item Pricing'!B90=""),1,0)</f>
        <v>0</v>
      </c>
      <c r="G118" s="96" t="n">
        <f aca="false">IF(D118&gt;0,1,0)</f>
        <v>0</v>
      </c>
      <c r="H118" s="0" t="str">
        <f aca="false">IF(F118=1,COUNTIF($F$4:F118,1),"")</f>
        <v/>
      </c>
      <c r="I118" s="0" t="str">
        <f aca="false">IF(G118=1,COUNTIF($G$4:G118,1),"")</f>
        <v/>
      </c>
      <c r="R118" s="0" t="str">
        <f aca="false">IF(CC_Mode="Per equipment",IFERROR(INDEX($B$4:$B$403,MATCH(115,$I$4:$I$403,0)),""),IF(CC_Mode="Per loop",IFERROR(INDEX($B$4:$B$403,MATCH(115,$H$4:$H$403,0)),""),IF(CC_Mode="Per unit",IFERROR("Chemical cleaning – "&amp;INDEX($K$4:$K$15,MATCH(115,$N$4:$N$15,0)),""),IF(115=1,"LUMP SUM – "&amp;QProject,""))))</f>
        <v/>
      </c>
      <c r="S118" s="0" t="str">
        <f aca="false">IF(CC_Mode="Per equipment",IFERROR(INDEX($C$4:$C$403,MATCH(115,$I$4:$I$403,0)),""),IF(CC_Mode="Per loop",IFERROR(INDEX($C$4:$C$403,MATCH(115,$H$4:$H$403,0)),""),IF(CC_Mode="Per unit",IFERROR(INDEX($K$4:$K$15,MATCH(115,$N$4:$N$15,0)),""),IF(115=1,"All units",""))))</f>
        <v/>
      </c>
      <c r="T118" s="0" t="str">
        <f aca="false">IF(CC_Mode="Per equipment",IFERROR(INDEX($D$4:$D$403,MATCH(115,$I$4:$I$403,0)),""),IF(CC_Mode="Per loop",IFERROR(INDEX($D$4:$D$403,MATCH(115,$H$4:$H$403,0)),""),IF(CC_Mode="Per unit",IFERROR(INDEX($M$4:$M$15,MATCH(115,$N$4:$N$15,0)),""),IF(115=1,CC_V_GrandVol,""))))</f>
        <v/>
      </c>
      <c r="U118" s="0" t="str">
        <f aca="false">IF(CC_Mode="Per equipment",IFERROR(INDEX($E$4:$E$403,MATCH(115,$I$4:$I$403,0)),""),IF(CC_Mode="Per loop",IFERROR(INDEX($E$4:$E$403,MATCH(115,$H$4:$H$403,0)),""),IF(CC_Mode="Per unit",IFERROR(INDEX($L$4:$L$15,MATCH(115,$N$4:$N$15,0)),""),IF(115=1,CC_Net,""))))</f>
        <v/>
      </c>
    </row>
    <row r="119" customFormat="false" ht="15" hidden="false" customHeight="false" outlineLevel="0" collapsed="false">
      <c r="A119" s="0" t="s">
        <v>172</v>
      </c>
      <c r="B119" s="0" t="str">
        <f aca="false">'CC Item Pricing'!C91&amp;IF('CC Item Pricing'!D91="",""," – "&amp;'CC Item Pricing'!D91)</f>
        <v/>
      </c>
      <c r="C119" s="0" t="str">
        <f aca="false">INDEX(CC_UnitNames,'CC Item Pricing'!Y91)</f>
        <v>Unit 3</v>
      </c>
      <c r="D119" s="0" t="n">
        <f aca="false">N('CC Item Pricing'!G91)</f>
        <v>0</v>
      </c>
      <c r="E119" s="98" t="n">
        <f aca="false">'CC Item Pricing'!W91</f>
        <v>0</v>
      </c>
      <c r="F119" s="96" t="n">
        <f aca="false">IF(AND(G119=1,'CC Item Pricing'!B91=""),1,0)</f>
        <v>0</v>
      </c>
      <c r="G119" s="96" t="n">
        <f aca="false">IF(D119&gt;0,1,0)</f>
        <v>0</v>
      </c>
      <c r="H119" s="0" t="str">
        <f aca="false">IF(F119=1,COUNTIF($F$4:F119,1),"")</f>
        <v/>
      </c>
      <c r="I119" s="0" t="str">
        <f aca="false">IF(G119=1,COUNTIF($G$4:G119,1),"")</f>
        <v/>
      </c>
      <c r="R119" s="0" t="str">
        <f aca="false">IF(CC_Mode="Per equipment",IFERROR(INDEX($B$4:$B$403,MATCH(116,$I$4:$I$403,0)),""),IF(CC_Mode="Per loop",IFERROR(INDEX($B$4:$B$403,MATCH(116,$H$4:$H$403,0)),""),IF(CC_Mode="Per unit",IFERROR("Chemical cleaning – "&amp;INDEX($K$4:$K$15,MATCH(116,$N$4:$N$15,0)),""),IF(116=1,"LUMP SUM – "&amp;QProject,""))))</f>
        <v/>
      </c>
      <c r="S119" s="0" t="str">
        <f aca="false">IF(CC_Mode="Per equipment",IFERROR(INDEX($C$4:$C$403,MATCH(116,$I$4:$I$403,0)),""),IF(CC_Mode="Per loop",IFERROR(INDEX($C$4:$C$403,MATCH(116,$H$4:$H$403,0)),""),IF(CC_Mode="Per unit",IFERROR(INDEX($K$4:$K$15,MATCH(116,$N$4:$N$15,0)),""),IF(116=1,"All units",""))))</f>
        <v/>
      </c>
      <c r="T119" s="0" t="str">
        <f aca="false">IF(CC_Mode="Per equipment",IFERROR(INDEX($D$4:$D$403,MATCH(116,$I$4:$I$403,0)),""),IF(CC_Mode="Per loop",IFERROR(INDEX($D$4:$D$403,MATCH(116,$H$4:$H$403,0)),""),IF(CC_Mode="Per unit",IFERROR(INDEX($M$4:$M$15,MATCH(116,$N$4:$N$15,0)),""),IF(116=1,CC_V_GrandVol,""))))</f>
        <v/>
      </c>
      <c r="U119" s="0" t="str">
        <f aca="false">IF(CC_Mode="Per equipment",IFERROR(INDEX($E$4:$E$403,MATCH(116,$I$4:$I$403,0)),""),IF(CC_Mode="Per loop",IFERROR(INDEX($E$4:$E$403,MATCH(116,$H$4:$H$403,0)),""),IF(CC_Mode="Per unit",IFERROR(INDEX($L$4:$L$15,MATCH(116,$N$4:$N$15,0)),""),IF(116=1,CC_Net,""))))</f>
        <v/>
      </c>
    </row>
    <row r="120" customFormat="false" ht="15" hidden="false" customHeight="false" outlineLevel="0" collapsed="false">
      <c r="A120" s="0" t="s">
        <v>172</v>
      </c>
      <c r="B120" s="0" t="str">
        <f aca="false">'CC Item Pricing'!C92&amp;IF('CC Item Pricing'!D92="",""," – "&amp;'CC Item Pricing'!D92)</f>
        <v/>
      </c>
      <c r="C120" s="0" t="str">
        <f aca="false">INDEX(CC_UnitNames,'CC Item Pricing'!Y92)</f>
        <v>Unit 3</v>
      </c>
      <c r="D120" s="0" t="n">
        <f aca="false">N('CC Item Pricing'!G92)</f>
        <v>0</v>
      </c>
      <c r="E120" s="98" t="n">
        <f aca="false">'CC Item Pricing'!W92</f>
        <v>0</v>
      </c>
      <c r="F120" s="96" t="n">
        <f aca="false">IF(AND(G120=1,'CC Item Pricing'!B92=""),1,0)</f>
        <v>0</v>
      </c>
      <c r="G120" s="96" t="n">
        <f aca="false">IF(D120&gt;0,1,0)</f>
        <v>0</v>
      </c>
      <c r="H120" s="0" t="str">
        <f aca="false">IF(F120=1,COUNTIF($F$4:F120,1),"")</f>
        <v/>
      </c>
      <c r="I120" s="0" t="str">
        <f aca="false">IF(G120=1,COUNTIF($G$4:G120,1),"")</f>
        <v/>
      </c>
      <c r="R120" s="0" t="str">
        <f aca="false">IF(CC_Mode="Per equipment",IFERROR(INDEX($B$4:$B$403,MATCH(117,$I$4:$I$403,0)),""),IF(CC_Mode="Per loop",IFERROR(INDEX($B$4:$B$403,MATCH(117,$H$4:$H$403,0)),""),IF(CC_Mode="Per unit",IFERROR("Chemical cleaning – "&amp;INDEX($K$4:$K$15,MATCH(117,$N$4:$N$15,0)),""),IF(117=1,"LUMP SUM – "&amp;QProject,""))))</f>
        <v/>
      </c>
      <c r="S120" s="0" t="str">
        <f aca="false">IF(CC_Mode="Per equipment",IFERROR(INDEX($C$4:$C$403,MATCH(117,$I$4:$I$403,0)),""),IF(CC_Mode="Per loop",IFERROR(INDEX($C$4:$C$403,MATCH(117,$H$4:$H$403,0)),""),IF(CC_Mode="Per unit",IFERROR(INDEX($K$4:$K$15,MATCH(117,$N$4:$N$15,0)),""),IF(117=1,"All units",""))))</f>
        <v/>
      </c>
      <c r="T120" s="0" t="str">
        <f aca="false">IF(CC_Mode="Per equipment",IFERROR(INDEX($D$4:$D$403,MATCH(117,$I$4:$I$403,0)),""),IF(CC_Mode="Per loop",IFERROR(INDEX($D$4:$D$403,MATCH(117,$H$4:$H$403,0)),""),IF(CC_Mode="Per unit",IFERROR(INDEX($M$4:$M$15,MATCH(117,$N$4:$N$15,0)),""),IF(117=1,CC_V_GrandVol,""))))</f>
        <v/>
      </c>
      <c r="U120" s="0" t="str">
        <f aca="false">IF(CC_Mode="Per equipment",IFERROR(INDEX($E$4:$E$403,MATCH(117,$I$4:$I$403,0)),""),IF(CC_Mode="Per loop",IFERROR(INDEX($E$4:$E$403,MATCH(117,$H$4:$H$403,0)),""),IF(CC_Mode="Per unit",IFERROR(INDEX($L$4:$L$15,MATCH(117,$N$4:$N$15,0)),""),IF(117=1,CC_Net,""))))</f>
        <v/>
      </c>
    </row>
    <row r="121" customFormat="false" ht="15" hidden="false" customHeight="false" outlineLevel="0" collapsed="false">
      <c r="A121" s="0" t="s">
        <v>172</v>
      </c>
      <c r="B121" s="0" t="str">
        <f aca="false">'CC Item Pricing'!C93&amp;IF('CC Item Pricing'!D93="",""," – "&amp;'CC Item Pricing'!D93)</f>
        <v/>
      </c>
      <c r="C121" s="0" t="str">
        <f aca="false">INDEX(CC_UnitNames,'CC Item Pricing'!Y93)</f>
        <v>Unit 3</v>
      </c>
      <c r="D121" s="0" t="n">
        <f aca="false">N('CC Item Pricing'!G93)</f>
        <v>0</v>
      </c>
      <c r="E121" s="98" t="n">
        <f aca="false">'CC Item Pricing'!W93</f>
        <v>0</v>
      </c>
      <c r="F121" s="96" t="n">
        <f aca="false">IF(AND(G121=1,'CC Item Pricing'!B93=""),1,0)</f>
        <v>0</v>
      </c>
      <c r="G121" s="96" t="n">
        <f aca="false">IF(D121&gt;0,1,0)</f>
        <v>0</v>
      </c>
      <c r="H121" s="0" t="str">
        <f aca="false">IF(F121=1,COUNTIF($F$4:F121,1),"")</f>
        <v/>
      </c>
      <c r="I121" s="0" t="str">
        <f aca="false">IF(G121=1,COUNTIF($G$4:G121,1),"")</f>
        <v/>
      </c>
      <c r="R121" s="0" t="str">
        <f aca="false">IF(CC_Mode="Per equipment",IFERROR(INDEX($B$4:$B$403,MATCH(118,$I$4:$I$403,0)),""),IF(CC_Mode="Per loop",IFERROR(INDEX($B$4:$B$403,MATCH(118,$H$4:$H$403,0)),""),IF(CC_Mode="Per unit",IFERROR("Chemical cleaning – "&amp;INDEX($K$4:$K$15,MATCH(118,$N$4:$N$15,0)),""),IF(118=1,"LUMP SUM – "&amp;QProject,""))))</f>
        <v/>
      </c>
      <c r="S121" s="0" t="str">
        <f aca="false">IF(CC_Mode="Per equipment",IFERROR(INDEX($C$4:$C$403,MATCH(118,$I$4:$I$403,0)),""),IF(CC_Mode="Per loop",IFERROR(INDEX($C$4:$C$403,MATCH(118,$H$4:$H$403,0)),""),IF(CC_Mode="Per unit",IFERROR(INDEX($K$4:$K$15,MATCH(118,$N$4:$N$15,0)),""),IF(118=1,"All units",""))))</f>
        <v/>
      </c>
      <c r="T121" s="0" t="str">
        <f aca="false">IF(CC_Mode="Per equipment",IFERROR(INDEX($D$4:$D$403,MATCH(118,$I$4:$I$403,0)),""),IF(CC_Mode="Per loop",IFERROR(INDEX($D$4:$D$403,MATCH(118,$H$4:$H$403,0)),""),IF(CC_Mode="Per unit",IFERROR(INDEX($M$4:$M$15,MATCH(118,$N$4:$N$15,0)),""),IF(118=1,CC_V_GrandVol,""))))</f>
        <v/>
      </c>
      <c r="U121" s="0" t="str">
        <f aca="false">IF(CC_Mode="Per equipment",IFERROR(INDEX($E$4:$E$403,MATCH(118,$I$4:$I$403,0)),""),IF(CC_Mode="Per loop",IFERROR(INDEX($E$4:$E$403,MATCH(118,$H$4:$H$403,0)),""),IF(CC_Mode="Per unit",IFERROR(INDEX($L$4:$L$15,MATCH(118,$N$4:$N$15,0)),""),IF(118=1,CC_Net,""))))</f>
        <v/>
      </c>
    </row>
    <row r="122" customFormat="false" ht="15" hidden="false" customHeight="false" outlineLevel="0" collapsed="false">
      <c r="A122" s="0" t="s">
        <v>172</v>
      </c>
      <c r="B122" s="0" t="str">
        <f aca="false">'CC Item Pricing'!C94&amp;IF('CC Item Pricing'!D94="",""," – "&amp;'CC Item Pricing'!D94)</f>
        <v/>
      </c>
      <c r="C122" s="0" t="str">
        <f aca="false">INDEX(CC_UnitNames,'CC Item Pricing'!Y94)</f>
        <v>Unit 3</v>
      </c>
      <c r="D122" s="0" t="n">
        <f aca="false">N('CC Item Pricing'!G94)</f>
        <v>0</v>
      </c>
      <c r="E122" s="98" t="n">
        <f aca="false">'CC Item Pricing'!W94</f>
        <v>0</v>
      </c>
      <c r="F122" s="96" t="n">
        <f aca="false">IF(AND(G122=1,'CC Item Pricing'!B94=""),1,0)</f>
        <v>0</v>
      </c>
      <c r="G122" s="96" t="n">
        <f aca="false">IF(D122&gt;0,1,0)</f>
        <v>0</v>
      </c>
      <c r="H122" s="0" t="str">
        <f aca="false">IF(F122=1,COUNTIF($F$4:F122,1),"")</f>
        <v/>
      </c>
      <c r="I122" s="0" t="str">
        <f aca="false">IF(G122=1,COUNTIF($G$4:G122,1),"")</f>
        <v/>
      </c>
      <c r="R122" s="0" t="str">
        <f aca="false">IF(CC_Mode="Per equipment",IFERROR(INDEX($B$4:$B$403,MATCH(119,$I$4:$I$403,0)),""),IF(CC_Mode="Per loop",IFERROR(INDEX($B$4:$B$403,MATCH(119,$H$4:$H$403,0)),""),IF(CC_Mode="Per unit",IFERROR("Chemical cleaning – "&amp;INDEX($K$4:$K$15,MATCH(119,$N$4:$N$15,0)),""),IF(119=1,"LUMP SUM – "&amp;QProject,""))))</f>
        <v/>
      </c>
      <c r="S122" s="0" t="str">
        <f aca="false">IF(CC_Mode="Per equipment",IFERROR(INDEX($C$4:$C$403,MATCH(119,$I$4:$I$403,0)),""),IF(CC_Mode="Per loop",IFERROR(INDEX($C$4:$C$403,MATCH(119,$H$4:$H$403,0)),""),IF(CC_Mode="Per unit",IFERROR(INDEX($K$4:$K$15,MATCH(119,$N$4:$N$15,0)),""),IF(119=1,"All units",""))))</f>
        <v/>
      </c>
      <c r="T122" s="0" t="str">
        <f aca="false">IF(CC_Mode="Per equipment",IFERROR(INDEX($D$4:$D$403,MATCH(119,$I$4:$I$403,0)),""),IF(CC_Mode="Per loop",IFERROR(INDEX($D$4:$D$403,MATCH(119,$H$4:$H$403,0)),""),IF(CC_Mode="Per unit",IFERROR(INDEX($M$4:$M$15,MATCH(119,$N$4:$N$15,0)),""),IF(119=1,CC_V_GrandVol,""))))</f>
        <v/>
      </c>
      <c r="U122" s="0" t="str">
        <f aca="false">IF(CC_Mode="Per equipment",IFERROR(INDEX($E$4:$E$403,MATCH(119,$I$4:$I$403,0)),""),IF(CC_Mode="Per loop",IFERROR(INDEX($E$4:$E$403,MATCH(119,$H$4:$H$403,0)),""),IF(CC_Mode="Per unit",IFERROR(INDEX($L$4:$L$15,MATCH(119,$N$4:$N$15,0)),""),IF(119=1,CC_Net,""))))</f>
        <v/>
      </c>
    </row>
    <row r="123" customFormat="false" ht="15" hidden="false" customHeight="false" outlineLevel="0" collapsed="false">
      <c r="A123" s="0" t="s">
        <v>172</v>
      </c>
      <c r="B123" s="0" t="str">
        <f aca="false">'CC Item Pricing'!C95&amp;IF('CC Item Pricing'!D95="",""," – "&amp;'CC Item Pricing'!D95)</f>
        <v/>
      </c>
      <c r="C123" s="0" t="str">
        <f aca="false">INDEX(CC_UnitNames,'CC Item Pricing'!Y95)</f>
        <v>Unit 3</v>
      </c>
      <c r="D123" s="0" t="n">
        <f aca="false">N('CC Item Pricing'!G95)</f>
        <v>0</v>
      </c>
      <c r="E123" s="98" t="n">
        <f aca="false">'CC Item Pricing'!W95</f>
        <v>0</v>
      </c>
      <c r="F123" s="96" t="n">
        <f aca="false">IF(AND(G123=1,'CC Item Pricing'!B95=""),1,0)</f>
        <v>0</v>
      </c>
      <c r="G123" s="96" t="n">
        <f aca="false">IF(D123&gt;0,1,0)</f>
        <v>0</v>
      </c>
      <c r="H123" s="0" t="str">
        <f aca="false">IF(F123=1,COUNTIF($F$4:F123,1),"")</f>
        <v/>
      </c>
      <c r="I123" s="0" t="str">
        <f aca="false">IF(G123=1,COUNTIF($G$4:G123,1),"")</f>
        <v/>
      </c>
      <c r="R123" s="0" t="str">
        <f aca="false">IF(CC_Mode="Per equipment",IFERROR(INDEX($B$4:$B$403,MATCH(120,$I$4:$I$403,0)),""),IF(CC_Mode="Per loop",IFERROR(INDEX($B$4:$B$403,MATCH(120,$H$4:$H$403,0)),""),IF(CC_Mode="Per unit",IFERROR("Chemical cleaning – "&amp;INDEX($K$4:$K$15,MATCH(120,$N$4:$N$15,0)),""),IF(120=1,"LUMP SUM – "&amp;QProject,""))))</f>
        <v/>
      </c>
      <c r="S123" s="0" t="str">
        <f aca="false">IF(CC_Mode="Per equipment",IFERROR(INDEX($C$4:$C$403,MATCH(120,$I$4:$I$403,0)),""),IF(CC_Mode="Per loop",IFERROR(INDEX($C$4:$C$403,MATCH(120,$H$4:$H$403,0)),""),IF(CC_Mode="Per unit",IFERROR(INDEX($K$4:$K$15,MATCH(120,$N$4:$N$15,0)),""),IF(120=1,"All units",""))))</f>
        <v/>
      </c>
      <c r="T123" s="0" t="str">
        <f aca="false">IF(CC_Mode="Per equipment",IFERROR(INDEX($D$4:$D$403,MATCH(120,$I$4:$I$403,0)),""),IF(CC_Mode="Per loop",IFERROR(INDEX($D$4:$D$403,MATCH(120,$H$4:$H$403,0)),""),IF(CC_Mode="Per unit",IFERROR(INDEX($M$4:$M$15,MATCH(120,$N$4:$N$15,0)),""),IF(120=1,CC_V_GrandVol,""))))</f>
        <v/>
      </c>
      <c r="U123" s="0" t="str">
        <f aca="false">IF(CC_Mode="Per equipment",IFERROR(INDEX($E$4:$E$403,MATCH(120,$I$4:$I$403,0)),""),IF(CC_Mode="Per loop",IFERROR(INDEX($E$4:$E$403,MATCH(120,$H$4:$H$403,0)),""),IF(CC_Mode="Per unit",IFERROR(INDEX($L$4:$L$15,MATCH(120,$N$4:$N$15,0)),""),IF(120=1,CC_Net,""))))</f>
        <v/>
      </c>
    </row>
    <row r="124" customFormat="false" ht="15" hidden="false" customHeight="false" outlineLevel="0" collapsed="false">
      <c r="A124" s="0" t="s">
        <v>172</v>
      </c>
      <c r="B124" s="0" t="str">
        <f aca="false">'CC Item Pricing'!C96&amp;IF('CC Item Pricing'!D96="",""," – "&amp;'CC Item Pricing'!D96)</f>
        <v/>
      </c>
      <c r="C124" s="0" t="str">
        <f aca="false">INDEX(CC_UnitNames,'CC Item Pricing'!Y96)</f>
        <v>Unit 3</v>
      </c>
      <c r="D124" s="0" t="n">
        <f aca="false">N('CC Item Pricing'!G96)</f>
        <v>0</v>
      </c>
      <c r="E124" s="98" t="n">
        <f aca="false">'CC Item Pricing'!W96</f>
        <v>0</v>
      </c>
      <c r="F124" s="96" t="n">
        <f aca="false">IF(AND(G124=1,'CC Item Pricing'!B96=""),1,0)</f>
        <v>0</v>
      </c>
      <c r="G124" s="96" t="n">
        <f aca="false">IF(D124&gt;0,1,0)</f>
        <v>0</v>
      </c>
      <c r="H124" s="0" t="str">
        <f aca="false">IF(F124=1,COUNTIF($F$4:F124,1),"")</f>
        <v/>
      </c>
      <c r="I124" s="0" t="str">
        <f aca="false">IF(G124=1,COUNTIF($G$4:G124,1),"")</f>
        <v/>
      </c>
      <c r="R124" s="0" t="str">
        <f aca="false">IF(CC_Mode="Per equipment",IFERROR(INDEX($B$4:$B$403,MATCH(121,$I$4:$I$403,0)),""),IF(CC_Mode="Per loop",IFERROR(INDEX($B$4:$B$403,MATCH(121,$H$4:$H$403,0)),""),IF(CC_Mode="Per unit",IFERROR("Chemical cleaning – "&amp;INDEX($K$4:$K$15,MATCH(121,$N$4:$N$15,0)),""),IF(121=1,"LUMP SUM – "&amp;QProject,""))))</f>
        <v/>
      </c>
      <c r="S124" s="0" t="str">
        <f aca="false">IF(CC_Mode="Per equipment",IFERROR(INDEX($C$4:$C$403,MATCH(121,$I$4:$I$403,0)),""),IF(CC_Mode="Per loop",IFERROR(INDEX($C$4:$C$403,MATCH(121,$H$4:$H$403,0)),""),IF(CC_Mode="Per unit",IFERROR(INDEX($K$4:$K$15,MATCH(121,$N$4:$N$15,0)),""),IF(121=1,"All units",""))))</f>
        <v/>
      </c>
      <c r="T124" s="0" t="str">
        <f aca="false">IF(CC_Mode="Per equipment",IFERROR(INDEX($D$4:$D$403,MATCH(121,$I$4:$I$403,0)),""),IF(CC_Mode="Per loop",IFERROR(INDEX($D$4:$D$403,MATCH(121,$H$4:$H$403,0)),""),IF(CC_Mode="Per unit",IFERROR(INDEX($M$4:$M$15,MATCH(121,$N$4:$N$15,0)),""),IF(121=1,CC_V_GrandVol,""))))</f>
        <v/>
      </c>
      <c r="U124" s="0" t="str">
        <f aca="false">IF(CC_Mode="Per equipment",IFERROR(INDEX($E$4:$E$403,MATCH(121,$I$4:$I$403,0)),""),IF(CC_Mode="Per loop",IFERROR(INDEX($E$4:$E$403,MATCH(121,$H$4:$H$403,0)),""),IF(CC_Mode="Per unit",IFERROR(INDEX($L$4:$L$15,MATCH(121,$N$4:$N$15,0)),""),IF(121=1,CC_Net,""))))</f>
        <v/>
      </c>
    </row>
    <row r="125" customFormat="false" ht="15" hidden="false" customHeight="false" outlineLevel="0" collapsed="false">
      <c r="A125" s="0" t="s">
        <v>172</v>
      </c>
      <c r="B125" s="0" t="str">
        <f aca="false">'CC Item Pricing'!C97&amp;IF('CC Item Pricing'!D97="",""," – "&amp;'CC Item Pricing'!D97)</f>
        <v/>
      </c>
      <c r="C125" s="0" t="str">
        <f aca="false">INDEX(CC_UnitNames,'CC Item Pricing'!Y97)</f>
        <v>Unit 3</v>
      </c>
      <c r="D125" s="0" t="n">
        <f aca="false">N('CC Item Pricing'!G97)</f>
        <v>0</v>
      </c>
      <c r="E125" s="98" t="n">
        <f aca="false">'CC Item Pricing'!W97</f>
        <v>0</v>
      </c>
      <c r="F125" s="96" t="n">
        <f aca="false">IF(AND(G125=1,'CC Item Pricing'!B97=""),1,0)</f>
        <v>0</v>
      </c>
      <c r="G125" s="96" t="n">
        <f aca="false">IF(D125&gt;0,1,0)</f>
        <v>0</v>
      </c>
      <c r="H125" s="0" t="str">
        <f aca="false">IF(F125=1,COUNTIF($F$4:F125,1),"")</f>
        <v/>
      </c>
      <c r="I125" s="0" t="str">
        <f aca="false">IF(G125=1,COUNTIF($G$4:G125,1),"")</f>
        <v/>
      </c>
      <c r="R125" s="0" t="str">
        <f aca="false">IF(CC_Mode="Per equipment",IFERROR(INDEX($B$4:$B$403,MATCH(122,$I$4:$I$403,0)),""),IF(CC_Mode="Per loop",IFERROR(INDEX($B$4:$B$403,MATCH(122,$H$4:$H$403,0)),""),IF(CC_Mode="Per unit",IFERROR("Chemical cleaning – "&amp;INDEX($K$4:$K$15,MATCH(122,$N$4:$N$15,0)),""),IF(122=1,"LUMP SUM – "&amp;QProject,""))))</f>
        <v/>
      </c>
      <c r="S125" s="0" t="str">
        <f aca="false">IF(CC_Mode="Per equipment",IFERROR(INDEX($C$4:$C$403,MATCH(122,$I$4:$I$403,0)),""),IF(CC_Mode="Per loop",IFERROR(INDEX($C$4:$C$403,MATCH(122,$H$4:$H$403,0)),""),IF(CC_Mode="Per unit",IFERROR(INDEX($K$4:$K$15,MATCH(122,$N$4:$N$15,0)),""),IF(122=1,"All units",""))))</f>
        <v/>
      </c>
      <c r="T125" s="0" t="str">
        <f aca="false">IF(CC_Mode="Per equipment",IFERROR(INDEX($D$4:$D$403,MATCH(122,$I$4:$I$403,0)),""),IF(CC_Mode="Per loop",IFERROR(INDEX($D$4:$D$403,MATCH(122,$H$4:$H$403,0)),""),IF(CC_Mode="Per unit",IFERROR(INDEX($M$4:$M$15,MATCH(122,$N$4:$N$15,0)),""),IF(122=1,CC_V_GrandVol,""))))</f>
        <v/>
      </c>
      <c r="U125" s="0" t="str">
        <f aca="false">IF(CC_Mode="Per equipment",IFERROR(INDEX($E$4:$E$403,MATCH(122,$I$4:$I$403,0)),""),IF(CC_Mode="Per loop",IFERROR(INDEX($E$4:$E$403,MATCH(122,$H$4:$H$403,0)),""),IF(CC_Mode="Per unit",IFERROR(INDEX($L$4:$L$15,MATCH(122,$N$4:$N$15,0)),""),IF(122=1,CC_Net,""))))</f>
        <v/>
      </c>
    </row>
    <row r="126" customFormat="false" ht="15" hidden="false" customHeight="false" outlineLevel="0" collapsed="false">
      <c r="A126" s="0" t="s">
        <v>172</v>
      </c>
      <c r="B126" s="0" t="str">
        <f aca="false">'CC Item Pricing'!C98&amp;IF('CC Item Pricing'!D98="",""," – "&amp;'CC Item Pricing'!D98)</f>
        <v/>
      </c>
      <c r="C126" s="0" t="str">
        <f aca="false">INDEX(CC_UnitNames,'CC Item Pricing'!Y98)</f>
        <v>Unit 3</v>
      </c>
      <c r="D126" s="0" t="n">
        <f aca="false">N('CC Item Pricing'!G98)</f>
        <v>0</v>
      </c>
      <c r="E126" s="98" t="n">
        <f aca="false">'CC Item Pricing'!W98</f>
        <v>0</v>
      </c>
      <c r="F126" s="96" t="n">
        <f aca="false">IF(AND(G126=1,'CC Item Pricing'!B98=""),1,0)</f>
        <v>0</v>
      </c>
      <c r="G126" s="96" t="n">
        <f aca="false">IF(D126&gt;0,1,0)</f>
        <v>0</v>
      </c>
      <c r="H126" s="0" t="str">
        <f aca="false">IF(F126=1,COUNTIF($F$4:F126,1),"")</f>
        <v/>
      </c>
      <c r="I126" s="0" t="str">
        <f aca="false">IF(G126=1,COUNTIF($G$4:G126,1),"")</f>
        <v/>
      </c>
      <c r="R126" s="0" t="str">
        <f aca="false">IF(CC_Mode="Per equipment",IFERROR(INDEX($B$4:$B$403,MATCH(123,$I$4:$I$403,0)),""),IF(CC_Mode="Per loop",IFERROR(INDEX($B$4:$B$403,MATCH(123,$H$4:$H$403,0)),""),IF(CC_Mode="Per unit",IFERROR("Chemical cleaning – "&amp;INDEX($K$4:$K$15,MATCH(123,$N$4:$N$15,0)),""),IF(123=1,"LUMP SUM – "&amp;QProject,""))))</f>
        <v/>
      </c>
      <c r="S126" s="0" t="str">
        <f aca="false">IF(CC_Mode="Per equipment",IFERROR(INDEX($C$4:$C$403,MATCH(123,$I$4:$I$403,0)),""),IF(CC_Mode="Per loop",IFERROR(INDEX($C$4:$C$403,MATCH(123,$H$4:$H$403,0)),""),IF(CC_Mode="Per unit",IFERROR(INDEX($K$4:$K$15,MATCH(123,$N$4:$N$15,0)),""),IF(123=1,"All units",""))))</f>
        <v/>
      </c>
      <c r="T126" s="0" t="str">
        <f aca="false">IF(CC_Mode="Per equipment",IFERROR(INDEX($D$4:$D$403,MATCH(123,$I$4:$I$403,0)),""),IF(CC_Mode="Per loop",IFERROR(INDEX($D$4:$D$403,MATCH(123,$H$4:$H$403,0)),""),IF(CC_Mode="Per unit",IFERROR(INDEX($M$4:$M$15,MATCH(123,$N$4:$N$15,0)),""),IF(123=1,CC_V_GrandVol,""))))</f>
        <v/>
      </c>
      <c r="U126" s="0" t="str">
        <f aca="false">IF(CC_Mode="Per equipment",IFERROR(INDEX($E$4:$E$403,MATCH(123,$I$4:$I$403,0)),""),IF(CC_Mode="Per loop",IFERROR(INDEX($E$4:$E$403,MATCH(123,$H$4:$H$403,0)),""),IF(CC_Mode="Per unit",IFERROR(INDEX($L$4:$L$15,MATCH(123,$N$4:$N$15,0)),""),IF(123=1,CC_Net,""))))</f>
        <v/>
      </c>
    </row>
    <row r="127" customFormat="false" ht="15" hidden="false" customHeight="false" outlineLevel="0" collapsed="false">
      <c r="A127" s="0" t="s">
        <v>172</v>
      </c>
      <c r="B127" s="0" t="str">
        <f aca="false">'CC Item Pricing'!C99&amp;IF('CC Item Pricing'!D99="",""," – "&amp;'CC Item Pricing'!D99)</f>
        <v/>
      </c>
      <c r="C127" s="0" t="str">
        <f aca="false">INDEX(CC_UnitNames,'CC Item Pricing'!Y99)</f>
        <v>Unit 3</v>
      </c>
      <c r="D127" s="0" t="n">
        <f aca="false">N('CC Item Pricing'!G99)</f>
        <v>0</v>
      </c>
      <c r="E127" s="98" t="n">
        <f aca="false">'CC Item Pricing'!W99</f>
        <v>0</v>
      </c>
      <c r="F127" s="96" t="n">
        <f aca="false">IF(AND(G127=1,'CC Item Pricing'!B99=""),1,0)</f>
        <v>0</v>
      </c>
      <c r="G127" s="96" t="n">
        <f aca="false">IF(D127&gt;0,1,0)</f>
        <v>0</v>
      </c>
      <c r="H127" s="0" t="str">
        <f aca="false">IF(F127=1,COUNTIF($F$4:F127,1),"")</f>
        <v/>
      </c>
      <c r="I127" s="0" t="str">
        <f aca="false">IF(G127=1,COUNTIF($G$4:G127,1),"")</f>
        <v/>
      </c>
      <c r="R127" s="0" t="str">
        <f aca="false">IF(CC_Mode="Per equipment",IFERROR(INDEX($B$4:$B$403,MATCH(124,$I$4:$I$403,0)),""),IF(CC_Mode="Per loop",IFERROR(INDEX($B$4:$B$403,MATCH(124,$H$4:$H$403,0)),""),IF(CC_Mode="Per unit",IFERROR("Chemical cleaning – "&amp;INDEX($K$4:$K$15,MATCH(124,$N$4:$N$15,0)),""),IF(124=1,"LUMP SUM – "&amp;QProject,""))))</f>
        <v/>
      </c>
      <c r="S127" s="0" t="str">
        <f aca="false">IF(CC_Mode="Per equipment",IFERROR(INDEX($C$4:$C$403,MATCH(124,$I$4:$I$403,0)),""),IF(CC_Mode="Per loop",IFERROR(INDEX($C$4:$C$403,MATCH(124,$H$4:$H$403,0)),""),IF(CC_Mode="Per unit",IFERROR(INDEX($K$4:$K$15,MATCH(124,$N$4:$N$15,0)),""),IF(124=1,"All units",""))))</f>
        <v/>
      </c>
      <c r="T127" s="0" t="str">
        <f aca="false">IF(CC_Mode="Per equipment",IFERROR(INDEX($D$4:$D$403,MATCH(124,$I$4:$I$403,0)),""),IF(CC_Mode="Per loop",IFERROR(INDEX($D$4:$D$403,MATCH(124,$H$4:$H$403,0)),""),IF(CC_Mode="Per unit",IFERROR(INDEX($M$4:$M$15,MATCH(124,$N$4:$N$15,0)),""),IF(124=1,CC_V_GrandVol,""))))</f>
        <v/>
      </c>
      <c r="U127" s="0" t="str">
        <f aca="false">IF(CC_Mode="Per equipment",IFERROR(INDEX($E$4:$E$403,MATCH(124,$I$4:$I$403,0)),""),IF(CC_Mode="Per loop",IFERROR(INDEX($E$4:$E$403,MATCH(124,$H$4:$H$403,0)),""),IF(CC_Mode="Per unit",IFERROR(INDEX($L$4:$L$15,MATCH(124,$N$4:$N$15,0)),""),IF(124=1,CC_Net,""))))</f>
        <v/>
      </c>
    </row>
    <row r="128" customFormat="false" ht="15" hidden="false" customHeight="false" outlineLevel="0" collapsed="false">
      <c r="A128" s="0" t="s">
        <v>172</v>
      </c>
      <c r="B128" s="0" t="str">
        <f aca="false">'CC Item Pricing'!C100&amp;IF('CC Item Pricing'!D100="",""," – "&amp;'CC Item Pricing'!D100)</f>
        <v/>
      </c>
      <c r="C128" s="0" t="str">
        <f aca="false">INDEX(CC_UnitNames,'CC Item Pricing'!Y100)</f>
        <v>Unit 3</v>
      </c>
      <c r="D128" s="0" t="n">
        <f aca="false">N('CC Item Pricing'!G100)</f>
        <v>0</v>
      </c>
      <c r="E128" s="98" t="n">
        <f aca="false">'CC Item Pricing'!W100</f>
        <v>0</v>
      </c>
      <c r="F128" s="96" t="n">
        <f aca="false">IF(AND(G128=1,'CC Item Pricing'!B100=""),1,0)</f>
        <v>0</v>
      </c>
      <c r="G128" s="96" t="n">
        <f aca="false">IF(D128&gt;0,1,0)</f>
        <v>0</v>
      </c>
      <c r="H128" s="0" t="str">
        <f aca="false">IF(F128=1,COUNTIF($F$4:F128,1),"")</f>
        <v/>
      </c>
      <c r="I128" s="0" t="str">
        <f aca="false">IF(G128=1,COUNTIF($G$4:G128,1),"")</f>
        <v/>
      </c>
      <c r="R128" s="0" t="str">
        <f aca="false">IF(CC_Mode="Per equipment",IFERROR(INDEX($B$4:$B$403,MATCH(125,$I$4:$I$403,0)),""),IF(CC_Mode="Per loop",IFERROR(INDEX($B$4:$B$403,MATCH(125,$H$4:$H$403,0)),""),IF(CC_Mode="Per unit",IFERROR("Chemical cleaning – "&amp;INDEX($K$4:$K$15,MATCH(125,$N$4:$N$15,0)),""),IF(125=1,"LUMP SUM – "&amp;QProject,""))))</f>
        <v/>
      </c>
      <c r="S128" s="0" t="str">
        <f aca="false">IF(CC_Mode="Per equipment",IFERROR(INDEX($C$4:$C$403,MATCH(125,$I$4:$I$403,0)),""),IF(CC_Mode="Per loop",IFERROR(INDEX($C$4:$C$403,MATCH(125,$H$4:$H$403,0)),""),IF(CC_Mode="Per unit",IFERROR(INDEX($K$4:$K$15,MATCH(125,$N$4:$N$15,0)),""),IF(125=1,"All units",""))))</f>
        <v/>
      </c>
      <c r="T128" s="0" t="str">
        <f aca="false">IF(CC_Mode="Per equipment",IFERROR(INDEX($D$4:$D$403,MATCH(125,$I$4:$I$403,0)),""),IF(CC_Mode="Per loop",IFERROR(INDEX($D$4:$D$403,MATCH(125,$H$4:$H$403,0)),""),IF(CC_Mode="Per unit",IFERROR(INDEX($M$4:$M$15,MATCH(125,$N$4:$N$15,0)),""),IF(125=1,CC_V_GrandVol,""))))</f>
        <v/>
      </c>
      <c r="U128" s="0" t="str">
        <f aca="false">IF(CC_Mode="Per equipment",IFERROR(INDEX($E$4:$E$403,MATCH(125,$I$4:$I$403,0)),""),IF(CC_Mode="Per loop",IFERROR(INDEX($E$4:$E$403,MATCH(125,$H$4:$H$403,0)),""),IF(CC_Mode="Per unit",IFERROR(INDEX($L$4:$L$15,MATCH(125,$N$4:$N$15,0)),""),IF(125=1,CC_Net,""))))</f>
        <v/>
      </c>
    </row>
    <row r="129" customFormat="false" ht="15" hidden="false" customHeight="false" outlineLevel="0" collapsed="false">
      <c r="A129" s="0" t="s">
        <v>172</v>
      </c>
      <c r="B129" s="0" t="str">
        <f aca="false">'CC Item Pricing'!C101&amp;IF('CC Item Pricing'!D101="",""," – "&amp;'CC Item Pricing'!D101)</f>
        <v/>
      </c>
      <c r="C129" s="0" t="str">
        <f aca="false">INDEX(CC_UnitNames,'CC Item Pricing'!Y101)</f>
        <v>Unit 3</v>
      </c>
      <c r="D129" s="0" t="n">
        <f aca="false">N('CC Item Pricing'!G101)</f>
        <v>0</v>
      </c>
      <c r="E129" s="98" t="n">
        <f aca="false">'CC Item Pricing'!W101</f>
        <v>0</v>
      </c>
      <c r="F129" s="96" t="n">
        <f aca="false">IF(AND(G129=1,'CC Item Pricing'!B101=""),1,0)</f>
        <v>0</v>
      </c>
      <c r="G129" s="96" t="n">
        <f aca="false">IF(D129&gt;0,1,0)</f>
        <v>0</v>
      </c>
      <c r="H129" s="0" t="str">
        <f aca="false">IF(F129=1,COUNTIF($F$4:F129,1),"")</f>
        <v/>
      </c>
      <c r="I129" s="0" t="str">
        <f aca="false">IF(G129=1,COUNTIF($G$4:G129,1),"")</f>
        <v/>
      </c>
      <c r="R129" s="0" t="str">
        <f aca="false">IF(CC_Mode="Per equipment",IFERROR(INDEX($B$4:$B$403,MATCH(126,$I$4:$I$403,0)),""),IF(CC_Mode="Per loop",IFERROR(INDEX($B$4:$B$403,MATCH(126,$H$4:$H$403,0)),""),IF(CC_Mode="Per unit",IFERROR("Chemical cleaning – "&amp;INDEX($K$4:$K$15,MATCH(126,$N$4:$N$15,0)),""),IF(126=1,"LUMP SUM – "&amp;QProject,""))))</f>
        <v/>
      </c>
      <c r="S129" s="0" t="str">
        <f aca="false">IF(CC_Mode="Per equipment",IFERROR(INDEX($C$4:$C$403,MATCH(126,$I$4:$I$403,0)),""),IF(CC_Mode="Per loop",IFERROR(INDEX($C$4:$C$403,MATCH(126,$H$4:$H$403,0)),""),IF(CC_Mode="Per unit",IFERROR(INDEX($K$4:$K$15,MATCH(126,$N$4:$N$15,0)),""),IF(126=1,"All units",""))))</f>
        <v/>
      </c>
      <c r="T129" s="0" t="str">
        <f aca="false">IF(CC_Mode="Per equipment",IFERROR(INDEX($D$4:$D$403,MATCH(126,$I$4:$I$403,0)),""),IF(CC_Mode="Per loop",IFERROR(INDEX($D$4:$D$403,MATCH(126,$H$4:$H$403,0)),""),IF(CC_Mode="Per unit",IFERROR(INDEX($M$4:$M$15,MATCH(126,$N$4:$N$15,0)),""),IF(126=1,CC_V_GrandVol,""))))</f>
        <v/>
      </c>
      <c r="U129" s="0" t="str">
        <f aca="false">IF(CC_Mode="Per equipment",IFERROR(INDEX($E$4:$E$403,MATCH(126,$I$4:$I$403,0)),""),IF(CC_Mode="Per loop",IFERROR(INDEX($E$4:$E$403,MATCH(126,$H$4:$H$403,0)),""),IF(CC_Mode="Per unit",IFERROR(INDEX($L$4:$L$15,MATCH(126,$N$4:$N$15,0)),""),IF(126=1,CC_Net,""))))</f>
        <v/>
      </c>
    </row>
    <row r="130" customFormat="false" ht="15" hidden="false" customHeight="false" outlineLevel="0" collapsed="false">
      <c r="A130" s="0" t="s">
        <v>172</v>
      </c>
      <c r="B130" s="0" t="str">
        <f aca="false">'CC Item Pricing'!C102&amp;IF('CC Item Pricing'!D102="",""," – "&amp;'CC Item Pricing'!D102)</f>
        <v/>
      </c>
      <c r="C130" s="0" t="str">
        <f aca="false">INDEX(CC_UnitNames,'CC Item Pricing'!Y102)</f>
        <v>Unit 3</v>
      </c>
      <c r="D130" s="0" t="n">
        <f aca="false">N('CC Item Pricing'!G102)</f>
        <v>0</v>
      </c>
      <c r="E130" s="98" t="n">
        <f aca="false">'CC Item Pricing'!W102</f>
        <v>0</v>
      </c>
      <c r="F130" s="96" t="n">
        <f aca="false">IF(AND(G130=1,'CC Item Pricing'!B102=""),1,0)</f>
        <v>0</v>
      </c>
      <c r="G130" s="96" t="n">
        <f aca="false">IF(D130&gt;0,1,0)</f>
        <v>0</v>
      </c>
      <c r="H130" s="0" t="str">
        <f aca="false">IF(F130=1,COUNTIF($F$4:F130,1),"")</f>
        <v/>
      </c>
      <c r="I130" s="0" t="str">
        <f aca="false">IF(G130=1,COUNTIF($G$4:G130,1),"")</f>
        <v/>
      </c>
      <c r="R130" s="0" t="str">
        <f aca="false">IF(CC_Mode="Per equipment",IFERROR(INDEX($B$4:$B$403,MATCH(127,$I$4:$I$403,0)),""),IF(CC_Mode="Per loop",IFERROR(INDEX($B$4:$B$403,MATCH(127,$H$4:$H$403,0)),""),IF(CC_Mode="Per unit",IFERROR("Chemical cleaning – "&amp;INDEX($K$4:$K$15,MATCH(127,$N$4:$N$15,0)),""),IF(127=1,"LUMP SUM – "&amp;QProject,""))))</f>
        <v/>
      </c>
      <c r="S130" s="0" t="str">
        <f aca="false">IF(CC_Mode="Per equipment",IFERROR(INDEX($C$4:$C$403,MATCH(127,$I$4:$I$403,0)),""),IF(CC_Mode="Per loop",IFERROR(INDEX($C$4:$C$403,MATCH(127,$H$4:$H$403,0)),""),IF(CC_Mode="Per unit",IFERROR(INDEX($K$4:$K$15,MATCH(127,$N$4:$N$15,0)),""),IF(127=1,"All units",""))))</f>
        <v/>
      </c>
      <c r="T130" s="0" t="str">
        <f aca="false">IF(CC_Mode="Per equipment",IFERROR(INDEX($D$4:$D$403,MATCH(127,$I$4:$I$403,0)),""),IF(CC_Mode="Per loop",IFERROR(INDEX($D$4:$D$403,MATCH(127,$H$4:$H$403,0)),""),IF(CC_Mode="Per unit",IFERROR(INDEX($M$4:$M$15,MATCH(127,$N$4:$N$15,0)),""),IF(127=1,CC_V_GrandVol,""))))</f>
        <v/>
      </c>
      <c r="U130" s="0" t="str">
        <f aca="false">IF(CC_Mode="Per equipment",IFERROR(INDEX($E$4:$E$403,MATCH(127,$I$4:$I$403,0)),""),IF(CC_Mode="Per loop",IFERROR(INDEX($E$4:$E$403,MATCH(127,$H$4:$H$403,0)),""),IF(CC_Mode="Per unit",IFERROR(INDEX($L$4:$L$15,MATCH(127,$N$4:$N$15,0)),""),IF(127=1,CC_Net,""))))</f>
        <v/>
      </c>
    </row>
    <row r="131" customFormat="false" ht="15" hidden="false" customHeight="false" outlineLevel="0" collapsed="false">
      <c r="A131" s="0" t="s">
        <v>172</v>
      </c>
      <c r="B131" s="0" t="str">
        <f aca="false">'CC Item Pricing'!C103&amp;IF('CC Item Pricing'!D103="",""," – "&amp;'CC Item Pricing'!D103)</f>
        <v/>
      </c>
      <c r="C131" s="0" t="str">
        <f aca="false">INDEX(CC_UnitNames,'CC Item Pricing'!Y103)</f>
        <v>Unit 3</v>
      </c>
      <c r="D131" s="0" t="n">
        <f aca="false">N('CC Item Pricing'!G103)</f>
        <v>0</v>
      </c>
      <c r="E131" s="98" t="n">
        <f aca="false">'CC Item Pricing'!W103</f>
        <v>0</v>
      </c>
      <c r="F131" s="96" t="n">
        <f aca="false">IF(AND(G131=1,'CC Item Pricing'!B103=""),1,0)</f>
        <v>0</v>
      </c>
      <c r="G131" s="96" t="n">
        <f aca="false">IF(D131&gt;0,1,0)</f>
        <v>0</v>
      </c>
      <c r="H131" s="0" t="str">
        <f aca="false">IF(F131=1,COUNTIF($F$4:F131,1),"")</f>
        <v/>
      </c>
      <c r="I131" s="0" t="str">
        <f aca="false">IF(G131=1,COUNTIF($G$4:G131,1),"")</f>
        <v/>
      </c>
      <c r="R131" s="0" t="str">
        <f aca="false">IF(CC_Mode="Per equipment",IFERROR(INDEX($B$4:$B$403,MATCH(128,$I$4:$I$403,0)),""),IF(CC_Mode="Per loop",IFERROR(INDEX($B$4:$B$403,MATCH(128,$H$4:$H$403,0)),""),IF(CC_Mode="Per unit",IFERROR("Chemical cleaning – "&amp;INDEX($K$4:$K$15,MATCH(128,$N$4:$N$15,0)),""),IF(128=1,"LUMP SUM – "&amp;QProject,""))))</f>
        <v/>
      </c>
      <c r="S131" s="0" t="str">
        <f aca="false">IF(CC_Mode="Per equipment",IFERROR(INDEX($C$4:$C$403,MATCH(128,$I$4:$I$403,0)),""),IF(CC_Mode="Per loop",IFERROR(INDEX($C$4:$C$403,MATCH(128,$H$4:$H$403,0)),""),IF(CC_Mode="Per unit",IFERROR(INDEX($K$4:$K$15,MATCH(128,$N$4:$N$15,0)),""),IF(128=1,"All units",""))))</f>
        <v/>
      </c>
      <c r="T131" s="0" t="str">
        <f aca="false">IF(CC_Mode="Per equipment",IFERROR(INDEX($D$4:$D$403,MATCH(128,$I$4:$I$403,0)),""),IF(CC_Mode="Per loop",IFERROR(INDEX($D$4:$D$403,MATCH(128,$H$4:$H$403,0)),""),IF(CC_Mode="Per unit",IFERROR(INDEX($M$4:$M$15,MATCH(128,$N$4:$N$15,0)),""),IF(128=1,CC_V_GrandVol,""))))</f>
        <v/>
      </c>
      <c r="U131" s="0" t="str">
        <f aca="false">IF(CC_Mode="Per equipment",IFERROR(INDEX($E$4:$E$403,MATCH(128,$I$4:$I$403,0)),""),IF(CC_Mode="Per loop",IFERROR(INDEX($E$4:$E$403,MATCH(128,$H$4:$H$403,0)),""),IF(CC_Mode="Per unit",IFERROR(INDEX($L$4:$L$15,MATCH(128,$N$4:$N$15,0)),""),IF(128=1,CC_Net,""))))</f>
        <v/>
      </c>
    </row>
    <row r="132" customFormat="false" ht="15" hidden="false" customHeight="false" outlineLevel="0" collapsed="false">
      <c r="A132" s="0" t="s">
        <v>172</v>
      </c>
      <c r="B132" s="0" t="str">
        <f aca="false">'CC Item Pricing'!C104&amp;IF('CC Item Pricing'!D104="",""," – "&amp;'CC Item Pricing'!D104)</f>
        <v/>
      </c>
      <c r="C132" s="0" t="str">
        <f aca="false">INDEX(CC_UnitNames,'CC Item Pricing'!Y104)</f>
        <v>Unit 3</v>
      </c>
      <c r="D132" s="0" t="n">
        <f aca="false">N('CC Item Pricing'!G104)</f>
        <v>0</v>
      </c>
      <c r="E132" s="98" t="n">
        <f aca="false">'CC Item Pricing'!W104</f>
        <v>0</v>
      </c>
      <c r="F132" s="96" t="n">
        <f aca="false">IF(AND(G132=1,'CC Item Pricing'!B104=""),1,0)</f>
        <v>0</v>
      </c>
      <c r="G132" s="96" t="n">
        <f aca="false">IF(D132&gt;0,1,0)</f>
        <v>0</v>
      </c>
      <c r="H132" s="0" t="str">
        <f aca="false">IF(F132=1,COUNTIF($F$4:F132,1),"")</f>
        <v/>
      </c>
      <c r="I132" s="0" t="str">
        <f aca="false">IF(G132=1,COUNTIF($G$4:G132,1),"")</f>
        <v/>
      </c>
      <c r="R132" s="0" t="str">
        <f aca="false">IF(CC_Mode="Per equipment",IFERROR(INDEX($B$4:$B$403,MATCH(129,$I$4:$I$403,0)),""),IF(CC_Mode="Per loop",IFERROR(INDEX($B$4:$B$403,MATCH(129,$H$4:$H$403,0)),""),IF(CC_Mode="Per unit",IFERROR("Chemical cleaning – "&amp;INDEX($K$4:$K$15,MATCH(129,$N$4:$N$15,0)),""),IF(129=1,"LUMP SUM – "&amp;QProject,""))))</f>
        <v/>
      </c>
      <c r="S132" s="0" t="str">
        <f aca="false">IF(CC_Mode="Per equipment",IFERROR(INDEX($C$4:$C$403,MATCH(129,$I$4:$I$403,0)),""),IF(CC_Mode="Per loop",IFERROR(INDEX($C$4:$C$403,MATCH(129,$H$4:$H$403,0)),""),IF(CC_Mode="Per unit",IFERROR(INDEX($K$4:$K$15,MATCH(129,$N$4:$N$15,0)),""),IF(129=1,"All units",""))))</f>
        <v/>
      </c>
      <c r="T132" s="0" t="str">
        <f aca="false">IF(CC_Mode="Per equipment",IFERROR(INDEX($D$4:$D$403,MATCH(129,$I$4:$I$403,0)),""),IF(CC_Mode="Per loop",IFERROR(INDEX($D$4:$D$403,MATCH(129,$H$4:$H$403,0)),""),IF(CC_Mode="Per unit",IFERROR(INDEX($M$4:$M$15,MATCH(129,$N$4:$N$15,0)),""),IF(129=1,CC_V_GrandVol,""))))</f>
        <v/>
      </c>
      <c r="U132" s="0" t="str">
        <f aca="false">IF(CC_Mode="Per equipment",IFERROR(INDEX($E$4:$E$403,MATCH(129,$I$4:$I$403,0)),""),IF(CC_Mode="Per loop",IFERROR(INDEX($E$4:$E$403,MATCH(129,$H$4:$H$403,0)),""),IF(CC_Mode="Per unit",IFERROR(INDEX($L$4:$L$15,MATCH(129,$N$4:$N$15,0)),""),IF(129=1,CC_Net,""))))</f>
        <v/>
      </c>
    </row>
    <row r="133" customFormat="false" ht="15" hidden="false" customHeight="false" outlineLevel="0" collapsed="false">
      <c r="A133" s="0" t="s">
        <v>172</v>
      </c>
      <c r="B133" s="0" t="str">
        <f aca="false">'CC Item Pricing'!C105&amp;IF('CC Item Pricing'!D105="",""," – "&amp;'CC Item Pricing'!D105)</f>
        <v/>
      </c>
      <c r="C133" s="0" t="str">
        <f aca="false">INDEX(CC_UnitNames,'CC Item Pricing'!Y105)</f>
        <v>Unit 3</v>
      </c>
      <c r="D133" s="0" t="n">
        <f aca="false">N('CC Item Pricing'!G105)</f>
        <v>0</v>
      </c>
      <c r="E133" s="98" t="n">
        <f aca="false">'CC Item Pricing'!W105</f>
        <v>0</v>
      </c>
      <c r="F133" s="96" t="n">
        <f aca="false">IF(AND(G133=1,'CC Item Pricing'!B105=""),1,0)</f>
        <v>0</v>
      </c>
      <c r="G133" s="96" t="n">
        <f aca="false">IF(D133&gt;0,1,0)</f>
        <v>0</v>
      </c>
      <c r="H133" s="0" t="str">
        <f aca="false">IF(F133=1,COUNTIF($F$4:F133,1),"")</f>
        <v/>
      </c>
      <c r="I133" s="0" t="str">
        <f aca="false">IF(G133=1,COUNTIF($G$4:G133,1),"")</f>
        <v/>
      </c>
      <c r="R133" s="0" t="str">
        <f aca="false">IF(CC_Mode="Per equipment",IFERROR(INDEX($B$4:$B$403,MATCH(130,$I$4:$I$403,0)),""),IF(CC_Mode="Per loop",IFERROR(INDEX($B$4:$B$403,MATCH(130,$H$4:$H$403,0)),""),IF(CC_Mode="Per unit",IFERROR("Chemical cleaning – "&amp;INDEX($K$4:$K$15,MATCH(130,$N$4:$N$15,0)),""),IF(130=1,"LUMP SUM – "&amp;QProject,""))))</f>
        <v/>
      </c>
      <c r="S133" s="0" t="str">
        <f aca="false">IF(CC_Mode="Per equipment",IFERROR(INDEX($C$4:$C$403,MATCH(130,$I$4:$I$403,0)),""),IF(CC_Mode="Per loop",IFERROR(INDEX($C$4:$C$403,MATCH(130,$H$4:$H$403,0)),""),IF(CC_Mode="Per unit",IFERROR(INDEX($K$4:$K$15,MATCH(130,$N$4:$N$15,0)),""),IF(130=1,"All units",""))))</f>
        <v/>
      </c>
      <c r="T133" s="0" t="str">
        <f aca="false">IF(CC_Mode="Per equipment",IFERROR(INDEX($D$4:$D$403,MATCH(130,$I$4:$I$403,0)),""),IF(CC_Mode="Per loop",IFERROR(INDEX($D$4:$D$403,MATCH(130,$H$4:$H$403,0)),""),IF(CC_Mode="Per unit",IFERROR(INDEX($M$4:$M$15,MATCH(130,$N$4:$N$15,0)),""),IF(130=1,CC_V_GrandVol,""))))</f>
        <v/>
      </c>
      <c r="U133" s="0" t="str">
        <f aca="false">IF(CC_Mode="Per equipment",IFERROR(INDEX($E$4:$E$403,MATCH(130,$I$4:$I$403,0)),""),IF(CC_Mode="Per loop",IFERROR(INDEX($E$4:$E$403,MATCH(130,$H$4:$H$403,0)),""),IF(CC_Mode="Per unit",IFERROR(INDEX($L$4:$L$15,MATCH(130,$N$4:$N$15,0)),""),IF(130=1,CC_Net,""))))</f>
        <v/>
      </c>
    </row>
    <row r="134" customFormat="false" ht="15" hidden="false" customHeight="false" outlineLevel="0" collapsed="false">
      <c r="A134" s="0" t="s">
        <v>172</v>
      </c>
      <c r="B134" s="0" t="str">
        <f aca="false">'CC Item Pricing'!C109&amp;IF('CC Item Pricing'!D109="",""," – "&amp;'CC Item Pricing'!D109)</f>
        <v/>
      </c>
      <c r="C134" s="0" t="str">
        <f aca="false">INDEX(CC_UnitNames,'CC Item Pricing'!Y109)</f>
        <v>Unit 4</v>
      </c>
      <c r="D134" s="0" t="n">
        <f aca="false">N('CC Item Pricing'!G109)</f>
        <v>0</v>
      </c>
      <c r="E134" s="98" t="n">
        <f aca="false">'CC Item Pricing'!W109</f>
        <v>0</v>
      </c>
      <c r="F134" s="96" t="n">
        <f aca="false">IF(AND(G134=1,'CC Item Pricing'!B109=""),1,0)</f>
        <v>0</v>
      </c>
      <c r="G134" s="96" t="n">
        <f aca="false">IF(D134&gt;0,1,0)</f>
        <v>0</v>
      </c>
      <c r="H134" s="0" t="str">
        <f aca="false">IF(F134=1,COUNTIF($F$4:F134,1),"")</f>
        <v/>
      </c>
      <c r="I134" s="0" t="str">
        <f aca="false">IF(G134=1,COUNTIF($G$4:G134,1),"")</f>
        <v/>
      </c>
      <c r="R134" s="0" t="str">
        <f aca="false">IF(CC_Mode="Per equipment",IFERROR(INDEX($B$4:$B$403,MATCH(131,$I$4:$I$403,0)),""),IF(CC_Mode="Per loop",IFERROR(INDEX($B$4:$B$403,MATCH(131,$H$4:$H$403,0)),""),IF(CC_Mode="Per unit",IFERROR("Chemical cleaning – "&amp;INDEX($K$4:$K$15,MATCH(131,$N$4:$N$15,0)),""),IF(131=1,"LUMP SUM – "&amp;QProject,""))))</f>
        <v/>
      </c>
      <c r="S134" s="0" t="str">
        <f aca="false">IF(CC_Mode="Per equipment",IFERROR(INDEX($C$4:$C$403,MATCH(131,$I$4:$I$403,0)),""),IF(CC_Mode="Per loop",IFERROR(INDEX($C$4:$C$403,MATCH(131,$H$4:$H$403,0)),""),IF(CC_Mode="Per unit",IFERROR(INDEX($K$4:$K$15,MATCH(131,$N$4:$N$15,0)),""),IF(131=1,"All units",""))))</f>
        <v/>
      </c>
      <c r="T134" s="0" t="str">
        <f aca="false">IF(CC_Mode="Per equipment",IFERROR(INDEX($D$4:$D$403,MATCH(131,$I$4:$I$403,0)),""),IF(CC_Mode="Per loop",IFERROR(INDEX($D$4:$D$403,MATCH(131,$H$4:$H$403,0)),""),IF(CC_Mode="Per unit",IFERROR(INDEX($M$4:$M$15,MATCH(131,$N$4:$N$15,0)),""),IF(131=1,CC_V_GrandVol,""))))</f>
        <v/>
      </c>
      <c r="U134" s="0" t="str">
        <f aca="false">IF(CC_Mode="Per equipment",IFERROR(INDEX($E$4:$E$403,MATCH(131,$I$4:$I$403,0)),""),IF(CC_Mode="Per loop",IFERROR(INDEX($E$4:$E$403,MATCH(131,$H$4:$H$403,0)),""),IF(CC_Mode="Per unit",IFERROR(INDEX($L$4:$L$15,MATCH(131,$N$4:$N$15,0)),""),IF(131=1,CC_Net,""))))</f>
        <v/>
      </c>
    </row>
    <row r="135" customFormat="false" ht="15" hidden="false" customHeight="false" outlineLevel="0" collapsed="false">
      <c r="A135" s="0" t="s">
        <v>172</v>
      </c>
      <c r="B135" s="0" t="str">
        <f aca="false">'CC Item Pricing'!C110&amp;IF('CC Item Pricing'!D110="",""," – "&amp;'CC Item Pricing'!D110)</f>
        <v/>
      </c>
      <c r="C135" s="0" t="str">
        <f aca="false">INDEX(CC_UnitNames,'CC Item Pricing'!Y110)</f>
        <v>Unit 4</v>
      </c>
      <c r="D135" s="0" t="n">
        <f aca="false">N('CC Item Pricing'!G110)</f>
        <v>0</v>
      </c>
      <c r="E135" s="98" t="n">
        <f aca="false">'CC Item Pricing'!W110</f>
        <v>0</v>
      </c>
      <c r="F135" s="96" t="n">
        <f aca="false">IF(AND(G135=1,'CC Item Pricing'!B110=""),1,0)</f>
        <v>0</v>
      </c>
      <c r="G135" s="96" t="n">
        <f aca="false">IF(D135&gt;0,1,0)</f>
        <v>0</v>
      </c>
      <c r="H135" s="0" t="str">
        <f aca="false">IF(F135=1,COUNTIF($F$4:F135,1),"")</f>
        <v/>
      </c>
      <c r="I135" s="0" t="str">
        <f aca="false">IF(G135=1,COUNTIF($G$4:G135,1),"")</f>
        <v/>
      </c>
      <c r="R135" s="0" t="str">
        <f aca="false">IF(CC_Mode="Per equipment",IFERROR(INDEX($B$4:$B$403,MATCH(132,$I$4:$I$403,0)),""),IF(CC_Mode="Per loop",IFERROR(INDEX($B$4:$B$403,MATCH(132,$H$4:$H$403,0)),""),IF(CC_Mode="Per unit",IFERROR("Chemical cleaning – "&amp;INDEX($K$4:$K$15,MATCH(132,$N$4:$N$15,0)),""),IF(132=1,"LUMP SUM – "&amp;QProject,""))))</f>
        <v/>
      </c>
      <c r="S135" s="0" t="str">
        <f aca="false">IF(CC_Mode="Per equipment",IFERROR(INDEX($C$4:$C$403,MATCH(132,$I$4:$I$403,0)),""),IF(CC_Mode="Per loop",IFERROR(INDEX($C$4:$C$403,MATCH(132,$H$4:$H$403,0)),""),IF(CC_Mode="Per unit",IFERROR(INDEX($K$4:$K$15,MATCH(132,$N$4:$N$15,0)),""),IF(132=1,"All units",""))))</f>
        <v/>
      </c>
      <c r="T135" s="0" t="str">
        <f aca="false">IF(CC_Mode="Per equipment",IFERROR(INDEX($D$4:$D$403,MATCH(132,$I$4:$I$403,0)),""),IF(CC_Mode="Per loop",IFERROR(INDEX($D$4:$D$403,MATCH(132,$H$4:$H$403,0)),""),IF(CC_Mode="Per unit",IFERROR(INDEX($M$4:$M$15,MATCH(132,$N$4:$N$15,0)),""),IF(132=1,CC_V_GrandVol,""))))</f>
        <v/>
      </c>
      <c r="U135" s="0" t="str">
        <f aca="false">IF(CC_Mode="Per equipment",IFERROR(INDEX($E$4:$E$403,MATCH(132,$I$4:$I$403,0)),""),IF(CC_Mode="Per loop",IFERROR(INDEX($E$4:$E$403,MATCH(132,$H$4:$H$403,0)),""),IF(CC_Mode="Per unit",IFERROR(INDEX($L$4:$L$15,MATCH(132,$N$4:$N$15,0)),""),IF(132=1,CC_Net,""))))</f>
        <v/>
      </c>
    </row>
    <row r="136" customFormat="false" ht="15" hidden="false" customHeight="false" outlineLevel="0" collapsed="false">
      <c r="A136" s="0" t="s">
        <v>172</v>
      </c>
      <c r="B136" s="0" t="str">
        <f aca="false">'CC Item Pricing'!C111&amp;IF('CC Item Pricing'!D111="",""," – "&amp;'CC Item Pricing'!D111)</f>
        <v/>
      </c>
      <c r="C136" s="0" t="str">
        <f aca="false">INDEX(CC_UnitNames,'CC Item Pricing'!Y111)</f>
        <v>Unit 4</v>
      </c>
      <c r="D136" s="0" t="n">
        <f aca="false">N('CC Item Pricing'!G111)</f>
        <v>0</v>
      </c>
      <c r="E136" s="98" t="n">
        <f aca="false">'CC Item Pricing'!W111</f>
        <v>0</v>
      </c>
      <c r="F136" s="96" t="n">
        <f aca="false">IF(AND(G136=1,'CC Item Pricing'!B111=""),1,0)</f>
        <v>0</v>
      </c>
      <c r="G136" s="96" t="n">
        <f aca="false">IF(D136&gt;0,1,0)</f>
        <v>0</v>
      </c>
      <c r="H136" s="0" t="str">
        <f aca="false">IF(F136=1,COUNTIF($F$4:F136,1),"")</f>
        <v/>
      </c>
      <c r="I136" s="0" t="str">
        <f aca="false">IF(G136=1,COUNTIF($G$4:G136,1),"")</f>
        <v/>
      </c>
      <c r="R136" s="0" t="str">
        <f aca="false">IF(CC_Mode="Per equipment",IFERROR(INDEX($B$4:$B$403,MATCH(133,$I$4:$I$403,0)),""),IF(CC_Mode="Per loop",IFERROR(INDEX($B$4:$B$403,MATCH(133,$H$4:$H$403,0)),""),IF(CC_Mode="Per unit",IFERROR("Chemical cleaning – "&amp;INDEX($K$4:$K$15,MATCH(133,$N$4:$N$15,0)),""),IF(133=1,"LUMP SUM – "&amp;QProject,""))))</f>
        <v/>
      </c>
      <c r="S136" s="0" t="str">
        <f aca="false">IF(CC_Mode="Per equipment",IFERROR(INDEX($C$4:$C$403,MATCH(133,$I$4:$I$403,0)),""),IF(CC_Mode="Per loop",IFERROR(INDEX($C$4:$C$403,MATCH(133,$H$4:$H$403,0)),""),IF(CC_Mode="Per unit",IFERROR(INDEX($K$4:$K$15,MATCH(133,$N$4:$N$15,0)),""),IF(133=1,"All units",""))))</f>
        <v/>
      </c>
      <c r="T136" s="0" t="str">
        <f aca="false">IF(CC_Mode="Per equipment",IFERROR(INDEX($D$4:$D$403,MATCH(133,$I$4:$I$403,0)),""),IF(CC_Mode="Per loop",IFERROR(INDEX($D$4:$D$403,MATCH(133,$H$4:$H$403,0)),""),IF(CC_Mode="Per unit",IFERROR(INDEX($M$4:$M$15,MATCH(133,$N$4:$N$15,0)),""),IF(133=1,CC_V_GrandVol,""))))</f>
        <v/>
      </c>
      <c r="U136" s="0" t="str">
        <f aca="false">IF(CC_Mode="Per equipment",IFERROR(INDEX($E$4:$E$403,MATCH(133,$I$4:$I$403,0)),""),IF(CC_Mode="Per loop",IFERROR(INDEX($E$4:$E$403,MATCH(133,$H$4:$H$403,0)),""),IF(CC_Mode="Per unit",IFERROR(INDEX($L$4:$L$15,MATCH(133,$N$4:$N$15,0)),""),IF(133=1,CC_Net,""))))</f>
        <v/>
      </c>
    </row>
    <row r="137" customFormat="false" ht="15" hidden="false" customHeight="false" outlineLevel="0" collapsed="false">
      <c r="A137" s="0" t="s">
        <v>172</v>
      </c>
      <c r="B137" s="0" t="str">
        <f aca="false">'CC Item Pricing'!C112&amp;IF('CC Item Pricing'!D112="",""," – "&amp;'CC Item Pricing'!D112)</f>
        <v/>
      </c>
      <c r="C137" s="0" t="str">
        <f aca="false">INDEX(CC_UnitNames,'CC Item Pricing'!Y112)</f>
        <v>Unit 4</v>
      </c>
      <c r="D137" s="0" t="n">
        <f aca="false">N('CC Item Pricing'!G112)</f>
        <v>0</v>
      </c>
      <c r="E137" s="98" t="n">
        <f aca="false">'CC Item Pricing'!W112</f>
        <v>0</v>
      </c>
      <c r="F137" s="96" t="n">
        <f aca="false">IF(AND(G137=1,'CC Item Pricing'!B112=""),1,0)</f>
        <v>0</v>
      </c>
      <c r="G137" s="96" t="n">
        <f aca="false">IF(D137&gt;0,1,0)</f>
        <v>0</v>
      </c>
      <c r="H137" s="0" t="str">
        <f aca="false">IF(F137=1,COUNTIF($F$4:F137,1),"")</f>
        <v/>
      </c>
      <c r="I137" s="0" t="str">
        <f aca="false">IF(G137=1,COUNTIF($G$4:G137,1),"")</f>
        <v/>
      </c>
      <c r="R137" s="0" t="str">
        <f aca="false">IF(CC_Mode="Per equipment",IFERROR(INDEX($B$4:$B$403,MATCH(134,$I$4:$I$403,0)),""),IF(CC_Mode="Per loop",IFERROR(INDEX($B$4:$B$403,MATCH(134,$H$4:$H$403,0)),""),IF(CC_Mode="Per unit",IFERROR("Chemical cleaning – "&amp;INDEX($K$4:$K$15,MATCH(134,$N$4:$N$15,0)),""),IF(134=1,"LUMP SUM – "&amp;QProject,""))))</f>
        <v/>
      </c>
      <c r="S137" s="0" t="str">
        <f aca="false">IF(CC_Mode="Per equipment",IFERROR(INDEX($C$4:$C$403,MATCH(134,$I$4:$I$403,0)),""),IF(CC_Mode="Per loop",IFERROR(INDEX($C$4:$C$403,MATCH(134,$H$4:$H$403,0)),""),IF(CC_Mode="Per unit",IFERROR(INDEX($K$4:$K$15,MATCH(134,$N$4:$N$15,0)),""),IF(134=1,"All units",""))))</f>
        <v/>
      </c>
      <c r="T137" s="0" t="str">
        <f aca="false">IF(CC_Mode="Per equipment",IFERROR(INDEX($D$4:$D$403,MATCH(134,$I$4:$I$403,0)),""),IF(CC_Mode="Per loop",IFERROR(INDEX($D$4:$D$403,MATCH(134,$H$4:$H$403,0)),""),IF(CC_Mode="Per unit",IFERROR(INDEX($M$4:$M$15,MATCH(134,$N$4:$N$15,0)),""),IF(134=1,CC_V_GrandVol,""))))</f>
        <v/>
      </c>
      <c r="U137" s="0" t="str">
        <f aca="false">IF(CC_Mode="Per equipment",IFERROR(INDEX($E$4:$E$403,MATCH(134,$I$4:$I$403,0)),""),IF(CC_Mode="Per loop",IFERROR(INDEX($E$4:$E$403,MATCH(134,$H$4:$H$403,0)),""),IF(CC_Mode="Per unit",IFERROR(INDEX($L$4:$L$15,MATCH(134,$N$4:$N$15,0)),""),IF(134=1,CC_Net,""))))</f>
        <v/>
      </c>
    </row>
    <row r="138" customFormat="false" ht="15" hidden="false" customHeight="false" outlineLevel="0" collapsed="false">
      <c r="A138" s="0" t="s">
        <v>172</v>
      </c>
      <c r="B138" s="0" t="str">
        <f aca="false">'CC Item Pricing'!C113&amp;IF('CC Item Pricing'!D113="",""," – "&amp;'CC Item Pricing'!D113)</f>
        <v/>
      </c>
      <c r="C138" s="0" t="str">
        <f aca="false">INDEX(CC_UnitNames,'CC Item Pricing'!Y113)</f>
        <v>Unit 4</v>
      </c>
      <c r="D138" s="0" t="n">
        <f aca="false">N('CC Item Pricing'!G113)</f>
        <v>0</v>
      </c>
      <c r="E138" s="98" t="n">
        <f aca="false">'CC Item Pricing'!W113</f>
        <v>0</v>
      </c>
      <c r="F138" s="96" t="n">
        <f aca="false">IF(AND(G138=1,'CC Item Pricing'!B113=""),1,0)</f>
        <v>0</v>
      </c>
      <c r="G138" s="96" t="n">
        <f aca="false">IF(D138&gt;0,1,0)</f>
        <v>0</v>
      </c>
      <c r="H138" s="0" t="str">
        <f aca="false">IF(F138=1,COUNTIF($F$4:F138,1),"")</f>
        <v/>
      </c>
      <c r="I138" s="0" t="str">
        <f aca="false">IF(G138=1,COUNTIF($G$4:G138,1),"")</f>
        <v/>
      </c>
      <c r="R138" s="0" t="str">
        <f aca="false">IF(CC_Mode="Per equipment",IFERROR(INDEX($B$4:$B$403,MATCH(135,$I$4:$I$403,0)),""),IF(CC_Mode="Per loop",IFERROR(INDEX($B$4:$B$403,MATCH(135,$H$4:$H$403,0)),""),IF(CC_Mode="Per unit",IFERROR("Chemical cleaning – "&amp;INDEX($K$4:$K$15,MATCH(135,$N$4:$N$15,0)),""),IF(135=1,"LUMP SUM – "&amp;QProject,""))))</f>
        <v/>
      </c>
      <c r="S138" s="0" t="str">
        <f aca="false">IF(CC_Mode="Per equipment",IFERROR(INDEX($C$4:$C$403,MATCH(135,$I$4:$I$403,0)),""),IF(CC_Mode="Per loop",IFERROR(INDEX($C$4:$C$403,MATCH(135,$H$4:$H$403,0)),""),IF(CC_Mode="Per unit",IFERROR(INDEX($K$4:$K$15,MATCH(135,$N$4:$N$15,0)),""),IF(135=1,"All units",""))))</f>
        <v/>
      </c>
      <c r="T138" s="0" t="str">
        <f aca="false">IF(CC_Mode="Per equipment",IFERROR(INDEX($D$4:$D$403,MATCH(135,$I$4:$I$403,0)),""),IF(CC_Mode="Per loop",IFERROR(INDEX($D$4:$D$403,MATCH(135,$H$4:$H$403,0)),""),IF(CC_Mode="Per unit",IFERROR(INDEX($M$4:$M$15,MATCH(135,$N$4:$N$15,0)),""),IF(135=1,CC_V_GrandVol,""))))</f>
        <v/>
      </c>
      <c r="U138" s="0" t="str">
        <f aca="false">IF(CC_Mode="Per equipment",IFERROR(INDEX($E$4:$E$403,MATCH(135,$I$4:$I$403,0)),""),IF(CC_Mode="Per loop",IFERROR(INDEX($E$4:$E$403,MATCH(135,$H$4:$H$403,0)),""),IF(CC_Mode="Per unit",IFERROR(INDEX($L$4:$L$15,MATCH(135,$N$4:$N$15,0)),""),IF(135=1,CC_Net,""))))</f>
        <v/>
      </c>
    </row>
    <row r="139" customFormat="false" ht="15" hidden="false" customHeight="false" outlineLevel="0" collapsed="false">
      <c r="A139" s="0" t="s">
        <v>172</v>
      </c>
      <c r="B139" s="0" t="str">
        <f aca="false">'CC Item Pricing'!C114&amp;IF('CC Item Pricing'!D114="",""," – "&amp;'CC Item Pricing'!D114)</f>
        <v/>
      </c>
      <c r="C139" s="0" t="str">
        <f aca="false">INDEX(CC_UnitNames,'CC Item Pricing'!Y114)</f>
        <v>Unit 4</v>
      </c>
      <c r="D139" s="0" t="n">
        <f aca="false">N('CC Item Pricing'!G114)</f>
        <v>0</v>
      </c>
      <c r="E139" s="98" t="n">
        <f aca="false">'CC Item Pricing'!W114</f>
        <v>0</v>
      </c>
      <c r="F139" s="96" t="n">
        <f aca="false">IF(AND(G139=1,'CC Item Pricing'!B114=""),1,0)</f>
        <v>0</v>
      </c>
      <c r="G139" s="96" t="n">
        <f aca="false">IF(D139&gt;0,1,0)</f>
        <v>0</v>
      </c>
      <c r="H139" s="0" t="str">
        <f aca="false">IF(F139=1,COUNTIF($F$4:F139,1),"")</f>
        <v/>
      </c>
      <c r="I139" s="0" t="str">
        <f aca="false">IF(G139=1,COUNTIF($G$4:G139,1),"")</f>
        <v/>
      </c>
      <c r="R139" s="0" t="str">
        <f aca="false">IF(CC_Mode="Per equipment",IFERROR(INDEX($B$4:$B$403,MATCH(136,$I$4:$I$403,0)),""),IF(CC_Mode="Per loop",IFERROR(INDEX($B$4:$B$403,MATCH(136,$H$4:$H$403,0)),""),IF(CC_Mode="Per unit",IFERROR("Chemical cleaning – "&amp;INDEX($K$4:$K$15,MATCH(136,$N$4:$N$15,0)),""),IF(136=1,"LUMP SUM – "&amp;QProject,""))))</f>
        <v/>
      </c>
      <c r="S139" s="0" t="str">
        <f aca="false">IF(CC_Mode="Per equipment",IFERROR(INDEX($C$4:$C$403,MATCH(136,$I$4:$I$403,0)),""),IF(CC_Mode="Per loop",IFERROR(INDEX($C$4:$C$403,MATCH(136,$H$4:$H$403,0)),""),IF(CC_Mode="Per unit",IFERROR(INDEX($K$4:$K$15,MATCH(136,$N$4:$N$15,0)),""),IF(136=1,"All units",""))))</f>
        <v/>
      </c>
      <c r="T139" s="0" t="str">
        <f aca="false">IF(CC_Mode="Per equipment",IFERROR(INDEX($D$4:$D$403,MATCH(136,$I$4:$I$403,0)),""),IF(CC_Mode="Per loop",IFERROR(INDEX($D$4:$D$403,MATCH(136,$H$4:$H$403,0)),""),IF(CC_Mode="Per unit",IFERROR(INDEX($M$4:$M$15,MATCH(136,$N$4:$N$15,0)),""),IF(136=1,CC_V_GrandVol,""))))</f>
        <v/>
      </c>
      <c r="U139" s="0" t="str">
        <f aca="false">IF(CC_Mode="Per equipment",IFERROR(INDEX($E$4:$E$403,MATCH(136,$I$4:$I$403,0)),""),IF(CC_Mode="Per loop",IFERROR(INDEX($E$4:$E$403,MATCH(136,$H$4:$H$403,0)),""),IF(CC_Mode="Per unit",IFERROR(INDEX($L$4:$L$15,MATCH(136,$N$4:$N$15,0)),""),IF(136=1,CC_Net,""))))</f>
        <v/>
      </c>
    </row>
    <row r="140" customFormat="false" ht="15" hidden="false" customHeight="false" outlineLevel="0" collapsed="false">
      <c r="A140" s="0" t="s">
        <v>172</v>
      </c>
      <c r="B140" s="0" t="str">
        <f aca="false">'CC Item Pricing'!C115&amp;IF('CC Item Pricing'!D115="",""," – "&amp;'CC Item Pricing'!D115)</f>
        <v/>
      </c>
      <c r="C140" s="0" t="str">
        <f aca="false">INDEX(CC_UnitNames,'CC Item Pricing'!Y115)</f>
        <v>Unit 4</v>
      </c>
      <c r="D140" s="0" t="n">
        <f aca="false">N('CC Item Pricing'!G115)</f>
        <v>0</v>
      </c>
      <c r="E140" s="98" t="n">
        <f aca="false">'CC Item Pricing'!W115</f>
        <v>0</v>
      </c>
      <c r="F140" s="96" t="n">
        <f aca="false">IF(AND(G140=1,'CC Item Pricing'!B115=""),1,0)</f>
        <v>0</v>
      </c>
      <c r="G140" s="96" t="n">
        <f aca="false">IF(D140&gt;0,1,0)</f>
        <v>0</v>
      </c>
      <c r="H140" s="0" t="str">
        <f aca="false">IF(F140=1,COUNTIF($F$4:F140,1),"")</f>
        <v/>
      </c>
      <c r="I140" s="0" t="str">
        <f aca="false">IF(G140=1,COUNTIF($G$4:G140,1),"")</f>
        <v/>
      </c>
      <c r="R140" s="0" t="str">
        <f aca="false">IF(CC_Mode="Per equipment",IFERROR(INDEX($B$4:$B$403,MATCH(137,$I$4:$I$403,0)),""),IF(CC_Mode="Per loop",IFERROR(INDEX($B$4:$B$403,MATCH(137,$H$4:$H$403,0)),""),IF(CC_Mode="Per unit",IFERROR("Chemical cleaning – "&amp;INDEX($K$4:$K$15,MATCH(137,$N$4:$N$15,0)),""),IF(137=1,"LUMP SUM – "&amp;QProject,""))))</f>
        <v/>
      </c>
      <c r="S140" s="0" t="str">
        <f aca="false">IF(CC_Mode="Per equipment",IFERROR(INDEX($C$4:$C$403,MATCH(137,$I$4:$I$403,0)),""),IF(CC_Mode="Per loop",IFERROR(INDEX($C$4:$C$403,MATCH(137,$H$4:$H$403,0)),""),IF(CC_Mode="Per unit",IFERROR(INDEX($K$4:$K$15,MATCH(137,$N$4:$N$15,0)),""),IF(137=1,"All units",""))))</f>
        <v/>
      </c>
      <c r="T140" s="0" t="str">
        <f aca="false">IF(CC_Mode="Per equipment",IFERROR(INDEX($D$4:$D$403,MATCH(137,$I$4:$I$403,0)),""),IF(CC_Mode="Per loop",IFERROR(INDEX($D$4:$D$403,MATCH(137,$H$4:$H$403,0)),""),IF(CC_Mode="Per unit",IFERROR(INDEX($M$4:$M$15,MATCH(137,$N$4:$N$15,0)),""),IF(137=1,CC_V_GrandVol,""))))</f>
        <v/>
      </c>
      <c r="U140" s="0" t="str">
        <f aca="false">IF(CC_Mode="Per equipment",IFERROR(INDEX($E$4:$E$403,MATCH(137,$I$4:$I$403,0)),""),IF(CC_Mode="Per loop",IFERROR(INDEX($E$4:$E$403,MATCH(137,$H$4:$H$403,0)),""),IF(CC_Mode="Per unit",IFERROR(INDEX($L$4:$L$15,MATCH(137,$N$4:$N$15,0)),""),IF(137=1,CC_Net,""))))</f>
        <v/>
      </c>
    </row>
    <row r="141" customFormat="false" ht="15" hidden="false" customHeight="false" outlineLevel="0" collapsed="false">
      <c r="A141" s="0" t="s">
        <v>172</v>
      </c>
      <c r="B141" s="0" t="str">
        <f aca="false">'CC Item Pricing'!C116&amp;IF('CC Item Pricing'!D116="",""," – "&amp;'CC Item Pricing'!D116)</f>
        <v/>
      </c>
      <c r="C141" s="0" t="str">
        <f aca="false">INDEX(CC_UnitNames,'CC Item Pricing'!Y116)</f>
        <v>Unit 4</v>
      </c>
      <c r="D141" s="0" t="n">
        <f aca="false">N('CC Item Pricing'!G116)</f>
        <v>0</v>
      </c>
      <c r="E141" s="98" t="n">
        <f aca="false">'CC Item Pricing'!W116</f>
        <v>0</v>
      </c>
      <c r="F141" s="96" t="n">
        <f aca="false">IF(AND(G141=1,'CC Item Pricing'!B116=""),1,0)</f>
        <v>0</v>
      </c>
      <c r="G141" s="96" t="n">
        <f aca="false">IF(D141&gt;0,1,0)</f>
        <v>0</v>
      </c>
      <c r="H141" s="0" t="str">
        <f aca="false">IF(F141=1,COUNTIF($F$4:F141,1),"")</f>
        <v/>
      </c>
      <c r="I141" s="0" t="str">
        <f aca="false">IF(G141=1,COUNTIF($G$4:G141,1),"")</f>
        <v/>
      </c>
      <c r="R141" s="0" t="str">
        <f aca="false">IF(CC_Mode="Per equipment",IFERROR(INDEX($B$4:$B$403,MATCH(138,$I$4:$I$403,0)),""),IF(CC_Mode="Per loop",IFERROR(INDEX($B$4:$B$403,MATCH(138,$H$4:$H$403,0)),""),IF(CC_Mode="Per unit",IFERROR("Chemical cleaning – "&amp;INDEX($K$4:$K$15,MATCH(138,$N$4:$N$15,0)),""),IF(138=1,"LUMP SUM – "&amp;QProject,""))))</f>
        <v/>
      </c>
      <c r="S141" s="0" t="str">
        <f aca="false">IF(CC_Mode="Per equipment",IFERROR(INDEX($C$4:$C$403,MATCH(138,$I$4:$I$403,0)),""),IF(CC_Mode="Per loop",IFERROR(INDEX($C$4:$C$403,MATCH(138,$H$4:$H$403,0)),""),IF(CC_Mode="Per unit",IFERROR(INDEX($K$4:$K$15,MATCH(138,$N$4:$N$15,0)),""),IF(138=1,"All units",""))))</f>
        <v/>
      </c>
      <c r="T141" s="0" t="str">
        <f aca="false">IF(CC_Mode="Per equipment",IFERROR(INDEX($D$4:$D$403,MATCH(138,$I$4:$I$403,0)),""),IF(CC_Mode="Per loop",IFERROR(INDEX($D$4:$D$403,MATCH(138,$H$4:$H$403,0)),""),IF(CC_Mode="Per unit",IFERROR(INDEX($M$4:$M$15,MATCH(138,$N$4:$N$15,0)),""),IF(138=1,CC_V_GrandVol,""))))</f>
        <v/>
      </c>
      <c r="U141" s="0" t="str">
        <f aca="false">IF(CC_Mode="Per equipment",IFERROR(INDEX($E$4:$E$403,MATCH(138,$I$4:$I$403,0)),""),IF(CC_Mode="Per loop",IFERROR(INDEX($E$4:$E$403,MATCH(138,$H$4:$H$403,0)),""),IF(CC_Mode="Per unit",IFERROR(INDEX($L$4:$L$15,MATCH(138,$N$4:$N$15,0)),""),IF(138=1,CC_Net,""))))</f>
        <v/>
      </c>
    </row>
    <row r="142" customFormat="false" ht="15" hidden="false" customHeight="false" outlineLevel="0" collapsed="false">
      <c r="A142" s="0" t="s">
        <v>172</v>
      </c>
      <c r="B142" s="0" t="str">
        <f aca="false">'CC Item Pricing'!C117&amp;IF('CC Item Pricing'!D117="",""," – "&amp;'CC Item Pricing'!D117)</f>
        <v/>
      </c>
      <c r="C142" s="0" t="str">
        <f aca="false">INDEX(CC_UnitNames,'CC Item Pricing'!Y117)</f>
        <v>Unit 4</v>
      </c>
      <c r="D142" s="0" t="n">
        <f aca="false">N('CC Item Pricing'!G117)</f>
        <v>0</v>
      </c>
      <c r="E142" s="98" t="n">
        <f aca="false">'CC Item Pricing'!W117</f>
        <v>0</v>
      </c>
      <c r="F142" s="96" t="n">
        <f aca="false">IF(AND(G142=1,'CC Item Pricing'!B117=""),1,0)</f>
        <v>0</v>
      </c>
      <c r="G142" s="96" t="n">
        <f aca="false">IF(D142&gt;0,1,0)</f>
        <v>0</v>
      </c>
      <c r="H142" s="0" t="str">
        <f aca="false">IF(F142=1,COUNTIF($F$4:F142,1),"")</f>
        <v/>
      </c>
      <c r="I142" s="0" t="str">
        <f aca="false">IF(G142=1,COUNTIF($G$4:G142,1),"")</f>
        <v/>
      </c>
      <c r="R142" s="0" t="str">
        <f aca="false">IF(CC_Mode="Per equipment",IFERROR(INDEX($B$4:$B$403,MATCH(139,$I$4:$I$403,0)),""),IF(CC_Mode="Per loop",IFERROR(INDEX($B$4:$B$403,MATCH(139,$H$4:$H$403,0)),""),IF(CC_Mode="Per unit",IFERROR("Chemical cleaning – "&amp;INDEX($K$4:$K$15,MATCH(139,$N$4:$N$15,0)),""),IF(139=1,"LUMP SUM – "&amp;QProject,""))))</f>
        <v/>
      </c>
      <c r="S142" s="0" t="str">
        <f aca="false">IF(CC_Mode="Per equipment",IFERROR(INDEX($C$4:$C$403,MATCH(139,$I$4:$I$403,0)),""),IF(CC_Mode="Per loop",IFERROR(INDEX($C$4:$C$403,MATCH(139,$H$4:$H$403,0)),""),IF(CC_Mode="Per unit",IFERROR(INDEX($K$4:$K$15,MATCH(139,$N$4:$N$15,0)),""),IF(139=1,"All units",""))))</f>
        <v/>
      </c>
      <c r="T142" s="0" t="str">
        <f aca="false">IF(CC_Mode="Per equipment",IFERROR(INDEX($D$4:$D$403,MATCH(139,$I$4:$I$403,0)),""),IF(CC_Mode="Per loop",IFERROR(INDEX($D$4:$D$403,MATCH(139,$H$4:$H$403,0)),""),IF(CC_Mode="Per unit",IFERROR(INDEX($M$4:$M$15,MATCH(139,$N$4:$N$15,0)),""),IF(139=1,CC_V_GrandVol,""))))</f>
        <v/>
      </c>
      <c r="U142" s="0" t="str">
        <f aca="false">IF(CC_Mode="Per equipment",IFERROR(INDEX($E$4:$E$403,MATCH(139,$I$4:$I$403,0)),""),IF(CC_Mode="Per loop",IFERROR(INDEX($E$4:$E$403,MATCH(139,$H$4:$H$403,0)),""),IF(CC_Mode="Per unit",IFERROR(INDEX($L$4:$L$15,MATCH(139,$N$4:$N$15,0)),""),IF(139=1,CC_Net,""))))</f>
        <v/>
      </c>
    </row>
    <row r="143" customFormat="false" ht="15" hidden="false" customHeight="false" outlineLevel="0" collapsed="false">
      <c r="A143" s="0" t="s">
        <v>172</v>
      </c>
      <c r="B143" s="0" t="str">
        <f aca="false">'CC Item Pricing'!C118&amp;IF('CC Item Pricing'!D118="",""," – "&amp;'CC Item Pricing'!D118)</f>
        <v/>
      </c>
      <c r="C143" s="0" t="str">
        <f aca="false">INDEX(CC_UnitNames,'CC Item Pricing'!Y118)</f>
        <v>Unit 4</v>
      </c>
      <c r="D143" s="0" t="n">
        <f aca="false">N('CC Item Pricing'!G118)</f>
        <v>0</v>
      </c>
      <c r="E143" s="98" t="n">
        <f aca="false">'CC Item Pricing'!W118</f>
        <v>0</v>
      </c>
      <c r="F143" s="96" t="n">
        <f aca="false">IF(AND(G143=1,'CC Item Pricing'!B118=""),1,0)</f>
        <v>0</v>
      </c>
      <c r="G143" s="96" t="n">
        <f aca="false">IF(D143&gt;0,1,0)</f>
        <v>0</v>
      </c>
      <c r="H143" s="0" t="str">
        <f aca="false">IF(F143=1,COUNTIF($F$4:F143,1),"")</f>
        <v/>
      </c>
      <c r="I143" s="0" t="str">
        <f aca="false">IF(G143=1,COUNTIF($G$4:G143,1),"")</f>
        <v/>
      </c>
      <c r="R143" s="0" t="str">
        <f aca="false">IF(CC_Mode="Per equipment",IFERROR(INDEX($B$4:$B$403,MATCH(140,$I$4:$I$403,0)),""),IF(CC_Mode="Per loop",IFERROR(INDEX($B$4:$B$403,MATCH(140,$H$4:$H$403,0)),""),IF(CC_Mode="Per unit",IFERROR("Chemical cleaning – "&amp;INDEX($K$4:$K$15,MATCH(140,$N$4:$N$15,0)),""),IF(140=1,"LUMP SUM – "&amp;QProject,""))))</f>
        <v/>
      </c>
      <c r="S143" s="0" t="str">
        <f aca="false">IF(CC_Mode="Per equipment",IFERROR(INDEX($C$4:$C$403,MATCH(140,$I$4:$I$403,0)),""),IF(CC_Mode="Per loop",IFERROR(INDEX($C$4:$C$403,MATCH(140,$H$4:$H$403,0)),""),IF(CC_Mode="Per unit",IFERROR(INDEX($K$4:$K$15,MATCH(140,$N$4:$N$15,0)),""),IF(140=1,"All units",""))))</f>
        <v/>
      </c>
      <c r="T143" s="0" t="str">
        <f aca="false">IF(CC_Mode="Per equipment",IFERROR(INDEX($D$4:$D$403,MATCH(140,$I$4:$I$403,0)),""),IF(CC_Mode="Per loop",IFERROR(INDEX($D$4:$D$403,MATCH(140,$H$4:$H$403,0)),""),IF(CC_Mode="Per unit",IFERROR(INDEX($M$4:$M$15,MATCH(140,$N$4:$N$15,0)),""),IF(140=1,CC_V_GrandVol,""))))</f>
        <v/>
      </c>
      <c r="U143" s="0" t="str">
        <f aca="false">IF(CC_Mode="Per equipment",IFERROR(INDEX($E$4:$E$403,MATCH(140,$I$4:$I$403,0)),""),IF(CC_Mode="Per loop",IFERROR(INDEX($E$4:$E$403,MATCH(140,$H$4:$H$403,0)),""),IF(CC_Mode="Per unit",IFERROR(INDEX($L$4:$L$15,MATCH(140,$N$4:$N$15,0)),""),IF(140=1,CC_Net,""))))</f>
        <v/>
      </c>
    </row>
    <row r="144" customFormat="false" ht="15" hidden="false" customHeight="false" outlineLevel="0" collapsed="false">
      <c r="A144" s="0" t="s">
        <v>172</v>
      </c>
      <c r="B144" s="0" t="str">
        <f aca="false">'CC Item Pricing'!C119&amp;IF('CC Item Pricing'!D119="",""," – "&amp;'CC Item Pricing'!D119)</f>
        <v/>
      </c>
      <c r="C144" s="0" t="str">
        <f aca="false">INDEX(CC_UnitNames,'CC Item Pricing'!Y119)</f>
        <v>Unit 4</v>
      </c>
      <c r="D144" s="0" t="n">
        <f aca="false">N('CC Item Pricing'!G119)</f>
        <v>0</v>
      </c>
      <c r="E144" s="98" t="n">
        <f aca="false">'CC Item Pricing'!W119</f>
        <v>0</v>
      </c>
      <c r="F144" s="96" t="n">
        <f aca="false">IF(AND(G144=1,'CC Item Pricing'!B119=""),1,0)</f>
        <v>0</v>
      </c>
      <c r="G144" s="96" t="n">
        <f aca="false">IF(D144&gt;0,1,0)</f>
        <v>0</v>
      </c>
      <c r="H144" s="0" t="str">
        <f aca="false">IF(F144=1,COUNTIF($F$4:F144,1),"")</f>
        <v/>
      </c>
      <c r="I144" s="0" t="str">
        <f aca="false">IF(G144=1,COUNTIF($G$4:G144,1),"")</f>
        <v/>
      </c>
      <c r="R144" s="0" t="str">
        <f aca="false">IF(CC_Mode="Per equipment",IFERROR(INDEX($B$4:$B$403,MATCH(141,$I$4:$I$403,0)),""),IF(CC_Mode="Per loop",IFERROR(INDEX($B$4:$B$403,MATCH(141,$H$4:$H$403,0)),""),IF(CC_Mode="Per unit",IFERROR("Chemical cleaning – "&amp;INDEX($K$4:$K$15,MATCH(141,$N$4:$N$15,0)),""),IF(141=1,"LUMP SUM – "&amp;QProject,""))))</f>
        <v/>
      </c>
      <c r="S144" s="0" t="str">
        <f aca="false">IF(CC_Mode="Per equipment",IFERROR(INDEX($C$4:$C$403,MATCH(141,$I$4:$I$403,0)),""),IF(CC_Mode="Per loop",IFERROR(INDEX($C$4:$C$403,MATCH(141,$H$4:$H$403,0)),""),IF(CC_Mode="Per unit",IFERROR(INDEX($K$4:$K$15,MATCH(141,$N$4:$N$15,0)),""),IF(141=1,"All units",""))))</f>
        <v/>
      </c>
      <c r="T144" s="0" t="str">
        <f aca="false">IF(CC_Mode="Per equipment",IFERROR(INDEX($D$4:$D$403,MATCH(141,$I$4:$I$403,0)),""),IF(CC_Mode="Per loop",IFERROR(INDEX($D$4:$D$403,MATCH(141,$H$4:$H$403,0)),""),IF(CC_Mode="Per unit",IFERROR(INDEX($M$4:$M$15,MATCH(141,$N$4:$N$15,0)),""),IF(141=1,CC_V_GrandVol,""))))</f>
        <v/>
      </c>
      <c r="U144" s="0" t="str">
        <f aca="false">IF(CC_Mode="Per equipment",IFERROR(INDEX($E$4:$E$403,MATCH(141,$I$4:$I$403,0)),""),IF(CC_Mode="Per loop",IFERROR(INDEX($E$4:$E$403,MATCH(141,$H$4:$H$403,0)),""),IF(CC_Mode="Per unit",IFERROR(INDEX($L$4:$L$15,MATCH(141,$N$4:$N$15,0)),""),IF(141=1,CC_Net,""))))</f>
        <v/>
      </c>
    </row>
    <row r="145" customFormat="false" ht="15" hidden="false" customHeight="false" outlineLevel="0" collapsed="false">
      <c r="A145" s="0" t="s">
        <v>172</v>
      </c>
      <c r="B145" s="0" t="str">
        <f aca="false">'CC Item Pricing'!C120&amp;IF('CC Item Pricing'!D120="",""," – "&amp;'CC Item Pricing'!D120)</f>
        <v/>
      </c>
      <c r="C145" s="0" t="str">
        <f aca="false">INDEX(CC_UnitNames,'CC Item Pricing'!Y120)</f>
        <v>Unit 4</v>
      </c>
      <c r="D145" s="0" t="n">
        <f aca="false">N('CC Item Pricing'!G120)</f>
        <v>0</v>
      </c>
      <c r="E145" s="98" t="n">
        <f aca="false">'CC Item Pricing'!W120</f>
        <v>0</v>
      </c>
      <c r="F145" s="96" t="n">
        <f aca="false">IF(AND(G145=1,'CC Item Pricing'!B120=""),1,0)</f>
        <v>0</v>
      </c>
      <c r="G145" s="96" t="n">
        <f aca="false">IF(D145&gt;0,1,0)</f>
        <v>0</v>
      </c>
      <c r="H145" s="0" t="str">
        <f aca="false">IF(F145=1,COUNTIF($F$4:F145,1),"")</f>
        <v/>
      </c>
      <c r="I145" s="0" t="str">
        <f aca="false">IF(G145=1,COUNTIF($G$4:G145,1),"")</f>
        <v/>
      </c>
      <c r="R145" s="0" t="str">
        <f aca="false">IF(CC_Mode="Per equipment",IFERROR(INDEX($B$4:$B$403,MATCH(142,$I$4:$I$403,0)),""),IF(CC_Mode="Per loop",IFERROR(INDEX($B$4:$B$403,MATCH(142,$H$4:$H$403,0)),""),IF(CC_Mode="Per unit",IFERROR("Chemical cleaning – "&amp;INDEX($K$4:$K$15,MATCH(142,$N$4:$N$15,0)),""),IF(142=1,"LUMP SUM – "&amp;QProject,""))))</f>
        <v/>
      </c>
      <c r="S145" s="0" t="str">
        <f aca="false">IF(CC_Mode="Per equipment",IFERROR(INDEX($C$4:$C$403,MATCH(142,$I$4:$I$403,0)),""),IF(CC_Mode="Per loop",IFERROR(INDEX($C$4:$C$403,MATCH(142,$H$4:$H$403,0)),""),IF(CC_Mode="Per unit",IFERROR(INDEX($K$4:$K$15,MATCH(142,$N$4:$N$15,0)),""),IF(142=1,"All units",""))))</f>
        <v/>
      </c>
      <c r="T145" s="0" t="str">
        <f aca="false">IF(CC_Mode="Per equipment",IFERROR(INDEX($D$4:$D$403,MATCH(142,$I$4:$I$403,0)),""),IF(CC_Mode="Per loop",IFERROR(INDEX($D$4:$D$403,MATCH(142,$H$4:$H$403,0)),""),IF(CC_Mode="Per unit",IFERROR(INDEX($M$4:$M$15,MATCH(142,$N$4:$N$15,0)),""),IF(142=1,CC_V_GrandVol,""))))</f>
        <v/>
      </c>
      <c r="U145" s="0" t="str">
        <f aca="false">IF(CC_Mode="Per equipment",IFERROR(INDEX($E$4:$E$403,MATCH(142,$I$4:$I$403,0)),""),IF(CC_Mode="Per loop",IFERROR(INDEX($E$4:$E$403,MATCH(142,$H$4:$H$403,0)),""),IF(CC_Mode="Per unit",IFERROR(INDEX($L$4:$L$15,MATCH(142,$N$4:$N$15,0)),""),IF(142=1,CC_Net,""))))</f>
        <v/>
      </c>
    </row>
    <row r="146" customFormat="false" ht="15" hidden="false" customHeight="false" outlineLevel="0" collapsed="false">
      <c r="A146" s="0" t="s">
        <v>172</v>
      </c>
      <c r="B146" s="0" t="str">
        <f aca="false">'CC Item Pricing'!C121&amp;IF('CC Item Pricing'!D121="",""," – "&amp;'CC Item Pricing'!D121)</f>
        <v/>
      </c>
      <c r="C146" s="0" t="str">
        <f aca="false">INDEX(CC_UnitNames,'CC Item Pricing'!Y121)</f>
        <v>Unit 4</v>
      </c>
      <c r="D146" s="0" t="n">
        <f aca="false">N('CC Item Pricing'!G121)</f>
        <v>0</v>
      </c>
      <c r="E146" s="98" t="n">
        <f aca="false">'CC Item Pricing'!W121</f>
        <v>0</v>
      </c>
      <c r="F146" s="96" t="n">
        <f aca="false">IF(AND(G146=1,'CC Item Pricing'!B121=""),1,0)</f>
        <v>0</v>
      </c>
      <c r="G146" s="96" t="n">
        <f aca="false">IF(D146&gt;0,1,0)</f>
        <v>0</v>
      </c>
      <c r="H146" s="0" t="str">
        <f aca="false">IF(F146=1,COUNTIF($F$4:F146,1),"")</f>
        <v/>
      </c>
      <c r="I146" s="0" t="str">
        <f aca="false">IF(G146=1,COUNTIF($G$4:G146,1),"")</f>
        <v/>
      </c>
      <c r="R146" s="0" t="str">
        <f aca="false">IF(CC_Mode="Per equipment",IFERROR(INDEX($B$4:$B$403,MATCH(143,$I$4:$I$403,0)),""),IF(CC_Mode="Per loop",IFERROR(INDEX($B$4:$B$403,MATCH(143,$H$4:$H$403,0)),""),IF(CC_Mode="Per unit",IFERROR("Chemical cleaning – "&amp;INDEX($K$4:$K$15,MATCH(143,$N$4:$N$15,0)),""),IF(143=1,"LUMP SUM – "&amp;QProject,""))))</f>
        <v/>
      </c>
      <c r="S146" s="0" t="str">
        <f aca="false">IF(CC_Mode="Per equipment",IFERROR(INDEX($C$4:$C$403,MATCH(143,$I$4:$I$403,0)),""),IF(CC_Mode="Per loop",IFERROR(INDEX($C$4:$C$403,MATCH(143,$H$4:$H$403,0)),""),IF(CC_Mode="Per unit",IFERROR(INDEX($K$4:$K$15,MATCH(143,$N$4:$N$15,0)),""),IF(143=1,"All units",""))))</f>
        <v/>
      </c>
      <c r="T146" s="0" t="str">
        <f aca="false">IF(CC_Mode="Per equipment",IFERROR(INDEX($D$4:$D$403,MATCH(143,$I$4:$I$403,0)),""),IF(CC_Mode="Per loop",IFERROR(INDEX($D$4:$D$403,MATCH(143,$H$4:$H$403,0)),""),IF(CC_Mode="Per unit",IFERROR(INDEX($M$4:$M$15,MATCH(143,$N$4:$N$15,0)),""),IF(143=1,CC_V_GrandVol,""))))</f>
        <v/>
      </c>
      <c r="U146" s="0" t="str">
        <f aca="false">IF(CC_Mode="Per equipment",IFERROR(INDEX($E$4:$E$403,MATCH(143,$I$4:$I$403,0)),""),IF(CC_Mode="Per loop",IFERROR(INDEX($E$4:$E$403,MATCH(143,$H$4:$H$403,0)),""),IF(CC_Mode="Per unit",IFERROR(INDEX($L$4:$L$15,MATCH(143,$N$4:$N$15,0)),""),IF(143=1,CC_Net,""))))</f>
        <v/>
      </c>
    </row>
    <row r="147" customFormat="false" ht="15" hidden="false" customHeight="false" outlineLevel="0" collapsed="false">
      <c r="A147" s="0" t="s">
        <v>172</v>
      </c>
      <c r="B147" s="0" t="str">
        <f aca="false">'CC Item Pricing'!C122&amp;IF('CC Item Pricing'!D122="",""," – "&amp;'CC Item Pricing'!D122)</f>
        <v/>
      </c>
      <c r="C147" s="0" t="str">
        <f aca="false">INDEX(CC_UnitNames,'CC Item Pricing'!Y122)</f>
        <v>Unit 4</v>
      </c>
      <c r="D147" s="0" t="n">
        <f aca="false">N('CC Item Pricing'!G122)</f>
        <v>0</v>
      </c>
      <c r="E147" s="98" t="n">
        <f aca="false">'CC Item Pricing'!W122</f>
        <v>0</v>
      </c>
      <c r="F147" s="96" t="n">
        <f aca="false">IF(AND(G147=1,'CC Item Pricing'!B122=""),1,0)</f>
        <v>0</v>
      </c>
      <c r="G147" s="96" t="n">
        <f aca="false">IF(D147&gt;0,1,0)</f>
        <v>0</v>
      </c>
      <c r="H147" s="0" t="str">
        <f aca="false">IF(F147=1,COUNTIF($F$4:F147,1),"")</f>
        <v/>
      </c>
      <c r="I147" s="0" t="str">
        <f aca="false">IF(G147=1,COUNTIF($G$4:G147,1),"")</f>
        <v/>
      </c>
      <c r="R147" s="0" t="str">
        <f aca="false">IF(CC_Mode="Per equipment",IFERROR(INDEX($B$4:$B$403,MATCH(144,$I$4:$I$403,0)),""),IF(CC_Mode="Per loop",IFERROR(INDEX($B$4:$B$403,MATCH(144,$H$4:$H$403,0)),""),IF(CC_Mode="Per unit",IFERROR("Chemical cleaning – "&amp;INDEX($K$4:$K$15,MATCH(144,$N$4:$N$15,0)),""),IF(144=1,"LUMP SUM – "&amp;QProject,""))))</f>
        <v/>
      </c>
      <c r="S147" s="0" t="str">
        <f aca="false">IF(CC_Mode="Per equipment",IFERROR(INDEX($C$4:$C$403,MATCH(144,$I$4:$I$403,0)),""),IF(CC_Mode="Per loop",IFERROR(INDEX($C$4:$C$403,MATCH(144,$H$4:$H$403,0)),""),IF(CC_Mode="Per unit",IFERROR(INDEX($K$4:$K$15,MATCH(144,$N$4:$N$15,0)),""),IF(144=1,"All units",""))))</f>
        <v/>
      </c>
      <c r="T147" s="0" t="str">
        <f aca="false">IF(CC_Mode="Per equipment",IFERROR(INDEX($D$4:$D$403,MATCH(144,$I$4:$I$403,0)),""),IF(CC_Mode="Per loop",IFERROR(INDEX($D$4:$D$403,MATCH(144,$H$4:$H$403,0)),""),IF(CC_Mode="Per unit",IFERROR(INDEX($M$4:$M$15,MATCH(144,$N$4:$N$15,0)),""),IF(144=1,CC_V_GrandVol,""))))</f>
        <v/>
      </c>
      <c r="U147" s="0" t="str">
        <f aca="false">IF(CC_Mode="Per equipment",IFERROR(INDEX($E$4:$E$403,MATCH(144,$I$4:$I$403,0)),""),IF(CC_Mode="Per loop",IFERROR(INDEX($E$4:$E$403,MATCH(144,$H$4:$H$403,0)),""),IF(CC_Mode="Per unit",IFERROR(INDEX($L$4:$L$15,MATCH(144,$N$4:$N$15,0)),""),IF(144=1,CC_Net,""))))</f>
        <v/>
      </c>
    </row>
    <row r="148" customFormat="false" ht="15" hidden="false" customHeight="false" outlineLevel="0" collapsed="false">
      <c r="A148" s="0" t="s">
        <v>172</v>
      </c>
      <c r="B148" s="0" t="str">
        <f aca="false">'CC Item Pricing'!C123&amp;IF('CC Item Pricing'!D123="",""," – "&amp;'CC Item Pricing'!D123)</f>
        <v/>
      </c>
      <c r="C148" s="0" t="str">
        <f aca="false">INDEX(CC_UnitNames,'CC Item Pricing'!Y123)</f>
        <v>Unit 4</v>
      </c>
      <c r="D148" s="0" t="n">
        <f aca="false">N('CC Item Pricing'!G123)</f>
        <v>0</v>
      </c>
      <c r="E148" s="98" t="n">
        <f aca="false">'CC Item Pricing'!W123</f>
        <v>0</v>
      </c>
      <c r="F148" s="96" t="n">
        <f aca="false">IF(AND(G148=1,'CC Item Pricing'!B123=""),1,0)</f>
        <v>0</v>
      </c>
      <c r="G148" s="96" t="n">
        <f aca="false">IF(D148&gt;0,1,0)</f>
        <v>0</v>
      </c>
      <c r="H148" s="0" t="str">
        <f aca="false">IF(F148=1,COUNTIF($F$4:F148,1),"")</f>
        <v/>
      </c>
      <c r="I148" s="0" t="str">
        <f aca="false">IF(G148=1,COUNTIF($G$4:G148,1),"")</f>
        <v/>
      </c>
      <c r="R148" s="0" t="str">
        <f aca="false">IF(CC_Mode="Per equipment",IFERROR(INDEX($B$4:$B$403,MATCH(145,$I$4:$I$403,0)),""),IF(CC_Mode="Per loop",IFERROR(INDEX($B$4:$B$403,MATCH(145,$H$4:$H$403,0)),""),IF(CC_Mode="Per unit",IFERROR("Chemical cleaning – "&amp;INDEX($K$4:$K$15,MATCH(145,$N$4:$N$15,0)),""),IF(145=1,"LUMP SUM – "&amp;QProject,""))))</f>
        <v/>
      </c>
      <c r="S148" s="0" t="str">
        <f aca="false">IF(CC_Mode="Per equipment",IFERROR(INDEX($C$4:$C$403,MATCH(145,$I$4:$I$403,0)),""),IF(CC_Mode="Per loop",IFERROR(INDEX($C$4:$C$403,MATCH(145,$H$4:$H$403,0)),""),IF(CC_Mode="Per unit",IFERROR(INDEX($K$4:$K$15,MATCH(145,$N$4:$N$15,0)),""),IF(145=1,"All units",""))))</f>
        <v/>
      </c>
      <c r="T148" s="0" t="str">
        <f aca="false">IF(CC_Mode="Per equipment",IFERROR(INDEX($D$4:$D$403,MATCH(145,$I$4:$I$403,0)),""),IF(CC_Mode="Per loop",IFERROR(INDEX($D$4:$D$403,MATCH(145,$H$4:$H$403,0)),""),IF(CC_Mode="Per unit",IFERROR(INDEX($M$4:$M$15,MATCH(145,$N$4:$N$15,0)),""),IF(145=1,CC_V_GrandVol,""))))</f>
        <v/>
      </c>
      <c r="U148" s="0" t="str">
        <f aca="false">IF(CC_Mode="Per equipment",IFERROR(INDEX($E$4:$E$403,MATCH(145,$I$4:$I$403,0)),""),IF(CC_Mode="Per loop",IFERROR(INDEX($E$4:$E$403,MATCH(145,$H$4:$H$403,0)),""),IF(CC_Mode="Per unit",IFERROR(INDEX($L$4:$L$15,MATCH(145,$N$4:$N$15,0)),""),IF(145=1,CC_Net,""))))</f>
        <v/>
      </c>
    </row>
    <row r="149" customFormat="false" ht="15" hidden="false" customHeight="false" outlineLevel="0" collapsed="false">
      <c r="A149" s="0" t="s">
        <v>172</v>
      </c>
      <c r="B149" s="0" t="str">
        <f aca="false">'CC Item Pricing'!C124&amp;IF('CC Item Pricing'!D124="",""," – "&amp;'CC Item Pricing'!D124)</f>
        <v/>
      </c>
      <c r="C149" s="0" t="str">
        <f aca="false">INDEX(CC_UnitNames,'CC Item Pricing'!Y124)</f>
        <v>Unit 4</v>
      </c>
      <c r="D149" s="0" t="n">
        <f aca="false">N('CC Item Pricing'!G124)</f>
        <v>0</v>
      </c>
      <c r="E149" s="98" t="n">
        <f aca="false">'CC Item Pricing'!W124</f>
        <v>0</v>
      </c>
      <c r="F149" s="96" t="n">
        <f aca="false">IF(AND(G149=1,'CC Item Pricing'!B124=""),1,0)</f>
        <v>0</v>
      </c>
      <c r="G149" s="96" t="n">
        <f aca="false">IF(D149&gt;0,1,0)</f>
        <v>0</v>
      </c>
      <c r="H149" s="0" t="str">
        <f aca="false">IF(F149=1,COUNTIF($F$4:F149,1),"")</f>
        <v/>
      </c>
      <c r="I149" s="0" t="str">
        <f aca="false">IF(G149=1,COUNTIF($G$4:G149,1),"")</f>
        <v/>
      </c>
      <c r="R149" s="0" t="str">
        <f aca="false">IF(CC_Mode="Per equipment",IFERROR(INDEX($B$4:$B$403,MATCH(146,$I$4:$I$403,0)),""),IF(CC_Mode="Per loop",IFERROR(INDEX($B$4:$B$403,MATCH(146,$H$4:$H$403,0)),""),IF(CC_Mode="Per unit",IFERROR("Chemical cleaning – "&amp;INDEX($K$4:$K$15,MATCH(146,$N$4:$N$15,0)),""),IF(146=1,"LUMP SUM – "&amp;QProject,""))))</f>
        <v/>
      </c>
      <c r="S149" s="0" t="str">
        <f aca="false">IF(CC_Mode="Per equipment",IFERROR(INDEX($C$4:$C$403,MATCH(146,$I$4:$I$403,0)),""),IF(CC_Mode="Per loop",IFERROR(INDEX($C$4:$C$403,MATCH(146,$H$4:$H$403,0)),""),IF(CC_Mode="Per unit",IFERROR(INDEX($K$4:$K$15,MATCH(146,$N$4:$N$15,0)),""),IF(146=1,"All units",""))))</f>
        <v/>
      </c>
      <c r="T149" s="0" t="str">
        <f aca="false">IF(CC_Mode="Per equipment",IFERROR(INDEX($D$4:$D$403,MATCH(146,$I$4:$I$403,0)),""),IF(CC_Mode="Per loop",IFERROR(INDEX($D$4:$D$403,MATCH(146,$H$4:$H$403,0)),""),IF(CC_Mode="Per unit",IFERROR(INDEX($M$4:$M$15,MATCH(146,$N$4:$N$15,0)),""),IF(146=1,CC_V_GrandVol,""))))</f>
        <v/>
      </c>
      <c r="U149" s="0" t="str">
        <f aca="false">IF(CC_Mode="Per equipment",IFERROR(INDEX($E$4:$E$403,MATCH(146,$I$4:$I$403,0)),""),IF(CC_Mode="Per loop",IFERROR(INDEX($E$4:$E$403,MATCH(146,$H$4:$H$403,0)),""),IF(CC_Mode="Per unit",IFERROR(INDEX($L$4:$L$15,MATCH(146,$N$4:$N$15,0)),""),IF(146=1,CC_Net,""))))</f>
        <v/>
      </c>
    </row>
    <row r="150" customFormat="false" ht="15" hidden="false" customHeight="false" outlineLevel="0" collapsed="false">
      <c r="A150" s="0" t="s">
        <v>172</v>
      </c>
      <c r="B150" s="0" t="str">
        <f aca="false">'CC Item Pricing'!C125&amp;IF('CC Item Pricing'!D125="",""," – "&amp;'CC Item Pricing'!D125)</f>
        <v/>
      </c>
      <c r="C150" s="0" t="str">
        <f aca="false">INDEX(CC_UnitNames,'CC Item Pricing'!Y125)</f>
        <v>Unit 4</v>
      </c>
      <c r="D150" s="0" t="n">
        <f aca="false">N('CC Item Pricing'!G125)</f>
        <v>0</v>
      </c>
      <c r="E150" s="98" t="n">
        <f aca="false">'CC Item Pricing'!W125</f>
        <v>0</v>
      </c>
      <c r="F150" s="96" t="n">
        <f aca="false">IF(AND(G150=1,'CC Item Pricing'!B125=""),1,0)</f>
        <v>0</v>
      </c>
      <c r="G150" s="96" t="n">
        <f aca="false">IF(D150&gt;0,1,0)</f>
        <v>0</v>
      </c>
      <c r="H150" s="0" t="str">
        <f aca="false">IF(F150=1,COUNTIF($F$4:F150,1),"")</f>
        <v/>
      </c>
      <c r="I150" s="0" t="str">
        <f aca="false">IF(G150=1,COUNTIF($G$4:G150,1),"")</f>
        <v/>
      </c>
      <c r="R150" s="0" t="str">
        <f aca="false">IF(CC_Mode="Per equipment",IFERROR(INDEX($B$4:$B$403,MATCH(147,$I$4:$I$403,0)),""),IF(CC_Mode="Per loop",IFERROR(INDEX($B$4:$B$403,MATCH(147,$H$4:$H$403,0)),""),IF(CC_Mode="Per unit",IFERROR("Chemical cleaning – "&amp;INDEX($K$4:$K$15,MATCH(147,$N$4:$N$15,0)),""),IF(147=1,"LUMP SUM – "&amp;QProject,""))))</f>
        <v/>
      </c>
      <c r="S150" s="0" t="str">
        <f aca="false">IF(CC_Mode="Per equipment",IFERROR(INDEX($C$4:$C$403,MATCH(147,$I$4:$I$403,0)),""),IF(CC_Mode="Per loop",IFERROR(INDEX($C$4:$C$403,MATCH(147,$H$4:$H$403,0)),""),IF(CC_Mode="Per unit",IFERROR(INDEX($K$4:$K$15,MATCH(147,$N$4:$N$15,0)),""),IF(147=1,"All units",""))))</f>
        <v/>
      </c>
      <c r="T150" s="0" t="str">
        <f aca="false">IF(CC_Mode="Per equipment",IFERROR(INDEX($D$4:$D$403,MATCH(147,$I$4:$I$403,0)),""),IF(CC_Mode="Per loop",IFERROR(INDEX($D$4:$D$403,MATCH(147,$H$4:$H$403,0)),""),IF(CC_Mode="Per unit",IFERROR(INDEX($M$4:$M$15,MATCH(147,$N$4:$N$15,0)),""),IF(147=1,CC_V_GrandVol,""))))</f>
        <v/>
      </c>
      <c r="U150" s="0" t="str">
        <f aca="false">IF(CC_Mode="Per equipment",IFERROR(INDEX($E$4:$E$403,MATCH(147,$I$4:$I$403,0)),""),IF(CC_Mode="Per loop",IFERROR(INDEX($E$4:$E$403,MATCH(147,$H$4:$H$403,0)),""),IF(CC_Mode="Per unit",IFERROR(INDEX($L$4:$L$15,MATCH(147,$N$4:$N$15,0)),""),IF(147=1,CC_Net,""))))</f>
        <v/>
      </c>
    </row>
    <row r="151" customFormat="false" ht="15" hidden="false" customHeight="false" outlineLevel="0" collapsed="false">
      <c r="A151" s="0" t="s">
        <v>172</v>
      </c>
      <c r="B151" s="0" t="str">
        <f aca="false">'CC Item Pricing'!C126&amp;IF('CC Item Pricing'!D126="",""," – "&amp;'CC Item Pricing'!D126)</f>
        <v/>
      </c>
      <c r="C151" s="0" t="str">
        <f aca="false">INDEX(CC_UnitNames,'CC Item Pricing'!Y126)</f>
        <v>Unit 4</v>
      </c>
      <c r="D151" s="0" t="n">
        <f aca="false">N('CC Item Pricing'!G126)</f>
        <v>0</v>
      </c>
      <c r="E151" s="98" t="n">
        <f aca="false">'CC Item Pricing'!W126</f>
        <v>0</v>
      </c>
      <c r="F151" s="96" t="n">
        <f aca="false">IF(AND(G151=1,'CC Item Pricing'!B126=""),1,0)</f>
        <v>0</v>
      </c>
      <c r="G151" s="96" t="n">
        <f aca="false">IF(D151&gt;0,1,0)</f>
        <v>0</v>
      </c>
      <c r="H151" s="0" t="str">
        <f aca="false">IF(F151=1,COUNTIF($F$4:F151,1),"")</f>
        <v/>
      </c>
      <c r="I151" s="0" t="str">
        <f aca="false">IF(G151=1,COUNTIF($G$4:G151,1),"")</f>
        <v/>
      </c>
      <c r="R151" s="0" t="str">
        <f aca="false">IF(CC_Mode="Per equipment",IFERROR(INDEX($B$4:$B$403,MATCH(148,$I$4:$I$403,0)),""),IF(CC_Mode="Per loop",IFERROR(INDEX($B$4:$B$403,MATCH(148,$H$4:$H$403,0)),""),IF(CC_Mode="Per unit",IFERROR("Chemical cleaning – "&amp;INDEX($K$4:$K$15,MATCH(148,$N$4:$N$15,0)),""),IF(148=1,"LUMP SUM – "&amp;QProject,""))))</f>
        <v/>
      </c>
      <c r="S151" s="0" t="str">
        <f aca="false">IF(CC_Mode="Per equipment",IFERROR(INDEX($C$4:$C$403,MATCH(148,$I$4:$I$403,0)),""),IF(CC_Mode="Per loop",IFERROR(INDEX($C$4:$C$403,MATCH(148,$H$4:$H$403,0)),""),IF(CC_Mode="Per unit",IFERROR(INDEX($K$4:$K$15,MATCH(148,$N$4:$N$15,0)),""),IF(148=1,"All units",""))))</f>
        <v/>
      </c>
      <c r="T151" s="0" t="str">
        <f aca="false">IF(CC_Mode="Per equipment",IFERROR(INDEX($D$4:$D$403,MATCH(148,$I$4:$I$403,0)),""),IF(CC_Mode="Per loop",IFERROR(INDEX($D$4:$D$403,MATCH(148,$H$4:$H$403,0)),""),IF(CC_Mode="Per unit",IFERROR(INDEX($M$4:$M$15,MATCH(148,$N$4:$N$15,0)),""),IF(148=1,CC_V_GrandVol,""))))</f>
        <v/>
      </c>
      <c r="U151" s="0" t="str">
        <f aca="false">IF(CC_Mode="Per equipment",IFERROR(INDEX($E$4:$E$403,MATCH(148,$I$4:$I$403,0)),""),IF(CC_Mode="Per loop",IFERROR(INDEX($E$4:$E$403,MATCH(148,$H$4:$H$403,0)),""),IF(CC_Mode="Per unit",IFERROR(INDEX($L$4:$L$15,MATCH(148,$N$4:$N$15,0)),""),IF(148=1,CC_Net,""))))</f>
        <v/>
      </c>
    </row>
    <row r="152" customFormat="false" ht="15" hidden="false" customHeight="false" outlineLevel="0" collapsed="false">
      <c r="A152" s="0" t="s">
        <v>172</v>
      </c>
      <c r="B152" s="0" t="str">
        <f aca="false">'CC Item Pricing'!C127&amp;IF('CC Item Pricing'!D127="",""," – "&amp;'CC Item Pricing'!D127)</f>
        <v/>
      </c>
      <c r="C152" s="0" t="str">
        <f aca="false">INDEX(CC_UnitNames,'CC Item Pricing'!Y127)</f>
        <v>Unit 4</v>
      </c>
      <c r="D152" s="0" t="n">
        <f aca="false">N('CC Item Pricing'!G127)</f>
        <v>0</v>
      </c>
      <c r="E152" s="98" t="n">
        <f aca="false">'CC Item Pricing'!W127</f>
        <v>0</v>
      </c>
      <c r="F152" s="96" t="n">
        <f aca="false">IF(AND(G152=1,'CC Item Pricing'!B127=""),1,0)</f>
        <v>0</v>
      </c>
      <c r="G152" s="96" t="n">
        <f aca="false">IF(D152&gt;0,1,0)</f>
        <v>0</v>
      </c>
      <c r="H152" s="0" t="str">
        <f aca="false">IF(F152=1,COUNTIF($F$4:F152,1),"")</f>
        <v/>
      </c>
      <c r="I152" s="0" t="str">
        <f aca="false">IF(G152=1,COUNTIF($G$4:G152,1),"")</f>
        <v/>
      </c>
      <c r="R152" s="0" t="str">
        <f aca="false">IF(CC_Mode="Per equipment",IFERROR(INDEX($B$4:$B$403,MATCH(149,$I$4:$I$403,0)),""),IF(CC_Mode="Per loop",IFERROR(INDEX($B$4:$B$403,MATCH(149,$H$4:$H$403,0)),""),IF(CC_Mode="Per unit",IFERROR("Chemical cleaning – "&amp;INDEX($K$4:$K$15,MATCH(149,$N$4:$N$15,0)),""),IF(149=1,"LUMP SUM – "&amp;QProject,""))))</f>
        <v/>
      </c>
      <c r="S152" s="0" t="str">
        <f aca="false">IF(CC_Mode="Per equipment",IFERROR(INDEX($C$4:$C$403,MATCH(149,$I$4:$I$403,0)),""),IF(CC_Mode="Per loop",IFERROR(INDEX($C$4:$C$403,MATCH(149,$H$4:$H$403,0)),""),IF(CC_Mode="Per unit",IFERROR(INDEX($K$4:$K$15,MATCH(149,$N$4:$N$15,0)),""),IF(149=1,"All units",""))))</f>
        <v/>
      </c>
      <c r="T152" s="0" t="str">
        <f aca="false">IF(CC_Mode="Per equipment",IFERROR(INDEX($D$4:$D$403,MATCH(149,$I$4:$I$403,0)),""),IF(CC_Mode="Per loop",IFERROR(INDEX($D$4:$D$403,MATCH(149,$H$4:$H$403,0)),""),IF(CC_Mode="Per unit",IFERROR(INDEX($M$4:$M$15,MATCH(149,$N$4:$N$15,0)),""),IF(149=1,CC_V_GrandVol,""))))</f>
        <v/>
      </c>
      <c r="U152" s="0" t="str">
        <f aca="false">IF(CC_Mode="Per equipment",IFERROR(INDEX($E$4:$E$403,MATCH(149,$I$4:$I$403,0)),""),IF(CC_Mode="Per loop",IFERROR(INDEX($E$4:$E$403,MATCH(149,$H$4:$H$403,0)),""),IF(CC_Mode="Per unit",IFERROR(INDEX($L$4:$L$15,MATCH(149,$N$4:$N$15,0)),""),IF(149=1,CC_Net,""))))</f>
        <v/>
      </c>
    </row>
    <row r="153" customFormat="false" ht="15" hidden="false" customHeight="false" outlineLevel="0" collapsed="false">
      <c r="A153" s="0" t="s">
        <v>172</v>
      </c>
      <c r="B153" s="0" t="str">
        <f aca="false">'CC Item Pricing'!C128&amp;IF('CC Item Pricing'!D128="",""," – "&amp;'CC Item Pricing'!D128)</f>
        <v/>
      </c>
      <c r="C153" s="0" t="str">
        <f aca="false">INDEX(CC_UnitNames,'CC Item Pricing'!Y128)</f>
        <v>Unit 4</v>
      </c>
      <c r="D153" s="0" t="n">
        <f aca="false">N('CC Item Pricing'!G128)</f>
        <v>0</v>
      </c>
      <c r="E153" s="98" t="n">
        <f aca="false">'CC Item Pricing'!W128</f>
        <v>0</v>
      </c>
      <c r="F153" s="96" t="n">
        <f aca="false">IF(AND(G153=1,'CC Item Pricing'!B128=""),1,0)</f>
        <v>0</v>
      </c>
      <c r="G153" s="96" t="n">
        <f aca="false">IF(D153&gt;0,1,0)</f>
        <v>0</v>
      </c>
      <c r="H153" s="0" t="str">
        <f aca="false">IF(F153=1,COUNTIF($F$4:F153,1),"")</f>
        <v/>
      </c>
      <c r="I153" s="0" t="str">
        <f aca="false">IF(G153=1,COUNTIF($G$4:G153,1),"")</f>
        <v/>
      </c>
      <c r="R153" s="0" t="str">
        <f aca="false">IF(CC_Mode="Per equipment",IFERROR(INDEX($B$4:$B$403,MATCH(150,$I$4:$I$403,0)),""),IF(CC_Mode="Per loop",IFERROR(INDEX($B$4:$B$403,MATCH(150,$H$4:$H$403,0)),""),IF(CC_Mode="Per unit",IFERROR("Chemical cleaning – "&amp;INDEX($K$4:$K$15,MATCH(150,$N$4:$N$15,0)),""),IF(150=1,"LUMP SUM – "&amp;QProject,""))))</f>
        <v/>
      </c>
      <c r="S153" s="0" t="str">
        <f aca="false">IF(CC_Mode="Per equipment",IFERROR(INDEX($C$4:$C$403,MATCH(150,$I$4:$I$403,0)),""),IF(CC_Mode="Per loop",IFERROR(INDEX($C$4:$C$403,MATCH(150,$H$4:$H$403,0)),""),IF(CC_Mode="Per unit",IFERROR(INDEX($K$4:$K$15,MATCH(150,$N$4:$N$15,0)),""),IF(150=1,"All units",""))))</f>
        <v/>
      </c>
      <c r="T153" s="0" t="str">
        <f aca="false">IF(CC_Mode="Per equipment",IFERROR(INDEX($D$4:$D$403,MATCH(150,$I$4:$I$403,0)),""),IF(CC_Mode="Per loop",IFERROR(INDEX($D$4:$D$403,MATCH(150,$H$4:$H$403,0)),""),IF(CC_Mode="Per unit",IFERROR(INDEX($M$4:$M$15,MATCH(150,$N$4:$N$15,0)),""),IF(150=1,CC_V_GrandVol,""))))</f>
        <v/>
      </c>
      <c r="U153" s="0" t="str">
        <f aca="false">IF(CC_Mode="Per equipment",IFERROR(INDEX($E$4:$E$403,MATCH(150,$I$4:$I$403,0)),""),IF(CC_Mode="Per loop",IFERROR(INDEX($E$4:$E$403,MATCH(150,$H$4:$H$403,0)),""),IF(CC_Mode="Per unit",IFERROR(INDEX($L$4:$L$15,MATCH(150,$N$4:$N$15,0)),""),IF(150=1,CC_Net,""))))</f>
        <v/>
      </c>
    </row>
    <row r="154" customFormat="false" ht="15" hidden="false" customHeight="false" outlineLevel="0" collapsed="false">
      <c r="A154" s="0" t="s">
        <v>172</v>
      </c>
      <c r="B154" s="0" t="str">
        <f aca="false">'CC Item Pricing'!C129&amp;IF('CC Item Pricing'!D129="",""," – "&amp;'CC Item Pricing'!D129)</f>
        <v/>
      </c>
      <c r="C154" s="0" t="str">
        <f aca="false">INDEX(CC_UnitNames,'CC Item Pricing'!Y129)</f>
        <v>Unit 4</v>
      </c>
      <c r="D154" s="0" t="n">
        <f aca="false">N('CC Item Pricing'!G129)</f>
        <v>0</v>
      </c>
      <c r="E154" s="98" t="n">
        <f aca="false">'CC Item Pricing'!W129</f>
        <v>0</v>
      </c>
      <c r="F154" s="96" t="n">
        <f aca="false">IF(AND(G154=1,'CC Item Pricing'!B129=""),1,0)</f>
        <v>0</v>
      </c>
      <c r="G154" s="96" t="n">
        <f aca="false">IF(D154&gt;0,1,0)</f>
        <v>0</v>
      </c>
      <c r="H154" s="0" t="str">
        <f aca="false">IF(F154=1,COUNTIF($F$4:F154,1),"")</f>
        <v/>
      </c>
      <c r="I154" s="0" t="str">
        <f aca="false">IF(G154=1,COUNTIF($G$4:G154,1),"")</f>
        <v/>
      </c>
      <c r="R154" s="0" t="str">
        <f aca="false">IF(CC_Mode="Per equipment",IFERROR(INDEX($B$4:$B$403,MATCH(151,$I$4:$I$403,0)),""),IF(CC_Mode="Per loop",IFERROR(INDEX($B$4:$B$403,MATCH(151,$H$4:$H$403,0)),""),IF(CC_Mode="Per unit",IFERROR("Chemical cleaning – "&amp;INDEX($K$4:$K$15,MATCH(151,$N$4:$N$15,0)),""),IF(151=1,"LUMP SUM – "&amp;QProject,""))))</f>
        <v/>
      </c>
      <c r="S154" s="0" t="str">
        <f aca="false">IF(CC_Mode="Per equipment",IFERROR(INDEX($C$4:$C$403,MATCH(151,$I$4:$I$403,0)),""),IF(CC_Mode="Per loop",IFERROR(INDEX($C$4:$C$403,MATCH(151,$H$4:$H$403,0)),""),IF(CC_Mode="Per unit",IFERROR(INDEX($K$4:$K$15,MATCH(151,$N$4:$N$15,0)),""),IF(151=1,"All units",""))))</f>
        <v/>
      </c>
      <c r="T154" s="0" t="str">
        <f aca="false">IF(CC_Mode="Per equipment",IFERROR(INDEX($D$4:$D$403,MATCH(151,$I$4:$I$403,0)),""),IF(CC_Mode="Per loop",IFERROR(INDEX($D$4:$D$403,MATCH(151,$H$4:$H$403,0)),""),IF(CC_Mode="Per unit",IFERROR(INDEX($M$4:$M$15,MATCH(151,$N$4:$N$15,0)),""),IF(151=1,CC_V_GrandVol,""))))</f>
        <v/>
      </c>
      <c r="U154" s="0" t="str">
        <f aca="false">IF(CC_Mode="Per equipment",IFERROR(INDEX($E$4:$E$403,MATCH(151,$I$4:$I$403,0)),""),IF(CC_Mode="Per loop",IFERROR(INDEX($E$4:$E$403,MATCH(151,$H$4:$H$403,0)),""),IF(CC_Mode="Per unit",IFERROR(INDEX($L$4:$L$15,MATCH(151,$N$4:$N$15,0)),""),IF(151=1,CC_Net,""))))</f>
        <v/>
      </c>
    </row>
    <row r="155" customFormat="false" ht="15" hidden="false" customHeight="false" outlineLevel="0" collapsed="false">
      <c r="A155" s="0" t="s">
        <v>172</v>
      </c>
      <c r="B155" s="0" t="str">
        <f aca="false">'CC Item Pricing'!C130&amp;IF('CC Item Pricing'!D130="",""," – "&amp;'CC Item Pricing'!D130)</f>
        <v/>
      </c>
      <c r="C155" s="0" t="str">
        <f aca="false">INDEX(CC_UnitNames,'CC Item Pricing'!Y130)</f>
        <v>Unit 4</v>
      </c>
      <c r="D155" s="0" t="n">
        <f aca="false">N('CC Item Pricing'!G130)</f>
        <v>0</v>
      </c>
      <c r="E155" s="98" t="n">
        <f aca="false">'CC Item Pricing'!W130</f>
        <v>0</v>
      </c>
      <c r="F155" s="96" t="n">
        <f aca="false">IF(AND(G155=1,'CC Item Pricing'!B130=""),1,0)</f>
        <v>0</v>
      </c>
      <c r="G155" s="96" t="n">
        <f aca="false">IF(D155&gt;0,1,0)</f>
        <v>0</v>
      </c>
      <c r="H155" s="0" t="str">
        <f aca="false">IF(F155=1,COUNTIF($F$4:F155,1),"")</f>
        <v/>
      </c>
      <c r="I155" s="0" t="str">
        <f aca="false">IF(G155=1,COUNTIF($G$4:G155,1),"")</f>
        <v/>
      </c>
      <c r="R155" s="0" t="str">
        <f aca="false">IF(CC_Mode="Per equipment",IFERROR(INDEX($B$4:$B$403,MATCH(152,$I$4:$I$403,0)),""),IF(CC_Mode="Per loop",IFERROR(INDEX($B$4:$B$403,MATCH(152,$H$4:$H$403,0)),""),IF(CC_Mode="Per unit",IFERROR("Chemical cleaning – "&amp;INDEX($K$4:$K$15,MATCH(152,$N$4:$N$15,0)),""),IF(152=1,"LUMP SUM – "&amp;QProject,""))))</f>
        <v/>
      </c>
      <c r="S155" s="0" t="str">
        <f aca="false">IF(CC_Mode="Per equipment",IFERROR(INDEX($C$4:$C$403,MATCH(152,$I$4:$I$403,0)),""),IF(CC_Mode="Per loop",IFERROR(INDEX($C$4:$C$403,MATCH(152,$H$4:$H$403,0)),""),IF(CC_Mode="Per unit",IFERROR(INDEX($K$4:$K$15,MATCH(152,$N$4:$N$15,0)),""),IF(152=1,"All units",""))))</f>
        <v/>
      </c>
      <c r="T155" s="0" t="str">
        <f aca="false">IF(CC_Mode="Per equipment",IFERROR(INDEX($D$4:$D$403,MATCH(152,$I$4:$I$403,0)),""),IF(CC_Mode="Per loop",IFERROR(INDEX($D$4:$D$403,MATCH(152,$H$4:$H$403,0)),""),IF(CC_Mode="Per unit",IFERROR(INDEX($M$4:$M$15,MATCH(152,$N$4:$N$15,0)),""),IF(152=1,CC_V_GrandVol,""))))</f>
        <v/>
      </c>
      <c r="U155" s="0" t="str">
        <f aca="false">IF(CC_Mode="Per equipment",IFERROR(INDEX($E$4:$E$403,MATCH(152,$I$4:$I$403,0)),""),IF(CC_Mode="Per loop",IFERROR(INDEX($E$4:$E$403,MATCH(152,$H$4:$H$403,0)),""),IF(CC_Mode="Per unit",IFERROR(INDEX($L$4:$L$15,MATCH(152,$N$4:$N$15,0)),""),IF(152=1,CC_Net,""))))</f>
        <v/>
      </c>
    </row>
    <row r="156" customFormat="false" ht="15" hidden="false" customHeight="false" outlineLevel="0" collapsed="false">
      <c r="A156" s="0" t="s">
        <v>172</v>
      </c>
      <c r="B156" s="0" t="str">
        <f aca="false">'CC Item Pricing'!C131&amp;IF('CC Item Pricing'!D131="",""," – "&amp;'CC Item Pricing'!D131)</f>
        <v/>
      </c>
      <c r="C156" s="0" t="str">
        <f aca="false">INDEX(CC_UnitNames,'CC Item Pricing'!Y131)</f>
        <v>Unit 4</v>
      </c>
      <c r="D156" s="0" t="n">
        <f aca="false">N('CC Item Pricing'!G131)</f>
        <v>0</v>
      </c>
      <c r="E156" s="98" t="n">
        <f aca="false">'CC Item Pricing'!W131</f>
        <v>0</v>
      </c>
      <c r="F156" s="96" t="n">
        <f aca="false">IF(AND(G156=1,'CC Item Pricing'!B131=""),1,0)</f>
        <v>0</v>
      </c>
      <c r="G156" s="96" t="n">
        <f aca="false">IF(D156&gt;0,1,0)</f>
        <v>0</v>
      </c>
      <c r="H156" s="0" t="str">
        <f aca="false">IF(F156=1,COUNTIF($F$4:F156,1),"")</f>
        <v/>
      </c>
      <c r="I156" s="0" t="str">
        <f aca="false">IF(G156=1,COUNTIF($G$4:G156,1),"")</f>
        <v/>
      </c>
      <c r="R156" s="0" t="str">
        <f aca="false">IF(CC_Mode="Per equipment",IFERROR(INDEX($B$4:$B$403,MATCH(153,$I$4:$I$403,0)),""),IF(CC_Mode="Per loop",IFERROR(INDEX($B$4:$B$403,MATCH(153,$H$4:$H$403,0)),""),IF(CC_Mode="Per unit",IFERROR("Chemical cleaning – "&amp;INDEX($K$4:$K$15,MATCH(153,$N$4:$N$15,0)),""),IF(153=1,"LUMP SUM – "&amp;QProject,""))))</f>
        <v/>
      </c>
      <c r="S156" s="0" t="str">
        <f aca="false">IF(CC_Mode="Per equipment",IFERROR(INDEX($C$4:$C$403,MATCH(153,$I$4:$I$403,0)),""),IF(CC_Mode="Per loop",IFERROR(INDEX($C$4:$C$403,MATCH(153,$H$4:$H$403,0)),""),IF(CC_Mode="Per unit",IFERROR(INDEX($K$4:$K$15,MATCH(153,$N$4:$N$15,0)),""),IF(153=1,"All units",""))))</f>
        <v/>
      </c>
      <c r="T156" s="0" t="str">
        <f aca="false">IF(CC_Mode="Per equipment",IFERROR(INDEX($D$4:$D$403,MATCH(153,$I$4:$I$403,0)),""),IF(CC_Mode="Per loop",IFERROR(INDEX($D$4:$D$403,MATCH(153,$H$4:$H$403,0)),""),IF(CC_Mode="Per unit",IFERROR(INDEX($M$4:$M$15,MATCH(153,$N$4:$N$15,0)),""),IF(153=1,CC_V_GrandVol,""))))</f>
        <v/>
      </c>
      <c r="U156" s="0" t="str">
        <f aca="false">IF(CC_Mode="Per equipment",IFERROR(INDEX($E$4:$E$403,MATCH(153,$I$4:$I$403,0)),""),IF(CC_Mode="Per loop",IFERROR(INDEX($E$4:$E$403,MATCH(153,$H$4:$H$403,0)),""),IF(CC_Mode="Per unit",IFERROR(INDEX($L$4:$L$15,MATCH(153,$N$4:$N$15,0)),""),IF(153=1,CC_Net,""))))</f>
        <v/>
      </c>
    </row>
    <row r="157" customFormat="false" ht="15" hidden="false" customHeight="false" outlineLevel="0" collapsed="false">
      <c r="A157" s="0" t="s">
        <v>172</v>
      </c>
      <c r="B157" s="0" t="str">
        <f aca="false">'CC Item Pricing'!C132&amp;IF('CC Item Pricing'!D132="",""," – "&amp;'CC Item Pricing'!D132)</f>
        <v/>
      </c>
      <c r="C157" s="0" t="str">
        <f aca="false">INDEX(CC_UnitNames,'CC Item Pricing'!Y132)</f>
        <v>Unit 4</v>
      </c>
      <c r="D157" s="0" t="n">
        <f aca="false">N('CC Item Pricing'!G132)</f>
        <v>0</v>
      </c>
      <c r="E157" s="98" t="n">
        <f aca="false">'CC Item Pricing'!W132</f>
        <v>0</v>
      </c>
      <c r="F157" s="96" t="n">
        <f aca="false">IF(AND(G157=1,'CC Item Pricing'!B132=""),1,0)</f>
        <v>0</v>
      </c>
      <c r="G157" s="96" t="n">
        <f aca="false">IF(D157&gt;0,1,0)</f>
        <v>0</v>
      </c>
      <c r="H157" s="0" t="str">
        <f aca="false">IF(F157=1,COUNTIF($F$4:F157,1),"")</f>
        <v/>
      </c>
      <c r="I157" s="0" t="str">
        <f aca="false">IF(G157=1,COUNTIF($G$4:G157,1),"")</f>
        <v/>
      </c>
      <c r="R157" s="0" t="str">
        <f aca="false">IF(CC_Mode="Per equipment",IFERROR(INDEX($B$4:$B$403,MATCH(154,$I$4:$I$403,0)),""),IF(CC_Mode="Per loop",IFERROR(INDEX($B$4:$B$403,MATCH(154,$H$4:$H$403,0)),""),IF(CC_Mode="Per unit",IFERROR("Chemical cleaning – "&amp;INDEX($K$4:$K$15,MATCH(154,$N$4:$N$15,0)),""),IF(154=1,"LUMP SUM – "&amp;QProject,""))))</f>
        <v/>
      </c>
      <c r="S157" s="0" t="str">
        <f aca="false">IF(CC_Mode="Per equipment",IFERROR(INDEX($C$4:$C$403,MATCH(154,$I$4:$I$403,0)),""),IF(CC_Mode="Per loop",IFERROR(INDEX($C$4:$C$403,MATCH(154,$H$4:$H$403,0)),""),IF(CC_Mode="Per unit",IFERROR(INDEX($K$4:$K$15,MATCH(154,$N$4:$N$15,0)),""),IF(154=1,"All units",""))))</f>
        <v/>
      </c>
      <c r="T157" s="0" t="str">
        <f aca="false">IF(CC_Mode="Per equipment",IFERROR(INDEX($D$4:$D$403,MATCH(154,$I$4:$I$403,0)),""),IF(CC_Mode="Per loop",IFERROR(INDEX($D$4:$D$403,MATCH(154,$H$4:$H$403,0)),""),IF(CC_Mode="Per unit",IFERROR(INDEX($M$4:$M$15,MATCH(154,$N$4:$N$15,0)),""),IF(154=1,CC_V_GrandVol,""))))</f>
        <v/>
      </c>
      <c r="U157" s="0" t="str">
        <f aca="false">IF(CC_Mode="Per equipment",IFERROR(INDEX($E$4:$E$403,MATCH(154,$I$4:$I$403,0)),""),IF(CC_Mode="Per loop",IFERROR(INDEX($E$4:$E$403,MATCH(154,$H$4:$H$403,0)),""),IF(CC_Mode="Per unit",IFERROR(INDEX($L$4:$L$15,MATCH(154,$N$4:$N$15,0)),""),IF(154=1,CC_Net,""))))</f>
        <v/>
      </c>
    </row>
    <row r="158" customFormat="false" ht="15" hidden="false" customHeight="false" outlineLevel="0" collapsed="false">
      <c r="A158" s="0" t="s">
        <v>172</v>
      </c>
      <c r="B158" s="0" t="str">
        <f aca="false">'CC Item Pricing'!C133&amp;IF('CC Item Pricing'!D133="",""," – "&amp;'CC Item Pricing'!D133)</f>
        <v/>
      </c>
      <c r="C158" s="0" t="str">
        <f aca="false">INDEX(CC_UnitNames,'CC Item Pricing'!Y133)</f>
        <v>Unit 4</v>
      </c>
      <c r="D158" s="0" t="n">
        <f aca="false">N('CC Item Pricing'!G133)</f>
        <v>0</v>
      </c>
      <c r="E158" s="98" t="n">
        <f aca="false">'CC Item Pricing'!W133</f>
        <v>0</v>
      </c>
      <c r="F158" s="96" t="n">
        <f aca="false">IF(AND(G158=1,'CC Item Pricing'!B133=""),1,0)</f>
        <v>0</v>
      </c>
      <c r="G158" s="96" t="n">
        <f aca="false">IF(D158&gt;0,1,0)</f>
        <v>0</v>
      </c>
      <c r="H158" s="0" t="str">
        <f aca="false">IF(F158=1,COUNTIF($F$4:F158,1),"")</f>
        <v/>
      </c>
      <c r="I158" s="0" t="str">
        <f aca="false">IF(G158=1,COUNTIF($G$4:G158,1),"")</f>
        <v/>
      </c>
      <c r="R158" s="0" t="str">
        <f aca="false">IF(CC_Mode="Per equipment",IFERROR(INDEX($B$4:$B$403,MATCH(155,$I$4:$I$403,0)),""),IF(CC_Mode="Per loop",IFERROR(INDEX($B$4:$B$403,MATCH(155,$H$4:$H$403,0)),""),IF(CC_Mode="Per unit",IFERROR("Chemical cleaning – "&amp;INDEX($K$4:$K$15,MATCH(155,$N$4:$N$15,0)),""),IF(155=1,"LUMP SUM – "&amp;QProject,""))))</f>
        <v/>
      </c>
      <c r="S158" s="0" t="str">
        <f aca="false">IF(CC_Mode="Per equipment",IFERROR(INDEX($C$4:$C$403,MATCH(155,$I$4:$I$403,0)),""),IF(CC_Mode="Per loop",IFERROR(INDEX($C$4:$C$403,MATCH(155,$H$4:$H$403,0)),""),IF(CC_Mode="Per unit",IFERROR(INDEX($K$4:$K$15,MATCH(155,$N$4:$N$15,0)),""),IF(155=1,"All units",""))))</f>
        <v/>
      </c>
      <c r="T158" s="0" t="str">
        <f aca="false">IF(CC_Mode="Per equipment",IFERROR(INDEX($D$4:$D$403,MATCH(155,$I$4:$I$403,0)),""),IF(CC_Mode="Per loop",IFERROR(INDEX($D$4:$D$403,MATCH(155,$H$4:$H$403,0)),""),IF(CC_Mode="Per unit",IFERROR(INDEX($M$4:$M$15,MATCH(155,$N$4:$N$15,0)),""),IF(155=1,CC_V_GrandVol,""))))</f>
        <v/>
      </c>
      <c r="U158" s="0" t="str">
        <f aca="false">IF(CC_Mode="Per equipment",IFERROR(INDEX($E$4:$E$403,MATCH(155,$I$4:$I$403,0)),""),IF(CC_Mode="Per loop",IFERROR(INDEX($E$4:$E$403,MATCH(155,$H$4:$H$403,0)),""),IF(CC_Mode="Per unit",IFERROR(INDEX($L$4:$L$15,MATCH(155,$N$4:$N$15,0)),""),IF(155=1,CC_Net,""))))</f>
        <v/>
      </c>
    </row>
    <row r="159" customFormat="false" ht="15" hidden="false" customHeight="false" outlineLevel="0" collapsed="false">
      <c r="A159" s="0" t="s">
        <v>172</v>
      </c>
      <c r="B159" s="0" t="str">
        <f aca="false">'CC Item Pricing'!C134&amp;IF('CC Item Pricing'!D134="",""," – "&amp;'CC Item Pricing'!D134)</f>
        <v/>
      </c>
      <c r="C159" s="0" t="str">
        <f aca="false">INDEX(CC_UnitNames,'CC Item Pricing'!Y134)</f>
        <v>Unit 4</v>
      </c>
      <c r="D159" s="0" t="n">
        <f aca="false">N('CC Item Pricing'!G134)</f>
        <v>0</v>
      </c>
      <c r="E159" s="98" t="n">
        <f aca="false">'CC Item Pricing'!W134</f>
        <v>0</v>
      </c>
      <c r="F159" s="96" t="n">
        <f aca="false">IF(AND(G159=1,'CC Item Pricing'!B134=""),1,0)</f>
        <v>0</v>
      </c>
      <c r="G159" s="96" t="n">
        <f aca="false">IF(D159&gt;0,1,0)</f>
        <v>0</v>
      </c>
      <c r="H159" s="0" t="str">
        <f aca="false">IF(F159=1,COUNTIF($F$4:F159,1),"")</f>
        <v/>
      </c>
      <c r="I159" s="0" t="str">
        <f aca="false">IF(G159=1,COUNTIF($G$4:G159,1),"")</f>
        <v/>
      </c>
      <c r="R159" s="0" t="str">
        <f aca="false">IF(CC_Mode="Per equipment",IFERROR(INDEX($B$4:$B$403,MATCH(156,$I$4:$I$403,0)),""),IF(CC_Mode="Per loop",IFERROR(INDEX($B$4:$B$403,MATCH(156,$H$4:$H$403,0)),""),IF(CC_Mode="Per unit",IFERROR("Chemical cleaning – "&amp;INDEX($K$4:$K$15,MATCH(156,$N$4:$N$15,0)),""),IF(156=1,"LUMP SUM – "&amp;QProject,""))))</f>
        <v/>
      </c>
      <c r="S159" s="0" t="str">
        <f aca="false">IF(CC_Mode="Per equipment",IFERROR(INDEX($C$4:$C$403,MATCH(156,$I$4:$I$403,0)),""),IF(CC_Mode="Per loop",IFERROR(INDEX($C$4:$C$403,MATCH(156,$H$4:$H$403,0)),""),IF(CC_Mode="Per unit",IFERROR(INDEX($K$4:$K$15,MATCH(156,$N$4:$N$15,0)),""),IF(156=1,"All units",""))))</f>
        <v/>
      </c>
      <c r="T159" s="0" t="str">
        <f aca="false">IF(CC_Mode="Per equipment",IFERROR(INDEX($D$4:$D$403,MATCH(156,$I$4:$I$403,0)),""),IF(CC_Mode="Per loop",IFERROR(INDEX($D$4:$D$403,MATCH(156,$H$4:$H$403,0)),""),IF(CC_Mode="Per unit",IFERROR(INDEX($M$4:$M$15,MATCH(156,$N$4:$N$15,0)),""),IF(156=1,CC_V_GrandVol,""))))</f>
        <v/>
      </c>
      <c r="U159" s="0" t="str">
        <f aca="false">IF(CC_Mode="Per equipment",IFERROR(INDEX($E$4:$E$403,MATCH(156,$I$4:$I$403,0)),""),IF(CC_Mode="Per loop",IFERROR(INDEX($E$4:$E$403,MATCH(156,$H$4:$H$403,0)),""),IF(CC_Mode="Per unit",IFERROR(INDEX($L$4:$L$15,MATCH(156,$N$4:$N$15,0)),""),IF(156=1,CC_Net,""))))</f>
        <v/>
      </c>
    </row>
    <row r="160" customFormat="false" ht="15" hidden="false" customHeight="false" outlineLevel="0" collapsed="false">
      <c r="A160" s="0" t="s">
        <v>172</v>
      </c>
      <c r="B160" s="0" t="str">
        <f aca="false">'CC Item Pricing'!C135&amp;IF('CC Item Pricing'!D135="",""," – "&amp;'CC Item Pricing'!D135)</f>
        <v/>
      </c>
      <c r="C160" s="0" t="str">
        <f aca="false">INDEX(CC_UnitNames,'CC Item Pricing'!Y135)</f>
        <v>Unit 4</v>
      </c>
      <c r="D160" s="0" t="n">
        <f aca="false">N('CC Item Pricing'!G135)</f>
        <v>0</v>
      </c>
      <c r="E160" s="98" t="n">
        <f aca="false">'CC Item Pricing'!W135</f>
        <v>0</v>
      </c>
      <c r="F160" s="96" t="n">
        <f aca="false">IF(AND(G160=1,'CC Item Pricing'!B135=""),1,0)</f>
        <v>0</v>
      </c>
      <c r="G160" s="96" t="n">
        <f aca="false">IF(D160&gt;0,1,0)</f>
        <v>0</v>
      </c>
      <c r="H160" s="0" t="str">
        <f aca="false">IF(F160=1,COUNTIF($F$4:F160,1),"")</f>
        <v/>
      </c>
      <c r="I160" s="0" t="str">
        <f aca="false">IF(G160=1,COUNTIF($G$4:G160,1),"")</f>
        <v/>
      </c>
      <c r="R160" s="0" t="str">
        <f aca="false">IF(CC_Mode="Per equipment",IFERROR(INDEX($B$4:$B$403,MATCH(157,$I$4:$I$403,0)),""),IF(CC_Mode="Per loop",IFERROR(INDEX($B$4:$B$403,MATCH(157,$H$4:$H$403,0)),""),IF(CC_Mode="Per unit",IFERROR("Chemical cleaning – "&amp;INDEX($K$4:$K$15,MATCH(157,$N$4:$N$15,0)),""),IF(157=1,"LUMP SUM – "&amp;QProject,""))))</f>
        <v/>
      </c>
      <c r="S160" s="0" t="str">
        <f aca="false">IF(CC_Mode="Per equipment",IFERROR(INDEX($C$4:$C$403,MATCH(157,$I$4:$I$403,0)),""),IF(CC_Mode="Per loop",IFERROR(INDEX($C$4:$C$403,MATCH(157,$H$4:$H$403,0)),""),IF(CC_Mode="Per unit",IFERROR(INDEX($K$4:$K$15,MATCH(157,$N$4:$N$15,0)),""),IF(157=1,"All units",""))))</f>
        <v/>
      </c>
      <c r="T160" s="0" t="str">
        <f aca="false">IF(CC_Mode="Per equipment",IFERROR(INDEX($D$4:$D$403,MATCH(157,$I$4:$I$403,0)),""),IF(CC_Mode="Per loop",IFERROR(INDEX($D$4:$D$403,MATCH(157,$H$4:$H$403,0)),""),IF(CC_Mode="Per unit",IFERROR(INDEX($M$4:$M$15,MATCH(157,$N$4:$N$15,0)),""),IF(157=1,CC_V_GrandVol,""))))</f>
        <v/>
      </c>
      <c r="U160" s="0" t="str">
        <f aca="false">IF(CC_Mode="Per equipment",IFERROR(INDEX($E$4:$E$403,MATCH(157,$I$4:$I$403,0)),""),IF(CC_Mode="Per loop",IFERROR(INDEX($E$4:$E$403,MATCH(157,$H$4:$H$403,0)),""),IF(CC_Mode="Per unit",IFERROR(INDEX($L$4:$L$15,MATCH(157,$N$4:$N$15,0)),""),IF(157=1,CC_Net,""))))</f>
        <v/>
      </c>
    </row>
    <row r="161" customFormat="false" ht="15" hidden="false" customHeight="false" outlineLevel="0" collapsed="false">
      <c r="A161" s="0" t="s">
        <v>172</v>
      </c>
      <c r="B161" s="0" t="str">
        <f aca="false">'CC Item Pricing'!C136&amp;IF('CC Item Pricing'!D136="",""," – "&amp;'CC Item Pricing'!D136)</f>
        <v/>
      </c>
      <c r="C161" s="0" t="str">
        <f aca="false">INDEX(CC_UnitNames,'CC Item Pricing'!Y136)</f>
        <v>Unit 4</v>
      </c>
      <c r="D161" s="0" t="n">
        <f aca="false">N('CC Item Pricing'!G136)</f>
        <v>0</v>
      </c>
      <c r="E161" s="98" t="n">
        <f aca="false">'CC Item Pricing'!W136</f>
        <v>0</v>
      </c>
      <c r="F161" s="96" t="n">
        <f aca="false">IF(AND(G161=1,'CC Item Pricing'!B136=""),1,0)</f>
        <v>0</v>
      </c>
      <c r="G161" s="96" t="n">
        <f aca="false">IF(D161&gt;0,1,0)</f>
        <v>0</v>
      </c>
      <c r="H161" s="0" t="str">
        <f aca="false">IF(F161=1,COUNTIF($F$4:F161,1),"")</f>
        <v/>
      </c>
      <c r="I161" s="0" t="str">
        <f aca="false">IF(G161=1,COUNTIF($G$4:G161,1),"")</f>
        <v/>
      </c>
      <c r="R161" s="0" t="str">
        <f aca="false">IF(CC_Mode="Per equipment",IFERROR(INDEX($B$4:$B$403,MATCH(158,$I$4:$I$403,0)),""),IF(CC_Mode="Per loop",IFERROR(INDEX($B$4:$B$403,MATCH(158,$H$4:$H$403,0)),""),IF(CC_Mode="Per unit",IFERROR("Chemical cleaning – "&amp;INDEX($K$4:$K$15,MATCH(158,$N$4:$N$15,0)),""),IF(158=1,"LUMP SUM – "&amp;QProject,""))))</f>
        <v/>
      </c>
      <c r="S161" s="0" t="str">
        <f aca="false">IF(CC_Mode="Per equipment",IFERROR(INDEX($C$4:$C$403,MATCH(158,$I$4:$I$403,0)),""),IF(CC_Mode="Per loop",IFERROR(INDEX($C$4:$C$403,MATCH(158,$H$4:$H$403,0)),""),IF(CC_Mode="Per unit",IFERROR(INDEX($K$4:$K$15,MATCH(158,$N$4:$N$15,0)),""),IF(158=1,"All units",""))))</f>
        <v/>
      </c>
      <c r="T161" s="0" t="str">
        <f aca="false">IF(CC_Mode="Per equipment",IFERROR(INDEX($D$4:$D$403,MATCH(158,$I$4:$I$403,0)),""),IF(CC_Mode="Per loop",IFERROR(INDEX($D$4:$D$403,MATCH(158,$H$4:$H$403,0)),""),IF(CC_Mode="Per unit",IFERROR(INDEX($M$4:$M$15,MATCH(158,$N$4:$N$15,0)),""),IF(158=1,CC_V_GrandVol,""))))</f>
        <v/>
      </c>
      <c r="U161" s="0" t="str">
        <f aca="false">IF(CC_Mode="Per equipment",IFERROR(INDEX($E$4:$E$403,MATCH(158,$I$4:$I$403,0)),""),IF(CC_Mode="Per loop",IFERROR(INDEX($E$4:$E$403,MATCH(158,$H$4:$H$403,0)),""),IF(CC_Mode="Per unit",IFERROR(INDEX($L$4:$L$15,MATCH(158,$N$4:$N$15,0)),""),IF(158=1,CC_Net,""))))</f>
        <v/>
      </c>
    </row>
    <row r="162" customFormat="false" ht="15" hidden="false" customHeight="false" outlineLevel="0" collapsed="false">
      <c r="A162" s="0" t="s">
        <v>172</v>
      </c>
      <c r="B162" s="0" t="str">
        <f aca="false">'CC Item Pricing'!C137&amp;IF('CC Item Pricing'!D137="",""," – "&amp;'CC Item Pricing'!D137)</f>
        <v/>
      </c>
      <c r="C162" s="0" t="str">
        <f aca="false">INDEX(CC_UnitNames,'CC Item Pricing'!Y137)</f>
        <v>Unit 4</v>
      </c>
      <c r="D162" s="0" t="n">
        <f aca="false">N('CC Item Pricing'!G137)</f>
        <v>0</v>
      </c>
      <c r="E162" s="98" t="n">
        <f aca="false">'CC Item Pricing'!W137</f>
        <v>0</v>
      </c>
      <c r="F162" s="96" t="n">
        <f aca="false">IF(AND(G162=1,'CC Item Pricing'!B137=""),1,0)</f>
        <v>0</v>
      </c>
      <c r="G162" s="96" t="n">
        <f aca="false">IF(D162&gt;0,1,0)</f>
        <v>0</v>
      </c>
      <c r="H162" s="0" t="str">
        <f aca="false">IF(F162=1,COUNTIF($F$4:F162,1),"")</f>
        <v/>
      </c>
      <c r="I162" s="0" t="str">
        <f aca="false">IF(G162=1,COUNTIF($G$4:G162,1),"")</f>
        <v/>
      </c>
      <c r="R162" s="0" t="str">
        <f aca="false">IF(CC_Mode="Per equipment",IFERROR(INDEX($B$4:$B$403,MATCH(159,$I$4:$I$403,0)),""),IF(CC_Mode="Per loop",IFERROR(INDEX($B$4:$B$403,MATCH(159,$H$4:$H$403,0)),""),IF(CC_Mode="Per unit",IFERROR("Chemical cleaning – "&amp;INDEX($K$4:$K$15,MATCH(159,$N$4:$N$15,0)),""),IF(159=1,"LUMP SUM – "&amp;QProject,""))))</f>
        <v/>
      </c>
      <c r="S162" s="0" t="str">
        <f aca="false">IF(CC_Mode="Per equipment",IFERROR(INDEX($C$4:$C$403,MATCH(159,$I$4:$I$403,0)),""),IF(CC_Mode="Per loop",IFERROR(INDEX($C$4:$C$403,MATCH(159,$H$4:$H$403,0)),""),IF(CC_Mode="Per unit",IFERROR(INDEX($K$4:$K$15,MATCH(159,$N$4:$N$15,0)),""),IF(159=1,"All units",""))))</f>
        <v/>
      </c>
      <c r="T162" s="0" t="str">
        <f aca="false">IF(CC_Mode="Per equipment",IFERROR(INDEX($D$4:$D$403,MATCH(159,$I$4:$I$403,0)),""),IF(CC_Mode="Per loop",IFERROR(INDEX($D$4:$D$403,MATCH(159,$H$4:$H$403,0)),""),IF(CC_Mode="Per unit",IFERROR(INDEX($M$4:$M$15,MATCH(159,$N$4:$N$15,0)),""),IF(159=1,CC_V_GrandVol,""))))</f>
        <v/>
      </c>
      <c r="U162" s="0" t="str">
        <f aca="false">IF(CC_Mode="Per equipment",IFERROR(INDEX($E$4:$E$403,MATCH(159,$I$4:$I$403,0)),""),IF(CC_Mode="Per loop",IFERROR(INDEX($E$4:$E$403,MATCH(159,$H$4:$H$403,0)),""),IF(CC_Mode="Per unit",IFERROR(INDEX($L$4:$L$15,MATCH(159,$N$4:$N$15,0)),""),IF(159=1,CC_Net,""))))</f>
        <v/>
      </c>
    </row>
    <row r="163" customFormat="false" ht="15" hidden="false" customHeight="false" outlineLevel="0" collapsed="false">
      <c r="A163" s="0" t="s">
        <v>172</v>
      </c>
      <c r="B163" s="0" t="str">
        <f aca="false">'CC Item Pricing'!C138&amp;IF('CC Item Pricing'!D138="",""," – "&amp;'CC Item Pricing'!D138)</f>
        <v/>
      </c>
      <c r="C163" s="0" t="str">
        <f aca="false">INDEX(CC_UnitNames,'CC Item Pricing'!Y138)</f>
        <v>Unit 4</v>
      </c>
      <c r="D163" s="0" t="n">
        <f aca="false">N('CC Item Pricing'!G138)</f>
        <v>0</v>
      </c>
      <c r="E163" s="98" t="n">
        <f aca="false">'CC Item Pricing'!W138</f>
        <v>0</v>
      </c>
      <c r="F163" s="96" t="n">
        <f aca="false">IF(AND(G163=1,'CC Item Pricing'!B138=""),1,0)</f>
        <v>0</v>
      </c>
      <c r="G163" s="96" t="n">
        <f aca="false">IF(D163&gt;0,1,0)</f>
        <v>0</v>
      </c>
      <c r="H163" s="0" t="str">
        <f aca="false">IF(F163=1,COUNTIF($F$4:F163,1),"")</f>
        <v/>
      </c>
      <c r="I163" s="0" t="str">
        <f aca="false">IF(G163=1,COUNTIF($G$4:G163,1),"")</f>
        <v/>
      </c>
      <c r="R163" s="0" t="str">
        <f aca="false">IF(CC_Mode="Per equipment",IFERROR(INDEX($B$4:$B$403,MATCH(160,$I$4:$I$403,0)),""),IF(CC_Mode="Per loop",IFERROR(INDEX($B$4:$B$403,MATCH(160,$H$4:$H$403,0)),""),IF(CC_Mode="Per unit",IFERROR("Chemical cleaning – "&amp;INDEX($K$4:$K$15,MATCH(160,$N$4:$N$15,0)),""),IF(160=1,"LUMP SUM – "&amp;QProject,""))))</f>
        <v/>
      </c>
      <c r="S163" s="0" t="str">
        <f aca="false">IF(CC_Mode="Per equipment",IFERROR(INDEX($C$4:$C$403,MATCH(160,$I$4:$I$403,0)),""),IF(CC_Mode="Per loop",IFERROR(INDEX($C$4:$C$403,MATCH(160,$H$4:$H$403,0)),""),IF(CC_Mode="Per unit",IFERROR(INDEX($K$4:$K$15,MATCH(160,$N$4:$N$15,0)),""),IF(160=1,"All units",""))))</f>
        <v/>
      </c>
      <c r="T163" s="0" t="str">
        <f aca="false">IF(CC_Mode="Per equipment",IFERROR(INDEX($D$4:$D$403,MATCH(160,$I$4:$I$403,0)),""),IF(CC_Mode="Per loop",IFERROR(INDEX($D$4:$D$403,MATCH(160,$H$4:$H$403,0)),""),IF(CC_Mode="Per unit",IFERROR(INDEX($M$4:$M$15,MATCH(160,$N$4:$N$15,0)),""),IF(160=1,CC_V_GrandVol,""))))</f>
        <v/>
      </c>
      <c r="U163" s="0" t="str">
        <f aca="false">IF(CC_Mode="Per equipment",IFERROR(INDEX($E$4:$E$403,MATCH(160,$I$4:$I$403,0)),""),IF(CC_Mode="Per loop",IFERROR(INDEX($E$4:$E$403,MATCH(160,$H$4:$H$403,0)),""),IF(CC_Mode="Per unit",IFERROR(INDEX($L$4:$L$15,MATCH(160,$N$4:$N$15,0)),""),IF(160=1,CC_Net,""))))</f>
        <v/>
      </c>
    </row>
    <row r="164" customFormat="false" ht="15" hidden="false" customHeight="false" outlineLevel="0" collapsed="false">
      <c r="A164" s="0" t="s">
        <v>172</v>
      </c>
      <c r="B164" s="0" t="str">
        <f aca="false">'CC Item Pricing'!C142&amp;IF('CC Item Pricing'!D142="",""," – "&amp;'CC Item Pricing'!D142)</f>
        <v/>
      </c>
      <c r="C164" s="0" t="str">
        <f aca="false">INDEX(CC_UnitNames,'CC Item Pricing'!Y142)</f>
        <v>Unit 5</v>
      </c>
      <c r="D164" s="0" t="n">
        <f aca="false">N('CC Item Pricing'!G142)</f>
        <v>0</v>
      </c>
      <c r="E164" s="98" t="n">
        <f aca="false">'CC Item Pricing'!W142</f>
        <v>0</v>
      </c>
      <c r="F164" s="96" t="n">
        <f aca="false">IF(AND(G164=1,'CC Item Pricing'!B142=""),1,0)</f>
        <v>0</v>
      </c>
      <c r="G164" s="96" t="n">
        <f aca="false">IF(D164&gt;0,1,0)</f>
        <v>0</v>
      </c>
      <c r="H164" s="0" t="str">
        <f aca="false">IF(F164=1,COUNTIF($F$4:F164,1),"")</f>
        <v/>
      </c>
      <c r="I164" s="0" t="str">
        <f aca="false">IF(G164=1,COUNTIF($G$4:G164,1),"")</f>
        <v/>
      </c>
      <c r="R164" s="0" t="str">
        <f aca="false">IF(CC_Mode="Per equipment",IFERROR(INDEX($B$4:$B$403,MATCH(161,$I$4:$I$403,0)),""),IF(CC_Mode="Per loop",IFERROR(INDEX($B$4:$B$403,MATCH(161,$H$4:$H$403,0)),""),IF(CC_Mode="Per unit",IFERROR("Chemical cleaning – "&amp;INDEX($K$4:$K$15,MATCH(161,$N$4:$N$15,0)),""),IF(161=1,"LUMP SUM – "&amp;QProject,""))))</f>
        <v/>
      </c>
      <c r="S164" s="0" t="str">
        <f aca="false">IF(CC_Mode="Per equipment",IFERROR(INDEX($C$4:$C$403,MATCH(161,$I$4:$I$403,0)),""),IF(CC_Mode="Per loop",IFERROR(INDEX($C$4:$C$403,MATCH(161,$H$4:$H$403,0)),""),IF(CC_Mode="Per unit",IFERROR(INDEX($K$4:$K$15,MATCH(161,$N$4:$N$15,0)),""),IF(161=1,"All units",""))))</f>
        <v/>
      </c>
      <c r="T164" s="0" t="str">
        <f aca="false">IF(CC_Mode="Per equipment",IFERROR(INDEX($D$4:$D$403,MATCH(161,$I$4:$I$403,0)),""),IF(CC_Mode="Per loop",IFERROR(INDEX($D$4:$D$403,MATCH(161,$H$4:$H$403,0)),""),IF(CC_Mode="Per unit",IFERROR(INDEX($M$4:$M$15,MATCH(161,$N$4:$N$15,0)),""),IF(161=1,CC_V_GrandVol,""))))</f>
        <v/>
      </c>
      <c r="U164" s="0" t="str">
        <f aca="false">IF(CC_Mode="Per equipment",IFERROR(INDEX($E$4:$E$403,MATCH(161,$I$4:$I$403,0)),""),IF(CC_Mode="Per loop",IFERROR(INDEX($E$4:$E$403,MATCH(161,$H$4:$H$403,0)),""),IF(CC_Mode="Per unit",IFERROR(INDEX($L$4:$L$15,MATCH(161,$N$4:$N$15,0)),""),IF(161=1,CC_Net,""))))</f>
        <v/>
      </c>
    </row>
    <row r="165" customFormat="false" ht="15" hidden="false" customHeight="false" outlineLevel="0" collapsed="false">
      <c r="A165" s="0" t="s">
        <v>172</v>
      </c>
      <c r="B165" s="0" t="str">
        <f aca="false">'CC Item Pricing'!C143&amp;IF('CC Item Pricing'!D143="",""," – "&amp;'CC Item Pricing'!D143)</f>
        <v/>
      </c>
      <c r="C165" s="0" t="str">
        <f aca="false">INDEX(CC_UnitNames,'CC Item Pricing'!Y143)</f>
        <v>Unit 5</v>
      </c>
      <c r="D165" s="0" t="n">
        <f aca="false">N('CC Item Pricing'!G143)</f>
        <v>0</v>
      </c>
      <c r="E165" s="98" t="n">
        <f aca="false">'CC Item Pricing'!W143</f>
        <v>0</v>
      </c>
      <c r="F165" s="96" t="n">
        <f aca="false">IF(AND(G165=1,'CC Item Pricing'!B143=""),1,0)</f>
        <v>0</v>
      </c>
      <c r="G165" s="96" t="n">
        <f aca="false">IF(D165&gt;0,1,0)</f>
        <v>0</v>
      </c>
      <c r="H165" s="0" t="str">
        <f aca="false">IF(F165=1,COUNTIF($F$4:F165,1),"")</f>
        <v/>
      </c>
      <c r="I165" s="0" t="str">
        <f aca="false">IF(G165=1,COUNTIF($G$4:G165,1),"")</f>
        <v/>
      </c>
      <c r="R165" s="0" t="str">
        <f aca="false">IF(CC_Mode="Per equipment",IFERROR(INDEX($B$4:$B$403,MATCH(162,$I$4:$I$403,0)),""),IF(CC_Mode="Per loop",IFERROR(INDEX($B$4:$B$403,MATCH(162,$H$4:$H$403,0)),""),IF(CC_Mode="Per unit",IFERROR("Chemical cleaning – "&amp;INDEX($K$4:$K$15,MATCH(162,$N$4:$N$15,0)),""),IF(162=1,"LUMP SUM – "&amp;QProject,""))))</f>
        <v/>
      </c>
      <c r="S165" s="0" t="str">
        <f aca="false">IF(CC_Mode="Per equipment",IFERROR(INDEX($C$4:$C$403,MATCH(162,$I$4:$I$403,0)),""),IF(CC_Mode="Per loop",IFERROR(INDEX($C$4:$C$403,MATCH(162,$H$4:$H$403,0)),""),IF(CC_Mode="Per unit",IFERROR(INDEX($K$4:$K$15,MATCH(162,$N$4:$N$15,0)),""),IF(162=1,"All units",""))))</f>
        <v/>
      </c>
      <c r="T165" s="0" t="str">
        <f aca="false">IF(CC_Mode="Per equipment",IFERROR(INDEX($D$4:$D$403,MATCH(162,$I$4:$I$403,0)),""),IF(CC_Mode="Per loop",IFERROR(INDEX($D$4:$D$403,MATCH(162,$H$4:$H$403,0)),""),IF(CC_Mode="Per unit",IFERROR(INDEX($M$4:$M$15,MATCH(162,$N$4:$N$15,0)),""),IF(162=1,CC_V_GrandVol,""))))</f>
        <v/>
      </c>
      <c r="U165" s="0" t="str">
        <f aca="false">IF(CC_Mode="Per equipment",IFERROR(INDEX($E$4:$E$403,MATCH(162,$I$4:$I$403,0)),""),IF(CC_Mode="Per loop",IFERROR(INDEX($E$4:$E$403,MATCH(162,$H$4:$H$403,0)),""),IF(CC_Mode="Per unit",IFERROR(INDEX($L$4:$L$15,MATCH(162,$N$4:$N$15,0)),""),IF(162=1,CC_Net,""))))</f>
        <v/>
      </c>
    </row>
    <row r="166" customFormat="false" ht="15" hidden="false" customHeight="false" outlineLevel="0" collapsed="false">
      <c r="A166" s="0" t="s">
        <v>172</v>
      </c>
      <c r="B166" s="0" t="str">
        <f aca="false">'CC Item Pricing'!C144&amp;IF('CC Item Pricing'!D144="",""," – "&amp;'CC Item Pricing'!D144)</f>
        <v/>
      </c>
      <c r="C166" s="0" t="str">
        <f aca="false">INDEX(CC_UnitNames,'CC Item Pricing'!Y144)</f>
        <v>Unit 5</v>
      </c>
      <c r="D166" s="0" t="n">
        <f aca="false">N('CC Item Pricing'!G144)</f>
        <v>0</v>
      </c>
      <c r="E166" s="98" t="n">
        <f aca="false">'CC Item Pricing'!W144</f>
        <v>0</v>
      </c>
      <c r="F166" s="96" t="n">
        <f aca="false">IF(AND(G166=1,'CC Item Pricing'!B144=""),1,0)</f>
        <v>0</v>
      </c>
      <c r="G166" s="96" t="n">
        <f aca="false">IF(D166&gt;0,1,0)</f>
        <v>0</v>
      </c>
      <c r="H166" s="0" t="str">
        <f aca="false">IF(F166=1,COUNTIF($F$4:F166,1),"")</f>
        <v/>
      </c>
      <c r="I166" s="0" t="str">
        <f aca="false">IF(G166=1,COUNTIF($G$4:G166,1),"")</f>
        <v/>
      </c>
      <c r="R166" s="0" t="str">
        <f aca="false">IF(CC_Mode="Per equipment",IFERROR(INDEX($B$4:$B$403,MATCH(163,$I$4:$I$403,0)),""),IF(CC_Mode="Per loop",IFERROR(INDEX($B$4:$B$403,MATCH(163,$H$4:$H$403,0)),""),IF(CC_Mode="Per unit",IFERROR("Chemical cleaning – "&amp;INDEX($K$4:$K$15,MATCH(163,$N$4:$N$15,0)),""),IF(163=1,"LUMP SUM – "&amp;QProject,""))))</f>
        <v/>
      </c>
      <c r="S166" s="0" t="str">
        <f aca="false">IF(CC_Mode="Per equipment",IFERROR(INDEX($C$4:$C$403,MATCH(163,$I$4:$I$403,0)),""),IF(CC_Mode="Per loop",IFERROR(INDEX($C$4:$C$403,MATCH(163,$H$4:$H$403,0)),""),IF(CC_Mode="Per unit",IFERROR(INDEX($K$4:$K$15,MATCH(163,$N$4:$N$15,0)),""),IF(163=1,"All units",""))))</f>
        <v/>
      </c>
      <c r="T166" s="0" t="str">
        <f aca="false">IF(CC_Mode="Per equipment",IFERROR(INDEX($D$4:$D$403,MATCH(163,$I$4:$I$403,0)),""),IF(CC_Mode="Per loop",IFERROR(INDEX($D$4:$D$403,MATCH(163,$H$4:$H$403,0)),""),IF(CC_Mode="Per unit",IFERROR(INDEX($M$4:$M$15,MATCH(163,$N$4:$N$15,0)),""),IF(163=1,CC_V_GrandVol,""))))</f>
        <v/>
      </c>
      <c r="U166" s="0" t="str">
        <f aca="false">IF(CC_Mode="Per equipment",IFERROR(INDEX($E$4:$E$403,MATCH(163,$I$4:$I$403,0)),""),IF(CC_Mode="Per loop",IFERROR(INDEX($E$4:$E$403,MATCH(163,$H$4:$H$403,0)),""),IF(CC_Mode="Per unit",IFERROR(INDEX($L$4:$L$15,MATCH(163,$N$4:$N$15,0)),""),IF(163=1,CC_Net,""))))</f>
        <v/>
      </c>
    </row>
    <row r="167" customFormat="false" ht="15" hidden="false" customHeight="false" outlineLevel="0" collapsed="false">
      <c r="A167" s="0" t="s">
        <v>172</v>
      </c>
      <c r="B167" s="0" t="str">
        <f aca="false">'CC Item Pricing'!C145&amp;IF('CC Item Pricing'!D145="",""," – "&amp;'CC Item Pricing'!D145)</f>
        <v/>
      </c>
      <c r="C167" s="0" t="str">
        <f aca="false">INDEX(CC_UnitNames,'CC Item Pricing'!Y145)</f>
        <v>Unit 5</v>
      </c>
      <c r="D167" s="0" t="n">
        <f aca="false">N('CC Item Pricing'!G145)</f>
        <v>0</v>
      </c>
      <c r="E167" s="98" t="n">
        <f aca="false">'CC Item Pricing'!W145</f>
        <v>0</v>
      </c>
      <c r="F167" s="96" t="n">
        <f aca="false">IF(AND(G167=1,'CC Item Pricing'!B145=""),1,0)</f>
        <v>0</v>
      </c>
      <c r="G167" s="96" t="n">
        <f aca="false">IF(D167&gt;0,1,0)</f>
        <v>0</v>
      </c>
      <c r="H167" s="0" t="str">
        <f aca="false">IF(F167=1,COUNTIF($F$4:F167,1),"")</f>
        <v/>
      </c>
      <c r="I167" s="0" t="str">
        <f aca="false">IF(G167=1,COUNTIF($G$4:G167,1),"")</f>
        <v/>
      </c>
      <c r="R167" s="0" t="str">
        <f aca="false">IF(CC_Mode="Per equipment",IFERROR(INDEX($B$4:$B$403,MATCH(164,$I$4:$I$403,0)),""),IF(CC_Mode="Per loop",IFERROR(INDEX($B$4:$B$403,MATCH(164,$H$4:$H$403,0)),""),IF(CC_Mode="Per unit",IFERROR("Chemical cleaning – "&amp;INDEX($K$4:$K$15,MATCH(164,$N$4:$N$15,0)),""),IF(164=1,"LUMP SUM – "&amp;QProject,""))))</f>
        <v/>
      </c>
      <c r="S167" s="0" t="str">
        <f aca="false">IF(CC_Mode="Per equipment",IFERROR(INDEX($C$4:$C$403,MATCH(164,$I$4:$I$403,0)),""),IF(CC_Mode="Per loop",IFERROR(INDEX($C$4:$C$403,MATCH(164,$H$4:$H$403,0)),""),IF(CC_Mode="Per unit",IFERROR(INDEX($K$4:$K$15,MATCH(164,$N$4:$N$15,0)),""),IF(164=1,"All units",""))))</f>
        <v/>
      </c>
      <c r="T167" s="0" t="str">
        <f aca="false">IF(CC_Mode="Per equipment",IFERROR(INDEX($D$4:$D$403,MATCH(164,$I$4:$I$403,0)),""),IF(CC_Mode="Per loop",IFERROR(INDEX($D$4:$D$403,MATCH(164,$H$4:$H$403,0)),""),IF(CC_Mode="Per unit",IFERROR(INDEX($M$4:$M$15,MATCH(164,$N$4:$N$15,0)),""),IF(164=1,CC_V_GrandVol,""))))</f>
        <v/>
      </c>
      <c r="U167" s="0" t="str">
        <f aca="false">IF(CC_Mode="Per equipment",IFERROR(INDEX($E$4:$E$403,MATCH(164,$I$4:$I$403,0)),""),IF(CC_Mode="Per loop",IFERROR(INDEX($E$4:$E$403,MATCH(164,$H$4:$H$403,0)),""),IF(CC_Mode="Per unit",IFERROR(INDEX($L$4:$L$15,MATCH(164,$N$4:$N$15,0)),""),IF(164=1,CC_Net,""))))</f>
        <v/>
      </c>
    </row>
    <row r="168" customFormat="false" ht="15" hidden="false" customHeight="false" outlineLevel="0" collapsed="false">
      <c r="A168" s="0" t="s">
        <v>172</v>
      </c>
      <c r="B168" s="0" t="str">
        <f aca="false">'CC Item Pricing'!C146&amp;IF('CC Item Pricing'!D146="",""," – "&amp;'CC Item Pricing'!D146)</f>
        <v/>
      </c>
      <c r="C168" s="0" t="str">
        <f aca="false">INDEX(CC_UnitNames,'CC Item Pricing'!Y146)</f>
        <v>Unit 5</v>
      </c>
      <c r="D168" s="0" t="n">
        <f aca="false">N('CC Item Pricing'!G146)</f>
        <v>0</v>
      </c>
      <c r="E168" s="98" t="n">
        <f aca="false">'CC Item Pricing'!W146</f>
        <v>0</v>
      </c>
      <c r="F168" s="96" t="n">
        <f aca="false">IF(AND(G168=1,'CC Item Pricing'!B146=""),1,0)</f>
        <v>0</v>
      </c>
      <c r="G168" s="96" t="n">
        <f aca="false">IF(D168&gt;0,1,0)</f>
        <v>0</v>
      </c>
      <c r="H168" s="0" t="str">
        <f aca="false">IF(F168=1,COUNTIF($F$4:F168,1),"")</f>
        <v/>
      </c>
      <c r="I168" s="0" t="str">
        <f aca="false">IF(G168=1,COUNTIF($G$4:G168,1),"")</f>
        <v/>
      </c>
      <c r="R168" s="0" t="str">
        <f aca="false">IF(CC_Mode="Per equipment",IFERROR(INDEX($B$4:$B$403,MATCH(165,$I$4:$I$403,0)),""),IF(CC_Mode="Per loop",IFERROR(INDEX($B$4:$B$403,MATCH(165,$H$4:$H$403,0)),""),IF(CC_Mode="Per unit",IFERROR("Chemical cleaning – "&amp;INDEX($K$4:$K$15,MATCH(165,$N$4:$N$15,0)),""),IF(165=1,"LUMP SUM – "&amp;QProject,""))))</f>
        <v/>
      </c>
      <c r="S168" s="0" t="str">
        <f aca="false">IF(CC_Mode="Per equipment",IFERROR(INDEX($C$4:$C$403,MATCH(165,$I$4:$I$403,0)),""),IF(CC_Mode="Per loop",IFERROR(INDEX($C$4:$C$403,MATCH(165,$H$4:$H$403,0)),""),IF(CC_Mode="Per unit",IFERROR(INDEX($K$4:$K$15,MATCH(165,$N$4:$N$15,0)),""),IF(165=1,"All units",""))))</f>
        <v/>
      </c>
      <c r="T168" s="0" t="str">
        <f aca="false">IF(CC_Mode="Per equipment",IFERROR(INDEX($D$4:$D$403,MATCH(165,$I$4:$I$403,0)),""),IF(CC_Mode="Per loop",IFERROR(INDEX($D$4:$D$403,MATCH(165,$H$4:$H$403,0)),""),IF(CC_Mode="Per unit",IFERROR(INDEX($M$4:$M$15,MATCH(165,$N$4:$N$15,0)),""),IF(165=1,CC_V_GrandVol,""))))</f>
        <v/>
      </c>
      <c r="U168" s="0" t="str">
        <f aca="false">IF(CC_Mode="Per equipment",IFERROR(INDEX($E$4:$E$403,MATCH(165,$I$4:$I$403,0)),""),IF(CC_Mode="Per loop",IFERROR(INDEX($E$4:$E$403,MATCH(165,$H$4:$H$403,0)),""),IF(CC_Mode="Per unit",IFERROR(INDEX($L$4:$L$15,MATCH(165,$N$4:$N$15,0)),""),IF(165=1,CC_Net,""))))</f>
        <v/>
      </c>
    </row>
    <row r="169" customFormat="false" ht="15" hidden="false" customHeight="false" outlineLevel="0" collapsed="false">
      <c r="A169" s="0" t="s">
        <v>172</v>
      </c>
      <c r="B169" s="0" t="str">
        <f aca="false">'CC Item Pricing'!C147&amp;IF('CC Item Pricing'!D147="",""," – "&amp;'CC Item Pricing'!D147)</f>
        <v/>
      </c>
      <c r="C169" s="0" t="str">
        <f aca="false">INDEX(CC_UnitNames,'CC Item Pricing'!Y147)</f>
        <v>Unit 5</v>
      </c>
      <c r="D169" s="0" t="n">
        <f aca="false">N('CC Item Pricing'!G147)</f>
        <v>0</v>
      </c>
      <c r="E169" s="98" t="n">
        <f aca="false">'CC Item Pricing'!W147</f>
        <v>0</v>
      </c>
      <c r="F169" s="96" t="n">
        <f aca="false">IF(AND(G169=1,'CC Item Pricing'!B147=""),1,0)</f>
        <v>0</v>
      </c>
      <c r="G169" s="96" t="n">
        <f aca="false">IF(D169&gt;0,1,0)</f>
        <v>0</v>
      </c>
      <c r="H169" s="0" t="str">
        <f aca="false">IF(F169=1,COUNTIF($F$4:F169,1),"")</f>
        <v/>
      </c>
      <c r="I169" s="0" t="str">
        <f aca="false">IF(G169=1,COUNTIF($G$4:G169,1),"")</f>
        <v/>
      </c>
      <c r="R169" s="0" t="str">
        <f aca="false">IF(CC_Mode="Per equipment",IFERROR(INDEX($B$4:$B$403,MATCH(166,$I$4:$I$403,0)),""),IF(CC_Mode="Per loop",IFERROR(INDEX($B$4:$B$403,MATCH(166,$H$4:$H$403,0)),""),IF(CC_Mode="Per unit",IFERROR("Chemical cleaning – "&amp;INDEX($K$4:$K$15,MATCH(166,$N$4:$N$15,0)),""),IF(166=1,"LUMP SUM – "&amp;QProject,""))))</f>
        <v/>
      </c>
      <c r="S169" s="0" t="str">
        <f aca="false">IF(CC_Mode="Per equipment",IFERROR(INDEX($C$4:$C$403,MATCH(166,$I$4:$I$403,0)),""),IF(CC_Mode="Per loop",IFERROR(INDEX($C$4:$C$403,MATCH(166,$H$4:$H$403,0)),""),IF(CC_Mode="Per unit",IFERROR(INDEX($K$4:$K$15,MATCH(166,$N$4:$N$15,0)),""),IF(166=1,"All units",""))))</f>
        <v/>
      </c>
      <c r="T169" s="0" t="str">
        <f aca="false">IF(CC_Mode="Per equipment",IFERROR(INDEX($D$4:$D$403,MATCH(166,$I$4:$I$403,0)),""),IF(CC_Mode="Per loop",IFERROR(INDEX($D$4:$D$403,MATCH(166,$H$4:$H$403,0)),""),IF(CC_Mode="Per unit",IFERROR(INDEX($M$4:$M$15,MATCH(166,$N$4:$N$15,0)),""),IF(166=1,CC_V_GrandVol,""))))</f>
        <v/>
      </c>
      <c r="U169" s="0" t="str">
        <f aca="false">IF(CC_Mode="Per equipment",IFERROR(INDEX($E$4:$E$403,MATCH(166,$I$4:$I$403,0)),""),IF(CC_Mode="Per loop",IFERROR(INDEX($E$4:$E$403,MATCH(166,$H$4:$H$403,0)),""),IF(CC_Mode="Per unit",IFERROR(INDEX($L$4:$L$15,MATCH(166,$N$4:$N$15,0)),""),IF(166=1,CC_Net,""))))</f>
        <v/>
      </c>
    </row>
    <row r="170" customFormat="false" ht="15" hidden="false" customHeight="false" outlineLevel="0" collapsed="false">
      <c r="A170" s="0" t="s">
        <v>172</v>
      </c>
      <c r="B170" s="0" t="str">
        <f aca="false">'CC Item Pricing'!C148&amp;IF('CC Item Pricing'!D148="",""," – "&amp;'CC Item Pricing'!D148)</f>
        <v/>
      </c>
      <c r="C170" s="0" t="str">
        <f aca="false">INDEX(CC_UnitNames,'CC Item Pricing'!Y148)</f>
        <v>Unit 5</v>
      </c>
      <c r="D170" s="0" t="n">
        <f aca="false">N('CC Item Pricing'!G148)</f>
        <v>0</v>
      </c>
      <c r="E170" s="98" t="n">
        <f aca="false">'CC Item Pricing'!W148</f>
        <v>0</v>
      </c>
      <c r="F170" s="96" t="n">
        <f aca="false">IF(AND(G170=1,'CC Item Pricing'!B148=""),1,0)</f>
        <v>0</v>
      </c>
      <c r="G170" s="96" t="n">
        <f aca="false">IF(D170&gt;0,1,0)</f>
        <v>0</v>
      </c>
      <c r="H170" s="0" t="str">
        <f aca="false">IF(F170=1,COUNTIF($F$4:F170,1),"")</f>
        <v/>
      </c>
      <c r="I170" s="0" t="str">
        <f aca="false">IF(G170=1,COUNTIF($G$4:G170,1),"")</f>
        <v/>
      </c>
      <c r="R170" s="0" t="str">
        <f aca="false">IF(CC_Mode="Per equipment",IFERROR(INDEX($B$4:$B$403,MATCH(167,$I$4:$I$403,0)),""),IF(CC_Mode="Per loop",IFERROR(INDEX($B$4:$B$403,MATCH(167,$H$4:$H$403,0)),""),IF(CC_Mode="Per unit",IFERROR("Chemical cleaning – "&amp;INDEX($K$4:$K$15,MATCH(167,$N$4:$N$15,0)),""),IF(167=1,"LUMP SUM – "&amp;QProject,""))))</f>
        <v/>
      </c>
      <c r="S170" s="0" t="str">
        <f aca="false">IF(CC_Mode="Per equipment",IFERROR(INDEX($C$4:$C$403,MATCH(167,$I$4:$I$403,0)),""),IF(CC_Mode="Per loop",IFERROR(INDEX($C$4:$C$403,MATCH(167,$H$4:$H$403,0)),""),IF(CC_Mode="Per unit",IFERROR(INDEX($K$4:$K$15,MATCH(167,$N$4:$N$15,0)),""),IF(167=1,"All units",""))))</f>
        <v/>
      </c>
      <c r="T170" s="0" t="str">
        <f aca="false">IF(CC_Mode="Per equipment",IFERROR(INDEX($D$4:$D$403,MATCH(167,$I$4:$I$403,0)),""),IF(CC_Mode="Per loop",IFERROR(INDEX($D$4:$D$403,MATCH(167,$H$4:$H$403,0)),""),IF(CC_Mode="Per unit",IFERROR(INDEX($M$4:$M$15,MATCH(167,$N$4:$N$15,0)),""),IF(167=1,CC_V_GrandVol,""))))</f>
        <v/>
      </c>
      <c r="U170" s="0" t="str">
        <f aca="false">IF(CC_Mode="Per equipment",IFERROR(INDEX($E$4:$E$403,MATCH(167,$I$4:$I$403,0)),""),IF(CC_Mode="Per loop",IFERROR(INDEX($E$4:$E$403,MATCH(167,$H$4:$H$403,0)),""),IF(CC_Mode="Per unit",IFERROR(INDEX($L$4:$L$15,MATCH(167,$N$4:$N$15,0)),""),IF(167=1,CC_Net,""))))</f>
        <v/>
      </c>
    </row>
    <row r="171" customFormat="false" ht="15" hidden="false" customHeight="false" outlineLevel="0" collapsed="false">
      <c r="A171" s="0" t="s">
        <v>172</v>
      </c>
      <c r="B171" s="0" t="str">
        <f aca="false">'CC Item Pricing'!C149&amp;IF('CC Item Pricing'!D149="",""," – "&amp;'CC Item Pricing'!D149)</f>
        <v/>
      </c>
      <c r="C171" s="0" t="str">
        <f aca="false">INDEX(CC_UnitNames,'CC Item Pricing'!Y149)</f>
        <v>Unit 5</v>
      </c>
      <c r="D171" s="0" t="n">
        <f aca="false">N('CC Item Pricing'!G149)</f>
        <v>0</v>
      </c>
      <c r="E171" s="98" t="n">
        <f aca="false">'CC Item Pricing'!W149</f>
        <v>0</v>
      </c>
      <c r="F171" s="96" t="n">
        <f aca="false">IF(AND(G171=1,'CC Item Pricing'!B149=""),1,0)</f>
        <v>0</v>
      </c>
      <c r="G171" s="96" t="n">
        <f aca="false">IF(D171&gt;0,1,0)</f>
        <v>0</v>
      </c>
      <c r="H171" s="0" t="str">
        <f aca="false">IF(F171=1,COUNTIF($F$4:F171,1),"")</f>
        <v/>
      </c>
      <c r="I171" s="0" t="str">
        <f aca="false">IF(G171=1,COUNTIF($G$4:G171,1),"")</f>
        <v/>
      </c>
      <c r="R171" s="0" t="str">
        <f aca="false">IF(CC_Mode="Per equipment",IFERROR(INDEX($B$4:$B$403,MATCH(168,$I$4:$I$403,0)),""),IF(CC_Mode="Per loop",IFERROR(INDEX($B$4:$B$403,MATCH(168,$H$4:$H$403,0)),""),IF(CC_Mode="Per unit",IFERROR("Chemical cleaning – "&amp;INDEX($K$4:$K$15,MATCH(168,$N$4:$N$15,0)),""),IF(168=1,"LUMP SUM – "&amp;QProject,""))))</f>
        <v/>
      </c>
      <c r="S171" s="0" t="str">
        <f aca="false">IF(CC_Mode="Per equipment",IFERROR(INDEX($C$4:$C$403,MATCH(168,$I$4:$I$403,0)),""),IF(CC_Mode="Per loop",IFERROR(INDEX($C$4:$C$403,MATCH(168,$H$4:$H$403,0)),""),IF(CC_Mode="Per unit",IFERROR(INDEX($K$4:$K$15,MATCH(168,$N$4:$N$15,0)),""),IF(168=1,"All units",""))))</f>
        <v/>
      </c>
      <c r="T171" s="0" t="str">
        <f aca="false">IF(CC_Mode="Per equipment",IFERROR(INDEX($D$4:$D$403,MATCH(168,$I$4:$I$403,0)),""),IF(CC_Mode="Per loop",IFERROR(INDEX($D$4:$D$403,MATCH(168,$H$4:$H$403,0)),""),IF(CC_Mode="Per unit",IFERROR(INDEX($M$4:$M$15,MATCH(168,$N$4:$N$15,0)),""),IF(168=1,CC_V_GrandVol,""))))</f>
        <v/>
      </c>
      <c r="U171" s="0" t="str">
        <f aca="false">IF(CC_Mode="Per equipment",IFERROR(INDEX($E$4:$E$403,MATCH(168,$I$4:$I$403,0)),""),IF(CC_Mode="Per loop",IFERROR(INDEX($E$4:$E$403,MATCH(168,$H$4:$H$403,0)),""),IF(CC_Mode="Per unit",IFERROR(INDEX($L$4:$L$15,MATCH(168,$N$4:$N$15,0)),""),IF(168=1,CC_Net,""))))</f>
        <v/>
      </c>
    </row>
    <row r="172" customFormat="false" ht="15" hidden="false" customHeight="false" outlineLevel="0" collapsed="false">
      <c r="A172" s="0" t="s">
        <v>172</v>
      </c>
      <c r="B172" s="0" t="str">
        <f aca="false">'CC Item Pricing'!C150&amp;IF('CC Item Pricing'!D150="",""," – "&amp;'CC Item Pricing'!D150)</f>
        <v/>
      </c>
      <c r="C172" s="0" t="str">
        <f aca="false">INDEX(CC_UnitNames,'CC Item Pricing'!Y150)</f>
        <v>Unit 5</v>
      </c>
      <c r="D172" s="0" t="n">
        <f aca="false">N('CC Item Pricing'!G150)</f>
        <v>0</v>
      </c>
      <c r="E172" s="98" t="n">
        <f aca="false">'CC Item Pricing'!W150</f>
        <v>0</v>
      </c>
      <c r="F172" s="96" t="n">
        <f aca="false">IF(AND(G172=1,'CC Item Pricing'!B150=""),1,0)</f>
        <v>0</v>
      </c>
      <c r="G172" s="96" t="n">
        <f aca="false">IF(D172&gt;0,1,0)</f>
        <v>0</v>
      </c>
      <c r="H172" s="0" t="str">
        <f aca="false">IF(F172=1,COUNTIF($F$4:F172,1),"")</f>
        <v/>
      </c>
      <c r="I172" s="0" t="str">
        <f aca="false">IF(G172=1,COUNTIF($G$4:G172,1),"")</f>
        <v/>
      </c>
      <c r="R172" s="0" t="str">
        <f aca="false">IF(CC_Mode="Per equipment",IFERROR(INDEX($B$4:$B$403,MATCH(169,$I$4:$I$403,0)),""),IF(CC_Mode="Per loop",IFERROR(INDEX($B$4:$B$403,MATCH(169,$H$4:$H$403,0)),""),IF(CC_Mode="Per unit",IFERROR("Chemical cleaning – "&amp;INDEX($K$4:$K$15,MATCH(169,$N$4:$N$15,0)),""),IF(169=1,"LUMP SUM – "&amp;QProject,""))))</f>
        <v/>
      </c>
      <c r="S172" s="0" t="str">
        <f aca="false">IF(CC_Mode="Per equipment",IFERROR(INDEX($C$4:$C$403,MATCH(169,$I$4:$I$403,0)),""),IF(CC_Mode="Per loop",IFERROR(INDEX($C$4:$C$403,MATCH(169,$H$4:$H$403,0)),""),IF(CC_Mode="Per unit",IFERROR(INDEX($K$4:$K$15,MATCH(169,$N$4:$N$15,0)),""),IF(169=1,"All units",""))))</f>
        <v/>
      </c>
      <c r="T172" s="0" t="str">
        <f aca="false">IF(CC_Mode="Per equipment",IFERROR(INDEX($D$4:$D$403,MATCH(169,$I$4:$I$403,0)),""),IF(CC_Mode="Per loop",IFERROR(INDEX($D$4:$D$403,MATCH(169,$H$4:$H$403,0)),""),IF(CC_Mode="Per unit",IFERROR(INDEX($M$4:$M$15,MATCH(169,$N$4:$N$15,0)),""),IF(169=1,CC_V_GrandVol,""))))</f>
        <v/>
      </c>
      <c r="U172" s="0" t="str">
        <f aca="false">IF(CC_Mode="Per equipment",IFERROR(INDEX($E$4:$E$403,MATCH(169,$I$4:$I$403,0)),""),IF(CC_Mode="Per loop",IFERROR(INDEX($E$4:$E$403,MATCH(169,$H$4:$H$403,0)),""),IF(CC_Mode="Per unit",IFERROR(INDEX($L$4:$L$15,MATCH(169,$N$4:$N$15,0)),""),IF(169=1,CC_Net,""))))</f>
        <v/>
      </c>
    </row>
    <row r="173" customFormat="false" ht="15" hidden="false" customHeight="false" outlineLevel="0" collapsed="false">
      <c r="A173" s="0" t="s">
        <v>172</v>
      </c>
      <c r="B173" s="0" t="str">
        <f aca="false">'CC Item Pricing'!C151&amp;IF('CC Item Pricing'!D151="",""," – "&amp;'CC Item Pricing'!D151)</f>
        <v/>
      </c>
      <c r="C173" s="0" t="str">
        <f aca="false">INDEX(CC_UnitNames,'CC Item Pricing'!Y151)</f>
        <v>Unit 5</v>
      </c>
      <c r="D173" s="0" t="n">
        <f aca="false">N('CC Item Pricing'!G151)</f>
        <v>0</v>
      </c>
      <c r="E173" s="98" t="n">
        <f aca="false">'CC Item Pricing'!W151</f>
        <v>0</v>
      </c>
      <c r="F173" s="96" t="n">
        <f aca="false">IF(AND(G173=1,'CC Item Pricing'!B151=""),1,0)</f>
        <v>0</v>
      </c>
      <c r="G173" s="96" t="n">
        <f aca="false">IF(D173&gt;0,1,0)</f>
        <v>0</v>
      </c>
      <c r="H173" s="0" t="str">
        <f aca="false">IF(F173=1,COUNTIF($F$4:F173,1),"")</f>
        <v/>
      </c>
      <c r="I173" s="0" t="str">
        <f aca="false">IF(G173=1,COUNTIF($G$4:G173,1),"")</f>
        <v/>
      </c>
      <c r="R173" s="0" t="str">
        <f aca="false">IF(CC_Mode="Per equipment",IFERROR(INDEX($B$4:$B$403,MATCH(170,$I$4:$I$403,0)),""),IF(CC_Mode="Per loop",IFERROR(INDEX($B$4:$B$403,MATCH(170,$H$4:$H$403,0)),""),IF(CC_Mode="Per unit",IFERROR("Chemical cleaning – "&amp;INDEX($K$4:$K$15,MATCH(170,$N$4:$N$15,0)),""),IF(170=1,"LUMP SUM – "&amp;QProject,""))))</f>
        <v/>
      </c>
      <c r="S173" s="0" t="str">
        <f aca="false">IF(CC_Mode="Per equipment",IFERROR(INDEX($C$4:$C$403,MATCH(170,$I$4:$I$403,0)),""),IF(CC_Mode="Per loop",IFERROR(INDEX($C$4:$C$403,MATCH(170,$H$4:$H$403,0)),""),IF(CC_Mode="Per unit",IFERROR(INDEX($K$4:$K$15,MATCH(170,$N$4:$N$15,0)),""),IF(170=1,"All units",""))))</f>
        <v/>
      </c>
      <c r="T173" s="0" t="str">
        <f aca="false">IF(CC_Mode="Per equipment",IFERROR(INDEX($D$4:$D$403,MATCH(170,$I$4:$I$403,0)),""),IF(CC_Mode="Per loop",IFERROR(INDEX($D$4:$D$403,MATCH(170,$H$4:$H$403,0)),""),IF(CC_Mode="Per unit",IFERROR(INDEX($M$4:$M$15,MATCH(170,$N$4:$N$15,0)),""),IF(170=1,CC_V_GrandVol,""))))</f>
        <v/>
      </c>
      <c r="U173" s="0" t="str">
        <f aca="false">IF(CC_Mode="Per equipment",IFERROR(INDEX($E$4:$E$403,MATCH(170,$I$4:$I$403,0)),""),IF(CC_Mode="Per loop",IFERROR(INDEX($E$4:$E$403,MATCH(170,$H$4:$H$403,0)),""),IF(CC_Mode="Per unit",IFERROR(INDEX($L$4:$L$15,MATCH(170,$N$4:$N$15,0)),""),IF(170=1,CC_Net,""))))</f>
        <v/>
      </c>
    </row>
    <row r="174" customFormat="false" ht="15" hidden="false" customHeight="false" outlineLevel="0" collapsed="false">
      <c r="A174" s="0" t="s">
        <v>172</v>
      </c>
      <c r="B174" s="0" t="str">
        <f aca="false">'CC Item Pricing'!C152&amp;IF('CC Item Pricing'!D152="",""," – "&amp;'CC Item Pricing'!D152)</f>
        <v/>
      </c>
      <c r="C174" s="0" t="str">
        <f aca="false">INDEX(CC_UnitNames,'CC Item Pricing'!Y152)</f>
        <v>Unit 5</v>
      </c>
      <c r="D174" s="0" t="n">
        <f aca="false">N('CC Item Pricing'!G152)</f>
        <v>0</v>
      </c>
      <c r="E174" s="98" t="n">
        <f aca="false">'CC Item Pricing'!W152</f>
        <v>0</v>
      </c>
      <c r="F174" s="96" t="n">
        <f aca="false">IF(AND(G174=1,'CC Item Pricing'!B152=""),1,0)</f>
        <v>0</v>
      </c>
      <c r="G174" s="96" t="n">
        <f aca="false">IF(D174&gt;0,1,0)</f>
        <v>0</v>
      </c>
      <c r="H174" s="0" t="str">
        <f aca="false">IF(F174=1,COUNTIF($F$4:F174,1),"")</f>
        <v/>
      </c>
      <c r="I174" s="0" t="str">
        <f aca="false">IF(G174=1,COUNTIF($G$4:G174,1),"")</f>
        <v/>
      </c>
      <c r="R174" s="0" t="str">
        <f aca="false">IF(CC_Mode="Per equipment",IFERROR(INDEX($B$4:$B$403,MATCH(171,$I$4:$I$403,0)),""),IF(CC_Mode="Per loop",IFERROR(INDEX($B$4:$B$403,MATCH(171,$H$4:$H$403,0)),""),IF(CC_Mode="Per unit",IFERROR("Chemical cleaning – "&amp;INDEX($K$4:$K$15,MATCH(171,$N$4:$N$15,0)),""),IF(171=1,"LUMP SUM – "&amp;QProject,""))))</f>
        <v/>
      </c>
      <c r="S174" s="0" t="str">
        <f aca="false">IF(CC_Mode="Per equipment",IFERROR(INDEX($C$4:$C$403,MATCH(171,$I$4:$I$403,0)),""),IF(CC_Mode="Per loop",IFERROR(INDEX($C$4:$C$403,MATCH(171,$H$4:$H$403,0)),""),IF(CC_Mode="Per unit",IFERROR(INDEX($K$4:$K$15,MATCH(171,$N$4:$N$15,0)),""),IF(171=1,"All units",""))))</f>
        <v/>
      </c>
      <c r="T174" s="0" t="str">
        <f aca="false">IF(CC_Mode="Per equipment",IFERROR(INDEX($D$4:$D$403,MATCH(171,$I$4:$I$403,0)),""),IF(CC_Mode="Per loop",IFERROR(INDEX($D$4:$D$403,MATCH(171,$H$4:$H$403,0)),""),IF(CC_Mode="Per unit",IFERROR(INDEX($M$4:$M$15,MATCH(171,$N$4:$N$15,0)),""),IF(171=1,CC_V_GrandVol,""))))</f>
        <v/>
      </c>
      <c r="U174" s="0" t="str">
        <f aca="false">IF(CC_Mode="Per equipment",IFERROR(INDEX($E$4:$E$403,MATCH(171,$I$4:$I$403,0)),""),IF(CC_Mode="Per loop",IFERROR(INDEX($E$4:$E$403,MATCH(171,$H$4:$H$403,0)),""),IF(CC_Mode="Per unit",IFERROR(INDEX($L$4:$L$15,MATCH(171,$N$4:$N$15,0)),""),IF(171=1,CC_Net,""))))</f>
        <v/>
      </c>
    </row>
    <row r="175" customFormat="false" ht="15" hidden="false" customHeight="false" outlineLevel="0" collapsed="false">
      <c r="A175" s="0" t="s">
        <v>172</v>
      </c>
      <c r="B175" s="0" t="str">
        <f aca="false">'CC Item Pricing'!C153&amp;IF('CC Item Pricing'!D153="",""," – "&amp;'CC Item Pricing'!D153)</f>
        <v/>
      </c>
      <c r="C175" s="0" t="str">
        <f aca="false">INDEX(CC_UnitNames,'CC Item Pricing'!Y153)</f>
        <v>Unit 5</v>
      </c>
      <c r="D175" s="0" t="n">
        <f aca="false">N('CC Item Pricing'!G153)</f>
        <v>0</v>
      </c>
      <c r="E175" s="98" t="n">
        <f aca="false">'CC Item Pricing'!W153</f>
        <v>0</v>
      </c>
      <c r="F175" s="96" t="n">
        <f aca="false">IF(AND(G175=1,'CC Item Pricing'!B153=""),1,0)</f>
        <v>0</v>
      </c>
      <c r="G175" s="96" t="n">
        <f aca="false">IF(D175&gt;0,1,0)</f>
        <v>0</v>
      </c>
      <c r="H175" s="0" t="str">
        <f aca="false">IF(F175=1,COUNTIF($F$4:F175,1),"")</f>
        <v/>
      </c>
      <c r="I175" s="0" t="str">
        <f aca="false">IF(G175=1,COUNTIF($G$4:G175,1),"")</f>
        <v/>
      </c>
      <c r="R175" s="0" t="str">
        <f aca="false">IF(CC_Mode="Per equipment",IFERROR(INDEX($B$4:$B$403,MATCH(172,$I$4:$I$403,0)),""),IF(CC_Mode="Per loop",IFERROR(INDEX($B$4:$B$403,MATCH(172,$H$4:$H$403,0)),""),IF(CC_Mode="Per unit",IFERROR("Chemical cleaning – "&amp;INDEX($K$4:$K$15,MATCH(172,$N$4:$N$15,0)),""),IF(172=1,"LUMP SUM – "&amp;QProject,""))))</f>
        <v/>
      </c>
      <c r="S175" s="0" t="str">
        <f aca="false">IF(CC_Mode="Per equipment",IFERROR(INDEX($C$4:$C$403,MATCH(172,$I$4:$I$403,0)),""),IF(CC_Mode="Per loop",IFERROR(INDEX($C$4:$C$403,MATCH(172,$H$4:$H$403,0)),""),IF(CC_Mode="Per unit",IFERROR(INDEX($K$4:$K$15,MATCH(172,$N$4:$N$15,0)),""),IF(172=1,"All units",""))))</f>
        <v/>
      </c>
      <c r="T175" s="0" t="str">
        <f aca="false">IF(CC_Mode="Per equipment",IFERROR(INDEX($D$4:$D$403,MATCH(172,$I$4:$I$403,0)),""),IF(CC_Mode="Per loop",IFERROR(INDEX($D$4:$D$403,MATCH(172,$H$4:$H$403,0)),""),IF(CC_Mode="Per unit",IFERROR(INDEX($M$4:$M$15,MATCH(172,$N$4:$N$15,0)),""),IF(172=1,CC_V_GrandVol,""))))</f>
        <v/>
      </c>
      <c r="U175" s="0" t="str">
        <f aca="false">IF(CC_Mode="Per equipment",IFERROR(INDEX($E$4:$E$403,MATCH(172,$I$4:$I$403,0)),""),IF(CC_Mode="Per loop",IFERROR(INDEX($E$4:$E$403,MATCH(172,$H$4:$H$403,0)),""),IF(CC_Mode="Per unit",IFERROR(INDEX($L$4:$L$15,MATCH(172,$N$4:$N$15,0)),""),IF(172=1,CC_Net,""))))</f>
        <v/>
      </c>
    </row>
    <row r="176" customFormat="false" ht="15" hidden="false" customHeight="false" outlineLevel="0" collapsed="false">
      <c r="A176" s="0" t="s">
        <v>172</v>
      </c>
      <c r="B176" s="0" t="str">
        <f aca="false">'CC Item Pricing'!C154&amp;IF('CC Item Pricing'!D154="",""," – "&amp;'CC Item Pricing'!D154)</f>
        <v/>
      </c>
      <c r="C176" s="0" t="str">
        <f aca="false">INDEX(CC_UnitNames,'CC Item Pricing'!Y154)</f>
        <v>Unit 5</v>
      </c>
      <c r="D176" s="0" t="n">
        <f aca="false">N('CC Item Pricing'!G154)</f>
        <v>0</v>
      </c>
      <c r="E176" s="98" t="n">
        <f aca="false">'CC Item Pricing'!W154</f>
        <v>0</v>
      </c>
      <c r="F176" s="96" t="n">
        <f aca="false">IF(AND(G176=1,'CC Item Pricing'!B154=""),1,0)</f>
        <v>0</v>
      </c>
      <c r="G176" s="96" t="n">
        <f aca="false">IF(D176&gt;0,1,0)</f>
        <v>0</v>
      </c>
      <c r="H176" s="0" t="str">
        <f aca="false">IF(F176=1,COUNTIF($F$4:F176,1),"")</f>
        <v/>
      </c>
      <c r="I176" s="0" t="str">
        <f aca="false">IF(G176=1,COUNTIF($G$4:G176,1),"")</f>
        <v/>
      </c>
      <c r="R176" s="0" t="str">
        <f aca="false">IF(CC_Mode="Per equipment",IFERROR(INDEX($B$4:$B$403,MATCH(173,$I$4:$I$403,0)),""),IF(CC_Mode="Per loop",IFERROR(INDEX($B$4:$B$403,MATCH(173,$H$4:$H$403,0)),""),IF(CC_Mode="Per unit",IFERROR("Chemical cleaning – "&amp;INDEX($K$4:$K$15,MATCH(173,$N$4:$N$15,0)),""),IF(173=1,"LUMP SUM – "&amp;QProject,""))))</f>
        <v/>
      </c>
      <c r="S176" s="0" t="str">
        <f aca="false">IF(CC_Mode="Per equipment",IFERROR(INDEX($C$4:$C$403,MATCH(173,$I$4:$I$403,0)),""),IF(CC_Mode="Per loop",IFERROR(INDEX($C$4:$C$403,MATCH(173,$H$4:$H$403,0)),""),IF(CC_Mode="Per unit",IFERROR(INDEX($K$4:$K$15,MATCH(173,$N$4:$N$15,0)),""),IF(173=1,"All units",""))))</f>
        <v/>
      </c>
      <c r="T176" s="0" t="str">
        <f aca="false">IF(CC_Mode="Per equipment",IFERROR(INDEX($D$4:$D$403,MATCH(173,$I$4:$I$403,0)),""),IF(CC_Mode="Per loop",IFERROR(INDEX($D$4:$D$403,MATCH(173,$H$4:$H$403,0)),""),IF(CC_Mode="Per unit",IFERROR(INDEX($M$4:$M$15,MATCH(173,$N$4:$N$15,0)),""),IF(173=1,CC_V_GrandVol,""))))</f>
        <v/>
      </c>
      <c r="U176" s="0" t="str">
        <f aca="false">IF(CC_Mode="Per equipment",IFERROR(INDEX($E$4:$E$403,MATCH(173,$I$4:$I$403,0)),""),IF(CC_Mode="Per loop",IFERROR(INDEX($E$4:$E$403,MATCH(173,$H$4:$H$403,0)),""),IF(CC_Mode="Per unit",IFERROR(INDEX($L$4:$L$15,MATCH(173,$N$4:$N$15,0)),""),IF(173=1,CC_Net,""))))</f>
        <v/>
      </c>
    </row>
    <row r="177" customFormat="false" ht="15" hidden="false" customHeight="false" outlineLevel="0" collapsed="false">
      <c r="A177" s="0" t="s">
        <v>172</v>
      </c>
      <c r="B177" s="0" t="str">
        <f aca="false">'CC Item Pricing'!C155&amp;IF('CC Item Pricing'!D155="",""," – "&amp;'CC Item Pricing'!D155)</f>
        <v/>
      </c>
      <c r="C177" s="0" t="str">
        <f aca="false">INDEX(CC_UnitNames,'CC Item Pricing'!Y155)</f>
        <v>Unit 5</v>
      </c>
      <c r="D177" s="0" t="n">
        <f aca="false">N('CC Item Pricing'!G155)</f>
        <v>0</v>
      </c>
      <c r="E177" s="98" t="n">
        <f aca="false">'CC Item Pricing'!W155</f>
        <v>0</v>
      </c>
      <c r="F177" s="96" t="n">
        <f aca="false">IF(AND(G177=1,'CC Item Pricing'!B155=""),1,0)</f>
        <v>0</v>
      </c>
      <c r="G177" s="96" t="n">
        <f aca="false">IF(D177&gt;0,1,0)</f>
        <v>0</v>
      </c>
      <c r="H177" s="0" t="str">
        <f aca="false">IF(F177=1,COUNTIF($F$4:F177,1),"")</f>
        <v/>
      </c>
      <c r="I177" s="0" t="str">
        <f aca="false">IF(G177=1,COUNTIF($G$4:G177,1),"")</f>
        <v/>
      </c>
      <c r="R177" s="0" t="str">
        <f aca="false">IF(CC_Mode="Per equipment",IFERROR(INDEX($B$4:$B$403,MATCH(174,$I$4:$I$403,0)),""),IF(CC_Mode="Per loop",IFERROR(INDEX($B$4:$B$403,MATCH(174,$H$4:$H$403,0)),""),IF(CC_Mode="Per unit",IFERROR("Chemical cleaning – "&amp;INDEX($K$4:$K$15,MATCH(174,$N$4:$N$15,0)),""),IF(174=1,"LUMP SUM – "&amp;QProject,""))))</f>
        <v/>
      </c>
      <c r="S177" s="0" t="str">
        <f aca="false">IF(CC_Mode="Per equipment",IFERROR(INDEX($C$4:$C$403,MATCH(174,$I$4:$I$403,0)),""),IF(CC_Mode="Per loop",IFERROR(INDEX($C$4:$C$403,MATCH(174,$H$4:$H$403,0)),""),IF(CC_Mode="Per unit",IFERROR(INDEX($K$4:$K$15,MATCH(174,$N$4:$N$15,0)),""),IF(174=1,"All units",""))))</f>
        <v/>
      </c>
      <c r="T177" s="0" t="str">
        <f aca="false">IF(CC_Mode="Per equipment",IFERROR(INDEX($D$4:$D$403,MATCH(174,$I$4:$I$403,0)),""),IF(CC_Mode="Per loop",IFERROR(INDEX($D$4:$D$403,MATCH(174,$H$4:$H$403,0)),""),IF(CC_Mode="Per unit",IFERROR(INDEX($M$4:$M$15,MATCH(174,$N$4:$N$15,0)),""),IF(174=1,CC_V_GrandVol,""))))</f>
        <v/>
      </c>
      <c r="U177" s="0" t="str">
        <f aca="false">IF(CC_Mode="Per equipment",IFERROR(INDEX($E$4:$E$403,MATCH(174,$I$4:$I$403,0)),""),IF(CC_Mode="Per loop",IFERROR(INDEX($E$4:$E$403,MATCH(174,$H$4:$H$403,0)),""),IF(CC_Mode="Per unit",IFERROR(INDEX($L$4:$L$15,MATCH(174,$N$4:$N$15,0)),""),IF(174=1,CC_Net,""))))</f>
        <v/>
      </c>
    </row>
    <row r="178" customFormat="false" ht="15" hidden="false" customHeight="false" outlineLevel="0" collapsed="false">
      <c r="A178" s="0" t="s">
        <v>172</v>
      </c>
      <c r="B178" s="0" t="str">
        <f aca="false">'CC Item Pricing'!C156&amp;IF('CC Item Pricing'!D156="",""," – "&amp;'CC Item Pricing'!D156)</f>
        <v/>
      </c>
      <c r="C178" s="0" t="str">
        <f aca="false">INDEX(CC_UnitNames,'CC Item Pricing'!Y156)</f>
        <v>Unit 5</v>
      </c>
      <c r="D178" s="0" t="n">
        <f aca="false">N('CC Item Pricing'!G156)</f>
        <v>0</v>
      </c>
      <c r="E178" s="98" t="n">
        <f aca="false">'CC Item Pricing'!W156</f>
        <v>0</v>
      </c>
      <c r="F178" s="96" t="n">
        <f aca="false">IF(AND(G178=1,'CC Item Pricing'!B156=""),1,0)</f>
        <v>0</v>
      </c>
      <c r="G178" s="96" t="n">
        <f aca="false">IF(D178&gt;0,1,0)</f>
        <v>0</v>
      </c>
      <c r="H178" s="0" t="str">
        <f aca="false">IF(F178=1,COUNTIF($F$4:F178,1),"")</f>
        <v/>
      </c>
      <c r="I178" s="0" t="str">
        <f aca="false">IF(G178=1,COUNTIF($G$4:G178,1),"")</f>
        <v/>
      </c>
      <c r="R178" s="0" t="str">
        <f aca="false">IF(CC_Mode="Per equipment",IFERROR(INDEX($B$4:$B$403,MATCH(175,$I$4:$I$403,0)),""),IF(CC_Mode="Per loop",IFERROR(INDEX($B$4:$B$403,MATCH(175,$H$4:$H$403,0)),""),IF(CC_Mode="Per unit",IFERROR("Chemical cleaning – "&amp;INDEX($K$4:$K$15,MATCH(175,$N$4:$N$15,0)),""),IF(175=1,"LUMP SUM – "&amp;QProject,""))))</f>
        <v/>
      </c>
      <c r="S178" s="0" t="str">
        <f aca="false">IF(CC_Mode="Per equipment",IFERROR(INDEX($C$4:$C$403,MATCH(175,$I$4:$I$403,0)),""),IF(CC_Mode="Per loop",IFERROR(INDEX($C$4:$C$403,MATCH(175,$H$4:$H$403,0)),""),IF(CC_Mode="Per unit",IFERROR(INDEX($K$4:$K$15,MATCH(175,$N$4:$N$15,0)),""),IF(175=1,"All units",""))))</f>
        <v/>
      </c>
      <c r="T178" s="0" t="str">
        <f aca="false">IF(CC_Mode="Per equipment",IFERROR(INDEX($D$4:$D$403,MATCH(175,$I$4:$I$403,0)),""),IF(CC_Mode="Per loop",IFERROR(INDEX($D$4:$D$403,MATCH(175,$H$4:$H$403,0)),""),IF(CC_Mode="Per unit",IFERROR(INDEX($M$4:$M$15,MATCH(175,$N$4:$N$15,0)),""),IF(175=1,CC_V_GrandVol,""))))</f>
        <v/>
      </c>
      <c r="U178" s="0" t="str">
        <f aca="false">IF(CC_Mode="Per equipment",IFERROR(INDEX($E$4:$E$403,MATCH(175,$I$4:$I$403,0)),""),IF(CC_Mode="Per loop",IFERROR(INDEX($E$4:$E$403,MATCH(175,$H$4:$H$403,0)),""),IF(CC_Mode="Per unit",IFERROR(INDEX($L$4:$L$15,MATCH(175,$N$4:$N$15,0)),""),IF(175=1,CC_Net,""))))</f>
        <v/>
      </c>
    </row>
    <row r="179" customFormat="false" ht="15" hidden="false" customHeight="false" outlineLevel="0" collapsed="false">
      <c r="A179" s="0" t="s">
        <v>172</v>
      </c>
      <c r="B179" s="0" t="str">
        <f aca="false">'CC Item Pricing'!C157&amp;IF('CC Item Pricing'!D157="",""," – "&amp;'CC Item Pricing'!D157)</f>
        <v/>
      </c>
      <c r="C179" s="0" t="str">
        <f aca="false">INDEX(CC_UnitNames,'CC Item Pricing'!Y157)</f>
        <v>Unit 5</v>
      </c>
      <c r="D179" s="0" t="n">
        <f aca="false">N('CC Item Pricing'!G157)</f>
        <v>0</v>
      </c>
      <c r="E179" s="98" t="n">
        <f aca="false">'CC Item Pricing'!W157</f>
        <v>0</v>
      </c>
      <c r="F179" s="96" t="n">
        <f aca="false">IF(AND(G179=1,'CC Item Pricing'!B157=""),1,0)</f>
        <v>0</v>
      </c>
      <c r="G179" s="96" t="n">
        <f aca="false">IF(D179&gt;0,1,0)</f>
        <v>0</v>
      </c>
      <c r="H179" s="0" t="str">
        <f aca="false">IF(F179=1,COUNTIF($F$4:F179,1),"")</f>
        <v/>
      </c>
      <c r="I179" s="0" t="str">
        <f aca="false">IF(G179=1,COUNTIF($G$4:G179,1),"")</f>
        <v/>
      </c>
      <c r="R179" s="0" t="str">
        <f aca="false">IF(CC_Mode="Per equipment",IFERROR(INDEX($B$4:$B$403,MATCH(176,$I$4:$I$403,0)),""),IF(CC_Mode="Per loop",IFERROR(INDEX($B$4:$B$403,MATCH(176,$H$4:$H$403,0)),""),IF(CC_Mode="Per unit",IFERROR("Chemical cleaning – "&amp;INDEX($K$4:$K$15,MATCH(176,$N$4:$N$15,0)),""),IF(176=1,"LUMP SUM – "&amp;QProject,""))))</f>
        <v/>
      </c>
      <c r="S179" s="0" t="str">
        <f aca="false">IF(CC_Mode="Per equipment",IFERROR(INDEX($C$4:$C$403,MATCH(176,$I$4:$I$403,0)),""),IF(CC_Mode="Per loop",IFERROR(INDEX($C$4:$C$403,MATCH(176,$H$4:$H$403,0)),""),IF(CC_Mode="Per unit",IFERROR(INDEX($K$4:$K$15,MATCH(176,$N$4:$N$15,0)),""),IF(176=1,"All units",""))))</f>
        <v/>
      </c>
      <c r="T179" s="0" t="str">
        <f aca="false">IF(CC_Mode="Per equipment",IFERROR(INDEX($D$4:$D$403,MATCH(176,$I$4:$I$403,0)),""),IF(CC_Mode="Per loop",IFERROR(INDEX($D$4:$D$403,MATCH(176,$H$4:$H$403,0)),""),IF(CC_Mode="Per unit",IFERROR(INDEX($M$4:$M$15,MATCH(176,$N$4:$N$15,0)),""),IF(176=1,CC_V_GrandVol,""))))</f>
        <v/>
      </c>
      <c r="U179" s="0" t="str">
        <f aca="false">IF(CC_Mode="Per equipment",IFERROR(INDEX($E$4:$E$403,MATCH(176,$I$4:$I$403,0)),""),IF(CC_Mode="Per loop",IFERROR(INDEX($E$4:$E$403,MATCH(176,$H$4:$H$403,0)),""),IF(CC_Mode="Per unit",IFERROR(INDEX($L$4:$L$15,MATCH(176,$N$4:$N$15,0)),""),IF(176=1,CC_Net,""))))</f>
        <v/>
      </c>
    </row>
    <row r="180" customFormat="false" ht="15" hidden="false" customHeight="false" outlineLevel="0" collapsed="false">
      <c r="A180" s="0" t="s">
        <v>172</v>
      </c>
      <c r="B180" s="0" t="str">
        <f aca="false">'CC Item Pricing'!C158&amp;IF('CC Item Pricing'!D158="",""," – "&amp;'CC Item Pricing'!D158)</f>
        <v/>
      </c>
      <c r="C180" s="0" t="str">
        <f aca="false">INDEX(CC_UnitNames,'CC Item Pricing'!Y158)</f>
        <v>Unit 5</v>
      </c>
      <c r="D180" s="0" t="n">
        <f aca="false">N('CC Item Pricing'!G158)</f>
        <v>0</v>
      </c>
      <c r="E180" s="98" t="n">
        <f aca="false">'CC Item Pricing'!W158</f>
        <v>0</v>
      </c>
      <c r="F180" s="96" t="n">
        <f aca="false">IF(AND(G180=1,'CC Item Pricing'!B158=""),1,0)</f>
        <v>0</v>
      </c>
      <c r="G180" s="96" t="n">
        <f aca="false">IF(D180&gt;0,1,0)</f>
        <v>0</v>
      </c>
      <c r="H180" s="0" t="str">
        <f aca="false">IF(F180=1,COUNTIF($F$4:F180,1),"")</f>
        <v/>
      </c>
      <c r="I180" s="0" t="str">
        <f aca="false">IF(G180=1,COUNTIF($G$4:G180,1),"")</f>
        <v/>
      </c>
      <c r="R180" s="0" t="str">
        <f aca="false">IF(CC_Mode="Per equipment",IFERROR(INDEX($B$4:$B$403,MATCH(177,$I$4:$I$403,0)),""),IF(CC_Mode="Per loop",IFERROR(INDEX($B$4:$B$403,MATCH(177,$H$4:$H$403,0)),""),IF(CC_Mode="Per unit",IFERROR("Chemical cleaning – "&amp;INDEX($K$4:$K$15,MATCH(177,$N$4:$N$15,0)),""),IF(177=1,"LUMP SUM – "&amp;QProject,""))))</f>
        <v/>
      </c>
      <c r="S180" s="0" t="str">
        <f aca="false">IF(CC_Mode="Per equipment",IFERROR(INDEX($C$4:$C$403,MATCH(177,$I$4:$I$403,0)),""),IF(CC_Mode="Per loop",IFERROR(INDEX($C$4:$C$403,MATCH(177,$H$4:$H$403,0)),""),IF(CC_Mode="Per unit",IFERROR(INDEX($K$4:$K$15,MATCH(177,$N$4:$N$15,0)),""),IF(177=1,"All units",""))))</f>
        <v/>
      </c>
      <c r="T180" s="0" t="str">
        <f aca="false">IF(CC_Mode="Per equipment",IFERROR(INDEX($D$4:$D$403,MATCH(177,$I$4:$I$403,0)),""),IF(CC_Mode="Per loop",IFERROR(INDEX($D$4:$D$403,MATCH(177,$H$4:$H$403,0)),""),IF(CC_Mode="Per unit",IFERROR(INDEX($M$4:$M$15,MATCH(177,$N$4:$N$15,0)),""),IF(177=1,CC_V_GrandVol,""))))</f>
        <v/>
      </c>
      <c r="U180" s="0" t="str">
        <f aca="false">IF(CC_Mode="Per equipment",IFERROR(INDEX($E$4:$E$403,MATCH(177,$I$4:$I$403,0)),""),IF(CC_Mode="Per loop",IFERROR(INDEX($E$4:$E$403,MATCH(177,$H$4:$H$403,0)),""),IF(CC_Mode="Per unit",IFERROR(INDEX($L$4:$L$15,MATCH(177,$N$4:$N$15,0)),""),IF(177=1,CC_Net,""))))</f>
        <v/>
      </c>
    </row>
    <row r="181" customFormat="false" ht="15" hidden="false" customHeight="false" outlineLevel="0" collapsed="false">
      <c r="A181" s="0" t="s">
        <v>172</v>
      </c>
      <c r="B181" s="0" t="str">
        <f aca="false">'CC Item Pricing'!C159&amp;IF('CC Item Pricing'!D159="",""," – "&amp;'CC Item Pricing'!D159)</f>
        <v/>
      </c>
      <c r="C181" s="0" t="str">
        <f aca="false">INDEX(CC_UnitNames,'CC Item Pricing'!Y159)</f>
        <v>Unit 5</v>
      </c>
      <c r="D181" s="0" t="n">
        <f aca="false">N('CC Item Pricing'!G159)</f>
        <v>0</v>
      </c>
      <c r="E181" s="98" t="n">
        <f aca="false">'CC Item Pricing'!W159</f>
        <v>0</v>
      </c>
      <c r="F181" s="96" t="n">
        <f aca="false">IF(AND(G181=1,'CC Item Pricing'!B159=""),1,0)</f>
        <v>0</v>
      </c>
      <c r="G181" s="96" t="n">
        <f aca="false">IF(D181&gt;0,1,0)</f>
        <v>0</v>
      </c>
      <c r="H181" s="0" t="str">
        <f aca="false">IF(F181=1,COUNTIF($F$4:F181,1),"")</f>
        <v/>
      </c>
      <c r="I181" s="0" t="str">
        <f aca="false">IF(G181=1,COUNTIF($G$4:G181,1),"")</f>
        <v/>
      </c>
      <c r="R181" s="0" t="str">
        <f aca="false">IF(CC_Mode="Per equipment",IFERROR(INDEX($B$4:$B$403,MATCH(178,$I$4:$I$403,0)),""),IF(CC_Mode="Per loop",IFERROR(INDEX($B$4:$B$403,MATCH(178,$H$4:$H$403,0)),""),IF(CC_Mode="Per unit",IFERROR("Chemical cleaning – "&amp;INDEX($K$4:$K$15,MATCH(178,$N$4:$N$15,0)),""),IF(178=1,"LUMP SUM – "&amp;QProject,""))))</f>
        <v/>
      </c>
      <c r="S181" s="0" t="str">
        <f aca="false">IF(CC_Mode="Per equipment",IFERROR(INDEX($C$4:$C$403,MATCH(178,$I$4:$I$403,0)),""),IF(CC_Mode="Per loop",IFERROR(INDEX($C$4:$C$403,MATCH(178,$H$4:$H$403,0)),""),IF(CC_Mode="Per unit",IFERROR(INDEX($K$4:$K$15,MATCH(178,$N$4:$N$15,0)),""),IF(178=1,"All units",""))))</f>
        <v/>
      </c>
      <c r="T181" s="0" t="str">
        <f aca="false">IF(CC_Mode="Per equipment",IFERROR(INDEX($D$4:$D$403,MATCH(178,$I$4:$I$403,0)),""),IF(CC_Mode="Per loop",IFERROR(INDEX($D$4:$D$403,MATCH(178,$H$4:$H$403,0)),""),IF(CC_Mode="Per unit",IFERROR(INDEX($M$4:$M$15,MATCH(178,$N$4:$N$15,0)),""),IF(178=1,CC_V_GrandVol,""))))</f>
        <v/>
      </c>
      <c r="U181" s="0" t="str">
        <f aca="false">IF(CC_Mode="Per equipment",IFERROR(INDEX($E$4:$E$403,MATCH(178,$I$4:$I$403,0)),""),IF(CC_Mode="Per loop",IFERROR(INDEX($E$4:$E$403,MATCH(178,$H$4:$H$403,0)),""),IF(CC_Mode="Per unit",IFERROR(INDEX($L$4:$L$15,MATCH(178,$N$4:$N$15,0)),""),IF(178=1,CC_Net,""))))</f>
        <v/>
      </c>
    </row>
    <row r="182" customFormat="false" ht="15" hidden="false" customHeight="false" outlineLevel="0" collapsed="false">
      <c r="A182" s="0" t="s">
        <v>172</v>
      </c>
      <c r="B182" s="0" t="str">
        <f aca="false">'CC Item Pricing'!C160&amp;IF('CC Item Pricing'!D160="",""," – "&amp;'CC Item Pricing'!D160)</f>
        <v/>
      </c>
      <c r="C182" s="0" t="str">
        <f aca="false">INDEX(CC_UnitNames,'CC Item Pricing'!Y160)</f>
        <v>Unit 5</v>
      </c>
      <c r="D182" s="0" t="n">
        <f aca="false">N('CC Item Pricing'!G160)</f>
        <v>0</v>
      </c>
      <c r="E182" s="98" t="n">
        <f aca="false">'CC Item Pricing'!W160</f>
        <v>0</v>
      </c>
      <c r="F182" s="96" t="n">
        <f aca="false">IF(AND(G182=1,'CC Item Pricing'!B160=""),1,0)</f>
        <v>0</v>
      </c>
      <c r="G182" s="96" t="n">
        <f aca="false">IF(D182&gt;0,1,0)</f>
        <v>0</v>
      </c>
      <c r="H182" s="0" t="str">
        <f aca="false">IF(F182=1,COUNTIF($F$4:F182,1),"")</f>
        <v/>
      </c>
      <c r="I182" s="0" t="str">
        <f aca="false">IF(G182=1,COUNTIF($G$4:G182,1),"")</f>
        <v/>
      </c>
      <c r="R182" s="0" t="str">
        <f aca="false">IF(CC_Mode="Per equipment",IFERROR(INDEX($B$4:$B$403,MATCH(179,$I$4:$I$403,0)),""),IF(CC_Mode="Per loop",IFERROR(INDEX($B$4:$B$403,MATCH(179,$H$4:$H$403,0)),""),IF(CC_Mode="Per unit",IFERROR("Chemical cleaning – "&amp;INDEX($K$4:$K$15,MATCH(179,$N$4:$N$15,0)),""),IF(179=1,"LUMP SUM – "&amp;QProject,""))))</f>
        <v/>
      </c>
      <c r="S182" s="0" t="str">
        <f aca="false">IF(CC_Mode="Per equipment",IFERROR(INDEX($C$4:$C$403,MATCH(179,$I$4:$I$403,0)),""),IF(CC_Mode="Per loop",IFERROR(INDEX($C$4:$C$403,MATCH(179,$H$4:$H$403,0)),""),IF(CC_Mode="Per unit",IFERROR(INDEX($K$4:$K$15,MATCH(179,$N$4:$N$15,0)),""),IF(179=1,"All units",""))))</f>
        <v/>
      </c>
      <c r="T182" s="0" t="str">
        <f aca="false">IF(CC_Mode="Per equipment",IFERROR(INDEX($D$4:$D$403,MATCH(179,$I$4:$I$403,0)),""),IF(CC_Mode="Per loop",IFERROR(INDEX($D$4:$D$403,MATCH(179,$H$4:$H$403,0)),""),IF(CC_Mode="Per unit",IFERROR(INDEX($M$4:$M$15,MATCH(179,$N$4:$N$15,0)),""),IF(179=1,CC_V_GrandVol,""))))</f>
        <v/>
      </c>
      <c r="U182" s="0" t="str">
        <f aca="false">IF(CC_Mode="Per equipment",IFERROR(INDEX($E$4:$E$403,MATCH(179,$I$4:$I$403,0)),""),IF(CC_Mode="Per loop",IFERROR(INDEX($E$4:$E$403,MATCH(179,$H$4:$H$403,0)),""),IF(CC_Mode="Per unit",IFERROR(INDEX($L$4:$L$15,MATCH(179,$N$4:$N$15,0)),""),IF(179=1,CC_Net,""))))</f>
        <v/>
      </c>
    </row>
    <row r="183" customFormat="false" ht="15" hidden="false" customHeight="false" outlineLevel="0" collapsed="false">
      <c r="A183" s="0" t="s">
        <v>172</v>
      </c>
      <c r="B183" s="0" t="str">
        <f aca="false">'CC Item Pricing'!C161&amp;IF('CC Item Pricing'!D161="",""," – "&amp;'CC Item Pricing'!D161)</f>
        <v/>
      </c>
      <c r="C183" s="0" t="str">
        <f aca="false">INDEX(CC_UnitNames,'CC Item Pricing'!Y161)</f>
        <v>Unit 5</v>
      </c>
      <c r="D183" s="0" t="n">
        <f aca="false">N('CC Item Pricing'!G161)</f>
        <v>0</v>
      </c>
      <c r="E183" s="98" t="n">
        <f aca="false">'CC Item Pricing'!W161</f>
        <v>0</v>
      </c>
      <c r="F183" s="96" t="n">
        <f aca="false">IF(AND(G183=1,'CC Item Pricing'!B161=""),1,0)</f>
        <v>0</v>
      </c>
      <c r="G183" s="96" t="n">
        <f aca="false">IF(D183&gt;0,1,0)</f>
        <v>0</v>
      </c>
      <c r="H183" s="0" t="str">
        <f aca="false">IF(F183=1,COUNTIF($F$4:F183,1),"")</f>
        <v/>
      </c>
      <c r="I183" s="0" t="str">
        <f aca="false">IF(G183=1,COUNTIF($G$4:G183,1),"")</f>
        <v/>
      </c>
      <c r="R183" s="0" t="str">
        <f aca="false">IF(CC_Mode="Per equipment",IFERROR(INDEX($B$4:$B$403,MATCH(180,$I$4:$I$403,0)),""),IF(CC_Mode="Per loop",IFERROR(INDEX($B$4:$B$403,MATCH(180,$H$4:$H$403,0)),""),IF(CC_Mode="Per unit",IFERROR("Chemical cleaning – "&amp;INDEX($K$4:$K$15,MATCH(180,$N$4:$N$15,0)),""),IF(180=1,"LUMP SUM – "&amp;QProject,""))))</f>
        <v/>
      </c>
      <c r="S183" s="0" t="str">
        <f aca="false">IF(CC_Mode="Per equipment",IFERROR(INDEX($C$4:$C$403,MATCH(180,$I$4:$I$403,0)),""),IF(CC_Mode="Per loop",IFERROR(INDEX($C$4:$C$403,MATCH(180,$H$4:$H$403,0)),""),IF(CC_Mode="Per unit",IFERROR(INDEX($K$4:$K$15,MATCH(180,$N$4:$N$15,0)),""),IF(180=1,"All units",""))))</f>
        <v/>
      </c>
      <c r="T183" s="0" t="str">
        <f aca="false">IF(CC_Mode="Per equipment",IFERROR(INDEX($D$4:$D$403,MATCH(180,$I$4:$I$403,0)),""),IF(CC_Mode="Per loop",IFERROR(INDEX($D$4:$D$403,MATCH(180,$H$4:$H$403,0)),""),IF(CC_Mode="Per unit",IFERROR(INDEX($M$4:$M$15,MATCH(180,$N$4:$N$15,0)),""),IF(180=1,CC_V_GrandVol,""))))</f>
        <v/>
      </c>
      <c r="U183" s="0" t="str">
        <f aca="false">IF(CC_Mode="Per equipment",IFERROR(INDEX($E$4:$E$403,MATCH(180,$I$4:$I$403,0)),""),IF(CC_Mode="Per loop",IFERROR(INDEX($E$4:$E$403,MATCH(180,$H$4:$H$403,0)),""),IF(CC_Mode="Per unit",IFERROR(INDEX($L$4:$L$15,MATCH(180,$N$4:$N$15,0)),""),IF(180=1,CC_Net,""))))</f>
        <v/>
      </c>
    </row>
    <row r="184" customFormat="false" ht="15" hidden="false" customHeight="false" outlineLevel="0" collapsed="false">
      <c r="A184" s="0" t="s">
        <v>172</v>
      </c>
      <c r="B184" s="0" t="str">
        <f aca="false">'CC Item Pricing'!C162&amp;IF('CC Item Pricing'!D162="",""," – "&amp;'CC Item Pricing'!D162)</f>
        <v/>
      </c>
      <c r="C184" s="0" t="str">
        <f aca="false">INDEX(CC_UnitNames,'CC Item Pricing'!Y162)</f>
        <v>Unit 5</v>
      </c>
      <c r="D184" s="0" t="n">
        <f aca="false">N('CC Item Pricing'!G162)</f>
        <v>0</v>
      </c>
      <c r="E184" s="98" t="n">
        <f aca="false">'CC Item Pricing'!W162</f>
        <v>0</v>
      </c>
      <c r="F184" s="96" t="n">
        <f aca="false">IF(AND(G184=1,'CC Item Pricing'!B162=""),1,0)</f>
        <v>0</v>
      </c>
      <c r="G184" s="96" t="n">
        <f aca="false">IF(D184&gt;0,1,0)</f>
        <v>0</v>
      </c>
      <c r="H184" s="0" t="str">
        <f aca="false">IF(F184=1,COUNTIF($F$4:F184,1),"")</f>
        <v/>
      </c>
      <c r="I184" s="0" t="str">
        <f aca="false">IF(G184=1,COUNTIF($G$4:G184,1),"")</f>
        <v/>
      </c>
      <c r="R184" s="0" t="str">
        <f aca="false">IF(CC_Mode="Per equipment",IFERROR(INDEX($B$4:$B$403,MATCH(181,$I$4:$I$403,0)),""),IF(CC_Mode="Per loop",IFERROR(INDEX($B$4:$B$403,MATCH(181,$H$4:$H$403,0)),""),IF(CC_Mode="Per unit",IFERROR("Chemical cleaning – "&amp;INDEX($K$4:$K$15,MATCH(181,$N$4:$N$15,0)),""),IF(181=1,"LUMP SUM – "&amp;QProject,""))))</f>
        <v/>
      </c>
      <c r="S184" s="0" t="str">
        <f aca="false">IF(CC_Mode="Per equipment",IFERROR(INDEX($C$4:$C$403,MATCH(181,$I$4:$I$403,0)),""),IF(CC_Mode="Per loop",IFERROR(INDEX($C$4:$C$403,MATCH(181,$H$4:$H$403,0)),""),IF(CC_Mode="Per unit",IFERROR(INDEX($K$4:$K$15,MATCH(181,$N$4:$N$15,0)),""),IF(181=1,"All units",""))))</f>
        <v/>
      </c>
      <c r="T184" s="0" t="str">
        <f aca="false">IF(CC_Mode="Per equipment",IFERROR(INDEX($D$4:$D$403,MATCH(181,$I$4:$I$403,0)),""),IF(CC_Mode="Per loop",IFERROR(INDEX($D$4:$D$403,MATCH(181,$H$4:$H$403,0)),""),IF(CC_Mode="Per unit",IFERROR(INDEX($M$4:$M$15,MATCH(181,$N$4:$N$15,0)),""),IF(181=1,CC_V_GrandVol,""))))</f>
        <v/>
      </c>
      <c r="U184" s="0" t="str">
        <f aca="false">IF(CC_Mode="Per equipment",IFERROR(INDEX($E$4:$E$403,MATCH(181,$I$4:$I$403,0)),""),IF(CC_Mode="Per loop",IFERROR(INDEX($E$4:$E$403,MATCH(181,$H$4:$H$403,0)),""),IF(CC_Mode="Per unit",IFERROR(INDEX($L$4:$L$15,MATCH(181,$N$4:$N$15,0)),""),IF(181=1,CC_Net,""))))</f>
        <v/>
      </c>
    </row>
    <row r="185" customFormat="false" ht="15" hidden="false" customHeight="false" outlineLevel="0" collapsed="false">
      <c r="A185" s="0" t="s">
        <v>172</v>
      </c>
      <c r="B185" s="0" t="str">
        <f aca="false">'CC Item Pricing'!C163&amp;IF('CC Item Pricing'!D163="",""," – "&amp;'CC Item Pricing'!D163)</f>
        <v/>
      </c>
      <c r="C185" s="0" t="str">
        <f aca="false">INDEX(CC_UnitNames,'CC Item Pricing'!Y163)</f>
        <v>Unit 5</v>
      </c>
      <c r="D185" s="0" t="n">
        <f aca="false">N('CC Item Pricing'!G163)</f>
        <v>0</v>
      </c>
      <c r="E185" s="98" t="n">
        <f aca="false">'CC Item Pricing'!W163</f>
        <v>0</v>
      </c>
      <c r="F185" s="96" t="n">
        <f aca="false">IF(AND(G185=1,'CC Item Pricing'!B163=""),1,0)</f>
        <v>0</v>
      </c>
      <c r="G185" s="96" t="n">
        <f aca="false">IF(D185&gt;0,1,0)</f>
        <v>0</v>
      </c>
      <c r="H185" s="0" t="str">
        <f aca="false">IF(F185=1,COUNTIF($F$4:F185,1),"")</f>
        <v/>
      </c>
      <c r="I185" s="0" t="str">
        <f aca="false">IF(G185=1,COUNTIF($G$4:G185,1),"")</f>
        <v/>
      </c>
      <c r="R185" s="0" t="str">
        <f aca="false">IF(CC_Mode="Per equipment",IFERROR(INDEX($B$4:$B$403,MATCH(182,$I$4:$I$403,0)),""),IF(CC_Mode="Per loop",IFERROR(INDEX($B$4:$B$403,MATCH(182,$H$4:$H$403,0)),""),IF(CC_Mode="Per unit",IFERROR("Chemical cleaning – "&amp;INDEX($K$4:$K$15,MATCH(182,$N$4:$N$15,0)),""),IF(182=1,"LUMP SUM – "&amp;QProject,""))))</f>
        <v/>
      </c>
      <c r="S185" s="0" t="str">
        <f aca="false">IF(CC_Mode="Per equipment",IFERROR(INDEX($C$4:$C$403,MATCH(182,$I$4:$I$403,0)),""),IF(CC_Mode="Per loop",IFERROR(INDEX($C$4:$C$403,MATCH(182,$H$4:$H$403,0)),""),IF(CC_Mode="Per unit",IFERROR(INDEX($K$4:$K$15,MATCH(182,$N$4:$N$15,0)),""),IF(182=1,"All units",""))))</f>
        <v/>
      </c>
      <c r="T185" s="0" t="str">
        <f aca="false">IF(CC_Mode="Per equipment",IFERROR(INDEX($D$4:$D$403,MATCH(182,$I$4:$I$403,0)),""),IF(CC_Mode="Per loop",IFERROR(INDEX($D$4:$D$403,MATCH(182,$H$4:$H$403,0)),""),IF(CC_Mode="Per unit",IFERROR(INDEX($M$4:$M$15,MATCH(182,$N$4:$N$15,0)),""),IF(182=1,CC_V_GrandVol,""))))</f>
        <v/>
      </c>
      <c r="U185" s="0" t="str">
        <f aca="false">IF(CC_Mode="Per equipment",IFERROR(INDEX($E$4:$E$403,MATCH(182,$I$4:$I$403,0)),""),IF(CC_Mode="Per loop",IFERROR(INDEX($E$4:$E$403,MATCH(182,$H$4:$H$403,0)),""),IF(CC_Mode="Per unit",IFERROR(INDEX($L$4:$L$15,MATCH(182,$N$4:$N$15,0)),""),IF(182=1,CC_Net,""))))</f>
        <v/>
      </c>
    </row>
    <row r="186" customFormat="false" ht="15" hidden="false" customHeight="false" outlineLevel="0" collapsed="false">
      <c r="A186" s="0" t="s">
        <v>172</v>
      </c>
      <c r="B186" s="0" t="str">
        <f aca="false">'CC Item Pricing'!C164&amp;IF('CC Item Pricing'!D164="",""," – "&amp;'CC Item Pricing'!D164)</f>
        <v/>
      </c>
      <c r="C186" s="0" t="str">
        <f aca="false">INDEX(CC_UnitNames,'CC Item Pricing'!Y164)</f>
        <v>Unit 5</v>
      </c>
      <c r="D186" s="0" t="n">
        <f aca="false">N('CC Item Pricing'!G164)</f>
        <v>0</v>
      </c>
      <c r="E186" s="98" t="n">
        <f aca="false">'CC Item Pricing'!W164</f>
        <v>0</v>
      </c>
      <c r="F186" s="96" t="n">
        <f aca="false">IF(AND(G186=1,'CC Item Pricing'!B164=""),1,0)</f>
        <v>0</v>
      </c>
      <c r="G186" s="96" t="n">
        <f aca="false">IF(D186&gt;0,1,0)</f>
        <v>0</v>
      </c>
      <c r="H186" s="0" t="str">
        <f aca="false">IF(F186=1,COUNTIF($F$4:F186,1),"")</f>
        <v/>
      </c>
      <c r="I186" s="0" t="str">
        <f aca="false">IF(G186=1,COUNTIF($G$4:G186,1),"")</f>
        <v/>
      </c>
      <c r="R186" s="0" t="str">
        <f aca="false">IF(CC_Mode="Per equipment",IFERROR(INDEX($B$4:$B$403,MATCH(183,$I$4:$I$403,0)),""),IF(CC_Mode="Per loop",IFERROR(INDEX($B$4:$B$403,MATCH(183,$H$4:$H$403,0)),""),IF(CC_Mode="Per unit",IFERROR("Chemical cleaning – "&amp;INDEX($K$4:$K$15,MATCH(183,$N$4:$N$15,0)),""),IF(183=1,"LUMP SUM – "&amp;QProject,""))))</f>
        <v/>
      </c>
      <c r="S186" s="0" t="str">
        <f aca="false">IF(CC_Mode="Per equipment",IFERROR(INDEX($C$4:$C$403,MATCH(183,$I$4:$I$403,0)),""),IF(CC_Mode="Per loop",IFERROR(INDEX($C$4:$C$403,MATCH(183,$H$4:$H$403,0)),""),IF(CC_Mode="Per unit",IFERROR(INDEX($K$4:$K$15,MATCH(183,$N$4:$N$15,0)),""),IF(183=1,"All units",""))))</f>
        <v/>
      </c>
      <c r="T186" s="0" t="str">
        <f aca="false">IF(CC_Mode="Per equipment",IFERROR(INDEX($D$4:$D$403,MATCH(183,$I$4:$I$403,0)),""),IF(CC_Mode="Per loop",IFERROR(INDEX($D$4:$D$403,MATCH(183,$H$4:$H$403,0)),""),IF(CC_Mode="Per unit",IFERROR(INDEX($M$4:$M$15,MATCH(183,$N$4:$N$15,0)),""),IF(183=1,CC_V_GrandVol,""))))</f>
        <v/>
      </c>
      <c r="U186" s="0" t="str">
        <f aca="false">IF(CC_Mode="Per equipment",IFERROR(INDEX($E$4:$E$403,MATCH(183,$I$4:$I$403,0)),""),IF(CC_Mode="Per loop",IFERROR(INDEX($E$4:$E$403,MATCH(183,$H$4:$H$403,0)),""),IF(CC_Mode="Per unit",IFERROR(INDEX($L$4:$L$15,MATCH(183,$N$4:$N$15,0)),""),IF(183=1,CC_Net,""))))</f>
        <v/>
      </c>
    </row>
    <row r="187" customFormat="false" ht="15" hidden="false" customHeight="false" outlineLevel="0" collapsed="false">
      <c r="A187" s="0" t="s">
        <v>172</v>
      </c>
      <c r="B187" s="0" t="str">
        <f aca="false">'CC Item Pricing'!C165&amp;IF('CC Item Pricing'!D165="",""," – "&amp;'CC Item Pricing'!D165)</f>
        <v/>
      </c>
      <c r="C187" s="0" t="str">
        <f aca="false">INDEX(CC_UnitNames,'CC Item Pricing'!Y165)</f>
        <v>Unit 5</v>
      </c>
      <c r="D187" s="0" t="n">
        <f aca="false">N('CC Item Pricing'!G165)</f>
        <v>0</v>
      </c>
      <c r="E187" s="98" t="n">
        <f aca="false">'CC Item Pricing'!W165</f>
        <v>0</v>
      </c>
      <c r="F187" s="96" t="n">
        <f aca="false">IF(AND(G187=1,'CC Item Pricing'!B165=""),1,0)</f>
        <v>0</v>
      </c>
      <c r="G187" s="96" t="n">
        <f aca="false">IF(D187&gt;0,1,0)</f>
        <v>0</v>
      </c>
      <c r="H187" s="0" t="str">
        <f aca="false">IF(F187=1,COUNTIF($F$4:F187,1),"")</f>
        <v/>
      </c>
      <c r="I187" s="0" t="str">
        <f aca="false">IF(G187=1,COUNTIF($G$4:G187,1),"")</f>
        <v/>
      </c>
      <c r="R187" s="0" t="str">
        <f aca="false">IF(CC_Mode="Per equipment",IFERROR(INDEX($B$4:$B$403,MATCH(184,$I$4:$I$403,0)),""),IF(CC_Mode="Per loop",IFERROR(INDEX($B$4:$B$403,MATCH(184,$H$4:$H$403,0)),""),IF(CC_Mode="Per unit",IFERROR("Chemical cleaning – "&amp;INDEX($K$4:$K$15,MATCH(184,$N$4:$N$15,0)),""),IF(184=1,"LUMP SUM – "&amp;QProject,""))))</f>
        <v/>
      </c>
      <c r="S187" s="0" t="str">
        <f aca="false">IF(CC_Mode="Per equipment",IFERROR(INDEX($C$4:$C$403,MATCH(184,$I$4:$I$403,0)),""),IF(CC_Mode="Per loop",IFERROR(INDEX($C$4:$C$403,MATCH(184,$H$4:$H$403,0)),""),IF(CC_Mode="Per unit",IFERROR(INDEX($K$4:$K$15,MATCH(184,$N$4:$N$15,0)),""),IF(184=1,"All units",""))))</f>
        <v/>
      </c>
      <c r="T187" s="0" t="str">
        <f aca="false">IF(CC_Mode="Per equipment",IFERROR(INDEX($D$4:$D$403,MATCH(184,$I$4:$I$403,0)),""),IF(CC_Mode="Per loop",IFERROR(INDEX($D$4:$D$403,MATCH(184,$H$4:$H$403,0)),""),IF(CC_Mode="Per unit",IFERROR(INDEX($M$4:$M$15,MATCH(184,$N$4:$N$15,0)),""),IF(184=1,CC_V_GrandVol,""))))</f>
        <v/>
      </c>
      <c r="U187" s="0" t="str">
        <f aca="false">IF(CC_Mode="Per equipment",IFERROR(INDEX($E$4:$E$403,MATCH(184,$I$4:$I$403,0)),""),IF(CC_Mode="Per loop",IFERROR(INDEX($E$4:$E$403,MATCH(184,$H$4:$H$403,0)),""),IF(CC_Mode="Per unit",IFERROR(INDEX($L$4:$L$15,MATCH(184,$N$4:$N$15,0)),""),IF(184=1,CC_Net,""))))</f>
        <v/>
      </c>
    </row>
    <row r="188" customFormat="false" ht="15" hidden="false" customHeight="false" outlineLevel="0" collapsed="false">
      <c r="A188" s="0" t="s">
        <v>172</v>
      </c>
      <c r="B188" s="0" t="str">
        <f aca="false">'CC Item Pricing'!C166&amp;IF('CC Item Pricing'!D166="",""," – "&amp;'CC Item Pricing'!D166)</f>
        <v/>
      </c>
      <c r="C188" s="0" t="str">
        <f aca="false">INDEX(CC_UnitNames,'CC Item Pricing'!Y166)</f>
        <v>Unit 5</v>
      </c>
      <c r="D188" s="0" t="n">
        <f aca="false">N('CC Item Pricing'!G166)</f>
        <v>0</v>
      </c>
      <c r="E188" s="98" t="n">
        <f aca="false">'CC Item Pricing'!W166</f>
        <v>0</v>
      </c>
      <c r="F188" s="96" t="n">
        <f aca="false">IF(AND(G188=1,'CC Item Pricing'!B166=""),1,0)</f>
        <v>0</v>
      </c>
      <c r="G188" s="96" t="n">
        <f aca="false">IF(D188&gt;0,1,0)</f>
        <v>0</v>
      </c>
      <c r="H188" s="0" t="str">
        <f aca="false">IF(F188=1,COUNTIF($F$4:F188,1),"")</f>
        <v/>
      </c>
      <c r="I188" s="0" t="str">
        <f aca="false">IF(G188=1,COUNTIF($G$4:G188,1),"")</f>
        <v/>
      </c>
      <c r="R188" s="0" t="str">
        <f aca="false">IF(CC_Mode="Per equipment",IFERROR(INDEX($B$4:$B$403,MATCH(185,$I$4:$I$403,0)),""),IF(CC_Mode="Per loop",IFERROR(INDEX($B$4:$B$403,MATCH(185,$H$4:$H$403,0)),""),IF(CC_Mode="Per unit",IFERROR("Chemical cleaning – "&amp;INDEX($K$4:$K$15,MATCH(185,$N$4:$N$15,0)),""),IF(185=1,"LUMP SUM – "&amp;QProject,""))))</f>
        <v/>
      </c>
      <c r="S188" s="0" t="str">
        <f aca="false">IF(CC_Mode="Per equipment",IFERROR(INDEX($C$4:$C$403,MATCH(185,$I$4:$I$403,0)),""),IF(CC_Mode="Per loop",IFERROR(INDEX($C$4:$C$403,MATCH(185,$H$4:$H$403,0)),""),IF(CC_Mode="Per unit",IFERROR(INDEX($K$4:$K$15,MATCH(185,$N$4:$N$15,0)),""),IF(185=1,"All units",""))))</f>
        <v/>
      </c>
      <c r="T188" s="0" t="str">
        <f aca="false">IF(CC_Mode="Per equipment",IFERROR(INDEX($D$4:$D$403,MATCH(185,$I$4:$I$403,0)),""),IF(CC_Mode="Per loop",IFERROR(INDEX($D$4:$D$403,MATCH(185,$H$4:$H$403,0)),""),IF(CC_Mode="Per unit",IFERROR(INDEX($M$4:$M$15,MATCH(185,$N$4:$N$15,0)),""),IF(185=1,CC_V_GrandVol,""))))</f>
        <v/>
      </c>
      <c r="U188" s="0" t="str">
        <f aca="false">IF(CC_Mode="Per equipment",IFERROR(INDEX($E$4:$E$403,MATCH(185,$I$4:$I$403,0)),""),IF(CC_Mode="Per loop",IFERROR(INDEX($E$4:$E$403,MATCH(185,$H$4:$H$403,0)),""),IF(CC_Mode="Per unit",IFERROR(INDEX($L$4:$L$15,MATCH(185,$N$4:$N$15,0)),""),IF(185=1,CC_Net,""))))</f>
        <v/>
      </c>
    </row>
    <row r="189" customFormat="false" ht="15" hidden="false" customHeight="false" outlineLevel="0" collapsed="false">
      <c r="A189" s="0" t="s">
        <v>172</v>
      </c>
      <c r="B189" s="0" t="str">
        <f aca="false">'CC Item Pricing'!C167&amp;IF('CC Item Pricing'!D167="",""," – "&amp;'CC Item Pricing'!D167)</f>
        <v/>
      </c>
      <c r="C189" s="0" t="str">
        <f aca="false">INDEX(CC_UnitNames,'CC Item Pricing'!Y167)</f>
        <v>Unit 5</v>
      </c>
      <c r="D189" s="0" t="n">
        <f aca="false">N('CC Item Pricing'!G167)</f>
        <v>0</v>
      </c>
      <c r="E189" s="98" t="n">
        <f aca="false">'CC Item Pricing'!W167</f>
        <v>0</v>
      </c>
      <c r="F189" s="96" t="n">
        <f aca="false">IF(AND(G189=1,'CC Item Pricing'!B167=""),1,0)</f>
        <v>0</v>
      </c>
      <c r="G189" s="96" t="n">
        <f aca="false">IF(D189&gt;0,1,0)</f>
        <v>0</v>
      </c>
      <c r="H189" s="0" t="str">
        <f aca="false">IF(F189=1,COUNTIF($F$4:F189,1),"")</f>
        <v/>
      </c>
      <c r="I189" s="0" t="str">
        <f aca="false">IF(G189=1,COUNTIF($G$4:G189,1),"")</f>
        <v/>
      </c>
      <c r="R189" s="0" t="str">
        <f aca="false">IF(CC_Mode="Per equipment",IFERROR(INDEX($B$4:$B$403,MATCH(186,$I$4:$I$403,0)),""),IF(CC_Mode="Per loop",IFERROR(INDEX($B$4:$B$403,MATCH(186,$H$4:$H$403,0)),""),IF(CC_Mode="Per unit",IFERROR("Chemical cleaning – "&amp;INDEX($K$4:$K$15,MATCH(186,$N$4:$N$15,0)),""),IF(186=1,"LUMP SUM – "&amp;QProject,""))))</f>
        <v/>
      </c>
      <c r="S189" s="0" t="str">
        <f aca="false">IF(CC_Mode="Per equipment",IFERROR(INDEX($C$4:$C$403,MATCH(186,$I$4:$I$403,0)),""),IF(CC_Mode="Per loop",IFERROR(INDEX($C$4:$C$403,MATCH(186,$H$4:$H$403,0)),""),IF(CC_Mode="Per unit",IFERROR(INDEX($K$4:$K$15,MATCH(186,$N$4:$N$15,0)),""),IF(186=1,"All units",""))))</f>
        <v/>
      </c>
      <c r="T189" s="0" t="str">
        <f aca="false">IF(CC_Mode="Per equipment",IFERROR(INDEX($D$4:$D$403,MATCH(186,$I$4:$I$403,0)),""),IF(CC_Mode="Per loop",IFERROR(INDEX($D$4:$D$403,MATCH(186,$H$4:$H$403,0)),""),IF(CC_Mode="Per unit",IFERROR(INDEX($M$4:$M$15,MATCH(186,$N$4:$N$15,0)),""),IF(186=1,CC_V_GrandVol,""))))</f>
        <v/>
      </c>
      <c r="U189" s="0" t="str">
        <f aca="false">IF(CC_Mode="Per equipment",IFERROR(INDEX($E$4:$E$403,MATCH(186,$I$4:$I$403,0)),""),IF(CC_Mode="Per loop",IFERROR(INDEX($E$4:$E$403,MATCH(186,$H$4:$H$403,0)),""),IF(CC_Mode="Per unit",IFERROR(INDEX($L$4:$L$15,MATCH(186,$N$4:$N$15,0)),""),IF(186=1,CC_Net,""))))</f>
        <v/>
      </c>
    </row>
    <row r="190" customFormat="false" ht="15" hidden="false" customHeight="false" outlineLevel="0" collapsed="false">
      <c r="A190" s="0" t="s">
        <v>172</v>
      </c>
      <c r="B190" s="0" t="str">
        <f aca="false">'CC Item Pricing'!C168&amp;IF('CC Item Pricing'!D168="",""," – "&amp;'CC Item Pricing'!D168)</f>
        <v/>
      </c>
      <c r="C190" s="0" t="str">
        <f aca="false">INDEX(CC_UnitNames,'CC Item Pricing'!Y168)</f>
        <v>Unit 5</v>
      </c>
      <c r="D190" s="0" t="n">
        <f aca="false">N('CC Item Pricing'!G168)</f>
        <v>0</v>
      </c>
      <c r="E190" s="98" t="n">
        <f aca="false">'CC Item Pricing'!W168</f>
        <v>0</v>
      </c>
      <c r="F190" s="96" t="n">
        <f aca="false">IF(AND(G190=1,'CC Item Pricing'!B168=""),1,0)</f>
        <v>0</v>
      </c>
      <c r="G190" s="96" t="n">
        <f aca="false">IF(D190&gt;0,1,0)</f>
        <v>0</v>
      </c>
      <c r="H190" s="0" t="str">
        <f aca="false">IF(F190=1,COUNTIF($F$4:F190,1),"")</f>
        <v/>
      </c>
      <c r="I190" s="0" t="str">
        <f aca="false">IF(G190=1,COUNTIF($G$4:G190,1),"")</f>
        <v/>
      </c>
      <c r="R190" s="0" t="str">
        <f aca="false">IF(CC_Mode="Per equipment",IFERROR(INDEX($B$4:$B$403,MATCH(187,$I$4:$I$403,0)),""),IF(CC_Mode="Per loop",IFERROR(INDEX($B$4:$B$403,MATCH(187,$H$4:$H$403,0)),""),IF(CC_Mode="Per unit",IFERROR("Chemical cleaning – "&amp;INDEX($K$4:$K$15,MATCH(187,$N$4:$N$15,0)),""),IF(187=1,"LUMP SUM – "&amp;QProject,""))))</f>
        <v/>
      </c>
      <c r="S190" s="0" t="str">
        <f aca="false">IF(CC_Mode="Per equipment",IFERROR(INDEX($C$4:$C$403,MATCH(187,$I$4:$I$403,0)),""),IF(CC_Mode="Per loop",IFERROR(INDEX($C$4:$C$403,MATCH(187,$H$4:$H$403,0)),""),IF(CC_Mode="Per unit",IFERROR(INDEX($K$4:$K$15,MATCH(187,$N$4:$N$15,0)),""),IF(187=1,"All units",""))))</f>
        <v/>
      </c>
      <c r="T190" s="0" t="str">
        <f aca="false">IF(CC_Mode="Per equipment",IFERROR(INDEX($D$4:$D$403,MATCH(187,$I$4:$I$403,0)),""),IF(CC_Mode="Per loop",IFERROR(INDEX($D$4:$D$403,MATCH(187,$H$4:$H$403,0)),""),IF(CC_Mode="Per unit",IFERROR(INDEX($M$4:$M$15,MATCH(187,$N$4:$N$15,0)),""),IF(187=1,CC_V_GrandVol,""))))</f>
        <v/>
      </c>
      <c r="U190" s="0" t="str">
        <f aca="false">IF(CC_Mode="Per equipment",IFERROR(INDEX($E$4:$E$403,MATCH(187,$I$4:$I$403,0)),""),IF(CC_Mode="Per loop",IFERROR(INDEX($E$4:$E$403,MATCH(187,$H$4:$H$403,0)),""),IF(CC_Mode="Per unit",IFERROR(INDEX($L$4:$L$15,MATCH(187,$N$4:$N$15,0)),""),IF(187=1,CC_Net,""))))</f>
        <v/>
      </c>
    </row>
    <row r="191" customFormat="false" ht="15" hidden="false" customHeight="false" outlineLevel="0" collapsed="false">
      <c r="A191" s="0" t="s">
        <v>172</v>
      </c>
      <c r="B191" s="0" t="str">
        <f aca="false">'CC Item Pricing'!C169&amp;IF('CC Item Pricing'!D169="",""," – "&amp;'CC Item Pricing'!D169)</f>
        <v/>
      </c>
      <c r="C191" s="0" t="str">
        <f aca="false">INDEX(CC_UnitNames,'CC Item Pricing'!Y169)</f>
        <v>Unit 5</v>
      </c>
      <c r="D191" s="0" t="n">
        <f aca="false">N('CC Item Pricing'!G169)</f>
        <v>0</v>
      </c>
      <c r="E191" s="98" t="n">
        <f aca="false">'CC Item Pricing'!W169</f>
        <v>0</v>
      </c>
      <c r="F191" s="96" t="n">
        <f aca="false">IF(AND(G191=1,'CC Item Pricing'!B169=""),1,0)</f>
        <v>0</v>
      </c>
      <c r="G191" s="96" t="n">
        <f aca="false">IF(D191&gt;0,1,0)</f>
        <v>0</v>
      </c>
      <c r="H191" s="0" t="str">
        <f aca="false">IF(F191=1,COUNTIF($F$4:F191,1),"")</f>
        <v/>
      </c>
      <c r="I191" s="0" t="str">
        <f aca="false">IF(G191=1,COUNTIF($G$4:G191,1),"")</f>
        <v/>
      </c>
      <c r="R191" s="0" t="str">
        <f aca="false">IF(CC_Mode="Per equipment",IFERROR(INDEX($B$4:$B$403,MATCH(188,$I$4:$I$403,0)),""),IF(CC_Mode="Per loop",IFERROR(INDEX($B$4:$B$403,MATCH(188,$H$4:$H$403,0)),""),IF(CC_Mode="Per unit",IFERROR("Chemical cleaning – "&amp;INDEX($K$4:$K$15,MATCH(188,$N$4:$N$15,0)),""),IF(188=1,"LUMP SUM – "&amp;QProject,""))))</f>
        <v/>
      </c>
      <c r="S191" s="0" t="str">
        <f aca="false">IF(CC_Mode="Per equipment",IFERROR(INDEX($C$4:$C$403,MATCH(188,$I$4:$I$403,0)),""),IF(CC_Mode="Per loop",IFERROR(INDEX($C$4:$C$403,MATCH(188,$H$4:$H$403,0)),""),IF(CC_Mode="Per unit",IFERROR(INDEX($K$4:$K$15,MATCH(188,$N$4:$N$15,0)),""),IF(188=1,"All units",""))))</f>
        <v/>
      </c>
      <c r="T191" s="0" t="str">
        <f aca="false">IF(CC_Mode="Per equipment",IFERROR(INDEX($D$4:$D$403,MATCH(188,$I$4:$I$403,0)),""),IF(CC_Mode="Per loop",IFERROR(INDEX($D$4:$D$403,MATCH(188,$H$4:$H$403,0)),""),IF(CC_Mode="Per unit",IFERROR(INDEX($M$4:$M$15,MATCH(188,$N$4:$N$15,0)),""),IF(188=1,CC_V_GrandVol,""))))</f>
        <v/>
      </c>
      <c r="U191" s="0" t="str">
        <f aca="false">IF(CC_Mode="Per equipment",IFERROR(INDEX($E$4:$E$403,MATCH(188,$I$4:$I$403,0)),""),IF(CC_Mode="Per loop",IFERROR(INDEX($E$4:$E$403,MATCH(188,$H$4:$H$403,0)),""),IF(CC_Mode="Per unit",IFERROR(INDEX($L$4:$L$15,MATCH(188,$N$4:$N$15,0)),""),IF(188=1,CC_Net,""))))</f>
        <v/>
      </c>
    </row>
    <row r="192" customFormat="false" ht="15" hidden="false" customHeight="false" outlineLevel="0" collapsed="false">
      <c r="A192" s="0" t="s">
        <v>172</v>
      </c>
      <c r="B192" s="0" t="str">
        <f aca="false">'CC Item Pricing'!C170&amp;IF('CC Item Pricing'!D170="",""," – "&amp;'CC Item Pricing'!D170)</f>
        <v/>
      </c>
      <c r="C192" s="0" t="str">
        <f aca="false">INDEX(CC_UnitNames,'CC Item Pricing'!Y170)</f>
        <v>Unit 5</v>
      </c>
      <c r="D192" s="0" t="n">
        <f aca="false">N('CC Item Pricing'!G170)</f>
        <v>0</v>
      </c>
      <c r="E192" s="98" t="n">
        <f aca="false">'CC Item Pricing'!W170</f>
        <v>0</v>
      </c>
      <c r="F192" s="96" t="n">
        <f aca="false">IF(AND(G192=1,'CC Item Pricing'!B170=""),1,0)</f>
        <v>0</v>
      </c>
      <c r="G192" s="96" t="n">
        <f aca="false">IF(D192&gt;0,1,0)</f>
        <v>0</v>
      </c>
      <c r="H192" s="0" t="str">
        <f aca="false">IF(F192=1,COUNTIF($F$4:F192,1),"")</f>
        <v/>
      </c>
      <c r="I192" s="0" t="str">
        <f aca="false">IF(G192=1,COUNTIF($G$4:G192,1),"")</f>
        <v/>
      </c>
      <c r="R192" s="0" t="str">
        <f aca="false">IF(CC_Mode="Per equipment",IFERROR(INDEX($B$4:$B$403,MATCH(189,$I$4:$I$403,0)),""),IF(CC_Mode="Per loop",IFERROR(INDEX($B$4:$B$403,MATCH(189,$H$4:$H$403,0)),""),IF(CC_Mode="Per unit",IFERROR("Chemical cleaning – "&amp;INDEX($K$4:$K$15,MATCH(189,$N$4:$N$15,0)),""),IF(189=1,"LUMP SUM – "&amp;QProject,""))))</f>
        <v/>
      </c>
      <c r="S192" s="0" t="str">
        <f aca="false">IF(CC_Mode="Per equipment",IFERROR(INDEX($C$4:$C$403,MATCH(189,$I$4:$I$403,0)),""),IF(CC_Mode="Per loop",IFERROR(INDEX($C$4:$C$403,MATCH(189,$H$4:$H$403,0)),""),IF(CC_Mode="Per unit",IFERROR(INDEX($K$4:$K$15,MATCH(189,$N$4:$N$15,0)),""),IF(189=1,"All units",""))))</f>
        <v/>
      </c>
      <c r="T192" s="0" t="str">
        <f aca="false">IF(CC_Mode="Per equipment",IFERROR(INDEX($D$4:$D$403,MATCH(189,$I$4:$I$403,0)),""),IF(CC_Mode="Per loop",IFERROR(INDEX($D$4:$D$403,MATCH(189,$H$4:$H$403,0)),""),IF(CC_Mode="Per unit",IFERROR(INDEX($M$4:$M$15,MATCH(189,$N$4:$N$15,0)),""),IF(189=1,CC_V_GrandVol,""))))</f>
        <v/>
      </c>
      <c r="U192" s="0" t="str">
        <f aca="false">IF(CC_Mode="Per equipment",IFERROR(INDEX($E$4:$E$403,MATCH(189,$I$4:$I$403,0)),""),IF(CC_Mode="Per loop",IFERROR(INDEX($E$4:$E$403,MATCH(189,$H$4:$H$403,0)),""),IF(CC_Mode="Per unit",IFERROR(INDEX($L$4:$L$15,MATCH(189,$N$4:$N$15,0)),""),IF(189=1,CC_Net,""))))</f>
        <v/>
      </c>
    </row>
    <row r="193" customFormat="false" ht="15" hidden="false" customHeight="false" outlineLevel="0" collapsed="false">
      <c r="A193" s="0" t="s">
        <v>172</v>
      </c>
      <c r="B193" s="0" t="str">
        <f aca="false">'CC Item Pricing'!C171&amp;IF('CC Item Pricing'!D171="",""," – "&amp;'CC Item Pricing'!D171)</f>
        <v/>
      </c>
      <c r="C193" s="0" t="str">
        <f aca="false">INDEX(CC_UnitNames,'CC Item Pricing'!Y171)</f>
        <v>Unit 5</v>
      </c>
      <c r="D193" s="0" t="n">
        <f aca="false">N('CC Item Pricing'!G171)</f>
        <v>0</v>
      </c>
      <c r="E193" s="98" t="n">
        <f aca="false">'CC Item Pricing'!W171</f>
        <v>0</v>
      </c>
      <c r="F193" s="96" t="n">
        <f aca="false">IF(AND(G193=1,'CC Item Pricing'!B171=""),1,0)</f>
        <v>0</v>
      </c>
      <c r="G193" s="96" t="n">
        <f aca="false">IF(D193&gt;0,1,0)</f>
        <v>0</v>
      </c>
      <c r="H193" s="0" t="str">
        <f aca="false">IF(F193=1,COUNTIF($F$4:F193,1),"")</f>
        <v/>
      </c>
      <c r="I193" s="0" t="str">
        <f aca="false">IF(G193=1,COUNTIF($G$4:G193,1),"")</f>
        <v/>
      </c>
      <c r="R193" s="0" t="str">
        <f aca="false">IF(CC_Mode="Per equipment",IFERROR(INDEX($B$4:$B$403,MATCH(190,$I$4:$I$403,0)),""),IF(CC_Mode="Per loop",IFERROR(INDEX($B$4:$B$403,MATCH(190,$H$4:$H$403,0)),""),IF(CC_Mode="Per unit",IFERROR("Chemical cleaning – "&amp;INDEX($K$4:$K$15,MATCH(190,$N$4:$N$15,0)),""),IF(190=1,"LUMP SUM – "&amp;QProject,""))))</f>
        <v/>
      </c>
      <c r="S193" s="0" t="str">
        <f aca="false">IF(CC_Mode="Per equipment",IFERROR(INDEX($C$4:$C$403,MATCH(190,$I$4:$I$403,0)),""),IF(CC_Mode="Per loop",IFERROR(INDEX($C$4:$C$403,MATCH(190,$H$4:$H$403,0)),""),IF(CC_Mode="Per unit",IFERROR(INDEX($K$4:$K$15,MATCH(190,$N$4:$N$15,0)),""),IF(190=1,"All units",""))))</f>
        <v/>
      </c>
      <c r="T193" s="0" t="str">
        <f aca="false">IF(CC_Mode="Per equipment",IFERROR(INDEX($D$4:$D$403,MATCH(190,$I$4:$I$403,0)),""),IF(CC_Mode="Per loop",IFERROR(INDEX($D$4:$D$403,MATCH(190,$H$4:$H$403,0)),""),IF(CC_Mode="Per unit",IFERROR(INDEX($M$4:$M$15,MATCH(190,$N$4:$N$15,0)),""),IF(190=1,CC_V_GrandVol,""))))</f>
        <v/>
      </c>
      <c r="U193" s="0" t="str">
        <f aca="false">IF(CC_Mode="Per equipment",IFERROR(INDEX($E$4:$E$403,MATCH(190,$I$4:$I$403,0)),""),IF(CC_Mode="Per loop",IFERROR(INDEX($E$4:$E$403,MATCH(190,$H$4:$H$403,0)),""),IF(CC_Mode="Per unit",IFERROR(INDEX($L$4:$L$15,MATCH(190,$N$4:$N$15,0)),""),IF(190=1,CC_Net,""))))</f>
        <v/>
      </c>
    </row>
    <row r="194" customFormat="false" ht="15" hidden="false" customHeight="false" outlineLevel="0" collapsed="false">
      <c r="A194" s="0" t="s">
        <v>172</v>
      </c>
      <c r="B194" s="0" t="str">
        <f aca="false">'CC Item Pricing'!C175&amp;IF('CC Item Pricing'!D175="",""," – "&amp;'CC Item Pricing'!D175)</f>
        <v/>
      </c>
      <c r="C194" s="0" t="str">
        <f aca="false">INDEX(CC_UnitNames,'CC Item Pricing'!Y175)</f>
        <v>Unit 6</v>
      </c>
      <c r="D194" s="0" t="n">
        <f aca="false">N('CC Item Pricing'!G175)</f>
        <v>0</v>
      </c>
      <c r="E194" s="98" t="n">
        <f aca="false">'CC Item Pricing'!W175</f>
        <v>0</v>
      </c>
      <c r="F194" s="96" t="n">
        <f aca="false">IF(AND(G194=1,'CC Item Pricing'!B175=""),1,0)</f>
        <v>0</v>
      </c>
      <c r="G194" s="96" t="n">
        <f aca="false">IF(D194&gt;0,1,0)</f>
        <v>0</v>
      </c>
      <c r="H194" s="0" t="str">
        <f aca="false">IF(F194=1,COUNTIF($F$4:F194,1),"")</f>
        <v/>
      </c>
      <c r="I194" s="0" t="str">
        <f aca="false">IF(G194=1,COUNTIF($G$4:G194,1),"")</f>
        <v/>
      </c>
      <c r="R194" s="0" t="str">
        <f aca="false">IF(CC_Mode="Per equipment",IFERROR(INDEX($B$4:$B$403,MATCH(191,$I$4:$I$403,0)),""),IF(CC_Mode="Per loop",IFERROR(INDEX($B$4:$B$403,MATCH(191,$H$4:$H$403,0)),""),IF(CC_Mode="Per unit",IFERROR("Chemical cleaning – "&amp;INDEX($K$4:$K$15,MATCH(191,$N$4:$N$15,0)),""),IF(191=1,"LUMP SUM – "&amp;QProject,""))))</f>
        <v/>
      </c>
      <c r="S194" s="0" t="str">
        <f aca="false">IF(CC_Mode="Per equipment",IFERROR(INDEX($C$4:$C$403,MATCH(191,$I$4:$I$403,0)),""),IF(CC_Mode="Per loop",IFERROR(INDEX($C$4:$C$403,MATCH(191,$H$4:$H$403,0)),""),IF(CC_Mode="Per unit",IFERROR(INDEX($K$4:$K$15,MATCH(191,$N$4:$N$15,0)),""),IF(191=1,"All units",""))))</f>
        <v/>
      </c>
      <c r="T194" s="0" t="str">
        <f aca="false">IF(CC_Mode="Per equipment",IFERROR(INDEX($D$4:$D$403,MATCH(191,$I$4:$I$403,0)),""),IF(CC_Mode="Per loop",IFERROR(INDEX($D$4:$D$403,MATCH(191,$H$4:$H$403,0)),""),IF(CC_Mode="Per unit",IFERROR(INDEX($M$4:$M$15,MATCH(191,$N$4:$N$15,0)),""),IF(191=1,CC_V_GrandVol,""))))</f>
        <v/>
      </c>
      <c r="U194" s="0" t="str">
        <f aca="false">IF(CC_Mode="Per equipment",IFERROR(INDEX($E$4:$E$403,MATCH(191,$I$4:$I$403,0)),""),IF(CC_Mode="Per loop",IFERROR(INDEX($E$4:$E$403,MATCH(191,$H$4:$H$403,0)),""),IF(CC_Mode="Per unit",IFERROR(INDEX($L$4:$L$15,MATCH(191,$N$4:$N$15,0)),""),IF(191=1,CC_Net,""))))</f>
        <v/>
      </c>
    </row>
    <row r="195" customFormat="false" ht="15" hidden="false" customHeight="false" outlineLevel="0" collapsed="false">
      <c r="A195" s="0" t="s">
        <v>172</v>
      </c>
      <c r="B195" s="0" t="str">
        <f aca="false">'CC Item Pricing'!C176&amp;IF('CC Item Pricing'!D176="",""," – "&amp;'CC Item Pricing'!D176)</f>
        <v/>
      </c>
      <c r="C195" s="0" t="str">
        <f aca="false">INDEX(CC_UnitNames,'CC Item Pricing'!Y176)</f>
        <v>Unit 6</v>
      </c>
      <c r="D195" s="0" t="n">
        <f aca="false">N('CC Item Pricing'!G176)</f>
        <v>0</v>
      </c>
      <c r="E195" s="98" t="n">
        <f aca="false">'CC Item Pricing'!W176</f>
        <v>0</v>
      </c>
      <c r="F195" s="96" t="n">
        <f aca="false">IF(AND(G195=1,'CC Item Pricing'!B176=""),1,0)</f>
        <v>0</v>
      </c>
      <c r="G195" s="96" t="n">
        <f aca="false">IF(D195&gt;0,1,0)</f>
        <v>0</v>
      </c>
      <c r="H195" s="0" t="str">
        <f aca="false">IF(F195=1,COUNTIF($F$4:F195,1),"")</f>
        <v/>
      </c>
      <c r="I195" s="0" t="str">
        <f aca="false">IF(G195=1,COUNTIF($G$4:G195,1),"")</f>
        <v/>
      </c>
      <c r="R195" s="0" t="str">
        <f aca="false">IF(CC_Mode="Per equipment",IFERROR(INDEX($B$4:$B$403,MATCH(192,$I$4:$I$403,0)),""),IF(CC_Mode="Per loop",IFERROR(INDEX($B$4:$B$403,MATCH(192,$H$4:$H$403,0)),""),IF(CC_Mode="Per unit",IFERROR("Chemical cleaning – "&amp;INDEX($K$4:$K$15,MATCH(192,$N$4:$N$15,0)),""),IF(192=1,"LUMP SUM – "&amp;QProject,""))))</f>
        <v/>
      </c>
      <c r="S195" s="0" t="str">
        <f aca="false">IF(CC_Mode="Per equipment",IFERROR(INDEX($C$4:$C$403,MATCH(192,$I$4:$I$403,0)),""),IF(CC_Mode="Per loop",IFERROR(INDEX($C$4:$C$403,MATCH(192,$H$4:$H$403,0)),""),IF(CC_Mode="Per unit",IFERROR(INDEX($K$4:$K$15,MATCH(192,$N$4:$N$15,0)),""),IF(192=1,"All units",""))))</f>
        <v/>
      </c>
      <c r="T195" s="0" t="str">
        <f aca="false">IF(CC_Mode="Per equipment",IFERROR(INDEX($D$4:$D$403,MATCH(192,$I$4:$I$403,0)),""),IF(CC_Mode="Per loop",IFERROR(INDEX($D$4:$D$403,MATCH(192,$H$4:$H$403,0)),""),IF(CC_Mode="Per unit",IFERROR(INDEX($M$4:$M$15,MATCH(192,$N$4:$N$15,0)),""),IF(192=1,CC_V_GrandVol,""))))</f>
        <v/>
      </c>
      <c r="U195" s="0" t="str">
        <f aca="false">IF(CC_Mode="Per equipment",IFERROR(INDEX($E$4:$E$403,MATCH(192,$I$4:$I$403,0)),""),IF(CC_Mode="Per loop",IFERROR(INDEX($E$4:$E$403,MATCH(192,$H$4:$H$403,0)),""),IF(CC_Mode="Per unit",IFERROR(INDEX($L$4:$L$15,MATCH(192,$N$4:$N$15,0)),""),IF(192=1,CC_Net,""))))</f>
        <v/>
      </c>
    </row>
    <row r="196" customFormat="false" ht="15" hidden="false" customHeight="false" outlineLevel="0" collapsed="false">
      <c r="A196" s="0" t="s">
        <v>172</v>
      </c>
      <c r="B196" s="0" t="str">
        <f aca="false">'CC Item Pricing'!C177&amp;IF('CC Item Pricing'!D177="",""," – "&amp;'CC Item Pricing'!D177)</f>
        <v/>
      </c>
      <c r="C196" s="0" t="str">
        <f aca="false">INDEX(CC_UnitNames,'CC Item Pricing'!Y177)</f>
        <v>Unit 6</v>
      </c>
      <c r="D196" s="0" t="n">
        <f aca="false">N('CC Item Pricing'!G177)</f>
        <v>0</v>
      </c>
      <c r="E196" s="98" t="n">
        <f aca="false">'CC Item Pricing'!W177</f>
        <v>0</v>
      </c>
      <c r="F196" s="96" t="n">
        <f aca="false">IF(AND(G196=1,'CC Item Pricing'!B177=""),1,0)</f>
        <v>0</v>
      </c>
      <c r="G196" s="96" t="n">
        <f aca="false">IF(D196&gt;0,1,0)</f>
        <v>0</v>
      </c>
      <c r="H196" s="0" t="str">
        <f aca="false">IF(F196=1,COUNTIF($F$4:F196,1),"")</f>
        <v/>
      </c>
      <c r="I196" s="0" t="str">
        <f aca="false">IF(G196=1,COUNTIF($G$4:G196,1),"")</f>
        <v/>
      </c>
      <c r="R196" s="0" t="str">
        <f aca="false">IF(CC_Mode="Per equipment",IFERROR(INDEX($B$4:$B$403,MATCH(193,$I$4:$I$403,0)),""),IF(CC_Mode="Per loop",IFERROR(INDEX($B$4:$B$403,MATCH(193,$H$4:$H$403,0)),""),IF(CC_Mode="Per unit",IFERROR("Chemical cleaning – "&amp;INDEX($K$4:$K$15,MATCH(193,$N$4:$N$15,0)),""),IF(193=1,"LUMP SUM – "&amp;QProject,""))))</f>
        <v/>
      </c>
      <c r="S196" s="0" t="str">
        <f aca="false">IF(CC_Mode="Per equipment",IFERROR(INDEX($C$4:$C$403,MATCH(193,$I$4:$I$403,0)),""),IF(CC_Mode="Per loop",IFERROR(INDEX($C$4:$C$403,MATCH(193,$H$4:$H$403,0)),""),IF(CC_Mode="Per unit",IFERROR(INDEX($K$4:$K$15,MATCH(193,$N$4:$N$15,0)),""),IF(193=1,"All units",""))))</f>
        <v/>
      </c>
      <c r="T196" s="0" t="str">
        <f aca="false">IF(CC_Mode="Per equipment",IFERROR(INDEX($D$4:$D$403,MATCH(193,$I$4:$I$403,0)),""),IF(CC_Mode="Per loop",IFERROR(INDEX($D$4:$D$403,MATCH(193,$H$4:$H$403,0)),""),IF(CC_Mode="Per unit",IFERROR(INDEX($M$4:$M$15,MATCH(193,$N$4:$N$15,0)),""),IF(193=1,CC_V_GrandVol,""))))</f>
        <v/>
      </c>
      <c r="U196" s="0" t="str">
        <f aca="false">IF(CC_Mode="Per equipment",IFERROR(INDEX($E$4:$E$403,MATCH(193,$I$4:$I$403,0)),""),IF(CC_Mode="Per loop",IFERROR(INDEX($E$4:$E$403,MATCH(193,$H$4:$H$403,0)),""),IF(CC_Mode="Per unit",IFERROR(INDEX($L$4:$L$15,MATCH(193,$N$4:$N$15,0)),""),IF(193=1,CC_Net,""))))</f>
        <v/>
      </c>
    </row>
    <row r="197" customFormat="false" ht="15" hidden="false" customHeight="false" outlineLevel="0" collapsed="false">
      <c r="A197" s="0" t="s">
        <v>172</v>
      </c>
      <c r="B197" s="0" t="str">
        <f aca="false">'CC Item Pricing'!C178&amp;IF('CC Item Pricing'!D178="",""," – "&amp;'CC Item Pricing'!D178)</f>
        <v/>
      </c>
      <c r="C197" s="0" t="str">
        <f aca="false">INDEX(CC_UnitNames,'CC Item Pricing'!Y178)</f>
        <v>Unit 6</v>
      </c>
      <c r="D197" s="0" t="n">
        <f aca="false">N('CC Item Pricing'!G178)</f>
        <v>0</v>
      </c>
      <c r="E197" s="98" t="n">
        <f aca="false">'CC Item Pricing'!W178</f>
        <v>0</v>
      </c>
      <c r="F197" s="96" t="n">
        <f aca="false">IF(AND(G197=1,'CC Item Pricing'!B178=""),1,0)</f>
        <v>0</v>
      </c>
      <c r="G197" s="96" t="n">
        <f aca="false">IF(D197&gt;0,1,0)</f>
        <v>0</v>
      </c>
      <c r="H197" s="0" t="str">
        <f aca="false">IF(F197=1,COUNTIF($F$4:F197,1),"")</f>
        <v/>
      </c>
      <c r="I197" s="0" t="str">
        <f aca="false">IF(G197=1,COUNTIF($G$4:G197,1),"")</f>
        <v/>
      </c>
      <c r="R197" s="0" t="str">
        <f aca="false">IF(CC_Mode="Per equipment",IFERROR(INDEX($B$4:$B$403,MATCH(194,$I$4:$I$403,0)),""),IF(CC_Mode="Per loop",IFERROR(INDEX($B$4:$B$403,MATCH(194,$H$4:$H$403,0)),""),IF(CC_Mode="Per unit",IFERROR("Chemical cleaning – "&amp;INDEX($K$4:$K$15,MATCH(194,$N$4:$N$15,0)),""),IF(194=1,"LUMP SUM – "&amp;QProject,""))))</f>
        <v/>
      </c>
      <c r="S197" s="0" t="str">
        <f aca="false">IF(CC_Mode="Per equipment",IFERROR(INDEX($C$4:$C$403,MATCH(194,$I$4:$I$403,0)),""),IF(CC_Mode="Per loop",IFERROR(INDEX($C$4:$C$403,MATCH(194,$H$4:$H$403,0)),""),IF(CC_Mode="Per unit",IFERROR(INDEX($K$4:$K$15,MATCH(194,$N$4:$N$15,0)),""),IF(194=1,"All units",""))))</f>
        <v/>
      </c>
      <c r="T197" s="0" t="str">
        <f aca="false">IF(CC_Mode="Per equipment",IFERROR(INDEX($D$4:$D$403,MATCH(194,$I$4:$I$403,0)),""),IF(CC_Mode="Per loop",IFERROR(INDEX($D$4:$D$403,MATCH(194,$H$4:$H$403,0)),""),IF(CC_Mode="Per unit",IFERROR(INDEX($M$4:$M$15,MATCH(194,$N$4:$N$15,0)),""),IF(194=1,CC_V_GrandVol,""))))</f>
        <v/>
      </c>
      <c r="U197" s="0" t="str">
        <f aca="false">IF(CC_Mode="Per equipment",IFERROR(INDEX($E$4:$E$403,MATCH(194,$I$4:$I$403,0)),""),IF(CC_Mode="Per loop",IFERROR(INDEX($E$4:$E$403,MATCH(194,$H$4:$H$403,0)),""),IF(CC_Mode="Per unit",IFERROR(INDEX($L$4:$L$15,MATCH(194,$N$4:$N$15,0)),""),IF(194=1,CC_Net,""))))</f>
        <v/>
      </c>
    </row>
    <row r="198" customFormat="false" ht="15" hidden="false" customHeight="false" outlineLevel="0" collapsed="false">
      <c r="A198" s="0" t="s">
        <v>172</v>
      </c>
      <c r="B198" s="0" t="str">
        <f aca="false">'CC Item Pricing'!C179&amp;IF('CC Item Pricing'!D179="",""," – "&amp;'CC Item Pricing'!D179)</f>
        <v/>
      </c>
      <c r="C198" s="0" t="str">
        <f aca="false">INDEX(CC_UnitNames,'CC Item Pricing'!Y179)</f>
        <v>Unit 6</v>
      </c>
      <c r="D198" s="0" t="n">
        <f aca="false">N('CC Item Pricing'!G179)</f>
        <v>0</v>
      </c>
      <c r="E198" s="98" t="n">
        <f aca="false">'CC Item Pricing'!W179</f>
        <v>0</v>
      </c>
      <c r="F198" s="96" t="n">
        <f aca="false">IF(AND(G198=1,'CC Item Pricing'!B179=""),1,0)</f>
        <v>0</v>
      </c>
      <c r="G198" s="96" t="n">
        <f aca="false">IF(D198&gt;0,1,0)</f>
        <v>0</v>
      </c>
      <c r="H198" s="0" t="str">
        <f aca="false">IF(F198=1,COUNTIF($F$4:F198,1),"")</f>
        <v/>
      </c>
      <c r="I198" s="0" t="str">
        <f aca="false">IF(G198=1,COUNTIF($G$4:G198,1),"")</f>
        <v/>
      </c>
      <c r="R198" s="0" t="str">
        <f aca="false">IF(CC_Mode="Per equipment",IFERROR(INDEX($B$4:$B$403,MATCH(195,$I$4:$I$403,0)),""),IF(CC_Mode="Per loop",IFERROR(INDEX($B$4:$B$403,MATCH(195,$H$4:$H$403,0)),""),IF(CC_Mode="Per unit",IFERROR("Chemical cleaning – "&amp;INDEX($K$4:$K$15,MATCH(195,$N$4:$N$15,0)),""),IF(195=1,"LUMP SUM – "&amp;QProject,""))))</f>
        <v/>
      </c>
      <c r="S198" s="0" t="str">
        <f aca="false">IF(CC_Mode="Per equipment",IFERROR(INDEX($C$4:$C$403,MATCH(195,$I$4:$I$403,0)),""),IF(CC_Mode="Per loop",IFERROR(INDEX($C$4:$C$403,MATCH(195,$H$4:$H$403,0)),""),IF(CC_Mode="Per unit",IFERROR(INDEX($K$4:$K$15,MATCH(195,$N$4:$N$15,0)),""),IF(195=1,"All units",""))))</f>
        <v/>
      </c>
      <c r="T198" s="0" t="str">
        <f aca="false">IF(CC_Mode="Per equipment",IFERROR(INDEX($D$4:$D$403,MATCH(195,$I$4:$I$403,0)),""),IF(CC_Mode="Per loop",IFERROR(INDEX($D$4:$D$403,MATCH(195,$H$4:$H$403,0)),""),IF(CC_Mode="Per unit",IFERROR(INDEX($M$4:$M$15,MATCH(195,$N$4:$N$15,0)),""),IF(195=1,CC_V_GrandVol,""))))</f>
        <v/>
      </c>
      <c r="U198" s="0" t="str">
        <f aca="false">IF(CC_Mode="Per equipment",IFERROR(INDEX($E$4:$E$403,MATCH(195,$I$4:$I$403,0)),""),IF(CC_Mode="Per loop",IFERROR(INDEX($E$4:$E$403,MATCH(195,$H$4:$H$403,0)),""),IF(CC_Mode="Per unit",IFERROR(INDEX($L$4:$L$15,MATCH(195,$N$4:$N$15,0)),""),IF(195=1,CC_Net,""))))</f>
        <v/>
      </c>
    </row>
    <row r="199" customFormat="false" ht="15" hidden="false" customHeight="false" outlineLevel="0" collapsed="false">
      <c r="A199" s="0" t="s">
        <v>172</v>
      </c>
      <c r="B199" s="0" t="str">
        <f aca="false">'CC Item Pricing'!C180&amp;IF('CC Item Pricing'!D180="",""," – "&amp;'CC Item Pricing'!D180)</f>
        <v/>
      </c>
      <c r="C199" s="0" t="str">
        <f aca="false">INDEX(CC_UnitNames,'CC Item Pricing'!Y180)</f>
        <v>Unit 6</v>
      </c>
      <c r="D199" s="0" t="n">
        <f aca="false">N('CC Item Pricing'!G180)</f>
        <v>0</v>
      </c>
      <c r="E199" s="98" t="n">
        <f aca="false">'CC Item Pricing'!W180</f>
        <v>0</v>
      </c>
      <c r="F199" s="96" t="n">
        <f aca="false">IF(AND(G199=1,'CC Item Pricing'!B180=""),1,0)</f>
        <v>0</v>
      </c>
      <c r="G199" s="96" t="n">
        <f aca="false">IF(D199&gt;0,1,0)</f>
        <v>0</v>
      </c>
      <c r="H199" s="0" t="str">
        <f aca="false">IF(F199=1,COUNTIF($F$4:F199,1),"")</f>
        <v/>
      </c>
      <c r="I199" s="0" t="str">
        <f aca="false">IF(G199=1,COUNTIF($G$4:G199,1),"")</f>
        <v/>
      </c>
      <c r="R199" s="0" t="str">
        <f aca="false">IF(CC_Mode="Per equipment",IFERROR(INDEX($B$4:$B$403,MATCH(196,$I$4:$I$403,0)),""),IF(CC_Mode="Per loop",IFERROR(INDEX($B$4:$B$403,MATCH(196,$H$4:$H$403,0)),""),IF(CC_Mode="Per unit",IFERROR("Chemical cleaning – "&amp;INDEX($K$4:$K$15,MATCH(196,$N$4:$N$15,0)),""),IF(196=1,"LUMP SUM – "&amp;QProject,""))))</f>
        <v/>
      </c>
      <c r="S199" s="0" t="str">
        <f aca="false">IF(CC_Mode="Per equipment",IFERROR(INDEX($C$4:$C$403,MATCH(196,$I$4:$I$403,0)),""),IF(CC_Mode="Per loop",IFERROR(INDEX($C$4:$C$403,MATCH(196,$H$4:$H$403,0)),""),IF(CC_Mode="Per unit",IFERROR(INDEX($K$4:$K$15,MATCH(196,$N$4:$N$15,0)),""),IF(196=1,"All units",""))))</f>
        <v/>
      </c>
      <c r="T199" s="0" t="str">
        <f aca="false">IF(CC_Mode="Per equipment",IFERROR(INDEX($D$4:$D$403,MATCH(196,$I$4:$I$403,0)),""),IF(CC_Mode="Per loop",IFERROR(INDEX($D$4:$D$403,MATCH(196,$H$4:$H$403,0)),""),IF(CC_Mode="Per unit",IFERROR(INDEX($M$4:$M$15,MATCH(196,$N$4:$N$15,0)),""),IF(196=1,CC_V_GrandVol,""))))</f>
        <v/>
      </c>
      <c r="U199" s="0" t="str">
        <f aca="false">IF(CC_Mode="Per equipment",IFERROR(INDEX($E$4:$E$403,MATCH(196,$I$4:$I$403,0)),""),IF(CC_Mode="Per loop",IFERROR(INDEX($E$4:$E$403,MATCH(196,$H$4:$H$403,0)),""),IF(CC_Mode="Per unit",IFERROR(INDEX($L$4:$L$15,MATCH(196,$N$4:$N$15,0)),""),IF(196=1,CC_Net,""))))</f>
        <v/>
      </c>
    </row>
    <row r="200" customFormat="false" ht="15" hidden="false" customHeight="false" outlineLevel="0" collapsed="false">
      <c r="A200" s="0" t="s">
        <v>172</v>
      </c>
      <c r="B200" s="0" t="str">
        <f aca="false">'CC Item Pricing'!C181&amp;IF('CC Item Pricing'!D181="",""," – "&amp;'CC Item Pricing'!D181)</f>
        <v/>
      </c>
      <c r="C200" s="0" t="str">
        <f aca="false">INDEX(CC_UnitNames,'CC Item Pricing'!Y181)</f>
        <v>Unit 6</v>
      </c>
      <c r="D200" s="0" t="n">
        <f aca="false">N('CC Item Pricing'!G181)</f>
        <v>0</v>
      </c>
      <c r="E200" s="98" t="n">
        <f aca="false">'CC Item Pricing'!W181</f>
        <v>0</v>
      </c>
      <c r="F200" s="96" t="n">
        <f aca="false">IF(AND(G200=1,'CC Item Pricing'!B181=""),1,0)</f>
        <v>0</v>
      </c>
      <c r="G200" s="96" t="n">
        <f aca="false">IF(D200&gt;0,1,0)</f>
        <v>0</v>
      </c>
      <c r="H200" s="0" t="str">
        <f aca="false">IF(F200=1,COUNTIF($F$4:F200,1),"")</f>
        <v/>
      </c>
      <c r="I200" s="0" t="str">
        <f aca="false">IF(G200=1,COUNTIF($G$4:G200,1),"")</f>
        <v/>
      </c>
      <c r="R200" s="0" t="str">
        <f aca="false">IF(CC_Mode="Per equipment",IFERROR(INDEX($B$4:$B$403,MATCH(197,$I$4:$I$403,0)),""),IF(CC_Mode="Per loop",IFERROR(INDEX($B$4:$B$403,MATCH(197,$H$4:$H$403,0)),""),IF(CC_Mode="Per unit",IFERROR("Chemical cleaning – "&amp;INDEX($K$4:$K$15,MATCH(197,$N$4:$N$15,0)),""),IF(197=1,"LUMP SUM – "&amp;QProject,""))))</f>
        <v/>
      </c>
      <c r="S200" s="0" t="str">
        <f aca="false">IF(CC_Mode="Per equipment",IFERROR(INDEX($C$4:$C$403,MATCH(197,$I$4:$I$403,0)),""),IF(CC_Mode="Per loop",IFERROR(INDEX($C$4:$C$403,MATCH(197,$H$4:$H$403,0)),""),IF(CC_Mode="Per unit",IFERROR(INDEX($K$4:$K$15,MATCH(197,$N$4:$N$15,0)),""),IF(197=1,"All units",""))))</f>
        <v/>
      </c>
      <c r="T200" s="0" t="str">
        <f aca="false">IF(CC_Mode="Per equipment",IFERROR(INDEX($D$4:$D$403,MATCH(197,$I$4:$I$403,0)),""),IF(CC_Mode="Per loop",IFERROR(INDEX($D$4:$D$403,MATCH(197,$H$4:$H$403,0)),""),IF(CC_Mode="Per unit",IFERROR(INDEX($M$4:$M$15,MATCH(197,$N$4:$N$15,0)),""),IF(197=1,CC_V_GrandVol,""))))</f>
        <v/>
      </c>
      <c r="U200" s="0" t="str">
        <f aca="false">IF(CC_Mode="Per equipment",IFERROR(INDEX($E$4:$E$403,MATCH(197,$I$4:$I$403,0)),""),IF(CC_Mode="Per loop",IFERROR(INDEX($E$4:$E$403,MATCH(197,$H$4:$H$403,0)),""),IF(CC_Mode="Per unit",IFERROR(INDEX($L$4:$L$15,MATCH(197,$N$4:$N$15,0)),""),IF(197=1,CC_Net,""))))</f>
        <v/>
      </c>
    </row>
    <row r="201" customFormat="false" ht="15" hidden="false" customHeight="false" outlineLevel="0" collapsed="false">
      <c r="A201" s="0" t="s">
        <v>172</v>
      </c>
      <c r="B201" s="0" t="str">
        <f aca="false">'CC Item Pricing'!C182&amp;IF('CC Item Pricing'!D182="",""," – "&amp;'CC Item Pricing'!D182)</f>
        <v/>
      </c>
      <c r="C201" s="0" t="str">
        <f aca="false">INDEX(CC_UnitNames,'CC Item Pricing'!Y182)</f>
        <v>Unit 6</v>
      </c>
      <c r="D201" s="0" t="n">
        <f aca="false">N('CC Item Pricing'!G182)</f>
        <v>0</v>
      </c>
      <c r="E201" s="98" t="n">
        <f aca="false">'CC Item Pricing'!W182</f>
        <v>0</v>
      </c>
      <c r="F201" s="96" t="n">
        <f aca="false">IF(AND(G201=1,'CC Item Pricing'!B182=""),1,0)</f>
        <v>0</v>
      </c>
      <c r="G201" s="96" t="n">
        <f aca="false">IF(D201&gt;0,1,0)</f>
        <v>0</v>
      </c>
      <c r="H201" s="0" t="str">
        <f aca="false">IF(F201=1,COUNTIF($F$4:F201,1),"")</f>
        <v/>
      </c>
      <c r="I201" s="0" t="str">
        <f aca="false">IF(G201=1,COUNTIF($G$4:G201,1),"")</f>
        <v/>
      </c>
      <c r="R201" s="0" t="str">
        <f aca="false">IF(CC_Mode="Per equipment",IFERROR(INDEX($B$4:$B$403,MATCH(198,$I$4:$I$403,0)),""),IF(CC_Mode="Per loop",IFERROR(INDEX($B$4:$B$403,MATCH(198,$H$4:$H$403,0)),""),IF(CC_Mode="Per unit",IFERROR("Chemical cleaning – "&amp;INDEX($K$4:$K$15,MATCH(198,$N$4:$N$15,0)),""),IF(198=1,"LUMP SUM – "&amp;QProject,""))))</f>
        <v/>
      </c>
      <c r="S201" s="0" t="str">
        <f aca="false">IF(CC_Mode="Per equipment",IFERROR(INDEX($C$4:$C$403,MATCH(198,$I$4:$I$403,0)),""),IF(CC_Mode="Per loop",IFERROR(INDEX($C$4:$C$403,MATCH(198,$H$4:$H$403,0)),""),IF(CC_Mode="Per unit",IFERROR(INDEX($K$4:$K$15,MATCH(198,$N$4:$N$15,0)),""),IF(198=1,"All units",""))))</f>
        <v/>
      </c>
      <c r="T201" s="0" t="str">
        <f aca="false">IF(CC_Mode="Per equipment",IFERROR(INDEX($D$4:$D$403,MATCH(198,$I$4:$I$403,0)),""),IF(CC_Mode="Per loop",IFERROR(INDEX($D$4:$D$403,MATCH(198,$H$4:$H$403,0)),""),IF(CC_Mode="Per unit",IFERROR(INDEX($M$4:$M$15,MATCH(198,$N$4:$N$15,0)),""),IF(198=1,CC_V_GrandVol,""))))</f>
        <v/>
      </c>
      <c r="U201" s="0" t="str">
        <f aca="false">IF(CC_Mode="Per equipment",IFERROR(INDEX($E$4:$E$403,MATCH(198,$I$4:$I$403,0)),""),IF(CC_Mode="Per loop",IFERROR(INDEX($E$4:$E$403,MATCH(198,$H$4:$H$403,0)),""),IF(CC_Mode="Per unit",IFERROR(INDEX($L$4:$L$15,MATCH(198,$N$4:$N$15,0)),""),IF(198=1,CC_Net,""))))</f>
        <v/>
      </c>
    </row>
    <row r="202" customFormat="false" ht="15" hidden="false" customHeight="false" outlineLevel="0" collapsed="false">
      <c r="A202" s="0" t="s">
        <v>172</v>
      </c>
      <c r="B202" s="0" t="str">
        <f aca="false">'CC Item Pricing'!C183&amp;IF('CC Item Pricing'!D183="",""," – "&amp;'CC Item Pricing'!D183)</f>
        <v/>
      </c>
      <c r="C202" s="0" t="str">
        <f aca="false">INDEX(CC_UnitNames,'CC Item Pricing'!Y183)</f>
        <v>Unit 6</v>
      </c>
      <c r="D202" s="0" t="n">
        <f aca="false">N('CC Item Pricing'!G183)</f>
        <v>0</v>
      </c>
      <c r="E202" s="98" t="n">
        <f aca="false">'CC Item Pricing'!W183</f>
        <v>0</v>
      </c>
      <c r="F202" s="96" t="n">
        <f aca="false">IF(AND(G202=1,'CC Item Pricing'!B183=""),1,0)</f>
        <v>0</v>
      </c>
      <c r="G202" s="96" t="n">
        <f aca="false">IF(D202&gt;0,1,0)</f>
        <v>0</v>
      </c>
      <c r="H202" s="0" t="str">
        <f aca="false">IF(F202=1,COUNTIF($F$4:F202,1),"")</f>
        <v/>
      </c>
      <c r="I202" s="0" t="str">
        <f aca="false">IF(G202=1,COUNTIF($G$4:G202,1),"")</f>
        <v/>
      </c>
      <c r="R202" s="0" t="str">
        <f aca="false">IF(CC_Mode="Per equipment",IFERROR(INDEX($B$4:$B$403,MATCH(199,$I$4:$I$403,0)),""),IF(CC_Mode="Per loop",IFERROR(INDEX($B$4:$B$403,MATCH(199,$H$4:$H$403,0)),""),IF(CC_Mode="Per unit",IFERROR("Chemical cleaning – "&amp;INDEX($K$4:$K$15,MATCH(199,$N$4:$N$15,0)),""),IF(199=1,"LUMP SUM – "&amp;QProject,""))))</f>
        <v/>
      </c>
      <c r="S202" s="0" t="str">
        <f aca="false">IF(CC_Mode="Per equipment",IFERROR(INDEX($C$4:$C$403,MATCH(199,$I$4:$I$403,0)),""),IF(CC_Mode="Per loop",IFERROR(INDEX($C$4:$C$403,MATCH(199,$H$4:$H$403,0)),""),IF(CC_Mode="Per unit",IFERROR(INDEX($K$4:$K$15,MATCH(199,$N$4:$N$15,0)),""),IF(199=1,"All units",""))))</f>
        <v/>
      </c>
      <c r="T202" s="0" t="str">
        <f aca="false">IF(CC_Mode="Per equipment",IFERROR(INDEX($D$4:$D$403,MATCH(199,$I$4:$I$403,0)),""),IF(CC_Mode="Per loop",IFERROR(INDEX($D$4:$D$403,MATCH(199,$H$4:$H$403,0)),""),IF(CC_Mode="Per unit",IFERROR(INDEX($M$4:$M$15,MATCH(199,$N$4:$N$15,0)),""),IF(199=1,CC_V_GrandVol,""))))</f>
        <v/>
      </c>
      <c r="U202" s="0" t="str">
        <f aca="false">IF(CC_Mode="Per equipment",IFERROR(INDEX($E$4:$E$403,MATCH(199,$I$4:$I$403,0)),""),IF(CC_Mode="Per loop",IFERROR(INDEX($E$4:$E$403,MATCH(199,$H$4:$H$403,0)),""),IF(CC_Mode="Per unit",IFERROR(INDEX($L$4:$L$15,MATCH(199,$N$4:$N$15,0)),""),IF(199=1,CC_Net,""))))</f>
        <v/>
      </c>
    </row>
    <row r="203" customFormat="false" ht="15" hidden="false" customHeight="false" outlineLevel="0" collapsed="false">
      <c r="A203" s="0" t="s">
        <v>172</v>
      </c>
      <c r="B203" s="0" t="str">
        <f aca="false">'CC Item Pricing'!C184&amp;IF('CC Item Pricing'!D184="",""," – "&amp;'CC Item Pricing'!D184)</f>
        <v/>
      </c>
      <c r="C203" s="0" t="str">
        <f aca="false">INDEX(CC_UnitNames,'CC Item Pricing'!Y184)</f>
        <v>Unit 6</v>
      </c>
      <c r="D203" s="0" t="n">
        <f aca="false">N('CC Item Pricing'!G184)</f>
        <v>0</v>
      </c>
      <c r="E203" s="98" t="n">
        <f aca="false">'CC Item Pricing'!W184</f>
        <v>0</v>
      </c>
      <c r="F203" s="96" t="n">
        <f aca="false">IF(AND(G203=1,'CC Item Pricing'!B184=""),1,0)</f>
        <v>0</v>
      </c>
      <c r="G203" s="96" t="n">
        <f aca="false">IF(D203&gt;0,1,0)</f>
        <v>0</v>
      </c>
      <c r="H203" s="0" t="str">
        <f aca="false">IF(F203=1,COUNTIF($F$4:F203,1),"")</f>
        <v/>
      </c>
      <c r="I203" s="0" t="str">
        <f aca="false">IF(G203=1,COUNTIF($G$4:G203,1),"")</f>
        <v/>
      </c>
      <c r="R203" s="0" t="str">
        <f aca="false">IF(CC_Mode="Per equipment",IFERROR(INDEX($B$4:$B$403,MATCH(200,$I$4:$I$403,0)),""),IF(CC_Mode="Per loop",IFERROR(INDEX($B$4:$B$403,MATCH(200,$H$4:$H$403,0)),""),IF(CC_Mode="Per unit",IFERROR("Chemical cleaning – "&amp;INDEX($K$4:$K$15,MATCH(200,$N$4:$N$15,0)),""),IF(200=1,"LUMP SUM – "&amp;QProject,""))))</f>
        <v/>
      </c>
      <c r="S203" s="0" t="str">
        <f aca="false">IF(CC_Mode="Per equipment",IFERROR(INDEX($C$4:$C$403,MATCH(200,$I$4:$I$403,0)),""),IF(CC_Mode="Per loop",IFERROR(INDEX($C$4:$C$403,MATCH(200,$H$4:$H$403,0)),""),IF(CC_Mode="Per unit",IFERROR(INDEX($K$4:$K$15,MATCH(200,$N$4:$N$15,0)),""),IF(200=1,"All units",""))))</f>
        <v/>
      </c>
      <c r="T203" s="0" t="str">
        <f aca="false">IF(CC_Mode="Per equipment",IFERROR(INDEX($D$4:$D$403,MATCH(200,$I$4:$I$403,0)),""),IF(CC_Mode="Per loop",IFERROR(INDEX($D$4:$D$403,MATCH(200,$H$4:$H$403,0)),""),IF(CC_Mode="Per unit",IFERROR(INDEX($M$4:$M$15,MATCH(200,$N$4:$N$15,0)),""),IF(200=1,CC_V_GrandVol,""))))</f>
        <v/>
      </c>
      <c r="U203" s="0" t="str">
        <f aca="false">IF(CC_Mode="Per equipment",IFERROR(INDEX($E$4:$E$403,MATCH(200,$I$4:$I$403,0)),""),IF(CC_Mode="Per loop",IFERROR(INDEX($E$4:$E$403,MATCH(200,$H$4:$H$403,0)),""),IF(CC_Mode="Per unit",IFERROR(INDEX($L$4:$L$15,MATCH(200,$N$4:$N$15,0)),""),IF(200=1,CC_Net,""))))</f>
        <v/>
      </c>
    </row>
    <row r="204" customFormat="false" ht="15" hidden="false" customHeight="false" outlineLevel="0" collapsed="false">
      <c r="A204" s="0" t="s">
        <v>172</v>
      </c>
      <c r="B204" s="0" t="str">
        <f aca="false">'CC Item Pricing'!C185&amp;IF('CC Item Pricing'!D185="",""," – "&amp;'CC Item Pricing'!D185)</f>
        <v/>
      </c>
      <c r="C204" s="0" t="str">
        <f aca="false">INDEX(CC_UnitNames,'CC Item Pricing'!Y185)</f>
        <v>Unit 6</v>
      </c>
      <c r="D204" s="0" t="n">
        <f aca="false">N('CC Item Pricing'!G185)</f>
        <v>0</v>
      </c>
      <c r="E204" s="98" t="n">
        <f aca="false">'CC Item Pricing'!W185</f>
        <v>0</v>
      </c>
      <c r="F204" s="96" t="n">
        <f aca="false">IF(AND(G204=1,'CC Item Pricing'!B185=""),1,0)</f>
        <v>0</v>
      </c>
      <c r="G204" s="96" t="n">
        <f aca="false">IF(D204&gt;0,1,0)</f>
        <v>0</v>
      </c>
      <c r="H204" s="0" t="str">
        <f aca="false">IF(F204=1,COUNTIF($F$4:F204,1),"")</f>
        <v/>
      </c>
      <c r="I204" s="0" t="str">
        <f aca="false">IF(G204=1,COUNTIF($G$4:G204,1),"")</f>
        <v/>
      </c>
      <c r="R204" s="0" t="str">
        <f aca="false">IF(CC_Mode="Per equipment",IFERROR(INDEX($B$4:$B$403,MATCH(201,$I$4:$I$403,0)),""),IF(CC_Mode="Per loop",IFERROR(INDEX($B$4:$B$403,MATCH(201,$H$4:$H$403,0)),""),IF(CC_Mode="Per unit",IFERROR("Chemical cleaning – "&amp;INDEX($K$4:$K$15,MATCH(201,$N$4:$N$15,0)),""),IF(201=1,"LUMP SUM – "&amp;QProject,""))))</f>
        <v/>
      </c>
      <c r="S204" s="0" t="str">
        <f aca="false">IF(CC_Mode="Per equipment",IFERROR(INDEX($C$4:$C$403,MATCH(201,$I$4:$I$403,0)),""),IF(CC_Mode="Per loop",IFERROR(INDEX($C$4:$C$403,MATCH(201,$H$4:$H$403,0)),""),IF(CC_Mode="Per unit",IFERROR(INDEX($K$4:$K$15,MATCH(201,$N$4:$N$15,0)),""),IF(201=1,"All units",""))))</f>
        <v/>
      </c>
      <c r="T204" s="0" t="str">
        <f aca="false">IF(CC_Mode="Per equipment",IFERROR(INDEX($D$4:$D$403,MATCH(201,$I$4:$I$403,0)),""),IF(CC_Mode="Per loop",IFERROR(INDEX($D$4:$D$403,MATCH(201,$H$4:$H$403,0)),""),IF(CC_Mode="Per unit",IFERROR(INDEX($M$4:$M$15,MATCH(201,$N$4:$N$15,0)),""),IF(201=1,CC_V_GrandVol,""))))</f>
        <v/>
      </c>
      <c r="U204" s="0" t="str">
        <f aca="false">IF(CC_Mode="Per equipment",IFERROR(INDEX($E$4:$E$403,MATCH(201,$I$4:$I$403,0)),""),IF(CC_Mode="Per loop",IFERROR(INDEX($E$4:$E$403,MATCH(201,$H$4:$H$403,0)),""),IF(CC_Mode="Per unit",IFERROR(INDEX($L$4:$L$15,MATCH(201,$N$4:$N$15,0)),""),IF(201=1,CC_Net,""))))</f>
        <v/>
      </c>
    </row>
    <row r="205" customFormat="false" ht="15" hidden="false" customHeight="false" outlineLevel="0" collapsed="false">
      <c r="A205" s="0" t="s">
        <v>172</v>
      </c>
      <c r="B205" s="0" t="str">
        <f aca="false">'CC Item Pricing'!C186&amp;IF('CC Item Pricing'!D186="",""," – "&amp;'CC Item Pricing'!D186)</f>
        <v/>
      </c>
      <c r="C205" s="0" t="str">
        <f aca="false">INDEX(CC_UnitNames,'CC Item Pricing'!Y186)</f>
        <v>Unit 6</v>
      </c>
      <c r="D205" s="0" t="n">
        <f aca="false">N('CC Item Pricing'!G186)</f>
        <v>0</v>
      </c>
      <c r="E205" s="98" t="n">
        <f aca="false">'CC Item Pricing'!W186</f>
        <v>0</v>
      </c>
      <c r="F205" s="96" t="n">
        <f aca="false">IF(AND(G205=1,'CC Item Pricing'!B186=""),1,0)</f>
        <v>0</v>
      </c>
      <c r="G205" s="96" t="n">
        <f aca="false">IF(D205&gt;0,1,0)</f>
        <v>0</v>
      </c>
      <c r="H205" s="0" t="str">
        <f aca="false">IF(F205=1,COUNTIF($F$4:F205,1),"")</f>
        <v/>
      </c>
      <c r="I205" s="0" t="str">
        <f aca="false">IF(G205=1,COUNTIF($G$4:G205,1),"")</f>
        <v/>
      </c>
      <c r="R205" s="0" t="str">
        <f aca="false">IF(CC_Mode="Per equipment",IFERROR(INDEX($B$4:$B$403,MATCH(202,$I$4:$I$403,0)),""),IF(CC_Mode="Per loop",IFERROR(INDEX($B$4:$B$403,MATCH(202,$H$4:$H$403,0)),""),IF(CC_Mode="Per unit",IFERROR("Chemical cleaning – "&amp;INDEX($K$4:$K$15,MATCH(202,$N$4:$N$15,0)),""),IF(202=1,"LUMP SUM – "&amp;QProject,""))))</f>
        <v/>
      </c>
      <c r="S205" s="0" t="str">
        <f aca="false">IF(CC_Mode="Per equipment",IFERROR(INDEX($C$4:$C$403,MATCH(202,$I$4:$I$403,0)),""),IF(CC_Mode="Per loop",IFERROR(INDEX($C$4:$C$403,MATCH(202,$H$4:$H$403,0)),""),IF(CC_Mode="Per unit",IFERROR(INDEX($K$4:$K$15,MATCH(202,$N$4:$N$15,0)),""),IF(202=1,"All units",""))))</f>
        <v/>
      </c>
      <c r="T205" s="0" t="str">
        <f aca="false">IF(CC_Mode="Per equipment",IFERROR(INDEX($D$4:$D$403,MATCH(202,$I$4:$I$403,0)),""),IF(CC_Mode="Per loop",IFERROR(INDEX($D$4:$D$403,MATCH(202,$H$4:$H$403,0)),""),IF(CC_Mode="Per unit",IFERROR(INDEX($M$4:$M$15,MATCH(202,$N$4:$N$15,0)),""),IF(202=1,CC_V_GrandVol,""))))</f>
        <v/>
      </c>
      <c r="U205" s="0" t="str">
        <f aca="false">IF(CC_Mode="Per equipment",IFERROR(INDEX($E$4:$E$403,MATCH(202,$I$4:$I$403,0)),""),IF(CC_Mode="Per loop",IFERROR(INDEX($E$4:$E$403,MATCH(202,$H$4:$H$403,0)),""),IF(CC_Mode="Per unit",IFERROR(INDEX($L$4:$L$15,MATCH(202,$N$4:$N$15,0)),""),IF(202=1,CC_Net,""))))</f>
        <v/>
      </c>
    </row>
    <row r="206" customFormat="false" ht="15" hidden="false" customHeight="false" outlineLevel="0" collapsed="false">
      <c r="A206" s="0" t="s">
        <v>172</v>
      </c>
      <c r="B206" s="0" t="str">
        <f aca="false">'CC Item Pricing'!C187&amp;IF('CC Item Pricing'!D187="",""," – "&amp;'CC Item Pricing'!D187)</f>
        <v/>
      </c>
      <c r="C206" s="0" t="str">
        <f aca="false">INDEX(CC_UnitNames,'CC Item Pricing'!Y187)</f>
        <v>Unit 6</v>
      </c>
      <c r="D206" s="0" t="n">
        <f aca="false">N('CC Item Pricing'!G187)</f>
        <v>0</v>
      </c>
      <c r="E206" s="98" t="n">
        <f aca="false">'CC Item Pricing'!W187</f>
        <v>0</v>
      </c>
      <c r="F206" s="96" t="n">
        <f aca="false">IF(AND(G206=1,'CC Item Pricing'!B187=""),1,0)</f>
        <v>0</v>
      </c>
      <c r="G206" s="96" t="n">
        <f aca="false">IF(D206&gt;0,1,0)</f>
        <v>0</v>
      </c>
      <c r="H206" s="0" t="str">
        <f aca="false">IF(F206=1,COUNTIF($F$4:F206,1),"")</f>
        <v/>
      </c>
      <c r="I206" s="0" t="str">
        <f aca="false">IF(G206=1,COUNTIF($G$4:G206,1),"")</f>
        <v/>
      </c>
      <c r="R206" s="0" t="str">
        <f aca="false">IF(CC_Mode="Per equipment",IFERROR(INDEX($B$4:$B$403,MATCH(203,$I$4:$I$403,0)),""),IF(CC_Mode="Per loop",IFERROR(INDEX($B$4:$B$403,MATCH(203,$H$4:$H$403,0)),""),IF(CC_Mode="Per unit",IFERROR("Chemical cleaning – "&amp;INDEX($K$4:$K$15,MATCH(203,$N$4:$N$15,0)),""),IF(203=1,"LUMP SUM – "&amp;QProject,""))))</f>
        <v/>
      </c>
      <c r="S206" s="0" t="str">
        <f aca="false">IF(CC_Mode="Per equipment",IFERROR(INDEX($C$4:$C$403,MATCH(203,$I$4:$I$403,0)),""),IF(CC_Mode="Per loop",IFERROR(INDEX($C$4:$C$403,MATCH(203,$H$4:$H$403,0)),""),IF(CC_Mode="Per unit",IFERROR(INDEX($K$4:$K$15,MATCH(203,$N$4:$N$15,0)),""),IF(203=1,"All units",""))))</f>
        <v/>
      </c>
      <c r="T206" s="0" t="str">
        <f aca="false">IF(CC_Mode="Per equipment",IFERROR(INDEX($D$4:$D$403,MATCH(203,$I$4:$I$403,0)),""),IF(CC_Mode="Per loop",IFERROR(INDEX($D$4:$D$403,MATCH(203,$H$4:$H$403,0)),""),IF(CC_Mode="Per unit",IFERROR(INDEX($M$4:$M$15,MATCH(203,$N$4:$N$15,0)),""),IF(203=1,CC_V_GrandVol,""))))</f>
        <v/>
      </c>
      <c r="U206" s="0" t="str">
        <f aca="false">IF(CC_Mode="Per equipment",IFERROR(INDEX($E$4:$E$403,MATCH(203,$I$4:$I$403,0)),""),IF(CC_Mode="Per loop",IFERROR(INDEX($E$4:$E$403,MATCH(203,$H$4:$H$403,0)),""),IF(CC_Mode="Per unit",IFERROR(INDEX($L$4:$L$15,MATCH(203,$N$4:$N$15,0)),""),IF(203=1,CC_Net,""))))</f>
        <v/>
      </c>
    </row>
    <row r="207" customFormat="false" ht="15" hidden="false" customHeight="false" outlineLevel="0" collapsed="false">
      <c r="A207" s="0" t="s">
        <v>172</v>
      </c>
      <c r="B207" s="0" t="str">
        <f aca="false">'CC Item Pricing'!C188&amp;IF('CC Item Pricing'!D188="",""," – "&amp;'CC Item Pricing'!D188)</f>
        <v/>
      </c>
      <c r="C207" s="0" t="str">
        <f aca="false">INDEX(CC_UnitNames,'CC Item Pricing'!Y188)</f>
        <v>Unit 6</v>
      </c>
      <c r="D207" s="0" t="n">
        <f aca="false">N('CC Item Pricing'!G188)</f>
        <v>0</v>
      </c>
      <c r="E207" s="98" t="n">
        <f aca="false">'CC Item Pricing'!W188</f>
        <v>0</v>
      </c>
      <c r="F207" s="96" t="n">
        <f aca="false">IF(AND(G207=1,'CC Item Pricing'!B188=""),1,0)</f>
        <v>0</v>
      </c>
      <c r="G207" s="96" t="n">
        <f aca="false">IF(D207&gt;0,1,0)</f>
        <v>0</v>
      </c>
      <c r="H207" s="0" t="str">
        <f aca="false">IF(F207=1,COUNTIF($F$4:F207,1),"")</f>
        <v/>
      </c>
      <c r="I207" s="0" t="str">
        <f aca="false">IF(G207=1,COUNTIF($G$4:G207,1),"")</f>
        <v/>
      </c>
      <c r="R207" s="0" t="str">
        <f aca="false">IF(CC_Mode="Per equipment",IFERROR(INDEX($B$4:$B$403,MATCH(204,$I$4:$I$403,0)),""),IF(CC_Mode="Per loop",IFERROR(INDEX($B$4:$B$403,MATCH(204,$H$4:$H$403,0)),""),IF(CC_Mode="Per unit",IFERROR("Chemical cleaning – "&amp;INDEX($K$4:$K$15,MATCH(204,$N$4:$N$15,0)),""),IF(204=1,"LUMP SUM – "&amp;QProject,""))))</f>
        <v/>
      </c>
      <c r="S207" s="0" t="str">
        <f aca="false">IF(CC_Mode="Per equipment",IFERROR(INDEX($C$4:$C$403,MATCH(204,$I$4:$I$403,0)),""),IF(CC_Mode="Per loop",IFERROR(INDEX($C$4:$C$403,MATCH(204,$H$4:$H$403,0)),""),IF(CC_Mode="Per unit",IFERROR(INDEX($K$4:$K$15,MATCH(204,$N$4:$N$15,0)),""),IF(204=1,"All units",""))))</f>
        <v/>
      </c>
      <c r="T207" s="0" t="str">
        <f aca="false">IF(CC_Mode="Per equipment",IFERROR(INDEX($D$4:$D$403,MATCH(204,$I$4:$I$403,0)),""),IF(CC_Mode="Per loop",IFERROR(INDEX($D$4:$D$403,MATCH(204,$H$4:$H$403,0)),""),IF(CC_Mode="Per unit",IFERROR(INDEX($M$4:$M$15,MATCH(204,$N$4:$N$15,0)),""),IF(204=1,CC_V_GrandVol,""))))</f>
        <v/>
      </c>
      <c r="U207" s="0" t="str">
        <f aca="false">IF(CC_Mode="Per equipment",IFERROR(INDEX($E$4:$E$403,MATCH(204,$I$4:$I$403,0)),""),IF(CC_Mode="Per loop",IFERROR(INDEX($E$4:$E$403,MATCH(204,$H$4:$H$403,0)),""),IF(CC_Mode="Per unit",IFERROR(INDEX($L$4:$L$15,MATCH(204,$N$4:$N$15,0)),""),IF(204=1,CC_Net,""))))</f>
        <v/>
      </c>
    </row>
    <row r="208" customFormat="false" ht="15" hidden="false" customHeight="false" outlineLevel="0" collapsed="false">
      <c r="A208" s="0" t="s">
        <v>172</v>
      </c>
      <c r="B208" s="0" t="str">
        <f aca="false">'CC Item Pricing'!C189&amp;IF('CC Item Pricing'!D189="",""," – "&amp;'CC Item Pricing'!D189)</f>
        <v/>
      </c>
      <c r="C208" s="0" t="str">
        <f aca="false">INDEX(CC_UnitNames,'CC Item Pricing'!Y189)</f>
        <v>Unit 6</v>
      </c>
      <c r="D208" s="0" t="n">
        <f aca="false">N('CC Item Pricing'!G189)</f>
        <v>0</v>
      </c>
      <c r="E208" s="98" t="n">
        <f aca="false">'CC Item Pricing'!W189</f>
        <v>0</v>
      </c>
      <c r="F208" s="96" t="n">
        <f aca="false">IF(AND(G208=1,'CC Item Pricing'!B189=""),1,0)</f>
        <v>0</v>
      </c>
      <c r="G208" s="96" t="n">
        <f aca="false">IF(D208&gt;0,1,0)</f>
        <v>0</v>
      </c>
      <c r="H208" s="0" t="str">
        <f aca="false">IF(F208=1,COUNTIF($F$4:F208,1),"")</f>
        <v/>
      </c>
      <c r="I208" s="0" t="str">
        <f aca="false">IF(G208=1,COUNTIF($G$4:G208,1),"")</f>
        <v/>
      </c>
      <c r="R208" s="0" t="str">
        <f aca="false">IF(CC_Mode="Per equipment",IFERROR(INDEX($B$4:$B$403,MATCH(205,$I$4:$I$403,0)),""),IF(CC_Mode="Per loop",IFERROR(INDEX($B$4:$B$403,MATCH(205,$H$4:$H$403,0)),""),IF(CC_Mode="Per unit",IFERROR("Chemical cleaning – "&amp;INDEX($K$4:$K$15,MATCH(205,$N$4:$N$15,0)),""),IF(205=1,"LUMP SUM – "&amp;QProject,""))))</f>
        <v/>
      </c>
      <c r="S208" s="0" t="str">
        <f aca="false">IF(CC_Mode="Per equipment",IFERROR(INDEX($C$4:$C$403,MATCH(205,$I$4:$I$403,0)),""),IF(CC_Mode="Per loop",IFERROR(INDEX($C$4:$C$403,MATCH(205,$H$4:$H$403,0)),""),IF(CC_Mode="Per unit",IFERROR(INDEX($K$4:$K$15,MATCH(205,$N$4:$N$15,0)),""),IF(205=1,"All units",""))))</f>
        <v/>
      </c>
      <c r="T208" s="0" t="str">
        <f aca="false">IF(CC_Mode="Per equipment",IFERROR(INDEX($D$4:$D$403,MATCH(205,$I$4:$I$403,0)),""),IF(CC_Mode="Per loop",IFERROR(INDEX($D$4:$D$403,MATCH(205,$H$4:$H$403,0)),""),IF(CC_Mode="Per unit",IFERROR(INDEX($M$4:$M$15,MATCH(205,$N$4:$N$15,0)),""),IF(205=1,CC_V_GrandVol,""))))</f>
        <v/>
      </c>
      <c r="U208" s="0" t="str">
        <f aca="false">IF(CC_Mode="Per equipment",IFERROR(INDEX($E$4:$E$403,MATCH(205,$I$4:$I$403,0)),""),IF(CC_Mode="Per loop",IFERROR(INDEX($E$4:$E$403,MATCH(205,$H$4:$H$403,0)),""),IF(CC_Mode="Per unit",IFERROR(INDEX($L$4:$L$15,MATCH(205,$N$4:$N$15,0)),""),IF(205=1,CC_Net,""))))</f>
        <v/>
      </c>
    </row>
    <row r="209" customFormat="false" ht="15" hidden="false" customHeight="false" outlineLevel="0" collapsed="false">
      <c r="A209" s="0" t="s">
        <v>172</v>
      </c>
      <c r="B209" s="0" t="str">
        <f aca="false">'CC Item Pricing'!C190&amp;IF('CC Item Pricing'!D190="",""," – "&amp;'CC Item Pricing'!D190)</f>
        <v/>
      </c>
      <c r="C209" s="0" t="str">
        <f aca="false">INDEX(CC_UnitNames,'CC Item Pricing'!Y190)</f>
        <v>Unit 6</v>
      </c>
      <c r="D209" s="0" t="n">
        <f aca="false">N('CC Item Pricing'!G190)</f>
        <v>0</v>
      </c>
      <c r="E209" s="98" t="n">
        <f aca="false">'CC Item Pricing'!W190</f>
        <v>0</v>
      </c>
      <c r="F209" s="96" t="n">
        <f aca="false">IF(AND(G209=1,'CC Item Pricing'!B190=""),1,0)</f>
        <v>0</v>
      </c>
      <c r="G209" s="96" t="n">
        <f aca="false">IF(D209&gt;0,1,0)</f>
        <v>0</v>
      </c>
      <c r="H209" s="0" t="str">
        <f aca="false">IF(F209=1,COUNTIF($F$4:F209,1),"")</f>
        <v/>
      </c>
      <c r="I209" s="0" t="str">
        <f aca="false">IF(G209=1,COUNTIF($G$4:G209,1),"")</f>
        <v/>
      </c>
      <c r="R209" s="0" t="str">
        <f aca="false">IF(CC_Mode="Per equipment",IFERROR(INDEX($B$4:$B$403,MATCH(206,$I$4:$I$403,0)),""),IF(CC_Mode="Per loop",IFERROR(INDEX($B$4:$B$403,MATCH(206,$H$4:$H$403,0)),""),IF(CC_Mode="Per unit",IFERROR("Chemical cleaning – "&amp;INDEX($K$4:$K$15,MATCH(206,$N$4:$N$15,0)),""),IF(206=1,"LUMP SUM – "&amp;QProject,""))))</f>
        <v/>
      </c>
      <c r="S209" s="0" t="str">
        <f aca="false">IF(CC_Mode="Per equipment",IFERROR(INDEX($C$4:$C$403,MATCH(206,$I$4:$I$403,0)),""),IF(CC_Mode="Per loop",IFERROR(INDEX($C$4:$C$403,MATCH(206,$H$4:$H$403,0)),""),IF(CC_Mode="Per unit",IFERROR(INDEX($K$4:$K$15,MATCH(206,$N$4:$N$15,0)),""),IF(206=1,"All units",""))))</f>
        <v/>
      </c>
      <c r="T209" s="0" t="str">
        <f aca="false">IF(CC_Mode="Per equipment",IFERROR(INDEX($D$4:$D$403,MATCH(206,$I$4:$I$403,0)),""),IF(CC_Mode="Per loop",IFERROR(INDEX($D$4:$D$403,MATCH(206,$H$4:$H$403,0)),""),IF(CC_Mode="Per unit",IFERROR(INDEX($M$4:$M$15,MATCH(206,$N$4:$N$15,0)),""),IF(206=1,CC_V_GrandVol,""))))</f>
        <v/>
      </c>
      <c r="U209" s="0" t="str">
        <f aca="false">IF(CC_Mode="Per equipment",IFERROR(INDEX($E$4:$E$403,MATCH(206,$I$4:$I$403,0)),""),IF(CC_Mode="Per loop",IFERROR(INDEX($E$4:$E$403,MATCH(206,$H$4:$H$403,0)),""),IF(CC_Mode="Per unit",IFERROR(INDEX($L$4:$L$15,MATCH(206,$N$4:$N$15,0)),""),IF(206=1,CC_Net,""))))</f>
        <v/>
      </c>
    </row>
    <row r="210" customFormat="false" ht="15" hidden="false" customHeight="false" outlineLevel="0" collapsed="false">
      <c r="A210" s="0" t="s">
        <v>172</v>
      </c>
      <c r="B210" s="0" t="str">
        <f aca="false">'CC Item Pricing'!C191&amp;IF('CC Item Pricing'!D191="",""," – "&amp;'CC Item Pricing'!D191)</f>
        <v/>
      </c>
      <c r="C210" s="0" t="str">
        <f aca="false">INDEX(CC_UnitNames,'CC Item Pricing'!Y191)</f>
        <v>Unit 6</v>
      </c>
      <c r="D210" s="0" t="n">
        <f aca="false">N('CC Item Pricing'!G191)</f>
        <v>0</v>
      </c>
      <c r="E210" s="98" t="n">
        <f aca="false">'CC Item Pricing'!W191</f>
        <v>0</v>
      </c>
      <c r="F210" s="96" t="n">
        <f aca="false">IF(AND(G210=1,'CC Item Pricing'!B191=""),1,0)</f>
        <v>0</v>
      </c>
      <c r="G210" s="96" t="n">
        <f aca="false">IF(D210&gt;0,1,0)</f>
        <v>0</v>
      </c>
      <c r="H210" s="0" t="str">
        <f aca="false">IF(F210=1,COUNTIF($F$4:F210,1),"")</f>
        <v/>
      </c>
      <c r="I210" s="0" t="str">
        <f aca="false">IF(G210=1,COUNTIF($G$4:G210,1),"")</f>
        <v/>
      </c>
      <c r="R210" s="0" t="str">
        <f aca="false">IF(CC_Mode="Per equipment",IFERROR(INDEX($B$4:$B$403,MATCH(207,$I$4:$I$403,0)),""),IF(CC_Mode="Per loop",IFERROR(INDEX($B$4:$B$403,MATCH(207,$H$4:$H$403,0)),""),IF(CC_Mode="Per unit",IFERROR("Chemical cleaning – "&amp;INDEX($K$4:$K$15,MATCH(207,$N$4:$N$15,0)),""),IF(207=1,"LUMP SUM – "&amp;QProject,""))))</f>
        <v/>
      </c>
      <c r="S210" s="0" t="str">
        <f aca="false">IF(CC_Mode="Per equipment",IFERROR(INDEX($C$4:$C$403,MATCH(207,$I$4:$I$403,0)),""),IF(CC_Mode="Per loop",IFERROR(INDEX($C$4:$C$403,MATCH(207,$H$4:$H$403,0)),""),IF(CC_Mode="Per unit",IFERROR(INDEX($K$4:$K$15,MATCH(207,$N$4:$N$15,0)),""),IF(207=1,"All units",""))))</f>
        <v/>
      </c>
      <c r="T210" s="0" t="str">
        <f aca="false">IF(CC_Mode="Per equipment",IFERROR(INDEX($D$4:$D$403,MATCH(207,$I$4:$I$403,0)),""),IF(CC_Mode="Per loop",IFERROR(INDEX($D$4:$D$403,MATCH(207,$H$4:$H$403,0)),""),IF(CC_Mode="Per unit",IFERROR(INDEX($M$4:$M$15,MATCH(207,$N$4:$N$15,0)),""),IF(207=1,CC_V_GrandVol,""))))</f>
        <v/>
      </c>
      <c r="U210" s="0" t="str">
        <f aca="false">IF(CC_Mode="Per equipment",IFERROR(INDEX($E$4:$E$403,MATCH(207,$I$4:$I$403,0)),""),IF(CC_Mode="Per loop",IFERROR(INDEX($E$4:$E$403,MATCH(207,$H$4:$H$403,0)),""),IF(CC_Mode="Per unit",IFERROR(INDEX($L$4:$L$15,MATCH(207,$N$4:$N$15,0)),""),IF(207=1,CC_Net,""))))</f>
        <v/>
      </c>
    </row>
    <row r="211" customFormat="false" ht="15" hidden="false" customHeight="false" outlineLevel="0" collapsed="false">
      <c r="A211" s="0" t="s">
        <v>172</v>
      </c>
      <c r="B211" s="0" t="str">
        <f aca="false">'CC Item Pricing'!C192&amp;IF('CC Item Pricing'!D192="",""," – "&amp;'CC Item Pricing'!D192)</f>
        <v/>
      </c>
      <c r="C211" s="0" t="str">
        <f aca="false">INDEX(CC_UnitNames,'CC Item Pricing'!Y192)</f>
        <v>Unit 6</v>
      </c>
      <c r="D211" s="0" t="n">
        <f aca="false">N('CC Item Pricing'!G192)</f>
        <v>0</v>
      </c>
      <c r="E211" s="98" t="n">
        <f aca="false">'CC Item Pricing'!W192</f>
        <v>0</v>
      </c>
      <c r="F211" s="96" t="n">
        <f aca="false">IF(AND(G211=1,'CC Item Pricing'!B192=""),1,0)</f>
        <v>0</v>
      </c>
      <c r="G211" s="96" t="n">
        <f aca="false">IF(D211&gt;0,1,0)</f>
        <v>0</v>
      </c>
      <c r="H211" s="0" t="str">
        <f aca="false">IF(F211=1,COUNTIF($F$4:F211,1),"")</f>
        <v/>
      </c>
      <c r="I211" s="0" t="str">
        <f aca="false">IF(G211=1,COUNTIF($G$4:G211,1),"")</f>
        <v/>
      </c>
      <c r="R211" s="0" t="str">
        <f aca="false">IF(CC_Mode="Per equipment",IFERROR(INDEX($B$4:$B$403,MATCH(208,$I$4:$I$403,0)),""),IF(CC_Mode="Per loop",IFERROR(INDEX($B$4:$B$403,MATCH(208,$H$4:$H$403,0)),""),IF(CC_Mode="Per unit",IFERROR("Chemical cleaning – "&amp;INDEX($K$4:$K$15,MATCH(208,$N$4:$N$15,0)),""),IF(208=1,"LUMP SUM – "&amp;QProject,""))))</f>
        <v/>
      </c>
      <c r="S211" s="0" t="str">
        <f aca="false">IF(CC_Mode="Per equipment",IFERROR(INDEX($C$4:$C$403,MATCH(208,$I$4:$I$403,0)),""),IF(CC_Mode="Per loop",IFERROR(INDEX($C$4:$C$403,MATCH(208,$H$4:$H$403,0)),""),IF(CC_Mode="Per unit",IFERROR(INDEX($K$4:$K$15,MATCH(208,$N$4:$N$15,0)),""),IF(208=1,"All units",""))))</f>
        <v/>
      </c>
      <c r="T211" s="0" t="str">
        <f aca="false">IF(CC_Mode="Per equipment",IFERROR(INDEX($D$4:$D$403,MATCH(208,$I$4:$I$403,0)),""),IF(CC_Mode="Per loop",IFERROR(INDEX($D$4:$D$403,MATCH(208,$H$4:$H$403,0)),""),IF(CC_Mode="Per unit",IFERROR(INDEX($M$4:$M$15,MATCH(208,$N$4:$N$15,0)),""),IF(208=1,CC_V_GrandVol,""))))</f>
        <v/>
      </c>
      <c r="U211" s="0" t="str">
        <f aca="false">IF(CC_Mode="Per equipment",IFERROR(INDEX($E$4:$E$403,MATCH(208,$I$4:$I$403,0)),""),IF(CC_Mode="Per loop",IFERROR(INDEX($E$4:$E$403,MATCH(208,$H$4:$H$403,0)),""),IF(CC_Mode="Per unit",IFERROR(INDEX($L$4:$L$15,MATCH(208,$N$4:$N$15,0)),""),IF(208=1,CC_Net,""))))</f>
        <v/>
      </c>
    </row>
    <row r="212" customFormat="false" ht="15" hidden="false" customHeight="false" outlineLevel="0" collapsed="false">
      <c r="A212" s="0" t="s">
        <v>172</v>
      </c>
      <c r="B212" s="0" t="str">
        <f aca="false">'CC Item Pricing'!C193&amp;IF('CC Item Pricing'!D193="",""," – "&amp;'CC Item Pricing'!D193)</f>
        <v/>
      </c>
      <c r="C212" s="0" t="str">
        <f aca="false">INDEX(CC_UnitNames,'CC Item Pricing'!Y193)</f>
        <v>Unit 6</v>
      </c>
      <c r="D212" s="0" t="n">
        <f aca="false">N('CC Item Pricing'!G193)</f>
        <v>0</v>
      </c>
      <c r="E212" s="98" t="n">
        <f aca="false">'CC Item Pricing'!W193</f>
        <v>0</v>
      </c>
      <c r="F212" s="96" t="n">
        <f aca="false">IF(AND(G212=1,'CC Item Pricing'!B193=""),1,0)</f>
        <v>0</v>
      </c>
      <c r="G212" s="96" t="n">
        <f aca="false">IF(D212&gt;0,1,0)</f>
        <v>0</v>
      </c>
      <c r="H212" s="0" t="str">
        <f aca="false">IF(F212=1,COUNTIF($F$4:F212,1),"")</f>
        <v/>
      </c>
      <c r="I212" s="0" t="str">
        <f aca="false">IF(G212=1,COUNTIF($G$4:G212,1),"")</f>
        <v/>
      </c>
      <c r="R212" s="0" t="str">
        <f aca="false">IF(CC_Mode="Per equipment",IFERROR(INDEX($B$4:$B$403,MATCH(209,$I$4:$I$403,0)),""),IF(CC_Mode="Per loop",IFERROR(INDEX($B$4:$B$403,MATCH(209,$H$4:$H$403,0)),""),IF(CC_Mode="Per unit",IFERROR("Chemical cleaning – "&amp;INDEX($K$4:$K$15,MATCH(209,$N$4:$N$15,0)),""),IF(209=1,"LUMP SUM – "&amp;QProject,""))))</f>
        <v/>
      </c>
      <c r="S212" s="0" t="str">
        <f aca="false">IF(CC_Mode="Per equipment",IFERROR(INDEX($C$4:$C$403,MATCH(209,$I$4:$I$403,0)),""),IF(CC_Mode="Per loop",IFERROR(INDEX($C$4:$C$403,MATCH(209,$H$4:$H$403,0)),""),IF(CC_Mode="Per unit",IFERROR(INDEX($K$4:$K$15,MATCH(209,$N$4:$N$15,0)),""),IF(209=1,"All units",""))))</f>
        <v/>
      </c>
      <c r="T212" s="0" t="str">
        <f aca="false">IF(CC_Mode="Per equipment",IFERROR(INDEX($D$4:$D$403,MATCH(209,$I$4:$I$403,0)),""),IF(CC_Mode="Per loop",IFERROR(INDEX($D$4:$D$403,MATCH(209,$H$4:$H$403,0)),""),IF(CC_Mode="Per unit",IFERROR(INDEX($M$4:$M$15,MATCH(209,$N$4:$N$15,0)),""),IF(209=1,CC_V_GrandVol,""))))</f>
        <v/>
      </c>
      <c r="U212" s="0" t="str">
        <f aca="false">IF(CC_Mode="Per equipment",IFERROR(INDEX($E$4:$E$403,MATCH(209,$I$4:$I$403,0)),""),IF(CC_Mode="Per loop",IFERROR(INDEX($E$4:$E$403,MATCH(209,$H$4:$H$403,0)),""),IF(CC_Mode="Per unit",IFERROR(INDEX($L$4:$L$15,MATCH(209,$N$4:$N$15,0)),""),IF(209=1,CC_Net,""))))</f>
        <v/>
      </c>
    </row>
    <row r="213" customFormat="false" ht="15" hidden="false" customHeight="false" outlineLevel="0" collapsed="false">
      <c r="A213" s="0" t="s">
        <v>172</v>
      </c>
      <c r="B213" s="0" t="str">
        <f aca="false">'CC Item Pricing'!C194&amp;IF('CC Item Pricing'!D194="",""," – "&amp;'CC Item Pricing'!D194)</f>
        <v/>
      </c>
      <c r="C213" s="0" t="str">
        <f aca="false">INDEX(CC_UnitNames,'CC Item Pricing'!Y194)</f>
        <v>Unit 6</v>
      </c>
      <c r="D213" s="0" t="n">
        <f aca="false">N('CC Item Pricing'!G194)</f>
        <v>0</v>
      </c>
      <c r="E213" s="98" t="n">
        <f aca="false">'CC Item Pricing'!W194</f>
        <v>0</v>
      </c>
      <c r="F213" s="96" t="n">
        <f aca="false">IF(AND(G213=1,'CC Item Pricing'!B194=""),1,0)</f>
        <v>0</v>
      </c>
      <c r="G213" s="96" t="n">
        <f aca="false">IF(D213&gt;0,1,0)</f>
        <v>0</v>
      </c>
      <c r="H213" s="0" t="str">
        <f aca="false">IF(F213=1,COUNTIF($F$4:F213,1),"")</f>
        <v/>
      </c>
      <c r="I213" s="0" t="str">
        <f aca="false">IF(G213=1,COUNTIF($G$4:G213,1),"")</f>
        <v/>
      </c>
      <c r="R213" s="0" t="str">
        <f aca="false">IF(CC_Mode="Per equipment",IFERROR(INDEX($B$4:$B$403,MATCH(210,$I$4:$I$403,0)),""),IF(CC_Mode="Per loop",IFERROR(INDEX($B$4:$B$403,MATCH(210,$H$4:$H$403,0)),""),IF(CC_Mode="Per unit",IFERROR("Chemical cleaning – "&amp;INDEX($K$4:$K$15,MATCH(210,$N$4:$N$15,0)),""),IF(210=1,"LUMP SUM – "&amp;QProject,""))))</f>
        <v/>
      </c>
      <c r="S213" s="0" t="str">
        <f aca="false">IF(CC_Mode="Per equipment",IFERROR(INDEX($C$4:$C$403,MATCH(210,$I$4:$I$403,0)),""),IF(CC_Mode="Per loop",IFERROR(INDEX($C$4:$C$403,MATCH(210,$H$4:$H$403,0)),""),IF(CC_Mode="Per unit",IFERROR(INDEX($K$4:$K$15,MATCH(210,$N$4:$N$15,0)),""),IF(210=1,"All units",""))))</f>
        <v/>
      </c>
      <c r="T213" s="0" t="str">
        <f aca="false">IF(CC_Mode="Per equipment",IFERROR(INDEX($D$4:$D$403,MATCH(210,$I$4:$I$403,0)),""),IF(CC_Mode="Per loop",IFERROR(INDEX($D$4:$D$403,MATCH(210,$H$4:$H$403,0)),""),IF(CC_Mode="Per unit",IFERROR(INDEX($M$4:$M$15,MATCH(210,$N$4:$N$15,0)),""),IF(210=1,CC_V_GrandVol,""))))</f>
        <v/>
      </c>
      <c r="U213" s="0" t="str">
        <f aca="false">IF(CC_Mode="Per equipment",IFERROR(INDEX($E$4:$E$403,MATCH(210,$I$4:$I$403,0)),""),IF(CC_Mode="Per loop",IFERROR(INDEX($E$4:$E$403,MATCH(210,$H$4:$H$403,0)),""),IF(CC_Mode="Per unit",IFERROR(INDEX($L$4:$L$15,MATCH(210,$N$4:$N$15,0)),""),IF(210=1,CC_Net,""))))</f>
        <v/>
      </c>
    </row>
    <row r="214" customFormat="false" ht="15" hidden="false" customHeight="false" outlineLevel="0" collapsed="false">
      <c r="A214" s="0" t="s">
        <v>172</v>
      </c>
      <c r="B214" s="0" t="str">
        <f aca="false">'CC Item Pricing'!C195&amp;IF('CC Item Pricing'!D195="",""," – "&amp;'CC Item Pricing'!D195)</f>
        <v/>
      </c>
      <c r="C214" s="0" t="str">
        <f aca="false">INDEX(CC_UnitNames,'CC Item Pricing'!Y195)</f>
        <v>Unit 6</v>
      </c>
      <c r="D214" s="0" t="n">
        <f aca="false">N('CC Item Pricing'!G195)</f>
        <v>0</v>
      </c>
      <c r="E214" s="98" t="n">
        <f aca="false">'CC Item Pricing'!W195</f>
        <v>0</v>
      </c>
      <c r="F214" s="96" t="n">
        <f aca="false">IF(AND(G214=1,'CC Item Pricing'!B195=""),1,0)</f>
        <v>0</v>
      </c>
      <c r="G214" s="96" t="n">
        <f aca="false">IF(D214&gt;0,1,0)</f>
        <v>0</v>
      </c>
      <c r="H214" s="0" t="str">
        <f aca="false">IF(F214=1,COUNTIF($F$4:F214,1),"")</f>
        <v/>
      </c>
      <c r="I214" s="0" t="str">
        <f aca="false">IF(G214=1,COUNTIF($G$4:G214,1),"")</f>
        <v/>
      </c>
      <c r="R214" s="0" t="str">
        <f aca="false">IF(CC_Mode="Per equipment",IFERROR(INDEX($B$4:$B$403,MATCH(211,$I$4:$I$403,0)),""),IF(CC_Mode="Per loop",IFERROR(INDEX($B$4:$B$403,MATCH(211,$H$4:$H$403,0)),""),IF(CC_Mode="Per unit",IFERROR("Chemical cleaning – "&amp;INDEX($K$4:$K$15,MATCH(211,$N$4:$N$15,0)),""),IF(211=1,"LUMP SUM – "&amp;QProject,""))))</f>
        <v/>
      </c>
      <c r="S214" s="0" t="str">
        <f aca="false">IF(CC_Mode="Per equipment",IFERROR(INDEX($C$4:$C$403,MATCH(211,$I$4:$I$403,0)),""),IF(CC_Mode="Per loop",IFERROR(INDEX($C$4:$C$403,MATCH(211,$H$4:$H$403,0)),""),IF(CC_Mode="Per unit",IFERROR(INDEX($K$4:$K$15,MATCH(211,$N$4:$N$15,0)),""),IF(211=1,"All units",""))))</f>
        <v/>
      </c>
      <c r="T214" s="0" t="str">
        <f aca="false">IF(CC_Mode="Per equipment",IFERROR(INDEX($D$4:$D$403,MATCH(211,$I$4:$I$403,0)),""),IF(CC_Mode="Per loop",IFERROR(INDEX($D$4:$D$403,MATCH(211,$H$4:$H$403,0)),""),IF(CC_Mode="Per unit",IFERROR(INDEX($M$4:$M$15,MATCH(211,$N$4:$N$15,0)),""),IF(211=1,CC_V_GrandVol,""))))</f>
        <v/>
      </c>
      <c r="U214" s="0" t="str">
        <f aca="false">IF(CC_Mode="Per equipment",IFERROR(INDEX($E$4:$E$403,MATCH(211,$I$4:$I$403,0)),""),IF(CC_Mode="Per loop",IFERROR(INDEX($E$4:$E$403,MATCH(211,$H$4:$H$403,0)),""),IF(CC_Mode="Per unit",IFERROR(INDEX($L$4:$L$15,MATCH(211,$N$4:$N$15,0)),""),IF(211=1,CC_Net,""))))</f>
        <v/>
      </c>
    </row>
    <row r="215" customFormat="false" ht="15" hidden="false" customHeight="false" outlineLevel="0" collapsed="false">
      <c r="A215" s="0" t="s">
        <v>172</v>
      </c>
      <c r="B215" s="0" t="str">
        <f aca="false">'CC Item Pricing'!C196&amp;IF('CC Item Pricing'!D196="",""," – "&amp;'CC Item Pricing'!D196)</f>
        <v/>
      </c>
      <c r="C215" s="0" t="str">
        <f aca="false">INDEX(CC_UnitNames,'CC Item Pricing'!Y196)</f>
        <v>Unit 6</v>
      </c>
      <c r="D215" s="0" t="n">
        <f aca="false">N('CC Item Pricing'!G196)</f>
        <v>0</v>
      </c>
      <c r="E215" s="98" t="n">
        <f aca="false">'CC Item Pricing'!W196</f>
        <v>0</v>
      </c>
      <c r="F215" s="96" t="n">
        <f aca="false">IF(AND(G215=1,'CC Item Pricing'!B196=""),1,0)</f>
        <v>0</v>
      </c>
      <c r="G215" s="96" t="n">
        <f aca="false">IF(D215&gt;0,1,0)</f>
        <v>0</v>
      </c>
      <c r="H215" s="0" t="str">
        <f aca="false">IF(F215=1,COUNTIF($F$4:F215,1),"")</f>
        <v/>
      </c>
      <c r="I215" s="0" t="str">
        <f aca="false">IF(G215=1,COUNTIF($G$4:G215,1),"")</f>
        <v/>
      </c>
      <c r="R215" s="0" t="str">
        <f aca="false">IF(CC_Mode="Per equipment",IFERROR(INDEX($B$4:$B$403,MATCH(212,$I$4:$I$403,0)),""),IF(CC_Mode="Per loop",IFERROR(INDEX($B$4:$B$403,MATCH(212,$H$4:$H$403,0)),""),IF(CC_Mode="Per unit",IFERROR("Chemical cleaning – "&amp;INDEX($K$4:$K$15,MATCH(212,$N$4:$N$15,0)),""),IF(212=1,"LUMP SUM – "&amp;QProject,""))))</f>
        <v/>
      </c>
      <c r="S215" s="0" t="str">
        <f aca="false">IF(CC_Mode="Per equipment",IFERROR(INDEX($C$4:$C$403,MATCH(212,$I$4:$I$403,0)),""),IF(CC_Mode="Per loop",IFERROR(INDEX($C$4:$C$403,MATCH(212,$H$4:$H$403,0)),""),IF(CC_Mode="Per unit",IFERROR(INDEX($K$4:$K$15,MATCH(212,$N$4:$N$15,0)),""),IF(212=1,"All units",""))))</f>
        <v/>
      </c>
      <c r="T215" s="0" t="str">
        <f aca="false">IF(CC_Mode="Per equipment",IFERROR(INDEX($D$4:$D$403,MATCH(212,$I$4:$I$403,0)),""),IF(CC_Mode="Per loop",IFERROR(INDEX($D$4:$D$403,MATCH(212,$H$4:$H$403,0)),""),IF(CC_Mode="Per unit",IFERROR(INDEX($M$4:$M$15,MATCH(212,$N$4:$N$15,0)),""),IF(212=1,CC_V_GrandVol,""))))</f>
        <v/>
      </c>
      <c r="U215" s="0" t="str">
        <f aca="false">IF(CC_Mode="Per equipment",IFERROR(INDEX($E$4:$E$403,MATCH(212,$I$4:$I$403,0)),""),IF(CC_Mode="Per loop",IFERROR(INDEX($E$4:$E$403,MATCH(212,$H$4:$H$403,0)),""),IF(CC_Mode="Per unit",IFERROR(INDEX($L$4:$L$15,MATCH(212,$N$4:$N$15,0)),""),IF(212=1,CC_Net,""))))</f>
        <v/>
      </c>
    </row>
    <row r="216" customFormat="false" ht="15" hidden="false" customHeight="false" outlineLevel="0" collapsed="false">
      <c r="A216" s="0" t="s">
        <v>172</v>
      </c>
      <c r="B216" s="0" t="str">
        <f aca="false">'CC Item Pricing'!C197&amp;IF('CC Item Pricing'!D197="",""," – "&amp;'CC Item Pricing'!D197)</f>
        <v/>
      </c>
      <c r="C216" s="0" t="str">
        <f aca="false">INDEX(CC_UnitNames,'CC Item Pricing'!Y197)</f>
        <v>Unit 6</v>
      </c>
      <c r="D216" s="0" t="n">
        <f aca="false">N('CC Item Pricing'!G197)</f>
        <v>0</v>
      </c>
      <c r="E216" s="98" t="n">
        <f aca="false">'CC Item Pricing'!W197</f>
        <v>0</v>
      </c>
      <c r="F216" s="96" t="n">
        <f aca="false">IF(AND(G216=1,'CC Item Pricing'!B197=""),1,0)</f>
        <v>0</v>
      </c>
      <c r="G216" s="96" t="n">
        <f aca="false">IF(D216&gt;0,1,0)</f>
        <v>0</v>
      </c>
      <c r="H216" s="0" t="str">
        <f aca="false">IF(F216=1,COUNTIF($F$4:F216,1),"")</f>
        <v/>
      </c>
      <c r="I216" s="0" t="str">
        <f aca="false">IF(G216=1,COUNTIF($G$4:G216,1),"")</f>
        <v/>
      </c>
      <c r="R216" s="0" t="str">
        <f aca="false">IF(CC_Mode="Per equipment",IFERROR(INDEX($B$4:$B$403,MATCH(213,$I$4:$I$403,0)),""),IF(CC_Mode="Per loop",IFERROR(INDEX($B$4:$B$403,MATCH(213,$H$4:$H$403,0)),""),IF(CC_Mode="Per unit",IFERROR("Chemical cleaning – "&amp;INDEX($K$4:$K$15,MATCH(213,$N$4:$N$15,0)),""),IF(213=1,"LUMP SUM – "&amp;QProject,""))))</f>
        <v/>
      </c>
      <c r="S216" s="0" t="str">
        <f aca="false">IF(CC_Mode="Per equipment",IFERROR(INDEX($C$4:$C$403,MATCH(213,$I$4:$I$403,0)),""),IF(CC_Mode="Per loop",IFERROR(INDEX($C$4:$C$403,MATCH(213,$H$4:$H$403,0)),""),IF(CC_Mode="Per unit",IFERROR(INDEX($K$4:$K$15,MATCH(213,$N$4:$N$15,0)),""),IF(213=1,"All units",""))))</f>
        <v/>
      </c>
      <c r="T216" s="0" t="str">
        <f aca="false">IF(CC_Mode="Per equipment",IFERROR(INDEX($D$4:$D$403,MATCH(213,$I$4:$I$403,0)),""),IF(CC_Mode="Per loop",IFERROR(INDEX($D$4:$D$403,MATCH(213,$H$4:$H$403,0)),""),IF(CC_Mode="Per unit",IFERROR(INDEX($M$4:$M$15,MATCH(213,$N$4:$N$15,0)),""),IF(213=1,CC_V_GrandVol,""))))</f>
        <v/>
      </c>
      <c r="U216" s="0" t="str">
        <f aca="false">IF(CC_Mode="Per equipment",IFERROR(INDEX($E$4:$E$403,MATCH(213,$I$4:$I$403,0)),""),IF(CC_Mode="Per loop",IFERROR(INDEX($E$4:$E$403,MATCH(213,$H$4:$H$403,0)),""),IF(CC_Mode="Per unit",IFERROR(INDEX($L$4:$L$15,MATCH(213,$N$4:$N$15,0)),""),IF(213=1,CC_Net,""))))</f>
        <v/>
      </c>
    </row>
    <row r="217" customFormat="false" ht="15" hidden="false" customHeight="false" outlineLevel="0" collapsed="false">
      <c r="A217" s="0" t="s">
        <v>172</v>
      </c>
      <c r="B217" s="0" t="str">
        <f aca="false">'CC Item Pricing'!C198&amp;IF('CC Item Pricing'!D198="",""," – "&amp;'CC Item Pricing'!D198)</f>
        <v/>
      </c>
      <c r="C217" s="0" t="str">
        <f aca="false">INDEX(CC_UnitNames,'CC Item Pricing'!Y198)</f>
        <v>Unit 6</v>
      </c>
      <c r="D217" s="0" t="n">
        <f aca="false">N('CC Item Pricing'!G198)</f>
        <v>0</v>
      </c>
      <c r="E217" s="98" t="n">
        <f aca="false">'CC Item Pricing'!W198</f>
        <v>0</v>
      </c>
      <c r="F217" s="96" t="n">
        <f aca="false">IF(AND(G217=1,'CC Item Pricing'!B198=""),1,0)</f>
        <v>0</v>
      </c>
      <c r="G217" s="96" t="n">
        <f aca="false">IF(D217&gt;0,1,0)</f>
        <v>0</v>
      </c>
      <c r="H217" s="0" t="str">
        <f aca="false">IF(F217=1,COUNTIF($F$4:F217,1),"")</f>
        <v/>
      </c>
      <c r="I217" s="0" t="str">
        <f aca="false">IF(G217=1,COUNTIF($G$4:G217,1),"")</f>
        <v/>
      </c>
      <c r="R217" s="0" t="str">
        <f aca="false">IF(CC_Mode="Per equipment",IFERROR(INDEX($B$4:$B$403,MATCH(214,$I$4:$I$403,0)),""),IF(CC_Mode="Per loop",IFERROR(INDEX($B$4:$B$403,MATCH(214,$H$4:$H$403,0)),""),IF(CC_Mode="Per unit",IFERROR("Chemical cleaning – "&amp;INDEX($K$4:$K$15,MATCH(214,$N$4:$N$15,0)),""),IF(214=1,"LUMP SUM – "&amp;QProject,""))))</f>
        <v/>
      </c>
      <c r="S217" s="0" t="str">
        <f aca="false">IF(CC_Mode="Per equipment",IFERROR(INDEX($C$4:$C$403,MATCH(214,$I$4:$I$403,0)),""),IF(CC_Mode="Per loop",IFERROR(INDEX($C$4:$C$403,MATCH(214,$H$4:$H$403,0)),""),IF(CC_Mode="Per unit",IFERROR(INDEX($K$4:$K$15,MATCH(214,$N$4:$N$15,0)),""),IF(214=1,"All units",""))))</f>
        <v/>
      </c>
      <c r="T217" s="0" t="str">
        <f aca="false">IF(CC_Mode="Per equipment",IFERROR(INDEX($D$4:$D$403,MATCH(214,$I$4:$I$403,0)),""),IF(CC_Mode="Per loop",IFERROR(INDEX($D$4:$D$403,MATCH(214,$H$4:$H$403,0)),""),IF(CC_Mode="Per unit",IFERROR(INDEX($M$4:$M$15,MATCH(214,$N$4:$N$15,0)),""),IF(214=1,CC_V_GrandVol,""))))</f>
        <v/>
      </c>
      <c r="U217" s="0" t="str">
        <f aca="false">IF(CC_Mode="Per equipment",IFERROR(INDEX($E$4:$E$403,MATCH(214,$I$4:$I$403,0)),""),IF(CC_Mode="Per loop",IFERROR(INDEX($E$4:$E$403,MATCH(214,$H$4:$H$403,0)),""),IF(CC_Mode="Per unit",IFERROR(INDEX($L$4:$L$15,MATCH(214,$N$4:$N$15,0)),""),IF(214=1,CC_Net,""))))</f>
        <v/>
      </c>
    </row>
    <row r="218" customFormat="false" ht="15" hidden="false" customHeight="false" outlineLevel="0" collapsed="false">
      <c r="A218" s="0" t="s">
        <v>172</v>
      </c>
      <c r="B218" s="0" t="str">
        <f aca="false">'CC Item Pricing'!C199&amp;IF('CC Item Pricing'!D199="",""," – "&amp;'CC Item Pricing'!D199)</f>
        <v/>
      </c>
      <c r="C218" s="0" t="str">
        <f aca="false">INDEX(CC_UnitNames,'CC Item Pricing'!Y199)</f>
        <v>Unit 6</v>
      </c>
      <c r="D218" s="0" t="n">
        <f aca="false">N('CC Item Pricing'!G199)</f>
        <v>0</v>
      </c>
      <c r="E218" s="98" t="n">
        <f aca="false">'CC Item Pricing'!W199</f>
        <v>0</v>
      </c>
      <c r="F218" s="96" t="n">
        <f aca="false">IF(AND(G218=1,'CC Item Pricing'!B199=""),1,0)</f>
        <v>0</v>
      </c>
      <c r="G218" s="96" t="n">
        <f aca="false">IF(D218&gt;0,1,0)</f>
        <v>0</v>
      </c>
      <c r="H218" s="0" t="str">
        <f aca="false">IF(F218=1,COUNTIF($F$4:F218,1),"")</f>
        <v/>
      </c>
      <c r="I218" s="0" t="str">
        <f aca="false">IF(G218=1,COUNTIF($G$4:G218,1),"")</f>
        <v/>
      </c>
      <c r="R218" s="0" t="str">
        <f aca="false">IF(CC_Mode="Per equipment",IFERROR(INDEX($B$4:$B$403,MATCH(215,$I$4:$I$403,0)),""),IF(CC_Mode="Per loop",IFERROR(INDEX($B$4:$B$403,MATCH(215,$H$4:$H$403,0)),""),IF(CC_Mode="Per unit",IFERROR("Chemical cleaning – "&amp;INDEX($K$4:$K$15,MATCH(215,$N$4:$N$15,0)),""),IF(215=1,"LUMP SUM – "&amp;QProject,""))))</f>
        <v/>
      </c>
      <c r="S218" s="0" t="str">
        <f aca="false">IF(CC_Mode="Per equipment",IFERROR(INDEX($C$4:$C$403,MATCH(215,$I$4:$I$403,0)),""),IF(CC_Mode="Per loop",IFERROR(INDEX($C$4:$C$403,MATCH(215,$H$4:$H$403,0)),""),IF(CC_Mode="Per unit",IFERROR(INDEX($K$4:$K$15,MATCH(215,$N$4:$N$15,0)),""),IF(215=1,"All units",""))))</f>
        <v/>
      </c>
      <c r="T218" s="0" t="str">
        <f aca="false">IF(CC_Mode="Per equipment",IFERROR(INDEX($D$4:$D$403,MATCH(215,$I$4:$I$403,0)),""),IF(CC_Mode="Per loop",IFERROR(INDEX($D$4:$D$403,MATCH(215,$H$4:$H$403,0)),""),IF(CC_Mode="Per unit",IFERROR(INDEX($M$4:$M$15,MATCH(215,$N$4:$N$15,0)),""),IF(215=1,CC_V_GrandVol,""))))</f>
        <v/>
      </c>
      <c r="U218" s="0" t="str">
        <f aca="false">IF(CC_Mode="Per equipment",IFERROR(INDEX($E$4:$E$403,MATCH(215,$I$4:$I$403,0)),""),IF(CC_Mode="Per loop",IFERROR(INDEX($E$4:$E$403,MATCH(215,$H$4:$H$403,0)),""),IF(CC_Mode="Per unit",IFERROR(INDEX($L$4:$L$15,MATCH(215,$N$4:$N$15,0)),""),IF(215=1,CC_Net,""))))</f>
        <v/>
      </c>
    </row>
    <row r="219" customFormat="false" ht="15" hidden="false" customHeight="false" outlineLevel="0" collapsed="false">
      <c r="A219" s="0" t="s">
        <v>172</v>
      </c>
      <c r="B219" s="0" t="str">
        <f aca="false">'CC Item Pricing'!C200&amp;IF('CC Item Pricing'!D200="",""," – "&amp;'CC Item Pricing'!D200)</f>
        <v/>
      </c>
      <c r="C219" s="0" t="str">
        <f aca="false">INDEX(CC_UnitNames,'CC Item Pricing'!Y200)</f>
        <v>Unit 6</v>
      </c>
      <c r="D219" s="0" t="n">
        <f aca="false">N('CC Item Pricing'!G200)</f>
        <v>0</v>
      </c>
      <c r="E219" s="98" t="n">
        <f aca="false">'CC Item Pricing'!W200</f>
        <v>0</v>
      </c>
      <c r="F219" s="96" t="n">
        <f aca="false">IF(AND(G219=1,'CC Item Pricing'!B200=""),1,0)</f>
        <v>0</v>
      </c>
      <c r="G219" s="96" t="n">
        <f aca="false">IF(D219&gt;0,1,0)</f>
        <v>0</v>
      </c>
      <c r="H219" s="0" t="str">
        <f aca="false">IF(F219=1,COUNTIF($F$4:F219,1),"")</f>
        <v/>
      </c>
      <c r="I219" s="0" t="str">
        <f aca="false">IF(G219=1,COUNTIF($G$4:G219,1),"")</f>
        <v/>
      </c>
      <c r="R219" s="0" t="str">
        <f aca="false">IF(CC_Mode="Per equipment",IFERROR(INDEX($B$4:$B$403,MATCH(216,$I$4:$I$403,0)),""),IF(CC_Mode="Per loop",IFERROR(INDEX($B$4:$B$403,MATCH(216,$H$4:$H$403,0)),""),IF(CC_Mode="Per unit",IFERROR("Chemical cleaning – "&amp;INDEX($K$4:$K$15,MATCH(216,$N$4:$N$15,0)),""),IF(216=1,"LUMP SUM – "&amp;QProject,""))))</f>
        <v/>
      </c>
      <c r="S219" s="0" t="str">
        <f aca="false">IF(CC_Mode="Per equipment",IFERROR(INDEX($C$4:$C$403,MATCH(216,$I$4:$I$403,0)),""),IF(CC_Mode="Per loop",IFERROR(INDEX($C$4:$C$403,MATCH(216,$H$4:$H$403,0)),""),IF(CC_Mode="Per unit",IFERROR(INDEX($K$4:$K$15,MATCH(216,$N$4:$N$15,0)),""),IF(216=1,"All units",""))))</f>
        <v/>
      </c>
      <c r="T219" s="0" t="str">
        <f aca="false">IF(CC_Mode="Per equipment",IFERROR(INDEX($D$4:$D$403,MATCH(216,$I$4:$I$403,0)),""),IF(CC_Mode="Per loop",IFERROR(INDEX($D$4:$D$403,MATCH(216,$H$4:$H$403,0)),""),IF(CC_Mode="Per unit",IFERROR(INDEX($M$4:$M$15,MATCH(216,$N$4:$N$15,0)),""),IF(216=1,CC_V_GrandVol,""))))</f>
        <v/>
      </c>
      <c r="U219" s="0" t="str">
        <f aca="false">IF(CC_Mode="Per equipment",IFERROR(INDEX($E$4:$E$403,MATCH(216,$I$4:$I$403,0)),""),IF(CC_Mode="Per loop",IFERROR(INDEX($E$4:$E$403,MATCH(216,$H$4:$H$403,0)),""),IF(CC_Mode="Per unit",IFERROR(INDEX($L$4:$L$15,MATCH(216,$N$4:$N$15,0)),""),IF(216=1,CC_Net,""))))</f>
        <v/>
      </c>
    </row>
    <row r="220" customFormat="false" ht="15" hidden="false" customHeight="false" outlineLevel="0" collapsed="false">
      <c r="A220" s="0" t="s">
        <v>172</v>
      </c>
      <c r="B220" s="0" t="str">
        <f aca="false">'CC Item Pricing'!C201&amp;IF('CC Item Pricing'!D201="",""," – "&amp;'CC Item Pricing'!D201)</f>
        <v/>
      </c>
      <c r="C220" s="0" t="str">
        <f aca="false">INDEX(CC_UnitNames,'CC Item Pricing'!Y201)</f>
        <v>Unit 6</v>
      </c>
      <c r="D220" s="0" t="n">
        <f aca="false">N('CC Item Pricing'!G201)</f>
        <v>0</v>
      </c>
      <c r="E220" s="98" t="n">
        <f aca="false">'CC Item Pricing'!W201</f>
        <v>0</v>
      </c>
      <c r="F220" s="96" t="n">
        <f aca="false">IF(AND(G220=1,'CC Item Pricing'!B201=""),1,0)</f>
        <v>0</v>
      </c>
      <c r="G220" s="96" t="n">
        <f aca="false">IF(D220&gt;0,1,0)</f>
        <v>0</v>
      </c>
      <c r="H220" s="0" t="str">
        <f aca="false">IF(F220=1,COUNTIF($F$4:F220,1),"")</f>
        <v/>
      </c>
      <c r="I220" s="0" t="str">
        <f aca="false">IF(G220=1,COUNTIF($G$4:G220,1),"")</f>
        <v/>
      </c>
      <c r="R220" s="0" t="str">
        <f aca="false">IF(CC_Mode="Per equipment",IFERROR(INDEX($B$4:$B$403,MATCH(217,$I$4:$I$403,0)),""),IF(CC_Mode="Per loop",IFERROR(INDEX($B$4:$B$403,MATCH(217,$H$4:$H$403,0)),""),IF(CC_Mode="Per unit",IFERROR("Chemical cleaning – "&amp;INDEX($K$4:$K$15,MATCH(217,$N$4:$N$15,0)),""),IF(217=1,"LUMP SUM – "&amp;QProject,""))))</f>
        <v/>
      </c>
      <c r="S220" s="0" t="str">
        <f aca="false">IF(CC_Mode="Per equipment",IFERROR(INDEX($C$4:$C$403,MATCH(217,$I$4:$I$403,0)),""),IF(CC_Mode="Per loop",IFERROR(INDEX($C$4:$C$403,MATCH(217,$H$4:$H$403,0)),""),IF(CC_Mode="Per unit",IFERROR(INDEX($K$4:$K$15,MATCH(217,$N$4:$N$15,0)),""),IF(217=1,"All units",""))))</f>
        <v/>
      </c>
      <c r="T220" s="0" t="str">
        <f aca="false">IF(CC_Mode="Per equipment",IFERROR(INDEX($D$4:$D$403,MATCH(217,$I$4:$I$403,0)),""),IF(CC_Mode="Per loop",IFERROR(INDEX($D$4:$D$403,MATCH(217,$H$4:$H$403,0)),""),IF(CC_Mode="Per unit",IFERROR(INDEX($M$4:$M$15,MATCH(217,$N$4:$N$15,0)),""),IF(217=1,CC_V_GrandVol,""))))</f>
        <v/>
      </c>
      <c r="U220" s="0" t="str">
        <f aca="false">IF(CC_Mode="Per equipment",IFERROR(INDEX($E$4:$E$403,MATCH(217,$I$4:$I$403,0)),""),IF(CC_Mode="Per loop",IFERROR(INDEX($E$4:$E$403,MATCH(217,$H$4:$H$403,0)),""),IF(CC_Mode="Per unit",IFERROR(INDEX($L$4:$L$15,MATCH(217,$N$4:$N$15,0)),""),IF(217=1,CC_Net,""))))</f>
        <v/>
      </c>
    </row>
    <row r="221" customFormat="false" ht="15" hidden="false" customHeight="false" outlineLevel="0" collapsed="false">
      <c r="A221" s="0" t="s">
        <v>172</v>
      </c>
      <c r="B221" s="0" t="str">
        <f aca="false">'CC Item Pricing'!C202&amp;IF('CC Item Pricing'!D202="",""," – "&amp;'CC Item Pricing'!D202)</f>
        <v/>
      </c>
      <c r="C221" s="0" t="str">
        <f aca="false">INDEX(CC_UnitNames,'CC Item Pricing'!Y202)</f>
        <v>Unit 6</v>
      </c>
      <c r="D221" s="0" t="n">
        <f aca="false">N('CC Item Pricing'!G202)</f>
        <v>0</v>
      </c>
      <c r="E221" s="98" t="n">
        <f aca="false">'CC Item Pricing'!W202</f>
        <v>0</v>
      </c>
      <c r="F221" s="96" t="n">
        <f aca="false">IF(AND(G221=1,'CC Item Pricing'!B202=""),1,0)</f>
        <v>0</v>
      </c>
      <c r="G221" s="96" t="n">
        <f aca="false">IF(D221&gt;0,1,0)</f>
        <v>0</v>
      </c>
      <c r="H221" s="0" t="str">
        <f aca="false">IF(F221=1,COUNTIF($F$4:F221,1),"")</f>
        <v/>
      </c>
      <c r="I221" s="0" t="str">
        <f aca="false">IF(G221=1,COUNTIF($G$4:G221,1),"")</f>
        <v/>
      </c>
      <c r="R221" s="0" t="str">
        <f aca="false">IF(CC_Mode="Per equipment",IFERROR(INDEX($B$4:$B$403,MATCH(218,$I$4:$I$403,0)),""),IF(CC_Mode="Per loop",IFERROR(INDEX($B$4:$B$403,MATCH(218,$H$4:$H$403,0)),""),IF(CC_Mode="Per unit",IFERROR("Chemical cleaning – "&amp;INDEX($K$4:$K$15,MATCH(218,$N$4:$N$15,0)),""),IF(218=1,"LUMP SUM – "&amp;QProject,""))))</f>
        <v/>
      </c>
      <c r="S221" s="0" t="str">
        <f aca="false">IF(CC_Mode="Per equipment",IFERROR(INDEX($C$4:$C$403,MATCH(218,$I$4:$I$403,0)),""),IF(CC_Mode="Per loop",IFERROR(INDEX($C$4:$C$403,MATCH(218,$H$4:$H$403,0)),""),IF(CC_Mode="Per unit",IFERROR(INDEX($K$4:$K$15,MATCH(218,$N$4:$N$15,0)),""),IF(218=1,"All units",""))))</f>
        <v/>
      </c>
      <c r="T221" s="0" t="str">
        <f aca="false">IF(CC_Mode="Per equipment",IFERROR(INDEX($D$4:$D$403,MATCH(218,$I$4:$I$403,0)),""),IF(CC_Mode="Per loop",IFERROR(INDEX($D$4:$D$403,MATCH(218,$H$4:$H$403,0)),""),IF(CC_Mode="Per unit",IFERROR(INDEX($M$4:$M$15,MATCH(218,$N$4:$N$15,0)),""),IF(218=1,CC_V_GrandVol,""))))</f>
        <v/>
      </c>
      <c r="U221" s="0" t="str">
        <f aca="false">IF(CC_Mode="Per equipment",IFERROR(INDEX($E$4:$E$403,MATCH(218,$I$4:$I$403,0)),""),IF(CC_Mode="Per loop",IFERROR(INDEX($E$4:$E$403,MATCH(218,$H$4:$H$403,0)),""),IF(CC_Mode="Per unit",IFERROR(INDEX($L$4:$L$15,MATCH(218,$N$4:$N$15,0)),""),IF(218=1,CC_Net,""))))</f>
        <v/>
      </c>
    </row>
    <row r="222" customFormat="false" ht="15" hidden="false" customHeight="false" outlineLevel="0" collapsed="false">
      <c r="A222" s="0" t="s">
        <v>172</v>
      </c>
      <c r="B222" s="0" t="str">
        <f aca="false">'CC Item Pricing'!C203&amp;IF('CC Item Pricing'!D203="",""," – "&amp;'CC Item Pricing'!D203)</f>
        <v/>
      </c>
      <c r="C222" s="0" t="str">
        <f aca="false">INDEX(CC_UnitNames,'CC Item Pricing'!Y203)</f>
        <v>Unit 6</v>
      </c>
      <c r="D222" s="0" t="n">
        <f aca="false">N('CC Item Pricing'!G203)</f>
        <v>0</v>
      </c>
      <c r="E222" s="98" t="n">
        <f aca="false">'CC Item Pricing'!W203</f>
        <v>0</v>
      </c>
      <c r="F222" s="96" t="n">
        <f aca="false">IF(AND(G222=1,'CC Item Pricing'!B203=""),1,0)</f>
        <v>0</v>
      </c>
      <c r="G222" s="96" t="n">
        <f aca="false">IF(D222&gt;0,1,0)</f>
        <v>0</v>
      </c>
      <c r="H222" s="0" t="str">
        <f aca="false">IF(F222=1,COUNTIF($F$4:F222,1),"")</f>
        <v/>
      </c>
      <c r="I222" s="0" t="str">
        <f aca="false">IF(G222=1,COUNTIF($G$4:G222,1),"")</f>
        <v/>
      </c>
      <c r="R222" s="0" t="str">
        <f aca="false">IF(CC_Mode="Per equipment",IFERROR(INDEX($B$4:$B$403,MATCH(219,$I$4:$I$403,0)),""),IF(CC_Mode="Per loop",IFERROR(INDEX($B$4:$B$403,MATCH(219,$H$4:$H$403,0)),""),IF(CC_Mode="Per unit",IFERROR("Chemical cleaning – "&amp;INDEX($K$4:$K$15,MATCH(219,$N$4:$N$15,0)),""),IF(219=1,"LUMP SUM – "&amp;QProject,""))))</f>
        <v/>
      </c>
      <c r="S222" s="0" t="str">
        <f aca="false">IF(CC_Mode="Per equipment",IFERROR(INDEX($C$4:$C$403,MATCH(219,$I$4:$I$403,0)),""),IF(CC_Mode="Per loop",IFERROR(INDEX($C$4:$C$403,MATCH(219,$H$4:$H$403,0)),""),IF(CC_Mode="Per unit",IFERROR(INDEX($K$4:$K$15,MATCH(219,$N$4:$N$15,0)),""),IF(219=1,"All units",""))))</f>
        <v/>
      </c>
      <c r="T222" s="0" t="str">
        <f aca="false">IF(CC_Mode="Per equipment",IFERROR(INDEX($D$4:$D$403,MATCH(219,$I$4:$I$403,0)),""),IF(CC_Mode="Per loop",IFERROR(INDEX($D$4:$D$403,MATCH(219,$H$4:$H$403,0)),""),IF(CC_Mode="Per unit",IFERROR(INDEX($M$4:$M$15,MATCH(219,$N$4:$N$15,0)),""),IF(219=1,CC_V_GrandVol,""))))</f>
        <v/>
      </c>
      <c r="U222" s="0" t="str">
        <f aca="false">IF(CC_Mode="Per equipment",IFERROR(INDEX($E$4:$E$403,MATCH(219,$I$4:$I$403,0)),""),IF(CC_Mode="Per loop",IFERROR(INDEX($E$4:$E$403,MATCH(219,$H$4:$H$403,0)),""),IF(CC_Mode="Per unit",IFERROR(INDEX($L$4:$L$15,MATCH(219,$N$4:$N$15,0)),""),IF(219=1,CC_Net,""))))</f>
        <v/>
      </c>
    </row>
    <row r="223" customFormat="false" ht="15" hidden="false" customHeight="false" outlineLevel="0" collapsed="false">
      <c r="A223" s="0" t="s">
        <v>172</v>
      </c>
      <c r="B223" s="0" t="str">
        <f aca="false">'CC Item Pricing'!C204&amp;IF('CC Item Pricing'!D204="",""," – "&amp;'CC Item Pricing'!D204)</f>
        <v/>
      </c>
      <c r="C223" s="0" t="str">
        <f aca="false">INDEX(CC_UnitNames,'CC Item Pricing'!Y204)</f>
        <v>Unit 6</v>
      </c>
      <c r="D223" s="0" t="n">
        <f aca="false">N('CC Item Pricing'!G204)</f>
        <v>0</v>
      </c>
      <c r="E223" s="98" t="n">
        <f aca="false">'CC Item Pricing'!W204</f>
        <v>0</v>
      </c>
      <c r="F223" s="96" t="n">
        <f aca="false">IF(AND(G223=1,'CC Item Pricing'!B204=""),1,0)</f>
        <v>0</v>
      </c>
      <c r="G223" s="96" t="n">
        <f aca="false">IF(D223&gt;0,1,0)</f>
        <v>0</v>
      </c>
      <c r="H223" s="0" t="str">
        <f aca="false">IF(F223=1,COUNTIF($F$4:F223,1),"")</f>
        <v/>
      </c>
      <c r="I223" s="0" t="str">
        <f aca="false">IF(G223=1,COUNTIF($G$4:G223,1),"")</f>
        <v/>
      </c>
      <c r="R223" s="0" t="str">
        <f aca="false">IF(CC_Mode="Per equipment",IFERROR(INDEX($B$4:$B$403,MATCH(220,$I$4:$I$403,0)),""),IF(CC_Mode="Per loop",IFERROR(INDEX($B$4:$B$403,MATCH(220,$H$4:$H$403,0)),""),IF(CC_Mode="Per unit",IFERROR("Chemical cleaning – "&amp;INDEX($K$4:$K$15,MATCH(220,$N$4:$N$15,0)),""),IF(220=1,"LUMP SUM – "&amp;QProject,""))))</f>
        <v/>
      </c>
      <c r="S223" s="0" t="str">
        <f aca="false">IF(CC_Mode="Per equipment",IFERROR(INDEX($C$4:$C$403,MATCH(220,$I$4:$I$403,0)),""),IF(CC_Mode="Per loop",IFERROR(INDEX($C$4:$C$403,MATCH(220,$H$4:$H$403,0)),""),IF(CC_Mode="Per unit",IFERROR(INDEX($K$4:$K$15,MATCH(220,$N$4:$N$15,0)),""),IF(220=1,"All units",""))))</f>
        <v/>
      </c>
      <c r="T223" s="0" t="str">
        <f aca="false">IF(CC_Mode="Per equipment",IFERROR(INDEX($D$4:$D$403,MATCH(220,$I$4:$I$403,0)),""),IF(CC_Mode="Per loop",IFERROR(INDEX($D$4:$D$403,MATCH(220,$H$4:$H$403,0)),""),IF(CC_Mode="Per unit",IFERROR(INDEX($M$4:$M$15,MATCH(220,$N$4:$N$15,0)),""),IF(220=1,CC_V_GrandVol,""))))</f>
        <v/>
      </c>
      <c r="U223" s="0" t="str">
        <f aca="false">IF(CC_Mode="Per equipment",IFERROR(INDEX($E$4:$E$403,MATCH(220,$I$4:$I$403,0)),""),IF(CC_Mode="Per loop",IFERROR(INDEX($E$4:$E$403,MATCH(220,$H$4:$H$403,0)),""),IF(CC_Mode="Per unit",IFERROR(INDEX($L$4:$L$15,MATCH(220,$N$4:$N$15,0)),""),IF(220=1,CC_Net,""))))</f>
        <v/>
      </c>
    </row>
    <row r="224" customFormat="false" ht="15" hidden="false" customHeight="false" outlineLevel="0" collapsed="false">
      <c r="A224" s="0" t="s">
        <v>172</v>
      </c>
      <c r="B224" s="0" t="str">
        <f aca="false">'CC Item Pricing'!C208&amp;IF('CC Item Pricing'!D208="",""," – "&amp;'CC Item Pricing'!D208)</f>
        <v/>
      </c>
      <c r="C224" s="0" t="str">
        <f aca="false">INDEX(CC_UnitNames,'CC Item Pricing'!Y208)</f>
        <v>Unit 7</v>
      </c>
      <c r="D224" s="0" t="n">
        <f aca="false">N('CC Item Pricing'!G208)</f>
        <v>0</v>
      </c>
      <c r="E224" s="98" t="n">
        <f aca="false">'CC Item Pricing'!W208</f>
        <v>0</v>
      </c>
      <c r="F224" s="96" t="n">
        <f aca="false">IF(AND(G224=1,'CC Item Pricing'!B208=""),1,0)</f>
        <v>0</v>
      </c>
      <c r="G224" s="96" t="n">
        <f aca="false">IF(D224&gt;0,1,0)</f>
        <v>0</v>
      </c>
      <c r="H224" s="0" t="str">
        <f aca="false">IF(F224=1,COUNTIF($F$4:F224,1),"")</f>
        <v/>
      </c>
      <c r="I224" s="0" t="str">
        <f aca="false">IF(G224=1,COUNTIF($G$4:G224,1),"")</f>
        <v/>
      </c>
      <c r="R224" s="0" t="str">
        <f aca="false">IF(CC_Mode="Per equipment",IFERROR(INDEX($B$4:$B$403,MATCH(221,$I$4:$I$403,0)),""),IF(CC_Mode="Per loop",IFERROR(INDEX($B$4:$B$403,MATCH(221,$H$4:$H$403,0)),""),IF(CC_Mode="Per unit",IFERROR("Chemical cleaning – "&amp;INDEX($K$4:$K$15,MATCH(221,$N$4:$N$15,0)),""),IF(221=1,"LUMP SUM – "&amp;QProject,""))))</f>
        <v/>
      </c>
      <c r="S224" s="0" t="str">
        <f aca="false">IF(CC_Mode="Per equipment",IFERROR(INDEX($C$4:$C$403,MATCH(221,$I$4:$I$403,0)),""),IF(CC_Mode="Per loop",IFERROR(INDEX($C$4:$C$403,MATCH(221,$H$4:$H$403,0)),""),IF(CC_Mode="Per unit",IFERROR(INDEX($K$4:$K$15,MATCH(221,$N$4:$N$15,0)),""),IF(221=1,"All units",""))))</f>
        <v/>
      </c>
      <c r="T224" s="0" t="str">
        <f aca="false">IF(CC_Mode="Per equipment",IFERROR(INDEX($D$4:$D$403,MATCH(221,$I$4:$I$403,0)),""),IF(CC_Mode="Per loop",IFERROR(INDEX($D$4:$D$403,MATCH(221,$H$4:$H$403,0)),""),IF(CC_Mode="Per unit",IFERROR(INDEX($M$4:$M$15,MATCH(221,$N$4:$N$15,0)),""),IF(221=1,CC_V_GrandVol,""))))</f>
        <v/>
      </c>
      <c r="U224" s="0" t="str">
        <f aca="false">IF(CC_Mode="Per equipment",IFERROR(INDEX($E$4:$E$403,MATCH(221,$I$4:$I$403,0)),""),IF(CC_Mode="Per loop",IFERROR(INDEX($E$4:$E$403,MATCH(221,$H$4:$H$403,0)),""),IF(CC_Mode="Per unit",IFERROR(INDEX($L$4:$L$15,MATCH(221,$N$4:$N$15,0)),""),IF(221=1,CC_Net,""))))</f>
        <v/>
      </c>
    </row>
    <row r="225" customFormat="false" ht="15" hidden="false" customHeight="false" outlineLevel="0" collapsed="false">
      <c r="A225" s="0" t="s">
        <v>172</v>
      </c>
      <c r="B225" s="0" t="str">
        <f aca="false">'CC Item Pricing'!C209&amp;IF('CC Item Pricing'!D209="",""," – "&amp;'CC Item Pricing'!D209)</f>
        <v/>
      </c>
      <c r="C225" s="0" t="str">
        <f aca="false">INDEX(CC_UnitNames,'CC Item Pricing'!Y209)</f>
        <v>Unit 7</v>
      </c>
      <c r="D225" s="0" t="n">
        <f aca="false">N('CC Item Pricing'!G209)</f>
        <v>0</v>
      </c>
      <c r="E225" s="98" t="n">
        <f aca="false">'CC Item Pricing'!W209</f>
        <v>0</v>
      </c>
      <c r="F225" s="96" t="n">
        <f aca="false">IF(AND(G225=1,'CC Item Pricing'!B209=""),1,0)</f>
        <v>0</v>
      </c>
      <c r="G225" s="96" t="n">
        <f aca="false">IF(D225&gt;0,1,0)</f>
        <v>0</v>
      </c>
      <c r="H225" s="0" t="str">
        <f aca="false">IF(F225=1,COUNTIF($F$4:F225,1),"")</f>
        <v/>
      </c>
      <c r="I225" s="0" t="str">
        <f aca="false">IF(G225=1,COUNTIF($G$4:G225,1),"")</f>
        <v/>
      </c>
      <c r="R225" s="0" t="str">
        <f aca="false">IF(CC_Mode="Per equipment",IFERROR(INDEX($B$4:$B$403,MATCH(222,$I$4:$I$403,0)),""),IF(CC_Mode="Per loop",IFERROR(INDEX($B$4:$B$403,MATCH(222,$H$4:$H$403,0)),""),IF(CC_Mode="Per unit",IFERROR("Chemical cleaning – "&amp;INDEX($K$4:$K$15,MATCH(222,$N$4:$N$15,0)),""),IF(222=1,"LUMP SUM – "&amp;QProject,""))))</f>
        <v/>
      </c>
      <c r="S225" s="0" t="str">
        <f aca="false">IF(CC_Mode="Per equipment",IFERROR(INDEX($C$4:$C$403,MATCH(222,$I$4:$I$403,0)),""),IF(CC_Mode="Per loop",IFERROR(INDEX($C$4:$C$403,MATCH(222,$H$4:$H$403,0)),""),IF(CC_Mode="Per unit",IFERROR(INDEX($K$4:$K$15,MATCH(222,$N$4:$N$15,0)),""),IF(222=1,"All units",""))))</f>
        <v/>
      </c>
      <c r="T225" s="0" t="str">
        <f aca="false">IF(CC_Mode="Per equipment",IFERROR(INDEX($D$4:$D$403,MATCH(222,$I$4:$I$403,0)),""),IF(CC_Mode="Per loop",IFERROR(INDEX($D$4:$D$403,MATCH(222,$H$4:$H$403,0)),""),IF(CC_Mode="Per unit",IFERROR(INDEX($M$4:$M$15,MATCH(222,$N$4:$N$15,0)),""),IF(222=1,CC_V_GrandVol,""))))</f>
        <v/>
      </c>
      <c r="U225" s="0" t="str">
        <f aca="false">IF(CC_Mode="Per equipment",IFERROR(INDEX($E$4:$E$403,MATCH(222,$I$4:$I$403,0)),""),IF(CC_Mode="Per loop",IFERROR(INDEX($E$4:$E$403,MATCH(222,$H$4:$H$403,0)),""),IF(CC_Mode="Per unit",IFERROR(INDEX($L$4:$L$15,MATCH(222,$N$4:$N$15,0)),""),IF(222=1,CC_Net,""))))</f>
        <v/>
      </c>
    </row>
    <row r="226" customFormat="false" ht="15" hidden="false" customHeight="false" outlineLevel="0" collapsed="false">
      <c r="A226" s="0" t="s">
        <v>172</v>
      </c>
      <c r="B226" s="0" t="str">
        <f aca="false">'CC Item Pricing'!C210&amp;IF('CC Item Pricing'!D210="",""," – "&amp;'CC Item Pricing'!D210)</f>
        <v/>
      </c>
      <c r="C226" s="0" t="str">
        <f aca="false">INDEX(CC_UnitNames,'CC Item Pricing'!Y210)</f>
        <v>Unit 7</v>
      </c>
      <c r="D226" s="0" t="n">
        <f aca="false">N('CC Item Pricing'!G210)</f>
        <v>0</v>
      </c>
      <c r="E226" s="98" t="n">
        <f aca="false">'CC Item Pricing'!W210</f>
        <v>0</v>
      </c>
      <c r="F226" s="96" t="n">
        <f aca="false">IF(AND(G226=1,'CC Item Pricing'!B210=""),1,0)</f>
        <v>0</v>
      </c>
      <c r="G226" s="96" t="n">
        <f aca="false">IF(D226&gt;0,1,0)</f>
        <v>0</v>
      </c>
      <c r="H226" s="0" t="str">
        <f aca="false">IF(F226=1,COUNTIF($F$4:F226,1),"")</f>
        <v/>
      </c>
      <c r="I226" s="0" t="str">
        <f aca="false">IF(G226=1,COUNTIF($G$4:G226,1),"")</f>
        <v/>
      </c>
      <c r="R226" s="0" t="str">
        <f aca="false">IF(CC_Mode="Per equipment",IFERROR(INDEX($B$4:$B$403,MATCH(223,$I$4:$I$403,0)),""),IF(CC_Mode="Per loop",IFERROR(INDEX($B$4:$B$403,MATCH(223,$H$4:$H$403,0)),""),IF(CC_Mode="Per unit",IFERROR("Chemical cleaning – "&amp;INDEX($K$4:$K$15,MATCH(223,$N$4:$N$15,0)),""),IF(223=1,"LUMP SUM – "&amp;QProject,""))))</f>
        <v/>
      </c>
      <c r="S226" s="0" t="str">
        <f aca="false">IF(CC_Mode="Per equipment",IFERROR(INDEX($C$4:$C$403,MATCH(223,$I$4:$I$403,0)),""),IF(CC_Mode="Per loop",IFERROR(INDEX($C$4:$C$403,MATCH(223,$H$4:$H$403,0)),""),IF(CC_Mode="Per unit",IFERROR(INDEX($K$4:$K$15,MATCH(223,$N$4:$N$15,0)),""),IF(223=1,"All units",""))))</f>
        <v/>
      </c>
      <c r="T226" s="0" t="str">
        <f aca="false">IF(CC_Mode="Per equipment",IFERROR(INDEX($D$4:$D$403,MATCH(223,$I$4:$I$403,0)),""),IF(CC_Mode="Per loop",IFERROR(INDEX($D$4:$D$403,MATCH(223,$H$4:$H$403,0)),""),IF(CC_Mode="Per unit",IFERROR(INDEX($M$4:$M$15,MATCH(223,$N$4:$N$15,0)),""),IF(223=1,CC_V_GrandVol,""))))</f>
        <v/>
      </c>
      <c r="U226" s="0" t="str">
        <f aca="false">IF(CC_Mode="Per equipment",IFERROR(INDEX($E$4:$E$403,MATCH(223,$I$4:$I$403,0)),""),IF(CC_Mode="Per loop",IFERROR(INDEX($E$4:$E$403,MATCH(223,$H$4:$H$403,0)),""),IF(CC_Mode="Per unit",IFERROR(INDEX($L$4:$L$15,MATCH(223,$N$4:$N$15,0)),""),IF(223=1,CC_Net,""))))</f>
        <v/>
      </c>
    </row>
    <row r="227" customFormat="false" ht="15" hidden="false" customHeight="false" outlineLevel="0" collapsed="false">
      <c r="A227" s="0" t="s">
        <v>172</v>
      </c>
      <c r="B227" s="0" t="str">
        <f aca="false">'CC Item Pricing'!C211&amp;IF('CC Item Pricing'!D211="",""," – "&amp;'CC Item Pricing'!D211)</f>
        <v/>
      </c>
      <c r="C227" s="0" t="str">
        <f aca="false">INDEX(CC_UnitNames,'CC Item Pricing'!Y211)</f>
        <v>Unit 7</v>
      </c>
      <c r="D227" s="0" t="n">
        <f aca="false">N('CC Item Pricing'!G211)</f>
        <v>0</v>
      </c>
      <c r="E227" s="98" t="n">
        <f aca="false">'CC Item Pricing'!W211</f>
        <v>0</v>
      </c>
      <c r="F227" s="96" t="n">
        <f aca="false">IF(AND(G227=1,'CC Item Pricing'!B211=""),1,0)</f>
        <v>0</v>
      </c>
      <c r="G227" s="96" t="n">
        <f aca="false">IF(D227&gt;0,1,0)</f>
        <v>0</v>
      </c>
      <c r="H227" s="0" t="str">
        <f aca="false">IF(F227=1,COUNTIF($F$4:F227,1),"")</f>
        <v/>
      </c>
      <c r="I227" s="0" t="str">
        <f aca="false">IF(G227=1,COUNTIF($G$4:G227,1),"")</f>
        <v/>
      </c>
      <c r="R227" s="0" t="str">
        <f aca="false">IF(CC_Mode="Per equipment",IFERROR(INDEX($B$4:$B$403,MATCH(224,$I$4:$I$403,0)),""),IF(CC_Mode="Per loop",IFERROR(INDEX($B$4:$B$403,MATCH(224,$H$4:$H$403,0)),""),IF(CC_Mode="Per unit",IFERROR("Chemical cleaning – "&amp;INDEX($K$4:$K$15,MATCH(224,$N$4:$N$15,0)),""),IF(224=1,"LUMP SUM – "&amp;QProject,""))))</f>
        <v/>
      </c>
      <c r="S227" s="0" t="str">
        <f aca="false">IF(CC_Mode="Per equipment",IFERROR(INDEX($C$4:$C$403,MATCH(224,$I$4:$I$403,0)),""),IF(CC_Mode="Per loop",IFERROR(INDEX($C$4:$C$403,MATCH(224,$H$4:$H$403,0)),""),IF(CC_Mode="Per unit",IFERROR(INDEX($K$4:$K$15,MATCH(224,$N$4:$N$15,0)),""),IF(224=1,"All units",""))))</f>
        <v/>
      </c>
      <c r="T227" s="0" t="str">
        <f aca="false">IF(CC_Mode="Per equipment",IFERROR(INDEX($D$4:$D$403,MATCH(224,$I$4:$I$403,0)),""),IF(CC_Mode="Per loop",IFERROR(INDEX($D$4:$D$403,MATCH(224,$H$4:$H$403,0)),""),IF(CC_Mode="Per unit",IFERROR(INDEX($M$4:$M$15,MATCH(224,$N$4:$N$15,0)),""),IF(224=1,CC_V_GrandVol,""))))</f>
        <v/>
      </c>
      <c r="U227" s="0" t="str">
        <f aca="false">IF(CC_Mode="Per equipment",IFERROR(INDEX($E$4:$E$403,MATCH(224,$I$4:$I$403,0)),""),IF(CC_Mode="Per loop",IFERROR(INDEX($E$4:$E$403,MATCH(224,$H$4:$H$403,0)),""),IF(CC_Mode="Per unit",IFERROR(INDEX($L$4:$L$15,MATCH(224,$N$4:$N$15,0)),""),IF(224=1,CC_Net,""))))</f>
        <v/>
      </c>
    </row>
    <row r="228" customFormat="false" ht="15" hidden="false" customHeight="false" outlineLevel="0" collapsed="false">
      <c r="A228" s="0" t="s">
        <v>172</v>
      </c>
      <c r="B228" s="0" t="str">
        <f aca="false">'CC Item Pricing'!C212&amp;IF('CC Item Pricing'!D212="",""," – "&amp;'CC Item Pricing'!D212)</f>
        <v/>
      </c>
      <c r="C228" s="0" t="str">
        <f aca="false">INDEX(CC_UnitNames,'CC Item Pricing'!Y212)</f>
        <v>Unit 7</v>
      </c>
      <c r="D228" s="0" t="n">
        <f aca="false">N('CC Item Pricing'!G212)</f>
        <v>0</v>
      </c>
      <c r="E228" s="98" t="n">
        <f aca="false">'CC Item Pricing'!W212</f>
        <v>0</v>
      </c>
      <c r="F228" s="96" t="n">
        <f aca="false">IF(AND(G228=1,'CC Item Pricing'!B212=""),1,0)</f>
        <v>0</v>
      </c>
      <c r="G228" s="96" t="n">
        <f aca="false">IF(D228&gt;0,1,0)</f>
        <v>0</v>
      </c>
      <c r="H228" s="0" t="str">
        <f aca="false">IF(F228=1,COUNTIF($F$4:F228,1),"")</f>
        <v/>
      </c>
      <c r="I228" s="0" t="str">
        <f aca="false">IF(G228=1,COUNTIF($G$4:G228,1),"")</f>
        <v/>
      </c>
      <c r="R228" s="0" t="str">
        <f aca="false">IF(CC_Mode="Per equipment",IFERROR(INDEX($B$4:$B$403,MATCH(225,$I$4:$I$403,0)),""),IF(CC_Mode="Per loop",IFERROR(INDEX($B$4:$B$403,MATCH(225,$H$4:$H$403,0)),""),IF(CC_Mode="Per unit",IFERROR("Chemical cleaning – "&amp;INDEX($K$4:$K$15,MATCH(225,$N$4:$N$15,0)),""),IF(225=1,"LUMP SUM – "&amp;QProject,""))))</f>
        <v/>
      </c>
      <c r="S228" s="0" t="str">
        <f aca="false">IF(CC_Mode="Per equipment",IFERROR(INDEX($C$4:$C$403,MATCH(225,$I$4:$I$403,0)),""),IF(CC_Mode="Per loop",IFERROR(INDEX($C$4:$C$403,MATCH(225,$H$4:$H$403,0)),""),IF(CC_Mode="Per unit",IFERROR(INDEX($K$4:$K$15,MATCH(225,$N$4:$N$15,0)),""),IF(225=1,"All units",""))))</f>
        <v/>
      </c>
      <c r="T228" s="0" t="str">
        <f aca="false">IF(CC_Mode="Per equipment",IFERROR(INDEX($D$4:$D$403,MATCH(225,$I$4:$I$403,0)),""),IF(CC_Mode="Per loop",IFERROR(INDEX($D$4:$D$403,MATCH(225,$H$4:$H$403,0)),""),IF(CC_Mode="Per unit",IFERROR(INDEX($M$4:$M$15,MATCH(225,$N$4:$N$15,0)),""),IF(225=1,CC_V_GrandVol,""))))</f>
        <v/>
      </c>
      <c r="U228" s="0" t="str">
        <f aca="false">IF(CC_Mode="Per equipment",IFERROR(INDEX($E$4:$E$403,MATCH(225,$I$4:$I$403,0)),""),IF(CC_Mode="Per loop",IFERROR(INDEX($E$4:$E$403,MATCH(225,$H$4:$H$403,0)),""),IF(CC_Mode="Per unit",IFERROR(INDEX($L$4:$L$15,MATCH(225,$N$4:$N$15,0)),""),IF(225=1,CC_Net,""))))</f>
        <v/>
      </c>
    </row>
    <row r="229" customFormat="false" ht="15" hidden="false" customHeight="false" outlineLevel="0" collapsed="false">
      <c r="A229" s="0" t="s">
        <v>172</v>
      </c>
      <c r="B229" s="0" t="str">
        <f aca="false">'CC Item Pricing'!C213&amp;IF('CC Item Pricing'!D213="",""," – "&amp;'CC Item Pricing'!D213)</f>
        <v/>
      </c>
      <c r="C229" s="0" t="str">
        <f aca="false">INDEX(CC_UnitNames,'CC Item Pricing'!Y213)</f>
        <v>Unit 7</v>
      </c>
      <c r="D229" s="0" t="n">
        <f aca="false">N('CC Item Pricing'!G213)</f>
        <v>0</v>
      </c>
      <c r="E229" s="98" t="n">
        <f aca="false">'CC Item Pricing'!W213</f>
        <v>0</v>
      </c>
      <c r="F229" s="96" t="n">
        <f aca="false">IF(AND(G229=1,'CC Item Pricing'!B213=""),1,0)</f>
        <v>0</v>
      </c>
      <c r="G229" s="96" t="n">
        <f aca="false">IF(D229&gt;0,1,0)</f>
        <v>0</v>
      </c>
      <c r="H229" s="0" t="str">
        <f aca="false">IF(F229=1,COUNTIF($F$4:F229,1),"")</f>
        <v/>
      </c>
      <c r="I229" s="0" t="str">
        <f aca="false">IF(G229=1,COUNTIF($G$4:G229,1),"")</f>
        <v/>
      </c>
      <c r="R229" s="0" t="str">
        <f aca="false">IF(CC_Mode="Per equipment",IFERROR(INDEX($B$4:$B$403,MATCH(226,$I$4:$I$403,0)),""),IF(CC_Mode="Per loop",IFERROR(INDEX($B$4:$B$403,MATCH(226,$H$4:$H$403,0)),""),IF(CC_Mode="Per unit",IFERROR("Chemical cleaning – "&amp;INDEX($K$4:$K$15,MATCH(226,$N$4:$N$15,0)),""),IF(226=1,"LUMP SUM – "&amp;QProject,""))))</f>
        <v/>
      </c>
      <c r="S229" s="0" t="str">
        <f aca="false">IF(CC_Mode="Per equipment",IFERROR(INDEX($C$4:$C$403,MATCH(226,$I$4:$I$403,0)),""),IF(CC_Mode="Per loop",IFERROR(INDEX($C$4:$C$403,MATCH(226,$H$4:$H$403,0)),""),IF(CC_Mode="Per unit",IFERROR(INDEX($K$4:$K$15,MATCH(226,$N$4:$N$15,0)),""),IF(226=1,"All units",""))))</f>
        <v/>
      </c>
      <c r="T229" s="0" t="str">
        <f aca="false">IF(CC_Mode="Per equipment",IFERROR(INDEX($D$4:$D$403,MATCH(226,$I$4:$I$403,0)),""),IF(CC_Mode="Per loop",IFERROR(INDEX($D$4:$D$403,MATCH(226,$H$4:$H$403,0)),""),IF(CC_Mode="Per unit",IFERROR(INDEX($M$4:$M$15,MATCH(226,$N$4:$N$15,0)),""),IF(226=1,CC_V_GrandVol,""))))</f>
        <v/>
      </c>
      <c r="U229" s="0" t="str">
        <f aca="false">IF(CC_Mode="Per equipment",IFERROR(INDEX($E$4:$E$403,MATCH(226,$I$4:$I$403,0)),""),IF(CC_Mode="Per loop",IFERROR(INDEX($E$4:$E$403,MATCH(226,$H$4:$H$403,0)),""),IF(CC_Mode="Per unit",IFERROR(INDEX($L$4:$L$15,MATCH(226,$N$4:$N$15,0)),""),IF(226=1,CC_Net,""))))</f>
        <v/>
      </c>
    </row>
    <row r="230" customFormat="false" ht="15" hidden="false" customHeight="false" outlineLevel="0" collapsed="false">
      <c r="A230" s="0" t="s">
        <v>172</v>
      </c>
      <c r="B230" s="0" t="str">
        <f aca="false">'CC Item Pricing'!C214&amp;IF('CC Item Pricing'!D214="",""," – "&amp;'CC Item Pricing'!D214)</f>
        <v/>
      </c>
      <c r="C230" s="0" t="str">
        <f aca="false">INDEX(CC_UnitNames,'CC Item Pricing'!Y214)</f>
        <v>Unit 7</v>
      </c>
      <c r="D230" s="0" t="n">
        <f aca="false">N('CC Item Pricing'!G214)</f>
        <v>0</v>
      </c>
      <c r="E230" s="98" t="n">
        <f aca="false">'CC Item Pricing'!W214</f>
        <v>0</v>
      </c>
      <c r="F230" s="96" t="n">
        <f aca="false">IF(AND(G230=1,'CC Item Pricing'!B214=""),1,0)</f>
        <v>0</v>
      </c>
      <c r="G230" s="96" t="n">
        <f aca="false">IF(D230&gt;0,1,0)</f>
        <v>0</v>
      </c>
      <c r="H230" s="0" t="str">
        <f aca="false">IF(F230=1,COUNTIF($F$4:F230,1),"")</f>
        <v/>
      </c>
      <c r="I230" s="0" t="str">
        <f aca="false">IF(G230=1,COUNTIF($G$4:G230,1),"")</f>
        <v/>
      </c>
      <c r="R230" s="0" t="str">
        <f aca="false">IF(CC_Mode="Per equipment",IFERROR(INDEX($B$4:$B$403,MATCH(227,$I$4:$I$403,0)),""),IF(CC_Mode="Per loop",IFERROR(INDEX($B$4:$B$403,MATCH(227,$H$4:$H$403,0)),""),IF(CC_Mode="Per unit",IFERROR("Chemical cleaning – "&amp;INDEX($K$4:$K$15,MATCH(227,$N$4:$N$15,0)),""),IF(227=1,"LUMP SUM – "&amp;QProject,""))))</f>
        <v/>
      </c>
      <c r="S230" s="0" t="str">
        <f aca="false">IF(CC_Mode="Per equipment",IFERROR(INDEX($C$4:$C$403,MATCH(227,$I$4:$I$403,0)),""),IF(CC_Mode="Per loop",IFERROR(INDEX($C$4:$C$403,MATCH(227,$H$4:$H$403,0)),""),IF(CC_Mode="Per unit",IFERROR(INDEX($K$4:$K$15,MATCH(227,$N$4:$N$15,0)),""),IF(227=1,"All units",""))))</f>
        <v/>
      </c>
      <c r="T230" s="0" t="str">
        <f aca="false">IF(CC_Mode="Per equipment",IFERROR(INDEX($D$4:$D$403,MATCH(227,$I$4:$I$403,0)),""),IF(CC_Mode="Per loop",IFERROR(INDEX($D$4:$D$403,MATCH(227,$H$4:$H$403,0)),""),IF(CC_Mode="Per unit",IFERROR(INDEX($M$4:$M$15,MATCH(227,$N$4:$N$15,0)),""),IF(227=1,CC_V_GrandVol,""))))</f>
        <v/>
      </c>
      <c r="U230" s="0" t="str">
        <f aca="false">IF(CC_Mode="Per equipment",IFERROR(INDEX($E$4:$E$403,MATCH(227,$I$4:$I$403,0)),""),IF(CC_Mode="Per loop",IFERROR(INDEX($E$4:$E$403,MATCH(227,$H$4:$H$403,0)),""),IF(CC_Mode="Per unit",IFERROR(INDEX($L$4:$L$15,MATCH(227,$N$4:$N$15,0)),""),IF(227=1,CC_Net,""))))</f>
        <v/>
      </c>
    </row>
    <row r="231" customFormat="false" ht="15" hidden="false" customHeight="false" outlineLevel="0" collapsed="false">
      <c r="A231" s="0" t="s">
        <v>172</v>
      </c>
      <c r="B231" s="0" t="str">
        <f aca="false">'CC Item Pricing'!C215&amp;IF('CC Item Pricing'!D215="",""," – "&amp;'CC Item Pricing'!D215)</f>
        <v/>
      </c>
      <c r="C231" s="0" t="str">
        <f aca="false">INDEX(CC_UnitNames,'CC Item Pricing'!Y215)</f>
        <v>Unit 7</v>
      </c>
      <c r="D231" s="0" t="n">
        <f aca="false">N('CC Item Pricing'!G215)</f>
        <v>0</v>
      </c>
      <c r="E231" s="98" t="n">
        <f aca="false">'CC Item Pricing'!W215</f>
        <v>0</v>
      </c>
      <c r="F231" s="96" t="n">
        <f aca="false">IF(AND(G231=1,'CC Item Pricing'!B215=""),1,0)</f>
        <v>0</v>
      </c>
      <c r="G231" s="96" t="n">
        <f aca="false">IF(D231&gt;0,1,0)</f>
        <v>0</v>
      </c>
      <c r="H231" s="0" t="str">
        <f aca="false">IF(F231=1,COUNTIF($F$4:F231,1),"")</f>
        <v/>
      </c>
      <c r="I231" s="0" t="str">
        <f aca="false">IF(G231=1,COUNTIF($G$4:G231,1),"")</f>
        <v/>
      </c>
      <c r="R231" s="0" t="str">
        <f aca="false">IF(CC_Mode="Per equipment",IFERROR(INDEX($B$4:$B$403,MATCH(228,$I$4:$I$403,0)),""),IF(CC_Mode="Per loop",IFERROR(INDEX($B$4:$B$403,MATCH(228,$H$4:$H$403,0)),""),IF(CC_Mode="Per unit",IFERROR("Chemical cleaning – "&amp;INDEX($K$4:$K$15,MATCH(228,$N$4:$N$15,0)),""),IF(228=1,"LUMP SUM – "&amp;QProject,""))))</f>
        <v/>
      </c>
      <c r="S231" s="0" t="str">
        <f aca="false">IF(CC_Mode="Per equipment",IFERROR(INDEX($C$4:$C$403,MATCH(228,$I$4:$I$403,0)),""),IF(CC_Mode="Per loop",IFERROR(INDEX($C$4:$C$403,MATCH(228,$H$4:$H$403,0)),""),IF(CC_Mode="Per unit",IFERROR(INDEX($K$4:$K$15,MATCH(228,$N$4:$N$15,0)),""),IF(228=1,"All units",""))))</f>
        <v/>
      </c>
      <c r="T231" s="0" t="str">
        <f aca="false">IF(CC_Mode="Per equipment",IFERROR(INDEX($D$4:$D$403,MATCH(228,$I$4:$I$403,0)),""),IF(CC_Mode="Per loop",IFERROR(INDEX($D$4:$D$403,MATCH(228,$H$4:$H$403,0)),""),IF(CC_Mode="Per unit",IFERROR(INDEX($M$4:$M$15,MATCH(228,$N$4:$N$15,0)),""),IF(228=1,CC_V_GrandVol,""))))</f>
        <v/>
      </c>
      <c r="U231" s="0" t="str">
        <f aca="false">IF(CC_Mode="Per equipment",IFERROR(INDEX($E$4:$E$403,MATCH(228,$I$4:$I$403,0)),""),IF(CC_Mode="Per loop",IFERROR(INDEX($E$4:$E$403,MATCH(228,$H$4:$H$403,0)),""),IF(CC_Mode="Per unit",IFERROR(INDEX($L$4:$L$15,MATCH(228,$N$4:$N$15,0)),""),IF(228=1,CC_Net,""))))</f>
        <v/>
      </c>
    </row>
    <row r="232" customFormat="false" ht="15" hidden="false" customHeight="false" outlineLevel="0" collapsed="false">
      <c r="A232" s="0" t="s">
        <v>172</v>
      </c>
      <c r="B232" s="0" t="str">
        <f aca="false">'CC Item Pricing'!C216&amp;IF('CC Item Pricing'!D216="",""," – "&amp;'CC Item Pricing'!D216)</f>
        <v/>
      </c>
      <c r="C232" s="0" t="str">
        <f aca="false">INDEX(CC_UnitNames,'CC Item Pricing'!Y216)</f>
        <v>Unit 7</v>
      </c>
      <c r="D232" s="0" t="n">
        <f aca="false">N('CC Item Pricing'!G216)</f>
        <v>0</v>
      </c>
      <c r="E232" s="98" t="n">
        <f aca="false">'CC Item Pricing'!W216</f>
        <v>0</v>
      </c>
      <c r="F232" s="96" t="n">
        <f aca="false">IF(AND(G232=1,'CC Item Pricing'!B216=""),1,0)</f>
        <v>0</v>
      </c>
      <c r="G232" s="96" t="n">
        <f aca="false">IF(D232&gt;0,1,0)</f>
        <v>0</v>
      </c>
      <c r="H232" s="0" t="str">
        <f aca="false">IF(F232=1,COUNTIF($F$4:F232,1),"")</f>
        <v/>
      </c>
      <c r="I232" s="0" t="str">
        <f aca="false">IF(G232=1,COUNTIF($G$4:G232,1),"")</f>
        <v/>
      </c>
      <c r="R232" s="0" t="str">
        <f aca="false">IF(CC_Mode="Per equipment",IFERROR(INDEX($B$4:$B$403,MATCH(229,$I$4:$I$403,0)),""),IF(CC_Mode="Per loop",IFERROR(INDEX($B$4:$B$403,MATCH(229,$H$4:$H$403,0)),""),IF(CC_Mode="Per unit",IFERROR("Chemical cleaning – "&amp;INDEX($K$4:$K$15,MATCH(229,$N$4:$N$15,0)),""),IF(229=1,"LUMP SUM – "&amp;QProject,""))))</f>
        <v/>
      </c>
      <c r="S232" s="0" t="str">
        <f aca="false">IF(CC_Mode="Per equipment",IFERROR(INDEX($C$4:$C$403,MATCH(229,$I$4:$I$403,0)),""),IF(CC_Mode="Per loop",IFERROR(INDEX($C$4:$C$403,MATCH(229,$H$4:$H$403,0)),""),IF(CC_Mode="Per unit",IFERROR(INDEX($K$4:$K$15,MATCH(229,$N$4:$N$15,0)),""),IF(229=1,"All units",""))))</f>
        <v/>
      </c>
      <c r="T232" s="0" t="str">
        <f aca="false">IF(CC_Mode="Per equipment",IFERROR(INDEX($D$4:$D$403,MATCH(229,$I$4:$I$403,0)),""),IF(CC_Mode="Per loop",IFERROR(INDEX($D$4:$D$403,MATCH(229,$H$4:$H$403,0)),""),IF(CC_Mode="Per unit",IFERROR(INDEX($M$4:$M$15,MATCH(229,$N$4:$N$15,0)),""),IF(229=1,CC_V_GrandVol,""))))</f>
        <v/>
      </c>
      <c r="U232" s="0" t="str">
        <f aca="false">IF(CC_Mode="Per equipment",IFERROR(INDEX($E$4:$E$403,MATCH(229,$I$4:$I$403,0)),""),IF(CC_Mode="Per loop",IFERROR(INDEX($E$4:$E$403,MATCH(229,$H$4:$H$403,0)),""),IF(CC_Mode="Per unit",IFERROR(INDEX($L$4:$L$15,MATCH(229,$N$4:$N$15,0)),""),IF(229=1,CC_Net,""))))</f>
        <v/>
      </c>
    </row>
    <row r="233" customFormat="false" ht="15" hidden="false" customHeight="false" outlineLevel="0" collapsed="false">
      <c r="A233" s="0" t="s">
        <v>172</v>
      </c>
      <c r="B233" s="0" t="str">
        <f aca="false">'CC Item Pricing'!C217&amp;IF('CC Item Pricing'!D217="",""," – "&amp;'CC Item Pricing'!D217)</f>
        <v/>
      </c>
      <c r="C233" s="0" t="str">
        <f aca="false">INDEX(CC_UnitNames,'CC Item Pricing'!Y217)</f>
        <v>Unit 7</v>
      </c>
      <c r="D233" s="0" t="n">
        <f aca="false">N('CC Item Pricing'!G217)</f>
        <v>0</v>
      </c>
      <c r="E233" s="98" t="n">
        <f aca="false">'CC Item Pricing'!W217</f>
        <v>0</v>
      </c>
      <c r="F233" s="96" t="n">
        <f aca="false">IF(AND(G233=1,'CC Item Pricing'!B217=""),1,0)</f>
        <v>0</v>
      </c>
      <c r="G233" s="96" t="n">
        <f aca="false">IF(D233&gt;0,1,0)</f>
        <v>0</v>
      </c>
      <c r="H233" s="0" t="str">
        <f aca="false">IF(F233=1,COUNTIF($F$4:F233,1),"")</f>
        <v/>
      </c>
      <c r="I233" s="0" t="str">
        <f aca="false">IF(G233=1,COUNTIF($G$4:G233,1),"")</f>
        <v/>
      </c>
      <c r="R233" s="0" t="str">
        <f aca="false">IF(CC_Mode="Per equipment",IFERROR(INDEX($B$4:$B$403,MATCH(230,$I$4:$I$403,0)),""),IF(CC_Mode="Per loop",IFERROR(INDEX($B$4:$B$403,MATCH(230,$H$4:$H$403,0)),""),IF(CC_Mode="Per unit",IFERROR("Chemical cleaning – "&amp;INDEX($K$4:$K$15,MATCH(230,$N$4:$N$15,0)),""),IF(230=1,"LUMP SUM – "&amp;QProject,""))))</f>
        <v/>
      </c>
      <c r="S233" s="0" t="str">
        <f aca="false">IF(CC_Mode="Per equipment",IFERROR(INDEX($C$4:$C$403,MATCH(230,$I$4:$I$403,0)),""),IF(CC_Mode="Per loop",IFERROR(INDEX($C$4:$C$403,MATCH(230,$H$4:$H$403,0)),""),IF(CC_Mode="Per unit",IFERROR(INDEX($K$4:$K$15,MATCH(230,$N$4:$N$15,0)),""),IF(230=1,"All units",""))))</f>
        <v/>
      </c>
      <c r="T233" s="0" t="str">
        <f aca="false">IF(CC_Mode="Per equipment",IFERROR(INDEX($D$4:$D$403,MATCH(230,$I$4:$I$403,0)),""),IF(CC_Mode="Per loop",IFERROR(INDEX($D$4:$D$403,MATCH(230,$H$4:$H$403,0)),""),IF(CC_Mode="Per unit",IFERROR(INDEX($M$4:$M$15,MATCH(230,$N$4:$N$15,0)),""),IF(230=1,CC_V_GrandVol,""))))</f>
        <v/>
      </c>
      <c r="U233" s="0" t="str">
        <f aca="false">IF(CC_Mode="Per equipment",IFERROR(INDEX($E$4:$E$403,MATCH(230,$I$4:$I$403,0)),""),IF(CC_Mode="Per loop",IFERROR(INDEX($E$4:$E$403,MATCH(230,$H$4:$H$403,0)),""),IF(CC_Mode="Per unit",IFERROR(INDEX($L$4:$L$15,MATCH(230,$N$4:$N$15,0)),""),IF(230=1,CC_Net,""))))</f>
        <v/>
      </c>
    </row>
    <row r="234" customFormat="false" ht="15" hidden="false" customHeight="false" outlineLevel="0" collapsed="false">
      <c r="A234" s="0" t="s">
        <v>172</v>
      </c>
      <c r="B234" s="0" t="str">
        <f aca="false">'CC Item Pricing'!C218&amp;IF('CC Item Pricing'!D218="",""," – "&amp;'CC Item Pricing'!D218)</f>
        <v/>
      </c>
      <c r="C234" s="0" t="str">
        <f aca="false">INDEX(CC_UnitNames,'CC Item Pricing'!Y218)</f>
        <v>Unit 7</v>
      </c>
      <c r="D234" s="0" t="n">
        <f aca="false">N('CC Item Pricing'!G218)</f>
        <v>0</v>
      </c>
      <c r="E234" s="98" t="n">
        <f aca="false">'CC Item Pricing'!W218</f>
        <v>0</v>
      </c>
      <c r="F234" s="96" t="n">
        <f aca="false">IF(AND(G234=1,'CC Item Pricing'!B218=""),1,0)</f>
        <v>0</v>
      </c>
      <c r="G234" s="96" t="n">
        <f aca="false">IF(D234&gt;0,1,0)</f>
        <v>0</v>
      </c>
      <c r="H234" s="0" t="str">
        <f aca="false">IF(F234=1,COUNTIF($F$4:F234,1),"")</f>
        <v/>
      </c>
      <c r="I234" s="0" t="str">
        <f aca="false">IF(G234=1,COUNTIF($G$4:G234,1),"")</f>
        <v/>
      </c>
      <c r="R234" s="0" t="str">
        <f aca="false">IF(CC_Mode="Per equipment",IFERROR(INDEX($B$4:$B$403,MATCH(231,$I$4:$I$403,0)),""),IF(CC_Mode="Per loop",IFERROR(INDEX($B$4:$B$403,MATCH(231,$H$4:$H$403,0)),""),IF(CC_Mode="Per unit",IFERROR("Chemical cleaning – "&amp;INDEX($K$4:$K$15,MATCH(231,$N$4:$N$15,0)),""),IF(231=1,"LUMP SUM – "&amp;QProject,""))))</f>
        <v/>
      </c>
      <c r="S234" s="0" t="str">
        <f aca="false">IF(CC_Mode="Per equipment",IFERROR(INDEX($C$4:$C$403,MATCH(231,$I$4:$I$403,0)),""),IF(CC_Mode="Per loop",IFERROR(INDEX($C$4:$C$403,MATCH(231,$H$4:$H$403,0)),""),IF(CC_Mode="Per unit",IFERROR(INDEX($K$4:$K$15,MATCH(231,$N$4:$N$15,0)),""),IF(231=1,"All units",""))))</f>
        <v/>
      </c>
      <c r="T234" s="0" t="str">
        <f aca="false">IF(CC_Mode="Per equipment",IFERROR(INDEX($D$4:$D$403,MATCH(231,$I$4:$I$403,0)),""),IF(CC_Mode="Per loop",IFERROR(INDEX($D$4:$D$403,MATCH(231,$H$4:$H$403,0)),""),IF(CC_Mode="Per unit",IFERROR(INDEX($M$4:$M$15,MATCH(231,$N$4:$N$15,0)),""),IF(231=1,CC_V_GrandVol,""))))</f>
        <v/>
      </c>
      <c r="U234" s="0" t="str">
        <f aca="false">IF(CC_Mode="Per equipment",IFERROR(INDEX($E$4:$E$403,MATCH(231,$I$4:$I$403,0)),""),IF(CC_Mode="Per loop",IFERROR(INDEX($E$4:$E$403,MATCH(231,$H$4:$H$403,0)),""),IF(CC_Mode="Per unit",IFERROR(INDEX($L$4:$L$15,MATCH(231,$N$4:$N$15,0)),""),IF(231=1,CC_Net,""))))</f>
        <v/>
      </c>
    </row>
    <row r="235" customFormat="false" ht="15" hidden="false" customHeight="false" outlineLevel="0" collapsed="false">
      <c r="A235" s="0" t="s">
        <v>172</v>
      </c>
      <c r="B235" s="0" t="str">
        <f aca="false">'CC Item Pricing'!C219&amp;IF('CC Item Pricing'!D219="",""," – "&amp;'CC Item Pricing'!D219)</f>
        <v/>
      </c>
      <c r="C235" s="0" t="str">
        <f aca="false">INDEX(CC_UnitNames,'CC Item Pricing'!Y219)</f>
        <v>Unit 7</v>
      </c>
      <c r="D235" s="0" t="n">
        <f aca="false">N('CC Item Pricing'!G219)</f>
        <v>0</v>
      </c>
      <c r="E235" s="98" t="n">
        <f aca="false">'CC Item Pricing'!W219</f>
        <v>0</v>
      </c>
      <c r="F235" s="96" t="n">
        <f aca="false">IF(AND(G235=1,'CC Item Pricing'!B219=""),1,0)</f>
        <v>0</v>
      </c>
      <c r="G235" s="96" t="n">
        <f aca="false">IF(D235&gt;0,1,0)</f>
        <v>0</v>
      </c>
      <c r="H235" s="0" t="str">
        <f aca="false">IF(F235=1,COUNTIF($F$4:F235,1),"")</f>
        <v/>
      </c>
      <c r="I235" s="0" t="str">
        <f aca="false">IF(G235=1,COUNTIF($G$4:G235,1),"")</f>
        <v/>
      </c>
      <c r="R235" s="0" t="str">
        <f aca="false">IF(CC_Mode="Per equipment",IFERROR(INDEX($B$4:$B$403,MATCH(232,$I$4:$I$403,0)),""),IF(CC_Mode="Per loop",IFERROR(INDEX($B$4:$B$403,MATCH(232,$H$4:$H$403,0)),""),IF(CC_Mode="Per unit",IFERROR("Chemical cleaning – "&amp;INDEX($K$4:$K$15,MATCH(232,$N$4:$N$15,0)),""),IF(232=1,"LUMP SUM – "&amp;QProject,""))))</f>
        <v/>
      </c>
      <c r="S235" s="0" t="str">
        <f aca="false">IF(CC_Mode="Per equipment",IFERROR(INDEX($C$4:$C$403,MATCH(232,$I$4:$I$403,0)),""),IF(CC_Mode="Per loop",IFERROR(INDEX($C$4:$C$403,MATCH(232,$H$4:$H$403,0)),""),IF(CC_Mode="Per unit",IFERROR(INDEX($K$4:$K$15,MATCH(232,$N$4:$N$15,0)),""),IF(232=1,"All units",""))))</f>
        <v/>
      </c>
      <c r="T235" s="0" t="str">
        <f aca="false">IF(CC_Mode="Per equipment",IFERROR(INDEX($D$4:$D$403,MATCH(232,$I$4:$I$403,0)),""),IF(CC_Mode="Per loop",IFERROR(INDEX($D$4:$D$403,MATCH(232,$H$4:$H$403,0)),""),IF(CC_Mode="Per unit",IFERROR(INDEX($M$4:$M$15,MATCH(232,$N$4:$N$15,0)),""),IF(232=1,CC_V_GrandVol,""))))</f>
        <v/>
      </c>
      <c r="U235" s="0" t="str">
        <f aca="false">IF(CC_Mode="Per equipment",IFERROR(INDEX($E$4:$E$403,MATCH(232,$I$4:$I$403,0)),""),IF(CC_Mode="Per loop",IFERROR(INDEX($E$4:$E$403,MATCH(232,$H$4:$H$403,0)),""),IF(CC_Mode="Per unit",IFERROR(INDEX($L$4:$L$15,MATCH(232,$N$4:$N$15,0)),""),IF(232=1,CC_Net,""))))</f>
        <v/>
      </c>
    </row>
    <row r="236" customFormat="false" ht="15" hidden="false" customHeight="false" outlineLevel="0" collapsed="false">
      <c r="A236" s="0" t="s">
        <v>172</v>
      </c>
      <c r="B236" s="0" t="str">
        <f aca="false">'CC Item Pricing'!C220&amp;IF('CC Item Pricing'!D220="",""," – "&amp;'CC Item Pricing'!D220)</f>
        <v/>
      </c>
      <c r="C236" s="0" t="str">
        <f aca="false">INDEX(CC_UnitNames,'CC Item Pricing'!Y220)</f>
        <v>Unit 7</v>
      </c>
      <c r="D236" s="0" t="n">
        <f aca="false">N('CC Item Pricing'!G220)</f>
        <v>0</v>
      </c>
      <c r="E236" s="98" t="n">
        <f aca="false">'CC Item Pricing'!W220</f>
        <v>0</v>
      </c>
      <c r="F236" s="96" t="n">
        <f aca="false">IF(AND(G236=1,'CC Item Pricing'!B220=""),1,0)</f>
        <v>0</v>
      </c>
      <c r="G236" s="96" t="n">
        <f aca="false">IF(D236&gt;0,1,0)</f>
        <v>0</v>
      </c>
      <c r="H236" s="0" t="str">
        <f aca="false">IF(F236=1,COUNTIF($F$4:F236,1),"")</f>
        <v/>
      </c>
      <c r="I236" s="0" t="str">
        <f aca="false">IF(G236=1,COUNTIF($G$4:G236,1),"")</f>
        <v/>
      </c>
      <c r="R236" s="0" t="str">
        <f aca="false">IF(CC_Mode="Per equipment",IFERROR(INDEX($B$4:$B$403,MATCH(233,$I$4:$I$403,0)),""),IF(CC_Mode="Per loop",IFERROR(INDEX($B$4:$B$403,MATCH(233,$H$4:$H$403,0)),""),IF(CC_Mode="Per unit",IFERROR("Chemical cleaning – "&amp;INDEX($K$4:$K$15,MATCH(233,$N$4:$N$15,0)),""),IF(233=1,"LUMP SUM – "&amp;QProject,""))))</f>
        <v/>
      </c>
      <c r="S236" s="0" t="str">
        <f aca="false">IF(CC_Mode="Per equipment",IFERROR(INDEX($C$4:$C$403,MATCH(233,$I$4:$I$403,0)),""),IF(CC_Mode="Per loop",IFERROR(INDEX($C$4:$C$403,MATCH(233,$H$4:$H$403,0)),""),IF(CC_Mode="Per unit",IFERROR(INDEX($K$4:$K$15,MATCH(233,$N$4:$N$15,0)),""),IF(233=1,"All units",""))))</f>
        <v/>
      </c>
      <c r="T236" s="0" t="str">
        <f aca="false">IF(CC_Mode="Per equipment",IFERROR(INDEX($D$4:$D$403,MATCH(233,$I$4:$I$403,0)),""),IF(CC_Mode="Per loop",IFERROR(INDEX($D$4:$D$403,MATCH(233,$H$4:$H$403,0)),""),IF(CC_Mode="Per unit",IFERROR(INDEX($M$4:$M$15,MATCH(233,$N$4:$N$15,0)),""),IF(233=1,CC_V_GrandVol,""))))</f>
        <v/>
      </c>
      <c r="U236" s="0" t="str">
        <f aca="false">IF(CC_Mode="Per equipment",IFERROR(INDEX($E$4:$E$403,MATCH(233,$I$4:$I$403,0)),""),IF(CC_Mode="Per loop",IFERROR(INDEX($E$4:$E$403,MATCH(233,$H$4:$H$403,0)),""),IF(CC_Mode="Per unit",IFERROR(INDEX($L$4:$L$15,MATCH(233,$N$4:$N$15,0)),""),IF(233=1,CC_Net,""))))</f>
        <v/>
      </c>
    </row>
    <row r="237" customFormat="false" ht="15" hidden="false" customHeight="false" outlineLevel="0" collapsed="false">
      <c r="A237" s="0" t="s">
        <v>172</v>
      </c>
      <c r="B237" s="0" t="str">
        <f aca="false">'CC Item Pricing'!C221&amp;IF('CC Item Pricing'!D221="",""," – "&amp;'CC Item Pricing'!D221)</f>
        <v/>
      </c>
      <c r="C237" s="0" t="str">
        <f aca="false">INDEX(CC_UnitNames,'CC Item Pricing'!Y221)</f>
        <v>Unit 7</v>
      </c>
      <c r="D237" s="0" t="n">
        <f aca="false">N('CC Item Pricing'!G221)</f>
        <v>0</v>
      </c>
      <c r="E237" s="98" t="n">
        <f aca="false">'CC Item Pricing'!W221</f>
        <v>0</v>
      </c>
      <c r="F237" s="96" t="n">
        <f aca="false">IF(AND(G237=1,'CC Item Pricing'!B221=""),1,0)</f>
        <v>0</v>
      </c>
      <c r="G237" s="96" t="n">
        <f aca="false">IF(D237&gt;0,1,0)</f>
        <v>0</v>
      </c>
      <c r="H237" s="0" t="str">
        <f aca="false">IF(F237=1,COUNTIF($F$4:F237,1),"")</f>
        <v/>
      </c>
      <c r="I237" s="0" t="str">
        <f aca="false">IF(G237=1,COUNTIF($G$4:G237,1),"")</f>
        <v/>
      </c>
      <c r="R237" s="0" t="str">
        <f aca="false">IF(CC_Mode="Per equipment",IFERROR(INDEX($B$4:$B$403,MATCH(234,$I$4:$I$403,0)),""),IF(CC_Mode="Per loop",IFERROR(INDEX($B$4:$B$403,MATCH(234,$H$4:$H$403,0)),""),IF(CC_Mode="Per unit",IFERROR("Chemical cleaning – "&amp;INDEX($K$4:$K$15,MATCH(234,$N$4:$N$15,0)),""),IF(234=1,"LUMP SUM – "&amp;QProject,""))))</f>
        <v/>
      </c>
      <c r="S237" s="0" t="str">
        <f aca="false">IF(CC_Mode="Per equipment",IFERROR(INDEX($C$4:$C$403,MATCH(234,$I$4:$I$403,0)),""),IF(CC_Mode="Per loop",IFERROR(INDEX($C$4:$C$403,MATCH(234,$H$4:$H$403,0)),""),IF(CC_Mode="Per unit",IFERROR(INDEX($K$4:$K$15,MATCH(234,$N$4:$N$15,0)),""),IF(234=1,"All units",""))))</f>
        <v/>
      </c>
      <c r="T237" s="0" t="str">
        <f aca="false">IF(CC_Mode="Per equipment",IFERROR(INDEX($D$4:$D$403,MATCH(234,$I$4:$I$403,0)),""),IF(CC_Mode="Per loop",IFERROR(INDEX($D$4:$D$403,MATCH(234,$H$4:$H$403,0)),""),IF(CC_Mode="Per unit",IFERROR(INDEX($M$4:$M$15,MATCH(234,$N$4:$N$15,0)),""),IF(234=1,CC_V_GrandVol,""))))</f>
        <v/>
      </c>
      <c r="U237" s="0" t="str">
        <f aca="false">IF(CC_Mode="Per equipment",IFERROR(INDEX($E$4:$E$403,MATCH(234,$I$4:$I$403,0)),""),IF(CC_Mode="Per loop",IFERROR(INDEX($E$4:$E$403,MATCH(234,$H$4:$H$403,0)),""),IF(CC_Mode="Per unit",IFERROR(INDEX($L$4:$L$15,MATCH(234,$N$4:$N$15,0)),""),IF(234=1,CC_Net,""))))</f>
        <v/>
      </c>
    </row>
    <row r="238" customFormat="false" ht="15" hidden="false" customHeight="false" outlineLevel="0" collapsed="false">
      <c r="A238" s="0" t="s">
        <v>172</v>
      </c>
      <c r="B238" s="0" t="str">
        <f aca="false">'CC Item Pricing'!C222&amp;IF('CC Item Pricing'!D222="",""," – "&amp;'CC Item Pricing'!D222)</f>
        <v/>
      </c>
      <c r="C238" s="0" t="str">
        <f aca="false">INDEX(CC_UnitNames,'CC Item Pricing'!Y222)</f>
        <v>Unit 7</v>
      </c>
      <c r="D238" s="0" t="n">
        <f aca="false">N('CC Item Pricing'!G222)</f>
        <v>0</v>
      </c>
      <c r="E238" s="98" t="n">
        <f aca="false">'CC Item Pricing'!W222</f>
        <v>0</v>
      </c>
      <c r="F238" s="96" t="n">
        <f aca="false">IF(AND(G238=1,'CC Item Pricing'!B222=""),1,0)</f>
        <v>0</v>
      </c>
      <c r="G238" s="96" t="n">
        <f aca="false">IF(D238&gt;0,1,0)</f>
        <v>0</v>
      </c>
      <c r="H238" s="0" t="str">
        <f aca="false">IF(F238=1,COUNTIF($F$4:F238,1),"")</f>
        <v/>
      </c>
      <c r="I238" s="0" t="str">
        <f aca="false">IF(G238=1,COUNTIF($G$4:G238,1),"")</f>
        <v/>
      </c>
      <c r="R238" s="0" t="str">
        <f aca="false">IF(CC_Mode="Per equipment",IFERROR(INDEX($B$4:$B$403,MATCH(235,$I$4:$I$403,0)),""),IF(CC_Mode="Per loop",IFERROR(INDEX($B$4:$B$403,MATCH(235,$H$4:$H$403,0)),""),IF(CC_Mode="Per unit",IFERROR("Chemical cleaning – "&amp;INDEX($K$4:$K$15,MATCH(235,$N$4:$N$15,0)),""),IF(235=1,"LUMP SUM – "&amp;QProject,""))))</f>
        <v/>
      </c>
      <c r="S238" s="0" t="str">
        <f aca="false">IF(CC_Mode="Per equipment",IFERROR(INDEX($C$4:$C$403,MATCH(235,$I$4:$I$403,0)),""),IF(CC_Mode="Per loop",IFERROR(INDEX($C$4:$C$403,MATCH(235,$H$4:$H$403,0)),""),IF(CC_Mode="Per unit",IFERROR(INDEX($K$4:$K$15,MATCH(235,$N$4:$N$15,0)),""),IF(235=1,"All units",""))))</f>
        <v/>
      </c>
      <c r="T238" s="0" t="str">
        <f aca="false">IF(CC_Mode="Per equipment",IFERROR(INDEX($D$4:$D$403,MATCH(235,$I$4:$I$403,0)),""),IF(CC_Mode="Per loop",IFERROR(INDEX($D$4:$D$403,MATCH(235,$H$4:$H$403,0)),""),IF(CC_Mode="Per unit",IFERROR(INDEX($M$4:$M$15,MATCH(235,$N$4:$N$15,0)),""),IF(235=1,CC_V_GrandVol,""))))</f>
        <v/>
      </c>
      <c r="U238" s="0" t="str">
        <f aca="false">IF(CC_Mode="Per equipment",IFERROR(INDEX($E$4:$E$403,MATCH(235,$I$4:$I$403,0)),""),IF(CC_Mode="Per loop",IFERROR(INDEX($E$4:$E$403,MATCH(235,$H$4:$H$403,0)),""),IF(CC_Mode="Per unit",IFERROR(INDEX($L$4:$L$15,MATCH(235,$N$4:$N$15,0)),""),IF(235=1,CC_Net,""))))</f>
        <v/>
      </c>
    </row>
    <row r="239" customFormat="false" ht="15" hidden="false" customHeight="false" outlineLevel="0" collapsed="false">
      <c r="A239" s="0" t="s">
        <v>172</v>
      </c>
      <c r="B239" s="0" t="str">
        <f aca="false">'CC Item Pricing'!C223&amp;IF('CC Item Pricing'!D223="",""," – "&amp;'CC Item Pricing'!D223)</f>
        <v/>
      </c>
      <c r="C239" s="0" t="str">
        <f aca="false">INDEX(CC_UnitNames,'CC Item Pricing'!Y223)</f>
        <v>Unit 7</v>
      </c>
      <c r="D239" s="0" t="n">
        <f aca="false">N('CC Item Pricing'!G223)</f>
        <v>0</v>
      </c>
      <c r="E239" s="98" t="n">
        <f aca="false">'CC Item Pricing'!W223</f>
        <v>0</v>
      </c>
      <c r="F239" s="96" t="n">
        <f aca="false">IF(AND(G239=1,'CC Item Pricing'!B223=""),1,0)</f>
        <v>0</v>
      </c>
      <c r="G239" s="96" t="n">
        <f aca="false">IF(D239&gt;0,1,0)</f>
        <v>0</v>
      </c>
      <c r="H239" s="0" t="str">
        <f aca="false">IF(F239=1,COUNTIF($F$4:F239,1),"")</f>
        <v/>
      </c>
      <c r="I239" s="0" t="str">
        <f aca="false">IF(G239=1,COUNTIF($G$4:G239,1),"")</f>
        <v/>
      </c>
      <c r="R239" s="0" t="str">
        <f aca="false">IF(CC_Mode="Per equipment",IFERROR(INDEX($B$4:$B$403,MATCH(236,$I$4:$I$403,0)),""),IF(CC_Mode="Per loop",IFERROR(INDEX($B$4:$B$403,MATCH(236,$H$4:$H$403,0)),""),IF(CC_Mode="Per unit",IFERROR("Chemical cleaning – "&amp;INDEX($K$4:$K$15,MATCH(236,$N$4:$N$15,0)),""),IF(236=1,"LUMP SUM – "&amp;QProject,""))))</f>
        <v/>
      </c>
      <c r="S239" s="0" t="str">
        <f aca="false">IF(CC_Mode="Per equipment",IFERROR(INDEX($C$4:$C$403,MATCH(236,$I$4:$I$403,0)),""),IF(CC_Mode="Per loop",IFERROR(INDEX($C$4:$C$403,MATCH(236,$H$4:$H$403,0)),""),IF(CC_Mode="Per unit",IFERROR(INDEX($K$4:$K$15,MATCH(236,$N$4:$N$15,0)),""),IF(236=1,"All units",""))))</f>
        <v/>
      </c>
      <c r="T239" s="0" t="str">
        <f aca="false">IF(CC_Mode="Per equipment",IFERROR(INDEX($D$4:$D$403,MATCH(236,$I$4:$I$403,0)),""),IF(CC_Mode="Per loop",IFERROR(INDEX($D$4:$D$403,MATCH(236,$H$4:$H$403,0)),""),IF(CC_Mode="Per unit",IFERROR(INDEX($M$4:$M$15,MATCH(236,$N$4:$N$15,0)),""),IF(236=1,CC_V_GrandVol,""))))</f>
        <v/>
      </c>
      <c r="U239" s="0" t="str">
        <f aca="false">IF(CC_Mode="Per equipment",IFERROR(INDEX($E$4:$E$403,MATCH(236,$I$4:$I$403,0)),""),IF(CC_Mode="Per loop",IFERROR(INDEX($E$4:$E$403,MATCH(236,$H$4:$H$403,0)),""),IF(CC_Mode="Per unit",IFERROR(INDEX($L$4:$L$15,MATCH(236,$N$4:$N$15,0)),""),IF(236=1,CC_Net,""))))</f>
        <v/>
      </c>
    </row>
    <row r="240" customFormat="false" ht="15" hidden="false" customHeight="false" outlineLevel="0" collapsed="false">
      <c r="A240" s="0" t="s">
        <v>172</v>
      </c>
      <c r="B240" s="0" t="str">
        <f aca="false">'CC Item Pricing'!C224&amp;IF('CC Item Pricing'!D224="",""," – "&amp;'CC Item Pricing'!D224)</f>
        <v/>
      </c>
      <c r="C240" s="0" t="str">
        <f aca="false">INDEX(CC_UnitNames,'CC Item Pricing'!Y224)</f>
        <v>Unit 7</v>
      </c>
      <c r="D240" s="0" t="n">
        <f aca="false">N('CC Item Pricing'!G224)</f>
        <v>0</v>
      </c>
      <c r="E240" s="98" t="n">
        <f aca="false">'CC Item Pricing'!W224</f>
        <v>0</v>
      </c>
      <c r="F240" s="96" t="n">
        <f aca="false">IF(AND(G240=1,'CC Item Pricing'!B224=""),1,0)</f>
        <v>0</v>
      </c>
      <c r="G240" s="96" t="n">
        <f aca="false">IF(D240&gt;0,1,0)</f>
        <v>0</v>
      </c>
      <c r="H240" s="0" t="str">
        <f aca="false">IF(F240=1,COUNTIF($F$4:F240,1),"")</f>
        <v/>
      </c>
      <c r="I240" s="0" t="str">
        <f aca="false">IF(G240=1,COUNTIF($G$4:G240,1),"")</f>
        <v/>
      </c>
      <c r="R240" s="0" t="str">
        <f aca="false">IF(CC_Mode="Per equipment",IFERROR(INDEX($B$4:$B$403,MATCH(237,$I$4:$I$403,0)),""),IF(CC_Mode="Per loop",IFERROR(INDEX($B$4:$B$403,MATCH(237,$H$4:$H$403,0)),""),IF(CC_Mode="Per unit",IFERROR("Chemical cleaning – "&amp;INDEX($K$4:$K$15,MATCH(237,$N$4:$N$15,0)),""),IF(237=1,"LUMP SUM – "&amp;QProject,""))))</f>
        <v/>
      </c>
      <c r="S240" s="0" t="str">
        <f aca="false">IF(CC_Mode="Per equipment",IFERROR(INDEX($C$4:$C$403,MATCH(237,$I$4:$I$403,0)),""),IF(CC_Mode="Per loop",IFERROR(INDEX($C$4:$C$403,MATCH(237,$H$4:$H$403,0)),""),IF(CC_Mode="Per unit",IFERROR(INDEX($K$4:$K$15,MATCH(237,$N$4:$N$15,0)),""),IF(237=1,"All units",""))))</f>
        <v/>
      </c>
      <c r="T240" s="0" t="str">
        <f aca="false">IF(CC_Mode="Per equipment",IFERROR(INDEX($D$4:$D$403,MATCH(237,$I$4:$I$403,0)),""),IF(CC_Mode="Per loop",IFERROR(INDEX($D$4:$D$403,MATCH(237,$H$4:$H$403,0)),""),IF(CC_Mode="Per unit",IFERROR(INDEX($M$4:$M$15,MATCH(237,$N$4:$N$15,0)),""),IF(237=1,CC_V_GrandVol,""))))</f>
        <v/>
      </c>
      <c r="U240" s="0" t="str">
        <f aca="false">IF(CC_Mode="Per equipment",IFERROR(INDEX($E$4:$E$403,MATCH(237,$I$4:$I$403,0)),""),IF(CC_Mode="Per loop",IFERROR(INDEX($E$4:$E$403,MATCH(237,$H$4:$H$403,0)),""),IF(CC_Mode="Per unit",IFERROR(INDEX($L$4:$L$15,MATCH(237,$N$4:$N$15,0)),""),IF(237=1,CC_Net,""))))</f>
        <v/>
      </c>
    </row>
    <row r="241" customFormat="false" ht="15" hidden="false" customHeight="false" outlineLevel="0" collapsed="false">
      <c r="A241" s="0" t="s">
        <v>172</v>
      </c>
      <c r="B241" s="0" t="str">
        <f aca="false">'CC Item Pricing'!C225&amp;IF('CC Item Pricing'!D225="",""," – "&amp;'CC Item Pricing'!D225)</f>
        <v/>
      </c>
      <c r="C241" s="0" t="str">
        <f aca="false">INDEX(CC_UnitNames,'CC Item Pricing'!Y225)</f>
        <v>Unit 7</v>
      </c>
      <c r="D241" s="0" t="n">
        <f aca="false">N('CC Item Pricing'!G225)</f>
        <v>0</v>
      </c>
      <c r="E241" s="98" t="n">
        <f aca="false">'CC Item Pricing'!W225</f>
        <v>0</v>
      </c>
      <c r="F241" s="96" t="n">
        <f aca="false">IF(AND(G241=1,'CC Item Pricing'!B225=""),1,0)</f>
        <v>0</v>
      </c>
      <c r="G241" s="96" t="n">
        <f aca="false">IF(D241&gt;0,1,0)</f>
        <v>0</v>
      </c>
      <c r="H241" s="0" t="str">
        <f aca="false">IF(F241=1,COUNTIF($F$4:F241,1),"")</f>
        <v/>
      </c>
      <c r="I241" s="0" t="str">
        <f aca="false">IF(G241=1,COUNTIF($G$4:G241,1),"")</f>
        <v/>
      </c>
      <c r="R241" s="0" t="str">
        <f aca="false">IF(CC_Mode="Per equipment",IFERROR(INDEX($B$4:$B$403,MATCH(238,$I$4:$I$403,0)),""),IF(CC_Mode="Per loop",IFERROR(INDEX($B$4:$B$403,MATCH(238,$H$4:$H$403,0)),""),IF(CC_Mode="Per unit",IFERROR("Chemical cleaning – "&amp;INDEX($K$4:$K$15,MATCH(238,$N$4:$N$15,0)),""),IF(238=1,"LUMP SUM – "&amp;QProject,""))))</f>
        <v/>
      </c>
      <c r="S241" s="0" t="str">
        <f aca="false">IF(CC_Mode="Per equipment",IFERROR(INDEX($C$4:$C$403,MATCH(238,$I$4:$I$403,0)),""),IF(CC_Mode="Per loop",IFERROR(INDEX($C$4:$C$403,MATCH(238,$H$4:$H$403,0)),""),IF(CC_Mode="Per unit",IFERROR(INDEX($K$4:$K$15,MATCH(238,$N$4:$N$15,0)),""),IF(238=1,"All units",""))))</f>
        <v/>
      </c>
      <c r="T241" s="0" t="str">
        <f aca="false">IF(CC_Mode="Per equipment",IFERROR(INDEX($D$4:$D$403,MATCH(238,$I$4:$I$403,0)),""),IF(CC_Mode="Per loop",IFERROR(INDEX($D$4:$D$403,MATCH(238,$H$4:$H$403,0)),""),IF(CC_Mode="Per unit",IFERROR(INDEX($M$4:$M$15,MATCH(238,$N$4:$N$15,0)),""),IF(238=1,CC_V_GrandVol,""))))</f>
        <v/>
      </c>
      <c r="U241" s="0" t="str">
        <f aca="false">IF(CC_Mode="Per equipment",IFERROR(INDEX($E$4:$E$403,MATCH(238,$I$4:$I$403,0)),""),IF(CC_Mode="Per loop",IFERROR(INDEX($E$4:$E$403,MATCH(238,$H$4:$H$403,0)),""),IF(CC_Mode="Per unit",IFERROR(INDEX($L$4:$L$15,MATCH(238,$N$4:$N$15,0)),""),IF(238=1,CC_Net,""))))</f>
        <v/>
      </c>
    </row>
    <row r="242" customFormat="false" ht="15" hidden="false" customHeight="false" outlineLevel="0" collapsed="false">
      <c r="A242" s="0" t="s">
        <v>172</v>
      </c>
      <c r="B242" s="0" t="str">
        <f aca="false">'CC Item Pricing'!C226&amp;IF('CC Item Pricing'!D226="",""," – "&amp;'CC Item Pricing'!D226)</f>
        <v/>
      </c>
      <c r="C242" s="0" t="str">
        <f aca="false">INDEX(CC_UnitNames,'CC Item Pricing'!Y226)</f>
        <v>Unit 7</v>
      </c>
      <c r="D242" s="0" t="n">
        <f aca="false">N('CC Item Pricing'!G226)</f>
        <v>0</v>
      </c>
      <c r="E242" s="98" t="n">
        <f aca="false">'CC Item Pricing'!W226</f>
        <v>0</v>
      </c>
      <c r="F242" s="96" t="n">
        <f aca="false">IF(AND(G242=1,'CC Item Pricing'!B226=""),1,0)</f>
        <v>0</v>
      </c>
      <c r="G242" s="96" t="n">
        <f aca="false">IF(D242&gt;0,1,0)</f>
        <v>0</v>
      </c>
      <c r="H242" s="0" t="str">
        <f aca="false">IF(F242=1,COUNTIF($F$4:F242,1),"")</f>
        <v/>
      </c>
      <c r="I242" s="0" t="str">
        <f aca="false">IF(G242=1,COUNTIF($G$4:G242,1),"")</f>
        <v/>
      </c>
      <c r="R242" s="0" t="str">
        <f aca="false">IF(CC_Mode="Per equipment",IFERROR(INDEX($B$4:$B$403,MATCH(239,$I$4:$I$403,0)),""),IF(CC_Mode="Per loop",IFERROR(INDEX($B$4:$B$403,MATCH(239,$H$4:$H$403,0)),""),IF(CC_Mode="Per unit",IFERROR("Chemical cleaning – "&amp;INDEX($K$4:$K$15,MATCH(239,$N$4:$N$15,0)),""),IF(239=1,"LUMP SUM – "&amp;QProject,""))))</f>
        <v/>
      </c>
      <c r="S242" s="0" t="str">
        <f aca="false">IF(CC_Mode="Per equipment",IFERROR(INDEX($C$4:$C$403,MATCH(239,$I$4:$I$403,0)),""),IF(CC_Mode="Per loop",IFERROR(INDEX($C$4:$C$403,MATCH(239,$H$4:$H$403,0)),""),IF(CC_Mode="Per unit",IFERROR(INDEX($K$4:$K$15,MATCH(239,$N$4:$N$15,0)),""),IF(239=1,"All units",""))))</f>
        <v/>
      </c>
      <c r="T242" s="0" t="str">
        <f aca="false">IF(CC_Mode="Per equipment",IFERROR(INDEX($D$4:$D$403,MATCH(239,$I$4:$I$403,0)),""),IF(CC_Mode="Per loop",IFERROR(INDEX($D$4:$D$403,MATCH(239,$H$4:$H$403,0)),""),IF(CC_Mode="Per unit",IFERROR(INDEX($M$4:$M$15,MATCH(239,$N$4:$N$15,0)),""),IF(239=1,CC_V_GrandVol,""))))</f>
        <v/>
      </c>
      <c r="U242" s="0" t="str">
        <f aca="false">IF(CC_Mode="Per equipment",IFERROR(INDEX($E$4:$E$403,MATCH(239,$I$4:$I$403,0)),""),IF(CC_Mode="Per loop",IFERROR(INDEX($E$4:$E$403,MATCH(239,$H$4:$H$403,0)),""),IF(CC_Mode="Per unit",IFERROR(INDEX($L$4:$L$15,MATCH(239,$N$4:$N$15,0)),""),IF(239=1,CC_Net,""))))</f>
        <v/>
      </c>
    </row>
    <row r="243" customFormat="false" ht="15" hidden="false" customHeight="false" outlineLevel="0" collapsed="false">
      <c r="A243" s="0" t="s">
        <v>172</v>
      </c>
      <c r="B243" s="0" t="str">
        <f aca="false">'CC Item Pricing'!C227&amp;IF('CC Item Pricing'!D227="",""," – "&amp;'CC Item Pricing'!D227)</f>
        <v/>
      </c>
      <c r="C243" s="0" t="str">
        <f aca="false">INDEX(CC_UnitNames,'CC Item Pricing'!Y227)</f>
        <v>Unit 7</v>
      </c>
      <c r="D243" s="0" t="n">
        <f aca="false">N('CC Item Pricing'!G227)</f>
        <v>0</v>
      </c>
      <c r="E243" s="98" t="n">
        <f aca="false">'CC Item Pricing'!W227</f>
        <v>0</v>
      </c>
      <c r="F243" s="96" t="n">
        <f aca="false">IF(AND(G243=1,'CC Item Pricing'!B227=""),1,0)</f>
        <v>0</v>
      </c>
      <c r="G243" s="96" t="n">
        <f aca="false">IF(D243&gt;0,1,0)</f>
        <v>0</v>
      </c>
      <c r="H243" s="0" t="str">
        <f aca="false">IF(F243=1,COUNTIF($F$4:F243,1),"")</f>
        <v/>
      </c>
      <c r="I243" s="0" t="str">
        <f aca="false">IF(G243=1,COUNTIF($G$4:G243,1),"")</f>
        <v/>
      </c>
      <c r="R243" s="0" t="str">
        <f aca="false">IF(CC_Mode="Per equipment",IFERROR(INDEX($B$4:$B$403,MATCH(240,$I$4:$I$403,0)),""),IF(CC_Mode="Per loop",IFERROR(INDEX($B$4:$B$403,MATCH(240,$H$4:$H$403,0)),""),IF(CC_Mode="Per unit",IFERROR("Chemical cleaning – "&amp;INDEX($K$4:$K$15,MATCH(240,$N$4:$N$15,0)),""),IF(240=1,"LUMP SUM – "&amp;QProject,""))))</f>
        <v/>
      </c>
      <c r="S243" s="0" t="str">
        <f aca="false">IF(CC_Mode="Per equipment",IFERROR(INDEX($C$4:$C$403,MATCH(240,$I$4:$I$403,0)),""),IF(CC_Mode="Per loop",IFERROR(INDEX($C$4:$C$403,MATCH(240,$H$4:$H$403,0)),""),IF(CC_Mode="Per unit",IFERROR(INDEX($K$4:$K$15,MATCH(240,$N$4:$N$15,0)),""),IF(240=1,"All units",""))))</f>
        <v/>
      </c>
      <c r="T243" s="0" t="str">
        <f aca="false">IF(CC_Mode="Per equipment",IFERROR(INDEX($D$4:$D$403,MATCH(240,$I$4:$I$403,0)),""),IF(CC_Mode="Per loop",IFERROR(INDEX($D$4:$D$403,MATCH(240,$H$4:$H$403,0)),""),IF(CC_Mode="Per unit",IFERROR(INDEX($M$4:$M$15,MATCH(240,$N$4:$N$15,0)),""),IF(240=1,CC_V_GrandVol,""))))</f>
        <v/>
      </c>
      <c r="U243" s="0" t="str">
        <f aca="false">IF(CC_Mode="Per equipment",IFERROR(INDEX($E$4:$E$403,MATCH(240,$I$4:$I$403,0)),""),IF(CC_Mode="Per loop",IFERROR(INDEX($E$4:$E$403,MATCH(240,$H$4:$H$403,0)),""),IF(CC_Mode="Per unit",IFERROR(INDEX($L$4:$L$15,MATCH(240,$N$4:$N$15,0)),""),IF(240=1,CC_Net,""))))</f>
        <v/>
      </c>
    </row>
    <row r="244" customFormat="false" ht="15" hidden="false" customHeight="false" outlineLevel="0" collapsed="false">
      <c r="A244" s="0" t="s">
        <v>172</v>
      </c>
      <c r="B244" s="0" t="str">
        <f aca="false">'CC Item Pricing'!C228&amp;IF('CC Item Pricing'!D228="",""," – "&amp;'CC Item Pricing'!D228)</f>
        <v/>
      </c>
      <c r="C244" s="0" t="str">
        <f aca="false">INDEX(CC_UnitNames,'CC Item Pricing'!Y228)</f>
        <v>Unit 7</v>
      </c>
      <c r="D244" s="0" t="n">
        <f aca="false">N('CC Item Pricing'!G228)</f>
        <v>0</v>
      </c>
      <c r="E244" s="98" t="n">
        <f aca="false">'CC Item Pricing'!W228</f>
        <v>0</v>
      </c>
      <c r="F244" s="96" t="n">
        <f aca="false">IF(AND(G244=1,'CC Item Pricing'!B228=""),1,0)</f>
        <v>0</v>
      </c>
      <c r="G244" s="96" t="n">
        <f aca="false">IF(D244&gt;0,1,0)</f>
        <v>0</v>
      </c>
      <c r="H244" s="0" t="str">
        <f aca="false">IF(F244=1,COUNTIF($F$4:F244,1),"")</f>
        <v/>
      </c>
      <c r="I244" s="0" t="str">
        <f aca="false">IF(G244=1,COUNTIF($G$4:G244,1),"")</f>
        <v/>
      </c>
      <c r="R244" s="0" t="str">
        <f aca="false">IF(CC_Mode="Per equipment",IFERROR(INDEX($B$4:$B$403,MATCH(241,$I$4:$I$403,0)),""),IF(CC_Mode="Per loop",IFERROR(INDEX($B$4:$B$403,MATCH(241,$H$4:$H$403,0)),""),IF(CC_Mode="Per unit",IFERROR("Chemical cleaning – "&amp;INDEX($K$4:$K$15,MATCH(241,$N$4:$N$15,0)),""),IF(241=1,"LUMP SUM – "&amp;QProject,""))))</f>
        <v/>
      </c>
      <c r="S244" s="0" t="str">
        <f aca="false">IF(CC_Mode="Per equipment",IFERROR(INDEX($C$4:$C$403,MATCH(241,$I$4:$I$403,0)),""),IF(CC_Mode="Per loop",IFERROR(INDEX($C$4:$C$403,MATCH(241,$H$4:$H$403,0)),""),IF(CC_Mode="Per unit",IFERROR(INDEX($K$4:$K$15,MATCH(241,$N$4:$N$15,0)),""),IF(241=1,"All units",""))))</f>
        <v/>
      </c>
      <c r="T244" s="0" t="str">
        <f aca="false">IF(CC_Mode="Per equipment",IFERROR(INDEX($D$4:$D$403,MATCH(241,$I$4:$I$403,0)),""),IF(CC_Mode="Per loop",IFERROR(INDEX($D$4:$D$403,MATCH(241,$H$4:$H$403,0)),""),IF(CC_Mode="Per unit",IFERROR(INDEX($M$4:$M$15,MATCH(241,$N$4:$N$15,0)),""),IF(241=1,CC_V_GrandVol,""))))</f>
        <v/>
      </c>
      <c r="U244" s="0" t="str">
        <f aca="false">IF(CC_Mode="Per equipment",IFERROR(INDEX($E$4:$E$403,MATCH(241,$I$4:$I$403,0)),""),IF(CC_Mode="Per loop",IFERROR(INDEX($E$4:$E$403,MATCH(241,$H$4:$H$403,0)),""),IF(CC_Mode="Per unit",IFERROR(INDEX($L$4:$L$15,MATCH(241,$N$4:$N$15,0)),""),IF(241=1,CC_Net,""))))</f>
        <v/>
      </c>
    </row>
    <row r="245" customFormat="false" ht="15" hidden="false" customHeight="false" outlineLevel="0" collapsed="false">
      <c r="A245" s="0" t="s">
        <v>172</v>
      </c>
      <c r="B245" s="0" t="str">
        <f aca="false">'CC Item Pricing'!C229&amp;IF('CC Item Pricing'!D229="",""," – "&amp;'CC Item Pricing'!D229)</f>
        <v/>
      </c>
      <c r="C245" s="0" t="str">
        <f aca="false">INDEX(CC_UnitNames,'CC Item Pricing'!Y229)</f>
        <v>Unit 7</v>
      </c>
      <c r="D245" s="0" t="n">
        <f aca="false">N('CC Item Pricing'!G229)</f>
        <v>0</v>
      </c>
      <c r="E245" s="98" t="n">
        <f aca="false">'CC Item Pricing'!W229</f>
        <v>0</v>
      </c>
      <c r="F245" s="96" t="n">
        <f aca="false">IF(AND(G245=1,'CC Item Pricing'!B229=""),1,0)</f>
        <v>0</v>
      </c>
      <c r="G245" s="96" t="n">
        <f aca="false">IF(D245&gt;0,1,0)</f>
        <v>0</v>
      </c>
      <c r="H245" s="0" t="str">
        <f aca="false">IF(F245=1,COUNTIF($F$4:F245,1),"")</f>
        <v/>
      </c>
      <c r="I245" s="0" t="str">
        <f aca="false">IF(G245=1,COUNTIF($G$4:G245,1),"")</f>
        <v/>
      </c>
      <c r="R245" s="0" t="str">
        <f aca="false">IF(CC_Mode="Per equipment",IFERROR(INDEX($B$4:$B$403,MATCH(242,$I$4:$I$403,0)),""),IF(CC_Mode="Per loop",IFERROR(INDEX($B$4:$B$403,MATCH(242,$H$4:$H$403,0)),""),IF(CC_Mode="Per unit",IFERROR("Chemical cleaning – "&amp;INDEX($K$4:$K$15,MATCH(242,$N$4:$N$15,0)),""),IF(242=1,"LUMP SUM – "&amp;QProject,""))))</f>
        <v/>
      </c>
      <c r="S245" s="0" t="str">
        <f aca="false">IF(CC_Mode="Per equipment",IFERROR(INDEX($C$4:$C$403,MATCH(242,$I$4:$I$403,0)),""),IF(CC_Mode="Per loop",IFERROR(INDEX($C$4:$C$403,MATCH(242,$H$4:$H$403,0)),""),IF(CC_Mode="Per unit",IFERROR(INDEX($K$4:$K$15,MATCH(242,$N$4:$N$15,0)),""),IF(242=1,"All units",""))))</f>
        <v/>
      </c>
      <c r="T245" s="0" t="str">
        <f aca="false">IF(CC_Mode="Per equipment",IFERROR(INDEX($D$4:$D$403,MATCH(242,$I$4:$I$403,0)),""),IF(CC_Mode="Per loop",IFERROR(INDEX($D$4:$D$403,MATCH(242,$H$4:$H$403,0)),""),IF(CC_Mode="Per unit",IFERROR(INDEX($M$4:$M$15,MATCH(242,$N$4:$N$15,0)),""),IF(242=1,CC_V_GrandVol,""))))</f>
        <v/>
      </c>
      <c r="U245" s="0" t="str">
        <f aca="false">IF(CC_Mode="Per equipment",IFERROR(INDEX($E$4:$E$403,MATCH(242,$I$4:$I$403,0)),""),IF(CC_Mode="Per loop",IFERROR(INDEX($E$4:$E$403,MATCH(242,$H$4:$H$403,0)),""),IF(CC_Mode="Per unit",IFERROR(INDEX($L$4:$L$15,MATCH(242,$N$4:$N$15,0)),""),IF(242=1,CC_Net,""))))</f>
        <v/>
      </c>
    </row>
    <row r="246" customFormat="false" ht="15" hidden="false" customHeight="false" outlineLevel="0" collapsed="false">
      <c r="A246" s="0" t="s">
        <v>172</v>
      </c>
      <c r="B246" s="0" t="str">
        <f aca="false">'CC Item Pricing'!C230&amp;IF('CC Item Pricing'!D230="",""," – "&amp;'CC Item Pricing'!D230)</f>
        <v/>
      </c>
      <c r="C246" s="0" t="str">
        <f aca="false">INDEX(CC_UnitNames,'CC Item Pricing'!Y230)</f>
        <v>Unit 7</v>
      </c>
      <c r="D246" s="0" t="n">
        <f aca="false">N('CC Item Pricing'!G230)</f>
        <v>0</v>
      </c>
      <c r="E246" s="98" t="n">
        <f aca="false">'CC Item Pricing'!W230</f>
        <v>0</v>
      </c>
      <c r="F246" s="96" t="n">
        <f aca="false">IF(AND(G246=1,'CC Item Pricing'!B230=""),1,0)</f>
        <v>0</v>
      </c>
      <c r="G246" s="96" t="n">
        <f aca="false">IF(D246&gt;0,1,0)</f>
        <v>0</v>
      </c>
      <c r="H246" s="0" t="str">
        <f aca="false">IF(F246=1,COUNTIF($F$4:F246,1),"")</f>
        <v/>
      </c>
      <c r="I246" s="0" t="str">
        <f aca="false">IF(G246=1,COUNTIF($G$4:G246,1),"")</f>
        <v/>
      </c>
      <c r="R246" s="0" t="str">
        <f aca="false">IF(CC_Mode="Per equipment",IFERROR(INDEX($B$4:$B$403,MATCH(243,$I$4:$I$403,0)),""),IF(CC_Mode="Per loop",IFERROR(INDEX($B$4:$B$403,MATCH(243,$H$4:$H$403,0)),""),IF(CC_Mode="Per unit",IFERROR("Chemical cleaning – "&amp;INDEX($K$4:$K$15,MATCH(243,$N$4:$N$15,0)),""),IF(243=1,"LUMP SUM – "&amp;QProject,""))))</f>
        <v/>
      </c>
      <c r="S246" s="0" t="str">
        <f aca="false">IF(CC_Mode="Per equipment",IFERROR(INDEX($C$4:$C$403,MATCH(243,$I$4:$I$403,0)),""),IF(CC_Mode="Per loop",IFERROR(INDEX($C$4:$C$403,MATCH(243,$H$4:$H$403,0)),""),IF(CC_Mode="Per unit",IFERROR(INDEX($K$4:$K$15,MATCH(243,$N$4:$N$15,0)),""),IF(243=1,"All units",""))))</f>
        <v/>
      </c>
      <c r="T246" s="0" t="str">
        <f aca="false">IF(CC_Mode="Per equipment",IFERROR(INDEX($D$4:$D$403,MATCH(243,$I$4:$I$403,0)),""),IF(CC_Mode="Per loop",IFERROR(INDEX($D$4:$D$403,MATCH(243,$H$4:$H$403,0)),""),IF(CC_Mode="Per unit",IFERROR(INDEX($M$4:$M$15,MATCH(243,$N$4:$N$15,0)),""),IF(243=1,CC_V_GrandVol,""))))</f>
        <v/>
      </c>
      <c r="U246" s="0" t="str">
        <f aca="false">IF(CC_Mode="Per equipment",IFERROR(INDEX($E$4:$E$403,MATCH(243,$I$4:$I$403,0)),""),IF(CC_Mode="Per loop",IFERROR(INDEX($E$4:$E$403,MATCH(243,$H$4:$H$403,0)),""),IF(CC_Mode="Per unit",IFERROR(INDEX($L$4:$L$15,MATCH(243,$N$4:$N$15,0)),""),IF(243=1,CC_Net,""))))</f>
        <v/>
      </c>
    </row>
    <row r="247" customFormat="false" ht="15" hidden="false" customHeight="false" outlineLevel="0" collapsed="false">
      <c r="A247" s="0" t="s">
        <v>172</v>
      </c>
      <c r="B247" s="0" t="str">
        <f aca="false">'CC Item Pricing'!C231&amp;IF('CC Item Pricing'!D231="",""," – "&amp;'CC Item Pricing'!D231)</f>
        <v/>
      </c>
      <c r="C247" s="0" t="str">
        <f aca="false">INDEX(CC_UnitNames,'CC Item Pricing'!Y231)</f>
        <v>Unit 7</v>
      </c>
      <c r="D247" s="0" t="n">
        <f aca="false">N('CC Item Pricing'!G231)</f>
        <v>0</v>
      </c>
      <c r="E247" s="98" t="n">
        <f aca="false">'CC Item Pricing'!W231</f>
        <v>0</v>
      </c>
      <c r="F247" s="96" t="n">
        <f aca="false">IF(AND(G247=1,'CC Item Pricing'!B231=""),1,0)</f>
        <v>0</v>
      </c>
      <c r="G247" s="96" t="n">
        <f aca="false">IF(D247&gt;0,1,0)</f>
        <v>0</v>
      </c>
      <c r="H247" s="0" t="str">
        <f aca="false">IF(F247=1,COUNTIF($F$4:F247,1),"")</f>
        <v/>
      </c>
      <c r="I247" s="0" t="str">
        <f aca="false">IF(G247=1,COUNTIF($G$4:G247,1),"")</f>
        <v/>
      </c>
      <c r="R247" s="0" t="str">
        <f aca="false">IF(CC_Mode="Per equipment",IFERROR(INDEX($B$4:$B$403,MATCH(244,$I$4:$I$403,0)),""),IF(CC_Mode="Per loop",IFERROR(INDEX($B$4:$B$403,MATCH(244,$H$4:$H$403,0)),""),IF(CC_Mode="Per unit",IFERROR("Chemical cleaning – "&amp;INDEX($K$4:$K$15,MATCH(244,$N$4:$N$15,0)),""),IF(244=1,"LUMP SUM – "&amp;QProject,""))))</f>
        <v/>
      </c>
      <c r="S247" s="0" t="str">
        <f aca="false">IF(CC_Mode="Per equipment",IFERROR(INDEX($C$4:$C$403,MATCH(244,$I$4:$I$403,0)),""),IF(CC_Mode="Per loop",IFERROR(INDEX($C$4:$C$403,MATCH(244,$H$4:$H$403,0)),""),IF(CC_Mode="Per unit",IFERROR(INDEX($K$4:$K$15,MATCH(244,$N$4:$N$15,0)),""),IF(244=1,"All units",""))))</f>
        <v/>
      </c>
      <c r="T247" s="0" t="str">
        <f aca="false">IF(CC_Mode="Per equipment",IFERROR(INDEX($D$4:$D$403,MATCH(244,$I$4:$I$403,0)),""),IF(CC_Mode="Per loop",IFERROR(INDEX($D$4:$D$403,MATCH(244,$H$4:$H$403,0)),""),IF(CC_Mode="Per unit",IFERROR(INDEX($M$4:$M$15,MATCH(244,$N$4:$N$15,0)),""),IF(244=1,CC_V_GrandVol,""))))</f>
        <v/>
      </c>
      <c r="U247" s="0" t="str">
        <f aca="false">IF(CC_Mode="Per equipment",IFERROR(INDEX($E$4:$E$403,MATCH(244,$I$4:$I$403,0)),""),IF(CC_Mode="Per loop",IFERROR(INDEX($E$4:$E$403,MATCH(244,$H$4:$H$403,0)),""),IF(CC_Mode="Per unit",IFERROR(INDEX($L$4:$L$15,MATCH(244,$N$4:$N$15,0)),""),IF(244=1,CC_Net,""))))</f>
        <v/>
      </c>
    </row>
    <row r="248" customFormat="false" ht="15" hidden="false" customHeight="false" outlineLevel="0" collapsed="false">
      <c r="A248" s="0" t="s">
        <v>172</v>
      </c>
      <c r="B248" s="0" t="str">
        <f aca="false">'CC Item Pricing'!C232&amp;IF('CC Item Pricing'!D232="",""," – "&amp;'CC Item Pricing'!D232)</f>
        <v/>
      </c>
      <c r="C248" s="0" t="str">
        <f aca="false">INDEX(CC_UnitNames,'CC Item Pricing'!Y232)</f>
        <v>Unit 7</v>
      </c>
      <c r="D248" s="0" t="n">
        <f aca="false">N('CC Item Pricing'!G232)</f>
        <v>0</v>
      </c>
      <c r="E248" s="98" t="n">
        <f aca="false">'CC Item Pricing'!W232</f>
        <v>0</v>
      </c>
      <c r="F248" s="96" t="n">
        <f aca="false">IF(AND(G248=1,'CC Item Pricing'!B232=""),1,0)</f>
        <v>0</v>
      </c>
      <c r="G248" s="96" t="n">
        <f aca="false">IF(D248&gt;0,1,0)</f>
        <v>0</v>
      </c>
      <c r="H248" s="0" t="str">
        <f aca="false">IF(F248=1,COUNTIF($F$4:F248,1),"")</f>
        <v/>
      </c>
      <c r="I248" s="0" t="str">
        <f aca="false">IF(G248=1,COUNTIF($G$4:G248,1),"")</f>
        <v/>
      </c>
      <c r="R248" s="0" t="str">
        <f aca="false">IF(CC_Mode="Per equipment",IFERROR(INDEX($B$4:$B$403,MATCH(245,$I$4:$I$403,0)),""),IF(CC_Mode="Per loop",IFERROR(INDEX($B$4:$B$403,MATCH(245,$H$4:$H$403,0)),""),IF(CC_Mode="Per unit",IFERROR("Chemical cleaning – "&amp;INDEX($K$4:$K$15,MATCH(245,$N$4:$N$15,0)),""),IF(245=1,"LUMP SUM – "&amp;QProject,""))))</f>
        <v/>
      </c>
      <c r="S248" s="0" t="str">
        <f aca="false">IF(CC_Mode="Per equipment",IFERROR(INDEX($C$4:$C$403,MATCH(245,$I$4:$I$403,0)),""),IF(CC_Mode="Per loop",IFERROR(INDEX($C$4:$C$403,MATCH(245,$H$4:$H$403,0)),""),IF(CC_Mode="Per unit",IFERROR(INDEX($K$4:$K$15,MATCH(245,$N$4:$N$15,0)),""),IF(245=1,"All units",""))))</f>
        <v/>
      </c>
      <c r="T248" s="0" t="str">
        <f aca="false">IF(CC_Mode="Per equipment",IFERROR(INDEX($D$4:$D$403,MATCH(245,$I$4:$I$403,0)),""),IF(CC_Mode="Per loop",IFERROR(INDEX($D$4:$D$403,MATCH(245,$H$4:$H$403,0)),""),IF(CC_Mode="Per unit",IFERROR(INDEX($M$4:$M$15,MATCH(245,$N$4:$N$15,0)),""),IF(245=1,CC_V_GrandVol,""))))</f>
        <v/>
      </c>
      <c r="U248" s="0" t="str">
        <f aca="false">IF(CC_Mode="Per equipment",IFERROR(INDEX($E$4:$E$403,MATCH(245,$I$4:$I$403,0)),""),IF(CC_Mode="Per loop",IFERROR(INDEX($E$4:$E$403,MATCH(245,$H$4:$H$403,0)),""),IF(CC_Mode="Per unit",IFERROR(INDEX($L$4:$L$15,MATCH(245,$N$4:$N$15,0)),""),IF(245=1,CC_Net,""))))</f>
        <v/>
      </c>
    </row>
    <row r="249" customFormat="false" ht="15" hidden="false" customHeight="false" outlineLevel="0" collapsed="false">
      <c r="A249" s="0" t="s">
        <v>172</v>
      </c>
      <c r="B249" s="0" t="str">
        <f aca="false">'CC Item Pricing'!C233&amp;IF('CC Item Pricing'!D233="",""," – "&amp;'CC Item Pricing'!D233)</f>
        <v/>
      </c>
      <c r="C249" s="0" t="str">
        <f aca="false">INDEX(CC_UnitNames,'CC Item Pricing'!Y233)</f>
        <v>Unit 7</v>
      </c>
      <c r="D249" s="0" t="n">
        <f aca="false">N('CC Item Pricing'!G233)</f>
        <v>0</v>
      </c>
      <c r="E249" s="98" t="n">
        <f aca="false">'CC Item Pricing'!W233</f>
        <v>0</v>
      </c>
      <c r="F249" s="96" t="n">
        <f aca="false">IF(AND(G249=1,'CC Item Pricing'!B233=""),1,0)</f>
        <v>0</v>
      </c>
      <c r="G249" s="96" t="n">
        <f aca="false">IF(D249&gt;0,1,0)</f>
        <v>0</v>
      </c>
      <c r="H249" s="0" t="str">
        <f aca="false">IF(F249=1,COUNTIF($F$4:F249,1),"")</f>
        <v/>
      </c>
      <c r="I249" s="0" t="str">
        <f aca="false">IF(G249=1,COUNTIF($G$4:G249,1),"")</f>
        <v/>
      </c>
      <c r="R249" s="0" t="str">
        <f aca="false">IF(CC_Mode="Per equipment",IFERROR(INDEX($B$4:$B$403,MATCH(246,$I$4:$I$403,0)),""),IF(CC_Mode="Per loop",IFERROR(INDEX($B$4:$B$403,MATCH(246,$H$4:$H$403,0)),""),IF(CC_Mode="Per unit",IFERROR("Chemical cleaning – "&amp;INDEX($K$4:$K$15,MATCH(246,$N$4:$N$15,0)),""),IF(246=1,"LUMP SUM – "&amp;QProject,""))))</f>
        <v/>
      </c>
      <c r="S249" s="0" t="str">
        <f aca="false">IF(CC_Mode="Per equipment",IFERROR(INDEX($C$4:$C$403,MATCH(246,$I$4:$I$403,0)),""),IF(CC_Mode="Per loop",IFERROR(INDEX($C$4:$C$403,MATCH(246,$H$4:$H$403,0)),""),IF(CC_Mode="Per unit",IFERROR(INDEX($K$4:$K$15,MATCH(246,$N$4:$N$15,0)),""),IF(246=1,"All units",""))))</f>
        <v/>
      </c>
      <c r="T249" s="0" t="str">
        <f aca="false">IF(CC_Mode="Per equipment",IFERROR(INDEX($D$4:$D$403,MATCH(246,$I$4:$I$403,0)),""),IF(CC_Mode="Per loop",IFERROR(INDEX($D$4:$D$403,MATCH(246,$H$4:$H$403,0)),""),IF(CC_Mode="Per unit",IFERROR(INDEX($M$4:$M$15,MATCH(246,$N$4:$N$15,0)),""),IF(246=1,CC_V_GrandVol,""))))</f>
        <v/>
      </c>
      <c r="U249" s="0" t="str">
        <f aca="false">IF(CC_Mode="Per equipment",IFERROR(INDEX($E$4:$E$403,MATCH(246,$I$4:$I$403,0)),""),IF(CC_Mode="Per loop",IFERROR(INDEX($E$4:$E$403,MATCH(246,$H$4:$H$403,0)),""),IF(CC_Mode="Per unit",IFERROR(INDEX($L$4:$L$15,MATCH(246,$N$4:$N$15,0)),""),IF(246=1,CC_Net,""))))</f>
        <v/>
      </c>
    </row>
    <row r="250" customFormat="false" ht="15" hidden="false" customHeight="false" outlineLevel="0" collapsed="false">
      <c r="A250" s="0" t="s">
        <v>172</v>
      </c>
      <c r="B250" s="0" t="str">
        <f aca="false">'CC Item Pricing'!C234&amp;IF('CC Item Pricing'!D234="",""," – "&amp;'CC Item Pricing'!D234)</f>
        <v/>
      </c>
      <c r="C250" s="0" t="str">
        <f aca="false">INDEX(CC_UnitNames,'CC Item Pricing'!Y234)</f>
        <v>Unit 7</v>
      </c>
      <c r="D250" s="0" t="n">
        <f aca="false">N('CC Item Pricing'!G234)</f>
        <v>0</v>
      </c>
      <c r="E250" s="98" t="n">
        <f aca="false">'CC Item Pricing'!W234</f>
        <v>0</v>
      </c>
      <c r="F250" s="96" t="n">
        <f aca="false">IF(AND(G250=1,'CC Item Pricing'!B234=""),1,0)</f>
        <v>0</v>
      </c>
      <c r="G250" s="96" t="n">
        <f aca="false">IF(D250&gt;0,1,0)</f>
        <v>0</v>
      </c>
      <c r="H250" s="0" t="str">
        <f aca="false">IF(F250=1,COUNTIF($F$4:F250,1),"")</f>
        <v/>
      </c>
      <c r="I250" s="0" t="str">
        <f aca="false">IF(G250=1,COUNTIF($G$4:G250,1),"")</f>
        <v/>
      </c>
      <c r="R250" s="0" t="str">
        <f aca="false">IF(CC_Mode="Per equipment",IFERROR(INDEX($B$4:$B$403,MATCH(247,$I$4:$I$403,0)),""),IF(CC_Mode="Per loop",IFERROR(INDEX($B$4:$B$403,MATCH(247,$H$4:$H$403,0)),""),IF(CC_Mode="Per unit",IFERROR("Chemical cleaning – "&amp;INDEX($K$4:$K$15,MATCH(247,$N$4:$N$15,0)),""),IF(247=1,"LUMP SUM – "&amp;QProject,""))))</f>
        <v/>
      </c>
      <c r="S250" s="0" t="str">
        <f aca="false">IF(CC_Mode="Per equipment",IFERROR(INDEX($C$4:$C$403,MATCH(247,$I$4:$I$403,0)),""),IF(CC_Mode="Per loop",IFERROR(INDEX($C$4:$C$403,MATCH(247,$H$4:$H$403,0)),""),IF(CC_Mode="Per unit",IFERROR(INDEX($K$4:$K$15,MATCH(247,$N$4:$N$15,0)),""),IF(247=1,"All units",""))))</f>
        <v/>
      </c>
      <c r="T250" s="0" t="str">
        <f aca="false">IF(CC_Mode="Per equipment",IFERROR(INDEX($D$4:$D$403,MATCH(247,$I$4:$I$403,0)),""),IF(CC_Mode="Per loop",IFERROR(INDEX($D$4:$D$403,MATCH(247,$H$4:$H$403,0)),""),IF(CC_Mode="Per unit",IFERROR(INDEX($M$4:$M$15,MATCH(247,$N$4:$N$15,0)),""),IF(247=1,CC_V_GrandVol,""))))</f>
        <v/>
      </c>
      <c r="U250" s="0" t="str">
        <f aca="false">IF(CC_Mode="Per equipment",IFERROR(INDEX($E$4:$E$403,MATCH(247,$I$4:$I$403,0)),""),IF(CC_Mode="Per loop",IFERROR(INDEX($E$4:$E$403,MATCH(247,$H$4:$H$403,0)),""),IF(CC_Mode="Per unit",IFERROR(INDEX($L$4:$L$15,MATCH(247,$N$4:$N$15,0)),""),IF(247=1,CC_Net,""))))</f>
        <v/>
      </c>
    </row>
    <row r="251" customFormat="false" ht="15" hidden="false" customHeight="false" outlineLevel="0" collapsed="false">
      <c r="A251" s="0" t="s">
        <v>172</v>
      </c>
      <c r="B251" s="0" t="str">
        <f aca="false">'CC Item Pricing'!C235&amp;IF('CC Item Pricing'!D235="",""," – "&amp;'CC Item Pricing'!D235)</f>
        <v/>
      </c>
      <c r="C251" s="0" t="str">
        <f aca="false">INDEX(CC_UnitNames,'CC Item Pricing'!Y235)</f>
        <v>Unit 7</v>
      </c>
      <c r="D251" s="0" t="n">
        <f aca="false">N('CC Item Pricing'!G235)</f>
        <v>0</v>
      </c>
      <c r="E251" s="98" t="n">
        <f aca="false">'CC Item Pricing'!W235</f>
        <v>0</v>
      </c>
      <c r="F251" s="96" t="n">
        <f aca="false">IF(AND(G251=1,'CC Item Pricing'!B235=""),1,0)</f>
        <v>0</v>
      </c>
      <c r="G251" s="96" t="n">
        <f aca="false">IF(D251&gt;0,1,0)</f>
        <v>0</v>
      </c>
      <c r="H251" s="0" t="str">
        <f aca="false">IF(F251=1,COUNTIF($F$4:F251,1),"")</f>
        <v/>
      </c>
      <c r="I251" s="0" t="str">
        <f aca="false">IF(G251=1,COUNTIF($G$4:G251,1),"")</f>
        <v/>
      </c>
      <c r="R251" s="0" t="str">
        <f aca="false">IF(CC_Mode="Per equipment",IFERROR(INDEX($B$4:$B$403,MATCH(248,$I$4:$I$403,0)),""),IF(CC_Mode="Per loop",IFERROR(INDEX($B$4:$B$403,MATCH(248,$H$4:$H$403,0)),""),IF(CC_Mode="Per unit",IFERROR("Chemical cleaning – "&amp;INDEX($K$4:$K$15,MATCH(248,$N$4:$N$15,0)),""),IF(248=1,"LUMP SUM – "&amp;QProject,""))))</f>
        <v/>
      </c>
      <c r="S251" s="0" t="str">
        <f aca="false">IF(CC_Mode="Per equipment",IFERROR(INDEX($C$4:$C$403,MATCH(248,$I$4:$I$403,0)),""),IF(CC_Mode="Per loop",IFERROR(INDEX($C$4:$C$403,MATCH(248,$H$4:$H$403,0)),""),IF(CC_Mode="Per unit",IFERROR(INDEX($K$4:$K$15,MATCH(248,$N$4:$N$15,0)),""),IF(248=1,"All units",""))))</f>
        <v/>
      </c>
      <c r="T251" s="0" t="str">
        <f aca="false">IF(CC_Mode="Per equipment",IFERROR(INDEX($D$4:$D$403,MATCH(248,$I$4:$I$403,0)),""),IF(CC_Mode="Per loop",IFERROR(INDEX($D$4:$D$403,MATCH(248,$H$4:$H$403,0)),""),IF(CC_Mode="Per unit",IFERROR(INDEX($M$4:$M$15,MATCH(248,$N$4:$N$15,0)),""),IF(248=1,CC_V_GrandVol,""))))</f>
        <v/>
      </c>
      <c r="U251" s="0" t="str">
        <f aca="false">IF(CC_Mode="Per equipment",IFERROR(INDEX($E$4:$E$403,MATCH(248,$I$4:$I$403,0)),""),IF(CC_Mode="Per loop",IFERROR(INDEX($E$4:$E$403,MATCH(248,$H$4:$H$403,0)),""),IF(CC_Mode="Per unit",IFERROR(INDEX($L$4:$L$15,MATCH(248,$N$4:$N$15,0)),""),IF(248=1,CC_Net,""))))</f>
        <v/>
      </c>
    </row>
    <row r="252" customFormat="false" ht="15" hidden="false" customHeight="false" outlineLevel="0" collapsed="false">
      <c r="A252" s="0" t="s">
        <v>172</v>
      </c>
      <c r="B252" s="0" t="str">
        <f aca="false">'CC Item Pricing'!C236&amp;IF('CC Item Pricing'!D236="",""," – "&amp;'CC Item Pricing'!D236)</f>
        <v/>
      </c>
      <c r="C252" s="0" t="str">
        <f aca="false">INDEX(CC_UnitNames,'CC Item Pricing'!Y236)</f>
        <v>Unit 7</v>
      </c>
      <c r="D252" s="0" t="n">
        <f aca="false">N('CC Item Pricing'!G236)</f>
        <v>0</v>
      </c>
      <c r="E252" s="98" t="n">
        <f aca="false">'CC Item Pricing'!W236</f>
        <v>0</v>
      </c>
      <c r="F252" s="96" t="n">
        <f aca="false">IF(AND(G252=1,'CC Item Pricing'!B236=""),1,0)</f>
        <v>0</v>
      </c>
      <c r="G252" s="96" t="n">
        <f aca="false">IF(D252&gt;0,1,0)</f>
        <v>0</v>
      </c>
      <c r="H252" s="0" t="str">
        <f aca="false">IF(F252=1,COUNTIF($F$4:F252,1),"")</f>
        <v/>
      </c>
      <c r="I252" s="0" t="str">
        <f aca="false">IF(G252=1,COUNTIF($G$4:G252,1),"")</f>
        <v/>
      </c>
      <c r="R252" s="0" t="str">
        <f aca="false">IF(CC_Mode="Per equipment",IFERROR(INDEX($B$4:$B$403,MATCH(249,$I$4:$I$403,0)),""),IF(CC_Mode="Per loop",IFERROR(INDEX($B$4:$B$403,MATCH(249,$H$4:$H$403,0)),""),IF(CC_Mode="Per unit",IFERROR("Chemical cleaning – "&amp;INDEX($K$4:$K$15,MATCH(249,$N$4:$N$15,0)),""),IF(249=1,"LUMP SUM – "&amp;QProject,""))))</f>
        <v/>
      </c>
      <c r="S252" s="0" t="str">
        <f aca="false">IF(CC_Mode="Per equipment",IFERROR(INDEX($C$4:$C$403,MATCH(249,$I$4:$I$403,0)),""),IF(CC_Mode="Per loop",IFERROR(INDEX($C$4:$C$403,MATCH(249,$H$4:$H$403,0)),""),IF(CC_Mode="Per unit",IFERROR(INDEX($K$4:$K$15,MATCH(249,$N$4:$N$15,0)),""),IF(249=1,"All units",""))))</f>
        <v/>
      </c>
      <c r="T252" s="0" t="str">
        <f aca="false">IF(CC_Mode="Per equipment",IFERROR(INDEX($D$4:$D$403,MATCH(249,$I$4:$I$403,0)),""),IF(CC_Mode="Per loop",IFERROR(INDEX($D$4:$D$403,MATCH(249,$H$4:$H$403,0)),""),IF(CC_Mode="Per unit",IFERROR(INDEX($M$4:$M$15,MATCH(249,$N$4:$N$15,0)),""),IF(249=1,CC_V_GrandVol,""))))</f>
        <v/>
      </c>
      <c r="U252" s="0" t="str">
        <f aca="false">IF(CC_Mode="Per equipment",IFERROR(INDEX($E$4:$E$403,MATCH(249,$I$4:$I$403,0)),""),IF(CC_Mode="Per loop",IFERROR(INDEX($E$4:$E$403,MATCH(249,$H$4:$H$403,0)),""),IF(CC_Mode="Per unit",IFERROR(INDEX($L$4:$L$15,MATCH(249,$N$4:$N$15,0)),""),IF(249=1,CC_Net,""))))</f>
        <v/>
      </c>
    </row>
    <row r="253" customFormat="false" ht="15" hidden="false" customHeight="false" outlineLevel="0" collapsed="false">
      <c r="A253" s="0" t="s">
        <v>172</v>
      </c>
      <c r="B253" s="0" t="str">
        <f aca="false">'CC Item Pricing'!C237&amp;IF('CC Item Pricing'!D237="",""," – "&amp;'CC Item Pricing'!D237)</f>
        <v/>
      </c>
      <c r="C253" s="0" t="str">
        <f aca="false">INDEX(CC_UnitNames,'CC Item Pricing'!Y237)</f>
        <v>Unit 7</v>
      </c>
      <c r="D253" s="0" t="n">
        <f aca="false">N('CC Item Pricing'!G237)</f>
        <v>0</v>
      </c>
      <c r="E253" s="98" t="n">
        <f aca="false">'CC Item Pricing'!W237</f>
        <v>0</v>
      </c>
      <c r="F253" s="96" t="n">
        <f aca="false">IF(AND(G253=1,'CC Item Pricing'!B237=""),1,0)</f>
        <v>0</v>
      </c>
      <c r="G253" s="96" t="n">
        <f aca="false">IF(D253&gt;0,1,0)</f>
        <v>0</v>
      </c>
      <c r="H253" s="0" t="str">
        <f aca="false">IF(F253=1,COUNTIF($F$4:F253,1),"")</f>
        <v/>
      </c>
      <c r="I253" s="0" t="str">
        <f aca="false">IF(G253=1,COUNTIF($G$4:G253,1),"")</f>
        <v/>
      </c>
      <c r="R253" s="0" t="str">
        <f aca="false">IF(CC_Mode="Per equipment",IFERROR(INDEX($B$4:$B$403,MATCH(250,$I$4:$I$403,0)),""),IF(CC_Mode="Per loop",IFERROR(INDEX($B$4:$B$403,MATCH(250,$H$4:$H$403,0)),""),IF(CC_Mode="Per unit",IFERROR("Chemical cleaning – "&amp;INDEX($K$4:$K$15,MATCH(250,$N$4:$N$15,0)),""),IF(250=1,"LUMP SUM – "&amp;QProject,""))))</f>
        <v/>
      </c>
      <c r="S253" s="0" t="str">
        <f aca="false">IF(CC_Mode="Per equipment",IFERROR(INDEX($C$4:$C$403,MATCH(250,$I$4:$I$403,0)),""),IF(CC_Mode="Per loop",IFERROR(INDEX($C$4:$C$403,MATCH(250,$H$4:$H$403,0)),""),IF(CC_Mode="Per unit",IFERROR(INDEX($K$4:$K$15,MATCH(250,$N$4:$N$15,0)),""),IF(250=1,"All units",""))))</f>
        <v/>
      </c>
      <c r="T253" s="0" t="str">
        <f aca="false">IF(CC_Mode="Per equipment",IFERROR(INDEX($D$4:$D$403,MATCH(250,$I$4:$I$403,0)),""),IF(CC_Mode="Per loop",IFERROR(INDEX($D$4:$D$403,MATCH(250,$H$4:$H$403,0)),""),IF(CC_Mode="Per unit",IFERROR(INDEX($M$4:$M$15,MATCH(250,$N$4:$N$15,0)),""),IF(250=1,CC_V_GrandVol,""))))</f>
        <v/>
      </c>
      <c r="U253" s="0" t="str">
        <f aca="false">IF(CC_Mode="Per equipment",IFERROR(INDEX($E$4:$E$403,MATCH(250,$I$4:$I$403,0)),""),IF(CC_Mode="Per loop",IFERROR(INDEX($E$4:$E$403,MATCH(250,$H$4:$H$403,0)),""),IF(CC_Mode="Per unit",IFERROR(INDEX($L$4:$L$15,MATCH(250,$N$4:$N$15,0)),""),IF(250=1,CC_Net,""))))</f>
        <v/>
      </c>
    </row>
    <row r="254" customFormat="false" ht="15" hidden="false" customHeight="false" outlineLevel="0" collapsed="false">
      <c r="A254" s="0" t="s">
        <v>172</v>
      </c>
      <c r="B254" s="0" t="str">
        <f aca="false">'CC Item Pricing'!C241&amp;IF('CC Item Pricing'!D241="",""," – "&amp;'CC Item Pricing'!D241)</f>
        <v/>
      </c>
      <c r="C254" s="0" t="str">
        <f aca="false">INDEX(CC_UnitNames,'CC Item Pricing'!Y241)</f>
        <v>Unit 8</v>
      </c>
      <c r="D254" s="0" t="n">
        <f aca="false">N('CC Item Pricing'!G241)</f>
        <v>0</v>
      </c>
      <c r="E254" s="98" t="n">
        <f aca="false">'CC Item Pricing'!W241</f>
        <v>0</v>
      </c>
      <c r="F254" s="96" t="n">
        <f aca="false">IF(AND(G254=1,'CC Item Pricing'!B241=""),1,0)</f>
        <v>0</v>
      </c>
      <c r="G254" s="96" t="n">
        <f aca="false">IF(D254&gt;0,1,0)</f>
        <v>0</v>
      </c>
      <c r="H254" s="0" t="str">
        <f aca="false">IF(F254=1,COUNTIF($F$4:F254,1),"")</f>
        <v/>
      </c>
      <c r="I254" s="0" t="str">
        <f aca="false">IF(G254=1,COUNTIF($G$4:G254,1),"")</f>
        <v/>
      </c>
      <c r="R254" s="0" t="str">
        <f aca="false">IF(CC_Mode="Per equipment",IFERROR(INDEX($B$4:$B$403,MATCH(251,$I$4:$I$403,0)),""),IF(CC_Mode="Per loop",IFERROR(INDEX($B$4:$B$403,MATCH(251,$H$4:$H$403,0)),""),IF(CC_Mode="Per unit",IFERROR("Chemical cleaning – "&amp;INDEX($K$4:$K$15,MATCH(251,$N$4:$N$15,0)),""),IF(251=1,"LUMP SUM – "&amp;QProject,""))))</f>
        <v/>
      </c>
      <c r="S254" s="0" t="str">
        <f aca="false">IF(CC_Mode="Per equipment",IFERROR(INDEX($C$4:$C$403,MATCH(251,$I$4:$I$403,0)),""),IF(CC_Mode="Per loop",IFERROR(INDEX($C$4:$C$403,MATCH(251,$H$4:$H$403,0)),""),IF(CC_Mode="Per unit",IFERROR(INDEX($K$4:$K$15,MATCH(251,$N$4:$N$15,0)),""),IF(251=1,"All units",""))))</f>
        <v/>
      </c>
      <c r="T254" s="0" t="str">
        <f aca="false">IF(CC_Mode="Per equipment",IFERROR(INDEX($D$4:$D$403,MATCH(251,$I$4:$I$403,0)),""),IF(CC_Mode="Per loop",IFERROR(INDEX($D$4:$D$403,MATCH(251,$H$4:$H$403,0)),""),IF(CC_Mode="Per unit",IFERROR(INDEX($M$4:$M$15,MATCH(251,$N$4:$N$15,0)),""),IF(251=1,CC_V_GrandVol,""))))</f>
        <v/>
      </c>
      <c r="U254" s="0" t="str">
        <f aca="false">IF(CC_Mode="Per equipment",IFERROR(INDEX($E$4:$E$403,MATCH(251,$I$4:$I$403,0)),""),IF(CC_Mode="Per loop",IFERROR(INDEX($E$4:$E$403,MATCH(251,$H$4:$H$403,0)),""),IF(CC_Mode="Per unit",IFERROR(INDEX($L$4:$L$15,MATCH(251,$N$4:$N$15,0)),""),IF(251=1,CC_Net,""))))</f>
        <v/>
      </c>
    </row>
    <row r="255" customFormat="false" ht="15" hidden="false" customHeight="false" outlineLevel="0" collapsed="false">
      <c r="A255" s="0" t="s">
        <v>172</v>
      </c>
      <c r="B255" s="0" t="str">
        <f aca="false">'CC Item Pricing'!C242&amp;IF('CC Item Pricing'!D242="",""," – "&amp;'CC Item Pricing'!D242)</f>
        <v/>
      </c>
      <c r="C255" s="0" t="str">
        <f aca="false">INDEX(CC_UnitNames,'CC Item Pricing'!Y242)</f>
        <v>Unit 8</v>
      </c>
      <c r="D255" s="0" t="n">
        <f aca="false">N('CC Item Pricing'!G242)</f>
        <v>0</v>
      </c>
      <c r="E255" s="98" t="n">
        <f aca="false">'CC Item Pricing'!W242</f>
        <v>0</v>
      </c>
      <c r="F255" s="96" t="n">
        <f aca="false">IF(AND(G255=1,'CC Item Pricing'!B242=""),1,0)</f>
        <v>0</v>
      </c>
      <c r="G255" s="96" t="n">
        <f aca="false">IF(D255&gt;0,1,0)</f>
        <v>0</v>
      </c>
      <c r="H255" s="0" t="str">
        <f aca="false">IF(F255=1,COUNTIF($F$4:F255,1),"")</f>
        <v/>
      </c>
      <c r="I255" s="0" t="str">
        <f aca="false">IF(G255=1,COUNTIF($G$4:G255,1),"")</f>
        <v/>
      </c>
      <c r="R255" s="0" t="str">
        <f aca="false">IF(CC_Mode="Per equipment",IFERROR(INDEX($B$4:$B$403,MATCH(252,$I$4:$I$403,0)),""),IF(CC_Mode="Per loop",IFERROR(INDEX($B$4:$B$403,MATCH(252,$H$4:$H$403,0)),""),IF(CC_Mode="Per unit",IFERROR("Chemical cleaning – "&amp;INDEX($K$4:$K$15,MATCH(252,$N$4:$N$15,0)),""),IF(252=1,"LUMP SUM – "&amp;QProject,""))))</f>
        <v/>
      </c>
      <c r="S255" s="0" t="str">
        <f aca="false">IF(CC_Mode="Per equipment",IFERROR(INDEX($C$4:$C$403,MATCH(252,$I$4:$I$403,0)),""),IF(CC_Mode="Per loop",IFERROR(INDEX($C$4:$C$403,MATCH(252,$H$4:$H$403,0)),""),IF(CC_Mode="Per unit",IFERROR(INDEX($K$4:$K$15,MATCH(252,$N$4:$N$15,0)),""),IF(252=1,"All units",""))))</f>
        <v/>
      </c>
      <c r="T255" s="0" t="str">
        <f aca="false">IF(CC_Mode="Per equipment",IFERROR(INDEX($D$4:$D$403,MATCH(252,$I$4:$I$403,0)),""),IF(CC_Mode="Per loop",IFERROR(INDEX($D$4:$D$403,MATCH(252,$H$4:$H$403,0)),""),IF(CC_Mode="Per unit",IFERROR(INDEX($M$4:$M$15,MATCH(252,$N$4:$N$15,0)),""),IF(252=1,CC_V_GrandVol,""))))</f>
        <v/>
      </c>
      <c r="U255" s="0" t="str">
        <f aca="false">IF(CC_Mode="Per equipment",IFERROR(INDEX($E$4:$E$403,MATCH(252,$I$4:$I$403,0)),""),IF(CC_Mode="Per loop",IFERROR(INDEX($E$4:$E$403,MATCH(252,$H$4:$H$403,0)),""),IF(CC_Mode="Per unit",IFERROR(INDEX($L$4:$L$15,MATCH(252,$N$4:$N$15,0)),""),IF(252=1,CC_Net,""))))</f>
        <v/>
      </c>
    </row>
    <row r="256" customFormat="false" ht="15" hidden="false" customHeight="false" outlineLevel="0" collapsed="false">
      <c r="A256" s="0" t="s">
        <v>172</v>
      </c>
      <c r="B256" s="0" t="str">
        <f aca="false">'CC Item Pricing'!C243&amp;IF('CC Item Pricing'!D243="",""," – "&amp;'CC Item Pricing'!D243)</f>
        <v/>
      </c>
      <c r="C256" s="0" t="str">
        <f aca="false">INDEX(CC_UnitNames,'CC Item Pricing'!Y243)</f>
        <v>Unit 8</v>
      </c>
      <c r="D256" s="0" t="n">
        <f aca="false">N('CC Item Pricing'!G243)</f>
        <v>0</v>
      </c>
      <c r="E256" s="98" t="n">
        <f aca="false">'CC Item Pricing'!W243</f>
        <v>0</v>
      </c>
      <c r="F256" s="96" t="n">
        <f aca="false">IF(AND(G256=1,'CC Item Pricing'!B243=""),1,0)</f>
        <v>0</v>
      </c>
      <c r="G256" s="96" t="n">
        <f aca="false">IF(D256&gt;0,1,0)</f>
        <v>0</v>
      </c>
      <c r="H256" s="0" t="str">
        <f aca="false">IF(F256=1,COUNTIF($F$4:F256,1),"")</f>
        <v/>
      </c>
      <c r="I256" s="0" t="str">
        <f aca="false">IF(G256=1,COUNTIF($G$4:G256,1),"")</f>
        <v/>
      </c>
      <c r="R256" s="0" t="str">
        <f aca="false">IF(CC_Mode="Per equipment",IFERROR(INDEX($B$4:$B$403,MATCH(253,$I$4:$I$403,0)),""),IF(CC_Mode="Per loop",IFERROR(INDEX($B$4:$B$403,MATCH(253,$H$4:$H$403,0)),""),IF(CC_Mode="Per unit",IFERROR("Chemical cleaning – "&amp;INDEX($K$4:$K$15,MATCH(253,$N$4:$N$15,0)),""),IF(253=1,"LUMP SUM – "&amp;QProject,""))))</f>
        <v/>
      </c>
      <c r="S256" s="0" t="str">
        <f aca="false">IF(CC_Mode="Per equipment",IFERROR(INDEX($C$4:$C$403,MATCH(253,$I$4:$I$403,0)),""),IF(CC_Mode="Per loop",IFERROR(INDEX($C$4:$C$403,MATCH(253,$H$4:$H$403,0)),""),IF(CC_Mode="Per unit",IFERROR(INDEX($K$4:$K$15,MATCH(253,$N$4:$N$15,0)),""),IF(253=1,"All units",""))))</f>
        <v/>
      </c>
      <c r="T256" s="0" t="str">
        <f aca="false">IF(CC_Mode="Per equipment",IFERROR(INDEX($D$4:$D$403,MATCH(253,$I$4:$I$403,0)),""),IF(CC_Mode="Per loop",IFERROR(INDEX($D$4:$D$403,MATCH(253,$H$4:$H$403,0)),""),IF(CC_Mode="Per unit",IFERROR(INDEX($M$4:$M$15,MATCH(253,$N$4:$N$15,0)),""),IF(253=1,CC_V_GrandVol,""))))</f>
        <v/>
      </c>
      <c r="U256" s="0" t="str">
        <f aca="false">IF(CC_Mode="Per equipment",IFERROR(INDEX($E$4:$E$403,MATCH(253,$I$4:$I$403,0)),""),IF(CC_Mode="Per loop",IFERROR(INDEX($E$4:$E$403,MATCH(253,$H$4:$H$403,0)),""),IF(CC_Mode="Per unit",IFERROR(INDEX($L$4:$L$15,MATCH(253,$N$4:$N$15,0)),""),IF(253=1,CC_Net,""))))</f>
        <v/>
      </c>
    </row>
    <row r="257" customFormat="false" ht="15" hidden="false" customHeight="false" outlineLevel="0" collapsed="false">
      <c r="A257" s="0" t="s">
        <v>172</v>
      </c>
      <c r="B257" s="0" t="str">
        <f aca="false">'CC Item Pricing'!C244&amp;IF('CC Item Pricing'!D244="",""," – "&amp;'CC Item Pricing'!D244)</f>
        <v/>
      </c>
      <c r="C257" s="0" t="str">
        <f aca="false">INDEX(CC_UnitNames,'CC Item Pricing'!Y244)</f>
        <v>Unit 8</v>
      </c>
      <c r="D257" s="0" t="n">
        <f aca="false">N('CC Item Pricing'!G244)</f>
        <v>0</v>
      </c>
      <c r="E257" s="98" t="n">
        <f aca="false">'CC Item Pricing'!W244</f>
        <v>0</v>
      </c>
      <c r="F257" s="96" t="n">
        <f aca="false">IF(AND(G257=1,'CC Item Pricing'!B244=""),1,0)</f>
        <v>0</v>
      </c>
      <c r="G257" s="96" t="n">
        <f aca="false">IF(D257&gt;0,1,0)</f>
        <v>0</v>
      </c>
      <c r="H257" s="0" t="str">
        <f aca="false">IF(F257=1,COUNTIF($F$4:F257,1),"")</f>
        <v/>
      </c>
      <c r="I257" s="0" t="str">
        <f aca="false">IF(G257=1,COUNTIF($G$4:G257,1),"")</f>
        <v/>
      </c>
      <c r="R257" s="0" t="str">
        <f aca="false">IF(CC_Mode="Per equipment",IFERROR(INDEX($B$4:$B$403,MATCH(254,$I$4:$I$403,0)),""),IF(CC_Mode="Per loop",IFERROR(INDEX($B$4:$B$403,MATCH(254,$H$4:$H$403,0)),""),IF(CC_Mode="Per unit",IFERROR("Chemical cleaning – "&amp;INDEX($K$4:$K$15,MATCH(254,$N$4:$N$15,0)),""),IF(254=1,"LUMP SUM – "&amp;QProject,""))))</f>
        <v/>
      </c>
      <c r="S257" s="0" t="str">
        <f aca="false">IF(CC_Mode="Per equipment",IFERROR(INDEX($C$4:$C$403,MATCH(254,$I$4:$I$403,0)),""),IF(CC_Mode="Per loop",IFERROR(INDEX($C$4:$C$403,MATCH(254,$H$4:$H$403,0)),""),IF(CC_Mode="Per unit",IFERROR(INDEX($K$4:$K$15,MATCH(254,$N$4:$N$15,0)),""),IF(254=1,"All units",""))))</f>
        <v/>
      </c>
      <c r="T257" s="0" t="str">
        <f aca="false">IF(CC_Mode="Per equipment",IFERROR(INDEX($D$4:$D$403,MATCH(254,$I$4:$I$403,0)),""),IF(CC_Mode="Per loop",IFERROR(INDEX($D$4:$D$403,MATCH(254,$H$4:$H$403,0)),""),IF(CC_Mode="Per unit",IFERROR(INDEX($M$4:$M$15,MATCH(254,$N$4:$N$15,0)),""),IF(254=1,CC_V_GrandVol,""))))</f>
        <v/>
      </c>
      <c r="U257" s="0" t="str">
        <f aca="false">IF(CC_Mode="Per equipment",IFERROR(INDEX($E$4:$E$403,MATCH(254,$I$4:$I$403,0)),""),IF(CC_Mode="Per loop",IFERROR(INDEX($E$4:$E$403,MATCH(254,$H$4:$H$403,0)),""),IF(CC_Mode="Per unit",IFERROR(INDEX($L$4:$L$15,MATCH(254,$N$4:$N$15,0)),""),IF(254=1,CC_Net,""))))</f>
        <v/>
      </c>
    </row>
    <row r="258" customFormat="false" ht="15" hidden="false" customHeight="false" outlineLevel="0" collapsed="false">
      <c r="A258" s="0" t="s">
        <v>172</v>
      </c>
      <c r="B258" s="0" t="str">
        <f aca="false">'CC Item Pricing'!C245&amp;IF('CC Item Pricing'!D245="",""," – "&amp;'CC Item Pricing'!D245)</f>
        <v/>
      </c>
      <c r="C258" s="0" t="str">
        <f aca="false">INDEX(CC_UnitNames,'CC Item Pricing'!Y245)</f>
        <v>Unit 8</v>
      </c>
      <c r="D258" s="0" t="n">
        <f aca="false">N('CC Item Pricing'!G245)</f>
        <v>0</v>
      </c>
      <c r="E258" s="98" t="n">
        <f aca="false">'CC Item Pricing'!W245</f>
        <v>0</v>
      </c>
      <c r="F258" s="96" t="n">
        <f aca="false">IF(AND(G258=1,'CC Item Pricing'!B245=""),1,0)</f>
        <v>0</v>
      </c>
      <c r="G258" s="96" t="n">
        <f aca="false">IF(D258&gt;0,1,0)</f>
        <v>0</v>
      </c>
      <c r="H258" s="0" t="str">
        <f aca="false">IF(F258=1,COUNTIF($F$4:F258,1),"")</f>
        <v/>
      </c>
      <c r="I258" s="0" t="str">
        <f aca="false">IF(G258=1,COUNTIF($G$4:G258,1),"")</f>
        <v/>
      </c>
      <c r="R258" s="0" t="str">
        <f aca="false">IF(CC_Mode="Per equipment",IFERROR(INDEX($B$4:$B$403,MATCH(255,$I$4:$I$403,0)),""),IF(CC_Mode="Per loop",IFERROR(INDEX($B$4:$B$403,MATCH(255,$H$4:$H$403,0)),""),IF(CC_Mode="Per unit",IFERROR("Chemical cleaning – "&amp;INDEX($K$4:$K$15,MATCH(255,$N$4:$N$15,0)),""),IF(255=1,"LUMP SUM – "&amp;QProject,""))))</f>
        <v/>
      </c>
      <c r="S258" s="0" t="str">
        <f aca="false">IF(CC_Mode="Per equipment",IFERROR(INDEX($C$4:$C$403,MATCH(255,$I$4:$I$403,0)),""),IF(CC_Mode="Per loop",IFERROR(INDEX($C$4:$C$403,MATCH(255,$H$4:$H$403,0)),""),IF(CC_Mode="Per unit",IFERROR(INDEX($K$4:$K$15,MATCH(255,$N$4:$N$15,0)),""),IF(255=1,"All units",""))))</f>
        <v/>
      </c>
      <c r="T258" s="0" t="str">
        <f aca="false">IF(CC_Mode="Per equipment",IFERROR(INDEX($D$4:$D$403,MATCH(255,$I$4:$I$403,0)),""),IF(CC_Mode="Per loop",IFERROR(INDEX($D$4:$D$403,MATCH(255,$H$4:$H$403,0)),""),IF(CC_Mode="Per unit",IFERROR(INDEX($M$4:$M$15,MATCH(255,$N$4:$N$15,0)),""),IF(255=1,CC_V_GrandVol,""))))</f>
        <v/>
      </c>
      <c r="U258" s="0" t="str">
        <f aca="false">IF(CC_Mode="Per equipment",IFERROR(INDEX($E$4:$E$403,MATCH(255,$I$4:$I$403,0)),""),IF(CC_Mode="Per loop",IFERROR(INDEX($E$4:$E$403,MATCH(255,$H$4:$H$403,0)),""),IF(CC_Mode="Per unit",IFERROR(INDEX($L$4:$L$15,MATCH(255,$N$4:$N$15,0)),""),IF(255=1,CC_Net,""))))</f>
        <v/>
      </c>
    </row>
    <row r="259" customFormat="false" ht="15" hidden="false" customHeight="false" outlineLevel="0" collapsed="false">
      <c r="A259" s="0" t="s">
        <v>172</v>
      </c>
      <c r="B259" s="0" t="str">
        <f aca="false">'CC Item Pricing'!C246&amp;IF('CC Item Pricing'!D246="",""," – "&amp;'CC Item Pricing'!D246)</f>
        <v/>
      </c>
      <c r="C259" s="0" t="str">
        <f aca="false">INDEX(CC_UnitNames,'CC Item Pricing'!Y246)</f>
        <v>Unit 8</v>
      </c>
      <c r="D259" s="0" t="n">
        <f aca="false">N('CC Item Pricing'!G246)</f>
        <v>0</v>
      </c>
      <c r="E259" s="98" t="n">
        <f aca="false">'CC Item Pricing'!W246</f>
        <v>0</v>
      </c>
      <c r="F259" s="96" t="n">
        <f aca="false">IF(AND(G259=1,'CC Item Pricing'!B246=""),1,0)</f>
        <v>0</v>
      </c>
      <c r="G259" s="96" t="n">
        <f aca="false">IF(D259&gt;0,1,0)</f>
        <v>0</v>
      </c>
      <c r="H259" s="0" t="str">
        <f aca="false">IF(F259=1,COUNTIF($F$4:F259,1),"")</f>
        <v/>
      </c>
      <c r="I259" s="0" t="str">
        <f aca="false">IF(G259=1,COUNTIF($G$4:G259,1),"")</f>
        <v/>
      </c>
      <c r="R259" s="0" t="str">
        <f aca="false">IF(CC_Mode="Per equipment",IFERROR(INDEX($B$4:$B$403,MATCH(256,$I$4:$I$403,0)),""),IF(CC_Mode="Per loop",IFERROR(INDEX($B$4:$B$403,MATCH(256,$H$4:$H$403,0)),""),IF(CC_Mode="Per unit",IFERROR("Chemical cleaning – "&amp;INDEX($K$4:$K$15,MATCH(256,$N$4:$N$15,0)),""),IF(256=1,"LUMP SUM – "&amp;QProject,""))))</f>
        <v/>
      </c>
      <c r="S259" s="0" t="str">
        <f aca="false">IF(CC_Mode="Per equipment",IFERROR(INDEX($C$4:$C$403,MATCH(256,$I$4:$I$403,0)),""),IF(CC_Mode="Per loop",IFERROR(INDEX($C$4:$C$403,MATCH(256,$H$4:$H$403,0)),""),IF(CC_Mode="Per unit",IFERROR(INDEX($K$4:$K$15,MATCH(256,$N$4:$N$15,0)),""),IF(256=1,"All units",""))))</f>
        <v/>
      </c>
      <c r="T259" s="0" t="str">
        <f aca="false">IF(CC_Mode="Per equipment",IFERROR(INDEX($D$4:$D$403,MATCH(256,$I$4:$I$403,0)),""),IF(CC_Mode="Per loop",IFERROR(INDEX($D$4:$D$403,MATCH(256,$H$4:$H$403,0)),""),IF(CC_Mode="Per unit",IFERROR(INDEX($M$4:$M$15,MATCH(256,$N$4:$N$15,0)),""),IF(256=1,CC_V_GrandVol,""))))</f>
        <v/>
      </c>
      <c r="U259" s="0" t="str">
        <f aca="false">IF(CC_Mode="Per equipment",IFERROR(INDEX($E$4:$E$403,MATCH(256,$I$4:$I$403,0)),""),IF(CC_Mode="Per loop",IFERROR(INDEX($E$4:$E$403,MATCH(256,$H$4:$H$403,0)),""),IF(CC_Mode="Per unit",IFERROR(INDEX($L$4:$L$15,MATCH(256,$N$4:$N$15,0)),""),IF(256=1,CC_Net,""))))</f>
        <v/>
      </c>
    </row>
    <row r="260" customFormat="false" ht="15" hidden="false" customHeight="false" outlineLevel="0" collapsed="false">
      <c r="A260" s="0" t="s">
        <v>172</v>
      </c>
      <c r="B260" s="0" t="str">
        <f aca="false">'CC Item Pricing'!C247&amp;IF('CC Item Pricing'!D247="",""," – "&amp;'CC Item Pricing'!D247)</f>
        <v/>
      </c>
      <c r="C260" s="0" t="str">
        <f aca="false">INDEX(CC_UnitNames,'CC Item Pricing'!Y247)</f>
        <v>Unit 8</v>
      </c>
      <c r="D260" s="0" t="n">
        <f aca="false">N('CC Item Pricing'!G247)</f>
        <v>0</v>
      </c>
      <c r="E260" s="98" t="n">
        <f aca="false">'CC Item Pricing'!W247</f>
        <v>0</v>
      </c>
      <c r="F260" s="96" t="n">
        <f aca="false">IF(AND(G260=1,'CC Item Pricing'!B247=""),1,0)</f>
        <v>0</v>
      </c>
      <c r="G260" s="96" t="n">
        <f aca="false">IF(D260&gt;0,1,0)</f>
        <v>0</v>
      </c>
      <c r="H260" s="0" t="str">
        <f aca="false">IF(F260=1,COUNTIF($F$4:F260,1),"")</f>
        <v/>
      </c>
      <c r="I260" s="0" t="str">
        <f aca="false">IF(G260=1,COUNTIF($G$4:G260,1),"")</f>
        <v/>
      </c>
      <c r="R260" s="0" t="str">
        <f aca="false">IF(CC_Mode="Per equipment",IFERROR(INDEX($B$4:$B$403,MATCH(257,$I$4:$I$403,0)),""),IF(CC_Mode="Per loop",IFERROR(INDEX($B$4:$B$403,MATCH(257,$H$4:$H$403,0)),""),IF(CC_Mode="Per unit",IFERROR("Chemical cleaning – "&amp;INDEX($K$4:$K$15,MATCH(257,$N$4:$N$15,0)),""),IF(257=1,"LUMP SUM – "&amp;QProject,""))))</f>
        <v/>
      </c>
      <c r="S260" s="0" t="str">
        <f aca="false">IF(CC_Mode="Per equipment",IFERROR(INDEX($C$4:$C$403,MATCH(257,$I$4:$I$403,0)),""),IF(CC_Mode="Per loop",IFERROR(INDEX($C$4:$C$403,MATCH(257,$H$4:$H$403,0)),""),IF(CC_Mode="Per unit",IFERROR(INDEX($K$4:$K$15,MATCH(257,$N$4:$N$15,0)),""),IF(257=1,"All units",""))))</f>
        <v/>
      </c>
      <c r="T260" s="0" t="str">
        <f aca="false">IF(CC_Mode="Per equipment",IFERROR(INDEX($D$4:$D$403,MATCH(257,$I$4:$I$403,0)),""),IF(CC_Mode="Per loop",IFERROR(INDEX($D$4:$D$403,MATCH(257,$H$4:$H$403,0)),""),IF(CC_Mode="Per unit",IFERROR(INDEX($M$4:$M$15,MATCH(257,$N$4:$N$15,0)),""),IF(257=1,CC_V_GrandVol,""))))</f>
        <v/>
      </c>
      <c r="U260" s="0" t="str">
        <f aca="false">IF(CC_Mode="Per equipment",IFERROR(INDEX($E$4:$E$403,MATCH(257,$I$4:$I$403,0)),""),IF(CC_Mode="Per loop",IFERROR(INDEX($E$4:$E$403,MATCH(257,$H$4:$H$403,0)),""),IF(CC_Mode="Per unit",IFERROR(INDEX($L$4:$L$15,MATCH(257,$N$4:$N$15,0)),""),IF(257=1,CC_Net,""))))</f>
        <v/>
      </c>
    </row>
    <row r="261" customFormat="false" ht="15" hidden="false" customHeight="false" outlineLevel="0" collapsed="false">
      <c r="A261" s="0" t="s">
        <v>172</v>
      </c>
      <c r="B261" s="0" t="str">
        <f aca="false">'CC Item Pricing'!C248&amp;IF('CC Item Pricing'!D248="",""," – "&amp;'CC Item Pricing'!D248)</f>
        <v/>
      </c>
      <c r="C261" s="0" t="str">
        <f aca="false">INDEX(CC_UnitNames,'CC Item Pricing'!Y248)</f>
        <v>Unit 8</v>
      </c>
      <c r="D261" s="0" t="n">
        <f aca="false">N('CC Item Pricing'!G248)</f>
        <v>0</v>
      </c>
      <c r="E261" s="98" t="n">
        <f aca="false">'CC Item Pricing'!W248</f>
        <v>0</v>
      </c>
      <c r="F261" s="96" t="n">
        <f aca="false">IF(AND(G261=1,'CC Item Pricing'!B248=""),1,0)</f>
        <v>0</v>
      </c>
      <c r="G261" s="96" t="n">
        <f aca="false">IF(D261&gt;0,1,0)</f>
        <v>0</v>
      </c>
      <c r="H261" s="0" t="str">
        <f aca="false">IF(F261=1,COUNTIF($F$4:F261,1),"")</f>
        <v/>
      </c>
      <c r="I261" s="0" t="str">
        <f aca="false">IF(G261=1,COUNTIF($G$4:G261,1),"")</f>
        <v/>
      </c>
      <c r="R261" s="0" t="str">
        <f aca="false">IF(CC_Mode="Per equipment",IFERROR(INDEX($B$4:$B$403,MATCH(258,$I$4:$I$403,0)),""),IF(CC_Mode="Per loop",IFERROR(INDEX($B$4:$B$403,MATCH(258,$H$4:$H$403,0)),""),IF(CC_Mode="Per unit",IFERROR("Chemical cleaning – "&amp;INDEX($K$4:$K$15,MATCH(258,$N$4:$N$15,0)),""),IF(258=1,"LUMP SUM – "&amp;QProject,""))))</f>
        <v/>
      </c>
      <c r="S261" s="0" t="str">
        <f aca="false">IF(CC_Mode="Per equipment",IFERROR(INDEX($C$4:$C$403,MATCH(258,$I$4:$I$403,0)),""),IF(CC_Mode="Per loop",IFERROR(INDEX($C$4:$C$403,MATCH(258,$H$4:$H$403,0)),""),IF(CC_Mode="Per unit",IFERROR(INDEX($K$4:$K$15,MATCH(258,$N$4:$N$15,0)),""),IF(258=1,"All units",""))))</f>
        <v/>
      </c>
      <c r="T261" s="0" t="str">
        <f aca="false">IF(CC_Mode="Per equipment",IFERROR(INDEX($D$4:$D$403,MATCH(258,$I$4:$I$403,0)),""),IF(CC_Mode="Per loop",IFERROR(INDEX($D$4:$D$403,MATCH(258,$H$4:$H$403,0)),""),IF(CC_Mode="Per unit",IFERROR(INDEX($M$4:$M$15,MATCH(258,$N$4:$N$15,0)),""),IF(258=1,CC_V_GrandVol,""))))</f>
        <v/>
      </c>
      <c r="U261" s="0" t="str">
        <f aca="false">IF(CC_Mode="Per equipment",IFERROR(INDEX($E$4:$E$403,MATCH(258,$I$4:$I$403,0)),""),IF(CC_Mode="Per loop",IFERROR(INDEX($E$4:$E$403,MATCH(258,$H$4:$H$403,0)),""),IF(CC_Mode="Per unit",IFERROR(INDEX($L$4:$L$15,MATCH(258,$N$4:$N$15,0)),""),IF(258=1,CC_Net,""))))</f>
        <v/>
      </c>
    </row>
    <row r="262" customFormat="false" ht="15" hidden="false" customHeight="false" outlineLevel="0" collapsed="false">
      <c r="A262" s="0" t="s">
        <v>172</v>
      </c>
      <c r="B262" s="0" t="str">
        <f aca="false">'CC Item Pricing'!C249&amp;IF('CC Item Pricing'!D249="",""," – "&amp;'CC Item Pricing'!D249)</f>
        <v/>
      </c>
      <c r="C262" s="0" t="str">
        <f aca="false">INDEX(CC_UnitNames,'CC Item Pricing'!Y249)</f>
        <v>Unit 8</v>
      </c>
      <c r="D262" s="0" t="n">
        <f aca="false">N('CC Item Pricing'!G249)</f>
        <v>0</v>
      </c>
      <c r="E262" s="98" t="n">
        <f aca="false">'CC Item Pricing'!W249</f>
        <v>0</v>
      </c>
      <c r="F262" s="96" t="n">
        <f aca="false">IF(AND(G262=1,'CC Item Pricing'!B249=""),1,0)</f>
        <v>0</v>
      </c>
      <c r="G262" s="96" t="n">
        <f aca="false">IF(D262&gt;0,1,0)</f>
        <v>0</v>
      </c>
      <c r="H262" s="0" t="str">
        <f aca="false">IF(F262=1,COUNTIF($F$4:F262,1),"")</f>
        <v/>
      </c>
      <c r="I262" s="0" t="str">
        <f aca="false">IF(G262=1,COUNTIF($G$4:G262,1),"")</f>
        <v/>
      </c>
      <c r="R262" s="0" t="str">
        <f aca="false">IF(CC_Mode="Per equipment",IFERROR(INDEX($B$4:$B$403,MATCH(259,$I$4:$I$403,0)),""),IF(CC_Mode="Per loop",IFERROR(INDEX($B$4:$B$403,MATCH(259,$H$4:$H$403,0)),""),IF(CC_Mode="Per unit",IFERROR("Chemical cleaning – "&amp;INDEX($K$4:$K$15,MATCH(259,$N$4:$N$15,0)),""),IF(259=1,"LUMP SUM – "&amp;QProject,""))))</f>
        <v/>
      </c>
      <c r="S262" s="0" t="str">
        <f aca="false">IF(CC_Mode="Per equipment",IFERROR(INDEX($C$4:$C$403,MATCH(259,$I$4:$I$403,0)),""),IF(CC_Mode="Per loop",IFERROR(INDEX($C$4:$C$403,MATCH(259,$H$4:$H$403,0)),""),IF(CC_Mode="Per unit",IFERROR(INDEX($K$4:$K$15,MATCH(259,$N$4:$N$15,0)),""),IF(259=1,"All units",""))))</f>
        <v/>
      </c>
      <c r="T262" s="0" t="str">
        <f aca="false">IF(CC_Mode="Per equipment",IFERROR(INDEX($D$4:$D$403,MATCH(259,$I$4:$I$403,0)),""),IF(CC_Mode="Per loop",IFERROR(INDEX($D$4:$D$403,MATCH(259,$H$4:$H$403,0)),""),IF(CC_Mode="Per unit",IFERROR(INDEX($M$4:$M$15,MATCH(259,$N$4:$N$15,0)),""),IF(259=1,CC_V_GrandVol,""))))</f>
        <v/>
      </c>
      <c r="U262" s="0" t="str">
        <f aca="false">IF(CC_Mode="Per equipment",IFERROR(INDEX($E$4:$E$403,MATCH(259,$I$4:$I$403,0)),""),IF(CC_Mode="Per loop",IFERROR(INDEX($E$4:$E$403,MATCH(259,$H$4:$H$403,0)),""),IF(CC_Mode="Per unit",IFERROR(INDEX($L$4:$L$15,MATCH(259,$N$4:$N$15,0)),""),IF(259=1,CC_Net,""))))</f>
        <v/>
      </c>
    </row>
    <row r="263" customFormat="false" ht="15" hidden="false" customHeight="false" outlineLevel="0" collapsed="false">
      <c r="A263" s="0" t="s">
        <v>172</v>
      </c>
      <c r="B263" s="0" t="str">
        <f aca="false">'CC Item Pricing'!C250&amp;IF('CC Item Pricing'!D250="",""," – "&amp;'CC Item Pricing'!D250)</f>
        <v/>
      </c>
      <c r="C263" s="0" t="str">
        <f aca="false">INDEX(CC_UnitNames,'CC Item Pricing'!Y250)</f>
        <v>Unit 8</v>
      </c>
      <c r="D263" s="0" t="n">
        <f aca="false">N('CC Item Pricing'!G250)</f>
        <v>0</v>
      </c>
      <c r="E263" s="98" t="n">
        <f aca="false">'CC Item Pricing'!W250</f>
        <v>0</v>
      </c>
      <c r="F263" s="96" t="n">
        <f aca="false">IF(AND(G263=1,'CC Item Pricing'!B250=""),1,0)</f>
        <v>0</v>
      </c>
      <c r="G263" s="96" t="n">
        <f aca="false">IF(D263&gt;0,1,0)</f>
        <v>0</v>
      </c>
      <c r="H263" s="0" t="str">
        <f aca="false">IF(F263=1,COUNTIF($F$4:F263,1),"")</f>
        <v/>
      </c>
      <c r="I263" s="0" t="str">
        <f aca="false">IF(G263=1,COUNTIF($G$4:G263,1),"")</f>
        <v/>
      </c>
      <c r="R263" s="0" t="str">
        <f aca="false">IF(CC_Mode="Per equipment",IFERROR(INDEX($B$4:$B$403,MATCH(260,$I$4:$I$403,0)),""),IF(CC_Mode="Per loop",IFERROR(INDEX($B$4:$B$403,MATCH(260,$H$4:$H$403,0)),""),IF(CC_Mode="Per unit",IFERROR("Chemical cleaning – "&amp;INDEX($K$4:$K$15,MATCH(260,$N$4:$N$15,0)),""),IF(260=1,"LUMP SUM – "&amp;QProject,""))))</f>
        <v/>
      </c>
      <c r="S263" s="0" t="str">
        <f aca="false">IF(CC_Mode="Per equipment",IFERROR(INDEX($C$4:$C$403,MATCH(260,$I$4:$I$403,0)),""),IF(CC_Mode="Per loop",IFERROR(INDEX($C$4:$C$403,MATCH(260,$H$4:$H$403,0)),""),IF(CC_Mode="Per unit",IFERROR(INDEX($K$4:$K$15,MATCH(260,$N$4:$N$15,0)),""),IF(260=1,"All units",""))))</f>
        <v/>
      </c>
      <c r="T263" s="0" t="str">
        <f aca="false">IF(CC_Mode="Per equipment",IFERROR(INDEX($D$4:$D$403,MATCH(260,$I$4:$I$403,0)),""),IF(CC_Mode="Per loop",IFERROR(INDEX($D$4:$D$403,MATCH(260,$H$4:$H$403,0)),""),IF(CC_Mode="Per unit",IFERROR(INDEX($M$4:$M$15,MATCH(260,$N$4:$N$15,0)),""),IF(260=1,CC_V_GrandVol,""))))</f>
        <v/>
      </c>
      <c r="U263" s="0" t="str">
        <f aca="false">IF(CC_Mode="Per equipment",IFERROR(INDEX($E$4:$E$403,MATCH(260,$I$4:$I$403,0)),""),IF(CC_Mode="Per loop",IFERROR(INDEX($E$4:$E$403,MATCH(260,$H$4:$H$403,0)),""),IF(CC_Mode="Per unit",IFERROR(INDEX($L$4:$L$15,MATCH(260,$N$4:$N$15,0)),""),IF(260=1,CC_Net,""))))</f>
        <v/>
      </c>
    </row>
    <row r="264" customFormat="false" ht="15" hidden="false" customHeight="false" outlineLevel="0" collapsed="false">
      <c r="A264" s="0" t="s">
        <v>172</v>
      </c>
      <c r="B264" s="0" t="str">
        <f aca="false">'CC Item Pricing'!C251&amp;IF('CC Item Pricing'!D251="",""," – "&amp;'CC Item Pricing'!D251)</f>
        <v/>
      </c>
      <c r="C264" s="0" t="str">
        <f aca="false">INDEX(CC_UnitNames,'CC Item Pricing'!Y251)</f>
        <v>Unit 8</v>
      </c>
      <c r="D264" s="0" t="n">
        <f aca="false">N('CC Item Pricing'!G251)</f>
        <v>0</v>
      </c>
      <c r="E264" s="98" t="n">
        <f aca="false">'CC Item Pricing'!W251</f>
        <v>0</v>
      </c>
      <c r="F264" s="96" t="n">
        <f aca="false">IF(AND(G264=1,'CC Item Pricing'!B251=""),1,0)</f>
        <v>0</v>
      </c>
      <c r="G264" s="96" t="n">
        <f aca="false">IF(D264&gt;0,1,0)</f>
        <v>0</v>
      </c>
      <c r="H264" s="0" t="str">
        <f aca="false">IF(F264=1,COUNTIF($F$4:F264,1),"")</f>
        <v/>
      </c>
      <c r="I264" s="0" t="str">
        <f aca="false">IF(G264=1,COUNTIF($G$4:G264,1),"")</f>
        <v/>
      </c>
      <c r="R264" s="0" t="str">
        <f aca="false">IF(CC_Mode="Per equipment",IFERROR(INDEX($B$4:$B$403,MATCH(261,$I$4:$I$403,0)),""),IF(CC_Mode="Per loop",IFERROR(INDEX($B$4:$B$403,MATCH(261,$H$4:$H$403,0)),""),IF(CC_Mode="Per unit",IFERROR("Chemical cleaning – "&amp;INDEX($K$4:$K$15,MATCH(261,$N$4:$N$15,0)),""),IF(261=1,"LUMP SUM – "&amp;QProject,""))))</f>
        <v/>
      </c>
      <c r="S264" s="0" t="str">
        <f aca="false">IF(CC_Mode="Per equipment",IFERROR(INDEX($C$4:$C$403,MATCH(261,$I$4:$I$403,0)),""),IF(CC_Mode="Per loop",IFERROR(INDEX($C$4:$C$403,MATCH(261,$H$4:$H$403,0)),""),IF(CC_Mode="Per unit",IFERROR(INDEX($K$4:$K$15,MATCH(261,$N$4:$N$15,0)),""),IF(261=1,"All units",""))))</f>
        <v/>
      </c>
      <c r="T264" s="0" t="str">
        <f aca="false">IF(CC_Mode="Per equipment",IFERROR(INDEX($D$4:$D$403,MATCH(261,$I$4:$I$403,0)),""),IF(CC_Mode="Per loop",IFERROR(INDEX($D$4:$D$403,MATCH(261,$H$4:$H$403,0)),""),IF(CC_Mode="Per unit",IFERROR(INDEX($M$4:$M$15,MATCH(261,$N$4:$N$15,0)),""),IF(261=1,CC_V_GrandVol,""))))</f>
        <v/>
      </c>
      <c r="U264" s="0" t="str">
        <f aca="false">IF(CC_Mode="Per equipment",IFERROR(INDEX($E$4:$E$403,MATCH(261,$I$4:$I$403,0)),""),IF(CC_Mode="Per loop",IFERROR(INDEX($E$4:$E$403,MATCH(261,$H$4:$H$403,0)),""),IF(CC_Mode="Per unit",IFERROR(INDEX($L$4:$L$15,MATCH(261,$N$4:$N$15,0)),""),IF(261=1,CC_Net,""))))</f>
        <v/>
      </c>
    </row>
    <row r="265" customFormat="false" ht="15" hidden="false" customHeight="false" outlineLevel="0" collapsed="false">
      <c r="A265" s="0" t="s">
        <v>172</v>
      </c>
      <c r="B265" s="0" t="str">
        <f aca="false">'CC Item Pricing'!C252&amp;IF('CC Item Pricing'!D252="",""," – "&amp;'CC Item Pricing'!D252)</f>
        <v/>
      </c>
      <c r="C265" s="0" t="str">
        <f aca="false">INDEX(CC_UnitNames,'CC Item Pricing'!Y252)</f>
        <v>Unit 8</v>
      </c>
      <c r="D265" s="0" t="n">
        <f aca="false">N('CC Item Pricing'!G252)</f>
        <v>0</v>
      </c>
      <c r="E265" s="98" t="n">
        <f aca="false">'CC Item Pricing'!W252</f>
        <v>0</v>
      </c>
      <c r="F265" s="96" t="n">
        <f aca="false">IF(AND(G265=1,'CC Item Pricing'!B252=""),1,0)</f>
        <v>0</v>
      </c>
      <c r="G265" s="96" t="n">
        <f aca="false">IF(D265&gt;0,1,0)</f>
        <v>0</v>
      </c>
      <c r="H265" s="0" t="str">
        <f aca="false">IF(F265=1,COUNTIF($F$4:F265,1),"")</f>
        <v/>
      </c>
      <c r="I265" s="0" t="str">
        <f aca="false">IF(G265=1,COUNTIF($G$4:G265,1),"")</f>
        <v/>
      </c>
      <c r="R265" s="0" t="str">
        <f aca="false">IF(CC_Mode="Per equipment",IFERROR(INDEX($B$4:$B$403,MATCH(262,$I$4:$I$403,0)),""),IF(CC_Mode="Per loop",IFERROR(INDEX($B$4:$B$403,MATCH(262,$H$4:$H$403,0)),""),IF(CC_Mode="Per unit",IFERROR("Chemical cleaning – "&amp;INDEX($K$4:$K$15,MATCH(262,$N$4:$N$15,0)),""),IF(262=1,"LUMP SUM – "&amp;QProject,""))))</f>
        <v/>
      </c>
      <c r="S265" s="0" t="str">
        <f aca="false">IF(CC_Mode="Per equipment",IFERROR(INDEX($C$4:$C$403,MATCH(262,$I$4:$I$403,0)),""),IF(CC_Mode="Per loop",IFERROR(INDEX($C$4:$C$403,MATCH(262,$H$4:$H$403,0)),""),IF(CC_Mode="Per unit",IFERROR(INDEX($K$4:$K$15,MATCH(262,$N$4:$N$15,0)),""),IF(262=1,"All units",""))))</f>
        <v/>
      </c>
      <c r="T265" s="0" t="str">
        <f aca="false">IF(CC_Mode="Per equipment",IFERROR(INDEX($D$4:$D$403,MATCH(262,$I$4:$I$403,0)),""),IF(CC_Mode="Per loop",IFERROR(INDEX($D$4:$D$403,MATCH(262,$H$4:$H$403,0)),""),IF(CC_Mode="Per unit",IFERROR(INDEX($M$4:$M$15,MATCH(262,$N$4:$N$15,0)),""),IF(262=1,CC_V_GrandVol,""))))</f>
        <v/>
      </c>
      <c r="U265" s="0" t="str">
        <f aca="false">IF(CC_Mode="Per equipment",IFERROR(INDEX($E$4:$E$403,MATCH(262,$I$4:$I$403,0)),""),IF(CC_Mode="Per loop",IFERROR(INDEX($E$4:$E$403,MATCH(262,$H$4:$H$403,0)),""),IF(CC_Mode="Per unit",IFERROR(INDEX($L$4:$L$15,MATCH(262,$N$4:$N$15,0)),""),IF(262=1,CC_Net,""))))</f>
        <v/>
      </c>
    </row>
    <row r="266" customFormat="false" ht="15" hidden="false" customHeight="false" outlineLevel="0" collapsed="false">
      <c r="A266" s="0" t="s">
        <v>172</v>
      </c>
      <c r="B266" s="0" t="str">
        <f aca="false">'CC Item Pricing'!C253&amp;IF('CC Item Pricing'!D253="",""," – "&amp;'CC Item Pricing'!D253)</f>
        <v/>
      </c>
      <c r="C266" s="0" t="str">
        <f aca="false">INDEX(CC_UnitNames,'CC Item Pricing'!Y253)</f>
        <v>Unit 8</v>
      </c>
      <c r="D266" s="0" t="n">
        <f aca="false">N('CC Item Pricing'!G253)</f>
        <v>0</v>
      </c>
      <c r="E266" s="98" t="n">
        <f aca="false">'CC Item Pricing'!W253</f>
        <v>0</v>
      </c>
      <c r="F266" s="96" t="n">
        <f aca="false">IF(AND(G266=1,'CC Item Pricing'!B253=""),1,0)</f>
        <v>0</v>
      </c>
      <c r="G266" s="96" t="n">
        <f aca="false">IF(D266&gt;0,1,0)</f>
        <v>0</v>
      </c>
      <c r="H266" s="0" t="str">
        <f aca="false">IF(F266=1,COUNTIF($F$4:F266,1),"")</f>
        <v/>
      </c>
      <c r="I266" s="0" t="str">
        <f aca="false">IF(G266=1,COUNTIF($G$4:G266,1),"")</f>
        <v/>
      </c>
      <c r="R266" s="0" t="str">
        <f aca="false">IF(CC_Mode="Per equipment",IFERROR(INDEX($B$4:$B$403,MATCH(263,$I$4:$I$403,0)),""),IF(CC_Mode="Per loop",IFERROR(INDEX($B$4:$B$403,MATCH(263,$H$4:$H$403,0)),""),IF(CC_Mode="Per unit",IFERROR("Chemical cleaning – "&amp;INDEX($K$4:$K$15,MATCH(263,$N$4:$N$15,0)),""),IF(263=1,"LUMP SUM – "&amp;QProject,""))))</f>
        <v/>
      </c>
      <c r="S266" s="0" t="str">
        <f aca="false">IF(CC_Mode="Per equipment",IFERROR(INDEX($C$4:$C$403,MATCH(263,$I$4:$I$403,0)),""),IF(CC_Mode="Per loop",IFERROR(INDEX($C$4:$C$403,MATCH(263,$H$4:$H$403,0)),""),IF(CC_Mode="Per unit",IFERROR(INDEX($K$4:$K$15,MATCH(263,$N$4:$N$15,0)),""),IF(263=1,"All units",""))))</f>
        <v/>
      </c>
      <c r="T266" s="0" t="str">
        <f aca="false">IF(CC_Mode="Per equipment",IFERROR(INDEX($D$4:$D$403,MATCH(263,$I$4:$I$403,0)),""),IF(CC_Mode="Per loop",IFERROR(INDEX($D$4:$D$403,MATCH(263,$H$4:$H$403,0)),""),IF(CC_Mode="Per unit",IFERROR(INDEX($M$4:$M$15,MATCH(263,$N$4:$N$15,0)),""),IF(263=1,CC_V_GrandVol,""))))</f>
        <v/>
      </c>
      <c r="U266" s="0" t="str">
        <f aca="false">IF(CC_Mode="Per equipment",IFERROR(INDEX($E$4:$E$403,MATCH(263,$I$4:$I$403,0)),""),IF(CC_Mode="Per loop",IFERROR(INDEX($E$4:$E$403,MATCH(263,$H$4:$H$403,0)),""),IF(CC_Mode="Per unit",IFERROR(INDEX($L$4:$L$15,MATCH(263,$N$4:$N$15,0)),""),IF(263=1,CC_Net,""))))</f>
        <v/>
      </c>
    </row>
    <row r="267" customFormat="false" ht="15" hidden="false" customHeight="false" outlineLevel="0" collapsed="false">
      <c r="A267" s="0" t="s">
        <v>172</v>
      </c>
      <c r="B267" s="0" t="str">
        <f aca="false">'CC Item Pricing'!C254&amp;IF('CC Item Pricing'!D254="",""," – "&amp;'CC Item Pricing'!D254)</f>
        <v/>
      </c>
      <c r="C267" s="0" t="str">
        <f aca="false">INDEX(CC_UnitNames,'CC Item Pricing'!Y254)</f>
        <v>Unit 8</v>
      </c>
      <c r="D267" s="0" t="n">
        <f aca="false">N('CC Item Pricing'!G254)</f>
        <v>0</v>
      </c>
      <c r="E267" s="98" t="n">
        <f aca="false">'CC Item Pricing'!W254</f>
        <v>0</v>
      </c>
      <c r="F267" s="96" t="n">
        <f aca="false">IF(AND(G267=1,'CC Item Pricing'!B254=""),1,0)</f>
        <v>0</v>
      </c>
      <c r="G267" s="96" t="n">
        <f aca="false">IF(D267&gt;0,1,0)</f>
        <v>0</v>
      </c>
      <c r="H267" s="0" t="str">
        <f aca="false">IF(F267=1,COUNTIF($F$4:F267,1),"")</f>
        <v/>
      </c>
      <c r="I267" s="0" t="str">
        <f aca="false">IF(G267=1,COUNTIF($G$4:G267,1),"")</f>
        <v/>
      </c>
      <c r="R267" s="0" t="str">
        <f aca="false">IF(CC_Mode="Per equipment",IFERROR(INDEX($B$4:$B$403,MATCH(264,$I$4:$I$403,0)),""),IF(CC_Mode="Per loop",IFERROR(INDEX($B$4:$B$403,MATCH(264,$H$4:$H$403,0)),""),IF(CC_Mode="Per unit",IFERROR("Chemical cleaning – "&amp;INDEX($K$4:$K$15,MATCH(264,$N$4:$N$15,0)),""),IF(264=1,"LUMP SUM – "&amp;QProject,""))))</f>
        <v/>
      </c>
      <c r="S267" s="0" t="str">
        <f aca="false">IF(CC_Mode="Per equipment",IFERROR(INDEX($C$4:$C$403,MATCH(264,$I$4:$I$403,0)),""),IF(CC_Mode="Per loop",IFERROR(INDEX($C$4:$C$403,MATCH(264,$H$4:$H$403,0)),""),IF(CC_Mode="Per unit",IFERROR(INDEX($K$4:$K$15,MATCH(264,$N$4:$N$15,0)),""),IF(264=1,"All units",""))))</f>
        <v/>
      </c>
      <c r="T267" s="0" t="str">
        <f aca="false">IF(CC_Mode="Per equipment",IFERROR(INDEX($D$4:$D$403,MATCH(264,$I$4:$I$403,0)),""),IF(CC_Mode="Per loop",IFERROR(INDEX($D$4:$D$403,MATCH(264,$H$4:$H$403,0)),""),IF(CC_Mode="Per unit",IFERROR(INDEX($M$4:$M$15,MATCH(264,$N$4:$N$15,0)),""),IF(264=1,CC_V_GrandVol,""))))</f>
        <v/>
      </c>
      <c r="U267" s="0" t="str">
        <f aca="false">IF(CC_Mode="Per equipment",IFERROR(INDEX($E$4:$E$403,MATCH(264,$I$4:$I$403,0)),""),IF(CC_Mode="Per loop",IFERROR(INDEX($E$4:$E$403,MATCH(264,$H$4:$H$403,0)),""),IF(CC_Mode="Per unit",IFERROR(INDEX($L$4:$L$15,MATCH(264,$N$4:$N$15,0)),""),IF(264=1,CC_Net,""))))</f>
        <v/>
      </c>
    </row>
    <row r="268" customFormat="false" ht="15" hidden="false" customHeight="false" outlineLevel="0" collapsed="false">
      <c r="A268" s="0" t="s">
        <v>172</v>
      </c>
      <c r="B268" s="0" t="str">
        <f aca="false">'CC Item Pricing'!C255&amp;IF('CC Item Pricing'!D255="",""," – "&amp;'CC Item Pricing'!D255)</f>
        <v/>
      </c>
      <c r="C268" s="0" t="str">
        <f aca="false">INDEX(CC_UnitNames,'CC Item Pricing'!Y255)</f>
        <v>Unit 8</v>
      </c>
      <c r="D268" s="0" t="n">
        <f aca="false">N('CC Item Pricing'!G255)</f>
        <v>0</v>
      </c>
      <c r="E268" s="98" t="n">
        <f aca="false">'CC Item Pricing'!W255</f>
        <v>0</v>
      </c>
      <c r="F268" s="96" t="n">
        <f aca="false">IF(AND(G268=1,'CC Item Pricing'!B255=""),1,0)</f>
        <v>0</v>
      </c>
      <c r="G268" s="96" t="n">
        <f aca="false">IF(D268&gt;0,1,0)</f>
        <v>0</v>
      </c>
      <c r="H268" s="0" t="str">
        <f aca="false">IF(F268=1,COUNTIF($F$4:F268,1),"")</f>
        <v/>
      </c>
      <c r="I268" s="0" t="str">
        <f aca="false">IF(G268=1,COUNTIF($G$4:G268,1),"")</f>
        <v/>
      </c>
      <c r="R268" s="0" t="str">
        <f aca="false">IF(CC_Mode="Per equipment",IFERROR(INDEX($B$4:$B$403,MATCH(265,$I$4:$I$403,0)),""),IF(CC_Mode="Per loop",IFERROR(INDEX($B$4:$B$403,MATCH(265,$H$4:$H$403,0)),""),IF(CC_Mode="Per unit",IFERROR("Chemical cleaning – "&amp;INDEX($K$4:$K$15,MATCH(265,$N$4:$N$15,0)),""),IF(265=1,"LUMP SUM – "&amp;QProject,""))))</f>
        <v/>
      </c>
      <c r="S268" s="0" t="str">
        <f aca="false">IF(CC_Mode="Per equipment",IFERROR(INDEX($C$4:$C$403,MATCH(265,$I$4:$I$403,0)),""),IF(CC_Mode="Per loop",IFERROR(INDEX($C$4:$C$403,MATCH(265,$H$4:$H$403,0)),""),IF(CC_Mode="Per unit",IFERROR(INDEX($K$4:$K$15,MATCH(265,$N$4:$N$15,0)),""),IF(265=1,"All units",""))))</f>
        <v/>
      </c>
      <c r="T268" s="0" t="str">
        <f aca="false">IF(CC_Mode="Per equipment",IFERROR(INDEX($D$4:$D$403,MATCH(265,$I$4:$I$403,0)),""),IF(CC_Mode="Per loop",IFERROR(INDEX($D$4:$D$403,MATCH(265,$H$4:$H$403,0)),""),IF(CC_Mode="Per unit",IFERROR(INDEX($M$4:$M$15,MATCH(265,$N$4:$N$15,0)),""),IF(265=1,CC_V_GrandVol,""))))</f>
        <v/>
      </c>
      <c r="U268" s="0" t="str">
        <f aca="false">IF(CC_Mode="Per equipment",IFERROR(INDEX($E$4:$E$403,MATCH(265,$I$4:$I$403,0)),""),IF(CC_Mode="Per loop",IFERROR(INDEX($E$4:$E$403,MATCH(265,$H$4:$H$403,0)),""),IF(CC_Mode="Per unit",IFERROR(INDEX($L$4:$L$15,MATCH(265,$N$4:$N$15,0)),""),IF(265=1,CC_Net,""))))</f>
        <v/>
      </c>
    </row>
    <row r="269" customFormat="false" ht="15" hidden="false" customHeight="false" outlineLevel="0" collapsed="false">
      <c r="A269" s="0" t="s">
        <v>172</v>
      </c>
      <c r="B269" s="0" t="str">
        <f aca="false">'CC Item Pricing'!C256&amp;IF('CC Item Pricing'!D256="",""," – "&amp;'CC Item Pricing'!D256)</f>
        <v/>
      </c>
      <c r="C269" s="0" t="str">
        <f aca="false">INDEX(CC_UnitNames,'CC Item Pricing'!Y256)</f>
        <v>Unit 8</v>
      </c>
      <c r="D269" s="0" t="n">
        <f aca="false">N('CC Item Pricing'!G256)</f>
        <v>0</v>
      </c>
      <c r="E269" s="98" t="n">
        <f aca="false">'CC Item Pricing'!W256</f>
        <v>0</v>
      </c>
      <c r="F269" s="96" t="n">
        <f aca="false">IF(AND(G269=1,'CC Item Pricing'!B256=""),1,0)</f>
        <v>0</v>
      </c>
      <c r="G269" s="96" t="n">
        <f aca="false">IF(D269&gt;0,1,0)</f>
        <v>0</v>
      </c>
      <c r="H269" s="0" t="str">
        <f aca="false">IF(F269=1,COUNTIF($F$4:F269,1),"")</f>
        <v/>
      </c>
      <c r="I269" s="0" t="str">
        <f aca="false">IF(G269=1,COUNTIF($G$4:G269,1),"")</f>
        <v/>
      </c>
      <c r="R269" s="0" t="str">
        <f aca="false">IF(CC_Mode="Per equipment",IFERROR(INDEX($B$4:$B$403,MATCH(266,$I$4:$I$403,0)),""),IF(CC_Mode="Per loop",IFERROR(INDEX($B$4:$B$403,MATCH(266,$H$4:$H$403,0)),""),IF(CC_Mode="Per unit",IFERROR("Chemical cleaning – "&amp;INDEX($K$4:$K$15,MATCH(266,$N$4:$N$15,0)),""),IF(266=1,"LUMP SUM – "&amp;QProject,""))))</f>
        <v/>
      </c>
      <c r="S269" s="0" t="str">
        <f aca="false">IF(CC_Mode="Per equipment",IFERROR(INDEX($C$4:$C$403,MATCH(266,$I$4:$I$403,0)),""),IF(CC_Mode="Per loop",IFERROR(INDEX($C$4:$C$403,MATCH(266,$H$4:$H$403,0)),""),IF(CC_Mode="Per unit",IFERROR(INDEX($K$4:$K$15,MATCH(266,$N$4:$N$15,0)),""),IF(266=1,"All units",""))))</f>
        <v/>
      </c>
      <c r="T269" s="0" t="str">
        <f aca="false">IF(CC_Mode="Per equipment",IFERROR(INDEX($D$4:$D$403,MATCH(266,$I$4:$I$403,0)),""),IF(CC_Mode="Per loop",IFERROR(INDEX($D$4:$D$403,MATCH(266,$H$4:$H$403,0)),""),IF(CC_Mode="Per unit",IFERROR(INDEX($M$4:$M$15,MATCH(266,$N$4:$N$15,0)),""),IF(266=1,CC_V_GrandVol,""))))</f>
        <v/>
      </c>
      <c r="U269" s="0" t="str">
        <f aca="false">IF(CC_Mode="Per equipment",IFERROR(INDEX($E$4:$E$403,MATCH(266,$I$4:$I$403,0)),""),IF(CC_Mode="Per loop",IFERROR(INDEX($E$4:$E$403,MATCH(266,$H$4:$H$403,0)),""),IF(CC_Mode="Per unit",IFERROR(INDEX($L$4:$L$15,MATCH(266,$N$4:$N$15,0)),""),IF(266=1,CC_Net,""))))</f>
        <v/>
      </c>
    </row>
    <row r="270" customFormat="false" ht="15" hidden="false" customHeight="false" outlineLevel="0" collapsed="false">
      <c r="A270" s="0" t="s">
        <v>172</v>
      </c>
      <c r="B270" s="0" t="str">
        <f aca="false">'CC Item Pricing'!C257&amp;IF('CC Item Pricing'!D257="",""," – "&amp;'CC Item Pricing'!D257)</f>
        <v/>
      </c>
      <c r="C270" s="0" t="str">
        <f aca="false">INDEX(CC_UnitNames,'CC Item Pricing'!Y257)</f>
        <v>Unit 8</v>
      </c>
      <c r="D270" s="0" t="n">
        <f aca="false">N('CC Item Pricing'!G257)</f>
        <v>0</v>
      </c>
      <c r="E270" s="98" t="n">
        <f aca="false">'CC Item Pricing'!W257</f>
        <v>0</v>
      </c>
      <c r="F270" s="96" t="n">
        <f aca="false">IF(AND(G270=1,'CC Item Pricing'!B257=""),1,0)</f>
        <v>0</v>
      </c>
      <c r="G270" s="96" t="n">
        <f aca="false">IF(D270&gt;0,1,0)</f>
        <v>0</v>
      </c>
      <c r="H270" s="0" t="str">
        <f aca="false">IF(F270=1,COUNTIF($F$4:F270,1),"")</f>
        <v/>
      </c>
      <c r="I270" s="0" t="str">
        <f aca="false">IF(G270=1,COUNTIF($G$4:G270,1),"")</f>
        <v/>
      </c>
      <c r="R270" s="0" t="str">
        <f aca="false">IF(CC_Mode="Per equipment",IFERROR(INDEX($B$4:$B$403,MATCH(267,$I$4:$I$403,0)),""),IF(CC_Mode="Per loop",IFERROR(INDEX($B$4:$B$403,MATCH(267,$H$4:$H$403,0)),""),IF(CC_Mode="Per unit",IFERROR("Chemical cleaning – "&amp;INDEX($K$4:$K$15,MATCH(267,$N$4:$N$15,0)),""),IF(267=1,"LUMP SUM – "&amp;QProject,""))))</f>
        <v/>
      </c>
      <c r="S270" s="0" t="str">
        <f aca="false">IF(CC_Mode="Per equipment",IFERROR(INDEX($C$4:$C$403,MATCH(267,$I$4:$I$403,0)),""),IF(CC_Mode="Per loop",IFERROR(INDEX($C$4:$C$403,MATCH(267,$H$4:$H$403,0)),""),IF(CC_Mode="Per unit",IFERROR(INDEX($K$4:$K$15,MATCH(267,$N$4:$N$15,0)),""),IF(267=1,"All units",""))))</f>
        <v/>
      </c>
      <c r="T270" s="0" t="str">
        <f aca="false">IF(CC_Mode="Per equipment",IFERROR(INDEX($D$4:$D$403,MATCH(267,$I$4:$I$403,0)),""),IF(CC_Mode="Per loop",IFERROR(INDEX($D$4:$D$403,MATCH(267,$H$4:$H$403,0)),""),IF(CC_Mode="Per unit",IFERROR(INDEX($M$4:$M$15,MATCH(267,$N$4:$N$15,0)),""),IF(267=1,CC_V_GrandVol,""))))</f>
        <v/>
      </c>
      <c r="U270" s="0" t="str">
        <f aca="false">IF(CC_Mode="Per equipment",IFERROR(INDEX($E$4:$E$403,MATCH(267,$I$4:$I$403,0)),""),IF(CC_Mode="Per loop",IFERROR(INDEX($E$4:$E$403,MATCH(267,$H$4:$H$403,0)),""),IF(CC_Mode="Per unit",IFERROR(INDEX($L$4:$L$15,MATCH(267,$N$4:$N$15,0)),""),IF(267=1,CC_Net,""))))</f>
        <v/>
      </c>
    </row>
    <row r="271" customFormat="false" ht="15" hidden="false" customHeight="false" outlineLevel="0" collapsed="false">
      <c r="A271" s="0" t="s">
        <v>172</v>
      </c>
      <c r="B271" s="0" t="str">
        <f aca="false">'CC Item Pricing'!C258&amp;IF('CC Item Pricing'!D258="",""," – "&amp;'CC Item Pricing'!D258)</f>
        <v/>
      </c>
      <c r="C271" s="0" t="str">
        <f aca="false">INDEX(CC_UnitNames,'CC Item Pricing'!Y258)</f>
        <v>Unit 8</v>
      </c>
      <c r="D271" s="0" t="n">
        <f aca="false">N('CC Item Pricing'!G258)</f>
        <v>0</v>
      </c>
      <c r="E271" s="98" t="n">
        <f aca="false">'CC Item Pricing'!W258</f>
        <v>0</v>
      </c>
      <c r="F271" s="96" t="n">
        <f aca="false">IF(AND(G271=1,'CC Item Pricing'!B258=""),1,0)</f>
        <v>0</v>
      </c>
      <c r="G271" s="96" t="n">
        <f aca="false">IF(D271&gt;0,1,0)</f>
        <v>0</v>
      </c>
      <c r="H271" s="0" t="str">
        <f aca="false">IF(F271=1,COUNTIF($F$4:F271,1),"")</f>
        <v/>
      </c>
      <c r="I271" s="0" t="str">
        <f aca="false">IF(G271=1,COUNTIF($G$4:G271,1),"")</f>
        <v/>
      </c>
      <c r="R271" s="0" t="str">
        <f aca="false">IF(CC_Mode="Per equipment",IFERROR(INDEX($B$4:$B$403,MATCH(268,$I$4:$I$403,0)),""),IF(CC_Mode="Per loop",IFERROR(INDEX($B$4:$B$403,MATCH(268,$H$4:$H$403,0)),""),IF(CC_Mode="Per unit",IFERROR("Chemical cleaning – "&amp;INDEX($K$4:$K$15,MATCH(268,$N$4:$N$15,0)),""),IF(268=1,"LUMP SUM – "&amp;QProject,""))))</f>
        <v/>
      </c>
      <c r="S271" s="0" t="str">
        <f aca="false">IF(CC_Mode="Per equipment",IFERROR(INDEX($C$4:$C$403,MATCH(268,$I$4:$I$403,0)),""),IF(CC_Mode="Per loop",IFERROR(INDEX($C$4:$C$403,MATCH(268,$H$4:$H$403,0)),""),IF(CC_Mode="Per unit",IFERROR(INDEX($K$4:$K$15,MATCH(268,$N$4:$N$15,0)),""),IF(268=1,"All units",""))))</f>
        <v/>
      </c>
      <c r="T271" s="0" t="str">
        <f aca="false">IF(CC_Mode="Per equipment",IFERROR(INDEX($D$4:$D$403,MATCH(268,$I$4:$I$403,0)),""),IF(CC_Mode="Per loop",IFERROR(INDEX($D$4:$D$403,MATCH(268,$H$4:$H$403,0)),""),IF(CC_Mode="Per unit",IFERROR(INDEX($M$4:$M$15,MATCH(268,$N$4:$N$15,0)),""),IF(268=1,CC_V_GrandVol,""))))</f>
        <v/>
      </c>
      <c r="U271" s="0" t="str">
        <f aca="false">IF(CC_Mode="Per equipment",IFERROR(INDEX($E$4:$E$403,MATCH(268,$I$4:$I$403,0)),""),IF(CC_Mode="Per loop",IFERROR(INDEX($E$4:$E$403,MATCH(268,$H$4:$H$403,0)),""),IF(CC_Mode="Per unit",IFERROR(INDEX($L$4:$L$15,MATCH(268,$N$4:$N$15,0)),""),IF(268=1,CC_Net,""))))</f>
        <v/>
      </c>
    </row>
    <row r="272" customFormat="false" ht="15" hidden="false" customHeight="false" outlineLevel="0" collapsed="false">
      <c r="A272" s="0" t="s">
        <v>172</v>
      </c>
      <c r="B272" s="0" t="str">
        <f aca="false">'CC Item Pricing'!C259&amp;IF('CC Item Pricing'!D259="",""," – "&amp;'CC Item Pricing'!D259)</f>
        <v/>
      </c>
      <c r="C272" s="0" t="str">
        <f aca="false">INDEX(CC_UnitNames,'CC Item Pricing'!Y259)</f>
        <v>Unit 8</v>
      </c>
      <c r="D272" s="0" t="n">
        <f aca="false">N('CC Item Pricing'!G259)</f>
        <v>0</v>
      </c>
      <c r="E272" s="98" t="n">
        <f aca="false">'CC Item Pricing'!W259</f>
        <v>0</v>
      </c>
      <c r="F272" s="96" t="n">
        <f aca="false">IF(AND(G272=1,'CC Item Pricing'!B259=""),1,0)</f>
        <v>0</v>
      </c>
      <c r="G272" s="96" t="n">
        <f aca="false">IF(D272&gt;0,1,0)</f>
        <v>0</v>
      </c>
      <c r="H272" s="0" t="str">
        <f aca="false">IF(F272=1,COUNTIF($F$4:F272,1),"")</f>
        <v/>
      </c>
      <c r="I272" s="0" t="str">
        <f aca="false">IF(G272=1,COUNTIF($G$4:G272,1),"")</f>
        <v/>
      </c>
      <c r="R272" s="0" t="str">
        <f aca="false">IF(CC_Mode="Per equipment",IFERROR(INDEX($B$4:$B$403,MATCH(269,$I$4:$I$403,0)),""),IF(CC_Mode="Per loop",IFERROR(INDEX($B$4:$B$403,MATCH(269,$H$4:$H$403,0)),""),IF(CC_Mode="Per unit",IFERROR("Chemical cleaning – "&amp;INDEX($K$4:$K$15,MATCH(269,$N$4:$N$15,0)),""),IF(269=1,"LUMP SUM – "&amp;QProject,""))))</f>
        <v/>
      </c>
      <c r="S272" s="0" t="str">
        <f aca="false">IF(CC_Mode="Per equipment",IFERROR(INDEX($C$4:$C$403,MATCH(269,$I$4:$I$403,0)),""),IF(CC_Mode="Per loop",IFERROR(INDEX($C$4:$C$403,MATCH(269,$H$4:$H$403,0)),""),IF(CC_Mode="Per unit",IFERROR(INDEX($K$4:$K$15,MATCH(269,$N$4:$N$15,0)),""),IF(269=1,"All units",""))))</f>
        <v/>
      </c>
      <c r="T272" s="0" t="str">
        <f aca="false">IF(CC_Mode="Per equipment",IFERROR(INDEX($D$4:$D$403,MATCH(269,$I$4:$I$403,0)),""),IF(CC_Mode="Per loop",IFERROR(INDEX($D$4:$D$403,MATCH(269,$H$4:$H$403,0)),""),IF(CC_Mode="Per unit",IFERROR(INDEX($M$4:$M$15,MATCH(269,$N$4:$N$15,0)),""),IF(269=1,CC_V_GrandVol,""))))</f>
        <v/>
      </c>
      <c r="U272" s="0" t="str">
        <f aca="false">IF(CC_Mode="Per equipment",IFERROR(INDEX($E$4:$E$403,MATCH(269,$I$4:$I$403,0)),""),IF(CC_Mode="Per loop",IFERROR(INDEX($E$4:$E$403,MATCH(269,$H$4:$H$403,0)),""),IF(CC_Mode="Per unit",IFERROR(INDEX($L$4:$L$15,MATCH(269,$N$4:$N$15,0)),""),IF(269=1,CC_Net,""))))</f>
        <v/>
      </c>
    </row>
    <row r="273" customFormat="false" ht="15" hidden="false" customHeight="false" outlineLevel="0" collapsed="false">
      <c r="A273" s="0" t="s">
        <v>172</v>
      </c>
      <c r="B273" s="0" t="str">
        <f aca="false">'CC Item Pricing'!C260&amp;IF('CC Item Pricing'!D260="",""," – "&amp;'CC Item Pricing'!D260)</f>
        <v/>
      </c>
      <c r="C273" s="0" t="str">
        <f aca="false">INDEX(CC_UnitNames,'CC Item Pricing'!Y260)</f>
        <v>Unit 8</v>
      </c>
      <c r="D273" s="0" t="n">
        <f aca="false">N('CC Item Pricing'!G260)</f>
        <v>0</v>
      </c>
      <c r="E273" s="98" t="n">
        <f aca="false">'CC Item Pricing'!W260</f>
        <v>0</v>
      </c>
      <c r="F273" s="96" t="n">
        <f aca="false">IF(AND(G273=1,'CC Item Pricing'!B260=""),1,0)</f>
        <v>0</v>
      </c>
      <c r="G273" s="96" t="n">
        <f aca="false">IF(D273&gt;0,1,0)</f>
        <v>0</v>
      </c>
      <c r="H273" s="0" t="str">
        <f aca="false">IF(F273=1,COUNTIF($F$4:F273,1),"")</f>
        <v/>
      </c>
      <c r="I273" s="0" t="str">
        <f aca="false">IF(G273=1,COUNTIF($G$4:G273,1),"")</f>
        <v/>
      </c>
      <c r="R273" s="0" t="str">
        <f aca="false">IF(CC_Mode="Per equipment",IFERROR(INDEX($B$4:$B$403,MATCH(270,$I$4:$I$403,0)),""),IF(CC_Mode="Per loop",IFERROR(INDEX($B$4:$B$403,MATCH(270,$H$4:$H$403,0)),""),IF(CC_Mode="Per unit",IFERROR("Chemical cleaning – "&amp;INDEX($K$4:$K$15,MATCH(270,$N$4:$N$15,0)),""),IF(270=1,"LUMP SUM – "&amp;QProject,""))))</f>
        <v/>
      </c>
      <c r="S273" s="0" t="str">
        <f aca="false">IF(CC_Mode="Per equipment",IFERROR(INDEX($C$4:$C$403,MATCH(270,$I$4:$I$403,0)),""),IF(CC_Mode="Per loop",IFERROR(INDEX($C$4:$C$403,MATCH(270,$H$4:$H$403,0)),""),IF(CC_Mode="Per unit",IFERROR(INDEX($K$4:$K$15,MATCH(270,$N$4:$N$15,0)),""),IF(270=1,"All units",""))))</f>
        <v/>
      </c>
      <c r="T273" s="0" t="str">
        <f aca="false">IF(CC_Mode="Per equipment",IFERROR(INDEX($D$4:$D$403,MATCH(270,$I$4:$I$403,0)),""),IF(CC_Mode="Per loop",IFERROR(INDEX($D$4:$D$403,MATCH(270,$H$4:$H$403,0)),""),IF(CC_Mode="Per unit",IFERROR(INDEX($M$4:$M$15,MATCH(270,$N$4:$N$15,0)),""),IF(270=1,CC_V_GrandVol,""))))</f>
        <v/>
      </c>
      <c r="U273" s="0" t="str">
        <f aca="false">IF(CC_Mode="Per equipment",IFERROR(INDEX($E$4:$E$403,MATCH(270,$I$4:$I$403,0)),""),IF(CC_Mode="Per loop",IFERROR(INDEX($E$4:$E$403,MATCH(270,$H$4:$H$403,0)),""),IF(CC_Mode="Per unit",IFERROR(INDEX($L$4:$L$15,MATCH(270,$N$4:$N$15,0)),""),IF(270=1,CC_Net,""))))</f>
        <v/>
      </c>
    </row>
    <row r="274" customFormat="false" ht="15" hidden="false" customHeight="false" outlineLevel="0" collapsed="false">
      <c r="A274" s="0" t="s">
        <v>172</v>
      </c>
      <c r="B274" s="0" t="str">
        <f aca="false">'CC Item Pricing'!C261&amp;IF('CC Item Pricing'!D261="",""," – "&amp;'CC Item Pricing'!D261)</f>
        <v/>
      </c>
      <c r="C274" s="0" t="str">
        <f aca="false">INDEX(CC_UnitNames,'CC Item Pricing'!Y261)</f>
        <v>Unit 8</v>
      </c>
      <c r="D274" s="0" t="n">
        <f aca="false">N('CC Item Pricing'!G261)</f>
        <v>0</v>
      </c>
      <c r="E274" s="98" t="n">
        <f aca="false">'CC Item Pricing'!W261</f>
        <v>0</v>
      </c>
      <c r="F274" s="96" t="n">
        <f aca="false">IF(AND(G274=1,'CC Item Pricing'!B261=""),1,0)</f>
        <v>0</v>
      </c>
      <c r="G274" s="96" t="n">
        <f aca="false">IF(D274&gt;0,1,0)</f>
        <v>0</v>
      </c>
      <c r="H274" s="0" t="str">
        <f aca="false">IF(F274=1,COUNTIF($F$4:F274,1),"")</f>
        <v/>
      </c>
      <c r="I274" s="0" t="str">
        <f aca="false">IF(G274=1,COUNTIF($G$4:G274,1),"")</f>
        <v/>
      </c>
      <c r="R274" s="0" t="str">
        <f aca="false">IF(CC_Mode="Per equipment",IFERROR(INDEX($B$4:$B$403,MATCH(271,$I$4:$I$403,0)),""),IF(CC_Mode="Per loop",IFERROR(INDEX($B$4:$B$403,MATCH(271,$H$4:$H$403,0)),""),IF(CC_Mode="Per unit",IFERROR("Chemical cleaning – "&amp;INDEX($K$4:$K$15,MATCH(271,$N$4:$N$15,0)),""),IF(271=1,"LUMP SUM – "&amp;QProject,""))))</f>
        <v/>
      </c>
      <c r="S274" s="0" t="str">
        <f aca="false">IF(CC_Mode="Per equipment",IFERROR(INDEX($C$4:$C$403,MATCH(271,$I$4:$I$403,0)),""),IF(CC_Mode="Per loop",IFERROR(INDEX($C$4:$C$403,MATCH(271,$H$4:$H$403,0)),""),IF(CC_Mode="Per unit",IFERROR(INDEX($K$4:$K$15,MATCH(271,$N$4:$N$15,0)),""),IF(271=1,"All units",""))))</f>
        <v/>
      </c>
      <c r="T274" s="0" t="str">
        <f aca="false">IF(CC_Mode="Per equipment",IFERROR(INDEX($D$4:$D$403,MATCH(271,$I$4:$I$403,0)),""),IF(CC_Mode="Per loop",IFERROR(INDEX($D$4:$D$403,MATCH(271,$H$4:$H$403,0)),""),IF(CC_Mode="Per unit",IFERROR(INDEX($M$4:$M$15,MATCH(271,$N$4:$N$15,0)),""),IF(271=1,CC_V_GrandVol,""))))</f>
        <v/>
      </c>
      <c r="U274" s="0" t="str">
        <f aca="false">IF(CC_Mode="Per equipment",IFERROR(INDEX($E$4:$E$403,MATCH(271,$I$4:$I$403,0)),""),IF(CC_Mode="Per loop",IFERROR(INDEX($E$4:$E$403,MATCH(271,$H$4:$H$403,0)),""),IF(CC_Mode="Per unit",IFERROR(INDEX($L$4:$L$15,MATCH(271,$N$4:$N$15,0)),""),IF(271=1,CC_Net,""))))</f>
        <v/>
      </c>
    </row>
    <row r="275" customFormat="false" ht="15" hidden="false" customHeight="false" outlineLevel="0" collapsed="false">
      <c r="A275" s="0" t="s">
        <v>172</v>
      </c>
      <c r="B275" s="0" t="str">
        <f aca="false">'CC Item Pricing'!C262&amp;IF('CC Item Pricing'!D262="",""," – "&amp;'CC Item Pricing'!D262)</f>
        <v/>
      </c>
      <c r="C275" s="0" t="str">
        <f aca="false">INDEX(CC_UnitNames,'CC Item Pricing'!Y262)</f>
        <v>Unit 8</v>
      </c>
      <c r="D275" s="0" t="n">
        <f aca="false">N('CC Item Pricing'!G262)</f>
        <v>0</v>
      </c>
      <c r="E275" s="98" t="n">
        <f aca="false">'CC Item Pricing'!W262</f>
        <v>0</v>
      </c>
      <c r="F275" s="96" t="n">
        <f aca="false">IF(AND(G275=1,'CC Item Pricing'!B262=""),1,0)</f>
        <v>0</v>
      </c>
      <c r="G275" s="96" t="n">
        <f aca="false">IF(D275&gt;0,1,0)</f>
        <v>0</v>
      </c>
      <c r="H275" s="0" t="str">
        <f aca="false">IF(F275=1,COUNTIF($F$4:F275,1),"")</f>
        <v/>
      </c>
      <c r="I275" s="0" t="str">
        <f aca="false">IF(G275=1,COUNTIF($G$4:G275,1),"")</f>
        <v/>
      </c>
      <c r="R275" s="0" t="str">
        <f aca="false">IF(CC_Mode="Per equipment",IFERROR(INDEX($B$4:$B$403,MATCH(272,$I$4:$I$403,0)),""),IF(CC_Mode="Per loop",IFERROR(INDEX($B$4:$B$403,MATCH(272,$H$4:$H$403,0)),""),IF(CC_Mode="Per unit",IFERROR("Chemical cleaning – "&amp;INDEX($K$4:$K$15,MATCH(272,$N$4:$N$15,0)),""),IF(272=1,"LUMP SUM – "&amp;QProject,""))))</f>
        <v/>
      </c>
      <c r="S275" s="0" t="str">
        <f aca="false">IF(CC_Mode="Per equipment",IFERROR(INDEX($C$4:$C$403,MATCH(272,$I$4:$I$403,0)),""),IF(CC_Mode="Per loop",IFERROR(INDEX($C$4:$C$403,MATCH(272,$H$4:$H$403,0)),""),IF(CC_Mode="Per unit",IFERROR(INDEX($K$4:$K$15,MATCH(272,$N$4:$N$15,0)),""),IF(272=1,"All units",""))))</f>
        <v/>
      </c>
      <c r="T275" s="0" t="str">
        <f aca="false">IF(CC_Mode="Per equipment",IFERROR(INDEX($D$4:$D$403,MATCH(272,$I$4:$I$403,0)),""),IF(CC_Mode="Per loop",IFERROR(INDEX($D$4:$D$403,MATCH(272,$H$4:$H$403,0)),""),IF(CC_Mode="Per unit",IFERROR(INDEX($M$4:$M$15,MATCH(272,$N$4:$N$15,0)),""),IF(272=1,CC_V_GrandVol,""))))</f>
        <v/>
      </c>
      <c r="U275" s="0" t="str">
        <f aca="false">IF(CC_Mode="Per equipment",IFERROR(INDEX($E$4:$E$403,MATCH(272,$I$4:$I$403,0)),""),IF(CC_Mode="Per loop",IFERROR(INDEX($E$4:$E$403,MATCH(272,$H$4:$H$403,0)),""),IF(CC_Mode="Per unit",IFERROR(INDEX($L$4:$L$15,MATCH(272,$N$4:$N$15,0)),""),IF(272=1,CC_Net,""))))</f>
        <v/>
      </c>
    </row>
    <row r="276" customFormat="false" ht="15" hidden="false" customHeight="false" outlineLevel="0" collapsed="false">
      <c r="A276" s="0" t="s">
        <v>172</v>
      </c>
      <c r="B276" s="0" t="str">
        <f aca="false">'CC Item Pricing'!C263&amp;IF('CC Item Pricing'!D263="",""," – "&amp;'CC Item Pricing'!D263)</f>
        <v/>
      </c>
      <c r="C276" s="0" t="str">
        <f aca="false">INDEX(CC_UnitNames,'CC Item Pricing'!Y263)</f>
        <v>Unit 8</v>
      </c>
      <c r="D276" s="0" t="n">
        <f aca="false">N('CC Item Pricing'!G263)</f>
        <v>0</v>
      </c>
      <c r="E276" s="98" t="n">
        <f aca="false">'CC Item Pricing'!W263</f>
        <v>0</v>
      </c>
      <c r="F276" s="96" t="n">
        <f aca="false">IF(AND(G276=1,'CC Item Pricing'!B263=""),1,0)</f>
        <v>0</v>
      </c>
      <c r="G276" s="96" t="n">
        <f aca="false">IF(D276&gt;0,1,0)</f>
        <v>0</v>
      </c>
      <c r="H276" s="0" t="str">
        <f aca="false">IF(F276=1,COUNTIF($F$4:F276,1),"")</f>
        <v/>
      </c>
      <c r="I276" s="0" t="str">
        <f aca="false">IF(G276=1,COUNTIF($G$4:G276,1),"")</f>
        <v/>
      </c>
      <c r="R276" s="0" t="str">
        <f aca="false">IF(CC_Mode="Per equipment",IFERROR(INDEX($B$4:$B$403,MATCH(273,$I$4:$I$403,0)),""),IF(CC_Mode="Per loop",IFERROR(INDEX($B$4:$B$403,MATCH(273,$H$4:$H$403,0)),""),IF(CC_Mode="Per unit",IFERROR("Chemical cleaning – "&amp;INDEX($K$4:$K$15,MATCH(273,$N$4:$N$15,0)),""),IF(273=1,"LUMP SUM – "&amp;QProject,""))))</f>
        <v/>
      </c>
      <c r="S276" s="0" t="str">
        <f aca="false">IF(CC_Mode="Per equipment",IFERROR(INDEX($C$4:$C$403,MATCH(273,$I$4:$I$403,0)),""),IF(CC_Mode="Per loop",IFERROR(INDEX($C$4:$C$403,MATCH(273,$H$4:$H$403,0)),""),IF(CC_Mode="Per unit",IFERROR(INDEX($K$4:$K$15,MATCH(273,$N$4:$N$15,0)),""),IF(273=1,"All units",""))))</f>
        <v/>
      </c>
      <c r="T276" s="0" t="str">
        <f aca="false">IF(CC_Mode="Per equipment",IFERROR(INDEX($D$4:$D$403,MATCH(273,$I$4:$I$403,0)),""),IF(CC_Mode="Per loop",IFERROR(INDEX($D$4:$D$403,MATCH(273,$H$4:$H$403,0)),""),IF(CC_Mode="Per unit",IFERROR(INDEX($M$4:$M$15,MATCH(273,$N$4:$N$15,0)),""),IF(273=1,CC_V_GrandVol,""))))</f>
        <v/>
      </c>
      <c r="U276" s="0" t="str">
        <f aca="false">IF(CC_Mode="Per equipment",IFERROR(INDEX($E$4:$E$403,MATCH(273,$I$4:$I$403,0)),""),IF(CC_Mode="Per loop",IFERROR(INDEX($E$4:$E$403,MATCH(273,$H$4:$H$403,0)),""),IF(CC_Mode="Per unit",IFERROR(INDEX($L$4:$L$15,MATCH(273,$N$4:$N$15,0)),""),IF(273=1,CC_Net,""))))</f>
        <v/>
      </c>
    </row>
    <row r="277" customFormat="false" ht="15" hidden="false" customHeight="false" outlineLevel="0" collapsed="false">
      <c r="A277" s="0" t="s">
        <v>172</v>
      </c>
      <c r="B277" s="0" t="str">
        <f aca="false">'CC Item Pricing'!C264&amp;IF('CC Item Pricing'!D264="",""," – "&amp;'CC Item Pricing'!D264)</f>
        <v/>
      </c>
      <c r="C277" s="0" t="str">
        <f aca="false">INDEX(CC_UnitNames,'CC Item Pricing'!Y264)</f>
        <v>Unit 8</v>
      </c>
      <c r="D277" s="0" t="n">
        <f aca="false">N('CC Item Pricing'!G264)</f>
        <v>0</v>
      </c>
      <c r="E277" s="98" t="n">
        <f aca="false">'CC Item Pricing'!W264</f>
        <v>0</v>
      </c>
      <c r="F277" s="96" t="n">
        <f aca="false">IF(AND(G277=1,'CC Item Pricing'!B264=""),1,0)</f>
        <v>0</v>
      </c>
      <c r="G277" s="96" t="n">
        <f aca="false">IF(D277&gt;0,1,0)</f>
        <v>0</v>
      </c>
      <c r="H277" s="0" t="str">
        <f aca="false">IF(F277=1,COUNTIF($F$4:F277,1),"")</f>
        <v/>
      </c>
      <c r="I277" s="0" t="str">
        <f aca="false">IF(G277=1,COUNTIF($G$4:G277,1),"")</f>
        <v/>
      </c>
      <c r="R277" s="0" t="str">
        <f aca="false">IF(CC_Mode="Per equipment",IFERROR(INDEX($B$4:$B$403,MATCH(274,$I$4:$I$403,0)),""),IF(CC_Mode="Per loop",IFERROR(INDEX($B$4:$B$403,MATCH(274,$H$4:$H$403,0)),""),IF(CC_Mode="Per unit",IFERROR("Chemical cleaning – "&amp;INDEX($K$4:$K$15,MATCH(274,$N$4:$N$15,0)),""),IF(274=1,"LUMP SUM – "&amp;QProject,""))))</f>
        <v/>
      </c>
      <c r="S277" s="0" t="str">
        <f aca="false">IF(CC_Mode="Per equipment",IFERROR(INDEX($C$4:$C$403,MATCH(274,$I$4:$I$403,0)),""),IF(CC_Mode="Per loop",IFERROR(INDEX($C$4:$C$403,MATCH(274,$H$4:$H$403,0)),""),IF(CC_Mode="Per unit",IFERROR(INDEX($K$4:$K$15,MATCH(274,$N$4:$N$15,0)),""),IF(274=1,"All units",""))))</f>
        <v/>
      </c>
      <c r="T277" s="0" t="str">
        <f aca="false">IF(CC_Mode="Per equipment",IFERROR(INDEX($D$4:$D$403,MATCH(274,$I$4:$I$403,0)),""),IF(CC_Mode="Per loop",IFERROR(INDEX($D$4:$D$403,MATCH(274,$H$4:$H$403,0)),""),IF(CC_Mode="Per unit",IFERROR(INDEX($M$4:$M$15,MATCH(274,$N$4:$N$15,0)),""),IF(274=1,CC_V_GrandVol,""))))</f>
        <v/>
      </c>
      <c r="U277" s="0" t="str">
        <f aca="false">IF(CC_Mode="Per equipment",IFERROR(INDEX($E$4:$E$403,MATCH(274,$I$4:$I$403,0)),""),IF(CC_Mode="Per loop",IFERROR(INDEX($E$4:$E$403,MATCH(274,$H$4:$H$403,0)),""),IF(CC_Mode="Per unit",IFERROR(INDEX($L$4:$L$15,MATCH(274,$N$4:$N$15,0)),""),IF(274=1,CC_Net,""))))</f>
        <v/>
      </c>
    </row>
    <row r="278" customFormat="false" ht="15" hidden="false" customHeight="false" outlineLevel="0" collapsed="false">
      <c r="A278" s="0" t="s">
        <v>172</v>
      </c>
      <c r="B278" s="0" t="str">
        <f aca="false">'CC Item Pricing'!C265&amp;IF('CC Item Pricing'!D265="",""," – "&amp;'CC Item Pricing'!D265)</f>
        <v/>
      </c>
      <c r="C278" s="0" t="str">
        <f aca="false">INDEX(CC_UnitNames,'CC Item Pricing'!Y265)</f>
        <v>Unit 8</v>
      </c>
      <c r="D278" s="0" t="n">
        <f aca="false">N('CC Item Pricing'!G265)</f>
        <v>0</v>
      </c>
      <c r="E278" s="98" t="n">
        <f aca="false">'CC Item Pricing'!W265</f>
        <v>0</v>
      </c>
      <c r="F278" s="96" t="n">
        <f aca="false">IF(AND(G278=1,'CC Item Pricing'!B265=""),1,0)</f>
        <v>0</v>
      </c>
      <c r="G278" s="96" t="n">
        <f aca="false">IF(D278&gt;0,1,0)</f>
        <v>0</v>
      </c>
      <c r="H278" s="0" t="str">
        <f aca="false">IF(F278=1,COUNTIF($F$4:F278,1),"")</f>
        <v/>
      </c>
      <c r="I278" s="0" t="str">
        <f aca="false">IF(G278=1,COUNTIF($G$4:G278,1),"")</f>
        <v/>
      </c>
      <c r="R278" s="0" t="str">
        <f aca="false">IF(CC_Mode="Per equipment",IFERROR(INDEX($B$4:$B$403,MATCH(275,$I$4:$I$403,0)),""),IF(CC_Mode="Per loop",IFERROR(INDEX($B$4:$B$403,MATCH(275,$H$4:$H$403,0)),""),IF(CC_Mode="Per unit",IFERROR("Chemical cleaning – "&amp;INDEX($K$4:$K$15,MATCH(275,$N$4:$N$15,0)),""),IF(275=1,"LUMP SUM – "&amp;QProject,""))))</f>
        <v/>
      </c>
      <c r="S278" s="0" t="str">
        <f aca="false">IF(CC_Mode="Per equipment",IFERROR(INDEX($C$4:$C$403,MATCH(275,$I$4:$I$403,0)),""),IF(CC_Mode="Per loop",IFERROR(INDEX($C$4:$C$403,MATCH(275,$H$4:$H$403,0)),""),IF(CC_Mode="Per unit",IFERROR(INDEX($K$4:$K$15,MATCH(275,$N$4:$N$15,0)),""),IF(275=1,"All units",""))))</f>
        <v/>
      </c>
      <c r="T278" s="0" t="str">
        <f aca="false">IF(CC_Mode="Per equipment",IFERROR(INDEX($D$4:$D$403,MATCH(275,$I$4:$I$403,0)),""),IF(CC_Mode="Per loop",IFERROR(INDEX($D$4:$D$403,MATCH(275,$H$4:$H$403,0)),""),IF(CC_Mode="Per unit",IFERROR(INDEX($M$4:$M$15,MATCH(275,$N$4:$N$15,0)),""),IF(275=1,CC_V_GrandVol,""))))</f>
        <v/>
      </c>
      <c r="U278" s="0" t="str">
        <f aca="false">IF(CC_Mode="Per equipment",IFERROR(INDEX($E$4:$E$403,MATCH(275,$I$4:$I$403,0)),""),IF(CC_Mode="Per loop",IFERROR(INDEX($E$4:$E$403,MATCH(275,$H$4:$H$403,0)),""),IF(CC_Mode="Per unit",IFERROR(INDEX($L$4:$L$15,MATCH(275,$N$4:$N$15,0)),""),IF(275=1,CC_Net,""))))</f>
        <v/>
      </c>
    </row>
    <row r="279" customFormat="false" ht="15" hidden="false" customHeight="false" outlineLevel="0" collapsed="false">
      <c r="A279" s="0" t="s">
        <v>172</v>
      </c>
      <c r="B279" s="0" t="str">
        <f aca="false">'CC Item Pricing'!C266&amp;IF('CC Item Pricing'!D266="",""," – "&amp;'CC Item Pricing'!D266)</f>
        <v/>
      </c>
      <c r="C279" s="0" t="str">
        <f aca="false">INDEX(CC_UnitNames,'CC Item Pricing'!Y266)</f>
        <v>Unit 8</v>
      </c>
      <c r="D279" s="0" t="n">
        <f aca="false">N('CC Item Pricing'!G266)</f>
        <v>0</v>
      </c>
      <c r="E279" s="98" t="n">
        <f aca="false">'CC Item Pricing'!W266</f>
        <v>0</v>
      </c>
      <c r="F279" s="96" t="n">
        <f aca="false">IF(AND(G279=1,'CC Item Pricing'!B266=""),1,0)</f>
        <v>0</v>
      </c>
      <c r="G279" s="96" t="n">
        <f aca="false">IF(D279&gt;0,1,0)</f>
        <v>0</v>
      </c>
      <c r="H279" s="0" t="str">
        <f aca="false">IF(F279=1,COUNTIF($F$4:F279,1),"")</f>
        <v/>
      </c>
      <c r="I279" s="0" t="str">
        <f aca="false">IF(G279=1,COUNTIF($G$4:G279,1),"")</f>
        <v/>
      </c>
      <c r="R279" s="0" t="str">
        <f aca="false">IF(CC_Mode="Per equipment",IFERROR(INDEX($B$4:$B$403,MATCH(276,$I$4:$I$403,0)),""),IF(CC_Mode="Per loop",IFERROR(INDEX($B$4:$B$403,MATCH(276,$H$4:$H$403,0)),""),IF(CC_Mode="Per unit",IFERROR("Chemical cleaning – "&amp;INDEX($K$4:$K$15,MATCH(276,$N$4:$N$15,0)),""),IF(276=1,"LUMP SUM – "&amp;QProject,""))))</f>
        <v/>
      </c>
      <c r="S279" s="0" t="str">
        <f aca="false">IF(CC_Mode="Per equipment",IFERROR(INDEX($C$4:$C$403,MATCH(276,$I$4:$I$403,0)),""),IF(CC_Mode="Per loop",IFERROR(INDEX($C$4:$C$403,MATCH(276,$H$4:$H$403,0)),""),IF(CC_Mode="Per unit",IFERROR(INDEX($K$4:$K$15,MATCH(276,$N$4:$N$15,0)),""),IF(276=1,"All units",""))))</f>
        <v/>
      </c>
      <c r="T279" s="0" t="str">
        <f aca="false">IF(CC_Mode="Per equipment",IFERROR(INDEX($D$4:$D$403,MATCH(276,$I$4:$I$403,0)),""),IF(CC_Mode="Per loop",IFERROR(INDEX($D$4:$D$403,MATCH(276,$H$4:$H$403,0)),""),IF(CC_Mode="Per unit",IFERROR(INDEX($M$4:$M$15,MATCH(276,$N$4:$N$15,0)),""),IF(276=1,CC_V_GrandVol,""))))</f>
        <v/>
      </c>
      <c r="U279" s="0" t="str">
        <f aca="false">IF(CC_Mode="Per equipment",IFERROR(INDEX($E$4:$E$403,MATCH(276,$I$4:$I$403,0)),""),IF(CC_Mode="Per loop",IFERROR(INDEX($E$4:$E$403,MATCH(276,$H$4:$H$403,0)),""),IF(CC_Mode="Per unit",IFERROR(INDEX($L$4:$L$15,MATCH(276,$N$4:$N$15,0)),""),IF(276=1,CC_Net,""))))</f>
        <v/>
      </c>
    </row>
    <row r="280" customFormat="false" ht="15" hidden="false" customHeight="false" outlineLevel="0" collapsed="false">
      <c r="A280" s="0" t="s">
        <v>172</v>
      </c>
      <c r="B280" s="0" t="str">
        <f aca="false">'CC Item Pricing'!C267&amp;IF('CC Item Pricing'!D267="",""," – "&amp;'CC Item Pricing'!D267)</f>
        <v/>
      </c>
      <c r="C280" s="0" t="str">
        <f aca="false">INDEX(CC_UnitNames,'CC Item Pricing'!Y267)</f>
        <v>Unit 8</v>
      </c>
      <c r="D280" s="0" t="n">
        <f aca="false">N('CC Item Pricing'!G267)</f>
        <v>0</v>
      </c>
      <c r="E280" s="98" t="n">
        <f aca="false">'CC Item Pricing'!W267</f>
        <v>0</v>
      </c>
      <c r="F280" s="96" t="n">
        <f aca="false">IF(AND(G280=1,'CC Item Pricing'!B267=""),1,0)</f>
        <v>0</v>
      </c>
      <c r="G280" s="96" t="n">
        <f aca="false">IF(D280&gt;0,1,0)</f>
        <v>0</v>
      </c>
      <c r="H280" s="0" t="str">
        <f aca="false">IF(F280=1,COUNTIF($F$4:F280,1),"")</f>
        <v/>
      </c>
      <c r="I280" s="0" t="str">
        <f aca="false">IF(G280=1,COUNTIF($G$4:G280,1),"")</f>
        <v/>
      </c>
      <c r="R280" s="0" t="str">
        <f aca="false">IF(CC_Mode="Per equipment",IFERROR(INDEX($B$4:$B$403,MATCH(277,$I$4:$I$403,0)),""),IF(CC_Mode="Per loop",IFERROR(INDEX($B$4:$B$403,MATCH(277,$H$4:$H$403,0)),""),IF(CC_Mode="Per unit",IFERROR("Chemical cleaning – "&amp;INDEX($K$4:$K$15,MATCH(277,$N$4:$N$15,0)),""),IF(277=1,"LUMP SUM – "&amp;QProject,""))))</f>
        <v/>
      </c>
      <c r="S280" s="0" t="str">
        <f aca="false">IF(CC_Mode="Per equipment",IFERROR(INDEX($C$4:$C$403,MATCH(277,$I$4:$I$403,0)),""),IF(CC_Mode="Per loop",IFERROR(INDEX($C$4:$C$403,MATCH(277,$H$4:$H$403,0)),""),IF(CC_Mode="Per unit",IFERROR(INDEX($K$4:$K$15,MATCH(277,$N$4:$N$15,0)),""),IF(277=1,"All units",""))))</f>
        <v/>
      </c>
      <c r="T280" s="0" t="str">
        <f aca="false">IF(CC_Mode="Per equipment",IFERROR(INDEX($D$4:$D$403,MATCH(277,$I$4:$I$403,0)),""),IF(CC_Mode="Per loop",IFERROR(INDEX($D$4:$D$403,MATCH(277,$H$4:$H$403,0)),""),IF(CC_Mode="Per unit",IFERROR(INDEX($M$4:$M$15,MATCH(277,$N$4:$N$15,0)),""),IF(277=1,CC_V_GrandVol,""))))</f>
        <v/>
      </c>
      <c r="U280" s="0" t="str">
        <f aca="false">IF(CC_Mode="Per equipment",IFERROR(INDEX($E$4:$E$403,MATCH(277,$I$4:$I$403,0)),""),IF(CC_Mode="Per loop",IFERROR(INDEX($E$4:$E$403,MATCH(277,$H$4:$H$403,0)),""),IF(CC_Mode="Per unit",IFERROR(INDEX($L$4:$L$15,MATCH(277,$N$4:$N$15,0)),""),IF(277=1,CC_Net,""))))</f>
        <v/>
      </c>
    </row>
    <row r="281" customFormat="false" ht="15" hidden="false" customHeight="false" outlineLevel="0" collapsed="false">
      <c r="A281" s="0" t="s">
        <v>172</v>
      </c>
      <c r="B281" s="0" t="str">
        <f aca="false">'CC Item Pricing'!C268&amp;IF('CC Item Pricing'!D268="",""," – "&amp;'CC Item Pricing'!D268)</f>
        <v/>
      </c>
      <c r="C281" s="0" t="str">
        <f aca="false">INDEX(CC_UnitNames,'CC Item Pricing'!Y268)</f>
        <v>Unit 8</v>
      </c>
      <c r="D281" s="0" t="n">
        <f aca="false">N('CC Item Pricing'!G268)</f>
        <v>0</v>
      </c>
      <c r="E281" s="98" t="n">
        <f aca="false">'CC Item Pricing'!W268</f>
        <v>0</v>
      </c>
      <c r="F281" s="96" t="n">
        <f aca="false">IF(AND(G281=1,'CC Item Pricing'!B268=""),1,0)</f>
        <v>0</v>
      </c>
      <c r="G281" s="96" t="n">
        <f aca="false">IF(D281&gt;0,1,0)</f>
        <v>0</v>
      </c>
      <c r="H281" s="0" t="str">
        <f aca="false">IF(F281=1,COUNTIF($F$4:F281,1),"")</f>
        <v/>
      </c>
      <c r="I281" s="0" t="str">
        <f aca="false">IF(G281=1,COUNTIF($G$4:G281,1),"")</f>
        <v/>
      </c>
      <c r="R281" s="0" t="str">
        <f aca="false">IF(CC_Mode="Per equipment",IFERROR(INDEX($B$4:$B$403,MATCH(278,$I$4:$I$403,0)),""),IF(CC_Mode="Per loop",IFERROR(INDEX($B$4:$B$403,MATCH(278,$H$4:$H$403,0)),""),IF(CC_Mode="Per unit",IFERROR("Chemical cleaning – "&amp;INDEX($K$4:$K$15,MATCH(278,$N$4:$N$15,0)),""),IF(278=1,"LUMP SUM – "&amp;QProject,""))))</f>
        <v/>
      </c>
      <c r="S281" s="0" t="str">
        <f aca="false">IF(CC_Mode="Per equipment",IFERROR(INDEX($C$4:$C$403,MATCH(278,$I$4:$I$403,0)),""),IF(CC_Mode="Per loop",IFERROR(INDEX($C$4:$C$403,MATCH(278,$H$4:$H$403,0)),""),IF(CC_Mode="Per unit",IFERROR(INDEX($K$4:$K$15,MATCH(278,$N$4:$N$15,0)),""),IF(278=1,"All units",""))))</f>
        <v/>
      </c>
      <c r="T281" s="0" t="str">
        <f aca="false">IF(CC_Mode="Per equipment",IFERROR(INDEX($D$4:$D$403,MATCH(278,$I$4:$I$403,0)),""),IF(CC_Mode="Per loop",IFERROR(INDEX($D$4:$D$403,MATCH(278,$H$4:$H$403,0)),""),IF(CC_Mode="Per unit",IFERROR(INDEX($M$4:$M$15,MATCH(278,$N$4:$N$15,0)),""),IF(278=1,CC_V_GrandVol,""))))</f>
        <v/>
      </c>
      <c r="U281" s="0" t="str">
        <f aca="false">IF(CC_Mode="Per equipment",IFERROR(INDEX($E$4:$E$403,MATCH(278,$I$4:$I$403,0)),""),IF(CC_Mode="Per loop",IFERROR(INDEX($E$4:$E$403,MATCH(278,$H$4:$H$403,0)),""),IF(CC_Mode="Per unit",IFERROR(INDEX($L$4:$L$15,MATCH(278,$N$4:$N$15,0)),""),IF(278=1,CC_Net,""))))</f>
        <v/>
      </c>
    </row>
    <row r="282" customFormat="false" ht="15" hidden="false" customHeight="false" outlineLevel="0" collapsed="false">
      <c r="A282" s="0" t="s">
        <v>172</v>
      </c>
      <c r="B282" s="0" t="str">
        <f aca="false">'CC Item Pricing'!C269&amp;IF('CC Item Pricing'!D269="",""," – "&amp;'CC Item Pricing'!D269)</f>
        <v/>
      </c>
      <c r="C282" s="0" t="str">
        <f aca="false">INDEX(CC_UnitNames,'CC Item Pricing'!Y269)</f>
        <v>Unit 8</v>
      </c>
      <c r="D282" s="0" t="n">
        <f aca="false">N('CC Item Pricing'!G269)</f>
        <v>0</v>
      </c>
      <c r="E282" s="98" t="n">
        <f aca="false">'CC Item Pricing'!W269</f>
        <v>0</v>
      </c>
      <c r="F282" s="96" t="n">
        <f aca="false">IF(AND(G282=1,'CC Item Pricing'!B269=""),1,0)</f>
        <v>0</v>
      </c>
      <c r="G282" s="96" t="n">
        <f aca="false">IF(D282&gt;0,1,0)</f>
        <v>0</v>
      </c>
      <c r="H282" s="0" t="str">
        <f aca="false">IF(F282=1,COUNTIF($F$4:F282,1),"")</f>
        <v/>
      </c>
      <c r="I282" s="0" t="str">
        <f aca="false">IF(G282=1,COUNTIF($G$4:G282,1),"")</f>
        <v/>
      </c>
      <c r="R282" s="0" t="str">
        <f aca="false">IF(CC_Mode="Per equipment",IFERROR(INDEX($B$4:$B$403,MATCH(279,$I$4:$I$403,0)),""),IF(CC_Mode="Per loop",IFERROR(INDEX($B$4:$B$403,MATCH(279,$H$4:$H$403,0)),""),IF(CC_Mode="Per unit",IFERROR("Chemical cleaning – "&amp;INDEX($K$4:$K$15,MATCH(279,$N$4:$N$15,0)),""),IF(279=1,"LUMP SUM – "&amp;QProject,""))))</f>
        <v/>
      </c>
      <c r="S282" s="0" t="str">
        <f aca="false">IF(CC_Mode="Per equipment",IFERROR(INDEX($C$4:$C$403,MATCH(279,$I$4:$I$403,0)),""),IF(CC_Mode="Per loop",IFERROR(INDEX($C$4:$C$403,MATCH(279,$H$4:$H$403,0)),""),IF(CC_Mode="Per unit",IFERROR(INDEX($K$4:$K$15,MATCH(279,$N$4:$N$15,0)),""),IF(279=1,"All units",""))))</f>
        <v/>
      </c>
      <c r="T282" s="0" t="str">
        <f aca="false">IF(CC_Mode="Per equipment",IFERROR(INDEX($D$4:$D$403,MATCH(279,$I$4:$I$403,0)),""),IF(CC_Mode="Per loop",IFERROR(INDEX($D$4:$D$403,MATCH(279,$H$4:$H$403,0)),""),IF(CC_Mode="Per unit",IFERROR(INDEX($M$4:$M$15,MATCH(279,$N$4:$N$15,0)),""),IF(279=1,CC_V_GrandVol,""))))</f>
        <v/>
      </c>
      <c r="U282" s="0" t="str">
        <f aca="false">IF(CC_Mode="Per equipment",IFERROR(INDEX($E$4:$E$403,MATCH(279,$I$4:$I$403,0)),""),IF(CC_Mode="Per loop",IFERROR(INDEX($E$4:$E$403,MATCH(279,$H$4:$H$403,0)),""),IF(CC_Mode="Per unit",IFERROR(INDEX($L$4:$L$15,MATCH(279,$N$4:$N$15,0)),""),IF(279=1,CC_Net,""))))</f>
        <v/>
      </c>
    </row>
    <row r="283" customFormat="false" ht="15" hidden="false" customHeight="false" outlineLevel="0" collapsed="false">
      <c r="A283" s="0" t="s">
        <v>172</v>
      </c>
      <c r="B283" s="0" t="str">
        <f aca="false">'CC Item Pricing'!C270&amp;IF('CC Item Pricing'!D270="",""," – "&amp;'CC Item Pricing'!D270)</f>
        <v/>
      </c>
      <c r="C283" s="0" t="str">
        <f aca="false">INDEX(CC_UnitNames,'CC Item Pricing'!Y270)</f>
        <v>Unit 8</v>
      </c>
      <c r="D283" s="0" t="n">
        <f aca="false">N('CC Item Pricing'!G270)</f>
        <v>0</v>
      </c>
      <c r="E283" s="98" t="n">
        <f aca="false">'CC Item Pricing'!W270</f>
        <v>0</v>
      </c>
      <c r="F283" s="96" t="n">
        <f aca="false">IF(AND(G283=1,'CC Item Pricing'!B270=""),1,0)</f>
        <v>0</v>
      </c>
      <c r="G283" s="96" t="n">
        <f aca="false">IF(D283&gt;0,1,0)</f>
        <v>0</v>
      </c>
      <c r="H283" s="0" t="str">
        <f aca="false">IF(F283=1,COUNTIF($F$4:F283,1),"")</f>
        <v/>
      </c>
      <c r="I283" s="0" t="str">
        <f aca="false">IF(G283=1,COUNTIF($G$4:G283,1),"")</f>
        <v/>
      </c>
      <c r="R283" s="0" t="str">
        <f aca="false">IF(CC_Mode="Per equipment",IFERROR(INDEX($B$4:$B$403,MATCH(280,$I$4:$I$403,0)),""),IF(CC_Mode="Per loop",IFERROR(INDEX($B$4:$B$403,MATCH(280,$H$4:$H$403,0)),""),IF(CC_Mode="Per unit",IFERROR("Chemical cleaning – "&amp;INDEX($K$4:$K$15,MATCH(280,$N$4:$N$15,0)),""),IF(280=1,"LUMP SUM – "&amp;QProject,""))))</f>
        <v/>
      </c>
      <c r="S283" s="0" t="str">
        <f aca="false">IF(CC_Mode="Per equipment",IFERROR(INDEX($C$4:$C$403,MATCH(280,$I$4:$I$403,0)),""),IF(CC_Mode="Per loop",IFERROR(INDEX($C$4:$C$403,MATCH(280,$H$4:$H$403,0)),""),IF(CC_Mode="Per unit",IFERROR(INDEX($K$4:$K$15,MATCH(280,$N$4:$N$15,0)),""),IF(280=1,"All units",""))))</f>
        <v/>
      </c>
      <c r="T283" s="0" t="str">
        <f aca="false">IF(CC_Mode="Per equipment",IFERROR(INDEX($D$4:$D$403,MATCH(280,$I$4:$I$403,0)),""),IF(CC_Mode="Per loop",IFERROR(INDEX($D$4:$D$403,MATCH(280,$H$4:$H$403,0)),""),IF(CC_Mode="Per unit",IFERROR(INDEX($M$4:$M$15,MATCH(280,$N$4:$N$15,0)),""),IF(280=1,CC_V_GrandVol,""))))</f>
        <v/>
      </c>
      <c r="U283" s="0" t="str">
        <f aca="false">IF(CC_Mode="Per equipment",IFERROR(INDEX($E$4:$E$403,MATCH(280,$I$4:$I$403,0)),""),IF(CC_Mode="Per loop",IFERROR(INDEX($E$4:$E$403,MATCH(280,$H$4:$H$403,0)),""),IF(CC_Mode="Per unit",IFERROR(INDEX($L$4:$L$15,MATCH(280,$N$4:$N$15,0)),""),IF(280=1,CC_Net,""))))</f>
        <v/>
      </c>
    </row>
    <row r="284" customFormat="false" ht="15" hidden="false" customHeight="false" outlineLevel="0" collapsed="false">
      <c r="A284" s="0" t="s">
        <v>172</v>
      </c>
      <c r="B284" s="0" t="str">
        <f aca="false">'CC Item Pricing'!C274&amp;IF('CC Item Pricing'!D274="",""," – "&amp;'CC Item Pricing'!D274)</f>
        <v/>
      </c>
      <c r="C284" s="0" t="str">
        <f aca="false">INDEX(CC_UnitNames,'CC Item Pricing'!Y274)</f>
        <v>Unit 9</v>
      </c>
      <c r="D284" s="0" t="n">
        <f aca="false">N('CC Item Pricing'!G274)</f>
        <v>0</v>
      </c>
      <c r="E284" s="98" t="n">
        <f aca="false">'CC Item Pricing'!W274</f>
        <v>0</v>
      </c>
      <c r="F284" s="96" t="n">
        <f aca="false">IF(AND(G284=1,'CC Item Pricing'!B274=""),1,0)</f>
        <v>0</v>
      </c>
      <c r="G284" s="96" t="n">
        <f aca="false">IF(D284&gt;0,1,0)</f>
        <v>0</v>
      </c>
      <c r="H284" s="0" t="str">
        <f aca="false">IF(F284=1,COUNTIF($F$4:F284,1),"")</f>
        <v/>
      </c>
      <c r="I284" s="0" t="str">
        <f aca="false">IF(G284=1,COUNTIF($G$4:G284,1),"")</f>
        <v/>
      </c>
      <c r="R284" s="0" t="str">
        <f aca="false">IF(CC_Mode="Per equipment",IFERROR(INDEX($B$4:$B$403,MATCH(281,$I$4:$I$403,0)),""),IF(CC_Mode="Per loop",IFERROR(INDEX($B$4:$B$403,MATCH(281,$H$4:$H$403,0)),""),IF(CC_Mode="Per unit",IFERROR("Chemical cleaning – "&amp;INDEX($K$4:$K$15,MATCH(281,$N$4:$N$15,0)),""),IF(281=1,"LUMP SUM – "&amp;QProject,""))))</f>
        <v/>
      </c>
      <c r="S284" s="0" t="str">
        <f aca="false">IF(CC_Mode="Per equipment",IFERROR(INDEX($C$4:$C$403,MATCH(281,$I$4:$I$403,0)),""),IF(CC_Mode="Per loop",IFERROR(INDEX($C$4:$C$403,MATCH(281,$H$4:$H$403,0)),""),IF(CC_Mode="Per unit",IFERROR(INDEX($K$4:$K$15,MATCH(281,$N$4:$N$15,0)),""),IF(281=1,"All units",""))))</f>
        <v/>
      </c>
      <c r="T284" s="0" t="str">
        <f aca="false">IF(CC_Mode="Per equipment",IFERROR(INDEX($D$4:$D$403,MATCH(281,$I$4:$I$403,0)),""),IF(CC_Mode="Per loop",IFERROR(INDEX($D$4:$D$403,MATCH(281,$H$4:$H$403,0)),""),IF(CC_Mode="Per unit",IFERROR(INDEX($M$4:$M$15,MATCH(281,$N$4:$N$15,0)),""),IF(281=1,CC_V_GrandVol,""))))</f>
        <v/>
      </c>
      <c r="U284" s="0" t="str">
        <f aca="false">IF(CC_Mode="Per equipment",IFERROR(INDEX($E$4:$E$403,MATCH(281,$I$4:$I$403,0)),""),IF(CC_Mode="Per loop",IFERROR(INDEX($E$4:$E$403,MATCH(281,$H$4:$H$403,0)),""),IF(CC_Mode="Per unit",IFERROR(INDEX($L$4:$L$15,MATCH(281,$N$4:$N$15,0)),""),IF(281=1,CC_Net,""))))</f>
        <v/>
      </c>
    </row>
    <row r="285" customFormat="false" ht="15" hidden="false" customHeight="false" outlineLevel="0" collapsed="false">
      <c r="A285" s="0" t="s">
        <v>172</v>
      </c>
      <c r="B285" s="0" t="str">
        <f aca="false">'CC Item Pricing'!C275&amp;IF('CC Item Pricing'!D275="",""," – "&amp;'CC Item Pricing'!D275)</f>
        <v/>
      </c>
      <c r="C285" s="0" t="str">
        <f aca="false">INDEX(CC_UnitNames,'CC Item Pricing'!Y275)</f>
        <v>Unit 9</v>
      </c>
      <c r="D285" s="0" t="n">
        <f aca="false">N('CC Item Pricing'!G275)</f>
        <v>0</v>
      </c>
      <c r="E285" s="98" t="n">
        <f aca="false">'CC Item Pricing'!W275</f>
        <v>0</v>
      </c>
      <c r="F285" s="96" t="n">
        <f aca="false">IF(AND(G285=1,'CC Item Pricing'!B275=""),1,0)</f>
        <v>0</v>
      </c>
      <c r="G285" s="96" t="n">
        <f aca="false">IF(D285&gt;0,1,0)</f>
        <v>0</v>
      </c>
      <c r="H285" s="0" t="str">
        <f aca="false">IF(F285=1,COUNTIF($F$4:F285,1),"")</f>
        <v/>
      </c>
      <c r="I285" s="0" t="str">
        <f aca="false">IF(G285=1,COUNTIF($G$4:G285,1),"")</f>
        <v/>
      </c>
      <c r="R285" s="0" t="str">
        <f aca="false">IF(CC_Mode="Per equipment",IFERROR(INDEX($B$4:$B$403,MATCH(282,$I$4:$I$403,0)),""),IF(CC_Mode="Per loop",IFERROR(INDEX($B$4:$B$403,MATCH(282,$H$4:$H$403,0)),""),IF(CC_Mode="Per unit",IFERROR("Chemical cleaning – "&amp;INDEX($K$4:$K$15,MATCH(282,$N$4:$N$15,0)),""),IF(282=1,"LUMP SUM – "&amp;QProject,""))))</f>
        <v/>
      </c>
      <c r="S285" s="0" t="str">
        <f aca="false">IF(CC_Mode="Per equipment",IFERROR(INDEX($C$4:$C$403,MATCH(282,$I$4:$I$403,0)),""),IF(CC_Mode="Per loop",IFERROR(INDEX($C$4:$C$403,MATCH(282,$H$4:$H$403,0)),""),IF(CC_Mode="Per unit",IFERROR(INDEX($K$4:$K$15,MATCH(282,$N$4:$N$15,0)),""),IF(282=1,"All units",""))))</f>
        <v/>
      </c>
      <c r="T285" s="0" t="str">
        <f aca="false">IF(CC_Mode="Per equipment",IFERROR(INDEX($D$4:$D$403,MATCH(282,$I$4:$I$403,0)),""),IF(CC_Mode="Per loop",IFERROR(INDEX($D$4:$D$403,MATCH(282,$H$4:$H$403,0)),""),IF(CC_Mode="Per unit",IFERROR(INDEX($M$4:$M$15,MATCH(282,$N$4:$N$15,0)),""),IF(282=1,CC_V_GrandVol,""))))</f>
        <v/>
      </c>
      <c r="U285" s="0" t="str">
        <f aca="false">IF(CC_Mode="Per equipment",IFERROR(INDEX($E$4:$E$403,MATCH(282,$I$4:$I$403,0)),""),IF(CC_Mode="Per loop",IFERROR(INDEX($E$4:$E$403,MATCH(282,$H$4:$H$403,0)),""),IF(CC_Mode="Per unit",IFERROR(INDEX($L$4:$L$15,MATCH(282,$N$4:$N$15,0)),""),IF(282=1,CC_Net,""))))</f>
        <v/>
      </c>
    </row>
    <row r="286" customFormat="false" ht="15" hidden="false" customHeight="false" outlineLevel="0" collapsed="false">
      <c r="A286" s="0" t="s">
        <v>172</v>
      </c>
      <c r="B286" s="0" t="str">
        <f aca="false">'CC Item Pricing'!C276&amp;IF('CC Item Pricing'!D276="",""," – "&amp;'CC Item Pricing'!D276)</f>
        <v/>
      </c>
      <c r="C286" s="0" t="str">
        <f aca="false">INDEX(CC_UnitNames,'CC Item Pricing'!Y276)</f>
        <v>Unit 9</v>
      </c>
      <c r="D286" s="0" t="n">
        <f aca="false">N('CC Item Pricing'!G276)</f>
        <v>0</v>
      </c>
      <c r="E286" s="98" t="n">
        <f aca="false">'CC Item Pricing'!W276</f>
        <v>0</v>
      </c>
      <c r="F286" s="96" t="n">
        <f aca="false">IF(AND(G286=1,'CC Item Pricing'!B276=""),1,0)</f>
        <v>0</v>
      </c>
      <c r="G286" s="96" t="n">
        <f aca="false">IF(D286&gt;0,1,0)</f>
        <v>0</v>
      </c>
      <c r="H286" s="0" t="str">
        <f aca="false">IF(F286=1,COUNTIF($F$4:F286,1),"")</f>
        <v/>
      </c>
      <c r="I286" s="0" t="str">
        <f aca="false">IF(G286=1,COUNTIF($G$4:G286,1),"")</f>
        <v/>
      </c>
      <c r="R286" s="0" t="str">
        <f aca="false">IF(CC_Mode="Per equipment",IFERROR(INDEX($B$4:$B$403,MATCH(283,$I$4:$I$403,0)),""),IF(CC_Mode="Per loop",IFERROR(INDEX($B$4:$B$403,MATCH(283,$H$4:$H$403,0)),""),IF(CC_Mode="Per unit",IFERROR("Chemical cleaning – "&amp;INDEX($K$4:$K$15,MATCH(283,$N$4:$N$15,0)),""),IF(283=1,"LUMP SUM – "&amp;QProject,""))))</f>
        <v/>
      </c>
      <c r="S286" s="0" t="str">
        <f aca="false">IF(CC_Mode="Per equipment",IFERROR(INDEX($C$4:$C$403,MATCH(283,$I$4:$I$403,0)),""),IF(CC_Mode="Per loop",IFERROR(INDEX($C$4:$C$403,MATCH(283,$H$4:$H$403,0)),""),IF(CC_Mode="Per unit",IFERROR(INDEX($K$4:$K$15,MATCH(283,$N$4:$N$15,0)),""),IF(283=1,"All units",""))))</f>
        <v/>
      </c>
      <c r="T286" s="0" t="str">
        <f aca="false">IF(CC_Mode="Per equipment",IFERROR(INDEX($D$4:$D$403,MATCH(283,$I$4:$I$403,0)),""),IF(CC_Mode="Per loop",IFERROR(INDEX($D$4:$D$403,MATCH(283,$H$4:$H$403,0)),""),IF(CC_Mode="Per unit",IFERROR(INDEX($M$4:$M$15,MATCH(283,$N$4:$N$15,0)),""),IF(283=1,CC_V_GrandVol,""))))</f>
        <v/>
      </c>
      <c r="U286" s="0" t="str">
        <f aca="false">IF(CC_Mode="Per equipment",IFERROR(INDEX($E$4:$E$403,MATCH(283,$I$4:$I$403,0)),""),IF(CC_Mode="Per loop",IFERROR(INDEX($E$4:$E$403,MATCH(283,$H$4:$H$403,0)),""),IF(CC_Mode="Per unit",IFERROR(INDEX($L$4:$L$15,MATCH(283,$N$4:$N$15,0)),""),IF(283=1,CC_Net,""))))</f>
        <v/>
      </c>
    </row>
    <row r="287" customFormat="false" ht="15" hidden="false" customHeight="false" outlineLevel="0" collapsed="false">
      <c r="A287" s="0" t="s">
        <v>172</v>
      </c>
      <c r="B287" s="0" t="str">
        <f aca="false">'CC Item Pricing'!C277&amp;IF('CC Item Pricing'!D277="",""," – "&amp;'CC Item Pricing'!D277)</f>
        <v/>
      </c>
      <c r="C287" s="0" t="str">
        <f aca="false">INDEX(CC_UnitNames,'CC Item Pricing'!Y277)</f>
        <v>Unit 9</v>
      </c>
      <c r="D287" s="0" t="n">
        <f aca="false">N('CC Item Pricing'!G277)</f>
        <v>0</v>
      </c>
      <c r="E287" s="98" t="n">
        <f aca="false">'CC Item Pricing'!W277</f>
        <v>0</v>
      </c>
      <c r="F287" s="96" t="n">
        <f aca="false">IF(AND(G287=1,'CC Item Pricing'!B277=""),1,0)</f>
        <v>0</v>
      </c>
      <c r="G287" s="96" t="n">
        <f aca="false">IF(D287&gt;0,1,0)</f>
        <v>0</v>
      </c>
      <c r="H287" s="0" t="str">
        <f aca="false">IF(F287=1,COUNTIF($F$4:F287,1),"")</f>
        <v/>
      </c>
      <c r="I287" s="0" t="str">
        <f aca="false">IF(G287=1,COUNTIF($G$4:G287,1),"")</f>
        <v/>
      </c>
      <c r="R287" s="0" t="str">
        <f aca="false">IF(CC_Mode="Per equipment",IFERROR(INDEX($B$4:$B$403,MATCH(284,$I$4:$I$403,0)),""),IF(CC_Mode="Per loop",IFERROR(INDEX($B$4:$B$403,MATCH(284,$H$4:$H$403,0)),""),IF(CC_Mode="Per unit",IFERROR("Chemical cleaning – "&amp;INDEX($K$4:$K$15,MATCH(284,$N$4:$N$15,0)),""),IF(284=1,"LUMP SUM – "&amp;QProject,""))))</f>
        <v/>
      </c>
      <c r="S287" s="0" t="str">
        <f aca="false">IF(CC_Mode="Per equipment",IFERROR(INDEX($C$4:$C$403,MATCH(284,$I$4:$I$403,0)),""),IF(CC_Mode="Per loop",IFERROR(INDEX($C$4:$C$403,MATCH(284,$H$4:$H$403,0)),""),IF(CC_Mode="Per unit",IFERROR(INDEX($K$4:$K$15,MATCH(284,$N$4:$N$15,0)),""),IF(284=1,"All units",""))))</f>
        <v/>
      </c>
      <c r="T287" s="0" t="str">
        <f aca="false">IF(CC_Mode="Per equipment",IFERROR(INDEX($D$4:$D$403,MATCH(284,$I$4:$I$403,0)),""),IF(CC_Mode="Per loop",IFERROR(INDEX($D$4:$D$403,MATCH(284,$H$4:$H$403,0)),""),IF(CC_Mode="Per unit",IFERROR(INDEX($M$4:$M$15,MATCH(284,$N$4:$N$15,0)),""),IF(284=1,CC_V_GrandVol,""))))</f>
        <v/>
      </c>
      <c r="U287" s="0" t="str">
        <f aca="false">IF(CC_Mode="Per equipment",IFERROR(INDEX($E$4:$E$403,MATCH(284,$I$4:$I$403,0)),""),IF(CC_Mode="Per loop",IFERROR(INDEX($E$4:$E$403,MATCH(284,$H$4:$H$403,0)),""),IF(CC_Mode="Per unit",IFERROR(INDEX($L$4:$L$15,MATCH(284,$N$4:$N$15,0)),""),IF(284=1,CC_Net,""))))</f>
        <v/>
      </c>
    </row>
    <row r="288" customFormat="false" ht="15" hidden="false" customHeight="false" outlineLevel="0" collapsed="false">
      <c r="A288" s="0" t="s">
        <v>172</v>
      </c>
      <c r="B288" s="0" t="str">
        <f aca="false">'CC Item Pricing'!C278&amp;IF('CC Item Pricing'!D278="",""," – "&amp;'CC Item Pricing'!D278)</f>
        <v/>
      </c>
      <c r="C288" s="0" t="str">
        <f aca="false">INDEX(CC_UnitNames,'CC Item Pricing'!Y278)</f>
        <v>Unit 9</v>
      </c>
      <c r="D288" s="0" t="n">
        <f aca="false">N('CC Item Pricing'!G278)</f>
        <v>0</v>
      </c>
      <c r="E288" s="98" t="n">
        <f aca="false">'CC Item Pricing'!W278</f>
        <v>0</v>
      </c>
      <c r="F288" s="96" t="n">
        <f aca="false">IF(AND(G288=1,'CC Item Pricing'!B278=""),1,0)</f>
        <v>0</v>
      </c>
      <c r="G288" s="96" t="n">
        <f aca="false">IF(D288&gt;0,1,0)</f>
        <v>0</v>
      </c>
      <c r="H288" s="0" t="str">
        <f aca="false">IF(F288=1,COUNTIF($F$4:F288,1),"")</f>
        <v/>
      </c>
      <c r="I288" s="0" t="str">
        <f aca="false">IF(G288=1,COUNTIF($G$4:G288,1),"")</f>
        <v/>
      </c>
      <c r="R288" s="0" t="str">
        <f aca="false">IF(CC_Mode="Per equipment",IFERROR(INDEX($B$4:$B$403,MATCH(285,$I$4:$I$403,0)),""),IF(CC_Mode="Per loop",IFERROR(INDEX($B$4:$B$403,MATCH(285,$H$4:$H$403,0)),""),IF(CC_Mode="Per unit",IFERROR("Chemical cleaning – "&amp;INDEX($K$4:$K$15,MATCH(285,$N$4:$N$15,0)),""),IF(285=1,"LUMP SUM – "&amp;QProject,""))))</f>
        <v/>
      </c>
      <c r="S288" s="0" t="str">
        <f aca="false">IF(CC_Mode="Per equipment",IFERROR(INDEX($C$4:$C$403,MATCH(285,$I$4:$I$403,0)),""),IF(CC_Mode="Per loop",IFERROR(INDEX($C$4:$C$403,MATCH(285,$H$4:$H$403,0)),""),IF(CC_Mode="Per unit",IFERROR(INDEX($K$4:$K$15,MATCH(285,$N$4:$N$15,0)),""),IF(285=1,"All units",""))))</f>
        <v/>
      </c>
      <c r="T288" s="0" t="str">
        <f aca="false">IF(CC_Mode="Per equipment",IFERROR(INDEX($D$4:$D$403,MATCH(285,$I$4:$I$403,0)),""),IF(CC_Mode="Per loop",IFERROR(INDEX($D$4:$D$403,MATCH(285,$H$4:$H$403,0)),""),IF(CC_Mode="Per unit",IFERROR(INDEX($M$4:$M$15,MATCH(285,$N$4:$N$15,0)),""),IF(285=1,CC_V_GrandVol,""))))</f>
        <v/>
      </c>
      <c r="U288" s="0" t="str">
        <f aca="false">IF(CC_Mode="Per equipment",IFERROR(INDEX($E$4:$E$403,MATCH(285,$I$4:$I$403,0)),""),IF(CC_Mode="Per loop",IFERROR(INDEX($E$4:$E$403,MATCH(285,$H$4:$H$403,0)),""),IF(CC_Mode="Per unit",IFERROR(INDEX($L$4:$L$15,MATCH(285,$N$4:$N$15,0)),""),IF(285=1,CC_Net,""))))</f>
        <v/>
      </c>
    </row>
    <row r="289" customFormat="false" ht="15" hidden="false" customHeight="false" outlineLevel="0" collapsed="false">
      <c r="A289" s="0" t="s">
        <v>172</v>
      </c>
      <c r="B289" s="0" t="str">
        <f aca="false">'CC Item Pricing'!C279&amp;IF('CC Item Pricing'!D279="",""," – "&amp;'CC Item Pricing'!D279)</f>
        <v/>
      </c>
      <c r="C289" s="0" t="str">
        <f aca="false">INDEX(CC_UnitNames,'CC Item Pricing'!Y279)</f>
        <v>Unit 9</v>
      </c>
      <c r="D289" s="0" t="n">
        <f aca="false">N('CC Item Pricing'!G279)</f>
        <v>0</v>
      </c>
      <c r="E289" s="98" t="n">
        <f aca="false">'CC Item Pricing'!W279</f>
        <v>0</v>
      </c>
      <c r="F289" s="96" t="n">
        <f aca="false">IF(AND(G289=1,'CC Item Pricing'!B279=""),1,0)</f>
        <v>0</v>
      </c>
      <c r="G289" s="96" t="n">
        <f aca="false">IF(D289&gt;0,1,0)</f>
        <v>0</v>
      </c>
      <c r="H289" s="0" t="str">
        <f aca="false">IF(F289=1,COUNTIF($F$4:F289,1),"")</f>
        <v/>
      </c>
      <c r="I289" s="0" t="str">
        <f aca="false">IF(G289=1,COUNTIF($G$4:G289,1),"")</f>
        <v/>
      </c>
      <c r="R289" s="0" t="str">
        <f aca="false">IF(CC_Mode="Per equipment",IFERROR(INDEX($B$4:$B$403,MATCH(286,$I$4:$I$403,0)),""),IF(CC_Mode="Per loop",IFERROR(INDEX($B$4:$B$403,MATCH(286,$H$4:$H$403,0)),""),IF(CC_Mode="Per unit",IFERROR("Chemical cleaning – "&amp;INDEX($K$4:$K$15,MATCH(286,$N$4:$N$15,0)),""),IF(286=1,"LUMP SUM – "&amp;QProject,""))))</f>
        <v/>
      </c>
      <c r="S289" s="0" t="str">
        <f aca="false">IF(CC_Mode="Per equipment",IFERROR(INDEX($C$4:$C$403,MATCH(286,$I$4:$I$403,0)),""),IF(CC_Mode="Per loop",IFERROR(INDEX($C$4:$C$403,MATCH(286,$H$4:$H$403,0)),""),IF(CC_Mode="Per unit",IFERROR(INDEX($K$4:$K$15,MATCH(286,$N$4:$N$15,0)),""),IF(286=1,"All units",""))))</f>
        <v/>
      </c>
      <c r="T289" s="0" t="str">
        <f aca="false">IF(CC_Mode="Per equipment",IFERROR(INDEX($D$4:$D$403,MATCH(286,$I$4:$I$403,0)),""),IF(CC_Mode="Per loop",IFERROR(INDEX($D$4:$D$403,MATCH(286,$H$4:$H$403,0)),""),IF(CC_Mode="Per unit",IFERROR(INDEX($M$4:$M$15,MATCH(286,$N$4:$N$15,0)),""),IF(286=1,CC_V_GrandVol,""))))</f>
        <v/>
      </c>
      <c r="U289" s="0" t="str">
        <f aca="false">IF(CC_Mode="Per equipment",IFERROR(INDEX($E$4:$E$403,MATCH(286,$I$4:$I$403,0)),""),IF(CC_Mode="Per loop",IFERROR(INDEX($E$4:$E$403,MATCH(286,$H$4:$H$403,0)),""),IF(CC_Mode="Per unit",IFERROR(INDEX($L$4:$L$15,MATCH(286,$N$4:$N$15,0)),""),IF(286=1,CC_Net,""))))</f>
        <v/>
      </c>
    </row>
    <row r="290" customFormat="false" ht="15" hidden="false" customHeight="false" outlineLevel="0" collapsed="false">
      <c r="A290" s="0" t="s">
        <v>172</v>
      </c>
      <c r="B290" s="0" t="str">
        <f aca="false">'CC Item Pricing'!C280&amp;IF('CC Item Pricing'!D280="",""," – "&amp;'CC Item Pricing'!D280)</f>
        <v/>
      </c>
      <c r="C290" s="0" t="str">
        <f aca="false">INDEX(CC_UnitNames,'CC Item Pricing'!Y280)</f>
        <v>Unit 9</v>
      </c>
      <c r="D290" s="0" t="n">
        <f aca="false">N('CC Item Pricing'!G280)</f>
        <v>0</v>
      </c>
      <c r="E290" s="98" t="n">
        <f aca="false">'CC Item Pricing'!W280</f>
        <v>0</v>
      </c>
      <c r="F290" s="96" t="n">
        <f aca="false">IF(AND(G290=1,'CC Item Pricing'!B280=""),1,0)</f>
        <v>0</v>
      </c>
      <c r="G290" s="96" t="n">
        <f aca="false">IF(D290&gt;0,1,0)</f>
        <v>0</v>
      </c>
      <c r="H290" s="0" t="str">
        <f aca="false">IF(F290=1,COUNTIF($F$4:F290,1),"")</f>
        <v/>
      </c>
      <c r="I290" s="0" t="str">
        <f aca="false">IF(G290=1,COUNTIF($G$4:G290,1),"")</f>
        <v/>
      </c>
      <c r="R290" s="0" t="str">
        <f aca="false">IF(CC_Mode="Per equipment",IFERROR(INDEX($B$4:$B$403,MATCH(287,$I$4:$I$403,0)),""),IF(CC_Mode="Per loop",IFERROR(INDEX($B$4:$B$403,MATCH(287,$H$4:$H$403,0)),""),IF(CC_Mode="Per unit",IFERROR("Chemical cleaning – "&amp;INDEX($K$4:$K$15,MATCH(287,$N$4:$N$15,0)),""),IF(287=1,"LUMP SUM – "&amp;QProject,""))))</f>
        <v/>
      </c>
      <c r="S290" s="0" t="str">
        <f aca="false">IF(CC_Mode="Per equipment",IFERROR(INDEX($C$4:$C$403,MATCH(287,$I$4:$I$403,0)),""),IF(CC_Mode="Per loop",IFERROR(INDEX($C$4:$C$403,MATCH(287,$H$4:$H$403,0)),""),IF(CC_Mode="Per unit",IFERROR(INDEX($K$4:$K$15,MATCH(287,$N$4:$N$15,0)),""),IF(287=1,"All units",""))))</f>
        <v/>
      </c>
      <c r="T290" s="0" t="str">
        <f aca="false">IF(CC_Mode="Per equipment",IFERROR(INDEX($D$4:$D$403,MATCH(287,$I$4:$I$403,0)),""),IF(CC_Mode="Per loop",IFERROR(INDEX($D$4:$D$403,MATCH(287,$H$4:$H$403,0)),""),IF(CC_Mode="Per unit",IFERROR(INDEX($M$4:$M$15,MATCH(287,$N$4:$N$15,0)),""),IF(287=1,CC_V_GrandVol,""))))</f>
        <v/>
      </c>
      <c r="U290" s="0" t="str">
        <f aca="false">IF(CC_Mode="Per equipment",IFERROR(INDEX($E$4:$E$403,MATCH(287,$I$4:$I$403,0)),""),IF(CC_Mode="Per loop",IFERROR(INDEX($E$4:$E$403,MATCH(287,$H$4:$H$403,0)),""),IF(CC_Mode="Per unit",IFERROR(INDEX($L$4:$L$15,MATCH(287,$N$4:$N$15,0)),""),IF(287=1,CC_Net,""))))</f>
        <v/>
      </c>
    </row>
    <row r="291" customFormat="false" ht="15" hidden="false" customHeight="false" outlineLevel="0" collapsed="false">
      <c r="A291" s="0" t="s">
        <v>172</v>
      </c>
      <c r="B291" s="0" t="str">
        <f aca="false">'CC Item Pricing'!C281&amp;IF('CC Item Pricing'!D281="",""," – "&amp;'CC Item Pricing'!D281)</f>
        <v/>
      </c>
      <c r="C291" s="0" t="str">
        <f aca="false">INDEX(CC_UnitNames,'CC Item Pricing'!Y281)</f>
        <v>Unit 9</v>
      </c>
      <c r="D291" s="0" t="n">
        <f aca="false">N('CC Item Pricing'!G281)</f>
        <v>0</v>
      </c>
      <c r="E291" s="98" t="n">
        <f aca="false">'CC Item Pricing'!W281</f>
        <v>0</v>
      </c>
      <c r="F291" s="96" t="n">
        <f aca="false">IF(AND(G291=1,'CC Item Pricing'!B281=""),1,0)</f>
        <v>0</v>
      </c>
      <c r="G291" s="96" t="n">
        <f aca="false">IF(D291&gt;0,1,0)</f>
        <v>0</v>
      </c>
      <c r="H291" s="0" t="str">
        <f aca="false">IF(F291=1,COUNTIF($F$4:F291,1),"")</f>
        <v/>
      </c>
      <c r="I291" s="0" t="str">
        <f aca="false">IF(G291=1,COUNTIF($G$4:G291,1),"")</f>
        <v/>
      </c>
      <c r="R291" s="0" t="str">
        <f aca="false">IF(CC_Mode="Per equipment",IFERROR(INDEX($B$4:$B$403,MATCH(288,$I$4:$I$403,0)),""),IF(CC_Mode="Per loop",IFERROR(INDEX($B$4:$B$403,MATCH(288,$H$4:$H$403,0)),""),IF(CC_Mode="Per unit",IFERROR("Chemical cleaning – "&amp;INDEX($K$4:$K$15,MATCH(288,$N$4:$N$15,0)),""),IF(288=1,"LUMP SUM – "&amp;QProject,""))))</f>
        <v/>
      </c>
      <c r="S291" s="0" t="str">
        <f aca="false">IF(CC_Mode="Per equipment",IFERROR(INDEX($C$4:$C$403,MATCH(288,$I$4:$I$403,0)),""),IF(CC_Mode="Per loop",IFERROR(INDEX($C$4:$C$403,MATCH(288,$H$4:$H$403,0)),""),IF(CC_Mode="Per unit",IFERROR(INDEX($K$4:$K$15,MATCH(288,$N$4:$N$15,0)),""),IF(288=1,"All units",""))))</f>
        <v/>
      </c>
      <c r="T291" s="0" t="str">
        <f aca="false">IF(CC_Mode="Per equipment",IFERROR(INDEX($D$4:$D$403,MATCH(288,$I$4:$I$403,0)),""),IF(CC_Mode="Per loop",IFERROR(INDEX($D$4:$D$403,MATCH(288,$H$4:$H$403,0)),""),IF(CC_Mode="Per unit",IFERROR(INDEX($M$4:$M$15,MATCH(288,$N$4:$N$15,0)),""),IF(288=1,CC_V_GrandVol,""))))</f>
        <v/>
      </c>
      <c r="U291" s="0" t="str">
        <f aca="false">IF(CC_Mode="Per equipment",IFERROR(INDEX($E$4:$E$403,MATCH(288,$I$4:$I$403,0)),""),IF(CC_Mode="Per loop",IFERROR(INDEX($E$4:$E$403,MATCH(288,$H$4:$H$403,0)),""),IF(CC_Mode="Per unit",IFERROR(INDEX($L$4:$L$15,MATCH(288,$N$4:$N$15,0)),""),IF(288=1,CC_Net,""))))</f>
        <v/>
      </c>
    </row>
    <row r="292" customFormat="false" ht="15" hidden="false" customHeight="false" outlineLevel="0" collapsed="false">
      <c r="A292" s="0" t="s">
        <v>172</v>
      </c>
      <c r="B292" s="0" t="str">
        <f aca="false">'CC Item Pricing'!C282&amp;IF('CC Item Pricing'!D282="",""," – "&amp;'CC Item Pricing'!D282)</f>
        <v/>
      </c>
      <c r="C292" s="0" t="str">
        <f aca="false">INDEX(CC_UnitNames,'CC Item Pricing'!Y282)</f>
        <v>Unit 9</v>
      </c>
      <c r="D292" s="0" t="n">
        <f aca="false">N('CC Item Pricing'!G282)</f>
        <v>0</v>
      </c>
      <c r="E292" s="98" t="n">
        <f aca="false">'CC Item Pricing'!W282</f>
        <v>0</v>
      </c>
      <c r="F292" s="96" t="n">
        <f aca="false">IF(AND(G292=1,'CC Item Pricing'!B282=""),1,0)</f>
        <v>0</v>
      </c>
      <c r="G292" s="96" t="n">
        <f aca="false">IF(D292&gt;0,1,0)</f>
        <v>0</v>
      </c>
      <c r="H292" s="0" t="str">
        <f aca="false">IF(F292=1,COUNTIF($F$4:F292,1),"")</f>
        <v/>
      </c>
      <c r="I292" s="0" t="str">
        <f aca="false">IF(G292=1,COUNTIF($G$4:G292,1),"")</f>
        <v/>
      </c>
      <c r="R292" s="0" t="str">
        <f aca="false">IF(CC_Mode="Per equipment",IFERROR(INDEX($B$4:$B$403,MATCH(289,$I$4:$I$403,0)),""),IF(CC_Mode="Per loop",IFERROR(INDEX($B$4:$B$403,MATCH(289,$H$4:$H$403,0)),""),IF(CC_Mode="Per unit",IFERROR("Chemical cleaning – "&amp;INDEX($K$4:$K$15,MATCH(289,$N$4:$N$15,0)),""),IF(289=1,"LUMP SUM – "&amp;QProject,""))))</f>
        <v/>
      </c>
      <c r="S292" s="0" t="str">
        <f aca="false">IF(CC_Mode="Per equipment",IFERROR(INDEX($C$4:$C$403,MATCH(289,$I$4:$I$403,0)),""),IF(CC_Mode="Per loop",IFERROR(INDEX($C$4:$C$403,MATCH(289,$H$4:$H$403,0)),""),IF(CC_Mode="Per unit",IFERROR(INDEX($K$4:$K$15,MATCH(289,$N$4:$N$15,0)),""),IF(289=1,"All units",""))))</f>
        <v/>
      </c>
      <c r="T292" s="0" t="str">
        <f aca="false">IF(CC_Mode="Per equipment",IFERROR(INDEX($D$4:$D$403,MATCH(289,$I$4:$I$403,0)),""),IF(CC_Mode="Per loop",IFERROR(INDEX($D$4:$D$403,MATCH(289,$H$4:$H$403,0)),""),IF(CC_Mode="Per unit",IFERROR(INDEX($M$4:$M$15,MATCH(289,$N$4:$N$15,0)),""),IF(289=1,CC_V_GrandVol,""))))</f>
        <v/>
      </c>
      <c r="U292" s="0" t="str">
        <f aca="false">IF(CC_Mode="Per equipment",IFERROR(INDEX($E$4:$E$403,MATCH(289,$I$4:$I$403,0)),""),IF(CC_Mode="Per loop",IFERROR(INDEX($E$4:$E$403,MATCH(289,$H$4:$H$403,0)),""),IF(CC_Mode="Per unit",IFERROR(INDEX($L$4:$L$15,MATCH(289,$N$4:$N$15,0)),""),IF(289=1,CC_Net,""))))</f>
        <v/>
      </c>
    </row>
    <row r="293" customFormat="false" ht="15" hidden="false" customHeight="false" outlineLevel="0" collapsed="false">
      <c r="A293" s="0" t="s">
        <v>172</v>
      </c>
      <c r="B293" s="0" t="str">
        <f aca="false">'CC Item Pricing'!C283&amp;IF('CC Item Pricing'!D283="",""," – "&amp;'CC Item Pricing'!D283)</f>
        <v/>
      </c>
      <c r="C293" s="0" t="str">
        <f aca="false">INDEX(CC_UnitNames,'CC Item Pricing'!Y283)</f>
        <v>Unit 9</v>
      </c>
      <c r="D293" s="0" t="n">
        <f aca="false">N('CC Item Pricing'!G283)</f>
        <v>0</v>
      </c>
      <c r="E293" s="98" t="n">
        <f aca="false">'CC Item Pricing'!W283</f>
        <v>0</v>
      </c>
      <c r="F293" s="96" t="n">
        <f aca="false">IF(AND(G293=1,'CC Item Pricing'!B283=""),1,0)</f>
        <v>0</v>
      </c>
      <c r="G293" s="96" t="n">
        <f aca="false">IF(D293&gt;0,1,0)</f>
        <v>0</v>
      </c>
      <c r="H293" s="0" t="str">
        <f aca="false">IF(F293=1,COUNTIF($F$4:F293,1),"")</f>
        <v/>
      </c>
      <c r="I293" s="0" t="str">
        <f aca="false">IF(G293=1,COUNTIF($G$4:G293,1),"")</f>
        <v/>
      </c>
      <c r="R293" s="0" t="str">
        <f aca="false">IF(CC_Mode="Per equipment",IFERROR(INDEX($B$4:$B$403,MATCH(290,$I$4:$I$403,0)),""),IF(CC_Mode="Per loop",IFERROR(INDEX($B$4:$B$403,MATCH(290,$H$4:$H$403,0)),""),IF(CC_Mode="Per unit",IFERROR("Chemical cleaning – "&amp;INDEX($K$4:$K$15,MATCH(290,$N$4:$N$15,0)),""),IF(290=1,"LUMP SUM – "&amp;QProject,""))))</f>
        <v/>
      </c>
      <c r="S293" s="0" t="str">
        <f aca="false">IF(CC_Mode="Per equipment",IFERROR(INDEX($C$4:$C$403,MATCH(290,$I$4:$I$403,0)),""),IF(CC_Mode="Per loop",IFERROR(INDEX($C$4:$C$403,MATCH(290,$H$4:$H$403,0)),""),IF(CC_Mode="Per unit",IFERROR(INDEX($K$4:$K$15,MATCH(290,$N$4:$N$15,0)),""),IF(290=1,"All units",""))))</f>
        <v/>
      </c>
      <c r="T293" s="0" t="str">
        <f aca="false">IF(CC_Mode="Per equipment",IFERROR(INDEX($D$4:$D$403,MATCH(290,$I$4:$I$403,0)),""),IF(CC_Mode="Per loop",IFERROR(INDEX($D$4:$D$403,MATCH(290,$H$4:$H$403,0)),""),IF(CC_Mode="Per unit",IFERROR(INDEX($M$4:$M$15,MATCH(290,$N$4:$N$15,0)),""),IF(290=1,CC_V_GrandVol,""))))</f>
        <v/>
      </c>
      <c r="U293" s="0" t="str">
        <f aca="false">IF(CC_Mode="Per equipment",IFERROR(INDEX($E$4:$E$403,MATCH(290,$I$4:$I$403,0)),""),IF(CC_Mode="Per loop",IFERROR(INDEX($E$4:$E$403,MATCH(290,$H$4:$H$403,0)),""),IF(CC_Mode="Per unit",IFERROR(INDEX($L$4:$L$15,MATCH(290,$N$4:$N$15,0)),""),IF(290=1,CC_Net,""))))</f>
        <v/>
      </c>
    </row>
    <row r="294" customFormat="false" ht="15" hidden="false" customHeight="false" outlineLevel="0" collapsed="false">
      <c r="A294" s="0" t="s">
        <v>172</v>
      </c>
      <c r="B294" s="0" t="str">
        <f aca="false">'CC Item Pricing'!C284&amp;IF('CC Item Pricing'!D284="",""," – "&amp;'CC Item Pricing'!D284)</f>
        <v/>
      </c>
      <c r="C294" s="0" t="str">
        <f aca="false">INDEX(CC_UnitNames,'CC Item Pricing'!Y284)</f>
        <v>Unit 9</v>
      </c>
      <c r="D294" s="0" t="n">
        <f aca="false">N('CC Item Pricing'!G284)</f>
        <v>0</v>
      </c>
      <c r="E294" s="98" t="n">
        <f aca="false">'CC Item Pricing'!W284</f>
        <v>0</v>
      </c>
      <c r="F294" s="96" t="n">
        <f aca="false">IF(AND(G294=1,'CC Item Pricing'!B284=""),1,0)</f>
        <v>0</v>
      </c>
      <c r="G294" s="96" t="n">
        <f aca="false">IF(D294&gt;0,1,0)</f>
        <v>0</v>
      </c>
      <c r="H294" s="0" t="str">
        <f aca="false">IF(F294=1,COUNTIF($F$4:F294,1),"")</f>
        <v/>
      </c>
      <c r="I294" s="0" t="str">
        <f aca="false">IF(G294=1,COUNTIF($G$4:G294,1),"")</f>
        <v/>
      </c>
      <c r="R294" s="0" t="str">
        <f aca="false">IF(CC_Mode="Per equipment",IFERROR(INDEX($B$4:$B$403,MATCH(291,$I$4:$I$403,0)),""),IF(CC_Mode="Per loop",IFERROR(INDEX($B$4:$B$403,MATCH(291,$H$4:$H$403,0)),""),IF(CC_Mode="Per unit",IFERROR("Chemical cleaning – "&amp;INDEX($K$4:$K$15,MATCH(291,$N$4:$N$15,0)),""),IF(291=1,"LUMP SUM – "&amp;QProject,""))))</f>
        <v/>
      </c>
      <c r="S294" s="0" t="str">
        <f aca="false">IF(CC_Mode="Per equipment",IFERROR(INDEX($C$4:$C$403,MATCH(291,$I$4:$I$403,0)),""),IF(CC_Mode="Per loop",IFERROR(INDEX($C$4:$C$403,MATCH(291,$H$4:$H$403,0)),""),IF(CC_Mode="Per unit",IFERROR(INDEX($K$4:$K$15,MATCH(291,$N$4:$N$15,0)),""),IF(291=1,"All units",""))))</f>
        <v/>
      </c>
      <c r="T294" s="0" t="str">
        <f aca="false">IF(CC_Mode="Per equipment",IFERROR(INDEX($D$4:$D$403,MATCH(291,$I$4:$I$403,0)),""),IF(CC_Mode="Per loop",IFERROR(INDEX($D$4:$D$403,MATCH(291,$H$4:$H$403,0)),""),IF(CC_Mode="Per unit",IFERROR(INDEX($M$4:$M$15,MATCH(291,$N$4:$N$15,0)),""),IF(291=1,CC_V_GrandVol,""))))</f>
        <v/>
      </c>
      <c r="U294" s="0" t="str">
        <f aca="false">IF(CC_Mode="Per equipment",IFERROR(INDEX($E$4:$E$403,MATCH(291,$I$4:$I$403,0)),""),IF(CC_Mode="Per loop",IFERROR(INDEX($E$4:$E$403,MATCH(291,$H$4:$H$403,0)),""),IF(CC_Mode="Per unit",IFERROR(INDEX($L$4:$L$15,MATCH(291,$N$4:$N$15,0)),""),IF(291=1,CC_Net,""))))</f>
        <v/>
      </c>
    </row>
    <row r="295" customFormat="false" ht="15" hidden="false" customHeight="false" outlineLevel="0" collapsed="false">
      <c r="A295" s="0" t="s">
        <v>172</v>
      </c>
      <c r="B295" s="0" t="str">
        <f aca="false">'CC Item Pricing'!C285&amp;IF('CC Item Pricing'!D285="",""," – "&amp;'CC Item Pricing'!D285)</f>
        <v/>
      </c>
      <c r="C295" s="0" t="str">
        <f aca="false">INDEX(CC_UnitNames,'CC Item Pricing'!Y285)</f>
        <v>Unit 9</v>
      </c>
      <c r="D295" s="0" t="n">
        <f aca="false">N('CC Item Pricing'!G285)</f>
        <v>0</v>
      </c>
      <c r="E295" s="98" t="n">
        <f aca="false">'CC Item Pricing'!W285</f>
        <v>0</v>
      </c>
      <c r="F295" s="96" t="n">
        <f aca="false">IF(AND(G295=1,'CC Item Pricing'!B285=""),1,0)</f>
        <v>0</v>
      </c>
      <c r="G295" s="96" t="n">
        <f aca="false">IF(D295&gt;0,1,0)</f>
        <v>0</v>
      </c>
      <c r="H295" s="0" t="str">
        <f aca="false">IF(F295=1,COUNTIF($F$4:F295,1),"")</f>
        <v/>
      </c>
      <c r="I295" s="0" t="str">
        <f aca="false">IF(G295=1,COUNTIF($G$4:G295,1),"")</f>
        <v/>
      </c>
      <c r="R295" s="0" t="str">
        <f aca="false">IF(CC_Mode="Per equipment",IFERROR(INDEX($B$4:$B$403,MATCH(292,$I$4:$I$403,0)),""),IF(CC_Mode="Per loop",IFERROR(INDEX($B$4:$B$403,MATCH(292,$H$4:$H$403,0)),""),IF(CC_Mode="Per unit",IFERROR("Chemical cleaning – "&amp;INDEX($K$4:$K$15,MATCH(292,$N$4:$N$15,0)),""),IF(292=1,"LUMP SUM – "&amp;QProject,""))))</f>
        <v/>
      </c>
      <c r="S295" s="0" t="str">
        <f aca="false">IF(CC_Mode="Per equipment",IFERROR(INDEX($C$4:$C$403,MATCH(292,$I$4:$I$403,0)),""),IF(CC_Mode="Per loop",IFERROR(INDEX($C$4:$C$403,MATCH(292,$H$4:$H$403,0)),""),IF(CC_Mode="Per unit",IFERROR(INDEX($K$4:$K$15,MATCH(292,$N$4:$N$15,0)),""),IF(292=1,"All units",""))))</f>
        <v/>
      </c>
      <c r="T295" s="0" t="str">
        <f aca="false">IF(CC_Mode="Per equipment",IFERROR(INDEX($D$4:$D$403,MATCH(292,$I$4:$I$403,0)),""),IF(CC_Mode="Per loop",IFERROR(INDEX($D$4:$D$403,MATCH(292,$H$4:$H$403,0)),""),IF(CC_Mode="Per unit",IFERROR(INDEX($M$4:$M$15,MATCH(292,$N$4:$N$15,0)),""),IF(292=1,CC_V_GrandVol,""))))</f>
        <v/>
      </c>
      <c r="U295" s="0" t="str">
        <f aca="false">IF(CC_Mode="Per equipment",IFERROR(INDEX($E$4:$E$403,MATCH(292,$I$4:$I$403,0)),""),IF(CC_Mode="Per loop",IFERROR(INDEX($E$4:$E$403,MATCH(292,$H$4:$H$403,0)),""),IF(CC_Mode="Per unit",IFERROR(INDEX($L$4:$L$15,MATCH(292,$N$4:$N$15,0)),""),IF(292=1,CC_Net,""))))</f>
        <v/>
      </c>
    </row>
    <row r="296" customFormat="false" ht="15" hidden="false" customHeight="false" outlineLevel="0" collapsed="false">
      <c r="A296" s="0" t="s">
        <v>172</v>
      </c>
      <c r="B296" s="0" t="str">
        <f aca="false">'CC Item Pricing'!C286&amp;IF('CC Item Pricing'!D286="",""," – "&amp;'CC Item Pricing'!D286)</f>
        <v/>
      </c>
      <c r="C296" s="0" t="str">
        <f aca="false">INDEX(CC_UnitNames,'CC Item Pricing'!Y286)</f>
        <v>Unit 9</v>
      </c>
      <c r="D296" s="0" t="n">
        <f aca="false">N('CC Item Pricing'!G286)</f>
        <v>0</v>
      </c>
      <c r="E296" s="98" t="n">
        <f aca="false">'CC Item Pricing'!W286</f>
        <v>0</v>
      </c>
      <c r="F296" s="96" t="n">
        <f aca="false">IF(AND(G296=1,'CC Item Pricing'!B286=""),1,0)</f>
        <v>0</v>
      </c>
      <c r="G296" s="96" t="n">
        <f aca="false">IF(D296&gt;0,1,0)</f>
        <v>0</v>
      </c>
      <c r="H296" s="0" t="str">
        <f aca="false">IF(F296=1,COUNTIF($F$4:F296,1),"")</f>
        <v/>
      </c>
      <c r="I296" s="0" t="str">
        <f aca="false">IF(G296=1,COUNTIF($G$4:G296,1),"")</f>
        <v/>
      </c>
      <c r="R296" s="0" t="str">
        <f aca="false">IF(CC_Mode="Per equipment",IFERROR(INDEX($B$4:$B$403,MATCH(293,$I$4:$I$403,0)),""),IF(CC_Mode="Per loop",IFERROR(INDEX($B$4:$B$403,MATCH(293,$H$4:$H$403,0)),""),IF(CC_Mode="Per unit",IFERROR("Chemical cleaning – "&amp;INDEX($K$4:$K$15,MATCH(293,$N$4:$N$15,0)),""),IF(293=1,"LUMP SUM – "&amp;QProject,""))))</f>
        <v/>
      </c>
      <c r="S296" s="0" t="str">
        <f aca="false">IF(CC_Mode="Per equipment",IFERROR(INDEX($C$4:$C$403,MATCH(293,$I$4:$I$403,0)),""),IF(CC_Mode="Per loop",IFERROR(INDEX($C$4:$C$403,MATCH(293,$H$4:$H$403,0)),""),IF(CC_Mode="Per unit",IFERROR(INDEX($K$4:$K$15,MATCH(293,$N$4:$N$15,0)),""),IF(293=1,"All units",""))))</f>
        <v/>
      </c>
      <c r="T296" s="0" t="str">
        <f aca="false">IF(CC_Mode="Per equipment",IFERROR(INDEX($D$4:$D$403,MATCH(293,$I$4:$I$403,0)),""),IF(CC_Mode="Per loop",IFERROR(INDEX($D$4:$D$403,MATCH(293,$H$4:$H$403,0)),""),IF(CC_Mode="Per unit",IFERROR(INDEX($M$4:$M$15,MATCH(293,$N$4:$N$15,0)),""),IF(293=1,CC_V_GrandVol,""))))</f>
        <v/>
      </c>
      <c r="U296" s="0" t="str">
        <f aca="false">IF(CC_Mode="Per equipment",IFERROR(INDEX($E$4:$E$403,MATCH(293,$I$4:$I$403,0)),""),IF(CC_Mode="Per loop",IFERROR(INDEX($E$4:$E$403,MATCH(293,$H$4:$H$403,0)),""),IF(CC_Mode="Per unit",IFERROR(INDEX($L$4:$L$15,MATCH(293,$N$4:$N$15,0)),""),IF(293=1,CC_Net,""))))</f>
        <v/>
      </c>
    </row>
    <row r="297" customFormat="false" ht="15" hidden="false" customHeight="false" outlineLevel="0" collapsed="false">
      <c r="A297" s="0" t="s">
        <v>172</v>
      </c>
      <c r="B297" s="0" t="str">
        <f aca="false">'CC Item Pricing'!C287&amp;IF('CC Item Pricing'!D287="",""," – "&amp;'CC Item Pricing'!D287)</f>
        <v/>
      </c>
      <c r="C297" s="0" t="str">
        <f aca="false">INDEX(CC_UnitNames,'CC Item Pricing'!Y287)</f>
        <v>Unit 9</v>
      </c>
      <c r="D297" s="0" t="n">
        <f aca="false">N('CC Item Pricing'!G287)</f>
        <v>0</v>
      </c>
      <c r="E297" s="98" t="n">
        <f aca="false">'CC Item Pricing'!W287</f>
        <v>0</v>
      </c>
      <c r="F297" s="96" t="n">
        <f aca="false">IF(AND(G297=1,'CC Item Pricing'!B287=""),1,0)</f>
        <v>0</v>
      </c>
      <c r="G297" s="96" t="n">
        <f aca="false">IF(D297&gt;0,1,0)</f>
        <v>0</v>
      </c>
      <c r="H297" s="0" t="str">
        <f aca="false">IF(F297=1,COUNTIF($F$4:F297,1),"")</f>
        <v/>
      </c>
      <c r="I297" s="0" t="str">
        <f aca="false">IF(G297=1,COUNTIF($G$4:G297,1),"")</f>
        <v/>
      </c>
      <c r="R297" s="0" t="str">
        <f aca="false">IF(CC_Mode="Per equipment",IFERROR(INDEX($B$4:$B$403,MATCH(294,$I$4:$I$403,0)),""),IF(CC_Mode="Per loop",IFERROR(INDEX($B$4:$B$403,MATCH(294,$H$4:$H$403,0)),""),IF(CC_Mode="Per unit",IFERROR("Chemical cleaning – "&amp;INDEX($K$4:$K$15,MATCH(294,$N$4:$N$15,0)),""),IF(294=1,"LUMP SUM – "&amp;QProject,""))))</f>
        <v/>
      </c>
      <c r="S297" s="0" t="str">
        <f aca="false">IF(CC_Mode="Per equipment",IFERROR(INDEX($C$4:$C$403,MATCH(294,$I$4:$I$403,0)),""),IF(CC_Mode="Per loop",IFERROR(INDEX($C$4:$C$403,MATCH(294,$H$4:$H$403,0)),""),IF(CC_Mode="Per unit",IFERROR(INDEX($K$4:$K$15,MATCH(294,$N$4:$N$15,0)),""),IF(294=1,"All units",""))))</f>
        <v/>
      </c>
      <c r="T297" s="0" t="str">
        <f aca="false">IF(CC_Mode="Per equipment",IFERROR(INDEX($D$4:$D$403,MATCH(294,$I$4:$I$403,0)),""),IF(CC_Mode="Per loop",IFERROR(INDEX($D$4:$D$403,MATCH(294,$H$4:$H$403,0)),""),IF(CC_Mode="Per unit",IFERROR(INDEX($M$4:$M$15,MATCH(294,$N$4:$N$15,0)),""),IF(294=1,CC_V_GrandVol,""))))</f>
        <v/>
      </c>
      <c r="U297" s="0" t="str">
        <f aca="false">IF(CC_Mode="Per equipment",IFERROR(INDEX($E$4:$E$403,MATCH(294,$I$4:$I$403,0)),""),IF(CC_Mode="Per loop",IFERROR(INDEX($E$4:$E$403,MATCH(294,$H$4:$H$403,0)),""),IF(CC_Mode="Per unit",IFERROR(INDEX($L$4:$L$15,MATCH(294,$N$4:$N$15,0)),""),IF(294=1,CC_Net,""))))</f>
        <v/>
      </c>
    </row>
    <row r="298" customFormat="false" ht="15" hidden="false" customHeight="false" outlineLevel="0" collapsed="false">
      <c r="A298" s="0" t="s">
        <v>172</v>
      </c>
      <c r="B298" s="0" t="str">
        <f aca="false">'CC Item Pricing'!C288&amp;IF('CC Item Pricing'!D288="",""," – "&amp;'CC Item Pricing'!D288)</f>
        <v/>
      </c>
      <c r="C298" s="0" t="str">
        <f aca="false">INDEX(CC_UnitNames,'CC Item Pricing'!Y288)</f>
        <v>Unit 9</v>
      </c>
      <c r="D298" s="0" t="n">
        <f aca="false">N('CC Item Pricing'!G288)</f>
        <v>0</v>
      </c>
      <c r="E298" s="98" t="n">
        <f aca="false">'CC Item Pricing'!W288</f>
        <v>0</v>
      </c>
      <c r="F298" s="96" t="n">
        <f aca="false">IF(AND(G298=1,'CC Item Pricing'!B288=""),1,0)</f>
        <v>0</v>
      </c>
      <c r="G298" s="96" t="n">
        <f aca="false">IF(D298&gt;0,1,0)</f>
        <v>0</v>
      </c>
      <c r="H298" s="0" t="str">
        <f aca="false">IF(F298=1,COUNTIF($F$4:F298,1),"")</f>
        <v/>
      </c>
      <c r="I298" s="0" t="str">
        <f aca="false">IF(G298=1,COUNTIF($G$4:G298,1),"")</f>
        <v/>
      </c>
      <c r="R298" s="0" t="str">
        <f aca="false">IF(CC_Mode="Per equipment",IFERROR(INDEX($B$4:$B$403,MATCH(295,$I$4:$I$403,0)),""),IF(CC_Mode="Per loop",IFERROR(INDEX($B$4:$B$403,MATCH(295,$H$4:$H$403,0)),""),IF(CC_Mode="Per unit",IFERROR("Chemical cleaning – "&amp;INDEX($K$4:$K$15,MATCH(295,$N$4:$N$15,0)),""),IF(295=1,"LUMP SUM – "&amp;QProject,""))))</f>
        <v/>
      </c>
      <c r="S298" s="0" t="str">
        <f aca="false">IF(CC_Mode="Per equipment",IFERROR(INDEX($C$4:$C$403,MATCH(295,$I$4:$I$403,0)),""),IF(CC_Mode="Per loop",IFERROR(INDEX($C$4:$C$403,MATCH(295,$H$4:$H$403,0)),""),IF(CC_Mode="Per unit",IFERROR(INDEX($K$4:$K$15,MATCH(295,$N$4:$N$15,0)),""),IF(295=1,"All units",""))))</f>
        <v/>
      </c>
      <c r="T298" s="0" t="str">
        <f aca="false">IF(CC_Mode="Per equipment",IFERROR(INDEX($D$4:$D$403,MATCH(295,$I$4:$I$403,0)),""),IF(CC_Mode="Per loop",IFERROR(INDEX($D$4:$D$403,MATCH(295,$H$4:$H$403,0)),""),IF(CC_Mode="Per unit",IFERROR(INDEX($M$4:$M$15,MATCH(295,$N$4:$N$15,0)),""),IF(295=1,CC_V_GrandVol,""))))</f>
        <v/>
      </c>
      <c r="U298" s="0" t="str">
        <f aca="false">IF(CC_Mode="Per equipment",IFERROR(INDEX($E$4:$E$403,MATCH(295,$I$4:$I$403,0)),""),IF(CC_Mode="Per loop",IFERROR(INDEX($E$4:$E$403,MATCH(295,$H$4:$H$403,0)),""),IF(CC_Mode="Per unit",IFERROR(INDEX($L$4:$L$15,MATCH(295,$N$4:$N$15,0)),""),IF(295=1,CC_Net,""))))</f>
        <v/>
      </c>
    </row>
    <row r="299" customFormat="false" ht="15" hidden="false" customHeight="false" outlineLevel="0" collapsed="false">
      <c r="A299" s="0" t="s">
        <v>172</v>
      </c>
      <c r="B299" s="0" t="str">
        <f aca="false">'CC Item Pricing'!C289&amp;IF('CC Item Pricing'!D289="",""," – "&amp;'CC Item Pricing'!D289)</f>
        <v/>
      </c>
      <c r="C299" s="0" t="str">
        <f aca="false">INDEX(CC_UnitNames,'CC Item Pricing'!Y289)</f>
        <v>Unit 9</v>
      </c>
      <c r="D299" s="0" t="n">
        <f aca="false">N('CC Item Pricing'!G289)</f>
        <v>0</v>
      </c>
      <c r="E299" s="98" t="n">
        <f aca="false">'CC Item Pricing'!W289</f>
        <v>0</v>
      </c>
      <c r="F299" s="96" t="n">
        <f aca="false">IF(AND(G299=1,'CC Item Pricing'!B289=""),1,0)</f>
        <v>0</v>
      </c>
      <c r="G299" s="96" t="n">
        <f aca="false">IF(D299&gt;0,1,0)</f>
        <v>0</v>
      </c>
      <c r="H299" s="0" t="str">
        <f aca="false">IF(F299=1,COUNTIF($F$4:F299,1),"")</f>
        <v/>
      </c>
      <c r="I299" s="0" t="str">
        <f aca="false">IF(G299=1,COUNTIF($G$4:G299,1),"")</f>
        <v/>
      </c>
      <c r="R299" s="0" t="str">
        <f aca="false">IF(CC_Mode="Per equipment",IFERROR(INDEX($B$4:$B$403,MATCH(296,$I$4:$I$403,0)),""),IF(CC_Mode="Per loop",IFERROR(INDEX($B$4:$B$403,MATCH(296,$H$4:$H$403,0)),""),IF(CC_Mode="Per unit",IFERROR("Chemical cleaning – "&amp;INDEX($K$4:$K$15,MATCH(296,$N$4:$N$15,0)),""),IF(296=1,"LUMP SUM – "&amp;QProject,""))))</f>
        <v/>
      </c>
      <c r="S299" s="0" t="str">
        <f aca="false">IF(CC_Mode="Per equipment",IFERROR(INDEX($C$4:$C$403,MATCH(296,$I$4:$I$403,0)),""),IF(CC_Mode="Per loop",IFERROR(INDEX($C$4:$C$403,MATCH(296,$H$4:$H$403,0)),""),IF(CC_Mode="Per unit",IFERROR(INDEX($K$4:$K$15,MATCH(296,$N$4:$N$15,0)),""),IF(296=1,"All units",""))))</f>
        <v/>
      </c>
      <c r="T299" s="0" t="str">
        <f aca="false">IF(CC_Mode="Per equipment",IFERROR(INDEX($D$4:$D$403,MATCH(296,$I$4:$I$403,0)),""),IF(CC_Mode="Per loop",IFERROR(INDEX($D$4:$D$403,MATCH(296,$H$4:$H$403,0)),""),IF(CC_Mode="Per unit",IFERROR(INDEX($M$4:$M$15,MATCH(296,$N$4:$N$15,0)),""),IF(296=1,CC_V_GrandVol,""))))</f>
        <v/>
      </c>
      <c r="U299" s="0" t="str">
        <f aca="false">IF(CC_Mode="Per equipment",IFERROR(INDEX($E$4:$E$403,MATCH(296,$I$4:$I$403,0)),""),IF(CC_Mode="Per loop",IFERROR(INDEX($E$4:$E$403,MATCH(296,$H$4:$H$403,0)),""),IF(CC_Mode="Per unit",IFERROR(INDEX($L$4:$L$15,MATCH(296,$N$4:$N$15,0)),""),IF(296=1,CC_Net,""))))</f>
        <v/>
      </c>
    </row>
    <row r="300" customFormat="false" ht="15" hidden="false" customHeight="false" outlineLevel="0" collapsed="false">
      <c r="A300" s="0" t="s">
        <v>172</v>
      </c>
      <c r="B300" s="0" t="str">
        <f aca="false">'CC Item Pricing'!C290&amp;IF('CC Item Pricing'!D290="",""," – "&amp;'CC Item Pricing'!D290)</f>
        <v/>
      </c>
      <c r="C300" s="0" t="str">
        <f aca="false">INDEX(CC_UnitNames,'CC Item Pricing'!Y290)</f>
        <v>Unit 9</v>
      </c>
      <c r="D300" s="0" t="n">
        <f aca="false">N('CC Item Pricing'!G290)</f>
        <v>0</v>
      </c>
      <c r="E300" s="98" t="n">
        <f aca="false">'CC Item Pricing'!W290</f>
        <v>0</v>
      </c>
      <c r="F300" s="96" t="n">
        <f aca="false">IF(AND(G300=1,'CC Item Pricing'!B290=""),1,0)</f>
        <v>0</v>
      </c>
      <c r="G300" s="96" t="n">
        <f aca="false">IF(D300&gt;0,1,0)</f>
        <v>0</v>
      </c>
      <c r="H300" s="0" t="str">
        <f aca="false">IF(F300=1,COUNTIF($F$4:F300,1),"")</f>
        <v/>
      </c>
      <c r="I300" s="0" t="str">
        <f aca="false">IF(G300=1,COUNTIF($G$4:G300,1),"")</f>
        <v/>
      </c>
      <c r="R300" s="0" t="str">
        <f aca="false">IF(CC_Mode="Per equipment",IFERROR(INDEX($B$4:$B$403,MATCH(297,$I$4:$I$403,0)),""),IF(CC_Mode="Per loop",IFERROR(INDEX($B$4:$B$403,MATCH(297,$H$4:$H$403,0)),""),IF(CC_Mode="Per unit",IFERROR("Chemical cleaning – "&amp;INDEX($K$4:$K$15,MATCH(297,$N$4:$N$15,0)),""),IF(297=1,"LUMP SUM – "&amp;QProject,""))))</f>
        <v/>
      </c>
      <c r="S300" s="0" t="str">
        <f aca="false">IF(CC_Mode="Per equipment",IFERROR(INDEX($C$4:$C$403,MATCH(297,$I$4:$I$403,0)),""),IF(CC_Mode="Per loop",IFERROR(INDEX($C$4:$C$403,MATCH(297,$H$4:$H$403,0)),""),IF(CC_Mode="Per unit",IFERROR(INDEX($K$4:$K$15,MATCH(297,$N$4:$N$15,0)),""),IF(297=1,"All units",""))))</f>
        <v/>
      </c>
      <c r="T300" s="0" t="str">
        <f aca="false">IF(CC_Mode="Per equipment",IFERROR(INDEX($D$4:$D$403,MATCH(297,$I$4:$I$403,0)),""),IF(CC_Mode="Per loop",IFERROR(INDEX($D$4:$D$403,MATCH(297,$H$4:$H$403,0)),""),IF(CC_Mode="Per unit",IFERROR(INDEX($M$4:$M$15,MATCH(297,$N$4:$N$15,0)),""),IF(297=1,CC_V_GrandVol,""))))</f>
        <v/>
      </c>
      <c r="U300" s="0" t="str">
        <f aca="false">IF(CC_Mode="Per equipment",IFERROR(INDEX($E$4:$E$403,MATCH(297,$I$4:$I$403,0)),""),IF(CC_Mode="Per loop",IFERROR(INDEX($E$4:$E$403,MATCH(297,$H$4:$H$403,0)),""),IF(CC_Mode="Per unit",IFERROR(INDEX($L$4:$L$15,MATCH(297,$N$4:$N$15,0)),""),IF(297=1,CC_Net,""))))</f>
        <v/>
      </c>
    </row>
    <row r="301" customFormat="false" ht="15" hidden="false" customHeight="false" outlineLevel="0" collapsed="false">
      <c r="A301" s="0" t="s">
        <v>172</v>
      </c>
      <c r="B301" s="0" t="str">
        <f aca="false">'CC Item Pricing'!C291&amp;IF('CC Item Pricing'!D291="",""," – "&amp;'CC Item Pricing'!D291)</f>
        <v/>
      </c>
      <c r="C301" s="0" t="str">
        <f aca="false">INDEX(CC_UnitNames,'CC Item Pricing'!Y291)</f>
        <v>Unit 9</v>
      </c>
      <c r="D301" s="0" t="n">
        <f aca="false">N('CC Item Pricing'!G291)</f>
        <v>0</v>
      </c>
      <c r="E301" s="98" t="n">
        <f aca="false">'CC Item Pricing'!W291</f>
        <v>0</v>
      </c>
      <c r="F301" s="96" t="n">
        <f aca="false">IF(AND(G301=1,'CC Item Pricing'!B291=""),1,0)</f>
        <v>0</v>
      </c>
      <c r="G301" s="96" t="n">
        <f aca="false">IF(D301&gt;0,1,0)</f>
        <v>0</v>
      </c>
      <c r="H301" s="0" t="str">
        <f aca="false">IF(F301=1,COUNTIF($F$4:F301,1),"")</f>
        <v/>
      </c>
      <c r="I301" s="0" t="str">
        <f aca="false">IF(G301=1,COUNTIF($G$4:G301,1),"")</f>
        <v/>
      </c>
      <c r="R301" s="0" t="str">
        <f aca="false">IF(CC_Mode="Per equipment",IFERROR(INDEX($B$4:$B$403,MATCH(298,$I$4:$I$403,0)),""),IF(CC_Mode="Per loop",IFERROR(INDEX($B$4:$B$403,MATCH(298,$H$4:$H$403,0)),""),IF(CC_Mode="Per unit",IFERROR("Chemical cleaning – "&amp;INDEX($K$4:$K$15,MATCH(298,$N$4:$N$15,0)),""),IF(298=1,"LUMP SUM – "&amp;QProject,""))))</f>
        <v/>
      </c>
      <c r="S301" s="0" t="str">
        <f aca="false">IF(CC_Mode="Per equipment",IFERROR(INDEX($C$4:$C$403,MATCH(298,$I$4:$I$403,0)),""),IF(CC_Mode="Per loop",IFERROR(INDEX($C$4:$C$403,MATCH(298,$H$4:$H$403,0)),""),IF(CC_Mode="Per unit",IFERROR(INDEX($K$4:$K$15,MATCH(298,$N$4:$N$15,0)),""),IF(298=1,"All units",""))))</f>
        <v/>
      </c>
      <c r="T301" s="0" t="str">
        <f aca="false">IF(CC_Mode="Per equipment",IFERROR(INDEX($D$4:$D$403,MATCH(298,$I$4:$I$403,0)),""),IF(CC_Mode="Per loop",IFERROR(INDEX($D$4:$D$403,MATCH(298,$H$4:$H$403,0)),""),IF(CC_Mode="Per unit",IFERROR(INDEX($M$4:$M$15,MATCH(298,$N$4:$N$15,0)),""),IF(298=1,CC_V_GrandVol,""))))</f>
        <v/>
      </c>
      <c r="U301" s="0" t="str">
        <f aca="false">IF(CC_Mode="Per equipment",IFERROR(INDEX($E$4:$E$403,MATCH(298,$I$4:$I$403,0)),""),IF(CC_Mode="Per loop",IFERROR(INDEX($E$4:$E$403,MATCH(298,$H$4:$H$403,0)),""),IF(CC_Mode="Per unit",IFERROR(INDEX($L$4:$L$15,MATCH(298,$N$4:$N$15,0)),""),IF(298=1,CC_Net,""))))</f>
        <v/>
      </c>
    </row>
    <row r="302" customFormat="false" ht="15" hidden="false" customHeight="false" outlineLevel="0" collapsed="false">
      <c r="A302" s="0" t="s">
        <v>172</v>
      </c>
      <c r="B302" s="0" t="str">
        <f aca="false">'CC Item Pricing'!C292&amp;IF('CC Item Pricing'!D292="",""," – "&amp;'CC Item Pricing'!D292)</f>
        <v/>
      </c>
      <c r="C302" s="0" t="str">
        <f aca="false">INDEX(CC_UnitNames,'CC Item Pricing'!Y292)</f>
        <v>Unit 9</v>
      </c>
      <c r="D302" s="0" t="n">
        <f aca="false">N('CC Item Pricing'!G292)</f>
        <v>0</v>
      </c>
      <c r="E302" s="98" t="n">
        <f aca="false">'CC Item Pricing'!W292</f>
        <v>0</v>
      </c>
      <c r="F302" s="96" t="n">
        <f aca="false">IF(AND(G302=1,'CC Item Pricing'!B292=""),1,0)</f>
        <v>0</v>
      </c>
      <c r="G302" s="96" t="n">
        <f aca="false">IF(D302&gt;0,1,0)</f>
        <v>0</v>
      </c>
      <c r="H302" s="0" t="str">
        <f aca="false">IF(F302=1,COUNTIF($F$4:F302,1),"")</f>
        <v/>
      </c>
      <c r="I302" s="0" t="str">
        <f aca="false">IF(G302=1,COUNTIF($G$4:G302,1),"")</f>
        <v/>
      </c>
      <c r="R302" s="0" t="str">
        <f aca="false">IF(CC_Mode="Per equipment",IFERROR(INDEX($B$4:$B$403,MATCH(299,$I$4:$I$403,0)),""),IF(CC_Mode="Per loop",IFERROR(INDEX($B$4:$B$403,MATCH(299,$H$4:$H$403,0)),""),IF(CC_Mode="Per unit",IFERROR("Chemical cleaning – "&amp;INDEX($K$4:$K$15,MATCH(299,$N$4:$N$15,0)),""),IF(299=1,"LUMP SUM – "&amp;QProject,""))))</f>
        <v/>
      </c>
      <c r="S302" s="0" t="str">
        <f aca="false">IF(CC_Mode="Per equipment",IFERROR(INDEX($C$4:$C$403,MATCH(299,$I$4:$I$403,0)),""),IF(CC_Mode="Per loop",IFERROR(INDEX($C$4:$C$403,MATCH(299,$H$4:$H$403,0)),""),IF(CC_Mode="Per unit",IFERROR(INDEX($K$4:$K$15,MATCH(299,$N$4:$N$15,0)),""),IF(299=1,"All units",""))))</f>
        <v/>
      </c>
      <c r="T302" s="0" t="str">
        <f aca="false">IF(CC_Mode="Per equipment",IFERROR(INDEX($D$4:$D$403,MATCH(299,$I$4:$I$403,0)),""),IF(CC_Mode="Per loop",IFERROR(INDEX($D$4:$D$403,MATCH(299,$H$4:$H$403,0)),""),IF(CC_Mode="Per unit",IFERROR(INDEX($M$4:$M$15,MATCH(299,$N$4:$N$15,0)),""),IF(299=1,CC_V_GrandVol,""))))</f>
        <v/>
      </c>
      <c r="U302" s="0" t="str">
        <f aca="false">IF(CC_Mode="Per equipment",IFERROR(INDEX($E$4:$E$403,MATCH(299,$I$4:$I$403,0)),""),IF(CC_Mode="Per loop",IFERROR(INDEX($E$4:$E$403,MATCH(299,$H$4:$H$403,0)),""),IF(CC_Mode="Per unit",IFERROR(INDEX($L$4:$L$15,MATCH(299,$N$4:$N$15,0)),""),IF(299=1,CC_Net,""))))</f>
        <v/>
      </c>
    </row>
    <row r="303" customFormat="false" ht="15" hidden="false" customHeight="false" outlineLevel="0" collapsed="false">
      <c r="A303" s="0" t="s">
        <v>172</v>
      </c>
      <c r="B303" s="0" t="str">
        <f aca="false">'CC Item Pricing'!C293&amp;IF('CC Item Pricing'!D293="",""," – "&amp;'CC Item Pricing'!D293)</f>
        <v/>
      </c>
      <c r="C303" s="0" t="str">
        <f aca="false">INDEX(CC_UnitNames,'CC Item Pricing'!Y293)</f>
        <v>Unit 9</v>
      </c>
      <c r="D303" s="0" t="n">
        <f aca="false">N('CC Item Pricing'!G293)</f>
        <v>0</v>
      </c>
      <c r="E303" s="98" t="n">
        <f aca="false">'CC Item Pricing'!W293</f>
        <v>0</v>
      </c>
      <c r="F303" s="96" t="n">
        <f aca="false">IF(AND(G303=1,'CC Item Pricing'!B293=""),1,0)</f>
        <v>0</v>
      </c>
      <c r="G303" s="96" t="n">
        <f aca="false">IF(D303&gt;0,1,0)</f>
        <v>0</v>
      </c>
      <c r="H303" s="0" t="str">
        <f aca="false">IF(F303=1,COUNTIF($F$4:F303,1),"")</f>
        <v/>
      </c>
      <c r="I303" s="0" t="str">
        <f aca="false">IF(G303=1,COUNTIF($G$4:G303,1),"")</f>
        <v/>
      </c>
      <c r="R303" s="0" t="str">
        <f aca="false">IF(CC_Mode="Per equipment",IFERROR(INDEX($B$4:$B$403,MATCH(300,$I$4:$I$403,0)),""),IF(CC_Mode="Per loop",IFERROR(INDEX($B$4:$B$403,MATCH(300,$H$4:$H$403,0)),""),IF(CC_Mode="Per unit",IFERROR("Chemical cleaning – "&amp;INDEX($K$4:$K$15,MATCH(300,$N$4:$N$15,0)),""),IF(300=1,"LUMP SUM – "&amp;QProject,""))))</f>
        <v/>
      </c>
      <c r="S303" s="0" t="str">
        <f aca="false">IF(CC_Mode="Per equipment",IFERROR(INDEX($C$4:$C$403,MATCH(300,$I$4:$I$403,0)),""),IF(CC_Mode="Per loop",IFERROR(INDEX($C$4:$C$403,MATCH(300,$H$4:$H$403,0)),""),IF(CC_Mode="Per unit",IFERROR(INDEX($K$4:$K$15,MATCH(300,$N$4:$N$15,0)),""),IF(300=1,"All units",""))))</f>
        <v/>
      </c>
      <c r="T303" s="0" t="str">
        <f aca="false">IF(CC_Mode="Per equipment",IFERROR(INDEX($D$4:$D$403,MATCH(300,$I$4:$I$403,0)),""),IF(CC_Mode="Per loop",IFERROR(INDEX($D$4:$D$403,MATCH(300,$H$4:$H$403,0)),""),IF(CC_Mode="Per unit",IFERROR(INDEX($M$4:$M$15,MATCH(300,$N$4:$N$15,0)),""),IF(300=1,CC_V_GrandVol,""))))</f>
        <v/>
      </c>
      <c r="U303" s="0" t="str">
        <f aca="false">IF(CC_Mode="Per equipment",IFERROR(INDEX($E$4:$E$403,MATCH(300,$I$4:$I$403,0)),""),IF(CC_Mode="Per loop",IFERROR(INDEX($E$4:$E$403,MATCH(300,$H$4:$H$403,0)),""),IF(CC_Mode="Per unit",IFERROR(INDEX($L$4:$L$15,MATCH(300,$N$4:$N$15,0)),""),IF(300=1,CC_Net,""))))</f>
        <v/>
      </c>
    </row>
    <row r="304" customFormat="false" ht="15" hidden="false" customHeight="false" outlineLevel="0" collapsed="false">
      <c r="A304" s="0" t="s">
        <v>172</v>
      </c>
      <c r="B304" s="0" t="str">
        <f aca="false">'CC Item Pricing'!C294&amp;IF('CC Item Pricing'!D294="",""," – "&amp;'CC Item Pricing'!D294)</f>
        <v/>
      </c>
      <c r="C304" s="0" t="str">
        <f aca="false">INDEX(CC_UnitNames,'CC Item Pricing'!Y294)</f>
        <v>Unit 9</v>
      </c>
      <c r="D304" s="0" t="n">
        <f aca="false">N('CC Item Pricing'!G294)</f>
        <v>0</v>
      </c>
      <c r="E304" s="98" t="n">
        <f aca="false">'CC Item Pricing'!W294</f>
        <v>0</v>
      </c>
      <c r="F304" s="96" t="n">
        <f aca="false">IF(AND(G304=1,'CC Item Pricing'!B294=""),1,0)</f>
        <v>0</v>
      </c>
      <c r="G304" s="96" t="n">
        <f aca="false">IF(D304&gt;0,1,0)</f>
        <v>0</v>
      </c>
      <c r="H304" s="0" t="str">
        <f aca="false">IF(F304=1,COUNTIF($F$4:F304,1),"")</f>
        <v/>
      </c>
      <c r="I304" s="0" t="str">
        <f aca="false">IF(G304=1,COUNTIF($G$4:G304,1),"")</f>
        <v/>
      </c>
      <c r="R304" s="0" t="str">
        <f aca="false">IF(CC_Mode="Per equipment",IFERROR(INDEX($B$4:$B$403,MATCH(301,$I$4:$I$403,0)),""),IF(CC_Mode="Per loop",IFERROR(INDEX($B$4:$B$403,MATCH(301,$H$4:$H$403,0)),""),IF(CC_Mode="Per unit",IFERROR("Chemical cleaning – "&amp;INDEX($K$4:$K$15,MATCH(301,$N$4:$N$15,0)),""),IF(301=1,"LUMP SUM – "&amp;QProject,""))))</f>
        <v/>
      </c>
      <c r="S304" s="0" t="str">
        <f aca="false">IF(CC_Mode="Per equipment",IFERROR(INDEX($C$4:$C$403,MATCH(301,$I$4:$I$403,0)),""),IF(CC_Mode="Per loop",IFERROR(INDEX($C$4:$C$403,MATCH(301,$H$4:$H$403,0)),""),IF(CC_Mode="Per unit",IFERROR(INDEX($K$4:$K$15,MATCH(301,$N$4:$N$15,0)),""),IF(301=1,"All units",""))))</f>
        <v/>
      </c>
      <c r="T304" s="0" t="str">
        <f aca="false">IF(CC_Mode="Per equipment",IFERROR(INDEX($D$4:$D$403,MATCH(301,$I$4:$I$403,0)),""),IF(CC_Mode="Per loop",IFERROR(INDEX($D$4:$D$403,MATCH(301,$H$4:$H$403,0)),""),IF(CC_Mode="Per unit",IFERROR(INDEX($M$4:$M$15,MATCH(301,$N$4:$N$15,0)),""),IF(301=1,CC_V_GrandVol,""))))</f>
        <v/>
      </c>
      <c r="U304" s="0" t="str">
        <f aca="false">IF(CC_Mode="Per equipment",IFERROR(INDEX($E$4:$E$403,MATCH(301,$I$4:$I$403,0)),""),IF(CC_Mode="Per loop",IFERROR(INDEX($E$4:$E$403,MATCH(301,$H$4:$H$403,0)),""),IF(CC_Mode="Per unit",IFERROR(INDEX($L$4:$L$15,MATCH(301,$N$4:$N$15,0)),""),IF(301=1,CC_Net,""))))</f>
        <v/>
      </c>
    </row>
    <row r="305" customFormat="false" ht="15" hidden="false" customHeight="false" outlineLevel="0" collapsed="false">
      <c r="A305" s="0" t="s">
        <v>172</v>
      </c>
      <c r="B305" s="0" t="str">
        <f aca="false">'CC Item Pricing'!C295&amp;IF('CC Item Pricing'!D295="",""," – "&amp;'CC Item Pricing'!D295)</f>
        <v/>
      </c>
      <c r="C305" s="0" t="str">
        <f aca="false">INDEX(CC_UnitNames,'CC Item Pricing'!Y295)</f>
        <v>Unit 9</v>
      </c>
      <c r="D305" s="0" t="n">
        <f aca="false">N('CC Item Pricing'!G295)</f>
        <v>0</v>
      </c>
      <c r="E305" s="98" t="n">
        <f aca="false">'CC Item Pricing'!W295</f>
        <v>0</v>
      </c>
      <c r="F305" s="96" t="n">
        <f aca="false">IF(AND(G305=1,'CC Item Pricing'!B295=""),1,0)</f>
        <v>0</v>
      </c>
      <c r="G305" s="96" t="n">
        <f aca="false">IF(D305&gt;0,1,0)</f>
        <v>0</v>
      </c>
      <c r="H305" s="0" t="str">
        <f aca="false">IF(F305=1,COUNTIF($F$4:F305,1),"")</f>
        <v/>
      </c>
      <c r="I305" s="0" t="str">
        <f aca="false">IF(G305=1,COUNTIF($G$4:G305,1),"")</f>
        <v/>
      </c>
      <c r="R305" s="0" t="str">
        <f aca="false">IF(CC_Mode="Per equipment",IFERROR(INDEX($B$4:$B$403,MATCH(302,$I$4:$I$403,0)),""),IF(CC_Mode="Per loop",IFERROR(INDEX($B$4:$B$403,MATCH(302,$H$4:$H$403,0)),""),IF(CC_Mode="Per unit",IFERROR("Chemical cleaning – "&amp;INDEX($K$4:$K$15,MATCH(302,$N$4:$N$15,0)),""),IF(302=1,"LUMP SUM – "&amp;QProject,""))))</f>
        <v/>
      </c>
      <c r="S305" s="0" t="str">
        <f aca="false">IF(CC_Mode="Per equipment",IFERROR(INDEX($C$4:$C$403,MATCH(302,$I$4:$I$403,0)),""),IF(CC_Mode="Per loop",IFERROR(INDEX($C$4:$C$403,MATCH(302,$H$4:$H$403,0)),""),IF(CC_Mode="Per unit",IFERROR(INDEX($K$4:$K$15,MATCH(302,$N$4:$N$15,0)),""),IF(302=1,"All units",""))))</f>
        <v/>
      </c>
      <c r="T305" s="0" t="str">
        <f aca="false">IF(CC_Mode="Per equipment",IFERROR(INDEX($D$4:$D$403,MATCH(302,$I$4:$I$403,0)),""),IF(CC_Mode="Per loop",IFERROR(INDEX($D$4:$D$403,MATCH(302,$H$4:$H$403,0)),""),IF(CC_Mode="Per unit",IFERROR(INDEX($M$4:$M$15,MATCH(302,$N$4:$N$15,0)),""),IF(302=1,CC_V_GrandVol,""))))</f>
        <v/>
      </c>
      <c r="U305" s="0" t="str">
        <f aca="false">IF(CC_Mode="Per equipment",IFERROR(INDEX($E$4:$E$403,MATCH(302,$I$4:$I$403,0)),""),IF(CC_Mode="Per loop",IFERROR(INDEX($E$4:$E$403,MATCH(302,$H$4:$H$403,0)),""),IF(CC_Mode="Per unit",IFERROR(INDEX($L$4:$L$15,MATCH(302,$N$4:$N$15,0)),""),IF(302=1,CC_Net,""))))</f>
        <v/>
      </c>
    </row>
    <row r="306" customFormat="false" ht="15" hidden="false" customHeight="false" outlineLevel="0" collapsed="false">
      <c r="A306" s="0" t="s">
        <v>172</v>
      </c>
      <c r="B306" s="0" t="str">
        <f aca="false">'CC Item Pricing'!C296&amp;IF('CC Item Pricing'!D296="",""," – "&amp;'CC Item Pricing'!D296)</f>
        <v/>
      </c>
      <c r="C306" s="0" t="str">
        <f aca="false">INDEX(CC_UnitNames,'CC Item Pricing'!Y296)</f>
        <v>Unit 9</v>
      </c>
      <c r="D306" s="0" t="n">
        <f aca="false">N('CC Item Pricing'!G296)</f>
        <v>0</v>
      </c>
      <c r="E306" s="98" t="n">
        <f aca="false">'CC Item Pricing'!W296</f>
        <v>0</v>
      </c>
      <c r="F306" s="96" t="n">
        <f aca="false">IF(AND(G306=1,'CC Item Pricing'!B296=""),1,0)</f>
        <v>0</v>
      </c>
      <c r="G306" s="96" t="n">
        <f aca="false">IF(D306&gt;0,1,0)</f>
        <v>0</v>
      </c>
      <c r="H306" s="0" t="str">
        <f aca="false">IF(F306=1,COUNTIF($F$4:F306,1),"")</f>
        <v/>
      </c>
      <c r="I306" s="0" t="str">
        <f aca="false">IF(G306=1,COUNTIF($G$4:G306,1),"")</f>
        <v/>
      </c>
      <c r="R306" s="0" t="str">
        <f aca="false">IF(CC_Mode="Per equipment",IFERROR(INDEX($B$4:$B$403,MATCH(303,$I$4:$I$403,0)),""),IF(CC_Mode="Per loop",IFERROR(INDEX($B$4:$B$403,MATCH(303,$H$4:$H$403,0)),""),IF(CC_Mode="Per unit",IFERROR("Chemical cleaning – "&amp;INDEX($K$4:$K$15,MATCH(303,$N$4:$N$15,0)),""),IF(303=1,"LUMP SUM – "&amp;QProject,""))))</f>
        <v/>
      </c>
      <c r="S306" s="0" t="str">
        <f aca="false">IF(CC_Mode="Per equipment",IFERROR(INDEX($C$4:$C$403,MATCH(303,$I$4:$I$403,0)),""),IF(CC_Mode="Per loop",IFERROR(INDEX($C$4:$C$403,MATCH(303,$H$4:$H$403,0)),""),IF(CC_Mode="Per unit",IFERROR(INDEX($K$4:$K$15,MATCH(303,$N$4:$N$15,0)),""),IF(303=1,"All units",""))))</f>
        <v/>
      </c>
      <c r="T306" s="0" t="str">
        <f aca="false">IF(CC_Mode="Per equipment",IFERROR(INDEX($D$4:$D$403,MATCH(303,$I$4:$I$403,0)),""),IF(CC_Mode="Per loop",IFERROR(INDEX($D$4:$D$403,MATCH(303,$H$4:$H$403,0)),""),IF(CC_Mode="Per unit",IFERROR(INDEX($M$4:$M$15,MATCH(303,$N$4:$N$15,0)),""),IF(303=1,CC_V_GrandVol,""))))</f>
        <v/>
      </c>
      <c r="U306" s="0" t="str">
        <f aca="false">IF(CC_Mode="Per equipment",IFERROR(INDEX($E$4:$E$403,MATCH(303,$I$4:$I$403,0)),""),IF(CC_Mode="Per loop",IFERROR(INDEX($E$4:$E$403,MATCH(303,$H$4:$H$403,0)),""),IF(CC_Mode="Per unit",IFERROR(INDEX($L$4:$L$15,MATCH(303,$N$4:$N$15,0)),""),IF(303=1,CC_Net,""))))</f>
        <v/>
      </c>
    </row>
    <row r="307" customFormat="false" ht="15" hidden="false" customHeight="false" outlineLevel="0" collapsed="false">
      <c r="A307" s="0" t="s">
        <v>172</v>
      </c>
      <c r="B307" s="0" t="str">
        <f aca="false">'CC Item Pricing'!C297&amp;IF('CC Item Pricing'!D297="",""," – "&amp;'CC Item Pricing'!D297)</f>
        <v/>
      </c>
      <c r="C307" s="0" t="str">
        <f aca="false">INDEX(CC_UnitNames,'CC Item Pricing'!Y297)</f>
        <v>Unit 9</v>
      </c>
      <c r="D307" s="0" t="n">
        <f aca="false">N('CC Item Pricing'!G297)</f>
        <v>0</v>
      </c>
      <c r="E307" s="98" t="n">
        <f aca="false">'CC Item Pricing'!W297</f>
        <v>0</v>
      </c>
      <c r="F307" s="96" t="n">
        <f aca="false">IF(AND(G307=1,'CC Item Pricing'!B297=""),1,0)</f>
        <v>0</v>
      </c>
      <c r="G307" s="96" t="n">
        <f aca="false">IF(D307&gt;0,1,0)</f>
        <v>0</v>
      </c>
      <c r="H307" s="0" t="str">
        <f aca="false">IF(F307=1,COUNTIF($F$4:F307,1),"")</f>
        <v/>
      </c>
      <c r="I307" s="0" t="str">
        <f aca="false">IF(G307=1,COUNTIF($G$4:G307,1),"")</f>
        <v/>
      </c>
      <c r="R307" s="0" t="str">
        <f aca="false">IF(CC_Mode="Per equipment",IFERROR(INDEX($B$4:$B$403,MATCH(304,$I$4:$I$403,0)),""),IF(CC_Mode="Per loop",IFERROR(INDEX($B$4:$B$403,MATCH(304,$H$4:$H$403,0)),""),IF(CC_Mode="Per unit",IFERROR("Chemical cleaning – "&amp;INDEX($K$4:$K$15,MATCH(304,$N$4:$N$15,0)),""),IF(304=1,"LUMP SUM – "&amp;QProject,""))))</f>
        <v/>
      </c>
      <c r="S307" s="0" t="str">
        <f aca="false">IF(CC_Mode="Per equipment",IFERROR(INDEX($C$4:$C$403,MATCH(304,$I$4:$I$403,0)),""),IF(CC_Mode="Per loop",IFERROR(INDEX($C$4:$C$403,MATCH(304,$H$4:$H$403,0)),""),IF(CC_Mode="Per unit",IFERROR(INDEX($K$4:$K$15,MATCH(304,$N$4:$N$15,0)),""),IF(304=1,"All units",""))))</f>
        <v/>
      </c>
      <c r="T307" s="0" t="str">
        <f aca="false">IF(CC_Mode="Per equipment",IFERROR(INDEX($D$4:$D$403,MATCH(304,$I$4:$I$403,0)),""),IF(CC_Mode="Per loop",IFERROR(INDEX($D$4:$D$403,MATCH(304,$H$4:$H$403,0)),""),IF(CC_Mode="Per unit",IFERROR(INDEX($M$4:$M$15,MATCH(304,$N$4:$N$15,0)),""),IF(304=1,CC_V_GrandVol,""))))</f>
        <v/>
      </c>
      <c r="U307" s="0" t="str">
        <f aca="false">IF(CC_Mode="Per equipment",IFERROR(INDEX($E$4:$E$403,MATCH(304,$I$4:$I$403,0)),""),IF(CC_Mode="Per loop",IFERROR(INDEX($E$4:$E$403,MATCH(304,$H$4:$H$403,0)),""),IF(CC_Mode="Per unit",IFERROR(INDEX($L$4:$L$15,MATCH(304,$N$4:$N$15,0)),""),IF(304=1,CC_Net,""))))</f>
        <v/>
      </c>
    </row>
    <row r="308" customFormat="false" ht="15" hidden="false" customHeight="false" outlineLevel="0" collapsed="false">
      <c r="A308" s="0" t="s">
        <v>172</v>
      </c>
      <c r="B308" s="0" t="str">
        <f aca="false">'CC Item Pricing'!C298&amp;IF('CC Item Pricing'!D298="",""," – "&amp;'CC Item Pricing'!D298)</f>
        <v/>
      </c>
      <c r="C308" s="0" t="str">
        <f aca="false">INDEX(CC_UnitNames,'CC Item Pricing'!Y298)</f>
        <v>Unit 9</v>
      </c>
      <c r="D308" s="0" t="n">
        <f aca="false">N('CC Item Pricing'!G298)</f>
        <v>0</v>
      </c>
      <c r="E308" s="98" t="n">
        <f aca="false">'CC Item Pricing'!W298</f>
        <v>0</v>
      </c>
      <c r="F308" s="96" t="n">
        <f aca="false">IF(AND(G308=1,'CC Item Pricing'!B298=""),1,0)</f>
        <v>0</v>
      </c>
      <c r="G308" s="96" t="n">
        <f aca="false">IF(D308&gt;0,1,0)</f>
        <v>0</v>
      </c>
      <c r="H308" s="0" t="str">
        <f aca="false">IF(F308=1,COUNTIF($F$4:F308,1),"")</f>
        <v/>
      </c>
      <c r="I308" s="0" t="str">
        <f aca="false">IF(G308=1,COUNTIF($G$4:G308,1),"")</f>
        <v/>
      </c>
      <c r="R308" s="0" t="str">
        <f aca="false">IF(CC_Mode="Per equipment",IFERROR(INDEX($B$4:$B$403,MATCH(305,$I$4:$I$403,0)),""),IF(CC_Mode="Per loop",IFERROR(INDEX($B$4:$B$403,MATCH(305,$H$4:$H$403,0)),""),IF(CC_Mode="Per unit",IFERROR("Chemical cleaning – "&amp;INDEX($K$4:$K$15,MATCH(305,$N$4:$N$15,0)),""),IF(305=1,"LUMP SUM – "&amp;QProject,""))))</f>
        <v/>
      </c>
      <c r="S308" s="0" t="str">
        <f aca="false">IF(CC_Mode="Per equipment",IFERROR(INDEX($C$4:$C$403,MATCH(305,$I$4:$I$403,0)),""),IF(CC_Mode="Per loop",IFERROR(INDEX($C$4:$C$403,MATCH(305,$H$4:$H$403,0)),""),IF(CC_Mode="Per unit",IFERROR(INDEX($K$4:$K$15,MATCH(305,$N$4:$N$15,0)),""),IF(305=1,"All units",""))))</f>
        <v/>
      </c>
      <c r="T308" s="0" t="str">
        <f aca="false">IF(CC_Mode="Per equipment",IFERROR(INDEX($D$4:$D$403,MATCH(305,$I$4:$I$403,0)),""),IF(CC_Mode="Per loop",IFERROR(INDEX($D$4:$D$403,MATCH(305,$H$4:$H$403,0)),""),IF(CC_Mode="Per unit",IFERROR(INDEX($M$4:$M$15,MATCH(305,$N$4:$N$15,0)),""),IF(305=1,CC_V_GrandVol,""))))</f>
        <v/>
      </c>
      <c r="U308" s="0" t="str">
        <f aca="false">IF(CC_Mode="Per equipment",IFERROR(INDEX($E$4:$E$403,MATCH(305,$I$4:$I$403,0)),""),IF(CC_Mode="Per loop",IFERROR(INDEX($E$4:$E$403,MATCH(305,$H$4:$H$403,0)),""),IF(CC_Mode="Per unit",IFERROR(INDEX($L$4:$L$15,MATCH(305,$N$4:$N$15,0)),""),IF(305=1,CC_Net,""))))</f>
        <v/>
      </c>
    </row>
    <row r="309" customFormat="false" ht="15" hidden="false" customHeight="false" outlineLevel="0" collapsed="false">
      <c r="A309" s="0" t="s">
        <v>172</v>
      </c>
      <c r="B309" s="0" t="str">
        <f aca="false">'CC Item Pricing'!C299&amp;IF('CC Item Pricing'!D299="",""," – "&amp;'CC Item Pricing'!D299)</f>
        <v/>
      </c>
      <c r="C309" s="0" t="str">
        <f aca="false">INDEX(CC_UnitNames,'CC Item Pricing'!Y299)</f>
        <v>Unit 9</v>
      </c>
      <c r="D309" s="0" t="n">
        <f aca="false">N('CC Item Pricing'!G299)</f>
        <v>0</v>
      </c>
      <c r="E309" s="98" t="n">
        <f aca="false">'CC Item Pricing'!W299</f>
        <v>0</v>
      </c>
      <c r="F309" s="96" t="n">
        <f aca="false">IF(AND(G309=1,'CC Item Pricing'!B299=""),1,0)</f>
        <v>0</v>
      </c>
      <c r="G309" s="96" t="n">
        <f aca="false">IF(D309&gt;0,1,0)</f>
        <v>0</v>
      </c>
      <c r="H309" s="0" t="str">
        <f aca="false">IF(F309=1,COUNTIF($F$4:F309,1),"")</f>
        <v/>
      </c>
      <c r="I309" s="0" t="str">
        <f aca="false">IF(G309=1,COUNTIF($G$4:G309,1),"")</f>
        <v/>
      </c>
      <c r="R309" s="0" t="str">
        <f aca="false">IF(CC_Mode="Per equipment",IFERROR(INDEX($B$4:$B$403,MATCH(306,$I$4:$I$403,0)),""),IF(CC_Mode="Per loop",IFERROR(INDEX($B$4:$B$403,MATCH(306,$H$4:$H$403,0)),""),IF(CC_Mode="Per unit",IFERROR("Chemical cleaning – "&amp;INDEX($K$4:$K$15,MATCH(306,$N$4:$N$15,0)),""),IF(306=1,"LUMP SUM – "&amp;QProject,""))))</f>
        <v/>
      </c>
      <c r="S309" s="0" t="str">
        <f aca="false">IF(CC_Mode="Per equipment",IFERROR(INDEX($C$4:$C$403,MATCH(306,$I$4:$I$403,0)),""),IF(CC_Mode="Per loop",IFERROR(INDEX($C$4:$C$403,MATCH(306,$H$4:$H$403,0)),""),IF(CC_Mode="Per unit",IFERROR(INDEX($K$4:$K$15,MATCH(306,$N$4:$N$15,0)),""),IF(306=1,"All units",""))))</f>
        <v/>
      </c>
      <c r="T309" s="0" t="str">
        <f aca="false">IF(CC_Mode="Per equipment",IFERROR(INDEX($D$4:$D$403,MATCH(306,$I$4:$I$403,0)),""),IF(CC_Mode="Per loop",IFERROR(INDEX($D$4:$D$403,MATCH(306,$H$4:$H$403,0)),""),IF(CC_Mode="Per unit",IFERROR(INDEX($M$4:$M$15,MATCH(306,$N$4:$N$15,0)),""),IF(306=1,CC_V_GrandVol,""))))</f>
        <v/>
      </c>
      <c r="U309" s="0" t="str">
        <f aca="false">IF(CC_Mode="Per equipment",IFERROR(INDEX($E$4:$E$403,MATCH(306,$I$4:$I$403,0)),""),IF(CC_Mode="Per loop",IFERROR(INDEX($E$4:$E$403,MATCH(306,$H$4:$H$403,0)),""),IF(CC_Mode="Per unit",IFERROR(INDEX($L$4:$L$15,MATCH(306,$N$4:$N$15,0)),""),IF(306=1,CC_Net,""))))</f>
        <v/>
      </c>
    </row>
    <row r="310" customFormat="false" ht="15" hidden="false" customHeight="false" outlineLevel="0" collapsed="false">
      <c r="A310" s="0" t="s">
        <v>172</v>
      </c>
      <c r="B310" s="0" t="str">
        <f aca="false">'CC Item Pricing'!C300&amp;IF('CC Item Pricing'!D300="",""," – "&amp;'CC Item Pricing'!D300)</f>
        <v/>
      </c>
      <c r="C310" s="0" t="str">
        <f aca="false">INDEX(CC_UnitNames,'CC Item Pricing'!Y300)</f>
        <v>Unit 9</v>
      </c>
      <c r="D310" s="0" t="n">
        <f aca="false">N('CC Item Pricing'!G300)</f>
        <v>0</v>
      </c>
      <c r="E310" s="98" t="n">
        <f aca="false">'CC Item Pricing'!W300</f>
        <v>0</v>
      </c>
      <c r="F310" s="96" t="n">
        <f aca="false">IF(AND(G310=1,'CC Item Pricing'!B300=""),1,0)</f>
        <v>0</v>
      </c>
      <c r="G310" s="96" t="n">
        <f aca="false">IF(D310&gt;0,1,0)</f>
        <v>0</v>
      </c>
      <c r="H310" s="0" t="str">
        <f aca="false">IF(F310=1,COUNTIF($F$4:F310,1),"")</f>
        <v/>
      </c>
      <c r="I310" s="0" t="str">
        <f aca="false">IF(G310=1,COUNTIF($G$4:G310,1),"")</f>
        <v/>
      </c>
      <c r="R310" s="0" t="str">
        <f aca="false">IF(CC_Mode="Per equipment",IFERROR(INDEX($B$4:$B$403,MATCH(307,$I$4:$I$403,0)),""),IF(CC_Mode="Per loop",IFERROR(INDEX($B$4:$B$403,MATCH(307,$H$4:$H$403,0)),""),IF(CC_Mode="Per unit",IFERROR("Chemical cleaning – "&amp;INDEX($K$4:$K$15,MATCH(307,$N$4:$N$15,0)),""),IF(307=1,"LUMP SUM – "&amp;QProject,""))))</f>
        <v/>
      </c>
      <c r="S310" s="0" t="str">
        <f aca="false">IF(CC_Mode="Per equipment",IFERROR(INDEX($C$4:$C$403,MATCH(307,$I$4:$I$403,0)),""),IF(CC_Mode="Per loop",IFERROR(INDEX($C$4:$C$403,MATCH(307,$H$4:$H$403,0)),""),IF(CC_Mode="Per unit",IFERROR(INDEX($K$4:$K$15,MATCH(307,$N$4:$N$15,0)),""),IF(307=1,"All units",""))))</f>
        <v/>
      </c>
      <c r="T310" s="0" t="str">
        <f aca="false">IF(CC_Mode="Per equipment",IFERROR(INDEX($D$4:$D$403,MATCH(307,$I$4:$I$403,0)),""),IF(CC_Mode="Per loop",IFERROR(INDEX($D$4:$D$403,MATCH(307,$H$4:$H$403,0)),""),IF(CC_Mode="Per unit",IFERROR(INDEX($M$4:$M$15,MATCH(307,$N$4:$N$15,0)),""),IF(307=1,CC_V_GrandVol,""))))</f>
        <v/>
      </c>
      <c r="U310" s="0" t="str">
        <f aca="false">IF(CC_Mode="Per equipment",IFERROR(INDEX($E$4:$E$403,MATCH(307,$I$4:$I$403,0)),""),IF(CC_Mode="Per loop",IFERROR(INDEX($E$4:$E$403,MATCH(307,$H$4:$H$403,0)),""),IF(CC_Mode="Per unit",IFERROR(INDEX($L$4:$L$15,MATCH(307,$N$4:$N$15,0)),""),IF(307=1,CC_Net,""))))</f>
        <v/>
      </c>
    </row>
    <row r="311" customFormat="false" ht="15" hidden="false" customHeight="false" outlineLevel="0" collapsed="false">
      <c r="A311" s="0" t="s">
        <v>172</v>
      </c>
      <c r="B311" s="0" t="str">
        <f aca="false">'CC Item Pricing'!C301&amp;IF('CC Item Pricing'!D301="",""," – "&amp;'CC Item Pricing'!D301)</f>
        <v/>
      </c>
      <c r="C311" s="0" t="str">
        <f aca="false">INDEX(CC_UnitNames,'CC Item Pricing'!Y301)</f>
        <v>Unit 9</v>
      </c>
      <c r="D311" s="0" t="n">
        <f aca="false">N('CC Item Pricing'!G301)</f>
        <v>0</v>
      </c>
      <c r="E311" s="98" t="n">
        <f aca="false">'CC Item Pricing'!W301</f>
        <v>0</v>
      </c>
      <c r="F311" s="96" t="n">
        <f aca="false">IF(AND(G311=1,'CC Item Pricing'!B301=""),1,0)</f>
        <v>0</v>
      </c>
      <c r="G311" s="96" t="n">
        <f aca="false">IF(D311&gt;0,1,0)</f>
        <v>0</v>
      </c>
      <c r="H311" s="0" t="str">
        <f aca="false">IF(F311=1,COUNTIF($F$4:F311,1),"")</f>
        <v/>
      </c>
      <c r="I311" s="0" t="str">
        <f aca="false">IF(G311=1,COUNTIF($G$4:G311,1),"")</f>
        <v/>
      </c>
      <c r="R311" s="0" t="str">
        <f aca="false">IF(CC_Mode="Per equipment",IFERROR(INDEX($B$4:$B$403,MATCH(308,$I$4:$I$403,0)),""),IF(CC_Mode="Per loop",IFERROR(INDEX($B$4:$B$403,MATCH(308,$H$4:$H$403,0)),""),IF(CC_Mode="Per unit",IFERROR("Chemical cleaning – "&amp;INDEX($K$4:$K$15,MATCH(308,$N$4:$N$15,0)),""),IF(308=1,"LUMP SUM – "&amp;QProject,""))))</f>
        <v/>
      </c>
      <c r="S311" s="0" t="str">
        <f aca="false">IF(CC_Mode="Per equipment",IFERROR(INDEX($C$4:$C$403,MATCH(308,$I$4:$I$403,0)),""),IF(CC_Mode="Per loop",IFERROR(INDEX($C$4:$C$403,MATCH(308,$H$4:$H$403,0)),""),IF(CC_Mode="Per unit",IFERROR(INDEX($K$4:$K$15,MATCH(308,$N$4:$N$15,0)),""),IF(308=1,"All units",""))))</f>
        <v/>
      </c>
      <c r="T311" s="0" t="str">
        <f aca="false">IF(CC_Mode="Per equipment",IFERROR(INDEX($D$4:$D$403,MATCH(308,$I$4:$I$403,0)),""),IF(CC_Mode="Per loop",IFERROR(INDEX($D$4:$D$403,MATCH(308,$H$4:$H$403,0)),""),IF(CC_Mode="Per unit",IFERROR(INDEX($M$4:$M$15,MATCH(308,$N$4:$N$15,0)),""),IF(308=1,CC_V_GrandVol,""))))</f>
        <v/>
      </c>
      <c r="U311" s="0" t="str">
        <f aca="false">IF(CC_Mode="Per equipment",IFERROR(INDEX($E$4:$E$403,MATCH(308,$I$4:$I$403,0)),""),IF(CC_Mode="Per loop",IFERROR(INDEX($E$4:$E$403,MATCH(308,$H$4:$H$403,0)),""),IF(CC_Mode="Per unit",IFERROR(INDEX($L$4:$L$15,MATCH(308,$N$4:$N$15,0)),""),IF(308=1,CC_Net,""))))</f>
        <v/>
      </c>
    </row>
    <row r="312" customFormat="false" ht="15" hidden="false" customHeight="false" outlineLevel="0" collapsed="false">
      <c r="A312" s="0" t="s">
        <v>172</v>
      </c>
      <c r="B312" s="0" t="str">
        <f aca="false">'CC Item Pricing'!C302&amp;IF('CC Item Pricing'!D302="",""," – "&amp;'CC Item Pricing'!D302)</f>
        <v/>
      </c>
      <c r="C312" s="0" t="str">
        <f aca="false">INDEX(CC_UnitNames,'CC Item Pricing'!Y302)</f>
        <v>Unit 9</v>
      </c>
      <c r="D312" s="0" t="n">
        <f aca="false">N('CC Item Pricing'!G302)</f>
        <v>0</v>
      </c>
      <c r="E312" s="98" t="n">
        <f aca="false">'CC Item Pricing'!W302</f>
        <v>0</v>
      </c>
      <c r="F312" s="96" t="n">
        <f aca="false">IF(AND(G312=1,'CC Item Pricing'!B302=""),1,0)</f>
        <v>0</v>
      </c>
      <c r="G312" s="96" t="n">
        <f aca="false">IF(D312&gt;0,1,0)</f>
        <v>0</v>
      </c>
      <c r="H312" s="0" t="str">
        <f aca="false">IF(F312=1,COUNTIF($F$4:F312,1),"")</f>
        <v/>
      </c>
      <c r="I312" s="0" t="str">
        <f aca="false">IF(G312=1,COUNTIF($G$4:G312,1),"")</f>
        <v/>
      </c>
      <c r="R312" s="0" t="str">
        <f aca="false">IF(CC_Mode="Per equipment",IFERROR(INDEX($B$4:$B$403,MATCH(309,$I$4:$I$403,0)),""),IF(CC_Mode="Per loop",IFERROR(INDEX($B$4:$B$403,MATCH(309,$H$4:$H$403,0)),""),IF(CC_Mode="Per unit",IFERROR("Chemical cleaning – "&amp;INDEX($K$4:$K$15,MATCH(309,$N$4:$N$15,0)),""),IF(309=1,"LUMP SUM – "&amp;QProject,""))))</f>
        <v/>
      </c>
      <c r="S312" s="0" t="str">
        <f aca="false">IF(CC_Mode="Per equipment",IFERROR(INDEX($C$4:$C$403,MATCH(309,$I$4:$I$403,0)),""),IF(CC_Mode="Per loop",IFERROR(INDEX($C$4:$C$403,MATCH(309,$H$4:$H$403,0)),""),IF(CC_Mode="Per unit",IFERROR(INDEX($K$4:$K$15,MATCH(309,$N$4:$N$15,0)),""),IF(309=1,"All units",""))))</f>
        <v/>
      </c>
      <c r="T312" s="0" t="str">
        <f aca="false">IF(CC_Mode="Per equipment",IFERROR(INDEX($D$4:$D$403,MATCH(309,$I$4:$I$403,0)),""),IF(CC_Mode="Per loop",IFERROR(INDEX($D$4:$D$403,MATCH(309,$H$4:$H$403,0)),""),IF(CC_Mode="Per unit",IFERROR(INDEX($M$4:$M$15,MATCH(309,$N$4:$N$15,0)),""),IF(309=1,CC_V_GrandVol,""))))</f>
        <v/>
      </c>
      <c r="U312" s="0" t="str">
        <f aca="false">IF(CC_Mode="Per equipment",IFERROR(INDEX($E$4:$E$403,MATCH(309,$I$4:$I$403,0)),""),IF(CC_Mode="Per loop",IFERROR(INDEX($E$4:$E$403,MATCH(309,$H$4:$H$403,0)),""),IF(CC_Mode="Per unit",IFERROR(INDEX($L$4:$L$15,MATCH(309,$N$4:$N$15,0)),""),IF(309=1,CC_Net,""))))</f>
        <v/>
      </c>
    </row>
    <row r="313" customFormat="false" ht="15" hidden="false" customHeight="false" outlineLevel="0" collapsed="false">
      <c r="A313" s="0" t="s">
        <v>172</v>
      </c>
      <c r="B313" s="0" t="str">
        <f aca="false">'CC Item Pricing'!C303&amp;IF('CC Item Pricing'!D303="",""," – "&amp;'CC Item Pricing'!D303)</f>
        <v/>
      </c>
      <c r="C313" s="0" t="str">
        <f aca="false">INDEX(CC_UnitNames,'CC Item Pricing'!Y303)</f>
        <v>Unit 9</v>
      </c>
      <c r="D313" s="0" t="n">
        <f aca="false">N('CC Item Pricing'!G303)</f>
        <v>0</v>
      </c>
      <c r="E313" s="98" t="n">
        <f aca="false">'CC Item Pricing'!W303</f>
        <v>0</v>
      </c>
      <c r="F313" s="96" t="n">
        <f aca="false">IF(AND(G313=1,'CC Item Pricing'!B303=""),1,0)</f>
        <v>0</v>
      </c>
      <c r="G313" s="96" t="n">
        <f aca="false">IF(D313&gt;0,1,0)</f>
        <v>0</v>
      </c>
      <c r="H313" s="0" t="str">
        <f aca="false">IF(F313=1,COUNTIF($F$4:F313,1),"")</f>
        <v/>
      </c>
      <c r="I313" s="0" t="str">
        <f aca="false">IF(G313=1,COUNTIF($G$4:G313,1),"")</f>
        <v/>
      </c>
      <c r="R313" s="0" t="str">
        <f aca="false">IF(CC_Mode="Per equipment",IFERROR(INDEX($B$4:$B$403,MATCH(310,$I$4:$I$403,0)),""),IF(CC_Mode="Per loop",IFERROR(INDEX($B$4:$B$403,MATCH(310,$H$4:$H$403,0)),""),IF(CC_Mode="Per unit",IFERROR("Chemical cleaning – "&amp;INDEX($K$4:$K$15,MATCH(310,$N$4:$N$15,0)),""),IF(310=1,"LUMP SUM – "&amp;QProject,""))))</f>
        <v/>
      </c>
      <c r="S313" s="0" t="str">
        <f aca="false">IF(CC_Mode="Per equipment",IFERROR(INDEX($C$4:$C$403,MATCH(310,$I$4:$I$403,0)),""),IF(CC_Mode="Per loop",IFERROR(INDEX($C$4:$C$403,MATCH(310,$H$4:$H$403,0)),""),IF(CC_Mode="Per unit",IFERROR(INDEX($K$4:$K$15,MATCH(310,$N$4:$N$15,0)),""),IF(310=1,"All units",""))))</f>
        <v/>
      </c>
      <c r="T313" s="0" t="str">
        <f aca="false">IF(CC_Mode="Per equipment",IFERROR(INDEX($D$4:$D$403,MATCH(310,$I$4:$I$403,0)),""),IF(CC_Mode="Per loop",IFERROR(INDEX($D$4:$D$403,MATCH(310,$H$4:$H$403,0)),""),IF(CC_Mode="Per unit",IFERROR(INDEX($M$4:$M$15,MATCH(310,$N$4:$N$15,0)),""),IF(310=1,CC_V_GrandVol,""))))</f>
        <v/>
      </c>
      <c r="U313" s="0" t="str">
        <f aca="false">IF(CC_Mode="Per equipment",IFERROR(INDEX($E$4:$E$403,MATCH(310,$I$4:$I$403,0)),""),IF(CC_Mode="Per loop",IFERROR(INDEX($E$4:$E$403,MATCH(310,$H$4:$H$403,0)),""),IF(CC_Mode="Per unit",IFERROR(INDEX($L$4:$L$15,MATCH(310,$N$4:$N$15,0)),""),IF(310=1,CC_Net,""))))</f>
        <v/>
      </c>
    </row>
    <row r="314" customFormat="false" ht="15" hidden="false" customHeight="false" outlineLevel="0" collapsed="false">
      <c r="A314" s="0" t="s">
        <v>172</v>
      </c>
      <c r="B314" s="0" t="str">
        <f aca="false">'CC Item Pricing'!C307&amp;IF('CC Item Pricing'!D307="",""," – "&amp;'CC Item Pricing'!D307)</f>
        <v/>
      </c>
      <c r="C314" s="0" t="str">
        <f aca="false">INDEX(CC_UnitNames,'CC Item Pricing'!Y307)</f>
        <v>Unit 10</v>
      </c>
      <c r="D314" s="0" t="n">
        <f aca="false">N('CC Item Pricing'!G307)</f>
        <v>0</v>
      </c>
      <c r="E314" s="98" t="n">
        <f aca="false">'CC Item Pricing'!W307</f>
        <v>0</v>
      </c>
      <c r="F314" s="96" t="n">
        <f aca="false">IF(AND(G314=1,'CC Item Pricing'!B307=""),1,0)</f>
        <v>0</v>
      </c>
      <c r="G314" s="96" t="n">
        <f aca="false">IF(D314&gt;0,1,0)</f>
        <v>0</v>
      </c>
      <c r="H314" s="0" t="str">
        <f aca="false">IF(F314=1,COUNTIF($F$4:F314,1),"")</f>
        <v/>
      </c>
      <c r="I314" s="0" t="str">
        <f aca="false">IF(G314=1,COUNTIF($G$4:G314,1),"")</f>
        <v/>
      </c>
      <c r="R314" s="0" t="str">
        <f aca="false">IF(CC_Mode="Per equipment",IFERROR(INDEX($B$4:$B$403,MATCH(311,$I$4:$I$403,0)),""),IF(CC_Mode="Per loop",IFERROR(INDEX($B$4:$B$403,MATCH(311,$H$4:$H$403,0)),""),IF(CC_Mode="Per unit",IFERROR("Chemical cleaning – "&amp;INDEX($K$4:$K$15,MATCH(311,$N$4:$N$15,0)),""),IF(311=1,"LUMP SUM – "&amp;QProject,""))))</f>
        <v/>
      </c>
      <c r="S314" s="0" t="str">
        <f aca="false">IF(CC_Mode="Per equipment",IFERROR(INDEX($C$4:$C$403,MATCH(311,$I$4:$I$403,0)),""),IF(CC_Mode="Per loop",IFERROR(INDEX($C$4:$C$403,MATCH(311,$H$4:$H$403,0)),""),IF(CC_Mode="Per unit",IFERROR(INDEX($K$4:$K$15,MATCH(311,$N$4:$N$15,0)),""),IF(311=1,"All units",""))))</f>
        <v/>
      </c>
      <c r="T314" s="0" t="str">
        <f aca="false">IF(CC_Mode="Per equipment",IFERROR(INDEX($D$4:$D$403,MATCH(311,$I$4:$I$403,0)),""),IF(CC_Mode="Per loop",IFERROR(INDEX($D$4:$D$403,MATCH(311,$H$4:$H$403,0)),""),IF(CC_Mode="Per unit",IFERROR(INDEX($M$4:$M$15,MATCH(311,$N$4:$N$15,0)),""),IF(311=1,CC_V_GrandVol,""))))</f>
        <v/>
      </c>
      <c r="U314" s="0" t="str">
        <f aca="false">IF(CC_Mode="Per equipment",IFERROR(INDEX($E$4:$E$403,MATCH(311,$I$4:$I$403,0)),""),IF(CC_Mode="Per loop",IFERROR(INDEX($E$4:$E$403,MATCH(311,$H$4:$H$403,0)),""),IF(CC_Mode="Per unit",IFERROR(INDEX($L$4:$L$15,MATCH(311,$N$4:$N$15,0)),""),IF(311=1,CC_Net,""))))</f>
        <v/>
      </c>
    </row>
    <row r="315" customFormat="false" ht="15" hidden="false" customHeight="false" outlineLevel="0" collapsed="false">
      <c r="A315" s="0" t="s">
        <v>172</v>
      </c>
      <c r="B315" s="0" t="str">
        <f aca="false">'CC Item Pricing'!C308&amp;IF('CC Item Pricing'!D308="",""," – "&amp;'CC Item Pricing'!D308)</f>
        <v/>
      </c>
      <c r="C315" s="0" t="str">
        <f aca="false">INDEX(CC_UnitNames,'CC Item Pricing'!Y308)</f>
        <v>Unit 10</v>
      </c>
      <c r="D315" s="0" t="n">
        <f aca="false">N('CC Item Pricing'!G308)</f>
        <v>0</v>
      </c>
      <c r="E315" s="98" t="n">
        <f aca="false">'CC Item Pricing'!W308</f>
        <v>0</v>
      </c>
      <c r="F315" s="96" t="n">
        <f aca="false">IF(AND(G315=1,'CC Item Pricing'!B308=""),1,0)</f>
        <v>0</v>
      </c>
      <c r="G315" s="96" t="n">
        <f aca="false">IF(D315&gt;0,1,0)</f>
        <v>0</v>
      </c>
      <c r="H315" s="0" t="str">
        <f aca="false">IF(F315=1,COUNTIF($F$4:F315,1),"")</f>
        <v/>
      </c>
      <c r="I315" s="0" t="str">
        <f aca="false">IF(G315=1,COUNTIF($G$4:G315,1),"")</f>
        <v/>
      </c>
      <c r="R315" s="0" t="str">
        <f aca="false">IF(CC_Mode="Per equipment",IFERROR(INDEX($B$4:$B$403,MATCH(312,$I$4:$I$403,0)),""),IF(CC_Mode="Per loop",IFERROR(INDEX($B$4:$B$403,MATCH(312,$H$4:$H$403,0)),""),IF(CC_Mode="Per unit",IFERROR("Chemical cleaning – "&amp;INDEX($K$4:$K$15,MATCH(312,$N$4:$N$15,0)),""),IF(312=1,"LUMP SUM – "&amp;QProject,""))))</f>
        <v/>
      </c>
      <c r="S315" s="0" t="str">
        <f aca="false">IF(CC_Mode="Per equipment",IFERROR(INDEX($C$4:$C$403,MATCH(312,$I$4:$I$403,0)),""),IF(CC_Mode="Per loop",IFERROR(INDEX($C$4:$C$403,MATCH(312,$H$4:$H$403,0)),""),IF(CC_Mode="Per unit",IFERROR(INDEX($K$4:$K$15,MATCH(312,$N$4:$N$15,0)),""),IF(312=1,"All units",""))))</f>
        <v/>
      </c>
      <c r="T315" s="0" t="str">
        <f aca="false">IF(CC_Mode="Per equipment",IFERROR(INDEX($D$4:$D$403,MATCH(312,$I$4:$I$403,0)),""),IF(CC_Mode="Per loop",IFERROR(INDEX($D$4:$D$403,MATCH(312,$H$4:$H$403,0)),""),IF(CC_Mode="Per unit",IFERROR(INDEX($M$4:$M$15,MATCH(312,$N$4:$N$15,0)),""),IF(312=1,CC_V_GrandVol,""))))</f>
        <v/>
      </c>
      <c r="U315" s="0" t="str">
        <f aca="false">IF(CC_Mode="Per equipment",IFERROR(INDEX($E$4:$E$403,MATCH(312,$I$4:$I$403,0)),""),IF(CC_Mode="Per loop",IFERROR(INDEX($E$4:$E$403,MATCH(312,$H$4:$H$403,0)),""),IF(CC_Mode="Per unit",IFERROR(INDEX($L$4:$L$15,MATCH(312,$N$4:$N$15,0)),""),IF(312=1,CC_Net,""))))</f>
        <v/>
      </c>
    </row>
    <row r="316" customFormat="false" ht="15" hidden="false" customHeight="false" outlineLevel="0" collapsed="false">
      <c r="A316" s="0" t="s">
        <v>172</v>
      </c>
      <c r="B316" s="0" t="str">
        <f aca="false">'CC Item Pricing'!C309&amp;IF('CC Item Pricing'!D309="",""," – "&amp;'CC Item Pricing'!D309)</f>
        <v/>
      </c>
      <c r="C316" s="0" t="str">
        <f aca="false">INDEX(CC_UnitNames,'CC Item Pricing'!Y309)</f>
        <v>Unit 10</v>
      </c>
      <c r="D316" s="0" t="n">
        <f aca="false">N('CC Item Pricing'!G309)</f>
        <v>0</v>
      </c>
      <c r="E316" s="98" t="n">
        <f aca="false">'CC Item Pricing'!W309</f>
        <v>0</v>
      </c>
      <c r="F316" s="96" t="n">
        <f aca="false">IF(AND(G316=1,'CC Item Pricing'!B309=""),1,0)</f>
        <v>0</v>
      </c>
      <c r="G316" s="96" t="n">
        <f aca="false">IF(D316&gt;0,1,0)</f>
        <v>0</v>
      </c>
      <c r="H316" s="0" t="str">
        <f aca="false">IF(F316=1,COUNTIF($F$4:F316,1),"")</f>
        <v/>
      </c>
      <c r="I316" s="0" t="str">
        <f aca="false">IF(G316=1,COUNTIF($G$4:G316,1),"")</f>
        <v/>
      </c>
      <c r="R316" s="0" t="str">
        <f aca="false">IF(CC_Mode="Per equipment",IFERROR(INDEX($B$4:$B$403,MATCH(313,$I$4:$I$403,0)),""),IF(CC_Mode="Per loop",IFERROR(INDEX($B$4:$B$403,MATCH(313,$H$4:$H$403,0)),""),IF(CC_Mode="Per unit",IFERROR("Chemical cleaning – "&amp;INDEX($K$4:$K$15,MATCH(313,$N$4:$N$15,0)),""),IF(313=1,"LUMP SUM – "&amp;QProject,""))))</f>
        <v/>
      </c>
      <c r="S316" s="0" t="str">
        <f aca="false">IF(CC_Mode="Per equipment",IFERROR(INDEX($C$4:$C$403,MATCH(313,$I$4:$I$403,0)),""),IF(CC_Mode="Per loop",IFERROR(INDEX($C$4:$C$403,MATCH(313,$H$4:$H$403,0)),""),IF(CC_Mode="Per unit",IFERROR(INDEX($K$4:$K$15,MATCH(313,$N$4:$N$15,0)),""),IF(313=1,"All units",""))))</f>
        <v/>
      </c>
      <c r="T316" s="0" t="str">
        <f aca="false">IF(CC_Mode="Per equipment",IFERROR(INDEX($D$4:$D$403,MATCH(313,$I$4:$I$403,0)),""),IF(CC_Mode="Per loop",IFERROR(INDEX($D$4:$D$403,MATCH(313,$H$4:$H$403,0)),""),IF(CC_Mode="Per unit",IFERROR(INDEX($M$4:$M$15,MATCH(313,$N$4:$N$15,0)),""),IF(313=1,CC_V_GrandVol,""))))</f>
        <v/>
      </c>
      <c r="U316" s="0" t="str">
        <f aca="false">IF(CC_Mode="Per equipment",IFERROR(INDEX($E$4:$E$403,MATCH(313,$I$4:$I$403,0)),""),IF(CC_Mode="Per loop",IFERROR(INDEX($E$4:$E$403,MATCH(313,$H$4:$H$403,0)),""),IF(CC_Mode="Per unit",IFERROR(INDEX($L$4:$L$15,MATCH(313,$N$4:$N$15,0)),""),IF(313=1,CC_Net,""))))</f>
        <v/>
      </c>
    </row>
    <row r="317" customFormat="false" ht="15" hidden="false" customHeight="false" outlineLevel="0" collapsed="false">
      <c r="A317" s="0" t="s">
        <v>172</v>
      </c>
      <c r="B317" s="0" t="str">
        <f aca="false">'CC Item Pricing'!C310&amp;IF('CC Item Pricing'!D310="",""," – "&amp;'CC Item Pricing'!D310)</f>
        <v/>
      </c>
      <c r="C317" s="0" t="str">
        <f aca="false">INDEX(CC_UnitNames,'CC Item Pricing'!Y310)</f>
        <v>Unit 10</v>
      </c>
      <c r="D317" s="0" t="n">
        <f aca="false">N('CC Item Pricing'!G310)</f>
        <v>0</v>
      </c>
      <c r="E317" s="98" t="n">
        <f aca="false">'CC Item Pricing'!W310</f>
        <v>0</v>
      </c>
      <c r="F317" s="96" t="n">
        <f aca="false">IF(AND(G317=1,'CC Item Pricing'!B310=""),1,0)</f>
        <v>0</v>
      </c>
      <c r="G317" s="96" t="n">
        <f aca="false">IF(D317&gt;0,1,0)</f>
        <v>0</v>
      </c>
      <c r="H317" s="0" t="str">
        <f aca="false">IF(F317=1,COUNTIF($F$4:F317,1),"")</f>
        <v/>
      </c>
      <c r="I317" s="0" t="str">
        <f aca="false">IF(G317=1,COUNTIF($G$4:G317,1),"")</f>
        <v/>
      </c>
      <c r="R317" s="0" t="str">
        <f aca="false">IF(CC_Mode="Per equipment",IFERROR(INDEX($B$4:$B$403,MATCH(314,$I$4:$I$403,0)),""),IF(CC_Mode="Per loop",IFERROR(INDEX($B$4:$B$403,MATCH(314,$H$4:$H$403,0)),""),IF(CC_Mode="Per unit",IFERROR("Chemical cleaning – "&amp;INDEX($K$4:$K$15,MATCH(314,$N$4:$N$15,0)),""),IF(314=1,"LUMP SUM – "&amp;QProject,""))))</f>
        <v/>
      </c>
      <c r="S317" s="0" t="str">
        <f aca="false">IF(CC_Mode="Per equipment",IFERROR(INDEX($C$4:$C$403,MATCH(314,$I$4:$I$403,0)),""),IF(CC_Mode="Per loop",IFERROR(INDEX($C$4:$C$403,MATCH(314,$H$4:$H$403,0)),""),IF(CC_Mode="Per unit",IFERROR(INDEX($K$4:$K$15,MATCH(314,$N$4:$N$15,0)),""),IF(314=1,"All units",""))))</f>
        <v/>
      </c>
      <c r="T317" s="0" t="str">
        <f aca="false">IF(CC_Mode="Per equipment",IFERROR(INDEX($D$4:$D$403,MATCH(314,$I$4:$I$403,0)),""),IF(CC_Mode="Per loop",IFERROR(INDEX($D$4:$D$403,MATCH(314,$H$4:$H$403,0)),""),IF(CC_Mode="Per unit",IFERROR(INDEX($M$4:$M$15,MATCH(314,$N$4:$N$15,0)),""),IF(314=1,CC_V_GrandVol,""))))</f>
        <v/>
      </c>
      <c r="U317" s="0" t="str">
        <f aca="false">IF(CC_Mode="Per equipment",IFERROR(INDEX($E$4:$E$403,MATCH(314,$I$4:$I$403,0)),""),IF(CC_Mode="Per loop",IFERROR(INDEX($E$4:$E$403,MATCH(314,$H$4:$H$403,0)),""),IF(CC_Mode="Per unit",IFERROR(INDEX($L$4:$L$15,MATCH(314,$N$4:$N$15,0)),""),IF(314=1,CC_Net,""))))</f>
        <v/>
      </c>
    </row>
    <row r="318" customFormat="false" ht="15" hidden="false" customHeight="false" outlineLevel="0" collapsed="false">
      <c r="A318" s="0" t="s">
        <v>172</v>
      </c>
      <c r="B318" s="0" t="str">
        <f aca="false">'CC Item Pricing'!C311&amp;IF('CC Item Pricing'!D311="",""," – "&amp;'CC Item Pricing'!D311)</f>
        <v/>
      </c>
      <c r="C318" s="0" t="str">
        <f aca="false">INDEX(CC_UnitNames,'CC Item Pricing'!Y311)</f>
        <v>Unit 10</v>
      </c>
      <c r="D318" s="0" t="n">
        <f aca="false">N('CC Item Pricing'!G311)</f>
        <v>0</v>
      </c>
      <c r="E318" s="98" t="n">
        <f aca="false">'CC Item Pricing'!W311</f>
        <v>0</v>
      </c>
      <c r="F318" s="96" t="n">
        <f aca="false">IF(AND(G318=1,'CC Item Pricing'!B311=""),1,0)</f>
        <v>0</v>
      </c>
      <c r="G318" s="96" t="n">
        <f aca="false">IF(D318&gt;0,1,0)</f>
        <v>0</v>
      </c>
      <c r="H318" s="0" t="str">
        <f aca="false">IF(F318=1,COUNTIF($F$4:F318,1),"")</f>
        <v/>
      </c>
      <c r="I318" s="0" t="str">
        <f aca="false">IF(G318=1,COUNTIF($G$4:G318,1),"")</f>
        <v/>
      </c>
      <c r="R318" s="0" t="str">
        <f aca="false">IF(CC_Mode="Per equipment",IFERROR(INDEX($B$4:$B$403,MATCH(315,$I$4:$I$403,0)),""),IF(CC_Mode="Per loop",IFERROR(INDEX($B$4:$B$403,MATCH(315,$H$4:$H$403,0)),""),IF(CC_Mode="Per unit",IFERROR("Chemical cleaning – "&amp;INDEX($K$4:$K$15,MATCH(315,$N$4:$N$15,0)),""),IF(315=1,"LUMP SUM – "&amp;QProject,""))))</f>
        <v/>
      </c>
      <c r="S318" s="0" t="str">
        <f aca="false">IF(CC_Mode="Per equipment",IFERROR(INDEX($C$4:$C$403,MATCH(315,$I$4:$I$403,0)),""),IF(CC_Mode="Per loop",IFERROR(INDEX($C$4:$C$403,MATCH(315,$H$4:$H$403,0)),""),IF(CC_Mode="Per unit",IFERROR(INDEX($K$4:$K$15,MATCH(315,$N$4:$N$15,0)),""),IF(315=1,"All units",""))))</f>
        <v/>
      </c>
      <c r="T318" s="0" t="str">
        <f aca="false">IF(CC_Mode="Per equipment",IFERROR(INDEX($D$4:$D$403,MATCH(315,$I$4:$I$403,0)),""),IF(CC_Mode="Per loop",IFERROR(INDEX($D$4:$D$403,MATCH(315,$H$4:$H$403,0)),""),IF(CC_Mode="Per unit",IFERROR(INDEX($M$4:$M$15,MATCH(315,$N$4:$N$15,0)),""),IF(315=1,CC_V_GrandVol,""))))</f>
        <v/>
      </c>
      <c r="U318" s="0" t="str">
        <f aca="false">IF(CC_Mode="Per equipment",IFERROR(INDEX($E$4:$E$403,MATCH(315,$I$4:$I$403,0)),""),IF(CC_Mode="Per loop",IFERROR(INDEX($E$4:$E$403,MATCH(315,$H$4:$H$403,0)),""),IF(CC_Mode="Per unit",IFERROR(INDEX($L$4:$L$15,MATCH(315,$N$4:$N$15,0)),""),IF(315=1,CC_Net,""))))</f>
        <v/>
      </c>
    </row>
    <row r="319" customFormat="false" ht="15" hidden="false" customHeight="false" outlineLevel="0" collapsed="false">
      <c r="A319" s="0" t="s">
        <v>172</v>
      </c>
      <c r="B319" s="0" t="str">
        <f aca="false">'CC Item Pricing'!C312&amp;IF('CC Item Pricing'!D312="",""," – "&amp;'CC Item Pricing'!D312)</f>
        <v/>
      </c>
      <c r="C319" s="0" t="str">
        <f aca="false">INDEX(CC_UnitNames,'CC Item Pricing'!Y312)</f>
        <v>Unit 10</v>
      </c>
      <c r="D319" s="0" t="n">
        <f aca="false">N('CC Item Pricing'!G312)</f>
        <v>0</v>
      </c>
      <c r="E319" s="98" t="n">
        <f aca="false">'CC Item Pricing'!W312</f>
        <v>0</v>
      </c>
      <c r="F319" s="96" t="n">
        <f aca="false">IF(AND(G319=1,'CC Item Pricing'!B312=""),1,0)</f>
        <v>0</v>
      </c>
      <c r="G319" s="96" t="n">
        <f aca="false">IF(D319&gt;0,1,0)</f>
        <v>0</v>
      </c>
      <c r="H319" s="0" t="str">
        <f aca="false">IF(F319=1,COUNTIF($F$4:F319,1),"")</f>
        <v/>
      </c>
      <c r="I319" s="0" t="str">
        <f aca="false">IF(G319=1,COUNTIF($G$4:G319,1),"")</f>
        <v/>
      </c>
      <c r="R319" s="0" t="str">
        <f aca="false">IF(CC_Mode="Per equipment",IFERROR(INDEX($B$4:$B$403,MATCH(316,$I$4:$I$403,0)),""),IF(CC_Mode="Per loop",IFERROR(INDEX($B$4:$B$403,MATCH(316,$H$4:$H$403,0)),""),IF(CC_Mode="Per unit",IFERROR("Chemical cleaning – "&amp;INDEX($K$4:$K$15,MATCH(316,$N$4:$N$15,0)),""),IF(316=1,"LUMP SUM – "&amp;QProject,""))))</f>
        <v/>
      </c>
      <c r="S319" s="0" t="str">
        <f aca="false">IF(CC_Mode="Per equipment",IFERROR(INDEX($C$4:$C$403,MATCH(316,$I$4:$I$403,0)),""),IF(CC_Mode="Per loop",IFERROR(INDEX($C$4:$C$403,MATCH(316,$H$4:$H$403,0)),""),IF(CC_Mode="Per unit",IFERROR(INDEX($K$4:$K$15,MATCH(316,$N$4:$N$15,0)),""),IF(316=1,"All units",""))))</f>
        <v/>
      </c>
      <c r="T319" s="0" t="str">
        <f aca="false">IF(CC_Mode="Per equipment",IFERROR(INDEX($D$4:$D$403,MATCH(316,$I$4:$I$403,0)),""),IF(CC_Mode="Per loop",IFERROR(INDEX($D$4:$D$403,MATCH(316,$H$4:$H$403,0)),""),IF(CC_Mode="Per unit",IFERROR(INDEX($M$4:$M$15,MATCH(316,$N$4:$N$15,0)),""),IF(316=1,CC_V_GrandVol,""))))</f>
        <v/>
      </c>
      <c r="U319" s="0" t="str">
        <f aca="false">IF(CC_Mode="Per equipment",IFERROR(INDEX($E$4:$E$403,MATCH(316,$I$4:$I$403,0)),""),IF(CC_Mode="Per loop",IFERROR(INDEX($E$4:$E$403,MATCH(316,$H$4:$H$403,0)),""),IF(CC_Mode="Per unit",IFERROR(INDEX($L$4:$L$15,MATCH(316,$N$4:$N$15,0)),""),IF(316=1,CC_Net,""))))</f>
        <v/>
      </c>
    </row>
    <row r="320" customFormat="false" ht="15" hidden="false" customHeight="false" outlineLevel="0" collapsed="false">
      <c r="A320" s="0" t="s">
        <v>172</v>
      </c>
      <c r="B320" s="0" t="str">
        <f aca="false">'CC Item Pricing'!C313&amp;IF('CC Item Pricing'!D313="",""," – "&amp;'CC Item Pricing'!D313)</f>
        <v/>
      </c>
      <c r="C320" s="0" t="str">
        <f aca="false">INDEX(CC_UnitNames,'CC Item Pricing'!Y313)</f>
        <v>Unit 10</v>
      </c>
      <c r="D320" s="0" t="n">
        <f aca="false">N('CC Item Pricing'!G313)</f>
        <v>0</v>
      </c>
      <c r="E320" s="98" t="n">
        <f aca="false">'CC Item Pricing'!W313</f>
        <v>0</v>
      </c>
      <c r="F320" s="96" t="n">
        <f aca="false">IF(AND(G320=1,'CC Item Pricing'!B313=""),1,0)</f>
        <v>0</v>
      </c>
      <c r="G320" s="96" t="n">
        <f aca="false">IF(D320&gt;0,1,0)</f>
        <v>0</v>
      </c>
      <c r="H320" s="0" t="str">
        <f aca="false">IF(F320=1,COUNTIF($F$4:F320,1),"")</f>
        <v/>
      </c>
      <c r="I320" s="0" t="str">
        <f aca="false">IF(G320=1,COUNTIF($G$4:G320,1),"")</f>
        <v/>
      </c>
      <c r="R320" s="0" t="str">
        <f aca="false">IF(CC_Mode="Per equipment",IFERROR(INDEX($B$4:$B$403,MATCH(317,$I$4:$I$403,0)),""),IF(CC_Mode="Per loop",IFERROR(INDEX($B$4:$B$403,MATCH(317,$H$4:$H$403,0)),""),IF(CC_Mode="Per unit",IFERROR("Chemical cleaning – "&amp;INDEX($K$4:$K$15,MATCH(317,$N$4:$N$15,0)),""),IF(317=1,"LUMP SUM – "&amp;QProject,""))))</f>
        <v/>
      </c>
      <c r="S320" s="0" t="str">
        <f aca="false">IF(CC_Mode="Per equipment",IFERROR(INDEX($C$4:$C$403,MATCH(317,$I$4:$I$403,0)),""),IF(CC_Mode="Per loop",IFERROR(INDEX($C$4:$C$403,MATCH(317,$H$4:$H$403,0)),""),IF(CC_Mode="Per unit",IFERROR(INDEX($K$4:$K$15,MATCH(317,$N$4:$N$15,0)),""),IF(317=1,"All units",""))))</f>
        <v/>
      </c>
      <c r="T320" s="0" t="str">
        <f aca="false">IF(CC_Mode="Per equipment",IFERROR(INDEX($D$4:$D$403,MATCH(317,$I$4:$I$403,0)),""),IF(CC_Mode="Per loop",IFERROR(INDEX($D$4:$D$403,MATCH(317,$H$4:$H$403,0)),""),IF(CC_Mode="Per unit",IFERROR(INDEX($M$4:$M$15,MATCH(317,$N$4:$N$15,0)),""),IF(317=1,CC_V_GrandVol,""))))</f>
        <v/>
      </c>
      <c r="U320" s="0" t="str">
        <f aca="false">IF(CC_Mode="Per equipment",IFERROR(INDEX($E$4:$E$403,MATCH(317,$I$4:$I$403,0)),""),IF(CC_Mode="Per loop",IFERROR(INDEX($E$4:$E$403,MATCH(317,$H$4:$H$403,0)),""),IF(CC_Mode="Per unit",IFERROR(INDEX($L$4:$L$15,MATCH(317,$N$4:$N$15,0)),""),IF(317=1,CC_Net,""))))</f>
        <v/>
      </c>
    </row>
    <row r="321" customFormat="false" ht="15" hidden="false" customHeight="false" outlineLevel="0" collapsed="false">
      <c r="A321" s="0" t="s">
        <v>172</v>
      </c>
      <c r="B321" s="0" t="str">
        <f aca="false">'CC Item Pricing'!C314&amp;IF('CC Item Pricing'!D314="",""," – "&amp;'CC Item Pricing'!D314)</f>
        <v/>
      </c>
      <c r="C321" s="0" t="str">
        <f aca="false">INDEX(CC_UnitNames,'CC Item Pricing'!Y314)</f>
        <v>Unit 10</v>
      </c>
      <c r="D321" s="0" t="n">
        <f aca="false">N('CC Item Pricing'!G314)</f>
        <v>0</v>
      </c>
      <c r="E321" s="98" t="n">
        <f aca="false">'CC Item Pricing'!W314</f>
        <v>0</v>
      </c>
      <c r="F321" s="96" t="n">
        <f aca="false">IF(AND(G321=1,'CC Item Pricing'!B314=""),1,0)</f>
        <v>0</v>
      </c>
      <c r="G321" s="96" t="n">
        <f aca="false">IF(D321&gt;0,1,0)</f>
        <v>0</v>
      </c>
      <c r="H321" s="0" t="str">
        <f aca="false">IF(F321=1,COUNTIF($F$4:F321,1),"")</f>
        <v/>
      </c>
      <c r="I321" s="0" t="str">
        <f aca="false">IF(G321=1,COUNTIF($G$4:G321,1),"")</f>
        <v/>
      </c>
      <c r="R321" s="0" t="str">
        <f aca="false">IF(CC_Mode="Per equipment",IFERROR(INDEX($B$4:$B$403,MATCH(318,$I$4:$I$403,0)),""),IF(CC_Mode="Per loop",IFERROR(INDEX($B$4:$B$403,MATCH(318,$H$4:$H$403,0)),""),IF(CC_Mode="Per unit",IFERROR("Chemical cleaning – "&amp;INDEX($K$4:$K$15,MATCH(318,$N$4:$N$15,0)),""),IF(318=1,"LUMP SUM – "&amp;QProject,""))))</f>
        <v/>
      </c>
      <c r="S321" s="0" t="str">
        <f aca="false">IF(CC_Mode="Per equipment",IFERROR(INDEX($C$4:$C$403,MATCH(318,$I$4:$I$403,0)),""),IF(CC_Mode="Per loop",IFERROR(INDEX($C$4:$C$403,MATCH(318,$H$4:$H$403,0)),""),IF(CC_Mode="Per unit",IFERROR(INDEX($K$4:$K$15,MATCH(318,$N$4:$N$15,0)),""),IF(318=1,"All units",""))))</f>
        <v/>
      </c>
      <c r="T321" s="0" t="str">
        <f aca="false">IF(CC_Mode="Per equipment",IFERROR(INDEX($D$4:$D$403,MATCH(318,$I$4:$I$403,0)),""),IF(CC_Mode="Per loop",IFERROR(INDEX($D$4:$D$403,MATCH(318,$H$4:$H$403,0)),""),IF(CC_Mode="Per unit",IFERROR(INDEX($M$4:$M$15,MATCH(318,$N$4:$N$15,0)),""),IF(318=1,CC_V_GrandVol,""))))</f>
        <v/>
      </c>
      <c r="U321" s="0" t="str">
        <f aca="false">IF(CC_Mode="Per equipment",IFERROR(INDEX($E$4:$E$403,MATCH(318,$I$4:$I$403,0)),""),IF(CC_Mode="Per loop",IFERROR(INDEX($E$4:$E$403,MATCH(318,$H$4:$H$403,0)),""),IF(CC_Mode="Per unit",IFERROR(INDEX($L$4:$L$15,MATCH(318,$N$4:$N$15,0)),""),IF(318=1,CC_Net,""))))</f>
        <v/>
      </c>
    </row>
    <row r="322" customFormat="false" ht="15" hidden="false" customHeight="false" outlineLevel="0" collapsed="false">
      <c r="A322" s="0" t="s">
        <v>172</v>
      </c>
      <c r="B322" s="0" t="str">
        <f aca="false">'CC Item Pricing'!C315&amp;IF('CC Item Pricing'!D315="",""," – "&amp;'CC Item Pricing'!D315)</f>
        <v/>
      </c>
      <c r="C322" s="0" t="str">
        <f aca="false">INDEX(CC_UnitNames,'CC Item Pricing'!Y315)</f>
        <v>Unit 10</v>
      </c>
      <c r="D322" s="0" t="n">
        <f aca="false">N('CC Item Pricing'!G315)</f>
        <v>0</v>
      </c>
      <c r="E322" s="98" t="n">
        <f aca="false">'CC Item Pricing'!W315</f>
        <v>0</v>
      </c>
      <c r="F322" s="96" t="n">
        <f aca="false">IF(AND(G322=1,'CC Item Pricing'!B315=""),1,0)</f>
        <v>0</v>
      </c>
      <c r="G322" s="96" t="n">
        <f aca="false">IF(D322&gt;0,1,0)</f>
        <v>0</v>
      </c>
      <c r="H322" s="0" t="str">
        <f aca="false">IF(F322=1,COUNTIF($F$4:F322,1),"")</f>
        <v/>
      </c>
      <c r="I322" s="0" t="str">
        <f aca="false">IF(G322=1,COUNTIF($G$4:G322,1),"")</f>
        <v/>
      </c>
      <c r="R322" s="0" t="str">
        <f aca="false">IF(CC_Mode="Per equipment",IFERROR(INDEX($B$4:$B$403,MATCH(319,$I$4:$I$403,0)),""),IF(CC_Mode="Per loop",IFERROR(INDEX($B$4:$B$403,MATCH(319,$H$4:$H$403,0)),""),IF(CC_Mode="Per unit",IFERROR("Chemical cleaning – "&amp;INDEX($K$4:$K$15,MATCH(319,$N$4:$N$15,0)),""),IF(319=1,"LUMP SUM – "&amp;QProject,""))))</f>
        <v/>
      </c>
      <c r="S322" s="0" t="str">
        <f aca="false">IF(CC_Mode="Per equipment",IFERROR(INDEX($C$4:$C$403,MATCH(319,$I$4:$I$403,0)),""),IF(CC_Mode="Per loop",IFERROR(INDEX($C$4:$C$403,MATCH(319,$H$4:$H$403,0)),""),IF(CC_Mode="Per unit",IFERROR(INDEX($K$4:$K$15,MATCH(319,$N$4:$N$15,0)),""),IF(319=1,"All units",""))))</f>
        <v/>
      </c>
      <c r="T322" s="0" t="str">
        <f aca="false">IF(CC_Mode="Per equipment",IFERROR(INDEX($D$4:$D$403,MATCH(319,$I$4:$I$403,0)),""),IF(CC_Mode="Per loop",IFERROR(INDEX($D$4:$D$403,MATCH(319,$H$4:$H$403,0)),""),IF(CC_Mode="Per unit",IFERROR(INDEX($M$4:$M$15,MATCH(319,$N$4:$N$15,0)),""),IF(319=1,CC_V_GrandVol,""))))</f>
        <v/>
      </c>
      <c r="U322" s="0" t="str">
        <f aca="false">IF(CC_Mode="Per equipment",IFERROR(INDEX($E$4:$E$403,MATCH(319,$I$4:$I$403,0)),""),IF(CC_Mode="Per loop",IFERROR(INDEX($E$4:$E$403,MATCH(319,$H$4:$H$403,0)),""),IF(CC_Mode="Per unit",IFERROR(INDEX($L$4:$L$15,MATCH(319,$N$4:$N$15,0)),""),IF(319=1,CC_Net,""))))</f>
        <v/>
      </c>
    </row>
    <row r="323" customFormat="false" ht="15" hidden="false" customHeight="false" outlineLevel="0" collapsed="false">
      <c r="A323" s="0" t="s">
        <v>172</v>
      </c>
      <c r="B323" s="0" t="str">
        <f aca="false">'CC Item Pricing'!C316&amp;IF('CC Item Pricing'!D316="",""," – "&amp;'CC Item Pricing'!D316)</f>
        <v/>
      </c>
      <c r="C323" s="0" t="str">
        <f aca="false">INDEX(CC_UnitNames,'CC Item Pricing'!Y316)</f>
        <v>Unit 10</v>
      </c>
      <c r="D323" s="0" t="n">
        <f aca="false">N('CC Item Pricing'!G316)</f>
        <v>0</v>
      </c>
      <c r="E323" s="98" t="n">
        <f aca="false">'CC Item Pricing'!W316</f>
        <v>0</v>
      </c>
      <c r="F323" s="96" t="n">
        <f aca="false">IF(AND(G323=1,'CC Item Pricing'!B316=""),1,0)</f>
        <v>0</v>
      </c>
      <c r="G323" s="96" t="n">
        <f aca="false">IF(D323&gt;0,1,0)</f>
        <v>0</v>
      </c>
      <c r="H323" s="0" t="str">
        <f aca="false">IF(F323=1,COUNTIF($F$4:F323,1),"")</f>
        <v/>
      </c>
      <c r="I323" s="0" t="str">
        <f aca="false">IF(G323=1,COUNTIF($G$4:G323,1),"")</f>
        <v/>
      </c>
      <c r="R323" s="0" t="str">
        <f aca="false">IF(CC_Mode="Per equipment",IFERROR(INDEX($B$4:$B$403,MATCH(320,$I$4:$I$403,0)),""),IF(CC_Mode="Per loop",IFERROR(INDEX($B$4:$B$403,MATCH(320,$H$4:$H$403,0)),""),IF(CC_Mode="Per unit",IFERROR("Chemical cleaning – "&amp;INDEX($K$4:$K$15,MATCH(320,$N$4:$N$15,0)),""),IF(320=1,"LUMP SUM – "&amp;QProject,""))))</f>
        <v/>
      </c>
      <c r="S323" s="0" t="str">
        <f aca="false">IF(CC_Mode="Per equipment",IFERROR(INDEX($C$4:$C$403,MATCH(320,$I$4:$I$403,0)),""),IF(CC_Mode="Per loop",IFERROR(INDEX($C$4:$C$403,MATCH(320,$H$4:$H$403,0)),""),IF(CC_Mode="Per unit",IFERROR(INDEX($K$4:$K$15,MATCH(320,$N$4:$N$15,0)),""),IF(320=1,"All units",""))))</f>
        <v/>
      </c>
      <c r="T323" s="0" t="str">
        <f aca="false">IF(CC_Mode="Per equipment",IFERROR(INDEX($D$4:$D$403,MATCH(320,$I$4:$I$403,0)),""),IF(CC_Mode="Per loop",IFERROR(INDEX($D$4:$D$403,MATCH(320,$H$4:$H$403,0)),""),IF(CC_Mode="Per unit",IFERROR(INDEX($M$4:$M$15,MATCH(320,$N$4:$N$15,0)),""),IF(320=1,CC_V_GrandVol,""))))</f>
        <v/>
      </c>
      <c r="U323" s="0" t="str">
        <f aca="false">IF(CC_Mode="Per equipment",IFERROR(INDEX($E$4:$E$403,MATCH(320,$I$4:$I$403,0)),""),IF(CC_Mode="Per loop",IFERROR(INDEX($E$4:$E$403,MATCH(320,$H$4:$H$403,0)),""),IF(CC_Mode="Per unit",IFERROR(INDEX($L$4:$L$15,MATCH(320,$N$4:$N$15,0)),""),IF(320=1,CC_Net,""))))</f>
        <v/>
      </c>
    </row>
    <row r="324" customFormat="false" ht="15" hidden="false" customHeight="false" outlineLevel="0" collapsed="false">
      <c r="A324" s="0" t="s">
        <v>172</v>
      </c>
      <c r="B324" s="0" t="str">
        <f aca="false">'CC Item Pricing'!C317&amp;IF('CC Item Pricing'!D317="",""," – "&amp;'CC Item Pricing'!D317)</f>
        <v/>
      </c>
      <c r="C324" s="0" t="str">
        <f aca="false">INDEX(CC_UnitNames,'CC Item Pricing'!Y317)</f>
        <v>Unit 10</v>
      </c>
      <c r="D324" s="0" t="n">
        <f aca="false">N('CC Item Pricing'!G317)</f>
        <v>0</v>
      </c>
      <c r="E324" s="98" t="n">
        <f aca="false">'CC Item Pricing'!W317</f>
        <v>0</v>
      </c>
      <c r="F324" s="96" t="n">
        <f aca="false">IF(AND(G324=1,'CC Item Pricing'!B317=""),1,0)</f>
        <v>0</v>
      </c>
      <c r="G324" s="96" t="n">
        <f aca="false">IF(D324&gt;0,1,0)</f>
        <v>0</v>
      </c>
      <c r="H324" s="0" t="str">
        <f aca="false">IF(F324=1,COUNTIF($F$4:F324,1),"")</f>
        <v/>
      </c>
      <c r="I324" s="0" t="str">
        <f aca="false">IF(G324=1,COUNTIF($G$4:G324,1),"")</f>
        <v/>
      </c>
      <c r="R324" s="0" t="str">
        <f aca="false">IF(CC_Mode="Per equipment",IFERROR(INDEX($B$4:$B$403,MATCH(321,$I$4:$I$403,0)),""),IF(CC_Mode="Per loop",IFERROR(INDEX($B$4:$B$403,MATCH(321,$H$4:$H$403,0)),""),IF(CC_Mode="Per unit",IFERROR("Chemical cleaning – "&amp;INDEX($K$4:$K$15,MATCH(321,$N$4:$N$15,0)),""),IF(321=1,"LUMP SUM – "&amp;QProject,""))))</f>
        <v/>
      </c>
      <c r="S324" s="0" t="str">
        <f aca="false">IF(CC_Mode="Per equipment",IFERROR(INDEX($C$4:$C$403,MATCH(321,$I$4:$I$403,0)),""),IF(CC_Mode="Per loop",IFERROR(INDEX($C$4:$C$403,MATCH(321,$H$4:$H$403,0)),""),IF(CC_Mode="Per unit",IFERROR(INDEX($K$4:$K$15,MATCH(321,$N$4:$N$15,0)),""),IF(321=1,"All units",""))))</f>
        <v/>
      </c>
      <c r="T324" s="0" t="str">
        <f aca="false">IF(CC_Mode="Per equipment",IFERROR(INDEX($D$4:$D$403,MATCH(321,$I$4:$I$403,0)),""),IF(CC_Mode="Per loop",IFERROR(INDEX($D$4:$D$403,MATCH(321,$H$4:$H$403,0)),""),IF(CC_Mode="Per unit",IFERROR(INDEX($M$4:$M$15,MATCH(321,$N$4:$N$15,0)),""),IF(321=1,CC_V_GrandVol,""))))</f>
        <v/>
      </c>
      <c r="U324" s="0" t="str">
        <f aca="false">IF(CC_Mode="Per equipment",IFERROR(INDEX($E$4:$E$403,MATCH(321,$I$4:$I$403,0)),""),IF(CC_Mode="Per loop",IFERROR(INDEX($E$4:$E$403,MATCH(321,$H$4:$H$403,0)),""),IF(CC_Mode="Per unit",IFERROR(INDEX($L$4:$L$15,MATCH(321,$N$4:$N$15,0)),""),IF(321=1,CC_Net,""))))</f>
        <v/>
      </c>
    </row>
    <row r="325" customFormat="false" ht="15" hidden="false" customHeight="false" outlineLevel="0" collapsed="false">
      <c r="A325" s="0" t="s">
        <v>172</v>
      </c>
      <c r="B325" s="0" t="str">
        <f aca="false">'CC Item Pricing'!C318&amp;IF('CC Item Pricing'!D318="",""," – "&amp;'CC Item Pricing'!D318)</f>
        <v/>
      </c>
      <c r="C325" s="0" t="str">
        <f aca="false">INDEX(CC_UnitNames,'CC Item Pricing'!Y318)</f>
        <v>Unit 10</v>
      </c>
      <c r="D325" s="0" t="n">
        <f aca="false">N('CC Item Pricing'!G318)</f>
        <v>0</v>
      </c>
      <c r="E325" s="98" t="n">
        <f aca="false">'CC Item Pricing'!W318</f>
        <v>0</v>
      </c>
      <c r="F325" s="96" t="n">
        <f aca="false">IF(AND(G325=1,'CC Item Pricing'!B318=""),1,0)</f>
        <v>0</v>
      </c>
      <c r="G325" s="96" t="n">
        <f aca="false">IF(D325&gt;0,1,0)</f>
        <v>0</v>
      </c>
      <c r="H325" s="0" t="str">
        <f aca="false">IF(F325=1,COUNTIF($F$4:F325,1),"")</f>
        <v/>
      </c>
      <c r="I325" s="0" t="str">
        <f aca="false">IF(G325=1,COUNTIF($G$4:G325,1),"")</f>
        <v/>
      </c>
      <c r="R325" s="0" t="str">
        <f aca="false">IF(CC_Mode="Per equipment",IFERROR(INDEX($B$4:$B$403,MATCH(322,$I$4:$I$403,0)),""),IF(CC_Mode="Per loop",IFERROR(INDEX($B$4:$B$403,MATCH(322,$H$4:$H$403,0)),""),IF(CC_Mode="Per unit",IFERROR("Chemical cleaning – "&amp;INDEX($K$4:$K$15,MATCH(322,$N$4:$N$15,0)),""),IF(322=1,"LUMP SUM – "&amp;QProject,""))))</f>
        <v/>
      </c>
      <c r="S325" s="0" t="str">
        <f aca="false">IF(CC_Mode="Per equipment",IFERROR(INDEX($C$4:$C$403,MATCH(322,$I$4:$I$403,0)),""),IF(CC_Mode="Per loop",IFERROR(INDEX($C$4:$C$403,MATCH(322,$H$4:$H$403,0)),""),IF(CC_Mode="Per unit",IFERROR(INDEX($K$4:$K$15,MATCH(322,$N$4:$N$15,0)),""),IF(322=1,"All units",""))))</f>
        <v/>
      </c>
      <c r="T325" s="0" t="str">
        <f aca="false">IF(CC_Mode="Per equipment",IFERROR(INDEX($D$4:$D$403,MATCH(322,$I$4:$I$403,0)),""),IF(CC_Mode="Per loop",IFERROR(INDEX($D$4:$D$403,MATCH(322,$H$4:$H$403,0)),""),IF(CC_Mode="Per unit",IFERROR(INDEX($M$4:$M$15,MATCH(322,$N$4:$N$15,0)),""),IF(322=1,CC_V_GrandVol,""))))</f>
        <v/>
      </c>
      <c r="U325" s="0" t="str">
        <f aca="false">IF(CC_Mode="Per equipment",IFERROR(INDEX($E$4:$E$403,MATCH(322,$I$4:$I$403,0)),""),IF(CC_Mode="Per loop",IFERROR(INDEX($E$4:$E$403,MATCH(322,$H$4:$H$403,0)),""),IF(CC_Mode="Per unit",IFERROR(INDEX($L$4:$L$15,MATCH(322,$N$4:$N$15,0)),""),IF(322=1,CC_Net,""))))</f>
        <v/>
      </c>
    </row>
    <row r="326" customFormat="false" ht="15" hidden="false" customHeight="false" outlineLevel="0" collapsed="false">
      <c r="A326" s="0" t="s">
        <v>172</v>
      </c>
      <c r="B326" s="0" t="str">
        <f aca="false">'CC Item Pricing'!C319&amp;IF('CC Item Pricing'!D319="",""," – "&amp;'CC Item Pricing'!D319)</f>
        <v/>
      </c>
      <c r="C326" s="0" t="str">
        <f aca="false">INDEX(CC_UnitNames,'CC Item Pricing'!Y319)</f>
        <v>Unit 10</v>
      </c>
      <c r="D326" s="0" t="n">
        <f aca="false">N('CC Item Pricing'!G319)</f>
        <v>0</v>
      </c>
      <c r="E326" s="98" t="n">
        <f aca="false">'CC Item Pricing'!W319</f>
        <v>0</v>
      </c>
      <c r="F326" s="96" t="n">
        <f aca="false">IF(AND(G326=1,'CC Item Pricing'!B319=""),1,0)</f>
        <v>0</v>
      </c>
      <c r="G326" s="96" t="n">
        <f aca="false">IF(D326&gt;0,1,0)</f>
        <v>0</v>
      </c>
      <c r="H326" s="0" t="str">
        <f aca="false">IF(F326=1,COUNTIF($F$4:F326,1),"")</f>
        <v/>
      </c>
      <c r="I326" s="0" t="str">
        <f aca="false">IF(G326=1,COUNTIF($G$4:G326,1),"")</f>
        <v/>
      </c>
      <c r="R326" s="0" t="str">
        <f aca="false">IF(CC_Mode="Per equipment",IFERROR(INDEX($B$4:$B$403,MATCH(323,$I$4:$I$403,0)),""),IF(CC_Mode="Per loop",IFERROR(INDEX($B$4:$B$403,MATCH(323,$H$4:$H$403,0)),""),IF(CC_Mode="Per unit",IFERROR("Chemical cleaning – "&amp;INDEX($K$4:$K$15,MATCH(323,$N$4:$N$15,0)),""),IF(323=1,"LUMP SUM – "&amp;QProject,""))))</f>
        <v/>
      </c>
      <c r="S326" s="0" t="str">
        <f aca="false">IF(CC_Mode="Per equipment",IFERROR(INDEX($C$4:$C$403,MATCH(323,$I$4:$I$403,0)),""),IF(CC_Mode="Per loop",IFERROR(INDEX($C$4:$C$403,MATCH(323,$H$4:$H$403,0)),""),IF(CC_Mode="Per unit",IFERROR(INDEX($K$4:$K$15,MATCH(323,$N$4:$N$15,0)),""),IF(323=1,"All units",""))))</f>
        <v/>
      </c>
      <c r="T326" s="0" t="str">
        <f aca="false">IF(CC_Mode="Per equipment",IFERROR(INDEX($D$4:$D$403,MATCH(323,$I$4:$I$403,0)),""),IF(CC_Mode="Per loop",IFERROR(INDEX($D$4:$D$403,MATCH(323,$H$4:$H$403,0)),""),IF(CC_Mode="Per unit",IFERROR(INDEX($M$4:$M$15,MATCH(323,$N$4:$N$15,0)),""),IF(323=1,CC_V_GrandVol,""))))</f>
        <v/>
      </c>
      <c r="U326" s="0" t="str">
        <f aca="false">IF(CC_Mode="Per equipment",IFERROR(INDEX($E$4:$E$403,MATCH(323,$I$4:$I$403,0)),""),IF(CC_Mode="Per loop",IFERROR(INDEX($E$4:$E$403,MATCH(323,$H$4:$H$403,0)),""),IF(CC_Mode="Per unit",IFERROR(INDEX($L$4:$L$15,MATCH(323,$N$4:$N$15,0)),""),IF(323=1,CC_Net,""))))</f>
        <v/>
      </c>
    </row>
    <row r="327" customFormat="false" ht="15" hidden="false" customHeight="false" outlineLevel="0" collapsed="false">
      <c r="A327" s="0" t="s">
        <v>172</v>
      </c>
      <c r="B327" s="0" t="str">
        <f aca="false">'CC Item Pricing'!C320&amp;IF('CC Item Pricing'!D320="",""," – "&amp;'CC Item Pricing'!D320)</f>
        <v/>
      </c>
      <c r="C327" s="0" t="str">
        <f aca="false">INDEX(CC_UnitNames,'CC Item Pricing'!Y320)</f>
        <v>Unit 10</v>
      </c>
      <c r="D327" s="0" t="n">
        <f aca="false">N('CC Item Pricing'!G320)</f>
        <v>0</v>
      </c>
      <c r="E327" s="98" t="n">
        <f aca="false">'CC Item Pricing'!W320</f>
        <v>0</v>
      </c>
      <c r="F327" s="96" t="n">
        <f aca="false">IF(AND(G327=1,'CC Item Pricing'!B320=""),1,0)</f>
        <v>0</v>
      </c>
      <c r="G327" s="96" t="n">
        <f aca="false">IF(D327&gt;0,1,0)</f>
        <v>0</v>
      </c>
      <c r="H327" s="0" t="str">
        <f aca="false">IF(F327=1,COUNTIF($F$4:F327,1),"")</f>
        <v/>
      </c>
      <c r="I327" s="0" t="str">
        <f aca="false">IF(G327=1,COUNTIF($G$4:G327,1),"")</f>
        <v/>
      </c>
      <c r="R327" s="0" t="str">
        <f aca="false">IF(CC_Mode="Per equipment",IFERROR(INDEX($B$4:$B$403,MATCH(324,$I$4:$I$403,0)),""),IF(CC_Mode="Per loop",IFERROR(INDEX($B$4:$B$403,MATCH(324,$H$4:$H$403,0)),""),IF(CC_Mode="Per unit",IFERROR("Chemical cleaning – "&amp;INDEX($K$4:$K$15,MATCH(324,$N$4:$N$15,0)),""),IF(324=1,"LUMP SUM – "&amp;QProject,""))))</f>
        <v/>
      </c>
      <c r="S327" s="0" t="str">
        <f aca="false">IF(CC_Mode="Per equipment",IFERROR(INDEX($C$4:$C$403,MATCH(324,$I$4:$I$403,0)),""),IF(CC_Mode="Per loop",IFERROR(INDEX($C$4:$C$403,MATCH(324,$H$4:$H$403,0)),""),IF(CC_Mode="Per unit",IFERROR(INDEX($K$4:$K$15,MATCH(324,$N$4:$N$15,0)),""),IF(324=1,"All units",""))))</f>
        <v/>
      </c>
      <c r="T327" s="0" t="str">
        <f aca="false">IF(CC_Mode="Per equipment",IFERROR(INDEX($D$4:$D$403,MATCH(324,$I$4:$I$403,0)),""),IF(CC_Mode="Per loop",IFERROR(INDEX($D$4:$D$403,MATCH(324,$H$4:$H$403,0)),""),IF(CC_Mode="Per unit",IFERROR(INDEX($M$4:$M$15,MATCH(324,$N$4:$N$15,0)),""),IF(324=1,CC_V_GrandVol,""))))</f>
        <v/>
      </c>
      <c r="U327" s="0" t="str">
        <f aca="false">IF(CC_Mode="Per equipment",IFERROR(INDEX($E$4:$E$403,MATCH(324,$I$4:$I$403,0)),""),IF(CC_Mode="Per loop",IFERROR(INDEX($E$4:$E$403,MATCH(324,$H$4:$H$403,0)),""),IF(CC_Mode="Per unit",IFERROR(INDEX($L$4:$L$15,MATCH(324,$N$4:$N$15,0)),""),IF(324=1,CC_Net,""))))</f>
        <v/>
      </c>
    </row>
    <row r="328" customFormat="false" ht="15" hidden="false" customHeight="false" outlineLevel="0" collapsed="false">
      <c r="A328" s="0" t="s">
        <v>172</v>
      </c>
      <c r="B328" s="0" t="str">
        <f aca="false">'CC Item Pricing'!C321&amp;IF('CC Item Pricing'!D321="",""," – "&amp;'CC Item Pricing'!D321)</f>
        <v/>
      </c>
      <c r="C328" s="0" t="str">
        <f aca="false">INDEX(CC_UnitNames,'CC Item Pricing'!Y321)</f>
        <v>Unit 10</v>
      </c>
      <c r="D328" s="0" t="n">
        <f aca="false">N('CC Item Pricing'!G321)</f>
        <v>0</v>
      </c>
      <c r="E328" s="98" t="n">
        <f aca="false">'CC Item Pricing'!W321</f>
        <v>0</v>
      </c>
      <c r="F328" s="96" t="n">
        <f aca="false">IF(AND(G328=1,'CC Item Pricing'!B321=""),1,0)</f>
        <v>0</v>
      </c>
      <c r="G328" s="96" t="n">
        <f aca="false">IF(D328&gt;0,1,0)</f>
        <v>0</v>
      </c>
      <c r="H328" s="0" t="str">
        <f aca="false">IF(F328=1,COUNTIF($F$4:F328,1),"")</f>
        <v/>
      </c>
      <c r="I328" s="0" t="str">
        <f aca="false">IF(G328=1,COUNTIF($G$4:G328,1),"")</f>
        <v/>
      </c>
      <c r="R328" s="0" t="str">
        <f aca="false">IF(CC_Mode="Per equipment",IFERROR(INDEX($B$4:$B$403,MATCH(325,$I$4:$I$403,0)),""),IF(CC_Mode="Per loop",IFERROR(INDEX($B$4:$B$403,MATCH(325,$H$4:$H$403,0)),""),IF(CC_Mode="Per unit",IFERROR("Chemical cleaning – "&amp;INDEX($K$4:$K$15,MATCH(325,$N$4:$N$15,0)),""),IF(325=1,"LUMP SUM – "&amp;QProject,""))))</f>
        <v/>
      </c>
      <c r="S328" s="0" t="str">
        <f aca="false">IF(CC_Mode="Per equipment",IFERROR(INDEX($C$4:$C$403,MATCH(325,$I$4:$I$403,0)),""),IF(CC_Mode="Per loop",IFERROR(INDEX($C$4:$C$403,MATCH(325,$H$4:$H$403,0)),""),IF(CC_Mode="Per unit",IFERROR(INDEX($K$4:$K$15,MATCH(325,$N$4:$N$15,0)),""),IF(325=1,"All units",""))))</f>
        <v/>
      </c>
      <c r="T328" s="0" t="str">
        <f aca="false">IF(CC_Mode="Per equipment",IFERROR(INDEX($D$4:$D$403,MATCH(325,$I$4:$I$403,0)),""),IF(CC_Mode="Per loop",IFERROR(INDEX($D$4:$D$403,MATCH(325,$H$4:$H$403,0)),""),IF(CC_Mode="Per unit",IFERROR(INDEX($M$4:$M$15,MATCH(325,$N$4:$N$15,0)),""),IF(325=1,CC_V_GrandVol,""))))</f>
        <v/>
      </c>
      <c r="U328" s="0" t="str">
        <f aca="false">IF(CC_Mode="Per equipment",IFERROR(INDEX($E$4:$E$403,MATCH(325,$I$4:$I$403,0)),""),IF(CC_Mode="Per loop",IFERROR(INDEX($E$4:$E$403,MATCH(325,$H$4:$H$403,0)),""),IF(CC_Mode="Per unit",IFERROR(INDEX($L$4:$L$15,MATCH(325,$N$4:$N$15,0)),""),IF(325=1,CC_Net,""))))</f>
        <v/>
      </c>
    </row>
    <row r="329" customFormat="false" ht="15" hidden="false" customHeight="false" outlineLevel="0" collapsed="false">
      <c r="A329" s="0" t="s">
        <v>172</v>
      </c>
      <c r="B329" s="0" t="str">
        <f aca="false">'CC Item Pricing'!C322&amp;IF('CC Item Pricing'!D322="",""," – "&amp;'CC Item Pricing'!D322)</f>
        <v/>
      </c>
      <c r="C329" s="0" t="str">
        <f aca="false">INDEX(CC_UnitNames,'CC Item Pricing'!Y322)</f>
        <v>Unit 10</v>
      </c>
      <c r="D329" s="0" t="n">
        <f aca="false">N('CC Item Pricing'!G322)</f>
        <v>0</v>
      </c>
      <c r="E329" s="98" t="n">
        <f aca="false">'CC Item Pricing'!W322</f>
        <v>0</v>
      </c>
      <c r="F329" s="96" t="n">
        <f aca="false">IF(AND(G329=1,'CC Item Pricing'!B322=""),1,0)</f>
        <v>0</v>
      </c>
      <c r="G329" s="96" t="n">
        <f aca="false">IF(D329&gt;0,1,0)</f>
        <v>0</v>
      </c>
      <c r="H329" s="0" t="str">
        <f aca="false">IF(F329=1,COUNTIF($F$4:F329,1),"")</f>
        <v/>
      </c>
      <c r="I329" s="0" t="str">
        <f aca="false">IF(G329=1,COUNTIF($G$4:G329,1),"")</f>
        <v/>
      </c>
      <c r="R329" s="0" t="str">
        <f aca="false">IF(CC_Mode="Per equipment",IFERROR(INDEX($B$4:$B$403,MATCH(326,$I$4:$I$403,0)),""),IF(CC_Mode="Per loop",IFERROR(INDEX($B$4:$B$403,MATCH(326,$H$4:$H$403,0)),""),IF(CC_Mode="Per unit",IFERROR("Chemical cleaning – "&amp;INDEX($K$4:$K$15,MATCH(326,$N$4:$N$15,0)),""),IF(326=1,"LUMP SUM – "&amp;QProject,""))))</f>
        <v/>
      </c>
      <c r="S329" s="0" t="str">
        <f aca="false">IF(CC_Mode="Per equipment",IFERROR(INDEX($C$4:$C$403,MATCH(326,$I$4:$I$403,0)),""),IF(CC_Mode="Per loop",IFERROR(INDEX($C$4:$C$403,MATCH(326,$H$4:$H$403,0)),""),IF(CC_Mode="Per unit",IFERROR(INDEX($K$4:$K$15,MATCH(326,$N$4:$N$15,0)),""),IF(326=1,"All units",""))))</f>
        <v/>
      </c>
      <c r="T329" s="0" t="str">
        <f aca="false">IF(CC_Mode="Per equipment",IFERROR(INDEX($D$4:$D$403,MATCH(326,$I$4:$I$403,0)),""),IF(CC_Mode="Per loop",IFERROR(INDEX($D$4:$D$403,MATCH(326,$H$4:$H$403,0)),""),IF(CC_Mode="Per unit",IFERROR(INDEX($M$4:$M$15,MATCH(326,$N$4:$N$15,0)),""),IF(326=1,CC_V_GrandVol,""))))</f>
        <v/>
      </c>
      <c r="U329" s="0" t="str">
        <f aca="false">IF(CC_Mode="Per equipment",IFERROR(INDEX($E$4:$E$403,MATCH(326,$I$4:$I$403,0)),""),IF(CC_Mode="Per loop",IFERROR(INDEX($E$4:$E$403,MATCH(326,$H$4:$H$403,0)),""),IF(CC_Mode="Per unit",IFERROR(INDEX($L$4:$L$15,MATCH(326,$N$4:$N$15,0)),""),IF(326=1,CC_Net,""))))</f>
        <v/>
      </c>
    </row>
    <row r="330" customFormat="false" ht="15" hidden="false" customHeight="false" outlineLevel="0" collapsed="false">
      <c r="A330" s="0" t="s">
        <v>172</v>
      </c>
      <c r="B330" s="0" t="str">
        <f aca="false">'CC Item Pricing'!C323&amp;IF('CC Item Pricing'!D323="",""," – "&amp;'CC Item Pricing'!D323)</f>
        <v/>
      </c>
      <c r="C330" s="0" t="str">
        <f aca="false">INDEX(CC_UnitNames,'CC Item Pricing'!Y323)</f>
        <v>Unit 10</v>
      </c>
      <c r="D330" s="0" t="n">
        <f aca="false">N('CC Item Pricing'!G323)</f>
        <v>0</v>
      </c>
      <c r="E330" s="98" t="n">
        <f aca="false">'CC Item Pricing'!W323</f>
        <v>0</v>
      </c>
      <c r="F330" s="96" t="n">
        <f aca="false">IF(AND(G330=1,'CC Item Pricing'!B323=""),1,0)</f>
        <v>0</v>
      </c>
      <c r="G330" s="96" t="n">
        <f aca="false">IF(D330&gt;0,1,0)</f>
        <v>0</v>
      </c>
      <c r="H330" s="0" t="str">
        <f aca="false">IF(F330=1,COUNTIF($F$4:F330,1),"")</f>
        <v/>
      </c>
      <c r="I330" s="0" t="str">
        <f aca="false">IF(G330=1,COUNTIF($G$4:G330,1),"")</f>
        <v/>
      </c>
      <c r="R330" s="0" t="str">
        <f aca="false">IF(CC_Mode="Per equipment",IFERROR(INDEX($B$4:$B$403,MATCH(327,$I$4:$I$403,0)),""),IF(CC_Mode="Per loop",IFERROR(INDEX($B$4:$B$403,MATCH(327,$H$4:$H$403,0)),""),IF(CC_Mode="Per unit",IFERROR("Chemical cleaning – "&amp;INDEX($K$4:$K$15,MATCH(327,$N$4:$N$15,0)),""),IF(327=1,"LUMP SUM – "&amp;QProject,""))))</f>
        <v/>
      </c>
      <c r="S330" s="0" t="str">
        <f aca="false">IF(CC_Mode="Per equipment",IFERROR(INDEX($C$4:$C$403,MATCH(327,$I$4:$I$403,0)),""),IF(CC_Mode="Per loop",IFERROR(INDEX($C$4:$C$403,MATCH(327,$H$4:$H$403,0)),""),IF(CC_Mode="Per unit",IFERROR(INDEX($K$4:$K$15,MATCH(327,$N$4:$N$15,0)),""),IF(327=1,"All units",""))))</f>
        <v/>
      </c>
      <c r="T330" s="0" t="str">
        <f aca="false">IF(CC_Mode="Per equipment",IFERROR(INDEX($D$4:$D$403,MATCH(327,$I$4:$I$403,0)),""),IF(CC_Mode="Per loop",IFERROR(INDEX($D$4:$D$403,MATCH(327,$H$4:$H$403,0)),""),IF(CC_Mode="Per unit",IFERROR(INDEX($M$4:$M$15,MATCH(327,$N$4:$N$15,0)),""),IF(327=1,CC_V_GrandVol,""))))</f>
        <v/>
      </c>
      <c r="U330" s="0" t="str">
        <f aca="false">IF(CC_Mode="Per equipment",IFERROR(INDEX($E$4:$E$403,MATCH(327,$I$4:$I$403,0)),""),IF(CC_Mode="Per loop",IFERROR(INDEX($E$4:$E$403,MATCH(327,$H$4:$H$403,0)),""),IF(CC_Mode="Per unit",IFERROR(INDEX($L$4:$L$15,MATCH(327,$N$4:$N$15,0)),""),IF(327=1,CC_Net,""))))</f>
        <v/>
      </c>
    </row>
    <row r="331" customFormat="false" ht="15" hidden="false" customHeight="false" outlineLevel="0" collapsed="false">
      <c r="A331" s="0" t="s">
        <v>172</v>
      </c>
      <c r="B331" s="0" t="str">
        <f aca="false">'CC Item Pricing'!C324&amp;IF('CC Item Pricing'!D324="",""," – "&amp;'CC Item Pricing'!D324)</f>
        <v/>
      </c>
      <c r="C331" s="0" t="str">
        <f aca="false">INDEX(CC_UnitNames,'CC Item Pricing'!Y324)</f>
        <v>Unit 10</v>
      </c>
      <c r="D331" s="0" t="n">
        <f aca="false">N('CC Item Pricing'!G324)</f>
        <v>0</v>
      </c>
      <c r="E331" s="98" t="n">
        <f aca="false">'CC Item Pricing'!W324</f>
        <v>0</v>
      </c>
      <c r="F331" s="96" t="n">
        <f aca="false">IF(AND(G331=1,'CC Item Pricing'!B324=""),1,0)</f>
        <v>0</v>
      </c>
      <c r="G331" s="96" t="n">
        <f aca="false">IF(D331&gt;0,1,0)</f>
        <v>0</v>
      </c>
      <c r="H331" s="0" t="str">
        <f aca="false">IF(F331=1,COUNTIF($F$4:F331,1),"")</f>
        <v/>
      </c>
      <c r="I331" s="0" t="str">
        <f aca="false">IF(G331=1,COUNTIF($G$4:G331,1),"")</f>
        <v/>
      </c>
      <c r="R331" s="0" t="str">
        <f aca="false">IF(CC_Mode="Per equipment",IFERROR(INDEX($B$4:$B$403,MATCH(328,$I$4:$I$403,0)),""),IF(CC_Mode="Per loop",IFERROR(INDEX($B$4:$B$403,MATCH(328,$H$4:$H$403,0)),""),IF(CC_Mode="Per unit",IFERROR("Chemical cleaning – "&amp;INDEX($K$4:$K$15,MATCH(328,$N$4:$N$15,0)),""),IF(328=1,"LUMP SUM – "&amp;QProject,""))))</f>
        <v/>
      </c>
      <c r="S331" s="0" t="str">
        <f aca="false">IF(CC_Mode="Per equipment",IFERROR(INDEX($C$4:$C$403,MATCH(328,$I$4:$I$403,0)),""),IF(CC_Mode="Per loop",IFERROR(INDEX($C$4:$C$403,MATCH(328,$H$4:$H$403,0)),""),IF(CC_Mode="Per unit",IFERROR(INDEX($K$4:$K$15,MATCH(328,$N$4:$N$15,0)),""),IF(328=1,"All units",""))))</f>
        <v/>
      </c>
      <c r="T331" s="0" t="str">
        <f aca="false">IF(CC_Mode="Per equipment",IFERROR(INDEX($D$4:$D$403,MATCH(328,$I$4:$I$403,0)),""),IF(CC_Mode="Per loop",IFERROR(INDEX($D$4:$D$403,MATCH(328,$H$4:$H$403,0)),""),IF(CC_Mode="Per unit",IFERROR(INDEX($M$4:$M$15,MATCH(328,$N$4:$N$15,0)),""),IF(328=1,CC_V_GrandVol,""))))</f>
        <v/>
      </c>
      <c r="U331" s="0" t="str">
        <f aca="false">IF(CC_Mode="Per equipment",IFERROR(INDEX($E$4:$E$403,MATCH(328,$I$4:$I$403,0)),""),IF(CC_Mode="Per loop",IFERROR(INDEX($E$4:$E$403,MATCH(328,$H$4:$H$403,0)),""),IF(CC_Mode="Per unit",IFERROR(INDEX($L$4:$L$15,MATCH(328,$N$4:$N$15,0)),""),IF(328=1,CC_Net,""))))</f>
        <v/>
      </c>
    </row>
    <row r="332" customFormat="false" ht="15" hidden="false" customHeight="false" outlineLevel="0" collapsed="false">
      <c r="A332" s="0" t="s">
        <v>172</v>
      </c>
      <c r="B332" s="0" t="str">
        <f aca="false">'CC Item Pricing'!C325&amp;IF('CC Item Pricing'!D325="",""," – "&amp;'CC Item Pricing'!D325)</f>
        <v/>
      </c>
      <c r="C332" s="0" t="str">
        <f aca="false">INDEX(CC_UnitNames,'CC Item Pricing'!Y325)</f>
        <v>Unit 10</v>
      </c>
      <c r="D332" s="0" t="n">
        <f aca="false">N('CC Item Pricing'!G325)</f>
        <v>0</v>
      </c>
      <c r="E332" s="98" t="n">
        <f aca="false">'CC Item Pricing'!W325</f>
        <v>0</v>
      </c>
      <c r="F332" s="96" t="n">
        <f aca="false">IF(AND(G332=1,'CC Item Pricing'!B325=""),1,0)</f>
        <v>0</v>
      </c>
      <c r="G332" s="96" t="n">
        <f aca="false">IF(D332&gt;0,1,0)</f>
        <v>0</v>
      </c>
      <c r="H332" s="0" t="str">
        <f aca="false">IF(F332=1,COUNTIF($F$4:F332,1),"")</f>
        <v/>
      </c>
      <c r="I332" s="0" t="str">
        <f aca="false">IF(G332=1,COUNTIF($G$4:G332,1),"")</f>
        <v/>
      </c>
      <c r="R332" s="0" t="str">
        <f aca="false">IF(CC_Mode="Per equipment",IFERROR(INDEX($B$4:$B$403,MATCH(329,$I$4:$I$403,0)),""),IF(CC_Mode="Per loop",IFERROR(INDEX($B$4:$B$403,MATCH(329,$H$4:$H$403,0)),""),IF(CC_Mode="Per unit",IFERROR("Chemical cleaning – "&amp;INDEX($K$4:$K$15,MATCH(329,$N$4:$N$15,0)),""),IF(329=1,"LUMP SUM – "&amp;QProject,""))))</f>
        <v/>
      </c>
      <c r="S332" s="0" t="str">
        <f aca="false">IF(CC_Mode="Per equipment",IFERROR(INDEX($C$4:$C$403,MATCH(329,$I$4:$I$403,0)),""),IF(CC_Mode="Per loop",IFERROR(INDEX($C$4:$C$403,MATCH(329,$H$4:$H$403,0)),""),IF(CC_Mode="Per unit",IFERROR(INDEX($K$4:$K$15,MATCH(329,$N$4:$N$15,0)),""),IF(329=1,"All units",""))))</f>
        <v/>
      </c>
      <c r="T332" s="0" t="str">
        <f aca="false">IF(CC_Mode="Per equipment",IFERROR(INDEX($D$4:$D$403,MATCH(329,$I$4:$I$403,0)),""),IF(CC_Mode="Per loop",IFERROR(INDEX($D$4:$D$403,MATCH(329,$H$4:$H$403,0)),""),IF(CC_Mode="Per unit",IFERROR(INDEX($M$4:$M$15,MATCH(329,$N$4:$N$15,0)),""),IF(329=1,CC_V_GrandVol,""))))</f>
        <v/>
      </c>
      <c r="U332" s="0" t="str">
        <f aca="false">IF(CC_Mode="Per equipment",IFERROR(INDEX($E$4:$E$403,MATCH(329,$I$4:$I$403,0)),""),IF(CC_Mode="Per loop",IFERROR(INDEX($E$4:$E$403,MATCH(329,$H$4:$H$403,0)),""),IF(CC_Mode="Per unit",IFERROR(INDEX($L$4:$L$15,MATCH(329,$N$4:$N$15,0)),""),IF(329=1,CC_Net,""))))</f>
        <v/>
      </c>
    </row>
    <row r="333" customFormat="false" ht="15" hidden="false" customHeight="false" outlineLevel="0" collapsed="false">
      <c r="A333" s="0" t="s">
        <v>172</v>
      </c>
      <c r="B333" s="0" t="str">
        <f aca="false">'CC Item Pricing'!C326&amp;IF('CC Item Pricing'!D326="",""," – "&amp;'CC Item Pricing'!D326)</f>
        <v/>
      </c>
      <c r="C333" s="0" t="str">
        <f aca="false">INDEX(CC_UnitNames,'CC Item Pricing'!Y326)</f>
        <v>Unit 10</v>
      </c>
      <c r="D333" s="0" t="n">
        <f aca="false">N('CC Item Pricing'!G326)</f>
        <v>0</v>
      </c>
      <c r="E333" s="98" t="n">
        <f aca="false">'CC Item Pricing'!W326</f>
        <v>0</v>
      </c>
      <c r="F333" s="96" t="n">
        <f aca="false">IF(AND(G333=1,'CC Item Pricing'!B326=""),1,0)</f>
        <v>0</v>
      </c>
      <c r="G333" s="96" t="n">
        <f aca="false">IF(D333&gt;0,1,0)</f>
        <v>0</v>
      </c>
      <c r="H333" s="0" t="str">
        <f aca="false">IF(F333=1,COUNTIF($F$4:F333,1),"")</f>
        <v/>
      </c>
      <c r="I333" s="0" t="str">
        <f aca="false">IF(G333=1,COUNTIF($G$4:G333,1),"")</f>
        <v/>
      </c>
      <c r="R333" s="0" t="str">
        <f aca="false">IF(CC_Mode="Per equipment",IFERROR(INDEX($B$4:$B$403,MATCH(330,$I$4:$I$403,0)),""),IF(CC_Mode="Per loop",IFERROR(INDEX($B$4:$B$403,MATCH(330,$H$4:$H$403,0)),""),IF(CC_Mode="Per unit",IFERROR("Chemical cleaning – "&amp;INDEX($K$4:$K$15,MATCH(330,$N$4:$N$15,0)),""),IF(330=1,"LUMP SUM – "&amp;QProject,""))))</f>
        <v/>
      </c>
      <c r="S333" s="0" t="str">
        <f aca="false">IF(CC_Mode="Per equipment",IFERROR(INDEX($C$4:$C$403,MATCH(330,$I$4:$I$403,0)),""),IF(CC_Mode="Per loop",IFERROR(INDEX($C$4:$C$403,MATCH(330,$H$4:$H$403,0)),""),IF(CC_Mode="Per unit",IFERROR(INDEX($K$4:$K$15,MATCH(330,$N$4:$N$15,0)),""),IF(330=1,"All units",""))))</f>
        <v/>
      </c>
      <c r="T333" s="0" t="str">
        <f aca="false">IF(CC_Mode="Per equipment",IFERROR(INDEX($D$4:$D$403,MATCH(330,$I$4:$I$403,0)),""),IF(CC_Mode="Per loop",IFERROR(INDEX($D$4:$D$403,MATCH(330,$H$4:$H$403,0)),""),IF(CC_Mode="Per unit",IFERROR(INDEX($M$4:$M$15,MATCH(330,$N$4:$N$15,0)),""),IF(330=1,CC_V_GrandVol,""))))</f>
        <v/>
      </c>
      <c r="U333" s="0" t="str">
        <f aca="false">IF(CC_Mode="Per equipment",IFERROR(INDEX($E$4:$E$403,MATCH(330,$I$4:$I$403,0)),""),IF(CC_Mode="Per loop",IFERROR(INDEX($E$4:$E$403,MATCH(330,$H$4:$H$403,0)),""),IF(CC_Mode="Per unit",IFERROR(INDEX($L$4:$L$15,MATCH(330,$N$4:$N$15,0)),""),IF(330=1,CC_Net,""))))</f>
        <v/>
      </c>
    </row>
    <row r="334" customFormat="false" ht="15" hidden="false" customHeight="false" outlineLevel="0" collapsed="false">
      <c r="A334" s="0" t="s">
        <v>172</v>
      </c>
      <c r="B334" s="0" t="str">
        <f aca="false">'CC Item Pricing'!C327&amp;IF('CC Item Pricing'!D327="",""," – "&amp;'CC Item Pricing'!D327)</f>
        <v/>
      </c>
      <c r="C334" s="0" t="str">
        <f aca="false">INDEX(CC_UnitNames,'CC Item Pricing'!Y327)</f>
        <v>Unit 10</v>
      </c>
      <c r="D334" s="0" t="n">
        <f aca="false">N('CC Item Pricing'!G327)</f>
        <v>0</v>
      </c>
      <c r="E334" s="98" t="n">
        <f aca="false">'CC Item Pricing'!W327</f>
        <v>0</v>
      </c>
      <c r="F334" s="96" t="n">
        <f aca="false">IF(AND(G334=1,'CC Item Pricing'!B327=""),1,0)</f>
        <v>0</v>
      </c>
      <c r="G334" s="96" t="n">
        <f aca="false">IF(D334&gt;0,1,0)</f>
        <v>0</v>
      </c>
      <c r="H334" s="0" t="str">
        <f aca="false">IF(F334=1,COUNTIF($F$4:F334,1),"")</f>
        <v/>
      </c>
      <c r="I334" s="0" t="str">
        <f aca="false">IF(G334=1,COUNTIF($G$4:G334,1),"")</f>
        <v/>
      </c>
      <c r="R334" s="0" t="str">
        <f aca="false">IF(CC_Mode="Per equipment",IFERROR(INDEX($B$4:$B$403,MATCH(331,$I$4:$I$403,0)),""),IF(CC_Mode="Per loop",IFERROR(INDEX($B$4:$B$403,MATCH(331,$H$4:$H$403,0)),""),IF(CC_Mode="Per unit",IFERROR("Chemical cleaning – "&amp;INDEX($K$4:$K$15,MATCH(331,$N$4:$N$15,0)),""),IF(331=1,"LUMP SUM – "&amp;QProject,""))))</f>
        <v/>
      </c>
      <c r="S334" s="0" t="str">
        <f aca="false">IF(CC_Mode="Per equipment",IFERROR(INDEX($C$4:$C$403,MATCH(331,$I$4:$I$403,0)),""),IF(CC_Mode="Per loop",IFERROR(INDEX($C$4:$C$403,MATCH(331,$H$4:$H$403,0)),""),IF(CC_Mode="Per unit",IFERROR(INDEX($K$4:$K$15,MATCH(331,$N$4:$N$15,0)),""),IF(331=1,"All units",""))))</f>
        <v/>
      </c>
      <c r="T334" s="0" t="str">
        <f aca="false">IF(CC_Mode="Per equipment",IFERROR(INDEX($D$4:$D$403,MATCH(331,$I$4:$I$403,0)),""),IF(CC_Mode="Per loop",IFERROR(INDEX($D$4:$D$403,MATCH(331,$H$4:$H$403,0)),""),IF(CC_Mode="Per unit",IFERROR(INDEX($M$4:$M$15,MATCH(331,$N$4:$N$15,0)),""),IF(331=1,CC_V_GrandVol,""))))</f>
        <v/>
      </c>
      <c r="U334" s="0" t="str">
        <f aca="false">IF(CC_Mode="Per equipment",IFERROR(INDEX($E$4:$E$403,MATCH(331,$I$4:$I$403,0)),""),IF(CC_Mode="Per loop",IFERROR(INDEX($E$4:$E$403,MATCH(331,$H$4:$H$403,0)),""),IF(CC_Mode="Per unit",IFERROR(INDEX($L$4:$L$15,MATCH(331,$N$4:$N$15,0)),""),IF(331=1,CC_Net,""))))</f>
        <v/>
      </c>
    </row>
    <row r="335" customFormat="false" ht="15" hidden="false" customHeight="false" outlineLevel="0" collapsed="false">
      <c r="A335" s="0" t="s">
        <v>172</v>
      </c>
      <c r="B335" s="0" t="str">
        <f aca="false">'CC Item Pricing'!C328&amp;IF('CC Item Pricing'!D328="",""," – "&amp;'CC Item Pricing'!D328)</f>
        <v/>
      </c>
      <c r="C335" s="0" t="str">
        <f aca="false">INDEX(CC_UnitNames,'CC Item Pricing'!Y328)</f>
        <v>Unit 10</v>
      </c>
      <c r="D335" s="0" t="n">
        <f aca="false">N('CC Item Pricing'!G328)</f>
        <v>0</v>
      </c>
      <c r="E335" s="98" t="n">
        <f aca="false">'CC Item Pricing'!W328</f>
        <v>0</v>
      </c>
      <c r="F335" s="96" t="n">
        <f aca="false">IF(AND(G335=1,'CC Item Pricing'!B328=""),1,0)</f>
        <v>0</v>
      </c>
      <c r="G335" s="96" t="n">
        <f aca="false">IF(D335&gt;0,1,0)</f>
        <v>0</v>
      </c>
      <c r="H335" s="0" t="str">
        <f aca="false">IF(F335=1,COUNTIF($F$4:F335,1),"")</f>
        <v/>
      </c>
      <c r="I335" s="0" t="str">
        <f aca="false">IF(G335=1,COUNTIF($G$4:G335,1),"")</f>
        <v/>
      </c>
      <c r="R335" s="0" t="str">
        <f aca="false">IF(CC_Mode="Per equipment",IFERROR(INDEX($B$4:$B$403,MATCH(332,$I$4:$I$403,0)),""),IF(CC_Mode="Per loop",IFERROR(INDEX($B$4:$B$403,MATCH(332,$H$4:$H$403,0)),""),IF(CC_Mode="Per unit",IFERROR("Chemical cleaning – "&amp;INDEX($K$4:$K$15,MATCH(332,$N$4:$N$15,0)),""),IF(332=1,"LUMP SUM – "&amp;QProject,""))))</f>
        <v/>
      </c>
      <c r="S335" s="0" t="str">
        <f aca="false">IF(CC_Mode="Per equipment",IFERROR(INDEX($C$4:$C$403,MATCH(332,$I$4:$I$403,0)),""),IF(CC_Mode="Per loop",IFERROR(INDEX($C$4:$C$403,MATCH(332,$H$4:$H$403,0)),""),IF(CC_Mode="Per unit",IFERROR(INDEX($K$4:$K$15,MATCH(332,$N$4:$N$15,0)),""),IF(332=1,"All units",""))))</f>
        <v/>
      </c>
      <c r="T335" s="0" t="str">
        <f aca="false">IF(CC_Mode="Per equipment",IFERROR(INDEX($D$4:$D$403,MATCH(332,$I$4:$I$403,0)),""),IF(CC_Mode="Per loop",IFERROR(INDEX($D$4:$D$403,MATCH(332,$H$4:$H$403,0)),""),IF(CC_Mode="Per unit",IFERROR(INDEX($M$4:$M$15,MATCH(332,$N$4:$N$15,0)),""),IF(332=1,CC_V_GrandVol,""))))</f>
        <v/>
      </c>
      <c r="U335" s="0" t="str">
        <f aca="false">IF(CC_Mode="Per equipment",IFERROR(INDEX($E$4:$E$403,MATCH(332,$I$4:$I$403,0)),""),IF(CC_Mode="Per loop",IFERROR(INDEX($E$4:$E$403,MATCH(332,$H$4:$H$403,0)),""),IF(CC_Mode="Per unit",IFERROR(INDEX($L$4:$L$15,MATCH(332,$N$4:$N$15,0)),""),IF(332=1,CC_Net,""))))</f>
        <v/>
      </c>
    </row>
    <row r="336" customFormat="false" ht="15" hidden="false" customHeight="false" outlineLevel="0" collapsed="false">
      <c r="A336" s="0" t="s">
        <v>172</v>
      </c>
      <c r="B336" s="0" t="str">
        <f aca="false">'CC Item Pricing'!C329&amp;IF('CC Item Pricing'!D329="",""," – "&amp;'CC Item Pricing'!D329)</f>
        <v/>
      </c>
      <c r="C336" s="0" t="str">
        <f aca="false">INDEX(CC_UnitNames,'CC Item Pricing'!Y329)</f>
        <v>Unit 10</v>
      </c>
      <c r="D336" s="0" t="n">
        <f aca="false">N('CC Item Pricing'!G329)</f>
        <v>0</v>
      </c>
      <c r="E336" s="98" t="n">
        <f aca="false">'CC Item Pricing'!W329</f>
        <v>0</v>
      </c>
      <c r="F336" s="96" t="n">
        <f aca="false">IF(AND(G336=1,'CC Item Pricing'!B329=""),1,0)</f>
        <v>0</v>
      </c>
      <c r="G336" s="96" t="n">
        <f aca="false">IF(D336&gt;0,1,0)</f>
        <v>0</v>
      </c>
      <c r="H336" s="0" t="str">
        <f aca="false">IF(F336=1,COUNTIF($F$4:F336,1),"")</f>
        <v/>
      </c>
      <c r="I336" s="0" t="str">
        <f aca="false">IF(G336=1,COUNTIF($G$4:G336,1),"")</f>
        <v/>
      </c>
      <c r="R336" s="0" t="str">
        <f aca="false">IF(CC_Mode="Per equipment",IFERROR(INDEX($B$4:$B$403,MATCH(333,$I$4:$I$403,0)),""),IF(CC_Mode="Per loop",IFERROR(INDEX($B$4:$B$403,MATCH(333,$H$4:$H$403,0)),""),IF(CC_Mode="Per unit",IFERROR("Chemical cleaning – "&amp;INDEX($K$4:$K$15,MATCH(333,$N$4:$N$15,0)),""),IF(333=1,"LUMP SUM – "&amp;QProject,""))))</f>
        <v/>
      </c>
      <c r="S336" s="0" t="str">
        <f aca="false">IF(CC_Mode="Per equipment",IFERROR(INDEX($C$4:$C$403,MATCH(333,$I$4:$I$403,0)),""),IF(CC_Mode="Per loop",IFERROR(INDEX($C$4:$C$403,MATCH(333,$H$4:$H$403,0)),""),IF(CC_Mode="Per unit",IFERROR(INDEX($K$4:$K$15,MATCH(333,$N$4:$N$15,0)),""),IF(333=1,"All units",""))))</f>
        <v/>
      </c>
      <c r="T336" s="0" t="str">
        <f aca="false">IF(CC_Mode="Per equipment",IFERROR(INDEX($D$4:$D$403,MATCH(333,$I$4:$I$403,0)),""),IF(CC_Mode="Per loop",IFERROR(INDEX($D$4:$D$403,MATCH(333,$H$4:$H$403,0)),""),IF(CC_Mode="Per unit",IFERROR(INDEX($M$4:$M$15,MATCH(333,$N$4:$N$15,0)),""),IF(333=1,CC_V_GrandVol,""))))</f>
        <v/>
      </c>
      <c r="U336" s="0" t="str">
        <f aca="false">IF(CC_Mode="Per equipment",IFERROR(INDEX($E$4:$E$403,MATCH(333,$I$4:$I$403,0)),""),IF(CC_Mode="Per loop",IFERROR(INDEX($E$4:$E$403,MATCH(333,$H$4:$H$403,0)),""),IF(CC_Mode="Per unit",IFERROR(INDEX($L$4:$L$15,MATCH(333,$N$4:$N$15,0)),""),IF(333=1,CC_Net,""))))</f>
        <v/>
      </c>
    </row>
    <row r="337" customFormat="false" ht="15" hidden="false" customHeight="false" outlineLevel="0" collapsed="false">
      <c r="A337" s="0" t="s">
        <v>172</v>
      </c>
      <c r="B337" s="0" t="str">
        <f aca="false">'CC Item Pricing'!C330&amp;IF('CC Item Pricing'!D330="",""," – "&amp;'CC Item Pricing'!D330)</f>
        <v/>
      </c>
      <c r="C337" s="0" t="str">
        <f aca="false">INDEX(CC_UnitNames,'CC Item Pricing'!Y330)</f>
        <v>Unit 10</v>
      </c>
      <c r="D337" s="0" t="n">
        <f aca="false">N('CC Item Pricing'!G330)</f>
        <v>0</v>
      </c>
      <c r="E337" s="98" t="n">
        <f aca="false">'CC Item Pricing'!W330</f>
        <v>0</v>
      </c>
      <c r="F337" s="96" t="n">
        <f aca="false">IF(AND(G337=1,'CC Item Pricing'!B330=""),1,0)</f>
        <v>0</v>
      </c>
      <c r="G337" s="96" t="n">
        <f aca="false">IF(D337&gt;0,1,0)</f>
        <v>0</v>
      </c>
      <c r="H337" s="0" t="str">
        <f aca="false">IF(F337=1,COUNTIF($F$4:F337,1),"")</f>
        <v/>
      </c>
      <c r="I337" s="0" t="str">
        <f aca="false">IF(G337=1,COUNTIF($G$4:G337,1),"")</f>
        <v/>
      </c>
      <c r="R337" s="0" t="str">
        <f aca="false">IF(CC_Mode="Per equipment",IFERROR(INDEX($B$4:$B$403,MATCH(334,$I$4:$I$403,0)),""),IF(CC_Mode="Per loop",IFERROR(INDEX($B$4:$B$403,MATCH(334,$H$4:$H$403,0)),""),IF(CC_Mode="Per unit",IFERROR("Chemical cleaning – "&amp;INDEX($K$4:$K$15,MATCH(334,$N$4:$N$15,0)),""),IF(334=1,"LUMP SUM – "&amp;QProject,""))))</f>
        <v/>
      </c>
      <c r="S337" s="0" t="str">
        <f aca="false">IF(CC_Mode="Per equipment",IFERROR(INDEX($C$4:$C$403,MATCH(334,$I$4:$I$403,0)),""),IF(CC_Mode="Per loop",IFERROR(INDEX($C$4:$C$403,MATCH(334,$H$4:$H$403,0)),""),IF(CC_Mode="Per unit",IFERROR(INDEX($K$4:$K$15,MATCH(334,$N$4:$N$15,0)),""),IF(334=1,"All units",""))))</f>
        <v/>
      </c>
      <c r="T337" s="0" t="str">
        <f aca="false">IF(CC_Mode="Per equipment",IFERROR(INDEX($D$4:$D$403,MATCH(334,$I$4:$I$403,0)),""),IF(CC_Mode="Per loop",IFERROR(INDEX($D$4:$D$403,MATCH(334,$H$4:$H$403,0)),""),IF(CC_Mode="Per unit",IFERROR(INDEX($M$4:$M$15,MATCH(334,$N$4:$N$15,0)),""),IF(334=1,CC_V_GrandVol,""))))</f>
        <v/>
      </c>
      <c r="U337" s="0" t="str">
        <f aca="false">IF(CC_Mode="Per equipment",IFERROR(INDEX($E$4:$E$403,MATCH(334,$I$4:$I$403,0)),""),IF(CC_Mode="Per loop",IFERROR(INDEX($E$4:$E$403,MATCH(334,$H$4:$H$403,0)),""),IF(CC_Mode="Per unit",IFERROR(INDEX($L$4:$L$15,MATCH(334,$N$4:$N$15,0)),""),IF(334=1,CC_Net,""))))</f>
        <v/>
      </c>
    </row>
    <row r="338" customFormat="false" ht="15" hidden="false" customHeight="false" outlineLevel="0" collapsed="false">
      <c r="A338" s="0" t="s">
        <v>172</v>
      </c>
      <c r="B338" s="0" t="str">
        <f aca="false">'CC Item Pricing'!C331&amp;IF('CC Item Pricing'!D331="",""," – "&amp;'CC Item Pricing'!D331)</f>
        <v/>
      </c>
      <c r="C338" s="0" t="str">
        <f aca="false">INDEX(CC_UnitNames,'CC Item Pricing'!Y331)</f>
        <v>Unit 10</v>
      </c>
      <c r="D338" s="0" t="n">
        <f aca="false">N('CC Item Pricing'!G331)</f>
        <v>0</v>
      </c>
      <c r="E338" s="98" t="n">
        <f aca="false">'CC Item Pricing'!W331</f>
        <v>0</v>
      </c>
      <c r="F338" s="96" t="n">
        <f aca="false">IF(AND(G338=1,'CC Item Pricing'!B331=""),1,0)</f>
        <v>0</v>
      </c>
      <c r="G338" s="96" t="n">
        <f aca="false">IF(D338&gt;0,1,0)</f>
        <v>0</v>
      </c>
      <c r="H338" s="0" t="str">
        <f aca="false">IF(F338=1,COUNTIF($F$4:F338,1),"")</f>
        <v/>
      </c>
      <c r="I338" s="0" t="str">
        <f aca="false">IF(G338=1,COUNTIF($G$4:G338,1),"")</f>
        <v/>
      </c>
      <c r="R338" s="0" t="str">
        <f aca="false">IF(CC_Mode="Per equipment",IFERROR(INDEX($B$4:$B$403,MATCH(335,$I$4:$I$403,0)),""),IF(CC_Mode="Per loop",IFERROR(INDEX($B$4:$B$403,MATCH(335,$H$4:$H$403,0)),""),IF(CC_Mode="Per unit",IFERROR("Chemical cleaning – "&amp;INDEX($K$4:$K$15,MATCH(335,$N$4:$N$15,0)),""),IF(335=1,"LUMP SUM – "&amp;QProject,""))))</f>
        <v/>
      </c>
      <c r="S338" s="0" t="str">
        <f aca="false">IF(CC_Mode="Per equipment",IFERROR(INDEX($C$4:$C$403,MATCH(335,$I$4:$I$403,0)),""),IF(CC_Mode="Per loop",IFERROR(INDEX($C$4:$C$403,MATCH(335,$H$4:$H$403,0)),""),IF(CC_Mode="Per unit",IFERROR(INDEX($K$4:$K$15,MATCH(335,$N$4:$N$15,0)),""),IF(335=1,"All units",""))))</f>
        <v/>
      </c>
      <c r="T338" s="0" t="str">
        <f aca="false">IF(CC_Mode="Per equipment",IFERROR(INDEX($D$4:$D$403,MATCH(335,$I$4:$I$403,0)),""),IF(CC_Mode="Per loop",IFERROR(INDEX($D$4:$D$403,MATCH(335,$H$4:$H$403,0)),""),IF(CC_Mode="Per unit",IFERROR(INDEX($M$4:$M$15,MATCH(335,$N$4:$N$15,0)),""),IF(335=1,CC_V_GrandVol,""))))</f>
        <v/>
      </c>
      <c r="U338" s="0" t="str">
        <f aca="false">IF(CC_Mode="Per equipment",IFERROR(INDEX($E$4:$E$403,MATCH(335,$I$4:$I$403,0)),""),IF(CC_Mode="Per loop",IFERROR(INDEX($E$4:$E$403,MATCH(335,$H$4:$H$403,0)),""),IF(CC_Mode="Per unit",IFERROR(INDEX($L$4:$L$15,MATCH(335,$N$4:$N$15,0)),""),IF(335=1,CC_Net,""))))</f>
        <v/>
      </c>
    </row>
    <row r="339" customFormat="false" ht="15" hidden="false" customHeight="false" outlineLevel="0" collapsed="false">
      <c r="A339" s="0" t="s">
        <v>172</v>
      </c>
      <c r="B339" s="0" t="str">
        <f aca="false">'CC Item Pricing'!C332&amp;IF('CC Item Pricing'!D332="",""," – "&amp;'CC Item Pricing'!D332)</f>
        <v/>
      </c>
      <c r="C339" s="0" t="str">
        <f aca="false">INDEX(CC_UnitNames,'CC Item Pricing'!Y332)</f>
        <v>Unit 10</v>
      </c>
      <c r="D339" s="0" t="n">
        <f aca="false">N('CC Item Pricing'!G332)</f>
        <v>0</v>
      </c>
      <c r="E339" s="98" t="n">
        <f aca="false">'CC Item Pricing'!W332</f>
        <v>0</v>
      </c>
      <c r="F339" s="96" t="n">
        <f aca="false">IF(AND(G339=1,'CC Item Pricing'!B332=""),1,0)</f>
        <v>0</v>
      </c>
      <c r="G339" s="96" t="n">
        <f aca="false">IF(D339&gt;0,1,0)</f>
        <v>0</v>
      </c>
      <c r="H339" s="0" t="str">
        <f aca="false">IF(F339=1,COUNTIF($F$4:F339,1),"")</f>
        <v/>
      </c>
      <c r="I339" s="0" t="str">
        <f aca="false">IF(G339=1,COUNTIF($G$4:G339,1),"")</f>
        <v/>
      </c>
      <c r="R339" s="0" t="str">
        <f aca="false">IF(CC_Mode="Per equipment",IFERROR(INDEX($B$4:$B$403,MATCH(336,$I$4:$I$403,0)),""),IF(CC_Mode="Per loop",IFERROR(INDEX($B$4:$B$403,MATCH(336,$H$4:$H$403,0)),""),IF(CC_Mode="Per unit",IFERROR("Chemical cleaning – "&amp;INDEX($K$4:$K$15,MATCH(336,$N$4:$N$15,0)),""),IF(336=1,"LUMP SUM – "&amp;QProject,""))))</f>
        <v/>
      </c>
      <c r="S339" s="0" t="str">
        <f aca="false">IF(CC_Mode="Per equipment",IFERROR(INDEX($C$4:$C$403,MATCH(336,$I$4:$I$403,0)),""),IF(CC_Mode="Per loop",IFERROR(INDEX($C$4:$C$403,MATCH(336,$H$4:$H$403,0)),""),IF(CC_Mode="Per unit",IFERROR(INDEX($K$4:$K$15,MATCH(336,$N$4:$N$15,0)),""),IF(336=1,"All units",""))))</f>
        <v/>
      </c>
      <c r="T339" s="0" t="str">
        <f aca="false">IF(CC_Mode="Per equipment",IFERROR(INDEX($D$4:$D$403,MATCH(336,$I$4:$I$403,0)),""),IF(CC_Mode="Per loop",IFERROR(INDEX($D$4:$D$403,MATCH(336,$H$4:$H$403,0)),""),IF(CC_Mode="Per unit",IFERROR(INDEX($M$4:$M$15,MATCH(336,$N$4:$N$15,0)),""),IF(336=1,CC_V_GrandVol,""))))</f>
        <v/>
      </c>
      <c r="U339" s="0" t="str">
        <f aca="false">IF(CC_Mode="Per equipment",IFERROR(INDEX($E$4:$E$403,MATCH(336,$I$4:$I$403,0)),""),IF(CC_Mode="Per loop",IFERROR(INDEX($E$4:$E$403,MATCH(336,$H$4:$H$403,0)),""),IF(CC_Mode="Per unit",IFERROR(INDEX($L$4:$L$15,MATCH(336,$N$4:$N$15,0)),""),IF(336=1,CC_Net,""))))</f>
        <v/>
      </c>
    </row>
    <row r="340" customFormat="false" ht="15" hidden="false" customHeight="false" outlineLevel="0" collapsed="false">
      <c r="A340" s="0" t="s">
        <v>172</v>
      </c>
      <c r="B340" s="0" t="str">
        <f aca="false">'CC Item Pricing'!C333&amp;IF('CC Item Pricing'!D333="",""," – "&amp;'CC Item Pricing'!D333)</f>
        <v/>
      </c>
      <c r="C340" s="0" t="str">
        <f aca="false">INDEX(CC_UnitNames,'CC Item Pricing'!Y333)</f>
        <v>Unit 10</v>
      </c>
      <c r="D340" s="0" t="n">
        <f aca="false">N('CC Item Pricing'!G333)</f>
        <v>0</v>
      </c>
      <c r="E340" s="98" t="n">
        <f aca="false">'CC Item Pricing'!W333</f>
        <v>0</v>
      </c>
      <c r="F340" s="96" t="n">
        <f aca="false">IF(AND(G340=1,'CC Item Pricing'!B333=""),1,0)</f>
        <v>0</v>
      </c>
      <c r="G340" s="96" t="n">
        <f aca="false">IF(D340&gt;0,1,0)</f>
        <v>0</v>
      </c>
      <c r="H340" s="0" t="str">
        <f aca="false">IF(F340=1,COUNTIF($F$4:F340,1),"")</f>
        <v/>
      </c>
      <c r="I340" s="0" t="str">
        <f aca="false">IF(G340=1,COUNTIF($G$4:G340,1),"")</f>
        <v/>
      </c>
      <c r="R340" s="0" t="str">
        <f aca="false">IF(CC_Mode="Per equipment",IFERROR(INDEX($B$4:$B$403,MATCH(337,$I$4:$I$403,0)),""),IF(CC_Mode="Per loop",IFERROR(INDEX($B$4:$B$403,MATCH(337,$H$4:$H$403,0)),""),IF(CC_Mode="Per unit",IFERROR("Chemical cleaning – "&amp;INDEX($K$4:$K$15,MATCH(337,$N$4:$N$15,0)),""),IF(337=1,"LUMP SUM – "&amp;QProject,""))))</f>
        <v/>
      </c>
      <c r="S340" s="0" t="str">
        <f aca="false">IF(CC_Mode="Per equipment",IFERROR(INDEX($C$4:$C$403,MATCH(337,$I$4:$I$403,0)),""),IF(CC_Mode="Per loop",IFERROR(INDEX($C$4:$C$403,MATCH(337,$H$4:$H$403,0)),""),IF(CC_Mode="Per unit",IFERROR(INDEX($K$4:$K$15,MATCH(337,$N$4:$N$15,0)),""),IF(337=1,"All units",""))))</f>
        <v/>
      </c>
      <c r="T340" s="0" t="str">
        <f aca="false">IF(CC_Mode="Per equipment",IFERROR(INDEX($D$4:$D$403,MATCH(337,$I$4:$I$403,0)),""),IF(CC_Mode="Per loop",IFERROR(INDEX($D$4:$D$403,MATCH(337,$H$4:$H$403,0)),""),IF(CC_Mode="Per unit",IFERROR(INDEX($M$4:$M$15,MATCH(337,$N$4:$N$15,0)),""),IF(337=1,CC_V_GrandVol,""))))</f>
        <v/>
      </c>
      <c r="U340" s="0" t="str">
        <f aca="false">IF(CC_Mode="Per equipment",IFERROR(INDEX($E$4:$E$403,MATCH(337,$I$4:$I$403,0)),""),IF(CC_Mode="Per loop",IFERROR(INDEX($E$4:$E$403,MATCH(337,$H$4:$H$403,0)),""),IF(CC_Mode="Per unit",IFERROR(INDEX($L$4:$L$15,MATCH(337,$N$4:$N$15,0)),""),IF(337=1,CC_Net,""))))</f>
        <v/>
      </c>
    </row>
    <row r="341" customFormat="false" ht="15" hidden="false" customHeight="false" outlineLevel="0" collapsed="false">
      <c r="A341" s="0" t="s">
        <v>172</v>
      </c>
      <c r="B341" s="0" t="str">
        <f aca="false">'CC Item Pricing'!C334&amp;IF('CC Item Pricing'!D334="",""," – "&amp;'CC Item Pricing'!D334)</f>
        <v/>
      </c>
      <c r="C341" s="0" t="str">
        <f aca="false">INDEX(CC_UnitNames,'CC Item Pricing'!Y334)</f>
        <v>Unit 10</v>
      </c>
      <c r="D341" s="0" t="n">
        <f aca="false">N('CC Item Pricing'!G334)</f>
        <v>0</v>
      </c>
      <c r="E341" s="98" t="n">
        <f aca="false">'CC Item Pricing'!W334</f>
        <v>0</v>
      </c>
      <c r="F341" s="96" t="n">
        <f aca="false">IF(AND(G341=1,'CC Item Pricing'!B334=""),1,0)</f>
        <v>0</v>
      </c>
      <c r="G341" s="96" t="n">
        <f aca="false">IF(D341&gt;0,1,0)</f>
        <v>0</v>
      </c>
      <c r="H341" s="0" t="str">
        <f aca="false">IF(F341=1,COUNTIF($F$4:F341,1),"")</f>
        <v/>
      </c>
      <c r="I341" s="0" t="str">
        <f aca="false">IF(G341=1,COUNTIF($G$4:G341,1),"")</f>
        <v/>
      </c>
      <c r="R341" s="0" t="str">
        <f aca="false">IF(CC_Mode="Per equipment",IFERROR(INDEX($B$4:$B$403,MATCH(338,$I$4:$I$403,0)),""),IF(CC_Mode="Per loop",IFERROR(INDEX($B$4:$B$403,MATCH(338,$H$4:$H$403,0)),""),IF(CC_Mode="Per unit",IFERROR("Chemical cleaning – "&amp;INDEX($K$4:$K$15,MATCH(338,$N$4:$N$15,0)),""),IF(338=1,"LUMP SUM – "&amp;QProject,""))))</f>
        <v/>
      </c>
      <c r="S341" s="0" t="str">
        <f aca="false">IF(CC_Mode="Per equipment",IFERROR(INDEX($C$4:$C$403,MATCH(338,$I$4:$I$403,0)),""),IF(CC_Mode="Per loop",IFERROR(INDEX($C$4:$C$403,MATCH(338,$H$4:$H$403,0)),""),IF(CC_Mode="Per unit",IFERROR(INDEX($K$4:$K$15,MATCH(338,$N$4:$N$15,0)),""),IF(338=1,"All units",""))))</f>
        <v/>
      </c>
      <c r="T341" s="0" t="str">
        <f aca="false">IF(CC_Mode="Per equipment",IFERROR(INDEX($D$4:$D$403,MATCH(338,$I$4:$I$403,0)),""),IF(CC_Mode="Per loop",IFERROR(INDEX($D$4:$D$403,MATCH(338,$H$4:$H$403,0)),""),IF(CC_Mode="Per unit",IFERROR(INDEX($M$4:$M$15,MATCH(338,$N$4:$N$15,0)),""),IF(338=1,CC_V_GrandVol,""))))</f>
        <v/>
      </c>
      <c r="U341" s="0" t="str">
        <f aca="false">IF(CC_Mode="Per equipment",IFERROR(INDEX($E$4:$E$403,MATCH(338,$I$4:$I$403,0)),""),IF(CC_Mode="Per loop",IFERROR(INDEX($E$4:$E$403,MATCH(338,$H$4:$H$403,0)),""),IF(CC_Mode="Per unit",IFERROR(INDEX($L$4:$L$15,MATCH(338,$N$4:$N$15,0)),""),IF(338=1,CC_Net,""))))</f>
        <v/>
      </c>
    </row>
    <row r="342" customFormat="false" ht="15" hidden="false" customHeight="false" outlineLevel="0" collapsed="false">
      <c r="A342" s="0" t="s">
        <v>172</v>
      </c>
      <c r="B342" s="0" t="str">
        <f aca="false">'CC Item Pricing'!C335&amp;IF('CC Item Pricing'!D335="",""," – "&amp;'CC Item Pricing'!D335)</f>
        <v/>
      </c>
      <c r="C342" s="0" t="str">
        <f aca="false">INDEX(CC_UnitNames,'CC Item Pricing'!Y335)</f>
        <v>Unit 10</v>
      </c>
      <c r="D342" s="0" t="n">
        <f aca="false">N('CC Item Pricing'!G335)</f>
        <v>0</v>
      </c>
      <c r="E342" s="98" t="n">
        <f aca="false">'CC Item Pricing'!W335</f>
        <v>0</v>
      </c>
      <c r="F342" s="96" t="n">
        <f aca="false">IF(AND(G342=1,'CC Item Pricing'!B335=""),1,0)</f>
        <v>0</v>
      </c>
      <c r="G342" s="96" t="n">
        <f aca="false">IF(D342&gt;0,1,0)</f>
        <v>0</v>
      </c>
      <c r="H342" s="0" t="str">
        <f aca="false">IF(F342=1,COUNTIF($F$4:F342,1),"")</f>
        <v/>
      </c>
      <c r="I342" s="0" t="str">
        <f aca="false">IF(G342=1,COUNTIF($G$4:G342,1),"")</f>
        <v/>
      </c>
      <c r="R342" s="0" t="str">
        <f aca="false">IF(CC_Mode="Per equipment",IFERROR(INDEX($B$4:$B$403,MATCH(339,$I$4:$I$403,0)),""),IF(CC_Mode="Per loop",IFERROR(INDEX($B$4:$B$403,MATCH(339,$H$4:$H$403,0)),""),IF(CC_Mode="Per unit",IFERROR("Chemical cleaning – "&amp;INDEX($K$4:$K$15,MATCH(339,$N$4:$N$15,0)),""),IF(339=1,"LUMP SUM – "&amp;QProject,""))))</f>
        <v/>
      </c>
      <c r="S342" s="0" t="str">
        <f aca="false">IF(CC_Mode="Per equipment",IFERROR(INDEX($C$4:$C$403,MATCH(339,$I$4:$I$403,0)),""),IF(CC_Mode="Per loop",IFERROR(INDEX($C$4:$C$403,MATCH(339,$H$4:$H$403,0)),""),IF(CC_Mode="Per unit",IFERROR(INDEX($K$4:$K$15,MATCH(339,$N$4:$N$15,0)),""),IF(339=1,"All units",""))))</f>
        <v/>
      </c>
      <c r="T342" s="0" t="str">
        <f aca="false">IF(CC_Mode="Per equipment",IFERROR(INDEX($D$4:$D$403,MATCH(339,$I$4:$I$403,0)),""),IF(CC_Mode="Per loop",IFERROR(INDEX($D$4:$D$403,MATCH(339,$H$4:$H$403,0)),""),IF(CC_Mode="Per unit",IFERROR(INDEX($M$4:$M$15,MATCH(339,$N$4:$N$15,0)),""),IF(339=1,CC_V_GrandVol,""))))</f>
        <v/>
      </c>
      <c r="U342" s="0" t="str">
        <f aca="false">IF(CC_Mode="Per equipment",IFERROR(INDEX($E$4:$E$403,MATCH(339,$I$4:$I$403,0)),""),IF(CC_Mode="Per loop",IFERROR(INDEX($E$4:$E$403,MATCH(339,$H$4:$H$403,0)),""),IF(CC_Mode="Per unit",IFERROR(INDEX($L$4:$L$15,MATCH(339,$N$4:$N$15,0)),""),IF(339=1,CC_Net,""))))</f>
        <v/>
      </c>
    </row>
    <row r="343" customFormat="false" ht="15" hidden="false" customHeight="false" outlineLevel="0" collapsed="false">
      <c r="A343" s="0" t="s">
        <v>172</v>
      </c>
      <c r="B343" s="0" t="str">
        <f aca="false">'CC Item Pricing'!C336&amp;IF('CC Item Pricing'!D336="",""," – "&amp;'CC Item Pricing'!D336)</f>
        <v/>
      </c>
      <c r="C343" s="0" t="str">
        <f aca="false">INDEX(CC_UnitNames,'CC Item Pricing'!Y336)</f>
        <v>Unit 10</v>
      </c>
      <c r="D343" s="0" t="n">
        <f aca="false">N('CC Item Pricing'!G336)</f>
        <v>0</v>
      </c>
      <c r="E343" s="98" t="n">
        <f aca="false">'CC Item Pricing'!W336</f>
        <v>0</v>
      </c>
      <c r="F343" s="96" t="n">
        <f aca="false">IF(AND(G343=1,'CC Item Pricing'!B336=""),1,0)</f>
        <v>0</v>
      </c>
      <c r="G343" s="96" t="n">
        <f aca="false">IF(D343&gt;0,1,0)</f>
        <v>0</v>
      </c>
      <c r="H343" s="0" t="str">
        <f aca="false">IF(F343=1,COUNTIF($F$4:F343,1),"")</f>
        <v/>
      </c>
      <c r="I343" s="0" t="str">
        <f aca="false">IF(G343=1,COUNTIF($G$4:G343,1),"")</f>
        <v/>
      </c>
      <c r="R343" s="0" t="str">
        <f aca="false">IF(CC_Mode="Per equipment",IFERROR(INDEX($B$4:$B$403,MATCH(340,$I$4:$I$403,0)),""),IF(CC_Mode="Per loop",IFERROR(INDEX($B$4:$B$403,MATCH(340,$H$4:$H$403,0)),""),IF(CC_Mode="Per unit",IFERROR("Chemical cleaning – "&amp;INDEX($K$4:$K$15,MATCH(340,$N$4:$N$15,0)),""),IF(340=1,"LUMP SUM – "&amp;QProject,""))))</f>
        <v/>
      </c>
      <c r="S343" s="0" t="str">
        <f aca="false">IF(CC_Mode="Per equipment",IFERROR(INDEX($C$4:$C$403,MATCH(340,$I$4:$I$403,0)),""),IF(CC_Mode="Per loop",IFERROR(INDEX($C$4:$C$403,MATCH(340,$H$4:$H$403,0)),""),IF(CC_Mode="Per unit",IFERROR(INDEX($K$4:$K$15,MATCH(340,$N$4:$N$15,0)),""),IF(340=1,"All units",""))))</f>
        <v/>
      </c>
      <c r="T343" s="0" t="str">
        <f aca="false">IF(CC_Mode="Per equipment",IFERROR(INDEX($D$4:$D$403,MATCH(340,$I$4:$I$403,0)),""),IF(CC_Mode="Per loop",IFERROR(INDEX($D$4:$D$403,MATCH(340,$H$4:$H$403,0)),""),IF(CC_Mode="Per unit",IFERROR(INDEX($M$4:$M$15,MATCH(340,$N$4:$N$15,0)),""),IF(340=1,CC_V_GrandVol,""))))</f>
        <v/>
      </c>
      <c r="U343" s="0" t="str">
        <f aca="false">IF(CC_Mode="Per equipment",IFERROR(INDEX($E$4:$E$403,MATCH(340,$I$4:$I$403,0)),""),IF(CC_Mode="Per loop",IFERROR(INDEX($E$4:$E$403,MATCH(340,$H$4:$H$403,0)),""),IF(CC_Mode="Per unit",IFERROR(INDEX($L$4:$L$15,MATCH(340,$N$4:$N$15,0)),""),IF(340=1,CC_Net,""))))</f>
        <v/>
      </c>
    </row>
    <row r="344" customFormat="false" ht="15" hidden="false" customHeight="false" outlineLevel="0" collapsed="false">
      <c r="A344" s="0" t="s">
        <v>172</v>
      </c>
      <c r="B344" s="0" t="str">
        <f aca="false">'CC Item Pricing'!C340&amp;IF('CC Item Pricing'!D340="",""," – "&amp;'CC Item Pricing'!D340)</f>
        <v/>
      </c>
      <c r="C344" s="0" t="str">
        <f aca="false">INDEX(CC_UnitNames,'CC Item Pricing'!Y340)</f>
        <v>Unit 11</v>
      </c>
      <c r="D344" s="0" t="n">
        <f aca="false">N('CC Item Pricing'!G340)</f>
        <v>0</v>
      </c>
      <c r="E344" s="98" t="n">
        <f aca="false">'CC Item Pricing'!W340</f>
        <v>0</v>
      </c>
      <c r="F344" s="96" t="n">
        <f aca="false">IF(AND(G344=1,'CC Item Pricing'!B340=""),1,0)</f>
        <v>0</v>
      </c>
      <c r="G344" s="96" t="n">
        <f aca="false">IF(D344&gt;0,1,0)</f>
        <v>0</v>
      </c>
      <c r="H344" s="0" t="str">
        <f aca="false">IF(F344=1,COUNTIF($F$4:F344,1),"")</f>
        <v/>
      </c>
      <c r="I344" s="0" t="str">
        <f aca="false">IF(G344=1,COUNTIF($G$4:G344,1),"")</f>
        <v/>
      </c>
      <c r="R344" s="0" t="str">
        <f aca="false">IF(CC_Mode="Per equipment",IFERROR(INDEX($B$4:$B$403,MATCH(341,$I$4:$I$403,0)),""),IF(CC_Mode="Per loop",IFERROR(INDEX($B$4:$B$403,MATCH(341,$H$4:$H$403,0)),""),IF(CC_Mode="Per unit",IFERROR("Chemical cleaning – "&amp;INDEX($K$4:$K$15,MATCH(341,$N$4:$N$15,0)),""),IF(341=1,"LUMP SUM – "&amp;QProject,""))))</f>
        <v/>
      </c>
      <c r="S344" s="0" t="str">
        <f aca="false">IF(CC_Mode="Per equipment",IFERROR(INDEX($C$4:$C$403,MATCH(341,$I$4:$I$403,0)),""),IF(CC_Mode="Per loop",IFERROR(INDEX($C$4:$C$403,MATCH(341,$H$4:$H$403,0)),""),IF(CC_Mode="Per unit",IFERROR(INDEX($K$4:$K$15,MATCH(341,$N$4:$N$15,0)),""),IF(341=1,"All units",""))))</f>
        <v/>
      </c>
      <c r="T344" s="0" t="str">
        <f aca="false">IF(CC_Mode="Per equipment",IFERROR(INDEX($D$4:$D$403,MATCH(341,$I$4:$I$403,0)),""),IF(CC_Mode="Per loop",IFERROR(INDEX($D$4:$D$403,MATCH(341,$H$4:$H$403,0)),""),IF(CC_Mode="Per unit",IFERROR(INDEX($M$4:$M$15,MATCH(341,$N$4:$N$15,0)),""),IF(341=1,CC_V_GrandVol,""))))</f>
        <v/>
      </c>
      <c r="U344" s="0" t="str">
        <f aca="false">IF(CC_Mode="Per equipment",IFERROR(INDEX($E$4:$E$403,MATCH(341,$I$4:$I$403,0)),""),IF(CC_Mode="Per loop",IFERROR(INDEX($E$4:$E$403,MATCH(341,$H$4:$H$403,0)),""),IF(CC_Mode="Per unit",IFERROR(INDEX($L$4:$L$15,MATCH(341,$N$4:$N$15,0)),""),IF(341=1,CC_Net,""))))</f>
        <v/>
      </c>
    </row>
    <row r="345" customFormat="false" ht="15" hidden="false" customHeight="false" outlineLevel="0" collapsed="false">
      <c r="A345" s="0" t="s">
        <v>172</v>
      </c>
      <c r="B345" s="0" t="str">
        <f aca="false">'CC Item Pricing'!C341&amp;IF('CC Item Pricing'!D341="",""," – "&amp;'CC Item Pricing'!D341)</f>
        <v/>
      </c>
      <c r="C345" s="0" t="str">
        <f aca="false">INDEX(CC_UnitNames,'CC Item Pricing'!Y341)</f>
        <v>Unit 11</v>
      </c>
      <c r="D345" s="0" t="n">
        <f aca="false">N('CC Item Pricing'!G341)</f>
        <v>0</v>
      </c>
      <c r="E345" s="98" t="n">
        <f aca="false">'CC Item Pricing'!W341</f>
        <v>0</v>
      </c>
      <c r="F345" s="96" t="n">
        <f aca="false">IF(AND(G345=1,'CC Item Pricing'!B341=""),1,0)</f>
        <v>0</v>
      </c>
      <c r="G345" s="96" t="n">
        <f aca="false">IF(D345&gt;0,1,0)</f>
        <v>0</v>
      </c>
      <c r="H345" s="0" t="str">
        <f aca="false">IF(F345=1,COUNTIF($F$4:F345,1),"")</f>
        <v/>
      </c>
      <c r="I345" s="0" t="str">
        <f aca="false">IF(G345=1,COUNTIF($G$4:G345,1),"")</f>
        <v/>
      </c>
      <c r="R345" s="0" t="str">
        <f aca="false">IF(CC_Mode="Per equipment",IFERROR(INDEX($B$4:$B$403,MATCH(342,$I$4:$I$403,0)),""),IF(CC_Mode="Per loop",IFERROR(INDEX($B$4:$B$403,MATCH(342,$H$4:$H$403,0)),""),IF(CC_Mode="Per unit",IFERROR("Chemical cleaning – "&amp;INDEX($K$4:$K$15,MATCH(342,$N$4:$N$15,0)),""),IF(342=1,"LUMP SUM – "&amp;QProject,""))))</f>
        <v/>
      </c>
      <c r="S345" s="0" t="str">
        <f aca="false">IF(CC_Mode="Per equipment",IFERROR(INDEX($C$4:$C$403,MATCH(342,$I$4:$I$403,0)),""),IF(CC_Mode="Per loop",IFERROR(INDEX($C$4:$C$403,MATCH(342,$H$4:$H$403,0)),""),IF(CC_Mode="Per unit",IFERROR(INDEX($K$4:$K$15,MATCH(342,$N$4:$N$15,0)),""),IF(342=1,"All units",""))))</f>
        <v/>
      </c>
      <c r="T345" s="0" t="str">
        <f aca="false">IF(CC_Mode="Per equipment",IFERROR(INDEX($D$4:$D$403,MATCH(342,$I$4:$I$403,0)),""),IF(CC_Mode="Per loop",IFERROR(INDEX($D$4:$D$403,MATCH(342,$H$4:$H$403,0)),""),IF(CC_Mode="Per unit",IFERROR(INDEX($M$4:$M$15,MATCH(342,$N$4:$N$15,0)),""),IF(342=1,CC_V_GrandVol,""))))</f>
        <v/>
      </c>
      <c r="U345" s="0" t="str">
        <f aca="false">IF(CC_Mode="Per equipment",IFERROR(INDEX($E$4:$E$403,MATCH(342,$I$4:$I$403,0)),""),IF(CC_Mode="Per loop",IFERROR(INDEX($E$4:$E$403,MATCH(342,$H$4:$H$403,0)),""),IF(CC_Mode="Per unit",IFERROR(INDEX($L$4:$L$15,MATCH(342,$N$4:$N$15,0)),""),IF(342=1,CC_Net,""))))</f>
        <v/>
      </c>
    </row>
    <row r="346" customFormat="false" ht="15" hidden="false" customHeight="false" outlineLevel="0" collapsed="false">
      <c r="A346" s="0" t="s">
        <v>172</v>
      </c>
      <c r="B346" s="0" t="str">
        <f aca="false">'CC Item Pricing'!C342&amp;IF('CC Item Pricing'!D342="",""," – "&amp;'CC Item Pricing'!D342)</f>
        <v/>
      </c>
      <c r="C346" s="0" t="str">
        <f aca="false">INDEX(CC_UnitNames,'CC Item Pricing'!Y342)</f>
        <v>Unit 11</v>
      </c>
      <c r="D346" s="0" t="n">
        <f aca="false">N('CC Item Pricing'!G342)</f>
        <v>0</v>
      </c>
      <c r="E346" s="98" t="n">
        <f aca="false">'CC Item Pricing'!W342</f>
        <v>0</v>
      </c>
      <c r="F346" s="96" t="n">
        <f aca="false">IF(AND(G346=1,'CC Item Pricing'!B342=""),1,0)</f>
        <v>0</v>
      </c>
      <c r="G346" s="96" t="n">
        <f aca="false">IF(D346&gt;0,1,0)</f>
        <v>0</v>
      </c>
      <c r="H346" s="0" t="str">
        <f aca="false">IF(F346=1,COUNTIF($F$4:F346,1),"")</f>
        <v/>
      </c>
      <c r="I346" s="0" t="str">
        <f aca="false">IF(G346=1,COUNTIF($G$4:G346,1),"")</f>
        <v/>
      </c>
      <c r="R346" s="0" t="str">
        <f aca="false">IF(CC_Mode="Per equipment",IFERROR(INDEX($B$4:$B$403,MATCH(343,$I$4:$I$403,0)),""),IF(CC_Mode="Per loop",IFERROR(INDEX($B$4:$B$403,MATCH(343,$H$4:$H$403,0)),""),IF(CC_Mode="Per unit",IFERROR("Chemical cleaning – "&amp;INDEX($K$4:$K$15,MATCH(343,$N$4:$N$15,0)),""),IF(343=1,"LUMP SUM – "&amp;QProject,""))))</f>
        <v/>
      </c>
      <c r="S346" s="0" t="str">
        <f aca="false">IF(CC_Mode="Per equipment",IFERROR(INDEX($C$4:$C$403,MATCH(343,$I$4:$I$403,0)),""),IF(CC_Mode="Per loop",IFERROR(INDEX($C$4:$C$403,MATCH(343,$H$4:$H$403,0)),""),IF(CC_Mode="Per unit",IFERROR(INDEX($K$4:$K$15,MATCH(343,$N$4:$N$15,0)),""),IF(343=1,"All units",""))))</f>
        <v/>
      </c>
      <c r="T346" s="0" t="str">
        <f aca="false">IF(CC_Mode="Per equipment",IFERROR(INDEX($D$4:$D$403,MATCH(343,$I$4:$I$403,0)),""),IF(CC_Mode="Per loop",IFERROR(INDEX($D$4:$D$403,MATCH(343,$H$4:$H$403,0)),""),IF(CC_Mode="Per unit",IFERROR(INDEX($M$4:$M$15,MATCH(343,$N$4:$N$15,0)),""),IF(343=1,CC_V_GrandVol,""))))</f>
        <v/>
      </c>
      <c r="U346" s="0" t="str">
        <f aca="false">IF(CC_Mode="Per equipment",IFERROR(INDEX($E$4:$E$403,MATCH(343,$I$4:$I$403,0)),""),IF(CC_Mode="Per loop",IFERROR(INDEX($E$4:$E$403,MATCH(343,$H$4:$H$403,0)),""),IF(CC_Mode="Per unit",IFERROR(INDEX($L$4:$L$15,MATCH(343,$N$4:$N$15,0)),""),IF(343=1,CC_Net,""))))</f>
        <v/>
      </c>
    </row>
    <row r="347" customFormat="false" ht="15" hidden="false" customHeight="false" outlineLevel="0" collapsed="false">
      <c r="A347" s="0" t="s">
        <v>172</v>
      </c>
      <c r="B347" s="0" t="str">
        <f aca="false">'CC Item Pricing'!C343&amp;IF('CC Item Pricing'!D343="",""," – "&amp;'CC Item Pricing'!D343)</f>
        <v/>
      </c>
      <c r="C347" s="0" t="str">
        <f aca="false">INDEX(CC_UnitNames,'CC Item Pricing'!Y343)</f>
        <v>Unit 11</v>
      </c>
      <c r="D347" s="0" t="n">
        <f aca="false">N('CC Item Pricing'!G343)</f>
        <v>0</v>
      </c>
      <c r="E347" s="98" t="n">
        <f aca="false">'CC Item Pricing'!W343</f>
        <v>0</v>
      </c>
      <c r="F347" s="96" t="n">
        <f aca="false">IF(AND(G347=1,'CC Item Pricing'!B343=""),1,0)</f>
        <v>0</v>
      </c>
      <c r="G347" s="96" t="n">
        <f aca="false">IF(D347&gt;0,1,0)</f>
        <v>0</v>
      </c>
      <c r="H347" s="0" t="str">
        <f aca="false">IF(F347=1,COUNTIF($F$4:F347,1),"")</f>
        <v/>
      </c>
      <c r="I347" s="0" t="str">
        <f aca="false">IF(G347=1,COUNTIF($G$4:G347,1),"")</f>
        <v/>
      </c>
      <c r="R347" s="0" t="str">
        <f aca="false">IF(CC_Mode="Per equipment",IFERROR(INDEX($B$4:$B$403,MATCH(344,$I$4:$I$403,0)),""),IF(CC_Mode="Per loop",IFERROR(INDEX($B$4:$B$403,MATCH(344,$H$4:$H$403,0)),""),IF(CC_Mode="Per unit",IFERROR("Chemical cleaning – "&amp;INDEX($K$4:$K$15,MATCH(344,$N$4:$N$15,0)),""),IF(344=1,"LUMP SUM – "&amp;QProject,""))))</f>
        <v/>
      </c>
      <c r="S347" s="0" t="str">
        <f aca="false">IF(CC_Mode="Per equipment",IFERROR(INDEX($C$4:$C$403,MATCH(344,$I$4:$I$403,0)),""),IF(CC_Mode="Per loop",IFERROR(INDEX($C$4:$C$403,MATCH(344,$H$4:$H$403,0)),""),IF(CC_Mode="Per unit",IFERROR(INDEX($K$4:$K$15,MATCH(344,$N$4:$N$15,0)),""),IF(344=1,"All units",""))))</f>
        <v/>
      </c>
      <c r="T347" s="0" t="str">
        <f aca="false">IF(CC_Mode="Per equipment",IFERROR(INDEX($D$4:$D$403,MATCH(344,$I$4:$I$403,0)),""),IF(CC_Mode="Per loop",IFERROR(INDEX($D$4:$D$403,MATCH(344,$H$4:$H$403,0)),""),IF(CC_Mode="Per unit",IFERROR(INDEX($M$4:$M$15,MATCH(344,$N$4:$N$15,0)),""),IF(344=1,CC_V_GrandVol,""))))</f>
        <v/>
      </c>
      <c r="U347" s="0" t="str">
        <f aca="false">IF(CC_Mode="Per equipment",IFERROR(INDEX($E$4:$E$403,MATCH(344,$I$4:$I$403,0)),""),IF(CC_Mode="Per loop",IFERROR(INDEX($E$4:$E$403,MATCH(344,$H$4:$H$403,0)),""),IF(CC_Mode="Per unit",IFERROR(INDEX($L$4:$L$15,MATCH(344,$N$4:$N$15,0)),""),IF(344=1,CC_Net,""))))</f>
        <v/>
      </c>
    </row>
    <row r="348" customFormat="false" ht="15" hidden="false" customHeight="false" outlineLevel="0" collapsed="false">
      <c r="A348" s="0" t="s">
        <v>172</v>
      </c>
      <c r="B348" s="0" t="str">
        <f aca="false">'CC Item Pricing'!C344&amp;IF('CC Item Pricing'!D344="",""," – "&amp;'CC Item Pricing'!D344)</f>
        <v/>
      </c>
      <c r="C348" s="0" t="str">
        <f aca="false">INDEX(CC_UnitNames,'CC Item Pricing'!Y344)</f>
        <v>Unit 11</v>
      </c>
      <c r="D348" s="0" t="n">
        <f aca="false">N('CC Item Pricing'!G344)</f>
        <v>0</v>
      </c>
      <c r="E348" s="98" t="n">
        <f aca="false">'CC Item Pricing'!W344</f>
        <v>0</v>
      </c>
      <c r="F348" s="96" t="n">
        <f aca="false">IF(AND(G348=1,'CC Item Pricing'!B344=""),1,0)</f>
        <v>0</v>
      </c>
      <c r="G348" s="96" t="n">
        <f aca="false">IF(D348&gt;0,1,0)</f>
        <v>0</v>
      </c>
      <c r="H348" s="0" t="str">
        <f aca="false">IF(F348=1,COUNTIF($F$4:F348,1),"")</f>
        <v/>
      </c>
      <c r="I348" s="0" t="str">
        <f aca="false">IF(G348=1,COUNTIF($G$4:G348,1),"")</f>
        <v/>
      </c>
      <c r="R348" s="0" t="str">
        <f aca="false">IF(CC_Mode="Per equipment",IFERROR(INDEX($B$4:$B$403,MATCH(345,$I$4:$I$403,0)),""),IF(CC_Mode="Per loop",IFERROR(INDEX($B$4:$B$403,MATCH(345,$H$4:$H$403,0)),""),IF(CC_Mode="Per unit",IFERROR("Chemical cleaning – "&amp;INDEX($K$4:$K$15,MATCH(345,$N$4:$N$15,0)),""),IF(345=1,"LUMP SUM – "&amp;QProject,""))))</f>
        <v/>
      </c>
      <c r="S348" s="0" t="str">
        <f aca="false">IF(CC_Mode="Per equipment",IFERROR(INDEX($C$4:$C$403,MATCH(345,$I$4:$I$403,0)),""),IF(CC_Mode="Per loop",IFERROR(INDEX($C$4:$C$403,MATCH(345,$H$4:$H$403,0)),""),IF(CC_Mode="Per unit",IFERROR(INDEX($K$4:$K$15,MATCH(345,$N$4:$N$15,0)),""),IF(345=1,"All units",""))))</f>
        <v/>
      </c>
      <c r="T348" s="0" t="str">
        <f aca="false">IF(CC_Mode="Per equipment",IFERROR(INDEX($D$4:$D$403,MATCH(345,$I$4:$I$403,0)),""),IF(CC_Mode="Per loop",IFERROR(INDEX($D$4:$D$403,MATCH(345,$H$4:$H$403,0)),""),IF(CC_Mode="Per unit",IFERROR(INDEX($M$4:$M$15,MATCH(345,$N$4:$N$15,0)),""),IF(345=1,CC_V_GrandVol,""))))</f>
        <v/>
      </c>
      <c r="U348" s="0" t="str">
        <f aca="false">IF(CC_Mode="Per equipment",IFERROR(INDEX($E$4:$E$403,MATCH(345,$I$4:$I$403,0)),""),IF(CC_Mode="Per loop",IFERROR(INDEX($E$4:$E$403,MATCH(345,$H$4:$H$403,0)),""),IF(CC_Mode="Per unit",IFERROR(INDEX($L$4:$L$15,MATCH(345,$N$4:$N$15,0)),""),IF(345=1,CC_Net,""))))</f>
        <v/>
      </c>
    </row>
    <row r="349" customFormat="false" ht="15" hidden="false" customHeight="false" outlineLevel="0" collapsed="false">
      <c r="A349" s="0" t="s">
        <v>172</v>
      </c>
      <c r="B349" s="0" t="str">
        <f aca="false">'CC Item Pricing'!C345&amp;IF('CC Item Pricing'!D345="",""," – "&amp;'CC Item Pricing'!D345)</f>
        <v/>
      </c>
      <c r="C349" s="0" t="str">
        <f aca="false">INDEX(CC_UnitNames,'CC Item Pricing'!Y345)</f>
        <v>Unit 11</v>
      </c>
      <c r="D349" s="0" t="n">
        <f aca="false">N('CC Item Pricing'!G345)</f>
        <v>0</v>
      </c>
      <c r="E349" s="98" t="n">
        <f aca="false">'CC Item Pricing'!W345</f>
        <v>0</v>
      </c>
      <c r="F349" s="96" t="n">
        <f aca="false">IF(AND(G349=1,'CC Item Pricing'!B345=""),1,0)</f>
        <v>0</v>
      </c>
      <c r="G349" s="96" t="n">
        <f aca="false">IF(D349&gt;0,1,0)</f>
        <v>0</v>
      </c>
      <c r="H349" s="0" t="str">
        <f aca="false">IF(F349=1,COUNTIF($F$4:F349,1),"")</f>
        <v/>
      </c>
      <c r="I349" s="0" t="str">
        <f aca="false">IF(G349=1,COUNTIF($G$4:G349,1),"")</f>
        <v/>
      </c>
      <c r="R349" s="0" t="str">
        <f aca="false">IF(CC_Mode="Per equipment",IFERROR(INDEX($B$4:$B$403,MATCH(346,$I$4:$I$403,0)),""),IF(CC_Mode="Per loop",IFERROR(INDEX($B$4:$B$403,MATCH(346,$H$4:$H$403,0)),""),IF(CC_Mode="Per unit",IFERROR("Chemical cleaning – "&amp;INDEX($K$4:$K$15,MATCH(346,$N$4:$N$15,0)),""),IF(346=1,"LUMP SUM – "&amp;QProject,""))))</f>
        <v/>
      </c>
      <c r="S349" s="0" t="str">
        <f aca="false">IF(CC_Mode="Per equipment",IFERROR(INDEX($C$4:$C$403,MATCH(346,$I$4:$I$403,0)),""),IF(CC_Mode="Per loop",IFERROR(INDEX($C$4:$C$403,MATCH(346,$H$4:$H$403,0)),""),IF(CC_Mode="Per unit",IFERROR(INDEX($K$4:$K$15,MATCH(346,$N$4:$N$15,0)),""),IF(346=1,"All units",""))))</f>
        <v/>
      </c>
      <c r="T349" s="0" t="str">
        <f aca="false">IF(CC_Mode="Per equipment",IFERROR(INDEX($D$4:$D$403,MATCH(346,$I$4:$I$403,0)),""),IF(CC_Mode="Per loop",IFERROR(INDEX($D$4:$D$403,MATCH(346,$H$4:$H$403,0)),""),IF(CC_Mode="Per unit",IFERROR(INDEX($M$4:$M$15,MATCH(346,$N$4:$N$15,0)),""),IF(346=1,CC_V_GrandVol,""))))</f>
        <v/>
      </c>
      <c r="U349" s="0" t="str">
        <f aca="false">IF(CC_Mode="Per equipment",IFERROR(INDEX($E$4:$E$403,MATCH(346,$I$4:$I$403,0)),""),IF(CC_Mode="Per loop",IFERROR(INDEX($E$4:$E$403,MATCH(346,$H$4:$H$403,0)),""),IF(CC_Mode="Per unit",IFERROR(INDEX($L$4:$L$15,MATCH(346,$N$4:$N$15,0)),""),IF(346=1,CC_Net,""))))</f>
        <v/>
      </c>
    </row>
    <row r="350" customFormat="false" ht="15" hidden="false" customHeight="false" outlineLevel="0" collapsed="false">
      <c r="A350" s="0" t="s">
        <v>172</v>
      </c>
      <c r="B350" s="0" t="str">
        <f aca="false">'CC Item Pricing'!C346&amp;IF('CC Item Pricing'!D346="",""," – "&amp;'CC Item Pricing'!D346)</f>
        <v/>
      </c>
      <c r="C350" s="0" t="str">
        <f aca="false">INDEX(CC_UnitNames,'CC Item Pricing'!Y346)</f>
        <v>Unit 11</v>
      </c>
      <c r="D350" s="0" t="n">
        <f aca="false">N('CC Item Pricing'!G346)</f>
        <v>0</v>
      </c>
      <c r="E350" s="98" t="n">
        <f aca="false">'CC Item Pricing'!W346</f>
        <v>0</v>
      </c>
      <c r="F350" s="96" t="n">
        <f aca="false">IF(AND(G350=1,'CC Item Pricing'!B346=""),1,0)</f>
        <v>0</v>
      </c>
      <c r="G350" s="96" t="n">
        <f aca="false">IF(D350&gt;0,1,0)</f>
        <v>0</v>
      </c>
      <c r="H350" s="0" t="str">
        <f aca="false">IF(F350=1,COUNTIF($F$4:F350,1),"")</f>
        <v/>
      </c>
      <c r="I350" s="0" t="str">
        <f aca="false">IF(G350=1,COUNTIF($G$4:G350,1),"")</f>
        <v/>
      </c>
      <c r="R350" s="0" t="str">
        <f aca="false">IF(CC_Mode="Per equipment",IFERROR(INDEX($B$4:$B$403,MATCH(347,$I$4:$I$403,0)),""),IF(CC_Mode="Per loop",IFERROR(INDEX($B$4:$B$403,MATCH(347,$H$4:$H$403,0)),""),IF(CC_Mode="Per unit",IFERROR("Chemical cleaning – "&amp;INDEX($K$4:$K$15,MATCH(347,$N$4:$N$15,0)),""),IF(347=1,"LUMP SUM – "&amp;QProject,""))))</f>
        <v/>
      </c>
      <c r="S350" s="0" t="str">
        <f aca="false">IF(CC_Mode="Per equipment",IFERROR(INDEX($C$4:$C$403,MATCH(347,$I$4:$I$403,0)),""),IF(CC_Mode="Per loop",IFERROR(INDEX($C$4:$C$403,MATCH(347,$H$4:$H$403,0)),""),IF(CC_Mode="Per unit",IFERROR(INDEX($K$4:$K$15,MATCH(347,$N$4:$N$15,0)),""),IF(347=1,"All units",""))))</f>
        <v/>
      </c>
      <c r="T350" s="0" t="str">
        <f aca="false">IF(CC_Mode="Per equipment",IFERROR(INDEX($D$4:$D$403,MATCH(347,$I$4:$I$403,0)),""),IF(CC_Mode="Per loop",IFERROR(INDEX($D$4:$D$403,MATCH(347,$H$4:$H$403,0)),""),IF(CC_Mode="Per unit",IFERROR(INDEX($M$4:$M$15,MATCH(347,$N$4:$N$15,0)),""),IF(347=1,CC_V_GrandVol,""))))</f>
        <v/>
      </c>
      <c r="U350" s="0" t="str">
        <f aca="false">IF(CC_Mode="Per equipment",IFERROR(INDEX($E$4:$E$403,MATCH(347,$I$4:$I$403,0)),""),IF(CC_Mode="Per loop",IFERROR(INDEX($E$4:$E$403,MATCH(347,$H$4:$H$403,0)),""),IF(CC_Mode="Per unit",IFERROR(INDEX($L$4:$L$15,MATCH(347,$N$4:$N$15,0)),""),IF(347=1,CC_Net,""))))</f>
        <v/>
      </c>
    </row>
    <row r="351" customFormat="false" ht="15" hidden="false" customHeight="false" outlineLevel="0" collapsed="false">
      <c r="A351" s="0" t="s">
        <v>172</v>
      </c>
      <c r="B351" s="0" t="str">
        <f aca="false">'CC Item Pricing'!C347&amp;IF('CC Item Pricing'!D347="",""," – "&amp;'CC Item Pricing'!D347)</f>
        <v/>
      </c>
      <c r="C351" s="0" t="str">
        <f aca="false">INDEX(CC_UnitNames,'CC Item Pricing'!Y347)</f>
        <v>Unit 11</v>
      </c>
      <c r="D351" s="0" t="n">
        <f aca="false">N('CC Item Pricing'!G347)</f>
        <v>0</v>
      </c>
      <c r="E351" s="98" t="n">
        <f aca="false">'CC Item Pricing'!W347</f>
        <v>0</v>
      </c>
      <c r="F351" s="96" t="n">
        <f aca="false">IF(AND(G351=1,'CC Item Pricing'!B347=""),1,0)</f>
        <v>0</v>
      </c>
      <c r="G351" s="96" t="n">
        <f aca="false">IF(D351&gt;0,1,0)</f>
        <v>0</v>
      </c>
      <c r="H351" s="0" t="str">
        <f aca="false">IF(F351=1,COUNTIF($F$4:F351,1),"")</f>
        <v/>
      </c>
      <c r="I351" s="0" t="str">
        <f aca="false">IF(G351=1,COUNTIF($G$4:G351,1),"")</f>
        <v/>
      </c>
      <c r="R351" s="0" t="str">
        <f aca="false">IF(CC_Mode="Per equipment",IFERROR(INDEX($B$4:$B$403,MATCH(348,$I$4:$I$403,0)),""),IF(CC_Mode="Per loop",IFERROR(INDEX($B$4:$B$403,MATCH(348,$H$4:$H$403,0)),""),IF(CC_Mode="Per unit",IFERROR("Chemical cleaning – "&amp;INDEX($K$4:$K$15,MATCH(348,$N$4:$N$15,0)),""),IF(348=1,"LUMP SUM – "&amp;QProject,""))))</f>
        <v/>
      </c>
      <c r="S351" s="0" t="str">
        <f aca="false">IF(CC_Mode="Per equipment",IFERROR(INDEX($C$4:$C$403,MATCH(348,$I$4:$I$403,0)),""),IF(CC_Mode="Per loop",IFERROR(INDEX($C$4:$C$403,MATCH(348,$H$4:$H$403,0)),""),IF(CC_Mode="Per unit",IFERROR(INDEX($K$4:$K$15,MATCH(348,$N$4:$N$15,0)),""),IF(348=1,"All units",""))))</f>
        <v/>
      </c>
      <c r="T351" s="0" t="str">
        <f aca="false">IF(CC_Mode="Per equipment",IFERROR(INDEX($D$4:$D$403,MATCH(348,$I$4:$I$403,0)),""),IF(CC_Mode="Per loop",IFERROR(INDEX($D$4:$D$403,MATCH(348,$H$4:$H$403,0)),""),IF(CC_Mode="Per unit",IFERROR(INDEX($M$4:$M$15,MATCH(348,$N$4:$N$15,0)),""),IF(348=1,CC_V_GrandVol,""))))</f>
        <v/>
      </c>
      <c r="U351" s="0" t="str">
        <f aca="false">IF(CC_Mode="Per equipment",IFERROR(INDEX($E$4:$E$403,MATCH(348,$I$4:$I$403,0)),""),IF(CC_Mode="Per loop",IFERROR(INDEX($E$4:$E$403,MATCH(348,$H$4:$H$403,0)),""),IF(CC_Mode="Per unit",IFERROR(INDEX($L$4:$L$15,MATCH(348,$N$4:$N$15,0)),""),IF(348=1,CC_Net,""))))</f>
        <v/>
      </c>
    </row>
    <row r="352" customFormat="false" ht="15" hidden="false" customHeight="false" outlineLevel="0" collapsed="false">
      <c r="A352" s="0" t="s">
        <v>172</v>
      </c>
      <c r="B352" s="0" t="str">
        <f aca="false">'CC Item Pricing'!C348&amp;IF('CC Item Pricing'!D348="",""," – "&amp;'CC Item Pricing'!D348)</f>
        <v/>
      </c>
      <c r="C352" s="0" t="str">
        <f aca="false">INDEX(CC_UnitNames,'CC Item Pricing'!Y348)</f>
        <v>Unit 11</v>
      </c>
      <c r="D352" s="0" t="n">
        <f aca="false">N('CC Item Pricing'!G348)</f>
        <v>0</v>
      </c>
      <c r="E352" s="98" t="n">
        <f aca="false">'CC Item Pricing'!W348</f>
        <v>0</v>
      </c>
      <c r="F352" s="96" t="n">
        <f aca="false">IF(AND(G352=1,'CC Item Pricing'!B348=""),1,0)</f>
        <v>0</v>
      </c>
      <c r="G352" s="96" t="n">
        <f aca="false">IF(D352&gt;0,1,0)</f>
        <v>0</v>
      </c>
      <c r="H352" s="0" t="str">
        <f aca="false">IF(F352=1,COUNTIF($F$4:F352,1),"")</f>
        <v/>
      </c>
      <c r="I352" s="0" t="str">
        <f aca="false">IF(G352=1,COUNTIF($G$4:G352,1),"")</f>
        <v/>
      </c>
      <c r="R352" s="0" t="str">
        <f aca="false">IF(CC_Mode="Per equipment",IFERROR(INDEX($B$4:$B$403,MATCH(349,$I$4:$I$403,0)),""),IF(CC_Mode="Per loop",IFERROR(INDEX($B$4:$B$403,MATCH(349,$H$4:$H$403,0)),""),IF(CC_Mode="Per unit",IFERROR("Chemical cleaning – "&amp;INDEX($K$4:$K$15,MATCH(349,$N$4:$N$15,0)),""),IF(349=1,"LUMP SUM – "&amp;QProject,""))))</f>
        <v/>
      </c>
      <c r="S352" s="0" t="str">
        <f aca="false">IF(CC_Mode="Per equipment",IFERROR(INDEX($C$4:$C$403,MATCH(349,$I$4:$I$403,0)),""),IF(CC_Mode="Per loop",IFERROR(INDEX($C$4:$C$403,MATCH(349,$H$4:$H$403,0)),""),IF(CC_Mode="Per unit",IFERROR(INDEX($K$4:$K$15,MATCH(349,$N$4:$N$15,0)),""),IF(349=1,"All units",""))))</f>
        <v/>
      </c>
      <c r="T352" s="0" t="str">
        <f aca="false">IF(CC_Mode="Per equipment",IFERROR(INDEX($D$4:$D$403,MATCH(349,$I$4:$I$403,0)),""),IF(CC_Mode="Per loop",IFERROR(INDEX($D$4:$D$403,MATCH(349,$H$4:$H$403,0)),""),IF(CC_Mode="Per unit",IFERROR(INDEX($M$4:$M$15,MATCH(349,$N$4:$N$15,0)),""),IF(349=1,CC_V_GrandVol,""))))</f>
        <v/>
      </c>
      <c r="U352" s="0" t="str">
        <f aca="false">IF(CC_Mode="Per equipment",IFERROR(INDEX($E$4:$E$403,MATCH(349,$I$4:$I$403,0)),""),IF(CC_Mode="Per loop",IFERROR(INDEX($E$4:$E$403,MATCH(349,$H$4:$H$403,0)),""),IF(CC_Mode="Per unit",IFERROR(INDEX($L$4:$L$15,MATCH(349,$N$4:$N$15,0)),""),IF(349=1,CC_Net,""))))</f>
        <v/>
      </c>
    </row>
    <row r="353" customFormat="false" ht="15" hidden="false" customHeight="false" outlineLevel="0" collapsed="false">
      <c r="A353" s="0" t="s">
        <v>172</v>
      </c>
      <c r="B353" s="0" t="str">
        <f aca="false">'CC Item Pricing'!C349&amp;IF('CC Item Pricing'!D349="",""," – "&amp;'CC Item Pricing'!D349)</f>
        <v/>
      </c>
      <c r="C353" s="0" t="str">
        <f aca="false">INDEX(CC_UnitNames,'CC Item Pricing'!Y349)</f>
        <v>Unit 11</v>
      </c>
      <c r="D353" s="0" t="n">
        <f aca="false">N('CC Item Pricing'!G349)</f>
        <v>0</v>
      </c>
      <c r="E353" s="98" t="n">
        <f aca="false">'CC Item Pricing'!W349</f>
        <v>0</v>
      </c>
      <c r="F353" s="96" t="n">
        <f aca="false">IF(AND(G353=1,'CC Item Pricing'!B349=""),1,0)</f>
        <v>0</v>
      </c>
      <c r="G353" s="96" t="n">
        <f aca="false">IF(D353&gt;0,1,0)</f>
        <v>0</v>
      </c>
      <c r="H353" s="0" t="str">
        <f aca="false">IF(F353=1,COUNTIF($F$4:F353,1),"")</f>
        <v/>
      </c>
      <c r="I353" s="0" t="str">
        <f aca="false">IF(G353=1,COUNTIF($G$4:G353,1),"")</f>
        <v/>
      </c>
      <c r="R353" s="0" t="str">
        <f aca="false">IF(CC_Mode="Per equipment",IFERROR(INDEX($B$4:$B$403,MATCH(350,$I$4:$I$403,0)),""),IF(CC_Mode="Per loop",IFERROR(INDEX($B$4:$B$403,MATCH(350,$H$4:$H$403,0)),""),IF(CC_Mode="Per unit",IFERROR("Chemical cleaning – "&amp;INDEX($K$4:$K$15,MATCH(350,$N$4:$N$15,0)),""),IF(350=1,"LUMP SUM – "&amp;QProject,""))))</f>
        <v/>
      </c>
      <c r="S353" s="0" t="str">
        <f aca="false">IF(CC_Mode="Per equipment",IFERROR(INDEX($C$4:$C$403,MATCH(350,$I$4:$I$403,0)),""),IF(CC_Mode="Per loop",IFERROR(INDEX($C$4:$C$403,MATCH(350,$H$4:$H$403,0)),""),IF(CC_Mode="Per unit",IFERROR(INDEX($K$4:$K$15,MATCH(350,$N$4:$N$15,0)),""),IF(350=1,"All units",""))))</f>
        <v/>
      </c>
      <c r="T353" s="0" t="str">
        <f aca="false">IF(CC_Mode="Per equipment",IFERROR(INDEX($D$4:$D$403,MATCH(350,$I$4:$I$403,0)),""),IF(CC_Mode="Per loop",IFERROR(INDEX($D$4:$D$403,MATCH(350,$H$4:$H$403,0)),""),IF(CC_Mode="Per unit",IFERROR(INDEX($M$4:$M$15,MATCH(350,$N$4:$N$15,0)),""),IF(350=1,CC_V_GrandVol,""))))</f>
        <v/>
      </c>
      <c r="U353" s="0" t="str">
        <f aca="false">IF(CC_Mode="Per equipment",IFERROR(INDEX($E$4:$E$403,MATCH(350,$I$4:$I$403,0)),""),IF(CC_Mode="Per loop",IFERROR(INDEX($E$4:$E$403,MATCH(350,$H$4:$H$403,0)),""),IF(CC_Mode="Per unit",IFERROR(INDEX($L$4:$L$15,MATCH(350,$N$4:$N$15,0)),""),IF(350=1,CC_Net,""))))</f>
        <v/>
      </c>
    </row>
    <row r="354" customFormat="false" ht="15" hidden="false" customHeight="false" outlineLevel="0" collapsed="false">
      <c r="A354" s="0" t="s">
        <v>172</v>
      </c>
      <c r="B354" s="0" t="str">
        <f aca="false">'CC Item Pricing'!C350&amp;IF('CC Item Pricing'!D350="",""," – "&amp;'CC Item Pricing'!D350)</f>
        <v/>
      </c>
      <c r="C354" s="0" t="str">
        <f aca="false">INDEX(CC_UnitNames,'CC Item Pricing'!Y350)</f>
        <v>Unit 11</v>
      </c>
      <c r="D354" s="0" t="n">
        <f aca="false">N('CC Item Pricing'!G350)</f>
        <v>0</v>
      </c>
      <c r="E354" s="98" t="n">
        <f aca="false">'CC Item Pricing'!W350</f>
        <v>0</v>
      </c>
      <c r="F354" s="96" t="n">
        <f aca="false">IF(AND(G354=1,'CC Item Pricing'!B350=""),1,0)</f>
        <v>0</v>
      </c>
      <c r="G354" s="96" t="n">
        <f aca="false">IF(D354&gt;0,1,0)</f>
        <v>0</v>
      </c>
      <c r="H354" s="0" t="str">
        <f aca="false">IF(F354=1,COUNTIF($F$4:F354,1),"")</f>
        <v/>
      </c>
      <c r="I354" s="0" t="str">
        <f aca="false">IF(G354=1,COUNTIF($G$4:G354,1),"")</f>
        <v/>
      </c>
      <c r="R354" s="0" t="str">
        <f aca="false">IF(CC_Mode="Per equipment",IFERROR(INDEX($B$4:$B$403,MATCH(351,$I$4:$I$403,0)),""),IF(CC_Mode="Per loop",IFERROR(INDEX($B$4:$B$403,MATCH(351,$H$4:$H$403,0)),""),IF(CC_Mode="Per unit",IFERROR("Chemical cleaning – "&amp;INDEX($K$4:$K$15,MATCH(351,$N$4:$N$15,0)),""),IF(351=1,"LUMP SUM – "&amp;QProject,""))))</f>
        <v/>
      </c>
      <c r="S354" s="0" t="str">
        <f aca="false">IF(CC_Mode="Per equipment",IFERROR(INDEX($C$4:$C$403,MATCH(351,$I$4:$I$403,0)),""),IF(CC_Mode="Per loop",IFERROR(INDEX($C$4:$C$403,MATCH(351,$H$4:$H$403,0)),""),IF(CC_Mode="Per unit",IFERROR(INDEX($K$4:$K$15,MATCH(351,$N$4:$N$15,0)),""),IF(351=1,"All units",""))))</f>
        <v/>
      </c>
      <c r="T354" s="0" t="str">
        <f aca="false">IF(CC_Mode="Per equipment",IFERROR(INDEX($D$4:$D$403,MATCH(351,$I$4:$I$403,0)),""),IF(CC_Mode="Per loop",IFERROR(INDEX($D$4:$D$403,MATCH(351,$H$4:$H$403,0)),""),IF(CC_Mode="Per unit",IFERROR(INDEX($M$4:$M$15,MATCH(351,$N$4:$N$15,0)),""),IF(351=1,CC_V_GrandVol,""))))</f>
        <v/>
      </c>
      <c r="U354" s="0" t="str">
        <f aca="false">IF(CC_Mode="Per equipment",IFERROR(INDEX($E$4:$E$403,MATCH(351,$I$4:$I$403,0)),""),IF(CC_Mode="Per loop",IFERROR(INDEX($E$4:$E$403,MATCH(351,$H$4:$H$403,0)),""),IF(CC_Mode="Per unit",IFERROR(INDEX($L$4:$L$15,MATCH(351,$N$4:$N$15,0)),""),IF(351=1,CC_Net,""))))</f>
        <v/>
      </c>
    </row>
    <row r="355" customFormat="false" ht="15" hidden="false" customHeight="false" outlineLevel="0" collapsed="false">
      <c r="A355" s="0" t="s">
        <v>172</v>
      </c>
      <c r="B355" s="0" t="str">
        <f aca="false">'CC Item Pricing'!C351&amp;IF('CC Item Pricing'!D351="",""," – "&amp;'CC Item Pricing'!D351)</f>
        <v/>
      </c>
      <c r="C355" s="0" t="str">
        <f aca="false">INDEX(CC_UnitNames,'CC Item Pricing'!Y351)</f>
        <v>Unit 11</v>
      </c>
      <c r="D355" s="0" t="n">
        <f aca="false">N('CC Item Pricing'!G351)</f>
        <v>0</v>
      </c>
      <c r="E355" s="98" t="n">
        <f aca="false">'CC Item Pricing'!W351</f>
        <v>0</v>
      </c>
      <c r="F355" s="96" t="n">
        <f aca="false">IF(AND(G355=1,'CC Item Pricing'!B351=""),1,0)</f>
        <v>0</v>
      </c>
      <c r="G355" s="96" t="n">
        <f aca="false">IF(D355&gt;0,1,0)</f>
        <v>0</v>
      </c>
      <c r="H355" s="0" t="str">
        <f aca="false">IF(F355=1,COUNTIF($F$4:F355,1),"")</f>
        <v/>
      </c>
      <c r="I355" s="0" t="str">
        <f aca="false">IF(G355=1,COUNTIF($G$4:G355,1),"")</f>
        <v/>
      </c>
      <c r="R355" s="0" t="str">
        <f aca="false">IF(CC_Mode="Per equipment",IFERROR(INDEX($B$4:$B$403,MATCH(352,$I$4:$I$403,0)),""),IF(CC_Mode="Per loop",IFERROR(INDEX($B$4:$B$403,MATCH(352,$H$4:$H$403,0)),""),IF(CC_Mode="Per unit",IFERROR("Chemical cleaning – "&amp;INDEX($K$4:$K$15,MATCH(352,$N$4:$N$15,0)),""),IF(352=1,"LUMP SUM – "&amp;QProject,""))))</f>
        <v/>
      </c>
      <c r="S355" s="0" t="str">
        <f aca="false">IF(CC_Mode="Per equipment",IFERROR(INDEX($C$4:$C$403,MATCH(352,$I$4:$I$403,0)),""),IF(CC_Mode="Per loop",IFERROR(INDEX($C$4:$C$403,MATCH(352,$H$4:$H$403,0)),""),IF(CC_Mode="Per unit",IFERROR(INDEX($K$4:$K$15,MATCH(352,$N$4:$N$15,0)),""),IF(352=1,"All units",""))))</f>
        <v/>
      </c>
      <c r="T355" s="0" t="str">
        <f aca="false">IF(CC_Mode="Per equipment",IFERROR(INDEX($D$4:$D$403,MATCH(352,$I$4:$I$403,0)),""),IF(CC_Mode="Per loop",IFERROR(INDEX($D$4:$D$403,MATCH(352,$H$4:$H$403,0)),""),IF(CC_Mode="Per unit",IFERROR(INDEX($M$4:$M$15,MATCH(352,$N$4:$N$15,0)),""),IF(352=1,CC_V_GrandVol,""))))</f>
        <v/>
      </c>
      <c r="U355" s="0" t="str">
        <f aca="false">IF(CC_Mode="Per equipment",IFERROR(INDEX($E$4:$E$403,MATCH(352,$I$4:$I$403,0)),""),IF(CC_Mode="Per loop",IFERROR(INDEX($E$4:$E$403,MATCH(352,$H$4:$H$403,0)),""),IF(CC_Mode="Per unit",IFERROR(INDEX($L$4:$L$15,MATCH(352,$N$4:$N$15,0)),""),IF(352=1,CC_Net,""))))</f>
        <v/>
      </c>
    </row>
    <row r="356" customFormat="false" ht="15" hidden="false" customHeight="false" outlineLevel="0" collapsed="false">
      <c r="A356" s="0" t="s">
        <v>172</v>
      </c>
      <c r="B356" s="0" t="str">
        <f aca="false">'CC Item Pricing'!C352&amp;IF('CC Item Pricing'!D352="",""," – "&amp;'CC Item Pricing'!D352)</f>
        <v/>
      </c>
      <c r="C356" s="0" t="str">
        <f aca="false">INDEX(CC_UnitNames,'CC Item Pricing'!Y352)</f>
        <v>Unit 11</v>
      </c>
      <c r="D356" s="0" t="n">
        <f aca="false">N('CC Item Pricing'!G352)</f>
        <v>0</v>
      </c>
      <c r="E356" s="98" t="n">
        <f aca="false">'CC Item Pricing'!W352</f>
        <v>0</v>
      </c>
      <c r="F356" s="96" t="n">
        <f aca="false">IF(AND(G356=1,'CC Item Pricing'!B352=""),1,0)</f>
        <v>0</v>
      </c>
      <c r="G356" s="96" t="n">
        <f aca="false">IF(D356&gt;0,1,0)</f>
        <v>0</v>
      </c>
      <c r="H356" s="0" t="str">
        <f aca="false">IF(F356=1,COUNTIF($F$4:F356,1),"")</f>
        <v/>
      </c>
      <c r="I356" s="0" t="str">
        <f aca="false">IF(G356=1,COUNTIF($G$4:G356,1),"")</f>
        <v/>
      </c>
      <c r="R356" s="0" t="str">
        <f aca="false">IF(CC_Mode="Per equipment",IFERROR(INDEX($B$4:$B$403,MATCH(353,$I$4:$I$403,0)),""),IF(CC_Mode="Per loop",IFERROR(INDEX($B$4:$B$403,MATCH(353,$H$4:$H$403,0)),""),IF(CC_Mode="Per unit",IFERROR("Chemical cleaning – "&amp;INDEX($K$4:$K$15,MATCH(353,$N$4:$N$15,0)),""),IF(353=1,"LUMP SUM – "&amp;QProject,""))))</f>
        <v/>
      </c>
      <c r="S356" s="0" t="str">
        <f aca="false">IF(CC_Mode="Per equipment",IFERROR(INDEX($C$4:$C$403,MATCH(353,$I$4:$I$403,0)),""),IF(CC_Mode="Per loop",IFERROR(INDEX($C$4:$C$403,MATCH(353,$H$4:$H$403,0)),""),IF(CC_Mode="Per unit",IFERROR(INDEX($K$4:$K$15,MATCH(353,$N$4:$N$15,0)),""),IF(353=1,"All units",""))))</f>
        <v/>
      </c>
      <c r="T356" s="0" t="str">
        <f aca="false">IF(CC_Mode="Per equipment",IFERROR(INDEX($D$4:$D$403,MATCH(353,$I$4:$I$403,0)),""),IF(CC_Mode="Per loop",IFERROR(INDEX($D$4:$D$403,MATCH(353,$H$4:$H$403,0)),""),IF(CC_Mode="Per unit",IFERROR(INDEX($M$4:$M$15,MATCH(353,$N$4:$N$15,0)),""),IF(353=1,CC_V_GrandVol,""))))</f>
        <v/>
      </c>
      <c r="U356" s="0" t="str">
        <f aca="false">IF(CC_Mode="Per equipment",IFERROR(INDEX($E$4:$E$403,MATCH(353,$I$4:$I$403,0)),""),IF(CC_Mode="Per loop",IFERROR(INDEX($E$4:$E$403,MATCH(353,$H$4:$H$403,0)),""),IF(CC_Mode="Per unit",IFERROR(INDEX($L$4:$L$15,MATCH(353,$N$4:$N$15,0)),""),IF(353=1,CC_Net,""))))</f>
        <v/>
      </c>
    </row>
    <row r="357" customFormat="false" ht="15" hidden="false" customHeight="false" outlineLevel="0" collapsed="false">
      <c r="A357" s="0" t="s">
        <v>172</v>
      </c>
      <c r="B357" s="0" t="str">
        <f aca="false">'CC Item Pricing'!C353&amp;IF('CC Item Pricing'!D353="",""," – "&amp;'CC Item Pricing'!D353)</f>
        <v/>
      </c>
      <c r="C357" s="0" t="str">
        <f aca="false">INDEX(CC_UnitNames,'CC Item Pricing'!Y353)</f>
        <v>Unit 11</v>
      </c>
      <c r="D357" s="0" t="n">
        <f aca="false">N('CC Item Pricing'!G353)</f>
        <v>0</v>
      </c>
      <c r="E357" s="98" t="n">
        <f aca="false">'CC Item Pricing'!W353</f>
        <v>0</v>
      </c>
      <c r="F357" s="96" t="n">
        <f aca="false">IF(AND(G357=1,'CC Item Pricing'!B353=""),1,0)</f>
        <v>0</v>
      </c>
      <c r="G357" s="96" t="n">
        <f aca="false">IF(D357&gt;0,1,0)</f>
        <v>0</v>
      </c>
      <c r="H357" s="0" t="str">
        <f aca="false">IF(F357=1,COUNTIF($F$4:F357,1),"")</f>
        <v/>
      </c>
      <c r="I357" s="0" t="str">
        <f aca="false">IF(G357=1,COUNTIF($G$4:G357,1),"")</f>
        <v/>
      </c>
      <c r="R357" s="0" t="str">
        <f aca="false">IF(CC_Mode="Per equipment",IFERROR(INDEX($B$4:$B$403,MATCH(354,$I$4:$I$403,0)),""),IF(CC_Mode="Per loop",IFERROR(INDEX($B$4:$B$403,MATCH(354,$H$4:$H$403,0)),""),IF(CC_Mode="Per unit",IFERROR("Chemical cleaning – "&amp;INDEX($K$4:$K$15,MATCH(354,$N$4:$N$15,0)),""),IF(354=1,"LUMP SUM – "&amp;QProject,""))))</f>
        <v/>
      </c>
      <c r="S357" s="0" t="str">
        <f aca="false">IF(CC_Mode="Per equipment",IFERROR(INDEX($C$4:$C$403,MATCH(354,$I$4:$I$403,0)),""),IF(CC_Mode="Per loop",IFERROR(INDEX($C$4:$C$403,MATCH(354,$H$4:$H$403,0)),""),IF(CC_Mode="Per unit",IFERROR(INDEX($K$4:$K$15,MATCH(354,$N$4:$N$15,0)),""),IF(354=1,"All units",""))))</f>
        <v/>
      </c>
      <c r="T357" s="0" t="str">
        <f aca="false">IF(CC_Mode="Per equipment",IFERROR(INDEX($D$4:$D$403,MATCH(354,$I$4:$I$403,0)),""),IF(CC_Mode="Per loop",IFERROR(INDEX($D$4:$D$403,MATCH(354,$H$4:$H$403,0)),""),IF(CC_Mode="Per unit",IFERROR(INDEX($M$4:$M$15,MATCH(354,$N$4:$N$15,0)),""),IF(354=1,CC_V_GrandVol,""))))</f>
        <v/>
      </c>
      <c r="U357" s="0" t="str">
        <f aca="false">IF(CC_Mode="Per equipment",IFERROR(INDEX($E$4:$E$403,MATCH(354,$I$4:$I$403,0)),""),IF(CC_Mode="Per loop",IFERROR(INDEX($E$4:$E$403,MATCH(354,$H$4:$H$403,0)),""),IF(CC_Mode="Per unit",IFERROR(INDEX($L$4:$L$15,MATCH(354,$N$4:$N$15,0)),""),IF(354=1,CC_Net,""))))</f>
        <v/>
      </c>
    </row>
    <row r="358" customFormat="false" ht="15" hidden="false" customHeight="false" outlineLevel="0" collapsed="false">
      <c r="A358" s="0" t="s">
        <v>172</v>
      </c>
      <c r="B358" s="0" t="str">
        <f aca="false">'CC Item Pricing'!C354&amp;IF('CC Item Pricing'!D354="",""," – "&amp;'CC Item Pricing'!D354)</f>
        <v/>
      </c>
      <c r="C358" s="0" t="str">
        <f aca="false">INDEX(CC_UnitNames,'CC Item Pricing'!Y354)</f>
        <v>Unit 11</v>
      </c>
      <c r="D358" s="0" t="n">
        <f aca="false">N('CC Item Pricing'!G354)</f>
        <v>0</v>
      </c>
      <c r="E358" s="98" t="n">
        <f aca="false">'CC Item Pricing'!W354</f>
        <v>0</v>
      </c>
      <c r="F358" s="96" t="n">
        <f aca="false">IF(AND(G358=1,'CC Item Pricing'!B354=""),1,0)</f>
        <v>0</v>
      </c>
      <c r="G358" s="96" t="n">
        <f aca="false">IF(D358&gt;0,1,0)</f>
        <v>0</v>
      </c>
      <c r="H358" s="0" t="str">
        <f aca="false">IF(F358=1,COUNTIF($F$4:F358,1),"")</f>
        <v/>
      </c>
      <c r="I358" s="0" t="str">
        <f aca="false">IF(G358=1,COUNTIF($G$4:G358,1),"")</f>
        <v/>
      </c>
      <c r="R358" s="0" t="str">
        <f aca="false">IF(CC_Mode="Per equipment",IFERROR(INDEX($B$4:$B$403,MATCH(355,$I$4:$I$403,0)),""),IF(CC_Mode="Per loop",IFERROR(INDEX($B$4:$B$403,MATCH(355,$H$4:$H$403,0)),""),IF(CC_Mode="Per unit",IFERROR("Chemical cleaning – "&amp;INDEX($K$4:$K$15,MATCH(355,$N$4:$N$15,0)),""),IF(355=1,"LUMP SUM – "&amp;QProject,""))))</f>
        <v/>
      </c>
      <c r="S358" s="0" t="str">
        <f aca="false">IF(CC_Mode="Per equipment",IFERROR(INDEX($C$4:$C$403,MATCH(355,$I$4:$I$403,0)),""),IF(CC_Mode="Per loop",IFERROR(INDEX($C$4:$C$403,MATCH(355,$H$4:$H$403,0)),""),IF(CC_Mode="Per unit",IFERROR(INDEX($K$4:$K$15,MATCH(355,$N$4:$N$15,0)),""),IF(355=1,"All units",""))))</f>
        <v/>
      </c>
      <c r="T358" s="0" t="str">
        <f aca="false">IF(CC_Mode="Per equipment",IFERROR(INDEX($D$4:$D$403,MATCH(355,$I$4:$I$403,0)),""),IF(CC_Mode="Per loop",IFERROR(INDEX($D$4:$D$403,MATCH(355,$H$4:$H$403,0)),""),IF(CC_Mode="Per unit",IFERROR(INDEX($M$4:$M$15,MATCH(355,$N$4:$N$15,0)),""),IF(355=1,CC_V_GrandVol,""))))</f>
        <v/>
      </c>
      <c r="U358" s="0" t="str">
        <f aca="false">IF(CC_Mode="Per equipment",IFERROR(INDEX($E$4:$E$403,MATCH(355,$I$4:$I$403,0)),""),IF(CC_Mode="Per loop",IFERROR(INDEX($E$4:$E$403,MATCH(355,$H$4:$H$403,0)),""),IF(CC_Mode="Per unit",IFERROR(INDEX($L$4:$L$15,MATCH(355,$N$4:$N$15,0)),""),IF(355=1,CC_Net,""))))</f>
        <v/>
      </c>
    </row>
    <row r="359" customFormat="false" ht="15" hidden="false" customHeight="false" outlineLevel="0" collapsed="false">
      <c r="A359" s="0" t="s">
        <v>172</v>
      </c>
      <c r="B359" s="0" t="str">
        <f aca="false">'CC Item Pricing'!C355&amp;IF('CC Item Pricing'!D355="",""," – "&amp;'CC Item Pricing'!D355)</f>
        <v/>
      </c>
      <c r="C359" s="0" t="str">
        <f aca="false">INDEX(CC_UnitNames,'CC Item Pricing'!Y355)</f>
        <v>Unit 11</v>
      </c>
      <c r="D359" s="0" t="n">
        <f aca="false">N('CC Item Pricing'!G355)</f>
        <v>0</v>
      </c>
      <c r="E359" s="98" t="n">
        <f aca="false">'CC Item Pricing'!W355</f>
        <v>0</v>
      </c>
      <c r="F359" s="96" t="n">
        <f aca="false">IF(AND(G359=1,'CC Item Pricing'!B355=""),1,0)</f>
        <v>0</v>
      </c>
      <c r="G359" s="96" t="n">
        <f aca="false">IF(D359&gt;0,1,0)</f>
        <v>0</v>
      </c>
      <c r="H359" s="0" t="str">
        <f aca="false">IF(F359=1,COUNTIF($F$4:F359,1),"")</f>
        <v/>
      </c>
      <c r="I359" s="0" t="str">
        <f aca="false">IF(G359=1,COUNTIF($G$4:G359,1),"")</f>
        <v/>
      </c>
      <c r="R359" s="0" t="str">
        <f aca="false">IF(CC_Mode="Per equipment",IFERROR(INDEX($B$4:$B$403,MATCH(356,$I$4:$I$403,0)),""),IF(CC_Mode="Per loop",IFERROR(INDEX($B$4:$B$403,MATCH(356,$H$4:$H$403,0)),""),IF(CC_Mode="Per unit",IFERROR("Chemical cleaning – "&amp;INDEX($K$4:$K$15,MATCH(356,$N$4:$N$15,0)),""),IF(356=1,"LUMP SUM – "&amp;QProject,""))))</f>
        <v/>
      </c>
      <c r="S359" s="0" t="str">
        <f aca="false">IF(CC_Mode="Per equipment",IFERROR(INDEX($C$4:$C$403,MATCH(356,$I$4:$I$403,0)),""),IF(CC_Mode="Per loop",IFERROR(INDEX($C$4:$C$403,MATCH(356,$H$4:$H$403,0)),""),IF(CC_Mode="Per unit",IFERROR(INDEX($K$4:$K$15,MATCH(356,$N$4:$N$15,0)),""),IF(356=1,"All units",""))))</f>
        <v/>
      </c>
      <c r="T359" s="0" t="str">
        <f aca="false">IF(CC_Mode="Per equipment",IFERROR(INDEX($D$4:$D$403,MATCH(356,$I$4:$I$403,0)),""),IF(CC_Mode="Per loop",IFERROR(INDEX($D$4:$D$403,MATCH(356,$H$4:$H$403,0)),""),IF(CC_Mode="Per unit",IFERROR(INDEX($M$4:$M$15,MATCH(356,$N$4:$N$15,0)),""),IF(356=1,CC_V_GrandVol,""))))</f>
        <v/>
      </c>
      <c r="U359" s="0" t="str">
        <f aca="false">IF(CC_Mode="Per equipment",IFERROR(INDEX($E$4:$E$403,MATCH(356,$I$4:$I$403,0)),""),IF(CC_Mode="Per loop",IFERROR(INDEX($E$4:$E$403,MATCH(356,$H$4:$H$403,0)),""),IF(CC_Mode="Per unit",IFERROR(INDEX($L$4:$L$15,MATCH(356,$N$4:$N$15,0)),""),IF(356=1,CC_Net,""))))</f>
        <v/>
      </c>
    </row>
    <row r="360" customFormat="false" ht="15" hidden="false" customHeight="false" outlineLevel="0" collapsed="false">
      <c r="A360" s="0" t="s">
        <v>172</v>
      </c>
      <c r="B360" s="0" t="str">
        <f aca="false">'CC Item Pricing'!C356&amp;IF('CC Item Pricing'!D356="",""," – "&amp;'CC Item Pricing'!D356)</f>
        <v/>
      </c>
      <c r="C360" s="0" t="str">
        <f aca="false">INDEX(CC_UnitNames,'CC Item Pricing'!Y356)</f>
        <v>Unit 11</v>
      </c>
      <c r="D360" s="0" t="n">
        <f aca="false">N('CC Item Pricing'!G356)</f>
        <v>0</v>
      </c>
      <c r="E360" s="98" t="n">
        <f aca="false">'CC Item Pricing'!W356</f>
        <v>0</v>
      </c>
      <c r="F360" s="96" t="n">
        <f aca="false">IF(AND(G360=1,'CC Item Pricing'!B356=""),1,0)</f>
        <v>0</v>
      </c>
      <c r="G360" s="96" t="n">
        <f aca="false">IF(D360&gt;0,1,0)</f>
        <v>0</v>
      </c>
      <c r="H360" s="0" t="str">
        <f aca="false">IF(F360=1,COUNTIF($F$4:F360,1),"")</f>
        <v/>
      </c>
      <c r="I360" s="0" t="str">
        <f aca="false">IF(G360=1,COUNTIF($G$4:G360,1),"")</f>
        <v/>
      </c>
      <c r="R360" s="0" t="str">
        <f aca="false">IF(CC_Mode="Per equipment",IFERROR(INDEX($B$4:$B$403,MATCH(357,$I$4:$I$403,0)),""),IF(CC_Mode="Per loop",IFERROR(INDEX($B$4:$B$403,MATCH(357,$H$4:$H$403,0)),""),IF(CC_Mode="Per unit",IFERROR("Chemical cleaning – "&amp;INDEX($K$4:$K$15,MATCH(357,$N$4:$N$15,0)),""),IF(357=1,"LUMP SUM – "&amp;QProject,""))))</f>
        <v/>
      </c>
      <c r="S360" s="0" t="str">
        <f aca="false">IF(CC_Mode="Per equipment",IFERROR(INDEX($C$4:$C$403,MATCH(357,$I$4:$I$403,0)),""),IF(CC_Mode="Per loop",IFERROR(INDEX($C$4:$C$403,MATCH(357,$H$4:$H$403,0)),""),IF(CC_Mode="Per unit",IFERROR(INDEX($K$4:$K$15,MATCH(357,$N$4:$N$15,0)),""),IF(357=1,"All units",""))))</f>
        <v/>
      </c>
      <c r="T360" s="0" t="str">
        <f aca="false">IF(CC_Mode="Per equipment",IFERROR(INDEX($D$4:$D$403,MATCH(357,$I$4:$I$403,0)),""),IF(CC_Mode="Per loop",IFERROR(INDEX($D$4:$D$403,MATCH(357,$H$4:$H$403,0)),""),IF(CC_Mode="Per unit",IFERROR(INDEX($M$4:$M$15,MATCH(357,$N$4:$N$15,0)),""),IF(357=1,CC_V_GrandVol,""))))</f>
        <v/>
      </c>
      <c r="U360" s="0" t="str">
        <f aca="false">IF(CC_Mode="Per equipment",IFERROR(INDEX($E$4:$E$403,MATCH(357,$I$4:$I$403,0)),""),IF(CC_Mode="Per loop",IFERROR(INDEX($E$4:$E$403,MATCH(357,$H$4:$H$403,0)),""),IF(CC_Mode="Per unit",IFERROR(INDEX($L$4:$L$15,MATCH(357,$N$4:$N$15,0)),""),IF(357=1,CC_Net,""))))</f>
        <v/>
      </c>
    </row>
    <row r="361" customFormat="false" ht="15" hidden="false" customHeight="false" outlineLevel="0" collapsed="false">
      <c r="A361" s="0" t="s">
        <v>172</v>
      </c>
      <c r="B361" s="0" t="str">
        <f aca="false">'CC Item Pricing'!C357&amp;IF('CC Item Pricing'!D357="",""," – "&amp;'CC Item Pricing'!D357)</f>
        <v/>
      </c>
      <c r="C361" s="0" t="str">
        <f aca="false">INDEX(CC_UnitNames,'CC Item Pricing'!Y357)</f>
        <v>Unit 11</v>
      </c>
      <c r="D361" s="0" t="n">
        <f aca="false">N('CC Item Pricing'!G357)</f>
        <v>0</v>
      </c>
      <c r="E361" s="98" t="n">
        <f aca="false">'CC Item Pricing'!W357</f>
        <v>0</v>
      </c>
      <c r="F361" s="96" t="n">
        <f aca="false">IF(AND(G361=1,'CC Item Pricing'!B357=""),1,0)</f>
        <v>0</v>
      </c>
      <c r="G361" s="96" t="n">
        <f aca="false">IF(D361&gt;0,1,0)</f>
        <v>0</v>
      </c>
      <c r="H361" s="0" t="str">
        <f aca="false">IF(F361=1,COUNTIF($F$4:F361,1),"")</f>
        <v/>
      </c>
      <c r="I361" s="0" t="str">
        <f aca="false">IF(G361=1,COUNTIF($G$4:G361,1),"")</f>
        <v/>
      </c>
      <c r="R361" s="0" t="str">
        <f aca="false">IF(CC_Mode="Per equipment",IFERROR(INDEX($B$4:$B$403,MATCH(358,$I$4:$I$403,0)),""),IF(CC_Mode="Per loop",IFERROR(INDEX($B$4:$B$403,MATCH(358,$H$4:$H$403,0)),""),IF(CC_Mode="Per unit",IFERROR("Chemical cleaning – "&amp;INDEX($K$4:$K$15,MATCH(358,$N$4:$N$15,0)),""),IF(358=1,"LUMP SUM – "&amp;QProject,""))))</f>
        <v/>
      </c>
      <c r="S361" s="0" t="str">
        <f aca="false">IF(CC_Mode="Per equipment",IFERROR(INDEX($C$4:$C$403,MATCH(358,$I$4:$I$403,0)),""),IF(CC_Mode="Per loop",IFERROR(INDEX($C$4:$C$403,MATCH(358,$H$4:$H$403,0)),""),IF(CC_Mode="Per unit",IFERROR(INDEX($K$4:$K$15,MATCH(358,$N$4:$N$15,0)),""),IF(358=1,"All units",""))))</f>
        <v/>
      </c>
      <c r="T361" s="0" t="str">
        <f aca="false">IF(CC_Mode="Per equipment",IFERROR(INDEX($D$4:$D$403,MATCH(358,$I$4:$I$403,0)),""),IF(CC_Mode="Per loop",IFERROR(INDEX($D$4:$D$403,MATCH(358,$H$4:$H$403,0)),""),IF(CC_Mode="Per unit",IFERROR(INDEX($M$4:$M$15,MATCH(358,$N$4:$N$15,0)),""),IF(358=1,CC_V_GrandVol,""))))</f>
        <v/>
      </c>
      <c r="U361" s="0" t="str">
        <f aca="false">IF(CC_Mode="Per equipment",IFERROR(INDEX($E$4:$E$403,MATCH(358,$I$4:$I$403,0)),""),IF(CC_Mode="Per loop",IFERROR(INDEX($E$4:$E$403,MATCH(358,$H$4:$H$403,0)),""),IF(CC_Mode="Per unit",IFERROR(INDEX($L$4:$L$15,MATCH(358,$N$4:$N$15,0)),""),IF(358=1,CC_Net,""))))</f>
        <v/>
      </c>
    </row>
    <row r="362" customFormat="false" ht="15" hidden="false" customHeight="false" outlineLevel="0" collapsed="false">
      <c r="A362" s="0" t="s">
        <v>172</v>
      </c>
      <c r="B362" s="0" t="str">
        <f aca="false">'CC Item Pricing'!C358&amp;IF('CC Item Pricing'!D358="",""," – "&amp;'CC Item Pricing'!D358)</f>
        <v/>
      </c>
      <c r="C362" s="0" t="str">
        <f aca="false">INDEX(CC_UnitNames,'CC Item Pricing'!Y358)</f>
        <v>Unit 11</v>
      </c>
      <c r="D362" s="0" t="n">
        <f aca="false">N('CC Item Pricing'!G358)</f>
        <v>0</v>
      </c>
      <c r="E362" s="98" t="n">
        <f aca="false">'CC Item Pricing'!W358</f>
        <v>0</v>
      </c>
      <c r="F362" s="96" t="n">
        <f aca="false">IF(AND(G362=1,'CC Item Pricing'!B358=""),1,0)</f>
        <v>0</v>
      </c>
      <c r="G362" s="96" t="n">
        <f aca="false">IF(D362&gt;0,1,0)</f>
        <v>0</v>
      </c>
      <c r="H362" s="0" t="str">
        <f aca="false">IF(F362=1,COUNTIF($F$4:F362,1),"")</f>
        <v/>
      </c>
      <c r="I362" s="0" t="str">
        <f aca="false">IF(G362=1,COUNTIF($G$4:G362,1),"")</f>
        <v/>
      </c>
      <c r="R362" s="0" t="str">
        <f aca="false">IF(CC_Mode="Per equipment",IFERROR(INDEX($B$4:$B$403,MATCH(359,$I$4:$I$403,0)),""),IF(CC_Mode="Per loop",IFERROR(INDEX($B$4:$B$403,MATCH(359,$H$4:$H$403,0)),""),IF(CC_Mode="Per unit",IFERROR("Chemical cleaning – "&amp;INDEX($K$4:$K$15,MATCH(359,$N$4:$N$15,0)),""),IF(359=1,"LUMP SUM – "&amp;QProject,""))))</f>
        <v/>
      </c>
      <c r="S362" s="0" t="str">
        <f aca="false">IF(CC_Mode="Per equipment",IFERROR(INDEX($C$4:$C$403,MATCH(359,$I$4:$I$403,0)),""),IF(CC_Mode="Per loop",IFERROR(INDEX($C$4:$C$403,MATCH(359,$H$4:$H$403,0)),""),IF(CC_Mode="Per unit",IFERROR(INDEX($K$4:$K$15,MATCH(359,$N$4:$N$15,0)),""),IF(359=1,"All units",""))))</f>
        <v/>
      </c>
      <c r="T362" s="0" t="str">
        <f aca="false">IF(CC_Mode="Per equipment",IFERROR(INDEX($D$4:$D$403,MATCH(359,$I$4:$I$403,0)),""),IF(CC_Mode="Per loop",IFERROR(INDEX($D$4:$D$403,MATCH(359,$H$4:$H$403,0)),""),IF(CC_Mode="Per unit",IFERROR(INDEX($M$4:$M$15,MATCH(359,$N$4:$N$15,0)),""),IF(359=1,CC_V_GrandVol,""))))</f>
        <v/>
      </c>
      <c r="U362" s="0" t="str">
        <f aca="false">IF(CC_Mode="Per equipment",IFERROR(INDEX($E$4:$E$403,MATCH(359,$I$4:$I$403,0)),""),IF(CC_Mode="Per loop",IFERROR(INDEX($E$4:$E$403,MATCH(359,$H$4:$H$403,0)),""),IF(CC_Mode="Per unit",IFERROR(INDEX($L$4:$L$15,MATCH(359,$N$4:$N$15,0)),""),IF(359=1,CC_Net,""))))</f>
        <v/>
      </c>
    </row>
    <row r="363" customFormat="false" ht="15" hidden="false" customHeight="false" outlineLevel="0" collapsed="false">
      <c r="A363" s="0" t="s">
        <v>172</v>
      </c>
      <c r="B363" s="0" t="str">
        <f aca="false">'CC Item Pricing'!C359&amp;IF('CC Item Pricing'!D359="",""," – "&amp;'CC Item Pricing'!D359)</f>
        <v/>
      </c>
      <c r="C363" s="0" t="str">
        <f aca="false">INDEX(CC_UnitNames,'CC Item Pricing'!Y359)</f>
        <v>Unit 11</v>
      </c>
      <c r="D363" s="0" t="n">
        <f aca="false">N('CC Item Pricing'!G359)</f>
        <v>0</v>
      </c>
      <c r="E363" s="98" t="n">
        <f aca="false">'CC Item Pricing'!W359</f>
        <v>0</v>
      </c>
      <c r="F363" s="96" t="n">
        <f aca="false">IF(AND(G363=1,'CC Item Pricing'!B359=""),1,0)</f>
        <v>0</v>
      </c>
      <c r="G363" s="96" t="n">
        <f aca="false">IF(D363&gt;0,1,0)</f>
        <v>0</v>
      </c>
      <c r="H363" s="0" t="str">
        <f aca="false">IF(F363=1,COUNTIF($F$4:F363,1),"")</f>
        <v/>
      </c>
      <c r="I363" s="0" t="str">
        <f aca="false">IF(G363=1,COUNTIF($G$4:G363,1),"")</f>
        <v/>
      </c>
      <c r="R363" s="0" t="str">
        <f aca="false">IF(CC_Mode="Per equipment",IFERROR(INDEX($B$4:$B$403,MATCH(360,$I$4:$I$403,0)),""),IF(CC_Mode="Per loop",IFERROR(INDEX($B$4:$B$403,MATCH(360,$H$4:$H$403,0)),""),IF(CC_Mode="Per unit",IFERROR("Chemical cleaning – "&amp;INDEX($K$4:$K$15,MATCH(360,$N$4:$N$15,0)),""),IF(360=1,"LUMP SUM – "&amp;QProject,""))))</f>
        <v/>
      </c>
      <c r="S363" s="0" t="str">
        <f aca="false">IF(CC_Mode="Per equipment",IFERROR(INDEX($C$4:$C$403,MATCH(360,$I$4:$I$403,0)),""),IF(CC_Mode="Per loop",IFERROR(INDEX($C$4:$C$403,MATCH(360,$H$4:$H$403,0)),""),IF(CC_Mode="Per unit",IFERROR(INDEX($K$4:$K$15,MATCH(360,$N$4:$N$15,0)),""),IF(360=1,"All units",""))))</f>
        <v/>
      </c>
      <c r="T363" s="0" t="str">
        <f aca="false">IF(CC_Mode="Per equipment",IFERROR(INDEX($D$4:$D$403,MATCH(360,$I$4:$I$403,0)),""),IF(CC_Mode="Per loop",IFERROR(INDEX($D$4:$D$403,MATCH(360,$H$4:$H$403,0)),""),IF(CC_Mode="Per unit",IFERROR(INDEX($M$4:$M$15,MATCH(360,$N$4:$N$15,0)),""),IF(360=1,CC_V_GrandVol,""))))</f>
        <v/>
      </c>
      <c r="U363" s="0" t="str">
        <f aca="false">IF(CC_Mode="Per equipment",IFERROR(INDEX($E$4:$E$403,MATCH(360,$I$4:$I$403,0)),""),IF(CC_Mode="Per loop",IFERROR(INDEX($E$4:$E$403,MATCH(360,$H$4:$H$403,0)),""),IF(CC_Mode="Per unit",IFERROR(INDEX($L$4:$L$15,MATCH(360,$N$4:$N$15,0)),""),IF(360=1,CC_Net,""))))</f>
        <v/>
      </c>
    </row>
    <row r="364" customFormat="false" ht="15" hidden="false" customHeight="false" outlineLevel="0" collapsed="false">
      <c r="A364" s="0" t="s">
        <v>172</v>
      </c>
      <c r="B364" s="0" t="str">
        <f aca="false">'CC Item Pricing'!C360&amp;IF('CC Item Pricing'!D360="",""," – "&amp;'CC Item Pricing'!D360)</f>
        <v/>
      </c>
      <c r="C364" s="0" t="str">
        <f aca="false">INDEX(CC_UnitNames,'CC Item Pricing'!Y360)</f>
        <v>Unit 11</v>
      </c>
      <c r="D364" s="0" t="n">
        <f aca="false">N('CC Item Pricing'!G360)</f>
        <v>0</v>
      </c>
      <c r="E364" s="98" t="n">
        <f aca="false">'CC Item Pricing'!W360</f>
        <v>0</v>
      </c>
      <c r="F364" s="96" t="n">
        <f aca="false">IF(AND(G364=1,'CC Item Pricing'!B360=""),1,0)</f>
        <v>0</v>
      </c>
      <c r="G364" s="96" t="n">
        <f aca="false">IF(D364&gt;0,1,0)</f>
        <v>0</v>
      </c>
      <c r="H364" s="0" t="str">
        <f aca="false">IF(F364=1,COUNTIF($F$4:F364,1),"")</f>
        <v/>
      </c>
      <c r="I364" s="0" t="str">
        <f aca="false">IF(G364=1,COUNTIF($G$4:G364,1),"")</f>
        <v/>
      </c>
      <c r="R364" s="0" t="str">
        <f aca="false">IF(CC_Mode="Per equipment",IFERROR(INDEX($B$4:$B$403,MATCH(361,$I$4:$I$403,0)),""),IF(CC_Mode="Per loop",IFERROR(INDEX($B$4:$B$403,MATCH(361,$H$4:$H$403,0)),""),IF(CC_Mode="Per unit",IFERROR("Chemical cleaning – "&amp;INDEX($K$4:$K$15,MATCH(361,$N$4:$N$15,0)),""),IF(361=1,"LUMP SUM – "&amp;QProject,""))))</f>
        <v/>
      </c>
      <c r="S364" s="0" t="str">
        <f aca="false">IF(CC_Mode="Per equipment",IFERROR(INDEX($C$4:$C$403,MATCH(361,$I$4:$I$403,0)),""),IF(CC_Mode="Per loop",IFERROR(INDEX($C$4:$C$403,MATCH(361,$H$4:$H$403,0)),""),IF(CC_Mode="Per unit",IFERROR(INDEX($K$4:$K$15,MATCH(361,$N$4:$N$15,0)),""),IF(361=1,"All units",""))))</f>
        <v/>
      </c>
      <c r="T364" s="0" t="str">
        <f aca="false">IF(CC_Mode="Per equipment",IFERROR(INDEX($D$4:$D$403,MATCH(361,$I$4:$I$403,0)),""),IF(CC_Mode="Per loop",IFERROR(INDEX($D$4:$D$403,MATCH(361,$H$4:$H$403,0)),""),IF(CC_Mode="Per unit",IFERROR(INDEX($M$4:$M$15,MATCH(361,$N$4:$N$15,0)),""),IF(361=1,CC_V_GrandVol,""))))</f>
        <v/>
      </c>
      <c r="U364" s="0" t="str">
        <f aca="false">IF(CC_Mode="Per equipment",IFERROR(INDEX($E$4:$E$403,MATCH(361,$I$4:$I$403,0)),""),IF(CC_Mode="Per loop",IFERROR(INDEX($E$4:$E$403,MATCH(361,$H$4:$H$403,0)),""),IF(CC_Mode="Per unit",IFERROR(INDEX($L$4:$L$15,MATCH(361,$N$4:$N$15,0)),""),IF(361=1,CC_Net,""))))</f>
        <v/>
      </c>
    </row>
    <row r="365" customFormat="false" ht="15" hidden="false" customHeight="false" outlineLevel="0" collapsed="false">
      <c r="A365" s="0" t="s">
        <v>172</v>
      </c>
      <c r="B365" s="0" t="str">
        <f aca="false">'CC Item Pricing'!C361&amp;IF('CC Item Pricing'!D361="",""," – "&amp;'CC Item Pricing'!D361)</f>
        <v/>
      </c>
      <c r="C365" s="0" t="str">
        <f aca="false">INDEX(CC_UnitNames,'CC Item Pricing'!Y361)</f>
        <v>Unit 11</v>
      </c>
      <c r="D365" s="0" t="n">
        <f aca="false">N('CC Item Pricing'!G361)</f>
        <v>0</v>
      </c>
      <c r="E365" s="98" t="n">
        <f aca="false">'CC Item Pricing'!W361</f>
        <v>0</v>
      </c>
      <c r="F365" s="96" t="n">
        <f aca="false">IF(AND(G365=1,'CC Item Pricing'!B361=""),1,0)</f>
        <v>0</v>
      </c>
      <c r="G365" s="96" t="n">
        <f aca="false">IF(D365&gt;0,1,0)</f>
        <v>0</v>
      </c>
      <c r="H365" s="0" t="str">
        <f aca="false">IF(F365=1,COUNTIF($F$4:F365,1),"")</f>
        <v/>
      </c>
      <c r="I365" s="0" t="str">
        <f aca="false">IF(G365=1,COUNTIF($G$4:G365,1),"")</f>
        <v/>
      </c>
      <c r="R365" s="0" t="str">
        <f aca="false">IF(CC_Mode="Per equipment",IFERROR(INDEX($B$4:$B$403,MATCH(362,$I$4:$I$403,0)),""),IF(CC_Mode="Per loop",IFERROR(INDEX($B$4:$B$403,MATCH(362,$H$4:$H$403,0)),""),IF(CC_Mode="Per unit",IFERROR("Chemical cleaning – "&amp;INDEX($K$4:$K$15,MATCH(362,$N$4:$N$15,0)),""),IF(362=1,"LUMP SUM – "&amp;QProject,""))))</f>
        <v/>
      </c>
      <c r="S365" s="0" t="str">
        <f aca="false">IF(CC_Mode="Per equipment",IFERROR(INDEX($C$4:$C$403,MATCH(362,$I$4:$I$403,0)),""),IF(CC_Mode="Per loop",IFERROR(INDEX($C$4:$C$403,MATCH(362,$H$4:$H$403,0)),""),IF(CC_Mode="Per unit",IFERROR(INDEX($K$4:$K$15,MATCH(362,$N$4:$N$15,0)),""),IF(362=1,"All units",""))))</f>
        <v/>
      </c>
      <c r="T365" s="0" t="str">
        <f aca="false">IF(CC_Mode="Per equipment",IFERROR(INDEX($D$4:$D$403,MATCH(362,$I$4:$I$403,0)),""),IF(CC_Mode="Per loop",IFERROR(INDEX($D$4:$D$403,MATCH(362,$H$4:$H$403,0)),""),IF(CC_Mode="Per unit",IFERROR(INDEX($M$4:$M$15,MATCH(362,$N$4:$N$15,0)),""),IF(362=1,CC_V_GrandVol,""))))</f>
        <v/>
      </c>
      <c r="U365" s="0" t="str">
        <f aca="false">IF(CC_Mode="Per equipment",IFERROR(INDEX($E$4:$E$403,MATCH(362,$I$4:$I$403,0)),""),IF(CC_Mode="Per loop",IFERROR(INDEX($E$4:$E$403,MATCH(362,$H$4:$H$403,0)),""),IF(CC_Mode="Per unit",IFERROR(INDEX($L$4:$L$15,MATCH(362,$N$4:$N$15,0)),""),IF(362=1,CC_Net,""))))</f>
        <v/>
      </c>
    </row>
    <row r="366" customFormat="false" ht="15" hidden="false" customHeight="false" outlineLevel="0" collapsed="false">
      <c r="A366" s="0" t="s">
        <v>172</v>
      </c>
      <c r="B366" s="0" t="str">
        <f aca="false">'CC Item Pricing'!C362&amp;IF('CC Item Pricing'!D362="",""," – "&amp;'CC Item Pricing'!D362)</f>
        <v/>
      </c>
      <c r="C366" s="0" t="str">
        <f aca="false">INDEX(CC_UnitNames,'CC Item Pricing'!Y362)</f>
        <v>Unit 11</v>
      </c>
      <c r="D366" s="0" t="n">
        <f aca="false">N('CC Item Pricing'!G362)</f>
        <v>0</v>
      </c>
      <c r="E366" s="98" t="n">
        <f aca="false">'CC Item Pricing'!W362</f>
        <v>0</v>
      </c>
      <c r="F366" s="96" t="n">
        <f aca="false">IF(AND(G366=1,'CC Item Pricing'!B362=""),1,0)</f>
        <v>0</v>
      </c>
      <c r="G366" s="96" t="n">
        <f aca="false">IF(D366&gt;0,1,0)</f>
        <v>0</v>
      </c>
      <c r="H366" s="0" t="str">
        <f aca="false">IF(F366=1,COUNTIF($F$4:F366,1),"")</f>
        <v/>
      </c>
      <c r="I366" s="0" t="str">
        <f aca="false">IF(G366=1,COUNTIF($G$4:G366,1),"")</f>
        <v/>
      </c>
      <c r="R366" s="0" t="str">
        <f aca="false">IF(CC_Mode="Per equipment",IFERROR(INDEX($B$4:$B$403,MATCH(363,$I$4:$I$403,0)),""),IF(CC_Mode="Per loop",IFERROR(INDEX($B$4:$B$403,MATCH(363,$H$4:$H$403,0)),""),IF(CC_Mode="Per unit",IFERROR("Chemical cleaning – "&amp;INDEX($K$4:$K$15,MATCH(363,$N$4:$N$15,0)),""),IF(363=1,"LUMP SUM – "&amp;QProject,""))))</f>
        <v/>
      </c>
      <c r="S366" s="0" t="str">
        <f aca="false">IF(CC_Mode="Per equipment",IFERROR(INDEX($C$4:$C$403,MATCH(363,$I$4:$I$403,0)),""),IF(CC_Mode="Per loop",IFERROR(INDEX($C$4:$C$403,MATCH(363,$H$4:$H$403,0)),""),IF(CC_Mode="Per unit",IFERROR(INDEX($K$4:$K$15,MATCH(363,$N$4:$N$15,0)),""),IF(363=1,"All units",""))))</f>
        <v/>
      </c>
      <c r="T366" s="0" t="str">
        <f aca="false">IF(CC_Mode="Per equipment",IFERROR(INDEX($D$4:$D$403,MATCH(363,$I$4:$I$403,0)),""),IF(CC_Mode="Per loop",IFERROR(INDEX($D$4:$D$403,MATCH(363,$H$4:$H$403,0)),""),IF(CC_Mode="Per unit",IFERROR(INDEX($M$4:$M$15,MATCH(363,$N$4:$N$15,0)),""),IF(363=1,CC_V_GrandVol,""))))</f>
        <v/>
      </c>
      <c r="U366" s="0" t="str">
        <f aca="false">IF(CC_Mode="Per equipment",IFERROR(INDEX($E$4:$E$403,MATCH(363,$I$4:$I$403,0)),""),IF(CC_Mode="Per loop",IFERROR(INDEX($E$4:$E$403,MATCH(363,$H$4:$H$403,0)),""),IF(CC_Mode="Per unit",IFERROR(INDEX($L$4:$L$15,MATCH(363,$N$4:$N$15,0)),""),IF(363=1,CC_Net,""))))</f>
        <v/>
      </c>
    </row>
    <row r="367" customFormat="false" ht="15" hidden="false" customHeight="false" outlineLevel="0" collapsed="false">
      <c r="A367" s="0" t="s">
        <v>172</v>
      </c>
      <c r="B367" s="0" t="str">
        <f aca="false">'CC Item Pricing'!C363&amp;IF('CC Item Pricing'!D363="",""," – "&amp;'CC Item Pricing'!D363)</f>
        <v/>
      </c>
      <c r="C367" s="0" t="str">
        <f aca="false">INDEX(CC_UnitNames,'CC Item Pricing'!Y363)</f>
        <v>Unit 11</v>
      </c>
      <c r="D367" s="0" t="n">
        <f aca="false">N('CC Item Pricing'!G363)</f>
        <v>0</v>
      </c>
      <c r="E367" s="98" t="n">
        <f aca="false">'CC Item Pricing'!W363</f>
        <v>0</v>
      </c>
      <c r="F367" s="96" t="n">
        <f aca="false">IF(AND(G367=1,'CC Item Pricing'!B363=""),1,0)</f>
        <v>0</v>
      </c>
      <c r="G367" s="96" t="n">
        <f aca="false">IF(D367&gt;0,1,0)</f>
        <v>0</v>
      </c>
      <c r="H367" s="0" t="str">
        <f aca="false">IF(F367=1,COUNTIF($F$4:F367,1),"")</f>
        <v/>
      </c>
      <c r="I367" s="0" t="str">
        <f aca="false">IF(G367=1,COUNTIF($G$4:G367,1),"")</f>
        <v/>
      </c>
      <c r="R367" s="0" t="str">
        <f aca="false">IF(CC_Mode="Per equipment",IFERROR(INDEX($B$4:$B$403,MATCH(364,$I$4:$I$403,0)),""),IF(CC_Mode="Per loop",IFERROR(INDEX($B$4:$B$403,MATCH(364,$H$4:$H$403,0)),""),IF(CC_Mode="Per unit",IFERROR("Chemical cleaning – "&amp;INDEX($K$4:$K$15,MATCH(364,$N$4:$N$15,0)),""),IF(364=1,"LUMP SUM – "&amp;QProject,""))))</f>
        <v/>
      </c>
      <c r="S367" s="0" t="str">
        <f aca="false">IF(CC_Mode="Per equipment",IFERROR(INDEX($C$4:$C$403,MATCH(364,$I$4:$I$403,0)),""),IF(CC_Mode="Per loop",IFERROR(INDEX($C$4:$C$403,MATCH(364,$H$4:$H$403,0)),""),IF(CC_Mode="Per unit",IFERROR(INDEX($K$4:$K$15,MATCH(364,$N$4:$N$15,0)),""),IF(364=1,"All units",""))))</f>
        <v/>
      </c>
      <c r="T367" s="0" t="str">
        <f aca="false">IF(CC_Mode="Per equipment",IFERROR(INDEX($D$4:$D$403,MATCH(364,$I$4:$I$403,0)),""),IF(CC_Mode="Per loop",IFERROR(INDEX($D$4:$D$403,MATCH(364,$H$4:$H$403,0)),""),IF(CC_Mode="Per unit",IFERROR(INDEX($M$4:$M$15,MATCH(364,$N$4:$N$15,0)),""),IF(364=1,CC_V_GrandVol,""))))</f>
        <v/>
      </c>
      <c r="U367" s="0" t="str">
        <f aca="false">IF(CC_Mode="Per equipment",IFERROR(INDEX($E$4:$E$403,MATCH(364,$I$4:$I$403,0)),""),IF(CC_Mode="Per loop",IFERROR(INDEX($E$4:$E$403,MATCH(364,$H$4:$H$403,0)),""),IF(CC_Mode="Per unit",IFERROR(INDEX($L$4:$L$15,MATCH(364,$N$4:$N$15,0)),""),IF(364=1,CC_Net,""))))</f>
        <v/>
      </c>
    </row>
    <row r="368" customFormat="false" ht="15" hidden="false" customHeight="false" outlineLevel="0" collapsed="false">
      <c r="A368" s="0" t="s">
        <v>172</v>
      </c>
      <c r="B368" s="0" t="str">
        <f aca="false">'CC Item Pricing'!C364&amp;IF('CC Item Pricing'!D364="",""," – "&amp;'CC Item Pricing'!D364)</f>
        <v/>
      </c>
      <c r="C368" s="0" t="str">
        <f aca="false">INDEX(CC_UnitNames,'CC Item Pricing'!Y364)</f>
        <v>Unit 11</v>
      </c>
      <c r="D368" s="0" t="n">
        <f aca="false">N('CC Item Pricing'!G364)</f>
        <v>0</v>
      </c>
      <c r="E368" s="98" t="n">
        <f aca="false">'CC Item Pricing'!W364</f>
        <v>0</v>
      </c>
      <c r="F368" s="96" t="n">
        <f aca="false">IF(AND(G368=1,'CC Item Pricing'!B364=""),1,0)</f>
        <v>0</v>
      </c>
      <c r="G368" s="96" t="n">
        <f aca="false">IF(D368&gt;0,1,0)</f>
        <v>0</v>
      </c>
      <c r="H368" s="0" t="str">
        <f aca="false">IF(F368=1,COUNTIF($F$4:F368,1),"")</f>
        <v/>
      </c>
      <c r="I368" s="0" t="str">
        <f aca="false">IF(G368=1,COUNTIF($G$4:G368,1),"")</f>
        <v/>
      </c>
      <c r="R368" s="0" t="str">
        <f aca="false">IF(CC_Mode="Per equipment",IFERROR(INDEX($B$4:$B$403,MATCH(365,$I$4:$I$403,0)),""),IF(CC_Mode="Per loop",IFERROR(INDEX($B$4:$B$403,MATCH(365,$H$4:$H$403,0)),""),IF(CC_Mode="Per unit",IFERROR("Chemical cleaning – "&amp;INDEX($K$4:$K$15,MATCH(365,$N$4:$N$15,0)),""),IF(365=1,"LUMP SUM – "&amp;QProject,""))))</f>
        <v/>
      </c>
      <c r="S368" s="0" t="str">
        <f aca="false">IF(CC_Mode="Per equipment",IFERROR(INDEX($C$4:$C$403,MATCH(365,$I$4:$I$403,0)),""),IF(CC_Mode="Per loop",IFERROR(INDEX($C$4:$C$403,MATCH(365,$H$4:$H$403,0)),""),IF(CC_Mode="Per unit",IFERROR(INDEX($K$4:$K$15,MATCH(365,$N$4:$N$15,0)),""),IF(365=1,"All units",""))))</f>
        <v/>
      </c>
      <c r="T368" s="0" t="str">
        <f aca="false">IF(CC_Mode="Per equipment",IFERROR(INDEX($D$4:$D$403,MATCH(365,$I$4:$I$403,0)),""),IF(CC_Mode="Per loop",IFERROR(INDEX($D$4:$D$403,MATCH(365,$H$4:$H$403,0)),""),IF(CC_Mode="Per unit",IFERROR(INDEX($M$4:$M$15,MATCH(365,$N$4:$N$15,0)),""),IF(365=1,CC_V_GrandVol,""))))</f>
        <v/>
      </c>
      <c r="U368" s="0" t="str">
        <f aca="false">IF(CC_Mode="Per equipment",IFERROR(INDEX($E$4:$E$403,MATCH(365,$I$4:$I$403,0)),""),IF(CC_Mode="Per loop",IFERROR(INDEX($E$4:$E$403,MATCH(365,$H$4:$H$403,0)),""),IF(CC_Mode="Per unit",IFERROR(INDEX($L$4:$L$15,MATCH(365,$N$4:$N$15,0)),""),IF(365=1,CC_Net,""))))</f>
        <v/>
      </c>
    </row>
    <row r="369" customFormat="false" ht="15" hidden="false" customHeight="false" outlineLevel="0" collapsed="false">
      <c r="A369" s="0" t="s">
        <v>172</v>
      </c>
      <c r="B369" s="0" t="str">
        <f aca="false">'CC Item Pricing'!C365&amp;IF('CC Item Pricing'!D365="",""," – "&amp;'CC Item Pricing'!D365)</f>
        <v/>
      </c>
      <c r="C369" s="0" t="str">
        <f aca="false">INDEX(CC_UnitNames,'CC Item Pricing'!Y365)</f>
        <v>Unit 11</v>
      </c>
      <c r="D369" s="0" t="n">
        <f aca="false">N('CC Item Pricing'!G365)</f>
        <v>0</v>
      </c>
      <c r="E369" s="98" t="n">
        <f aca="false">'CC Item Pricing'!W365</f>
        <v>0</v>
      </c>
      <c r="F369" s="96" t="n">
        <f aca="false">IF(AND(G369=1,'CC Item Pricing'!B365=""),1,0)</f>
        <v>0</v>
      </c>
      <c r="G369" s="96" t="n">
        <f aca="false">IF(D369&gt;0,1,0)</f>
        <v>0</v>
      </c>
      <c r="H369" s="0" t="str">
        <f aca="false">IF(F369=1,COUNTIF($F$4:F369,1),"")</f>
        <v/>
      </c>
      <c r="I369" s="0" t="str">
        <f aca="false">IF(G369=1,COUNTIF($G$4:G369,1),"")</f>
        <v/>
      </c>
      <c r="R369" s="0" t="str">
        <f aca="false">IF(CC_Mode="Per equipment",IFERROR(INDEX($B$4:$B$403,MATCH(366,$I$4:$I$403,0)),""),IF(CC_Mode="Per loop",IFERROR(INDEX($B$4:$B$403,MATCH(366,$H$4:$H$403,0)),""),IF(CC_Mode="Per unit",IFERROR("Chemical cleaning – "&amp;INDEX($K$4:$K$15,MATCH(366,$N$4:$N$15,0)),""),IF(366=1,"LUMP SUM – "&amp;QProject,""))))</f>
        <v/>
      </c>
      <c r="S369" s="0" t="str">
        <f aca="false">IF(CC_Mode="Per equipment",IFERROR(INDEX($C$4:$C$403,MATCH(366,$I$4:$I$403,0)),""),IF(CC_Mode="Per loop",IFERROR(INDEX($C$4:$C$403,MATCH(366,$H$4:$H$403,0)),""),IF(CC_Mode="Per unit",IFERROR(INDEX($K$4:$K$15,MATCH(366,$N$4:$N$15,0)),""),IF(366=1,"All units",""))))</f>
        <v/>
      </c>
      <c r="T369" s="0" t="str">
        <f aca="false">IF(CC_Mode="Per equipment",IFERROR(INDEX($D$4:$D$403,MATCH(366,$I$4:$I$403,0)),""),IF(CC_Mode="Per loop",IFERROR(INDEX($D$4:$D$403,MATCH(366,$H$4:$H$403,0)),""),IF(CC_Mode="Per unit",IFERROR(INDEX($M$4:$M$15,MATCH(366,$N$4:$N$15,0)),""),IF(366=1,CC_V_GrandVol,""))))</f>
        <v/>
      </c>
      <c r="U369" s="0" t="str">
        <f aca="false">IF(CC_Mode="Per equipment",IFERROR(INDEX($E$4:$E$403,MATCH(366,$I$4:$I$403,0)),""),IF(CC_Mode="Per loop",IFERROR(INDEX($E$4:$E$403,MATCH(366,$H$4:$H$403,0)),""),IF(CC_Mode="Per unit",IFERROR(INDEX($L$4:$L$15,MATCH(366,$N$4:$N$15,0)),""),IF(366=1,CC_Net,""))))</f>
        <v/>
      </c>
    </row>
    <row r="370" customFormat="false" ht="15" hidden="false" customHeight="false" outlineLevel="0" collapsed="false">
      <c r="A370" s="0" t="s">
        <v>172</v>
      </c>
      <c r="B370" s="0" t="str">
        <f aca="false">'CC Item Pricing'!C366&amp;IF('CC Item Pricing'!D366="",""," – "&amp;'CC Item Pricing'!D366)</f>
        <v/>
      </c>
      <c r="C370" s="0" t="str">
        <f aca="false">INDEX(CC_UnitNames,'CC Item Pricing'!Y366)</f>
        <v>Unit 11</v>
      </c>
      <c r="D370" s="0" t="n">
        <f aca="false">N('CC Item Pricing'!G366)</f>
        <v>0</v>
      </c>
      <c r="E370" s="98" t="n">
        <f aca="false">'CC Item Pricing'!W366</f>
        <v>0</v>
      </c>
      <c r="F370" s="96" t="n">
        <f aca="false">IF(AND(G370=1,'CC Item Pricing'!B366=""),1,0)</f>
        <v>0</v>
      </c>
      <c r="G370" s="96" t="n">
        <f aca="false">IF(D370&gt;0,1,0)</f>
        <v>0</v>
      </c>
      <c r="H370" s="0" t="str">
        <f aca="false">IF(F370=1,COUNTIF($F$4:F370,1),"")</f>
        <v/>
      </c>
      <c r="I370" s="0" t="str">
        <f aca="false">IF(G370=1,COUNTIF($G$4:G370,1),"")</f>
        <v/>
      </c>
      <c r="R370" s="0" t="str">
        <f aca="false">IF(CC_Mode="Per equipment",IFERROR(INDEX($B$4:$B$403,MATCH(367,$I$4:$I$403,0)),""),IF(CC_Mode="Per loop",IFERROR(INDEX($B$4:$B$403,MATCH(367,$H$4:$H$403,0)),""),IF(CC_Mode="Per unit",IFERROR("Chemical cleaning – "&amp;INDEX($K$4:$K$15,MATCH(367,$N$4:$N$15,0)),""),IF(367=1,"LUMP SUM – "&amp;QProject,""))))</f>
        <v/>
      </c>
      <c r="S370" s="0" t="str">
        <f aca="false">IF(CC_Mode="Per equipment",IFERROR(INDEX($C$4:$C$403,MATCH(367,$I$4:$I$403,0)),""),IF(CC_Mode="Per loop",IFERROR(INDEX($C$4:$C$403,MATCH(367,$H$4:$H$403,0)),""),IF(CC_Mode="Per unit",IFERROR(INDEX($K$4:$K$15,MATCH(367,$N$4:$N$15,0)),""),IF(367=1,"All units",""))))</f>
        <v/>
      </c>
      <c r="T370" s="0" t="str">
        <f aca="false">IF(CC_Mode="Per equipment",IFERROR(INDEX($D$4:$D$403,MATCH(367,$I$4:$I$403,0)),""),IF(CC_Mode="Per loop",IFERROR(INDEX($D$4:$D$403,MATCH(367,$H$4:$H$403,0)),""),IF(CC_Mode="Per unit",IFERROR(INDEX($M$4:$M$15,MATCH(367,$N$4:$N$15,0)),""),IF(367=1,CC_V_GrandVol,""))))</f>
        <v/>
      </c>
      <c r="U370" s="0" t="str">
        <f aca="false">IF(CC_Mode="Per equipment",IFERROR(INDEX($E$4:$E$403,MATCH(367,$I$4:$I$403,0)),""),IF(CC_Mode="Per loop",IFERROR(INDEX($E$4:$E$403,MATCH(367,$H$4:$H$403,0)),""),IF(CC_Mode="Per unit",IFERROR(INDEX($L$4:$L$15,MATCH(367,$N$4:$N$15,0)),""),IF(367=1,CC_Net,""))))</f>
        <v/>
      </c>
    </row>
    <row r="371" customFormat="false" ht="15" hidden="false" customHeight="false" outlineLevel="0" collapsed="false">
      <c r="A371" s="0" t="s">
        <v>172</v>
      </c>
      <c r="B371" s="0" t="str">
        <f aca="false">'CC Item Pricing'!C367&amp;IF('CC Item Pricing'!D367="",""," – "&amp;'CC Item Pricing'!D367)</f>
        <v/>
      </c>
      <c r="C371" s="0" t="str">
        <f aca="false">INDEX(CC_UnitNames,'CC Item Pricing'!Y367)</f>
        <v>Unit 11</v>
      </c>
      <c r="D371" s="0" t="n">
        <f aca="false">N('CC Item Pricing'!G367)</f>
        <v>0</v>
      </c>
      <c r="E371" s="98" t="n">
        <f aca="false">'CC Item Pricing'!W367</f>
        <v>0</v>
      </c>
      <c r="F371" s="96" t="n">
        <f aca="false">IF(AND(G371=1,'CC Item Pricing'!B367=""),1,0)</f>
        <v>0</v>
      </c>
      <c r="G371" s="96" t="n">
        <f aca="false">IF(D371&gt;0,1,0)</f>
        <v>0</v>
      </c>
      <c r="H371" s="0" t="str">
        <f aca="false">IF(F371=1,COUNTIF($F$4:F371,1),"")</f>
        <v/>
      </c>
      <c r="I371" s="0" t="str">
        <f aca="false">IF(G371=1,COUNTIF($G$4:G371,1),"")</f>
        <v/>
      </c>
      <c r="R371" s="0" t="str">
        <f aca="false">IF(CC_Mode="Per equipment",IFERROR(INDEX($B$4:$B$403,MATCH(368,$I$4:$I$403,0)),""),IF(CC_Mode="Per loop",IFERROR(INDEX($B$4:$B$403,MATCH(368,$H$4:$H$403,0)),""),IF(CC_Mode="Per unit",IFERROR("Chemical cleaning – "&amp;INDEX($K$4:$K$15,MATCH(368,$N$4:$N$15,0)),""),IF(368=1,"LUMP SUM – "&amp;QProject,""))))</f>
        <v/>
      </c>
      <c r="S371" s="0" t="str">
        <f aca="false">IF(CC_Mode="Per equipment",IFERROR(INDEX($C$4:$C$403,MATCH(368,$I$4:$I$403,0)),""),IF(CC_Mode="Per loop",IFERROR(INDEX($C$4:$C$403,MATCH(368,$H$4:$H$403,0)),""),IF(CC_Mode="Per unit",IFERROR(INDEX($K$4:$K$15,MATCH(368,$N$4:$N$15,0)),""),IF(368=1,"All units",""))))</f>
        <v/>
      </c>
      <c r="T371" s="0" t="str">
        <f aca="false">IF(CC_Mode="Per equipment",IFERROR(INDEX($D$4:$D$403,MATCH(368,$I$4:$I$403,0)),""),IF(CC_Mode="Per loop",IFERROR(INDEX($D$4:$D$403,MATCH(368,$H$4:$H$403,0)),""),IF(CC_Mode="Per unit",IFERROR(INDEX($M$4:$M$15,MATCH(368,$N$4:$N$15,0)),""),IF(368=1,CC_V_GrandVol,""))))</f>
        <v/>
      </c>
      <c r="U371" s="0" t="str">
        <f aca="false">IF(CC_Mode="Per equipment",IFERROR(INDEX($E$4:$E$403,MATCH(368,$I$4:$I$403,0)),""),IF(CC_Mode="Per loop",IFERROR(INDEX($E$4:$E$403,MATCH(368,$H$4:$H$403,0)),""),IF(CC_Mode="Per unit",IFERROR(INDEX($L$4:$L$15,MATCH(368,$N$4:$N$15,0)),""),IF(368=1,CC_Net,""))))</f>
        <v/>
      </c>
    </row>
    <row r="372" customFormat="false" ht="15" hidden="false" customHeight="false" outlineLevel="0" collapsed="false">
      <c r="A372" s="0" t="s">
        <v>172</v>
      </c>
      <c r="B372" s="0" t="str">
        <f aca="false">'CC Item Pricing'!C368&amp;IF('CC Item Pricing'!D368="",""," – "&amp;'CC Item Pricing'!D368)</f>
        <v/>
      </c>
      <c r="C372" s="0" t="str">
        <f aca="false">INDEX(CC_UnitNames,'CC Item Pricing'!Y368)</f>
        <v>Unit 11</v>
      </c>
      <c r="D372" s="0" t="n">
        <f aca="false">N('CC Item Pricing'!G368)</f>
        <v>0</v>
      </c>
      <c r="E372" s="98" t="n">
        <f aca="false">'CC Item Pricing'!W368</f>
        <v>0</v>
      </c>
      <c r="F372" s="96" t="n">
        <f aca="false">IF(AND(G372=1,'CC Item Pricing'!B368=""),1,0)</f>
        <v>0</v>
      </c>
      <c r="G372" s="96" t="n">
        <f aca="false">IF(D372&gt;0,1,0)</f>
        <v>0</v>
      </c>
      <c r="H372" s="0" t="str">
        <f aca="false">IF(F372=1,COUNTIF($F$4:F372,1),"")</f>
        <v/>
      </c>
      <c r="I372" s="0" t="str">
        <f aca="false">IF(G372=1,COUNTIF($G$4:G372,1),"")</f>
        <v/>
      </c>
      <c r="R372" s="0" t="str">
        <f aca="false">IF(CC_Mode="Per equipment",IFERROR(INDEX($B$4:$B$403,MATCH(369,$I$4:$I$403,0)),""),IF(CC_Mode="Per loop",IFERROR(INDEX($B$4:$B$403,MATCH(369,$H$4:$H$403,0)),""),IF(CC_Mode="Per unit",IFERROR("Chemical cleaning – "&amp;INDEX($K$4:$K$15,MATCH(369,$N$4:$N$15,0)),""),IF(369=1,"LUMP SUM – "&amp;QProject,""))))</f>
        <v/>
      </c>
      <c r="S372" s="0" t="str">
        <f aca="false">IF(CC_Mode="Per equipment",IFERROR(INDEX($C$4:$C$403,MATCH(369,$I$4:$I$403,0)),""),IF(CC_Mode="Per loop",IFERROR(INDEX($C$4:$C$403,MATCH(369,$H$4:$H$403,0)),""),IF(CC_Mode="Per unit",IFERROR(INDEX($K$4:$K$15,MATCH(369,$N$4:$N$15,0)),""),IF(369=1,"All units",""))))</f>
        <v/>
      </c>
      <c r="T372" s="0" t="str">
        <f aca="false">IF(CC_Mode="Per equipment",IFERROR(INDEX($D$4:$D$403,MATCH(369,$I$4:$I$403,0)),""),IF(CC_Mode="Per loop",IFERROR(INDEX($D$4:$D$403,MATCH(369,$H$4:$H$403,0)),""),IF(CC_Mode="Per unit",IFERROR(INDEX($M$4:$M$15,MATCH(369,$N$4:$N$15,0)),""),IF(369=1,CC_V_GrandVol,""))))</f>
        <v/>
      </c>
      <c r="U372" s="0" t="str">
        <f aca="false">IF(CC_Mode="Per equipment",IFERROR(INDEX($E$4:$E$403,MATCH(369,$I$4:$I$403,0)),""),IF(CC_Mode="Per loop",IFERROR(INDEX($E$4:$E$403,MATCH(369,$H$4:$H$403,0)),""),IF(CC_Mode="Per unit",IFERROR(INDEX($L$4:$L$15,MATCH(369,$N$4:$N$15,0)),""),IF(369=1,CC_Net,""))))</f>
        <v/>
      </c>
    </row>
    <row r="373" customFormat="false" ht="15" hidden="false" customHeight="false" outlineLevel="0" collapsed="false">
      <c r="A373" s="0" t="s">
        <v>172</v>
      </c>
      <c r="B373" s="0" t="str">
        <f aca="false">'CC Item Pricing'!C369&amp;IF('CC Item Pricing'!D369="",""," – "&amp;'CC Item Pricing'!D369)</f>
        <v/>
      </c>
      <c r="C373" s="0" t="str">
        <f aca="false">INDEX(CC_UnitNames,'CC Item Pricing'!Y369)</f>
        <v>Unit 11</v>
      </c>
      <c r="D373" s="0" t="n">
        <f aca="false">N('CC Item Pricing'!G369)</f>
        <v>0</v>
      </c>
      <c r="E373" s="98" t="n">
        <f aca="false">'CC Item Pricing'!W369</f>
        <v>0</v>
      </c>
      <c r="F373" s="96" t="n">
        <f aca="false">IF(AND(G373=1,'CC Item Pricing'!B369=""),1,0)</f>
        <v>0</v>
      </c>
      <c r="G373" s="96" t="n">
        <f aca="false">IF(D373&gt;0,1,0)</f>
        <v>0</v>
      </c>
      <c r="H373" s="0" t="str">
        <f aca="false">IF(F373=1,COUNTIF($F$4:F373,1),"")</f>
        <v/>
      </c>
      <c r="I373" s="0" t="str">
        <f aca="false">IF(G373=1,COUNTIF($G$4:G373,1),"")</f>
        <v/>
      </c>
      <c r="R373" s="0" t="str">
        <f aca="false">IF(CC_Mode="Per equipment",IFERROR(INDEX($B$4:$B$403,MATCH(370,$I$4:$I$403,0)),""),IF(CC_Mode="Per loop",IFERROR(INDEX($B$4:$B$403,MATCH(370,$H$4:$H$403,0)),""),IF(CC_Mode="Per unit",IFERROR("Chemical cleaning – "&amp;INDEX($K$4:$K$15,MATCH(370,$N$4:$N$15,0)),""),IF(370=1,"LUMP SUM – "&amp;QProject,""))))</f>
        <v/>
      </c>
      <c r="S373" s="0" t="str">
        <f aca="false">IF(CC_Mode="Per equipment",IFERROR(INDEX($C$4:$C$403,MATCH(370,$I$4:$I$403,0)),""),IF(CC_Mode="Per loop",IFERROR(INDEX($C$4:$C$403,MATCH(370,$H$4:$H$403,0)),""),IF(CC_Mode="Per unit",IFERROR(INDEX($K$4:$K$15,MATCH(370,$N$4:$N$15,0)),""),IF(370=1,"All units",""))))</f>
        <v/>
      </c>
      <c r="T373" s="0" t="str">
        <f aca="false">IF(CC_Mode="Per equipment",IFERROR(INDEX($D$4:$D$403,MATCH(370,$I$4:$I$403,0)),""),IF(CC_Mode="Per loop",IFERROR(INDEX($D$4:$D$403,MATCH(370,$H$4:$H$403,0)),""),IF(CC_Mode="Per unit",IFERROR(INDEX($M$4:$M$15,MATCH(370,$N$4:$N$15,0)),""),IF(370=1,CC_V_GrandVol,""))))</f>
        <v/>
      </c>
      <c r="U373" s="0" t="str">
        <f aca="false">IF(CC_Mode="Per equipment",IFERROR(INDEX($E$4:$E$403,MATCH(370,$I$4:$I$403,0)),""),IF(CC_Mode="Per loop",IFERROR(INDEX($E$4:$E$403,MATCH(370,$H$4:$H$403,0)),""),IF(CC_Mode="Per unit",IFERROR(INDEX($L$4:$L$15,MATCH(370,$N$4:$N$15,0)),""),IF(370=1,CC_Net,""))))</f>
        <v/>
      </c>
    </row>
    <row r="374" customFormat="false" ht="15" hidden="false" customHeight="false" outlineLevel="0" collapsed="false">
      <c r="A374" s="0" t="s">
        <v>172</v>
      </c>
      <c r="B374" s="0" t="str">
        <f aca="false">'CC Item Pricing'!C373&amp;IF('CC Item Pricing'!D373="",""," – "&amp;'CC Item Pricing'!D373)</f>
        <v/>
      </c>
      <c r="C374" s="0" t="str">
        <f aca="false">INDEX(CC_UnitNames,'CC Item Pricing'!Y373)</f>
        <v>Unit 12</v>
      </c>
      <c r="D374" s="0" t="n">
        <f aca="false">N('CC Item Pricing'!G373)</f>
        <v>0</v>
      </c>
      <c r="E374" s="98" t="n">
        <f aca="false">'CC Item Pricing'!W373</f>
        <v>0</v>
      </c>
      <c r="F374" s="96" t="n">
        <f aca="false">IF(AND(G374=1,'CC Item Pricing'!B373=""),1,0)</f>
        <v>0</v>
      </c>
      <c r="G374" s="96" t="n">
        <f aca="false">IF(D374&gt;0,1,0)</f>
        <v>0</v>
      </c>
      <c r="H374" s="0" t="str">
        <f aca="false">IF(F374=1,COUNTIF($F$4:F374,1),"")</f>
        <v/>
      </c>
      <c r="I374" s="0" t="str">
        <f aca="false">IF(G374=1,COUNTIF($G$4:G374,1),"")</f>
        <v/>
      </c>
      <c r="R374" s="0" t="str">
        <f aca="false">IF(CC_Mode="Per equipment",IFERROR(INDEX($B$4:$B$403,MATCH(371,$I$4:$I$403,0)),""),IF(CC_Mode="Per loop",IFERROR(INDEX($B$4:$B$403,MATCH(371,$H$4:$H$403,0)),""),IF(CC_Mode="Per unit",IFERROR("Chemical cleaning – "&amp;INDEX($K$4:$K$15,MATCH(371,$N$4:$N$15,0)),""),IF(371=1,"LUMP SUM – "&amp;QProject,""))))</f>
        <v/>
      </c>
      <c r="S374" s="0" t="str">
        <f aca="false">IF(CC_Mode="Per equipment",IFERROR(INDEX($C$4:$C$403,MATCH(371,$I$4:$I$403,0)),""),IF(CC_Mode="Per loop",IFERROR(INDEX($C$4:$C$403,MATCH(371,$H$4:$H$403,0)),""),IF(CC_Mode="Per unit",IFERROR(INDEX($K$4:$K$15,MATCH(371,$N$4:$N$15,0)),""),IF(371=1,"All units",""))))</f>
        <v/>
      </c>
      <c r="T374" s="0" t="str">
        <f aca="false">IF(CC_Mode="Per equipment",IFERROR(INDEX($D$4:$D$403,MATCH(371,$I$4:$I$403,0)),""),IF(CC_Mode="Per loop",IFERROR(INDEX($D$4:$D$403,MATCH(371,$H$4:$H$403,0)),""),IF(CC_Mode="Per unit",IFERROR(INDEX($M$4:$M$15,MATCH(371,$N$4:$N$15,0)),""),IF(371=1,CC_V_GrandVol,""))))</f>
        <v/>
      </c>
      <c r="U374" s="0" t="str">
        <f aca="false">IF(CC_Mode="Per equipment",IFERROR(INDEX($E$4:$E$403,MATCH(371,$I$4:$I$403,0)),""),IF(CC_Mode="Per loop",IFERROR(INDEX($E$4:$E$403,MATCH(371,$H$4:$H$403,0)),""),IF(CC_Mode="Per unit",IFERROR(INDEX($L$4:$L$15,MATCH(371,$N$4:$N$15,0)),""),IF(371=1,CC_Net,""))))</f>
        <v/>
      </c>
    </row>
    <row r="375" customFormat="false" ht="15" hidden="false" customHeight="false" outlineLevel="0" collapsed="false">
      <c r="A375" s="0" t="s">
        <v>172</v>
      </c>
      <c r="B375" s="0" t="str">
        <f aca="false">'CC Item Pricing'!C374&amp;IF('CC Item Pricing'!D374="",""," – "&amp;'CC Item Pricing'!D374)</f>
        <v/>
      </c>
      <c r="C375" s="0" t="str">
        <f aca="false">INDEX(CC_UnitNames,'CC Item Pricing'!Y374)</f>
        <v>Unit 12</v>
      </c>
      <c r="D375" s="0" t="n">
        <f aca="false">N('CC Item Pricing'!G374)</f>
        <v>0</v>
      </c>
      <c r="E375" s="98" t="n">
        <f aca="false">'CC Item Pricing'!W374</f>
        <v>0</v>
      </c>
      <c r="F375" s="96" t="n">
        <f aca="false">IF(AND(G375=1,'CC Item Pricing'!B374=""),1,0)</f>
        <v>0</v>
      </c>
      <c r="G375" s="96" t="n">
        <f aca="false">IF(D375&gt;0,1,0)</f>
        <v>0</v>
      </c>
      <c r="H375" s="0" t="str">
        <f aca="false">IF(F375=1,COUNTIF($F$4:F375,1),"")</f>
        <v/>
      </c>
      <c r="I375" s="0" t="str">
        <f aca="false">IF(G375=1,COUNTIF($G$4:G375,1),"")</f>
        <v/>
      </c>
      <c r="R375" s="0" t="str">
        <f aca="false">IF(CC_Mode="Per equipment",IFERROR(INDEX($B$4:$B$403,MATCH(372,$I$4:$I$403,0)),""),IF(CC_Mode="Per loop",IFERROR(INDEX($B$4:$B$403,MATCH(372,$H$4:$H$403,0)),""),IF(CC_Mode="Per unit",IFERROR("Chemical cleaning – "&amp;INDEX($K$4:$K$15,MATCH(372,$N$4:$N$15,0)),""),IF(372=1,"LUMP SUM – "&amp;QProject,""))))</f>
        <v/>
      </c>
      <c r="S375" s="0" t="str">
        <f aca="false">IF(CC_Mode="Per equipment",IFERROR(INDEX($C$4:$C$403,MATCH(372,$I$4:$I$403,0)),""),IF(CC_Mode="Per loop",IFERROR(INDEX($C$4:$C$403,MATCH(372,$H$4:$H$403,0)),""),IF(CC_Mode="Per unit",IFERROR(INDEX($K$4:$K$15,MATCH(372,$N$4:$N$15,0)),""),IF(372=1,"All units",""))))</f>
        <v/>
      </c>
      <c r="T375" s="0" t="str">
        <f aca="false">IF(CC_Mode="Per equipment",IFERROR(INDEX($D$4:$D$403,MATCH(372,$I$4:$I$403,0)),""),IF(CC_Mode="Per loop",IFERROR(INDEX($D$4:$D$403,MATCH(372,$H$4:$H$403,0)),""),IF(CC_Mode="Per unit",IFERROR(INDEX($M$4:$M$15,MATCH(372,$N$4:$N$15,0)),""),IF(372=1,CC_V_GrandVol,""))))</f>
        <v/>
      </c>
      <c r="U375" s="0" t="str">
        <f aca="false">IF(CC_Mode="Per equipment",IFERROR(INDEX($E$4:$E$403,MATCH(372,$I$4:$I$403,0)),""),IF(CC_Mode="Per loop",IFERROR(INDEX($E$4:$E$403,MATCH(372,$H$4:$H$403,0)),""),IF(CC_Mode="Per unit",IFERROR(INDEX($L$4:$L$15,MATCH(372,$N$4:$N$15,0)),""),IF(372=1,CC_Net,""))))</f>
        <v/>
      </c>
    </row>
    <row r="376" customFormat="false" ht="15" hidden="false" customHeight="false" outlineLevel="0" collapsed="false">
      <c r="A376" s="0" t="s">
        <v>172</v>
      </c>
      <c r="B376" s="0" t="str">
        <f aca="false">'CC Item Pricing'!C375&amp;IF('CC Item Pricing'!D375="",""," – "&amp;'CC Item Pricing'!D375)</f>
        <v/>
      </c>
      <c r="C376" s="0" t="str">
        <f aca="false">INDEX(CC_UnitNames,'CC Item Pricing'!Y375)</f>
        <v>Unit 12</v>
      </c>
      <c r="D376" s="0" t="n">
        <f aca="false">N('CC Item Pricing'!G375)</f>
        <v>0</v>
      </c>
      <c r="E376" s="98" t="n">
        <f aca="false">'CC Item Pricing'!W375</f>
        <v>0</v>
      </c>
      <c r="F376" s="96" t="n">
        <f aca="false">IF(AND(G376=1,'CC Item Pricing'!B375=""),1,0)</f>
        <v>0</v>
      </c>
      <c r="G376" s="96" t="n">
        <f aca="false">IF(D376&gt;0,1,0)</f>
        <v>0</v>
      </c>
      <c r="H376" s="0" t="str">
        <f aca="false">IF(F376=1,COUNTIF($F$4:F376,1),"")</f>
        <v/>
      </c>
      <c r="I376" s="0" t="str">
        <f aca="false">IF(G376=1,COUNTIF($G$4:G376,1),"")</f>
        <v/>
      </c>
      <c r="R376" s="0" t="str">
        <f aca="false">IF(CC_Mode="Per equipment",IFERROR(INDEX($B$4:$B$403,MATCH(373,$I$4:$I$403,0)),""),IF(CC_Mode="Per loop",IFERROR(INDEX($B$4:$B$403,MATCH(373,$H$4:$H$403,0)),""),IF(CC_Mode="Per unit",IFERROR("Chemical cleaning – "&amp;INDEX($K$4:$K$15,MATCH(373,$N$4:$N$15,0)),""),IF(373=1,"LUMP SUM – "&amp;QProject,""))))</f>
        <v/>
      </c>
      <c r="S376" s="0" t="str">
        <f aca="false">IF(CC_Mode="Per equipment",IFERROR(INDEX($C$4:$C$403,MATCH(373,$I$4:$I$403,0)),""),IF(CC_Mode="Per loop",IFERROR(INDEX($C$4:$C$403,MATCH(373,$H$4:$H$403,0)),""),IF(CC_Mode="Per unit",IFERROR(INDEX($K$4:$K$15,MATCH(373,$N$4:$N$15,0)),""),IF(373=1,"All units",""))))</f>
        <v/>
      </c>
      <c r="T376" s="0" t="str">
        <f aca="false">IF(CC_Mode="Per equipment",IFERROR(INDEX($D$4:$D$403,MATCH(373,$I$4:$I$403,0)),""),IF(CC_Mode="Per loop",IFERROR(INDEX($D$4:$D$403,MATCH(373,$H$4:$H$403,0)),""),IF(CC_Mode="Per unit",IFERROR(INDEX($M$4:$M$15,MATCH(373,$N$4:$N$15,0)),""),IF(373=1,CC_V_GrandVol,""))))</f>
        <v/>
      </c>
      <c r="U376" s="0" t="str">
        <f aca="false">IF(CC_Mode="Per equipment",IFERROR(INDEX($E$4:$E$403,MATCH(373,$I$4:$I$403,0)),""),IF(CC_Mode="Per loop",IFERROR(INDEX($E$4:$E$403,MATCH(373,$H$4:$H$403,0)),""),IF(CC_Mode="Per unit",IFERROR(INDEX($L$4:$L$15,MATCH(373,$N$4:$N$15,0)),""),IF(373=1,CC_Net,""))))</f>
        <v/>
      </c>
    </row>
    <row r="377" customFormat="false" ht="15" hidden="false" customHeight="false" outlineLevel="0" collapsed="false">
      <c r="A377" s="0" t="s">
        <v>172</v>
      </c>
      <c r="B377" s="0" t="str">
        <f aca="false">'CC Item Pricing'!C376&amp;IF('CC Item Pricing'!D376="",""," – "&amp;'CC Item Pricing'!D376)</f>
        <v/>
      </c>
      <c r="C377" s="0" t="str">
        <f aca="false">INDEX(CC_UnitNames,'CC Item Pricing'!Y376)</f>
        <v>Unit 12</v>
      </c>
      <c r="D377" s="0" t="n">
        <f aca="false">N('CC Item Pricing'!G376)</f>
        <v>0</v>
      </c>
      <c r="E377" s="98" t="n">
        <f aca="false">'CC Item Pricing'!W376</f>
        <v>0</v>
      </c>
      <c r="F377" s="96" t="n">
        <f aca="false">IF(AND(G377=1,'CC Item Pricing'!B376=""),1,0)</f>
        <v>0</v>
      </c>
      <c r="G377" s="96" t="n">
        <f aca="false">IF(D377&gt;0,1,0)</f>
        <v>0</v>
      </c>
      <c r="H377" s="0" t="str">
        <f aca="false">IF(F377=1,COUNTIF($F$4:F377,1),"")</f>
        <v/>
      </c>
      <c r="I377" s="0" t="str">
        <f aca="false">IF(G377=1,COUNTIF($G$4:G377,1),"")</f>
        <v/>
      </c>
      <c r="R377" s="0" t="str">
        <f aca="false">IF(CC_Mode="Per equipment",IFERROR(INDEX($B$4:$B$403,MATCH(374,$I$4:$I$403,0)),""),IF(CC_Mode="Per loop",IFERROR(INDEX($B$4:$B$403,MATCH(374,$H$4:$H$403,0)),""),IF(CC_Mode="Per unit",IFERROR("Chemical cleaning – "&amp;INDEX($K$4:$K$15,MATCH(374,$N$4:$N$15,0)),""),IF(374=1,"LUMP SUM – "&amp;QProject,""))))</f>
        <v/>
      </c>
      <c r="S377" s="0" t="str">
        <f aca="false">IF(CC_Mode="Per equipment",IFERROR(INDEX($C$4:$C$403,MATCH(374,$I$4:$I$403,0)),""),IF(CC_Mode="Per loop",IFERROR(INDEX($C$4:$C$403,MATCH(374,$H$4:$H$403,0)),""),IF(CC_Mode="Per unit",IFERROR(INDEX($K$4:$K$15,MATCH(374,$N$4:$N$15,0)),""),IF(374=1,"All units",""))))</f>
        <v/>
      </c>
      <c r="T377" s="0" t="str">
        <f aca="false">IF(CC_Mode="Per equipment",IFERROR(INDEX($D$4:$D$403,MATCH(374,$I$4:$I$403,0)),""),IF(CC_Mode="Per loop",IFERROR(INDEX($D$4:$D$403,MATCH(374,$H$4:$H$403,0)),""),IF(CC_Mode="Per unit",IFERROR(INDEX($M$4:$M$15,MATCH(374,$N$4:$N$15,0)),""),IF(374=1,CC_V_GrandVol,""))))</f>
        <v/>
      </c>
      <c r="U377" s="0" t="str">
        <f aca="false">IF(CC_Mode="Per equipment",IFERROR(INDEX($E$4:$E$403,MATCH(374,$I$4:$I$403,0)),""),IF(CC_Mode="Per loop",IFERROR(INDEX($E$4:$E$403,MATCH(374,$H$4:$H$403,0)),""),IF(CC_Mode="Per unit",IFERROR(INDEX($L$4:$L$15,MATCH(374,$N$4:$N$15,0)),""),IF(374=1,CC_Net,""))))</f>
        <v/>
      </c>
    </row>
    <row r="378" customFormat="false" ht="15" hidden="false" customHeight="false" outlineLevel="0" collapsed="false">
      <c r="A378" s="0" t="s">
        <v>172</v>
      </c>
      <c r="B378" s="0" t="str">
        <f aca="false">'CC Item Pricing'!C377&amp;IF('CC Item Pricing'!D377="",""," – "&amp;'CC Item Pricing'!D377)</f>
        <v/>
      </c>
      <c r="C378" s="0" t="str">
        <f aca="false">INDEX(CC_UnitNames,'CC Item Pricing'!Y377)</f>
        <v>Unit 12</v>
      </c>
      <c r="D378" s="0" t="n">
        <f aca="false">N('CC Item Pricing'!G377)</f>
        <v>0</v>
      </c>
      <c r="E378" s="98" t="n">
        <f aca="false">'CC Item Pricing'!W377</f>
        <v>0</v>
      </c>
      <c r="F378" s="96" t="n">
        <f aca="false">IF(AND(G378=1,'CC Item Pricing'!B377=""),1,0)</f>
        <v>0</v>
      </c>
      <c r="G378" s="96" t="n">
        <f aca="false">IF(D378&gt;0,1,0)</f>
        <v>0</v>
      </c>
      <c r="H378" s="0" t="str">
        <f aca="false">IF(F378=1,COUNTIF($F$4:F378,1),"")</f>
        <v/>
      </c>
      <c r="I378" s="0" t="str">
        <f aca="false">IF(G378=1,COUNTIF($G$4:G378,1),"")</f>
        <v/>
      </c>
      <c r="R378" s="0" t="str">
        <f aca="false">IF(CC_Mode="Per equipment",IFERROR(INDEX($B$4:$B$403,MATCH(375,$I$4:$I$403,0)),""),IF(CC_Mode="Per loop",IFERROR(INDEX($B$4:$B$403,MATCH(375,$H$4:$H$403,0)),""),IF(CC_Mode="Per unit",IFERROR("Chemical cleaning – "&amp;INDEX($K$4:$K$15,MATCH(375,$N$4:$N$15,0)),""),IF(375=1,"LUMP SUM – "&amp;QProject,""))))</f>
        <v/>
      </c>
      <c r="S378" s="0" t="str">
        <f aca="false">IF(CC_Mode="Per equipment",IFERROR(INDEX($C$4:$C$403,MATCH(375,$I$4:$I$403,0)),""),IF(CC_Mode="Per loop",IFERROR(INDEX($C$4:$C$403,MATCH(375,$H$4:$H$403,0)),""),IF(CC_Mode="Per unit",IFERROR(INDEX($K$4:$K$15,MATCH(375,$N$4:$N$15,0)),""),IF(375=1,"All units",""))))</f>
        <v/>
      </c>
      <c r="T378" s="0" t="str">
        <f aca="false">IF(CC_Mode="Per equipment",IFERROR(INDEX($D$4:$D$403,MATCH(375,$I$4:$I$403,0)),""),IF(CC_Mode="Per loop",IFERROR(INDEX($D$4:$D$403,MATCH(375,$H$4:$H$403,0)),""),IF(CC_Mode="Per unit",IFERROR(INDEX($M$4:$M$15,MATCH(375,$N$4:$N$15,0)),""),IF(375=1,CC_V_GrandVol,""))))</f>
        <v/>
      </c>
      <c r="U378" s="0" t="str">
        <f aca="false">IF(CC_Mode="Per equipment",IFERROR(INDEX($E$4:$E$403,MATCH(375,$I$4:$I$403,0)),""),IF(CC_Mode="Per loop",IFERROR(INDEX($E$4:$E$403,MATCH(375,$H$4:$H$403,0)),""),IF(CC_Mode="Per unit",IFERROR(INDEX($L$4:$L$15,MATCH(375,$N$4:$N$15,0)),""),IF(375=1,CC_Net,""))))</f>
        <v/>
      </c>
    </row>
    <row r="379" customFormat="false" ht="15" hidden="false" customHeight="false" outlineLevel="0" collapsed="false">
      <c r="A379" s="0" t="s">
        <v>172</v>
      </c>
      <c r="B379" s="0" t="str">
        <f aca="false">'CC Item Pricing'!C378&amp;IF('CC Item Pricing'!D378="",""," – "&amp;'CC Item Pricing'!D378)</f>
        <v/>
      </c>
      <c r="C379" s="0" t="str">
        <f aca="false">INDEX(CC_UnitNames,'CC Item Pricing'!Y378)</f>
        <v>Unit 12</v>
      </c>
      <c r="D379" s="0" t="n">
        <f aca="false">N('CC Item Pricing'!G378)</f>
        <v>0</v>
      </c>
      <c r="E379" s="98" t="n">
        <f aca="false">'CC Item Pricing'!W378</f>
        <v>0</v>
      </c>
      <c r="F379" s="96" t="n">
        <f aca="false">IF(AND(G379=1,'CC Item Pricing'!B378=""),1,0)</f>
        <v>0</v>
      </c>
      <c r="G379" s="96" t="n">
        <f aca="false">IF(D379&gt;0,1,0)</f>
        <v>0</v>
      </c>
      <c r="H379" s="0" t="str">
        <f aca="false">IF(F379=1,COUNTIF($F$4:F379,1),"")</f>
        <v/>
      </c>
      <c r="I379" s="0" t="str">
        <f aca="false">IF(G379=1,COUNTIF($G$4:G379,1),"")</f>
        <v/>
      </c>
      <c r="R379" s="0" t="str">
        <f aca="false">IF(CC_Mode="Per equipment",IFERROR(INDEX($B$4:$B$403,MATCH(376,$I$4:$I$403,0)),""),IF(CC_Mode="Per loop",IFERROR(INDEX($B$4:$B$403,MATCH(376,$H$4:$H$403,0)),""),IF(CC_Mode="Per unit",IFERROR("Chemical cleaning – "&amp;INDEX($K$4:$K$15,MATCH(376,$N$4:$N$15,0)),""),IF(376=1,"LUMP SUM – "&amp;QProject,""))))</f>
        <v/>
      </c>
      <c r="S379" s="0" t="str">
        <f aca="false">IF(CC_Mode="Per equipment",IFERROR(INDEX($C$4:$C$403,MATCH(376,$I$4:$I$403,0)),""),IF(CC_Mode="Per loop",IFERROR(INDEX($C$4:$C$403,MATCH(376,$H$4:$H$403,0)),""),IF(CC_Mode="Per unit",IFERROR(INDEX($K$4:$K$15,MATCH(376,$N$4:$N$15,0)),""),IF(376=1,"All units",""))))</f>
        <v/>
      </c>
      <c r="T379" s="0" t="str">
        <f aca="false">IF(CC_Mode="Per equipment",IFERROR(INDEX($D$4:$D$403,MATCH(376,$I$4:$I$403,0)),""),IF(CC_Mode="Per loop",IFERROR(INDEX($D$4:$D$403,MATCH(376,$H$4:$H$403,0)),""),IF(CC_Mode="Per unit",IFERROR(INDEX($M$4:$M$15,MATCH(376,$N$4:$N$15,0)),""),IF(376=1,CC_V_GrandVol,""))))</f>
        <v/>
      </c>
      <c r="U379" s="0" t="str">
        <f aca="false">IF(CC_Mode="Per equipment",IFERROR(INDEX($E$4:$E$403,MATCH(376,$I$4:$I$403,0)),""),IF(CC_Mode="Per loop",IFERROR(INDEX($E$4:$E$403,MATCH(376,$H$4:$H$403,0)),""),IF(CC_Mode="Per unit",IFERROR(INDEX($L$4:$L$15,MATCH(376,$N$4:$N$15,0)),""),IF(376=1,CC_Net,""))))</f>
        <v/>
      </c>
    </row>
    <row r="380" customFormat="false" ht="15" hidden="false" customHeight="false" outlineLevel="0" collapsed="false">
      <c r="A380" s="0" t="s">
        <v>172</v>
      </c>
      <c r="B380" s="0" t="str">
        <f aca="false">'CC Item Pricing'!C379&amp;IF('CC Item Pricing'!D379="",""," – "&amp;'CC Item Pricing'!D379)</f>
        <v/>
      </c>
      <c r="C380" s="0" t="str">
        <f aca="false">INDEX(CC_UnitNames,'CC Item Pricing'!Y379)</f>
        <v>Unit 12</v>
      </c>
      <c r="D380" s="0" t="n">
        <f aca="false">N('CC Item Pricing'!G379)</f>
        <v>0</v>
      </c>
      <c r="E380" s="98" t="n">
        <f aca="false">'CC Item Pricing'!W379</f>
        <v>0</v>
      </c>
      <c r="F380" s="96" t="n">
        <f aca="false">IF(AND(G380=1,'CC Item Pricing'!B379=""),1,0)</f>
        <v>0</v>
      </c>
      <c r="G380" s="96" t="n">
        <f aca="false">IF(D380&gt;0,1,0)</f>
        <v>0</v>
      </c>
      <c r="H380" s="0" t="str">
        <f aca="false">IF(F380=1,COUNTIF($F$4:F380,1),"")</f>
        <v/>
      </c>
      <c r="I380" s="0" t="str">
        <f aca="false">IF(G380=1,COUNTIF($G$4:G380,1),"")</f>
        <v/>
      </c>
      <c r="R380" s="0" t="str">
        <f aca="false">IF(CC_Mode="Per equipment",IFERROR(INDEX($B$4:$B$403,MATCH(377,$I$4:$I$403,0)),""),IF(CC_Mode="Per loop",IFERROR(INDEX($B$4:$B$403,MATCH(377,$H$4:$H$403,0)),""),IF(CC_Mode="Per unit",IFERROR("Chemical cleaning – "&amp;INDEX($K$4:$K$15,MATCH(377,$N$4:$N$15,0)),""),IF(377=1,"LUMP SUM – "&amp;QProject,""))))</f>
        <v/>
      </c>
      <c r="S380" s="0" t="str">
        <f aca="false">IF(CC_Mode="Per equipment",IFERROR(INDEX($C$4:$C$403,MATCH(377,$I$4:$I$403,0)),""),IF(CC_Mode="Per loop",IFERROR(INDEX($C$4:$C$403,MATCH(377,$H$4:$H$403,0)),""),IF(CC_Mode="Per unit",IFERROR(INDEX($K$4:$K$15,MATCH(377,$N$4:$N$15,0)),""),IF(377=1,"All units",""))))</f>
        <v/>
      </c>
      <c r="T380" s="0" t="str">
        <f aca="false">IF(CC_Mode="Per equipment",IFERROR(INDEX($D$4:$D$403,MATCH(377,$I$4:$I$403,0)),""),IF(CC_Mode="Per loop",IFERROR(INDEX($D$4:$D$403,MATCH(377,$H$4:$H$403,0)),""),IF(CC_Mode="Per unit",IFERROR(INDEX($M$4:$M$15,MATCH(377,$N$4:$N$15,0)),""),IF(377=1,CC_V_GrandVol,""))))</f>
        <v/>
      </c>
      <c r="U380" s="0" t="str">
        <f aca="false">IF(CC_Mode="Per equipment",IFERROR(INDEX($E$4:$E$403,MATCH(377,$I$4:$I$403,0)),""),IF(CC_Mode="Per loop",IFERROR(INDEX($E$4:$E$403,MATCH(377,$H$4:$H$403,0)),""),IF(CC_Mode="Per unit",IFERROR(INDEX($L$4:$L$15,MATCH(377,$N$4:$N$15,0)),""),IF(377=1,CC_Net,""))))</f>
        <v/>
      </c>
    </row>
    <row r="381" customFormat="false" ht="15" hidden="false" customHeight="false" outlineLevel="0" collapsed="false">
      <c r="A381" s="0" t="s">
        <v>172</v>
      </c>
      <c r="B381" s="0" t="str">
        <f aca="false">'CC Item Pricing'!C380&amp;IF('CC Item Pricing'!D380="",""," – "&amp;'CC Item Pricing'!D380)</f>
        <v/>
      </c>
      <c r="C381" s="0" t="str">
        <f aca="false">INDEX(CC_UnitNames,'CC Item Pricing'!Y380)</f>
        <v>Unit 12</v>
      </c>
      <c r="D381" s="0" t="n">
        <f aca="false">N('CC Item Pricing'!G380)</f>
        <v>0</v>
      </c>
      <c r="E381" s="98" t="n">
        <f aca="false">'CC Item Pricing'!W380</f>
        <v>0</v>
      </c>
      <c r="F381" s="96" t="n">
        <f aca="false">IF(AND(G381=1,'CC Item Pricing'!B380=""),1,0)</f>
        <v>0</v>
      </c>
      <c r="G381" s="96" t="n">
        <f aca="false">IF(D381&gt;0,1,0)</f>
        <v>0</v>
      </c>
      <c r="H381" s="0" t="str">
        <f aca="false">IF(F381=1,COUNTIF($F$4:F381,1),"")</f>
        <v/>
      </c>
      <c r="I381" s="0" t="str">
        <f aca="false">IF(G381=1,COUNTIF($G$4:G381,1),"")</f>
        <v/>
      </c>
      <c r="R381" s="0" t="str">
        <f aca="false">IF(CC_Mode="Per equipment",IFERROR(INDEX($B$4:$B$403,MATCH(378,$I$4:$I$403,0)),""),IF(CC_Mode="Per loop",IFERROR(INDEX($B$4:$B$403,MATCH(378,$H$4:$H$403,0)),""),IF(CC_Mode="Per unit",IFERROR("Chemical cleaning – "&amp;INDEX($K$4:$K$15,MATCH(378,$N$4:$N$15,0)),""),IF(378=1,"LUMP SUM – "&amp;QProject,""))))</f>
        <v/>
      </c>
      <c r="S381" s="0" t="str">
        <f aca="false">IF(CC_Mode="Per equipment",IFERROR(INDEX($C$4:$C$403,MATCH(378,$I$4:$I$403,0)),""),IF(CC_Mode="Per loop",IFERROR(INDEX($C$4:$C$403,MATCH(378,$H$4:$H$403,0)),""),IF(CC_Mode="Per unit",IFERROR(INDEX($K$4:$K$15,MATCH(378,$N$4:$N$15,0)),""),IF(378=1,"All units",""))))</f>
        <v/>
      </c>
      <c r="T381" s="0" t="str">
        <f aca="false">IF(CC_Mode="Per equipment",IFERROR(INDEX($D$4:$D$403,MATCH(378,$I$4:$I$403,0)),""),IF(CC_Mode="Per loop",IFERROR(INDEX($D$4:$D$403,MATCH(378,$H$4:$H$403,0)),""),IF(CC_Mode="Per unit",IFERROR(INDEX($M$4:$M$15,MATCH(378,$N$4:$N$15,0)),""),IF(378=1,CC_V_GrandVol,""))))</f>
        <v/>
      </c>
      <c r="U381" s="0" t="str">
        <f aca="false">IF(CC_Mode="Per equipment",IFERROR(INDEX($E$4:$E$403,MATCH(378,$I$4:$I$403,0)),""),IF(CC_Mode="Per loop",IFERROR(INDEX($E$4:$E$403,MATCH(378,$H$4:$H$403,0)),""),IF(CC_Mode="Per unit",IFERROR(INDEX($L$4:$L$15,MATCH(378,$N$4:$N$15,0)),""),IF(378=1,CC_Net,""))))</f>
        <v/>
      </c>
    </row>
    <row r="382" customFormat="false" ht="15" hidden="false" customHeight="false" outlineLevel="0" collapsed="false">
      <c r="A382" s="0" t="s">
        <v>172</v>
      </c>
      <c r="B382" s="0" t="str">
        <f aca="false">'CC Item Pricing'!C381&amp;IF('CC Item Pricing'!D381="",""," – "&amp;'CC Item Pricing'!D381)</f>
        <v/>
      </c>
      <c r="C382" s="0" t="str">
        <f aca="false">INDEX(CC_UnitNames,'CC Item Pricing'!Y381)</f>
        <v>Unit 12</v>
      </c>
      <c r="D382" s="0" t="n">
        <f aca="false">N('CC Item Pricing'!G381)</f>
        <v>0</v>
      </c>
      <c r="E382" s="98" t="n">
        <f aca="false">'CC Item Pricing'!W381</f>
        <v>0</v>
      </c>
      <c r="F382" s="96" t="n">
        <f aca="false">IF(AND(G382=1,'CC Item Pricing'!B381=""),1,0)</f>
        <v>0</v>
      </c>
      <c r="G382" s="96" t="n">
        <f aca="false">IF(D382&gt;0,1,0)</f>
        <v>0</v>
      </c>
      <c r="H382" s="0" t="str">
        <f aca="false">IF(F382=1,COUNTIF($F$4:F382,1),"")</f>
        <v/>
      </c>
      <c r="I382" s="0" t="str">
        <f aca="false">IF(G382=1,COUNTIF($G$4:G382,1),"")</f>
        <v/>
      </c>
      <c r="R382" s="0" t="str">
        <f aca="false">IF(CC_Mode="Per equipment",IFERROR(INDEX($B$4:$B$403,MATCH(379,$I$4:$I$403,0)),""),IF(CC_Mode="Per loop",IFERROR(INDEX($B$4:$B$403,MATCH(379,$H$4:$H$403,0)),""),IF(CC_Mode="Per unit",IFERROR("Chemical cleaning – "&amp;INDEX($K$4:$K$15,MATCH(379,$N$4:$N$15,0)),""),IF(379=1,"LUMP SUM – "&amp;QProject,""))))</f>
        <v/>
      </c>
      <c r="S382" s="0" t="str">
        <f aca="false">IF(CC_Mode="Per equipment",IFERROR(INDEX($C$4:$C$403,MATCH(379,$I$4:$I$403,0)),""),IF(CC_Mode="Per loop",IFERROR(INDEX($C$4:$C$403,MATCH(379,$H$4:$H$403,0)),""),IF(CC_Mode="Per unit",IFERROR(INDEX($K$4:$K$15,MATCH(379,$N$4:$N$15,0)),""),IF(379=1,"All units",""))))</f>
        <v/>
      </c>
      <c r="T382" s="0" t="str">
        <f aca="false">IF(CC_Mode="Per equipment",IFERROR(INDEX($D$4:$D$403,MATCH(379,$I$4:$I$403,0)),""),IF(CC_Mode="Per loop",IFERROR(INDEX($D$4:$D$403,MATCH(379,$H$4:$H$403,0)),""),IF(CC_Mode="Per unit",IFERROR(INDEX($M$4:$M$15,MATCH(379,$N$4:$N$15,0)),""),IF(379=1,CC_V_GrandVol,""))))</f>
        <v/>
      </c>
      <c r="U382" s="0" t="str">
        <f aca="false">IF(CC_Mode="Per equipment",IFERROR(INDEX($E$4:$E$403,MATCH(379,$I$4:$I$403,0)),""),IF(CC_Mode="Per loop",IFERROR(INDEX($E$4:$E$403,MATCH(379,$H$4:$H$403,0)),""),IF(CC_Mode="Per unit",IFERROR(INDEX($L$4:$L$15,MATCH(379,$N$4:$N$15,0)),""),IF(379=1,CC_Net,""))))</f>
        <v/>
      </c>
    </row>
    <row r="383" customFormat="false" ht="15" hidden="false" customHeight="false" outlineLevel="0" collapsed="false">
      <c r="A383" s="0" t="s">
        <v>172</v>
      </c>
      <c r="B383" s="0" t="str">
        <f aca="false">'CC Item Pricing'!C382&amp;IF('CC Item Pricing'!D382="",""," – "&amp;'CC Item Pricing'!D382)</f>
        <v/>
      </c>
      <c r="C383" s="0" t="str">
        <f aca="false">INDEX(CC_UnitNames,'CC Item Pricing'!Y382)</f>
        <v>Unit 12</v>
      </c>
      <c r="D383" s="0" t="n">
        <f aca="false">N('CC Item Pricing'!G382)</f>
        <v>0</v>
      </c>
      <c r="E383" s="98" t="n">
        <f aca="false">'CC Item Pricing'!W382</f>
        <v>0</v>
      </c>
      <c r="F383" s="96" t="n">
        <f aca="false">IF(AND(G383=1,'CC Item Pricing'!B382=""),1,0)</f>
        <v>0</v>
      </c>
      <c r="G383" s="96" t="n">
        <f aca="false">IF(D383&gt;0,1,0)</f>
        <v>0</v>
      </c>
      <c r="H383" s="0" t="str">
        <f aca="false">IF(F383=1,COUNTIF($F$4:F383,1),"")</f>
        <v/>
      </c>
      <c r="I383" s="0" t="str">
        <f aca="false">IF(G383=1,COUNTIF($G$4:G383,1),"")</f>
        <v/>
      </c>
      <c r="R383" s="0" t="str">
        <f aca="false">IF(CC_Mode="Per equipment",IFERROR(INDEX($B$4:$B$403,MATCH(380,$I$4:$I$403,0)),""),IF(CC_Mode="Per loop",IFERROR(INDEX($B$4:$B$403,MATCH(380,$H$4:$H$403,0)),""),IF(CC_Mode="Per unit",IFERROR("Chemical cleaning – "&amp;INDEX($K$4:$K$15,MATCH(380,$N$4:$N$15,0)),""),IF(380=1,"LUMP SUM – "&amp;QProject,""))))</f>
        <v/>
      </c>
      <c r="S383" s="0" t="str">
        <f aca="false">IF(CC_Mode="Per equipment",IFERROR(INDEX($C$4:$C$403,MATCH(380,$I$4:$I$403,0)),""),IF(CC_Mode="Per loop",IFERROR(INDEX($C$4:$C$403,MATCH(380,$H$4:$H$403,0)),""),IF(CC_Mode="Per unit",IFERROR(INDEX($K$4:$K$15,MATCH(380,$N$4:$N$15,0)),""),IF(380=1,"All units",""))))</f>
        <v/>
      </c>
      <c r="T383" s="0" t="str">
        <f aca="false">IF(CC_Mode="Per equipment",IFERROR(INDEX($D$4:$D$403,MATCH(380,$I$4:$I$403,0)),""),IF(CC_Mode="Per loop",IFERROR(INDEX($D$4:$D$403,MATCH(380,$H$4:$H$403,0)),""),IF(CC_Mode="Per unit",IFERROR(INDEX($M$4:$M$15,MATCH(380,$N$4:$N$15,0)),""),IF(380=1,CC_V_GrandVol,""))))</f>
        <v/>
      </c>
      <c r="U383" s="0" t="str">
        <f aca="false">IF(CC_Mode="Per equipment",IFERROR(INDEX($E$4:$E$403,MATCH(380,$I$4:$I$403,0)),""),IF(CC_Mode="Per loop",IFERROR(INDEX($E$4:$E$403,MATCH(380,$H$4:$H$403,0)),""),IF(CC_Mode="Per unit",IFERROR(INDEX($L$4:$L$15,MATCH(380,$N$4:$N$15,0)),""),IF(380=1,CC_Net,""))))</f>
        <v/>
      </c>
    </row>
    <row r="384" customFormat="false" ht="15" hidden="false" customHeight="false" outlineLevel="0" collapsed="false">
      <c r="A384" s="0" t="s">
        <v>172</v>
      </c>
      <c r="B384" s="0" t="str">
        <f aca="false">'CC Item Pricing'!C383&amp;IF('CC Item Pricing'!D383="",""," – "&amp;'CC Item Pricing'!D383)</f>
        <v/>
      </c>
      <c r="C384" s="0" t="str">
        <f aca="false">INDEX(CC_UnitNames,'CC Item Pricing'!Y383)</f>
        <v>Unit 12</v>
      </c>
      <c r="D384" s="0" t="n">
        <f aca="false">N('CC Item Pricing'!G383)</f>
        <v>0</v>
      </c>
      <c r="E384" s="98" t="n">
        <f aca="false">'CC Item Pricing'!W383</f>
        <v>0</v>
      </c>
      <c r="F384" s="96" t="n">
        <f aca="false">IF(AND(G384=1,'CC Item Pricing'!B383=""),1,0)</f>
        <v>0</v>
      </c>
      <c r="G384" s="96" t="n">
        <f aca="false">IF(D384&gt;0,1,0)</f>
        <v>0</v>
      </c>
      <c r="H384" s="0" t="str">
        <f aca="false">IF(F384=1,COUNTIF($F$4:F384,1),"")</f>
        <v/>
      </c>
      <c r="I384" s="0" t="str">
        <f aca="false">IF(G384=1,COUNTIF($G$4:G384,1),"")</f>
        <v/>
      </c>
      <c r="R384" s="0" t="str">
        <f aca="false">IF(CC_Mode="Per equipment",IFERROR(INDEX($B$4:$B$403,MATCH(381,$I$4:$I$403,0)),""),IF(CC_Mode="Per loop",IFERROR(INDEX($B$4:$B$403,MATCH(381,$H$4:$H$403,0)),""),IF(CC_Mode="Per unit",IFERROR("Chemical cleaning – "&amp;INDEX($K$4:$K$15,MATCH(381,$N$4:$N$15,0)),""),IF(381=1,"LUMP SUM – "&amp;QProject,""))))</f>
        <v/>
      </c>
      <c r="S384" s="0" t="str">
        <f aca="false">IF(CC_Mode="Per equipment",IFERROR(INDEX($C$4:$C$403,MATCH(381,$I$4:$I$403,0)),""),IF(CC_Mode="Per loop",IFERROR(INDEX($C$4:$C$403,MATCH(381,$H$4:$H$403,0)),""),IF(CC_Mode="Per unit",IFERROR(INDEX($K$4:$K$15,MATCH(381,$N$4:$N$15,0)),""),IF(381=1,"All units",""))))</f>
        <v/>
      </c>
      <c r="T384" s="0" t="str">
        <f aca="false">IF(CC_Mode="Per equipment",IFERROR(INDEX($D$4:$D$403,MATCH(381,$I$4:$I$403,0)),""),IF(CC_Mode="Per loop",IFERROR(INDEX($D$4:$D$403,MATCH(381,$H$4:$H$403,0)),""),IF(CC_Mode="Per unit",IFERROR(INDEX($M$4:$M$15,MATCH(381,$N$4:$N$15,0)),""),IF(381=1,CC_V_GrandVol,""))))</f>
        <v/>
      </c>
      <c r="U384" s="0" t="str">
        <f aca="false">IF(CC_Mode="Per equipment",IFERROR(INDEX($E$4:$E$403,MATCH(381,$I$4:$I$403,0)),""),IF(CC_Mode="Per loop",IFERROR(INDEX($E$4:$E$403,MATCH(381,$H$4:$H$403,0)),""),IF(CC_Mode="Per unit",IFERROR(INDEX($L$4:$L$15,MATCH(381,$N$4:$N$15,0)),""),IF(381=1,CC_Net,""))))</f>
        <v/>
      </c>
    </row>
    <row r="385" customFormat="false" ht="15" hidden="false" customHeight="false" outlineLevel="0" collapsed="false">
      <c r="A385" s="0" t="s">
        <v>172</v>
      </c>
      <c r="B385" s="0" t="str">
        <f aca="false">'CC Item Pricing'!C384&amp;IF('CC Item Pricing'!D384="",""," – "&amp;'CC Item Pricing'!D384)</f>
        <v/>
      </c>
      <c r="C385" s="0" t="str">
        <f aca="false">INDEX(CC_UnitNames,'CC Item Pricing'!Y384)</f>
        <v>Unit 12</v>
      </c>
      <c r="D385" s="0" t="n">
        <f aca="false">N('CC Item Pricing'!G384)</f>
        <v>0</v>
      </c>
      <c r="E385" s="98" t="n">
        <f aca="false">'CC Item Pricing'!W384</f>
        <v>0</v>
      </c>
      <c r="F385" s="96" t="n">
        <f aca="false">IF(AND(G385=1,'CC Item Pricing'!B384=""),1,0)</f>
        <v>0</v>
      </c>
      <c r="G385" s="96" t="n">
        <f aca="false">IF(D385&gt;0,1,0)</f>
        <v>0</v>
      </c>
      <c r="H385" s="0" t="str">
        <f aca="false">IF(F385=1,COUNTIF($F$4:F385,1),"")</f>
        <v/>
      </c>
      <c r="I385" s="0" t="str">
        <f aca="false">IF(G385=1,COUNTIF($G$4:G385,1),"")</f>
        <v/>
      </c>
      <c r="R385" s="0" t="str">
        <f aca="false">IF(CC_Mode="Per equipment",IFERROR(INDEX($B$4:$B$403,MATCH(382,$I$4:$I$403,0)),""),IF(CC_Mode="Per loop",IFERROR(INDEX($B$4:$B$403,MATCH(382,$H$4:$H$403,0)),""),IF(CC_Mode="Per unit",IFERROR("Chemical cleaning – "&amp;INDEX($K$4:$K$15,MATCH(382,$N$4:$N$15,0)),""),IF(382=1,"LUMP SUM – "&amp;QProject,""))))</f>
        <v/>
      </c>
      <c r="S385" s="0" t="str">
        <f aca="false">IF(CC_Mode="Per equipment",IFERROR(INDEX($C$4:$C$403,MATCH(382,$I$4:$I$403,0)),""),IF(CC_Mode="Per loop",IFERROR(INDEX($C$4:$C$403,MATCH(382,$H$4:$H$403,0)),""),IF(CC_Mode="Per unit",IFERROR(INDEX($K$4:$K$15,MATCH(382,$N$4:$N$15,0)),""),IF(382=1,"All units",""))))</f>
        <v/>
      </c>
      <c r="T385" s="0" t="str">
        <f aca="false">IF(CC_Mode="Per equipment",IFERROR(INDEX($D$4:$D$403,MATCH(382,$I$4:$I$403,0)),""),IF(CC_Mode="Per loop",IFERROR(INDEX($D$4:$D$403,MATCH(382,$H$4:$H$403,0)),""),IF(CC_Mode="Per unit",IFERROR(INDEX($M$4:$M$15,MATCH(382,$N$4:$N$15,0)),""),IF(382=1,CC_V_GrandVol,""))))</f>
        <v/>
      </c>
      <c r="U385" s="0" t="str">
        <f aca="false">IF(CC_Mode="Per equipment",IFERROR(INDEX($E$4:$E$403,MATCH(382,$I$4:$I$403,0)),""),IF(CC_Mode="Per loop",IFERROR(INDEX($E$4:$E$403,MATCH(382,$H$4:$H$403,0)),""),IF(CC_Mode="Per unit",IFERROR(INDEX($L$4:$L$15,MATCH(382,$N$4:$N$15,0)),""),IF(382=1,CC_Net,""))))</f>
        <v/>
      </c>
    </row>
    <row r="386" customFormat="false" ht="15" hidden="false" customHeight="false" outlineLevel="0" collapsed="false">
      <c r="A386" s="0" t="s">
        <v>172</v>
      </c>
      <c r="B386" s="0" t="str">
        <f aca="false">'CC Item Pricing'!C385&amp;IF('CC Item Pricing'!D385="",""," – "&amp;'CC Item Pricing'!D385)</f>
        <v/>
      </c>
      <c r="C386" s="0" t="str">
        <f aca="false">INDEX(CC_UnitNames,'CC Item Pricing'!Y385)</f>
        <v>Unit 12</v>
      </c>
      <c r="D386" s="0" t="n">
        <f aca="false">N('CC Item Pricing'!G385)</f>
        <v>0</v>
      </c>
      <c r="E386" s="98" t="n">
        <f aca="false">'CC Item Pricing'!W385</f>
        <v>0</v>
      </c>
      <c r="F386" s="96" t="n">
        <f aca="false">IF(AND(G386=1,'CC Item Pricing'!B385=""),1,0)</f>
        <v>0</v>
      </c>
      <c r="G386" s="96" t="n">
        <f aca="false">IF(D386&gt;0,1,0)</f>
        <v>0</v>
      </c>
      <c r="H386" s="0" t="str">
        <f aca="false">IF(F386=1,COUNTIF($F$4:F386,1),"")</f>
        <v/>
      </c>
      <c r="I386" s="0" t="str">
        <f aca="false">IF(G386=1,COUNTIF($G$4:G386,1),"")</f>
        <v/>
      </c>
      <c r="R386" s="0" t="str">
        <f aca="false">IF(CC_Mode="Per equipment",IFERROR(INDEX($B$4:$B$403,MATCH(383,$I$4:$I$403,0)),""),IF(CC_Mode="Per loop",IFERROR(INDEX($B$4:$B$403,MATCH(383,$H$4:$H$403,0)),""),IF(CC_Mode="Per unit",IFERROR("Chemical cleaning – "&amp;INDEX($K$4:$K$15,MATCH(383,$N$4:$N$15,0)),""),IF(383=1,"LUMP SUM – "&amp;QProject,""))))</f>
        <v/>
      </c>
      <c r="S386" s="0" t="str">
        <f aca="false">IF(CC_Mode="Per equipment",IFERROR(INDEX($C$4:$C$403,MATCH(383,$I$4:$I$403,0)),""),IF(CC_Mode="Per loop",IFERROR(INDEX($C$4:$C$403,MATCH(383,$H$4:$H$403,0)),""),IF(CC_Mode="Per unit",IFERROR(INDEX($K$4:$K$15,MATCH(383,$N$4:$N$15,0)),""),IF(383=1,"All units",""))))</f>
        <v/>
      </c>
      <c r="T386" s="0" t="str">
        <f aca="false">IF(CC_Mode="Per equipment",IFERROR(INDEX($D$4:$D$403,MATCH(383,$I$4:$I$403,0)),""),IF(CC_Mode="Per loop",IFERROR(INDEX($D$4:$D$403,MATCH(383,$H$4:$H$403,0)),""),IF(CC_Mode="Per unit",IFERROR(INDEX($M$4:$M$15,MATCH(383,$N$4:$N$15,0)),""),IF(383=1,CC_V_GrandVol,""))))</f>
        <v/>
      </c>
      <c r="U386" s="0" t="str">
        <f aca="false">IF(CC_Mode="Per equipment",IFERROR(INDEX($E$4:$E$403,MATCH(383,$I$4:$I$403,0)),""),IF(CC_Mode="Per loop",IFERROR(INDEX($E$4:$E$403,MATCH(383,$H$4:$H$403,0)),""),IF(CC_Mode="Per unit",IFERROR(INDEX($L$4:$L$15,MATCH(383,$N$4:$N$15,0)),""),IF(383=1,CC_Net,""))))</f>
        <v/>
      </c>
    </row>
    <row r="387" customFormat="false" ht="15" hidden="false" customHeight="false" outlineLevel="0" collapsed="false">
      <c r="A387" s="0" t="s">
        <v>172</v>
      </c>
      <c r="B387" s="0" t="str">
        <f aca="false">'CC Item Pricing'!C386&amp;IF('CC Item Pricing'!D386="",""," – "&amp;'CC Item Pricing'!D386)</f>
        <v/>
      </c>
      <c r="C387" s="0" t="str">
        <f aca="false">INDEX(CC_UnitNames,'CC Item Pricing'!Y386)</f>
        <v>Unit 12</v>
      </c>
      <c r="D387" s="0" t="n">
        <f aca="false">N('CC Item Pricing'!G386)</f>
        <v>0</v>
      </c>
      <c r="E387" s="98" t="n">
        <f aca="false">'CC Item Pricing'!W386</f>
        <v>0</v>
      </c>
      <c r="F387" s="96" t="n">
        <f aca="false">IF(AND(G387=1,'CC Item Pricing'!B386=""),1,0)</f>
        <v>0</v>
      </c>
      <c r="G387" s="96" t="n">
        <f aca="false">IF(D387&gt;0,1,0)</f>
        <v>0</v>
      </c>
      <c r="H387" s="0" t="str">
        <f aca="false">IF(F387=1,COUNTIF($F$4:F387,1),"")</f>
        <v/>
      </c>
      <c r="I387" s="0" t="str">
        <f aca="false">IF(G387=1,COUNTIF($G$4:G387,1),"")</f>
        <v/>
      </c>
      <c r="R387" s="0" t="str">
        <f aca="false">IF(CC_Mode="Per equipment",IFERROR(INDEX($B$4:$B$403,MATCH(384,$I$4:$I$403,0)),""),IF(CC_Mode="Per loop",IFERROR(INDEX($B$4:$B$403,MATCH(384,$H$4:$H$403,0)),""),IF(CC_Mode="Per unit",IFERROR("Chemical cleaning – "&amp;INDEX($K$4:$K$15,MATCH(384,$N$4:$N$15,0)),""),IF(384=1,"LUMP SUM – "&amp;QProject,""))))</f>
        <v/>
      </c>
      <c r="S387" s="0" t="str">
        <f aca="false">IF(CC_Mode="Per equipment",IFERROR(INDEX($C$4:$C$403,MATCH(384,$I$4:$I$403,0)),""),IF(CC_Mode="Per loop",IFERROR(INDEX($C$4:$C$403,MATCH(384,$H$4:$H$403,0)),""),IF(CC_Mode="Per unit",IFERROR(INDEX($K$4:$K$15,MATCH(384,$N$4:$N$15,0)),""),IF(384=1,"All units",""))))</f>
        <v/>
      </c>
      <c r="T387" s="0" t="str">
        <f aca="false">IF(CC_Mode="Per equipment",IFERROR(INDEX($D$4:$D$403,MATCH(384,$I$4:$I$403,0)),""),IF(CC_Mode="Per loop",IFERROR(INDEX($D$4:$D$403,MATCH(384,$H$4:$H$403,0)),""),IF(CC_Mode="Per unit",IFERROR(INDEX($M$4:$M$15,MATCH(384,$N$4:$N$15,0)),""),IF(384=1,CC_V_GrandVol,""))))</f>
        <v/>
      </c>
      <c r="U387" s="0" t="str">
        <f aca="false">IF(CC_Mode="Per equipment",IFERROR(INDEX($E$4:$E$403,MATCH(384,$I$4:$I$403,0)),""),IF(CC_Mode="Per loop",IFERROR(INDEX($E$4:$E$403,MATCH(384,$H$4:$H$403,0)),""),IF(CC_Mode="Per unit",IFERROR(INDEX($L$4:$L$15,MATCH(384,$N$4:$N$15,0)),""),IF(384=1,CC_Net,""))))</f>
        <v/>
      </c>
    </row>
    <row r="388" customFormat="false" ht="15" hidden="false" customHeight="false" outlineLevel="0" collapsed="false">
      <c r="A388" s="0" t="s">
        <v>172</v>
      </c>
      <c r="B388" s="0" t="str">
        <f aca="false">'CC Item Pricing'!C387&amp;IF('CC Item Pricing'!D387="",""," – "&amp;'CC Item Pricing'!D387)</f>
        <v/>
      </c>
      <c r="C388" s="0" t="str">
        <f aca="false">INDEX(CC_UnitNames,'CC Item Pricing'!Y387)</f>
        <v>Unit 12</v>
      </c>
      <c r="D388" s="0" t="n">
        <f aca="false">N('CC Item Pricing'!G387)</f>
        <v>0</v>
      </c>
      <c r="E388" s="98" t="n">
        <f aca="false">'CC Item Pricing'!W387</f>
        <v>0</v>
      </c>
      <c r="F388" s="96" t="n">
        <f aca="false">IF(AND(G388=1,'CC Item Pricing'!B387=""),1,0)</f>
        <v>0</v>
      </c>
      <c r="G388" s="96" t="n">
        <f aca="false">IF(D388&gt;0,1,0)</f>
        <v>0</v>
      </c>
      <c r="H388" s="0" t="str">
        <f aca="false">IF(F388=1,COUNTIF($F$4:F388,1),"")</f>
        <v/>
      </c>
      <c r="I388" s="0" t="str">
        <f aca="false">IF(G388=1,COUNTIF($G$4:G388,1),"")</f>
        <v/>
      </c>
      <c r="R388" s="0" t="str">
        <f aca="false">IF(CC_Mode="Per equipment",IFERROR(INDEX($B$4:$B$403,MATCH(385,$I$4:$I$403,0)),""),IF(CC_Mode="Per loop",IFERROR(INDEX($B$4:$B$403,MATCH(385,$H$4:$H$403,0)),""),IF(CC_Mode="Per unit",IFERROR("Chemical cleaning – "&amp;INDEX($K$4:$K$15,MATCH(385,$N$4:$N$15,0)),""),IF(385=1,"LUMP SUM – "&amp;QProject,""))))</f>
        <v/>
      </c>
      <c r="S388" s="0" t="str">
        <f aca="false">IF(CC_Mode="Per equipment",IFERROR(INDEX($C$4:$C$403,MATCH(385,$I$4:$I$403,0)),""),IF(CC_Mode="Per loop",IFERROR(INDEX($C$4:$C$403,MATCH(385,$H$4:$H$403,0)),""),IF(CC_Mode="Per unit",IFERROR(INDEX($K$4:$K$15,MATCH(385,$N$4:$N$15,0)),""),IF(385=1,"All units",""))))</f>
        <v/>
      </c>
      <c r="T388" s="0" t="str">
        <f aca="false">IF(CC_Mode="Per equipment",IFERROR(INDEX($D$4:$D$403,MATCH(385,$I$4:$I$403,0)),""),IF(CC_Mode="Per loop",IFERROR(INDEX($D$4:$D$403,MATCH(385,$H$4:$H$403,0)),""),IF(CC_Mode="Per unit",IFERROR(INDEX($M$4:$M$15,MATCH(385,$N$4:$N$15,0)),""),IF(385=1,CC_V_GrandVol,""))))</f>
        <v/>
      </c>
      <c r="U388" s="0" t="str">
        <f aca="false">IF(CC_Mode="Per equipment",IFERROR(INDEX($E$4:$E$403,MATCH(385,$I$4:$I$403,0)),""),IF(CC_Mode="Per loop",IFERROR(INDEX($E$4:$E$403,MATCH(385,$H$4:$H$403,0)),""),IF(CC_Mode="Per unit",IFERROR(INDEX($L$4:$L$15,MATCH(385,$N$4:$N$15,0)),""),IF(385=1,CC_Net,""))))</f>
        <v/>
      </c>
    </row>
    <row r="389" customFormat="false" ht="15" hidden="false" customHeight="false" outlineLevel="0" collapsed="false">
      <c r="A389" s="0" t="s">
        <v>172</v>
      </c>
      <c r="B389" s="0" t="str">
        <f aca="false">'CC Item Pricing'!C388&amp;IF('CC Item Pricing'!D388="",""," – "&amp;'CC Item Pricing'!D388)</f>
        <v/>
      </c>
      <c r="C389" s="0" t="str">
        <f aca="false">INDEX(CC_UnitNames,'CC Item Pricing'!Y388)</f>
        <v>Unit 12</v>
      </c>
      <c r="D389" s="0" t="n">
        <f aca="false">N('CC Item Pricing'!G388)</f>
        <v>0</v>
      </c>
      <c r="E389" s="98" t="n">
        <f aca="false">'CC Item Pricing'!W388</f>
        <v>0</v>
      </c>
      <c r="F389" s="96" t="n">
        <f aca="false">IF(AND(G389=1,'CC Item Pricing'!B388=""),1,0)</f>
        <v>0</v>
      </c>
      <c r="G389" s="96" t="n">
        <f aca="false">IF(D389&gt;0,1,0)</f>
        <v>0</v>
      </c>
      <c r="H389" s="0" t="str">
        <f aca="false">IF(F389=1,COUNTIF($F$4:F389,1),"")</f>
        <v/>
      </c>
      <c r="I389" s="0" t="str">
        <f aca="false">IF(G389=1,COUNTIF($G$4:G389,1),"")</f>
        <v/>
      </c>
      <c r="R389" s="0" t="str">
        <f aca="false">IF(CC_Mode="Per equipment",IFERROR(INDEX($B$4:$B$403,MATCH(386,$I$4:$I$403,0)),""),IF(CC_Mode="Per loop",IFERROR(INDEX($B$4:$B$403,MATCH(386,$H$4:$H$403,0)),""),IF(CC_Mode="Per unit",IFERROR("Chemical cleaning – "&amp;INDEX($K$4:$K$15,MATCH(386,$N$4:$N$15,0)),""),IF(386=1,"LUMP SUM – "&amp;QProject,""))))</f>
        <v/>
      </c>
      <c r="S389" s="0" t="str">
        <f aca="false">IF(CC_Mode="Per equipment",IFERROR(INDEX($C$4:$C$403,MATCH(386,$I$4:$I$403,0)),""),IF(CC_Mode="Per loop",IFERROR(INDEX($C$4:$C$403,MATCH(386,$H$4:$H$403,0)),""),IF(CC_Mode="Per unit",IFERROR(INDEX($K$4:$K$15,MATCH(386,$N$4:$N$15,0)),""),IF(386=1,"All units",""))))</f>
        <v/>
      </c>
      <c r="T389" s="0" t="str">
        <f aca="false">IF(CC_Mode="Per equipment",IFERROR(INDEX($D$4:$D$403,MATCH(386,$I$4:$I$403,0)),""),IF(CC_Mode="Per loop",IFERROR(INDEX($D$4:$D$403,MATCH(386,$H$4:$H$403,0)),""),IF(CC_Mode="Per unit",IFERROR(INDEX($M$4:$M$15,MATCH(386,$N$4:$N$15,0)),""),IF(386=1,CC_V_GrandVol,""))))</f>
        <v/>
      </c>
      <c r="U389" s="0" t="str">
        <f aca="false">IF(CC_Mode="Per equipment",IFERROR(INDEX($E$4:$E$403,MATCH(386,$I$4:$I$403,0)),""),IF(CC_Mode="Per loop",IFERROR(INDEX($E$4:$E$403,MATCH(386,$H$4:$H$403,0)),""),IF(CC_Mode="Per unit",IFERROR(INDEX($L$4:$L$15,MATCH(386,$N$4:$N$15,0)),""),IF(386=1,CC_Net,""))))</f>
        <v/>
      </c>
    </row>
    <row r="390" customFormat="false" ht="15" hidden="false" customHeight="false" outlineLevel="0" collapsed="false">
      <c r="A390" s="0" t="s">
        <v>172</v>
      </c>
      <c r="B390" s="0" t="str">
        <f aca="false">'CC Item Pricing'!C389&amp;IF('CC Item Pricing'!D389="",""," – "&amp;'CC Item Pricing'!D389)</f>
        <v/>
      </c>
      <c r="C390" s="0" t="str">
        <f aca="false">INDEX(CC_UnitNames,'CC Item Pricing'!Y389)</f>
        <v>Unit 12</v>
      </c>
      <c r="D390" s="0" t="n">
        <f aca="false">N('CC Item Pricing'!G389)</f>
        <v>0</v>
      </c>
      <c r="E390" s="98" t="n">
        <f aca="false">'CC Item Pricing'!W389</f>
        <v>0</v>
      </c>
      <c r="F390" s="96" t="n">
        <f aca="false">IF(AND(G390=1,'CC Item Pricing'!B389=""),1,0)</f>
        <v>0</v>
      </c>
      <c r="G390" s="96" t="n">
        <f aca="false">IF(D390&gt;0,1,0)</f>
        <v>0</v>
      </c>
      <c r="H390" s="0" t="str">
        <f aca="false">IF(F390=1,COUNTIF($F$4:F390,1),"")</f>
        <v/>
      </c>
      <c r="I390" s="0" t="str">
        <f aca="false">IF(G390=1,COUNTIF($G$4:G390,1),"")</f>
        <v/>
      </c>
      <c r="R390" s="0" t="str">
        <f aca="false">IF(CC_Mode="Per equipment",IFERROR(INDEX($B$4:$B$403,MATCH(387,$I$4:$I$403,0)),""),IF(CC_Mode="Per loop",IFERROR(INDEX($B$4:$B$403,MATCH(387,$H$4:$H$403,0)),""),IF(CC_Mode="Per unit",IFERROR("Chemical cleaning – "&amp;INDEX($K$4:$K$15,MATCH(387,$N$4:$N$15,0)),""),IF(387=1,"LUMP SUM – "&amp;QProject,""))))</f>
        <v/>
      </c>
      <c r="S390" s="0" t="str">
        <f aca="false">IF(CC_Mode="Per equipment",IFERROR(INDEX($C$4:$C$403,MATCH(387,$I$4:$I$403,0)),""),IF(CC_Mode="Per loop",IFERROR(INDEX($C$4:$C$403,MATCH(387,$H$4:$H$403,0)),""),IF(CC_Mode="Per unit",IFERROR(INDEX($K$4:$K$15,MATCH(387,$N$4:$N$15,0)),""),IF(387=1,"All units",""))))</f>
        <v/>
      </c>
      <c r="T390" s="0" t="str">
        <f aca="false">IF(CC_Mode="Per equipment",IFERROR(INDEX($D$4:$D$403,MATCH(387,$I$4:$I$403,0)),""),IF(CC_Mode="Per loop",IFERROR(INDEX($D$4:$D$403,MATCH(387,$H$4:$H$403,0)),""),IF(CC_Mode="Per unit",IFERROR(INDEX($M$4:$M$15,MATCH(387,$N$4:$N$15,0)),""),IF(387=1,CC_V_GrandVol,""))))</f>
        <v/>
      </c>
      <c r="U390" s="0" t="str">
        <f aca="false">IF(CC_Mode="Per equipment",IFERROR(INDEX($E$4:$E$403,MATCH(387,$I$4:$I$403,0)),""),IF(CC_Mode="Per loop",IFERROR(INDEX($E$4:$E$403,MATCH(387,$H$4:$H$403,0)),""),IF(CC_Mode="Per unit",IFERROR(INDEX($L$4:$L$15,MATCH(387,$N$4:$N$15,0)),""),IF(387=1,CC_Net,""))))</f>
        <v/>
      </c>
    </row>
    <row r="391" customFormat="false" ht="15" hidden="false" customHeight="false" outlineLevel="0" collapsed="false">
      <c r="A391" s="0" t="s">
        <v>172</v>
      </c>
      <c r="B391" s="0" t="str">
        <f aca="false">'CC Item Pricing'!C390&amp;IF('CC Item Pricing'!D390="",""," – "&amp;'CC Item Pricing'!D390)</f>
        <v/>
      </c>
      <c r="C391" s="0" t="str">
        <f aca="false">INDEX(CC_UnitNames,'CC Item Pricing'!Y390)</f>
        <v>Unit 12</v>
      </c>
      <c r="D391" s="0" t="n">
        <f aca="false">N('CC Item Pricing'!G390)</f>
        <v>0</v>
      </c>
      <c r="E391" s="98" t="n">
        <f aca="false">'CC Item Pricing'!W390</f>
        <v>0</v>
      </c>
      <c r="F391" s="96" t="n">
        <f aca="false">IF(AND(G391=1,'CC Item Pricing'!B390=""),1,0)</f>
        <v>0</v>
      </c>
      <c r="G391" s="96" t="n">
        <f aca="false">IF(D391&gt;0,1,0)</f>
        <v>0</v>
      </c>
      <c r="H391" s="0" t="str">
        <f aca="false">IF(F391=1,COUNTIF($F$4:F391,1),"")</f>
        <v/>
      </c>
      <c r="I391" s="0" t="str">
        <f aca="false">IF(G391=1,COUNTIF($G$4:G391,1),"")</f>
        <v/>
      </c>
      <c r="R391" s="0" t="str">
        <f aca="false">IF(CC_Mode="Per equipment",IFERROR(INDEX($B$4:$B$403,MATCH(388,$I$4:$I$403,0)),""),IF(CC_Mode="Per loop",IFERROR(INDEX($B$4:$B$403,MATCH(388,$H$4:$H$403,0)),""),IF(CC_Mode="Per unit",IFERROR("Chemical cleaning – "&amp;INDEX($K$4:$K$15,MATCH(388,$N$4:$N$15,0)),""),IF(388=1,"LUMP SUM – "&amp;QProject,""))))</f>
        <v/>
      </c>
      <c r="S391" s="0" t="str">
        <f aca="false">IF(CC_Mode="Per equipment",IFERROR(INDEX($C$4:$C$403,MATCH(388,$I$4:$I$403,0)),""),IF(CC_Mode="Per loop",IFERROR(INDEX($C$4:$C$403,MATCH(388,$H$4:$H$403,0)),""),IF(CC_Mode="Per unit",IFERROR(INDEX($K$4:$K$15,MATCH(388,$N$4:$N$15,0)),""),IF(388=1,"All units",""))))</f>
        <v/>
      </c>
      <c r="T391" s="0" t="str">
        <f aca="false">IF(CC_Mode="Per equipment",IFERROR(INDEX($D$4:$D$403,MATCH(388,$I$4:$I$403,0)),""),IF(CC_Mode="Per loop",IFERROR(INDEX($D$4:$D$403,MATCH(388,$H$4:$H$403,0)),""),IF(CC_Mode="Per unit",IFERROR(INDEX($M$4:$M$15,MATCH(388,$N$4:$N$15,0)),""),IF(388=1,CC_V_GrandVol,""))))</f>
        <v/>
      </c>
      <c r="U391" s="0" t="str">
        <f aca="false">IF(CC_Mode="Per equipment",IFERROR(INDEX($E$4:$E$403,MATCH(388,$I$4:$I$403,0)),""),IF(CC_Mode="Per loop",IFERROR(INDEX($E$4:$E$403,MATCH(388,$H$4:$H$403,0)),""),IF(CC_Mode="Per unit",IFERROR(INDEX($L$4:$L$15,MATCH(388,$N$4:$N$15,0)),""),IF(388=1,CC_Net,""))))</f>
        <v/>
      </c>
    </row>
    <row r="392" customFormat="false" ht="15" hidden="false" customHeight="false" outlineLevel="0" collapsed="false">
      <c r="A392" s="0" t="s">
        <v>172</v>
      </c>
      <c r="B392" s="0" t="str">
        <f aca="false">'CC Item Pricing'!C391&amp;IF('CC Item Pricing'!D391="",""," – "&amp;'CC Item Pricing'!D391)</f>
        <v/>
      </c>
      <c r="C392" s="0" t="str">
        <f aca="false">INDEX(CC_UnitNames,'CC Item Pricing'!Y391)</f>
        <v>Unit 12</v>
      </c>
      <c r="D392" s="0" t="n">
        <f aca="false">N('CC Item Pricing'!G391)</f>
        <v>0</v>
      </c>
      <c r="E392" s="98" t="n">
        <f aca="false">'CC Item Pricing'!W391</f>
        <v>0</v>
      </c>
      <c r="F392" s="96" t="n">
        <f aca="false">IF(AND(G392=1,'CC Item Pricing'!B391=""),1,0)</f>
        <v>0</v>
      </c>
      <c r="G392" s="96" t="n">
        <f aca="false">IF(D392&gt;0,1,0)</f>
        <v>0</v>
      </c>
      <c r="H392" s="0" t="str">
        <f aca="false">IF(F392=1,COUNTIF($F$4:F392,1),"")</f>
        <v/>
      </c>
      <c r="I392" s="0" t="str">
        <f aca="false">IF(G392=1,COUNTIF($G$4:G392,1),"")</f>
        <v/>
      </c>
      <c r="R392" s="0" t="str">
        <f aca="false">IF(CC_Mode="Per equipment",IFERROR(INDEX($B$4:$B$403,MATCH(389,$I$4:$I$403,0)),""),IF(CC_Mode="Per loop",IFERROR(INDEX($B$4:$B$403,MATCH(389,$H$4:$H$403,0)),""),IF(CC_Mode="Per unit",IFERROR("Chemical cleaning – "&amp;INDEX($K$4:$K$15,MATCH(389,$N$4:$N$15,0)),""),IF(389=1,"LUMP SUM – "&amp;QProject,""))))</f>
        <v/>
      </c>
      <c r="S392" s="0" t="str">
        <f aca="false">IF(CC_Mode="Per equipment",IFERROR(INDEX($C$4:$C$403,MATCH(389,$I$4:$I$403,0)),""),IF(CC_Mode="Per loop",IFERROR(INDEX($C$4:$C$403,MATCH(389,$H$4:$H$403,0)),""),IF(CC_Mode="Per unit",IFERROR(INDEX($K$4:$K$15,MATCH(389,$N$4:$N$15,0)),""),IF(389=1,"All units",""))))</f>
        <v/>
      </c>
      <c r="T392" s="0" t="str">
        <f aca="false">IF(CC_Mode="Per equipment",IFERROR(INDEX($D$4:$D$403,MATCH(389,$I$4:$I$403,0)),""),IF(CC_Mode="Per loop",IFERROR(INDEX($D$4:$D$403,MATCH(389,$H$4:$H$403,0)),""),IF(CC_Mode="Per unit",IFERROR(INDEX($M$4:$M$15,MATCH(389,$N$4:$N$15,0)),""),IF(389=1,CC_V_GrandVol,""))))</f>
        <v/>
      </c>
      <c r="U392" s="0" t="str">
        <f aca="false">IF(CC_Mode="Per equipment",IFERROR(INDEX($E$4:$E$403,MATCH(389,$I$4:$I$403,0)),""),IF(CC_Mode="Per loop",IFERROR(INDEX($E$4:$E$403,MATCH(389,$H$4:$H$403,0)),""),IF(CC_Mode="Per unit",IFERROR(INDEX($L$4:$L$15,MATCH(389,$N$4:$N$15,0)),""),IF(389=1,CC_Net,""))))</f>
        <v/>
      </c>
    </row>
    <row r="393" customFormat="false" ht="15" hidden="false" customHeight="false" outlineLevel="0" collapsed="false">
      <c r="A393" s="0" t="s">
        <v>172</v>
      </c>
      <c r="B393" s="0" t="str">
        <f aca="false">'CC Item Pricing'!C392&amp;IF('CC Item Pricing'!D392="",""," – "&amp;'CC Item Pricing'!D392)</f>
        <v/>
      </c>
      <c r="C393" s="0" t="str">
        <f aca="false">INDEX(CC_UnitNames,'CC Item Pricing'!Y392)</f>
        <v>Unit 12</v>
      </c>
      <c r="D393" s="0" t="n">
        <f aca="false">N('CC Item Pricing'!G392)</f>
        <v>0</v>
      </c>
      <c r="E393" s="98" t="n">
        <f aca="false">'CC Item Pricing'!W392</f>
        <v>0</v>
      </c>
      <c r="F393" s="96" t="n">
        <f aca="false">IF(AND(G393=1,'CC Item Pricing'!B392=""),1,0)</f>
        <v>0</v>
      </c>
      <c r="G393" s="96" t="n">
        <f aca="false">IF(D393&gt;0,1,0)</f>
        <v>0</v>
      </c>
      <c r="H393" s="0" t="str">
        <f aca="false">IF(F393=1,COUNTIF($F$4:F393,1),"")</f>
        <v/>
      </c>
      <c r="I393" s="0" t="str">
        <f aca="false">IF(G393=1,COUNTIF($G$4:G393,1),"")</f>
        <v/>
      </c>
      <c r="R393" s="0" t="str">
        <f aca="false">IF(CC_Mode="Per equipment",IFERROR(INDEX($B$4:$B$403,MATCH(390,$I$4:$I$403,0)),""),IF(CC_Mode="Per loop",IFERROR(INDEX($B$4:$B$403,MATCH(390,$H$4:$H$403,0)),""),IF(CC_Mode="Per unit",IFERROR("Chemical cleaning – "&amp;INDEX($K$4:$K$15,MATCH(390,$N$4:$N$15,0)),""),IF(390=1,"LUMP SUM – "&amp;QProject,""))))</f>
        <v/>
      </c>
      <c r="S393" s="0" t="str">
        <f aca="false">IF(CC_Mode="Per equipment",IFERROR(INDEX($C$4:$C$403,MATCH(390,$I$4:$I$403,0)),""),IF(CC_Mode="Per loop",IFERROR(INDEX($C$4:$C$403,MATCH(390,$H$4:$H$403,0)),""),IF(CC_Mode="Per unit",IFERROR(INDEX($K$4:$K$15,MATCH(390,$N$4:$N$15,0)),""),IF(390=1,"All units",""))))</f>
        <v/>
      </c>
      <c r="T393" s="0" t="str">
        <f aca="false">IF(CC_Mode="Per equipment",IFERROR(INDEX($D$4:$D$403,MATCH(390,$I$4:$I$403,0)),""),IF(CC_Mode="Per loop",IFERROR(INDEX($D$4:$D$403,MATCH(390,$H$4:$H$403,0)),""),IF(CC_Mode="Per unit",IFERROR(INDEX($M$4:$M$15,MATCH(390,$N$4:$N$15,0)),""),IF(390=1,CC_V_GrandVol,""))))</f>
        <v/>
      </c>
      <c r="U393" s="0" t="str">
        <f aca="false">IF(CC_Mode="Per equipment",IFERROR(INDEX($E$4:$E$403,MATCH(390,$I$4:$I$403,0)),""),IF(CC_Mode="Per loop",IFERROR(INDEX($E$4:$E$403,MATCH(390,$H$4:$H$403,0)),""),IF(CC_Mode="Per unit",IFERROR(INDEX($L$4:$L$15,MATCH(390,$N$4:$N$15,0)),""),IF(390=1,CC_Net,""))))</f>
        <v/>
      </c>
    </row>
    <row r="394" customFormat="false" ht="15" hidden="false" customHeight="false" outlineLevel="0" collapsed="false">
      <c r="A394" s="0" t="s">
        <v>172</v>
      </c>
      <c r="B394" s="0" t="str">
        <f aca="false">'CC Item Pricing'!C393&amp;IF('CC Item Pricing'!D393="",""," – "&amp;'CC Item Pricing'!D393)</f>
        <v/>
      </c>
      <c r="C394" s="0" t="str">
        <f aca="false">INDEX(CC_UnitNames,'CC Item Pricing'!Y393)</f>
        <v>Unit 12</v>
      </c>
      <c r="D394" s="0" t="n">
        <f aca="false">N('CC Item Pricing'!G393)</f>
        <v>0</v>
      </c>
      <c r="E394" s="98" t="n">
        <f aca="false">'CC Item Pricing'!W393</f>
        <v>0</v>
      </c>
      <c r="F394" s="96" t="n">
        <f aca="false">IF(AND(G394=1,'CC Item Pricing'!B393=""),1,0)</f>
        <v>0</v>
      </c>
      <c r="G394" s="96" t="n">
        <f aca="false">IF(D394&gt;0,1,0)</f>
        <v>0</v>
      </c>
      <c r="H394" s="0" t="str">
        <f aca="false">IF(F394=1,COUNTIF($F$4:F394,1),"")</f>
        <v/>
      </c>
      <c r="I394" s="0" t="str">
        <f aca="false">IF(G394=1,COUNTIF($G$4:G394,1),"")</f>
        <v/>
      </c>
      <c r="R394" s="0" t="str">
        <f aca="false">IF(CC_Mode="Per equipment",IFERROR(INDEX($B$4:$B$403,MATCH(391,$I$4:$I$403,0)),""),IF(CC_Mode="Per loop",IFERROR(INDEX($B$4:$B$403,MATCH(391,$H$4:$H$403,0)),""),IF(CC_Mode="Per unit",IFERROR("Chemical cleaning – "&amp;INDEX($K$4:$K$15,MATCH(391,$N$4:$N$15,0)),""),IF(391=1,"LUMP SUM – "&amp;QProject,""))))</f>
        <v/>
      </c>
      <c r="S394" s="0" t="str">
        <f aca="false">IF(CC_Mode="Per equipment",IFERROR(INDEX($C$4:$C$403,MATCH(391,$I$4:$I$403,0)),""),IF(CC_Mode="Per loop",IFERROR(INDEX($C$4:$C$403,MATCH(391,$H$4:$H$403,0)),""),IF(CC_Mode="Per unit",IFERROR(INDEX($K$4:$K$15,MATCH(391,$N$4:$N$15,0)),""),IF(391=1,"All units",""))))</f>
        <v/>
      </c>
      <c r="T394" s="0" t="str">
        <f aca="false">IF(CC_Mode="Per equipment",IFERROR(INDEX($D$4:$D$403,MATCH(391,$I$4:$I$403,0)),""),IF(CC_Mode="Per loop",IFERROR(INDEX($D$4:$D$403,MATCH(391,$H$4:$H$403,0)),""),IF(CC_Mode="Per unit",IFERROR(INDEX($M$4:$M$15,MATCH(391,$N$4:$N$15,0)),""),IF(391=1,CC_V_GrandVol,""))))</f>
        <v/>
      </c>
      <c r="U394" s="0" t="str">
        <f aca="false">IF(CC_Mode="Per equipment",IFERROR(INDEX($E$4:$E$403,MATCH(391,$I$4:$I$403,0)),""),IF(CC_Mode="Per loop",IFERROR(INDEX($E$4:$E$403,MATCH(391,$H$4:$H$403,0)),""),IF(CC_Mode="Per unit",IFERROR(INDEX($L$4:$L$15,MATCH(391,$N$4:$N$15,0)),""),IF(391=1,CC_Net,""))))</f>
        <v/>
      </c>
    </row>
    <row r="395" customFormat="false" ht="15" hidden="false" customHeight="false" outlineLevel="0" collapsed="false">
      <c r="A395" s="0" t="s">
        <v>172</v>
      </c>
      <c r="B395" s="0" t="str">
        <f aca="false">'CC Item Pricing'!C394&amp;IF('CC Item Pricing'!D394="",""," – "&amp;'CC Item Pricing'!D394)</f>
        <v/>
      </c>
      <c r="C395" s="0" t="str">
        <f aca="false">INDEX(CC_UnitNames,'CC Item Pricing'!Y394)</f>
        <v>Unit 12</v>
      </c>
      <c r="D395" s="0" t="n">
        <f aca="false">N('CC Item Pricing'!G394)</f>
        <v>0</v>
      </c>
      <c r="E395" s="98" t="n">
        <f aca="false">'CC Item Pricing'!W394</f>
        <v>0</v>
      </c>
      <c r="F395" s="96" t="n">
        <f aca="false">IF(AND(G395=1,'CC Item Pricing'!B394=""),1,0)</f>
        <v>0</v>
      </c>
      <c r="G395" s="96" t="n">
        <f aca="false">IF(D395&gt;0,1,0)</f>
        <v>0</v>
      </c>
      <c r="H395" s="0" t="str">
        <f aca="false">IF(F395=1,COUNTIF($F$4:F395,1),"")</f>
        <v/>
      </c>
      <c r="I395" s="0" t="str">
        <f aca="false">IF(G395=1,COUNTIF($G$4:G395,1),"")</f>
        <v/>
      </c>
      <c r="R395" s="0" t="str">
        <f aca="false">IF(CC_Mode="Per equipment",IFERROR(INDEX($B$4:$B$403,MATCH(392,$I$4:$I$403,0)),""),IF(CC_Mode="Per loop",IFERROR(INDEX($B$4:$B$403,MATCH(392,$H$4:$H$403,0)),""),IF(CC_Mode="Per unit",IFERROR("Chemical cleaning – "&amp;INDEX($K$4:$K$15,MATCH(392,$N$4:$N$15,0)),""),IF(392=1,"LUMP SUM – "&amp;QProject,""))))</f>
        <v/>
      </c>
      <c r="S395" s="0" t="str">
        <f aca="false">IF(CC_Mode="Per equipment",IFERROR(INDEX($C$4:$C$403,MATCH(392,$I$4:$I$403,0)),""),IF(CC_Mode="Per loop",IFERROR(INDEX($C$4:$C$403,MATCH(392,$H$4:$H$403,0)),""),IF(CC_Mode="Per unit",IFERROR(INDEX($K$4:$K$15,MATCH(392,$N$4:$N$15,0)),""),IF(392=1,"All units",""))))</f>
        <v/>
      </c>
      <c r="T395" s="0" t="str">
        <f aca="false">IF(CC_Mode="Per equipment",IFERROR(INDEX($D$4:$D$403,MATCH(392,$I$4:$I$403,0)),""),IF(CC_Mode="Per loop",IFERROR(INDEX($D$4:$D$403,MATCH(392,$H$4:$H$403,0)),""),IF(CC_Mode="Per unit",IFERROR(INDEX($M$4:$M$15,MATCH(392,$N$4:$N$15,0)),""),IF(392=1,CC_V_GrandVol,""))))</f>
        <v/>
      </c>
      <c r="U395" s="0" t="str">
        <f aca="false">IF(CC_Mode="Per equipment",IFERROR(INDEX($E$4:$E$403,MATCH(392,$I$4:$I$403,0)),""),IF(CC_Mode="Per loop",IFERROR(INDEX($E$4:$E$403,MATCH(392,$H$4:$H$403,0)),""),IF(CC_Mode="Per unit",IFERROR(INDEX($L$4:$L$15,MATCH(392,$N$4:$N$15,0)),""),IF(392=1,CC_Net,""))))</f>
        <v/>
      </c>
    </row>
    <row r="396" customFormat="false" ht="15" hidden="false" customHeight="false" outlineLevel="0" collapsed="false">
      <c r="A396" s="0" t="s">
        <v>172</v>
      </c>
      <c r="B396" s="0" t="str">
        <f aca="false">'CC Item Pricing'!C395&amp;IF('CC Item Pricing'!D395="",""," – "&amp;'CC Item Pricing'!D395)</f>
        <v/>
      </c>
      <c r="C396" s="0" t="str">
        <f aca="false">INDEX(CC_UnitNames,'CC Item Pricing'!Y395)</f>
        <v>Unit 12</v>
      </c>
      <c r="D396" s="0" t="n">
        <f aca="false">N('CC Item Pricing'!G395)</f>
        <v>0</v>
      </c>
      <c r="E396" s="98" t="n">
        <f aca="false">'CC Item Pricing'!W395</f>
        <v>0</v>
      </c>
      <c r="F396" s="96" t="n">
        <f aca="false">IF(AND(G396=1,'CC Item Pricing'!B395=""),1,0)</f>
        <v>0</v>
      </c>
      <c r="G396" s="96" t="n">
        <f aca="false">IF(D396&gt;0,1,0)</f>
        <v>0</v>
      </c>
      <c r="H396" s="0" t="str">
        <f aca="false">IF(F396=1,COUNTIF($F$4:F396,1),"")</f>
        <v/>
      </c>
      <c r="I396" s="0" t="str">
        <f aca="false">IF(G396=1,COUNTIF($G$4:G396,1),"")</f>
        <v/>
      </c>
      <c r="R396" s="0" t="str">
        <f aca="false">IF(CC_Mode="Per equipment",IFERROR(INDEX($B$4:$B$403,MATCH(393,$I$4:$I$403,0)),""),IF(CC_Mode="Per loop",IFERROR(INDEX($B$4:$B$403,MATCH(393,$H$4:$H$403,0)),""),IF(CC_Mode="Per unit",IFERROR("Chemical cleaning – "&amp;INDEX($K$4:$K$15,MATCH(393,$N$4:$N$15,0)),""),IF(393=1,"LUMP SUM – "&amp;QProject,""))))</f>
        <v/>
      </c>
      <c r="S396" s="0" t="str">
        <f aca="false">IF(CC_Mode="Per equipment",IFERROR(INDEX($C$4:$C$403,MATCH(393,$I$4:$I$403,0)),""),IF(CC_Mode="Per loop",IFERROR(INDEX($C$4:$C$403,MATCH(393,$H$4:$H$403,0)),""),IF(CC_Mode="Per unit",IFERROR(INDEX($K$4:$K$15,MATCH(393,$N$4:$N$15,0)),""),IF(393=1,"All units",""))))</f>
        <v/>
      </c>
      <c r="T396" s="0" t="str">
        <f aca="false">IF(CC_Mode="Per equipment",IFERROR(INDEX($D$4:$D$403,MATCH(393,$I$4:$I$403,0)),""),IF(CC_Mode="Per loop",IFERROR(INDEX($D$4:$D$403,MATCH(393,$H$4:$H$403,0)),""),IF(CC_Mode="Per unit",IFERROR(INDEX($M$4:$M$15,MATCH(393,$N$4:$N$15,0)),""),IF(393=1,CC_V_GrandVol,""))))</f>
        <v/>
      </c>
      <c r="U396" s="0" t="str">
        <f aca="false">IF(CC_Mode="Per equipment",IFERROR(INDEX($E$4:$E$403,MATCH(393,$I$4:$I$403,0)),""),IF(CC_Mode="Per loop",IFERROR(INDEX($E$4:$E$403,MATCH(393,$H$4:$H$403,0)),""),IF(CC_Mode="Per unit",IFERROR(INDEX($L$4:$L$15,MATCH(393,$N$4:$N$15,0)),""),IF(393=1,CC_Net,""))))</f>
        <v/>
      </c>
    </row>
    <row r="397" customFormat="false" ht="15" hidden="false" customHeight="false" outlineLevel="0" collapsed="false">
      <c r="A397" s="0" t="s">
        <v>172</v>
      </c>
      <c r="B397" s="0" t="str">
        <f aca="false">'CC Item Pricing'!C396&amp;IF('CC Item Pricing'!D396="",""," – "&amp;'CC Item Pricing'!D396)</f>
        <v/>
      </c>
      <c r="C397" s="0" t="str">
        <f aca="false">INDEX(CC_UnitNames,'CC Item Pricing'!Y396)</f>
        <v>Unit 12</v>
      </c>
      <c r="D397" s="0" t="n">
        <f aca="false">N('CC Item Pricing'!G396)</f>
        <v>0</v>
      </c>
      <c r="E397" s="98" t="n">
        <f aca="false">'CC Item Pricing'!W396</f>
        <v>0</v>
      </c>
      <c r="F397" s="96" t="n">
        <f aca="false">IF(AND(G397=1,'CC Item Pricing'!B396=""),1,0)</f>
        <v>0</v>
      </c>
      <c r="G397" s="96" t="n">
        <f aca="false">IF(D397&gt;0,1,0)</f>
        <v>0</v>
      </c>
      <c r="H397" s="0" t="str">
        <f aca="false">IF(F397=1,COUNTIF($F$4:F397,1),"")</f>
        <v/>
      </c>
      <c r="I397" s="0" t="str">
        <f aca="false">IF(G397=1,COUNTIF($G$4:G397,1),"")</f>
        <v/>
      </c>
      <c r="R397" s="0" t="str">
        <f aca="false">IF(CC_Mode="Per equipment",IFERROR(INDEX($B$4:$B$403,MATCH(394,$I$4:$I$403,0)),""),IF(CC_Mode="Per loop",IFERROR(INDEX($B$4:$B$403,MATCH(394,$H$4:$H$403,0)),""),IF(CC_Mode="Per unit",IFERROR("Chemical cleaning – "&amp;INDEX($K$4:$K$15,MATCH(394,$N$4:$N$15,0)),""),IF(394=1,"LUMP SUM – "&amp;QProject,""))))</f>
        <v/>
      </c>
      <c r="S397" s="0" t="str">
        <f aca="false">IF(CC_Mode="Per equipment",IFERROR(INDEX($C$4:$C$403,MATCH(394,$I$4:$I$403,0)),""),IF(CC_Mode="Per loop",IFERROR(INDEX($C$4:$C$403,MATCH(394,$H$4:$H$403,0)),""),IF(CC_Mode="Per unit",IFERROR(INDEX($K$4:$K$15,MATCH(394,$N$4:$N$15,0)),""),IF(394=1,"All units",""))))</f>
        <v/>
      </c>
      <c r="T397" s="0" t="str">
        <f aca="false">IF(CC_Mode="Per equipment",IFERROR(INDEX($D$4:$D$403,MATCH(394,$I$4:$I$403,0)),""),IF(CC_Mode="Per loop",IFERROR(INDEX($D$4:$D$403,MATCH(394,$H$4:$H$403,0)),""),IF(CC_Mode="Per unit",IFERROR(INDEX($M$4:$M$15,MATCH(394,$N$4:$N$15,0)),""),IF(394=1,CC_V_GrandVol,""))))</f>
        <v/>
      </c>
      <c r="U397" s="0" t="str">
        <f aca="false">IF(CC_Mode="Per equipment",IFERROR(INDEX($E$4:$E$403,MATCH(394,$I$4:$I$403,0)),""),IF(CC_Mode="Per loop",IFERROR(INDEX($E$4:$E$403,MATCH(394,$H$4:$H$403,0)),""),IF(CC_Mode="Per unit",IFERROR(INDEX($L$4:$L$15,MATCH(394,$N$4:$N$15,0)),""),IF(394=1,CC_Net,""))))</f>
        <v/>
      </c>
    </row>
    <row r="398" customFormat="false" ht="15" hidden="false" customHeight="false" outlineLevel="0" collapsed="false">
      <c r="A398" s="0" t="s">
        <v>172</v>
      </c>
      <c r="B398" s="0" t="str">
        <f aca="false">'CC Item Pricing'!C397&amp;IF('CC Item Pricing'!D397="",""," – "&amp;'CC Item Pricing'!D397)</f>
        <v/>
      </c>
      <c r="C398" s="0" t="str">
        <f aca="false">INDEX(CC_UnitNames,'CC Item Pricing'!Y397)</f>
        <v>Unit 12</v>
      </c>
      <c r="D398" s="0" t="n">
        <f aca="false">N('CC Item Pricing'!G397)</f>
        <v>0</v>
      </c>
      <c r="E398" s="98" t="n">
        <f aca="false">'CC Item Pricing'!W397</f>
        <v>0</v>
      </c>
      <c r="F398" s="96" t="n">
        <f aca="false">IF(AND(G398=1,'CC Item Pricing'!B397=""),1,0)</f>
        <v>0</v>
      </c>
      <c r="G398" s="96" t="n">
        <f aca="false">IF(D398&gt;0,1,0)</f>
        <v>0</v>
      </c>
      <c r="H398" s="0" t="str">
        <f aca="false">IF(F398=1,COUNTIF($F$4:F398,1),"")</f>
        <v/>
      </c>
      <c r="I398" s="0" t="str">
        <f aca="false">IF(G398=1,COUNTIF($G$4:G398,1),"")</f>
        <v/>
      </c>
      <c r="R398" s="0" t="str">
        <f aca="false">IF(CC_Mode="Per equipment",IFERROR(INDEX($B$4:$B$403,MATCH(395,$I$4:$I$403,0)),""),IF(CC_Mode="Per loop",IFERROR(INDEX($B$4:$B$403,MATCH(395,$H$4:$H$403,0)),""),IF(CC_Mode="Per unit",IFERROR("Chemical cleaning – "&amp;INDEX($K$4:$K$15,MATCH(395,$N$4:$N$15,0)),""),IF(395=1,"LUMP SUM – "&amp;QProject,""))))</f>
        <v/>
      </c>
      <c r="S398" s="0" t="str">
        <f aca="false">IF(CC_Mode="Per equipment",IFERROR(INDEX($C$4:$C$403,MATCH(395,$I$4:$I$403,0)),""),IF(CC_Mode="Per loop",IFERROR(INDEX($C$4:$C$403,MATCH(395,$H$4:$H$403,0)),""),IF(CC_Mode="Per unit",IFERROR(INDEX($K$4:$K$15,MATCH(395,$N$4:$N$15,0)),""),IF(395=1,"All units",""))))</f>
        <v/>
      </c>
      <c r="T398" s="0" t="str">
        <f aca="false">IF(CC_Mode="Per equipment",IFERROR(INDEX($D$4:$D$403,MATCH(395,$I$4:$I$403,0)),""),IF(CC_Mode="Per loop",IFERROR(INDEX($D$4:$D$403,MATCH(395,$H$4:$H$403,0)),""),IF(CC_Mode="Per unit",IFERROR(INDEX($M$4:$M$15,MATCH(395,$N$4:$N$15,0)),""),IF(395=1,CC_V_GrandVol,""))))</f>
        <v/>
      </c>
      <c r="U398" s="0" t="str">
        <f aca="false">IF(CC_Mode="Per equipment",IFERROR(INDEX($E$4:$E$403,MATCH(395,$I$4:$I$403,0)),""),IF(CC_Mode="Per loop",IFERROR(INDEX($E$4:$E$403,MATCH(395,$H$4:$H$403,0)),""),IF(CC_Mode="Per unit",IFERROR(INDEX($L$4:$L$15,MATCH(395,$N$4:$N$15,0)),""),IF(395=1,CC_Net,""))))</f>
        <v/>
      </c>
    </row>
    <row r="399" customFormat="false" ht="15" hidden="false" customHeight="false" outlineLevel="0" collapsed="false">
      <c r="A399" s="0" t="s">
        <v>172</v>
      </c>
      <c r="B399" s="0" t="str">
        <f aca="false">'CC Item Pricing'!C398&amp;IF('CC Item Pricing'!D398="",""," – "&amp;'CC Item Pricing'!D398)</f>
        <v/>
      </c>
      <c r="C399" s="0" t="str">
        <f aca="false">INDEX(CC_UnitNames,'CC Item Pricing'!Y398)</f>
        <v>Unit 12</v>
      </c>
      <c r="D399" s="0" t="n">
        <f aca="false">N('CC Item Pricing'!G398)</f>
        <v>0</v>
      </c>
      <c r="E399" s="98" t="n">
        <f aca="false">'CC Item Pricing'!W398</f>
        <v>0</v>
      </c>
      <c r="F399" s="96" t="n">
        <f aca="false">IF(AND(G399=1,'CC Item Pricing'!B398=""),1,0)</f>
        <v>0</v>
      </c>
      <c r="G399" s="96" t="n">
        <f aca="false">IF(D399&gt;0,1,0)</f>
        <v>0</v>
      </c>
      <c r="H399" s="0" t="str">
        <f aca="false">IF(F399=1,COUNTIF($F$4:F399,1),"")</f>
        <v/>
      </c>
      <c r="I399" s="0" t="str">
        <f aca="false">IF(G399=1,COUNTIF($G$4:G399,1),"")</f>
        <v/>
      </c>
      <c r="R399" s="0" t="str">
        <f aca="false">IF(CC_Mode="Per equipment",IFERROR(INDEX($B$4:$B$403,MATCH(396,$I$4:$I$403,0)),""),IF(CC_Mode="Per loop",IFERROR(INDEX($B$4:$B$403,MATCH(396,$H$4:$H$403,0)),""),IF(CC_Mode="Per unit",IFERROR("Chemical cleaning – "&amp;INDEX($K$4:$K$15,MATCH(396,$N$4:$N$15,0)),""),IF(396=1,"LUMP SUM – "&amp;QProject,""))))</f>
        <v/>
      </c>
      <c r="S399" s="0" t="str">
        <f aca="false">IF(CC_Mode="Per equipment",IFERROR(INDEX($C$4:$C$403,MATCH(396,$I$4:$I$403,0)),""),IF(CC_Mode="Per loop",IFERROR(INDEX($C$4:$C$403,MATCH(396,$H$4:$H$403,0)),""),IF(CC_Mode="Per unit",IFERROR(INDEX($K$4:$K$15,MATCH(396,$N$4:$N$15,0)),""),IF(396=1,"All units",""))))</f>
        <v/>
      </c>
      <c r="T399" s="0" t="str">
        <f aca="false">IF(CC_Mode="Per equipment",IFERROR(INDEX($D$4:$D$403,MATCH(396,$I$4:$I$403,0)),""),IF(CC_Mode="Per loop",IFERROR(INDEX($D$4:$D$403,MATCH(396,$H$4:$H$403,0)),""),IF(CC_Mode="Per unit",IFERROR(INDEX($M$4:$M$15,MATCH(396,$N$4:$N$15,0)),""),IF(396=1,CC_V_GrandVol,""))))</f>
        <v/>
      </c>
      <c r="U399" s="0" t="str">
        <f aca="false">IF(CC_Mode="Per equipment",IFERROR(INDEX($E$4:$E$403,MATCH(396,$I$4:$I$403,0)),""),IF(CC_Mode="Per loop",IFERROR(INDEX($E$4:$E$403,MATCH(396,$H$4:$H$403,0)),""),IF(CC_Mode="Per unit",IFERROR(INDEX($L$4:$L$15,MATCH(396,$N$4:$N$15,0)),""),IF(396=1,CC_Net,""))))</f>
        <v/>
      </c>
    </row>
    <row r="400" customFormat="false" ht="15" hidden="false" customHeight="false" outlineLevel="0" collapsed="false">
      <c r="A400" s="0" t="s">
        <v>172</v>
      </c>
      <c r="B400" s="0" t="str">
        <f aca="false">'CC Item Pricing'!C399&amp;IF('CC Item Pricing'!D399="",""," – "&amp;'CC Item Pricing'!D399)</f>
        <v/>
      </c>
      <c r="C400" s="0" t="str">
        <f aca="false">INDEX(CC_UnitNames,'CC Item Pricing'!Y399)</f>
        <v>Unit 12</v>
      </c>
      <c r="D400" s="0" t="n">
        <f aca="false">N('CC Item Pricing'!G399)</f>
        <v>0</v>
      </c>
      <c r="E400" s="98" t="n">
        <f aca="false">'CC Item Pricing'!W399</f>
        <v>0</v>
      </c>
      <c r="F400" s="96" t="n">
        <f aca="false">IF(AND(G400=1,'CC Item Pricing'!B399=""),1,0)</f>
        <v>0</v>
      </c>
      <c r="G400" s="96" t="n">
        <f aca="false">IF(D400&gt;0,1,0)</f>
        <v>0</v>
      </c>
      <c r="H400" s="0" t="str">
        <f aca="false">IF(F400=1,COUNTIF($F$4:F400,1),"")</f>
        <v/>
      </c>
      <c r="I400" s="0" t="str">
        <f aca="false">IF(G400=1,COUNTIF($G$4:G400,1),"")</f>
        <v/>
      </c>
      <c r="R400" s="0" t="str">
        <f aca="false">IF(CC_Mode="Per equipment",IFERROR(INDEX($B$4:$B$403,MATCH(397,$I$4:$I$403,0)),""),IF(CC_Mode="Per loop",IFERROR(INDEX($B$4:$B$403,MATCH(397,$H$4:$H$403,0)),""),IF(CC_Mode="Per unit",IFERROR("Chemical cleaning – "&amp;INDEX($K$4:$K$15,MATCH(397,$N$4:$N$15,0)),""),IF(397=1,"LUMP SUM – "&amp;QProject,""))))</f>
        <v/>
      </c>
      <c r="S400" s="0" t="str">
        <f aca="false">IF(CC_Mode="Per equipment",IFERROR(INDEX($C$4:$C$403,MATCH(397,$I$4:$I$403,0)),""),IF(CC_Mode="Per loop",IFERROR(INDEX($C$4:$C$403,MATCH(397,$H$4:$H$403,0)),""),IF(CC_Mode="Per unit",IFERROR(INDEX($K$4:$K$15,MATCH(397,$N$4:$N$15,0)),""),IF(397=1,"All units",""))))</f>
        <v/>
      </c>
      <c r="T400" s="0" t="str">
        <f aca="false">IF(CC_Mode="Per equipment",IFERROR(INDEX($D$4:$D$403,MATCH(397,$I$4:$I$403,0)),""),IF(CC_Mode="Per loop",IFERROR(INDEX($D$4:$D$403,MATCH(397,$H$4:$H$403,0)),""),IF(CC_Mode="Per unit",IFERROR(INDEX($M$4:$M$15,MATCH(397,$N$4:$N$15,0)),""),IF(397=1,CC_V_GrandVol,""))))</f>
        <v/>
      </c>
      <c r="U400" s="0" t="str">
        <f aca="false">IF(CC_Mode="Per equipment",IFERROR(INDEX($E$4:$E$403,MATCH(397,$I$4:$I$403,0)),""),IF(CC_Mode="Per loop",IFERROR(INDEX($E$4:$E$403,MATCH(397,$H$4:$H$403,0)),""),IF(CC_Mode="Per unit",IFERROR(INDEX($L$4:$L$15,MATCH(397,$N$4:$N$15,0)),""),IF(397=1,CC_Net,""))))</f>
        <v/>
      </c>
    </row>
    <row r="401" customFormat="false" ht="15" hidden="false" customHeight="false" outlineLevel="0" collapsed="false">
      <c r="A401" s="0" t="s">
        <v>172</v>
      </c>
      <c r="B401" s="0" t="str">
        <f aca="false">'CC Item Pricing'!C400&amp;IF('CC Item Pricing'!D400="",""," – "&amp;'CC Item Pricing'!D400)</f>
        <v/>
      </c>
      <c r="C401" s="0" t="str">
        <f aca="false">INDEX(CC_UnitNames,'CC Item Pricing'!Y400)</f>
        <v>Unit 12</v>
      </c>
      <c r="D401" s="0" t="n">
        <f aca="false">N('CC Item Pricing'!G400)</f>
        <v>0</v>
      </c>
      <c r="E401" s="98" t="n">
        <f aca="false">'CC Item Pricing'!W400</f>
        <v>0</v>
      </c>
      <c r="F401" s="96" t="n">
        <f aca="false">IF(AND(G401=1,'CC Item Pricing'!B400=""),1,0)</f>
        <v>0</v>
      </c>
      <c r="G401" s="96" t="n">
        <f aca="false">IF(D401&gt;0,1,0)</f>
        <v>0</v>
      </c>
      <c r="H401" s="0" t="str">
        <f aca="false">IF(F401=1,COUNTIF($F$4:F401,1),"")</f>
        <v/>
      </c>
      <c r="I401" s="0" t="str">
        <f aca="false">IF(G401=1,COUNTIF($G$4:G401,1),"")</f>
        <v/>
      </c>
      <c r="R401" s="0" t="str">
        <f aca="false">IF(CC_Mode="Per equipment",IFERROR(INDEX($B$4:$B$403,MATCH(398,$I$4:$I$403,0)),""),IF(CC_Mode="Per loop",IFERROR(INDEX($B$4:$B$403,MATCH(398,$H$4:$H$403,0)),""),IF(CC_Mode="Per unit",IFERROR("Chemical cleaning – "&amp;INDEX($K$4:$K$15,MATCH(398,$N$4:$N$15,0)),""),IF(398=1,"LUMP SUM – "&amp;QProject,""))))</f>
        <v/>
      </c>
      <c r="S401" s="0" t="str">
        <f aca="false">IF(CC_Mode="Per equipment",IFERROR(INDEX($C$4:$C$403,MATCH(398,$I$4:$I$403,0)),""),IF(CC_Mode="Per loop",IFERROR(INDEX($C$4:$C$403,MATCH(398,$H$4:$H$403,0)),""),IF(CC_Mode="Per unit",IFERROR(INDEX($K$4:$K$15,MATCH(398,$N$4:$N$15,0)),""),IF(398=1,"All units",""))))</f>
        <v/>
      </c>
      <c r="T401" s="0" t="str">
        <f aca="false">IF(CC_Mode="Per equipment",IFERROR(INDEX($D$4:$D$403,MATCH(398,$I$4:$I$403,0)),""),IF(CC_Mode="Per loop",IFERROR(INDEX($D$4:$D$403,MATCH(398,$H$4:$H$403,0)),""),IF(CC_Mode="Per unit",IFERROR(INDEX($M$4:$M$15,MATCH(398,$N$4:$N$15,0)),""),IF(398=1,CC_V_GrandVol,""))))</f>
        <v/>
      </c>
      <c r="U401" s="0" t="str">
        <f aca="false">IF(CC_Mode="Per equipment",IFERROR(INDEX($E$4:$E$403,MATCH(398,$I$4:$I$403,0)),""),IF(CC_Mode="Per loop",IFERROR(INDEX($E$4:$E$403,MATCH(398,$H$4:$H$403,0)),""),IF(CC_Mode="Per unit",IFERROR(INDEX($L$4:$L$15,MATCH(398,$N$4:$N$15,0)),""),IF(398=1,CC_Net,""))))</f>
        <v/>
      </c>
    </row>
    <row r="402" customFormat="false" ht="15" hidden="false" customHeight="false" outlineLevel="0" collapsed="false">
      <c r="A402" s="0" t="s">
        <v>172</v>
      </c>
      <c r="B402" s="0" t="str">
        <f aca="false">'CC Item Pricing'!C401&amp;IF('CC Item Pricing'!D401="",""," – "&amp;'CC Item Pricing'!D401)</f>
        <v/>
      </c>
      <c r="C402" s="0" t="str">
        <f aca="false">INDEX(CC_UnitNames,'CC Item Pricing'!Y401)</f>
        <v>Unit 12</v>
      </c>
      <c r="D402" s="0" t="n">
        <f aca="false">N('CC Item Pricing'!G401)</f>
        <v>0</v>
      </c>
      <c r="E402" s="98" t="n">
        <f aca="false">'CC Item Pricing'!W401</f>
        <v>0</v>
      </c>
      <c r="F402" s="96" t="n">
        <f aca="false">IF(AND(G402=1,'CC Item Pricing'!B401=""),1,0)</f>
        <v>0</v>
      </c>
      <c r="G402" s="96" t="n">
        <f aca="false">IF(D402&gt;0,1,0)</f>
        <v>0</v>
      </c>
      <c r="H402" s="0" t="str">
        <f aca="false">IF(F402=1,COUNTIF($F$4:F402,1),"")</f>
        <v/>
      </c>
      <c r="I402" s="0" t="str">
        <f aca="false">IF(G402=1,COUNTIF($G$4:G402,1),"")</f>
        <v/>
      </c>
      <c r="R402" s="0" t="str">
        <f aca="false">IF(CC_Mode="Per equipment",IFERROR(INDEX($B$4:$B$403,MATCH(399,$I$4:$I$403,0)),""),IF(CC_Mode="Per loop",IFERROR(INDEX($B$4:$B$403,MATCH(399,$H$4:$H$403,0)),""),IF(CC_Mode="Per unit",IFERROR("Chemical cleaning – "&amp;INDEX($K$4:$K$15,MATCH(399,$N$4:$N$15,0)),""),IF(399=1,"LUMP SUM – "&amp;QProject,""))))</f>
        <v/>
      </c>
      <c r="S402" s="0" t="str">
        <f aca="false">IF(CC_Mode="Per equipment",IFERROR(INDEX($C$4:$C$403,MATCH(399,$I$4:$I$403,0)),""),IF(CC_Mode="Per loop",IFERROR(INDEX($C$4:$C$403,MATCH(399,$H$4:$H$403,0)),""),IF(CC_Mode="Per unit",IFERROR(INDEX($K$4:$K$15,MATCH(399,$N$4:$N$15,0)),""),IF(399=1,"All units",""))))</f>
        <v/>
      </c>
      <c r="T402" s="0" t="str">
        <f aca="false">IF(CC_Mode="Per equipment",IFERROR(INDEX($D$4:$D$403,MATCH(399,$I$4:$I$403,0)),""),IF(CC_Mode="Per loop",IFERROR(INDEX($D$4:$D$403,MATCH(399,$H$4:$H$403,0)),""),IF(CC_Mode="Per unit",IFERROR(INDEX($M$4:$M$15,MATCH(399,$N$4:$N$15,0)),""),IF(399=1,CC_V_GrandVol,""))))</f>
        <v/>
      </c>
      <c r="U402" s="0" t="str">
        <f aca="false">IF(CC_Mode="Per equipment",IFERROR(INDEX($E$4:$E$403,MATCH(399,$I$4:$I$403,0)),""),IF(CC_Mode="Per loop",IFERROR(INDEX($E$4:$E$403,MATCH(399,$H$4:$H$403,0)),""),IF(CC_Mode="Per unit",IFERROR(INDEX($L$4:$L$15,MATCH(399,$N$4:$N$15,0)),""),IF(399=1,CC_Net,""))))</f>
        <v/>
      </c>
    </row>
    <row r="403" customFormat="false" ht="15" hidden="false" customHeight="false" outlineLevel="0" collapsed="false">
      <c r="A403" s="0" t="s">
        <v>172</v>
      </c>
      <c r="B403" s="0" t="str">
        <f aca="false">'CC Item Pricing'!C402&amp;IF('CC Item Pricing'!D402="",""," – "&amp;'CC Item Pricing'!D402)</f>
        <v/>
      </c>
      <c r="C403" s="0" t="str">
        <f aca="false">INDEX(CC_UnitNames,'CC Item Pricing'!Y402)</f>
        <v>Unit 12</v>
      </c>
      <c r="D403" s="0" t="n">
        <f aca="false">N('CC Item Pricing'!G402)</f>
        <v>0</v>
      </c>
      <c r="E403" s="98" t="n">
        <f aca="false">'CC Item Pricing'!W402</f>
        <v>0</v>
      </c>
      <c r="F403" s="96" t="n">
        <f aca="false">IF(AND(G403=1,'CC Item Pricing'!B402=""),1,0)</f>
        <v>0</v>
      </c>
      <c r="G403" s="96" t="n">
        <f aca="false">IF(D403&gt;0,1,0)</f>
        <v>0</v>
      </c>
      <c r="H403" s="0" t="str">
        <f aca="false">IF(F403=1,COUNTIF($F$4:F403,1),"")</f>
        <v/>
      </c>
      <c r="I403" s="0" t="str">
        <f aca="false">IF(G403=1,COUNTIF($G$4:G403,1),"")</f>
        <v/>
      </c>
      <c r="R403" s="0" t="str">
        <f aca="false">IF(CC_Mode="Per equipment",IFERROR(INDEX($B$4:$B$403,MATCH(400,$I$4:$I$403,0)),""),IF(CC_Mode="Per loop",IFERROR(INDEX($B$4:$B$403,MATCH(400,$H$4:$H$403,0)),""),IF(CC_Mode="Per unit",IFERROR("Chemical cleaning – "&amp;INDEX($K$4:$K$15,MATCH(400,$N$4:$N$15,0)),""),IF(400=1,"LUMP SUM – "&amp;QProject,""))))</f>
        <v/>
      </c>
      <c r="S403" s="0" t="str">
        <f aca="false">IF(CC_Mode="Per equipment",IFERROR(INDEX($C$4:$C$403,MATCH(400,$I$4:$I$403,0)),""),IF(CC_Mode="Per loop",IFERROR(INDEX($C$4:$C$403,MATCH(400,$H$4:$H$403,0)),""),IF(CC_Mode="Per unit",IFERROR(INDEX($K$4:$K$15,MATCH(400,$N$4:$N$15,0)),""),IF(400=1,"All units",""))))</f>
        <v/>
      </c>
      <c r="T403" s="0" t="str">
        <f aca="false">IF(CC_Mode="Per equipment",IFERROR(INDEX($D$4:$D$403,MATCH(400,$I$4:$I$403,0)),""),IF(CC_Mode="Per loop",IFERROR(INDEX($D$4:$D$403,MATCH(400,$H$4:$H$403,0)),""),IF(CC_Mode="Per unit",IFERROR(INDEX($M$4:$M$15,MATCH(400,$N$4:$N$15,0)),""),IF(400=1,CC_V_GrandVol,""))))</f>
        <v/>
      </c>
      <c r="U403" s="0" t="str">
        <f aca="false">IF(CC_Mode="Per equipment",IFERROR(INDEX($E$4:$E$403,MATCH(400,$I$4:$I$403,0)),""),IF(CC_Mode="Per loop",IFERROR(INDEX($E$4:$E$403,MATCH(400,$H$4:$H$403,0)),""),IF(CC_Mode="Per unit",IFERROR(INDEX($L$4:$L$15,MATCH(400,$N$4:$N$15,0)),""),IF(400=1,CC_Net,""))))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2026-10-05T10:44:49Z</dcterms:created>
  <dc:creator>openpyxl</dc:creator>
  <dc:description/>
  <dc:language>en-US</dc:language>
  <cp:lastModifiedBy/>
  <dcterms:modified xsi:type="dcterms:W3CDTF">2026-10-05T10:45:06Z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
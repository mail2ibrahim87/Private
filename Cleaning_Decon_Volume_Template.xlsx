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ettings" sheetId="1" state="visible" r:id="rId3"/>
    <sheet name="Volume Calculation" sheetId="2" state="visible" r:id="rId4"/>
    <sheet name="Summary" sheetId="3" state="visible" r:id="rId5"/>
    <sheet name="Chemicals" sheetId="4" state="visible" r:id="rId6"/>
    <sheet name="Lookup" sheetId="5" state="hidden" r:id="rId7"/>
  </sheets>
  <definedNames>
    <definedName function="false" hidden="false" localSheetId="1" name="_xlnm.Print_Area" vbProcedure="false">'Volume Calculation'!$A$1:$AO$405</definedName>
    <definedName function="false" hidden="false" localSheetId="1" name="_xlnm.Print_Titles" vbProcedure="false">'Volume Calculation'!$5:$7</definedName>
    <definedName function="false" hidden="false" name="BasisU" vbProcedure="false">Lookup!$P$4:$P$6</definedName>
    <definedName function="false" hidden="false" name="Client" vbProcedure="false">Settings!$C$5</definedName>
    <definedName function="false" hidden="false" name="DefAllow" vbProcedure="false">Settings!$C$16</definedName>
    <definedName function="false" hidden="false" name="DefCirc" vbProcedure="false">Settings!$C$14</definedName>
    <definedName function="false" hidden="false" name="DefFills" vbProcedure="false">Settings!$C$15</definedName>
    <definedName function="false" hidden="false" name="HeadK" vbProcedure="false">Lookup!$K$4:$K$9</definedName>
    <definedName function="false" hidden="false" name="HeadU" vbProcedure="false">Lookup!$J$4:$J$9</definedName>
    <definedName function="false" hidden="false" name="JobType" vbProcedure="false">Settings!$C$9</definedName>
    <definedName function="false" hidden="false" name="JobU" vbProcedure="false">Lookup!$T$4:$T$5</definedName>
    <definedName function="false" hidden="false" name="LayoutF" vbProcedure="false">Lookup!$N$4:$N$7</definedName>
    <definedName function="false" hidden="false" name="LayoutU" vbProcedure="false">Lookup!$M$4:$M$7</definedName>
    <definedName function="false" hidden="false" name="LenF" vbProcedure="false">Lookup!$B$4:$B$8</definedName>
    <definedName function="false" hidden="false" name="LenU" vbProcedure="false">Lookup!$A$4:$A$8</definedName>
    <definedName function="false" hidden="false" name="LoopD" vbProcedure="false">Settings!$C$51:$C$90</definedName>
    <definedName function="false" hidden="false" name="LoopU" vbProcedure="false">Settings!$B$51:$B$90</definedName>
    <definedName function="false" hidden="false" name="NPSU" vbProcedure="false">Lookup!$A$16:$A$36</definedName>
    <definedName function="false" hidden="false" name="PipeOD" vbProcedure="false">Lookup!$B$16:$B$36</definedName>
    <definedName function="false" hidden="false" name="PipeWT" vbProcedure="false">Lookup!$C$16:$S$36</definedName>
    <definedName function="false" hidden="false" name="PitchRatio" vbProcedure="false">Settings!$C$13</definedName>
    <definedName function="false" hidden="false" name="Plant" vbProcedure="false">Settings!$C$6</definedName>
    <definedName function="false" hidden="false" name="ProjNo" vbProcedure="false">Settings!$C$7</definedName>
    <definedName function="false" hidden="false" name="RegCost" vbProcedure="false">Chemicals!$F$5:$F$8</definedName>
    <definedName function="false" hidden="false" name="RegRate" vbProcedure="false">Chemicals!$G$5:$G$8</definedName>
    <definedName function="false" hidden="false" name="RegTons" vbProcedure="false">Chemicals!$E$5:$E$8</definedName>
    <definedName function="false" hidden="false" name="RegU" vbProcedure="false">Settings!$C$44:$C$47</definedName>
    <definedName function="false" hidden="false" name="SchU" vbProcedure="false">Lookup!$C$15:$S$15</definedName>
    <definedName function="false" hidden="false" name="TypeFillCC" vbProcedure="false">Settings!$C$20:$C$26</definedName>
    <definedName function="false" hidden="false" name="TypeFillDC" vbProcedure="false">Settings!$D$20:$D$26</definedName>
    <definedName function="false" hidden="false" name="TypeL" vbProcedure="false">Settings!$B$20:$B$26</definedName>
    <definedName function="false" hidden="false" name="TypeU" vbProcedure="false">Lookup!$R$4:$R$10</definedName>
    <definedName function="false" hidden="false" name="UnitNames" vbProcedure="false">Settings!$C$30:$C$41</definedName>
    <definedName function="false" hidden="false" name="VolF" vbProcedure="false">Lookup!$E$4:$E$9</definedName>
    <definedName function="false" hidden="false" name="VolU" vbProcedure="false">Lookup!$D$4:$D$9</definedName>
    <definedName function="false" hidden="false" name="V_loop" vbProcedure="false">'Volume Calculation'!$B$9:$B$405</definedName>
    <definedName function="false" hidden="false" name="V_reg" vbProcedure="false">'Volume Calculation'!$F$9:$F$405</definedName>
    <definedName function="false" hidden="false" name="V_sol" vbProcedure="false">'Volume Calculation'!$AO$9:$AO$405</definedName>
    <definedName function="false" hidden="false" name="V_tag" vbProcedure="false">'Volume Calculation'!$C$9:$C$405</definedName>
    <definedName function="false" hidden="false" name="V_type" vbProcedure="false">'Volume Calculation'!$E$9:$E$405</definedName>
    <definedName function="false" hidden="false" name="V_vol" vbProcedure="false">'Volume Calculation'!$AN$9:$AN$405</definedName>
    <definedName function="false" hidden="false" name="V_waste" vbProcedure="false">'Volume Calculation'!$AM$9:$AM$405</definedName>
    <definedName function="false" hidden="false" name="V_x_unit" vbProcedure="false">'Volume Calculation'!$AU$9:$AU$405</definedName>
    <definedName function="false" hidden="false" name="WaterRho" vbProcedure="false">Settings!$C$12</definedName>
    <definedName function="false" hidden="false" name="WtF" vbProcedure="false">Lookup!$H$4:$H$6</definedName>
    <definedName function="false" hidden="false" name="WtU" vbProcedure="false">Lookup!$G$4:$G$6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<sst xmlns="http://schemas.openxmlformats.org/spreadsheetml/2006/main" count="454" uniqueCount="301">
  <si>
    <t xml:space="preserve">VOLUME SETTINGS</t>
  </si>
  <si>
    <t xml:space="preserve">Yellow = input. Unit names, loop names and regime names feed the drop-down lists on the volume sheet.</t>
  </si>
  <si>
    <t xml:space="preserve">PROJECT</t>
  </si>
  <si>
    <t xml:space="preserve">Client</t>
  </si>
  <si>
    <t xml:space="preserve">Plant / Project</t>
  </si>
  <si>
    <t xml:space="preserve">Proposal No.</t>
  </si>
  <si>
    <t xml:space="preserve">Job type</t>
  </si>
  <si>
    <t xml:space="preserve">Chemical Cleaning</t>
  </si>
  <si>
    <t xml:space="preserve">GENERAL</t>
  </si>
  <si>
    <t xml:space="preserve">Water density (water weight → volume)</t>
  </si>
  <si>
    <t xml:space="preserve">kg/m³</t>
  </si>
  <si>
    <t xml:space="preserve">Tube pitch ratio (pitch ÷ OD)</t>
  </si>
  <si>
    <t xml:space="preserve">–</t>
  </si>
  <si>
    <t xml:space="preserve">Default circulation / solution allowance</t>
  </si>
  <si>
    <t xml:space="preserve">× fill volume</t>
  </si>
  <si>
    <t xml:space="preserve">Solution = equipment volume × fill % × circulation (ASAB: 115%)</t>
  </si>
  <si>
    <t xml:space="preserve">Default no. of fills (for waste volume)</t>
  </si>
  <si>
    <t xml:space="preserve">fills</t>
  </si>
  <si>
    <t xml:space="preserve">Default waste allowance</t>
  </si>
  <si>
    <t xml:space="preserve">on top of fills</t>
  </si>
  <si>
    <t xml:space="preserve">Waste = solution × fills × (1 + allowance)  (ASAB: 5 fills + 25%)</t>
  </si>
  <si>
    <t xml:space="preserve">DEFAULT FILL % BY EQUIPMENT TYPE  (used when the Fill % cell on a row is blank)</t>
  </si>
  <si>
    <t xml:space="preserve">Equipment type</t>
  </si>
  <si>
    <t xml:space="preserve">Chemical cleaning</t>
  </si>
  <si>
    <t xml:space="preserve">Decontamination</t>
  </si>
  <si>
    <t xml:space="preserve">Method note</t>
  </si>
  <si>
    <t xml:space="preserve">Exchanger</t>
  </si>
  <si>
    <t xml:space="preserve">CC full volume · Decon vapour phase</t>
  </si>
  <si>
    <t xml:space="preserve">Piping</t>
  </si>
  <si>
    <t xml:space="preserve">Column</t>
  </si>
  <si>
    <t xml:space="preserve">CC 20% + gamma jet · Decon vapour phase (complete volume)</t>
  </si>
  <si>
    <t xml:space="preserve">Vessel – Vertical</t>
  </si>
  <si>
    <t xml:space="preserve">CC 20% + gamma jet · Decon boil-out 30%</t>
  </si>
  <si>
    <t xml:space="preserve">Vessel – Horizontal</t>
  </si>
  <si>
    <t xml:space="preserve">Tank</t>
  </si>
  <si>
    <t xml:space="preserve">CC 20% + gamma jet · Decon gamma-jet circulation (TO CONFIRM)</t>
  </si>
  <si>
    <t xml:space="preserve">Filter / Other</t>
  </si>
  <si>
    <t xml:space="preserve">ASAB R2 used 15% fill for vessels with gamma jetting – set per project.</t>
  </si>
  <si>
    <t xml:space="preserve">UNITS / TRAINS  (up to 12)</t>
  </si>
  <si>
    <t xml:space="preserve">Unit 1 name</t>
  </si>
  <si>
    <t xml:space="preserve">Unit 1</t>
  </si>
  <si>
    <t xml:space="preserve">Unit 2 name</t>
  </si>
  <si>
    <t xml:space="preserve">Unit 2</t>
  </si>
  <si>
    <t xml:space="preserve">Unit 3 name</t>
  </si>
  <si>
    <t xml:space="preserve">Unit 3</t>
  </si>
  <si>
    <t xml:space="preserve">Unit 4 name</t>
  </si>
  <si>
    <t xml:space="preserve">Unit 4</t>
  </si>
  <si>
    <t xml:space="preserve">Unit 5 name</t>
  </si>
  <si>
    <t xml:space="preserve">Unit 5</t>
  </si>
  <si>
    <t xml:space="preserve">Unit 6 name</t>
  </si>
  <si>
    <t xml:space="preserve">Unit 6</t>
  </si>
  <si>
    <t xml:space="preserve">Unit 7 name</t>
  </si>
  <si>
    <t xml:space="preserve">Unit 7</t>
  </si>
  <si>
    <t xml:space="preserve">Unit 8 name</t>
  </si>
  <si>
    <t xml:space="preserve">Unit 8</t>
  </si>
  <si>
    <t xml:space="preserve">Unit 9 name</t>
  </si>
  <si>
    <t xml:space="preserve">Unit 9</t>
  </si>
  <si>
    <t xml:space="preserve">Unit 10 name</t>
  </si>
  <si>
    <t xml:space="preserve">Unit 10</t>
  </si>
  <si>
    <t xml:space="preserve">Unit 11 name</t>
  </si>
  <si>
    <t xml:space="preserve">Unit 11</t>
  </si>
  <si>
    <t xml:space="preserve">Unit 12 name</t>
  </si>
  <si>
    <t xml:space="preserve">Unit 12</t>
  </si>
  <si>
    <t xml:space="preserve">CHEMICAL REGIMES  (up to 4; concentrations on the chemicals sheet)</t>
  </si>
  <si>
    <t xml:space="preserve">Regime 1 name</t>
  </si>
  <si>
    <t xml:space="preserve">SS</t>
  </si>
  <si>
    <t xml:space="preserve">Regime 2 name</t>
  </si>
  <si>
    <t xml:space="preserve">CS</t>
  </si>
  <si>
    <t xml:space="preserve">Regime 3 name</t>
  </si>
  <si>
    <t xml:space="preserve">Regime 3</t>
  </si>
  <si>
    <t xml:space="preserve">Regime 4 name</t>
  </si>
  <si>
    <t xml:space="preserve">Regime 4</t>
  </si>
  <si>
    <t xml:space="preserve">LOOPS  (up to 40 – rename freely, e.g. ML-1, MV-1)</t>
  </si>
  <si>
    <t xml:space="preserve">Loop name (drop-down)</t>
  </si>
  <si>
    <t xml:space="preserve">Loop description</t>
  </si>
  <si>
    <t xml:space="preserve">Loop 1</t>
  </si>
  <si>
    <t xml:space="preserve">Loop 2</t>
  </si>
  <si>
    <t xml:space="preserve">Loop 3</t>
  </si>
  <si>
    <t xml:space="preserve">Loop 4</t>
  </si>
  <si>
    <t xml:space="preserve">Loop 5</t>
  </si>
  <si>
    <t xml:space="preserve">Loop 6</t>
  </si>
  <si>
    <t xml:space="preserve">Loop 7</t>
  </si>
  <si>
    <t xml:space="preserve">Loop 8</t>
  </si>
  <si>
    <t xml:space="preserve">Loop 9</t>
  </si>
  <si>
    <t xml:space="preserve">Loop 10</t>
  </si>
  <si>
    <t xml:space="preserve">Loop 11</t>
  </si>
  <si>
    <t xml:space="preserve">Loop 12</t>
  </si>
  <si>
    <t xml:space="preserve">Loop 13</t>
  </si>
  <si>
    <t xml:space="preserve">Loop 14</t>
  </si>
  <si>
    <t xml:space="preserve">Loop 15</t>
  </si>
  <si>
    <t xml:space="preserve">Loop 16</t>
  </si>
  <si>
    <t xml:space="preserve">Loop 17</t>
  </si>
  <si>
    <t xml:space="preserve">Loop 18</t>
  </si>
  <si>
    <t xml:space="preserve">Loop 19</t>
  </si>
  <si>
    <t xml:space="preserve">Loop 20</t>
  </si>
  <si>
    <t xml:space="preserve">Loop 21</t>
  </si>
  <si>
    <t xml:space="preserve">Loop 22</t>
  </si>
  <si>
    <t xml:space="preserve">Loop 23</t>
  </si>
  <si>
    <t xml:space="preserve">Loop 24</t>
  </si>
  <si>
    <t xml:space="preserve">Loop 25</t>
  </si>
  <si>
    <t xml:space="preserve">Loop 26</t>
  </si>
  <si>
    <t xml:space="preserve">Loop 27</t>
  </si>
  <si>
    <t xml:space="preserve">Loop 28</t>
  </si>
  <si>
    <t xml:space="preserve">Loop 29</t>
  </si>
  <si>
    <t xml:space="preserve">Loop 30</t>
  </si>
  <si>
    <t xml:space="preserve">Loop 31</t>
  </si>
  <si>
    <t xml:space="preserve">Loop 32</t>
  </si>
  <si>
    <t xml:space="preserve">Loop 33</t>
  </si>
  <si>
    <t xml:space="preserve">Loop 34</t>
  </si>
  <si>
    <t xml:space="preserve">Loop 35</t>
  </si>
  <si>
    <t xml:space="preserve">Loop 36</t>
  </si>
  <si>
    <t xml:space="preserve">Loop 37</t>
  </si>
  <si>
    <t xml:space="preserve">Loop 38</t>
  </si>
  <si>
    <t xml:space="preserve">Loop 39</t>
  </si>
  <si>
    <t xml:space="preserve">Loop 40</t>
  </si>
  <si>
    <t xml:space="preserve">VOLUME CALCULATION – one row per equipment, units stacked</t>
  </si>
  <si>
    <t xml:space="preserve">Yellow = input (only the columns that apply to the equipment type). Units of each dimension column are chosen in row 7. Factors left blank use the defaults on the settings sheet. Volumes in m³.</t>
  </si>
  <si>
    <t xml:space="preserve">ITEM</t>
  </si>
  <si>
    <t xml:space="preserve">PIPING</t>
  </si>
  <si>
    <t xml:space="preserve">SHELL / VESSEL</t>
  </si>
  <si>
    <t xml:space="preserve">TUBES (exchangers)</t>
  </si>
  <si>
    <t xml:space="preserve">CHANNELS / BONNETS</t>
  </si>
  <si>
    <t xml:space="preserve">CALCULATED (m³)</t>
  </si>
  <si>
    <t xml:space="preserve">FACTORS  (blank = default)</t>
  </si>
  <si>
    <t xml:space="preserve">RESULT (m³)</t>
  </si>
  <si>
    <t xml:space="preserve">#</t>
  </si>
  <si>
    <t xml:space="preserve">Loop</t>
  </si>
  <si>
    <t xml:space="preserve">Tag No.</t>
  </si>
  <si>
    <t xml:space="preserve">Description / service</t>
  </si>
  <si>
    <t xml:space="preserve">Chemical regime</t>
  </si>
  <si>
    <t xml:space="preserve">Volume basis</t>
  </si>
  <si>
    <t xml:space="preserve">Given volume</t>
  </si>
  <si>
    <t xml:space="preserve">Water weight</t>
  </si>
  <si>
    <t xml:space="preserve">NPS</t>
  </si>
  <si>
    <t xml:space="preserve">Schedule</t>
  </si>
  <si>
    <t xml:space="preserve">Pipe ID (if given)</t>
  </si>
  <si>
    <t xml:space="preserve">Pipe length</t>
  </si>
  <si>
    <t xml:space="preserve">Shell / vessel ID</t>
  </si>
  <si>
    <t xml:space="preserve">Length T/T</t>
  </si>
  <si>
    <t xml:space="preserve">Head 1 / shell cover</t>
  </si>
  <si>
    <t xml:space="preserve">Head 2</t>
  </si>
  <si>
    <t xml:space="preserve">Cone height</t>
  </si>
  <si>
    <t xml:space="preserve">No. of tubes</t>
  </si>
  <si>
    <t xml:space="preserve">Tube OD</t>
  </si>
  <si>
    <t xml:space="preserve">Tube ID</t>
  </si>
  <si>
    <t xml:space="preserve">Tube length</t>
  </si>
  <si>
    <t xml:space="preserve">Tube pitch</t>
  </si>
  <si>
    <t xml:space="preserve">Tube layout</t>
  </si>
  <si>
    <t xml:space="preserve">Channel / bonnet ID</t>
  </si>
  <si>
    <t xml:space="preserve">Front channel length</t>
  </si>
  <si>
    <t xml:space="preserve">Front head</t>
  </si>
  <si>
    <t xml:space="preserve">Rear channel length</t>
  </si>
  <si>
    <t xml:space="preserve">Rear head</t>
  </si>
  <si>
    <t xml:space="preserve">Tube side vol.</t>
  </si>
  <si>
    <t xml:space="preserve">Shell side / vessel vol.</t>
  </si>
  <si>
    <t xml:space="preserve">Piping vol.</t>
  </si>
  <si>
    <t xml:space="preserve">Volume from dimensions</t>
  </si>
  <si>
    <t xml:space="preserve">Volume from water weight</t>
  </si>
  <si>
    <t xml:space="preserve">Fill %</t>
  </si>
  <si>
    <t xml:space="preserve">Circulation %</t>
  </si>
  <si>
    <t xml:space="preserve">No. of fills</t>
  </si>
  <si>
    <t xml:space="preserve">Waste allowance %</t>
  </si>
  <si>
    <t xml:space="preserve">WASTE VOLUME</t>
  </si>
  <si>
    <t xml:space="preserve">EQUIPMENT VOLUME</t>
  </si>
  <si>
    <t xml:space="preserve">SOLUTION VOLUME</t>
  </si>
  <si>
    <t xml:space="preserve">OD used (m)</t>
  </si>
  <si>
    <t xml:space="preserve">Shell area (m²)</t>
  </si>
  <si>
    <t xml:space="preserve">Shell length (m)</t>
  </si>
  <si>
    <t xml:space="preserve">Pipe ID used (mm)</t>
  </si>
  <si>
    <t xml:space="preserve">Fill used</t>
  </si>
  <si>
    <t xml:space="preserve">Unit no.</t>
  </si>
  <si>
    <t xml:space="preserve">m³</t>
  </si>
  <si>
    <t xml:space="preserve">kg</t>
  </si>
  <si>
    <t xml:space="preserve">mm</t>
  </si>
  <si>
    <t xml:space="preserve">m</t>
  </si>
  <si>
    <t xml:space="preserve">nos</t>
  </si>
  <si>
    <t xml:space="preserve">%</t>
  </si>
  <si>
    <t xml:space="preserve">EXAMPLE ML-1</t>
  </si>
  <si>
    <t xml:space="preserve">Piping loop – volume given (ASAB ML-1)</t>
  </si>
  <si>
    <t xml:space="preserve">EXAMPLE V-101</t>
  </si>
  <si>
    <t xml:space="preserve">Vertical vessel (dimensions)</t>
  </si>
  <si>
    <t xml:space="preserve">2:1 Ellipsoidal</t>
  </si>
  <si>
    <t xml:space="preserve">EXAMPLE E-101</t>
  </si>
  <si>
    <t xml:space="preserve">Shell &amp; tube exchanger</t>
  </si>
  <si>
    <t xml:space="preserve">Triangular (30°)</t>
  </si>
  <si>
    <t xml:space="preserve">Flat</t>
  </si>
  <si>
    <t xml:space="preserve">EXAMPLE 6"-P-1001</t>
  </si>
  <si>
    <t xml:space="preserve">Line from isometric</t>
  </si>
  <si>
    <t xml:space="preserve">6" (DN 150)</t>
  </si>
  <si>
    <t xml:space="preserve">Sch 40</t>
  </si>
  <si>
    <t xml:space="preserve">GRAND TOTAL – ALL UNITS</t>
  </si>
  <si>
    <t xml:space="preserve">VOLUME SUMMARY – by unit and by loop</t>
  </si>
  <si>
    <t xml:space="preserve">Unit / train</t>
  </si>
  <si>
    <t xml:space="preserve">Items</t>
  </si>
  <si>
    <t xml:space="preserve">Equipment vol. (m³)</t>
  </si>
  <si>
    <t xml:space="preserve">Solution vol. (m³)</t>
  </si>
  <si>
    <t xml:space="preserve">Waste vol. (m³)</t>
  </si>
  <si>
    <t xml:space="preserve">TOTAL</t>
  </si>
  <si>
    <t xml:space="preserve">LOOPS – each loop is one line item (sum of its equipment rows); rows with no loop are listed under 'Not in a loop'</t>
  </si>
  <si>
    <t xml:space="preserve">Not in a loop</t>
  </si>
  <si>
    <t xml:space="preserve">CHEMICALS % CALCULATION – one table per regime (rate per m³ applies to every equipment of that regime)</t>
  </si>
  <si>
    <t xml:space="preserve">Enter the % required (by weight of solution). Volume = total solution volume of all equipment rows set to the regime. Quantity (t) = volume × % ÷ purity (solution 1 t/m³). Rate per m³ = Σ(% ÷ purity × price/kg × 1000).</t>
  </si>
  <si>
    <t xml:space="preserve">Regime</t>
  </si>
  <si>
    <t xml:space="preserve">Solution volume (m³)</t>
  </si>
  <si>
    <t xml:space="preserve">Chemical quantity (t)</t>
  </si>
  <si>
    <t xml:space="preserve">Chemical cost (AED)</t>
  </si>
  <si>
    <t xml:space="preserve">RATE (AED per m³)</t>
  </si>
  <si>
    <t xml:space="preserve">Equipment rows with volume but no regime get no chemical cost (highlighted orange on the volume sheet). Chemical prices per kg from ASAB R2 (values).</t>
  </si>
  <si>
    <t xml:space="preserve">Solution volume of this regime (m³)</t>
  </si>
  <si>
    <t xml:space="preserve">S.No</t>
  </si>
  <si>
    <t xml:space="preserve">Chemical</t>
  </si>
  <si>
    <t xml:space="preserve">% required</t>
  </si>
  <si>
    <t xml:space="preserve">Purity %</t>
  </si>
  <si>
    <t xml:space="preserve">Price (AED/kg)</t>
  </si>
  <si>
    <t xml:space="preserve">Quantity (t)</t>
  </si>
  <si>
    <t xml:space="preserve">Cost (AED)</t>
  </si>
  <si>
    <t xml:space="preserve">Cost per m³ (AED)</t>
  </si>
  <si>
    <t xml:space="preserve">Remarks</t>
  </si>
  <si>
    <t xml:space="preserve">SODIUM HYDROXIDE (CAUSTIC SODA)</t>
  </si>
  <si>
    <t xml:space="preserve">CITRIC ACID</t>
  </si>
  <si>
    <t xml:space="preserve">AMMONIUM BIFLUORIDE</t>
  </si>
  <si>
    <t xml:space="preserve">SODIUM META SILICATE</t>
  </si>
  <si>
    <t xml:space="preserve">TRI SODIUM PHOSPHATE</t>
  </si>
  <si>
    <t xml:space="preserve">INHIBITORS - RODINE &amp; ARMOHIB</t>
  </si>
  <si>
    <t xml:space="preserve">SURFACTANTS - NP-9 / MULTI CLEAN</t>
  </si>
  <si>
    <t xml:space="preserve">HYDROGEN PEROXIDE (35%)</t>
  </si>
  <si>
    <t xml:space="preserve">AMMONIA (25%)</t>
  </si>
  <si>
    <t xml:space="preserve">SODA ASH (SODIUM CARBONATE)</t>
  </si>
  <si>
    <t xml:space="preserve">HYDROCHLORIC ACID (HCl)</t>
  </si>
  <si>
    <t xml:space="preserve">SULPHURIC ACID</t>
  </si>
  <si>
    <t xml:space="preserve">SODIUM NITRITE</t>
  </si>
  <si>
    <t xml:space="preserve">SULPHAMIC ACID</t>
  </si>
  <si>
    <t xml:space="preserve">ANTIFOAM</t>
  </si>
  <si>
    <t xml:space="preserve">← RATE AED per m³ of solution</t>
  </si>
  <si>
    <t xml:space="preserve">Lookup tables (shared by all volume sheets)</t>
  </si>
  <si>
    <t xml:space="preserve">Length</t>
  </si>
  <si>
    <t xml:space="preserve">Volume</t>
  </si>
  <si>
    <t xml:space="preserve">Weight</t>
  </si>
  <si>
    <t xml:space="preserve">Heads</t>
  </si>
  <si>
    <t xml:space="preserve">Layout</t>
  </si>
  <si>
    <t xml:space="preserve">Basis</t>
  </si>
  <si>
    <t xml:space="preserve">Types</t>
  </si>
  <si>
    <t xml:space="preserve">Jobs</t>
  </si>
  <si>
    <t xml:space="preserve">None / Open</t>
  </si>
  <si>
    <t xml:space="preserve">0</t>
  </si>
  <si>
    <t xml:space="preserve">Dimensions</t>
  </si>
  <si>
    <t xml:space="preserve">cm</t>
  </si>
  <si>
    <t xml:space="preserve">L</t>
  </si>
  <si>
    <t xml:space="preserve">t</t>
  </si>
  <si>
    <t xml:space="preserve">Rotated triangular (60°)</t>
  </si>
  <si>
    <t xml:space="preserve">US gal</t>
  </si>
  <si>
    <t xml:space="preserve">lb</t>
  </si>
  <si>
    <t xml:space="preserve">Square (90°)</t>
  </si>
  <si>
    <t xml:space="preserve">in</t>
  </si>
  <si>
    <t xml:space="preserve">Imp gal</t>
  </si>
  <si>
    <t xml:space="preserve">Hemispherical</t>
  </si>
  <si>
    <t xml:space="preserve">Rotated square (45°)</t>
  </si>
  <si>
    <t xml:space="preserve">ft</t>
  </si>
  <si>
    <t xml:space="preserve">bbl</t>
  </si>
  <si>
    <t xml:space="preserve">Torispherical (F&amp;D)</t>
  </si>
  <si>
    <t xml:space="preserve">0.0809</t>
  </si>
  <si>
    <t xml:space="preserve">ft³</t>
  </si>
  <si>
    <t xml:space="preserve">Conical</t>
  </si>
  <si>
    <t xml:space="preserve">Pipe wall thickness (mm) – ASME B36.10M / B36.19M (verify against piping class)</t>
  </si>
  <si>
    <t xml:space="preserve">OD (mm)</t>
  </si>
  <si>
    <t xml:space="preserve">Sch 5S</t>
  </si>
  <si>
    <t xml:space="preserve">Sch 10S</t>
  </si>
  <si>
    <t xml:space="preserve">Sch 10</t>
  </si>
  <si>
    <t xml:space="preserve">Sch 20</t>
  </si>
  <si>
    <t xml:space="preserve">Sch 30</t>
  </si>
  <si>
    <t xml:space="preserve">STD</t>
  </si>
  <si>
    <t xml:space="preserve">Sch 40S</t>
  </si>
  <si>
    <t xml:space="preserve">Sch 60</t>
  </si>
  <si>
    <t xml:space="preserve">Sch 80</t>
  </si>
  <si>
    <t xml:space="preserve">XS</t>
  </si>
  <si>
    <t xml:space="preserve">Sch 80S</t>
  </si>
  <si>
    <t xml:space="preserve">Sch 100</t>
  </si>
  <si>
    <t xml:space="preserve">Sch 120</t>
  </si>
  <si>
    <t xml:space="preserve">Sch 140</t>
  </si>
  <si>
    <t xml:space="preserve">Sch 160</t>
  </si>
  <si>
    <t xml:space="preserve">XXS</t>
  </si>
  <si>
    <t xml:space="preserve">1/2" (DN 15)</t>
  </si>
  <si>
    <t xml:space="preserve">3/4" (DN 20)</t>
  </si>
  <si>
    <t xml:space="preserve">1" (DN 25)</t>
  </si>
  <si>
    <t xml:space="preserve">1-1/4" (DN 32)</t>
  </si>
  <si>
    <t xml:space="preserve">1-1/2" (DN 40)</t>
  </si>
  <si>
    <t xml:space="preserve">2" (DN 50)</t>
  </si>
  <si>
    <t xml:space="preserve">2-1/2" (DN 65)</t>
  </si>
  <si>
    <t xml:space="preserve">3" (DN 80)</t>
  </si>
  <si>
    <t xml:space="preserve">4" (DN 100)</t>
  </si>
  <si>
    <t xml:space="preserve">5" (DN 125)</t>
  </si>
  <si>
    <t xml:space="preserve">8" (DN 200)</t>
  </si>
  <si>
    <t xml:space="preserve">10" (DN 250)</t>
  </si>
  <si>
    <t xml:space="preserve">12" (DN 300)</t>
  </si>
  <si>
    <t xml:space="preserve">14" (DN 350)</t>
  </si>
  <si>
    <t xml:space="preserve">16" (DN 400)</t>
  </si>
  <si>
    <t xml:space="preserve">18" (DN 450)</t>
  </si>
  <si>
    <t xml:space="preserve">20" (DN 500)</t>
  </si>
  <si>
    <t xml:space="preserve">24" (DN 600)</t>
  </si>
  <si>
    <t xml:space="preserve">30" (DN 750)</t>
  </si>
  <si>
    <t xml:space="preserve">36" (DN 900)</t>
  </si>
</sst>
</file>

<file path=xl/styles.xml><?xml version="1.0" encoding="utf-8"?>
<styleSheet xmlns="http://schemas.openxmlformats.org/spreadsheetml/2006/main">
  <numFmts count="8">
    <numFmt numFmtId="164" formatCode="General"/>
    <numFmt numFmtId="165" formatCode="0"/>
    <numFmt numFmtId="166" formatCode="0.00"/>
    <numFmt numFmtId="167" formatCode="0%;\-0%;\-"/>
    <numFmt numFmtId="168" formatCode="#,##0.000;\-#,##0.000;\-"/>
    <numFmt numFmtId="169" formatCode="#,##0.00;\-#,##0.00;\-"/>
    <numFmt numFmtId="170" formatCode="0.00%"/>
    <numFmt numFmtId="171" formatCode="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9"/>
      <name val="Arial"/>
      <family val="0"/>
      <charset val="1"/>
    </font>
    <font>
      <sz val="9"/>
      <color rgb="FF0000FF"/>
      <name val="Arial"/>
      <family val="0"/>
      <charset val="1"/>
    </font>
    <font>
      <b val="true"/>
      <sz val="10"/>
      <color rgb="FF0000FF"/>
      <name val="Arial"/>
      <family val="0"/>
      <charset val="1"/>
    </font>
    <font>
      <sz val="9"/>
      <name val="Arial"/>
      <family val="0"/>
      <charset val="1"/>
    </font>
    <font>
      <sz val="8"/>
      <color rgb="FF808080"/>
      <name val="Arial"/>
      <family val="0"/>
      <charset val="1"/>
    </font>
    <font>
      <b val="true"/>
      <sz val="9"/>
      <color rgb="FFFFFFFF"/>
      <name val="Arial"/>
      <family val="0"/>
      <charset val="1"/>
    </font>
    <font>
      <b val="true"/>
      <sz val="10"/>
      <color rgb="FFC00000"/>
      <name val="Arial"/>
      <family val="0"/>
      <charset val="1"/>
    </font>
    <font>
      <b val="true"/>
      <sz val="11"/>
      <color rgb="FFFFFFFF"/>
      <name val="Arial"/>
      <family val="0"/>
      <charset val="1"/>
    </font>
    <font>
      <b val="true"/>
      <sz val="9"/>
      <color rgb="FF0000FF"/>
      <name val="Arial"/>
      <family val="0"/>
      <charset val="1"/>
    </font>
    <font>
      <b val="true"/>
      <sz val="10"/>
      <color rgb="FF1F3864"/>
      <name val="Arial"/>
      <family val="0"/>
      <charset val="1"/>
    </font>
    <font>
      <b val="true"/>
      <sz val="10"/>
      <name val="Arial"/>
      <family val="0"/>
      <charset val="1"/>
    </font>
    <font>
      <b val="true"/>
      <sz val="10"/>
      <color rgb="FFFFFFFF"/>
      <name val="Arial"/>
      <family val="0"/>
      <charset val="1"/>
    </font>
    <font>
      <sz val="9"/>
      <color rgb="FF008000"/>
      <name val="Arial"/>
      <family val="0"/>
      <charset val="1"/>
    </font>
  </fonts>
  <fills count="11">
    <fill>
      <patternFill patternType="none"/>
    </fill>
    <fill>
      <patternFill patternType="gray125"/>
    </fill>
    <fill>
      <patternFill patternType="solid">
        <fgColor rgb="FFFFF2CC"/>
        <bgColor rgb="FFE2EFDA"/>
      </patternFill>
    </fill>
    <fill>
      <patternFill patternType="solid">
        <fgColor rgb="FFFFFF00"/>
        <bgColor rgb="FFFFFF00"/>
      </patternFill>
    </fill>
    <fill>
      <patternFill patternType="solid">
        <fgColor rgb="FF1F3864"/>
        <bgColor rgb="FF333399"/>
      </patternFill>
    </fill>
    <fill>
      <patternFill patternType="solid">
        <fgColor rgb="FF1E73BE"/>
        <bgColor rgb="FF3366FF"/>
      </patternFill>
    </fill>
    <fill>
      <patternFill patternType="solid">
        <fgColor rgb="FF375623"/>
        <bgColor rgb="FF595959"/>
      </patternFill>
    </fill>
    <fill>
      <patternFill patternType="solid">
        <fgColor rgb="FFD9E1F2"/>
        <bgColor rgb="FFE2EFDA"/>
      </patternFill>
    </fill>
    <fill>
      <patternFill patternType="solid">
        <fgColor rgb="FFE2EFDA"/>
        <bgColor rgb="FFD9E1F2"/>
      </patternFill>
    </fill>
    <fill>
      <patternFill patternType="solid">
        <fgColor rgb="FFC6E0B4"/>
        <bgColor rgb="FFBDD7EE"/>
      </patternFill>
    </fill>
    <fill>
      <patternFill patternType="solid">
        <fgColor rgb="FFBDD7E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2"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5" fontId="7" fillId="2"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7" fontId="7"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8" fontId="9" fillId="8" borderId="1" xfId="0" applyFont="true" applyBorder="true" applyAlignment="true" applyProtection="false">
      <alignment horizontal="center" vertical="center" textRotation="0" wrapText="true" indent="0" shrinkToFit="false"/>
      <protection locked="true" hidden="false"/>
    </xf>
    <xf numFmtId="168" fontId="6" fillId="9" borderId="1" xfId="0" applyFont="true" applyBorder="true" applyAlignment="true" applyProtection="false">
      <alignment horizontal="center" vertical="center" textRotation="0" wrapText="tru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right" vertical="center"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64" fontId="13" fillId="4" borderId="0" xfId="0" applyFont="true" applyBorder="true" applyAlignment="true" applyProtection="false">
      <alignment horizontal="right"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8" fontId="17" fillId="4"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9" fontId="9" fillId="8" borderId="1" xfId="0" applyFont="true" applyBorder="true" applyAlignment="true" applyProtection="false">
      <alignment horizontal="center" vertical="center" textRotation="0" wrapText="true" indent="0" shrinkToFit="false"/>
      <protection locked="true" hidden="false"/>
    </xf>
    <xf numFmtId="169" fontId="6" fillId="9" borderId="1" xfId="0" applyFont="true" applyBorder="true" applyAlignment="true" applyProtection="false">
      <alignment horizontal="center" vertical="center" textRotation="0" wrapText="true" indent="0" shrinkToFit="false"/>
      <protection locked="true" hidden="false"/>
    </xf>
    <xf numFmtId="164" fontId="13" fillId="5" borderId="0"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center" vertical="center" textRotation="0" wrapText="true" indent="0" shrinkToFit="false"/>
      <protection locked="true" hidden="false"/>
    </xf>
    <xf numFmtId="170" fontId="7" fillId="2" borderId="1" xfId="0" applyFont="true" applyBorder="true" applyAlignment="true" applyProtection="false">
      <alignment horizontal="center" vertical="center" textRotation="0" wrapText="true" indent="0" shrinkToFit="false"/>
      <protection locked="true" hidden="false"/>
    </xf>
    <xf numFmtId="171" fontId="7" fillId="2" borderId="1" xfId="0" applyFont="true" applyBorder="true" applyAlignment="true" applyProtection="false">
      <alignment horizontal="center" vertical="center" textRotation="0" wrapText="true" indent="0" shrinkToFit="false"/>
      <protection locked="true" hidden="false"/>
    </xf>
    <xf numFmtId="169" fontId="7"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B084"/>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9E1F2"/>
      <rgbColor rgb="FF660066"/>
      <rgbColor rgb="FFFF8080"/>
      <rgbColor rgb="FF1E73BE"/>
      <rgbColor rgb="FFBDD7EE"/>
      <rgbColor rgb="FF000080"/>
      <rgbColor rgb="FFFF00FF"/>
      <rgbColor rgb="FFFFFF00"/>
      <rgbColor rgb="FF00FFFF"/>
      <rgbColor rgb="FF800080"/>
      <rgbColor rgb="FF800000"/>
      <rgbColor rgb="FF008080"/>
      <rgbColor rgb="FF0000FF"/>
      <rgbColor rgb="FF00CCFF"/>
      <rgbColor rgb="FFC6E0B4"/>
      <rgbColor rgb="FFE2EFDA"/>
      <rgbColor rgb="FFFFFF99"/>
      <rgbColor rgb="FF99CCFF"/>
      <rgbColor rgb="FFFF99CC"/>
      <rgbColor rgb="FFCC99FF"/>
      <rgbColor rgb="FFF4B08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6"/>
    <col collapsed="false" customWidth="true" hidden="false" outlineLevel="0" max="4" min="3" style="0" width="22"/>
    <col collapsed="false" customWidth="true" hidden="false" outlineLevel="0" max="5" min="5" style="0" width="16"/>
    <col collapsed="false" customWidth="true" hidden="false" outlineLevel="0" max="6" min="6" style="0" width="46"/>
  </cols>
  <sheetData>
    <row r="1" customFormat="false" ht="19.7"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3" t="s">
        <v>2</v>
      </c>
    </row>
    <row r="5" customFormat="false" ht="15" hidden="false" customHeight="false" outlineLevel="0" collapsed="false">
      <c r="B5" s="4" t="s">
        <v>3</v>
      </c>
      <c r="C5" s="5"/>
      <c r="D5" s="5"/>
    </row>
    <row r="6" customFormat="false" ht="15" hidden="false" customHeight="false" outlineLevel="0" collapsed="false">
      <c r="B6" s="4" t="s">
        <v>4</v>
      </c>
      <c r="C6" s="5"/>
      <c r="D6" s="5"/>
    </row>
    <row r="7" customFormat="false" ht="15" hidden="false" customHeight="false" outlineLevel="0" collapsed="false">
      <c r="B7" s="4" t="s">
        <v>5</v>
      </c>
      <c r="C7" s="5"/>
      <c r="D7" s="5"/>
    </row>
    <row r="9" customFormat="false" ht="15" hidden="false" customHeight="false" outlineLevel="0" collapsed="false">
      <c r="B9" s="4" t="s">
        <v>6</v>
      </c>
      <c r="C9" s="6" t="s">
        <v>7</v>
      </c>
    </row>
    <row r="11" customFormat="false" ht="15" hidden="false" customHeight="false" outlineLevel="0" collapsed="false">
      <c r="B11" s="3" t="s">
        <v>8</v>
      </c>
    </row>
    <row r="12" customFormat="false" ht="15" hidden="false" customHeight="false" outlineLevel="0" collapsed="false">
      <c r="B12" s="7" t="s">
        <v>9</v>
      </c>
      <c r="C12" s="8" t="n">
        <v>1000</v>
      </c>
      <c r="D12" s="9" t="s">
        <v>10</v>
      </c>
    </row>
    <row r="13" customFormat="false" ht="15" hidden="false" customHeight="false" outlineLevel="0" collapsed="false">
      <c r="B13" s="7" t="s">
        <v>11</v>
      </c>
      <c r="C13" s="10" t="n">
        <v>1.25</v>
      </c>
      <c r="D13" s="9" t="s">
        <v>12</v>
      </c>
    </row>
    <row r="14" customFormat="false" ht="15" hidden="false" customHeight="false" outlineLevel="0" collapsed="false">
      <c r="B14" s="7" t="s">
        <v>13</v>
      </c>
      <c r="C14" s="11" t="n">
        <v>1.15</v>
      </c>
      <c r="D14" s="9" t="s">
        <v>14</v>
      </c>
      <c r="F14" s="9" t="s">
        <v>15</v>
      </c>
    </row>
    <row r="15" customFormat="false" ht="15" hidden="false" customHeight="false" outlineLevel="0" collapsed="false">
      <c r="B15" s="7" t="s">
        <v>16</v>
      </c>
      <c r="C15" s="8" t="n">
        <v>5</v>
      </c>
      <c r="D15" s="9" t="s">
        <v>17</v>
      </c>
    </row>
    <row r="16" customFormat="false" ht="15" hidden="false" customHeight="false" outlineLevel="0" collapsed="false">
      <c r="B16" s="7" t="s">
        <v>18</v>
      </c>
      <c r="C16" s="11" t="n">
        <v>0.25</v>
      </c>
      <c r="D16" s="9" t="s">
        <v>19</v>
      </c>
      <c r="F16" s="9" t="s">
        <v>20</v>
      </c>
    </row>
    <row r="18" customFormat="false" ht="15" hidden="false" customHeight="false" outlineLevel="0" collapsed="false">
      <c r="B18" s="3" t="s">
        <v>21</v>
      </c>
    </row>
    <row r="19" customFormat="false" ht="15" hidden="false" customHeight="false" outlineLevel="0" collapsed="false">
      <c r="B19" s="12" t="s">
        <v>22</v>
      </c>
      <c r="C19" s="12" t="s">
        <v>23</v>
      </c>
      <c r="D19" s="12" t="s">
        <v>24</v>
      </c>
      <c r="F19" s="12" t="s">
        <v>25</v>
      </c>
    </row>
    <row r="20" customFormat="false" ht="15" hidden="false" customHeight="false" outlineLevel="0" collapsed="false">
      <c r="B20" s="4" t="s">
        <v>26</v>
      </c>
      <c r="C20" s="11" t="n">
        <v>1</v>
      </c>
      <c r="D20" s="11" t="n">
        <v>1</v>
      </c>
      <c r="F20" s="9" t="s">
        <v>27</v>
      </c>
    </row>
    <row r="21" customFormat="false" ht="15" hidden="false" customHeight="false" outlineLevel="0" collapsed="false">
      <c r="B21" s="4" t="s">
        <v>28</v>
      </c>
      <c r="C21" s="11" t="n">
        <v>1</v>
      </c>
      <c r="D21" s="11" t="n">
        <v>1</v>
      </c>
      <c r="F21" s="9" t="s">
        <v>27</v>
      </c>
    </row>
    <row r="22" customFormat="false" ht="15" hidden="false" customHeight="false" outlineLevel="0" collapsed="false">
      <c r="B22" s="4" t="s">
        <v>29</v>
      </c>
      <c r="C22" s="11" t="n">
        <v>0.2</v>
      </c>
      <c r="D22" s="11" t="n">
        <v>1</v>
      </c>
      <c r="F22" s="9" t="s">
        <v>30</v>
      </c>
    </row>
    <row r="23" customFormat="false" ht="15" hidden="false" customHeight="false" outlineLevel="0" collapsed="false">
      <c r="B23" s="4" t="s">
        <v>31</v>
      </c>
      <c r="C23" s="11" t="n">
        <v>0.2</v>
      </c>
      <c r="D23" s="11" t="n">
        <v>0.3</v>
      </c>
      <c r="F23" s="9" t="s">
        <v>32</v>
      </c>
    </row>
    <row r="24" customFormat="false" ht="15" hidden="false" customHeight="false" outlineLevel="0" collapsed="false">
      <c r="B24" s="4" t="s">
        <v>33</v>
      </c>
      <c r="C24" s="11" t="n">
        <v>0.2</v>
      </c>
      <c r="D24" s="11" t="n">
        <v>0.3</v>
      </c>
      <c r="F24" s="9" t="s">
        <v>32</v>
      </c>
    </row>
    <row r="25" customFormat="false" ht="15" hidden="false" customHeight="false" outlineLevel="0" collapsed="false">
      <c r="B25" s="4" t="s">
        <v>34</v>
      </c>
      <c r="C25" s="11" t="n">
        <v>0.2</v>
      </c>
      <c r="D25" s="11" t="n">
        <v>0.3</v>
      </c>
      <c r="F25" s="9" t="s">
        <v>35</v>
      </c>
    </row>
    <row r="26" customFormat="false" ht="15" hidden="false" customHeight="false" outlineLevel="0" collapsed="false">
      <c r="B26" s="4" t="s">
        <v>36</v>
      </c>
      <c r="C26" s="11" t="n">
        <v>0.2</v>
      </c>
      <c r="D26" s="11" t="n">
        <v>0.3</v>
      </c>
      <c r="F26" s="9" t="s">
        <v>32</v>
      </c>
    </row>
    <row r="27" customFormat="false" ht="15" hidden="false" customHeight="false" outlineLevel="0" collapsed="false">
      <c r="B27" s="9" t="s">
        <v>37</v>
      </c>
    </row>
    <row r="29" customFormat="false" ht="15" hidden="false" customHeight="false" outlineLevel="0" collapsed="false">
      <c r="B29" s="3" t="s">
        <v>38</v>
      </c>
    </row>
    <row r="30" customFormat="false" ht="15" hidden="false" customHeight="false" outlineLevel="0" collapsed="false">
      <c r="B30" s="7" t="s">
        <v>39</v>
      </c>
      <c r="C30" s="5" t="s">
        <v>40</v>
      </c>
      <c r="D30" s="5"/>
    </row>
    <row r="31" customFormat="false" ht="15" hidden="false" customHeight="false" outlineLevel="0" collapsed="false">
      <c r="B31" s="7" t="s">
        <v>41</v>
      </c>
      <c r="C31" s="5" t="s">
        <v>42</v>
      </c>
      <c r="D31" s="5"/>
    </row>
    <row r="32" customFormat="false" ht="15" hidden="false" customHeight="false" outlineLevel="0" collapsed="false">
      <c r="B32" s="7" t="s">
        <v>43</v>
      </c>
      <c r="C32" s="5" t="s">
        <v>44</v>
      </c>
      <c r="D32" s="5"/>
    </row>
    <row r="33" customFormat="false" ht="15" hidden="false" customHeight="false" outlineLevel="0" collapsed="false">
      <c r="B33" s="7" t="s">
        <v>45</v>
      </c>
      <c r="C33" s="5" t="s">
        <v>46</v>
      </c>
      <c r="D33" s="5"/>
    </row>
    <row r="34" customFormat="false" ht="15" hidden="false" customHeight="false" outlineLevel="0" collapsed="false">
      <c r="B34" s="7" t="s">
        <v>47</v>
      </c>
      <c r="C34" s="5" t="s">
        <v>48</v>
      </c>
      <c r="D34" s="5"/>
    </row>
    <row r="35" customFormat="false" ht="15" hidden="false" customHeight="false" outlineLevel="0" collapsed="false">
      <c r="B35" s="7" t="s">
        <v>49</v>
      </c>
      <c r="C35" s="5" t="s">
        <v>50</v>
      </c>
      <c r="D35" s="5"/>
    </row>
    <row r="36" customFormat="false" ht="15" hidden="false" customHeight="false" outlineLevel="0" collapsed="false">
      <c r="B36" s="7" t="s">
        <v>51</v>
      </c>
      <c r="C36" s="5" t="s">
        <v>52</v>
      </c>
      <c r="D36" s="5"/>
    </row>
    <row r="37" customFormat="false" ht="15" hidden="false" customHeight="false" outlineLevel="0" collapsed="false">
      <c r="B37" s="7" t="s">
        <v>53</v>
      </c>
      <c r="C37" s="5" t="s">
        <v>54</v>
      </c>
      <c r="D37" s="5"/>
    </row>
    <row r="38" customFormat="false" ht="15" hidden="false" customHeight="false" outlineLevel="0" collapsed="false">
      <c r="B38" s="7" t="s">
        <v>55</v>
      </c>
      <c r="C38" s="5" t="s">
        <v>56</v>
      </c>
      <c r="D38" s="5"/>
    </row>
    <row r="39" customFormat="false" ht="15" hidden="false" customHeight="false" outlineLevel="0" collapsed="false">
      <c r="B39" s="7" t="s">
        <v>57</v>
      </c>
      <c r="C39" s="5" t="s">
        <v>58</v>
      </c>
      <c r="D39" s="5"/>
    </row>
    <row r="40" customFormat="false" ht="15" hidden="false" customHeight="false" outlineLevel="0" collapsed="false">
      <c r="B40" s="7" t="s">
        <v>59</v>
      </c>
      <c r="C40" s="5" t="s">
        <v>60</v>
      </c>
      <c r="D40" s="5"/>
    </row>
    <row r="41" customFormat="false" ht="15" hidden="false" customHeight="false" outlineLevel="0" collapsed="false">
      <c r="B41" s="7" t="s">
        <v>61</v>
      </c>
      <c r="C41" s="5" t="s">
        <v>62</v>
      </c>
      <c r="D41" s="5"/>
    </row>
    <row r="43" customFormat="false" ht="15" hidden="false" customHeight="false" outlineLevel="0" collapsed="false">
      <c r="B43" s="3" t="s">
        <v>63</v>
      </c>
    </row>
    <row r="44" customFormat="false" ht="15" hidden="false" customHeight="false" outlineLevel="0" collapsed="false">
      <c r="B44" s="7" t="s">
        <v>64</v>
      </c>
      <c r="C44" s="5" t="s">
        <v>65</v>
      </c>
    </row>
    <row r="45" customFormat="false" ht="15" hidden="false" customHeight="false" outlineLevel="0" collapsed="false">
      <c r="B45" s="7" t="s">
        <v>66</v>
      </c>
      <c r="C45" s="5" t="s">
        <v>67</v>
      </c>
    </row>
    <row r="46" customFormat="false" ht="15" hidden="false" customHeight="false" outlineLevel="0" collapsed="false">
      <c r="B46" s="7" t="s">
        <v>68</v>
      </c>
      <c r="C46" s="5" t="s">
        <v>69</v>
      </c>
    </row>
    <row r="47" customFormat="false" ht="15" hidden="false" customHeight="false" outlineLevel="0" collapsed="false">
      <c r="B47" s="7" t="s">
        <v>70</v>
      </c>
      <c r="C47" s="5" t="s">
        <v>71</v>
      </c>
    </row>
    <row r="49" customFormat="false" ht="15" hidden="false" customHeight="false" outlineLevel="0" collapsed="false">
      <c r="B49" s="3" t="s">
        <v>72</v>
      </c>
    </row>
    <row r="50" customFormat="false" ht="15" hidden="false" customHeight="true" outlineLevel="0" collapsed="false">
      <c r="B50" s="12" t="s">
        <v>73</v>
      </c>
      <c r="C50" s="12" t="s">
        <v>74</v>
      </c>
      <c r="D50" s="12"/>
      <c r="E50" s="12"/>
      <c r="F50" s="12"/>
    </row>
    <row r="51" customFormat="false" ht="15" hidden="false" customHeight="false" outlineLevel="0" collapsed="false">
      <c r="B51" s="5" t="s">
        <v>75</v>
      </c>
      <c r="C51" s="5"/>
      <c r="D51" s="5"/>
      <c r="E51" s="5"/>
      <c r="F51" s="5"/>
    </row>
    <row r="52" customFormat="false" ht="15" hidden="false" customHeight="false" outlineLevel="0" collapsed="false">
      <c r="B52" s="5" t="s">
        <v>76</v>
      </c>
      <c r="C52" s="5"/>
      <c r="D52" s="5"/>
      <c r="E52" s="5"/>
      <c r="F52" s="5"/>
    </row>
    <row r="53" customFormat="false" ht="15" hidden="false" customHeight="false" outlineLevel="0" collapsed="false">
      <c r="B53" s="5" t="s">
        <v>77</v>
      </c>
      <c r="C53" s="5"/>
      <c r="D53" s="5"/>
      <c r="E53" s="5"/>
      <c r="F53" s="5"/>
    </row>
    <row r="54" customFormat="false" ht="15" hidden="false" customHeight="false" outlineLevel="0" collapsed="false">
      <c r="B54" s="5" t="s">
        <v>78</v>
      </c>
      <c r="C54" s="5"/>
      <c r="D54" s="5"/>
      <c r="E54" s="5"/>
      <c r="F54" s="5"/>
    </row>
    <row r="55" customFormat="false" ht="15" hidden="false" customHeight="false" outlineLevel="0" collapsed="false">
      <c r="B55" s="5" t="s">
        <v>79</v>
      </c>
      <c r="C55" s="5"/>
      <c r="D55" s="5"/>
      <c r="E55" s="5"/>
      <c r="F55" s="5"/>
    </row>
    <row r="56" customFormat="false" ht="15" hidden="false" customHeight="false" outlineLevel="0" collapsed="false">
      <c r="B56" s="5" t="s">
        <v>80</v>
      </c>
      <c r="C56" s="5"/>
      <c r="D56" s="5"/>
      <c r="E56" s="5"/>
      <c r="F56" s="5"/>
    </row>
    <row r="57" customFormat="false" ht="15" hidden="false" customHeight="false" outlineLevel="0" collapsed="false">
      <c r="B57" s="5" t="s">
        <v>81</v>
      </c>
      <c r="C57" s="5"/>
      <c r="D57" s="5"/>
      <c r="E57" s="5"/>
      <c r="F57" s="5"/>
    </row>
    <row r="58" customFormat="false" ht="15" hidden="false" customHeight="false" outlineLevel="0" collapsed="false">
      <c r="B58" s="5" t="s">
        <v>82</v>
      </c>
      <c r="C58" s="5"/>
      <c r="D58" s="5"/>
      <c r="E58" s="5"/>
      <c r="F58" s="5"/>
    </row>
    <row r="59" customFormat="false" ht="15" hidden="false" customHeight="false" outlineLevel="0" collapsed="false">
      <c r="B59" s="5" t="s">
        <v>83</v>
      </c>
      <c r="C59" s="5"/>
      <c r="D59" s="5"/>
      <c r="E59" s="5"/>
      <c r="F59" s="5"/>
    </row>
    <row r="60" customFormat="false" ht="15" hidden="false" customHeight="false" outlineLevel="0" collapsed="false">
      <c r="B60" s="5" t="s">
        <v>84</v>
      </c>
      <c r="C60" s="5"/>
      <c r="D60" s="5"/>
      <c r="E60" s="5"/>
      <c r="F60" s="5"/>
    </row>
    <row r="61" customFormat="false" ht="15" hidden="false" customHeight="false" outlineLevel="0" collapsed="false">
      <c r="B61" s="5" t="s">
        <v>85</v>
      </c>
      <c r="C61" s="5"/>
      <c r="D61" s="5"/>
      <c r="E61" s="5"/>
      <c r="F61" s="5"/>
    </row>
    <row r="62" customFormat="false" ht="15" hidden="false" customHeight="false" outlineLevel="0" collapsed="false">
      <c r="B62" s="5" t="s">
        <v>86</v>
      </c>
      <c r="C62" s="5"/>
      <c r="D62" s="5"/>
      <c r="E62" s="5"/>
      <c r="F62" s="5"/>
    </row>
    <row r="63" customFormat="false" ht="15" hidden="false" customHeight="false" outlineLevel="0" collapsed="false">
      <c r="B63" s="5" t="s">
        <v>87</v>
      </c>
      <c r="C63" s="5"/>
      <c r="D63" s="5"/>
      <c r="E63" s="5"/>
      <c r="F63" s="5"/>
    </row>
    <row r="64" customFormat="false" ht="15" hidden="false" customHeight="false" outlineLevel="0" collapsed="false">
      <c r="B64" s="5" t="s">
        <v>88</v>
      </c>
      <c r="C64" s="5"/>
      <c r="D64" s="5"/>
      <c r="E64" s="5"/>
      <c r="F64" s="5"/>
    </row>
    <row r="65" customFormat="false" ht="15" hidden="false" customHeight="false" outlineLevel="0" collapsed="false">
      <c r="B65" s="5" t="s">
        <v>89</v>
      </c>
      <c r="C65" s="5"/>
      <c r="D65" s="5"/>
      <c r="E65" s="5"/>
      <c r="F65" s="5"/>
    </row>
    <row r="66" customFormat="false" ht="15" hidden="false" customHeight="false" outlineLevel="0" collapsed="false">
      <c r="B66" s="5" t="s">
        <v>90</v>
      </c>
      <c r="C66" s="5"/>
      <c r="D66" s="5"/>
      <c r="E66" s="5"/>
      <c r="F66" s="5"/>
    </row>
    <row r="67" customFormat="false" ht="15" hidden="false" customHeight="false" outlineLevel="0" collapsed="false">
      <c r="B67" s="5" t="s">
        <v>91</v>
      </c>
      <c r="C67" s="5"/>
      <c r="D67" s="5"/>
      <c r="E67" s="5"/>
      <c r="F67" s="5"/>
    </row>
    <row r="68" customFormat="false" ht="15" hidden="false" customHeight="false" outlineLevel="0" collapsed="false">
      <c r="B68" s="5" t="s">
        <v>92</v>
      </c>
      <c r="C68" s="5"/>
      <c r="D68" s="5"/>
      <c r="E68" s="5"/>
      <c r="F68" s="5"/>
    </row>
    <row r="69" customFormat="false" ht="15" hidden="false" customHeight="false" outlineLevel="0" collapsed="false">
      <c r="B69" s="5" t="s">
        <v>93</v>
      </c>
      <c r="C69" s="5"/>
      <c r="D69" s="5"/>
      <c r="E69" s="5"/>
      <c r="F69" s="5"/>
    </row>
    <row r="70" customFormat="false" ht="15" hidden="false" customHeight="false" outlineLevel="0" collapsed="false">
      <c r="B70" s="5" t="s">
        <v>94</v>
      </c>
      <c r="C70" s="5"/>
      <c r="D70" s="5"/>
      <c r="E70" s="5"/>
      <c r="F70" s="5"/>
    </row>
    <row r="71" customFormat="false" ht="15" hidden="false" customHeight="false" outlineLevel="0" collapsed="false">
      <c r="B71" s="5" t="s">
        <v>95</v>
      </c>
      <c r="C71" s="5"/>
      <c r="D71" s="5"/>
      <c r="E71" s="5"/>
      <c r="F71" s="5"/>
    </row>
    <row r="72" customFormat="false" ht="15" hidden="false" customHeight="false" outlineLevel="0" collapsed="false">
      <c r="B72" s="5" t="s">
        <v>96</v>
      </c>
      <c r="C72" s="5"/>
      <c r="D72" s="5"/>
      <c r="E72" s="5"/>
      <c r="F72" s="5"/>
    </row>
    <row r="73" customFormat="false" ht="15" hidden="false" customHeight="false" outlineLevel="0" collapsed="false">
      <c r="B73" s="5" t="s">
        <v>97</v>
      </c>
      <c r="C73" s="5"/>
      <c r="D73" s="5"/>
      <c r="E73" s="5"/>
      <c r="F73" s="5"/>
    </row>
    <row r="74" customFormat="false" ht="15" hidden="false" customHeight="false" outlineLevel="0" collapsed="false">
      <c r="B74" s="5" t="s">
        <v>98</v>
      </c>
      <c r="C74" s="5"/>
      <c r="D74" s="5"/>
      <c r="E74" s="5"/>
      <c r="F74" s="5"/>
    </row>
    <row r="75" customFormat="false" ht="15" hidden="false" customHeight="false" outlineLevel="0" collapsed="false">
      <c r="B75" s="5" t="s">
        <v>99</v>
      </c>
      <c r="C75" s="5"/>
      <c r="D75" s="5"/>
      <c r="E75" s="5"/>
      <c r="F75" s="5"/>
    </row>
    <row r="76" customFormat="false" ht="15" hidden="false" customHeight="false" outlineLevel="0" collapsed="false">
      <c r="B76" s="5" t="s">
        <v>100</v>
      </c>
      <c r="C76" s="5"/>
      <c r="D76" s="5"/>
      <c r="E76" s="5"/>
      <c r="F76" s="5"/>
    </row>
    <row r="77" customFormat="false" ht="15" hidden="false" customHeight="false" outlineLevel="0" collapsed="false">
      <c r="B77" s="5" t="s">
        <v>101</v>
      </c>
      <c r="C77" s="5"/>
      <c r="D77" s="5"/>
      <c r="E77" s="5"/>
      <c r="F77" s="5"/>
    </row>
    <row r="78" customFormat="false" ht="15" hidden="false" customHeight="false" outlineLevel="0" collapsed="false">
      <c r="B78" s="5" t="s">
        <v>102</v>
      </c>
      <c r="C78" s="5"/>
      <c r="D78" s="5"/>
      <c r="E78" s="5"/>
      <c r="F78" s="5"/>
    </row>
    <row r="79" customFormat="false" ht="15" hidden="false" customHeight="false" outlineLevel="0" collapsed="false">
      <c r="B79" s="5" t="s">
        <v>103</v>
      </c>
      <c r="C79" s="5"/>
      <c r="D79" s="5"/>
      <c r="E79" s="5"/>
      <c r="F79" s="5"/>
    </row>
    <row r="80" customFormat="false" ht="15" hidden="false" customHeight="false" outlineLevel="0" collapsed="false">
      <c r="B80" s="5" t="s">
        <v>104</v>
      </c>
      <c r="C80" s="5"/>
      <c r="D80" s="5"/>
      <c r="E80" s="5"/>
      <c r="F80" s="5"/>
    </row>
    <row r="81" customFormat="false" ht="15" hidden="false" customHeight="false" outlineLevel="0" collapsed="false">
      <c r="B81" s="5" t="s">
        <v>105</v>
      </c>
      <c r="C81" s="5"/>
      <c r="D81" s="5"/>
      <c r="E81" s="5"/>
      <c r="F81" s="5"/>
    </row>
    <row r="82" customFormat="false" ht="15" hidden="false" customHeight="false" outlineLevel="0" collapsed="false">
      <c r="B82" s="5" t="s">
        <v>106</v>
      </c>
      <c r="C82" s="5"/>
      <c r="D82" s="5"/>
      <c r="E82" s="5"/>
      <c r="F82" s="5"/>
    </row>
    <row r="83" customFormat="false" ht="15" hidden="false" customHeight="false" outlineLevel="0" collapsed="false">
      <c r="B83" s="5" t="s">
        <v>107</v>
      </c>
      <c r="C83" s="5"/>
      <c r="D83" s="5"/>
      <c r="E83" s="5"/>
      <c r="F83" s="5"/>
    </row>
    <row r="84" customFormat="false" ht="15" hidden="false" customHeight="false" outlineLevel="0" collapsed="false">
      <c r="B84" s="5" t="s">
        <v>108</v>
      </c>
      <c r="C84" s="5"/>
      <c r="D84" s="5"/>
      <c r="E84" s="5"/>
      <c r="F84" s="5"/>
    </row>
    <row r="85" customFormat="false" ht="15" hidden="false" customHeight="false" outlineLevel="0" collapsed="false">
      <c r="B85" s="5" t="s">
        <v>109</v>
      </c>
      <c r="C85" s="5"/>
      <c r="D85" s="5"/>
      <c r="E85" s="5"/>
      <c r="F85" s="5"/>
    </row>
    <row r="86" customFormat="false" ht="15" hidden="false" customHeight="false" outlineLevel="0" collapsed="false">
      <c r="B86" s="5" t="s">
        <v>110</v>
      </c>
      <c r="C86" s="5"/>
      <c r="D86" s="5"/>
      <c r="E86" s="5"/>
      <c r="F86" s="5"/>
    </row>
    <row r="87" customFormat="false" ht="15" hidden="false" customHeight="false" outlineLevel="0" collapsed="false">
      <c r="B87" s="5" t="s">
        <v>111</v>
      </c>
      <c r="C87" s="5"/>
      <c r="D87" s="5"/>
      <c r="E87" s="5"/>
      <c r="F87" s="5"/>
    </row>
    <row r="88" customFormat="false" ht="15" hidden="false" customHeight="false" outlineLevel="0" collapsed="false">
      <c r="B88" s="5" t="s">
        <v>112</v>
      </c>
      <c r="C88" s="5"/>
      <c r="D88" s="5"/>
      <c r="E88" s="5"/>
      <c r="F88" s="5"/>
    </row>
    <row r="89" customFormat="false" ht="15" hidden="false" customHeight="false" outlineLevel="0" collapsed="false">
      <c r="B89" s="5" t="s">
        <v>113</v>
      </c>
      <c r="C89" s="5"/>
      <c r="D89" s="5"/>
      <c r="E89" s="5"/>
      <c r="F89" s="5"/>
    </row>
    <row r="90" customFormat="false" ht="15" hidden="false" customHeight="false" outlineLevel="0" collapsed="false">
      <c r="B90" s="5" t="s">
        <v>114</v>
      </c>
      <c r="C90" s="5"/>
      <c r="D90" s="5"/>
      <c r="E90" s="5"/>
      <c r="F90" s="5"/>
    </row>
  </sheetData>
  <mergeCells count="56">
    <mergeCell ref="C5:D5"/>
    <mergeCell ref="C6:D6"/>
    <mergeCell ref="C7:D7"/>
    <mergeCell ref="C30:D30"/>
    <mergeCell ref="C31:D31"/>
    <mergeCell ref="C32:D32"/>
    <mergeCell ref="C33:D33"/>
    <mergeCell ref="C34:D34"/>
    <mergeCell ref="C35:D35"/>
    <mergeCell ref="C36:D36"/>
    <mergeCell ref="C37:D37"/>
    <mergeCell ref="C38:D38"/>
    <mergeCell ref="C39:D39"/>
    <mergeCell ref="C40:D40"/>
    <mergeCell ref="C41:D41"/>
    <mergeCell ref="C50:F50"/>
    <mergeCell ref="C51:F51"/>
    <mergeCell ref="C52:F52"/>
    <mergeCell ref="C53:F53"/>
    <mergeCell ref="C54:F54"/>
    <mergeCell ref="C55:F55"/>
    <mergeCell ref="C56:F56"/>
    <mergeCell ref="C57:F57"/>
    <mergeCell ref="C58:F58"/>
    <mergeCell ref="C59:F59"/>
    <mergeCell ref="C60:F60"/>
    <mergeCell ref="C61:F61"/>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s>
  <dataValidations count="1">
    <dataValidation allowBlank="true" error="Pick a value from the drop-down list." errorStyle="stop" errorTitle="Invalid entry" operator="between" showDropDown="false" showErrorMessage="true" showInputMessage="false" sqref="C9" type="list">
      <formula1>JobU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U40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14"/>
    <col collapsed="false" customWidth="true" hidden="false" outlineLevel="0" max="4" min="4" style="0" width="26"/>
    <col collapsed="false" customWidth="true" hidden="false" outlineLevel="0" max="5" min="5" style="0" width="16"/>
    <col collapsed="false" customWidth="true" hidden="false" outlineLevel="0" max="6" min="6" style="0" width="10"/>
    <col collapsed="false" customWidth="true" hidden="false" outlineLevel="0" max="7" min="7" style="0" width="12"/>
    <col collapsed="false" customWidth="true" hidden="false" outlineLevel="0" max="9" min="8" style="0" width="10"/>
    <col collapsed="false" customWidth="true" hidden="false" outlineLevel="0" max="10" min="10" style="0" width="12"/>
    <col collapsed="false" customWidth="true" hidden="false" outlineLevel="0" max="15" min="11" style="0" width="9"/>
    <col collapsed="false" customWidth="true" hidden="false" outlineLevel="0" max="17" min="16" style="0" width="13"/>
    <col collapsed="false" customWidth="true" hidden="false" outlineLevel="0" max="21" min="18" style="0" width="8"/>
    <col collapsed="false" customWidth="true" hidden="false" outlineLevel="0" max="22" min="22" style="0" width="9"/>
    <col collapsed="false" customWidth="true" hidden="false" outlineLevel="0" max="23" min="23" style="0" width="8"/>
    <col collapsed="false" customWidth="true" hidden="false" outlineLevel="0" max="24" min="24" style="0" width="13"/>
    <col collapsed="false" customWidth="true" hidden="false" outlineLevel="0" max="26" min="25" style="0" width="9"/>
    <col collapsed="false" customWidth="true" hidden="false" outlineLevel="0" max="27" min="27" style="0" width="13"/>
    <col collapsed="false" customWidth="true" hidden="false" outlineLevel="0" max="28" min="28" style="0" width="9"/>
    <col collapsed="false" customWidth="true" hidden="false" outlineLevel="0" max="29" min="29" style="0" width="13"/>
    <col collapsed="false" customWidth="true" hidden="false" outlineLevel="0" max="34" min="30" style="0" width="10"/>
    <col collapsed="false" customWidth="true" hidden="false" outlineLevel="0" max="35" min="35" style="0" width="7"/>
    <col collapsed="false" customWidth="true" hidden="false" outlineLevel="0" max="36" min="36" style="0" width="8"/>
    <col collapsed="false" customWidth="true" hidden="false" outlineLevel="0" max="37" min="37" style="0" width="7"/>
    <col collapsed="false" customWidth="true" hidden="false" outlineLevel="0" max="38" min="38" style="0" width="8"/>
    <col collapsed="false" customWidth="true" hidden="false" outlineLevel="0" max="39" min="39" style="0" width="11"/>
    <col collapsed="false" customWidth="true" hidden="false" outlineLevel="0" max="41" min="40" style="0" width="12"/>
    <col collapsed="false" customWidth="true" hidden="true" outlineLevel="0" max="45" min="42" style="0" width="9"/>
    <col collapsed="false" customWidth="true" hidden="true" outlineLevel="0" max="46" min="46" style="0" width="7"/>
    <col collapsed="false" customWidth="true" hidden="true" outlineLevel="0" max="47" min="47" style="0" width="6"/>
  </cols>
  <sheetData>
    <row r="1" customFormat="false" ht="19.7" hidden="false" customHeight="false" outlineLevel="0" collapsed="false">
      <c r="A1" s="1" t="s">
        <v>115</v>
      </c>
    </row>
    <row r="2" customFormat="false" ht="15" hidden="false" customHeight="false" outlineLevel="0" collapsed="false">
      <c r="A2" s="13" t="str">
        <f aca="false">"Job type: "&amp;JobType&amp;"   ·   Client: "&amp;Client&amp;"   ·   Plant: "&amp;Plant&amp;"   ·   Proposal: "&amp;ProjNo</f>
        <v>Job type: Chemical Cleaning   ·   Client:    ·   Plant:    ·   Proposal: </v>
      </c>
    </row>
    <row r="3" customFormat="false" ht="15" hidden="false" customHeight="false" outlineLevel="0" collapsed="false">
      <c r="A3" s="9" t="s">
        <v>116</v>
      </c>
    </row>
    <row r="5" customFormat="false" ht="15" hidden="false" customHeight="true" outlineLevel="0" collapsed="false">
      <c r="A5" s="14" t="s">
        <v>117</v>
      </c>
      <c r="B5" s="14"/>
      <c r="C5" s="14"/>
      <c r="D5" s="14"/>
      <c r="E5" s="14"/>
      <c r="F5" s="14"/>
      <c r="G5" s="14"/>
      <c r="H5" s="14"/>
      <c r="I5" s="14"/>
      <c r="J5" s="14" t="s">
        <v>118</v>
      </c>
      <c r="K5" s="14"/>
      <c r="L5" s="14"/>
      <c r="M5" s="14"/>
      <c r="N5" s="14" t="s">
        <v>119</v>
      </c>
      <c r="O5" s="14"/>
      <c r="P5" s="14"/>
      <c r="Q5" s="14"/>
      <c r="R5" s="14"/>
      <c r="S5" s="14" t="s">
        <v>120</v>
      </c>
      <c r="T5" s="14"/>
      <c r="U5" s="14"/>
      <c r="V5" s="14"/>
      <c r="W5" s="14"/>
      <c r="X5" s="14"/>
      <c r="Y5" s="14" t="s">
        <v>121</v>
      </c>
      <c r="Z5" s="14"/>
      <c r="AA5" s="14"/>
      <c r="AB5" s="14"/>
      <c r="AC5" s="14"/>
      <c r="AD5" s="14" t="s">
        <v>122</v>
      </c>
      <c r="AE5" s="14"/>
      <c r="AF5" s="14"/>
      <c r="AG5" s="14"/>
      <c r="AH5" s="14"/>
      <c r="AI5" s="14" t="s">
        <v>123</v>
      </c>
      <c r="AJ5" s="14"/>
      <c r="AK5" s="14"/>
      <c r="AL5" s="14"/>
      <c r="AM5" s="14" t="s">
        <v>124</v>
      </c>
      <c r="AN5" s="14"/>
      <c r="AO5" s="14"/>
    </row>
    <row r="6" customFormat="false" ht="39.75" hidden="false" customHeight="true" outlineLevel="0" collapsed="false">
      <c r="A6" s="12" t="s">
        <v>125</v>
      </c>
      <c r="B6" s="12" t="s">
        <v>126</v>
      </c>
      <c r="C6" s="12" t="s">
        <v>127</v>
      </c>
      <c r="D6" s="12" t="s">
        <v>128</v>
      </c>
      <c r="E6" s="12" t="s">
        <v>22</v>
      </c>
      <c r="F6" s="12" t="s">
        <v>129</v>
      </c>
      <c r="G6" s="12" t="s">
        <v>130</v>
      </c>
      <c r="H6" s="12" t="s">
        <v>131</v>
      </c>
      <c r="I6" s="12" t="s">
        <v>132</v>
      </c>
      <c r="J6" s="12" t="s">
        <v>133</v>
      </c>
      <c r="K6" s="12" t="s">
        <v>134</v>
      </c>
      <c r="L6" s="12" t="s">
        <v>135</v>
      </c>
      <c r="M6" s="12" t="s">
        <v>136</v>
      </c>
      <c r="N6" s="12" t="s">
        <v>137</v>
      </c>
      <c r="O6" s="12" t="s">
        <v>138</v>
      </c>
      <c r="P6" s="12" t="s">
        <v>139</v>
      </c>
      <c r="Q6" s="12" t="s">
        <v>140</v>
      </c>
      <c r="R6" s="12" t="s">
        <v>141</v>
      </c>
      <c r="S6" s="12" t="s">
        <v>142</v>
      </c>
      <c r="T6" s="12" t="s">
        <v>143</v>
      </c>
      <c r="U6" s="12" t="s">
        <v>144</v>
      </c>
      <c r="V6" s="12" t="s">
        <v>145</v>
      </c>
      <c r="W6" s="12" t="s">
        <v>146</v>
      </c>
      <c r="X6" s="12" t="s">
        <v>147</v>
      </c>
      <c r="Y6" s="12" t="s">
        <v>148</v>
      </c>
      <c r="Z6" s="12" t="s">
        <v>149</v>
      </c>
      <c r="AA6" s="12" t="s">
        <v>150</v>
      </c>
      <c r="AB6" s="12" t="s">
        <v>151</v>
      </c>
      <c r="AC6" s="12" t="s">
        <v>152</v>
      </c>
      <c r="AD6" s="12" t="s">
        <v>153</v>
      </c>
      <c r="AE6" s="12" t="s">
        <v>154</v>
      </c>
      <c r="AF6" s="12" t="s">
        <v>155</v>
      </c>
      <c r="AG6" s="12" t="s">
        <v>156</v>
      </c>
      <c r="AH6" s="12" t="s">
        <v>157</v>
      </c>
      <c r="AI6" s="12" t="s">
        <v>158</v>
      </c>
      <c r="AJ6" s="12" t="s">
        <v>159</v>
      </c>
      <c r="AK6" s="12" t="s">
        <v>160</v>
      </c>
      <c r="AL6" s="12" t="s">
        <v>161</v>
      </c>
      <c r="AM6" s="15" t="s">
        <v>162</v>
      </c>
      <c r="AN6" s="15" t="s">
        <v>163</v>
      </c>
      <c r="AO6" s="15" t="s">
        <v>164</v>
      </c>
      <c r="AP6" s="12" t="s">
        <v>165</v>
      </c>
      <c r="AQ6" s="12" t="s">
        <v>166</v>
      </c>
      <c r="AR6" s="12" t="s">
        <v>167</v>
      </c>
      <c r="AS6" s="12" t="s">
        <v>168</v>
      </c>
      <c r="AT6" s="12" t="s">
        <v>169</v>
      </c>
      <c r="AU6" s="12" t="s">
        <v>170</v>
      </c>
    </row>
    <row r="7" customFormat="false" ht="15" hidden="false" customHeight="false" outlineLevel="0" collapsed="false">
      <c r="A7" s="16"/>
      <c r="B7" s="16"/>
      <c r="C7" s="16"/>
      <c r="D7" s="16"/>
      <c r="E7" s="16"/>
      <c r="F7" s="16"/>
      <c r="G7" s="16"/>
      <c r="H7" s="17" t="s">
        <v>171</v>
      </c>
      <c r="I7" s="17" t="s">
        <v>172</v>
      </c>
      <c r="J7" s="16"/>
      <c r="K7" s="16"/>
      <c r="L7" s="17" t="s">
        <v>173</v>
      </c>
      <c r="M7" s="17" t="s">
        <v>174</v>
      </c>
      <c r="N7" s="17" t="s">
        <v>173</v>
      </c>
      <c r="O7" s="17" t="s">
        <v>173</v>
      </c>
      <c r="P7" s="16"/>
      <c r="Q7" s="16"/>
      <c r="R7" s="17" t="s">
        <v>173</v>
      </c>
      <c r="S7" s="16" t="s">
        <v>175</v>
      </c>
      <c r="T7" s="17" t="s">
        <v>173</v>
      </c>
      <c r="U7" s="17" t="s">
        <v>173</v>
      </c>
      <c r="V7" s="17" t="s">
        <v>173</v>
      </c>
      <c r="W7" s="17" t="s">
        <v>173</v>
      </c>
      <c r="X7" s="16"/>
      <c r="Y7" s="17" t="s">
        <v>173</v>
      </c>
      <c r="Z7" s="17" t="s">
        <v>173</v>
      </c>
      <c r="AA7" s="16"/>
      <c r="AB7" s="17" t="s">
        <v>173</v>
      </c>
      <c r="AC7" s="16"/>
      <c r="AD7" s="16" t="s">
        <v>171</v>
      </c>
      <c r="AE7" s="16" t="s">
        <v>171</v>
      </c>
      <c r="AF7" s="16" t="s">
        <v>171</v>
      </c>
      <c r="AG7" s="16" t="s">
        <v>171</v>
      </c>
      <c r="AH7" s="16" t="s">
        <v>171</v>
      </c>
      <c r="AI7" s="16" t="s">
        <v>176</v>
      </c>
      <c r="AJ7" s="16" t="s">
        <v>176</v>
      </c>
      <c r="AK7" s="16" t="s">
        <v>175</v>
      </c>
      <c r="AL7" s="16" t="s">
        <v>176</v>
      </c>
      <c r="AM7" s="16" t="s">
        <v>171</v>
      </c>
      <c r="AN7" s="16" t="s">
        <v>171</v>
      </c>
      <c r="AO7" s="16" t="s">
        <v>171</v>
      </c>
      <c r="AP7" s="16"/>
      <c r="AQ7" s="16"/>
      <c r="AR7" s="16"/>
      <c r="AS7" s="16"/>
      <c r="AT7" s="16"/>
      <c r="AU7" s="16"/>
    </row>
    <row r="9" customFormat="false" ht="15" hidden="false" customHeight="false" outlineLevel="0" collapsed="false">
      <c r="A9" s="18" t="str">
        <f aca="false">"UNIT 1:  "&amp;INDEX(UnitNames,1)</f>
        <v>UNIT 1:  Unit 1</v>
      </c>
      <c r="B9" s="18"/>
      <c r="C9" s="18"/>
      <c r="D9" s="18"/>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row>
    <row r="10" customFormat="false" ht="15" hidden="false" customHeight="false" outlineLevel="0" collapsed="false">
      <c r="A10" s="16" t="n">
        <v>1</v>
      </c>
      <c r="B10" s="20" t="s">
        <v>75</v>
      </c>
      <c r="C10" s="5" t="s">
        <v>177</v>
      </c>
      <c r="D10" s="5" t="s">
        <v>178</v>
      </c>
      <c r="E10" s="20" t="s">
        <v>28</v>
      </c>
      <c r="F10" s="20" t="s">
        <v>65</v>
      </c>
      <c r="G10" s="20" t="s">
        <v>131</v>
      </c>
      <c r="H10" s="20" t="n">
        <v>27.115</v>
      </c>
      <c r="I10" s="20"/>
      <c r="J10" s="20"/>
      <c r="K10" s="20"/>
      <c r="L10" s="20"/>
      <c r="M10" s="20"/>
      <c r="N10" s="20"/>
      <c r="O10" s="20"/>
      <c r="P10" s="20"/>
      <c r="Q10" s="20"/>
      <c r="R10" s="20"/>
      <c r="S10" s="20"/>
      <c r="T10" s="20"/>
      <c r="U10" s="20"/>
      <c r="V10" s="20"/>
      <c r="W10" s="20"/>
      <c r="X10" s="20"/>
      <c r="Y10" s="20"/>
      <c r="Z10" s="20"/>
      <c r="AA10" s="20"/>
      <c r="AB10" s="20"/>
      <c r="AC10" s="20"/>
      <c r="AD10" s="21" t="str">
        <f aca="false">IF(E10="Exchanger",IF(AND(ISNUMBER(S10),ISNUMBER(U10),ISNUMBER(V10)),S10*PI()/4*(U10*INDEX(LenF,MATCH($U$7,LenU,0)))^2*V10*INDEX(LenF,MATCH($V$7,LenU,0)),0)+IF(ISNUMBER(Y10),PI()/4*(Y10*INDEX(LenF,MATCH($Y$7,LenU,0)))^2*N(Z10)*INDEX(LenF,MATCH($Z$7,LenU,0))+IF(AA10="",0,IF(AA10="Conical",PI()/12*(Y10*INDEX(LenF,MATCH($Y$7,LenU,0)))^2*(0),INDEX(HeadK,MATCH(AA10,HeadU,0))*(Y10*INDEX(LenF,MATCH($Y$7,LenU,0)))^3)),0)+IF(ISNUMBER(Y10),PI()/4*(Y10*INDEX(LenF,MATCH($Y$7,LenU,0)))^2*N(AB10)*INDEX(LenF,MATCH($AB$7,LenU,0))+IF(AC10="",0,IF(AC10="Conical",PI()/12*(Y10*INDEX(LenF,MATCH($Y$7,LenU,0)))^2*(0),INDEX(HeadK,MATCH(AC10,HeadU,0))*(Y10*INDEX(LenF,MATCH($Y$7,LenU,0)))^3)),0),"")</f>
        <v/>
      </c>
      <c r="AE10" s="21" t="str">
        <f aca="false">IF(OR(E10="",E10="Piping"),"",IF(E10="Exchanger",AQ10*AR10+IF(P10="",0,IF(P10="Conical",PI()/12*(SQRT(4*AQ10/PI()))^2*(0),INDEX(HeadK,MATCH(P10,HeadU,0))*(SQRT(4*AQ10/PI()))^3))-IF(AND(ISNUMBER(S10),ISNUMBER(V10)),S10*PI()/4*AP10^2*V10*INDEX(LenF,MATCH($V$7,LenU,0)),0),IF(ISNUMBER(N10),PI()/4*(N10*INDEX(LenF,MATCH($N$7,LenU,0)))^2*N(O10)*INDEX(LenF,MATCH($O$7,LenU,0))+IF(P10="",0,IF(P10="Conical",PI()/12*(N10*INDEX(LenF,MATCH($N$7,LenU,0)))^2*(N(R10)*INDEX(LenF,MATCH($R$7,LenU,0))),INDEX(HeadK,MATCH(P10,HeadU,0))*(N10*INDEX(LenF,MATCH($N$7,LenU,0)))^3))+IF(Q10="",0,IF(Q10="Conical",PI()/12*(N10*INDEX(LenF,MATCH($N$7,LenU,0)))^2*(N(R10)*INDEX(LenF,MATCH($R$7,LenU,0))),INDEX(HeadK,MATCH(Q10,HeadU,0))*(N10*INDEX(LenF,MATCH($N$7,LenU,0)))^3)),0)))</f>
        <v/>
      </c>
      <c r="AF10" s="21" t="n">
        <f aca="false">IF(E10&lt;&gt;"Piping","",IF(AND(ISNUMBER(AS10),ISNUMBER(M10)),PI()/4*(AS10/1000)^2*M10*INDEX(LenF,MATCH($M$7,LenU,0)),0))</f>
        <v>0</v>
      </c>
      <c r="AG10" s="21" t="n">
        <f aca="false">IF(E10="","",N(AD10)+N(AE10)+N(AF10))</f>
        <v>0</v>
      </c>
      <c r="AH10" s="21" t="str">
        <f aca="false">IF(ISNUMBER(I10),I10*INDEX(WtF,MATCH($I$7,WtU,0))/WaterRho,"")</f>
        <v/>
      </c>
      <c r="AI10" s="11"/>
      <c r="AJ10" s="11"/>
      <c r="AK10" s="20"/>
      <c r="AL10" s="11"/>
      <c r="AM10" s="21" t="n">
        <f aca="false">IF(AO10="","",AO10*IF(ISNUMBER(AK10),AK10,DefFills)*(1+IF(ISNUMBER(AL10),AL10,DefAllow)))</f>
        <v>194.8890625</v>
      </c>
      <c r="AN10" s="22" t="n">
        <f aca="false">IF(G10="Given volume",IF(ISNUMBER(H10),H10*INDEX(VolF,MATCH($H$7,VolU,0)),""),IF(G10="Water weight",AH10,IF(N(AG10)=0,"",AG10)))</f>
        <v>27.115</v>
      </c>
      <c r="AO10" s="22" t="n">
        <f aca="false">IF(N(AN10)=0,"",AN10*AT10*IF(ISNUMBER(AJ10),AJ10,DefCirc))</f>
        <v>31.18225</v>
      </c>
      <c r="AP10" s="9" t="n">
        <f aca="false">IF(ISNUMBER(T10),T10*INDEX(LenF,MATCH($T$7,LenU,0)),IF(ISNUMBER(W10),W10*INDEX(LenF,MATCH($W$7,LenU,0))/PitchRatio,0))</f>
        <v>0</v>
      </c>
      <c r="AQ10" s="9" t="n">
        <f aca="false">IF(ISNUMBER(N10),PI()/4*(N10*INDEX(LenF,MATCH($N$7,LenU,0)))^2,IF(AND(ISNUMBER(S10),ISNUMBER(W10),X10&lt;&gt;""),S10*(W10*INDEX(LenF,MATCH($W$7,LenU,0)))^2*INDEX(LayoutF,MATCH(X10,LayoutU,0)),0))</f>
        <v>0</v>
      </c>
      <c r="AR10" s="9" t="n">
        <f aca="false">IF(ISNUMBER(O10),O10*INDEX(LenF,MATCH($O$7,LenU,0)),IF(ISNUMBER(V10),V10*INDEX(LenF,MATCH($V$7,LenU,0)),0))</f>
        <v>0</v>
      </c>
      <c r="AS10" s="9" t="str">
        <f aca="false">IF(ISNUMBER(L10),L10*INDEX(LenF,MATCH($L$7,LenU,0))*1000,IF(OR(J10="",K10=""),"",IFERROR(IF(INDEX(PipeWT,MATCH(J10,NPSU,0),MATCH(K10,SchU,0))="","Sch n/a",INDEX(PipeOD,MATCH(J10,NPSU,0))-2*INDEX(PipeWT,MATCH(J10,NPSU,0),MATCH(K10,SchU,0))),"")))</f>
        <v/>
      </c>
      <c r="AT10" s="23" t="n">
        <f aca="false">IF(ISNUMBER(AI10),AI10,IFERROR(INDEX(IF(JobType="Decontamination",TypeFillDC,TypeFillCC),MATCH(E10,TypeL,0)),1))</f>
        <v>1</v>
      </c>
      <c r="AU10" s="9" t="n">
        <v>1</v>
      </c>
    </row>
    <row r="11" customFormat="false" ht="15" hidden="false" customHeight="false" outlineLevel="0" collapsed="false">
      <c r="A11" s="16" t="n">
        <v>2</v>
      </c>
      <c r="B11" s="20" t="s">
        <v>76</v>
      </c>
      <c r="C11" s="5" t="s">
        <v>179</v>
      </c>
      <c r="D11" s="5" t="s">
        <v>180</v>
      </c>
      <c r="E11" s="20" t="s">
        <v>31</v>
      </c>
      <c r="F11" s="20" t="s">
        <v>65</v>
      </c>
      <c r="G11" s="20"/>
      <c r="H11" s="20"/>
      <c r="I11" s="20"/>
      <c r="J11" s="20"/>
      <c r="K11" s="20"/>
      <c r="L11" s="20"/>
      <c r="M11" s="20"/>
      <c r="N11" s="20" t="n">
        <v>2000</v>
      </c>
      <c r="O11" s="20" t="n">
        <v>6000</v>
      </c>
      <c r="P11" s="20" t="s">
        <v>181</v>
      </c>
      <c r="Q11" s="20" t="s">
        <v>181</v>
      </c>
      <c r="R11" s="20"/>
      <c r="S11" s="20"/>
      <c r="T11" s="20"/>
      <c r="U11" s="20"/>
      <c r="V11" s="20"/>
      <c r="W11" s="20"/>
      <c r="X11" s="20"/>
      <c r="Y11" s="20"/>
      <c r="Z11" s="20"/>
      <c r="AA11" s="20"/>
      <c r="AB11" s="20"/>
      <c r="AC11" s="20"/>
      <c r="AD11" s="21" t="str">
        <f aca="false">IF(E11="Exchanger",IF(AND(ISNUMBER(S11),ISNUMBER(U11),ISNUMBER(V11)),S11*PI()/4*(U11*INDEX(LenF,MATCH($U$7,LenU,0)))^2*V11*INDEX(LenF,MATCH($V$7,LenU,0)),0)+IF(ISNUMBER(Y11),PI()/4*(Y11*INDEX(LenF,MATCH($Y$7,LenU,0)))^2*N(Z11)*INDEX(LenF,MATCH($Z$7,LenU,0))+IF(AA11="",0,IF(AA11="Conical",PI()/12*(Y11*INDEX(LenF,MATCH($Y$7,LenU,0)))^2*(0),INDEX(HeadK,MATCH(AA11,HeadU,0))*(Y11*INDEX(LenF,MATCH($Y$7,LenU,0)))^3)),0)+IF(ISNUMBER(Y11),PI()/4*(Y11*INDEX(LenF,MATCH($Y$7,LenU,0)))^2*N(AB11)*INDEX(LenF,MATCH($AB$7,LenU,0))+IF(AC11="",0,IF(AC11="Conical",PI()/12*(Y11*INDEX(LenF,MATCH($Y$7,LenU,0)))^2*(0),INDEX(HeadK,MATCH(AC11,HeadU,0))*(Y11*INDEX(LenF,MATCH($Y$7,LenU,0)))^3)),0),"")</f>
        <v/>
      </c>
      <c r="AE11" s="21" t="n">
        <f aca="false">IF(OR(E11="",E11="Piping"),"",IF(E11="Exchanger",AQ11*AR11+IF(P11="",0,IF(P11="Conical",PI()/12*(SQRT(4*AQ11/PI()))^2*(0),INDEX(HeadK,MATCH(P11,HeadU,0))*(SQRT(4*AQ11/PI()))^3))-IF(AND(ISNUMBER(S11),ISNUMBER(V11)),S11*PI()/4*AP11^2*V11*INDEX(LenF,MATCH($V$7,LenU,0)),0),IF(ISNUMBER(N11),PI()/4*(N11*INDEX(LenF,MATCH($N$7,LenU,0)))^2*N(O11)*INDEX(LenF,MATCH($O$7,LenU,0))+IF(P11="",0,IF(P11="Conical",PI()/12*(N11*INDEX(LenF,MATCH($N$7,LenU,0)))^2*(N(R11)*INDEX(LenF,MATCH($R$7,LenU,0))),INDEX(HeadK,MATCH(P11,HeadU,0))*(N11*INDEX(LenF,MATCH($N$7,LenU,0)))^3))+IF(Q11="",0,IF(Q11="Conical",PI()/12*(N11*INDEX(LenF,MATCH($N$7,LenU,0)))^2*(N(R11)*INDEX(LenF,MATCH($R$7,LenU,0))),INDEX(HeadK,MATCH(Q11,HeadU,0))*(N11*INDEX(LenF,MATCH($N$7,LenU,0)))^3)),0)))</f>
        <v>20.943951023932</v>
      </c>
      <c r="AF11" s="21" t="str">
        <f aca="false">IF(E11&lt;&gt;"Piping","",IF(AND(ISNUMBER(AS11),ISNUMBER(M11)),PI()/4*(AS11/1000)^2*M11*INDEX(LenF,MATCH($M$7,LenU,0)),0))</f>
        <v/>
      </c>
      <c r="AG11" s="21" t="n">
        <f aca="false">IF(E11="","",N(AD11)+N(AE11)+N(AF11))</f>
        <v>20.943951023932</v>
      </c>
      <c r="AH11" s="21" t="str">
        <f aca="false">IF(ISNUMBER(I11),I11*INDEX(WtF,MATCH($I$7,WtU,0))/WaterRho,"")</f>
        <v/>
      </c>
      <c r="AI11" s="11" t="n">
        <v>0.15</v>
      </c>
      <c r="AJ11" s="11"/>
      <c r="AK11" s="20"/>
      <c r="AL11" s="11"/>
      <c r="AM11" s="21" t="n">
        <f aca="false">IF(AO11="","",AO11*IF(ISNUMBER(AK11),AK11,DefFills)*(1+IF(ISNUMBER(AL11),AL11,DefAllow)))</f>
        <v>22.5801971976766</v>
      </c>
      <c r="AN11" s="22" t="n">
        <f aca="false">IF(G11="Given volume",IF(ISNUMBER(H11),H11*INDEX(VolF,MATCH($H$7,VolU,0)),""),IF(G11="Water weight",AH11,IF(N(AG11)=0,"",AG11)))</f>
        <v>20.943951023932</v>
      </c>
      <c r="AO11" s="22" t="n">
        <f aca="false">IF(N(AN11)=0,"",AN11*AT11*IF(ISNUMBER(AJ11),AJ11,DefCirc))</f>
        <v>3.61283155162826</v>
      </c>
      <c r="AP11" s="9" t="n">
        <f aca="false">IF(ISNUMBER(T11),T11*INDEX(LenF,MATCH($T$7,LenU,0)),IF(ISNUMBER(W11),W11*INDEX(LenF,MATCH($W$7,LenU,0))/PitchRatio,0))</f>
        <v>0</v>
      </c>
      <c r="AQ11" s="9" t="n">
        <f aca="false">IF(ISNUMBER(N11),PI()/4*(N11*INDEX(LenF,MATCH($N$7,LenU,0)))^2,IF(AND(ISNUMBER(S11),ISNUMBER(W11),X11&lt;&gt;""),S11*(W11*INDEX(LenF,MATCH($W$7,LenU,0)))^2*INDEX(LayoutF,MATCH(X11,LayoutU,0)),0))</f>
        <v>3.14159265358979</v>
      </c>
      <c r="AR11" s="9" t="n">
        <f aca="false">IF(ISNUMBER(O11),O11*INDEX(LenF,MATCH($O$7,LenU,0)),IF(ISNUMBER(V11),V11*INDEX(LenF,MATCH($V$7,LenU,0)),0))</f>
        <v>6</v>
      </c>
      <c r="AS11" s="9" t="str">
        <f aca="false">IF(ISNUMBER(L11),L11*INDEX(LenF,MATCH($L$7,LenU,0))*1000,IF(OR(J11="",K11=""),"",IFERROR(IF(INDEX(PipeWT,MATCH(J11,NPSU,0),MATCH(K11,SchU,0))="","Sch n/a",INDEX(PipeOD,MATCH(J11,NPSU,0))-2*INDEX(PipeWT,MATCH(J11,NPSU,0),MATCH(K11,SchU,0))),"")))</f>
        <v/>
      </c>
      <c r="AT11" s="23" t="n">
        <f aca="false">IF(ISNUMBER(AI11),AI11,IFERROR(INDEX(IF(JobType="Decontamination",TypeFillDC,TypeFillCC),MATCH(E11,TypeL,0)),1))</f>
        <v>0.15</v>
      </c>
      <c r="AU11" s="9" t="n">
        <v>1</v>
      </c>
    </row>
    <row r="12" customFormat="false" ht="15" hidden="false" customHeight="false" outlineLevel="0" collapsed="false">
      <c r="A12" s="16" t="n">
        <v>3</v>
      </c>
      <c r="B12" s="20" t="s">
        <v>76</v>
      </c>
      <c r="C12" s="5" t="s">
        <v>182</v>
      </c>
      <c r="D12" s="5" t="s">
        <v>183</v>
      </c>
      <c r="E12" s="20" t="s">
        <v>26</v>
      </c>
      <c r="F12" s="20" t="s">
        <v>65</v>
      </c>
      <c r="G12" s="20"/>
      <c r="H12" s="20"/>
      <c r="I12" s="20"/>
      <c r="J12" s="20"/>
      <c r="K12" s="20"/>
      <c r="L12" s="20"/>
      <c r="M12" s="20"/>
      <c r="N12" s="20" t="n">
        <v>800</v>
      </c>
      <c r="O12" s="20" t="n">
        <v>6000</v>
      </c>
      <c r="P12" s="20"/>
      <c r="Q12" s="20"/>
      <c r="R12" s="20"/>
      <c r="S12" s="20" t="n">
        <v>500</v>
      </c>
      <c r="T12" s="20" t="n">
        <v>19.05</v>
      </c>
      <c r="U12" s="20" t="n">
        <v>15.75</v>
      </c>
      <c r="V12" s="20" t="n">
        <v>6096</v>
      </c>
      <c r="W12" s="20" t="n">
        <v>23.81</v>
      </c>
      <c r="X12" s="20" t="s">
        <v>184</v>
      </c>
      <c r="Y12" s="20" t="n">
        <v>800</v>
      </c>
      <c r="Z12" s="20" t="n">
        <v>600</v>
      </c>
      <c r="AA12" s="20" t="s">
        <v>185</v>
      </c>
      <c r="AB12" s="20" t="n">
        <v>300</v>
      </c>
      <c r="AC12" s="20" t="s">
        <v>181</v>
      </c>
      <c r="AD12" s="21" t="n">
        <f aca="false">IF(E12="Exchanger",IF(AND(ISNUMBER(S12),ISNUMBER(U12),ISNUMBER(V12)),S12*PI()/4*(U12*INDEX(LenF,MATCH($U$7,LenU,0)))^2*V12*INDEX(LenF,MATCH($V$7,LenU,0)),0)+IF(ISNUMBER(Y12),PI()/4*(Y12*INDEX(LenF,MATCH($Y$7,LenU,0)))^2*N(Z12)*INDEX(LenF,MATCH($Z$7,LenU,0))+IF(AA12="",0,IF(AA12="Conical",PI()/12*(Y12*INDEX(LenF,MATCH($Y$7,LenU,0)))^2*(0),INDEX(HeadK,MATCH(AA12,HeadU,0))*(Y12*INDEX(LenF,MATCH($Y$7,LenU,0)))^3)),0)+IF(ISNUMBER(Y12),PI()/4*(Y12*INDEX(LenF,MATCH($Y$7,LenU,0)))^2*N(AB12)*INDEX(LenF,MATCH($AB$7,LenU,0))+IF(AC12="",0,IF(AC12="Conical",PI()/12*(Y12*INDEX(LenF,MATCH($Y$7,LenU,0)))^2*(0),INDEX(HeadK,MATCH(AC12,HeadU,0))*(Y12*INDEX(LenF,MATCH($Y$7,LenU,0)))^3)),0),"")</f>
        <v>1.11324521704842</v>
      </c>
      <c r="AE12" s="21" t="n">
        <f aca="false">IF(OR(E12="",E12="Piping"),"",IF(E12="Exchanger",AQ12*AR12+IF(P12="",0,IF(P12="Conical",PI()/12*(SQRT(4*AQ12/PI()))^2*(0),INDEX(HeadK,MATCH(P12,HeadU,0))*(SQRT(4*AQ12/PI()))^3))-IF(AND(ISNUMBER(S12),ISNUMBER(V12)),S12*PI()/4*AP12^2*V12*INDEX(LenF,MATCH($V$7,LenU,0)),0),IF(ISNUMBER(N12),PI()/4*(N12*INDEX(LenF,MATCH($N$7,LenU,0)))^2*N(O12)*INDEX(LenF,MATCH($O$7,LenU,0))+IF(P12="",0,IF(P12="Conical",PI()/12*(N12*INDEX(LenF,MATCH($N$7,LenU,0)))^2*(N(R12)*INDEX(LenF,MATCH($R$7,LenU,0))),INDEX(HeadK,MATCH(P12,HeadU,0))*(N12*INDEX(LenF,MATCH($N$7,LenU,0)))^3))+IF(Q12="",0,IF(Q12="Conical",PI()/12*(N12*INDEX(LenF,MATCH($N$7,LenU,0)))^2*(N(R12)*INDEX(LenF,MATCH($R$7,LenU,0))),INDEX(HeadK,MATCH(Q12,HeadU,0))*(N12*INDEX(LenF,MATCH($N$7,LenU,0)))^3)),0)))</f>
        <v>2.14717897453354</v>
      </c>
      <c r="AF12" s="21" t="str">
        <f aca="false">IF(E12&lt;&gt;"Piping","",IF(AND(ISNUMBER(AS12),ISNUMBER(M12)),PI()/4*(AS12/1000)^2*M12*INDEX(LenF,MATCH($M$7,LenU,0)),0))</f>
        <v/>
      </c>
      <c r="AG12" s="21" t="n">
        <f aca="false">IF(E12="","",N(AD12)+N(AE12)+N(AF12))</f>
        <v>3.26042419158197</v>
      </c>
      <c r="AH12" s="21" t="str">
        <f aca="false">IF(ISNUMBER(I12),I12*INDEX(WtF,MATCH($I$7,WtU,0))/WaterRho,"")</f>
        <v/>
      </c>
      <c r="AI12" s="11"/>
      <c r="AJ12" s="11"/>
      <c r="AK12" s="20"/>
      <c r="AL12" s="11"/>
      <c r="AM12" s="21" t="n">
        <f aca="false">IF(AO12="","",AO12*IF(ISNUMBER(AK12),AK12,DefFills)*(1+IF(ISNUMBER(AL12),AL12,DefAllow)))</f>
        <v>23.4342988769954</v>
      </c>
      <c r="AN12" s="22" t="n">
        <f aca="false">IF(G12="Given volume",IF(ISNUMBER(H12),H12*INDEX(VolF,MATCH($H$7,VolU,0)),""),IF(G12="Water weight",AH12,IF(N(AG12)=0,"",AG12)))</f>
        <v>3.26042419158197</v>
      </c>
      <c r="AO12" s="22" t="n">
        <f aca="false">IF(N(AN12)=0,"",AN12*AT12*IF(ISNUMBER(AJ12),AJ12,DefCirc))</f>
        <v>3.74948782031926</v>
      </c>
      <c r="AP12" s="9" t="n">
        <f aca="false">IF(ISNUMBER(T12),T12*INDEX(LenF,MATCH($T$7,LenU,0)),IF(ISNUMBER(W12),W12*INDEX(LenF,MATCH($W$7,LenU,0))/PitchRatio,0))</f>
        <v>0.01905</v>
      </c>
      <c r="AQ12" s="9" t="n">
        <f aca="false">IF(ISNUMBER(N12),PI()/4*(N12*INDEX(LenF,MATCH($N$7,LenU,0)))^2,IF(AND(ISNUMBER(S12),ISNUMBER(W12),X12&lt;&gt;""),S12*(W12*INDEX(LenF,MATCH($W$7,LenU,0)))^2*INDEX(LayoutF,MATCH(X12,LayoutU,0)),0))</f>
        <v>0.502654824574367</v>
      </c>
      <c r="AR12" s="9" t="n">
        <f aca="false">IF(ISNUMBER(O12),O12*INDEX(LenF,MATCH($O$7,LenU,0)),IF(ISNUMBER(V12),V12*INDEX(LenF,MATCH($V$7,LenU,0)),0))</f>
        <v>6</v>
      </c>
      <c r="AS12" s="9" t="str">
        <f aca="false">IF(ISNUMBER(L12),L12*INDEX(LenF,MATCH($L$7,LenU,0))*1000,IF(OR(J12="",K12=""),"",IFERROR(IF(INDEX(PipeWT,MATCH(J12,NPSU,0),MATCH(K12,SchU,0))="","Sch n/a",INDEX(PipeOD,MATCH(J12,NPSU,0))-2*INDEX(PipeWT,MATCH(J12,NPSU,0),MATCH(K12,SchU,0))),"")))</f>
        <v/>
      </c>
      <c r="AT12" s="23" t="n">
        <f aca="false">IF(ISNUMBER(AI12),AI12,IFERROR(INDEX(IF(JobType="Decontamination",TypeFillDC,TypeFillCC),MATCH(E12,TypeL,0)),1))</f>
        <v>1</v>
      </c>
      <c r="AU12" s="9" t="n">
        <v>1</v>
      </c>
    </row>
    <row r="13" customFormat="false" ht="15" hidden="false" customHeight="false" outlineLevel="0" collapsed="false">
      <c r="A13" s="16" t="n">
        <v>4</v>
      </c>
      <c r="B13" s="20"/>
      <c r="C13" s="5" t="s">
        <v>186</v>
      </c>
      <c r="D13" s="5" t="s">
        <v>187</v>
      </c>
      <c r="E13" s="20" t="s">
        <v>28</v>
      </c>
      <c r="F13" s="20" t="s">
        <v>67</v>
      </c>
      <c r="G13" s="20"/>
      <c r="H13" s="20"/>
      <c r="I13" s="20"/>
      <c r="J13" s="20" t="s">
        <v>188</v>
      </c>
      <c r="K13" s="20" t="s">
        <v>189</v>
      </c>
      <c r="L13" s="20"/>
      <c r="M13" s="20" t="n">
        <v>120</v>
      </c>
      <c r="N13" s="20"/>
      <c r="O13" s="20"/>
      <c r="P13" s="20"/>
      <c r="Q13" s="20"/>
      <c r="R13" s="20"/>
      <c r="S13" s="20"/>
      <c r="T13" s="20"/>
      <c r="U13" s="20"/>
      <c r="V13" s="20"/>
      <c r="W13" s="20"/>
      <c r="X13" s="20"/>
      <c r="Y13" s="20"/>
      <c r="Z13" s="20"/>
      <c r="AA13" s="20"/>
      <c r="AB13" s="20"/>
      <c r="AC13" s="20"/>
      <c r="AD13" s="21" t="str">
        <f aca="false">IF(E13="Exchanger",IF(AND(ISNUMBER(S13),ISNUMBER(U13),ISNUMBER(V13)),S13*PI()/4*(U13*INDEX(LenF,MATCH($U$7,LenU,0)))^2*V13*INDEX(LenF,MATCH($V$7,LenU,0)),0)+IF(ISNUMBER(Y13),PI()/4*(Y13*INDEX(LenF,MATCH($Y$7,LenU,0)))^2*N(Z13)*INDEX(LenF,MATCH($Z$7,LenU,0))+IF(AA13="",0,IF(AA13="Conical",PI()/12*(Y13*INDEX(LenF,MATCH($Y$7,LenU,0)))^2*(0),INDEX(HeadK,MATCH(AA13,HeadU,0))*(Y13*INDEX(LenF,MATCH($Y$7,LenU,0)))^3)),0)+IF(ISNUMBER(Y13),PI()/4*(Y13*INDEX(LenF,MATCH($Y$7,LenU,0)))^2*N(AB13)*INDEX(LenF,MATCH($AB$7,LenU,0))+IF(AC13="",0,IF(AC13="Conical",PI()/12*(Y13*INDEX(LenF,MATCH($Y$7,LenU,0)))^2*(0),INDEX(HeadK,MATCH(AC13,HeadU,0))*(Y13*INDEX(LenF,MATCH($Y$7,LenU,0)))^3)),0),"")</f>
        <v/>
      </c>
      <c r="AE13" s="21" t="str">
        <f aca="false">IF(OR(E13="",E13="Piping"),"",IF(E13="Exchanger",AQ13*AR13+IF(P13="",0,IF(P13="Conical",PI()/12*(SQRT(4*AQ13/PI()))^2*(0),INDEX(HeadK,MATCH(P13,HeadU,0))*(SQRT(4*AQ13/PI()))^3))-IF(AND(ISNUMBER(S13),ISNUMBER(V13)),S13*PI()/4*AP13^2*V13*INDEX(LenF,MATCH($V$7,LenU,0)),0),IF(ISNUMBER(N13),PI()/4*(N13*INDEX(LenF,MATCH($N$7,LenU,0)))^2*N(O13)*INDEX(LenF,MATCH($O$7,LenU,0))+IF(P13="",0,IF(P13="Conical",PI()/12*(N13*INDEX(LenF,MATCH($N$7,LenU,0)))^2*(N(R13)*INDEX(LenF,MATCH($R$7,LenU,0))),INDEX(HeadK,MATCH(P13,HeadU,0))*(N13*INDEX(LenF,MATCH($N$7,LenU,0)))^3))+IF(Q13="",0,IF(Q13="Conical",PI()/12*(N13*INDEX(LenF,MATCH($N$7,LenU,0)))^2*(N(R13)*INDEX(LenF,MATCH($R$7,LenU,0))),INDEX(HeadK,MATCH(Q13,HeadU,0))*(N13*INDEX(LenF,MATCH($N$7,LenU,0)))^3)),0)))</f>
        <v/>
      </c>
      <c r="AF13" s="21" t="n">
        <f aca="false">IF(E13&lt;&gt;"Piping","",IF(AND(ISNUMBER(AS13),ISNUMBER(M13)),PI()/4*(AS13/1000)^2*M13*INDEX(LenF,MATCH($M$7,LenU,0)),0))</f>
        <v>2.23750320965139</v>
      </c>
      <c r="AG13" s="21" t="n">
        <f aca="false">IF(E13="","",N(AD13)+N(AE13)+N(AF13))</f>
        <v>2.23750320965139</v>
      </c>
      <c r="AH13" s="21" t="str">
        <f aca="false">IF(ISNUMBER(I13),I13*INDEX(WtF,MATCH($I$7,WtU,0))/WaterRho,"")</f>
        <v/>
      </c>
      <c r="AI13" s="11"/>
      <c r="AJ13" s="11"/>
      <c r="AK13" s="20"/>
      <c r="AL13" s="11"/>
      <c r="AM13" s="21" t="n">
        <f aca="false">IF(AO13="","",AO13*IF(ISNUMBER(AK13),AK13,DefFills)*(1+IF(ISNUMBER(AL13),AL13,DefAllow)))</f>
        <v>16.0820543193694</v>
      </c>
      <c r="AN13" s="22" t="n">
        <f aca="false">IF(G13="Given volume",IF(ISNUMBER(H13),H13*INDEX(VolF,MATCH($H$7,VolU,0)),""),IF(G13="Water weight",AH13,IF(N(AG13)=0,"",AG13)))</f>
        <v>2.23750320965139</v>
      </c>
      <c r="AO13" s="22" t="n">
        <f aca="false">IF(N(AN13)=0,"",AN13*AT13*IF(ISNUMBER(AJ13),AJ13,DefCirc))</f>
        <v>2.5731286910991</v>
      </c>
      <c r="AP13" s="9" t="n">
        <f aca="false">IF(ISNUMBER(T13),T13*INDEX(LenF,MATCH($T$7,LenU,0)),IF(ISNUMBER(W13),W13*INDEX(LenF,MATCH($W$7,LenU,0))/PitchRatio,0))</f>
        <v>0</v>
      </c>
      <c r="AQ13" s="9" t="n">
        <f aca="false">IF(ISNUMBER(N13),PI()/4*(N13*INDEX(LenF,MATCH($N$7,LenU,0)))^2,IF(AND(ISNUMBER(S13),ISNUMBER(W13),X13&lt;&gt;""),S13*(W13*INDEX(LenF,MATCH($W$7,LenU,0)))^2*INDEX(LayoutF,MATCH(X13,LayoutU,0)),0))</f>
        <v>0</v>
      </c>
      <c r="AR13" s="9" t="n">
        <f aca="false">IF(ISNUMBER(O13),O13*INDEX(LenF,MATCH($O$7,LenU,0)),IF(ISNUMBER(V13),V13*INDEX(LenF,MATCH($V$7,LenU,0)),0))</f>
        <v>0</v>
      </c>
      <c r="AS13" s="9" t="n">
        <f aca="false">IF(ISNUMBER(L13),L13*INDEX(LenF,MATCH($L$7,LenU,0))*1000,IF(OR(J13="",K13=""),"",IFERROR(IF(INDEX(PipeWT,MATCH(J13,NPSU,0),MATCH(K13,SchU,0))="","Sch n/a",INDEX(PipeOD,MATCH(J13,NPSU,0))-2*INDEX(PipeWT,MATCH(J13,NPSU,0),MATCH(K13,SchU,0))),"")))</f>
        <v>154.08</v>
      </c>
      <c r="AT13" s="23" t="n">
        <f aca="false">IF(ISNUMBER(AI13),AI13,IFERROR(INDEX(IF(JobType="Decontamination",TypeFillDC,TypeFillCC),MATCH(E13,TypeL,0)),1))</f>
        <v>1</v>
      </c>
      <c r="AU13" s="9" t="n">
        <v>1</v>
      </c>
    </row>
    <row r="14" customFormat="false" ht="15" hidden="false" customHeight="false" outlineLevel="0" collapsed="false">
      <c r="A14" s="16" t="n">
        <v>5</v>
      </c>
      <c r="B14" s="20"/>
      <c r="C14" s="5"/>
      <c r="D14" s="5"/>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1" t="str">
        <f aca="false">IF(E14="Exchanger",IF(AND(ISNUMBER(S14),ISNUMBER(U14),ISNUMBER(V14)),S14*PI()/4*(U14*INDEX(LenF,MATCH($U$7,LenU,0)))^2*V14*INDEX(LenF,MATCH($V$7,LenU,0)),0)+IF(ISNUMBER(Y14),PI()/4*(Y14*INDEX(LenF,MATCH($Y$7,LenU,0)))^2*N(Z14)*INDEX(LenF,MATCH($Z$7,LenU,0))+IF(AA14="",0,IF(AA14="Conical",PI()/12*(Y14*INDEX(LenF,MATCH($Y$7,LenU,0)))^2*(0),INDEX(HeadK,MATCH(AA14,HeadU,0))*(Y14*INDEX(LenF,MATCH($Y$7,LenU,0)))^3)),0)+IF(ISNUMBER(Y14),PI()/4*(Y14*INDEX(LenF,MATCH($Y$7,LenU,0)))^2*N(AB14)*INDEX(LenF,MATCH($AB$7,LenU,0))+IF(AC14="",0,IF(AC14="Conical",PI()/12*(Y14*INDEX(LenF,MATCH($Y$7,LenU,0)))^2*(0),INDEX(HeadK,MATCH(AC14,HeadU,0))*(Y14*INDEX(LenF,MATCH($Y$7,LenU,0)))^3)),0),"")</f>
        <v/>
      </c>
      <c r="AE14" s="21" t="str">
        <f aca="false">IF(OR(E14="",E14="Piping"),"",IF(E14="Exchanger",AQ14*AR14+IF(P14="",0,IF(P14="Conical",PI()/12*(SQRT(4*AQ14/PI()))^2*(0),INDEX(HeadK,MATCH(P14,HeadU,0))*(SQRT(4*AQ14/PI()))^3))-IF(AND(ISNUMBER(S14),ISNUMBER(V14)),S14*PI()/4*AP14^2*V14*INDEX(LenF,MATCH($V$7,LenU,0)),0),IF(ISNUMBER(N14),PI()/4*(N14*INDEX(LenF,MATCH($N$7,LenU,0)))^2*N(O14)*INDEX(LenF,MATCH($O$7,LenU,0))+IF(P14="",0,IF(P14="Conical",PI()/12*(N14*INDEX(LenF,MATCH($N$7,LenU,0)))^2*(N(R14)*INDEX(LenF,MATCH($R$7,LenU,0))),INDEX(HeadK,MATCH(P14,HeadU,0))*(N14*INDEX(LenF,MATCH($N$7,LenU,0)))^3))+IF(Q14="",0,IF(Q14="Conical",PI()/12*(N14*INDEX(LenF,MATCH($N$7,LenU,0)))^2*(N(R14)*INDEX(LenF,MATCH($R$7,LenU,0))),INDEX(HeadK,MATCH(Q14,HeadU,0))*(N14*INDEX(LenF,MATCH($N$7,LenU,0)))^3)),0)))</f>
        <v/>
      </c>
      <c r="AF14" s="21" t="str">
        <f aca="false">IF(E14&lt;&gt;"Piping","",IF(AND(ISNUMBER(AS14),ISNUMBER(M14)),PI()/4*(AS14/1000)^2*M14*INDEX(LenF,MATCH($M$7,LenU,0)),0))</f>
        <v/>
      </c>
      <c r="AG14" s="21" t="str">
        <f aca="false">IF(E14="","",N(AD14)+N(AE14)+N(AF14))</f>
        <v/>
      </c>
      <c r="AH14" s="21" t="str">
        <f aca="false">IF(ISNUMBER(I14),I14*INDEX(WtF,MATCH($I$7,WtU,0))/WaterRho,"")</f>
        <v/>
      </c>
      <c r="AI14" s="11"/>
      <c r="AJ14" s="11"/>
      <c r="AK14" s="20"/>
      <c r="AL14" s="11"/>
      <c r="AM14" s="21" t="str">
        <f aca="false">IF(AO14="","",AO14*IF(ISNUMBER(AK14),AK14,DefFills)*(1+IF(ISNUMBER(AL14),AL14,DefAllow)))</f>
        <v/>
      </c>
      <c r="AN14" s="22" t="str">
        <f aca="false">IF(G14="Given volume",IF(ISNUMBER(H14),H14*INDEX(VolF,MATCH($H$7,VolU,0)),""),IF(G14="Water weight",AH14,IF(N(AG14)=0,"",AG14)))</f>
        <v/>
      </c>
      <c r="AO14" s="22" t="str">
        <f aca="false">IF(N(AN14)=0,"",AN14*AT14*IF(ISNUMBER(AJ14),AJ14,DefCirc))</f>
        <v/>
      </c>
      <c r="AP14" s="9" t="n">
        <f aca="false">IF(ISNUMBER(T14),T14*INDEX(LenF,MATCH($T$7,LenU,0)),IF(ISNUMBER(W14),W14*INDEX(LenF,MATCH($W$7,LenU,0))/PitchRatio,0))</f>
        <v>0</v>
      </c>
      <c r="AQ14" s="9" t="n">
        <f aca="false">IF(ISNUMBER(N14),PI()/4*(N14*INDEX(LenF,MATCH($N$7,LenU,0)))^2,IF(AND(ISNUMBER(S14),ISNUMBER(W14),X14&lt;&gt;""),S14*(W14*INDEX(LenF,MATCH($W$7,LenU,0)))^2*INDEX(LayoutF,MATCH(X14,LayoutU,0)),0))</f>
        <v>0</v>
      </c>
      <c r="AR14" s="9" t="n">
        <f aca="false">IF(ISNUMBER(O14),O14*INDEX(LenF,MATCH($O$7,LenU,0)),IF(ISNUMBER(V14),V14*INDEX(LenF,MATCH($V$7,LenU,0)),0))</f>
        <v>0</v>
      </c>
      <c r="AS14" s="9" t="str">
        <f aca="false">IF(ISNUMBER(L14),L14*INDEX(LenF,MATCH($L$7,LenU,0))*1000,IF(OR(J14="",K14=""),"",IFERROR(IF(INDEX(PipeWT,MATCH(J14,NPSU,0),MATCH(K14,SchU,0))="","Sch n/a",INDEX(PipeOD,MATCH(J14,NPSU,0))-2*INDEX(PipeWT,MATCH(J14,NPSU,0),MATCH(K14,SchU,0))),"")))</f>
        <v/>
      </c>
      <c r="AT14" s="9" t="n">
        <f aca="false">IF(ISNUMBER(AI14),AI14,IFERROR(INDEX(IF(JobType="Decontamination",TypeFillDC,TypeFillCC),MATCH(E14,TypeL,0)),1))</f>
        <v>1</v>
      </c>
      <c r="AU14" s="9" t="n">
        <v>1</v>
      </c>
    </row>
    <row r="15" customFormat="false" ht="15" hidden="false" customHeight="false" outlineLevel="0" collapsed="false">
      <c r="A15" s="16" t="n">
        <v>6</v>
      </c>
      <c r="B15" s="20"/>
      <c r="C15" s="5"/>
      <c r="D15" s="5"/>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1" t="str">
        <f aca="false">IF(E15="Exchanger",IF(AND(ISNUMBER(S15),ISNUMBER(U15),ISNUMBER(V15)),S15*PI()/4*(U15*INDEX(LenF,MATCH($U$7,LenU,0)))^2*V15*INDEX(LenF,MATCH($V$7,LenU,0)),0)+IF(ISNUMBER(Y15),PI()/4*(Y15*INDEX(LenF,MATCH($Y$7,LenU,0)))^2*N(Z15)*INDEX(LenF,MATCH($Z$7,LenU,0))+IF(AA15="",0,IF(AA15="Conical",PI()/12*(Y15*INDEX(LenF,MATCH($Y$7,LenU,0)))^2*(0),INDEX(HeadK,MATCH(AA15,HeadU,0))*(Y15*INDEX(LenF,MATCH($Y$7,LenU,0)))^3)),0)+IF(ISNUMBER(Y15),PI()/4*(Y15*INDEX(LenF,MATCH($Y$7,LenU,0)))^2*N(AB15)*INDEX(LenF,MATCH($AB$7,LenU,0))+IF(AC15="",0,IF(AC15="Conical",PI()/12*(Y15*INDEX(LenF,MATCH($Y$7,LenU,0)))^2*(0),INDEX(HeadK,MATCH(AC15,HeadU,0))*(Y15*INDEX(LenF,MATCH($Y$7,LenU,0)))^3)),0),"")</f>
        <v/>
      </c>
      <c r="AE15" s="21" t="str">
        <f aca="false">IF(OR(E15="",E15="Piping"),"",IF(E15="Exchanger",AQ15*AR15+IF(P15="",0,IF(P15="Conical",PI()/12*(SQRT(4*AQ15/PI()))^2*(0),INDEX(HeadK,MATCH(P15,HeadU,0))*(SQRT(4*AQ15/PI()))^3))-IF(AND(ISNUMBER(S15),ISNUMBER(V15)),S15*PI()/4*AP15^2*V15*INDEX(LenF,MATCH($V$7,LenU,0)),0),IF(ISNUMBER(N15),PI()/4*(N15*INDEX(LenF,MATCH($N$7,LenU,0)))^2*N(O15)*INDEX(LenF,MATCH($O$7,LenU,0))+IF(P15="",0,IF(P15="Conical",PI()/12*(N15*INDEX(LenF,MATCH($N$7,LenU,0)))^2*(N(R15)*INDEX(LenF,MATCH($R$7,LenU,0))),INDEX(HeadK,MATCH(P15,HeadU,0))*(N15*INDEX(LenF,MATCH($N$7,LenU,0)))^3))+IF(Q15="",0,IF(Q15="Conical",PI()/12*(N15*INDEX(LenF,MATCH($N$7,LenU,0)))^2*(N(R15)*INDEX(LenF,MATCH($R$7,LenU,0))),INDEX(HeadK,MATCH(Q15,HeadU,0))*(N15*INDEX(LenF,MATCH($N$7,LenU,0)))^3)),0)))</f>
        <v/>
      </c>
      <c r="AF15" s="21" t="str">
        <f aca="false">IF(E15&lt;&gt;"Piping","",IF(AND(ISNUMBER(AS15),ISNUMBER(M15)),PI()/4*(AS15/1000)^2*M15*INDEX(LenF,MATCH($M$7,LenU,0)),0))</f>
        <v/>
      </c>
      <c r="AG15" s="21" t="str">
        <f aca="false">IF(E15="","",N(AD15)+N(AE15)+N(AF15))</f>
        <v/>
      </c>
      <c r="AH15" s="21" t="str">
        <f aca="false">IF(ISNUMBER(I15),I15*INDEX(WtF,MATCH($I$7,WtU,0))/WaterRho,"")</f>
        <v/>
      </c>
      <c r="AI15" s="11"/>
      <c r="AJ15" s="11"/>
      <c r="AK15" s="20"/>
      <c r="AL15" s="11"/>
      <c r="AM15" s="21" t="str">
        <f aca="false">IF(AO15="","",AO15*IF(ISNUMBER(AK15),AK15,DefFills)*(1+IF(ISNUMBER(AL15),AL15,DefAllow)))</f>
        <v/>
      </c>
      <c r="AN15" s="22" t="str">
        <f aca="false">IF(G15="Given volume",IF(ISNUMBER(H15),H15*INDEX(VolF,MATCH($H$7,VolU,0)),""),IF(G15="Water weight",AH15,IF(N(AG15)=0,"",AG15)))</f>
        <v/>
      </c>
      <c r="AO15" s="22" t="str">
        <f aca="false">IF(N(AN15)=0,"",AN15*AT15*IF(ISNUMBER(AJ15),AJ15,DefCirc))</f>
        <v/>
      </c>
      <c r="AP15" s="9" t="n">
        <f aca="false">IF(ISNUMBER(T15),T15*INDEX(LenF,MATCH($T$7,LenU,0)),IF(ISNUMBER(W15),W15*INDEX(LenF,MATCH($W$7,LenU,0))/PitchRatio,0))</f>
        <v>0</v>
      </c>
      <c r="AQ15" s="9" t="n">
        <f aca="false">IF(ISNUMBER(N15),PI()/4*(N15*INDEX(LenF,MATCH($N$7,LenU,0)))^2,IF(AND(ISNUMBER(S15),ISNUMBER(W15),X15&lt;&gt;""),S15*(W15*INDEX(LenF,MATCH($W$7,LenU,0)))^2*INDEX(LayoutF,MATCH(X15,LayoutU,0)),0))</f>
        <v>0</v>
      </c>
      <c r="AR15" s="9" t="n">
        <f aca="false">IF(ISNUMBER(O15),O15*INDEX(LenF,MATCH($O$7,LenU,0)),IF(ISNUMBER(V15),V15*INDEX(LenF,MATCH($V$7,LenU,0)),0))</f>
        <v>0</v>
      </c>
      <c r="AS15" s="9" t="str">
        <f aca="false">IF(ISNUMBER(L15),L15*INDEX(LenF,MATCH($L$7,LenU,0))*1000,IF(OR(J15="",K15=""),"",IFERROR(IF(INDEX(PipeWT,MATCH(J15,NPSU,0),MATCH(K15,SchU,0))="","Sch n/a",INDEX(PipeOD,MATCH(J15,NPSU,0))-2*INDEX(PipeWT,MATCH(J15,NPSU,0),MATCH(K15,SchU,0))),"")))</f>
        <v/>
      </c>
      <c r="AT15" s="9" t="n">
        <f aca="false">IF(ISNUMBER(AI15),AI15,IFERROR(INDEX(IF(JobType="Decontamination",TypeFillDC,TypeFillCC),MATCH(E15,TypeL,0)),1))</f>
        <v>1</v>
      </c>
      <c r="AU15" s="9" t="n">
        <v>1</v>
      </c>
    </row>
    <row r="16" customFormat="false" ht="15" hidden="false" customHeight="false" outlineLevel="0" collapsed="false">
      <c r="A16" s="16" t="n">
        <v>7</v>
      </c>
      <c r="B16" s="20"/>
      <c r="C16" s="5"/>
      <c r="D16" s="5"/>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1" t="str">
        <f aca="false">IF(E16="Exchanger",IF(AND(ISNUMBER(S16),ISNUMBER(U16),ISNUMBER(V16)),S16*PI()/4*(U16*INDEX(LenF,MATCH($U$7,LenU,0)))^2*V16*INDEX(LenF,MATCH($V$7,LenU,0)),0)+IF(ISNUMBER(Y16),PI()/4*(Y16*INDEX(LenF,MATCH($Y$7,LenU,0)))^2*N(Z16)*INDEX(LenF,MATCH($Z$7,LenU,0))+IF(AA16="",0,IF(AA16="Conical",PI()/12*(Y16*INDEX(LenF,MATCH($Y$7,LenU,0)))^2*(0),INDEX(HeadK,MATCH(AA16,HeadU,0))*(Y16*INDEX(LenF,MATCH($Y$7,LenU,0)))^3)),0)+IF(ISNUMBER(Y16),PI()/4*(Y16*INDEX(LenF,MATCH($Y$7,LenU,0)))^2*N(AB16)*INDEX(LenF,MATCH($AB$7,LenU,0))+IF(AC16="",0,IF(AC16="Conical",PI()/12*(Y16*INDEX(LenF,MATCH($Y$7,LenU,0)))^2*(0),INDEX(HeadK,MATCH(AC16,HeadU,0))*(Y16*INDEX(LenF,MATCH($Y$7,LenU,0)))^3)),0),"")</f>
        <v/>
      </c>
      <c r="AE16" s="21" t="str">
        <f aca="false">IF(OR(E16="",E16="Piping"),"",IF(E16="Exchanger",AQ16*AR16+IF(P16="",0,IF(P16="Conical",PI()/12*(SQRT(4*AQ16/PI()))^2*(0),INDEX(HeadK,MATCH(P16,HeadU,0))*(SQRT(4*AQ16/PI()))^3))-IF(AND(ISNUMBER(S16),ISNUMBER(V16)),S16*PI()/4*AP16^2*V16*INDEX(LenF,MATCH($V$7,LenU,0)),0),IF(ISNUMBER(N16),PI()/4*(N16*INDEX(LenF,MATCH($N$7,LenU,0)))^2*N(O16)*INDEX(LenF,MATCH($O$7,LenU,0))+IF(P16="",0,IF(P16="Conical",PI()/12*(N16*INDEX(LenF,MATCH($N$7,LenU,0)))^2*(N(R16)*INDEX(LenF,MATCH($R$7,LenU,0))),INDEX(HeadK,MATCH(P16,HeadU,0))*(N16*INDEX(LenF,MATCH($N$7,LenU,0)))^3))+IF(Q16="",0,IF(Q16="Conical",PI()/12*(N16*INDEX(LenF,MATCH($N$7,LenU,0)))^2*(N(R16)*INDEX(LenF,MATCH($R$7,LenU,0))),INDEX(HeadK,MATCH(Q16,HeadU,0))*(N16*INDEX(LenF,MATCH($N$7,LenU,0)))^3)),0)))</f>
        <v/>
      </c>
      <c r="AF16" s="21" t="str">
        <f aca="false">IF(E16&lt;&gt;"Piping","",IF(AND(ISNUMBER(AS16),ISNUMBER(M16)),PI()/4*(AS16/1000)^2*M16*INDEX(LenF,MATCH($M$7,LenU,0)),0))</f>
        <v/>
      </c>
      <c r="AG16" s="21" t="str">
        <f aca="false">IF(E16="","",N(AD16)+N(AE16)+N(AF16))</f>
        <v/>
      </c>
      <c r="AH16" s="21" t="str">
        <f aca="false">IF(ISNUMBER(I16),I16*INDEX(WtF,MATCH($I$7,WtU,0))/WaterRho,"")</f>
        <v/>
      </c>
      <c r="AI16" s="11"/>
      <c r="AJ16" s="11"/>
      <c r="AK16" s="20"/>
      <c r="AL16" s="11"/>
      <c r="AM16" s="21" t="str">
        <f aca="false">IF(AO16="","",AO16*IF(ISNUMBER(AK16),AK16,DefFills)*(1+IF(ISNUMBER(AL16),AL16,DefAllow)))</f>
        <v/>
      </c>
      <c r="AN16" s="22" t="str">
        <f aca="false">IF(G16="Given volume",IF(ISNUMBER(H16),H16*INDEX(VolF,MATCH($H$7,VolU,0)),""),IF(G16="Water weight",AH16,IF(N(AG16)=0,"",AG16)))</f>
        <v/>
      </c>
      <c r="AO16" s="22" t="str">
        <f aca="false">IF(N(AN16)=0,"",AN16*AT16*IF(ISNUMBER(AJ16),AJ16,DefCirc))</f>
        <v/>
      </c>
      <c r="AP16" s="9" t="n">
        <f aca="false">IF(ISNUMBER(T16),T16*INDEX(LenF,MATCH($T$7,LenU,0)),IF(ISNUMBER(W16),W16*INDEX(LenF,MATCH($W$7,LenU,0))/PitchRatio,0))</f>
        <v>0</v>
      </c>
      <c r="AQ16" s="9" t="n">
        <f aca="false">IF(ISNUMBER(N16),PI()/4*(N16*INDEX(LenF,MATCH($N$7,LenU,0)))^2,IF(AND(ISNUMBER(S16),ISNUMBER(W16),X16&lt;&gt;""),S16*(W16*INDEX(LenF,MATCH($W$7,LenU,0)))^2*INDEX(LayoutF,MATCH(X16,LayoutU,0)),0))</f>
        <v>0</v>
      </c>
      <c r="AR16" s="9" t="n">
        <f aca="false">IF(ISNUMBER(O16),O16*INDEX(LenF,MATCH($O$7,LenU,0)),IF(ISNUMBER(V16),V16*INDEX(LenF,MATCH($V$7,LenU,0)),0))</f>
        <v>0</v>
      </c>
      <c r="AS16" s="9" t="str">
        <f aca="false">IF(ISNUMBER(L16),L16*INDEX(LenF,MATCH($L$7,LenU,0))*1000,IF(OR(J16="",K16=""),"",IFERROR(IF(INDEX(PipeWT,MATCH(J16,NPSU,0),MATCH(K16,SchU,0))="","Sch n/a",INDEX(PipeOD,MATCH(J16,NPSU,0))-2*INDEX(PipeWT,MATCH(J16,NPSU,0),MATCH(K16,SchU,0))),"")))</f>
        <v/>
      </c>
      <c r="AT16" s="9" t="n">
        <f aca="false">IF(ISNUMBER(AI16),AI16,IFERROR(INDEX(IF(JobType="Decontamination",TypeFillDC,TypeFillCC),MATCH(E16,TypeL,0)),1))</f>
        <v>1</v>
      </c>
      <c r="AU16" s="9" t="n">
        <v>1</v>
      </c>
    </row>
    <row r="17" customFormat="false" ht="15" hidden="false" customHeight="false" outlineLevel="0" collapsed="false">
      <c r="A17" s="16" t="n">
        <v>8</v>
      </c>
      <c r="B17" s="20"/>
      <c r="C17" s="5"/>
      <c r="D17" s="5"/>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1" t="str">
        <f aca="false">IF(E17="Exchanger",IF(AND(ISNUMBER(S17),ISNUMBER(U17),ISNUMBER(V17)),S17*PI()/4*(U17*INDEX(LenF,MATCH($U$7,LenU,0)))^2*V17*INDEX(LenF,MATCH($V$7,LenU,0)),0)+IF(ISNUMBER(Y17),PI()/4*(Y17*INDEX(LenF,MATCH($Y$7,LenU,0)))^2*N(Z17)*INDEX(LenF,MATCH($Z$7,LenU,0))+IF(AA17="",0,IF(AA17="Conical",PI()/12*(Y17*INDEX(LenF,MATCH($Y$7,LenU,0)))^2*(0),INDEX(HeadK,MATCH(AA17,HeadU,0))*(Y17*INDEX(LenF,MATCH($Y$7,LenU,0)))^3)),0)+IF(ISNUMBER(Y17),PI()/4*(Y17*INDEX(LenF,MATCH($Y$7,LenU,0)))^2*N(AB17)*INDEX(LenF,MATCH($AB$7,LenU,0))+IF(AC17="",0,IF(AC17="Conical",PI()/12*(Y17*INDEX(LenF,MATCH($Y$7,LenU,0)))^2*(0),INDEX(HeadK,MATCH(AC17,HeadU,0))*(Y17*INDEX(LenF,MATCH($Y$7,LenU,0)))^3)),0),"")</f>
        <v/>
      </c>
      <c r="AE17" s="21" t="str">
        <f aca="false">IF(OR(E17="",E17="Piping"),"",IF(E17="Exchanger",AQ17*AR17+IF(P17="",0,IF(P17="Conical",PI()/12*(SQRT(4*AQ17/PI()))^2*(0),INDEX(HeadK,MATCH(P17,HeadU,0))*(SQRT(4*AQ17/PI()))^3))-IF(AND(ISNUMBER(S17),ISNUMBER(V17)),S17*PI()/4*AP17^2*V17*INDEX(LenF,MATCH($V$7,LenU,0)),0),IF(ISNUMBER(N17),PI()/4*(N17*INDEX(LenF,MATCH($N$7,LenU,0)))^2*N(O17)*INDEX(LenF,MATCH($O$7,LenU,0))+IF(P17="",0,IF(P17="Conical",PI()/12*(N17*INDEX(LenF,MATCH($N$7,LenU,0)))^2*(N(R17)*INDEX(LenF,MATCH($R$7,LenU,0))),INDEX(HeadK,MATCH(P17,HeadU,0))*(N17*INDEX(LenF,MATCH($N$7,LenU,0)))^3))+IF(Q17="",0,IF(Q17="Conical",PI()/12*(N17*INDEX(LenF,MATCH($N$7,LenU,0)))^2*(N(R17)*INDEX(LenF,MATCH($R$7,LenU,0))),INDEX(HeadK,MATCH(Q17,HeadU,0))*(N17*INDEX(LenF,MATCH($N$7,LenU,0)))^3)),0)))</f>
        <v/>
      </c>
      <c r="AF17" s="21" t="str">
        <f aca="false">IF(E17&lt;&gt;"Piping","",IF(AND(ISNUMBER(AS17),ISNUMBER(M17)),PI()/4*(AS17/1000)^2*M17*INDEX(LenF,MATCH($M$7,LenU,0)),0))</f>
        <v/>
      </c>
      <c r="AG17" s="21" t="str">
        <f aca="false">IF(E17="","",N(AD17)+N(AE17)+N(AF17))</f>
        <v/>
      </c>
      <c r="AH17" s="21" t="str">
        <f aca="false">IF(ISNUMBER(I17),I17*INDEX(WtF,MATCH($I$7,WtU,0))/WaterRho,"")</f>
        <v/>
      </c>
      <c r="AI17" s="11"/>
      <c r="AJ17" s="11"/>
      <c r="AK17" s="20"/>
      <c r="AL17" s="11"/>
      <c r="AM17" s="21" t="str">
        <f aca="false">IF(AO17="","",AO17*IF(ISNUMBER(AK17),AK17,DefFills)*(1+IF(ISNUMBER(AL17),AL17,DefAllow)))</f>
        <v/>
      </c>
      <c r="AN17" s="22" t="str">
        <f aca="false">IF(G17="Given volume",IF(ISNUMBER(H17),H17*INDEX(VolF,MATCH($H$7,VolU,0)),""),IF(G17="Water weight",AH17,IF(N(AG17)=0,"",AG17)))</f>
        <v/>
      </c>
      <c r="AO17" s="22" t="str">
        <f aca="false">IF(N(AN17)=0,"",AN17*AT17*IF(ISNUMBER(AJ17),AJ17,DefCirc))</f>
        <v/>
      </c>
      <c r="AP17" s="9" t="n">
        <f aca="false">IF(ISNUMBER(T17),T17*INDEX(LenF,MATCH($T$7,LenU,0)),IF(ISNUMBER(W17),W17*INDEX(LenF,MATCH($W$7,LenU,0))/PitchRatio,0))</f>
        <v>0</v>
      </c>
      <c r="AQ17" s="9" t="n">
        <f aca="false">IF(ISNUMBER(N17),PI()/4*(N17*INDEX(LenF,MATCH($N$7,LenU,0)))^2,IF(AND(ISNUMBER(S17),ISNUMBER(W17),X17&lt;&gt;""),S17*(W17*INDEX(LenF,MATCH($W$7,LenU,0)))^2*INDEX(LayoutF,MATCH(X17,LayoutU,0)),0))</f>
        <v>0</v>
      </c>
      <c r="AR17" s="9" t="n">
        <f aca="false">IF(ISNUMBER(O17),O17*INDEX(LenF,MATCH($O$7,LenU,0)),IF(ISNUMBER(V17),V17*INDEX(LenF,MATCH($V$7,LenU,0)),0))</f>
        <v>0</v>
      </c>
      <c r="AS17" s="9" t="str">
        <f aca="false">IF(ISNUMBER(L17),L17*INDEX(LenF,MATCH($L$7,LenU,0))*1000,IF(OR(J17="",K17=""),"",IFERROR(IF(INDEX(PipeWT,MATCH(J17,NPSU,0),MATCH(K17,SchU,0))="","Sch n/a",INDEX(PipeOD,MATCH(J17,NPSU,0))-2*INDEX(PipeWT,MATCH(J17,NPSU,0),MATCH(K17,SchU,0))),"")))</f>
        <v/>
      </c>
      <c r="AT17" s="9" t="n">
        <f aca="false">IF(ISNUMBER(AI17),AI17,IFERROR(INDEX(IF(JobType="Decontamination",TypeFillDC,TypeFillCC),MATCH(E17,TypeL,0)),1))</f>
        <v>1</v>
      </c>
      <c r="AU17" s="9" t="n">
        <v>1</v>
      </c>
    </row>
    <row r="18" customFormat="false" ht="15" hidden="false" customHeight="false" outlineLevel="0" collapsed="false">
      <c r="A18" s="16" t="n">
        <v>9</v>
      </c>
      <c r="B18" s="20"/>
      <c r="C18" s="5"/>
      <c r="D18" s="5"/>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1" t="str">
        <f aca="false">IF(E18="Exchanger",IF(AND(ISNUMBER(S18),ISNUMBER(U18),ISNUMBER(V18)),S18*PI()/4*(U18*INDEX(LenF,MATCH($U$7,LenU,0)))^2*V18*INDEX(LenF,MATCH($V$7,LenU,0)),0)+IF(ISNUMBER(Y18),PI()/4*(Y18*INDEX(LenF,MATCH($Y$7,LenU,0)))^2*N(Z18)*INDEX(LenF,MATCH($Z$7,LenU,0))+IF(AA18="",0,IF(AA18="Conical",PI()/12*(Y18*INDEX(LenF,MATCH($Y$7,LenU,0)))^2*(0),INDEX(HeadK,MATCH(AA18,HeadU,0))*(Y18*INDEX(LenF,MATCH($Y$7,LenU,0)))^3)),0)+IF(ISNUMBER(Y18),PI()/4*(Y18*INDEX(LenF,MATCH($Y$7,LenU,0)))^2*N(AB18)*INDEX(LenF,MATCH($AB$7,LenU,0))+IF(AC18="",0,IF(AC18="Conical",PI()/12*(Y18*INDEX(LenF,MATCH($Y$7,LenU,0)))^2*(0),INDEX(HeadK,MATCH(AC18,HeadU,0))*(Y18*INDEX(LenF,MATCH($Y$7,LenU,0)))^3)),0),"")</f>
        <v/>
      </c>
      <c r="AE18" s="21" t="str">
        <f aca="false">IF(OR(E18="",E18="Piping"),"",IF(E18="Exchanger",AQ18*AR18+IF(P18="",0,IF(P18="Conical",PI()/12*(SQRT(4*AQ18/PI()))^2*(0),INDEX(HeadK,MATCH(P18,HeadU,0))*(SQRT(4*AQ18/PI()))^3))-IF(AND(ISNUMBER(S18),ISNUMBER(V18)),S18*PI()/4*AP18^2*V18*INDEX(LenF,MATCH($V$7,LenU,0)),0),IF(ISNUMBER(N18),PI()/4*(N18*INDEX(LenF,MATCH($N$7,LenU,0)))^2*N(O18)*INDEX(LenF,MATCH($O$7,LenU,0))+IF(P18="",0,IF(P18="Conical",PI()/12*(N18*INDEX(LenF,MATCH($N$7,LenU,0)))^2*(N(R18)*INDEX(LenF,MATCH($R$7,LenU,0))),INDEX(HeadK,MATCH(P18,HeadU,0))*(N18*INDEX(LenF,MATCH($N$7,LenU,0)))^3))+IF(Q18="",0,IF(Q18="Conical",PI()/12*(N18*INDEX(LenF,MATCH($N$7,LenU,0)))^2*(N(R18)*INDEX(LenF,MATCH($R$7,LenU,0))),INDEX(HeadK,MATCH(Q18,HeadU,0))*(N18*INDEX(LenF,MATCH($N$7,LenU,0)))^3)),0)))</f>
        <v/>
      </c>
      <c r="AF18" s="21" t="str">
        <f aca="false">IF(E18&lt;&gt;"Piping","",IF(AND(ISNUMBER(AS18),ISNUMBER(M18)),PI()/4*(AS18/1000)^2*M18*INDEX(LenF,MATCH($M$7,LenU,0)),0))</f>
        <v/>
      </c>
      <c r="AG18" s="21" t="str">
        <f aca="false">IF(E18="","",N(AD18)+N(AE18)+N(AF18))</f>
        <v/>
      </c>
      <c r="AH18" s="21" t="str">
        <f aca="false">IF(ISNUMBER(I18),I18*INDEX(WtF,MATCH($I$7,WtU,0))/WaterRho,"")</f>
        <v/>
      </c>
      <c r="AI18" s="11"/>
      <c r="AJ18" s="11"/>
      <c r="AK18" s="20"/>
      <c r="AL18" s="11"/>
      <c r="AM18" s="21" t="str">
        <f aca="false">IF(AO18="","",AO18*IF(ISNUMBER(AK18),AK18,DefFills)*(1+IF(ISNUMBER(AL18),AL18,DefAllow)))</f>
        <v/>
      </c>
      <c r="AN18" s="22" t="str">
        <f aca="false">IF(G18="Given volume",IF(ISNUMBER(H18),H18*INDEX(VolF,MATCH($H$7,VolU,0)),""),IF(G18="Water weight",AH18,IF(N(AG18)=0,"",AG18)))</f>
        <v/>
      </c>
      <c r="AO18" s="22" t="str">
        <f aca="false">IF(N(AN18)=0,"",AN18*AT18*IF(ISNUMBER(AJ18),AJ18,DefCirc))</f>
        <v/>
      </c>
      <c r="AP18" s="9" t="n">
        <f aca="false">IF(ISNUMBER(T18),T18*INDEX(LenF,MATCH($T$7,LenU,0)),IF(ISNUMBER(W18),W18*INDEX(LenF,MATCH($W$7,LenU,0))/PitchRatio,0))</f>
        <v>0</v>
      </c>
      <c r="AQ18" s="9" t="n">
        <f aca="false">IF(ISNUMBER(N18),PI()/4*(N18*INDEX(LenF,MATCH($N$7,LenU,0)))^2,IF(AND(ISNUMBER(S18),ISNUMBER(W18),X18&lt;&gt;""),S18*(W18*INDEX(LenF,MATCH($W$7,LenU,0)))^2*INDEX(LayoutF,MATCH(X18,LayoutU,0)),0))</f>
        <v>0</v>
      </c>
      <c r="AR18" s="9" t="n">
        <f aca="false">IF(ISNUMBER(O18),O18*INDEX(LenF,MATCH($O$7,LenU,0)),IF(ISNUMBER(V18),V18*INDEX(LenF,MATCH($V$7,LenU,0)),0))</f>
        <v>0</v>
      </c>
      <c r="AS18" s="9" t="str">
        <f aca="false">IF(ISNUMBER(L18),L18*INDEX(LenF,MATCH($L$7,LenU,0))*1000,IF(OR(J18="",K18=""),"",IFERROR(IF(INDEX(PipeWT,MATCH(J18,NPSU,0),MATCH(K18,SchU,0))="","Sch n/a",INDEX(PipeOD,MATCH(J18,NPSU,0))-2*INDEX(PipeWT,MATCH(J18,NPSU,0),MATCH(K18,SchU,0))),"")))</f>
        <v/>
      </c>
      <c r="AT18" s="9" t="n">
        <f aca="false">IF(ISNUMBER(AI18),AI18,IFERROR(INDEX(IF(JobType="Decontamination",TypeFillDC,TypeFillCC),MATCH(E18,TypeL,0)),1))</f>
        <v>1</v>
      </c>
      <c r="AU18" s="9" t="n">
        <v>1</v>
      </c>
    </row>
    <row r="19" customFormat="false" ht="15" hidden="false" customHeight="false" outlineLevel="0" collapsed="false">
      <c r="A19" s="16" t="n">
        <v>10</v>
      </c>
      <c r="B19" s="20"/>
      <c r="C19" s="5"/>
      <c r="D19" s="5"/>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1" t="str">
        <f aca="false">IF(E19="Exchanger",IF(AND(ISNUMBER(S19),ISNUMBER(U19),ISNUMBER(V19)),S19*PI()/4*(U19*INDEX(LenF,MATCH($U$7,LenU,0)))^2*V19*INDEX(LenF,MATCH($V$7,LenU,0)),0)+IF(ISNUMBER(Y19),PI()/4*(Y19*INDEX(LenF,MATCH($Y$7,LenU,0)))^2*N(Z19)*INDEX(LenF,MATCH($Z$7,LenU,0))+IF(AA19="",0,IF(AA19="Conical",PI()/12*(Y19*INDEX(LenF,MATCH($Y$7,LenU,0)))^2*(0),INDEX(HeadK,MATCH(AA19,HeadU,0))*(Y19*INDEX(LenF,MATCH($Y$7,LenU,0)))^3)),0)+IF(ISNUMBER(Y19),PI()/4*(Y19*INDEX(LenF,MATCH($Y$7,LenU,0)))^2*N(AB19)*INDEX(LenF,MATCH($AB$7,LenU,0))+IF(AC19="",0,IF(AC19="Conical",PI()/12*(Y19*INDEX(LenF,MATCH($Y$7,LenU,0)))^2*(0),INDEX(HeadK,MATCH(AC19,HeadU,0))*(Y19*INDEX(LenF,MATCH($Y$7,LenU,0)))^3)),0),"")</f>
        <v/>
      </c>
      <c r="AE19" s="21" t="str">
        <f aca="false">IF(OR(E19="",E19="Piping"),"",IF(E19="Exchanger",AQ19*AR19+IF(P19="",0,IF(P19="Conical",PI()/12*(SQRT(4*AQ19/PI()))^2*(0),INDEX(HeadK,MATCH(P19,HeadU,0))*(SQRT(4*AQ19/PI()))^3))-IF(AND(ISNUMBER(S19),ISNUMBER(V19)),S19*PI()/4*AP19^2*V19*INDEX(LenF,MATCH($V$7,LenU,0)),0),IF(ISNUMBER(N19),PI()/4*(N19*INDEX(LenF,MATCH($N$7,LenU,0)))^2*N(O19)*INDEX(LenF,MATCH($O$7,LenU,0))+IF(P19="",0,IF(P19="Conical",PI()/12*(N19*INDEX(LenF,MATCH($N$7,LenU,0)))^2*(N(R19)*INDEX(LenF,MATCH($R$7,LenU,0))),INDEX(HeadK,MATCH(P19,HeadU,0))*(N19*INDEX(LenF,MATCH($N$7,LenU,0)))^3))+IF(Q19="",0,IF(Q19="Conical",PI()/12*(N19*INDEX(LenF,MATCH($N$7,LenU,0)))^2*(N(R19)*INDEX(LenF,MATCH($R$7,LenU,0))),INDEX(HeadK,MATCH(Q19,HeadU,0))*(N19*INDEX(LenF,MATCH($N$7,LenU,0)))^3)),0)))</f>
        <v/>
      </c>
      <c r="AF19" s="21" t="str">
        <f aca="false">IF(E19&lt;&gt;"Piping","",IF(AND(ISNUMBER(AS19),ISNUMBER(M19)),PI()/4*(AS19/1000)^2*M19*INDEX(LenF,MATCH($M$7,LenU,0)),0))</f>
        <v/>
      </c>
      <c r="AG19" s="21" t="str">
        <f aca="false">IF(E19="","",N(AD19)+N(AE19)+N(AF19))</f>
        <v/>
      </c>
      <c r="AH19" s="21" t="str">
        <f aca="false">IF(ISNUMBER(I19),I19*INDEX(WtF,MATCH($I$7,WtU,0))/WaterRho,"")</f>
        <v/>
      </c>
      <c r="AI19" s="11"/>
      <c r="AJ19" s="11"/>
      <c r="AK19" s="20"/>
      <c r="AL19" s="11"/>
      <c r="AM19" s="21" t="str">
        <f aca="false">IF(AO19="","",AO19*IF(ISNUMBER(AK19),AK19,DefFills)*(1+IF(ISNUMBER(AL19),AL19,DefAllow)))</f>
        <v/>
      </c>
      <c r="AN19" s="22" t="str">
        <f aca="false">IF(G19="Given volume",IF(ISNUMBER(H19),H19*INDEX(VolF,MATCH($H$7,VolU,0)),""),IF(G19="Water weight",AH19,IF(N(AG19)=0,"",AG19)))</f>
        <v/>
      </c>
      <c r="AO19" s="22" t="str">
        <f aca="false">IF(N(AN19)=0,"",AN19*AT19*IF(ISNUMBER(AJ19),AJ19,DefCirc))</f>
        <v/>
      </c>
      <c r="AP19" s="9" t="n">
        <f aca="false">IF(ISNUMBER(T19),T19*INDEX(LenF,MATCH($T$7,LenU,0)),IF(ISNUMBER(W19),W19*INDEX(LenF,MATCH($W$7,LenU,0))/PitchRatio,0))</f>
        <v>0</v>
      </c>
      <c r="AQ19" s="9" t="n">
        <f aca="false">IF(ISNUMBER(N19),PI()/4*(N19*INDEX(LenF,MATCH($N$7,LenU,0)))^2,IF(AND(ISNUMBER(S19),ISNUMBER(W19),X19&lt;&gt;""),S19*(W19*INDEX(LenF,MATCH($W$7,LenU,0)))^2*INDEX(LayoutF,MATCH(X19,LayoutU,0)),0))</f>
        <v>0</v>
      </c>
      <c r="AR19" s="9" t="n">
        <f aca="false">IF(ISNUMBER(O19),O19*INDEX(LenF,MATCH($O$7,LenU,0)),IF(ISNUMBER(V19),V19*INDEX(LenF,MATCH($V$7,LenU,0)),0))</f>
        <v>0</v>
      </c>
      <c r="AS19" s="9" t="str">
        <f aca="false">IF(ISNUMBER(L19),L19*INDEX(LenF,MATCH($L$7,LenU,0))*1000,IF(OR(J19="",K19=""),"",IFERROR(IF(INDEX(PipeWT,MATCH(J19,NPSU,0),MATCH(K19,SchU,0))="","Sch n/a",INDEX(PipeOD,MATCH(J19,NPSU,0))-2*INDEX(PipeWT,MATCH(J19,NPSU,0),MATCH(K19,SchU,0))),"")))</f>
        <v/>
      </c>
      <c r="AT19" s="9" t="n">
        <f aca="false">IF(ISNUMBER(AI19),AI19,IFERROR(INDEX(IF(JobType="Decontamination",TypeFillDC,TypeFillCC),MATCH(E19,TypeL,0)),1))</f>
        <v>1</v>
      </c>
      <c r="AU19" s="9" t="n">
        <v>1</v>
      </c>
    </row>
    <row r="20" customFormat="false" ht="15" hidden="false" customHeight="false" outlineLevel="0" collapsed="false">
      <c r="A20" s="16" t="n">
        <v>11</v>
      </c>
      <c r="B20" s="20"/>
      <c r="C20" s="5"/>
      <c r="D20" s="5"/>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1" t="str">
        <f aca="false">IF(E20="Exchanger",IF(AND(ISNUMBER(S20),ISNUMBER(U20),ISNUMBER(V20)),S20*PI()/4*(U20*INDEX(LenF,MATCH($U$7,LenU,0)))^2*V20*INDEX(LenF,MATCH($V$7,LenU,0)),0)+IF(ISNUMBER(Y20),PI()/4*(Y20*INDEX(LenF,MATCH($Y$7,LenU,0)))^2*N(Z20)*INDEX(LenF,MATCH($Z$7,LenU,0))+IF(AA20="",0,IF(AA20="Conical",PI()/12*(Y20*INDEX(LenF,MATCH($Y$7,LenU,0)))^2*(0),INDEX(HeadK,MATCH(AA20,HeadU,0))*(Y20*INDEX(LenF,MATCH($Y$7,LenU,0)))^3)),0)+IF(ISNUMBER(Y20),PI()/4*(Y20*INDEX(LenF,MATCH($Y$7,LenU,0)))^2*N(AB20)*INDEX(LenF,MATCH($AB$7,LenU,0))+IF(AC20="",0,IF(AC20="Conical",PI()/12*(Y20*INDEX(LenF,MATCH($Y$7,LenU,0)))^2*(0),INDEX(HeadK,MATCH(AC20,HeadU,0))*(Y20*INDEX(LenF,MATCH($Y$7,LenU,0)))^3)),0),"")</f>
        <v/>
      </c>
      <c r="AE20" s="21" t="str">
        <f aca="false">IF(OR(E20="",E20="Piping"),"",IF(E20="Exchanger",AQ20*AR20+IF(P20="",0,IF(P20="Conical",PI()/12*(SQRT(4*AQ20/PI()))^2*(0),INDEX(HeadK,MATCH(P20,HeadU,0))*(SQRT(4*AQ20/PI()))^3))-IF(AND(ISNUMBER(S20),ISNUMBER(V20)),S20*PI()/4*AP20^2*V20*INDEX(LenF,MATCH($V$7,LenU,0)),0),IF(ISNUMBER(N20),PI()/4*(N20*INDEX(LenF,MATCH($N$7,LenU,0)))^2*N(O20)*INDEX(LenF,MATCH($O$7,LenU,0))+IF(P20="",0,IF(P20="Conical",PI()/12*(N20*INDEX(LenF,MATCH($N$7,LenU,0)))^2*(N(R20)*INDEX(LenF,MATCH($R$7,LenU,0))),INDEX(HeadK,MATCH(P20,HeadU,0))*(N20*INDEX(LenF,MATCH($N$7,LenU,0)))^3))+IF(Q20="",0,IF(Q20="Conical",PI()/12*(N20*INDEX(LenF,MATCH($N$7,LenU,0)))^2*(N(R20)*INDEX(LenF,MATCH($R$7,LenU,0))),INDEX(HeadK,MATCH(Q20,HeadU,0))*(N20*INDEX(LenF,MATCH($N$7,LenU,0)))^3)),0)))</f>
        <v/>
      </c>
      <c r="AF20" s="21" t="str">
        <f aca="false">IF(E20&lt;&gt;"Piping","",IF(AND(ISNUMBER(AS20),ISNUMBER(M20)),PI()/4*(AS20/1000)^2*M20*INDEX(LenF,MATCH($M$7,LenU,0)),0))</f>
        <v/>
      </c>
      <c r="AG20" s="21" t="str">
        <f aca="false">IF(E20="","",N(AD20)+N(AE20)+N(AF20))</f>
        <v/>
      </c>
      <c r="AH20" s="21" t="str">
        <f aca="false">IF(ISNUMBER(I20),I20*INDEX(WtF,MATCH($I$7,WtU,0))/WaterRho,"")</f>
        <v/>
      </c>
      <c r="AI20" s="11"/>
      <c r="AJ20" s="11"/>
      <c r="AK20" s="20"/>
      <c r="AL20" s="11"/>
      <c r="AM20" s="21" t="str">
        <f aca="false">IF(AO20="","",AO20*IF(ISNUMBER(AK20),AK20,DefFills)*(1+IF(ISNUMBER(AL20),AL20,DefAllow)))</f>
        <v/>
      </c>
      <c r="AN20" s="22" t="str">
        <f aca="false">IF(G20="Given volume",IF(ISNUMBER(H20),H20*INDEX(VolF,MATCH($H$7,VolU,0)),""),IF(G20="Water weight",AH20,IF(N(AG20)=0,"",AG20)))</f>
        <v/>
      </c>
      <c r="AO20" s="22" t="str">
        <f aca="false">IF(N(AN20)=0,"",AN20*AT20*IF(ISNUMBER(AJ20),AJ20,DefCirc))</f>
        <v/>
      </c>
      <c r="AP20" s="9" t="n">
        <f aca="false">IF(ISNUMBER(T20),T20*INDEX(LenF,MATCH($T$7,LenU,0)),IF(ISNUMBER(W20),W20*INDEX(LenF,MATCH($W$7,LenU,0))/PitchRatio,0))</f>
        <v>0</v>
      </c>
      <c r="AQ20" s="9" t="n">
        <f aca="false">IF(ISNUMBER(N20),PI()/4*(N20*INDEX(LenF,MATCH($N$7,LenU,0)))^2,IF(AND(ISNUMBER(S20),ISNUMBER(W20),X20&lt;&gt;""),S20*(W20*INDEX(LenF,MATCH($W$7,LenU,0)))^2*INDEX(LayoutF,MATCH(X20,LayoutU,0)),0))</f>
        <v>0</v>
      </c>
      <c r="AR20" s="9" t="n">
        <f aca="false">IF(ISNUMBER(O20),O20*INDEX(LenF,MATCH($O$7,LenU,0)),IF(ISNUMBER(V20),V20*INDEX(LenF,MATCH($V$7,LenU,0)),0))</f>
        <v>0</v>
      </c>
      <c r="AS20" s="9" t="str">
        <f aca="false">IF(ISNUMBER(L20),L20*INDEX(LenF,MATCH($L$7,LenU,0))*1000,IF(OR(J20="",K20=""),"",IFERROR(IF(INDEX(PipeWT,MATCH(J20,NPSU,0),MATCH(K20,SchU,0))="","Sch n/a",INDEX(PipeOD,MATCH(J20,NPSU,0))-2*INDEX(PipeWT,MATCH(J20,NPSU,0),MATCH(K20,SchU,0))),"")))</f>
        <v/>
      </c>
      <c r="AT20" s="9" t="n">
        <f aca="false">IF(ISNUMBER(AI20),AI20,IFERROR(INDEX(IF(JobType="Decontamination",TypeFillDC,TypeFillCC),MATCH(E20,TypeL,0)),1))</f>
        <v>1</v>
      </c>
      <c r="AU20" s="9" t="n">
        <v>1</v>
      </c>
    </row>
    <row r="21" customFormat="false" ht="15" hidden="false" customHeight="false" outlineLevel="0" collapsed="false">
      <c r="A21" s="16" t="n">
        <v>12</v>
      </c>
      <c r="B21" s="20"/>
      <c r="C21" s="5"/>
      <c r="D21" s="5"/>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1" t="str">
        <f aca="false">IF(E21="Exchanger",IF(AND(ISNUMBER(S21),ISNUMBER(U21),ISNUMBER(V21)),S21*PI()/4*(U21*INDEX(LenF,MATCH($U$7,LenU,0)))^2*V21*INDEX(LenF,MATCH($V$7,LenU,0)),0)+IF(ISNUMBER(Y21),PI()/4*(Y21*INDEX(LenF,MATCH($Y$7,LenU,0)))^2*N(Z21)*INDEX(LenF,MATCH($Z$7,LenU,0))+IF(AA21="",0,IF(AA21="Conical",PI()/12*(Y21*INDEX(LenF,MATCH($Y$7,LenU,0)))^2*(0),INDEX(HeadK,MATCH(AA21,HeadU,0))*(Y21*INDEX(LenF,MATCH($Y$7,LenU,0)))^3)),0)+IF(ISNUMBER(Y21),PI()/4*(Y21*INDEX(LenF,MATCH($Y$7,LenU,0)))^2*N(AB21)*INDEX(LenF,MATCH($AB$7,LenU,0))+IF(AC21="",0,IF(AC21="Conical",PI()/12*(Y21*INDEX(LenF,MATCH($Y$7,LenU,0)))^2*(0),INDEX(HeadK,MATCH(AC21,HeadU,0))*(Y21*INDEX(LenF,MATCH($Y$7,LenU,0)))^3)),0),"")</f>
        <v/>
      </c>
      <c r="AE21" s="21" t="str">
        <f aca="false">IF(OR(E21="",E21="Piping"),"",IF(E21="Exchanger",AQ21*AR21+IF(P21="",0,IF(P21="Conical",PI()/12*(SQRT(4*AQ21/PI()))^2*(0),INDEX(HeadK,MATCH(P21,HeadU,0))*(SQRT(4*AQ21/PI()))^3))-IF(AND(ISNUMBER(S21),ISNUMBER(V21)),S21*PI()/4*AP21^2*V21*INDEX(LenF,MATCH($V$7,LenU,0)),0),IF(ISNUMBER(N21),PI()/4*(N21*INDEX(LenF,MATCH($N$7,LenU,0)))^2*N(O21)*INDEX(LenF,MATCH($O$7,LenU,0))+IF(P21="",0,IF(P21="Conical",PI()/12*(N21*INDEX(LenF,MATCH($N$7,LenU,0)))^2*(N(R21)*INDEX(LenF,MATCH($R$7,LenU,0))),INDEX(HeadK,MATCH(P21,HeadU,0))*(N21*INDEX(LenF,MATCH($N$7,LenU,0)))^3))+IF(Q21="",0,IF(Q21="Conical",PI()/12*(N21*INDEX(LenF,MATCH($N$7,LenU,0)))^2*(N(R21)*INDEX(LenF,MATCH($R$7,LenU,0))),INDEX(HeadK,MATCH(Q21,HeadU,0))*(N21*INDEX(LenF,MATCH($N$7,LenU,0)))^3)),0)))</f>
        <v/>
      </c>
      <c r="AF21" s="21" t="str">
        <f aca="false">IF(E21&lt;&gt;"Piping","",IF(AND(ISNUMBER(AS21),ISNUMBER(M21)),PI()/4*(AS21/1000)^2*M21*INDEX(LenF,MATCH($M$7,LenU,0)),0))</f>
        <v/>
      </c>
      <c r="AG21" s="21" t="str">
        <f aca="false">IF(E21="","",N(AD21)+N(AE21)+N(AF21))</f>
        <v/>
      </c>
      <c r="AH21" s="21" t="str">
        <f aca="false">IF(ISNUMBER(I21),I21*INDEX(WtF,MATCH($I$7,WtU,0))/WaterRho,"")</f>
        <v/>
      </c>
      <c r="AI21" s="11"/>
      <c r="AJ21" s="11"/>
      <c r="AK21" s="20"/>
      <c r="AL21" s="11"/>
      <c r="AM21" s="21" t="str">
        <f aca="false">IF(AO21="","",AO21*IF(ISNUMBER(AK21),AK21,DefFills)*(1+IF(ISNUMBER(AL21),AL21,DefAllow)))</f>
        <v/>
      </c>
      <c r="AN21" s="22" t="str">
        <f aca="false">IF(G21="Given volume",IF(ISNUMBER(H21),H21*INDEX(VolF,MATCH($H$7,VolU,0)),""),IF(G21="Water weight",AH21,IF(N(AG21)=0,"",AG21)))</f>
        <v/>
      </c>
      <c r="AO21" s="22" t="str">
        <f aca="false">IF(N(AN21)=0,"",AN21*AT21*IF(ISNUMBER(AJ21),AJ21,DefCirc))</f>
        <v/>
      </c>
      <c r="AP21" s="9" t="n">
        <f aca="false">IF(ISNUMBER(T21),T21*INDEX(LenF,MATCH($T$7,LenU,0)),IF(ISNUMBER(W21),W21*INDEX(LenF,MATCH($W$7,LenU,0))/PitchRatio,0))</f>
        <v>0</v>
      </c>
      <c r="AQ21" s="9" t="n">
        <f aca="false">IF(ISNUMBER(N21),PI()/4*(N21*INDEX(LenF,MATCH($N$7,LenU,0)))^2,IF(AND(ISNUMBER(S21),ISNUMBER(W21),X21&lt;&gt;""),S21*(W21*INDEX(LenF,MATCH($W$7,LenU,0)))^2*INDEX(LayoutF,MATCH(X21,LayoutU,0)),0))</f>
        <v>0</v>
      </c>
      <c r="AR21" s="9" t="n">
        <f aca="false">IF(ISNUMBER(O21),O21*INDEX(LenF,MATCH($O$7,LenU,0)),IF(ISNUMBER(V21),V21*INDEX(LenF,MATCH($V$7,LenU,0)),0))</f>
        <v>0</v>
      </c>
      <c r="AS21" s="9" t="str">
        <f aca="false">IF(ISNUMBER(L21),L21*INDEX(LenF,MATCH($L$7,LenU,0))*1000,IF(OR(J21="",K21=""),"",IFERROR(IF(INDEX(PipeWT,MATCH(J21,NPSU,0),MATCH(K21,SchU,0))="","Sch n/a",INDEX(PipeOD,MATCH(J21,NPSU,0))-2*INDEX(PipeWT,MATCH(J21,NPSU,0),MATCH(K21,SchU,0))),"")))</f>
        <v/>
      </c>
      <c r="AT21" s="9" t="n">
        <f aca="false">IF(ISNUMBER(AI21),AI21,IFERROR(INDEX(IF(JobType="Decontamination",TypeFillDC,TypeFillCC),MATCH(E21,TypeL,0)),1))</f>
        <v>1</v>
      </c>
      <c r="AU21" s="9" t="n">
        <v>1</v>
      </c>
    </row>
    <row r="22" customFormat="false" ht="15" hidden="false" customHeight="false" outlineLevel="0" collapsed="false">
      <c r="A22" s="16" t="n">
        <v>13</v>
      </c>
      <c r="B22" s="20"/>
      <c r="C22" s="5"/>
      <c r="D22" s="5"/>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1" t="str">
        <f aca="false">IF(E22="Exchanger",IF(AND(ISNUMBER(S22),ISNUMBER(U22),ISNUMBER(V22)),S22*PI()/4*(U22*INDEX(LenF,MATCH($U$7,LenU,0)))^2*V22*INDEX(LenF,MATCH($V$7,LenU,0)),0)+IF(ISNUMBER(Y22),PI()/4*(Y22*INDEX(LenF,MATCH($Y$7,LenU,0)))^2*N(Z22)*INDEX(LenF,MATCH($Z$7,LenU,0))+IF(AA22="",0,IF(AA22="Conical",PI()/12*(Y22*INDEX(LenF,MATCH($Y$7,LenU,0)))^2*(0),INDEX(HeadK,MATCH(AA22,HeadU,0))*(Y22*INDEX(LenF,MATCH($Y$7,LenU,0)))^3)),0)+IF(ISNUMBER(Y22),PI()/4*(Y22*INDEX(LenF,MATCH($Y$7,LenU,0)))^2*N(AB22)*INDEX(LenF,MATCH($AB$7,LenU,0))+IF(AC22="",0,IF(AC22="Conical",PI()/12*(Y22*INDEX(LenF,MATCH($Y$7,LenU,0)))^2*(0),INDEX(HeadK,MATCH(AC22,HeadU,0))*(Y22*INDEX(LenF,MATCH($Y$7,LenU,0)))^3)),0),"")</f>
        <v/>
      </c>
      <c r="AE22" s="21" t="str">
        <f aca="false">IF(OR(E22="",E22="Piping"),"",IF(E22="Exchanger",AQ22*AR22+IF(P22="",0,IF(P22="Conical",PI()/12*(SQRT(4*AQ22/PI()))^2*(0),INDEX(HeadK,MATCH(P22,HeadU,0))*(SQRT(4*AQ22/PI()))^3))-IF(AND(ISNUMBER(S22),ISNUMBER(V22)),S22*PI()/4*AP22^2*V22*INDEX(LenF,MATCH($V$7,LenU,0)),0),IF(ISNUMBER(N22),PI()/4*(N22*INDEX(LenF,MATCH($N$7,LenU,0)))^2*N(O22)*INDEX(LenF,MATCH($O$7,LenU,0))+IF(P22="",0,IF(P22="Conical",PI()/12*(N22*INDEX(LenF,MATCH($N$7,LenU,0)))^2*(N(R22)*INDEX(LenF,MATCH($R$7,LenU,0))),INDEX(HeadK,MATCH(P22,HeadU,0))*(N22*INDEX(LenF,MATCH($N$7,LenU,0)))^3))+IF(Q22="",0,IF(Q22="Conical",PI()/12*(N22*INDEX(LenF,MATCH($N$7,LenU,0)))^2*(N(R22)*INDEX(LenF,MATCH($R$7,LenU,0))),INDEX(HeadK,MATCH(Q22,HeadU,0))*(N22*INDEX(LenF,MATCH($N$7,LenU,0)))^3)),0)))</f>
        <v/>
      </c>
      <c r="AF22" s="21" t="str">
        <f aca="false">IF(E22&lt;&gt;"Piping","",IF(AND(ISNUMBER(AS22),ISNUMBER(M22)),PI()/4*(AS22/1000)^2*M22*INDEX(LenF,MATCH($M$7,LenU,0)),0))</f>
        <v/>
      </c>
      <c r="AG22" s="21" t="str">
        <f aca="false">IF(E22="","",N(AD22)+N(AE22)+N(AF22))</f>
        <v/>
      </c>
      <c r="AH22" s="21" t="str">
        <f aca="false">IF(ISNUMBER(I22),I22*INDEX(WtF,MATCH($I$7,WtU,0))/WaterRho,"")</f>
        <v/>
      </c>
      <c r="AI22" s="11"/>
      <c r="AJ22" s="11"/>
      <c r="AK22" s="20"/>
      <c r="AL22" s="11"/>
      <c r="AM22" s="21" t="str">
        <f aca="false">IF(AO22="","",AO22*IF(ISNUMBER(AK22),AK22,DefFills)*(1+IF(ISNUMBER(AL22),AL22,DefAllow)))</f>
        <v/>
      </c>
      <c r="AN22" s="22" t="str">
        <f aca="false">IF(G22="Given volume",IF(ISNUMBER(H22),H22*INDEX(VolF,MATCH($H$7,VolU,0)),""),IF(G22="Water weight",AH22,IF(N(AG22)=0,"",AG22)))</f>
        <v/>
      </c>
      <c r="AO22" s="22" t="str">
        <f aca="false">IF(N(AN22)=0,"",AN22*AT22*IF(ISNUMBER(AJ22),AJ22,DefCirc))</f>
        <v/>
      </c>
      <c r="AP22" s="9" t="n">
        <f aca="false">IF(ISNUMBER(T22),T22*INDEX(LenF,MATCH($T$7,LenU,0)),IF(ISNUMBER(W22),W22*INDEX(LenF,MATCH($W$7,LenU,0))/PitchRatio,0))</f>
        <v>0</v>
      </c>
      <c r="AQ22" s="9" t="n">
        <f aca="false">IF(ISNUMBER(N22),PI()/4*(N22*INDEX(LenF,MATCH($N$7,LenU,0)))^2,IF(AND(ISNUMBER(S22),ISNUMBER(W22),X22&lt;&gt;""),S22*(W22*INDEX(LenF,MATCH($W$7,LenU,0)))^2*INDEX(LayoutF,MATCH(X22,LayoutU,0)),0))</f>
        <v>0</v>
      </c>
      <c r="AR22" s="9" t="n">
        <f aca="false">IF(ISNUMBER(O22),O22*INDEX(LenF,MATCH($O$7,LenU,0)),IF(ISNUMBER(V22),V22*INDEX(LenF,MATCH($V$7,LenU,0)),0))</f>
        <v>0</v>
      </c>
      <c r="AS22" s="9" t="str">
        <f aca="false">IF(ISNUMBER(L22),L22*INDEX(LenF,MATCH($L$7,LenU,0))*1000,IF(OR(J22="",K22=""),"",IFERROR(IF(INDEX(PipeWT,MATCH(J22,NPSU,0),MATCH(K22,SchU,0))="","Sch n/a",INDEX(PipeOD,MATCH(J22,NPSU,0))-2*INDEX(PipeWT,MATCH(J22,NPSU,0),MATCH(K22,SchU,0))),"")))</f>
        <v/>
      </c>
      <c r="AT22" s="9" t="n">
        <f aca="false">IF(ISNUMBER(AI22),AI22,IFERROR(INDEX(IF(JobType="Decontamination",TypeFillDC,TypeFillCC),MATCH(E22,TypeL,0)),1))</f>
        <v>1</v>
      </c>
      <c r="AU22" s="9" t="n">
        <v>1</v>
      </c>
    </row>
    <row r="23" customFormat="false" ht="15" hidden="false" customHeight="false" outlineLevel="0" collapsed="false">
      <c r="A23" s="16" t="n">
        <v>14</v>
      </c>
      <c r="B23" s="20"/>
      <c r="C23" s="5"/>
      <c r="D23" s="5"/>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1" t="str">
        <f aca="false">IF(E23="Exchanger",IF(AND(ISNUMBER(S23),ISNUMBER(U23),ISNUMBER(V23)),S23*PI()/4*(U23*INDEX(LenF,MATCH($U$7,LenU,0)))^2*V23*INDEX(LenF,MATCH($V$7,LenU,0)),0)+IF(ISNUMBER(Y23),PI()/4*(Y23*INDEX(LenF,MATCH($Y$7,LenU,0)))^2*N(Z23)*INDEX(LenF,MATCH($Z$7,LenU,0))+IF(AA23="",0,IF(AA23="Conical",PI()/12*(Y23*INDEX(LenF,MATCH($Y$7,LenU,0)))^2*(0),INDEX(HeadK,MATCH(AA23,HeadU,0))*(Y23*INDEX(LenF,MATCH($Y$7,LenU,0)))^3)),0)+IF(ISNUMBER(Y23),PI()/4*(Y23*INDEX(LenF,MATCH($Y$7,LenU,0)))^2*N(AB23)*INDEX(LenF,MATCH($AB$7,LenU,0))+IF(AC23="",0,IF(AC23="Conical",PI()/12*(Y23*INDEX(LenF,MATCH($Y$7,LenU,0)))^2*(0),INDEX(HeadK,MATCH(AC23,HeadU,0))*(Y23*INDEX(LenF,MATCH($Y$7,LenU,0)))^3)),0),"")</f>
        <v/>
      </c>
      <c r="AE23" s="21" t="str">
        <f aca="false">IF(OR(E23="",E23="Piping"),"",IF(E23="Exchanger",AQ23*AR23+IF(P23="",0,IF(P23="Conical",PI()/12*(SQRT(4*AQ23/PI()))^2*(0),INDEX(HeadK,MATCH(P23,HeadU,0))*(SQRT(4*AQ23/PI()))^3))-IF(AND(ISNUMBER(S23),ISNUMBER(V23)),S23*PI()/4*AP23^2*V23*INDEX(LenF,MATCH($V$7,LenU,0)),0),IF(ISNUMBER(N23),PI()/4*(N23*INDEX(LenF,MATCH($N$7,LenU,0)))^2*N(O23)*INDEX(LenF,MATCH($O$7,LenU,0))+IF(P23="",0,IF(P23="Conical",PI()/12*(N23*INDEX(LenF,MATCH($N$7,LenU,0)))^2*(N(R23)*INDEX(LenF,MATCH($R$7,LenU,0))),INDEX(HeadK,MATCH(P23,HeadU,0))*(N23*INDEX(LenF,MATCH($N$7,LenU,0)))^3))+IF(Q23="",0,IF(Q23="Conical",PI()/12*(N23*INDEX(LenF,MATCH($N$7,LenU,0)))^2*(N(R23)*INDEX(LenF,MATCH($R$7,LenU,0))),INDEX(HeadK,MATCH(Q23,HeadU,0))*(N23*INDEX(LenF,MATCH($N$7,LenU,0)))^3)),0)))</f>
        <v/>
      </c>
      <c r="AF23" s="21" t="str">
        <f aca="false">IF(E23&lt;&gt;"Piping","",IF(AND(ISNUMBER(AS23),ISNUMBER(M23)),PI()/4*(AS23/1000)^2*M23*INDEX(LenF,MATCH($M$7,LenU,0)),0))</f>
        <v/>
      </c>
      <c r="AG23" s="21" t="str">
        <f aca="false">IF(E23="","",N(AD23)+N(AE23)+N(AF23))</f>
        <v/>
      </c>
      <c r="AH23" s="21" t="str">
        <f aca="false">IF(ISNUMBER(I23),I23*INDEX(WtF,MATCH($I$7,WtU,0))/WaterRho,"")</f>
        <v/>
      </c>
      <c r="AI23" s="11"/>
      <c r="AJ23" s="11"/>
      <c r="AK23" s="20"/>
      <c r="AL23" s="11"/>
      <c r="AM23" s="21" t="str">
        <f aca="false">IF(AO23="","",AO23*IF(ISNUMBER(AK23),AK23,DefFills)*(1+IF(ISNUMBER(AL23),AL23,DefAllow)))</f>
        <v/>
      </c>
      <c r="AN23" s="22" t="str">
        <f aca="false">IF(G23="Given volume",IF(ISNUMBER(H23),H23*INDEX(VolF,MATCH($H$7,VolU,0)),""),IF(G23="Water weight",AH23,IF(N(AG23)=0,"",AG23)))</f>
        <v/>
      </c>
      <c r="AO23" s="22" t="str">
        <f aca="false">IF(N(AN23)=0,"",AN23*AT23*IF(ISNUMBER(AJ23),AJ23,DefCirc))</f>
        <v/>
      </c>
      <c r="AP23" s="9" t="n">
        <f aca="false">IF(ISNUMBER(T23),T23*INDEX(LenF,MATCH($T$7,LenU,0)),IF(ISNUMBER(W23),W23*INDEX(LenF,MATCH($W$7,LenU,0))/PitchRatio,0))</f>
        <v>0</v>
      </c>
      <c r="AQ23" s="9" t="n">
        <f aca="false">IF(ISNUMBER(N23),PI()/4*(N23*INDEX(LenF,MATCH($N$7,LenU,0)))^2,IF(AND(ISNUMBER(S23),ISNUMBER(W23),X23&lt;&gt;""),S23*(W23*INDEX(LenF,MATCH($W$7,LenU,0)))^2*INDEX(LayoutF,MATCH(X23,LayoutU,0)),0))</f>
        <v>0</v>
      </c>
      <c r="AR23" s="9" t="n">
        <f aca="false">IF(ISNUMBER(O23),O23*INDEX(LenF,MATCH($O$7,LenU,0)),IF(ISNUMBER(V23),V23*INDEX(LenF,MATCH($V$7,LenU,0)),0))</f>
        <v>0</v>
      </c>
      <c r="AS23" s="9" t="str">
        <f aca="false">IF(ISNUMBER(L23),L23*INDEX(LenF,MATCH($L$7,LenU,0))*1000,IF(OR(J23="",K23=""),"",IFERROR(IF(INDEX(PipeWT,MATCH(J23,NPSU,0),MATCH(K23,SchU,0))="","Sch n/a",INDEX(PipeOD,MATCH(J23,NPSU,0))-2*INDEX(PipeWT,MATCH(J23,NPSU,0),MATCH(K23,SchU,0))),"")))</f>
        <v/>
      </c>
      <c r="AT23" s="9" t="n">
        <f aca="false">IF(ISNUMBER(AI23),AI23,IFERROR(INDEX(IF(JobType="Decontamination",TypeFillDC,TypeFillCC),MATCH(E23,TypeL,0)),1))</f>
        <v>1</v>
      </c>
      <c r="AU23" s="9" t="n">
        <v>1</v>
      </c>
    </row>
    <row r="24" customFormat="false" ht="15" hidden="false" customHeight="false" outlineLevel="0" collapsed="false">
      <c r="A24" s="16" t="n">
        <v>15</v>
      </c>
      <c r="B24" s="20"/>
      <c r="C24" s="5"/>
      <c r="D24" s="5"/>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1" t="str">
        <f aca="false">IF(E24="Exchanger",IF(AND(ISNUMBER(S24),ISNUMBER(U24),ISNUMBER(V24)),S24*PI()/4*(U24*INDEX(LenF,MATCH($U$7,LenU,0)))^2*V24*INDEX(LenF,MATCH($V$7,LenU,0)),0)+IF(ISNUMBER(Y24),PI()/4*(Y24*INDEX(LenF,MATCH($Y$7,LenU,0)))^2*N(Z24)*INDEX(LenF,MATCH($Z$7,LenU,0))+IF(AA24="",0,IF(AA24="Conical",PI()/12*(Y24*INDEX(LenF,MATCH($Y$7,LenU,0)))^2*(0),INDEX(HeadK,MATCH(AA24,HeadU,0))*(Y24*INDEX(LenF,MATCH($Y$7,LenU,0)))^3)),0)+IF(ISNUMBER(Y24),PI()/4*(Y24*INDEX(LenF,MATCH($Y$7,LenU,0)))^2*N(AB24)*INDEX(LenF,MATCH($AB$7,LenU,0))+IF(AC24="",0,IF(AC24="Conical",PI()/12*(Y24*INDEX(LenF,MATCH($Y$7,LenU,0)))^2*(0),INDEX(HeadK,MATCH(AC24,HeadU,0))*(Y24*INDEX(LenF,MATCH($Y$7,LenU,0)))^3)),0),"")</f>
        <v/>
      </c>
      <c r="AE24" s="21" t="str">
        <f aca="false">IF(OR(E24="",E24="Piping"),"",IF(E24="Exchanger",AQ24*AR24+IF(P24="",0,IF(P24="Conical",PI()/12*(SQRT(4*AQ24/PI()))^2*(0),INDEX(HeadK,MATCH(P24,HeadU,0))*(SQRT(4*AQ24/PI()))^3))-IF(AND(ISNUMBER(S24),ISNUMBER(V24)),S24*PI()/4*AP24^2*V24*INDEX(LenF,MATCH($V$7,LenU,0)),0),IF(ISNUMBER(N24),PI()/4*(N24*INDEX(LenF,MATCH($N$7,LenU,0)))^2*N(O24)*INDEX(LenF,MATCH($O$7,LenU,0))+IF(P24="",0,IF(P24="Conical",PI()/12*(N24*INDEX(LenF,MATCH($N$7,LenU,0)))^2*(N(R24)*INDEX(LenF,MATCH($R$7,LenU,0))),INDEX(HeadK,MATCH(P24,HeadU,0))*(N24*INDEX(LenF,MATCH($N$7,LenU,0)))^3))+IF(Q24="",0,IF(Q24="Conical",PI()/12*(N24*INDEX(LenF,MATCH($N$7,LenU,0)))^2*(N(R24)*INDEX(LenF,MATCH($R$7,LenU,0))),INDEX(HeadK,MATCH(Q24,HeadU,0))*(N24*INDEX(LenF,MATCH($N$7,LenU,0)))^3)),0)))</f>
        <v/>
      </c>
      <c r="AF24" s="21" t="str">
        <f aca="false">IF(E24&lt;&gt;"Piping","",IF(AND(ISNUMBER(AS24),ISNUMBER(M24)),PI()/4*(AS24/1000)^2*M24*INDEX(LenF,MATCH($M$7,LenU,0)),0))</f>
        <v/>
      </c>
      <c r="AG24" s="21" t="str">
        <f aca="false">IF(E24="","",N(AD24)+N(AE24)+N(AF24))</f>
        <v/>
      </c>
      <c r="AH24" s="21" t="str">
        <f aca="false">IF(ISNUMBER(I24),I24*INDEX(WtF,MATCH($I$7,WtU,0))/WaterRho,"")</f>
        <v/>
      </c>
      <c r="AI24" s="11"/>
      <c r="AJ24" s="11"/>
      <c r="AK24" s="20"/>
      <c r="AL24" s="11"/>
      <c r="AM24" s="21" t="str">
        <f aca="false">IF(AO24="","",AO24*IF(ISNUMBER(AK24),AK24,DefFills)*(1+IF(ISNUMBER(AL24),AL24,DefAllow)))</f>
        <v/>
      </c>
      <c r="AN24" s="22" t="str">
        <f aca="false">IF(G24="Given volume",IF(ISNUMBER(H24),H24*INDEX(VolF,MATCH($H$7,VolU,0)),""),IF(G24="Water weight",AH24,IF(N(AG24)=0,"",AG24)))</f>
        <v/>
      </c>
      <c r="AO24" s="22" t="str">
        <f aca="false">IF(N(AN24)=0,"",AN24*AT24*IF(ISNUMBER(AJ24),AJ24,DefCirc))</f>
        <v/>
      </c>
      <c r="AP24" s="9" t="n">
        <f aca="false">IF(ISNUMBER(T24),T24*INDEX(LenF,MATCH($T$7,LenU,0)),IF(ISNUMBER(W24),W24*INDEX(LenF,MATCH($W$7,LenU,0))/PitchRatio,0))</f>
        <v>0</v>
      </c>
      <c r="AQ24" s="9" t="n">
        <f aca="false">IF(ISNUMBER(N24),PI()/4*(N24*INDEX(LenF,MATCH($N$7,LenU,0)))^2,IF(AND(ISNUMBER(S24),ISNUMBER(W24),X24&lt;&gt;""),S24*(W24*INDEX(LenF,MATCH($W$7,LenU,0)))^2*INDEX(LayoutF,MATCH(X24,LayoutU,0)),0))</f>
        <v>0</v>
      </c>
      <c r="AR24" s="9" t="n">
        <f aca="false">IF(ISNUMBER(O24),O24*INDEX(LenF,MATCH($O$7,LenU,0)),IF(ISNUMBER(V24),V24*INDEX(LenF,MATCH($V$7,LenU,0)),0))</f>
        <v>0</v>
      </c>
      <c r="AS24" s="9" t="str">
        <f aca="false">IF(ISNUMBER(L24),L24*INDEX(LenF,MATCH($L$7,LenU,0))*1000,IF(OR(J24="",K24=""),"",IFERROR(IF(INDEX(PipeWT,MATCH(J24,NPSU,0),MATCH(K24,SchU,0))="","Sch n/a",INDEX(PipeOD,MATCH(J24,NPSU,0))-2*INDEX(PipeWT,MATCH(J24,NPSU,0),MATCH(K24,SchU,0))),"")))</f>
        <v/>
      </c>
      <c r="AT24" s="9" t="n">
        <f aca="false">IF(ISNUMBER(AI24),AI24,IFERROR(INDEX(IF(JobType="Decontamination",TypeFillDC,TypeFillCC),MATCH(E24,TypeL,0)),1))</f>
        <v>1</v>
      </c>
      <c r="AU24" s="9" t="n">
        <v>1</v>
      </c>
    </row>
    <row r="25" customFormat="false" ht="15" hidden="false" customHeight="false" outlineLevel="0" collapsed="false">
      <c r="A25" s="16" t="n">
        <v>16</v>
      </c>
      <c r="B25" s="20"/>
      <c r="C25" s="5"/>
      <c r="D25" s="5"/>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1" t="str">
        <f aca="false">IF(E25="Exchanger",IF(AND(ISNUMBER(S25),ISNUMBER(U25),ISNUMBER(V25)),S25*PI()/4*(U25*INDEX(LenF,MATCH($U$7,LenU,0)))^2*V25*INDEX(LenF,MATCH($V$7,LenU,0)),0)+IF(ISNUMBER(Y25),PI()/4*(Y25*INDEX(LenF,MATCH($Y$7,LenU,0)))^2*N(Z25)*INDEX(LenF,MATCH($Z$7,LenU,0))+IF(AA25="",0,IF(AA25="Conical",PI()/12*(Y25*INDEX(LenF,MATCH($Y$7,LenU,0)))^2*(0),INDEX(HeadK,MATCH(AA25,HeadU,0))*(Y25*INDEX(LenF,MATCH($Y$7,LenU,0)))^3)),0)+IF(ISNUMBER(Y25),PI()/4*(Y25*INDEX(LenF,MATCH($Y$7,LenU,0)))^2*N(AB25)*INDEX(LenF,MATCH($AB$7,LenU,0))+IF(AC25="",0,IF(AC25="Conical",PI()/12*(Y25*INDEX(LenF,MATCH($Y$7,LenU,0)))^2*(0),INDEX(HeadK,MATCH(AC25,HeadU,0))*(Y25*INDEX(LenF,MATCH($Y$7,LenU,0)))^3)),0),"")</f>
        <v/>
      </c>
      <c r="AE25" s="21" t="str">
        <f aca="false">IF(OR(E25="",E25="Piping"),"",IF(E25="Exchanger",AQ25*AR25+IF(P25="",0,IF(P25="Conical",PI()/12*(SQRT(4*AQ25/PI()))^2*(0),INDEX(HeadK,MATCH(P25,HeadU,0))*(SQRT(4*AQ25/PI()))^3))-IF(AND(ISNUMBER(S25),ISNUMBER(V25)),S25*PI()/4*AP25^2*V25*INDEX(LenF,MATCH($V$7,LenU,0)),0),IF(ISNUMBER(N25),PI()/4*(N25*INDEX(LenF,MATCH($N$7,LenU,0)))^2*N(O25)*INDEX(LenF,MATCH($O$7,LenU,0))+IF(P25="",0,IF(P25="Conical",PI()/12*(N25*INDEX(LenF,MATCH($N$7,LenU,0)))^2*(N(R25)*INDEX(LenF,MATCH($R$7,LenU,0))),INDEX(HeadK,MATCH(P25,HeadU,0))*(N25*INDEX(LenF,MATCH($N$7,LenU,0)))^3))+IF(Q25="",0,IF(Q25="Conical",PI()/12*(N25*INDEX(LenF,MATCH($N$7,LenU,0)))^2*(N(R25)*INDEX(LenF,MATCH($R$7,LenU,0))),INDEX(HeadK,MATCH(Q25,HeadU,0))*(N25*INDEX(LenF,MATCH($N$7,LenU,0)))^3)),0)))</f>
        <v/>
      </c>
      <c r="AF25" s="21" t="str">
        <f aca="false">IF(E25&lt;&gt;"Piping","",IF(AND(ISNUMBER(AS25),ISNUMBER(M25)),PI()/4*(AS25/1000)^2*M25*INDEX(LenF,MATCH($M$7,LenU,0)),0))</f>
        <v/>
      </c>
      <c r="AG25" s="21" t="str">
        <f aca="false">IF(E25="","",N(AD25)+N(AE25)+N(AF25))</f>
        <v/>
      </c>
      <c r="AH25" s="21" t="str">
        <f aca="false">IF(ISNUMBER(I25),I25*INDEX(WtF,MATCH($I$7,WtU,0))/WaterRho,"")</f>
        <v/>
      </c>
      <c r="AI25" s="11"/>
      <c r="AJ25" s="11"/>
      <c r="AK25" s="20"/>
      <c r="AL25" s="11"/>
      <c r="AM25" s="21" t="str">
        <f aca="false">IF(AO25="","",AO25*IF(ISNUMBER(AK25),AK25,DefFills)*(1+IF(ISNUMBER(AL25),AL25,DefAllow)))</f>
        <v/>
      </c>
      <c r="AN25" s="22" t="str">
        <f aca="false">IF(G25="Given volume",IF(ISNUMBER(H25),H25*INDEX(VolF,MATCH($H$7,VolU,0)),""),IF(G25="Water weight",AH25,IF(N(AG25)=0,"",AG25)))</f>
        <v/>
      </c>
      <c r="AO25" s="22" t="str">
        <f aca="false">IF(N(AN25)=0,"",AN25*AT25*IF(ISNUMBER(AJ25),AJ25,DefCirc))</f>
        <v/>
      </c>
      <c r="AP25" s="9" t="n">
        <f aca="false">IF(ISNUMBER(T25),T25*INDEX(LenF,MATCH($T$7,LenU,0)),IF(ISNUMBER(W25),W25*INDEX(LenF,MATCH($W$7,LenU,0))/PitchRatio,0))</f>
        <v>0</v>
      </c>
      <c r="AQ25" s="9" t="n">
        <f aca="false">IF(ISNUMBER(N25),PI()/4*(N25*INDEX(LenF,MATCH($N$7,LenU,0)))^2,IF(AND(ISNUMBER(S25),ISNUMBER(W25),X25&lt;&gt;""),S25*(W25*INDEX(LenF,MATCH($W$7,LenU,0)))^2*INDEX(LayoutF,MATCH(X25,LayoutU,0)),0))</f>
        <v>0</v>
      </c>
      <c r="AR25" s="9" t="n">
        <f aca="false">IF(ISNUMBER(O25),O25*INDEX(LenF,MATCH($O$7,LenU,0)),IF(ISNUMBER(V25),V25*INDEX(LenF,MATCH($V$7,LenU,0)),0))</f>
        <v>0</v>
      </c>
      <c r="AS25" s="9" t="str">
        <f aca="false">IF(ISNUMBER(L25),L25*INDEX(LenF,MATCH($L$7,LenU,0))*1000,IF(OR(J25="",K25=""),"",IFERROR(IF(INDEX(PipeWT,MATCH(J25,NPSU,0),MATCH(K25,SchU,0))="","Sch n/a",INDEX(PipeOD,MATCH(J25,NPSU,0))-2*INDEX(PipeWT,MATCH(J25,NPSU,0),MATCH(K25,SchU,0))),"")))</f>
        <v/>
      </c>
      <c r="AT25" s="9" t="n">
        <f aca="false">IF(ISNUMBER(AI25),AI25,IFERROR(INDEX(IF(JobType="Decontamination",TypeFillDC,TypeFillCC),MATCH(E25,TypeL,0)),1))</f>
        <v>1</v>
      </c>
      <c r="AU25" s="9" t="n">
        <v>1</v>
      </c>
    </row>
    <row r="26" customFormat="false" ht="15" hidden="false" customHeight="false" outlineLevel="0" collapsed="false">
      <c r="A26" s="16" t="n">
        <v>17</v>
      </c>
      <c r="B26" s="20"/>
      <c r="C26" s="5"/>
      <c r="D26" s="5"/>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1" t="str">
        <f aca="false">IF(E26="Exchanger",IF(AND(ISNUMBER(S26),ISNUMBER(U26),ISNUMBER(V26)),S26*PI()/4*(U26*INDEX(LenF,MATCH($U$7,LenU,0)))^2*V26*INDEX(LenF,MATCH($V$7,LenU,0)),0)+IF(ISNUMBER(Y26),PI()/4*(Y26*INDEX(LenF,MATCH($Y$7,LenU,0)))^2*N(Z26)*INDEX(LenF,MATCH($Z$7,LenU,0))+IF(AA26="",0,IF(AA26="Conical",PI()/12*(Y26*INDEX(LenF,MATCH($Y$7,LenU,0)))^2*(0),INDEX(HeadK,MATCH(AA26,HeadU,0))*(Y26*INDEX(LenF,MATCH($Y$7,LenU,0)))^3)),0)+IF(ISNUMBER(Y26),PI()/4*(Y26*INDEX(LenF,MATCH($Y$7,LenU,0)))^2*N(AB26)*INDEX(LenF,MATCH($AB$7,LenU,0))+IF(AC26="",0,IF(AC26="Conical",PI()/12*(Y26*INDEX(LenF,MATCH($Y$7,LenU,0)))^2*(0),INDEX(HeadK,MATCH(AC26,HeadU,0))*(Y26*INDEX(LenF,MATCH($Y$7,LenU,0)))^3)),0),"")</f>
        <v/>
      </c>
      <c r="AE26" s="21" t="str">
        <f aca="false">IF(OR(E26="",E26="Piping"),"",IF(E26="Exchanger",AQ26*AR26+IF(P26="",0,IF(P26="Conical",PI()/12*(SQRT(4*AQ26/PI()))^2*(0),INDEX(HeadK,MATCH(P26,HeadU,0))*(SQRT(4*AQ26/PI()))^3))-IF(AND(ISNUMBER(S26),ISNUMBER(V26)),S26*PI()/4*AP26^2*V26*INDEX(LenF,MATCH($V$7,LenU,0)),0),IF(ISNUMBER(N26),PI()/4*(N26*INDEX(LenF,MATCH($N$7,LenU,0)))^2*N(O26)*INDEX(LenF,MATCH($O$7,LenU,0))+IF(P26="",0,IF(P26="Conical",PI()/12*(N26*INDEX(LenF,MATCH($N$7,LenU,0)))^2*(N(R26)*INDEX(LenF,MATCH($R$7,LenU,0))),INDEX(HeadK,MATCH(P26,HeadU,0))*(N26*INDEX(LenF,MATCH($N$7,LenU,0)))^3))+IF(Q26="",0,IF(Q26="Conical",PI()/12*(N26*INDEX(LenF,MATCH($N$7,LenU,0)))^2*(N(R26)*INDEX(LenF,MATCH($R$7,LenU,0))),INDEX(HeadK,MATCH(Q26,HeadU,0))*(N26*INDEX(LenF,MATCH($N$7,LenU,0)))^3)),0)))</f>
        <v/>
      </c>
      <c r="AF26" s="21" t="str">
        <f aca="false">IF(E26&lt;&gt;"Piping","",IF(AND(ISNUMBER(AS26),ISNUMBER(M26)),PI()/4*(AS26/1000)^2*M26*INDEX(LenF,MATCH($M$7,LenU,0)),0))</f>
        <v/>
      </c>
      <c r="AG26" s="21" t="str">
        <f aca="false">IF(E26="","",N(AD26)+N(AE26)+N(AF26))</f>
        <v/>
      </c>
      <c r="AH26" s="21" t="str">
        <f aca="false">IF(ISNUMBER(I26),I26*INDEX(WtF,MATCH($I$7,WtU,0))/WaterRho,"")</f>
        <v/>
      </c>
      <c r="AI26" s="11"/>
      <c r="AJ26" s="11"/>
      <c r="AK26" s="20"/>
      <c r="AL26" s="11"/>
      <c r="AM26" s="21" t="str">
        <f aca="false">IF(AO26="","",AO26*IF(ISNUMBER(AK26),AK26,DefFills)*(1+IF(ISNUMBER(AL26),AL26,DefAllow)))</f>
        <v/>
      </c>
      <c r="AN26" s="22" t="str">
        <f aca="false">IF(G26="Given volume",IF(ISNUMBER(H26),H26*INDEX(VolF,MATCH($H$7,VolU,0)),""),IF(G26="Water weight",AH26,IF(N(AG26)=0,"",AG26)))</f>
        <v/>
      </c>
      <c r="AO26" s="22" t="str">
        <f aca="false">IF(N(AN26)=0,"",AN26*AT26*IF(ISNUMBER(AJ26),AJ26,DefCirc))</f>
        <v/>
      </c>
      <c r="AP26" s="9" t="n">
        <f aca="false">IF(ISNUMBER(T26),T26*INDEX(LenF,MATCH($T$7,LenU,0)),IF(ISNUMBER(W26),W26*INDEX(LenF,MATCH($W$7,LenU,0))/PitchRatio,0))</f>
        <v>0</v>
      </c>
      <c r="AQ26" s="9" t="n">
        <f aca="false">IF(ISNUMBER(N26),PI()/4*(N26*INDEX(LenF,MATCH($N$7,LenU,0)))^2,IF(AND(ISNUMBER(S26),ISNUMBER(W26),X26&lt;&gt;""),S26*(W26*INDEX(LenF,MATCH($W$7,LenU,0)))^2*INDEX(LayoutF,MATCH(X26,LayoutU,0)),0))</f>
        <v>0</v>
      </c>
      <c r="AR26" s="9" t="n">
        <f aca="false">IF(ISNUMBER(O26),O26*INDEX(LenF,MATCH($O$7,LenU,0)),IF(ISNUMBER(V26),V26*INDEX(LenF,MATCH($V$7,LenU,0)),0))</f>
        <v>0</v>
      </c>
      <c r="AS26" s="9" t="str">
        <f aca="false">IF(ISNUMBER(L26),L26*INDEX(LenF,MATCH($L$7,LenU,0))*1000,IF(OR(J26="",K26=""),"",IFERROR(IF(INDEX(PipeWT,MATCH(J26,NPSU,0),MATCH(K26,SchU,0))="","Sch n/a",INDEX(PipeOD,MATCH(J26,NPSU,0))-2*INDEX(PipeWT,MATCH(J26,NPSU,0),MATCH(K26,SchU,0))),"")))</f>
        <v/>
      </c>
      <c r="AT26" s="9" t="n">
        <f aca="false">IF(ISNUMBER(AI26),AI26,IFERROR(INDEX(IF(JobType="Decontamination",TypeFillDC,TypeFillCC),MATCH(E26,TypeL,0)),1))</f>
        <v>1</v>
      </c>
      <c r="AU26" s="9" t="n">
        <v>1</v>
      </c>
    </row>
    <row r="27" customFormat="false" ht="15" hidden="false" customHeight="false" outlineLevel="0" collapsed="false">
      <c r="A27" s="16" t="n">
        <v>18</v>
      </c>
      <c r="B27" s="20"/>
      <c r="C27" s="5"/>
      <c r="D27" s="5"/>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1" t="str">
        <f aca="false">IF(E27="Exchanger",IF(AND(ISNUMBER(S27),ISNUMBER(U27),ISNUMBER(V27)),S27*PI()/4*(U27*INDEX(LenF,MATCH($U$7,LenU,0)))^2*V27*INDEX(LenF,MATCH($V$7,LenU,0)),0)+IF(ISNUMBER(Y27),PI()/4*(Y27*INDEX(LenF,MATCH($Y$7,LenU,0)))^2*N(Z27)*INDEX(LenF,MATCH($Z$7,LenU,0))+IF(AA27="",0,IF(AA27="Conical",PI()/12*(Y27*INDEX(LenF,MATCH($Y$7,LenU,0)))^2*(0),INDEX(HeadK,MATCH(AA27,HeadU,0))*(Y27*INDEX(LenF,MATCH($Y$7,LenU,0)))^3)),0)+IF(ISNUMBER(Y27),PI()/4*(Y27*INDEX(LenF,MATCH($Y$7,LenU,0)))^2*N(AB27)*INDEX(LenF,MATCH($AB$7,LenU,0))+IF(AC27="",0,IF(AC27="Conical",PI()/12*(Y27*INDEX(LenF,MATCH($Y$7,LenU,0)))^2*(0),INDEX(HeadK,MATCH(AC27,HeadU,0))*(Y27*INDEX(LenF,MATCH($Y$7,LenU,0)))^3)),0),"")</f>
        <v/>
      </c>
      <c r="AE27" s="21" t="str">
        <f aca="false">IF(OR(E27="",E27="Piping"),"",IF(E27="Exchanger",AQ27*AR27+IF(P27="",0,IF(P27="Conical",PI()/12*(SQRT(4*AQ27/PI()))^2*(0),INDEX(HeadK,MATCH(P27,HeadU,0))*(SQRT(4*AQ27/PI()))^3))-IF(AND(ISNUMBER(S27),ISNUMBER(V27)),S27*PI()/4*AP27^2*V27*INDEX(LenF,MATCH($V$7,LenU,0)),0),IF(ISNUMBER(N27),PI()/4*(N27*INDEX(LenF,MATCH($N$7,LenU,0)))^2*N(O27)*INDEX(LenF,MATCH($O$7,LenU,0))+IF(P27="",0,IF(P27="Conical",PI()/12*(N27*INDEX(LenF,MATCH($N$7,LenU,0)))^2*(N(R27)*INDEX(LenF,MATCH($R$7,LenU,0))),INDEX(HeadK,MATCH(P27,HeadU,0))*(N27*INDEX(LenF,MATCH($N$7,LenU,0)))^3))+IF(Q27="",0,IF(Q27="Conical",PI()/12*(N27*INDEX(LenF,MATCH($N$7,LenU,0)))^2*(N(R27)*INDEX(LenF,MATCH($R$7,LenU,0))),INDEX(HeadK,MATCH(Q27,HeadU,0))*(N27*INDEX(LenF,MATCH($N$7,LenU,0)))^3)),0)))</f>
        <v/>
      </c>
      <c r="AF27" s="21" t="str">
        <f aca="false">IF(E27&lt;&gt;"Piping","",IF(AND(ISNUMBER(AS27),ISNUMBER(M27)),PI()/4*(AS27/1000)^2*M27*INDEX(LenF,MATCH($M$7,LenU,0)),0))</f>
        <v/>
      </c>
      <c r="AG27" s="21" t="str">
        <f aca="false">IF(E27="","",N(AD27)+N(AE27)+N(AF27))</f>
        <v/>
      </c>
      <c r="AH27" s="21" t="str">
        <f aca="false">IF(ISNUMBER(I27),I27*INDEX(WtF,MATCH($I$7,WtU,0))/WaterRho,"")</f>
        <v/>
      </c>
      <c r="AI27" s="11"/>
      <c r="AJ27" s="11"/>
      <c r="AK27" s="20"/>
      <c r="AL27" s="11"/>
      <c r="AM27" s="21" t="str">
        <f aca="false">IF(AO27="","",AO27*IF(ISNUMBER(AK27),AK27,DefFills)*(1+IF(ISNUMBER(AL27),AL27,DefAllow)))</f>
        <v/>
      </c>
      <c r="AN27" s="22" t="str">
        <f aca="false">IF(G27="Given volume",IF(ISNUMBER(H27),H27*INDEX(VolF,MATCH($H$7,VolU,0)),""),IF(G27="Water weight",AH27,IF(N(AG27)=0,"",AG27)))</f>
        <v/>
      </c>
      <c r="AO27" s="22" t="str">
        <f aca="false">IF(N(AN27)=0,"",AN27*AT27*IF(ISNUMBER(AJ27),AJ27,DefCirc))</f>
        <v/>
      </c>
      <c r="AP27" s="9" t="n">
        <f aca="false">IF(ISNUMBER(T27),T27*INDEX(LenF,MATCH($T$7,LenU,0)),IF(ISNUMBER(W27),W27*INDEX(LenF,MATCH($W$7,LenU,0))/PitchRatio,0))</f>
        <v>0</v>
      </c>
      <c r="AQ27" s="9" t="n">
        <f aca="false">IF(ISNUMBER(N27),PI()/4*(N27*INDEX(LenF,MATCH($N$7,LenU,0)))^2,IF(AND(ISNUMBER(S27),ISNUMBER(W27),X27&lt;&gt;""),S27*(W27*INDEX(LenF,MATCH($W$7,LenU,0)))^2*INDEX(LayoutF,MATCH(X27,LayoutU,0)),0))</f>
        <v>0</v>
      </c>
      <c r="AR27" s="9" t="n">
        <f aca="false">IF(ISNUMBER(O27),O27*INDEX(LenF,MATCH($O$7,LenU,0)),IF(ISNUMBER(V27),V27*INDEX(LenF,MATCH($V$7,LenU,0)),0))</f>
        <v>0</v>
      </c>
      <c r="AS27" s="9" t="str">
        <f aca="false">IF(ISNUMBER(L27),L27*INDEX(LenF,MATCH($L$7,LenU,0))*1000,IF(OR(J27="",K27=""),"",IFERROR(IF(INDEX(PipeWT,MATCH(J27,NPSU,0),MATCH(K27,SchU,0))="","Sch n/a",INDEX(PipeOD,MATCH(J27,NPSU,0))-2*INDEX(PipeWT,MATCH(J27,NPSU,0),MATCH(K27,SchU,0))),"")))</f>
        <v/>
      </c>
      <c r="AT27" s="9" t="n">
        <f aca="false">IF(ISNUMBER(AI27),AI27,IFERROR(INDEX(IF(JobType="Decontamination",TypeFillDC,TypeFillCC),MATCH(E27,TypeL,0)),1))</f>
        <v>1</v>
      </c>
      <c r="AU27" s="9" t="n">
        <v>1</v>
      </c>
    </row>
    <row r="28" customFormat="false" ht="15" hidden="false" customHeight="false" outlineLevel="0" collapsed="false">
      <c r="A28" s="16" t="n">
        <v>19</v>
      </c>
      <c r="B28" s="20"/>
      <c r="C28" s="5"/>
      <c r="D28" s="5"/>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1" t="str">
        <f aca="false">IF(E28="Exchanger",IF(AND(ISNUMBER(S28),ISNUMBER(U28),ISNUMBER(V28)),S28*PI()/4*(U28*INDEX(LenF,MATCH($U$7,LenU,0)))^2*V28*INDEX(LenF,MATCH($V$7,LenU,0)),0)+IF(ISNUMBER(Y28),PI()/4*(Y28*INDEX(LenF,MATCH($Y$7,LenU,0)))^2*N(Z28)*INDEX(LenF,MATCH($Z$7,LenU,0))+IF(AA28="",0,IF(AA28="Conical",PI()/12*(Y28*INDEX(LenF,MATCH($Y$7,LenU,0)))^2*(0),INDEX(HeadK,MATCH(AA28,HeadU,0))*(Y28*INDEX(LenF,MATCH($Y$7,LenU,0)))^3)),0)+IF(ISNUMBER(Y28),PI()/4*(Y28*INDEX(LenF,MATCH($Y$7,LenU,0)))^2*N(AB28)*INDEX(LenF,MATCH($AB$7,LenU,0))+IF(AC28="",0,IF(AC28="Conical",PI()/12*(Y28*INDEX(LenF,MATCH($Y$7,LenU,0)))^2*(0),INDEX(HeadK,MATCH(AC28,HeadU,0))*(Y28*INDEX(LenF,MATCH($Y$7,LenU,0)))^3)),0),"")</f>
        <v/>
      </c>
      <c r="AE28" s="21" t="str">
        <f aca="false">IF(OR(E28="",E28="Piping"),"",IF(E28="Exchanger",AQ28*AR28+IF(P28="",0,IF(P28="Conical",PI()/12*(SQRT(4*AQ28/PI()))^2*(0),INDEX(HeadK,MATCH(P28,HeadU,0))*(SQRT(4*AQ28/PI()))^3))-IF(AND(ISNUMBER(S28),ISNUMBER(V28)),S28*PI()/4*AP28^2*V28*INDEX(LenF,MATCH($V$7,LenU,0)),0),IF(ISNUMBER(N28),PI()/4*(N28*INDEX(LenF,MATCH($N$7,LenU,0)))^2*N(O28)*INDEX(LenF,MATCH($O$7,LenU,0))+IF(P28="",0,IF(P28="Conical",PI()/12*(N28*INDEX(LenF,MATCH($N$7,LenU,0)))^2*(N(R28)*INDEX(LenF,MATCH($R$7,LenU,0))),INDEX(HeadK,MATCH(P28,HeadU,0))*(N28*INDEX(LenF,MATCH($N$7,LenU,0)))^3))+IF(Q28="",0,IF(Q28="Conical",PI()/12*(N28*INDEX(LenF,MATCH($N$7,LenU,0)))^2*(N(R28)*INDEX(LenF,MATCH($R$7,LenU,0))),INDEX(HeadK,MATCH(Q28,HeadU,0))*(N28*INDEX(LenF,MATCH($N$7,LenU,0)))^3)),0)))</f>
        <v/>
      </c>
      <c r="AF28" s="21" t="str">
        <f aca="false">IF(E28&lt;&gt;"Piping","",IF(AND(ISNUMBER(AS28),ISNUMBER(M28)),PI()/4*(AS28/1000)^2*M28*INDEX(LenF,MATCH($M$7,LenU,0)),0))</f>
        <v/>
      </c>
      <c r="AG28" s="21" t="str">
        <f aca="false">IF(E28="","",N(AD28)+N(AE28)+N(AF28))</f>
        <v/>
      </c>
      <c r="AH28" s="21" t="str">
        <f aca="false">IF(ISNUMBER(I28),I28*INDEX(WtF,MATCH($I$7,WtU,0))/WaterRho,"")</f>
        <v/>
      </c>
      <c r="AI28" s="11"/>
      <c r="AJ28" s="11"/>
      <c r="AK28" s="20"/>
      <c r="AL28" s="11"/>
      <c r="AM28" s="21" t="str">
        <f aca="false">IF(AO28="","",AO28*IF(ISNUMBER(AK28),AK28,DefFills)*(1+IF(ISNUMBER(AL28),AL28,DefAllow)))</f>
        <v/>
      </c>
      <c r="AN28" s="22" t="str">
        <f aca="false">IF(G28="Given volume",IF(ISNUMBER(H28),H28*INDEX(VolF,MATCH($H$7,VolU,0)),""),IF(G28="Water weight",AH28,IF(N(AG28)=0,"",AG28)))</f>
        <v/>
      </c>
      <c r="AO28" s="22" t="str">
        <f aca="false">IF(N(AN28)=0,"",AN28*AT28*IF(ISNUMBER(AJ28),AJ28,DefCirc))</f>
        <v/>
      </c>
      <c r="AP28" s="9" t="n">
        <f aca="false">IF(ISNUMBER(T28),T28*INDEX(LenF,MATCH($T$7,LenU,0)),IF(ISNUMBER(W28),W28*INDEX(LenF,MATCH($W$7,LenU,0))/PitchRatio,0))</f>
        <v>0</v>
      </c>
      <c r="AQ28" s="9" t="n">
        <f aca="false">IF(ISNUMBER(N28),PI()/4*(N28*INDEX(LenF,MATCH($N$7,LenU,0)))^2,IF(AND(ISNUMBER(S28),ISNUMBER(W28),X28&lt;&gt;""),S28*(W28*INDEX(LenF,MATCH($W$7,LenU,0)))^2*INDEX(LayoutF,MATCH(X28,LayoutU,0)),0))</f>
        <v>0</v>
      </c>
      <c r="AR28" s="9" t="n">
        <f aca="false">IF(ISNUMBER(O28),O28*INDEX(LenF,MATCH($O$7,LenU,0)),IF(ISNUMBER(V28),V28*INDEX(LenF,MATCH($V$7,LenU,0)),0))</f>
        <v>0</v>
      </c>
      <c r="AS28" s="9" t="str">
        <f aca="false">IF(ISNUMBER(L28),L28*INDEX(LenF,MATCH($L$7,LenU,0))*1000,IF(OR(J28="",K28=""),"",IFERROR(IF(INDEX(PipeWT,MATCH(J28,NPSU,0),MATCH(K28,SchU,0))="","Sch n/a",INDEX(PipeOD,MATCH(J28,NPSU,0))-2*INDEX(PipeWT,MATCH(J28,NPSU,0),MATCH(K28,SchU,0))),"")))</f>
        <v/>
      </c>
      <c r="AT28" s="9" t="n">
        <f aca="false">IF(ISNUMBER(AI28),AI28,IFERROR(INDEX(IF(JobType="Decontamination",TypeFillDC,TypeFillCC),MATCH(E28,TypeL,0)),1))</f>
        <v>1</v>
      </c>
      <c r="AU28" s="9" t="n">
        <v>1</v>
      </c>
    </row>
    <row r="29" customFormat="false" ht="15" hidden="false" customHeight="false" outlineLevel="0" collapsed="false">
      <c r="A29" s="16" t="n">
        <v>20</v>
      </c>
      <c r="B29" s="20"/>
      <c r="C29" s="5"/>
      <c r="D29" s="5"/>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1" t="str">
        <f aca="false">IF(E29="Exchanger",IF(AND(ISNUMBER(S29),ISNUMBER(U29),ISNUMBER(V29)),S29*PI()/4*(U29*INDEX(LenF,MATCH($U$7,LenU,0)))^2*V29*INDEX(LenF,MATCH($V$7,LenU,0)),0)+IF(ISNUMBER(Y29),PI()/4*(Y29*INDEX(LenF,MATCH($Y$7,LenU,0)))^2*N(Z29)*INDEX(LenF,MATCH($Z$7,LenU,0))+IF(AA29="",0,IF(AA29="Conical",PI()/12*(Y29*INDEX(LenF,MATCH($Y$7,LenU,0)))^2*(0),INDEX(HeadK,MATCH(AA29,HeadU,0))*(Y29*INDEX(LenF,MATCH($Y$7,LenU,0)))^3)),0)+IF(ISNUMBER(Y29),PI()/4*(Y29*INDEX(LenF,MATCH($Y$7,LenU,0)))^2*N(AB29)*INDEX(LenF,MATCH($AB$7,LenU,0))+IF(AC29="",0,IF(AC29="Conical",PI()/12*(Y29*INDEX(LenF,MATCH($Y$7,LenU,0)))^2*(0),INDEX(HeadK,MATCH(AC29,HeadU,0))*(Y29*INDEX(LenF,MATCH($Y$7,LenU,0)))^3)),0),"")</f>
        <v/>
      </c>
      <c r="AE29" s="21" t="str">
        <f aca="false">IF(OR(E29="",E29="Piping"),"",IF(E29="Exchanger",AQ29*AR29+IF(P29="",0,IF(P29="Conical",PI()/12*(SQRT(4*AQ29/PI()))^2*(0),INDEX(HeadK,MATCH(P29,HeadU,0))*(SQRT(4*AQ29/PI()))^3))-IF(AND(ISNUMBER(S29),ISNUMBER(V29)),S29*PI()/4*AP29^2*V29*INDEX(LenF,MATCH($V$7,LenU,0)),0),IF(ISNUMBER(N29),PI()/4*(N29*INDEX(LenF,MATCH($N$7,LenU,0)))^2*N(O29)*INDEX(LenF,MATCH($O$7,LenU,0))+IF(P29="",0,IF(P29="Conical",PI()/12*(N29*INDEX(LenF,MATCH($N$7,LenU,0)))^2*(N(R29)*INDEX(LenF,MATCH($R$7,LenU,0))),INDEX(HeadK,MATCH(P29,HeadU,0))*(N29*INDEX(LenF,MATCH($N$7,LenU,0)))^3))+IF(Q29="",0,IF(Q29="Conical",PI()/12*(N29*INDEX(LenF,MATCH($N$7,LenU,0)))^2*(N(R29)*INDEX(LenF,MATCH($R$7,LenU,0))),INDEX(HeadK,MATCH(Q29,HeadU,0))*(N29*INDEX(LenF,MATCH($N$7,LenU,0)))^3)),0)))</f>
        <v/>
      </c>
      <c r="AF29" s="21" t="str">
        <f aca="false">IF(E29&lt;&gt;"Piping","",IF(AND(ISNUMBER(AS29),ISNUMBER(M29)),PI()/4*(AS29/1000)^2*M29*INDEX(LenF,MATCH($M$7,LenU,0)),0))</f>
        <v/>
      </c>
      <c r="AG29" s="21" t="str">
        <f aca="false">IF(E29="","",N(AD29)+N(AE29)+N(AF29))</f>
        <v/>
      </c>
      <c r="AH29" s="21" t="str">
        <f aca="false">IF(ISNUMBER(I29),I29*INDEX(WtF,MATCH($I$7,WtU,0))/WaterRho,"")</f>
        <v/>
      </c>
      <c r="AI29" s="11"/>
      <c r="AJ29" s="11"/>
      <c r="AK29" s="20"/>
      <c r="AL29" s="11"/>
      <c r="AM29" s="21" t="str">
        <f aca="false">IF(AO29="","",AO29*IF(ISNUMBER(AK29),AK29,DefFills)*(1+IF(ISNUMBER(AL29),AL29,DefAllow)))</f>
        <v/>
      </c>
      <c r="AN29" s="22" t="str">
        <f aca="false">IF(G29="Given volume",IF(ISNUMBER(H29),H29*INDEX(VolF,MATCH($H$7,VolU,0)),""),IF(G29="Water weight",AH29,IF(N(AG29)=0,"",AG29)))</f>
        <v/>
      </c>
      <c r="AO29" s="22" t="str">
        <f aca="false">IF(N(AN29)=0,"",AN29*AT29*IF(ISNUMBER(AJ29),AJ29,DefCirc))</f>
        <v/>
      </c>
      <c r="AP29" s="9" t="n">
        <f aca="false">IF(ISNUMBER(T29),T29*INDEX(LenF,MATCH($T$7,LenU,0)),IF(ISNUMBER(W29),W29*INDEX(LenF,MATCH($W$7,LenU,0))/PitchRatio,0))</f>
        <v>0</v>
      </c>
      <c r="AQ29" s="9" t="n">
        <f aca="false">IF(ISNUMBER(N29),PI()/4*(N29*INDEX(LenF,MATCH($N$7,LenU,0)))^2,IF(AND(ISNUMBER(S29),ISNUMBER(W29),X29&lt;&gt;""),S29*(W29*INDEX(LenF,MATCH($W$7,LenU,0)))^2*INDEX(LayoutF,MATCH(X29,LayoutU,0)),0))</f>
        <v>0</v>
      </c>
      <c r="AR29" s="9" t="n">
        <f aca="false">IF(ISNUMBER(O29),O29*INDEX(LenF,MATCH($O$7,LenU,0)),IF(ISNUMBER(V29),V29*INDEX(LenF,MATCH($V$7,LenU,0)),0))</f>
        <v>0</v>
      </c>
      <c r="AS29" s="9" t="str">
        <f aca="false">IF(ISNUMBER(L29),L29*INDEX(LenF,MATCH($L$7,LenU,0))*1000,IF(OR(J29="",K29=""),"",IFERROR(IF(INDEX(PipeWT,MATCH(J29,NPSU,0),MATCH(K29,SchU,0))="","Sch n/a",INDEX(PipeOD,MATCH(J29,NPSU,0))-2*INDEX(PipeWT,MATCH(J29,NPSU,0),MATCH(K29,SchU,0))),"")))</f>
        <v/>
      </c>
      <c r="AT29" s="9" t="n">
        <f aca="false">IF(ISNUMBER(AI29),AI29,IFERROR(INDEX(IF(JobType="Decontamination",TypeFillDC,TypeFillCC),MATCH(E29,TypeL,0)),1))</f>
        <v>1</v>
      </c>
      <c r="AU29" s="9" t="n">
        <v>1</v>
      </c>
    </row>
    <row r="30" customFormat="false" ht="15" hidden="false" customHeight="false" outlineLevel="0" collapsed="false">
      <c r="A30" s="16" t="n">
        <v>21</v>
      </c>
      <c r="B30" s="20"/>
      <c r="C30" s="5"/>
      <c r="D30" s="5"/>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1" t="str">
        <f aca="false">IF(E30="Exchanger",IF(AND(ISNUMBER(S30),ISNUMBER(U30),ISNUMBER(V30)),S30*PI()/4*(U30*INDEX(LenF,MATCH($U$7,LenU,0)))^2*V30*INDEX(LenF,MATCH($V$7,LenU,0)),0)+IF(ISNUMBER(Y30),PI()/4*(Y30*INDEX(LenF,MATCH($Y$7,LenU,0)))^2*N(Z30)*INDEX(LenF,MATCH($Z$7,LenU,0))+IF(AA30="",0,IF(AA30="Conical",PI()/12*(Y30*INDEX(LenF,MATCH($Y$7,LenU,0)))^2*(0),INDEX(HeadK,MATCH(AA30,HeadU,0))*(Y30*INDEX(LenF,MATCH($Y$7,LenU,0)))^3)),0)+IF(ISNUMBER(Y30),PI()/4*(Y30*INDEX(LenF,MATCH($Y$7,LenU,0)))^2*N(AB30)*INDEX(LenF,MATCH($AB$7,LenU,0))+IF(AC30="",0,IF(AC30="Conical",PI()/12*(Y30*INDEX(LenF,MATCH($Y$7,LenU,0)))^2*(0),INDEX(HeadK,MATCH(AC30,HeadU,0))*(Y30*INDEX(LenF,MATCH($Y$7,LenU,0)))^3)),0),"")</f>
        <v/>
      </c>
      <c r="AE30" s="21" t="str">
        <f aca="false">IF(OR(E30="",E30="Piping"),"",IF(E30="Exchanger",AQ30*AR30+IF(P30="",0,IF(P30="Conical",PI()/12*(SQRT(4*AQ30/PI()))^2*(0),INDEX(HeadK,MATCH(P30,HeadU,0))*(SQRT(4*AQ30/PI()))^3))-IF(AND(ISNUMBER(S30),ISNUMBER(V30)),S30*PI()/4*AP30^2*V30*INDEX(LenF,MATCH($V$7,LenU,0)),0),IF(ISNUMBER(N30),PI()/4*(N30*INDEX(LenF,MATCH($N$7,LenU,0)))^2*N(O30)*INDEX(LenF,MATCH($O$7,LenU,0))+IF(P30="",0,IF(P30="Conical",PI()/12*(N30*INDEX(LenF,MATCH($N$7,LenU,0)))^2*(N(R30)*INDEX(LenF,MATCH($R$7,LenU,0))),INDEX(HeadK,MATCH(P30,HeadU,0))*(N30*INDEX(LenF,MATCH($N$7,LenU,0)))^3))+IF(Q30="",0,IF(Q30="Conical",PI()/12*(N30*INDEX(LenF,MATCH($N$7,LenU,0)))^2*(N(R30)*INDEX(LenF,MATCH($R$7,LenU,0))),INDEX(HeadK,MATCH(Q30,HeadU,0))*(N30*INDEX(LenF,MATCH($N$7,LenU,0)))^3)),0)))</f>
        <v/>
      </c>
      <c r="AF30" s="21" t="str">
        <f aca="false">IF(E30&lt;&gt;"Piping","",IF(AND(ISNUMBER(AS30),ISNUMBER(M30)),PI()/4*(AS30/1000)^2*M30*INDEX(LenF,MATCH($M$7,LenU,0)),0))</f>
        <v/>
      </c>
      <c r="AG30" s="21" t="str">
        <f aca="false">IF(E30="","",N(AD30)+N(AE30)+N(AF30))</f>
        <v/>
      </c>
      <c r="AH30" s="21" t="str">
        <f aca="false">IF(ISNUMBER(I30),I30*INDEX(WtF,MATCH($I$7,WtU,0))/WaterRho,"")</f>
        <v/>
      </c>
      <c r="AI30" s="11"/>
      <c r="AJ30" s="11"/>
      <c r="AK30" s="20"/>
      <c r="AL30" s="11"/>
      <c r="AM30" s="21" t="str">
        <f aca="false">IF(AO30="","",AO30*IF(ISNUMBER(AK30),AK30,DefFills)*(1+IF(ISNUMBER(AL30),AL30,DefAllow)))</f>
        <v/>
      </c>
      <c r="AN30" s="22" t="str">
        <f aca="false">IF(G30="Given volume",IF(ISNUMBER(H30),H30*INDEX(VolF,MATCH($H$7,VolU,0)),""),IF(G30="Water weight",AH30,IF(N(AG30)=0,"",AG30)))</f>
        <v/>
      </c>
      <c r="AO30" s="22" t="str">
        <f aca="false">IF(N(AN30)=0,"",AN30*AT30*IF(ISNUMBER(AJ30),AJ30,DefCirc))</f>
        <v/>
      </c>
      <c r="AP30" s="9" t="n">
        <f aca="false">IF(ISNUMBER(T30),T30*INDEX(LenF,MATCH($T$7,LenU,0)),IF(ISNUMBER(W30),W30*INDEX(LenF,MATCH($W$7,LenU,0))/PitchRatio,0))</f>
        <v>0</v>
      </c>
      <c r="AQ30" s="9" t="n">
        <f aca="false">IF(ISNUMBER(N30),PI()/4*(N30*INDEX(LenF,MATCH($N$7,LenU,0)))^2,IF(AND(ISNUMBER(S30),ISNUMBER(W30),X30&lt;&gt;""),S30*(W30*INDEX(LenF,MATCH($W$7,LenU,0)))^2*INDEX(LayoutF,MATCH(X30,LayoutU,0)),0))</f>
        <v>0</v>
      </c>
      <c r="AR30" s="9" t="n">
        <f aca="false">IF(ISNUMBER(O30),O30*INDEX(LenF,MATCH($O$7,LenU,0)),IF(ISNUMBER(V30),V30*INDEX(LenF,MATCH($V$7,LenU,0)),0))</f>
        <v>0</v>
      </c>
      <c r="AS30" s="9" t="str">
        <f aca="false">IF(ISNUMBER(L30),L30*INDEX(LenF,MATCH($L$7,LenU,0))*1000,IF(OR(J30="",K30=""),"",IFERROR(IF(INDEX(PipeWT,MATCH(J30,NPSU,0),MATCH(K30,SchU,0))="","Sch n/a",INDEX(PipeOD,MATCH(J30,NPSU,0))-2*INDEX(PipeWT,MATCH(J30,NPSU,0),MATCH(K30,SchU,0))),"")))</f>
        <v/>
      </c>
      <c r="AT30" s="9" t="n">
        <f aca="false">IF(ISNUMBER(AI30),AI30,IFERROR(INDEX(IF(JobType="Decontamination",TypeFillDC,TypeFillCC),MATCH(E30,TypeL,0)),1))</f>
        <v>1</v>
      </c>
      <c r="AU30" s="9" t="n">
        <v>1</v>
      </c>
    </row>
    <row r="31" customFormat="false" ht="15" hidden="false" customHeight="false" outlineLevel="0" collapsed="false">
      <c r="A31" s="16" t="n">
        <v>22</v>
      </c>
      <c r="B31" s="20"/>
      <c r="C31" s="5"/>
      <c r="D31" s="5"/>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1" t="str">
        <f aca="false">IF(E31="Exchanger",IF(AND(ISNUMBER(S31),ISNUMBER(U31),ISNUMBER(V31)),S31*PI()/4*(U31*INDEX(LenF,MATCH($U$7,LenU,0)))^2*V31*INDEX(LenF,MATCH($V$7,LenU,0)),0)+IF(ISNUMBER(Y31),PI()/4*(Y31*INDEX(LenF,MATCH($Y$7,LenU,0)))^2*N(Z31)*INDEX(LenF,MATCH($Z$7,LenU,0))+IF(AA31="",0,IF(AA31="Conical",PI()/12*(Y31*INDEX(LenF,MATCH($Y$7,LenU,0)))^2*(0),INDEX(HeadK,MATCH(AA31,HeadU,0))*(Y31*INDEX(LenF,MATCH($Y$7,LenU,0)))^3)),0)+IF(ISNUMBER(Y31),PI()/4*(Y31*INDEX(LenF,MATCH($Y$7,LenU,0)))^2*N(AB31)*INDEX(LenF,MATCH($AB$7,LenU,0))+IF(AC31="",0,IF(AC31="Conical",PI()/12*(Y31*INDEX(LenF,MATCH($Y$7,LenU,0)))^2*(0),INDEX(HeadK,MATCH(AC31,HeadU,0))*(Y31*INDEX(LenF,MATCH($Y$7,LenU,0)))^3)),0),"")</f>
        <v/>
      </c>
      <c r="AE31" s="21" t="str">
        <f aca="false">IF(OR(E31="",E31="Piping"),"",IF(E31="Exchanger",AQ31*AR31+IF(P31="",0,IF(P31="Conical",PI()/12*(SQRT(4*AQ31/PI()))^2*(0),INDEX(HeadK,MATCH(P31,HeadU,0))*(SQRT(4*AQ31/PI()))^3))-IF(AND(ISNUMBER(S31),ISNUMBER(V31)),S31*PI()/4*AP31^2*V31*INDEX(LenF,MATCH($V$7,LenU,0)),0),IF(ISNUMBER(N31),PI()/4*(N31*INDEX(LenF,MATCH($N$7,LenU,0)))^2*N(O31)*INDEX(LenF,MATCH($O$7,LenU,0))+IF(P31="",0,IF(P31="Conical",PI()/12*(N31*INDEX(LenF,MATCH($N$7,LenU,0)))^2*(N(R31)*INDEX(LenF,MATCH($R$7,LenU,0))),INDEX(HeadK,MATCH(P31,HeadU,0))*(N31*INDEX(LenF,MATCH($N$7,LenU,0)))^3))+IF(Q31="",0,IF(Q31="Conical",PI()/12*(N31*INDEX(LenF,MATCH($N$7,LenU,0)))^2*(N(R31)*INDEX(LenF,MATCH($R$7,LenU,0))),INDEX(HeadK,MATCH(Q31,HeadU,0))*(N31*INDEX(LenF,MATCH($N$7,LenU,0)))^3)),0)))</f>
        <v/>
      </c>
      <c r="AF31" s="21" t="str">
        <f aca="false">IF(E31&lt;&gt;"Piping","",IF(AND(ISNUMBER(AS31),ISNUMBER(M31)),PI()/4*(AS31/1000)^2*M31*INDEX(LenF,MATCH($M$7,LenU,0)),0))</f>
        <v/>
      </c>
      <c r="AG31" s="21" t="str">
        <f aca="false">IF(E31="","",N(AD31)+N(AE31)+N(AF31))</f>
        <v/>
      </c>
      <c r="AH31" s="21" t="str">
        <f aca="false">IF(ISNUMBER(I31),I31*INDEX(WtF,MATCH($I$7,WtU,0))/WaterRho,"")</f>
        <v/>
      </c>
      <c r="AI31" s="11"/>
      <c r="AJ31" s="11"/>
      <c r="AK31" s="20"/>
      <c r="AL31" s="11"/>
      <c r="AM31" s="21" t="str">
        <f aca="false">IF(AO31="","",AO31*IF(ISNUMBER(AK31),AK31,DefFills)*(1+IF(ISNUMBER(AL31),AL31,DefAllow)))</f>
        <v/>
      </c>
      <c r="AN31" s="22" t="str">
        <f aca="false">IF(G31="Given volume",IF(ISNUMBER(H31),H31*INDEX(VolF,MATCH($H$7,VolU,0)),""),IF(G31="Water weight",AH31,IF(N(AG31)=0,"",AG31)))</f>
        <v/>
      </c>
      <c r="AO31" s="22" t="str">
        <f aca="false">IF(N(AN31)=0,"",AN31*AT31*IF(ISNUMBER(AJ31),AJ31,DefCirc))</f>
        <v/>
      </c>
      <c r="AP31" s="9" t="n">
        <f aca="false">IF(ISNUMBER(T31),T31*INDEX(LenF,MATCH($T$7,LenU,0)),IF(ISNUMBER(W31),W31*INDEX(LenF,MATCH($W$7,LenU,0))/PitchRatio,0))</f>
        <v>0</v>
      </c>
      <c r="AQ31" s="9" t="n">
        <f aca="false">IF(ISNUMBER(N31),PI()/4*(N31*INDEX(LenF,MATCH($N$7,LenU,0)))^2,IF(AND(ISNUMBER(S31),ISNUMBER(W31),X31&lt;&gt;""),S31*(W31*INDEX(LenF,MATCH($W$7,LenU,0)))^2*INDEX(LayoutF,MATCH(X31,LayoutU,0)),0))</f>
        <v>0</v>
      </c>
      <c r="AR31" s="9" t="n">
        <f aca="false">IF(ISNUMBER(O31),O31*INDEX(LenF,MATCH($O$7,LenU,0)),IF(ISNUMBER(V31),V31*INDEX(LenF,MATCH($V$7,LenU,0)),0))</f>
        <v>0</v>
      </c>
      <c r="AS31" s="9" t="str">
        <f aca="false">IF(ISNUMBER(L31),L31*INDEX(LenF,MATCH($L$7,LenU,0))*1000,IF(OR(J31="",K31=""),"",IFERROR(IF(INDEX(PipeWT,MATCH(J31,NPSU,0),MATCH(K31,SchU,0))="","Sch n/a",INDEX(PipeOD,MATCH(J31,NPSU,0))-2*INDEX(PipeWT,MATCH(J31,NPSU,0),MATCH(K31,SchU,0))),"")))</f>
        <v/>
      </c>
      <c r="AT31" s="9" t="n">
        <f aca="false">IF(ISNUMBER(AI31),AI31,IFERROR(INDEX(IF(JobType="Decontamination",TypeFillDC,TypeFillCC),MATCH(E31,TypeL,0)),1))</f>
        <v>1</v>
      </c>
      <c r="AU31" s="9" t="n">
        <v>1</v>
      </c>
    </row>
    <row r="32" customFormat="false" ht="15" hidden="false" customHeight="false" outlineLevel="0" collapsed="false">
      <c r="A32" s="16" t="n">
        <v>23</v>
      </c>
      <c r="B32" s="20"/>
      <c r="C32" s="5"/>
      <c r="D32" s="5"/>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1" t="str">
        <f aca="false">IF(E32="Exchanger",IF(AND(ISNUMBER(S32),ISNUMBER(U32),ISNUMBER(V32)),S32*PI()/4*(U32*INDEX(LenF,MATCH($U$7,LenU,0)))^2*V32*INDEX(LenF,MATCH($V$7,LenU,0)),0)+IF(ISNUMBER(Y32),PI()/4*(Y32*INDEX(LenF,MATCH($Y$7,LenU,0)))^2*N(Z32)*INDEX(LenF,MATCH($Z$7,LenU,0))+IF(AA32="",0,IF(AA32="Conical",PI()/12*(Y32*INDEX(LenF,MATCH($Y$7,LenU,0)))^2*(0),INDEX(HeadK,MATCH(AA32,HeadU,0))*(Y32*INDEX(LenF,MATCH($Y$7,LenU,0)))^3)),0)+IF(ISNUMBER(Y32),PI()/4*(Y32*INDEX(LenF,MATCH($Y$7,LenU,0)))^2*N(AB32)*INDEX(LenF,MATCH($AB$7,LenU,0))+IF(AC32="",0,IF(AC32="Conical",PI()/12*(Y32*INDEX(LenF,MATCH($Y$7,LenU,0)))^2*(0),INDEX(HeadK,MATCH(AC32,HeadU,0))*(Y32*INDEX(LenF,MATCH($Y$7,LenU,0)))^3)),0),"")</f>
        <v/>
      </c>
      <c r="AE32" s="21" t="str">
        <f aca="false">IF(OR(E32="",E32="Piping"),"",IF(E32="Exchanger",AQ32*AR32+IF(P32="",0,IF(P32="Conical",PI()/12*(SQRT(4*AQ32/PI()))^2*(0),INDEX(HeadK,MATCH(P32,HeadU,0))*(SQRT(4*AQ32/PI()))^3))-IF(AND(ISNUMBER(S32),ISNUMBER(V32)),S32*PI()/4*AP32^2*V32*INDEX(LenF,MATCH($V$7,LenU,0)),0),IF(ISNUMBER(N32),PI()/4*(N32*INDEX(LenF,MATCH($N$7,LenU,0)))^2*N(O32)*INDEX(LenF,MATCH($O$7,LenU,0))+IF(P32="",0,IF(P32="Conical",PI()/12*(N32*INDEX(LenF,MATCH($N$7,LenU,0)))^2*(N(R32)*INDEX(LenF,MATCH($R$7,LenU,0))),INDEX(HeadK,MATCH(P32,HeadU,0))*(N32*INDEX(LenF,MATCH($N$7,LenU,0)))^3))+IF(Q32="",0,IF(Q32="Conical",PI()/12*(N32*INDEX(LenF,MATCH($N$7,LenU,0)))^2*(N(R32)*INDEX(LenF,MATCH($R$7,LenU,0))),INDEX(HeadK,MATCH(Q32,HeadU,0))*(N32*INDEX(LenF,MATCH($N$7,LenU,0)))^3)),0)))</f>
        <v/>
      </c>
      <c r="AF32" s="21" t="str">
        <f aca="false">IF(E32&lt;&gt;"Piping","",IF(AND(ISNUMBER(AS32),ISNUMBER(M32)),PI()/4*(AS32/1000)^2*M32*INDEX(LenF,MATCH($M$7,LenU,0)),0))</f>
        <v/>
      </c>
      <c r="AG32" s="21" t="str">
        <f aca="false">IF(E32="","",N(AD32)+N(AE32)+N(AF32))</f>
        <v/>
      </c>
      <c r="AH32" s="21" t="str">
        <f aca="false">IF(ISNUMBER(I32),I32*INDEX(WtF,MATCH($I$7,WtU,0))/WaterRho,"")</f>
        <v/>
      </c>
      <c r="AI32" s="11"/>
      <c r="AJ32" s="11"/>
      <c r="AK32" s="20"/>
      <c r="AL32" s="11"/>
      <c r="AM32" s="21" t="str">
        <f aca="false">IF(AO32="","",AO32*IF(ISNUMBER(AK32),AK32,DefFills)*(1+IF(ISNUMBER(AL32),AL32,DefAllow)))</f>
        <v/>
      </c>
      <c r="AN32" s="22" t="str">
        <f aca="false">IF(G32="Given volume",IF(ISNUMBER(H32),H32*INDEX(VolF,MATCH($H$7,VolU,0)),""),IF(G32="Water weight",AH32,IF(N(AG32)=0,"",AG32)))</f>
        <v/>
      </c>
      <c r="AO32" s="22" t="str">
        <f aca="false">IF(N(AN32)=0,"",AN32*AT32*IF(ISNUMBER(AJ32),AJ32,DefCirc))</f>
        <v/>
      </c>
      <c r="AP32" s="9" t="n">
        <f aca="false">IF(ISNUMBER(T32),T32*INDEX(LenF,MATCH($T$7,LenU,0)),IF(ISNUMBER(W32),W32*INDEX(LenF,MATCH($W$7,LenU,0))/PitchRatio,0))</f>
        <v>0</v>
      </c>
      <c r="AQ32" s="9" t="n">
        <f aca="false">IF(ISNUMBER(N32),PI()/4*(N32*INDEX(LenF,MATCH($N$7,LenU,0)))^2,IF(AND(ISNUMBER(S32),ISNUMBER(W32),X32&lt;&gt;""),S32*(W32*INDEX(LenF,MATCH($W$7,LenU,0)))^2*INDEX(LayoutF,MATCH(X32,LayoutU,0)),0))</f>
        <v>0</v>
      </c>
      <c r="AR32" s="9" t="n">
        <f aca="false">IF(ISNUMBER(O32),O32*INDEX(LenF,MATCH($O$7,LenU,0)),IF(ISNUMBER(V32),V32*INDEX(LenF,MATCH($V$7,LenU,0)),0))</f>
        <v>0</v>
      </c>
      <c r="AS32" s="9" t="str">
        <f aca="false">IF(ISNUMBER(L32),L32*INDEX(LenF,MATCH($L$7,LenU,0))*1000,IF(OR(J32="",K32=""),"",IFERROR(IF(INDEX(PipeWT,MATCH(J32,NPSU,0),MATCH(K32,SchU,0))="","Sch n/a",INDEX(PipeOD,MATCH(J32,NPSU,0))-2*INDEX(PipeWT,MATCH(J32,NPSU,0),MATCH(K32,SchU,0))),"")))</f>
        <v/>
      </c>
      <c r="AT32" s="9" t="n">
        <f aca="false">IF(ISNUMBER(AI32),AI32,IFERROR(INDEX(IF(JobType="Decontamination",TypeFillDC,TypeFillCC),MATCH(E32,TypeL,0)),1))</f>
        <v>1</v>
      </c>
      <c r="AU32" s="9" t="n">
        <v>1</v>
      </c>
    </row>
    <row r="33" customFormat="false" ht="15" hidden="false" customHeight="false" outlineLevel="0" collapsed="false">
      <c r="A33" s="16" t="n">
        <v>24</v>
      </c>
      <c r="B33" s="20"/>
      <c r="C33" s="5"/>
      <c r="D33" s="5"/>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1" t="str">
        <f aca="false">IF(E33="Exchanger",IF(AND(ISNUMBER(S33),ISNUMBER(U33),ISNUMBER(V33)),S33*PI()/4*(U33*INDEX(LenF,MATCH($U$7,LenU,0)))^2*V33*INDEX(LenF,MATCH($V$7,LenU,0)),0)+IF(ISNUMBER(Y33),PI()/4*(Y33*INDEX(LenF,MATCH($Y$7,LenU,0)))^2*N(Z33)*INDEX(LenF,MATCH($Z$7,LenU,0))+IF(AA33="",0,IF(AA33="Conical",PI()/12*(Y33*INDEX(LenF,MATCH($Y$7,LenU,0)))^2*(0),INDEX(HeadK,MATCH(AA33,HeadU,0))*(Y33*INDEX(LenF,MATCH($Y$7,LenU,0)))^3)),0)+IF(ISNUMBER(Y33),PI()/4*(Y33*INDEX(LenF,MATCH($Y$7,LenU,0)))^2*N(AB33)*INDEX(LenF,MATCH($AB$7,LenU,0))+IF(AC33="",0,IF(AC33="Conical",PI()/12*(Y33*INDEX(LenF,MATCH($Y$7,LenU,0)))^2*(0),INDEX(HeadK,MATCH(AC33,HeadU,0))*(Y33*INDEX(LenF,MATCH($Y$7,LenU,0)))^3)),0),"")</f>
        <v/>
      </c>
      <c r="AE33" s="21" t="str">
        <f aca="false">IF(OR(E33="",E33="Piping"),"",IF(E33="Exchanger",AQ33*AR33+IF(P33="",0,IF(P33="Conical",PI()/12*(SQRT(4*AQ33/PI()))^2*(0),INDEX(HeadK,MATCH(P33,HeadU,0))*(SQRT(4*AQ33/PI()))^3))-IF(AND(ISNUMBER(S33),ISNUMBER(V33)),S33*PI()/4*AP33^2*V33*INDEX(LenF,MATCH($V$7,LenU,0)),0),IF(ISNUMBER(N33),PI()/4*(N33*INDEX(LenF,MATCH($N$7,LenU,0)))^2*N(O33)*INDEX(LenF,MATCH($O$7,LenU,0))+IF(P33="",0,IF(P33="Conical",PI()/12*(N33*INDEX(LenF,MATCH($N$7,LenU,0)))^2*(N(R33)*INDEX(LenF,MATCH($R$7,LenU,0))),INDEX(HeadK,MATCH(P33,HeadU,0))*(N33*INDEX(LenF,MATCH($N$7,LenU,0)))^3))+IF(Q33="",0,IF(Q33="Conical",PI()/12*(N33*INDEX(LenF,MATCH($N$7,LenU,0)))^2*(N(R33)*INDEX(LenF,MATCH($R$7,LenU,0))),INDEX(HeadK,MATCH(Q33,HeadU,0))*(N33*INDEX(LenF,MATCH($N$7,LenU,0)))^3)),0)))</f>
        <v/>
      </c>
      <c r="AF33" s="21" t="str">
        <f aca="false">IF(E33&lt;&gt;"Piping","",IF(AND(ISNUMBER(AS33),ISNUMBER(M33)),PI()/4*(AS33/1000)^2*M33*INDEX(LenF,MATCH($M$7,LenU,0)),0))</f>
        <v/>
      </c>
      <c r="AG33" s="21" t="str">
        <f aca="false">IF(E33="","",N(AD33)+N(AE33)+N(AF33))</f>
        <v/>
      </c>
      <c r="AH33" s="21" t="str">
        <f aca="false">IF(ISNUMBER(I33),I33*INDEX(WtF,MATCH($I$7,WtU,0))/WaterRho,"")</f>
        <v/>
      </c>
      <c r="AI33" s="11"/>
      <c r="AJ33" s="11"/>
      <c r="AK33" s="20"/>
      <c r="AL33" s="11"/>
      <c r="AM33" s="21" t="str">
        <f aca="false">IF(AO33="","",AO33*IF(ISNUMBER(AK33),AK33,DefFills)*(1+IF(ISNUMBER(AL33),AL33,DefAllow)))</f>
        <v/>
      </c>
      <c r="AN33" s="22" t="str">
        <f aca="false">IF(G33="Given volume",IF(ISNUMBER(H33),H33*INDEX(VolF,MATCH($H$7,VolU,0)),""),IF(G33="Water weight",AH33,IF(N(AG33)=0,"",AG33)))</f>
        <v/>
      </c>
      <c r="AO33" s="22" t="str">
        <f aca="false">IF(N(AN33)=0,"",AN33*AT33*IF(ISNUMBER(AJ33),AJ33,DefCirc))</f>
        <v/>
      </c>
      <c r="AP33" s="9" t="n">
        <f aca="false">IF(ISNUMBER(T33),T33*INDEX(LenF,MATCH($T$7,LenU,0)),IF(ISNUMBER(W33),W33*INDEX(LenF,MATCH($W$7,LenU,0))/PitchRatio,0))</f>
        <v>0</v>
      </c>
      <c r="AQ33" s="9" t="n">
        <f aca="false">IF(ISNUMBER(N33),PI()/4*(N33*INDEX(LenF,MATCH($N$7,LenU,0)))^2,IF(AND(ISNUMBER(S33),ISNUMBER(W33),X33&lt;&gt;""),S33*(W33*INDEX(LenF,MATCH($W$7,LenU,0)))^2*INDEX(LayoutF,MATCH(X33,LayoutU,0)),0))</f>
        <v>0</v>
      </c>
      <c r="AR33" s="9" t="n">
        <f aca="false">IF(ISNUMBER(O33),O33*INDEX(LenF,MATCH($O$7,LenU,0)),IF(ISNUMBER(V33),V33*INDEX(LenF,MATCH($V$7,LenU,0)),0))</f>
        <v>0</v>
      </c>
      <c r="AS33" s="9" t="str">
        <f aca="false">IF(ISNUMBER(L33),L33*INDEX(LenF,MATCH($L$7,LenU,0))*1000,IF(OR(J33="",K33=""),"",IFERROR(IF(INDEX(PipeWT,MATCH(J33,NPSU,0),MATCH(K33,SchU,0))="","Sch n/a",INDEX(PipeOD,MATCH(J33,NPSU,0))-2*INDEX(PipeWT,MATCH(J33,NPSU,0),MATCH(K33,SchU,0))),"")))</f>
        <v/>
      </c>
      <c r="AT33" s="9" t="n">
        <f aca="false">IF(ISNUMBER(AI33),AI33,IFERROR(INDEX(IF(JobType="Decontamination",TypeFillDC,TypeFillCC),MATCH(E33,TypeL,0)),1))</f>
        <v>1</v>
      </c>
      <c r="AU33" s="9" t="n">
        <v>1</v>
      </c>
    </row>
    <row r="34" customFormat="false" ht="15" hidden="false" customHeight="false" outlineLevel="0" collapsed="false">
      <c r="A34" s="16" t="n">
        <v>25</v>
      </c>
      <c r="B34" s="20"/>
      <c r="C34" s="5"/>
      <c r="D34" s="5"/>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1" t="str">
        <f aca="false">IF(E34="Exchanger",IF(AND(ISNUMBER(S34),ISNUMBER(U34),ISNUMBER(V34)),S34*PI()/4*(U34*INDEX(LenF,MATCH($U$7,LenU,0)))^2*V34*INDEX(LenF,MATCH($V$7,LenU,0)),0)+IF(ISNUMBER(Y34),PI()/4*(Y34*INDEX(LenF,MATCH($Y$7,LenU,0)))^2*N(Z34)*INDEX(LenF,MATCH($Z$7,LenU,0))+IF(AA34="",0,IF(AA34="Conical",PI()/12*(Y34*INDEX(LenF,MATCH($Y$7,LenU,0)))^2*(0),INDEX(HeadK,MATCH(AA34,HeadU,0))*(Y34*INDEX(LenF,MATCH($Y$7,LenU,0)))^3)),0)+IF(ISNUMBER(Y34),PI()/4*(Y34*INDEX(LenF,MATCH($Y$7,LenU,0)))^2*N(AB34)*INDEX(LenF,MATCH($AB$7,LenU,0))+IF(AC34="",0,IF(AC34="Conical",PI()/12*(Y34*INDEX(LenF,MATCH($Y$7,LenU,0)))^2*(0),INDEX(HeadK,MATCH(AC34,HeadU,0))*(Y34*INDEX(LenF,MATCH($Y$7,LenU,0)))^3)),0),"")</f>
        <v/>
      </c>
      <c r="AE34" s="21" t="str">
        <f aca="false">IF(OR(E34="",E34="Piping"),"",IF(E34="Exchanger",AQ34*AR34+IF(P34="",0,IF(P34="Conical",PI()/12*(SQRT(4*AQ34/PI()))^2*(0),INDEX(HeadK,MATCH(P34,HeadU,0))*(SQRT(4*AQ34/PI()))^3))-IF(AND(ISNUMBER(S34),ISNUMBER(V34)),S34*PI()/4*AP34^2*V34*INDEX(LenF,MATCH($V$7,LenU,0)),0),IF(ISNUMBER(N34),PI()/4*(N34*INDEX(LenF,MATCH($N$7,LenU,0)))^2*N(O34)*INDEX(LenF,MATCH($O$7,LenU,0))+IF(P34="",0,IF(P34="Conical",PI()/12*(N34*INDEX(LenF,MATCH($N$7,LenU,0)))^2*(N(R34)*INDEX(LenF,MATCH($R$7,LenU,0))),INDEX(HeadK,MATCH(P34,HeadU,0))*(N34*INDEX(LenF,MATCH($N$7,LenU,0)))^3))+IF(Q34="",0,IF(Q34="Conical",PI()/12*(N34*INDEX(LenF,MATCH($N$7,LenU,0)))^2*(N(R34)*INDEX(LenF,MATCH($R$7,LenU,0))),INDEX(HeadK,MATCH(Q34,HeadU,0))*(N34*INDEX(LenF,MATCH($N$7,LenU,0)))^3)),0)))</f>
        <v/>
      </c>
      <c r="AF34" s="21" t="str">
        <f aca="false">IF(E34&lt;&gt;"Piping","",IF(AND(ISNUMBER(AS34),ISNUMBER(M34)),PI()/4*(AS34/1000)^2*M34*INDEX(LenF,MATCH($M$7,LenU,0)),0))</f>
        <v/>
      </c>
      <c r="AG34" s="21" t="str">
        <f aca="false">IF(E34="","",N(AD34)+N(AE34)+N(AF34))</f>
        <v/>
      </c>
      <c r="AH34" s="21" t="str">
        <f aca="false">IF(ISNUMBER(I34),I34*INDEX(WtF,MATCH($I$7,WtU,0))/WaterRho,"")</f>
        <v/>
      </c>
      <c r="AI34" s="11"/>
      <c r="AJ34" s="11"/>
      <c r="AK34" s="20"/>
      <c r="AL34" s="11"/>
      <c r="AM34" s="21" t="str">
        <f aca="false">IF(AO34="","",AO34*IF(ISNUMBER(AK34),AK34,DefFills)*(1+IF(ISNUMBER(AL34),AL34,DefAllow)))</f>
        <v/>
      </c>
      <c r="AN34" s="22" t="str">
        <f aca="false">IF(G34="Given volume",IF(ISNUMBER(H34),H34*INDEX(VolF,MATCH($H$7,VolU,0)),""),IF(G34="Water weight",AH34,IF(N(AG34)=0,"",AG34)))</f>
        <v/>
      </c>
      <c r="AO34" s="22" t="str">
        <f aca="false">IF(N(AN34)=0,"",AN34*AT34*IF(ISNUMBER(AJ34),AJ34,DefCirc))</f>
        <v/>
      </c>
      <c r="AP34" s="9" t="n">
        <f aca="false">IF(ISNUMBER(T34),T34*INDEX(LenF,MATCH($T$7,LenU,0)),IF(ISNUMBER(W34),W34*INDEX(LenF,MATCH($W$7,LenU,0))/PitchRatio,0))</f>
        <v>0</v>
      </c>
      <c r="AQ34" s="9" t="n">
        <f aca="false">IF(ISNUMBER(N34),PI()/4*(N34*INDEX(LenF,MATCH($N$7,LenU,0)))^2,IF(AND(ISNUMBER(S34),ISNUMBER(W34),X34&lt;&gt;""),S34*(W34*INDEX(LenF,MATCH($W$7,LenU,0)))^2*INDEX(LayoutF,MATCH(X34,LayoutU,0)),0))</f>
        <v>0</v>
      </c>
      <c r="AR34" s="9" t="n">
        <f aca="false">IF(ISNUMBER(O34),O34*INDEX(LenF,MATCH($O$7,LenU,0)),IF(ISNUMBER(V34),V34*INDEX(LenF,MATCH($V$7,LenU,0)),0))</f>
        <v>0</v>
      </c>
      <c r="AS34" s="9" t="str">
        <f aca="false">IF(ISNUMBER(L34),L34*INDEX(LenF,MATCH($L$7,LenU,0))*1000,IF(OR(J34="",K34=""),"",IFERROR(IF(INDEX(PipeWT,MATCH(J34,NPSU,0),MATCH(K34,SchU,0))="","Sch n/a",INDEX(PipeOD,MATCH(J34,NPSU,0))-2*INDEX(PipeWT,MATCH(J34,NPSU,0),MATCH(K34,SchU,0))),"")))</f>
        <v/>
      </c>
      <c r="AT34" s="9" t="n">
        <f aca="false">IF(ISNUMBER(AI34),AI34,IFERROR(INDEX(IF(JobType="Decontamination",TypeFillDC,TypeFillCC),MATCH(E34,TypeL,0)),1))</f>
        <v>1</v>
      </c>
      <c r="AU34" s="9" t="n">
        <v>1</v>
      </c>
    </row>
    <row r="35" customFormat="false" ht="15" hidden="false" customHeight="false" outlineLevel="0" collapsed="false">
      <c r="A35" s="16" t="n">
        <v>26</v>
      </c>
      <c r="B35" s="20"/>
      <c r="C35" s="5"/>
      <c r="D35" s="5"/>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1" t="str">
        <f aca="false">IF(E35="Exchanger",IF(AND(ISNUMBER(S35),ISNUMBER(U35),ISNUMBER(V35)),S35*PI()/4*(U35*INDEX(LenF,MATCH($U$7,LenU,0)))^2*V35*INDEX(LenF,MATCH($V$7,LenU,0)),0)+IF(ISNUMBER(Y35),PI()/4*(Y35*INDEX(LenF,MATCH($Y$7,LenU,0)))^2*N(Z35)*INDEX(LenF,MATCH($Z$7,LenU,0))+IF(AA35="",0,IF(AA35="Conical",PI()/12*(Y35*INDEX(LenF,MATCH($Y$7,LenU,0)))^2*(0),INDEX(HeadK,MATCH(AA35,HeadU,0))*(Y35*INDEX(LenF,MATCH($Y$7,LenU,0)))^3)),0)+IF(ISNUMBER(Y35),PI()/4*(Y35*INDEX(LenF,MATCH($Y$7,LenU,0)))^2*N(AB35)*INDEX(LenF,MATCH($AB$7,LenU,0))+IF(AC35="",0,IF(AC35="Conical",PI()/12*(Y35*INDEX(LenF,MATCH($Y$7,LenU,0)))^2*(0),INDEX(HeadK,MATCH(AC35,HeadU,0))*(Y35*INDEX(LenF,MATCH($Y$7,LenU,0)))^3)),0),"")</f>
        <v/>
      </c>
      <c r="AE35" s="21" t="str">
        <f aca="false">IF(OR(E35="",E35="Piping"),"",IF(E35="Exchanger",AQ35*AR35+IF(P35="",0,IF(P35="Conical",PI()/12*(SQRT(4*AQ35/PI()))^2*(0),INDEX(HeadK,MATCH(P35,HeadU,0))*(SQRT(4*AQ35/PI()))^3))-IF(AND(ISNUMBER(S35),ISNUMBER(V35)),S35*PI()/4*AP35^2*V35*INDEX(LenF,MATCH($V$7,LenU,0)),0),IF(ISNUMBER(N35),PI()/4*(N35*INDEX(LenF,MATCH($N$7,LenU,0)))^2*N(O35)*INDEX(LenF,MATCH($O$7,LenU,0))+IF(P35="",0,IF(P35="Conical",PI()/12*(N35*INDEX(LenF,MATCH($N$7,LenU,0)))^2*(N(R35)*INDEX(LenF,MATCH($R$7,LenU,0))),INDEX(HeadK,MATCH(P35,HeadU,0))*(N35*INDEX(LenF,MATCH($N$7,LenU,0)))^3))+IF(Q35="",0,IF(Q35="Conical",PI()/12*(N35*INDEX(LenF,MATCH($N$7,LenU,0)))^2*(N(R35)*INDEX(LenF,MATCH($R$7,LenU,0))),INDEX(HeadK,MATCH(Q35,HeadU,0))*(N35*INDEX(LenF,MATCH($N$7,LenU,0)))^3)),0)))</f>
        <v/>
      </c>
      <c r="AF35" s="21" t="str">
        <f aca="false">IF(E35&lt;&gt;"Piping","",IF(AND(ISNUMBER(AS35),ISNUMBER(M35)),PI()/4*(AS35/1000)^2*M35*INDEX(LenF,MATCH($M$7,LenU,0)),0))</f>
        <v/>
      </c>
      <c r="AG35" s="21" t="str">
        <f aca="false">IF(E35="","",N(AD35)+N(AE35)+N(AF35))</f>
        <v/>
      </c>
      <c r="AH35" s="21" t="str">
        <f aca="false">IF(ISNUMBER(I35),I35*INDEX(WtF,MATCH($I$7,WtU,0))/WaterRho,"")</f>
        <v/>
      </c>
      <c r="AI35" s="11"/>
      <c r="AJ35" s="11"/>
      <c r="AK35" s="20"/>
      <c r="AL35" s="11"/>
      <c r="AM35" s="21" t="str">
        <f aca="false">IF(AO35="","",AO35*IF(ISNUMBER(AK35),AK35,DefFills)*(1+IF(ISNUMBER(AL35),AL35,DefAllow)))</f>
        <v/>
      </c>
      <c r="AN35" s="22" t="str">
        <f aca="false">IF(G35="Given volume",IF(ISNUMBER(H35),H35*INDEX(VolF,MATCH($H$7,VolU,0)),""),IF(G35="Water weight",AH35,IF(N(AG35)=0,"",AG35)))</f>
        <v/>
      </c>
      <c r="AO35" s="22" t="str">
        <f aca="false">IF(N(AN35)=0,"",AN35*AT35*IF(ISNUMBER(AJ35),AJ35,DefCirc))</f>
        <v/>
      </c>
      <c r="AP35" s="9" t="n">
        <f aca="false">IF(ISNUMBER(T35),T35*INDEX(LenF,MATCH($T$7,LenU,0)),IF(ISNUMBER(W35),W35*INDEX(LenF,MATCH($W$7,LenU,0))/PitchRatio,0))</f>
        <v>0</v>
      </c>
      <c r="AQ35" s="9" t="n">
        <f aca="false">IF(ISNUMBER(N35),PI()/4*(N35*INDEX(LenF,MATCH($N$7,LenU,0)))^2,IF(AND(ISNUMBER(S35),ISNUMBER(W35),X35&lt;&gt;""),S35*(W35*INDEX(LenF,MATCH($W$7,LenU,0)))^2*INDEX(LayoutF,MATCH(X35,LayoutU,0)),0))</f>
        <v>0</v>
      </c>
      <c r="AR35" s="9" t="n">
        <f aca="false">IF(ISNUMBER(O35),O35*INDEX(LenF,MATCH($O$7,LenU,0)),IF(ISNUMBER(V35),V35*INDEX(LenF,MATCH($V$7,LenU,0)),0))</f>
        <v>0</v>
      </c>
      <c r="AS35" s="9" t="str">
        <f aca="false">IF(ISNUMBER(L35),L35*INDEX(LenF,MATCH($L$7,LenU,0))*1000,IF(OR(J35="",K35=""),"",IFERROR(IF(INDEX(PipeWT,MATCH(J35,NPSU,0),MATCH(K35,SchU,0))="","Sch n/a",INDEX(PipeOD,MATCH(J35,NPSU,0))-2*INDEX(PipeWT,MATCH(J35,NPSU,0),MATCH(K35,SchU,0))),"")))</f>
        <v/>
      </c>
      <c r="AT35" s="9" t="n">
        <f aca="false">IF(ISNUMBER(AI35),AI35,IFERROR(INDEX(IF(JobType="Decontamination",TypeFillDC,TypeFillCC),MATCH(E35,TypeL,0)),1))</f>
        <v>1</v>
      </c>
      <c r="AU35" s="9" t="n">
        <v>1</v>
      </c>
    </row>
    <row r="36" customFormat="false" ht="15" hidden="false" customHeight="false" outlineLevel="0" collapsed="false">
      <c r="A36" s="16" t="n">
        <v>27</v>
      </c>
      <c r="B36" s="20"/>
      <c r="C36" s="5"/>
      <c r="D36" s="5"/>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1" t="str">
        <f aca="false">IF(E36="Exchanger",IF(AND(ISNUMBER(S36),ISNUMBER(U36),ISNUMBER(V36)),S36*PI()/4*(U36*INDEX(LenF,MATCH($U$7,LenU,0)))^2*V36*INDEX(LenF,MATCH($V$7,LenU,0)),0)+IF(ISNUMBER(Y36),PI()/4*(Y36*INDEX(LenF,MATCH($Y$7,LenU,0)))^2*N(Z36)*INDEX(LenF,MATCH($Z$7,LenU,0))+IF(AA36="",0,IF(AA36="Conical",PI()/12*(Y36*INDEX(LenF,MATCH($Y$7,LenU,0)))^2*(0),INDEX(HeadK,MATCH(AA36,HeadU,0))*(Y36*INDEX(LenF,MATCH($Y$7,LenU,0)))^3)),0)+IF(ISNUMBER(Y36),PI()/4*(Y36*INDEX(LenF,MATCH($Y$7,LenU,0)))^2*N(AB36)*INDEX(LenF,MATCH($AB$7,LenU,0))+IF(AC36="",0,IF(AC36="Conical",PI()/12*(Y36*INDEX(LenF,MATCH($Y$7,LenU,0)))^2*(0),INDEX(HeadK,MATCH(AC36,HeadU,0))*(Y36*INDEX(LenF,MATCH($Y$7,LenU,0)))^3)),0),"")</f>
        <v/>
      </c>
      <c r="AE36" s="21" t="str">
        <f aca="false">IF(OR(E36="",E36="Piping"),"",IF(E36="Exchanger",AQ36*AR36+IF(P36="",0,IF(P36="Conical",PI()/12*(SQRT(4*AQ36/PI()))^2*(0),INDEX(HeadK,MATCH(P36,HeadU,0))*(SQRT(4*AQ36/PI()))^3))-IF(AND(ISNUMBER(S36),ISNUMBER(V36)),S36*PI()/4*AP36^2*V36*INDEX(LenF,MATCH($V$7,LenU,0)),0),IF(ISNUMBER(N36),PI()/4*(N36*INDEX(LenF,MATCH($N$7,LenU,0)))^2*N(O36)*INDEX(LenF,MATCH($O$7,LenU,0))+IF(P36="",0,IF(P36="Conical",PI()/12*(N36*INDEX(LenF,MATCH($N$7,LenU,0)))^2*(N(R36)*INDEX(LenF,MATCH($R$7,LenU,0))),INDEX(HeadK,MATCH(P36,HeadU,0))*(N36*INDEX(LenF,MATCH($N$7,LenU,0)))^3))+IF(Q36="",0,IF(Q36="Conical",PI()/12*(N36*INDEX(LenF,MATCH($N$7,LenU,0)))^2*(N(R36)*INDEX(LenF,MATCH($R$7,LenU,0))),INDEX(HeadK,MATCH(Q36,HeadU,0))*(N36*INDEX(LenF,MATCH($N$7,LenU,0)))^3)),0)))</f>
        <v/>
      </c>
      <c r="AF36" s="21" t="str">
        <f aca="false">IF(E36&lt;&gt;"Piping","",IF(AND(ISNUMBER(AS36),ISNUMBER(M36)),PI()/4*(AS36/1000)^2*M36*INDEX(LenF,MATCH($M$7,LenU,0)),0))</f>
        <v/>
      </c>
      <c r="AG36" s="21" t="str">
        <f aca="false">IF(E36="","",N(AD36)+N(AE36)+N(AF36))</f>
        <v/>
      </c>
      <c r="AH36" s="21" t="str">
        <f aca="false">IF(ISNUMBER(I36),I36*INDEX(WtF,MATCH($I$7,WtU,0))/WaterRho,"")</f>
        <v/>
      </c>
      <c r="AI36" s="11"/>
      <c r="AJ36" s="11"/>
      <c r="AK36" s="20"/>
      <c r="AL36" s="11"/>
      <c r="AM36" s="21" t="str">
        <f aca="false">IF(AO36="","",AO36*IF(ISNUMBER(AK36),AK36,DefFills)*(1+IF(ISNUMBER(AL36),AL36,DefAllow)))</f>
        <v/>
      </c>
      <c r="AN36" s="22" t="str">
        <f aca="false">IF(G36="Given volume",IF(ISNUMBER(H36),H36*INDEX(VolF,MATCH($H$7,VolU,0)),""),IF(G36="Water weight",AH36,IF(N(AG36)=0,"",AG36)))</f>
        <v/>
      </c>
      <c r="AO36" s="22" t="str">
        <f aca="false">IF(N(AN36)=0,"",AN36*AT36*IF(ISNUMBER(AJ36),AJ36,DefCirc))</f>
        <v/>
      </c>
      <c r="AP36" s="9" t="n">
        <f aca="false">IF(ISNUMBER(T36),T36*INDEX(LenF,MATCH($T$7,LenU,0)),IF(ISNUMBER(W36),W36*INDEX(LenF,MATCH($W$7,LenU,0))/PitchRatio,0))</f>
        <v>0</v>
      </c>
      <c r="AQ36" s="9" t="n">
        <f aca="false">IF(ISNUMBER(N36),PI()/4*(N36*INDEX(LenF,MATCH($N$7,LenU,0)))^2,IF(AND(ISNUMBER(S36),ISNUMBER(W36),X36&lt;&gt;""),S36*(W36*INDEX(LenF,MATCH($W$7,LenU,0)))^2*INDEX(LayoutF,MATCH(X36,LayoutU,0)),0))</f>
        <v>0</v>
      </c>
      <c r="AR36" s="9" t="n">
        <f aca="false">IF(ISNUMBER(O36),O36*INDEX(LenF,MATCH($O$7,LenU,0)),IF(ISNUMBER(V36),V36*INDEX(LenF,MATCH($V$7,LenU,0)),0))</f>
        <v>0</v>
      </c>
      <c r="AS36" s="9" t="str">
        <f aca="false">IF(ISNUMBER(L36),L36*INDEX(LenF,MATCH($L$7,LenU,0))*1000,IF(OR(J36="",K36=""),"",IFERROR(IF(INDEX(PipeWT,MATCH(J36,NPSU,0),MATCH(K36,SchU,0))="","Sch n/a",INDEX(PipeOD,MATCH(J36,NPSU,0))-2*INDEX(PipeWT,MATCH(J36,NPSU,0),MATCH(K36,SchU,0))),"")))</f>
        <v/>
      </c>
      <c r="AT36" s="9" t="n">
        <f aca="false">IF(ISNUMBER(AI36),AI36,IFERROR(INDEX(IF(JobType="Decontamination",TypeFillDC,TypeFillCC),MATCH(E36,TypeL,0)),1))</f>
        <v>1</v>
      </c>
      <c r="AU36" s="9" t="n">
        <v>1</v>
      </c>
    </row>
    <row r="37" customFormat="false" ht="15" hidden="false" customHeight="false" outlineLevel="0" collapsed="false">
      <c r="A37" s="16" t="n">
        <v>28</v>
      </c>
      <c r="B37" s="20"/>
      <c r="C37" s="5"/>
      <c r="D37" s="5"/>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1" t="str">
        <f aca="false">IF(E37="Exchanger",IF(AND(ISNUMBER(S37),ISNUMBER(U37),ISNUMBER(V37)),S37*PI()/4*(U37*INDEX(LenF,MATCH($U$7,LenU,0)))^2*V37*INDEX(LenF,MATCH($V$7,LenU,0)),0)+IF(ISNUMBER(Y37),PI()/4*(Y37*INDEX(LenF,MATCH($Y$7,LenU,0)))^2*N(Z37)*INDEX(LenF,MATCH($Z$7,LenU,0))+IF(AA37="",0,IF(AA37="Conical",PI()/12*(Y37*INDEX(LenF,MATCH($Y$7,LenU,0)))^2*(0),INDEX(HeadK,MATCH(AA37,HeadU,0))*(Y37*INDEX(LenF,MATCH($Y$7,LenU,0)))^3)),0)+IF(ISNUMBER(Y37),PI()/4*(Y37*INDEX(LenF,MATCH($Y$7,LenU,0)))^2*N(AB37)*INDEX(LenF,MATCH($AB$7,LenU,0))+IF(AC37="",0,IF(AC37="Conical",PI()/12*(Y37*INDEX(LenF,MATCH($Y$7,LenU,0)))^2*(0),INDEX(HeadK,MATCH(AC37,HeadU,0))*(Y37*INDEX(LenF,MATCH($Y$7,LenU,0)))^3)),0),"")</f>
        <v/>
      </c>
      <c r="AE37" s="21" t="str">
        <f aca="false">IF(OR(E37="",E37="Piping"),"",IF(E37="Exchanger",AQ37*AR37+IF(P37="",0,IF(P37="Conical",PI()/12*(SQRT(4*AQ37/PI()))^2*(0),INDEX(HeadK,MATCH(P37,HeadU,0))*(SQRT(4*AQ37/PI()))^3))-IF(AND(ISNUMBER(S37),ISNUMBER(V37)),S37*PI()/4*AP37^2*V37*INDEX(LenF,MATCH($V$7,LenU,0)),0),IF(ISNUMBER(N37),PI()/4*(N37*INDEX(LenF,MATCH($N$7,LenU,0)))^2*N(O37)*INDEX(LenF,MATCH($O$7,LenU,0))+IF(P37="",0,IF(P37="Conical",PI()/12*(N37*INDEX(LenF,MATCH($N$7,LenU,0)))^2*(N(R37)*INDEX(LenF,MATCH($R$7,LenU,0))),INDEX(HeadK,MATCH(P37,HeadU,0))*(N37*INDEX(LenF,MATCH($N$7,LenU,0)))^3))+IF(Q37="",0,IF(Q37="Conical",PI()/12*(N37*INDEX(LenF,MATCH($N$7,LenU,0)))^2*(N(R37)*INDEX(LenF,MATCH($R$7,LenU,0))),INDEX(HeadK,MATCH(Q37,HeadU,0))*(N37*INDEX(LenF,MATCH($N$7,LenU,0)))^3)),0)))</f>
        <v/>
      </c>
      <c r="AF37" s="21" t="str">
        <f aca="false">IF(E37&lt;&gt;"Piping","",IF(AND(ISNUMBER(AS37),ISNUMBER(M37)),PI()/4*(AS37/1000)^2*M37*INDEX(LenF,MATCH($M$7,LenU,0)),0))</f>
        <v/>
      </c>
      <c r="AG37" s="21" t="str">
        <f aca="false">IF(E37="","",N(AD37)+N(AE37)+N(AF37))</f>
        <v/>
      </c>
      <c r="AH37" s="21" t="str">
        <f aca="false">IF(ISNUMBER(I37),I37*INDEX(WtF,MATCH($I$7,WtU,0))/WaterRho,"")</f>
        <v/>
      </c>
      <c r="AI37" s="11"/>
      <c r="AJ37" s="11"/>
      <c r="AK37" s="20"/>
      <c r="AL37" s="11"/>
      <c r="AM37" s="21" t="str">
        <f aca="false">IF(AO37="","",AO37*IF(ISNUMBER(AK37),AK37,DefFills)*(1+IF(ISNUMBER(AL37),AL37,DefAllow)))</f>
        <v/>
      </c>
      <c r="AN37" s="22" t="str">
        <f aca="false">IF(G37="Given volume",IF(ISNUMBER(H37),H37*INDEX(VolF,MATCH($H$7,VolU,0)),""),IF(G37="Water weight",AH37,IF(N(AG37)=0,"",AG37)))</f>
        <v/>
      </c>
      <c r="AO37" s="22" t="str">
        <f aca="false">IF(N(AN37)=0,"",AN37*AT37*IF(ISNUMBER(AJ37),AJ37,DefCirc))</f>
        <v/>
      </c>
      <c r="AP37" s="9" t="n">
        <f aca="false">IF(ISNUMBER(T37),T37*INDEX(LenF,MATCH($T$7,LenU,0)),IF(ISNUMBER(W37),W37*INDEX(LenF,MATCH($W$7,LenU,0))/PitchRatio,0))</f>
        <v>0</v>
      </c>
      <c r="AQ37" s="9" t="n">
        <f aca="false">IF(ISNUMBER(N37),PI()/4*(N37*INDEX(LenF,MATCH($N$7,LenU,0)))^2,IF(AND(ISNUMBER(S37),ISNUMBER(W37),X37&lt;&gt;""),S37*(W37*INDEX(LenF,MATCH($W$7,LenU,0)))^2*INDEX(LayoutF,MATCH(X37,LayoutU,0)),0))</f>
        <v>0</v>
      </c>
      <c r="AR37" s="9" t="n">
        <f aca="false">IF(ISNUMBER(O37),O37*INDEX(LenF,MATCH($O$7,LenU,0)),IF(ISNUMBER(V37),V37*INDEX(LenF,MATCH($V$7,LenU,0)),0))</f>
        <v>0</v>
      </c>
      <c r="AS37" s="9" t="str">
        <f aca="false">IF(ISNUMBER(L37),L37*INDEX(LenF,MATCH($L$7,LenU,0))*1000,IF(OR(J37="",K37=""),"",IFERROR(IF(INDEX(PipeWT,MATCH(J37,NPSU,0),MATCH(K37,SchU,0))="","Sch n/a",INDEX(PipeOD,MATCH(J37,NPSU,0))-2*INDEX(PipeWT,MATCH(J37,NPSU,0),MATCH(K37,SchU,0))),"")))</f>
        <v/>
      </c>
      <c r="AT37" s="9" t="n">
        <f aca="false">IF(ISNUMBER(AI37),AI37,IFERROR(INDEX(IF(JobType="Decontamination",TypeFillDC,TypeFillCC),MATCH(E37,TypeL,0)),1))</f>
        <v>1</v>
      </c>
      <c r="AU37" s="9" t="n">
        <v>1</v>
      </c>
    </row>
    <row r="38" customFormat="false" ht="15" hidden="false" customHeight="false" outlineLevel="0" collapsed="false">
      <c r="A38" s="16" t="n">
        <v>29</v>
      </c>
      <c r="B38" s="20"/>
      <c r="C38" s="5"/>
      <c r="D38" s="5"/>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1" t="str">
        <f aca="false">IF(E38="Exchanger",IF(AND(ISNUMBER(S38),ISNUMBER(U38),ISNUMBER(V38)),S38*PI()/4*(U38*INDEX(LenF,MATCH($U$7,LenU,0)))^2*V38*INDEX(LenF,MATCH($V$7,LenU,0)),0)+IF(ISNUMBER(Y38),PI()/4*(Y38*INDEX(LenF,MATCH($Y$7,LenU,0)))^2*N(Z38)*INDEX(LenF,MATCH($Z$7,LenU,0))+IF(AA38="",0,IF(AA38="Conical",PI()/12*(Y38*INDEX(LenF,MATCH($Y$7,LenU,0)))^2*(0),INDEX(HeadK,MATCH(AA38,HeadU,0))*(Y38*INDEX(LenF,MATCH($Y$7,LenU,0)))^3)),0)+IF(ISNUMBER(Y38),PI()/4*(Y38*INDEX(LenF,MATCH($Y$7,LenU,0)))^2*N(AB38)*INDEX(LenF,MATCH($AB$7,LenU,0))+IF(AC38="",0,IF(AC38="Conical",PI()/12*(Y38*INDEX(LenF,MATCH($Y$7,LenU,0)))^2*(0),INDEX(HeadK,MATCH(AC38,HeadU,0))*(Y38*INDEX(LenF,MATCH($Y$7,LenU,0)))^3)),0),"")</f>
        <v/>
      </c>
      <c r="AE38" s="21" t="str">
        <f aca="false">IF(OR(E38="",E38="Piping"),"",IF(E38="Exchanger",AQ38*AR38+IF(P38="",0,IF(P38="Conical",PI()/12*(SQRT(4*AQ38/PI()))^2*(0),INDEX(HeadK,MATCH(P38,HeadU,0))*(SQRT(4*AQ38/PI()))^3))-IF(AND(ISNUMBER(S38),ISNUMBER(V38)),S38*PI()/4*AP38^2*V38*INDEX(LenF,MATCH($V$7,LenU,0)),0),IF(ISNUMBER(N38),PI()/4*(N38*INDEX(LenF,MATCH($N$7,LenU,0)))^2*N(O38)*INDEX(LenF,MATCH($O$7,LenU,0))+IF(P38="",0,IF(P38="Conical",PI()/12*(N38*INDEX(LenF,MATCH($N$7,LenU,0)))^2*(N(R38)*INDEX(LenF,MATCH($R$7,LenU,0))),INDEX(HeadK,MATCH(P38,HeadU,0))*(N38*INDEX(LenF,MATCH($N$7,LenU,0)))^3))+IF(Q38="",0,IF(Q38="Conical",PI()/12*(N38*INDEX(LenF,MATCH($N$7,LenU,0)))^2*(N(R38)*INDEX(LenF,MATCH($R$7,LenU,0))),INDEX(HeadK,MATCH(Q38,HeadU,0))*(N38*INDEX(LenF,MATCH($N$7,LenU,0)))^3)),0)))</f>
        <v/>
      </c>
      <c r="AF38" s="21" t="str">
        <f aca="false">IF(E38&lt;&gt;"Piping","",IF(AND(ISNUMBER(AS38),ISNUMBER(M38)),PI()/4*(AS38/1000)^2*M38*INDEX(LenF,MATCH($M$7,LenU,0)),0))</f>
        <v/>
      </c>
      <c r="AG38" s="21" t="str">
        <f aca="false">IF(E38="","",N(AD38)+N(AE38)+N(AF38))</f>
        <v/>
      </c>
      <c r="AH38" s="21" t="str">
        <f aca="false">IF(ISNUMBER(I38),I38*INDEX(WtF,MATCH($I$7,WtU,0))/WaterRho,"")</f>
        <v/>
      </c>
      <c r="AI38" s="11"/>
      <c r="AJ38" s="11"/>
      <c r="AK38" s="20"/>
      <c r="AL38" s="11"/>
      <c r="AM38" s="21" t="str">
        <f aca="false">IF(AO38="","",AO38*IF(ISNUMBER(AK38),AK38,DefFills)*(1+IF(ISNUMBER(AL38),AL38,DefAllow)))</f>
        <v/>
      </c>
      <c r="AN38" s="22" t="str">
        <f aca="false">IF(G38="Given volume",IF(ISNUMBER(H38),H38*INDEX(VolF,MATCH($H$7,VolU,0)),""),IF(G38="Water weight",AH38,IF(N(AG38)=0,"",AG38)))</f>
        <v/>
      </c>
      <c r="AO38" s="22" t="str">
        <f aca="false">IF(N(AN38)=0,"",AN38*AT38*IF(ISNUMBER(AJ38),AJ38,DefCirc))</f>
        <v/>
      </c>
      <c r="AP38" s="9" t="n">
        <f aca="false">IF(ISNUMBER(T38),T38*INDEX(LenF,MATCH($T$7,LenU,0)),IF(ISNUMBER(W38),W38*INDEX(LenF,MATCH($W$7,LenU,0))/PitchRatio,0))</f>
        <v>0</v>
      </c>
      <c r="AQ38" s="9" t="n">
        <f aca="false">IF(ISNUMBER(N38),PI()/4*(N38*INDEX(LenF,MATCH($N$7,LenU,0)))^2,IF(AND(ISNUMBER(S38),ISNUMBER(W38),X38&lt;&gt;""),S38*(W38*INDEX(LenF,MATCH($W$7,LenU,0)))^2*INDEX(LayoutF,MATCH(X38,LayoutU,0)),0))</f>
        <v>0</v>
      </c>
      <c r="AR38" s="9" t="n">
        <f aca="false">IF(ISNUMBER(O38),O38*INDEX(LenF,MATCH($O$7,LenU,0)),IF(ISNUMBER(V38),V38*INDEX(LenF,MATCH($V$7,LenU,0)),0))</f>
        <v>0</v>
      </c>
      <c r="AS38" s="9" t="str">
        <f aca="false">IF(ISNUMBER(L38),L38*INDEX(LenF,MATCH($L$7,LenU,0))*1000,IF(OR(J38="",K38=""),"",IFERROR(IF(INDEX(PipeWT,MATCH(J38,NPSU,0),MATCH(K38,SchU,0))="","Sch n/a",INDEX(PipeOD,MATCH(J38,NPSU,0))-2*INDEX(PipeWT,MATCH(J38,NPSU,0),MATCH(K38,SchU,0))),"")))</f>
        <v/>
      </c>
      <c r="AT38" s="9" t="n">
        <f aca="false">IF(ISNUMBER(AI38),AI38,IFERROR(INDEX(IF(JobType="Decontamination",TypeFillDC,TypeFillCC),MATCH(E38,TypeL,0)),1))</f>
        <v>1</v>
      </c>
      <c r="AU38" s="9" t="n">
        <v>1</v>
      </c>
    </row>
    <row r="39" customFormat="false" ht="15" hidden="false" customHeight="false" outlineLevel="0" collapsed="false">
      <c r="A39" s="16" t="n">
        <v>30</v>
      </c>
      <c r="B39" s="20"/>
      <c r="C39" s="5"/>
      <c r="D39" s="5"/>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1" t="str">
        <f aca="false">IF(E39="Exchanger",IF(AND(ISNUMBER(S39),ISNUMBER(U39),ISNUMBER(V39)),S39*PI()/4*(U39*INDEX(LenF,MATCH($U$7,LenU,0)))^2*V39*INDEX(LenF,MATCH($V$7,LenU,0)),0)+IF(ISNUMBER(Y39),PI()/4*(Y39*INDEX(LenF,MATCH($Y$7,LenU,0)))^2*N(Z39)*INDEX(LenF,MATCH($Z$7,LenU,0))+IF(AA39="",0,IF(AA39="Conical",PI()/12*(Y39*INDEX(LenF,MATCH($Y$7,LenU,0)))^2*(0),INDEX(HeadK,MATCH(AA39,HeadU,0))*(Y39*INDEX(LenF,MATCH($Y$7,LenU,0)))^3)),0)+IF(ISNUMBER(Y39),PI()/4*(Y39*INDEX(LenF,MATCH($Y$7,LenU,0)))^2*N(AB39)*INDEX(LenF,MATCH($AB$7,LenU,0))+IF(AC39="",0,IF(AC39="Conical",PI()/12*(Y39*INDEX(LenF,MATCH($Y$7,LenU,0)))^2*(0),INDEX(HeadK,MATCH(AC39,HeadU,0))*(Y39*INDEX(LenF,MATCH($Y$7,LenU,0)))^3)),0),"")</f>
        <v/>
      </c>
      <c r="AE39" s="21" t="str">
        <f aca="false">IF(OR(E39="",E39="Piping"),"",IF(E39="Exchanger",AQ39*AR39+IF(P39="",0,IF(P39="Conical",PI()/12*(SQRT(4*AQ39/PI()))^2*(0),INDEX(HeadK,MATCH(P39,HeadU,0))*(SQRT(4*AQ39/PI()))^3))-IF(AND(ISNUMBER(S39),ISNUMBER(V39)),S39*PI()/4*AP39^2*V39*INDEX(LenF,MATCH($V$7,LenU,0)),0),IF(ISNUMBER(N39),PI()/4*(N39*INDEX(LenF,MATCH($N$7,LenU,0)))^2*N(O39)*INDEX(LenF,MATCH($O$7,LenU,0))+IF(P39="",0,IF(P39="Conical",PI()/12*(N39*INDEX(LenF,MATCH($N$7,LenU,0)))^2*(N(R39)*INDEX(LenF,MATCH($R$7,LenU,0))),INDEX(HeadK,MATCH(P39,HeadU,0))*(N39*INDEX(LenF,MATCH($N$7,LenU,0)))^3))+IF(Q39="",0,IF(Q39="Conical",PI()/12*(N39*INDEX(LenF,MATCH($N$7,LenU,0)))^2*(N(R39)*INDEX(LenF,MATCH($R$7,LenU,0))),INDEX(HeadK,MATCH(Q39,HeadU,0))*(N39*INDEX(LenF,MATCH($N$7,LenU,0)))^3)),0)))</f>
        <v/>
      </c>
      <c r="AF39" s="21" t="str">
        <f aca="false">IF(E39&lt;&gt;"Piping","",IF(AND(ISNUMBER(AS39),ISNUMBER(M39)),PI()/4*(AS39/1000)^2*M39*INDEX(LenF,MATCH($M$7,LenU,0)),0))</f>
        <v/>
      </c>
      <c r="AG39" s="21" t="str">
        <f aca="false">IF(E39="","",N(AD39)+N(AE39)+N(AF39))</f>
        <v/>
      </c>
      <c r="AH39" s="21" t="str">
        <f aca="false">IF(ISNUMBER(I39),I39*INDEX(WtF,MATCH($I$7,WtU,0))/WaterRho,"")</f>
        <v/>
      </c>
      <c r="AI39" s="11"/>
      <c r="AJ39" s="11"/>
      <c r="AK39" s="20"/>
      <c r="AL39" s="11"/>
      <c r="AM39" s="21" t="str">
        <f aca="false">IF(AO39="","",AO39*IF(ISNUMBER(AK39),AK39,DefFills)*(1+IF(ISNUMBER(AL39),AL39,DefAllow)))</f>
        <v/>
      </c>
      <c r="AN39" s="22" t="str">
        <f aca="false">IF(G39="Given volume",IF(ISNUMBER(H39),H39*INDEX(VolF,MATCH($H$7,VolU,0)),""),IF(G39="Water weight",AH39,IF(N(AG39)=0,"",AG39)))</f>
        <v/>
      </c>
      <c r="AO39" s="22" t="str">
        <f aca="false">IF(N(AN39)=0,"",AN39*AT39*IF(ISNUMBER(AJ39),AJ39,DefCirc))</f>
        <v/>
      </c>
      <c r="AP39" s="9" t="n">
        <f aca="false">IF(ISNUMBER(T39),T39*INDEX(LenF,MATCH($T$7,LenU,0)),IF(ISNUMBER(W39),W39*INDEX(LenF,MATCH($W$7,LenU,0))/PitchRatio,0))</f>
        <v>0</v>
      </c>
      <c r="AQ39" s="9" t="n">
        <f aca="false">IF(ISNUMBER(N39),PI()/4*(N39*INDEX(LenF,MATCH($N$7,LenU,0)))^2,IF(AND(ISNUMBER(S39),ISNUMBER(W39),X39&lt;&gt;""),S39*(W39*INDEX(LenF,MATCH($W$7,LenU,0)))^2*INDEX(LayoutF,MATCH(X39,LayoutU,0)),0))</f>
        <v>0</v>
      </c>
      <c r="AR39" s="9" t="n">
        <f aca="false">IF(ISNUMBER(O39),O39*INDEX(LenF,MATCH($O$7,LenU,0)),IF(ISNUMBER(V39),V39*INDEX(LenF,MATCH($V$7,LenU,0)),0))</f>
        <v>0</v>
      </c>
      <c r="AS39" s="9" t="str">
        <f aca="false">IF(ISNUMBER(L39),L39*INDEX(LenF,MATCH($L$7,LenU,0))*1000,IF(OR(J39="",K39=""),"",IFERROR(IF(INDEX(PipeWT,MATCH(J39,NPSU,0),MATCH(K39,SchU,0))="","Sch n/a",INDEX(PipeOD,MATCH(J39,NPSU,0))-2*INDEX(PipeWT,MATCH(J39,NPSU,0),MATCH(K39,SchU,0))),"")))</f>
        <v/>
      </c>
      <c r="AT39" s="9" t="n">
        <f aca="false">IF(ISNUMBER(AI39),AI39,IFERROR(INDEX(IF(JobType="Decontamination",TypeFillDC,TypeFillCC),MATCH(E39,TypeL,0)),1))</f>
        <v>1</v>
      </c>
      <c r="AU39" s="9" t="n">
        <v>1</v>
      </c>
    </row>
    <row r="40" customFormat="false" ht="15" hidden="false" customHeight="false" outlineLevel="0" collapsed="false">
      <c r="A40" s="24" t="str">
        <f aca="false">"TOTAL – "&amp;INDEX(UnitNames,1)</f>
        <v>TOTAL – Unit 1</v>
      </c>
      <c r="B40" s="24"/>
      <c r="C40" s="24"/>
      <c r="D40" s="24"/>
      <c r="E40" s="25"/>
      <c r="F40" s="25"/>
      <c r="G40" s="25"/>
      <c r="H40" s="25"/>
      <c r="I40" s="25"/>
      <c r="J40" s="25"/>
      <c r="K40" s="25"/>
      <c r="L40" s="25"/>
      <c r="M40" s="25"/>
      <c r="N40" s="25"/>
      <c r="O40" s="25"/>
      <c r="P40" s="25"/>
      <c r="Q40" s="25"/>
      <c r="R40" s="25"/>
      <c r="S40" s="26" t="str">
        <f aca="false">COUNT(AN10:AN39)&amp;" items"</f>
        <v>4 items</v>
      </c>
      <c r="T40" s="25"/>
      <c r="U40" s="25"/>
      <c r="V40" s="25"/>
      <c r="W40" s="25"/>
      <c r="X40" s="25"/>
      <c r="Y40" s="25"/>
      <c r="Z40" s="25"/>
      <c r="AA40" s="25"/>
      <c r="AB40" s="25"/>
      <c r="AC40" s="25"/>
      <c r="AD40" s="27" t="n">
        <f aca="false">SUM(AD10:AD39)</f>
        <v>1.11324521704842</v>
      </c>
      <c r="AE40" s="27" t="n">
        <f aca="false">SUM(AE10:AE39)</f>
        <v>23.0911299984655</v>
      </c>
      <c r="AF40" s="27" t="n">
        <f aca="false">SUM(AF10:AF39)</f>
        <v>2.23750320965139</v>
      </c>
      <c r="AG40" s="27" t="n">
        <f aca="false">SUM(AG10:AG39)</f>
        <v>26.4418784251653</v>
      </c>
      <c r="AH40" s="27" t="n">
        <f aca="false">SUM(AH10:AH39)</f>
        <v>0</v>
      </c>
      <c r="AI40" s="25"/>
      <c r="AJ40" s="25"/>
      <c r="AK40" s="25"/>
      <c r="AL40" s="25"/>
      <c r="AM40" s="27" t="n">
        <f aca="false">SUM(AM10:AM39)</f>
        <v>256.985612894041</v>
      </c>
      <c r="AN40" s="27" t="n">
        <f aca="false">SUM(AN10:AN39)</f>
        <v>53.5568784251653</v>
      </c>
      <c r="AO40" s="27" t="n">
        <f aca="false">SUM(AO10:AO39)</f>
        <v>41.1176980630466</v>
      </c>
    </row>
    <row r="42" customFormat="false" ht="15" hidden="false" customHeight="false" outlineLevel="0" collapsed="false">
      <c r="A42" s="18" t="str">
        <f aca="false">"UNIT 2:  "&amp;INDEX(UnitNames,2)</f>
        <v>UNIT 2:  Unit 2</v>
      </c>
      <c r="B42" s="18"/>
      <c r="C42" s="18"/>
      <c r="D42" s="18"/>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row>
    <row r="43" customFormat="false" ht="15" hidden="false" customHeight="false" outlineLevel="0" collapsed="false">
      <c r="A43" s="16" t="n">
        <v>1</v>
      </c>
      <c r="B43" s="20"/>
      <c r="C43" s="5"/>
      <c r="D43" s="5"/>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1" t="str">
        <f aca="false">IF(E43="Exchanger",IF(AND(ISNUMBER(S43),ISNUMBER(U43),ISNUMBER(V43)),S43*PI()/4*(U43*INDEX(LenF,MATCH($U$7,LenU,0)))^2*V43*INDEX(LenF,MATCH($V$7,LenU,0)),0)+IF(ISNUMBER(Y43),PI()/4*(Y43*INDEX(LenF,MATCH($Y$7,LenU,0)))^2*N(Z43)*INDEX(LenF,MATCH($Z$7,LenU,0))+IF(AA43="",0,IF(AA43="Conical",PI()/12*(Y43*INDEX(LenF,MATCH($Y$7,LenU,0)))^2*(0),INDEX(HeadK,MATCH(AA43,HeadU,0))*(Y43*INDEX(LenF,MATCH($Y$7,LenU,0)))^3)),0)+IF(ISNUMBER(Y43),PI()/4*(Y43*INDEX(LenF,MATCH($Y$7,LenU,0)))^2*N(AB43)*INDEX(LenF,MATCH($AB$7,LenU,0))+IF(AC43="",0,IF(AC43="Conical",PI()/12*(Y43*INDEX(LenF,MATCH($Y$7,LenU,0)))^2*(0),INDEX(HeadK,MATCH(AC43,HeadU,0))*(Y43*INDEX(LenF,MATCH($Y$7,LenU,0)))^3)),0),"")</f>
        <v/>
      </c>
      <c r="AE43" s="21" t="str">
        <f aca="false">IF(OR(E43="",E43="Piping"),"",IF(E43="Exchanger",AQ43*AR43+IF(P43="",0,IF(P43="Conical",PI()/12*(SQRT(4*AQ43/PI()))^2*(0),INDEX(HeadK,MATCH(P43,HeadU,0))*(SQRT(4*AQ43/PI()))^3))-IF(AND(ISNUMBER(S43),ISNUMBER(V43)),S43*PI()/4*AP43^2*V43*INDEX(LenF,MATCH($V$7,LenU,0)),0),IF(ISNUMBER(N43),PI()/4*(N43*INDEX(LenF,MATCH($N$7,LenU,0)))^2*N(O43)*INDEX(LenF,MATCH($O$7,LenU,0))+IF(P43="",0,IF(P43="Conical",PI()/12*(N43*INDEX(LenF,MATCH($N$7,LenU,0)))^2*(N(R43)*INDEX(LenF,MATCH($R$7,LenU,0))),INDEX(HeadK,MATCH(P43,HeadU,0))*(N43*INDEX(LenF,MATCH($N$7,LenU,0)))^3))+IF(Q43="",0,IF(Q43="Conical",PI()/12*(N43*INDEX(LenF,MATCH($N$7,LenU,0)))^2*(N(R43)*INDEX(LenF,MATCH($R$7,LenU,0))),INDEX(HeadK,MATCH(Q43,HeadU,0))*(N43*INDEX(LenF,MATCH($N$7,LenU,0)))^3)),0)))</f>
        <v/>
      </c>
      <c r="AF43" s="21" t="str">
        <f aca="false">IF(E43&lt;&gt;"Piping","",IF(AND(ISNUMBER(AS43),ISNUMBER(M43)),PI()/4*(AS43/1000)^2*M43*INDEX(LenF,MATCH($M$7,LenU,0)),0))</f>
        <v/>
      </c>
      <c r="AG43" s="21" t="str">
        <f aca="false">IF(E43="","",N(AD43)+N(AE43)+N(AF43))</f>
        <v/>
      </c>
      <c r="AH43" s="21" t="str">
        <f aca="false">IF(ISNUMBER(I43),I43*INDEX(WtF,MATCH($I$7,WtU,0))/WaterRho,"")</f>
        <v/>
      </c>
      <c r="AI43" s="11"/>
      <c r="AJ43" s="11"/>
      <c r="AK43" s="20"/>
      <c r="AL43" s="11"/>
      <c r="AM43" s="21" t="str">
        <f aca="false">IF(AO43="","",AO43*IF(ISNUMBER(AK43),AK43,DefFills)*(1+IF(ISNUMBER(AL43),AL43,DefAllow)))</f>
        <v/>
      </c>
      <c r="AN43" s="22" t="str">
        <f aca="false">IF(G43="Given volume",IF(ISNUMBER(H43),H43*INDEX(VolF,MATCH($H$7,VolU,0)),""),IF(G43="Water weight",AH43,IF(N(AG43)=0,"",AG43)))</f>
        <v/>
      </c>
      <c r="AO43" s="22" t="str">
        <f aca="false">IF(N(AN43)=0,"",AN43*AT43*IF(ISNUMBER(AJ43),AJ43,DefCirc))</f>
        <v/>
      </c>
      <c r="AP43" s="9" t="n">
        <f aca="false">IF(ISNUMBER(T43),T43*INDEX(LenF,MATCH($T$7,LenU,0)),IF(ISNUMBER(W43),W43*INDEX(LenF,MATCH($W$7,LenU,0))/PitchRatio,0))</f>
        <v>0</v>
      </c>
      <c r="AQ43" s="9" t="n">
        <f aca="false">IF(ISNUMBER(N43),PI()/4*(N43*INDEX(LenF,MATCH($N$7,LenU,0)))^2,IF(AND(ISNUMBER(S43),ISNUMBER(W43),X43&lt;&gt;""),S43*(W43*INDEX(LenF,MATCH($W$7,LenU,0)))^2*INDEX(LayoutF,MATCH(X43,LayoutU,0)),0))</f>
        <v>0</v>
      </c>
      <c r="AR43" s="9" t="n">
        <f aca="false">IF(ISNUMBER(O43),O43*INDEX(LenF,MATCH($O$7,LenU,0)),IF(ISNUMBER(V43),V43*INDEX(LenF,MATCH($V$7,LenU,0)),0))</f>
        <v>0</v>
      </c>
      <c r="AS43" s="9" t="str">
        <f aca="false">IF(ISNUMBER(L43),L43*INDEX(LenF,MATCH($L$7,LenU,0))*1000,IF(OR(J43="",K43=""),"",IFERROR(IF(INDEX(PipeWT,MATCH(J43,NPSU,0),MATCH(K43,SchU,0))="","Sch n/a",INDEX(PipeOD,MATCH(J43,NPSU,0))-2*INDEX(PipeWT,MATCH(J43,NPSU,0),MATCH(K43,SchU,0))),"")))</f>
        <v/>
      </c>
      <c r="AT43" s="9" t="n">
        <f aca="false">IF(ISNUMBER(AI43),AI43,IFERROR(INDEX(IF(JobType="Decontamination",TypeFillDC,TypeFillCC),MATCH(E43,TypeL,0)),1))</f>
        <v>1</v>
      </c>
      <c r="AU43" s="9" t="n">
        <v>2</v>
      </c>
    </row>
    <row r="44" customFormat="false" ht="15" hidden="false" customHeight="false" outlineLevel="0" collapsed="false">
      <c r="A44" s="16" t="n">
        <v>2</v>
      </c>
      <c r="B44" s="20"/>
      <c r="C44" s="5"/>
      <c r="D44" s="5"/>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1" t="str">
        <f aca="false">IF(E44="Exchanger",IF(AND(ISNUMBER(S44),ISNUMBER(U44),ISNUMBER(V44)),S44*PI()/4*(U44*INDEX(LenF,MATCH($U$7,LenU,0)))^2*V44*INDEX(LenF,MATCH($V$7,LenU,0)),0)+IF(ISNUMBER(Y44),PI()/4*(Y44*INDEX(LenF,MATCH($Y$7,LenU,0)))^2*N(Z44)*INDEX(LenF,MATCH($Z$7,LenU,0))+IF(AA44="",0,IF(AA44="Conical",PI()/12*(Y44*INDEX(LenF,MATCH($Y$7,LenU,0)))^2*(0),INDEX(HeadK,MATCH(AA44,HeadU,0))*(Y44*INDEX(LenF,MATCH($Y$7,LenU,0)))^3)),0)+IF(ISNUMBER(Y44),PI()/4*(Y44*INDEX(LenF,MATCH($Y$7,LenU,0)))^2*N(AB44)*INDEX(LenF,MATCH($AB$7,LenU,0))+IF(AC44="",0,IF(AC44="Conical",PI()/12*(Y44*INDEX(LenF,MATCH($Y$7,LenU,0)))^2*(0),INDEX(HeadK,MATCH(AC44,HeadU,0))*(Y44*INDEX(LenF,MATCH($Y$7,LenU,0)))^3)),0),"")</f>
        <v/>
      </c>
      <c r="AE44" s="21" t="str">
        <f aca="false">IF(OR(E44="",E44="Piping"),"",IF(E44="Exchanger",AQ44*AR44+IF(P44="",0,IF(P44="Conical",PI()/12*(SQRT(4*AQ44/PI()))^2*(0),INDEX(HeadK,MATCH(P44,HeadU,0))*(SQRT(4*AQ44/PI()))^3))-IF(AND(ISNUMBER(S44),ISNUMBER(V44)),S44*PI()/4*AP44^2*V44*INDEX(LenF,MATCH($V$7,LenU,0)),0),IF(ISNUMBER(N44),PI()/4*(N44*INDEX(LenF,MATCH($N$7,LenU,0)))^2*N(O44)*INDEX(LenF,MATCH($O$7,LenU,0))+IF(P44="",0,IF(P44="Conical",PI()/12*(N44*INDEX(LenF,MATCH($N$7,LenU,0)))^2*(N(R44)*INDEX(LenF,MATCH($R$7,LenU,0))),INDEX(HeadK,MATCH(P44,HeadU,0))*(N44*INDEX(LenF,MATCH($N$7,LenU,0)))^3))+IF(Q44="",0,IF(Q44="Conical",PI()/12*(N44*INDEX(LenF,MATCH($N$7,LenU,0)))^2*(N(R44)*INDEX(LenF,MATCH($R$7,LenU,0))),INDEX(HeadK,MATCH(Q44,HeadU,0))*(N44*INDEX(LenF,MATCH($N$7,LenU,0)))^3)),0)))</f>
        <v/>
      </c>
      <c r="AF44" s="21" t="str">
        <f aca="false">IF(E44&lt;&gt;"Piping","",IF(AND(ISNUMBER(AS44),ISNUMBER(M44)),PI()/4*(AS44/1000)^2*M44*INDEX(LenF,MATCH($M$7,LenU,0)),0))</f>
        <v/>
      </c>
      <c r="AG44" s="21" t="str">
        <f aca="false">IF(E44="","",N(AD44)+N(AE44)+N(AF44))</f>
        <v/>
      </c>
      <c r="AH44" s="21" t="str">
        <f aca="false">IF(ISNUMBER(I44),I44*INDEX(WtF,MATCH($I$7,WtU,0))/WaterRho,"")</f>
        <v/>
      </c>
      <c r="AI44" s="11"/>
      <c r="AJ44" s="11"/>
      <c r="AK44" s="20"/>
      <c r="AL44" s="11"/>
      <c r="AM44" s="21" t="str">
        <f aca="false">IF(AO44="","",AO44*IF(ISNUMBER(AK44),AK44,DefFills)*(1+IF(ISNUMBER(AL44),AL44,DefAllow)))</f>
        <v/>
      </c>
      <c r="AN44" s="22" t="str">
        <f aca="false">IF(G44="Given volume",IF(ISNUMBER(H44),H44*INDEX(VolF,MATCH($H$7,VolU,0)),""),IF(G44="Water weight",AH44,IF(N(AG44)=0,"",AG44)))</f>
        <v/>
      </c>
      <c r="AO44" s="22" t="str">
        <f aca="false">IF(N(AN44)=0,"",AN44*AT44*IF(ISNUMBER(AJ44),AJ44,DefCirc))</f>
        <v/>
      </c>
      <c r="AP44" s="9" t="n">
        <f aca="false">IF(ISNUMBER(T44),T44*INDEX(LenF,MATCH($T$7,LenU,0)),IF(ISNUMBER(W44),W44*INDEX(LenF,MATCH($W$7,LenU,0))/PitchRatio,0))</f>
        <v>0</v>
      </c>
      <c r="AQ44" s="9" t="n">
        <f aca="false">IF(ISNUMBER(N44),PI()/4*(N44*INDEX(LenF,MATCH($N$7,LenU,0)))^2,IF(AND(ISNUMBER(S44),ISNUMBER(W44),X44&lt;&gt;""),S44*(W44*INDEX(LenF,MATCH($W$7,LenU,0)))^2*INDEX(LayoutF,MATCH(X44,LayoutU,0)),0))</f>
        <v>0</v>
      </c>
      <c r="AR44" s="9" t="n">
        <f aca="false">IF(ISNUMBER(O44),O44*INDEX(LenF,MATCH($O$7,LenU,0)),IF(ISNUMBER(V44),V44*INDEX(LenF,MATCH($V$7,LenU,0)),0))</f>
        <v>0</v>
      </c>
      <c r="AS44" s="9" t="str">
        <f aca="false">IF(ISNUMBER(L44),L44*INDEX(LenF,MATCH($L$7,LenU,0))*1000,IF(OR(J44="",K44=""),"",IFERROR(IF(INDEX(PipeWT,MATCH(J44,NPSU,0),MATCH(K44,SchU,0))="","Sch n/a",INDEX(PipeOD,MATCH(J44,NPSU,0))-2*INDEX(PipeWT,MATCH(J44,NPSU,0),MATCH(K44,SchU,0))),"")))</f>
        <v/>
      </c>
      <c r="AT44" s="9" t="n">
        <f aca="false">IF(ISNUMBER(AI44),AI44,IFERROR(INDEX(IF(JobType="Decontamination",TypeFillDC,TypeFillCC),MATCH(E44,TypeL,0)),1))</f>
        <v>1</v>
      </c>
      <c r="AU44" s="9" t="n">
        <v>2</v>
      </c>
    </row>
    <row r="45" customFormat="false" ht="15" hidden="false" customHeight="false" outlineLevel="0" collapsed="false">
      <c r="A45" s="16" t="n">
        <v>3</v>
      </c>
      <c r="B45" s="20"/>
      <c r="C45" s="5"/>
      <c r="D45" s="5"/>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1" t="str">
        <f aca="false">IF(E45="Exchanger",IF(AND(ISNUMBER(S45),ISNUMBER(U45),ISNUMBER(V45)),S45*PI()/4*(U45*INDEX(LenF,MATCH($U$7,LenU,0)))^2*V45*INDEX(LenF,MATCH($V$7,LenU,0)),0)+IF(ISNUMBER(Y45),PI()/4*(Y45*INDEX(LenF,MATCH($Y$7,LenU,0)))^2*N(Z45)*INDEX(LenF,MATCH($Z$7,LenU,0))+IF(AA45="",0,IF(AA45="Conical",PI()/12*(Y45*INDEX(LenF,MATCH($Y$7,LenU,0)))^2*(0),INDEX(HeadK,MATCH(AA45,HeadU,0))*(Y45*INDEX(LenF,MATCH($Y$7,LenU,0)))^3)),0)+IF(ISNUMBER(Y45),PI()/4*(Y45*INDEX(LenF,MATCH($Y$7,LenU,0)))^2*N(AB45)*INDEX(LenF,MATCH($AB$7,LenU,0))+IF(AC45="",0,IF(AC45="Conical",PI()/12*(Y45*INDEX(LenF,MATCH($Y$7,LenU,0)))^2*(0),INDEX(HeadK,MATCH(AC45,HeadU,0))*(Y45*INDEX(LenF,MATCH($Y$7,LenU,0)))^3)),0),"")</f>
        <v/>
      </c>
      <c r="AE45" s="21" t="str">
        <f aca="false">IF(OR(E45="",E45="Piping"),"",IF(E45="Exchanger",AQ45*AR45+IF(P45="",0,IF(P45="Conical",PI()/12*(SQRT(4*AQ45/PI()))^2*(0),INDEX(HeadK,MATCH(P45,HeadU,0))*(SQRT(4*AQ45/PI()))^3))-IF(AND(ISNUMBER(S45),ISNUMBER(V45)),S45*PI()/4*AP45^2*V45*INDEX(LenF,MATCH($V$7,LenU,0)),0),IF(ISNUMBER(N45),PI()/4*(N45*INDEX(LenF,MATCH($N$7,LenU,0)))^2*N(O45)*INDEX(LenF,MATCH($O$7,LenU,0))+IF(P45="",0,IF(P45="Conical",PI()/12*(N45*INDEX(LenF,MATCH($N$7,LenU,0)))^2*(N(R45)*INDEX(LenF,MATCH($R$7,LenU,0))),INDEX(HeadK,MATCH(P45,HeadU,0))*(N45*INDEX(LenF,MATCH($N$7,LenU,0)))^3))+IF(Q45="",0,IF(Q45="Conical",PI()/12*(N45*INDEX(LenF,MATCH($N$7,LenU,0)))^2*(N(R45)*INDEX(LenF,MATCH($R$7,LenU,0))),INDEX(HeadK,MATCH(Q45,HeadU,0))*(N45*INDEX(LenF,MATCH($N$7,LenU,0)))^3)),0)))</f>
        <v/>
      </c>
      <c r="AF45" s="21" t="str">
        <f aca="false">IF(E45&lt;&gt;"Piping","",IF(AND(ISNUMBER(AS45),ISNUMBER(M45)),PI()/4*(AS45/1000)^2*M45*INDEX(LenF,MATCH($M$7,LenU,0)),0))</f>
        <v/>
      </c>
      <c r="AG45" s="21" t="str">
        <f aca="false">IF(E45="","",N(AD45)+N(AE45)+N(AF45))</f>
        <v/>
      </c>
      <c r="AH45" s="21" t="str">
        <f aca="false">IF(ISNUMBER(I45),I45*INDEX(WtF,MATCH($I$7,WtU,0))/WaterRho,"")</f>
        <v/>
      </c>
      <c r="AI45" s="11"/>
      <c r="AJ45" s="11"/>
      <c r="AK45" s="20"/>
      <c r="AL45" s="11"/>
      <c r="AM45" s="21" t="str">
        <f aca="false">IF(AO45="","",AO45*IF(ISNUMBER(AK45),AK45,DefFills)*(1+IF(ISNUMBER(AL45),AL45,DefAllow)))</f>
        <v/>
      </c>
      <c r="AN45" s="22" t="str">
        <f aca="false">IF(G45="Given volume",IF(ISNUMBER(H45),H45*INDEX(VolF,MATCH($H$7,VolU,0)),""),IF(G45="Water weight",AH45,IF(N(AG45)=0,"",AG45)))</f>
        <v/>
      </c>
      <c r="AO45" s="22" t="str">
        <f aca="false">IF(N(AN45)=0,"",AN45*AT45*IF(ISNUMBER(AJ45),AJ45,DefCirc))</f>
        <v/>
      </c>
      <c r="AP45" s="9" t="n">
        <f aca="false">IF(ISNUMBER(T45),T45*INDEX(LenF,MATCH($T$7,LenU,0)),IF(ISNUMBER(W45),W45*INDEX(LenF,MATCH($W$7,LenU,0))/PitchRatio,0))</f>
        <v>0</v>
      </c>
      <c r="AQ45" s="9" t="n">
        <f aca="false">IF(ISNUMBER(N45),PI()/4*(N45*INDEX(LenF,MATCH($N$7,LenU,0)))^2,IF(AND(ISNUMBER(S45),ISNUMBER(W45),X45&lt;&gt;""),S45*(W45*INDEX(LenF,MATCH($W$7,LenU,0)))^2*INDEX(LayoutF,MATCH(X45,LayoutU,0)),0))</f>
        <v>0</v>
      </c>
      <c r="AR45" s="9" t="n">
        <f aca="false">IF(ISNUMBER(O45),O45*INDEX(LenF,MATCH($O$7,LenU,0)),IF(ISNUMBER(V45),V45*INDEX(LenF,MATCH($V$7,LenU,0)),0))</f>
        <v>0</v>
      </c>
      <c r="AS45" s="9" t="str">
        <f aca="false">IF(ISNUMBER(L45),L45*INDEX(LenF,MATCH($L$7,LenU,0))*1000,IF(OR(J45="",K45=""),"",IFERROR(IF(INDEX(PipeWT,MATCH(J45,NPSU,0),MATCH(K45,SchU,0))="","Sch n/a",INDEX(PipeOD,MATCH(J45,NPSU,0))-2*INDEX(PipeWT,MATCH(J45,NPSU,0),MATCH(K45,SchU,0))),"")))</f>
        <v/>
      </c>
      <c r="AT45" s="9" t="n">
        <f aca="false">IF(ISNUMBER(AI45),AI45,IFERROR(INDEX(IF(JobType="Decontamination",TypeFillDC,TypeFillCC),MATCH(E45,TypeL,0)),1))</f>
        <v>1</v>
      </c>
      <c r="AU45" s="9" t="n">
        <v>2</v>
      </c>
    </row>
    <row r="46" customFormat="false" ht="15" hidden="false" customHeight="false" outlineLevel="0" collapsed="false">
      <c r="A46" s="16" t="n">
        <v>4</v>
      </c>
      <c r="B46" s="20"/>
      <c r="C46" s="5"/>
      <c r="D46" s="5"/>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1" t="str">
        <f aca="false">IF(E46="Exchanger",IF(AND(ISNUMBER(S46),ISNUMBER(U46),ISNUMBER(V46)),S46*PI()/4*(U46*INDEX(LenF,MATCH($U$7,LenU,0)))^2*V46*INDEX(LenF,MATCH($V$7,LenU,0)),0)+IF(ISNUMBER(Y46),PI()/4*(Y46*INDEX(LenF,MATCH($Y$7,LenU,0)))^2*N(Z46)*INDEX(LenF,MATCH($Z$7,LenU,0))+IF(AA46="",0,IF(AA46="Conical",PI()/12*(Y46*INDEX(LenF,MATCH($Y$7,LenU,0)))^2*(0),INDEX(HeadK,MATCH(AA46,HeadU,0))*(Y46*INDEX(LenF,MATCH($Y$7,LenU,0)))^3)),0)+IF(ISNUMBER(Y46),PI()/4*(Y46*INDEX(LenF,MATCH($Y$7,LenU,0)))^2*N(AB46)*INDEX(LenF,MATCH($AB$7,LenU,0))+IF(AC46="",0,IF(AC46="Conical",PI()/12*(Y46*INDEX(LenF,MATCH($Y$7,LenU,0)))^2*(0),INDEX(HeadK,MATCH(AC46,HeadU,0))*(Y46*INDEX(LenF,MATCH($Y$7,LenU,0)))^3)),0),"")</f>
        <v/>
      </c>
      <c r="AE46" s="21" t="str">
        <f aca="false">IF(OR(E46="",E46="Piping"),"",IF(E46="Exchanger",AQ46*AR46+IF(P46="",0,IF(P46="Conical",PI()/12*(SQRT(4*AQ46/PI()))^2*(0),INDEX(HeadK,MATCH(P46,HeadU,0))*(SQRT(4*AQ46/PI()))^3))-IF(AND(ISNUMBER(S46),ISNUMBER(V46)),S46*PI()/4*AP46^2*V46*INDEX(LenF,MATCH($V$7,LenU,0)),0),IF(ISNUMBER(N46),PI()/4*(N46*INDEX(LenF,MATCH($N$7,LenU,0)))^2*N(O46)*INDEX(LenF,MATCH($O$7,LenU,0))+IF(P46="",0,IF(P46="Conical",PI()/12*(N46*INDEX(LenF,MATCH($N$7,LenU,0)))^2*(N(R46)*INDEX(LenF,MATCH($R$7,LenU,0))),INDEX(HeadK,MATCH(P46,HeadU,0))*(N46*INDEX(LenF,MATCH($N$7,LenU,0)))^3))+IF(Q46="",0,IF(Q46="Conical",PI()/12*(N46*INDEX(LenF,MATCH($N$7,LenU,0)))^2*(N(R46)*INDEX(LenF,MATCH($R$7,LenU,0))),INDEX(HeadK,MATCH(Q46,HeadU,0))*(N46*INDEX(LenF,MATCH($N$7,LenU,0)))^3)),0)))</f>
        <v/>
      </c>
      <c r="AF46" s="21" t="str">
        <f aca="false">IF(E46&lt;&gt;"Piping","",IF(AND(ISNUMBER(AS46),ISNUMBER(M46)),PI()/4*(AS46/1000)^2*M46*INDEX(LenF,MATCH($M$7,LenU,0)),0))</f>
        <v/>
      </c>
      <c r="AG46" s="21" t="str">
        <f aca="false">IF(E46="","",N(AD46)+N(AE46)+N(AF46))</f>
        <v/>
      </c>
      <c r="AH46" s="21" t="str">
        <f aca="false">IF(ISNUMBER(I46),I46*INDEX(WtF,MATCH($I$7,WtU,0))/WaterRho,"")</f>
        <v/>
      </c>
      <c r="AI46" s="11"/>
      <c r="AJ46" s="11"/>
      <c r="AK46" s="20"/>
      <c r="AL46" s="11"/>
      <c r="AM46" s="21" t="str">
        <f aca="false">IF(AO46="","",AO46*IF(ISNUMBER(AK46),AK46,DefFills)*(1+IF(ISNUMBER(AL46),AL46,DefAllow)))</f>
        <v/>
      </c>
      <c r="AN46" s="22" t="str">
        <f aca="false">IF(G46="Given volume",IF(ISNUMBER(H46),H46*INDEX(VolF,MATCH($H$7,VolU,0)),""),IF(G46="Water weight",AH46,IF(N(AG46)=0,"",AG46)))</f>
        <v/>
      </c>
      <c r="AO46" s="22" t="str">
        <f aca="false">IF(N(AN46)=0,"",AN46*AT46*IF(ISNUMBER(AJ46),AJ46,DefCirc))</f>
        <v/>
      </c>
      <c r="AP46" s="9" t="n">
        <f aca="false">IF(ISNUMBER(T46),T46*INDEX(LenF,MATCH($T$7,LenU,0)),IF(ISNUMBER(W46),W46*INDEX(LenF,MATCH($W$7,LenU,0))/PitchRatio,0))</f>
        <v>0</v>
      </c>
      <c r="AQ46" s="9" t="n">
        <f aca="false">IF(ISNUMBER(N46),PI()/4*(N46*INDEX(LenF,MATCH($N$7,LenU,0)))^2,IF(AND(ISNUMBER(S46),ISNUMBER(W46),X46&lt;&gt;""),S46*(W46*INDEX(LenF,MATCH($W$7,LenU,0)))^2*INDEX(LayoutF,MATCH(X46,LayoutU,0)),0))</f>
        <v>0</v>
      </c>
      <c r="AR46" s="9" t="n">
        <f aca="false">IF(ISNUMBER(O46),O46*INDEX(LenF,MATCH($O$7,LenU,0)),IF(ISNUMBER(V46),V46*INDEX(LenF,MATCH($V$7,LenU,0)),0))</f>
        <v>0</v>
      </c>
      <c r="AS46" s="9" t="str">
        <f aca="false">IF(ISNUMBER(L46),L46*INDEX(LenF,MATCH($L$7,LenU,0))*1000,IF(OR(J46="",K46=""),"",IFERROR(IF(INDEX(PipeWT,MATCH(J46,NPSU,0),MATCH(K46,SchU,0))="","Sch n/a",INDEX(PipeOD,MATCH(J46,NPSU,0))-2*INDEX(PipeWT,MATCH(J46,NPSU,0),MATCH(K46,SchU,0))),"")))</f>
        <v/>
      </c>
      <c r="AT46" s="9" t="n">
        <f aca="false">IF(ISNUMBER(AI46),AI46,IFERROR(INDEX(IF(JobType="Decontamination",TypeFillDC,TypeFillCC),MATCH(E46,TypeL,0)),1))</f>
        <v>1</v>
      </c>
      <c r="AU46" s="9" t="n">
        <v>2</v>
      </c>
    </row>
    <row r="47" customFormat="false" ht="15" hidden="false" customHeight="false" outlineLevel="0" collapsed="false">
      <c r="A47" s="16" t="n">
        <v>5</v>
      </c>
      <c r="B47" s="20"/>
      <c r="C47" s="5"/>
      <c r="D47" s="5"/>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1" t="str">
        <f aca="false">IF(E47="Exchanger",IF(AND(ISNUMBER(S47),ISNUMBER(U47),ISNUMBER(V47)),S47*PI()/4*(U47*INDEX(LenF,MATCH($U$7,LenU,0)))^2*V47*INDEX(LenF,MATCH($V$7,LenU,0)),0)+IF(ISNUMBER(Y47),PI()/4*(Y47*INDEX(LenF,MATCH($Y$7,LenU,0)))^2*N(Z47)*INDEX(LenF,MATCH($Z$7,LenU,0))+IF(AA47="",0,IF(AA47="Conical",PI()/12*(Y47*INDEX(LenF,MATCH($Y$7,LenU,0)))^2*(0),INDEX(HeadK,MATCH(AA47,HeadU,0))*(Y47*INDEX(LenF,MATCH($Y$7,LenU,0)))^3)),0)+IF(ISNUMBER(Y47),PI()/4*(Y47*INDEX(LenF,MATCH($Y$7,LenU,0)))^2*N(AB47)*INDEX(LenF,MATCH($AB$7,LenU,0))+IF(AC47="",0,IF(AC47="Conical",PI()/12*(Y47*INDEX(LenF,MATCH($Y$7,LenU,0)))^2*(0),INDEX(HeadK,MATCH(AC47,HeadU,0))*(Y47*INDEX(LenF,MATCH($Y$7,LenU,0)))^3)),0),"")</f>
        <v/>
      </c>
      <c r="AE47" s="21" t="str">
        <f aca="false">IF(OR(E47="",E47="Piping"),"",IF(E47="Exchanger",AQ47*AR47+IF(P47="",0,IF(P47="Conical",PI()/12*(SQRT(4*AQ47/PI()))^2*(0),INDEX(HeadK,MATCH(P47,HeadU,0))*(SQRT(4*AQ47/PI()))^3))-IF(AND(ISNUMBER(S47),ISNUMBER(V47)),S47*PI()/4*AP47^2*V47*INDEX(LenF,MATCH($V$7,LenU,0)),0),IF(ISNUMBER(N47),PI()/4*(N47*INDEX(LenF,MATCH($N$7,LenU,0)))^2*N(O47)*INDEX(LenF,MATCH($O$7,LenU,0))+IF(P47="",0,IF(P47="Conical",PI()/12*(N47*INDEX(LenF,MATCH($N$7,LenU,0)))^2*(N(R47)*INDEX(LenF,MATCH($R$7,LenU,0))),INDEX(HeadK,MATCH(P47,HeadU,0))*(N47*INDEX(LenF,MATCH($N$7,LenU,0)))^3))+IF(Q47="",0,IF(Q47="Conical",PI()/12*(N47*INDEX(LenF,MATCH($N$7,LenU,0)))^2*(N(R47)*INDEX(LenF,MATCH($R$7,LenU,0))),INDEX(HeadK,MATCH(Q47,HeadU,0))*(N47*INDEX(LenF,MATCH($N$7,LenU,0)))^3)),0)))</f>
        <v/>
      </c>
      <c r="AF47" s="21" t="str">
        <f aca="false">IF(E47&lt;&gt;"Piping","",IF(AND(ISNUMBER(AS47),ISNUMBER(M47)),PI()/4*(AS47/1000)^2*M47*INDEX(LenF,MATCH($M$7,LenU,0)),0))</f>
        <v/>
      </c>
      <c r="AG47" s="21" t="str">
        <f aca="false">IF(E47="","",N(AD47)+N(AE47)+N(AF47))</f>
        <v/>
      </c>
      <c r="AH47" s="21" t="str">
        <f aca="false">IF(ISNUMBER(I47),I47*INDEX(WtF,MATCH($I$7,WtU,0))/WaterRho,"")</f>
        <v/>
      </c>
      <c r="AI47" s="11"/>
      <c r="AJ47" s="11"/>
      <c r="AK47" s="20"/>
      <c r="AL47" s="11"/>
      <c r="AM47" s="21" t="str">
        <f aca="false">IF(AO47="","",AO47*IF(ISNUMBER(AK47),AK47,DefFills)*(1+IF(ISNUMBER(AL47),AL47,DefAllow)))</f>
        <v/>
      </c>
      <c r="AN47" s="22" t="str">
        <f aca="false">IF(G47="Given volume",IF(ISNUMBER(H47),H47*INDEX(VolF,MATCH($H$7,VolU,0)),""),IF(G47="Water weight",AH47,IF(N(AG47)=0,"",AG47)))</f>
        <v/>
      </c>
      <c r="AO47" s="22" t="str">
        <f aca="false">IF(N(AN47)=0,"",AN47*AT47*IF(ISNUMBER(AJ47),AJ47,DefCirc))</f>
        <v/>
      </c>
      <c r="AP47" s="9" t="n">
        <f aca="false">IF(ISNUMBER(T47),T47*INDEX(LenF,MATCH($T$7,LenU,0)),IF(ISNUMBER(W47),W47*INDEX(LenF,MATCH($W$7,LenU,0))/PitchRatio,0))</f>
        <v>0</v>
      </c>
      <c r="AQ47" s="9" t="n">
        <f aca="false">IF(ISNUMBER(N47),PI()/4*(N47*INDEX(LenF,MATCH($N$7,LenU,0)))^2,IF(AND(ISNUMBER(S47),ISNUMBER(W47),X47&lt;&gt;""),S47*(W47*INDEX(LenF,MATCH($W$7,LenU,0)))^2*INDEX(LayoutF,MATCH(X47,LayoutU,0)),0))</f>
        <v>0</v>
      </c>
      <c r="AR47" s="9" t="n">
        <f aca="false">IF(ISNUMBER(O47),O47*INDEX(LenF,MATCH($O$7,LenU,0)),IF(ISNUMBER(V47),V47*INDEX(LenF,MATCH($V$7,LenU,0)),0))</f>
        <v>0</v>
      </c>
      <c r="AS47" s="9" t="str">
        <f aca="false">IF(ISNUMBER(L47),L47*INDEX(LenF,MATCH($L$7,LenU,0))*1000,IF(OR(J47="",K47=""),"",IFERROR(IF(INDEX(PipeWT,MATCH(J47,NPSU,0),MATCH(K47,SchU,0))="","Sch n/a",INDEX(PipeOD,MATCH(J47,NPSU,0))-2*INDEX(PipeWT,MATCH(J47,NPSU,0),MATCH(K47,SchU,0))),"")))</f>
        <v/>
      </c>
      <c r="AT47" s="9" t="n">
        <f aca="false">IF(ISNUMBER(AI47),AI47,IFERROR(INDEX(IF(JobType="Decontamination",TypeFillDC,TypeFillCC),MATCH(E47,TypeL,0)),1))</f>
        <v>1</v>
      </c>
      <c r="AU47" s="9" t="n">
        <v>2</v>
      </c>
    </row>
    <row r="48" customFormat="false" ht="15" hidden="false" customHeight="false" outlineLevel="0" collapsed="false">
      <c r="A48" s="16" t="n">
        <v>6</v>
      </c>
      <c r="B48" s="20"/>
      <c r="C48" s="5"/>
      <c r="D48" s="5"/>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1" t="str">
        <f aca="false">IF(E48="Exchanger",IF(AND(ISNUMBER(S48),ISNUMBER(U48),ISNUMBER(V48)),S48*PI()/4*(U48*INDEX(LenF,MATCH($U$7,LenU,0)))^2*V48*INDEX(LenF,MATCH($V$7,LenU,0)),0)+IF(ISNUMBER(Y48),PI()/4*(Y48*INDEX(LenF,MATCH($Y$7,LenU,0)))^2*N(Z48)*INDEX(LenF,MATCH($Z$7,LenU,0))+IF(AA48="",0,IF(AA48="Conical",PI()/12*(Y48*INDEX(LenF,MATCH($Y$7,LenU,0)))^2*(0),INDEX(HeadK,MATCH(AA48,HeadU,0))*(Y48*INDEX(LenF,MATCH($Y$7,LenU,0)))^3)),0)+IF(ISNUMBER(Y48),PI()/4*(Y48*INDEX(LenF,MATCH($Y$7,LenU,0)))^2*N(AB48)*INDEX(LenF,MATCH($AB$7,LenU,0))+IF(AC48="",0,IF(AC48="Conical",PI()/12*(Y48*INDEX(LenF,MATCH($Y$7,LenU,0)))^2*(0),INDEX(HeadK,MATCH(AC48,HeadU,0))*(Y48*INDEX(LenF,MATCH($Y$7,LenU,0)))^3)),0),"")</f>
        <v/>
      </c>
      <c r="AE48" s="21" t="str">
        <f aca="false">IF(OR(E48="",E48="Piping"),"",IF(E48="Exchanger",AQ48*AR48+IF(P48="",0,IF(P48="Conical",PI()/12*(SQRT(4*AQ48/PI()))^2*(0),INDEX(HeadK,MATCH(P48,HeadU,0))*(SQRT(4*AQ48/PI()))^3))-IF(AND(ISNUMBER(S48),ISNUMBER(V48)),S48*PI()/4*AP48^2*V48*INDEX(LenF,MATCH($V$7,LenU,0)),0),IF(ISNUMBER(N48),PI()/4*(N48*INDEX(LenF,MATCH($N$7,LenU,0)))^2*N(O48)*INDEX(LenF,MATCH($O$7,LenU,0))+IF(P48="",0,IF(P48="Conical",PI()/12*(N48*INDEX(LenF,MATCH($N$7,LenU,0)))^2*(N(R48)*INDEX(LenF,MATCH($R$7,LenU,0))),INDEX(HeadK,MATCH(P48,HeadU,0))*(N48*INDEX(LenF,MATCH($N$7,LenU,0)))^3))+IF(Q48="",0,IF(Q48="Conical",PI()/12*(N48*INDEX(LenF,MATCH($N$7,LenU,0)))^2*(N(R48)*INDEX(LenF,MATCH($R$7,LenU,0))),INDEX(HeadK,MATCH(Q48,HeadU,0))*(N48*INDEX(LenF,MATCH($N$7,LenU,0)))^3)),0)))</f>
        <v/>
      </c>
      <c r="AF48" s="21" t="str">
        <f aca="false">IF(E48&lt;&gt;"Piping","",IF(AND(ISNUMBER(AS48),ISNUMBER(M48)),PI()/4*(AS48/1000)^2*M48*INDEX(LenF,MATCH($M$7,LenU,0)),0))</f>
        <v/>
      </c>
      <c r="AG48" s="21" t="str">
        <f aca="false">IF(E48="","",N(AD48)+N(AE48)+N(AF48))</f>
        <v/>
      </c>
      <c r="AH48" s="21" t="str">
        <f aca="false">IF(ISNUMBER(I48),I48*INDEX(WtF,MATCH($I$7,WtU,0))/WaterRho,"")</f>
        <v/>
      </c>
      <c r="AI48" s="11"/>
      <c r="AJ48" s="11"/>
      <c r="AK48" s="20"/>
      <c r="AL48" s="11"/>
      <c r="AM48" s="21" t="str">
        <f aca="false">IF(AO48="","",AO48*IF(ISNUMBER(AK48),AK48,DefFills)*(1+IF(ISNUMBER(AL48),AL48,DefAllow)))</f>
        <v/>
      </c>
      <c r="AN48" s="22" t="str">
        <f aca="false">IF(G48="Given volume",IF(ISNUMBER(H48),H48*INDEX(VolF,MATCH($H$7,VolU,0)),""),IF(G48="Water weight",AH48,IF(N(AG48)=0,"",AG48)))</f>
        <v/>
      </c>
      <c r="AO48" s="22" t="str">
        <f aca="false">IF(N(AN48)=0,"",AN48*AT48*IF(ISNUMBER(AJ48),AJ48,DefCirc))</f>
        <v/>
      </c>
      <c r="AP48" s="9" t="n">
        <f aca="false">IF(ISNUMBER(T48),T48*INDEX(LenF,MATCH($T$7,LenU,0)),IF(ISNUMBER(W48),W48*INDEX(LenF,MATCH($W$7,LenU,0))/PitchRatio,0))</f>
        <v>0</v>
      </c>
      <c r="AQ48" s="9" t="n">
        <f aca="false">IF(ISNUMBER(N48),PI()/4*(N48*INDEX(LenF,MATCH($N$7,LenU,0)))^2,IF(AND(ISNUMBER(S48),ISNUMBER(W48),X48&lt;&gt;""),S48*(W48*INDEX(LenF,MATCH($W$7,LenU,0)))^2*INDEX(LayoutF,MATCH(X48,LayoutU,0)),0))</f>
        <v>0</v>
      </c>
      <c r="AR48" s="9" t="n">
        <f aca="false">IF(ISNUMBER(O48),O48*INDEX(LenF,MATCH($O$7,LenU,0)),IF(ISNUMBER(V48),V48*INDEX(LenF,MATCH($V$7,LenU,0)),0))</f>
        <v>0</v>
      </c>
      <c r="AS48" s="9" t="str">
        <f aca="false">IF(ISNUMBER(L48),L48*INDEX(LenF,MATCH($L$7,LenU,0))*1000,IF(OR(J48="",K48=""),"",IFERROR(IF(INDEX(PipeWT,MATCH(J48,NPSU,0),MATCH(K48,SchU,0))="","Sch n/a",INDEX(PipeOD,MATCH(J48,NPSU,0))-2*INDEX(PipeWT,MATCH(J48,NPSU,0),MATCH(K48,SchU,0))),"")))</f>
        <v/>
      </c>
      <c r="AT48" s="9" t="n">
        <f aca="false">IF(ISNUMBER(AI48),AI48,IFERROR(INDEX(IF(JobType="Decontamination",TypeFillDC,TypeFillCC),MATCH(E48,TypeL,0)),1))</f>
        <v>1</v>
      </c>
      <c r="AU48" s="9" t="n">
        <v>2</v>
      </c>
    </row>
    <row r="49" customFormat="false" ht="15" hidden="false" customHeight="false" outlineLevel="0" collapsed="false">
      <c r="A49" s="16" t="n">
        <v>7</v>
      </c>
      <c r="B49" s="20"/>
      <c r="C49" s="5"/>
      <c r="D49" s="5"/>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1" t="str">
        <f aca="false">IF(E49="Exchanger",IF(AND(ISNUMBER(S49),ISNUMBER(U49),ISNUMBER(V49)),S49*PI()/4*(U49*INDEX(LenF,MATCH($U$7,LenU,0)))^2*V49*INDEX(LenF,MATCH($V$7,LenU,0)),0)+IF(ISNUMBER(Y49),PI()/4*(Y49*INDEX(LenF,MATCH($Y$7,LenU,0)))^2*N(Z49)*INDEX(LenF,MATCH($Z$7,LenU,0))+IF(AA49="",0,IF(AA49="Conical",PI()/12*(Y49*INDEX(LenF,MATCH($Y$7,LenU,0)))^2*(0),INDEX(HeadK,MATCH(AA49,HeadU,0))*(Y49*INDEX(LenF,MATCH($Y$7,LenU,0)))^3)),0)+IF(ISNUMBER(Y49),PI()/4*(Y49*INDEX(LenF,MATCH($Y$7,LenU,0)))^2*N(AB49)*INDEX(LenF,MATCH($AB$7,LenU,0))+IF(AC49="",0,IF(AC49="Conical",PI()/12*(Y49*INDEX(LenF,MATCH($Y$7,LenU,0)))^2*(0),INDEX(HeadK,MATCH(AC49,HeadU,0))*(Y49*INDEX(LenF,MATCH($Y$7,LenU,0)))^3)),0),"")</f>
        <v/>
      </c>
      <c r="AE49" s="21" t="str">
        <f aca="false">IF(OR(E49="",E49="Piping"),"",IF(E49="Exchanger",AQ49*AR49+IF(P49="",0,IF(P49="Conical",PI()/12*(SQRT(4*AQ49/PI()))^2*(0),INDEX(HeadK,MATCH(P49,HeadU,0))*(SQRT(4*AQ49/PI()))^3))-IF(AND(ISNUMBER(S49),ISNUMBER(V49)),S49*PI()/4*AP49^2*V49*INDEX(LenF,MATCH($V$7,LenU,0)),0),IF(ISNUMBER(N49),PI()/4*(N49*INDEX(LenF,MATCH($N$7,LenU,0)))^2*N(O49)*INDEX(LenF,MATCH($O$7,LenU,0))+IF(P49="",0,IF(P49="Conical",PI()/12*(N49*INDEX(LenF,MATCH($N$7,LenU,0)))^2*(N(R49)*INDEX(LenF,MATCH($R$7,LenU,0))),INDEX(HeadK,MATCH(P49,HeadU,0))*(N49*INDEX(LenF,MATCH($N$7,LenU,0)))^3))+IF(Q49="",0,IF(Q49="Conical",PI()/12*(N49*INDEX(LenF,MATCH($N$7,LenU,0)))^2*(N(R49)*INDEX(LenF,MATCH($R$7,LenU,0))),INDEX(HeadK,MATCH(Q49,HeadU,0))*(N49*INDEX(LenF,MATCH($N$7,LenU,0)))^3)),0)))</f>
        <v/>
      </c>
      <c r="AF49" s="21" t="str">
        <f aca="false">IF(E49&lt;&gt;"Piping","",IF(AND(ISNUMBER(AS49),ISNUMBER(M49)),PI()/4*(AS49/1000)^2*M49*INDEX(LenF,MATCH($M$7,LenU,0)),0))</f>
        <v/>
      </c>
      <c r="AG49" s="21" t="str">
        <f aca="false">IF(E49="","",N(AD49)+N(AE49)+N(AF49))</f>
        <v/>
      </c>
      <c r="AH49" s="21" t="str">
        <f aca="false">IF(ISNUMBER(I49),I49*INDEX(WtF,MATCH($I$7,WtU,0))/WaterRho,"")</f>
        <v/>
      </c>
      <c r="AI49" s="11"/>
      <c r="AJ49" s="11"/>
      <c r="AK49" s="20"/>
      <c r="AL49" s="11"/>
      <c r="AM49" s="21" t="str">
        <f aca="false">IF(AO49="","",AO49*IF(ISNUMBER(AK49),AK49,DefFills)*(1+IF(ISNUMBER(AL49),AL49,DefAllow)))</f>
        <v/>
      </c>
      <c r="AN49" s="22" t="str">
        <f aca="false">IF(G49="Given volume",IF(ISNUMBER(H49),H49*INDEX(VolF,MATCH($H$7,VolU,0)),""),IF(G49="Water weight",AH49,IF(N(AG49)=0,"",AG49)))</f>
        <v/>
      </c>
      <c r="AO49" s="22" t="str">
        <f aca="false">IF(N(AN49)=0,"",AN49*AT49*IF(ISNUMBER(AJ49),AJ49,DefCirc))</f>
        <v/>
      </c>
      <c r="AP49" s="9" t="n">
        <f aca="false">IF(ISNUMBER(T49),T49*INDEX(LenF,MATCH($T$7,LenU,0)),IF(ISNUMBER(W49),W49*INDEX(LenF,MATCH($W$7,LenU,0))/PitchRatio,0))</f>
        <v>0</v>
      </c>
      <c r="AQ49" s="9" t="n">
        <f aca="false">IF(ISNUMBER(N49),PI()/4*(N49*INDEX(LenF,MATCH($N$7,LenU,0)))^2,IF(AND(ISNUMBER(S49),ISNUMBER(W49),X49&lt;&gt;""),S49*(W49*INDEX(LenF,MATCH($W$7,LenU,0)))^2*INDEX(LayoutF,MATCH(X49,LayoutU,0)),0))</f>
        <v>0</v>
      </c>
      <c r="AR49" s="9" t="n">
        <f aca="false">IF(ISNUMBER(O49),O49*INDEX(LenF,MATCH($O$7,LenU,0)),IF(ISNUMBER(V49),V49*INDEX(LenF,MATCH($V$7,LenU,0)),0))</f>
        <v>0</v>
      </c>
      <c r="AS49" s="9" t="str">
        <f aca="false">IF(ISNUMBER(L49),L49*INDEX(LenF,MATCH($L$7,LenU,0))*1000,IF(OR(J49="",K49=""),"",IFERROR(IF(INDEX(PipeWT,MATCH(J49,NPSU,0),MATCH(K49,SchU,0))="","Sch n/a",INDEX(PipeOD,MATCH(J49,NPSU,0))-2*INDEX(PipeWT,MATCH(J49,NPSU,0),MATCH(K49,SchU,0))),"")))</f>
        <v/>
      </c>
      <c r="AT49" s="9" t="n">
        <f aca="false">IF(ISNUMBER(AI49),AI49,IFERROR(INDEX(IF(JobType="Decontamination",TypeFillDC,TypeFillCC),MATCH(E49,TypeL,0)),1))</f>
        <v>1</v>
      </c>
      <c r="AU49" s="9" t="n">
        <v>2</v>
      </c>
    </row>
    <row r="50" customFormat="false" ht="15" hidden="false" customHeight="false" outlineLevel="0" collapsed="false">
      <c r="A50" s="16" t="n">
        <v>8</v>
      </c>
      <c r="B50" s="20"/>
      <c r="C50" s="5"/>
      <c r="D50" s="5"/>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1" t="str">
        <f aca="false">IF(E50="Exchanger",IF(AND(ISNUMBER(S50),ISNUMBER(U50),ISNUMBER(V50)),S50*PI()/4*(U50*INDEX(LenF,MATCH($U$7,LenU,0)))^2*V50*INDEX(LenF,MATCH($V$7,LenU,0)),0)+IF(ISNUMBER(Y50),PI()/4*(Y50*INDEX(LenF,MATCH($Y$7,LenU,0)))^2*N(Z50)*INDEX(LenF,MATCH($Z$7,LenU,0))+IF(AA50="",0,IF(AA50="Conical",PI()/12*(Y50*INDEX(LenF,MATCH($Y$7,LenU,0)))^2*(0),INDEX(HeadK,MATCH(AA50,HeadU,0))*(Y50*INDEX(LenF,MATCH($Y$7,LenU,0)))^3)),0)+IF(ISNUMBER(Y50),PI()/4*(Y50*INDEX(LenF,MATCH($Y$7,LenU,0)))^2*N(AB50)*INDEX(LenF,MATCH($AB$7,LenU,0))+IF(AC50="",0,IF(AC50="Conical",PI()/12*(Y50*INDEX(LenF,MATCH($Y$7,LenU,0)))^2*(0),INDEX(HeadK,MATCH(AC50,HeadU,0))*(Y50*INDEX(LenF,MATCH($Y$7,LenU,0)))^3)),0),"")</f>
        <v/>
      </c>
      <c r="AE50" s="21" t="str">
        <f aca="false">IF(OR(E50="",E50="Piping"),"",IF(E50="Exchanger",AQ50*AR50+IF(P50="",0,IF(P50="Conical",PI()/12*(SQRT(4*AQ50/PI()))^2*(0),INDEX(HeadK,MATCH(P50,HeadU,0))*(SQRT(4*AQ50/PI()))^3))-IF(AND(ISNUMBER(S50),ISNUMBER(V50)),S50*PI()/4*AP50^2*V50*INDEX(LenF,MATCH($V$7,LenU,0)),0),IF(ISNUMBER(N50),PI()/4*(N50*INDEX(LenF,MATCH($N$7,LenU,0)))^2*N(O50)*INDEX(LenF,MATCH($O$7,LenU,0))+IF(P50="",0,IF(P50="Conical",PI()/12*(N50*INDEX(LenF,MATCH($N$7,LenU,0)))^2*(N(R50)*INDEX(LenF,MATCH($R$7,LenU,0))),INDEX(HeadK,MATCH(P50,HeadU,0))*(N50*INDEX(LenF,MATCH($N$7,LenU,0)))^3))+IF(Q50="",0,IF(Q50="Conical",PI()/12*(N50*INDEX(LenF,MATCH($N$7,LenU,0)))^2*(N(R50)*INDEX(LenF,MATCH($R$7,LenU,0))),INDEX(HeadK,MATCH(Q50,HeadU,0))*(N50*INDEX(LenF,MATCH($N$7,LenU,0)))^3)),0)))</f>
        <v/>
      </c>
      <c r="AF50" s="21" t="str">
        <f aca="false">IF(E50&lt;&gt;"Piping","",IF(AND(ISNUMBER(AS50),ISNUMBER(M50)),PI()/4*(AS50/1000)^2*M50*INDEX(LenF,MATCH($M$7,LenU,0)),0))</f>
        <v/>
      </c>
      <c r="AG50" s="21" t="str">
        <f aca="false">IF(E50="","",N(AD50)+N(AE50)+N(AF50))</f>
        <v/>
      </c>
      <c r="AH50" s="21" t="str">
        <f aca="false">IF(ISNUMBER(I50),I50*INDEX(WtF,MATCH($I$7,WtU,0))/WaterRho,"")</f>
        <v/>
      </c>
      <c r="AI50" s="11"/>
      <c r="AJ50" s="11"/>
      <c r="AK50" s="20"/>
      <c r="AL50" s="11"/>
      <c r="AM50" s="21" t="str">
        <f aca="false">IF(AO50="","",AO50*IF(ISNUMBER(AK50),AK50,DefFills)*(1+IF(ISNUMBER(AL50),AL50,DefAllow)))</f>
        <v/>
      </c>
      <c r="AN50" s="22" t="str">
        <f aca="false">IF(G50="Given volume",IF(ISNUMBER(H50),H50*INDEX(VolF,MATCH($H$7,VolU,0)),""),IF(G50="Water weight",AH50,IF(N(AG50)=0,"",AG50)))</f>
        <v/>
      </c>
      <c r="AO50" s="22" t="str">
        <f aca="false">IF(N(AN50)=0,"",AN50*AT50*IF(ISNUMBER(AJ50),AJ50,DefCirc))</f>
        <v/>
      </c>
      <c r="AP50" s="9" t="n">
        <f aca="false">IF(ISNUMBER(T50),T50*INDEX(LenF,MATCH($T$7,LenU,0)),IF(ISNUMBER(W50),W50*INDEX(LenF,MATCH($W$7,LenU,0))/PitchRatio,0))</f>
        <v>0</v>
      </c>
      <c r="AQ50" s="9" t="n">
        <f aca="false">IF(ISNUMBER(N50),PI()/4*(N50*INDEX(LenF,MATCH($N$7,LenU,0)))^2,IF(AND(ISNUMBER(S50),ISNUMBER(W50),X50&lt;&gt;""),S50*(W50*INDEX(LenF,MATCH($W$7,LenU,0)))^2*INDEX(LayoutF,MATCH(X50,LayoutU,0)),0))</f>
        <v>0</v>
      </c>
      <c r="AR50" s="9" t="n">
        <f aca="false">IF(ISNUMBER(O50),O50*INDEX(LenF,MATCH($O$7,LenU,0)),IF(ISNUMBER(V50),V50*INDEX(LenF,MATCH($V$7,LenU,0)),0))</f>
        <v>0</v>
      </c>
      <c r="AS50" s="9" t="str">
        <f aca="false">IF(ISNUMBER(L50),L50*INDEX(LenF,MATCH($L$7,LenU,0))*1000,IF(OR(J50="",K50=""),"",IFERROR(IF(INDEX(PipeWT,MATCH(J50,NPSU,0),MATCH(K50,SchU,0))="","Sch n/a",INDEX(PipeOD,MATCH(J50,NPSU,0))-2*INDEX(PipeWT,MATCH(J50,NPSU,0),MATCH(K50,SchU,0))),"")))</f>
        <v/>
      </c>
      <c r="AT50" s="9" t="n">
        <f aca="false">IF(ISNUMBER(AI50),AI50,IFERROR(INDEX(IF(JobType="Decontamination",TypeFillDC,TypeFillCC),MATCH(E50,TypeL,0)),1))</f>
        <v>1</v>
      </c>
      <c r="AU50" s="9" t="n">
        <v>2</v>
      </c>
    </row>
    <row r="51" customFormat="false" ht="15" hidden="false" customHeight="false" outlineLevel="0" collapsed="false">
      <c r="A51" s="16" t="n">
        <v>9</v>
      </c>
      <c r="B51" s="20"/>
      <c r="C51" s="5"/>
      <c r="D51" s="5"/>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1" t="str">
        <f aca="false">IF(E51="Exchanger",IF(AND(ISNUMBER(S51),ISNUMBER(U51),ISNUMBER(V51)),S51*PI()/4*(U51*INDEX(LenF,MATCH($U$7,LenU,0)))^2*V51*INDEX(LenF,MATCH($V$7,LenU,0)),0)+IF(ISNUMBER(Y51),PI()/4*(Y51*INDEX(LenF,MATCH($Y$7,LenU,0)))^2*N(Z51)*INDEX(LenF,MATCH($Z$7,LenU,0))+IF(AA51="",0,IF(AA51="Conical",PI()/12*(Y51*INDEX(LenF,MATCH($Y$7,LenU,0)))^2*(0),INDEX(HeadK,MATCH(AA51,HeadU,0))*(Y51*INDEX(LenF,MATCH($Y$7,LenU,0)))^3)),0)+IF(ISNUMBER(Y51),PI()/4*(Y51*INDEX(LenF,MATCH($Y$7,LenU,0)))^2*N(AB51)*INDEX(LenF,MATCH($AB$7,LenU,0))+IF(AC51="",0,IF(AC51="Conical",PI()/12*(Y51*INDEX(LenF,MATCH($Y$7,LenU,0)))^2*(0),INDEX(HeadK,MATCH(AC51,HeadU,0))*(Y51*INDEX(LenF,MATCH($Y$7,LenU,0)))^3)),0),"")</f>
        <v/>
      </c>
      <c r="AE51" s="21" t="str">
        <f aca="false">IF(OR(E51="",E51="Piping"),"",IF(E51="Exchanger",AQ51*AR51+IF(P51="",0,IF(P51="Conical",PI()/12*(SQRT(4*AQ51/PI()))^2*(0),INDEX(HeadK,MATCH(P51,HeadU,0))*(SQRT(4*AQ51/PI()))^3))-IF(AND(ISNUMBER(S51),ISNUMBER(V51)),S51*PI()/4*AP51^2*V51*INDEX(LenF,MATCH($V$7,LenU,0)),0),IF(ISNUMBER(N51),PI()/4*(N51*INDEX(LenF,MATCH($N$7,LenU,0)))^2*N(O51)*INDEX(LenF,MATCH($O$7,LenU,0))+IF(P51="",0,IF(P51="Conical",PI()/12*(N51*INDEX(LenF,MATCH($N$7,LenU,0)))^2*(N(R51)*INDEX(LenF,MATCH($R$7,LenU,0))),INDEX(HeadK,MATCH(P51,HeadU,0))*(N51*INDEX(LenF,MATCH($N$7,LenU,0)))^3))+IF(Q51="",0,IF(Q51="Conical",PI()/12*(N51*INDEX(LenF,MATCH($N$7,LenU,0)))^2*(N(R51)*INDEX(LenF,MATCH($R$7,LenU,0))),INDEX(HeadK,MATCH(Q51,HeadU,0))*(N51*INDEX(LenF,MATCH($N$7,LenU,0)))^3)),0)))</f>
        <v/>
      </c>
      <c r="AF51" s="21" t="str">
        <f aca="false">IF(E51&lt;&gt;"Piping","",IF(AND(ISNUMBER(AS51),ISNUMBER(M51)),PI()/4*(AS51/1000)^2*M51*INDEX(LenF,MATCH($M$7,LenU,0)),0))</f>
        <v/>
      </c>
      <c r="AG51" s="21" t="str">
        <f aca="false">IF(E51="","",N(AD51)+N(AE51)+N(AF51))</f>
        <v/>
      </c>
      <c r="AH51" s="21" t="str">
        <f aca="false">IF(ISNUMBER(I51),I51*INDEX(WtF,MATCH($I$7,WtU,0))/WaterRho,"")</f>
        <v/>
      </c>
      <c r="AI51" s="11"/>
      <c r="AJ51" s="11"/>
      <c r="AK51" s="20"/>
      <c r="AL51" s="11"/>
      <c r="AM51" s="21" t="str">
        <f aca="false">IF(AO51="","",AO51*IF(ISNUMBER(AK51),AK51,DefFills)*(1+IF(ISNUMBER(AL51),AL51,DefAllow)))</f>
        <v/>
      </c>
      <c r="AN51" s="22" t="str">
        <f aca="false">IF(G51="Given volume",IF(ISNUMBER(H51),H51*INDEX(VolF,MATCH($H$7,VolU,0)),""),IF(G51="Water weight",AH51,IF(N(AG51)=0,"",AG51)))</f>
        <v/>
      </c>
      <c r="AO51" s="22" t="str">
        <f aca="false">IF(N(AN51)=0,"",AN51*AT51*IF(ISNUMBER(AJ51),AJ51,DefCirc))</f>
        <v/>
      </c>
      <c r="AP51" s="9" t="n">
        <f aca="false">IF(ISNUMBER(T51),T51*INDEX(LenF,MATCH($T$7,LenU,0)),IF(ISNUMBER(W51),W51*INDEX(LenF,MATCH($W$7,LenU,0))/PitchRatio,0))</f>
        <v>0</v>
      </c>
      <c r="AQ51" s="9" t="n">
        <f aca="false">IF(ISNUMBER(N51),PI()/4*(N51*INDEX(LenF,MATCH($N$7,LenU,0)))^2,IF(AND(ISNUMBER(S51),ISNUMBER(W51),X51&lt;&gt;""),S51*(W51*INDEX(LenF,MATCH($W$7,LenU,0)))^2*INDEX(LayoutF,MATCH(X51,LayoutU,0)),0))</f>
        <v>0</v>
      </c>
      <c r="AR51" s="9" t="n">
        <f aca="false">IF(ISNUMBER(O51),O51*INDEX(LenF,MATCH($O$7,LenU,0)),IF(ISNUMBER(V51),V51*INDEX(LenF,MATCH($V$7,LenU,0)),0))</f>
        <v>0</v>
      </c>
      <c r="AS51" s="9" t="str">
        <f aca="false">IF(ISNUMBER(L51),L51*INDEX(LenF,MATCH($L$7,LenU,0))*1000,IF(OR(J51="",K51=""),"",IFERROR(IF(INDEX(PipeWT,MATCH(J51,NPSU,0),MATCH(K51,SchU,0))="","Sch n/a",INDEX(PipeOD,MATCH(J51,NPSU,0))-2*INDEX(PipeWT,MATCH(J51,NPSU,0),MATCH(K51,SchU,0))),"")))</f>
        <v/>
      </c>
      <c r="AT51" s="9" t="n">
        <f aca="false">IF(ISNUMBER(AI51),AI51,IFERROR(INDEX(IF(JobType="Decontamination",TypeFillDC,TypeFillCC),MATCH(E51,TypeL,0)),1))</f>
        <v>1</v>
      </c>
      <c r="AU51" s="9" t="n">
        <v>2</v>
      </c>
    </row>
    <row r="52" customFormat="false" ht="15" hidden="false" customHeight="false" outlineLevel="0" collapsed="false">
      <c r="A52" s="16" t="n">
        <v>10</v>
      </c>
      <c r="B52" s="20"/>
      <c r="C52" s="5"/>
      <c r="D52" s="5"/>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1" t="str">
        <f aca="false">IF(E52="Exchanger",IF(AND(ISNUMBER(S52),ISNUMBER(U52),ISNUMBER(V52)),S52*PI()/4*(U52*INDEX(LenF,MATCH($U$7,LenU,0)))^2*V52*INDEX(LenF,MATCH($V$7,LenU,0)),0)+IF(ISNUMBER(Y52),PI()/4*(Y52*INDEX(LenF,MATCH($Y$7,LenU,0)))^2*N(Z52)*INDEX(LenF,MATCH($Z$7,LenU,0))+IF(AA52="",0,IF(AA52="Conical",PI()/12*(Y52*INDEX(LenF,MATCH($Y$7,LenU,0)))^2*(0),INDEX(HeadK,MATCH(AA52,HeadU,0))*(Y52*INDEX(LenF,MATCH($Y$7,LenU,0)))^3)),0)+IF(ISNUMBER(Y52),PI()/4*(Y52*INDEX(LenF,MATCH($Y$7,LenU,0)))^2*N(AB52)*INDEX(LenF,MATCH($AB$7,LenU,0))+IF(AC52="",0,IF(AC52="Conical",PI()/12*(Y52*INDEX(LenF,MATCH($Y$7,LenU,0)))^2*(0),INDEX(HeadK,MATCH(AC52,HeadU,0))*(Y52*INDEX(LenF,MATCH($Y$7,LenU,0)))^3)),0),"")</f>
        <v/>
      </c>
      <c r="AE52" s="21" t="str">
        <f aca="false">IF(OR(E52="",E52="Piping"),"",IF(E52="Exchanger",AQ52*AR52+IF(P52="",0,IF(P52="Conical",PI()/12*(SQRT(4*AQ52/PI()))^2*(0),INDEX(HeadK,MATCH(P52,HeadU,0))*(SQRT(4*AQ52/PI()))^3))-IF(AND(ISNUMBER(S52),ISNUMBER(V52)),S52*PI()/4*AP52^2*V52*INDEX(LenF,MATCH($V$7,LenU,0)),0),IF(ISNUMBER(N52),PI()/4*(N52*INDEX(LenF,MATCH($N$7,LenU,0)))^2*N(O52)*INDEX(LenF,MATCH($O$7,LenU,0))+IF(P52="",0,IF(P52="Conical",PI()/12*(N52*INDEX(LenF,MATCH($N$7,LenU,0)))^2*(N(R52)*INDEX(LenF,MATCH($R$7,LenU,0))),INDEX(HeadK,MATCH(P52,HeadU,0))*(N52*INDEX(LenF,MATCH($N$7,LenU,0)))^3))+IF(Q52="",0,IF(Q52="Conical",PI()/12*(N52*INDEX(LenF,MATCH($N$7,LenU,0)))^2*(N(R52)*INDEX(LenF,MATCH($R$7,LenU,0))),INDEX(HeadK,MATCH(Q52,HeadU,0))*(N52*INDEX(LenF,MATCH($N$7,LenU,0)))^3)),0)))</f>
        <v/>
      </c>
      <c r="AF52" s="21" t="str">
        <f aca="false">IF(E52&lt;&gt;"Piping","",IF(AND(ISNUMBER(AS52),ISNUMBER(M52)),PI()/4*(AS52/1000)^2*M52*INDEX(LenF,MATCH($M$7,LenU,0)),0))</f>
        <v/>
      </c>
      <c r="AG52" s="21" t="str">
        <f aca="false">IF(E52="","",N(AD52)+N(AE52)+N(AF52))</f>
        <v/>
      </c>
      <c r="AH52" s="21" t="str">
        <f aca="false">IF(ISNUMBER(I52),I52*INDEX(WtF,MATCH($I$7,WtU,0))/WaterRho,"")</f>
        <v/>
      </c>
      <c r="AI52" s="11"/>
      <c r="AJ52" s="11"/>
      <c r="AK52" s="20"/>
      <c r="AL52" s="11"/>
      <c r="AM52" s="21" t="str">
        <f aca="false">IF(AO52="","",AO52*IF(ISNUMBER(AK52),AK52,DefFills)*(1+IF(ISNUMBER(AL52),AL52,DefAllow)))</f>
        <v/>
      </c>
      <c r="AN52" s="22" t="str">
        <f aca="false">IF(G52="Given volume",IF(ISNUMBER(H52),H52*INDEX(VolF,MATCH($H$7,VolU,0)),""),IF(G52="Water weight",AH52,IF(N(AG52)=0,"",AG52)))</f>
        <v/>
      </c>
      <c r="AO52" s="22" t="str">
        <f aca="false">IF(N(AN52)=0,"",AN52*AT52*IF(ISNUMBER(AJ52),AJ52,DefCirc))</f>
        <v/>
      </c>
      <c r="AP52" s="9" t="n">
        <f aca="false">IF(ISNUMBER(T52),T52*INDEX(LenF,MATCH($T$7,LenU,0)),IF(ISNUMBER(W52),W52*INDEX(LenF,MATCH($W$7,LenU,0))/PitchRatio,0))</f>
        <v>0</v>
      </c>
      <c r="AQ52" s="9" t="n">
        <f aca="false">IF(ISNUMBER(N52),PI()/4*(N52*INDEX(LenF,MATCH($N$7,LenU,0)))^2,IF(AND(ISNUMBER(S52),ISNUMBER(W52),X52&lt;&gt;""),S52*(W52*INDEX(LenF,MATCH($W$7,LenU,0)))^2*INDEX(LayoutF,MATCH(X52,LayoutU,0)),0))</f>
        <v>0</v>
      </c>
      <c r="AR52" s="9" t="n">
        <f aca="false">IF(ISNUMBER(O52),O52*INDEX(LenF,MATCH($O$7,LenU,0)),IF(ISNUMBER(V52),V52*INDEX(LenF,MATCH($V$7,LenU,0)),0))</f>
        <v>0</v>
      </c>
      <c r="AS52" s="9" t="str">
        <f aca="false">IF(ISNUMBER(L52),L52*INDEX(LenF,MATCH($L$7,LenU,0))*1000,IF(OR(J52="",K52=""),"",IFERROR(IF(INDEX(PipeWT,MATCH(J52,NPSU,0),MATCH(K52,SchU,0))="","Sch n/a",INDEX(PipeOD,MATCH(J52,NPSU,0))-2*INDEX(PipeWT,MATCH(J52,NPSU,0),MATCH(K52,SchU,0))),"")))</f>
        <v/>
      </c>
      <c r="AT52" s="9" t="n">
        <f aca="false">IF(ISNUMBER(AI52),AI52,IFERROR(INDEX(IF(JobType="Decontamination",TypeFillDC,TypeFillCC),MATCH(E52,TypeL,0)),1))</f>
        <v>1</v>
      </c>
      <c r="AU52" s="9" t="n">
        <v>2</v>
      </c>
    </row>
    <row r="53" customFormat="false" ht="15" hidden="false" customHeight="false" outlineLevel="0" collapsed="false">
      <c r="A53" s="16" t="n">
        <v>11</v>
      </c>
      <c r="B53" s="20"/>
      <c r="C53" s="5"/>
      <c r="D53" s="5"/>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1" t="str">
        <f aca="false">IF(E53="Exchanger",IF(AND(ISNUMBER(S53),ISNUMBER(U53),ISNUMBER(V53)),S53*PI()/4*(U53*INDEX(LenF,MATCH($U$7,LenU,0)))^2*V53*INDEX(LenF,MATCH($V$7,LenU,0)),0)+IF(ISNUMBER(Y53),PI()/4*(Y53*INDEX(LenF,MATCH($Y$7,LenU,0)))^2*N(Z53)*INDEX(LenF,MATCH($Z$7,LenU,0))+IF(AA53="",0,IF(AA53="Conical",PI()/12*(Y53*INDEX(LenF,MATCH($Y$7,LenU,0)))^2*(0),INDEX(HeadK,MATCH(AA53,HeadU,0))*(Y53*INDEX(LenF,MATCH($Y$7,LenU,0)))^3)),0)+IF(ISNUMBER(Y53),PI()/4*(Y53*INDEX(LenF,MATCH($Y$7,LenU,0)))^2*N(AB53)*INDEX(LenF,MATCH($AB$7,LenU,0))+IF(AC53="",0,IF(AC53="Conical",PI()/12*(Y53*INDEX(LenF,MATCH($Y$7,LenU,0)))^2*(0),INDEX(HeadK,MATCH(AC53,HeadU,0))*(Y53*INDEX(LenF,MATCH($Y$7,LenU,0)))^3)),0),"")</f>
        <v/>
      </c>
      <c r="AE53" s="21" t="str">
        <f aca="false">IF(OR(E53="",E53="Piping"),"",IF(E53="Exchanger",AQ53*AR53+IF(P53="",0,IF(P53="Conical",PI()/12*(SQRT(4*AQ53/PI()))^2*(0),INDEX(HeadK,MATCH(P53,HeadU,0))*(SQRT(4*AQ53/PI()))^3))-IF(AND(ISNUMBER(S53),ISNUMBER(V53)),S53*PI()/4*AP53^2*V53*INDEX(LenF,MATCH($V$7,LenU,0)),0),IF(ISNUMBER(N53),PI()/4*(N53*INDEX(LenF,MATCH($N$7,LenU,0)))^2*N(O53)*INDEX(LenF,MATCH($O$7,LenU,0))+IF(P53="",0,IF(P53="Conical",PI()/12*(N53*INDEX(LenF,MATCH($N$7,LenU,0)))^2*(N(R53)*INDEX(LenF,MATCH($R$7,LenU,0))),INDEX(HeadK,MATCH(P53,HeadU,0))*(N53*INDEX(LenF,MATCH($N$7,LenU,0)))^3))+IF(Q53="",0,IF(Q53="Conical",PI()/12*(N53*INDEX(LenF,MATCH($N$7,LenU,0)))^2*(N(R53)*INDEX(LenF,MATCH($R$7,LenU,0))),INDEX(HeadK,MATCH(Q53,HeadU,0))*(N53*INDEX(LenF,MATCH($N$7,LenU,0)))^3)),0)))</f>
        <v/>
      </c>
      <c r="AF53" s="21" t="str">
        <f aca="false">IF(E53&lt;&gt;"Piping","",IF(AND(ISNUMBER(AS53),ISNUMBER(M53)),PI()/4*(AS53/1000)^2*M53*INDEX(LenF,MATCH($M$7,LenU,0)),0))</f>
        <v/>
      </c>
      <c r="AG53" s="21" t="str">
        <f aca="false">IF(E53="","",N(AD53)+N(AE53)+N(AF53))</f>
        <v/>
      </c>
      <c r="AH53" s="21" t="str">
        <f aca="false">IF(ISNUMBER(I53),I53*INDEX(WtF,MATCH($I$7,WtU,0))/WaterRho,"")</f>
        <v/>
      </c>
      <c r="AI53" s="11"/>
      <c r="AJ53" s="11"/>
      <c r="AK53" s="20"/>
      <c r="AL53" s="11"/>
      <c r="AM53" s="21" t="str">
        <f aca="false">IF(AO53="","",AO53*IF(ISNUMBER(AK53),AK53,DefFills)*(1+IF(ISNUMBER(AL53),AL53,DefAllow)))</f>
        <v/>
      </c>
      <c r="AN53" s="22" t="str">
        <f aca="false">IF(G53="Given volume",IF(ISNUMBER(H53),H53*INDEX(VolF,MATCH($H$7,VolU,0)),""),IF(G53="Water weight",AH53,IF(N(AG53)=0,"",AG53)))</f>
        <v/>
      </c>
      <c r="AO53" s="22" t="str">
        <f aca="false">IF(N(AN53)=0,"",AN53*AT53*IF(ISNUMBER(AJ53),AJ53,DefCirc))</f>
        <v/>
      </c>
      <c r="AP53" s="9" t="n">
        <f aca="false">IF(ISNUMBER(T53),T53*INDEX(LenF,MATCH($T$7,LenU,0)),IF(ISNUMBER(W53),W53*INDEX(LenF,MATCH($W$7,LenU,0))/PitchRatio,0))</f>
        <v>0</v>
      </c>
      <c r="AQ53" s="9" t="n">
        <f aca="false">IF(ISNUMBER(N53),PI()/4*(N53*INDEX(LenF,MATCH($N$7,LenU,0)))^2,IF(AND(ISNUMBER(S53),ISNUMBER(W53),X53&lt;&gt;""),S53*(W53*INDEX(LenF,MATCH($W$7,LenU,0)))^2*INDEX(LayoutF,MATCH(X53,LayoutU,0)),0))</f>
        <v>0</v>
      </c>
      <c r="AR53" s="9" t="n">
        <f aca="false">IF(ISNUMBER(O53),O53*INDEX(LenF,MATCH($O$7,LenU,0)),IF(ISNUMBER(V53),V53*INDEX(LenF,MATCH($V$7,LenU,0)),0))</f>
        <v>0</v>
      </c>
      <c r="AS53" s="9" t="str">
        <f aca="false">IF(ISNUMBER(L53),L53*INDEX(LenF,MATCH($L$7,LenU,0))*1000,IF(OR(J53="",K53=""),"",IFERROR(IF(INDEX(PipeWT,MATCH(J53,NPSU,0),MATCH(K53,SchU,0))="","Sch n/a",INDEX(PipeOD,MATCH(J53,NPSU,0))-2*INDEX(PipeWT,MATCH(J53,NPSU,0),MATCH(K53,SchU,0))),"")))</f>
        <v/>
      </c>
      <c r="AT53" s="9" t="n">
        <f aca="false">IF(ISNUMBER(AI53),AI53,IFERROR(INDEX(IF(JobType="Decontamination",TypeFillDC,TypeFillCC),MATCH(E53,TypeL,0)),1))</f>
        <v>1</v>
      </c>
      <c r="AU53" s="9" t="n">
        <v>2</v>
      </c>
    </row>
    <row r="54" customFormat="false" ht="15" hidden="false" customHeight="false" outlineLevel="0" collapsed="false">
      <c r="A54" s="16" t="n">
        <v>12</v>
      </c>
      <c r="B54" s="20"/>
      <c r="C54" s="5"/>
      <c r="D54" s="5"/>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1" t="str">
        <f aca="false">IF(E54="Exchanger",IF(AND(ISNUMBER(S54),ISNUMBER(U54),ISNUMBER(V54)),S54*PI()/4*(U54*INDEX(LenF,MATCH($U$7,LenU,0)))^2*V54*INDEX(LenF,MATCH($V$7,LenU,0)),0)+IF(ISNUMBER(Y54),PI()/4*(Y54*INDEX(LenF,MATCH($Y$7,LenU,0)))^2*N(Z54)*INDEX(LenF,MATCH($Z$7,LenU,0))+IF(AA54="",0,IF(AA54="Conical",PI()/12*(Y54*INDEX(LenF,MATCH($Y$7,LenU,0)))^2*(0),INDEX(HeadK,MATCH(AA54,HeadU,0))*(Y54*INDEX(LenF,MATCH($Y$7,LenU,0)))^3)),0)+IF(ISNUMBER(Y54),PI()/4*(Y54*INDEX(LenF,MATCH($Y$7,LenU,0)))^2*N(AB54)*INDEX(LenF,MATCH($AB$7,LenU,0))+IF(AC54="",0,IF(AC54="Conical",PI()/12*(Y54*INDEX(LenF,MATCH($Y$7,LenU,0)))^2*(0),INDEX(HeadK,MATCH(AC54,HeadU,0))*(Y54*INDEX(LenF,MATCH($Y$7,LenU,0)))^3)),0),"")</f>
        <v/>
      </c>
      <c r="AE54" s="21" t="str">
        <f aca="false">IF(OR(E54="",E54="Piping"),"",IF(E54="Exchanger",AQ54*AR54+IF(P54="",0,IF(P54="Conical",PI()/12*(SQRT(4*AQ54/PI()))^2*(0),INDEX(HeadK,MATCH(P54,HeadU,0))*(SQRT(4*AQ54/PI()))^3))-IF(AND(ISNUMBER(S54),ISNUMBER(V54)),S54*PI()/4*AP54^2*V54*INDEX(LenF,MATCH($V$7,LenU,0)),0),IF(ISNUMBER(N54),PI()/4*(N54*INDEX(LenF,MATCH($N$7,LenU,0)))^2*N(O54)*INDEX(LenF,MATCH($O$7,LenU,0))+IF(P54="",0,IF(P54="Conical",PI()/12*(N54*INDEX(LenF,MATCH($N$7,LenU,0)))^2*(N(R54)*INDEX(LenF,MATCH($R$7,LenU,0))),INDEX(HeadK,MATCH(P54,HeadU,0))*(N54*INDEX(LenF,MATCH($N$7,LenU,0)))^3))+IF(Q54="",0,IF(Q54="Conical",PI()/12*(N54*INDEX(LenF,MATCH($N$7,LenU,0)))^2*(N(R54)*INDEX(LenF,MATCH($R$7,LenU,0))),INDEX(HeadK,MATCH(Q54,HeadU,0))*(N54*INDEX(LenF,MATCH($N$7,LenU,0)))^3)),0)))</f>
        <v/>
      </c>
      <c r="AF54" s="21" t="str">
        <f aca="false">IF(E54&lt;&gt;"Piping","",IF(AND(ISNUMBER(AS54),ISNUMBER(M54)),PI()/4*(AS54/1000)^2*M54*INDEX(LenF,MATCH($M$7,LenU,0)),0))</f>
        <v/>
      </c>
      <c r="AG54" s="21" t="str">
        <f aca="false">IF(E54="","",N(AD54)+N(AE54)+N(AF54))</f>
        <v/>
      </c>
      <c r="AH54" s="21" t="str">
        <f aca="false">IF(ISNUMBER(I54),I54*INDEX(WtF,MATCH($I$7,WtU,0))/WaterRho,"")</f>
        <v/>
      </c>
      <c r="AI54" s="11"/>
      <c r="AJ54" s="11"/>
      <c r="AK54" s="20"/>
      <c r="AL54" s="11"/>
      <c r="AM54" s="21" t="str">
        <f aca="false">IF(AO54="","",AO54*IF(ISNUMBER(AK54),AK54,DefFills)*(1+IF(ISNUMBER(AL54),AL54,DefAllow)))</f>
        <v/>
      </c>
      <c r="AN54" s="22" t="str">
        <f aca="false">IF(G54="Given volume",IF(ISNUMBER(H54),H54*INDEX(VolF,MATCH($H$7,VolU,0)),""),IF(G54="Water weight",AH54,IF(N(AG54)=0,"",AG54)))</f>
        <v/>
      </c>
      <c r="AO54" s="22" t="str">
        <f aca="false">IF(N(AN54)=0,"",AN54*AT54*IF(ISNUMBER(AJ54),AJ54,DefCirc))</f>
        <v/>
      </c>
      <c r="AP54" s="9" t="n">
        <f aca="false">IF(ISNUMBER(T54),T54*INDEX(LenF,MATCH($T$7,LenU,0)),IF(ISNUMBER(W54),W54*INDEX(LenF,MATCH($W$7,LenU,0))/PitchRatio,0))</f>
        <v>0</v>
      </c>
      <c r="AQ54" s="9" t="n">
        <f aca="false">IF(ISNUMBER(N54),PI()/4*(N54*INDEX(LenF,MATCH($N$7,LenU,0)))^2,IF(AND(ISNUMBER(S54),ISNUMBER(W54),X54&lt;&gt;""),S54*(W54*INDEX(LenF,MATCH($W$7,LenU,0)))^2*INDEX(LayoutF,MATCH(X54,LayoutU,0)),0))</f>
        <v>0</v>
      </c>
      <c r="AR54" s="9" t="n">
        <f aca="false">IF(ISNUMBER(O54),O54*INDEX(LenF,MATCH($O$7,LenU,0)),IF(ISNUMBER(V54),V54*INDEX(LenF,MATCH($V$7,LenU,0)),0))</f>
        <v>0</v>
      </c>
      <c r="AS54" s="9" t="str">
        <f aca="false">IF(ISNUMBER(L54),L54*INDEX(LenF,MATCH($L$7,LenU,0))*1000,IF(OR(J54="",K54=""),"",IFERROR(IF(INDEX(PipeWT,MATCH(J54,NPSU,0),MATCH(K54,SchU,0))="","Sch n/a",INDEX(PipeOD,MATCH(J54,NPSU,0))-2*INDEX(PipeWT,MATCH(J54,NPSU,0),MATCH(K54,SchU,0))),"")))</f>
        <v/>
      </c>
      <c r="AT54" s="9" t="n">
        <f aca="false">IF(ISNUMBER(AI54),AI54,IFERROR(INDEX(IF(JobType="Decontamination",TypeFillDC,TypeFillCC),MATCH(E54,TypeL,0)),1))</f>
        <v>1</v>
      </c>
      <c r="AU54" s="9" t="n">
        <v>2</v>
      </c>
    </row>
    <row r="55" customFormat="false" ht="15" hidden="false" customHeight="false" outlineLevel="0" collapsed="false">
      <c r="A55" s="16" t="n">
        <v>13</v>
      </c>
      <c r="B55" s="20"/>
      <c r="C55" s="5"/>
      <c r="D55" s="5"/>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1" t="str">
        <f aca="false">IF(E55="Exchanger",IF(AND(ISNUMBER(S55),ISNUMBER(U55),ISNUMBER(V55)),S55*PI()/4*(U55*INDEX(LenF,MATCH($U$7,LenU,0)))^2*V55*INDEX(LenF,MATCH($V$7,LenU,0)),0)+IF(ISNUMBER(Y55),PI()/4*(Y55*INDEX(LenF,MATCH($Y$7,LenU,0)))^2*N(Z55)*INDEX(LenF,MATCH($Z$7,LenU,0))+IF(AA55="",0,IF(AA55="Conical",PI()/12*(Y55*INDEX(LenF,MATCH($Y$7,LenU,0)))^2*(0),INDEX(HeadK,MATCH(AA55,HeadU,0))*(Y55*INDEX(LenF,MATCH($Y$7,LenU,0)))^3)),0)+IF(ISNUMBER(Y55),PI()/4*(Y55*INDEX(LenF,MATCH($Y$7,LenU,0)))^2*N(AB55)*INDEX(LenF,MATCH($AB$7,LenU,0))+IF(AC55="",0,IF(AC55="Conical",PI()/12*(Y55*INDEX(LenF,MATCH($Y$7,LenU,0)))^2*(0),INDEX(HeadK,MATCH(AC55,HeadU,0))*(Y55*INDEX(LenF,MATCH($Y$7,LenU,0)))^3)),0),"")</f>
        <v/>
      </c>
      <c r="AE55" s="21" t="str">
        <f aca="false">IF(OR(E55="",E55="Piping"),"",IF(E55="Exchanger",AQ55*AR55+IF(P55="",0,IF(P55="Conical",PI()/12*(SQRT(4*AQ55/PI()))^2*(0),INDEX(HeadK,MATCH(P55,HeadU,0))*(SQRT(4*AQ55/PI()))^3))-IF(AND(ISNUMBER(S55),ISNUMBER(V55)),S55*PI()/4*AP55^2*V55*INDEX(LenF,MATCH($V$7,LenU,0)),0),IF(ISNUMBER(N55),PI()/4*(N55*INDEX(LenF,MATCH($N$7,LenU,0)))^2*N(O55)*INDEX(LenF,MATCH($O$7,LenU,0))+IF(P55="",0,IF(P55="Conical",PI()/12*(N55*INDEX(LenF,MATCH($N$7,LenU,0)))^2*(N(R55)*INDEX(LenF,MATCH($R$7,LenU,0))),INDEX(HeadK,MATCH(P55,HeadU,0))*(N55*INDEX(LenF,MATCH($N$7,LenU,0)))^3))+IF(Q55="",0,IF(Q55="Conical",PI()/12*(N55*INDEX(LenF,MATCH($N$7,LenU,0)))^2*(N(R55)*INDEX(LenF,MATCH($R$7,LenU,0))),INDEX(HeadK,MATCH(Q55,HeadU,0))*(N55*INDEX(LenF,MATCH($N$7,LenU,0)))^3)),0)))</f>
        <v/>
      </c>
      <c r="AF55" s="21" t="str">
        <f aca="false">IF(E55&lt;&gt;"Piping","",IF(AND(ISNUMBER(AS55),ISNUMBER(M55)),PI()/4*(AS55/1000)^2*M55*INDEX(LenF,MATCH($M$7,LenU,0)),0))</f>
        <v/>
      </c>
      <c r="AG55" s="21" t="str">
        <f aca="false">IF(E55="","",N(AD55)+N(AE55)+N(AF55))</f>
        <v/>
      </c>
      <c r="AH55" s="21" t="str">
        <f aca="false">IF(ISNUMBER(I55),I55*INDEX(WtF,MATCH($I$7,WtU,0))/WaterRho,"")</f>
        <v/>
      </c>
      <c r="AI55" s="11"/>
      <c r="AJ55" s="11"/>
      <c r="AK55" s="20"/>
      <c r="AL55" s="11"/>
      <c r="AM55" s="21" t="str">
        <f aca="false">IF(AO55="","",AO55*IF(ISNUMBER(AK55),AK55,DefFills)*(1+IF(ISNUMBER(AL55),AL55,DefAllow)))</f>
        <v/>
      </c>
      <c r="AN55" s="22" t="str">
        <f aca="false">IF(G55="Given volume",IF(ISNUMBER(H55),H55*INDEX(VolF,MATCH($H$7,VolU,0)),""),IF(G55="Water weight",AH55,IF(N(AG55)=0,"",AG55)))</f>
        <v/>
      </c>
      <c r="AO55" s="22" t="str">
        <f aca="false">IF(N(AN55)=0,"",AN55*AT55*IF(ISNUMBER(AJ55),AJ55,DefCirc))</f>
        <v/>
      </c>
      <c r="AP55" s="9" t="n">
        <f aca="false">IF(ISNUMBER(T55),T55*INDEX(LenF,MATCH($T$7,LenU,0)),IF(ISNUMBER(W55),W55*INDEX(LenF,MATCH($W$7,LenU,0))/PitchRatio,0))</f>
        <v>0</v>
      </c>
      <c r="AQ55" s="9" t="n">
        <f aca="false">IF(ISNUMBER(N55),PI()/4*(N55*INDEX(LenF,MATCH($N$7,LenU,0)))^2,IF(AND(ISNUMBER(S55),ISNUMBER(W55),X55&lt;&gt;""),S55*(W55*INDEX(LenF,MATCH($W$7,LenU,0)))^2*INDEX(LayoutF,MATCH(X55,LayoutU,0)),0))</f>
        <v>0</v>
      </c>
      <c r="AR55" s="9" t="n">
        <f aca="false">IF(ISNUMBER(O55),O55*INDEX(LenF,MATCH($O$7,LenU,0)),IF(ISNUMBER(V55),V55*INDEX(LenF,MATCH($V$7,LenU,0)),0))</f>
        <v>0</v>
      </c>
      <c r="AS55" s="9" t="str">
        <f aca="false">IF(ISNUMBER(L55),L55*INDEX(LenF,MATCH($L$7,LenU,0))*1000,IF(OR(J55="",K55=""),"",IFERROR(IF(INDEX(PipeWT,MATCH(J55,NPSU,0),MATCH(K55,SchU,0))="","Sch n/a",INDEX(PipeOD,MATCH(J55,NPSU,0))-2*INDEX(PipeWT,MATCH(J55,NPSU,0),MATCH(K55,SchU,0))),"")))</f>
        <v/>
      </c>
      <c r="AT55" s="9" t="n">
        <f aca="false">IF(ISNUMBER(AI55),AI55,IFERROR(INDEX(IF(JobType="Decontamination",TypeFillDC,TypeFillCC),MATCH(E55,TypeL,0)),1))</f>
        <v>1</v>
      </c>
      <c r="AU55" s="9" t="n">
        <v>2</v>
      </c>
    </row>
    <row r="56" customFormat="false" ht="15" hidden="false" customHeight="false" outlineLevel="0" collapsed="false">
      <c r="A56" s="16" t="n">
        <v>14</v>
      </c>
      <c r="B56" s="20"/>
      <c r="C56" s="5"/>
      <c r="D56" s="5"/>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1" t="str">
        <f aca="false">IF(E56="Exchanger",IF(AND(ISNUMBER(S56),ISNUMBER(U56),ISNUMBER(V56)),S56*PI()/4*(U56*INDEX(LenF,MATCH($U$7,LenU,0)))^2*V56*INDEX(LenF,MATCH($V$7,LenU,0)),0)+IF(ISNUMBER(Y56),PI()/4*(Y56*INDEX(LenF,MATCH($Y$7,LenU,0)))^2*N(Z56)*INDEX(LenF,MATCH($Z$7,LenU,0))+IF(AA56="",0,IF(AA56="Conical",PI()/12*(Y56*INDEX(LenF,MATCH($Y$7,LenU,0)))^2*(0),INDEX(HeadK,MATCH(AA56,HeadU,0))*(Y56*INDEX(LenF,MATCH($Y$7,LenU,0)))^3)),0)+IF(ISNUMBER(Y56),PI()/4*(Y56*INDEX(LenF,MATCH($Y$7,LenU,0)))^2*N(AB56)*INDEX(LenF,MATCH($AB$7,LenU,0))+IF(AC56="",0,IF(AC56="Conical",PI()/12*(Y56*INDEX(LenF,MATCH($Y$7,LenU,0)))^2*(0),INDEX(HeadK,MATCH(AC56,HeadU,0))*(Y56*INDEX(LenF,MATCH($Y$7,LenU,0)))^3)),0),"")</f>
        <v/>
      </c>
      <c r="AE56" s="21" t="str">
        <f aca="false">IF(OR(E56="",E56="Piping"),"",IF(E56="Exchanger",AQ56*AR56+IF(P56="",0,IF(P56="Conical",PI()/12*(SQRT(4*AQ56/PI()))^2*(0),INDEX(HeadK,MATCH(P56,HeadU,0))*(SQRT(4*AQ56/PI()))^3))-IF(AND(ISNUMBER(S56),ISNUMBER(V56)),S56*PI()/4*AP56^2*V56*INDEX(LenF,MATCH($V$7,LenU,0)),0),IF(ISNUMBER(N56),PI()/4*(N56*INDEX(LenF,MATCH($N$7,LenU,0)))^2*N(O56)*INDEX(LenF,MATCH($O$7,LenU,0))+IF(P56="",0,IF(P56="Conical",PI()/12*(N56*INDEX(LenF,MATCH($N$7,LenU,0)))^2*(N(R56)*INDEX(LenF,MATCH($R$7,LenU,0))),INDEX(HeadK,MATCH(P56,HeadU,0))*(N56*INDEX(LenF,MATCH($N$7,LenU,0)))^3))+IF(Q56="",0,IF(Q56="Conical",PI()/12*(N56*INDEX(LenF,MATCH($N$7,LenU,0)))^2*(N(R56)*INDEX(LenF,MATCH($R$7,LenU,0))),INDEX(HeadK,MATCH(Q56,HeadU,0))*(N56*INDEX(LenF,MATCH($N$7,LenU,0)))^3)),0)))</f>
        <v/>
      </c>
      <c r="AF56" s="21" t="str">
        <f aca="false">IF(E56&lt;&gt;"Piping","",IF(AND(ISNUMBER(AS56),ISNUMBER(M56)),PI()/4*(AS56/1000)^2*M56*INDEX(LenF,MATCH($M$7,LenU,0)),0))</f>
        <v/>
      </c>
      <c r="AG56" s="21" t="str">
        <f aca="false">IF(E56="","",N(AD56)+N(AE56)+N(AF56))</f>
        <v/>
      </c>
      <c r="AH56" s="21" t="str">
        <f aca="false">IF(ISNUMBER(I56),I56*INDEX(WtF,MATCH($I$7,WtU,0))/WaterRho,"")</f>
        <v/>
      </c>
      <c r="AI56" s="11"/>
      <c r="AJ56" s="11"/>
      <c r="AK56" s="20"/>
      <c r="AL56" s="11"/>
      <c r="AM56" s="21" t="str">
        <f aca="false">IF(AO56="","",AO56*IF(ISNUMBER(AK56),AK56,DefFills)*(1+IF(ISNUMBER(AL56),AL56,DefAllow)))</f>
        <v/>
      </c>
      <c r="AN56" s="22" t="str">
        <f aca="false">IF(G56="Given volume",IF(ISNUMBER(H56),H56*INDEX(VolF,MATCH($H$7,VolU,0)),""),IF(G56="Water weight",AH56,IF(N(AG56)=0,"",AG56)))</f>
        <v/>
      </c>
      <c r="AO56" s="22" t="str">
        <f aca="false">IF(N(AN56)=0,"",AN56*AT56*IF(ISNUMBER(AJ56),AJ56,DefCirc))</f>
        <v/>
      </c>
      <c r="AP56" s="9" t="n">
        <f aca="false">IF(ISNUMBER(T56),T56*INDEX(LenF,MATCH($T$7,LenU,0)),IF(ISNUMBER(W56),W56*INDEX(LenF,MATCH($W$7,LenU,0))/PitchRatio,0))</f>
        <v>0</v>
      </c>
      <c r="AQ56" s="9" t="n">
        <f aca="false">IF(ISNUMBER(N56),PI()/4*(N56*INDEX(LenF,MATCH($N$7,LenU,0)))^2,IF(AND(ISNUMBER(S56),ISNUMBER(W56),X56&lt;&gt;""),S56*(W56*INDEX(LenF,MATCH($W$7,LenU,0)))^2*INDEX(LayoutF,MATCH(X56,LayoutU,0)),0))</f>
        <v>0</v>
      </c>
      <c r="AR56" s="9" t="n">
        <f aca="false">IF(ISNUMBER(O56),O56*INDEX(LenF,MATCH($O$7,LenU,0)),IF(ISNUMBER(V56),V56*INDEX(LenF,MATCH($V$7,LenU,0)),0))</f>
        <v>0</v>
      </c>
      <c r="AS56" s="9" t="str">
        <f aca="false">IF(ISNUMBER(L56),L56*INDEX(LenF,MATCH($L$7,LenU,0))*1000,IF(OR(J56="",K56=""),"",IFERROR(IF(INDEX(PipeWT,MATCH(J56,NPSU,0),MATCH(K56,SchU,0))="","Sch n/a",INDEX(PipeOD,MATCH(J56,NPSU,0))-2*INDEX(PipeWT,MATCH(J56,NPSU,0),MATCH(K56,SchU,0))),"")))</f>
        <v/>
      </c>
      <c r="AT56" s="9" t="n">
        <f aca="false">IF(ISNUMBER(AI56),AI56,IFERROR(INDEX(IF(JobType="Decontamination",TypeFillDC,TypeFillCC),MATCH(E56,TypeL,0)),1))</f>
        <v>1</v>
      </c>
      <c r="AU56" s="9" t="n">
        <v>2</v>
      </c>
    </row>
    <row r="57" customFormat="false" ht="15" hidden="false" customHeight="false" outlineLevel="0" collapsed="false">
      <c r="A57" s="16" t="n">
        <v>15</v>
      </c>
      <c r="B57" s="20"/>
      <c r="C57" s="5"/>
      <c r="D57" s="5"/>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1" t="str">
        <f aca="false">IF(E57="Exchanger",IF(AND(ISNUMBER(S57),ISNUMBER(U57),ISNUMBER(V57)),S57*PI()/4*(U57*INDEX(LenF,MATCH($U$7,LenU,0)))^2*V57*INDEX(LenF,MATCH($V$7,LenU,0)),0)+IF(ISNUMBER(Y57),PI()/4*(Y57*INDEX(LenF,MATCH($Y$7,LenU,0)))^2*N(Z57)*INDEX(LenF,MATCH($Z$7,LenU,0))+IF(AA57="",0,IF(AA57="Conical",PI()/12*(Y57*INDEX(LenF,MATCH($Y$7,LenU,0)))^2*(0),INDEX(HeadK,MATCH(AA57,HeadU,0))*(Y57*INDEX(LenF,MATCH($Y$7,LenU,0)))^3)),0)+IF(ISNUMBER(Y57),PI()/4*(Y57*INDEX(LenF,MATCH($Y$7,LenU,0)))^2*N(AB57)*INDEX(LenF,MATCH($AB$7,LenU,0))+IF(AC57="",0,IF(AC57="Conical",PI()/12*(Y57*INDEX(LenF,MATCH($Y$7,LenU,0)))^2*(0),INDEX(HeadK,MATCH(AC57,HeadU,0))*(Y57*INDEX(LenF,MATCH($Y$7,LenU,0)))^3)),0),"")</f>
        <v/>
      </c>
      <c r="AE57" s="21" t="str">
        <f aca="false">IF(OR(E57="",E57="Piping"),"",IF(E57="Exchanger",AQ57*AR57+IF(P57="",0,IF(P57="Conical",PI()/12*(SQRT(4*AQ57/PI()))^2*(0),INDEX(HeadK,MATCH(P57,HeadU,0))*(SQRT(4*AQ57/PI()))^3))-IF(AND(ISNUMBER(S57),ISNUMBER(V57)),S57*PI()/4*AP57^2*V57*INDEX(LenF,MATCH($V$7,LenU,0)),0),IF(ISNUMBER(N57),PI()/4*(N57*INDEX(LenF,MATCH($N$7,LenU,0)))^2*N(O57)*INDEX(LenF,MATCH($O$7,LenU,0))+IF(P57="",0,IF(P57="Conical",PI()/12*(N57*INDEX(LenF,MATCH($N$7,LenU,0)))^2*(N(R57)*INDEX(LenF,MATCH($R$7,LenU,0))),INDEX(HeadK,MATCH(P57,HeadU,0))*(N57*INDEX(LenF,MATCH($N$7,LenU,0)))^3))+IF(Q57="",0,IF(Q57="Conical",PI()/12*(N57*INDEX(LenF,MATCH($N$7,LenU,0)))^2*(N(R57)*INDEX(LenF,MATCH($R$7,LenU,0))),INDEX(HeadK,MATCH(Q57,HeadU,0))*(N57*INDEX(LenF,MATCH($N$7,LenU,0)))^3)),0)))</f>
        <v/>
      </c>
      <c r="AF57" s="21" t="str">
        <f aca="false">IF(E57&lt;&gt;"Piping","",IF(AND(ISNUMBER(AS57),ISNUMBER(M57)),PI()/4*(AS57/1000)^2*M57*INDEX(LenF,MATCH($M$7,LenU,0)),0))</f>
        <v/>
      </c>
      <c r="AG57" s="21" t="str">
        <f aca="false">IF(E57="","",N(AD57)+N(AE57)+N(AF57))</f>
        <v/>
      </c>
      <c r="AH57" s="21" t="str">
        <f aca="false">IF(ISNUMBER(I57),I57*INDEX(WtF,MATCH($I$7,WtU,0))/WaterRho,"")</f>
        <v/>
      </c>
      <c r="AI57" s="11"/>
      <c r="AJ57" s="11"/>
      <c r="AK57" s="20"/>
      <c r="AL57" s="11"/>
      <c r="AM57" s="21" t="str">
        <f aca="false">IF(AO57="","",AO57*IF(ISNUMBER(AK57),AK57,DefFills)*(1+IF(ISNUMBER(AL57),AL57,DefAllow)))</f>
        <v/>
      </c>
      <c r="AN57" s="22" t="str">
        <f aca="false">IF(G57="Given volume",IF(ISNUMBER(H57),H57*INDEX(VolF,MATCH($H$7,VolU,0)),""),IF(G57="Water weight",AH57,IF(N(AG57)=0,"",AG57)))</f>
        <v/>
      </c>
      <c r="AO57" s="22" t="str">
        <f aca="false">IF(N(AN57)=0,"",AN57*AT57*IF(ISNUMBER(AJ57),AJ57,DefCirc))</f>
        <v/>
      </c>
      <c r="AP57" s="9" t="n">
        <f aca="false">IF(ISNUMBER(T57),T57*INDEX(LenF,MATCH($T$7,LenU,0)),IF(ISNUMBER(W57),W57*INDEX(LenF,MATCH($W$7,LenU,0))/PitchRatio,0))</f>
        <v>0</v>
      </c>
      <c r="AQ57" s="9" t="n">
        <f aca="false">IF(ISNUMBER(N57),PI()/4*(N57*INDEX(LenF,MATCH($N$7,LenU,0)))^2,IF(AND(ISNUMBER(S57),ISNUMBER(W57),X57&lt;&gt;""),S57*(W57*INDEX(LenF,MATCH($W$7,LenU,0)))^2*INDEX(LayoutF,MATCH(X57,LayoutU,0)),0))</f>
        <v>0</v>
      </c>
      <c r="AR57" s="9" t="n">
        <f aca="false">IF(ISNUMBER(O57),O57*INDEX(LenF,MATCH($O$7,LenU,0)),IF(ISNUMBER(V57),V57*INDEX(LenF,MATCH($V$7,LenU,0)),0))</f>
        <v>0</v>
      </c>
      <c r="AS57" s="9" t="str">
        <f aca="false">IF(ISNUMBER(L57),L57*INDEX(LenF,MATCH($L$7,LenU,0))*1000,IF(OR(J57="",K57=""),"",IFERROR(IF(INDEX(PipeWT,MATCH(J57,NPSU,0),MATCH(K57,SchU,0))="","Sch n/a",INDEX(PipeOD,MATCH(J57,NPSU,0))-2*INDEX(PipeWT,MATCH(J57,NPSU,0),MATCH(K57,SchU,0))),"")))</f>
        <v/>
      </c>
      <c r="AT57" s="9" t="n">
        <f aca="false">IF(ISNUMBER(AI57),AI57,IFERROR(INDEX(IF(JobType="Decontamination",TypeFillDC,TypeFillCC),MATCH(E57,TypeL,0)),1))</f>
        <v>1</v>
      </c>
      <c r="AU57" s="9" t="n">
        <v>2</v>
      </c>
    </row>
    <row r="58" customFormat="false" ht="15" hidden="false" customHeight="false" outlineLevel="0" collapsed="false">
      <c r="A58" s="16" t="n">
        <v>16</v>
      </c>
      <c r="B58" s="20"/>
      <c r="C58" s="5"/>
      <c r="D58" s="5"/>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1" t="str">
        <f aca="false">IF(E58="Exchanger",IF(AND(ISNUMBER(S58),ISNUMBER(U58),ISNUMBER(V58)),S58*PI()/4*(U58*INDEX(LenF,MATCH($U$7,LenU,0)))^2*V58*INDEX(LenF,MATCH($V$7,LenU,0)),0)+IF(ISNUMBER(Y58),PI()/4*(Y58*INDEX(LenF,MATCH($Y$7,LenU,0)))^2*N(Z58)*INDEX(LenF,MATCH($Z$7,LenU,0))+IF(AA58="",0,IF(AA58="Conical",PI()/12*(Y58*INDEX(LenF,MATCH($Y$7,LenU,0)))^2*(0),INDEX(HeadK,MATCH(AA58,HeadU,0))*(Y58*INDEX(LenF,MATCH($Y$7,LenU,0)))^3)),0)+IF(ISNUMBER(Y58),PI()/4*(Y58*INDEX(LenF,MATCH($Y$7,LenU,0)))^2*N(AB58)*INDEX(LenF,MATCH($AB$7,LenU,0))+IF(AC58="",0,IF(AC58="Conical",PI()/12*(Y58*INDEX(LenF,MATCH($Y$7,LenU,0)))^2*(0),INDEX(HeadK,MATCH(AC58,HeadU,0))*(Y58*INDEX(LenF,MATCH($Y$7,LenU,0)))^3)),0),"")</f>
        <v/>
      </c>
      <c r="AE58" s="21" t="str">
        <f aca="false">IF(OR(E58="",E58="Piping"),"",IF(E58="Exchanger",AQ58*AR58+IF(P58="",0,IF(P58="Conical",PI()/12*(SQRT(4*AQ58/PI()))^2*(0),INDEX(HeadK,MATCH(P58,HeadU,0))*(SQRT(4*AQ58/PI()))^3))-IF(AND(ISNUMBER(S58),ISNUMBER(V58)),S58*PI()/4*AP58^2*V58*INDEX(LenF,MATCH($V$7,LenU,0)),0),IF(ISNUMBER(N58),PI()/4*(N58*INDEX(LenF,MATCH($N$7,LenU,0)))^2*N(O58)*INDEX(LenF,MATCH($O$7,LenU,0))+IF(P58="",0,IF(P58="Conical",PI()/12*(N58*INDEX(LenF,MATCH($N$7,LenU,0)))^2*(N(R58)*INDEX(LenF,MATCH($R$7,LenU,0))),INDEX(HeadK,MATCH(P58,HeadU,0))*(N58*INDEX(LenF,MATCH($N$7,LenU,0)))^3))+IF(Q58="",0,IF(Q58="Conical",PI()/12*(N58*INDEX(LenF,MATCH($N$7,LenU,0)))^2*(N(R58)*INDEX(LenF,MATCH($R$7,LenU,0))),INDEX(HeadK,MATCH(Q58,HeadU,0))*(N58*INDEX(LenF,MATCH($N$7,LenU,0)))^3)),0)))</f>
        <v/>
      </c>
      <c r="AF58" s="21" t="str">
        <f aca="false">IF(E58&lt;&gt;"Piping","",IF(AND(ISNUMBER(AS58),ISNUMBER(M58)),PI()/4*(AS58/1000)^2*M58*INDEX(LenF,MATCH($M$7,LenU,0)),0))</f>
        <v/>
      </c>
      <c r="AG58" s="21" t="str">
        <f aca="false">IF(E58="","",N(AD58)+N(AE58)+N(AF58))</f>
        <v/>
      </c>
      <c r="AH58" s="21" t="str">
        <f aca="false">IF(ISNUMBER(I58),I58*INDEX(WtF,MATCH($I$7,WtU,0))/WaterRho,"")</f>
        <v/>
      </c>
      <c r="AI58" s="11"/>
      <c r="AJ58" s="11"/>
      <c r="AK58" s="20"/>
      <c r="AL58" s="11"/>
      <c r="AM58" s="21" t="str">
        <f aca="false">IF(AO58="","",AO58*IF(ISNUMBER(AK58),AK58,DefFills)*(1+IF(ISNUMBER(AL58),AL58,DefAllow)))</f>
        <v/>
      </c>
      <c r="AN58" s="22" t="str">
        <f aca="false">IF(G58="Given volume",IF(ISNUMBER(H58),H58*INDEX(VolF,MATCH($H$7,VolU,0)),""),IF(G58="Water weight",AH58,IF(N(AG58)=0,"",AG58)))</f>
        <v/>
      </c>
      <c r="AO58" s="22" t="str">
        <f aca="false">IF(N(AN58)=0,"",AN58*AT58*IF(ISNUMBER(AJ58),AJ58,DefCirc))</f>
        <v/>
      </c>
      <c r="AP58" s="9" t="n">
        <f aca="false">IF(ISNUMBER(T58),T58*INDEX(LenF,MATCH($T$7,LenU,0)),IF(ISNUMBER(W58),W58*INDEX(LenF,MATCH($W$7,LenU,0))/PitchRatio,0))</f>
        <v>0</v>
      </c>
      <c r="AQ58" s="9" t="n">
        <f aca="false">IF(ISNUMBER(N58),PI()/4*(N58*INDEX(LenF,MATCH($N$7,LenU,0)))^2,IF(AND(ISNUMBER(S58),ISNUMBER(W58),X58&lt;&gt;""),S58*(W58*INDEX(LenF,MATCH($W$7,LenU,0)))^2*INDEX(LayoutF,MATCH(X58,LayoutU,0)),0))</f>
        <v>0</v>
      </c>
      <c r="AR58" s="9" t="n">
        <f aca="false">IF(ISNUMBER(O58),O58*INDEX(LenF,MATCH($O$7,LenU,0)),IF(ISNUMBER(V58),V58*INDEX(LenF,MATCH($V$7,LenU,0)),0))</f>
        <v>0</v>
      </c>
      <c r="AS58" s="9" t="str">
        <f aca="false">IF(ISNUMBER(L58),L58*INDEX(LenF,MATCH($L$7,LenU,0))*1000,IF(OR(J58="",K58=""),"",IFERROR(IF(INDEX(PipeWT,MATCH(J58,NPSU,0),MATCH(K58,SchU,0))="","Sch n/a",INDEX(PipeOD,MATCH(J58,NPSU,0))-2*INDEX(PipeWT,MATCH(J58,NPSU,0),MATCH(K58,SchU,0))),"")))</f>
        <v/>
      </c>
      <c r="AT58" s="9" t="n">
        <f aca="false">IF(ISNUMBER(AI58),AI58,IFERROR(INDEX(IF(JobType="Decontamination",TypeFillDC,TypeFillCC),MATCH(E58,TypeL,0)),1))</f>
        <v>1</v>
      </c>
      <c r="AU58" s="9" t="n">
        <v>2</v>
      </c>
    </row>
    <row r="59" customFormat="false" ht="15" hidden="false" customHeight="false" outlineLevel="0" collapsed="false">
      <c r="A59" s="16" t="n">
        <v>17</v>
      </c>
      <c r="B59" s="20"/>
      <c r="C59" s="5"/>
      <c r="D59" s="5"/>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1" t="str">
        <f aca="false">IF(E59="Exchanger",IF(AND(ISNUMBER(S59),ISNUMBER(U59),ISNUMBER(V59)),S59*PI()/4*(U59*INDEX(LenF,MATCH($U$7,LenU,0)))^2*V59*INDEX(LenF,MATCH($V$7,LenU,0)),0)+IF(ISNUMBER(Y59),PI()/4*(Y59*INDEX(LenF,MATCH($Y$7,LenU,0)))^2*N(Z59)*INDEX(LenF,MATCH($Z$7,LenU,0))+IF(AA59="",0,IF(AA59="Conical",PI()/12*(Y59*INDEX(LenF,MATCH($Y$7,LenU,0)))^2*(0),INDEX(HeadK,MATCH(AA59,HeadU,0))*(Y59*INDEX(LenF,MATCH($Y$7,LenU,0)))^3)),0)+IF(ISNUMBER(Y59),PI()/4*(Y59*INDEX(LenF,MATCH($Y$7,LenU,0)))^2*N(AB59)*INDEX(LenF,MATCH($AB$7,LenU,0))+IF(AC59="",0,IF(AC59="Conical",PI()/12*(Y59*INDEX(LenF,MATCH($Y$7,LenU,0)))^2*(0),INDEX(HeadK,MATCH(AC59,HeadU,0))*(Y59*INDEX(LenF,MATCH($Y$7,LenU,0)))^3)),0),"")</f>
        <v/>
      </c>
      <c r="AE59" s="21" t="str">
        <f aca="false">IF(OR(E59="",E59="Piping"),"",IF(E59="Exchanger",AQ59*AR59+IF(P59="",0,IF(P59="Conical",PI()/12*(SQRT(4*AQ59/PI()))^2*(0),INDEX(HeadK,MATCH(P59,HeadU,0))*(SQRT(4*AQ59/PI()))^3))-IF(AND(ISNUMBER(S59),ISNUMBER(V59)),S59*PI()/4*AP59^2*V59*INDEX(LenF,MATCH($V$7,LenU,0)),0),IF(ISNUMBER(N59),PI()/4*(N59*INDEX(LenF,MATCH($N$7,LenU,0)))^2*N(O59)*INDEX(LenF,MATCH($O$7,LenU,0))+IF(P59="",0,IF(P59="Conical",PI()/12*(N59*INDEX(LenF,MATCH($N$7,LenU,0)))^2*(N(R59)*INDEX(LenF,MATCH($R$7,LenU,0))),INDEX(HeadK,MATCH(P59,HeadU,0))*(N59*INDEX(LenF,MATCH($N$7,LenU,0)))^3))+IF(Q59="",0,IF(Q59="Conical",PI()/12*(N59*INDEX(LenF,MATCH($N$7,LenU,0)))^2*(N(R59)*INDEX(LenF,MATCH($R$7,LenU,0))),INDEX(HeadK,MATCH(Q59,HeadU,0))*(N59*INDEX(LenF,MATCH($N$7,LenU,0)))^3)),0)))</f>
        <v/>
      </c>
      <c r="AF59" s="21" t="str">
        <f aca="false">IF(E59&lt;&gt;"Piping","",IF(AND(ISNUMBER(AS59),ISNUMBER(M59)),PI()/4*(AS59/1000)^2*M59*INDEX(LenF,MATCH($M$7,LenU,0)),0))</f>
        <v/>
      </c>
      <c r="AG59" s="21" t="str">
        <f aca="false">IF(E59="","",N(AD59)+N(AE59)+N(AF59))</f>
        <v/>
      </c>
      <c r="AH59" s="21" t="str">
        <f aca="false">IF(ISNUMBER(I59),I59*INDEX(WtF,MATCH($I$7,WtU,0))/WaterRho,"")</f>
        <v/>
      </c>
      <c r="AI59" s="11"/>
      <c r="AJ59" s="11"/>
      <c r="AK59" s="20"/>
      <c r="AL59" s="11"/>
      <c r="AM59" s="21" t="str">
        <f aca="false">IF(AO59="","",AO59*IF(ISNUMBER(AK59),AK59,DefFills)*(1+IF(ISNUMBER(AL59),AL59,DefAllow)))</f>
        <v/>
      </c>
      <c r="AN59" s="22" t="str">
        <f aca="false">IF(G59="Given volume",IF(ISNUMBER(H59),H59*INDEX(VolF,MATCH($H$7,VolU,0)),""),IF(G59="Water weight",AH59,IF(N(AG59)=0,"",AG59)))</f>
        <v/>
      </c>
      <c r="AO59" s="22" t="str">
        <f aca="false">IF(N(AN59)=0,"",AN59*AT59*IF(ISNUMBER(AJ59),AJ59,DefCirc))</f>
        <v/>
      </c>
      <c r="AP59" s="9" t="n">
        <f aca="false">IF(ISNUMBER(T59),T59*INDEX(LenF,MATCH($T$7,LenU,0)),IF(ISNUMBER(W59),W59*INDEX(LenF,MATCH($W$7,LenU,0))/PitchRatio,0))</f>
        <v>0</v>
      </c>
      <c r="AQ59" s="9" t="n">
        <f aca="false">IF(ISNUMBER(N59),PI()/4*(N59*INDEX(LenF,MATCH($N$7,LenU,0)))^2,IF(AND(ISNUMBER(S59),ISNUMBER(W59),X59&lt;&gt;""),S59*(W59*INDEX(LenF,MATCH($W$7,LenU,0)))^2*INDEX(LayoutF,MATCH(X59,LayoutU,0)),0))</f>
        <v>0</v>
      </c>
      <c r="AR59" s="9" t="n">
        <f aca="false">IF(ISNUMBER(O59),O59*INDEX(LenF,MATCH($O$7,LenU,0)),IF(ISNUMBER(V59),V59*INDEX(LenF,MATCH($V$7,LenU,0)),0))</f>
        <v>0</v>
      </c>
      <c r="AS59" s="9" t="str">
        <f aca="false">IF(ISNUMBER(L59),L59*INDEX(LenF,MATCH($L$7,LenU,0))*1000,IF(OR(J59="",K59=""),"",IFERROR(IF(INDEX(PipeWT,MATCH(J59,NPSU,0),MATCH(K59,SchU,0))="","Sch n/a",INDEX(PipeOD,MATCH(J59,NPSU,0))-2*INDEX(PipeWT,MATCH(J59,NPSU,0),MATCH(K59,SchU,0))),"")))</f>
        <v/>
      </c>
      <c r="AT59" s="9" t="n">
        <f aca="false">IF(ISNUMBER(AI59),AI59,IFERROR(INDEX(IF(JobType="Decontamination",TypeFillDC,TypeFillCC),MATCH(E59,TypeL,0)),1))</f>
        <v>1</v>
      </c>
      <c r="AU59" s="9" t="n">
        <v>2</v>
      </c>
    </row>
    <row r="60" customFormat="false" ht="15" hidden="false" customHeight="false" outlineLevel="0" collapsed="false">
      <c r="A60" s="16" t="n">
        <v>18</v>
      </c>
      <c r="B60" s="20"/>
      <c r="C60" s="5"/>
      <c r="D60" s="5"/>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1" t="str">
        <f aca="false">IF(E60="Exchanger",IF(AND(ISNUMBER(S60),ISNUMBER(U60),ISNUMBER(V60)),S60*PI()/4*(U60*INDEX(LenF,MATCH($U$7,LenU,0)))^2*V60*INDEX(LenF,MATCH($V$7,LenU,0)),0)+IF(ISNUMBER(Y60),PI()/4*(Y60*INDEX(LenF,MATCH($Y$7,LenU,0)))^2*N(Z60)*INDEX(LenF,MATCH($Z$7,LenU,0))+IF(AA60="",0,IF(AA60="Conical",PI()/12*(Y60*INDEX(LenF,MATCH($Y$7,LenU,0)))^2*(0),INDEX(HeadK,MATCH(AA60,HeadU,0))*(Y60*INDEX(LenF,MATCH($Y$7,LenU,0)))^3)),0)+IF(ISNUMBER(Y60),PI()/4*(Y60*INDEX(LenF,MATCH($Y$7,LenU,0)))^2*N(AB60)*INDEX(LenF,MATCH($AB$7,LenU,0))+IF(AC60="",0,IF(AC60="Conical",PI()/12*(Y60*INDEX(LenF,MATCH($Y$7,LenU,0)))^2*(0),INDEX(HeadK,MATCH(AC60,HeadU,0))*(Y60*INDEX(LenF,MATCH($Y$7,LenU,0)))^3)),0),"")</f>
        <v/>
      </c>
      <c r="AE60" s="21" t="str">
        <f aca="false">IF(OR(E60="",E60="Piping"),"",IF(E60="Exchanger",AQ60*AR60+IF(P60="",0,IF(P60="Conical",PI()/12*(SQRT(4*AQ60/PI()))^2*(0),INDEX(HeadK,MATCH(P60,HeadU,0))*(SQRT(4*AQ60/PI()))^3))-IF(AND(ISNUMBER(S60),ISNUMBER(V60)),S60*PI()/4*AP60^2*V60*INDEX(LenF,MATCH($V$7,LenU,0)),0),IF(ISNUMBER(N60),PI()/4*(N60*INDEX(LenF,MATCH($N$7,LenU,0)))^2*N(O60)*INDEX(LenF,MATCH($O$7,LenU,0))+IF(P60="",0,IF(P60="Conical",PI()/12*(N60*INDEX(LenF,MATCH($N$7,LenU,0)))^2*(N(R60)*INDEX(LenF,MATCH($R$7,LenU,0))),INDEX(HeadK,MATCH(P60,HeadU,0))*(N60*INDEX(LenF,MATCH($N$7,LenU,0)))^3))+IF(Q60="",0,IF(Q60="Conical",PI()/12*(N60*INDEX(LenF,MATCH($N$7,LenU,0)))^2*(N(R60)*INDEX(LenF,MATCH($R$7,LenU,0))),INDEX(HeadK,MATCH(Q60,HeadU,0))*(N60*INDEX(LenF,MATCH($N$7,LenU,0)))^3)),0)))</f>
        <v/>
      </c>
      <c r="AF60" s="21" t="str">
        <f aca="false">IF(E60&lt;&gt;"Piping","",IF(AND(ISNUMBER(AS60),ISNUMBER(M60)),PI()/4*(AS60/1000)^2*M60*INDEX(LenF,MATCH($M$7,LenU,0)),0))</f>
        <v/>
      </c>
      <c r="AG60" s="21" t="str">
        <f aca="false">IF(E60="","",N(AD60)+N(AE60)+N(AF60))</f>
        <v/>
      </c>
      <c r="AH60" s="21" t="str">
        <f aca="false">IF(ISNUMBER(I60),I60*INDEX(WtF,MATCH($I$7,WtU,0))/WaterRho,"")</f>
        <v/>
      </c>
      <c r="AI60" s="11"/>
      <c r="AJ60" s="11"/>
      <c r="AK60" s="20"/>
      <c r="AL60" s="11"/>
      <c r="AM60" s="21" t="str">
        <f aca="false">IF(AO60="","",AO60*IF(ISNUMBER(AK60),AK60,DefFills)*(1+IF(ISNUMBER(AL60),AL60,DefAllow)))</f>
        <v/>
      </c>
      <c r="AN60" s="22" t="str">
        <f aca="false">IF(G60="Given volume",IF(ISNUMBER(H60),H60*INDEX(VolF,MATCH($H$7,VolU,0)),""),IF(G60="Water weight",AH60,IF(N(AG60)=0,"",AG60)))</f>
        <v/>
      </c>
      <c r="AO60" s="22" t="str">
        <f aca="false">IF(N(AN60)=0,"",AN60*AT60*IF(ISNUMBER(AJ60),AJ60,DefCirc))</f>
        <v/>
      </c>
      <c r="AP60" s="9" t="n">
        <f aca="false">IF(ISNUMBER(T60),T60*INDEX(LenF,MATCH($T$7,LenU,0)),IF(ISNUMBER(W60),W60*INDEX(LenF,MATCH($W$7,LenU,0))/PitchRatio,0))</f>
        <v>0</v>
      </c>
      <c r="AQ60" s="9" t="n">
        <f aca="false">IF(ISNUMBER(N60),PI()/4*(N60*INDEX(LenF,MATCH($N$7,LenU,0)))^2,IF(AND(ISNUMBER(S60),ISNUMBER(W60),X60&lt;&gt;""),S60*(W60*INDEX(LenF,MATCH($W$7,LenU,0)))^2*INDEX(LayoutF,MATCH(X60,LayoutU,0)),0))</f>
        <v>0</v>
      </c>
      <c r="AR60" s="9" t="n">
        <f aca="false">IF(ISNUMBER(O60),O60*INDEX(LenF,MATCH($O$7,LenU,0)),IF(ISNUMBER(V60),V60*INDEX(LenF,MATCH($V$7,LenU,0)),0))</f>
        <v>0</v>
      </c>
      <c r="AS60" s="9" t="str">
        <f aca="false">IF(ISNUMBER(L60),L60*INDEX(LenF,MATCH($L$7,LenU,0))*1000,IF(OR(J60="",K60=""),"",IFERROR(IF(INDEX(PipeWT,MATCH(J60,NPSU,0),MATCH(K60,SchU,0))="","Sch n/a",INDEX(PipeOD,MATCH(J60,NPSU,0))-2*INDEX(PipeWT,MATCH(J60,NPSU,0),MATCH(K60,SchU,0))),"")))</f>
        <v/>
      </c>
      <c r="AT60" s="9" t="n">
        <f aca="false">IF(ISNUMBER(AI60),AI60,IFERROR(INDEX(IF(JobType="Decontamination",TypeFillDC,TypeFillCC),MATCH(E60,TypeL,0)),1))</f>
        <v>1</v>
      </c>
      <c r="AU60" s="9" t="n">
        <v>2</v>
      </c>
    </row>
    <row r="61" customFormat="false" ht="15" hidden="false" customHeight="false" outlineLevel="0" collapsed="false">
      <c r="A61" s="16" t="n">
        <v>19</v>
      </c>
      <c r="B61" s="20"/>
      <c r="C61" s="5"/>
      <c r="D61" s="5"/>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1" t="str">
        <f aca="false">IF(E61="Exchanger",IF(AND(ISNUMBER(S61),ISNUMBER(U61),ISNUMBER(V61)),S61*PI()/4*(U61*INDEX(LenF,MATCH($U$7,LenU,0)))^2*V61*INDEX(LenF,MATCH($V$7,LenU,0)),0)+IF(ISNUMBER(Y61),PI()/4*(Y61*INDEX(LenF,MATCH($Y$7,LenU,0)))^2*N(Z61)*INDEX(LenF,MATCH($Z$7,LenU,0))+IF(AA61="",0,IF(AA61="Conical",PI()/12*(Y61*INDEX(LenF,MATCH($Y$7,LenU,0)))^2*(0),INDEX(HeadK,MATCH(AA61,HeadU,0))*(Y61*INDEX(LenF,MATCH($Y$7,LenU,0)))^3)),0)+IF(ISNUMBER(Y61),PI()/4*(Y61*INDEX(LenF,MATCH($Y$7,LenU,0)))^2*N(AB61)*INDEX(LenF,MATCH($AB$7,LenU,0))+IF(AC61="",0,IF(AC61="Conical",PI()/12*(Y61*INDEX(LenF,MATCH($Y$7,LenU,0)))^2*(0),INDEX(HeadK,MATCH(AC61,HeadU,0))*(Y61*INDEX(LenF,MATCH($Y$7,LenU,0)))^3)),0),"")</f>
        <v/>
      </c>
      <c r="AE61" s="21" t="str">
        <f aca="false">IF(OR(E61="",E61="Piping"),"",IF(E61="Exchanger",AQ61*AR61+IF(P61="",0,IF(P61="Conical",PI()/12*(SQRT(4*AQ61/PI()))^2*(0),INDEX(HeadK,MATCH(P61,HeadU,0))*(SQRT(4*AQ61/PI()))^3))-IF(AND(ISNUMBER(S61),ISNUMBER(V61)),S61*PI()/4*AP61^2*V61*INDEX(LenF,MATCH($V$7,LenU,0)),0),IF(ISNUMBER(N61),PI()/4*(N61*INDEX(LenF,MATCH($N$7,LenU,0)))^2*N(O61)*INDEX(LenF,MATCH($O$7,LenU,0))+IF(P61="",0,IF(P61="Conical",PI()/12*(N61*INDEX(LenF,MATCH($N$7,LenU,0)))^2*(N(R61)*INDEX(LenF,MATCH($R$7,LenU,0))),INDEX(HeadK,MATCH(P61,HeadU,0))*(N61*INDEX(LenF,MATCH($N$7,LenU,0)))^3))+IF(Q61="",0,IF(Q61="Conical",PI()/12*(N61*INDEX(LenF,MATCH($N$7,LenU,0)))^2*(N(R61)*INDEX(LenF,MATCH($R$7,LenU,0))),INDEX(HeadK,MATCH(Q61,HeadU,0))*(N61*INDEX(LenF,MATCH($N$7,LenU,0)))^3)),0)))</f>
        <v/>
      </c>
      <c r="AF61" s="21" t="str">
        <f aca="false">IF(E61&lt;&gt;"Piping","",IF(AND(ISNUMBER(AS61),ISNUMBER(M61)),PI()/4*(AS61/1000)^2*M61*INDEX(LenF,MATCH($M$7,LenU,0)),0))</f>
        <v/>
      </c>
      <c r="AG61" s="21" t="str">
        <f aca="false">IF(E61="","",N(AD61)+N(AE61)+N(AF61))</f>
        <v/>
      </c>
      <c r="AH61" s="21" t="str">
        <f aca="false">IF(ISNUMBER(I61),I61*INDEX(WtF,MATCH($I$7,WtU,0))/WaterRho,"")</f>
        <v/>
      </c>
      <c r="AI61" s="11"/>
      <c r="AJ61" s="11"/>
      <c r="AK61" s="20"/>
      <c r="AL61" s="11"/>
      <c r="AM61" s="21" t="str">
        <f aca="false">IF(AO61="","",AO61*IF(ISNUMBER(AK61),AK61,DefFills)*(1+IF(ISNUMBER(AL61),AL61,DefAllow)))</f>
        <v/>
      </c>
      <c r="AN61" s="22" t="str">
        <f aca="false">IF(G61="Given volume",IF(ISNUMBER(H61),H61*INDEX(VolF,MATCH($H$7,VolU,0)),""),IF(G61="Water weight",AH61,IF(N(AG61)=0,"",AG61)))</f>
        <v/>
      </c>
      <c r="AO61" s="22" t="str">
        <f aca="false">IF(N(AN61)=0,"",AN61*AT61*IF(ISNUMBER(AJ61),AJ61,DefCirc))</f>
        <v/>
      </c>
      <c r="AP61" s="9" t="n">
        <f aca="false">IF(ISNUMBER(T61),T61*INDEX(LenF,MATCH($T$7,LenU,0)),IF(ISNUMBER(W61),W61*INDEX(LenF,MATCH($W$7,LenU,0))/PitchRatio,0))</f>
        <v>0</v>
      </c>
      <c r="AQ61" s="9" t="n">
        <f aca="false">IF(ISNUMBER(N61),PI()/4*(N61*INDEX(LenF,MATCH($N$7,LenU,0)))^2,IF(AND(ISNUMBER(S61),ISNUMBER(W61),X61&lt;&gt;""),S61*(W61*INDEX(LenF,MATCH($W$7,LenU,0)))^2*INDEX(LayoutF,MATCH(X61,LayoutU,0)),0))</f>
        <v>0</v>
      </c>
      <c r="AR61" s="9" t="n">
        <f aca="false">IF(ISNUMBER(O61),O61*INDEX(LenF,MATCH($O$7,LenU,0)),IF(ISNUMBER(V61),V61*INDEX(LenF,MATCH($V$7,LenU,0)),0))</f>
        <v>0</v>
      </c>
      <c r="AS61" s="9" t="str">
        <f aca="false">IF(ISNUMBER(L61),L61*INDEX(LenF,MATCH($L$7,LenU,0))*1000,IF(OR(J61="",K61=""),"",IFERROR(IF(INDEX(PipeWT,MATCH(J61,NPSU,0),MATCH(K61,SchU,0))="","Sch n/a",INDEX(PipeOD,MATCH(J61,NPSU,0))-2*INDEX(PipeWT,MATCH(J61,NPSU,0),MATCH(K61,SchU,0))),"")))</f>
        <v/>
      </c>
      <c r="AT61" s="9" t="n">
        <f aca="false">IF(ISNUMBER(AI61),AI61,IFERROR(INDEX(IF(JobType="Decontamination",TypeFillDC,TypeFillCC),MATCH(E61,TypeL,0)),1))</f>
        <v>1</v>
      </c>
      <c r="AU61" s="9" t="n">
        <v>2</v>
      </c>
    </row>
    <row r="62" customFormat="false" ht="15" hidden="false" customHeight="false" outlineLevel="0" collapsed="false">
      <c r="A62" s="16" t="n">
        <v>20</v>
      </c>
      <c r="B62" s="20"/>
      <c r="C62" s="5"/>
      <c r="D62" s="5"/>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1" t="str">
        <f aca="false">IF(E62="Exchanger",IF(AND(ISNUMBER(S62),ISNUMBER(U62),ISNUMBER(V62)),S62*PI()/4*(U62*INDEX(LenF,MATCH($U$7,LenU,0)))^2*V62*INDEX(LenF,MATCH($V$7,LenU,0)),0)+IF(ISNUMBER(Y62),PI()/4*(Y62*INDEX(LenF,MATCH($Y$7,LenU,0)))^2*N(Z62)*INDEX(LenF,MATCH($Z$7,LenU,0))+IF(AA62="",0,IF(AA62="Conical",PI()/12*(Y62*INDEX(LenF,MATCH($Y$7,LenU,0)))^2*(0),INDEX(HeadK,MATCH(AA62,HeadU,0))*(Y62*INDEX(LenF,MATCH($Y$7,LenU,0)))^3)),0)+IF(ISNUMBER(Y62),PI()/4*(Y62*INDEX(LenF,MATCH($Y$7,LenU,0)))^2*N(AB62)*INDEX(LenF,MATCH($AB$7,LenU,0))+IF(AC62="",0,IF(AC62="Conical",PI()/12*(Y62*INDEX(LenF,MATCH($Y$7,LenU,0)))^2*(0),INDEX(HeadK,MATCH(AC62,HeadU,0))*(Y62*INDEX(LenF,MATCH($Y$7,LenU,0)))^3)),0),"")</f>
        <v/>
      </c>
      <c r="AE62" s="21" t="str">
        <f aca="false">IF(OR(E62="",E62="Piping"),"",IF(E62="Exchanger",AQ62*AR62+IF(P62="",0,IF(P62="Conical",PI()/12*(SQRT(4*AQ62/PI()))^2*(0),INDEX(HeadK,MATCH(P62,HeadU,0))*(SQRT(4*AQ62/PI()))^3))-IF(AND(ISNUMBER(S62),ISNUMBER(V62)),S62*PI()/4*AP62^2*V62*INDEX(LenF,MATCH($V$7,LenU,0)),0),IF(ISNUMBER(N62),PI()/4*(N62*INDEX(LenF,MATCH($N$7,LenU,0)))^2*N(O62)*INDEX(LenF,MATCH($O$7,LenU,0))+IF(P62="",0,IF(P62="Conical",PI()/12*(N62*INDEX(LenF,MATCH($N$7,LenU,0)))^2*(N(R62)*INDEX(LenF,MATCH($R$7,LenU,0))),INDEX(HeadK,MATCH(P62,HeadU,0))*(N62*INDEX(LenF,MATCH($N$7,LenU,0)))^3))+IF(Q62="",0,IF(Q62="Conical",PI()/12*(N62*INDEX(LenF,MATCH($N$7,LenU,0)))^2*(N(R62)*INDEX(LenF,MATCH($R$7,LenU,0))),INDEX(HeadK,MATCH(Q62,HeadU,0))*(N62*INDEX(LenF,MATCH($N$7,LenU,0)))^3)),0)))</f>
        <v/>
      </c>
      <c r="AF62" s="21" t="str">
        <f aca="false">IF(E62&lt;&gt;"Piping","",IF(AND(ISNUMBER(AS62),ISNUMBER(M62)),PI()/4*(AS62/1000)^2*M62*INDEX(LenF,MATCH($M$7,LenU,0)),0))</f>
        <v/>
      </c>
      <c r="AG62" s="21" t="str">
        <f aca="false">IF(E62="","",N(AD62)+N(AE62)+N(AF62))</f>
        <v/>
      </c>
      <c r="AH62" s="21" t="str">
        <f aca="false">IF(ISNUMBER(I62),I62*INDEX(WtF,MATCH($I$7,WtU,0))/WaterRho,"")</f>
        <v/>
      </c>
      <c r="AI62" s="11"/>
      <c r="AJ62" s="11"/>
      <c r="AK62" s="20"/>
      <c r="AL62" s="11"/>
      <c r="AM62" s="21" t="str">
        <f aca="false">IF(AO62="","",AO62*IF(ISNUMBER(AK62),AK62,DefFills)*(1+IF(ISNUMBER(AL62),AL62,DefAllow)))</f>
        <v/>
      </c>
      <c r="AN62" s="22" t="str">
        <f aca="false">IF(G62="Given volume",IF(ISNUMBER(H62),H62*INDEX(VolF,MATCH($H$7,VolU,0)),""),IF(G62="Water weight",AH62,IF(N(AG62)=0,"",AG62)))</f>
        <v/>
      </c>
      <c r="AO62" s="22" t="str">
        <f aca="false">IF(N(AN62)=0,"",AN62*AT62*IF(ISNUMBER(AJ62),AJ62,DefCirc))</f>
        <v/>
      </c>
      <c r="AP62" s="9" t="n">
        <f aca="false">IF(ISNUMBER(T62),T62*INDEX(LenF,MATCH($T$7,LenU,0)),IF(ISNUMBER(W62),W62*INDEX(LenF,MATCH($W$7,LenU,0))/PitchRatio,0))</f>
        <v>0</v>
      </c>
      <c r="AQ62" s="9" t="n">
        <f aca="false">IF(ISNUMBER(N62),PI()/4*(N62*INDEX(LenF,MATCH($N$7,LenU,0)))^2,IF(AND(ISNUMBER(S62),ISNUMBER(W62),X62&lt;&gt;""),S62*(W62*INDEX(LenF,MATCH($W$7,LenU,0)))^2*INDEX(LayoutF,MATCH(X62,LayoutU,0)),0))</f>
        <v>0</v>
      </c>
      <c r="AR62" s="9" t="n">
        <f aca="false">IF(ISNUMBER(O62),O62*INDEX(LenF,MATCH($O$7,LenU,0)),IF(ISNUMBER(V62),V62*INDEX(LenF,MATCH($V$7,LenU,0)),0))</f>
        <v>0</v>
      </c>
      <c r="AS62" s="9" t="str">
        <f aca="false">IF(ISNUMBER(L62),L62*INDEX(LenF,MATCH($L$7,LenU,0))*1000,IF(OR(J62="",K62=""),"",IFERROR(IF(INDEX(PipeWT,MATCH(J62,NPSU,0),MATCH(K62,SchU,0))="","Sch n/a",INDEX(PipeOD,MATCH(J62,NPSU,0))-2*INDEX(PipeWT,MATCH(J62,NPSU,0),MATCH(K62,SchU,0))),"")))</f>
        <v/>
      </c>
      <c r="AT62" s="9" t="n">
        <f aca="false">IF(ISNUMBER(AI62),AI62,IFERROR(INDEX(IF(JobType="Decontamination",TypeFillDC,TypeFillCC),MATCH(E62,TypeL,0)),1))</f>
        <v>1</v>
      </c>
      <c r="AU62" s="9" t="n">
        <v>2</v>
      </c>
    </row>
    <row r="63" customFormat="false" ht="15" hidden="false" customHeight="false" outlineLevel="0" collapsed="false">
      <c r="A63" s="16" t="n">
        <v>21</v>
      </c>
      <c r="B63" s="20"/>
      <c r="C63" s="5"/>
      <c r="D63" s="5"/>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1" t="str">
        <f aca="false">IF(E63="Exchanger",IF(AND(ISNUMBER(S63),ISNUMBER(U63),ISNUMBER(V63)),S63*PI()/4*(U63*INDEX(LenF,MATCH($U$7,LenU,0)))^2*V63*INDEX(LenF,MATCH($V$7,LenU,0)),0)+IF(ISNUMBER(Y63),PI()/4*(Y63*INDEX(LenF,MATCH($Y$7,LenU,0)))^2*N(Z63)*INDEX(LenF,MATCH($Z$7,LenU,0))+IF(AA63="",0,IF(AA63="Conical",PI()/12*(Y63*INDEX(LenF,MATCH($Y$7,LenU,0)))^2*(0),INDEX(HeadK,MATCH(AA63,HeadU,0))*(Y63*INDEX(LenF,MATCH($Y$7,LenU,0)))^3)),0)+IF(ISNUMBER(Y63),PI()/4*(Y63*INDEX(LenF,MATCH($Y$7,LenU,0)))^2*N(AB63)*INDEX(LenF,MATCH($AB$7,LenU,0))+IF(AC63="",0,IF(AC63="Conical",PI()/12*(Y63*INDEX(LenF,MATCH($Y$7,LenU,0)))^2*(0),INDEX(HeadK,MATCH(AC63,HeadU,0))*(Y63*INDEX(LenF,MATCH($Y$7,LenU,0)))^3)),0),"")</f>
        <v/>
      </c>
      <c r="AE63" s="21" t="str">
        <f aca="false">IF(OR(E63="",E63="Piping"),"",IF(E63="Exchanger",AQ63*AR63+IF(P63="",0,IF(P63="Conical",PI()/12*(SQRT(4*AQ63/PI()))^2*(0),INDEX(HeadK,MATCH(P63,HeadU,0))*(SQRT(4*AQ63/PI()))^3))-IF(AND(ISNUMBER(S63),ISNUMBER(V63)),S63*PI()/4*AP63^2*V63*INDEX(LenF,MATCH($V$7,LenU,0)),0),IF(ISNUMBER(N63),PI()/4*(N63*INDEX(LenF,MATCH($N$7,LenU,0)))^2*N(O63)*INDEX(LenF,MATCH($O$7,LenU,0))+IF(P63="",0,IF(P63="Conical",PI()/12*(N63*INDEX(LenF,MATCH($N$7,LenU,0)))^2*(N(R63)*INDEX(LenF,MATCH($R$7,LenU,0))),INDEX(HeadK,MATCH(P63,HeadU,0))*(N63*INDEX(LenF,MATCH($N$7,LenU,0)))^3))+IF(Q63="",0,IF(Q63="Conical",PI()/12*(N63*INDEX(LenF,MATCH($N$7,LenU,0)))^2*(N(R63)*INDEX(LenF,MATCH($R$7,LenU,0))),INDEX(HeadK,MATCH(Q63,HeadU,0))*(N63*INDEX(LenF,MATCH($N$7,LenU,0)))^3)),0)))</f>
        <v/>
      </c>
      <c r="AF63" s="21" t="str">
        <f aca="false">IF(E63&lt;&gt;"Piping","",IF(AND(ISNUMBER(AS63),ISNUMBER(M63)),PI()/4*(AS63/1000)^2*M63*INDEX(LenF,MATCH($M$7,LenU,0)),0))</f>
        <v/>
      </c>
      <c r="AG63" s="21" t="str">
        <f aca="false">IF(E63="","",N(AD63)+N(AE63)+N(AF63))</f>
        <v/>
      </c>
      <c r="AH63" s="21" t="str">
        <f aca="false">IF(ISNUMBER(I63),I63*INDEX(WtF,MATCH($I$7,WtU,0))/WaterRho,"")</f>
        <v/>
      </c>
      <c r="AI63" s="11"/>
      <c r="AJ63" s="11"/>
      <c r="AK63" s="20"/>
      <c r="AL63" s="11"/>
      <c r="AM63" s="21" t="str">
        <f aca="false">IF(AO63="","",AO63*IF(ISNUMBER(AK63),AK63,DefFills)*(1+IF(ISNUMBER(AL63),AL63,DefAllow)))</f>
        <v/>
      </c>
      <c r="AN63" s="22" t="str">
        <f aca="false">IF(G63="Given volume",IF(ISNUMBER(H63),H63*INDEX(VolF,MATCH($H$7,VolU,0)),""),IF(G63="Water weight",AH63,IF(N(AG63)=0,"",AG63)))</f>
        <v/>
      </c>
      <c r="AO63" s="22" t="str">
        <f aca="false">IF(N(AN63)=0,"",AN63*AT63*IF(ISNUMBER(AJ63),AJ63,DefCirc))</f>
        <v/>
      </c>
      <c r="AP63" s="9" t="n">
        <f aca="false">IF(ISNUMBER(T63),T63*INDEX(LenF,MATCH($T$7,LenU,0)),IF(ISNUMBER(W63),W63*INDEX(LenF,MATCH($W$7,LenU,0))/PitchRatio,0))</f>
        <v>0</v>
      </c>
      <c r="AQ63" s="9" t="n">
        <f aca="false">IF(ISNUMBER(N63),PI()/4*(N63*INDEX(LenF,MATCH($N$7,LenU,0)))^2,IF(AND(ISNUMBER(S63),ISNUMBER(W63),X63&lt;&gt;""),S63*(W63*INDEX(LenF,MATCH($W$7,LenU,0)))^2*INDEX(LayoutF,MATCH(X63,LayoutU,0)),0))</f>
        <v>0</v>
      </c>
      <c r="AR63" s="9" t="n">
        <f aca="false">IF(ISNUMBER(O63),O63*INDEX(LenF,MATCH($O$7,LenU,0)),IF(ISNUMBER(V63),V63*INDEX(LenF,MATCH($V$7,LenU,0)),0))</f>
        <v>0</v>
      </c>
      <c r="AS63" s="9" t="str">
        <f aca="false">IF(ISNUMBER(L63),L63*INDEX(LenF,MATCH($L$7,LenU,0))*1000,IF(OR(J63="",K63=""),"",IFERROR(IF(INDEX(PipeWT,MATCH(J63,NPSU,0),MATCH(K63,SchU,0))="","Sch n/a",INDEX(PipeOD,MATCH(J63,NPSU,0))-2*INDEX(PipeWT,MATCH(J63,NPSU,0),MATCH(K63,SchU,0))),"")))</f>
        <v/>
      </c>
      <c r="AT63" s="9" t="n">
        <f aca="false">IF(ISNUMBER(AI63),AI63,IFERROR(INDEX(IF(JobType="Decontamination",TypeFillDC,TypeFillCC),MATCH(E63,TypeL,0)),1))</f>
        <v>1</v>
      </c>
      <c r="AU63" s="9" t="n">
        <v>2</v>
      </c>
    </row>
    <row r="64" customFormat="false" ht="15" hidden="false" customHeight="false" outlineLevel="0" collapsed="false">
      <c r="A64" s="16" t="n">
        <v>22</v>
      </c>
      <c r="B64" s="20"/>
      <c r="C64" s="5"/>
      <c r="D64" s="5"/>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1" t="str">
        <f aca="false">IF(E64="Exchanger",IF(AND(ISNUMBER(S64),ISNUMBER(U64),ISNUMBER(V64)),S64*PI()/4*(U64*INDEX(LenF,MATCH($U$7,LenU,0)))^2*V64*INDEX(LenF,MATCH($V$7,LenU,0)),0)+IF(ISNUMBER(Y64),PI()/4*(Y64*INDEX(LenF,MATCH($Y$7,LenU,0)))^2*N(Z64)*INDEX(LenF,MATCH($Z$7,LenU,0))+IF(AA64="",0,IF(AA64="Conical",PI()/12*(Y64*INDEX(LenF,MATCH($Y$7,LenU,0)))^2*(0),INDEX(HeadK,MATCH(AA64,HeadU,0))*(Y64*INDEX(LenF,MATCH($Y$7,LenU,0)))^3)),0)+IF(ISNUMBER(Y64),PI()/4*(Y64*INDEX(LenF,MATCH($Y$7,LenU,0)))^2*N(AB64)*INDEX(LenF,MATCH($AB$7,LenU,0))+IF(AC64="",0,IF(AC64="Conical",PI()/12*(Y64*INDEX(LenF,MATCH($Y$7,LenU,0)))^2*(0),INDEX(HeadK,MATCH(AC64,HeadU,0))*(Y64*INDEX(LenF,MATCH($Y$7,LenU,0)))^3)),0),"")</f>
        <v/>
      </c>
      <c r="AE64" s="21" t="str">
        <f aca="false">IF(OR(E64="",E64="Piping"),"",IF(E64="Exchanger",AQ64*AR64+IF(P64="",0,IF(P64="Conical",PI()/12*(SQRT(4*AQ64/PI()))^2*(0),INDEX(HeadK,MATCH(P64,HeadU,0))*(SQRT(4*AQ64/PI()))^3))-IF(AND(ISNUMBER(S64),ISNUMBER(V64)),S64*PI()/4*AP64^2*V64*INDEX(LenF,MATCH($V$7,LenU,0)),0),IF(ISNUMBER(N64),PI()/4*(N64*INDEX(LenF,MATCH($N$7,LenU,0)))^2*N(O64)*INDEX(LenF,MATCH($O$7,LenU,0))+IF(P64="",0,IF(P64="Conical",PI()/12*(N64*INDEX(LenF,MATCH($N$7,LenU,0)))^2*(N(R64)*INDEX(LenF,MATCH($R$7,LenU,0))),INDEX(HeadK,MATCH(P64,HeadU,0))*(N64*INDEX(LenF,MATCH($N$7,LenU,0)))^3))+IF(Q64="",0,IF(Q64="Conical",PI()/12*(N64*INDEX(LenF,MATCH($N$7,LenU,0)))^2*(N(R64)*INDEX(LenF,MATCH($R$7,LenU,0))),INDEX(HeadK,MATCH(Q64,HeadU,0))*(N64*INDEX(LenF,MATCH($N$7,LenU,0)))^3)),0)))</f>
        <v/>
      </c>
      <c r="AF64" s="21" t="str">
        <f aca="false">IF(E64&lt;&gt;"Piping","",IF(AND(ISNUMBER(AS64),ISNUMBER(M64)),PI()/4*(AS64/1000)^2*M64*INDEX(LenF,MATCH($M$7,LenU,0)),0))</f>
        <v/>
      </c>
      <c r="AG64" s="21" t="str">
        <f aca="false">IF(E64="","",N(AD64)+N(AE64)+N(AF64))</f>
        <v/>
      </c>
      <c r="AH64" s="21" t="str">
        <f aca="false">IF(ISNUMBER(I64),I64*INDEX(WtF,MATCH($I$7,WtU,0))/WaterRho,"")</f>
        <v/>
      </c>
      <c r="AI64" s="11"/>
      <c r="AJ64" s="11"/>
      <c r="AK64" s="20"/>
      <c r="AL64" s="11"/>
      <c r="AM64" s="21" t="str">
        <f aca="false">IF(AO64="","",AO64*IF(ISNUMBER(AK64),AK64,DefFills)*(1+IF(ISNUMBER(AL64),AL64,DefAllow)))</f>
        <v/>
      </c>
      <c r="AN64" s="22" t="str">
        <f aca="false">IF(G64="Given volume",IF(ISNUMBER(H64),H64*INDEX(VolF,MATCH($H$7,VolU,0)),""),IF(G64="Water weight",AH64,IF(N(AG64)=0,"",AG64)))</f>
        <v/>
      </c>
      <c r="AO64" s="22" t="str">
        <f aca="false">IF(N(AN64)=0,"",AN64*AT64*IF(ISNUMBER(AJ64),AJ64,DefCirc))</f>
        <v/>
      </c>
      <c r="AP64" s="9" t="n">
        <f aca="false">IF(ISNUMBER(T64),T64*INDEX(LenF,MATCH($T$7,LenU,0)),IF(ISNUMBER(W64),W64*INDEX(LenF,MATCH($W$7,LenU,0))/PitchRatio,0))</f>
        <v>0</v>
      </c>
      <c r="AQ64" s="9" t="n">
        <f aca="false">IF(ISNUMBER(N64),PI()/4*(N64*INDEX(LenF,MATCH($N$7,LenU,0)))^2,IF(AND(ISNUMBER(S64),ISNUMBER(W64),X64&lt;&gt;""),S64*(W64*INDEX(LenF,MATCH($W$7,LenU,0)))^2*INDEX(LayoutF,MATCH(X64,LayoutU,0)),0))</f>
        <v>0</v>
      </c>
      <c r="AR64" s="9" t="n">
        <f aca="false">IF(ISNUMBER(O64),O64*INDEX(LenF,MATCH($O$7,LenU,0)),IF(ISNUMBER(V64),V64*INDEX(LenF,MATCH($V$7,LenU,0)),0))</f>
        <v>0</v>
      </c>
      <c r="AS64" s="9" t="str">
        <f aca="false">IF(ISNUMBER(L64),L64*INDEX(LenF,MATCH($L$7,LenU,0))*1000,IF(OR(J64="",K64=""),"",IFERROR(IF(INDEX(PipeWT,MATCH(J64,NPSU,0),MATCH(K64,SchU,0))="","Sch n/a",INDEX(PipeOD,MATCH(J64,NPSU,0))-2*INDEX(PipeWT,MATCH(J64,NPSU,0),MATCH(K64,SchU,0))),"")))</f>
        <v/>
      </c>
      <c r="AT64" s="9" t="n">
        <f aca="false">IF(ISNUMBER(AI64),AI64,IFERROR(INDEX(IF(JobType="Decontamination",TypeFillDC,TypeFillCC),MATCH(E64,TypeL,0)),1))</f>
        <v>1</v>
      </c>
      <c r="AU64" s="9" t="n">
        <v>2</v>
      </c>
    </row>
    <row r="65" customFormat="false" ht="15" hidden="false" customHeight="false" outlineLevel="0" collapsed="false">
      <c r="A65" s="16" t="n">
        <v>23</v>
      </c>
      <c r="B65" s="20"/>
      <c r="C65" s="5"/>
      <c r="D65" s="5"/>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1" t="str">
        <f aca="false">IF(E65="Exchanger",IF(AND(ISNUMBER(S65),ISNUMBER(U65),ISNUMBER(V65)),S65*PI()/4*(U65*INDEX(LenF,MATCH($U$7,LenU,0)))^2*V65*INDEX(LenF,MATCH($V$7,LenU,0)),0)+IF(ISNUMBER(Y65),PI()/4*(Y65*INDEX(LenF,MATCH($Y$7,LenU,0)))^2*N(Z65)*INDEX(LenF,MATCH($Z$7,LenU,0))+IF(AA65="",0,IF(AA65="Conical",PI()/12*(Y65*INDEX(LenF,MATCH($Y$7,LenU,0)))^2*(0),INDEX(HeadK,MATCH(AA65,HeadU,0))*(Y65*INDEX(LenF,MATCH($Y$7,LenU,0)))^3)),0)+IF(ISNUMBER(Y65),PI()/4*(Y65*INDEX(LenF,MATCH($Y$7,LenU,0)))^2*N(AB65)*INDEX(LenF,MATCH($AB$7,LenU,0))+IF(AC65="",0,IF(AC65="Conical",PI()/12*(Y65*INDEX(LenF,MATCH($Y$7,LenU,0)))^2*(0),INDEX(HeadK,MATCH(AC65,HeadU,0))*(Y65*INDEX(LenF,MATCH($Y$7,LenU,0)))^3)),0),"")</f>
        <v/>
      </c>
      <c r="AE65" s="21" t="str">
        <f aca="false">IF(OR(E65="",E65="Piping"),"",IF(E65="Exchanger",AQ65*AR65+IF(P65="",0,IF(P65="Conical",PI()/12*(SQRT(4*AQ65/PI()))^2*(0),INDEX(HeadK,MATCH(P65,HeadU,0))*(SQRT(4*AQ65/PI()))^3))-IF(AND(ISNUMBER(S65),ISNUMBER(V65)),S65*PI()/4*AP65^2*V65*INDEX(LenF,MATCH($V$7,LenU,0)),0),IF(ISNUMBER(N65),PI()/4*(N65*INDEX(LenF,MATCH($N$7,LenU,0)))^2*N(O65)*INDEX(LenF,MATCH($O$7,LenU,0))+IF(P65="",0,IF(P65="Conical",PI()/12*(N65*INDEX(LenF,MATCH($N$7,LenU,0)))^2*(N(R65)*INDEX(LenF,MATCH($R$7,LenU,0))),INDEX(HeadK,MATCH(P65,HeadU,0))*(N65*INDEX(LenF,MATCH($N$7,LenU,0)))^3))+IF(Q65="",0,IF(Q65="Conical",PI()/12*(N65*INDEX(LenF,MATCH($N$7,LenU,0)))^2*(N(R65)*INDEX(LenF,MATCH($R$7,LenU,0))),INDEX(HeadK,MATCH(Q65,HeadU,0))*(N65*INDEX(LenF,MATCH($N$7,LenU,0)))^3)),0)))</f>
        <v/>
      </c>
      <c r="AF65" s="21" t="str">
        <f aca="false">IF(E65&lt;&gt;"Piping","",IF(AND(ISNUMBER(AS65),ISNUMBER(M65)),PI()/4*(AS65/1000)^2*M65*INDEX(LenF,MATCH($M$7,LenU,0)),0))</f>
        <v/>
      </c>
      <c r="AG65" s="21" t="str">
        <f aca="false">IF(E65="","",N(AD65)+N(AE65)+N(AF65))</f>
        <v/>
      </c>
      <c r="AH65" s="21" t="str">
        <f aca="false">IF(ISNUMBER(I65),I65*INDEX(WtF,MATCH($I$7,WtU,0))/WaterRho,"")</f>
        <v/>
      </c>
      <c r="AI65" s="11"/>
      <c r="AJ65" s="11"/>
      <c r="AK65" s="20"/>
      <c r="AL65" s="11"/>
      <c r="AM65" s="21" t="str">
        <f aca="false">IF(AO65="","",AO65*IF(ISNUMBER(AK65),AK65,DefFills)*(1+IF(ISNUMBER(AL65),AL65,DefAllow)))</f>
        <v/>
      </c>
      <c r="AN65" s="22" t="str">
        <f aca="false">IF(G65="Given volume",IF(ISNUMBER(H65),H65*INDEX(VolF,MATCH($H$7,VolU,0)),""),IF(G65="Water weight",AH65,IF(N(AG65)=0,"",AG65)))</f>
        <v/>
      </c>
      <c r="AO65" s="22" t="str">
        <f aca="false">IF(N(AN65)=0,"",AN65*AT65*IF(ISNUMBER(AJ65),AJ65,DefCirc))</f>
        <v/>
      </c>
      <c r="AP65" s="9" t="n">
        <f aca="false">IF(ISNUMBER(T65),T65*INDEX(LenF,MATCH($T$7,LenU,0)),IF(ISNUMBER(W65),W65*INDEX(LenF,MATCH($W$7,LenU,0))/PitchRatio,0))</f>
        <v>0</v>
      </c>
      <c r="AQ65" s="9" t="n">
        <f aca="false">IF(ISNUMBER(N65),PI()/4*(N65*INDEX(LenF,MATCH($N$7,LenU,0)))^2,IF(AND(ISNUMBER(S65),ISNUMBER(W65),X65&lt;&gt;""),S65*(W65*INDEX(LenF,MATCH($W$7,LenU,0)))^2*INDEX(LayoutF,MATCH(X65,LayoutU,0)),0))</f>
        <v>0</v>
      </c>
      <c r="AR65" s="9" t="n">
        <f aca="false">IF(ISNUMBER(O65),O65*INDEX(LenF,MATCH($O$7,LenU,0)),IF(ISNUMBER(V65),V65*INDEX(LenF,MATCH($V$7,LenU,0)),0))</f>
        <v>0</v>
      </c>
      <c r="AS65" s="9" t="str">
        <f aca="false">IF(ISNUMBER(L65),L65*INDEX(LenF,MATCH($L$7,LenU,0))*1000,IF(OR(J65="",K65=""),"",IFERROR(IF(INDEX(PipeWT,MATCH(J65,NPSU,0),MATCH(K65,SchU,0))="","Sch n/a",INDEX(PipeOD,MATCH(J65,NPSU,0))-2*INDEX(PipeWT,MATCH(J65,NPSU,0),MATCH(K65,SchU,0))),"")))</f>
        <v/>
      </c>
      <c r="AT65" s="9" t="n">
        <f aca="false">IF(ISNUMBER(AI65),AI65,IFERROR(INDEX(IF(JobType="Decontamination",TypeFillDC,TypeFillCC),MATCH(E65,TypeL,0)),1))</f>
        <v>1</v>
      </c>
      <c r="AU65" s="9" t="n">
        <v>2</v>
      </c>
    </row>
    <row r="66" customFormat="false" ht="15" hidden="false" customHeight="false" outlineLevel="0" collapsed="false">
      <c r="A66" s="16" t="n">
        <v>24</v>
      </c>
      <c r="B66" s="20"/>
      <c r="C66" s="5"/>
      <c r="D66" s="5"/>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1" t="str">
        <f aca="false">IF(E66="Exchanger",IF(AND(ISNUMBER(S66),ISNUMBER(U66),ISNUMBER(V66)),S66*PI()/4*(U66*INDEX(LenF,MATCH($U$7,LenU,0)))^2*V66*INDEX(LenF,MATCH($V$7,LenU,0)),0)+IF(ISNUMBER(Y66),PI()/4*(Y66*INDEX(LenF,MATCH($Y$7,LenU,0)))^2*N(Z66)*INDEX(LenF,MATCH($Z$7,LenU,0))+IF(AA66="",0,IF(AA66="Conical",PI()/12*(Y66*INDEX(LenF,MATCH($Y$7,LenU,0)))^2*(0),INDEX(HeadK,MATCH(AA66,HeadU,0))*(Y66*INDEX(LenF,MATCH($Y$7,LenU,0)))^3)),0)+IF(ISNUMBER(Y66),PI()/4*(Y66*INDEX(LenF,MATCH($Y$7,LenU,0)))^2*N(AB66)*INDEX(LenF,MATCH($AB$7,LenU,0))+IF(AC66="",0,IF(AC66="Conical",PI()/12*(Y66*INDEX(LenF,MATCH($Y$7,LenU,0)))^2*(0),INDEX(HeadK,MATCH(AC66,HeadU,0))*(Y66*INDEX(LenF,MATCH($Y$7,LenU,0)))^3)),0),"")</f>
        <v/>
      </c>
      <c r="AE66" s="21" t="str">
        <f aca="false">IF(OR(E66="",E66="Piping"),"",IF(E66="Exchanger",AQ66*AR66+IF(P66="",0,IF(P66="Conical",PI()/12*(SQRT(4*AQ66/PI()))^2*(0),INDEX(HeadK,MATCH(P66,HeadU,0))*(SQRT(4*AQ66/PI()))^3))-IF(AND(ISNUMBER(S66),ISNUMBER(V66)),S66*PI()/4*AP66^2*V66*INDEX(LenF,MATCH($V$7,LenU,0)),0),IF(ISNUMBER(N66),PI()/4*(N66*INDEX(LenF,MATCH($N$7,LenU,0)))^2*N(O66)*INDEX(LenF,MATCH($O$7,LenU,0))+IF(P66="",0,IF(P66="Conical",PI()/12*(N66*INDEX(LenF,MATCH($N$7,LenU,0)))^2*(N(R66)*INDEX(LenF,MATCH($R$7,LenU,0))),INDEX(HeadK,MATCH(P66,HeadU,0))*(N66*INDEX(LenF,MATCH($N$7,LenU,0)))^3))+IF(Q66="",0,IF(Q66="Conical",PI()/12*(N66*INDEX(LenF,MATCH($N$7,LenU,0)))^2*(N(R66)*INDEX(LenF,MATCH($R$7,LenU,0))),INDEX(HeadK,MATCH(Q66,HeadU,0))*(N66*INDEX(LenF,MATCH($N$7,LenU,0)))^3)),0)))</f>
        <v/>
      </c>
      <c r="AF66" s="21" t="str">
        <f aca="false">IF(E66&lt;&gt;"Piping","",IF(AND(ISNUMBER(AS66),ISNUMBER(M66)),PI()/4*(AS66/1000)^2*M66*INDEX(LenF,MATCH($M$7,LenU,0)),0))</f>
        <v/>
      </c>
      <c r="AG66" s="21" t="str">
        <f aca="false">IF(E66="","",N(AD66)+N(AE66)+N(AF66))</f>
        <v/>
      </c>
      <c r="AH66" s="21" t="str">
        <f aca="false">IF(ISNUMBER(I66),I66*INDEX(WtF,MATCH($I$7,WtU,0))/WaterRho,"")</f>
        <v/>
      </c>
      <c r="AI66" s="11"/>
      <c r="AJ66" s="11"/>
      <c r="AK66" s="20"/>
      <c r="AL66" s="11"/>
      <c r="AM66" s="21" t="str">
        <f aca="false">IF(AO66="","",AO66*IF(ISNUMBER(AK66),AK66,DefFills)*(1+IF(ISNUMBER(AL66),AL66,DefAllow)))</f>
        <v/>
      </c>
      <c r="AN66" s="22" t="str">
        <f aca="false">IF(G66="Given volume",IF(ISNUMBER(H66),H66*INDEX(VolF,MATCH($H$7,VolU,0)),""),IF(G66="Water weight",AH66,IF(N(AG66)=0,"",AG66)))</f>
        <v/>
      </c>
      <c r="AO66" s="22" t="str">
        <f aca="false">IF(N(AN66)=0,"",AN66*AT66*IF(ISNUMBER(AJ66),AJ66,DefCirc))</f>
        <v/>
      </c>
      <c r="AP66" s="9" t="n">
        <f aca="false">IF(ISNUMBER(T66),T66*INDEX(LenF,MATCH($T$7,LenU,0)),IF(ISNUMBER(W66),W66*INDEX(LenF,MATCH($W$7,LenU,0))/PitchRatio,0))</f>
        <v>0</v>
      </c>
      <c r="AQ66" s="9" t="n">
        <f aca="false">IF(ISNUMBER(N66),PI()/4*(N66*INDEX(LenF,MATCH($N$7,LenU,0)))^2,IF(AND(ISNUMBER(S66),ISNUMBER(W66),X66&lt;&gt;""),S66*(W66*INDEX(LenF,MATCH($W$7,LenU,0)))^2*INDEX(LayoutF,MATCH(X66,LayoutU,0)),0))</f>
        <v>0</v>
      </c>
      <c r="AR66" s="9" t="n">
        <f aca="false">IF(ISNUMBER(O66),O66*INDEX(LenF,MATCH($O$7,LenU,0)),IF(ISNUMBER(V66),V66*INDEX(LenF,MATCH($V$7,LenU,0)),0))</f>
        <v>0</v>
      </c>
      <c r="AS66" s="9" t="str">
        <f aca="false">IF(ISNUMBER(L66),L66*INDEX(LenF,MATCH($L$7,LenU,0))*1000,IF(OR(J66="",K66=""),"",IFERROR(IF(INDEX(PipeWT,MATCH(J66,NPSU,0),MATCH(K66,SchU,0))="","Sch n/a",INDEX(PipeOD,MATCH(J66,NPSU,0))-2*INDEX(PipeWT,MATCH(J66,NPSU,0),MATCH(K66,SchU,0))),"")))</f>
        <v/>
      </c>
      <c r="AT66" s="9" t="n">
        <f aca="false">IF(ISNUMBER(AI66),AI66,IFERROR(INDEX(IF(JobType="Decontamination",TypeFillDC,TypeFillCC),MATCH(E66,TypeL,0)),1))</f>
        <v>1</v>
      </c>
      <c r="AU66" s="9" t="n">
        <v>2</v>
      </c>
    </row>
    <row r="67" customFormat="false" ht="15" hidden="false" customHeight="false" outlineLevel="0" collapsed="false">
      <c r="A67" s="16" t="n">
        <v>25</v>
      </c>
      <c r="B67" s="20"/>
      <c r="C67" s="5"/>
      <c r="D67" s="5"/>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1" t="str">
        <f aca="false">IF(E67="Exchanger",IF(AND(ISNUMBER(S67),ISNUMBER(U67),ISNUMBER(V67)),S67*PI()/4*(U67*INDEX(LenF,MATCH($U$7,LenU,0)))^2*V67*INDEX(LenF,MATCH($V$7,LenU,0)),0)+IF(ISNUMBER(Y67),PI()/4*(Y67*INDEX(LenF,MATCH($Y$7,LenU,0)))^2*N(Z67)*INDEX(LenF,MATCH($Z$7,LenU,0))+IF(AA67="",0,IF(AA67="Conical",PI()/12*(Y67*INDEX(LenF,MATCH($Y$7,LenU,0)))^2*(0),INDEX(HeadK,MATCH(AA67,HeadU,0))*(Y67*INDEX(LenF,MATCH($Y$7,LenU,0)))^3)),0)+IF(ISNUMBER(Y67),PI()/4*(Y67*INDEX(LenF,MATCH($Y$7,LenU,0)))^2*N(AB67)*INDEX(LenF,MATCH($AB$7,LenU,0))+IF(AC67="",0,IF(AC67="Conical",PI()/12*(Y67*INDEX(LenF,MATCH($Y$7,LenU,0)))^2*(0),INDEX(HeadK,MATCH(AC67,HeadU,0))*(Y67*INDEX(LenF,MATCH($Y$7,LenU,0)))^3)),0),"")</f>
        <v/>
      </c>
      <c r="AE67" s="21" t="str">
        <f aca="false">IF(OR(E67="",E67="Piping"),"",IF(E67="Exchanger",AQ67*AR67+IF(P67="",0,IF(P67="Conical",PI()/12*(SQRT(4*AQ67/PI()))^2*(0),INDEX(HeadK,MATCH(P67,HeadU,0))*(SQRT(4*AQ67/PI()))^3))-IF(AND(ISNUMBER(S67),ISNUMBER(V67)),S67*PI()/4*AP67^2*V67*INDEX(LenF,MATCH($V$7,LenU,0)),0),IF(ISNUMBER(N67),PI()/4*(N67*INDEX(LenF,MATCH($N$7,LenU,0)))^2*N(O67)*INDEX(LenF,MATCH($O$7,LenU,0))+IF(P67="",0,IF(P67="Conical",PI()/12*(N67*INDEX(LenF,MATCH($N$7,LenU,0)))^2*(N(R67)*INDEX(LenF,MATCH($R$7,LenU,0))),INDEX(HeadK,MATCH(P67,HeadU,0))*(N67*INDEX(LenF,MATCH($N$7,LenU,0)))^3))+IF(Q67="",0,IF(Q67="Conical",PI()/12*(N67*INDEX(LenF,MATCH($N$7,LenU,0)))^2*(N(R67)*INDEX(LenF,MATCH($R$7,LenU,0))),INDEX(HeadK,MATCH(Q67,HeadU,0))*(N67*INDEX(LenF,MATCH($N$7,LenU,0)))^3)),0)))</f>
        <v/>
      </c>
      <c r="AF67" s="21" t="str">
        <f aca="false">IF(E67&lt;&gt;"Piping","",IF(AND(ISNUMBER(AS67),ISNUMBER(M67)),PI()/4*(AS67/1000)^2*M67*INDEX(LenF,MATCH($M$7,LenU,0)),0))</f>
        <v/>
      </c>
      <c r="AG67" s="21" t="str">
        <f aca="false">IF(E67="","",N(AD67)+N(AE67)+N(AF67))</f>
        <v/>
      </c>
      <c r="AH67" s="21" t="str">
        <f aca="false">IF(ISNUMBER(I67),I67*INDEX(WtF,MATCH($I$7,WtU,0))/WaterRho,"")</f>
        <v/>
      </c>
      <c r="AI67" s="11"/>
      <c r="AJ67" s="11"/>
      <c r="AK67" s="20"/>
      <c r="AL67" s="11"/>
      <c r="AM67" s="21" t="str">
        <f aca="false">IF(AO67="","",AO67*IF(ISNUMBER(AK67),AK67,DefFills)*(1+IF(ISNUMBER(AL67),AL67,DefAllow)))</f>
        <v/>
      </c>
      <c r="AN67" s="22" t="str">
        <f aca="false">IF(G67="Given volume",IF(ISNUMBER(H67),H67*INDEX(VolF,MATCH($H$7,VolU,0)),""),IF(G67="Water weight",AH67,IF(N(AG67)=0,"",AG67)))</f>
        <v/>
      </c>
      <c r="AO67" s="22" t="str">
        <f aca="false">IF(N(AN67)=0,"",AN67*AT67*IF(ISNUMBER(AJ67),AJ67,DefCirc))</f>
        <v/>
      </c>
      <c r="AP67" s="9" t="n">
        <f aca="false">IF(ISNUMBER(T67),T67*INDEX(LenF,MATCH($T$7,LenU,0)),IF(ISNUMBER(W67),W67*INDEX(LenF,MATCH($W$7,LenU,0))/PitchRatio,0))</f>
        <v>0</v>
      </c>
      <c r="AQ67" s="9" t="n">
        <f aca="false">IF(ISNUMBER(N67),PI()/4*(N67*INDEX(LenF,MATCH($N$7,LenU,0)))^2,IF(AND(ISNUMBER(S67),ISNUMBER(W67),X67&lt;&gt;""),S67*(W67*INDEX(LenF,MATCH($W$7,LenU,0)))^2*INDEX(LayoutF,MATCH(X67,LayoutU,0)),0))</f>
        <v>0</v>
      </c>
      <c r="AR67" s="9" t="n">
        <f aca="false">IF(ISNUMBER(O67),O67*INDEX(LenF,MATCH($O$7,LenU,0)),IF(ISNUMBER(V67),V67*INDEX(LenF,MATCH($V$7,LenU,0)),0))</f>
        <v>0</v>
      </c>
      <c r="AS67" s="9" t="str">
        <f aca="false">IF(ISNUMBER(L67),L67*INDEX(LenF,MATCH($L$7,LenU,0))*1000,IF(OR(J67="",K67=""),"",IFERROR(IF(INDEX(PipeWT,MATCH(J67,NPSU,0),MATCH(K67,SchU,0))="","Sch n/a",INDEX(PipeOD,MATCH(J67,NPSU,0))-2*INDEX(PipeWT,MATCH(J67,NPSU,0),MATCH(K67,SchU,0))),"")))</f>
        <v/>
      </c>
      <c r="AT67" s="9" t="n">
        <f aca="false">IF(ISNUMBER(AI67),AI67,IFERROR(INDEX(IF(JobType="Decontamination",TypeFillDC,TypeFillCC),MATCH(E67,TypeL,0)),1))</f>
        <v>1</v>
      </c>
      <c r="AU67" s="9" t="n">
        <v>2</v>
      </c>
    </row>
    <row r="68" customFormat="false" ht="15" hidden="false" customHeight="false" outlineLevel="0" collapsed="false">
      <c r="A68" s="16" t="n">
        <v>26</v>
      </c>
      <c r="B68" s="20"/>
      <c r="C68" s="5"/>
      <c r="D68" s="5"/>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1" t="str">
        <f aca="false">IF(E68="Exchanger",IF(AND(ISNUMBER(S68),ISNUMBER(U68),ISNUMBER(V68)),S68*PI()/4*(U68*INDEX(LenF,MATCH($U$7,LenU,0)))^2*V68*INDEX(LenF,MATCH($V$7,LenU,0)),0)+IF(ISNUMBER(Y68),PI()/4*(Y68*INDEX(LenF,MATCH($Y$7,LenU,0)))^2*N(Z68)*INDEX(LenF,MATCH($Z$7,LenU,0))+IF(AA68="",0,IF(AA68="Conical",PI()/12*(Y68*INDEX(LenF,MATCH($Y$7,LenU,0)))^2*(0),INDEX(HeadK,MATCH(AA68,HeadU,0))*(Y68*INDEX(LenF,MATCH($Y$7,LenU,0)))^3)),0)+IF(ISNUMBER(Y68),PI()/4*(Y68*INDEX(LenF,MATCH($Y$7,LenU,0)))^2*N(AB68)*INDEX(LenF,MATCH($AB$7,LenU,0))+IF(AC68="",0,IF(AC68="Conical",PI()/12*(Y68*INDEX(LenF,MATCH($Y$7,LenU,0)))^2*(0),INDEX(HeadK,MATCH(AC68,HeadU,0))*(Y68*INDEX(LenF,MATCH($Y$7,LenU,0)))^3)),0),"")</f>
        <v/>
      </c>
      <c r="AE68" s="21" t="str">
        <f aca="false">IF(OR(E68="",E68="Piping"),"",IF(E68="Exchanger",AQ68*AR68+IF(P68="",0,IF(P68="Conical",PI()/12*(SQRT(4*AQ68/PI()))^2*(0),INDEX(HeadK,MATCH(P68,HeadU,0))*(SQRT(4*AQ68/PI()))^3))-IF(AND(ISNUMBER(S68),ISNUMBER(V68)),S68*PI()/4*AP68^2*V68*INDEX(LenF,MATCH($V$7,LenU,0)),0),IF(ISNUMBER(N68),PI()/4*(N68*INDEX(LenF,MATCH($N$7,LenU,0)))^2*N(O68)*INDEX(LenF,MATCH($O$7,LenU,0))+IF(P68="",0,IF(P68="Conical",PI()/12*(N68*INDEX(LenF,MATCH($N$7,LenU,0)))^2*(N(R68)*INDEX(LenF,MATCH($R$7,LenU,0))),INDEX(HeadK,MATCH(P68,HeadU,0))*(N68*INDEX(LenF,MATCH($N$7,LenU,0)))^3))+IF(Q68="",0,IF(Q68="Conical",PI()/12*(N68*INDEX(LenF,MATCH($N$7,LenU,0)))^2*(N(R68)*INDEX(LenF,MATCH($R$7,LenU,0))),INDEX(HeadK,MATCH(Q68,HeadU,0))*(N68*INDEX(LenF,MATCH($N$7,LenU,0)))^3)),0)))</f>
        <v/>
      </c>
      <c r="AF68" s="21" t="str">
        <f aca="false">IF(E68&lt;&gt;"Piping","",IF(AND(ISNUMBER(AS68),ISNUMBER(M68)),PI()/4*(AS68/1000)^2*M68*INDEX(LenF,MATCH($M$7,LenU,0)),0))</f>
        <v/>
      </c>
      <c r="AG68" s="21" t="str">
        <f aca="false">IF(E68="","",N(AD68)+N(AE68)+N(AF68))</f>
        <v/>
      </c>
      <c r="AH68" s="21" t="str">
        <f aca="false">IF(ISNUMBER(I68),I68*INDEX(WtF,MATCH($I$7,WtU,0))/WaterRho,"")</f>
        <v/>
      </c>
      <c r="AI68" s="11"/>
      <c r="AJ68" s="11"/>
      <c r="AK68" s="20"/>
      <c r="AL68" s="11"/>
      <c r="AM68" s="21" t="str">
        <f aca="false">IF(AO68="","",AO68*IF(ISNUMBER(AK68),AK68,DefFills)*(1+IF(ISNUMBER(AL68),AL68,DefAllow)))</f>
        <v/>
      </c>
      <c r="AN68" s="22" t="str">
        <f aca="false">IF(G68="Given volume",IF(ISNUMBER(H68),H68*INDEX(VolF,MATCH($H$7,VolU,0)),""),IF(G68="Water weight",AH68,IF(N(AG68)=0,"",AG68)))</f>
        <v/>
      </c>
      <c r="AO68" s="22" t="str">
        <f aca="false">IF(N(AN68)=0,"",AN68*AT68*IF(ISNUMBER(AJ68),AJ68,DefCirc))</f>
        <v/>
      </c>
      <c r="AP68" s="9" t="n">
        <f aca="false">IF(ISNUMBER(T68),T68*INDEX(LenF,MATCH($T$7,LenU,0)),IF(ISNUMBER(W68),W68*INDEX(LenF,MATCH($W$7,LenU,0))/PitchRatio,0))</f>
        <v>0</v>
      </c>
      <c r="AQ68" s="9" t="n">
        <f aca="false">IF(ISNUMBER(N68),PI()/4*(N68*INDEX(LenF,MATCH($N$7,LenU,0)))^2,IF(AND(ISNUMBER(S68),ISNUMBER(W68),X68&lt;&gt;""),S68*(W68*INDEX(LenF,MATCH($W$7,LenU,0)))^2*INDEX(LayoutF,MATCH(X68,LayoutU,0)),0))</f>
        <v>0</v>
      </c>
      <c r="AR68" s="9" t="n">
        <f aca="false">IF(ISNUMBER(O68),O68*INDEX(LenF,MATCH($O$7,LenU,0)),IF(ISNUMBER(V68),V68*INDEX(LenF,MATCH($V$7,LenU,0)),0))</f>
        <v>0</v>
      </c>
      <c r="AS68" s="9" t="str">
        <f aca="false">IF(ISNUMBER(L68),L68*INDEX(LenF,MATCH($L$7,LenU,0))*1000,IF(OR(J68="",K68=""),"",IFERROR(IF(INDEX(PipeWT,MATCH(J68,NPSU,0),MATCH(K68,SchU,0))="","Sch n/a",INDEX(PipeOD,MATCH(J68,NPSU,0))-2*INDEX(PipeWT,MATCH(J68,NPSU,0),MATCH(K68,SchU,0))),"")))</f>
        <v/>
      </c>
      <c r="AT68" s="9" t="n">
        <f aca="false">IF(ISNUMBER(AI68),AI68,IFERROR(INDEX(IF(JobType="Decontamination",TypeFillDC,TypeFillCC),MATCH(E68,TypeL,0)),1))</f>
        <v>1</v>
      </c>
      <c r="AU68" s="9" t="n">
        <v>2</v>
      </c>
    </row>
    <row r="69" customFormat="false" ht="15" hidden="false" customHeight="false" outlineLevel="0" collapsed="false">
      <c r="A69" s="16" t="n">
        <v>27</v>
      </c>
      <c r="B69" s="20"/>
      <c r="C69" s="5"/>
      <c r="D69" s="5"/>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1" t="str">
        <f aca="false">IF(E69="Exchanger",IF(AND(ISNUMBER(S69),ISNUMBER(U69),ISNUMBER(V69)),S69*PI()/4*(U69*INDEX(LenF,MATCH($U$7,LenU,0)))^2*V69*INDEX(LenF,MATCH($V$7,LenU,0)),0)+IF(ISNUMBER(Y69),PI()/4*(Y69*INDEX(LenF,MATCH($Y$7,LenU,0)))^2*N(Z69)*INDEX(LenF,MATCH($Z$7,LenU,0))+IF(AA69="",0,IF(AA69="Conical",PI()/12*(Y69*INDEX(LenF,MATCH($Y$7,LenU,0)))^2*(0),INDEX(HeadK,MATCH(AA69,HeadU,0))*(Y69*INDEX(LenF,MATCH($Y$7,LenU,0)))^3)),0)+IF(ISNUMBER(Y69),PI()/4*(Y69*INDEX(LenF,MATCH($Y$7,LenU,0)))^2*N(AB69)*INDEX(LenF,MATCH($AB$7,LenU,0))+IF(AC69="",0,IF(AC69="Conical",PI()/12*(Y69*INDEX(LenF,MATCH($Y$7,LenU,0)))^2*(0),INDEX(HeadK,MATCH(AC69,HeadU,0))*(Y69*INDEX(LenF,MATCH($Y$7,LenU,0)))^3)),0),"")</f>
        <v/>
      </c>
      <c r="AE69" s="21" t="str">
        <f aca="false">IF(OR(E69="",E69="Piping"),"",IF(E69="Exchanger",AQ69*AR69+IF(P69="",0,IF(P69="Conical",PI()/12*(SQRT(4*AQ69/PI()))^2*(0),INDEX(HeadK,MATCH(P69,HeadU,0))*(SQRT(4*AQ69/PI()))^3))-IF(AND(ISNUMBER(S69),ISNUMBER(V69)),S69*PI()/4*AP69^2*V69*INDEX(LenF,MATCH($V$7,LenU,0)),0),IF(ISNUMBER(N69),PI()/4*(N69*INDEX(LenF,MATCH($N$7,LenU,0)))^2*N(O69)*INDEX(LenF,MATCH($O$7,LenU,0))+IF(P69="",0,IF(P69="Conical",PI()/12*(N69*INDEX(LenF,MATCH($N$7,LenU,0)))^2*(N(R69)*INDEX(LenF,MATCH($R$7,LenU,0))),INDEX(HeadK,MATCH(P69,HeadU,0))*(N69*INDEX(LenF,MATCH($N$7,LenU,0)))^3))+IF(Q69="",0,IF(Q69="Conical",PI()/12*(N69*INDEX(LenF,MATCH($N$7,LenU,0)))^2*(N(R69)*INDEX(LenF,MATCH($R$7,LenU,0))),INDEX(HeadK,MATCH(Q69,HeadU,0))*(N69*INDEX(LenF,MATCH($N$7,LenU,0)))^3)),0)))</f>
        <v/>
      </c>
      <c r="AF69" s="21" t="str">
        <f aca="false">IF(E69&lt;&gt;"Piping","",IF(AND(ISNUMBER(AS69),ISNUMBER(M69)),PI()/4*(AS69/1000)^2*M69*INDEX(LenF,MATCH($M$7,LenU,0)),0))</f>
        <v/>
      </c>
      <c r="AG69" s="21" t="str">
        <f aca="false">IF(E69="","",N(AD69)+N(AE69)+N(AF69))</f>
        <v/>
      </c>
      <c r="AH69" s="21" t="str">
        <f aca="false">IF(ISNUMBER(I69),I69*INDEX(WtF,MATCH($I$7,WtU,0))/WaterRho,"")</f>
        <v/>
      </c>
      <c r="AI69" s="11"/>
      <c r="AJ69" s="11"/>
      <c r="AK69" s="20"/>
      <c r="AL69" s="11"/>
      <c r="AM69" s="21" t="str">
        <f aca="false">IF(AO69="","",AO69*IF(ISNUMBER(AK69),AK69,DefFills)*(1+IF(ISNUMBER(AL69),AL69,DefAllow)))</f>
        <v/>
      </c>
      <c r="AN69" s="22" t="str">
        <f aca="false">IF(G69="Given volume",IF(ISNUMBER(H69),H69*INDEX(VolF,MATCH($H$7,VolU,0)),""),IF(G69="Water weight",AH69,IF(N(AG69)=0,"",AG69)))</f>
        <v/>
      </c>
      <c r="AO69" s="22" t="str">
        <f aca="false">IF(N(AN69)=0,"",AN69*AT69*IF(ISNUMBER(AJ69),AJ69,DefCirc))</f>
        <v/>
      </c>
      <c r="AP69" s="9" t="n">
        <f aca="false">IF(ISNUMBER(T69),T69*INDEX(LenF,MATCH($T$7,LenU,0)),IF(ISNUMBER(W69),W69*INDEX(LenF,MATCH($W$7,LenU,0))/PitchRatio,0))</f>
        <v>0</v>
      </c>
      <c r="AQ69" s="9" t="n">
        <f aca="false">IF(ISNUMBER(N69),PI()/4*(N69*INDEX(LenF,MATCH($N$7,LenU,0)))^2,IF(AND(ISNUMBER(S69),ISNUMBER(W69),X69&lt;&gt;""),S69*(W69*INDEX(LenF,MATCH($W$7,LenU,0)))^2*INDEX(LayoutF,MATCH(X69,LayoutU,0)),0))</f>
        <v>0</v>
      </c>
      <c r="AR69" s="9" t="n">
        <f aca="false">IF(ISNUMBER(O69),O69*INDEX(LenF,MATCH($O$7,LenU,0)),IF(ISNUMBER(V69),V69*INDEX(LenF,MATCH($V$7,LenU,0)),0))</f>
        <v>0</v>
      </c>
      <c r="AS69" s="9" t="str">
        <f aca="false">IF(ISNUMBER(L69),L69*INDEX(LenF,MATCH($L$7,LenU,0))*1000,IF(OR(J69="",K69=""),"",IFERROR(IF(INDEX(PipeWT,MATCH(J69,NPSU,0),MATCH(K69,SchU,0))="","Sch n/a",INDEX(PipeOD,MATCH(J69,NPSU,0))-2*INDEX(PipeWT,MATCH(J69,NPSU,0),MATCH(K69,SchU,0))),"")))</f>
        <v/>
      </c>
      <c r="AT69" s="9" t="n">
        <f aca="false">IF(ISNUMBER(AI69),AI69,IFERROR(INDEX(IF(JobType="Decontamination",TypeFillDC,TypeFillCC),MATCH(E69,TypeL,0)),1))</f>
        <v>1</v>
      </c>
      <c r="AU69" s="9" t="n">
        <v>2</v>
      </c>
    </row>
    <row r="70" customFormat="false" ht="15" hidden="false" customHeight="false" outlineLevel="0" collapsed="false">
      <c r="A70" s="16" t="n">
        <v>28</v>
      </c>
      <c r="B70" s="20"/>
      <c r="C70" s="5"/>
      <c r="D70" s="5"/>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1" t="str">
        <f aca="false">IF(E70="Exchanger",IF(AND(ISNUMBER(S70),ISNUMBER(U70),ISNUMBER(V70)),S70*PI()/4*(U70*INDEX(LenF,MATCH($U$7,LenU,0)))^2*V70*INDEX(LenF,MATCH($V$7,LenU,0)),0)+IF(ISNUMBER(Y70),PI()/4*(Y70*INDEX(LenF,MATCH($Y$7,LenU,0)))^2*N(Z70)*INDEX(LenF,MATCH($Z$7,LenU,0))+IF(AA70="",0,IF(AA70="Conical",PI()/12*(Y70*INDEX(LenF,MATCH($Y$7,LenU,0)))^2*(0),INDEX(HeadK,MATCH(AA70,HeadU,0))*(Y70*INDEX(LenF,MATCH($Y$7,LenU,0)))^3)),0)+IF(ISNUMBER(Y70),PI()/4*(Y70*INDEX(LenF,MATCH($Y$7,LenU,0)))^2*N(AB70)*INDEX(LenF,MATCH($AB$7,LenU,0))+IF(AC70="",0,IF(AC70="Conical",PI()/12*(Y70*INDEX(LenF,MATCH($Y$7,LenU,0)))^2*(0),INDEX(HeadK,MATCH(AC70,HeadU,0))*(Y70*INDEX(LenF,MATCH($Y$7,LenU,0)))^3)),0),"")</f>
        <v/>
      </c>
      <c r="AE70" s="21" t="str">
        <f aca="false">IF(OR(E70="",E70="Piping"),"",IF(E70="Exchanger",AQ70*AR70+IF(P70="",0,IF(P70="Conical",PI()/12*(SQRT(4*AQ70/PI()))^2*(0),INDEX(HeadK,MATCH(P70,HeadU,0))*(SQRT(4*AQ70/PI()))^3))-IF(AND(ISNUMBER(S70),ISNUMBER(V70)),S70*PI()/4*AP70^2*V70*INDEX(LenF,MATCH($V$7,LenU,0)),0),IF(ISNUMBER(N70),PI()/4*(N70*INDEX(LenF,MATCH($N$7,LenU,0)))^2*N(O70)*INDEX(LenF,MATCH($O$7,LenU,0))+IF(P70="",0,IF(P70="Conical",PI()/12*(N70*INDEX(LenF,MATCH($N$7,LenU,0)))^2*(N(R70)*INDEX(LenF,MATCH($R$7,LenU,0))),INDEX(HeadK,MATCH(P70,HeadU,0))*(N70*INDEX(LenF,MATCH($N$7,LenU,0)))^3))+IF(Q70="",0,IF(Q70="Conical",PI()/12*(N70*INDEX(LenF,MATCH($N$7,LenU,0)))^2*(N(R70)*INDEX(LenF,MATCH($R$7,LenU,0))),INDEX(HeadK,MATCH(Q70,HeadU,0))*(N70*INDEX(LenF,MATCH($N$7,LenU,0)))^3)),0)))</f>
        <v/>
      </c>
      <c r="AF70" s="21" t="str">
        <f aca="false">IF(E70&lt;&gt;"Piping","",IF(AND(ISNUMBER(AS70),ISNUMBER(M70)),PI()/4*(AS70/1000)^2*M70*INDEX(LenF,MATCH($M$7,LenU,0)),0))</f>
        <v/>
      </c>
      <c r="AG70" s="21" t="str">
        <f aca="false">IF(E70="","",N(AD70)+N(AE70)+N(AF70))</f>
        <v/>
      </c>
      <c r="AH70" s="21" t="str">
        <f aca="false">IF(ISNUMBER(I70),I70*INDEX(WtF,MATCH($I$7,WtU,0))/WaterRho,"")</f>
        <v/>
      </c>
      <c r="AI70" s="11"/>
      <c r="AJ70" s="11"/>
      <c r="AK70" s="20"/>
      <c r="AL70" s="11"/>
      <c r="AM70" s="21" t="str">
        <f aca="false">IF(AO70="","",AO70*IF(ISNUMBER(AK70),AK70,DefFills)*(1+IF(ISNUMBER(AL70),AL70,DefAllow)))</f>
        <v/>
      </c>
      <c r="AN70" s="22" t="str">
        <f aca="false">IF(G70="Given volume",IF(ISNUMBER(H70),H70*INDEX(VolF,MATCH($H$7,VolU,0)),""),IF(G70="Water weight",AH70,IF(N(AG70)=0,"",AG70)))</f>
        <v/>
      </c>
      <c r="AO70" s="22" t="str">
        <f aca="false">IF(N(AN70)=0,"",AN70*AT70*IF(ISNUMBER(AJ70),AJ70,DefCirc))</f>
        <v/>
      </c>
      <c r="AP70" s="9" t="n">
        <f aca="false">IF(ISNUMBER(T70),T70*INDEX(LenF,MATCH($T$7,LenU,0)),IF(ISNUMBER(W70),W70*INDEX(LenF,MATCH($W$7,LenU,0))/PitchRatio,0))</f>
        <v>0</v>
      </c>
      <c r="AQ70" s="9" t="n">
        <f aca="false">IF(ISNUMBER(N70),PI()/4*(N70*INDEX(LenF,MATCH($N$7,LenU,0)))^2,IF(AND(ISNUMBER(S70),ISNUMBER(W70),X70&lt;&gt;""),S70*(W70*INDEX(LenF,MATCH($W$7,LenU,0)))^2*INDEX(LayoutF,MATCH(X70,LayoutU,0)),0))</f>
        <v>0</v>
      </c>
      <c r="AR70" s="9" t="n">
        <f aca="false">IF(ISNUMBER(O70),O70*INDEX(LenF,MATCH($O$7,LenU,0)),IF(ISNUMBER(V70),V70*INDEX(LenF,MATCH($V$7,LenU,0)),0))</f>
        <v>0</v>
      </c>
      <c r="AS70" s="9" t="str">
        <f aca="false">IF(ISNUMBER(L70),L70*INDEX(LenF,MATCH($L$7,LenU,0))*1000,IF(OR(J70="",K70=""),"",IFERROR(IF(INDEX(PipeWT,MATCH(J70,NPSU,0),MATCH(K70,SchU,0))="","Sch n/a",INDEX(PipeOD,MATCH(J70,NPSU,0))-2*INDEX(PipeWT,MATCH(J70,NPSU,0),MATCH(K70,SchU,0))),"")))</f>
        <v/>
      </c>
      <c r="AT70" s="9" t="n">
        <f aca="false">IF(ISNUMBER(AI70),AI70,IFERROR(INDEX(IF(JobType="Decontamination",TypeFillDC,TypeFillCC),MATCH(E70,TypeL,0)),1))</f>
        <v>1</v>
      </c>
      <c r="AU70" s="9" t="n">
        <v>2</v>
      </c>
    </row>
    <row r="71" customFormat="false" ht="15" hidden="false" customHeight="false" outlineLevel="0" collapsed="false">
      <c r="A71" s="16" t="n">
        <v>29</v>
      </c>
      <c r="B71" s="20"/>
      <c r="C71" s="5"/>
      <c r="D71" s="5"/>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1" t="str">
        <f aca="false">IF(E71="Exchanger",IF(AND(ISNUMBER(S71),ISNUMBER(U71),ISNUMBER(V71)),S71*PI()/4*(U71*INDEX(LenF,MATCH($U$7,LenU,0)))^2*V71*INDEX(LenF,MATCH($V$7,LenU,0)),0)+IF(ISNUMBER(Y71),PI()/4*(Y71*INDEX(LenF,MATCH($Y$7,LenU,0)))^2*N(Z71)*INDEX(LenF,MATCH($Z$7,LenU,0))+IF(AA71="",0,IF(AA71="Conical",PI()/12*(Y71*INDEX(LenF,MATCH($Y$7,LenU,0)))^2*(0),INDEX(HeadK,MATCH(AA71,HeadU,0))*(Y71*INDEX(LenF,MATCH($Y$7,LenU,0)))^3)),0)+IF(ISNUMBER(Y71),PI()/4*(Y71*INDEX(LenF,MATCH($Y$7,LenU,0)))^2*N(AB71)*INDEX(LenF,MATCH($AB$7,LenU,0))+IF(AC71="",0,IF(AC71="Conical",PI()/12*(Y71*INDEX(LenF,MATCH($Y$7,LenU,0)))^2*(0),INDEX(HeadK,MATCH(AC71,HeadU,0))*(Y71*INDEX(LenF,MATCH($Y$7,LenU,0)))^3)),0),"")</f>
        <v/>
      </c>
      <c r="AE71" s="21" t="str">
        <f aca="false">IF(OR(E71="",E71="Piping"),"",IF(E71="Exchanger",AQ71*AR71+IF(P71="",0,IF(P71="Conical",PI()/12*(SQRT(4*AQ71/PI()))^2*(0),INDEX(HeadK,MATCH(P71,HeadU,0))*(SQRT(4*AQ71/PI()))^3))-IF(AND(ISNUMBER(S71),ISNUMBER(V71)),S71*PI()/4*AP71^2*V71*INDEX(LenF,MATCH($V$7,LenU,0)),0),IF(ISNUMBER(N71),PI()/4*(N71*INDEX(LenF,MATCH($N$7,LenU,0)))^2*N(O71)*INDEX(LenF,MATCH($O$7,LenU,0))+IF(P71="",0,IF(P71="Conical",PI()/12*(N71*INDEX(LenF,MATCH($N$7,LenU,0)))^2*(N(R71)*INDEX(LenF,MATCH($R$7,LenU,0))),INDEX(HeadK,MATCH(P71,HeadU,0))*(N71*INDEX(LenF,MATCH($N$7,LenU,0)))^3))+IF(Q71="",0,IF(Q71="Conical",PI()/12*(N71*INDEX(LenF,MATCH($N$7,LenU,0)))^2*(N(R71)*INDEX(LenF,MATCH($R$7,LenU,0))),INDEX(HeadK,MATCH(Q71,HeadU,0))*(N71*INDEX(LenF,MATCH($N$7,LenU,0)))^3)),0)))</f>
        <v/>
      </c>
      <c r="AF71" s="21" t="str">
        <f aca="false">IF(E71&lt;&gt;"Piping","",IF(AND(ISNUMBER(AS71),ISNUMBER(M71)),PI()/4*(AS71/1000)^2*M71*INDEX(LenF,MATCH($M$7,LenU,0)),0))</f>
        <v/>
      </c>
      <c r="AG71" s="21" t="str">
        <f aca="false">IF(E71="","",N(AD71)+N(AE71)+N(AF71))</f>
        <v/>
      </c>
      <c r="AH71" s="21" t="str">
        <f aca="false">IF(ISNUMBER(I71),I71*INDEX(WtF,MATCH($I$7,WtU,0))/WaterRho,"")</f>
        <v/>
      </c>
      <c r="AI71" s="11"/>
      <c r="AJ71" s="11"/>
      <c r="AK71" s="20"/>
      <c r="AL71" s="11"/>
      <c r="AM71" s="21" t="str">
        <f aca="false">IF(AO71="","",AO71*IF(ISNUMBER(AK71),AK71,DefFills)*(1+IF(ISNUMBER(AL71),AL71,DefAllow)))</f>
        <v/>
      </c>
      <c r="AN71" s="22" t="str">
        <f aca="false">IF(G71="Given volume",IF(ISNUMBER(H71),H71*INDEX(VolF,MATCH($H$7,VolU,0)),""),IF(G71="Water weight",AH71,IF(N(AG71)=0,"",AG71)))</f>
        <v/>
      </c>
      <c r="AO71" s="22" t="str">
        <f aca="false">IF(N(AN71)=0,"",AN71*AT71*IF(ISNUMBER(AJ71),AJ71,DefCirc))</f>
        <v/>
      </c>
      <c r="AP71" s="9" t="n">
        <f aca="false">IF(ISNUMBER(T71),T71*INDEX(LenF,MATCH($T$7,LenU,0)),IF(ISNUMBER(W71),W71*INDEX(LenF,MATCH($W$7,LenU,0))/PitchRatio,0))</f>
        <v>0</v>
      </c>
      <c r="AQ71" s="9" t="n">
        <f aca="false">IF(ISNUMBER(N71),PI()/4*(N71*INDEX(LenF,MATCH($N$7,LenU,0)))^2,IF(AND(ISNUMBER(S71),ISNUMBER(W71),X71&lt;&gt;""),S71*(W71*INDEX(LenF,MATCH($W$7,LenU,0)))^2*INDEX(LayoutF,MATCH(X71,LayoutU,0)),0))</f>
        <v>0</v>
      </c>
      <c r="AR71" s="9" t="n">
        <f aca="false">IF(ISNUMBER(O71),O71*INDEX(LenF,MATCH($O$7,LenU,0)),IF(ISNUMBER(V71),V71*INDEX(LenF,MATCH($V$7,LenU,0)),0))</f>
        <v>0</v>
      </c>
      <c r="AS71" s="9" t="str">
        <f aca="false">IF(ISNUMBER(L71),L71*INDEX(LenF,MATCH($L$7,LenU,0))*1000,IF(OR(J71="",K71=""),"",IFERROR(IF(INDEX(PipeWT,MATCH(J71,NPSU,0),MATCH(K71,SchU,0))="","Sch n/a",INDEX(PipeOD,MATCH(J71,NPSU,0))-2*INDEX(PipeWT,MATCH(J71,NPSU,0),MATCH(K71,SchU,0))),"")))</f>
        <v/>
      </c>
      <c r="AT71" s="9" t="n">
        <f aca="false">IF(ISNUMBER(AI71),AI71,IFERROR(INDEX(IF(JobType="Decontamination",TypeFillDC,TypeFillCC),MATCH(E71,TypeL,0)),1))</f>
        <v>1</v>
      </c>
      <c r="AU71" s="9" t="n">
        <v>2</v>
      </c>
    </row>
    <row r="72" customFormat="false" ht="15" hidden="false" customHeight="false" outlineLevel="0" collapsed="false">
      <c r="A72" s="16" t="n">
        <v>30</v>
      </c>
      <c r="B72" s="20"/>
      <c r="C72" s="5"/>
      <c r="D72" s="5"/>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1" t="str">
        <f aca="false">IF(E72="Exchanger",IF(AND(ISNUMBER(S72),ISNUMBER(U72),ISNUMBER(V72)),S72*PI()/4*(U72*INDEX(LenF,MATCH($U$7,LenU,0)))^2*V72*INDEX(LenF,MATCH($V$7,LenU,0)),0)+IF(ISNUMBER(Y72),PI()/4*(Y72*INDEX(LenF,MATCH($Y$7,LenU,0)))^2*N(Z72)*INDEX(LenF,MATCH($Z$7,LenU,0))+IF(AA72="",0,IF(AA72="Conical",PI()/12*(Y72*INDEX(LenF,MATCH($Y$7,LenU,0)))^2*(0),INDEX(HeadK,MATCH(AA72,HeadU,0))*(Y72*INDEX(LenF,MATCH($Y$7,LenU,0)))^3)),0)+IF(ISNUMBER(Y72),PI()/4*(Y72*INDEX(LenF,MATCH($Y$7,LenU,0)))^2*N(AB72)*INDEX(LenF,MATCH($AB$7,LenU,0))+IF(AC72="",0,IF(AC72="Conical",PI()/12*(Y72*INDEX(LenF,MATCH($Y$7,LenU,0)))^2*(0),INDEX(HeadK,MATCH(AC72,HeadU,0))*(Y72*INDEX(LenF,MATCH($Y$7,LenU,0)))^3)),0),"")</f>
        <v/>
      </c>
      <c r="AE72" s="21" t="str">
        <f aca="false">IF(OR(E72="",E72="Piping"),"",IF(E72="Exchanger",AQ72*AR72+IF(P72="",0,IF(P72="Conical",PI()/12*(SQRT(4*AQ72/PI()))^2*(0),INDEX(HeadK,MATCH(P72,HeadU,0))*(SQRT(4*AQ72/PI()))^3))-IF(AND(ISNUMBER(S72),ISNUMBER(V72)),S72*PI()/4*AP72^2*V72*INDEX(LenF,MATCH($V$7,LenU,0)),0),IF(ISNUMBER(N72),PI()/4*(N72*INDEX(LenF,MATCH($N$7,LenU,0)))^2*N(O72)*INDEX(LenF,MATCH($O$7,LenU,0))+IF(P72="",0,IF(P72="Conical",PI()/12*(N72*INDEX(LenF,MATCH($N$7,LenU,0)))^2*(N(R72)*INDEX(LenF,MATCH($R$7,LenU,0))),INDEX(HeadK,MATCH(P72,HeadU,0))*(N72*INDEX(LenF,MATCH($N$7,LenU,0)))^3))+IF(Q72="",0,IF(Q72="Conical",PI()/12*(N72*INDEX(LenF,MATCH($N$7,LenU,0)))^2*(N(R72)*INDEX(LenF,MATCH($R$7,LenU,0))),INDEX(HeadK,MATCH(Q72,HeadU,0))*(N72*INDEX(LenF,MATCH($N$7,LenU,0)))^3)),0)))</f>
        <v/>
      </c>
      <c r="AF72" s="21" t="str">
        <f aca="false">IF(E72&lt;&gt;"Piping","",IF(AND(ISNUMBER(AS72),ISNUMBER(M72)),PI()/4*(AS72/1000)^2*M72*INDEX(LenF,MATCH($M$7,LenU,0)),0))</f>
        <v/>
      </c>
      <c r="AG72" s="21" t="str">
        <f aca="false">IF(E72="","",N(AD72)+N(AE72)+N(AF72))</f>
        <v/>
      </c>
      <c r="AH72" s="21" t="str">
        <f aca="false">IF(ISNUMBER(I72),I72*INDEX(WtF,MATCH($I$7,WtU,0))/WaterRho,"")</f>
        <v/>
      </c>
      <c r="AI72" s="11"/>
      <c r="AJ72" s="11"/>
      <c r="AK72" s="20"/>
      <c r="AL72" s="11"/>
      <c r="AM72" s="21" t="str">
        <f aca="false">IF(AO72="","",AO72*IF(ISNUMBER(AK72),AK72,DefFills)*(1+IF(ISNUMBER(AL72),AL72,DefAllow)))</f>
        <v/>
      </c>
      <c r="AN72" s="22" t="str">
        <f aca="false">IF(G72="Given volume",IF(ISNUMBER(H72),H72*INDEX(VolF,MATCH($H$7,VolU,0)),""),IF(G72="Water weight",AH72,IF(N(AG72)=0,"",AG72)))</f>
        <v/>
      </c>
      <c r="AO72" s="22" t="str">
        <f aca="false">IF(N(AN72)=0,"",AN72*AT72*IF(ISNUMBER(AJ72),AJ72,DefCirc))</f>
        <v/>
      </c>
      <c r="AP72" s="9" t="n">
        <f aca="false">IF(ISNUMBER(T72),T72*INDEX(LenF,MATCH($T$7,LenU,0)),IF(ISNUMBER(W72),W72*INDEX(LenF,MATCH($W$7,LenU,0))/PitchRatio,0))</f>
        <v>0</v>
      </c>
      <c r="AQ72" s="9" t="n">
        <f aca="false">IF(ISNUMBER(N72),PI()/4*(N72*INDEX(LenF,MATCH($N$7,LenU,0)))^2,IF(AND(ISNUMBER(S72),ISNUMBER(W72),X72&lt;&gt;""),S72*(W72*INDEX(LenF,MATCH($W$7,LenU,0)))^2*INDEX(LayoutF,MATCH(X72,LayoutU,0)),0))</f>
        <v>0</v>
      </c>
      <c r="AR72" s="9" t="n">
        <f aca="false">IF(ISNUMBER(O72),O72*INDEX(LenF,MATCH($O$7,LenU,0)),IF(ISNUMBER(V72),V72*INDEX(LenF,MATCH($V$7,LenU,0)),0))</f>
        <v>0</v>
      </c>
      <c r="AS72" s="9" t="str">
        <f aca="false">IF(ISNUMBER(L72),L72*INDEX(LenF,MATCH($L$7,LenU,0))*1000,IF(OR(J72="",K72=""),"",IFERROR(IF(INDEX(PipeWT,MATCH(J72,NPSU,0),MATCH(K72,SchU,0))="","Sch n/a",INDEX(PipeOD,MATCH(J72,NPSU,0))-2*INDEX(PipeWT,MATCH(J72,NPSU,0),MATCH(K72,SchU,0))),"")))</f>
        <v/>
      </c>
      <c r="AT72" s="9" t="n">
        <f aca="false">IF(ISNUMBER(AI72),AI72,IFERROR(INDEX(IF(JobType="Decontamination",TypeFillDC,TypeFillCC),MATCH(E72,TypeL,0)),1))</f>
        <v>1</v>
      </c>
      <c r="AU72" s="9" t="n">
        <v>2</v>
      </c>
    </row>
    <row r="73" customFormat="false" ht="15" hidden="false" customHeight="false" outlineLevel="0" collapsed="false">
      <c r="A73" s="24" t="str">
        <f aca="false">"TOTAL – "&amp;INDEX(UnitNames,2)</f>
        <v>TOTAL – Unit 2</v>
      </c>
      <c r="B73" s="24"/>
      <c r="C73" s="24"/>
      <c r="D73" s="24"/>
      <c r="E73" s="25"/>
      <c r="F73" s="25"/>
      <c r="G73" s="25"/>
      <c r="H73" s="25"/>
      <c r="I73" s="25"/>
      <c r="J73" s="25"/>
      <c r="K73" s="25"/>
      <c r="L73" s="25"/>
      <c r="M73" s="25"/>
      <c r="N73" s="25"/>
      <c r="O73" s="25"/>
      <c r="P73" s="25"/>
      <c r="Q73" s="25"/>
      <c r="R73" s="25"/>
      <c r="S73" s="26" t="str">
        <f aca="false">COUNT(AN43:AN72)&amp;" items"</f>
        <v>0 items</v>
      </c>
      <c r="T73" s="25"/>
      <c r="U73" s="25"/>
      <c r="V73" s="25"/>
      <c r="W73" s="25"/>
      <c r="X73" s="25"/>
      <c r="Y73" s="25"/>
      <c r="Z73" s="25"/>
      <c r="AA73" s="25"/>
      <c r="AB73" s="25"/>
      <c r="AC73" s="25"/>
      <c r="AD73" s="27" t="n">
        <f aca="false">SUM(AD43:AD72)</f>
        <v>0</v>
      </c>
      <c r="AE73" s="27" t="n">
        <f aca="false">SUM(AE43:AE72)</f>
        <v>0</v>
      </c>
      <c r="AF73" s="27" t="n">
        <f aca="false">SUM(AF43:AF72)</f>
        <v>0</v>
      </c>
      <c r="AG73" s="27" t="n">
        <f aca="false">SUM(AG43:AG72)</f>
        <v>0</v>
      </c>
      <c r="AH73" s="27" t="n">
        <f aca="false">SUM(AH43:AH72)</f>
        <v>0</v>
      </c>
      <c r="AI73" s="25"/>
      <c r="AJ73" s="25"/>
      <c r="AK73" s="25"/>
      <c r="AL73" s="25"/>
      <c r="AM73" s="27" t="n">
        <f aca="false">SUM(AM43:AM72)</f>
        <v>0</v>
      </c>
      <c r="AN73" s="27" t="n">
        <f aca="false">SUM(AN43:AN72)</f>
        <v>0</v>
      </c>
      <c r="AO73" s="27" t="n">
        <f aca="false">SUM(AO43:AO72)</f>
        <v>0</v>
      </c>
    </row>
    <row r="75" customFormat="false" ht="15" hidden="false" customHeight="false" outlineLevel="0" collapsed="false">
      <c r="A75" s="18" t="str">
        <f aca="false">"UNIT 3:  "&amp;INDEX(UnitNames,3)</f>
        <v>UNIT 3:  Unit 3</v>
      </c>
      <c r="B75" s="18"/>
      <c r="C75" s="18"/>
      <c r="D75" s="18"/>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row>
    <row r="76" customFormat="false" ht="15" hidden="false" customHeight="false" outlineLevel="0" collapsed="false">
      <c r="A76" s="16" t="n">
        <v>1</v>
      </c>
      <c r="B76" s="20"/>
      <c r="C76" s="5"/>
      <c r="D76" s="5"/>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1" t="str">
        <f aca="false">IF(E76="Exchanger",IF(AND(ISNUMBER(S76),ISNUMBER(U76),ISNUMBER(V76)),S76*PI()/4*(U76*INDEX(LenF,MATCH($U$7,LenU,0)))^2*V76*INDEX(LenF,MATCH($V$7,LenU,0)),0)+IF(ISNUMBER(Y76),PI()/4*(Y76*INDEX(LenF,MATCH($Y$7,LenU,0)))^2*N(Z76)*INDEX(LenF,MATCH($Z$7,LenU,0))+IF(AA76="",0,IF(AA76="Conical",PI()/12*(Y76*INDEX(LenF,MATCH($Y$7,LenU,0)))^2*(0),INDEX(HeadK,MATCH(AA76,HeadU,0))*(Y76*INDEX(LenF,MATCH($Y$7,LenU,0)))^3)),0)+IF(ISNUMBER(Y76),PI()/4*(Y76*INDEX(LenF,MATCH($Y$7,LenU,0)))^2*N(AB76)*INDEX(LenF,MATCH($AB$7,LenU,0))+IF(AC76="",0,IF(AC76="Conical",PI()/12*(Y76*INDEX(LenF,MATCH($Y$7,LenU,0)))^2*(0),INDEX(HeadK,MATCH(AC76,HeadU,0))*(Y76*INDEX(LenF,MATCH($Y$7,LenU,0)))^3)),0),"")</f>
        <v/>
      </c>
      <c r="AE76" s="21" t="str">
        <f aca="false">IF(OR(E76="",E76="Piping"),"",IF(E76="Exchanger",AQ76*AR76+IF(P76="",0,IF(P76="Conical",PI()/12*(SQRT(4*AQ76/PI()))^2*(0),INDEX(HeadK,MATCH(P76,HeadU,0))*(SQRT(4*AQ76/PI()))^3))-IF(AND(ISNUMBER(S76),ISNUMBER(V76)),S76*PI()/4*AP76^2*V76*INDEX(LenF,MATCH($V$7,LenU,0)),0),IF(ISNUMBER(N76),PI()/4*(N76*INDEX(LenF,MATCH($N$7,LenU,0)))^2*N(O76)*INDEX(LenF,MATCH($O$7,LenU,0))+IF(P76="",0,IF(P76="Conical",PI()/12*(N76*INDEX(LenF,MATCH($N$7,LenU,0)))^2*(N(R76)*INDEX(LenF,MATCH($R$7,LenU,0))),INDEX(HeadK,MATCH(P76,HeadU,0))*(N76*INDEX(LenF,MATCH($N$7,LenU,0)))^3))+IF(Q76="",0,IF(Q76="Conical",PI()/12*(N76*INDEX(LenF,MATCH($N$7,LenU,0)))^2*(N(R76)*INDEX(LenF,MATCH($R$7,LenU,0))),INDEX(HeadK,MATCH(Q76,HeadU,0))*(N76*INDEX(LenF,MATCH($N$7,LenU,0)))^3)),0)))</f>
        <v/>
      </c>
      <c r="AF76" s="21" t="str">
        <f aca="false">IF(E76&lt;&gt;"Piping","",IF(AND(ISNUMBER(AS76),ISNUMBER(M76)),PI()/4*(AS76/1000)^2*M76*INDEX(LenF,MATCH($M$7,LenU,0)),0))</f>
        <v/>
      </c>
      <c r="AG76" s="21" t="str">
        <f aca="false">IF(E76="","",N(AD76)+N(AE76)+N(AF76))</f>
        <v/>
      </c>
      <c r="AH76" s="21" t="str">
        <f aca="false">IF(ISNUMBER(I76),I76*INDEX(WtF,MATCH($I$7,WtU,0))/WaterRho,"")</f>
        <v/>
      </c>
      <c r="AI76" s="11"/>
      <c r="AJ76" s="11"/>
      <c r="AK76" s="20"/>
      <c r="AL76" s="11"/>
      <c r="AM76" s="21" t="str">
        <f aca="false">IF(AO76="","",AO76*IF(ISNUMBER(AK76),AK76,DefFills)*(1+IF(ISNUMBER(AL76),AL76,DefAllow)))</f>
        <v/>
      </c>
      <c r="AN76" s="22" t="str">
        <f aca="false">IF(G76="Given volume",IF(ISNUMBER(H76),H76*INDEX(VolF,MATCH($H$7,VolU,0)),""),IF(G76="Water weight",AH76,IF(N(AG76)=0,"",AG76)))</f>
        <v/>
      </c>
      <c r="AO76" s="22" t="str">
        <f aca="false">IF(N(AN76)=0,"",AN76*AT76*IF(ISNUMBER(AJ76),AJ76,DefCirc))</f>
        <v/>
      </c>
      <c r="AP76" s="9" t="n">
        <f aca="false">IF(ISNUMBER(T76),T76*INDEX(LenF,MATCH($T$7,LenU,0)),IF(ISNUMBER(W76),W76*INDEX(LenF,MATCH($W$7,LenU,0))/PitchRatio,0))</f>
        <v>0</v>
      </c>
      <c r="AQ76" s="9" t="n">
        <f aca="false">IF(ISNUMBER(N76),PI()/4*(N76*INDEX(LenF,MATCH($N$7,LenU,0)))^2,IF(AND(ISNUMBER(S76),ISNUMBER(W76),X76&lt;&gt;""),S76*(W76*INDEX(LenF,MATCH($W$7,LenU,0)))^2*INDEX(LayoutF,MATCH(X76,LayoutU,0)),0))</f>
        <v>0</v>
      </c>
      <c r="AR76" s="9" t="n">
        <f aca="false">IF(ISNUMBER(O76),O76*INDEX(LenF,MATCH($O$7,LenU,0)),IF(ISNUMBER(V76),V76*INDEX(LenF,MATCH($V$7,LenU,0)),0))</f>
        <v>0</v>
      </c>
      <c r="AS76" s="9" t="str">
        <f aca="false">IF(ISNUMBER(L76),L76*INDEX(LenF,MATCH($L$7,LenU,0))*1000,IF(OR(J76="",K76=""),"",IFERROR(IF(INDEX(PipeWT,MATCH(J76,NPSU,0),MATCH(K76,SchU,0))="","Sch n/a",INDEX(PipeOD,MATCH(J76,NPSU,0))-2*INDEX(PipeWT,MATCH(J76,NPSU,0),MATCH(K76,SchU,0))),"")))</f>
        <v/>
      </c>
      <c r="AT76" s="9" t="n">
        <f aca="false">IF(ISNUMBER(AI76),AI76,IFERROR(INDEX(IF(JobType="Decontamination",TypeFillDC,TypeFillCC),MATCH(E76,TypeL,0)),1))</f>
        <v>1</v>
      </c>
      <c r="AU76" s="9" t="n">
        <v>3</v>
      </c>
    </row>
    <row r="77" customFormat="false" ht="15" hidden="false" customHeight="false" outlineLevel="0" collapsed="false">
      <c r="A77" s="16" t="n">
        <v>2</v>
      </c>
      <c r="B77" s="20"/>
      <c r="C77" s="5"/>
      <c r="D77" s="5"/>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1" t="str">
        <f aca="false">IF(E77="Exchanger",IF(AND(ISNUMBER(S77),ISNUMBER(U77),ISNUMBER(V77)),S77*PI()/4*(U77*INDEX(LenF,MATCH($U$7,LenU,0)))^2*V77*INDEX(LenF,MATCH($V$7,LenU,0)),0)+IF(ISNUMBER(Y77),PI()/4*(Y77*INDEX(LenF,MATCH($Y$7,LenU,0)))^2*N(Z77)*INDEX(LenF,MATCH($Z$7,LenU,0))+IF(AA77="",0,IF(AA77="Conical",PI()/12*(Y77*INDEX(LenF,MATCH($Y$7,LenU,0)))^2*(0),INDEX(HeadK,MATCH(AA77,HeadU,0))*(Y77*INDEX(LenF,MATCH($Y$7,LenU,0)))^3)),0)+IF(ISNUMBER(Y77),PI()/4*(Y77*INDEX(LenF,MATCH($Y$7,LenU,0)))^2*N(AB77)*INDEX(LenF,MATCH($AB$7,LenU,0))+IF(AC77="",0,IF(AC77="Conical",PI()/12*(Y77*INDEX(LenF,MATCH($Y$7,LenU,0)))^2*(0),INDEX(HeadK,MATCH(AC77,HeadU,0))*(Y77*INDEX(LenF,MATCH($Y$7,LenU,0)))^3)),0),"")</f>
        <v/>
      </c>
      <c r="AE77" s="21" t="str">
        <f aca="false">IF(OR(E77="",E77="Piping"),"",IF(E77="Exchanger",AQ77*AR77+IF(P77="",0,IF(P77="Conical",PI()/12*(SQRT(4*AQ77/PI()))^2*(0),INDEX(HeadK,MATCH(P77,HeadU,0))*(SQRT(4*AQ77/PI()))^3))-IF(AND(ISNUMBER(S77),ISNUMBER(V77)),S77*PI()/4*AP77^2*V77*INDEX(LenF,MATCH($V$7,LenU,0)),0),IF(ISNUMBER(N77),PI()/4*(N77*INDEX(LenF,MATCH($N$7,LenU,0)))^2*N(O77)*INDEX(LenF,MATCH($O$7,LenU,0))+IF(P77="",0,IF(P77="Conical",PI()/12*(N77*INDEX(LenF,MATCH($N$7,LenU,0)))^2*(N(R77)*INDEX(LenF,MATCH($R$7,LenU,0))),INDEX(HeadK,MATCH(P77,HeadU,0))*(N77*INDEX(LenF,MATCH($N$7,LenU,0)))^3))+IF(Q77="",0,IF(Q77="Conical",PI()/12*(N77*INDEX(LenF,MATCH($N$7,LenU,0)))^2*(N(R77)*INDEX(LenF,MATCH($R$7,LenU,0))),INDEX(HeadK,MATCH(Q77,HeadU,0))*(N77*INDEX(LenF,MATCH($N$7,LenU,0)))^3)),0)))</f>
        <v/>
      </c>
      <c r="AF77" s="21" t="str">
        <f aca="false">IF(E77&lt;&gt;"Piping","",IF(AND(ISNUMBER(AS77),ISNUMBER(M77)),PI()/4*(AS77/1000)^2*M77*INDEX(LenF,MATCH($M$7,LenU,0)),0))</f>
        <v/>
      </c>
      <c r="AG77" s="21" t="str">
        <f aca="false">IF(E77="","",N(AD77)+N(AE77)+N(AF77))</f>
        <v/>
      </c>
      <c r="AH77" s="21" t="str">
        <f aca="false">IF(ISNUMBER(I77),I77*INDEX(WtF,MATCH($I$7,WtU,0))/WaterRho,"")</f>
        <v/>
      </c>
      <c r="AI77" s="11"/>
      <c r="AJ77" s="11"/>
      <c r="AK77" s="20"/>
      <c r="AL77" s="11"/>
      <c r="AM77" s="21" t="str">
        <f aca="false">IF(AO77="","",AO77*IF(ISNUMBER(AK77),AK77,DefFills)*(1+IF(ISNUMBER(AL77),AL77,DefAllow)))</f>
        <v/>
      </c>
      <c r="AN77" s="22" t="str">
        <f aca="false">IF(G77="Given volume",IF(ISNUMBER(H77),H77*INDEX(VolF,MATCH($H$7,VolU,0)),""),IF(G77="Water weight",AH77,IF(N(AG77)=0,"",AG77)))</f>
        <v/>
      </c>
      <c r="AO77" s="22" t="str">
        <f aca="false">IF(N(AN77)=0,"",AN77*AT77*IF(ISNUMBER(AJ77),AJ77,DefCirc))</f>
        <v/>
      </c>
      <c r="AP77" s="9" t="n">
        <f aca="false">IF(ISNUMBER(T77),T77*INDEX(LenF,MATCH($T$7,LenU,0)),IF(ISNUMBER(W77),W77*INDEX(LenF,MATCH($W$7,LenU,0))/PitchRatio,0))</f>
        <v>0</v>
      </c>
      <c r="AQ77" s="9" t="n">
        <f aca="false">IF(ISNUMBER(N77),PI()/4*(N77*INDEX(LenF,MATCH($N$7,LenU,0)))^2,IF(AND(ISNUMBER(S77),ISNUMBER(W77),X77&lt;&gt;""),S77*(W77*INDEX(LenF,MATCH($W$7,LenU,0)))^2*INDEX(LayoutF,MATCH(X77,LayoutU,0)),0))</f>
        <v>0</v>
      </c>
      <c r="AR77" s="9" t="n">
        <f aca="false">IF(ISNUMBER(O77),O77*INDEX(LenF,MATCH($O$7,LenU,0)),IF(ISNUMBER(V77),V77*INDEX(LenF,MATCH($V$7,LenU,0)),0))</f>
        <v>0</v>
      </c>
      <c r="AS77" s="9" t="str">
        <f aca="false">IF(ISNUMBER(L77),L77*INDEX(LenF,MATCH($L$7,LenU,0))*1000,IF(OR(J77="",K77=""),"",IFERROR(IF(INDEX(PipeWT,MATCH(J77,NPSU,0),MATCH(K77,SchU,0))="","Sch n/a",INDEX(PipeOD,MATCH(J77,NPSU,0))-2*INDEX(PipeWT,MATCH(J77,NPSU,0),MATCH(K77,SchU,0))),"")))</f>
        <v/>
      </c>
      <c r="AT77" s="9" t="n">
        <f aca="false">IF(ISNUMBER(AI77),AI77,IFERROR(INDEX(IF(JobType="Decontamination",TypeFillDC,TypeFillCC),MATCH(E77,TypeL,0)),1))</f>
        <v>1</v>
      </c>
      <c r="AU77" s="9" t="n">
        <v>3</v>
      </c>
    </row>
    <row r="78" customFormat="false" ht="15" hidden="false" customHeight="false" outlineLevel="0" collapsed="false">
      <c r="A78" s="16" t="n">
        <v>3</v>
      </c>
      <c r="B78" s="20"/>
      <c r="C78" s="5"/>
      <c r="D78" s="5"/>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1" t="str">
        <f aca="false">IF(E78="Exchanger",IF(AND(ISNUMBER(S78),ISNUMBER(U78),ISNUMBER(V78)),S78*PI()/4*(U78*INDEX(LenF,MATCH($U$7,LenU,0)))^2*V78*INDEX(LenF,MATCH($V$7,LenU,0)),0)+IF(ISNUMBER(Y78),PI()/4*(Y78*INDEX(LenF,MATCH($Y$7,LenU,0)))^2*N(Z78)*INDEX(LenF,MATCH($Z$7,LenU,0))+IF(AA78="",0,IF(AA78="Conical",PI()/12*(Y78*INDEX(LenF,MATCH($Y$7,LenU,0)))^2*(0),INDEX(HeadK,MATCH(AA78,HeadU,0))*(Y78*INDEX(LenF,MATCH($Y$7,LenU,0)))^3)),0)+IF(ISNUMBER(Y78),PI()/4*(Y78*INDEX(LenF,MATCH($Y$7,LenU,0)))^2*N(AB78)*INDEX(LenF,MATCH($AB$7,LenU,0))+IF(AC78="",0,IF(AC78="Conical",PI()/12*(Y78*INDEX(LenF,MATCH($Y$7,LenU,0)))^2*(0),INDEX(HeadK,MATCH(AC78,HeadU,0))*(Y78*INDEX(LenF,MATCH($Y$7,LenU,0)))^3)),0),"")</f>
        <v/>
      </c>
      <c r="AE78" s="21" t="str">
        <f aca="false">IF(OR(E78="",E78="Piping"),"",IF(E78="Exchanger",AQ78*AR78+IF(P78="",0,IF(P78="Conical",PI()/12*(SQRT(4*AQ78/PI()))^2*(0),INDEX(HeadK,MATCH(P78,HeadU,0))*(SQRT(4*AQ78/PI()))^3))-IF(AND(ISNUMBER(S78),ISNUMBER(V78)),S78*PI()/4*AP78^2*V78*INDEX(LenF,MATCH($V$7,LenU,0)),0),IF(ISNUMBER(N78),PI()/4*(N78*INDEX(LenF,MATCH($N$7,LenU,0)))^2*N(O78)*INDEX(LenF,MATCH($O$7,LenU,0))+IF(P78="",0,IF(P78="Conical",PI()/12*(N78*INDEX(LenF,MATCH($N$7,LenU,0)))^2*(N(R78)*INDEX(LenF,MATCH($R$7,LenU,0))),INDEX(HeadK,MATCH(P78,HeadU,0))*(N78*INDEX(LenF,MATCH($N$7,LenU,0)))^3))+IF(Q78="",0,IF(Q78="Conical",PI()/12*(N78*INDEX(LenF,MATCH($N$7,LenU,0)))^2*(N(R78)*INDEX(LenF,MATCH($R$7,LenU,0))),INDEX(HeadK,MATCH(Q78,HeadU,0))*(N78*INDEX(LenF,MATCH($N$7,LenU,0)))^3)),0)))</f>
        <v/>
      </c>
      <c r="AF78" s="21" t="str">
        <f aca="false">IF(E78&lt;&gt;"Piping","",IF(AND(ISNUMBER(AS78),ISNUMBER(M78)),PI()/4*(AS78/1000)^2*M78*INDEX(LenF,MATCH($M$7,LenU,0)),0))</f>
        <v/>
      </c>
      <c r="AG78" s="21" t="str">
        <f aca="false">IF(E78="","",N(AD78)+N(AE78)+N(AF78))</f>
        <v/>
      </c>
      <c r="AH78" s="21" t="str">
        <f aca="false">IF(ISNUMBER(I78),I78*INDEX(WtF,MATCH($I$7,WtU,0))/WaterRho,"")</f>
        <v/>
      </c>
      <c r="AI78" s="11"/>
      <c r="AJ78" s="11"/>
      <c r="AK78" s="20"/>
      <c r="AL78" s="11"/>
      <c r="AM78" s="21" t="str">
        <f aca="false">IF(AO78="","",AO78*IF(ISNUMBER(AK78),AK78,DefFills)*(1+IF(ISNUMBER(AL78),AL78,DefAllow)))</f>
        <v/>
      </c>
      <c r="AN78" s="22" t="str">
        <f aca="false">IF(G78="Given volume",IF(ISNUMBER(H78),H78*INDEX(VolF,MATCH($H$7,VolU,0)),""),IF(G78="Water weight",AH78,IF(N(AG78)=0,"",AG78)))</f>
        <v/>
      </c>
      <c r="AO78" s="22" t="str">
        <f aca="false">IF(N(AN78)=0,"",AN78*AT78*IF(ISNUMBER(AJ78),AJ78,DefCirc))</f>
        <v/>
      </c>
      <c r="AP78" s="9" t="n">
        <f aca="false">IF(ISNUMBER(T78),T78*INDEX(LenF,MATCH($T$7,LenU,0)),IF(ISNUMBER(W78),W78*INDEX(LenF,MATCH($W$7,LenU,0))/PitchRatio,0))</f>
        <v>0</v>
      </c>
      <c r="AQ78" s="9" t="n">
        <f aca="false">IF(ISNUMBER(N78),PI()/4*(N78*INDEX(LenF,MATCH($N$7,LenU,0)))^2,IF(AND(ISNUMBER(S78),ISNUMBER(W78),X78&lt;&gt;""),S78*(W78*INDEX(LenF,MATCH($W$7,LenU,0)))^2*INDEX(LayoutF,MATCH(X78,LayoutU,0)),0))</f>
        <v>0</v>
      </c>
      <c r="AR78" s="9" t="n">
        <f aca="false">IF(ISNUMBER(O78),O78*INDEX(LenF,MATCH($O$7,LenU,0)),IF(ISNUMBER(V78),V78*INDEX(LenF,MATCH($V$7,LenU,0)),0))</f>
        <v>0</v>
      </c>
      <c r="AS78" s="9" t="str">
        <f aca="false">IF(ISNUMBER(L78),L78*INDEX(LenF,MATCH($L$7,LenU,0))*1000,IF(OR(J78="",K78=""),"",IFERROR(IF(INDEX(PipeWT,MATCH(J78,NPSU,0),MATCH(K78,SchU,0))="","Sch n/a",INDEX(PipeOD,MATCH(J78,NPSU,0))-2*INDEX(PipeWT,MATCH(J78,NPSU,0),MATCH(K78,SchU,0))),"")))</f>
        <v/>
      </c>
      <c r="AT78" s="9" t="n">
        <f aca="false">IF(ISNUMBER(AI78),AI78,IFERROR(INDEX(IF(JobType="Decontamination",TypeFillDC,TypeFillCC),MATCH(E78,TypeL,0)),1))</f>
        <v>1</v>
      </c>
      <c r="AU78" s="9" t="n">
        <v>3</v>
      </c>
    </row>
    <row r="79" customFormat="false" ht="15" hidden="false" customHeight="false" outlineLevel="0" collapsed="false">
      <c r="A79" s="16" t="n">
        <v>4</v>
      </c>
      <c r="B79" s="20"/>
      <c r="C79" s="5"/>
      <c r="D79" s="5"/>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1" t="str">
        <f aca="false">IF(E79="Exchanger",IF(AND(ISNUMBER(S79),ISNUMBER(U79),ISNUMBER(V79)),S79*PI()/4*(U79*INDEX(LenF,MATCH($U$7,LenU,0)))^2*V79*INDEX(LenF,MATCH($V$7,LenU,0)),0)+IF(ISNUMBER(Y79),PI()/4*(Y79*INDEX(LenF,MATCH($Y$7,LenU,0)))^2*N(Z79)*INDEX(LenF,MATCH($Z$7,LenU,0))+IF(AA79="",0,IF(AA79="Conical",PI()/12*(Y79*INDEX(LenF,MATCH($Y$7,LenU,0)))^2*(0),INDEX(HeadK,MATCH(AA79,HeadU,0))*(Y79*INDEX(LenF,MATCH($Y$7,LenU,0)))^3)),0)+IF(ISNUMBER(Y79),PI()/4*(Y79*INDEX(LenF,MATCH($Y$7,LenU,0)))^2*N(AB79)*INDEX(LenF,MATCH($AB$7,LenU,0))+IF(AC79="",0,IF(AC79="Conical",PI()/12*(Y79*INDEX(LenF,MATCH($Y$7,LenU,0)))^2*(0),INDEX(HeadK,MATCH(AC79,HeadU,0))*(Y79*INDEX(LenF,MATCH($Y$7,LenU,0)))^3)),0),"")</f>
        <v/>
      </c>
      <c r="AE79" s="21" t="str">
        <f aca="false">IF(OR(E79="",E79="Piping"),"",IF(E79="Exchanger",AQ79*AR79+IF(P79="",0,IF(P79="Conical",PI()/12*(SQRT(4*AQ79/PI()))^2*(0),INDEX(HeadK,MATCH(P79,HeadU,0))*(SQRT(4*AQ79/PI()))^3))-IF(AND(ISNUMBER(S79),ISNUMBER(V79)),S79*PI()/4*AP79^2*V79*INDEX(LenF,MATCH($V$7,LenU,0)),0),IF(ISNUMBER(N79),PI()/4*(N79*INDEX(LenF,MATCH($N$7,LenU,0)))^2*N(O79)*INDEX(LenF,MATCH($O$7,LenU,0))+IF(P79="",0,IF(P79="Conical",PI()/12*(N79*INDEX(LenF,MATCH($N$7,LenU,0)))^2*(N(R79)*INDEX(LenF,MATCH($R$7,LenU,0))),INDEX(HeadK,MATCH(P79,HeadU,0))*(N79*INDEX(LenF,MATCH($N$7,LenU,0)))^3))+IF(Q79="",0,IF(Q79="Conical",PI()/12*(N79*INDEX(LenF,MATCH($N$7,LenU,0)))^2*(N(R79)*INDEX(LenF,MATCH($R$7,LenU,0))),INDEX(HeadK,MATCH(Q79,HeadU,0))*(N79*INDEX(LenF,MATCH($N$7,LenU,0)))^3)),0)))</f>
        <v/>
      </c>
      <c r="AF79" s="21" t="str">
        <f aca="false">IF(E79&lt;&gt;"Piping","",IF(AND(ISNUMBER(AS79),ISNUMBER(M79)),PI()/4*(AS79/1000)^2*M79*INDEX(LenF,MATCH($M$7,LenU,0)),0))</f>
        <v/>
      </c>
      <c r="AG79" s="21" t="str">
        <f aca="false">IF(E79="","",N(AD79)+N(AE79)+N(AF79))</f>
        <v/>
      </c>
      <c r="AH79" s="21" t="str">
        <f aca="false">IF(ISNUMBER(I79),I79*INDEX(WtF,MATCH($I$7,WtU,0))/WaterRho,"")</f>
        <v/>
      </c>
      <c r="AI79" s="11"/>
      <c r="AJ79" s="11"/>
      <c r="AK79" s="20"/>
      <c r="AL79" s="11"/>
      <c r="AM79" s="21" t="str">
        <f aca="false">IF(AO79="","",AO79*IF(ISNUMBER(AK79),AK79,DefFills)*(1+IF(ISNUMBER(AL79),AL79,DefAllow)))</f>
        <v/>
      </c>
      <c r="AN79" s="22" t="str">
        <f aca="false">IF(G79="Given volume",IF(ISNUMBER(H79),H79*INDEX(VolF,MATCH($H$7,VolU,0)),""),IF(G79="Water weight",AH79,IF(N(AG79)=0,"",AG79)))</f>
        <v/>
      </c>
      <c r="AO79" s="22" t="str">
        <f aca="false">IF(N(AN79)=0,"",AN79*AT79*IF(ISNUMBER(AJ79),AJ79,DefCirc))</f>
        <v/>
      </c>
      <c r="AP79" s="9" t="n">
        <f aca="false">IF(ISNUMBER(T79),T79*INDEX(LenF,MATCH($T$7,LenU,0)),IF(ISNUMBER(W79),W79*INDEX(LenF,MATCH($W$7,LenU,0))/PitchRatio,0))</f>
        <v>0</v>
      </c>
      <c r="AQ79" s="9" t="n">
        <f aca="false">IF(ISNUMBER(N79),PI()/4*(N79*INDEX(LenF,MATCH($N$7,LenU,0)))^2,IF(AND(ISNUMBER(S79),ISNUMBER(W79),X79&lt;&gt;""),S79*(W79*INDEX(LenF,MATCH($W$7,LenU,0)))^2*INDEX(LayoutF,MATCH(X79,LayoutU,0)),0))</f>
        <v>0</v>
      </c>
      <c r="AR79" s="9" t="n">
        <f aca="false">IF(ISNUMBER(O79),O79*INDEX(LenF,MATCH($O$7,LenU,0)),IF(ISNUMBER(V79),V79*INDEX(LenF,MATCH($V$7,LenU,0)),0))</f>
        <v>0</v>
      </c>
      <c r="AS79" s="9" t="str">
        <f aca="false">IF(ISNUMBER(L79),L79*INDEX(LenF,MATCH($L$7,LenU,0))*1000,IF(OR(J79="",K79=""),"",IFERROR(IF(INDEX(PipeWT,MATCH(J79,NPSU,0),MATCH(K79,SchU,0))="","Sch n/a",INDEX(PipeOD,MATCH(J79,NPSU,0))-2*INDEX(PipeWT,MATCH(J79,NPSU,0),MATCH(K79,SchU,0))),"")))</f>
        <v/>
      </c>
      <c r="AT79" s="9" t="n">
        <f aca="false">IF(ISNUMBER(AI79),AI79,IFERROR(INDEX(IF(JobType="Decontamination",TypeFillDC,TypeFillCC),MATCH(E79,TypeL,0)),1))</f>
        <v>1</v>
      </c>
      <c r="AU79" s="9" t="n">
        <v>3</v>
      </c>
    </row>
    <row r="80" customFormat="false" ht="15" hidden="false" customHeight="false" outlineLevel="0" collapsed="false">
      <c r="A80" s="16" t="n">
        <v>5</v>
      </c>
      <c r="B80" s="20"/>
      <c r="C80" s="5"/>
      <c r="D80" s="5"/>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1" t="str">
        <f aca="false">IF(E80="Exchanger",IF(AND(ISNUMBER(S80),ISNUMBER(U80),ISNUMBER(V80)),S80*PI()/4*(U80*INDEX(LenF,MATCH($U$7,LenU,0)))^2*V80*INDEX(LenF,MATCH($V$7,LenU,0)),0)+IF(ISNUMBER(Y80),PI()/4*(Y80*INDEX(LenF,MATCH($Y$7,LenU,0)))^2*N(Z80)*INDEX(LenF,MATCH($Z$7,LenU,0))+IF(AA80="",0,IF(AA80="Conical",PI()/12*(Y80*INDEX(LenF,MATCH($Y$7,LenU,0)))^2*(0),INDEX(HeadK,MATCH(AA80,HeadU,0))*(Y80*INDEX(LenF,MATCH($Y$7,LenU,0)))^3)),0)+IF(ISNUMBER(Y80),PI()/4*(Y80*INDEX(LenF,MATCH($Y$7,LenU,0)))^2*N(AB80)*INDEX(LenF,MATCH($AB$7,LenU,0))+IF(AC80="",0,IF(AC80="Conical",PI()/12*(Y80*INDEX(LenF,MATCH($Y$7,LenU,0)))^2*(0),INDEX(HeadK,MATCH(AC80,HeadU,0))*(Y80*INDEX(LenF,MATCH($Y$7,LenU,0)))^3)),0),"")</f>
        <v/>
      </c>
      <c r="AE80" s="21" t="str">
        <f aca="false">IF(OR(E80="",E80="Piping"),"",IF(E80="Exchanger",AQ80*AR80+IF(P80="",0,IF(P80="Conical",PI()/12*(SQRT(4*AQ80/PI()))^2*(0),INDEX(HeadK,MATCH(P80,HeadU,0))*(SQRT(4*AQ80/PI()))^3))-IF(AND(ISNUMBER(S80),ISNUMBER(V80)),S80*PI()/4*AP80^2*V80*INDEX(LenF,MATCH($V$7,LenU,0)),0),IF(ISNUMBER(N80),PI()/4*(N80*INDEX(LenF,MATCH($N$7,LenU,0)))^2*N(O80)*INDEX(LenF,MATCH($O$7,LenU,0))+IF(P80="",0,IF(P80="Conical",PI()/12*(N80*INDEX(LenF,MATCH($N$7,LenU,0)))^2*(N(R80)*INDEX(LenF,MATCH($R$7,LenU,0))),INDEX(HeadK,MATCH(P80,HeadU,0))*(N80*INDEX(LenF,MATCH($N$7,LenU,0)))^3))+IF(Q80="",0,IF(Q80="Conical",PI()/12*(N80*INDEX(LenF,MATCH($N$7,LenU,0)))^2*(N(R80)*INDEX(LenF,MATCH($R$7,LenU,0))),INDEX(HeadK,MATCH(Q80,HeadU,0))*(N80*INDEX(LenF,MATCH($N$7,LenU,0)))^3)),0)))</f>
        <v/>
      </c>
      <c r="AF80" s="21" t="str">
        <f aca="false">IF(E80&lt;&gt;"Piping","",IF(AND(ISNUMBER(AS80),ISNUMBER(M80)),PI()/4*(AS80/1000)^2*M80*INDEX(LenF,MATCH($M$7,LenU,0)),0))</f>
        <v/>
      </c>
      <c r="AG80" s="21" t="str">
        <f aca="false">IF(E80="","",N(AD80)+N(AE80)+N(AF80))</f>
        <v/>
      </c>
      <c r="AH80" s="21" t="str">
        <f aca="false">IF(ISNUMBER(I80),I80*INDEX(WtF,MATCH($I$7,WtU,0))/WaterRho,"")</f>
        <v/>
      </c>
      <c r="AI80" s="11"/>
      <c r="AJ80" s="11"/>
      <c r="AK80" s="20"/>
      <c r="AL80" s="11"/>
      <c r="AM80" s="21" t="str">
        <f aca="false">IF(AO80="","",AO80*IF(ISNUMBER(AK80),AK80,DefFills)*(1+IF(ISNUMBER(AL80),AL80,DefAllow)))</f>
        <v/>
      </c>
      <c r="AN80" s="22" t="str">
        <f aca="false">IF(G80="Given volume",IF(ISNUMBER(H80),H80*INDEX(VolF,MATCH($H$7,VolU,0)),""),IF(G80="Water weight",AH80,IF(N(AG80)=0,"",AG80)))</f>
        <v/>
      </c>
      <c r="AO80" s="22" t="str">
        <f aca="false">IF(N(AN80)=0,"",AN80*AT80*IF(ISNUMBER(AJ80),AJ80,DefCirc))</f>
        <v/>
      </c>
      <c r="AP80" s="9" t="n">
        <f aca="false">IF(ISNUMBER(T80),T80*INDEX(LenF,MATCH($T$7,LenU,0)),IF(ISNUMBER(W80),W80*INDEX(LenF,MATCH($W$7,LenU,0))/PitchRatio,0))</f>
        <v>0</v>
      </c>
      <c r="AQ80" s="9" t="n">
        <f aca="false">IF(ISNUMBER(N80),PI()/4*(N80*INDEX(LenF,MATCH($N$7,LenU,0)))^2,IF(AND(ISNUMBER(S80),ISNUMBER(W80),X80&lt;&gt;""),S80*(W80*INDEX(LenF,MATCH($W$7,LenU,0)))^2*INDEX(LayoutF,MATCH(X80,LayoutU,0)),0))</f>
        <v>0</v>
      </c>
      <c r="AR80" s="9" t="n">
        <f aca="false">IF(ISNUMBER(O80),O80*INDEX(LenF,MATCH($O$7,LenU,0)),IF(ISNUMBER(V80),V80*INDEX(LenF,MATCH($V$7,LenU,0)),0))</f>
        <v>0</v>
      </c>
      <c r="AS80" s="9" t="str">
        <f aca="false">IF(ISNUMBER(L80),L80*INDEX(LenF,MATCH($L$7,LenU,0))*1000,IF(OR(J80="",K80=""),"",IFERROR(IF(INDEX(PipeWT,MATCH(J80,NPSU,0),MATCH(K80,SchU,0))="","Sch n/a",INDEX(PipeOD,MATCH(J80,NPSU,0))-2*INDEX(PipeWT,MATCH(J80,NPSU,0),MATCH(K80,SchU,0))),"")))</f>
        <v/>
      </c>
      <c r="AT80" s="9" t="n">
        <f aca="false">IF(ISNUMBER(AI80),AI80,IFERROR(INDEX(IF(JobType="Decontamination",TypeFillDC,TypeFillCC),MATCH(E80,TypeL,0)),1))</f>
        <v>1</v>
      </c>
      <c r="AU80" s="9" t="n">
        <v>3</v>
      </c>
    </row>
    <row r="81" customFormat="false" ht="15" hidden="false" customHeight="false" outlineLevel="0" collapsed="false">
      <c r="A81" s="16" t="n">
        <v>6</v>
      </c>
      <c r="B81" s="20"/>
      <c r="C81" s="5"/>
      <c r="D81" s="5"/>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1" t="str">
        <f aca="false">IF(E81="Exchanger",IF(AND(ISNUMBER(S81),ISNUMBER(U81),ISNUMBER(V81)),S81*PI()/4*(U81*INDEX(LenF,MATCH($U$7,LenU,0)))^2*V81*INDEX(LenF,MATCH($V$7,LenU,0)),0)+IF(ISNUMBER(Y81),PI()/4*(Y81*INDEX(LenF,MATCH($Y$7,LenU,0)))^2*N(Z81)*INDEX(LenF,MATCH($Z$7,LenU,0))+IF(AA81="",0,IF(AA81="Conical",PI()/12*(Y81*INDEX(LenF,MATCH($Y$7,LenU,0)))^2*(0),INDEX(HeadK,MATCH(AA81,HeadU,0))*(Y81*INDEX(LenF,MATCH($Y$7,LenU,0)))^3)),0)+IF(ISNUMBER(Y81),PI()/4*(Y81*INDEX(LenF,MATCH($Y$7,LenU,0)))^2*N(AB81)*INDEX(LenF,MATCH($AB$7,LenU,0))+IF(AC81="",0,IF(AC81="Conical",PI()/12*(Y81*INDEX(LenF,MATCH($Y$7,LenU,0)))^2*(0),INDEX(HeadK,MATCH(AC81,HeadU,0))*(Y81*INDEX(LenF,MATCH($Y$7,LenU,0)))^3)),0),"")</f>
        <v/>
      </c>
      <c r="AE81" s="21" t="str">
        <f aca="false">IF(OR(E81="",E81="Piping"),"",IF(E81="Exchanger",AQ81*AR81+IF(P81="",0,IF(P81="Conical",PI()/12*(SQRT(4*AQ81/PI()))^2*(0),INDEX(HeadK,MATCH(P81,HeadU,0))*(SQRT(4*AQ81/PI()))^3))-IF(AND(ISNUMBER(S81),ISNUMBER(V81)),S81*PI()/4*AP81^2*V81*INDEX(LenF,MATCH($V$7,LenU,0)),0),IF(ISNUMBER(N81),PI()/4*(N81*INDEX(LenF,MATCH($N$7,LenU,0)))^2*N(O81)*INDEX(LenF,MATCH($O$7,LenU,0))+IF(P81="",0,IF(P81="Conical",PI()/12*(N81*INDEX(LenF,MATCH($N$7,LenU,0)))^2*(N(R81)*INDEX(LenF,MATCH($R$7,LenU,0))),INDEX(HeadK,MATCH(P81,HeadU,0))*(N81*INDEX(LenF,MATCH($N$7,LenU,0)))^3))+IF(Q81="",0,IF(Q81="Conical",PI()/12*(N81*INDEX(LenF,MATCH($N$7,LenU,0)))^2*(N(R81)*INDEX(LenF,MATCH($R$7,LenU,0))),INDEX(HeadK,MATCH(Q81,HeadU,0))*(N81*INDEX(LenF,MATCH($N$7,LenU,0)))^3)),0)))</f>
        <v/>
      </c>
      <c r="AF81" s="21" t="str">
        <f aca="false">IF(E81&lt;&gt;"Piping","",IF(AND(ISNUMBER(AS81),ISNUMBER(M81)),PI()/4*(AS81/1000)^2*M81*INDEX(LenF,MATCH($M$7,LenU,0)),0))</f>
        <v/>
      </c>
      <c r="AG81" s="21" t="str">
        <f aca="false">IF(E81="","",N(AD81)+N(AE81)+N(AF81))</f>
        <v/>
      </c>
      <c r="AH81" s="21" t="str">
        <f aca="false">IF(ISNUMBER(I81),I81*INDEX(WtF,MATCH($I$7,WtU,0))/WaterRho,"")</f>
        <v/>
      </c>
      <c r="AI81" s="11"/>
      <c r="AJ81" s="11"/>
      <c r="AK81" s="20"/>
      <c r="AL81" s="11"/>
      <c r="AM81" s="21" t="str">
        <f aca="false">IF(AO81="","",AO81*IF(ISNUMBER(AK81),AK81,DefFills)*(1+IF(ISNUMBER(AL81),AL81,DefAllow)))</f>
        <v/>
      </c>
      <c r="AN81" s="22" t="str">
        <f aca="false">IF(G81="Given volume",IF(ISNUMBER(H81),H81*INDEX(VolF,MATCH($H$7,VolU,0)),""),IF(G81="Water weight",AH81,IF(N(AG81)=0,"",AG81)))</f>
        <v/>
      </c>
      <c r="AO81" s="22" t="str">
        <f aca="false">IF(N(AN81)=0,"",AN81*AT81*IF(ISNUMBER(AJ81),AJ81,DefCirc))</f>
        <v/>
      </c>
      <c r="AP81" s="9" t="n">
        <f aca="false">IF(ISNUMBER(T81),T81*INDEX(LenF,MATCH($T$7,LenU,0)),IF(ISNUMBER(W81),W81*INDEX(LenF,MATCH($W$7,LenU,0))/PitchRatio,0))</f>
        <v>0</v>
      </c>
      <c r="AQ81" s="9" t="n">
        <f aca="false">IF(ISNUMBER(N81),PI()/4*(N81*INDEX(LenF,MATCH($N$7,LenU,0)))^2,IF(AND(ISNUMBER(S81),ISNUMBER(W81),X81&lt;&gt;""),S81*(W81*INDEX(LenF,MATCH($W$7,LenU,0)))^2*INDEX(LayoutF,MATCH(X81,LayoutU,0)),0))</f>
        <v>0</v>
      </c>
      <c r="AR81" s="9" t="n">
        <f aca="false">IF(ISNUMBER(O81),O81*INDEX(LenF,MATCH($O$7,LenU,0)),IF(ISNUMBER(V81),V81*INDEX(LenF,MATCH($V$7,LenU,0)),0))</f>
        <v>0</v>
      </c>
      <c r="AS81" s="9" t="str">
        <f aca="false">IF(ISNUMBER(L81),L81*INDEX(LenF,MATCH($L$7,LenU,0))*1000,IF(OR(J81="",K81=""),"",IFERROR(IF(INDEX(PipeWT,MATCH(J81,NPSU,0),MATCH(K81,SchU,0))="","Sch n/a",INDEX(PipeOD,MATCH(J81,NPSU,0))-2*INDEX(PipeWT,MATCH(J81,NPSU,0),MATCH(K81,SchU,0))),"")))</f>
        <v/>
      </c>
      <c r="AT81" s="9" t="n">
        <f aca="false">IF(ISNUMBER(AI81),AI81,IFERROR(INDEX(IF(JobType="Decontamination",TypeFillDC,TypeFillCC),MATCH(E81,TypeL,0)),1))</f>
        <v>1</v>
      </c>
      <c r="AU81" s="9" t="n">
        <v>3</v>
      </c>
    </row>
    <row r="82" customFormat="false" ht="15" hidden="false" customHeight="false" outlineLevel="0" collapsed="false">
      <c r="A82" s="16" t="n">
        <v>7</v>
      </c>
      <c r="B82" s="20"/>
      <c r="C82" s="5"/>
      <c r="D82" s="5"/>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1" t="str">
        <f aca="false">IF(E82="Exchanger",IF(AND(ISNUMBER(S82),ISNUMBER(U82),ISNUMBER(V82)),S82*PI()/4*(U82*INDEX(LenF,MATCH($U$7,LenU,0)))^2*V82*INDEX(LenF,MATCH($V$7,LenU,0)),0)+IF(ISNUMBER(Y82),PI()/4*(Y82*INDEX(LenF,MATCH($Y$7,LenU,0)))^2*N(Z82)*INDEX(LenF,MATCH($Z$7,LenU,0))+IF(AA82="",0,IF(AA82="Conical",PI()/12*(Y82*INDEX(LenF,MATCH($Y$7,LenU,0)))^2*(0),INDEX(HeadK,MATCH(AA82,HeadU,0))*(Y82*INDEX(LenF,MATCH($Y$7,LenU,0)))^3)),0)+IF(ISNUMBER(Y82),PI()/4*(Y82*INDEX(LenF,MATCH($Y$7,LenU,0)))^2*N(AB82)*INDEX(LenF,MATCH($AB$7,LenU,0))+IF(AC82="",0,IF(AC82="Conical",PI()/12*(Y82*INDEX(LenF,MATCH($Y$7,LenU,0)))^2*(0),INDEX(HeadK,MATCH(AC82,HeadU,0))*(Y82*INDEX(LenF,MATCH($Y$7,LenU,0)))^3)),0),"")</f>
        <v/>
      </c>
      <c r="AE82" s="21" t="str">
        <f aca="false">IF(OR(E82="",E82="Piping"),"",IF(E82="Exchanger",AQ82*AR82+IF(P82="",0,IF(P82="Conical",PI()/12*(SQRT(4*AQ82/PI()))^2*(0),INDEX(HeadK,MATCH(P82,HeadU,0))*(SQRT(4*AQ82/PI()))^3))-IF(AND(ISNUMBER(S82),ISNUMBER(V82)),S82*PI()/4*AP82^2*V82*INDEX(LenF,MATCH($V$7,LenU,0)),0),IF(ISNUMBER(N82),PI()/4*(N82*INDEX(LenF,MATCH($N$7,LenU,0)))^2*N(O82)*INDEX(LenF,MATCH($O$7,LenU,0))+IF(P82="",0,IF(P82="Conical",PI()/12*(N82*INDEX(LenF,MATCH($N$7,LenU,0)))^2*(N(R82)*INDEX(LenF,MATCH($R$7,LenU,0))),INDEX(HeadK,MATCH(P82,HeadU,0))*(N82*INDEX(LenF,MATCH($N$7,LenU,0)))^3))+IF(Q82="",0,IF(Q82="Conical",PI()/12*(N82*INDEX(LenF,MATCH($N$7,LenU,0)))^2*(N(R82)*INDEX(LenF,MATCH($R$7,LenU,0))),INDEX(HeadK,MATCH(Q82,HeadU,0))*(N82*INDEX(LenF,MATCH($N$7,LenU,0)))^3)),0)))</f>
        <v/>
      </c>
      <c r="AF82" s="21" t="str">
        <f aca="false">IF(E82&lt;&gt;"Piping","",IF(AND(ISNUMBER(AS82),ISNUMBER(M82)),PI()/4*(AS82/1000)^2*M82*INDEX(LenF,MATCH($M$7,LenU,0)),0))</f>
        <v/>
      </c>
      <c r="AG82" s="21" t="str">
        <f aca="false">IF(E82="","",N(AD82)+N(AE82)+N(AF82))</f>
        <v/>
      </c>
      <c r="AH82" s="21" t="str">
        <f aca="false">IF(ISNUMBER(I82),I82*INDEX(WtF,MATCH($I$7,WtU,0))/WaterRho,"")</f>
        <v/>
      </c>
      <c r="AI82" s="11"/>
      <c r="AJ82" s="11"/>
      <c r="AK82" s="20"/>
      <c r="AL82" s="11"/>
      <c r="AM82" s="21" t="str">
        <f aca="false">IF(AO82="","",AO82*IF(ISNUMBER(AK82),AK82,DefFills)*(1+IF(ISNUMBER(AL82),AL82,DefAllow)))</f>
        <v/>
      </c>
      <c r="AN82" s="22" t="str">
        <f aca="false">IF(G82="Given volume",IF(ISNUMBER(H82),H82*INDEX(VolF,MATCH($H$7,VolU,0)),""),IF(G82="Water weight",AH82,IF(N(AG82)=0,"",AG82)))</f>
        <v/>
      </c>
      <c r="AO82" s="22" t="str">
        <f aca="false">IF(N(AN82)=0,"",AN82*AT82*IF(ISNUMBER(AJ82),AJ82,DefCirc))</f>
        <v/>
      </c>
      <c r="AP82" s="9" t="n">
        <f aca="false">IF(ISNUMBER(T82),T82*INDEX(LenF,MATCH($T$7,LenU,0)),IF(ISNUMBER(W82),W82*INDEX(LenF,MATCH($W$7,LenU,0))/PitchRatio,0))</f>
        <v>0</v>
      </c>
      <c r="AQ82" s="9" t="n">
        <f aca="false">IF(ISNUMBER(N82),PI()/4*(N82*INDEX(LenF,MATCH($N$7,LenU,0)))^2,IF(AND(ISNUMBER(S82),ISNUMBER(W82),X82&lt;&gt;""),S82*(W82*INDEX(LenF,MATCH($W$7,LenU,0)))^2*INDEX(LayoutF,MATCH(X82,LayoutU,0)),0))</f>
        <v>0</v>
      </c>
      <c r="AR82" s="9" t="n">
        <f aca="false">IF(ISNUMBER(O82),O82*INDEX(LenF,MATCH($O$7,LenU,0)),IF(ISNUMBER(V82),V82*INDEX(LenF,MATCH($V$7,LenU,0)),0))</f>
        <v>0</v>
      </c>
      <c r="AS82" s="9" t="str">
        <f aca="false">IF(ISNUMBER(L82),L82*INDEX(LenF,MATCH($L$7,LenU,0))*1000,IF(OR(J82="",K82=""),"",IFERROR(IF(INDEX(PipeWT,MATCH(J82,NPSU,0),MATCH(K82,SchU,0))="","Sch n/a",INDEX(PipeOD,MATCH(J82,NPSU,0))-2*INDEX(PipeWT,MATCH(J82,NPSU,0),MATCH(K82,SchU,0))),"")))</f>
        <v/>
      </c>
      <c r="AT82" s="9" t="n">
        <f aca="false">IF(ISNUMBER(AI82),AI82,IFERROR(INDEX(IF(JobType="Decontamination",TypeFillDC,TypeFillCC),MATCH(E82,TypeL,0)),1))</f>
        <v>1</v>
      </c>
      <c r="AU82" s="9" t="n">
        <v>3</v>
      </c>
    </row>
    <row r="83" customFormat="false" ht="15" hidden="false" customHeight="false" outlineLevel="0" collapsed="false">
      <c r="A83" s="16" t="n">
        <v>8</v>
      </c>
      <c r="B83" s="20"/>
      <c r="C83" s="5"/>
      <c r="D83" s="5"/>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1" t="str">
        <f aca="false">IF(E83="Exchanger",IF(AND(ISNUMBER(S83),ISNUMBER(U83),ISNUMBER(V83)),S83*PI()/4*(U83*INDEX(LenF,MATCH($U$7,LenU,0)))^2*V83*INDEX(LenF,MATCH($V$7,LenU,0)),0)+IF(ISNUMBER(Y83),PI()/4*(Y83*INDEX(LenF,MATCH($Y$7,LenU,0)))^2*N(Z83)*INDEX(LenF,MATCH($Z$7,LenU,0))+IF(AA83="",0,IF(AA83="Conical",PI()/12*(Y83*INDEX(LenF,MATCH($Y$7,LenU,0)))^2*(0),INDEX(HeadK,MATCH(AA83,HeadU,0))*(Y83*INDEX(LenF,MATCH($Y$7,LenU,0)))^3)),0)+IF(ISNUMBER(Y83),PI()/4*(Y83*INDEX(LenF,MATCH($Y$7,LenU,0)))^2*N(AB83)*INDEX(LenF,MATCH($AB$7,LenU,0))+IF(AC83="",0,IF(AC83="Conical",PI()/12*(Y83*INDEX(LenF,MATCH($Y$7,LenU,0)))^2*(0),INDEX(HeadK,MATCH(AC83,HeadU,0))*(Y83*INDEX(LenF,MATCH($Y$7,LenU,0)))^3)),0),"")</f>
        <v/>
      </c>
      <c r="AE83" s="21" t="str">
        <f aca="false">IF(OR(E83="",E83="Piping"),"",IF(E83="Exchanger",AQ83*AR83+IF(P83="",0,IF(P83="Conical",PI()/12*(SQRT(4*AQ83/PI()))^2*(0),INDEX(HeadK,MATCH(P83,HeadU,0))*(SQRT(4*AQ83/PI()))^3))-IF(AND(ISNUMBER(S83),ISNUMBER(V83)),S83*PI()/4*AP83^2*V83*INDEX(LenF,MATCH($V$7,LenU,0)),0),IF(ISNUMBER(N83),PI()/4*(N83*INDEX(LenF,MATCH($N$7,LenU,0)))^2*N(O83)*INDEX(LenF,MATCH($O$7,LenU,0))+IF(P83="",0,IF(P83="Conical",PI()/12*(N83*INDEX(LenF,MATCH($N$7,LenU,0)))^2*(N(R83)*INDEX(LenF,MATCH($R$7,LenU,0))),INDEX(HeadK,MATCH(P83,HeadU,0))*(N83*INDEX(LenF,MATCH($N$7,LenU,0)))^3))+IF(Q83="",0,IF(Q83="Conical",PI()/12*(N83*INDEX(LenF,MATCH($N$7,LenU,0)))^2*(N(R83)*INDEX(LenF,MATCH($R$7,LenU,0))),INDEX(HeadK,MATCH(Q83,HeadU,0))*(N83*INDEX(LenF,MATCH($N$7,LenU,0)))^3)),0)))</f>
        <v/>
      </c>
      <c r="AF83" s="21" t="str">
        <f aca="false">IF(E83&lt;&gt;"Piping","",IF(AND(ISNUMBER(AS83),ISNUMBER(M83)),PI()/4*(AS83/1000)^2*M83*INDEX(LenF,MATCH($M$7,LenU,0)),0))</f>
        <v/>
      </c>
      <c r="AG83" s="21" t="str">
        <f aca="false">IF(E83="","",N(AD83)+N(AE83)+N(AF83))</f>
        <v/>
      </c>
      <c r="AH83" s="21" t="str">
        <f aca="false">IF(ISNUMBER(I83),I83*INDEX(WtF,MATCH($I$7,WtU,0))/WaterRho,"")</f>
        <v/>
      </c>
      <c r="AI83" s="11"/>
      <c r="AJ83" s="11"/>
      <c r="AK83" s="20"/>
      <c r="AL83" s="11"/>
      <c r="AM83" s="21" t="str">
        <f aca="false">IF(AO83="","",AO83*IF(ISNUMBER(AK83),AK83,DefFills)*(1+IF(ISNUMBER(AL83),AL83,DefAllow)))</f>
        <v/>
      </c>
      <c r="AN83" s="22" t="str">
        <f aca="false">IF(G83="Given volume",IF(ISNUMBER(H83),H83*INDEX(VolF,MATCH($H$7,VolU,0)),""),IF(G83="Water weight",AH83,IF(N(AG83)=0,"",AG83)))</f>
        <v/>
      </c>
      <c r="AO83" s="22" t="str">
        <f aca="false">IF(N(AN83)=0,"",AN83*AT83*IF(ISNUMBER(AJ83),AJ83,DefCirc))</f>
        <v/>
      </c>
      <c r="AP83" s="9" t="n">
        <f aca="false">IF(ISNUMBER(T83),T83*INDEX(LenF,MATCH($T$7,LenU,0)),IF(ISNUMBER(W83),W83*INDEX(LenF,MATCH($W$7,LenU,0))/PitchRatio,0))</f>
        <v>0</v>
      </c>
      <c r="AQ83" s="9" t="n">
        <f aca="false">IF(ISNUMBER(N83),PI()/4*(N83*INDEX(LenF,MATCH($N$7,LenU,0)))^2,IF(AND(ISNUMBER(S83),ISNUMBER(W83),X83&lt;&gt;""),S83*(W83*INDEX(LenF,MATCH($W$7,LenU,0)))^2*INDEX(LayoutF,MATCH(X83,LayoutU,0)),0))</f>
        <v>0</v>
      </c>
      <c r="AR83" s="9" t="n">
        <f aca="false">IF(ISNUMBER(O83),O83*INDEX(LenF,MATCH($O$7,LenU,0)),IF(ISNUMBER(V83),V83*INDEX(LenF,MATCH($V$7,LenU,0)),0))</f>
        <v>0</v>
      </c>
      <c r="AS83" s="9" t="str">
        <f aca="false">IF(ISNUMBER(L83),L83*INDEX(LenF,MATCH($L$7,LenU,0))*1000,IF(OR(J83="",K83=""),"",IFERROR(IF(INDEX(PipeWT,MATCH(J83,NPSU,0),MATCH(K83,SchU,0))="","Sch n/a",INDEX(PipeOD,MATCH(J83,NPSU,0))-2*INDEX(PipeWT,MATCH(J83,NPSU,0),MATCH(K83,SchU,0))),"")))</f>
        <v/>
      </c>
      <c r="AT83" s="9" t="n">
        <f aca="false">IF(ISNUMBER(AI83),AI83,IFERROR(INDEX(IF(JobType="Decontamination",TypeFillDC,TypeFillCC),MATCH(E83,TypeL,0)),1))</f>
        <v>1</v>
      </c>
      <c r="AU83" s="9" t="n">
        <v>3</v>
      </c>
    </row>
    <row r="84" customFormat="false" ht="15" hidden="false" customHeight="false" outlineLevel="0" collapsed="false">
      <c r="A84" s="16" t="n">
        <v>9</v>
      </c>
      <c r="B84" s="20"/>
      <c r="C84" s="5"/>
      <c r="D84" s="5"/>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1" t="str">
        <f aca="false">IF(E84="Exchanger",IF(AND(ISNUMBER(S84),ISNUMBER(U84),ISNUMBER(V84)),S84*PI()/4*(U84*INDEX(LenF,MATCH($U$7,LenU,0)))^2*V84*INDEX(LenF,MATCH($V$7,LenU,0)),0)+IF(ISNUMBER(Y84),PI()/4*(Y84*INDEX(LenF,MATCH($Y$7,LenU,0)))^2*N(Z84)*INDEX(LenF,MATCH($Z$7,LenU,0))+IF(AA84="",0,IF(AA84="Conical",PI()/12*(Y84*INDEX(LenF,MATCH($Y$7,LenU,0)))^2*(0),INDEX(HeadK,MATCH(AA84,HeadU,0))*(Y84*INDEX(LenF,MATCH($Y$7,LenU,0)))^3)),0)+IF(ISNUMBER(Y84),PI()/4*(Y84*INDEX(LenF,MATCH($Y$7,LenU,0)))^2*N(AB84)*INDEX(LenF,MATCH($AB$7,LenU,0))+IF(AC84="",0,IF(AC84="Conical",PI()/12*(Y84*INDEX(LenF,MATCH($Y$7,LenU,0)))^2*(0),INDEX(HeadK,MATCH(AC84,HeadU,0))*(Y84*INDEX(LenF,MATCH($Y$7,LenU,0)))^3)),0),"")</f>
        <v/>
      </c>
      <c r="AE84" s="21" t="str">
        <f aca="false">IF(OR(E84="",E84="Piping"),"",IF(E84="Exchanger",AQ84*AR84+IF(P84="",0,IF(P84="Conical",PI()/12*(SQRT(4*AQ84/PI()))^2*(0),INDEX(HeadK,MATCH(P84,HeadU,0))*(SQRT(4*AQ84/PI()))^3))-IF(AND(ISNUMBER(S84),ISNUMBER(V84)),S84*PI()/4*AP84^2*V84*INDEX(LenF,MATCH($V$7,LenU,0)),0),IF(ISNUMBER(N84),PI()/4*(N84*INDEX(LenF,MATCH($N$7,LenU,0)))^2*N(O84)*INDEX(LenF,MATCH($O$7,LenU,0))+IF(P84="",0,IF(P84="Conical",PI()/12*(N84*INDEX(LenF,MATCH($N$7,LenU,0)))^2*(N(R84)*INDEX(LenF,MATCH($R$7,LenU,0))),INDEX(HeadK,MATCH(P84,HeadU,0))*(N84*INDEX(LenF,MATCH($N$7,LenU,0)))^3))+IF(Q84="",0,IF(Q84="Conical",PI()/12*(N84*INDEX(LenF,MATCH($N$7,LenU,0)))^2*(N(R84)*INDEX(LenF,MATCH($R$7,LenU,0))),INDEX(HeadK,MATCH(Q84,HeadU,0))*(N84*INDEX(LenF,MATCH($N$7,LenU,0)))^3)),0)))</f>
        <v/>
      </c>
      <c r="AF84" s="21" t="str">
        <f aca="false">IF(E84&lt;&gt;"Piping","",IF(AND(ISNUMBER(AS84),ISNUMBER(M84)),PI()/4*(AS84/1000)^2*M84*INDEX(LenF,MATCH($M$7,LenU,0)),0))</f>
        <v/>
      </c>
      <c r="AG84" s="21" t="str">
        <f aca="false">IF(E84="","",N(AD84)+N(AE84)+N(AF84))</f>
        <v/>
      </c>
      <c r="AH84" s="21" t="str">
        <f aca="false">IF(ISNUMBER(I84),I84*INDEX(WtF,MATCH($I$7,WtU,0))/WaterRho,"")</f>
        <v/>
      </c>
      <c r="AI84" s="11"/>
      <c r="AJ84" s="11"/>
      <c r="AK84" s="20"/>
      <c r="AL84" s="11"/>
      <c r="AM84" s="21" t="str">
        <f aca="false">IF(AO84="","",AO84*IF(ISNUMBER(AK84),AK84,DefFills)*(1+IF(ISNUMBER(AL84),AL84,DefAllow)))</f>
        <v/>
      </c>
      <c r="AN84" s="22" t="str">
        <f aca="false">IF(G84="Given volume",IF(ISNUMBER(H84),H84*INDEX(VolF,MATCH($H$7,VolU,0)),""),IF(G84="Water weight",AH84,IF(N(AG84)=0,"",AG84)))</f>
        <v/>
      </c>
      <c r="AO84" s="22" t="str">
        <f aca="false">IF(N(AN84)=0,"",AN84*AT84*IF(ISNUMBER(AJ84),AJ84,DefCirc))</f>
        <v/>
      </c>
      <c r="AP84" s="9" t="n">
        <f aca="false">IF(ISNUMBER(T84),T84*INDEX(LenF,MATCH($T$7,LenU,0)),IF(ISNUMBER(W84),W84*INDEX(LenF,MATCH($W$7,LenU,0))/PitchRatio,0))</f>
        <v>0</v>
      </c>
      <c r="AQ84" s="9" t="n">
        <f aca="false">IF(ISNUMBER(N84),PI()/4*(N84*INDEX(LenF,MATCH($N$7,LenU,0)))^2,IF(AND(ISNUMBER(S84),ISNUMBER(W84),X84&lt;&gt;""),S84*(W84*INDEX(LenF,MATCH($W$7,LenU,0)))^2*INDEX(LayoutF,MATCH(X84,LayoutU,0)),0))</f>
        <v>0</v>
      </c>
      <c r="AR84" s="9" t="n">
        <f aca="false">IF(ISNUMBER(O84),O84*INDEX(LenF,MATCH($O$7,LenU,0)),IF(ISNUMBER(V84),V84*INDEX(LenF,MATCH($V$7,LenU,0)),0))</f>
        <v>0</v>
      </c>
      <c r="AS84" s="9" t="str">
        <f aca="false">IF(ISNUMBER(L84),L84*INDEX(LenF,MATCH($L$7,LenU,0))*1000,IF(OR(J84="",K84=""),"",IFERROR(IF(INDEX(PipeWT,MATCH(J84,NPSU,0),MATCH(K84,SchU,0))="","Sch n/a",INDEX(PipeOD,MATCH(J84,NPSU,0))-2*INDEX(PipeWT,MATCH(J84,NPSU,0),MATCH(K84,SchU,0))),"")))</f>
        <v/>
      </c>
      <c r="AT84" s="9" t="n">
        <f aca="false">IF(ISNUMBER(AI84),AI84,IFERROR(INDEX(IF(JobType="Decontamination",TypeFillDC,TypeFillCC),MATCH(E84,TypeL,0)),1))</f>
        <v>1</v>
      </c>
      <c r="AU84" s="9" t="n">
        <v>3</v>
      </c>
    </row>
    <row r="85" customFormat="false" ht="15" hidden="false" customHeight="false" outlineLevel="0" collapsed="false">
      <c r="A85" s="16" t="n">
        <v>10</v>
      </c>
      <c r="B85" s="20"/>
      <c r="C85" s="5"/>
      <c r="D85" s="5"/>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1" t="str">
        <f aca="false">IF(E85="Exchanger",IF(AND(ISNUMBER(S85),ISNUMBER(U85),ISNUMBER(V85)),S85*PI()/4*(U85*INDEX(LenF,MATCH($U$7,LenU,0)))^2*V85*INDEX(LenF,MATCH($V$7,LenU,0)),0)+IF(ISNUMBER(Y85),PI()/4*(Y85*INDEX(LenF,MATCH($Y$7,LenU,0)))^2*N(Z85)*INDEX(LenF,MATCH($Z$7,LenU,0))+IF(AA85="",0,IF(AA85="Conical",PI()/12*(Y85*INDEX(LenF,MATCH($Y$7,LenU,0)))^2*(0),INDEX(HeadK,MATCH(AA85,HeadU,0))*(Y85*INDEX(LenF,MATCH($Y$7,LenU,0)))^3)),0)+IF(ISNUMBER(Y85),PI()/4*(Y85*INDEX(LenF,MATCH($Y$7,LenU,0)))^2*N(AB85)*INDEX(LenF,MATCH($AB$7,LenU,0))+IF(AC85="",0,IF(AC85="Conical",PI()/12*(Y85*INDEX(LenF,MATCH($Y$7,LenU,0)))^2*(0),INDEX(HeadK,MATCH(AC85,HeadU,0))*(Y85*INDEX(LenF,MATCH($Y$7,LenU,0)))^3)),0),"")</f>
        <v/>
      </c>
      <c r="AE85" s="21" t="str">
        <f aca="false">IF(OR(E85="",E85="Piping"),"",IF(E85="Exchanger",AQ85*AR85+IF(P85="",0,IF(P85="Conical",PI()/12*(SQRT(4*AQ85/PI()))^2*(0),INDEX(HeadK,MATCH(P85,HeadU,0))*(SQRT(4*AQ85/PI()))^3))-IF(AND(ISNUMBER(S85),ISNUMBER(V85)),S85*PI()/4*AP85^2*V85*INDEX(LenF,MATCH($V$7,LenU,0)),0),IF(ISNUMBER(N85),PI()/4*(N85*INDEX(LenF,MATCH($N$7,LenU,0)))^2*N(O85)*INDEX(LenF,MATCH($O$7,LenU,0))+IF(P85="",0,IF(P85="Conical",PI()/12*(N85*INDEX(LenF,MATCH($N$7,LenU,0)))^2*(N(R85)*INDEX(LenF,MATCH($R$7,LenU,0))),INDEX(HeadK,MATCH(P85,HeadU,0))*(N85*INDEX(LenF,MATCH($N$7,LenU,0)))^3))+IF(Q85="",0,IF(Q85="Conical",PI()/12*(N85*INDEX(LenF,MATCH($N$7,LenU,0)))^2*(N(R85)*INDEX(LenF,MATCH($R$7,LenU,0))),INDEX(HeadK,MATCH(Q85,HeadU,0))*(N85*INDEX(LenF,MATCH($N$7,LenU,0)))^3)),0)))</f>
        <v/>
      </c>
      <c r="AF85" s="21" t="str">
        <f aca="false">IF(E85&lt;&gt;"Piping","",IF(AND(ISNUMBER(AS85),ISNUMBER(M85)),PI()/4*(AS85/1000)^2*M85*INDEX(LenF,MATCH($M$7,LenU,0)),0))</f>
        <v/>
      </c>
      <c r="AG85" s="21" t="str">
        <f aca="false">IF(E85="","",N(AD85)+N(AE85)+N(AF85))</f>
        <v/>
      </c>
      <c r="AH85" s="21" t="str">
        <f aca="false">IF(ISNUMBER(I85),I85*INDEX(WtF,MATCH($I$7,WtU,0))/WaterRho,"")</f>
        <v/>
      </c>
      <c r="AI85" s="11"/>
      <c r="AJ85" s="11"/>
      <c r="AK85" s="20"/>
      <c r="AL85" s="11"/>
      <c r="AM85" s="21" t="str">
        <f aca="false">IF(AO85="","",AO85*IF(ISNUMBER(AK85),AK85,DefFills)*(1+IF(ISNUMBER(AL85),AL85,DefAllow)))</f>
        <v/>
      </c>
      <c r="AN85" s="22" t="str">
        <f aca="false">IF(G85="Given volume",IF(ISNUMBER(H85),H85*INDEX(VolF,MATCH($H$7,VolU,0)),""),IF(G85="Water weight",AH85,IF(N(AG85)=0,"",AG85)))</f>
        <v/>
      </c>
      <c r="AO85" s="22" t="str">
        <f aca="false">IF(N(AN85)=0,"",AN85*AT85*IF(ISNUMBER(AJ85),AJ85,DefCirc))</f>
        <v/>
      </c>
      <c r="AP85" s="9" t="n">
        <f aca="false">IF(ISNUMBER(T85),T85*INDEX(LenF,MATCH($T$7,LenU,0)),IF(ISNUMBER(W85),W85*INDEX(LenF,MATCH($W$7,LenU,0))/PitchRatio,0))</f>
        <v>0</v>
      </c>
      <c r="AQ85" s="9" t="n">
        <f aca="false">IF(ISNUMBER(N85),PI()/4*(N85*INDEX(LenF,MATCH($N$7,LenU,0)))^2,IF(AND(ISNUMBER(S85),ISNUMBER(W85),X85&lt;&gt;""),S85*(W85*INDEX(LenF,MATCH($W$7,LenU,0)))^2*INDEX(LayoutF,MATCH(X85,LayoutU,0)),0))</f>
        <v>0</v>
      </c>
      <c r="AR85" s="9" t="n">
        <f aca="false">IF(ISNUMBER(O85),O85*INDEX(LenF,MATCH($O$7,LenU,0)),IF(ISNUMBER(V85),V85*INDEX(LenF,MATCH($V$7,LenU,0)),0))</f>
        <v>0</v>
      </c>
      <c r="AS85" s="9" t="str">
        <f aca="false">IF(ISNUMBER(L85),L85*INDEX(LenF,MATCH($L$7,LenU,0))*1000,IF(OR(J85="",K85=""),"",IFERROR(IF(INDEX(PipeWT,MATCH(J85,NPSU,0),MATCH(K85,SchU,0))="","Sch n/a",INDEX(PipeOD,MATCH(J85,NPSU,0))-2*INDEX(PipeWT,MATCH(J85,NPSU,0),MATCH(K85,SchU,0))),"")))</f>
        <v/>
      </c>
      <c r="AT85" s="9" t="n">
        <f aca="false">IF(ISNUMBER(AI85),AI85,IFERROR(INDEX(IF(JobType="Decontamination",TypeFillDC,TypeFillCC),MATCH(E85,TypeL,0)),1))</f>
        <v>1</v>
      </c>
      <c r="AU85" s="9" t="n">
        <v>3</v>
      </c>
    </row>
    <row r="86" customFormat="false" ht="15" hidden="false" customHeight="false" outlineLevel="0" collapsed="false">
      <c r="A86" s="16" t="n">
        <v>11</v>
      </c>
      <c r="B86" s="20"/>
      <c r="C86" s="5"/>
      <c r="D86" s="5"/>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1" t="str">
        <f aca="false">IF(E86="Exchanger",IF(AND(ISNUMBER(S86),ISNUMBER(U86),ISNUMBER(V86)),S86*PI()/4*(U86*INDEX(LenF,MATCH($U$7,LenU,0)))^2*V86*INDEX(LenF,MATCH($V$7,LenU,0)),0)+IF(ISNUMBER(Y86),PI()/4*(Y86*INDEX(LenF,MATCH($Y$7,LenU,0)))^2*N(Z86)*INDEX(LenF,MATCH($Z$7,LenU,0))+IF(AA86="",0,IF(AA86="Conical",PI()/12*(Y86*INDEX(LenF,MATCH($Y$7,LenU,0)))^2*(0),INDEX(HeadK,MATCH(AA86,HeadU,0))*(Y86*INDEX(LenF,MATCH($Y$7,LenU,0)))^3)),0)+IF(ISNUMBER(Y86),PI()/4*(Y86*INDEX(LenF,MATCH($Y$7,LenU,0)))^2*N(AB86)*INDEX(LenF,MATCH($AB$7,LenU,0))+IF(AC86="",0,IF(AC86="Conical",PI()/12*(Y86*INDEX(LenF,MATCH($Y$7,LenU,0)))^2*(0),INDEX(HeadK,MATCH(AC86,HeadU,0))*(Y86*INDEX(LenF,MATCH($Y$7,LenU,0)))^3)),0),"")</f>
        <v/>
      </c>
      <c r="AE86" s="21" t="str">
        <f aca="false">IF(OR(E86="",E86="Piping"),"",IF(E86="Exchanger",AQ86*AR86+IF(P86="",0,IF(P86="Conical",PI()/12*(SQRT(4*AQ86/PI()))^2*(0),INDEX(HeadK,MATCH(P86,HeadU,0))*(SQRT(4*AQ86/PI()))^3))-IF(AND(ISNUMBER(S86),ISNUMBER(V86)),S86*PI()/4*AP86^2*V86*INDEX(LenF,MATCH($V$7,LenU,0)),0),IF(ISNUMBER(N86),PI()/4*(N86*INDEX(LenF,MATCH($N$7,LenU,0)))^2*N(O86)*INDEX(LenF,MATCH($O$7,LenU,0))+IF(P86="",0,IF(P86="Conical",PI()/12*(N86*INDEX(LenF,MATCH($N$7,LenU,0)))^2*(N(R86)*INDEX(LenF,MATCH($R$7,LenU,0))),INDEX(HeadK,MATCH(P86,HeadU,0))*(N86*INDEX(LenF,MATCH($N$7,LenU,0)))^3))+IF(Q86="",0,IF(Q86="Conical",PI()/12*(N86*INDEX(LenF,MATCH($N$7,LenU,0)))^2*(N(R86)*INDEX(LenF,MATCH($R$7,LenU,0))),INDEX(HeadK,MATCH(Q86,HeadU,0))*(N86*INDEX(LenF,MATCH($N$7,LenU,0)))^3)),0)))</f>
        <v/>
      </c>
      <c r="AF86" s="21" t="str">
        <f aca="false">IF(E86&lt;&gt;"Piping","",IF(AND(ISNUMBER(AS86),ISNUMBER(M86)),PI()/4*(AS86/1000)^2*M86*INDEX(LenF,MATCH($M$7,LenU,0)),0))</f>
        <v/>
      </c>
      <c r="AG86" s="21" t="str">
        <f aca="false">IF(E86="","",N(AD86)+N(AE86)+N(AF86))</f>
        <v/>
      </c>
      <c r="AH86" s="21" t="str">
        <f aca="false">IF(ISNUMBER(I86),I86*INDEX(WtF,MATCH($I$7,WtU,0))/WaterRho,"")</f>
        <v/>
      </c>
      <c r="AI86" s="11"/>
      <c r="AJ86" s="11"/>
      <c r="AK86" s="20"/>
      <c r="AL86" s="11"/>
      <c r="AM86" s="21" t="str">
        <f aca="false">IF(AO86="","",AO86*IF(ISNUMBER(AK86),AK86,DefFills)*(1+IF(ISNUMBER(AL86),AL86,DefAllow)))</f>
        <v/>
      </c>
      <c r="AN86" s="22" t="str">
        <f aca="false">IF(G86="Given volume",IF(ISNUMBER(H86),H86*INDEX(VolF,MATCH($H$7,VolU,0)),""),IF(G86="Water weight",AH86,IF(N(AG86)=0,"",AG86)))</f>
        <v/>
      </c>
      <c r="AO86" s="22" t="str">
        <f aca="false">IF(N(AN86)=0,"",AN86*AT86*IF(ISNUMBER(AJ86),AJ86,DefCirc))</f>
        <v/>
      </c>
      <c r="AP86" s="9" t="n">
        <f aca="false">IF(ISNUMBER(T86),T86*INDEX(LenF,MATCH($T$7,LenU,0)),IF(ISNUMBER(W86),W86*INDEX(LenF,MATCH($W$7,LenU,0))/PitchRatio,0))</f>
        <v>0</v>
      </c>
      <c r="AQ86" s="9" t="n">
        <f aca="false">IF(ISNUMBER(N86),PI()/4*(N86*INDEX(LenF,MATCH($N$7,LenU,0)))^2,IF(AND(ISNUMBER(S86),ISNUMBER(W86),X86&lt;&gt;""),S86*(W86*INDEX(LenF,MATCH($W$7,LenU,0)))^2*INDEX(LayoutF,MATCH(X86,LayoutU,0)),0))</f>
        <v>0</v>
      </c>
      <c r="AR86" s="9" t="n">
        <f aca="false">IF(ISNUMBER(O86),O86*INDEX(LenF,MATCH($O$7,LenU,0)),IF(ISNUMBER(V86),V86*INDEX(LenF,MATCH($V$7,LenU,0)),0))</f>
        <v>0</v>
      </c>
      <c r="AS86" s="9" t="str">
        <f aca="false">IF(ISNUMBER(L86),L86*INDEX(LenF,MATCH($L$7,LenU,0))*1000,IF(OR(J86="",K86=""),"",IFERROR(IF(INDEX(PipeWT,MATCH(J86,NPSU,0),MATCH(K86,SchU,0))="","Sch n/a",INDEX(PipeOD,MATCH(J86,NPSU,0))-2*INDEX(PipeWT,MATCH(J86,NPSU,0),MATCH(K86,SchU,0))),"")))</f>
        <v/>
      </c>
      <c r="AT86" s="9" t="n">
        <f aca="false">IF(ISNUMBER(AI86),AI86,IFERROR(INDEX(IF(JobType="Decontamination",TypeFillDC,TypeFillCC),MATCH(E86,TypeL,0)),1))</f>
        <v>1</v>
      </c>
      <c r="AU86" s="9" t="n">
        <v>3</v>
      </c>
    </row>
    <row r="87" customFormat="false" ht="15" hidden="false" customHeight="false" outlineLevel="0" collapsed="false">
      <c r="A87" s="16" t="n">
        <v>12</v>
      </c>
      <c r="B87" s="20"/>
      <c r="C87" s="5"/>
      <c r="D87" s="5"/>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1" t="str">
        <f aca="false">IF(E87="Exchanger",IF(AND(ISNUMBER(S87),ISNUMBER(U87),ISNUMBER(V87)),S87*PI()/4*(U87*INDEX(LenF,MATCH($U$7,LenU,0)))^2*V87*INDEX(LenF,MATCH($V$7,LenU,0)),0)+IF(ISNUMBER(Y87),PI()/4*(Y87*INDEX(LenF,MATCH($Y$7,LenU,0)))^2*N(Z87)*INDEX(LenF,MATCH($Z$7,LenU,0))+IF(AA87="",0,IF(AA87="Conical",PI()/12*(Y87*INDEX(LenF,MATCH($Y$7,LenU,0)))^2*(0),INDEX(HeadK,MATCH(AA87,HeadU,0))*(Y87*INDEX(LenF,MATCH($Y$7,LenU,0)))^3)),0)+IF(ISNUMBER(Y87),PI()/4*(Y87*INDEX(LenF,MATCH($Y$7,LenU,0)))^2*N(AB87)*INDEX(LenF,MATCH($AB$7,LenU,0))+IF(AC87="",0,IF(AC87="Conical",PI()/12*(Y87*INDEX(LenF,MATCH($Y$7,LenU,0)))^2*(0),INDEX(HeadK,MATCH(AC87,HeadU,0))*(Y87*INDEX(LenF,MATCH($Y$7,LenU,0)))^3)),0),"")</f>
        <v/>
      </c>
      <c r="AE87" s="21" t="str">
        <f aca="false">IF(OR(E87="",E87="Piping"),"",IF(E87="Exchanger",AQ87*AR87+IF(P87="",0,IF(P87="Conical",PI()/12*(SQRT(4*AQ87/PI()))^2*(0),INDEX(HeadK,MATCH(P87,HeadU,0))*(SQRT(4*AQ87/PI()))^3))-IF(AND(ISNUMBER(S87),ISNUMBER(V87)),S87*PI()/4*AP87^2*V87*INDEX(LenF,MATCH($V$7,LenU,0)),0),IF(ISNUMBER(N87),PI()/4*(N87*INDEX(LenF,MATCH($N$7,LenU,0)))^2*N(O87)*INDEX(LenF,MATCH($O$7,LenU,0))+IF(P87="",0,IF(P87="Conical",PI()/12*(N87*INDEX(LenF,MATCH($N$7,LenU,0)))^2*(N(R87)*INDEX(LenF,MATCH($R$7,LenU,0))),INDEX(HeadK,MATCH(P87,HeadU,0))*(N87*INDEX(LenF,MATCH($N$7,LenU,0)))^3))+IF(Q87="",0,IF(Q87="Conical",PI()/12*(N87*INDEX(LenF,MATCH($N$7,LenU,0)))^2*(N(R87)*INDEX(LenF,MATCH($R$7,LenU,0))),INDEX(HeadK,MATCH(Q87,HeadU,0))*(N87*INDEX(LenF,MATCH($N$7,LenU,0)))^3)),0)))</f>
        <v/>
      </c>
      <c r="AF87" s="21" t="str">
        <f aca="false">IF(E87&lt;&gt;"Piping","",IF(AND(ISNUMBER(AS87),ISNUMBER(M87)),PI()/4*(AS87/1000)^2*M87*INDEX(LenF,MATCH($M$7,LenU,0)),0))</f>
        <v/>
      </c>
      <c r="AG87" s="21" t="str">
        <f aca="false">IF(E87="","",N(AD87)+N(AE87)+N(AF87))</f>
        <v/>
      </c>
      <c r="AH87" s="21" t="str">
        <f aca="false">IF(ISNUMBER(I87),I87*INDEX(WtF,MATCH($I$7,WtU,0))/WaterRho,"")</f>
        <v/>
      </c>
      <c r="AI87" s="11"/>
      <c r="AJ87" s="11"/>
      <c r="AK87" s="20"/>
      <c r="AL87" s="11"/>
      <c r="AM87" s="21" t="str">
        <f aca="false">IF(AO87="","",AO87*IF(ISNUMBER(AK87),AK87,DefFills)*(1+IF(ISNUMBER(AL87),AL87,DefAllow)))</f>
        <v/>
      </c>
      <c r="AN87" s="22" t="str">
        <f aca="false">IF(G87="Given volume",IF(ISNUMBER(H87),H87*INDEX(VolF,MATCH($H$7,VolU,0)),""),IF(G87="Water weight",AH87,IF(N(AG87)=0,"",AG87)))</f>
        <v/>
      </c>
      <c r="AO87" s="22" t="str">
        <f aca="false">IF(N(AN87)=0,"",AN87*AT87*IF(ISNUMBER(AJ87),AJ87,DefCirc))</f>
        <v/>
      </c>
      <c r="AP87" s="9" t="n">
        <f aca="false">IF(ISNUMBER(T87),T87*INDEX(LenF,MATCH($T$7,LenU,0)),IF(ISNUMBER(W87),W87*INDEX(LenF,MATCH($W$7,LenU,0))/PitchRatio,0))</f>
        <v>0</v>
      </c>
      <c r="AQ87" s="9" t="n">
        <f aca="false">IF(ISNUMBER(N87),PI()/4*(N87*INDEX(LenF,MATCH($N$7,LenU,0)))^2,IF(AND(ISNUMBER(S87),ISNUMBER(W87),X87&lt;&gt;""),S87*(W87*INDEX(LenF,MATCH($W$7,LenU,0)))^2*INDEX(LayoutF,MATCH(X87,LayoutU,0)),0))</f>
        <v>0</v>
      </c>
      <c r="AR87" s="9" t="n">
        <f aca="false">IF(ISNUMBER(O87),O87*INDEX(LenF,MATCH($O$7,LenU,0)),IF(ISNUMBER(V87),V87*INDEX(LenF,MATCH($V$7,LenU,0)),0))</f>
        <v>0</v>
      </c>
      <c r="AS87" s="9" t="str">
        <f aca="false">IF(ISNUMBER(L87),L87*INDEX(LenF,MATCH($L$7,LenU,0))*1000,IF(OR(J87="",K87=""),"",IFERROR(IF(INDEX(PipeWT,MATCH(J87,NPSU,0),MATCH(K87,SchU,0))="","Sch n/a",INDEX(PipeOD,MATCH(J87,NPSU,0))-2*INDEX(PipeWT,MATCH(J87,NPSU,0),MATCH(K87,SchU,0))),"")))</f>
        <v/>
      </c>
      <c r="AT87" s="9" t="n">
        <f aca="false">IF(ISNUMBER(AI87),AI87,IFERROR(INDEX(IF(JobType="Decontamination",TypeFillDC,TypeFillCC),MATCH(E87,TypeL,0)),1))</f>
        <v>1</v>
      </c>
      <c r="AU87" s="9" t="n">
        <v>3</v>
      </c>
    </row>
    <row r="88" customFormat="false" ht="15" hidden="false" customHeight="false" outlineLevel="0" collapsed="false">
      <c r="A88" s="16" t="n">
        <v>13</v>
      </c>
      <c r="B88" s="20"/>
      <c r="C88" s="5"/>
      <c r="D88" s="5"/>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1" t="str">
        <f aca="false">IF(E88="Exchanger",IF(AND(ISNUMBER(S88),ISNUMBER(U88),ISNUMBER(V88)),S88*PI()/4*(U88*INDEX(LenF,MATCH($U$7,LenU,0)))^2*V88*INDEX(LenF,MATCH($V$7,LenU,0)),0)+IF(ISNUMBER(Y88),PI()/4*(Y88*INDEX(LenF,MATCH($Y$7,LenU,0)))^2*N(Z88)*INDEX(LenF,MATCH($Z$7,LenU,0))+IF(AA88="",0,IF(AA88="Conical",PI()/12*(Y88*INDEX(LenF,MATCH($Y$7,LenU,0)))^2*(0),INDEX(HeadK,MATCH(AA88,HeadU,0))*(Y88*INDEX(LenF,MATCH($Y$7,LenU,0)))^3)),0)+IF(ISNUMBER(Y88),PI()/4*(Y88*INDEX(LenF,MATCH($Y$7,LenU,0)))^2*N(AB88)*INDEX(LenF,MATCH($AB$7,LenU,0))+IF(AC88="",0,IF(AC88="Conical",PI()/12*(Y88*INDEX(LenF,MATCH($Y$7,LenU,0)))^2*(0),INDEX(HeadK,MATCH(AC88,HeadU,0))*(Y88*INDEX(LenF,MATCH($Y$7,LenU,0)))^3)),0),"")</f>
        <v/>
      </c>
      <c r="AE88" s="21" t="str">
        <f aca="false">IF(OR(E88="",E88="Piping"),"",IF(E88="Exchanger",AQ88*AR88+IF(P88="",0,IF(P88="Conical",PI()/12*(SQRT(4*AQ88/PI()))^2*(0),INDEX(HeadK,MATCH(P88,HeadU,0))*(SQRT(4*AQ88/PI()))^3))-IF(AND(ISNUMBER(S88),ISNUMBER(V88)),S88*PI()/4*AP88^2*V88*INDEX(LenF,MATCH($V$7,LenU,0)),0),IF(ISNUMBER(N88),PI()/4*(N88*INDEX(LenF,MATCH($N$7,LenU,0)))^2*N(O88)*INDEX(LenF,MATCH($O$7,LenU,0))+IF(P88="",0,IF(P88="Conical",PI()/12*(N88*INDEX(LenF,MATCH($N$7,LenU,0)))^2*(N(R88)*INDEX(LenF,MATCH($R$7,LenU,0))),INDEX(HeadK,MATCH(P88,HeadU,0))*(N88*INDEX(LenF,MATCH($N$7,LenU,0)))^3))+IF(Q88="",0,IF(Q88="Conical",PI()/12*(N88*INDEX(LenF,MATCH($N$7,LenU,0)))^2*(N(R88)*INDEX(LenF,MATCH($R$7,LenU,0))),INDEX(HeadK,MATCH(Q88,HeadU,0))*(N88*INDEX(LenF,MATCH($N$7,LenU,0)))^3)),0)))</f>
        <v/>
      </c>
      <c r="AF88" s="21" t="str">
        <f aca="false">IF(E88&lt;&gt;"Piping","",IF(AND(ISNUMBER(AS88),ISNUMBER(M88)),PI()/4*(AS88/1000)^2*M88*INDEX(LenF,MATCH($M$7,LenU,0)),0))</f>
        <v/>
      </c>
      <c r="AG88" s="21" t="str">
        <f aca="false">IF(E88="","",N(AD88)+N(AE88)+N(AF88))</f>
        <v/>
      </c>
      <c r="AH88" s="21" t="str">
        <f aca="false">IF(ISNUMBER(I88),I88*INDEX(WtF,MATCH($I$7,WtU,0))/WaterRho,"")</f>
        <v/>
      </c>
      <c r="AI88" s="11"/>
      <c r="AJ88" s="11"/>
      <c r="AK88" s="20"/>
      <c r="AL88" s="11"/>
      <c r="AM88" s="21" t="str">
        <f aca="false">IF(AO88="","",AO88*IF(ISNUMBER(AK88),AK88,DefFills)*(1+IF(ISNUMBER(AL88),AL88,DefAllow)))</f>
        <v/>
      </c>
      <c r="AN88" s="22" t="str">
        <f aca="false">IF(G88="Given volume",IF(ISNUMBER(H88),H88*INDEX(VolF,MATCH($H$7,VolU,0)),""),IF(G88="Water weight",AH88,IF(N(AG88)=0,"",AG88)))</f>
        <v/>
      </c>
      <c r="AO88" s="22" t="str">
        <f aca="false">IF(N(AN88)=0,"",AN88*AT88*IF(ISNUMBER(AJ88),AJ88,DefCirc))</f>
        <v/>
      </c>
      <c r="AP88" s="9" t="n">
        <f aca="false">IF(ISNUMBER(T88),T88*INDEX(LenF,MATCH($T$7,LenU,0)),IF(ISNUMBER(W88),W88*INDEX(LenF,MATCH($W$7,LenU,0))/PitchRatio,0))</f>
        <v>0</v>
      </c>
      <c r="AQ88" s="9" t="n">
        <f aca="false">IF(ISNUMBER(N88),PI()/4*(N88*INDEX(LenF,MATCH($N$7,LenU,0)))^2,IF(AND(ISNUMBER(S88),ISNUMBER(W88),X88&lt;&gt;""),S88*(W88*INDEX(LenF,MATCH($W$7,LenU,0)))^2*INDEX(LayoutF,MATCH(X88,LayoutU,0)),0))</f>
        <v>0</v>
      </c>
      <c r="AR88" s="9" t="n">
        <f aca="false">IF(ISNUMBER(O88),O88*INDEX(LenF,MATCH($O$7,LenU,0)),IF(ISNUMBER(V88),V88*INDEX(LenF,MATCH($V$7,LenU,0)),0))</f>
        <v>0</v>
      </c>
      <c r="AS88" s="9" t="str">
        <f aca="false">IF(ISNUMBER(L88),L88*INDEX(LenF,MATCH($L$7,LenU,0))*1000,IF(OR(J88="",K88=""),"",IFERROR(IF(INDEX(PipeWT,MATCH(J88,NPSU,0),MATCH(K88,SchU,0))="","Sch n/a",INDEX(PipeOD,MATCH(J88,NPSU,0))-2*INDEX(PipeWT,MATCH(J88,NPSU,0),MATCH(K88,SchU,0))),"")))</f>
        <v/>
      </c>
      <c r="AT88" s="9" t="n">
        <f aca="false">IF(ISNUMBER(AI88),AI88,IFERROR(INDEX(IF(JobType="Decontamination",TypeFillDC,TypeFillCC),MATCH(E88,TypeL,0)),1))</f>
        <v>1</v>
      </c>
      <c r="AU88" s="9" t="n">
        <v>3</v>
      </c>
    </row>
    <row r="89" customFormat="false" ht="15" hidden="false" customHeight="false" outlineLevel="0" collapsed="false">
      <c r="A89" s="16" t="n">
        <v>14</v>
      </c>
      <c r="B89" s="20"/>
      <c r="C89" s="5"/>
      <c r="D89" s="5"/>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1" t="str">
        <f aca="false">IF(E89="Exchanger",IF(AND(ISNUMBER(S89),ISNUMBER(U89),ISNUMBER(V89)),S89*PI()/4*(U89*INDEX(LenF,MATCH($U$7,LenU,0)))^2*V89*INDEX(LenF,MATCH($V$7,LenU,0)),0)+IF(ISNUMBER(Y89),PI()/4*(Y89*INDEX(LenF,MATCH($Y$7,LenU,0)))^2*N(Z89)*INDEX(LenF,MATCH($Z$7,LenU,0))+IF(AA89="",0,IF(AA89="Conical",PI()/12*(Y89*INDEX(LenF,MATCH($Y$7,LenU,0)))^2*(0),INDEX(HeadK,MATCH(AA89,HeadU,0))*(Y89*INDEX(LenF,MATCH($Y$7,LenU,0)))^3)),0)+IF(ISNUMBER(Y89),PI()/4*(Y89*INDEX(LenF,MATCH($Y$7,LenU,0)))^2*N(AB89)*INDEX(LenF,MATCH($AB$7,LenU,0))+IF(AC89="",0,IF(AC89="Conical",PI()/12*(Y89*INDEX(LenF,MATCH($Y$7,LenU,0)))^2*(0),INDEX(HeadK,MATCH(AC89,HeadU,0))*(Y89*INDEX(LenF,MATCH($Y$7,LenU,0)))^3)),0),"")</f>
        <v/>
      </c>
      <c r="AE89" s="21" t="str">
        <f aca="false">IF(OR(E89="",E89="Piping"),"",IF(E89="Exchanger",AQ89*AR89+IF(P89="",0,IF(P89="Conical",PI()/12*(SQRT(4*AQ89/PI()))^2*(0),INDEX(HeadK,MATCH(P89,HeadU,0))*(SQRT(4*AQ89/PI()))^3))-IF(AND(ISNUMBER(S89),ISNUMBER(V89)),S89*PI()/4*AP89^2*V89*INDEX(LenF,MATCH($V$7,LenU,0)),0),IF(ISNUMBER(N89),PI()/4*(N89*INDEX(LenF,MATCH($N$7,LenU,0)))^2*N(O89)*INDEX(LenF,MATCH($O$7,LenU,0))+IF(P89="",0,IF(P89="Conical",PI()/12*(N89*INDEX(LenF,MATCH($N$7,LenU,0)))^2*(N(R89)*INDEX(LenF,MATCH($R$7,LenU,0))),INDEX(HeadK,MATCH(P89,HeadU,0))*(N89*INDEX(LenF,MATCH($N$7,LenU,0)))^3))+IF(Q89="",0,IF(Q89="Conical",PI()/12*(N89*INDEX(LenF,MATCH($N$7,LenU,0)))^2*(N(R89)*INDEX(LenF,MATCH($R$7,LenU,0))),INDEX(HeadK,MATCH(Q89,HeadU,0))*(N89*INDEX(LenF,MATCH($N$7,LenU,0)))^3)),0)))</f>
        <v/>
      </c>
      <c r="AF89" s="21" t="str">
        <f aca="false">IF(E89&lt;&gt;"Piping","",IF(AND(ISNUMBER(AS89),ISNUMBER(M89)),PI()/4*(AS89/1000)^2*M89*INDEX(LenF,MATCH($M$7,LenU,0)),0))</f>
        <v/>
      </c>
      <c r="AG89" s="21" t="str">
        <f aca="false">IF(E89="","",N(AD89)+N(AE89)+N(AF89))</f>
        <v/>
      </c>
      <c r="AH89" s="21" t="str">
        <f aca="false">IF(ISNUMBER(I89),I89*INDEX(WtF,MATCH($I$7,WtU,0))/WaterRho,"")</f>
        <v/>
      </c>
      <c r="AI89" s="11"/>
      <c r="AJ89" s="11"/>
      <c r="AK89" s="20"/>
      <c r="AL89" s="11"/>
      <c r="AM89" s="21" t="str">
        <f aca="false">IF(AO89="","",AO89*IF(ISNUMBER(AK89),AK89,DefFills)*(1+IF(ISNUMBER(AL89),AL89,DefAllow)))</f>
        <v/>
      </c>
      <c r="AN89" s="22" t="str">
        <f aca="false">IF(G89="Given volume",IF(ISNUMBER(H89),H89*INDEX(VolF,MATCH($H$7,VolU,0)),""),IF(G89="Water weight",AH89,IF(N(AG89)=0,"",AG89)))</f>
        <v/>
      </c>
      <c r="AO89" s="22" t="str">
        <f aca="false">IF(N(AN89)=0,"",AN89*AT89*IF(ISNUMBER(AJ89),AJ89,DefCirc))</f>
        <v/>
      </c>
      <c r="AP89" s="9" t="n">
        <f aca="false">IF(ISNUMBER(T89),T89*INDEX(LenF,MATCH($T$7,LenU,0)),IF(ISNUMBER(W89),W89*INDEX(LenF,MATCH($W$7,LenU,0))/PitchRatio,0))</f>
        <v>0</v>
      </c>
      <c r="AQ89" s="9" t="n">
        <f aca="false">IF(ISNUMBER(N89),PI()/4*(N89*INDEX(LenF,MATCH($N$7,LenU,0)))^2,IF(AND(ISNUMBER(S89),ISNUMBER(W89),X89&lt;&gt;""),S89*(W89*INDEX(LenF,MATCH($W$7,LenU,0)))^2*INDEX(LayoutF,MATCH(X89,LayoutU,0)),0))</f>
        <v>0</v>
      </c>
      <c r="AR89" s="9" t="n">
        <f aca="false">IF(ISNUMBER(O89),O89*INDEX(LenF,MATCH($O$7,LenU,0)),IF(ISNUMBER(V89),V89*INDEX(LenF,MATCH($V$7,LenU,0)),0))</f>
        <v>0</v>
      </c>
      <c r="AS89" s="9" t="str">
        <f aca="false">IF(ISNUMBER(L89),L89*INDEX(LenF,MATCH($L$7,LenU,0))*1000,IF(OR(J89="",K89=""),"",IFERROR(IF(INDEX(PipeWT,MATCH(J89,NPSU,0),MATCH(K89,SchU,0))="","Sch n/a",INDEX(PipeOD,MATCH(J89,NPSU,0))-2*INDEX(PipeWT,MATCH(J89,NPSU,0),MATCH(K89,SchU,0))),"")))</f>
        <v/>
      </c>
      <c r="AT89" s="9" t="n">
        <f aca="false">IF(ISNUMBER(AI89),AI89,IFERROR(INDEX(IF(JobType="Decontamination",TypeFillDC,TypeFillCC),MATCH(E89,TypeL,0)),1))</f>
        <v>1</v>
      </c>
      <c r="AU89" s="9" t="n">
        <v>3</v>
      </c>
    </row>
    <row r="90" customFormat="false" ht="15" hidden="false" customHeight="false" outlineLevel="0" collapsed="false">
      <c r="A90" s="16" t="n">
        <v>15</v>
      </c>
      <c r="B90" s="20"/>
      <c r="C90" s="5"/>
      <c r="D90" s="5"/>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1" t="str">
        <f aca="false">IF(E90="Exchanger",IF(AND(ISNUMBER(S90),ISNUMBER(U90),ISNUMBER(V90)),S90*PI()/4*(U90*INDEX(LenF,MATCH($U$7,LenU,0)))^2*V90*INDEX(LenF,MATCH($V$7,LenU,0)),0)+IF(ISNUMBER(Y90),PI()/4*(Y90*INDEX(LenF,MATCH($Y$7,LenU,0)))^2*N(Z90)*INDEX(LenF,MATCH($Z$7,LenU,0))+IF(AA90="",0,IF(AA90="Conical",PI()/12*(Y90*INDEX(LenF,MATCH($Y$7,LenU,0)))^2*(0),INDEX(HeadK,MATCH(AA90,HeadU,0))*(Y90*INDEX(LenF,MATCH($Y$7,LenU,0)))^3)),0)+IF(ISNUMBER(Y90),PI()/4*(Y90*INDEX(LenF,MATCH($Y$7,LenU,0)))^2*N(AB90)*INDEX(LenF,MATCH($AB$7,LenU,0))+IF(AC90="",0,IF(AC90="Conical",PI()/12*(Y90*INDEX(LenF,MATCH($Y$7,LenU,0)))^2*(0),INDEX(HeadK,MATCH(AC90,HeadU,0))*(Y90*INDEX(LenF,MATCH($Y$7,LenU,0)))^3)),0),"")</f>
        <v/>
      </c>
      <c r="AE90" s="21" t="str">
        <f aca="false">IF(OR(E90="",E90="Piping"),"",IF(E90="Exchanger",AQ90*AR90+IF(P90="",0,IF(P90="Conical",PI()/12*(SQRT(4*AQ90/PI()))^2*(0),INDEX(HeadK,MATCH(P90,HeadU,0))*(SQRT(4*AQ90/PI()))^3))-IF(AND(ISNUMBER(S90),ISNUMBER(V90)),S90*PI()/4*AP90^2*V90*INDEX(LenF,MATCH($V$7,LenU,0)),0),IF(ISNUMBER(N90),PI()/4*(N90*INDEX(LenF,MATCH($N$7,LenU,0)))^2*N(O90)*INDEX(LenF,MATCH($O$7,LenU,0))+IF(P90="",0,IF(P90="Conical",PI()/12*(N90*INDEX(LenF,MATCH($N$7,LenU,0)))^2*(N(R90)*INDEX(LenF,MATCH($R$7,LenU,0))),INDEX(HeadK,MATCH(P90,HeadU,0))*(N90*INDEX(LenF,MATCH($N$7,LenU,0)))^3))+IF(Q90="",0,IF(Q90="Conical",PI()/12*(N90*INDEX(LenF,MATCH($N$7,LenU,0)))^2*(N(R90)*INDEX(LenF,MATCH($R$7,LenU,0))),INDEX(HeadK,MATCH(Q90,HeadU,0))*(N90*INDEX(LenF,MATCH($N$7,LenU,0)))^3)),0)))</f>
        <v/>
      </c>
      <c r="AF90" s="21" t="str">
        <f aca="false">IF(E90&lt;&gt;"Piping","",IF(AND(ISNUMBER(AS90),ISNUMBER(M90)),PI()/4*(AS90/1000)^2*M90*INDEX(LenF,MATCH($M$7,LenU,0)),0))</f>
        <v/>
      </c>
      <c r="AG90" s="21" t="str">
        <f aca="false">IF(E90="","",N(AD90)+N(AE90)+N(AF90))</f>
        <v/>
      </c>
      <c r="AH90" s="21" t="str">
        <f aca="false">IF(ISNUMBER(I90),I90*INDEX(WtF,MATCH($I$7,WtU,0))/WaterRho,"")</f>
        <v/>
      </c>
      <c r="AI90" s="11"/>
      <c r="AJ90" s="11"/>
      <c r="AK90" s="20"/>
      <c r="AL90" s="11"/>
      <c r="AM90" s="21" t="str">
        <f aca="false">IF(AO90="","",AO90*IF(ISNUMBER(AK90),AK90,DefFills)*(1+IF(ISNUMBER(AL90),AL90,DefAllow)))</f>
        <v/>
      </c>
      <c r="AN90" s="22" t="str">
        <f aca="false">IF(G90="Given volume",IF(ISNUMBER(H90),H90*INDEX(VolF,MATCH($H$7,VolU,0)),""),IF(G90="Water weight",AH90,IF(N(AG90)=0,"",AG90)))</f>
        <v/>
      </c>
      <c r="AO90" s="22" t="str">
        <f aca="false">IF(N(AN90)=0,"",AN90*AT90*IF(ISNUMBER(AJ90),AJ90,DefCirc))</f>
        <v/>
      </c>
      <c r="AP90" s="9" t="n">
        <f aca="false">IF(ISNUMBER(T90),T90*INDEX(LenF,MATCH($T$7,LenU,0)),IF(ISNUMBER(W90),W90*INDEX(LenF,MATCH($W$7,LenU,0))/PitchRatio,0))</f>
        <v>0</v>
      </c>
      <c r="AQ90" s="9" t="n">
        <f aca="false">IF(ISNUMBER(N90),PI()/4*(N90*INDEX(LenF,MATCH($N$7,LenU,0)))^2,IF(AND(ISNUMBER(S90),ISNUMBER(W90),X90&lt;&gt;""),S90*(W90*INDEX(LenF,MATCH($W$7,LenU,0)))^2*INDEX(LayoutF,MATCH(X90,LayoutU,0)),0))</f>
        <v>0</v>
      </c>
      <c r="AR90" s="9" t="n">
        <f aca="false">IF(ISNUMBER(O90),O90*INDEX(LenF,MATCH($O$7,LenU,0)),IF(ISNUMBER(V90),V90*INDEX(LenF,MATCH($V$7,LenU,0)),0))</f>
        <v>0</v>
      </c>
      <c r="AS90" s="9" t="str">
        <f aca="false">IF(ISNUMBER(L90),L90*INDEX(LenF,MATCH($L$7,LenU,0))*1000,IF(OR(J90="",K90=""),"",IFERROR(IF(INDEX(PipeWT,MATCH(J90,NPSU,0),MATCH(K90,SchU,0))="","Sch n/a",INDEX(PipeOD,MATCH(J90,NPSU,0))-2*INDEX(PipeWT,MATCH(J90,NPSU,0),MATCH(K90,SchU,0))),"")))</f>
        <v/>
      </c>
      <c r="AT90" s="9" t="n">
        <f aca="false">IF(ISNUMBER(AI90),AI90,IFERROR(INDEX(IF(JobType="Decontamination",TypeFillDC,TypeFillCC),MATCH(E90,TypeL,0)),1))</f>
        <v>1</v>
      </c>
      <c r="AU90" s="9" t="n">
        <v>3</v>
      </c>
    </row>
    <row r="91" customFormat="false" ht="15" hidden="false" customHeight="false" outlineLevel="0" collapsed="false">
      <c r="A91" s="16" t="n">
        <v>16</v>
      </c>
      <c r="B91" s="20"/>
      <c r="C91" s="5"/>
      <c r="D91" s="5"/>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1" t="str">
        <f aca="false">IF(E91="Exchanger",IF(AND(ISNUMBER(S91),ISNUMBER(U91),ISNUMBER(V91)),S91*PI()/4*(U91*INDEX(LenF,MATCH($U$7,LenU,0)))^2*V91*INDEX(LenF,MATCH($V$7,LenU,0)),0)+IF(ISNUMBER(Y91),PI()/4*(Y91*INDEX(LenF,MATCH($Y$7,LenU,0)))^2*N(Z91)*INDEX(LenF,MATCH($Z$7,LenU,0))+IF(AA91="",0,IF(AA91="Conical",PI()/12*(Y91*INDEX(LenF,MATCH($Y$7,LenU,0)))^2*(0),INDEX(HeadK,MATCH(AA91,HeadU,0))*(Y91*INDEX(LenF,MATCH($Y$7,LenU,0)))^3)),0)+IF(ISNUMBER(Y91),PI()/4*(Y91*INDEX(LenF,MATCH($Y$7,LenU,0)))^2*N(AB91)*INDEX(LenF,MATCH($AB$7,LenU,0))+IF(AC91="",0,IF(AC91="Conical",PI()/12*(Y91*INDEX(LenF,MATCH($Y$7,LenU,0)))^2*(0),INDEX(HeadK,MATCH(AC91,HeadU,0))*(Y91*INDEX(LenF,MATCH($Y$7,LenU,0)))^3)),0),"")</f>
        <v/>
      </c>
      <c r="AE91" s="21" t="str">
        <f aca="false">IF(OR(E91="",E91="Piping"),"",IF(E91="Exchanger",AQ91*AR91+IF(P91="",0,IF(P91="Conical",PI()/12*(SQRT(4*AQ91/PI()))^2*(0),INDEX(HeadK,MATCH(P91,HeadU,0))*(SQRT(4*AQ91/PI()))^3))-IF(AND(ISNUMBER(S91),ISNUMBER(V91)),S91*PI()/4*AP91^2*V91*INDEX(LenF,MATCH($V$7,LenU,0)),0),IF(ISNUMBER(N91),PI()/4*(N91*INDEX(LenF,MATCH($N$7,LenU,0)))^2*N(O91)*INDEX(LenF,MATCH($O$7,LenU,0))+IF(P91="",0,IF(P91="Conical",PI()/12*(N91*INDEX(LenF,MATCH($N$7,LenU,0)))^2*(N(R91)*INDEX(LenF,MATCH($R$7,LenU,0))),INDEX(HeadK,MATCH(P91,HeadU,0))*(N91*INDEX(LenF,MATCH($N$7,LenU,0)))^3))+IF(Q91="",0,IF(Q91="Conical",PI()/12*(N91*INDEX(LenF,MATCH($N$7,LenU,0)))^2*(N(R91)*INDEX(LenF,MATCH($R$7,LenU,0))),INDEX(HeadK,MATCH(Q91,HeadU,0))*(N91*INDEX(LenF,MATCH($N$7,LenU,0)))^3)),0)))</f>
        <v/>
      </c>
      <c r="AF91" s="21" t="str">
        <f aca="false">IF(E91&lt;&gt;"Piping","",IF(AND(ISNUMBER(AS91),ISNUMBER(M91)),PI()/4*(AS91/1000)^2*M91*INDEX(LenF,MATCH($M$7,LenU,0)),0))</f>
        <v/>
      </c>
      <c r="AG91" s="21" t="str">
        <f aca="false">IF(E91="","",N(AD91)+N(AE91)+N(AF91))</f>
        <v/>
      </c>
      <c r="AH91" s="21" t="str">
        <f aca="false">IF(ISNUMBER(I91),I91*INDEX(WtF,MATCH($I$7,WtU,0))/WaterRho,"")</f>
        <v/>
      </c>
      <c r="AI91" s="11"/>
      <c r="AJ91" s="11"/>
      <c r="AK91" s="20"/>
      <c r="AL91" s="11"/>
      <c r="AM91" s="21" t="str">
        <f aca="false">IF(AO91="","",AO91*IF(ISNUMBER(AK91),AK91,DefFills)*(1+IF(ISNUMBER(AL91),AL91,DefAllow)))</f>
        <v/>
      </c>
      <c r="AN91" s="22" t="str">
        <f aca="false">IF(G91="Given volume",IF(ISNUMBER(H91),H91*INDEX(VolF,MATCH($H$7,VolU,0)),""),IF(G91="Water weight",AH91,IF(N(AG91)=0,"",AG91)))</f>
        <v/>
      </c>
      <c r="AO91" s="22" t="str">
        <f aca="false">IF(N(AN91)=0,"",AN91*AT91*IF(ISNUMBER(AJ91),AJ91,DefCirc))</f>
        <v/>
      </c>
      <c r="AP91" s="9" t="n">
        <f aca="false">IF(ISNUMBER(T91),T91*INDEX(LenF,MATCH($T$7,LenU,0)),IF(ISNUMBER(W91),W91*INDEX(LenF,MATCH($W$7,LenU,0))/PitchRatio,0))</f>
        <v>0</v>
      </c>
      <c r="AQ91" s="9" t="n">
        <f aca="false">IF(ISNUMBER(N91),PI()/4*(N91*INDEX(LenF,MATCH($N$7,LenU,0)))^2,IF(AND(ISNUMBER(S91),ISNUMBER(W91),X91&lt;&gt;""),S91*(W91*INDEX(LenF,MATCH($W$7,LenU,0)))^2*INDEX(LayoutF,MATCH(X91,LayoutU,0)),0))</f>
        <v>0</v>
      </c>
      <c r="AR91" s="9" t="n">
        <f aca="false">IF(ISNUMBER(O91),O91*INDEX(LenF,MATCH($O$7,LenU,0)),IF(ISNUMBER(V91),V91*INDEX(LenF,MATCH($V$7,LenU,0)),0))</f>
        <v>0</v>
      </c>
      <c r="AS91" s="9" t="str">
        <f aca="false">IF(ISNUMBER(L91),L91*INDEX(LenF,MATCH($L$7,LenU,0))*1000,IF(OR(J91="",K91=""),"",IFERROR(IF(INDEX(PipeWT,MATCH(J91,NPSU,0),MATCH(K91,SchU,0))="","Sch n/a",INDEX(PipeOD,MATCH(J91,NPSU,0))-2*INDEX(PipeWT,MATCH(J91,NPSU,0),MATCH(K91,SchU,0))),"")))</f>
        <v/>
      </c>
      <c r="AT91" s="9" t="n">
        <f aca="false">IF(ISNUMBER(AI91),AI91,IFERROR(INDEX(IF(JobType="Decontamination",TypeFillDC,TypeFillCC),MATCH(E91,TypeL,0)),1))</f>
        <v>1</v>
      </c>
      <c r="AU91" s="9" t="n">
        <v>3</v>
      </c>
    </row>
    <row r="92" customFormat="false" ht="15" hidden="false" customHeight="false" outlineLevel="0" collapsed="false">
      <c r="A92" s="16" t="n">
        <v>17</v>
      </c>
      <c r="B92" s="20"/>
      <c r="C92" s="5"/>
      <c r="D92" s="5"/>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1" t="str">
        <f aca="false">IF(E92="Exchanger",IF(AND(ISNUMBER(S92),ISNUMBER(U92),ISNUMBER(V92)),S92*PI()/4*(U92*INDEX(LenF,MATCH($U$7,LenU,0)))^2*V92*INDEX(LenF,MATCH($V$7,LenU,0)),0)+IF(ISNUMBER(Y92),PI()/4*(Y92*INDEX(LenF,MATCH($Y$7,LenU,0)))^2*N(Z92)*INDEX(LenF,MATCH($Z$7,LenU,0))+IF(AA92="",0,IF(AA92="Conical",PI()/12*(Y92*INDEX(LenF,MATCH($Y$7,LenU,0)))^2*(0),INDEX(HeadK,MATCH(AA92,HeadU,0))*(Y92*INDEX(LenF,MATCH($Y$7,LenU,0)))^3)),0)+IF(ISNUMBER(Y92),PI()/4*(Y92*INDEX(LenF,MATCH($Y$7,LenU,0)))^2*N(AB92)*INDEX(LenF,MATCH($AB$7,LenU,0))+IF(AC92="",0,IF(AC92="Conical",PI()/12*(Y92*INDEX(LenF,MATCH($Y$7,LenU,0)))^2*(0),INDEX(HeadK,MATCH(AC92,HeadU,0))*(Y92*INDEX(LenF,MATCH($Y$7,LenU,0)))^3)),0),"")</f>
        <v/>
      </c>
      <c r="AE92" s="21" t="str">
        <f aca="false">IF(OR(E92="",E92="Piping"),"",IF(E92="Exchanger",AQ92*AR92+IF(P92="",0,IF(P92="Conical",PI()/12*(SQRT(4*AQ92/PI()))^2*(0),INDEX(HeadK,MATCH(P92,HeadU,0))*(SQRT(4*AQ92/PI()))^3))-IF(AND(ISNUMBER(S92),ISNUMBER(V92)),S92*PI()/4*AP92^2*V92*INDEX(LenF,MATCH($V$7,LenU,0)),0),IF(ISNUMBER(N92),PI()/4*(N92*INDEX(LenF,MATCH($N$7,LenU,0)))^2*N(O92)*INDEX(LenF,MATCH($O$7,LenU,0))+IF(P92="",0,IF(P92="Conical",PI()/12*(N92*INDEX(LenF,MATCH($N$7,LenU,0)))^2*(N(R92)*INDEX(LenF,MATCH($R$7,LenU,0))),INDEX(HeadK,MATCH(P92,HeadU,0))*(N92*INDEX(LenF,MATCH($N$7,LenU,0)))^3))+IF(Q92="",0,IF(Q92="Conical",PI()/12*(N92*INDEX(LenF,MATCH($N$7,LenU,0)))^2*(N(R92)*INDEX(LenF,MATCH($R$7,LenU,0))),INDEX(HeadK,MATCH(Q92,HeadU,0))*(N92*INDEX(LenF,MATCH($N$7,LenU,0)))^3)),0)))</f>
        <v/>
      </c>
      <c r="AF92" s="21" t="str">
        <f aca="false">IF(E92&lt;&gt;"Piping","",IF(AND(ISNUMBER(AS92),ISNUMBER(M92)),PI()/4*(AS92/1000)^2*M92*INDEX(LenF,MATCH($M$7,LenU,0)),0))</f>
        <v/>
      </c>
      <c r="AG92" s="21" t="str">
        <f aca="false">IF(E92="","",N(AD92)+N(AE92)+N(AF92))</f>
        <v/>
      </c>
      <c r="AH92" s="21" t="str">
        <f aca="false">IF(ISNUMBER(I92),I92*INDEX(WtF,MATCH($I$7,WtU,0))/WaterRho,"")</f>
        <v/>
      </c>
      <c r="AI92" s="11"/>
      <c r="AJ92" s="11"/>
      <c r="AK92" s="20"/>
      <c r="AL92" s="11"/>
      <c r="AM92" s="21" t="str">
        <f aca="false">IF(AO92="","",AO92*IF(ISNUMBER(AK92),AK92,DefFills)*(1+IF(ISNUMBER(AL92),AL92,DefAllow)))</f>
        <v/>
      </c>
      <c r="AN92" s="22" t="str">
        <f aca="false">IF(G92="Given volume",IF(ISNUMBER(H92),H92*INDEX(VolF,MATCH($H$7,VolU,0)),""),IF(G92="Water weight",AH92,IF(N(AG92)=0,"",AG92)))</f>
        <v/>
      </c>
      <c r="AO92" s="22" t="str">
        <f aca="false">IF(N(AN92)=0,"",AN92*AT92*IF(ISNUMBER(AJ92),AJ92,DefCirc))</f>
        <v/>
      </c>
      <c r="AP92" s="9" t="n">
        <f aca="false">IF(ISNUMBER(T92),T92*INDEX(LenF,MATCH($T$7,LenU,0)),IF(ISNUMBER(W92),W92*INDEX(LenF,MATCH($W$7,LenU,0))/PitchRatio,0))</f>
        <v>0</v>
      </c>
      <c r="AQ92" s="9" t="n">
        <f aca="false">IF(ISNUMBER(N92),PI()/4*(N92*INDEX(LenF,MATCH($N$7,LenU,0)))^2,IF(AND(ISNUMBER(S92),ISNUMBER(W92),X92&lt;&gt;""),S92*(W92*INDEX(LenF,MATCH($W$7,LenU,0)))^2*INDEX(LayoutF,MATCH(X92,LayoutU,0)),0))</f>
        <v>0</v>
      </c>
      <c r="AR92" s="9" t="n">
        <f aca="false">IF(ISNUMBER(O92),O92*INDEX(LenF,MATCH($O$7,LenU,0)),IF(ISNUMBER(V92),V92*INDEX(LenF,MATCH($V$7,LenU,0)),0))</f>
        <v>0</v>
      </c>
      <c r="AS92" s="9" t="str">
        <f aca="false">IF(ISNUMBER(L92),L92*INDEX(LenF,MATCH($L$7,LenU,0))*1000,IF(OR(J92="",K92=""),"",IFERROR(IF(INDEX(PipeWT,MATCH(J92,NPSU,0),MATCH(K92,SchU,0))="","Sch n/a",INDEX(PipeOD,MATCH(J92,NPSU,0))-2*INDEX(PipeWT,MATCH(J92,NPSU,0),MATCH(K92,SchU,0))),"")))</f>
        <v/>
      </c>
      <c r="AT92" s="9" t="n">
        <f aca="false">IF(ISNUMBER(AI92),AI92,IFERROR(INDEX(IF(JobType="Decontamination",TypeFillDC,TypeFillCC),MATCH(E92,TypeL,0)),1))</f>
        <v>1</v>
      </c>
      <c r="AU92" s="9" t="n">
        <v>3</v>
      </c>
    </row>
    <row r="93" customFormat="false" ht="15" hidden="false" customHeight="false" outlineLevel="0" collapsed="false">
      <c r="A93" s="16" t="n">
        <v>18</v>
      </c>
      <c r="B93" s="20"/>
      <c r="C93" s="5"/>
      <c r="D93" s="5"/>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1" t="str">
        <f aca="false">IF(E93="Exchanger",IF(AND(ISNUMBER(S93),ISNUMBER(U93),ISNUMBER(V93)),S93*PI()/4*(U93*INDEX(LenF,MATCH($U$7,LenU,0)))^2*V93*INDEX(LenF,MATCH($V$7,LenU,0)),0)+IF(ISNUMBER(Y93),PI()/4*(Y93*INDEX(LenF,MATCH($Y$7,LenU,0)))^2*N(Z93)*INDEX(LenF,MATCH($Z$7,LenU,0))+IF(AA93="",0,IF(AA93="Conical",PI()/12*(Y93*INDEX(LenF,MATCH($Y$7,LenU,0)))^2*(0),INDEX(HeadK,MATCH(AA93,HeadU,0))*(Y93*INDEX(LenF,MATCH($Y$7,LenU,0)))^3)),0)+IF(ISNUMBER(Y93),PI()/4*(Y93*INDEX(LenF,MATCH($Y$7,LenU,0)))^2*N(AB93)*INDEX(LenF,MATCH($AB$7,LenU,0))+IF(AC93="",0,IF(AC93="Conical",PI()/12*(Y93*INDEX(LenF,MATCH($Y$7,LenU,0)))^2*(0),INDEX(HeadK,MATCH(AC93,HeadU,0))*(Y93*INDEX(LenF,MATCH($Y$7,LenU,0)))^3)),0),"")</f>
        <v/>
      </c>
      <c r="AE93" s="21" t="str">
        <f aca="false">IF(OR(E93="",E93="Piping"),"",IF(E93="Exchanger",AQ93*AR93+IF(P93="",0,IF(P93="Conical",PI()/12*(SQRT(4*AQ93/PI()))^2*(0),INDEX(HeadK,MATCH(P93,HeadU,0))*(SQRT(4*AQ93/PI()))^3))-IF(AND(ISNUMBER(S93),ISNUMBER(V93)),S93*PI()/4*AP93^2*V93*INDEX(LenF,MATCH($V$7,LenU,0)),0),IF(ISNUMBER(N93),PI()/4*(N93*INDEX(LenF,MATCH($N$7,LenU,0)))^2*N(O93)*INDEX(LenF,MATCH($O$7,LenU,0))+IF(P93="",0,IF(P93="Conical",PI()/12*(N93*INDEX(LenF,MATCH($N$7,LenU,0)))^2*(N(R93)*INDEX(LenF,MATCH($R$7,LenU,0))),INDEX(HeadK,MATCH(P93,HeadU,0))*(N93*INDEX(LenF,MATCH($N$7,LenU,0)))^3))+IF(Q93="",0,IF(Q93="Conical",PI()/12*(N93*INDEX(LenF,MATCH($N$7,LenU,0)))^2*(N(R93)*INDEX(LenF,MATCH($R$7,LenU,0))),INDEX(HeadK,MATCH(Q93,HeadU,0))*(N93*INDEX(LenF,MATCH($N$7,LenU,0)))^3)),0)))</f>
        <v/>
      </c>
      <c r="AF93" s="21" t="str">
        <f aca="false">IF(E93&lt;&gt;"Piping","",IF(AND(ISNUMBER(AS93),ISNUMBER(M93)),PI()/4*(AS93/1000)^2*M93*INDEX(LenF,MATCH($M$7,LenU,0)),0))</f>
        <v/>
      </c>
      <c r="AG93" s="21" t="str">
        <f aca="false">IF(E93="","",N(AD93)+N(AE93)+N(AF93))</f>
        <v/>
      </c>
      <c r="AH93" s="21" t="str">
        <f aca="false">IF(ISNUMBER(I93),I93*INDEX(WtF,MATCH($I$7,WtU,0))/WaterRho,"")</f>
        <v/>
      </c>
      <c r="AI93" s="11"/>
      <c r="AJ93" s="11"/>
      <c r="AK93" s="20"/>
      <c r="AL93" s="11"/>
      <c r="AM93" s="21" t="str">
        <f aca="false">IF(AO93="","",AO93*IF(ISNUMBER(AK93),AK93,DefFills)*(1+IF(ISNUMBER(AL93),AL93,DefAllow)))</f>
        <v/>
      </c>
      <c r="AN93" s="22" t="str">
        <f aca="false">IF(G93="Given volume",IF(ISNUMBER(H93),H93*INDEX(VolF,MATCH($H$7,VolU,0)),""),IF(G93="Water weight",AH93,IF(N(AG93)=0,"",AG93)))</f>
        <v/>
      </c>
      <c r="AO93" s="22" t="str">
        <f aca="false">IF(N(AN93)=0,"",AN93*AT93*IF(ISNUMBER(AJ93),AJ93,DefCirc))</f>
        <v/>
      </c>
      <c r="AP93" s="9" t="n">
        <f aca="false">IF(ISNUMBER(T93),T93*INDEX(LenF,MATCH($T$7,LenU,0)),IF(ISNUMBER(W93),W93*INDEX(LenF,MATCH($W$7,LenU,0))/PitchRatio,0))</f>
        <v>0</v>
      </c>
      <c r="AQ93" s="9" t="n">
        <f aca="false">IF(ISNUMBER(N93),PI()/4*(N93*INDEX(LenF,MATCH($N$7,LenU,0)))^2,IF(AND(ISNUMBER(S93),ISNUMBER(W93),X93&lt;&gt;""),S93*(W93*INDEX(LenF,MATCH($W$7,LenU,0)))^2*INDEX(LayoutF,MATCH(X93,LayoutU,0)),0))</f>
        <v>0</v>
      </c>
      <c r="AR93" s="9" t="n">
        <f aca="false">IF(ISNUMBER(O93),O93*INDEX(LenF,MATCH($O$7,LenU,0)),IF(ISNUMBER(V93),V93*INDEX(LenF,MATCH($V$7,LenU,0)),0))</f>
        <v>0</v>
      </c>
      <c r="AS93" s="9" t="str">
        <f aca="false">IF(ISNUMBER(L93),L93*INDEX(LenF,MATCH($L$7,LenU,0))*1000,IF(OR(J93="",K93=""),"",IFERROR(IF(INDEX(PipeWT,MATCH(J93,NPSU,0),MATCH(K93,SchU,0))="","Sch n/a",INDEX(PipeOD,MATCH(J93,NPSU,0))-2*INDEX(PipeWT,MATCH(J93,NPSU,0),MATCH(K93,SchU,0))),"")))</f>
        <v/>
      </c>
      <c r="AT93" s="9" t="n">
        <f aca="false">IF(ISNUMBER(AI93),AI93,IFERROR(INDEX(IF(JobType="Decontamination",TypeFillDC,TypeFillCC),MATCH(E93,TypeL,0)),1))</f>
        <v>1</v>
      </c>
      <c r="AU93" s="9" t="n">
        <v>3</v>
      </c>
    </row>
    <row r="94" customFormat="false" ht="15" hidden="false" customHeight="false" outlineLevel="0" collapsed="false">
      <c r="A94" s="16" t="n">
        <v>19</v>
      </c>
      <c r="B94" s="20"/>
      <c r="C94" s="5"/>
      <c r="D94" s="5"/>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1" t="str">
        <f aca="false">IF(E94="Exchanger",IF(AND(ISNUMBER(S94),ISNUMBER(U94),ISNUMBER(V94)),S94*PI()/4*(U94*INDEX(LenF,MATCH($U$7,LenU,0)))^2*V94*INDEX(LenF,MATCH($V$7,LenU,0)),0)+IF(ISNUMBER(Y94),PI()/4*(Y94*INDEX(LenF,MATCH($Y$7,LenU,0)))^2*N(Z94)*INDEX(LenF,MATCH($Z$7,LenU,0))+IF(AA94="",0,IF(AA94="Conical",PI()/12*(Y94*INDEX(LenF,MATCH($Y$7,LenU,0)))^2*(0),INDEX(HeadK,MATCH(AA94,HeadU,0))*(Y94*INDEX(LenF,MATCH($Y$7,LenU,0)))^3)),0)+IF(ISNUMBER(Y94),PI()/4*(Y94*INDEX(LenF,MATCH($Y$7,LenU,0)))^2*N(AB94)*INDEX(LenF,MATCH($AB$7,LenU,0))+IF(AC94="",0,IF(AC94="Conical",PI()/12*(Y94*INDEX(LenF,MATCH($Y$7,LenU,0)))^2*(0),INDEX(HeadK,MATCH(AC94,HeadU,0))*(Y94*INDEX(LenF,MATCH($Y$7,LenU,0)))^3)),0),"")</f>
        <v/>
      </c>
      <c r="AE94" s="21" t="str">
        <f aca="false">IF(OR(E94="",E94="Piping"),"",IF(E94="Exchanger",AQ94*AR94+IF(P94="",0,IF(P94="Conical",PI()/12*(SQRT(4*AQ94/PI()))^2*(0),INDEX(HeadK,MATCH(P94,HeadU,0))*(SQRT(4*AQ94/PI()))^3))-IF(AND(ISNUMBER(S94),ISNUMBER(V94)),S94*PI()/4*AP94^2*V94*INDEX(LenF,MATCH($V$7,LenU,0)),0),IF(ISNUMBER(N94),PI()/4*(N94*INDEX(LenF,MATCH($N$7,LenU,0)))^2*N(O94)*INDEX(LenF,MATCH($O$7,LenU,0))+IF(P94="",0,IF(P94="Conical",PI()/12*(N94*INDEX(LenF,MATCH($N$7,LenU,0)))^2*(N(R94)*INDEX(LenF,MATCH($R$7,LenU,0))),INDEX(HeadK,MATCH(P94,HeadU,0))*(N94*INDEX(LenF,MATCH($N$7,LenU,0)))^3))+IF(Q94="",0,IF(Q94="Conical",PI()/12*(N94*INDEX(LenF,MATCH($N$7,LenU,0)))^2*(N(R94)*INDEX(LenF,MATCH($R$7,LenU,0))),INDEX(HeadK,MATCH(Q94,HeadU,0))*(N94*INDEX(LenF,MATCH($N$7,LenU,0)))^3)),0)))</f>
        <v/>
      </c>
      <c r="AF94" s="21" t="str">
        <f aca="false">IF(E94&lt;&gt;"Piping","",IF(AND(ISNUMBER(AS94),ISNUMBER(M94)),PI()/4*(AS94/1000)^2*M94*INDEX(LenF,MATCH($M$7,LenU,0)),0))</f>
        <v/>
      </c>
      <c r="AG94" s="21" t="str">
        <f aca="false">IF(E94="","",N(AD94)+N(AE94)+N(AF94))</f>
        <v/>
      </c>
      <c r="AH94" s="21" t="str">
        <f aca="false">IF(ISNUMBER(I94),I94*INDEX(WtF,MATCH($I$7,WtU,0))/WaterRho,"")</f>
        <v/>
      </c>
      <c r="AI94" s="11"/>
      <c r="AJ94" s="11"/>
      <c r="AK94" s="20"/>
      <c r="AL94" s="11"/>
      <c r="AM94" s="21" t="str">
        <f aca="false">IF(AO94="","",AO94*IF(ISNUMBER(AK94),AK94,DefFills)*(1+IF(ISNUMBER(AL94),AL94,DefAllow)))</f>
        <v/>
      </c>
      <c r="AN94" s="22" t="str">
        <f aca="false">IF(G94="Given volume",IF(ISNUMBER(H94),H94*INDEX(VolF,MATCH($H$7,VolU,0)),""),IF(G94="Water weight",AH94,IF(N(AG94)=0,"",AG94)))</f>
        <v/>
      </c>
      <c r="AO94" s="22" t="str">
        <f aca="false">IF(N(AN94)=0,"",AN94*AT94*IF(ISNUMBER(AJ94),AJ94,DefCirc))</f>
        <v/>
      </c>
      <c r="AP94" s="9" t="n">
        <f aca="false">IF(ISNUMBER(T94),T94*INDEX(LenF,MATCH($T$7,LenU,0)),IF(ISNUMBER(W94),W94*INDEX(LenF,MATCH($W$7,LenU,0))/PitchRatio,0))</f>
        <v>0</v>
      </c>
      <c r="AQ94" s="9" t="n">
        <f aca="false">IF(ISNUMBER(N94),PI()/4*(N94*INDEX(LenF,MATCH($N$7,LenU,0)))^2,IF(AND(ISNUMBER(S94),ISNUMBER(W94),X94&lt;&gt;""),S94*(W94*INDEX(LenF,MATCH($W$7,LenU,0)))^2*INDEX(LayoutF,MATCH(X94,LayoutU,0)),0))</f>
        <v>0</v>
      </c>
      <c r="AR94" s="9" t="n">
        <f aca="false">IF(ISNUMBER(O94),O94*INDEX(LenF,MATCH($O$7,LenU,0)),IF(ISNUMBER(V94),V94*INDEX(LenF,MATCH($V$7,LenU,0)),0))</f>
        <v>0</v>
      </c>
      <c r="AS94" s="9" t="str">
        <f aca="false">IF(ISNUMBER(L94),L94*INDEX(LenF,MATCH($L$7,LenU,0))*1000,IF(OR(J94="",K94=""),"",IFERROR(IF(INDEX(PipeWT,MATCH(J94,NPSU,0),MATCH(K94,SchU,0))="","Sch n/a",INDEX(PipeOD,MATCH(J94,NPSU,0))-2*INDEX(PipeWT,MATCH(J94,NPSU,0),MATCH(K94,SchU,0))),"")))</f>
        <v/>
      </c>
      <c r="AT94" s="9" t="n">
        <f aca="false">IF(ISNUMBER(AI94),AI94,IFERROR(INDEX(IF(JobType="Decontamination",TypeFillDC,TypeFillCC),MATCH(E94,TypeL,0)),1))</f>
        <v>1</v>
      </c>
      <c r="AU94" s="9" t="n">
        <v>3</v>
      </c>
    </row>
    <row r="95" customFormat="false" ht="15" hidden="false" customHeight="false" outlineLevel="0" collapsed="false">
      <c r="A95" s="16" t="n">
        <v>20</v>
      </c>
      <c r="B95" s="20"/>
      <c r="C95" s="5"/>
      <c r="D95" s="5"/>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1" t="str">
        <f aca="false">IF(E95="Exchanger",IF(AND(ISNUMBER(S95),ISNUMBER(U95),ISNUMBER(V95)),S95*PI()/4*(U95*INDEX(LenF,MATCH($U$7,LenU,0)))^2*V95*INDEX(LenF,MATCH($V$7,LenU,0)),0)+IF(ISNUMBER(Y95),PI()/4*(Y95*INDEX(LenF,MATCH($Y$7,LenU,0)))^2*N(Z95)*INDEX(LenF,MATCH($Z$7,LenU,0))+IF(AA95="",0,IF(AA95="Conical",PI()/12*(Y95*INDEX(LenF,MATCH($Y$7,LenU,0)))^2*(0),INDEX(HeadK,MATCH(AA95,HeadU,0))*(Y95*INDEX(LenF,MATCH($Y$7,LenU,0)))^3)),0)+IF(ISNUMBER(Y95),PI()/4*(Y95*INDEX(LenF,MATCH($Y$7,LenU,0)))^2*N(AB95)*INDEX(LenF,MATCH($AB$7,LenU,0))+IF(AC95="",0,IF(AC95="Conical",PI()/12*(Y95*INDEX(LenF,MATCH($Y$7,LenU,0)))^2*(0),INDEX(HeadK,MATCH(AC95,HeadU,0))*(Y95*INDEX(LenF,MATCH($Y$7,LenU,0)))^3)),0),"")</f>
        <v/>
      </c>
      <c r="AE95" s="21" t="str">
        <f aca="false">IF(OR(E95="",E95="Piping"),"",IF(E95="Exchanger",AQ95*AR95+IF(P95="",0,IF(P95="Conical",PI()/12*(SQRT(4*AQ95/PI()))^2*(0),INDEX(HeadK,MATCH(P95,HeadU,0))*(SQRT(4*AQ95/PI()))^3))-IF(AND(ISNUMBER(S95),ISNUMBER(V95)),S95*PI()/4*AP95^2*V95*INDEX(LenF,MATCH($V$7,LenU,0)),0),IF(ISNUMBER(N95),PI()/4*(N95*INDEX(LenF,MATCH($N$7,LenU,0)))^2*N(O95)*INDEX(LenF,MATCH($O$7,LenU,0))+IF(P95="",0,IF(P95="Conical",PI()/12*(N95*INDEX(LenF,MATCH($N$7,LenU,0)))^2*(N(R95)*INDEX(LenF,MATCH($R$7,LenU,0))),INDEX(HeadK,MATCH(P95,HeadU,0))*(N95*INDEX(LenF,MATCH($N$7,LenU,0)))^3))+IF(Q95="",0,IF(Q95="Conical",PI()/12*(N95*INDEX(LenF,MATCH($N$7,LenU,0)))^2*(N(R95)*INDEX(LenF,MATCH($R$7,LenU,0))),INDEX(HeadK,MATCH(Q95,HeadU,0))*(N95*INDEX(LenF,MATCH($N$7,LenU,0)))^3)),0)))</f>
        <v/>
      </c>
      <c r="AF95" s="21" t="str">
        <f aca="false">IF(E95&lt;&gt;"Piping","",IF(AND(ISNUMBER(AS95),ISNUMBER(M95)),PI()/4*(AS95/1000)^2*M95*INDEX(LenF,MATCH($M$7,LenU,0)),0))</f>
        <v/>
      </c>
      <c r="AG95" s="21" t="str">
        <f aca="false">IF(E95="","",N(AD95)+N(AE95)+N(AF95))</f>
        <v/>
      </c>
      <c r="AH95" s="21" t="str">
        <f aca="false">IF(ISNUMBER(I95),I95*INDEX(WtF,MATCH($I$7,WtU,0))/WaterRho,"")</f>
        <v/>
      </c>
      <c r="AI95" s="11"/>
      <c r="AJ95" s="11"/>
      <c r="AK95" s="20"/>
      <c r="AL95" s="11"/>
      <c r="AM95" s="21" t="str">
        <f aca="false">IF(AO95="","",AO95*IF(ISNUMBER(AK95),AK95,DefFills)*(1+IF(ISNUMBER(AL95),AL95,DefAllow)))</f>
        <v/>
      </c>
      <c r="AN95" s="22" t="str">
        <f aca="false">IF(G95="Given volume",IF(ISNUMBER(H95),H95*INDEX(VolF,MATCH($H$7,VolU,0)),""),IF(G95="Water weight",AH95,IF(N(AG95)=0,"",AG95)))</f>
        <v/>
      </c>
      <c r="AO95" s="22" t="str">
        <f aca="false">IF(N(AN95)=0,"",AN95*AT95*IF(ISNUMBER(AJ95),AJ95,DefCirc))</f>
        <v/>
      </c>
      <c r="AP95" s="9" t="n">
        <f aca="false">IF(ISNUMBER(T95),T95*INDEX(LenF,MATCH($T$7,LenU,0)),IF(ISNUMBER(W95),W95*INDEX(LenF,MATCH($W$7,LenU,0))/PitchRatio,0))</f>
        <v>0</v>
      </c>
      <c r="AQ95" s="9" t="n">
        <f aca="false">IF(ISNUMBER(N95),PI()/4*(N95*INDEX(LenF,MATCH($N$7,LenU,0)))^2,IF(AND(ISNUMBER(S95),ISNUMBER(W95),X95&lt;&gt;""),S95*(W95*INDEX(LenF,MATCH($W$7,LenU,0)))^2*INDEX(LayoutF,MATCH(X95,LayoutU,0)),0))</f>
        <v>0</v>
      </c>
      <c r="AR95" s="9" t="n">
        <f aca="false">IF(ISNUMBER(O95),O95*INDEX(LenF,MATCH($O$7,LenU,0)),IF(ISNUMBER(V95),V95*INDEX(LenF,MATCH($V$7,LenU,0)),0))</f>
        <v>0</v>
      </c>
      <c r="AS95" s="9" t="str">
        <f aca="false">IF(ISNUMBER(L95),L95*INDEX(LenF,MATCH($L$7,LenU,0))*1000,IF(OR(J95="",K95=""),"",IFERROR(IF(INDEX(PipeWT,MATCH(J95,NPSU,0),MATCH(K95,SchU,0))="","Sch n/a",INDEX(PipeOD,MATCH(J95,NPSU,0))-2*INDEX(PipeWT,MATCH(J95,NPSU,0),MATCH(K95,SchU,0))),"")))</f>
        <v/>
      </c>
      <c r="AT95" s="9" t="n">
        <f aca="false">IF(ISNUMBER(AI95),AI95,IFERROR(INDEX(IF(JobType="Decontamination",TypeFillDC,TypeFillCC),MATCH(E95,TypeL,0)),1))</f>
        <v>1</v>
      </c>
      <c r="AU95" s="9" t="n">
        <v>3</v>
      </c>
    </row>
    <row r="96" customFormat="false" ht="15" hidden="false" customHeight="false" outlineLevel="0" collapsed="false">
      <c r="A96" s="16" t="n">
        <v>21</v>
      </c>
      <c r="B96" s="20"/>
      <c r="C96" s="5"/>
      <c r="D96" s="5"/>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1" t="str">
        <f aca="false">IF(E96="Exchanger",IF(AND(ISNUMBER(S96),ISNUMBER(U96),ISNUMBER(V96)),S96*PI()/4*(U96*INDEX(LenF,MATCH($U$7,LenU,0)))^2*V96*INDEX(LenF,MATCH($V$7,LenU,0)),0)+IF(ISNUMBER(Y96),PI()/4*(Y96*INDEX(LenF,MATCH($Y$7,LenU,0)))^2*N(Z96)*INDEX(LenF,MATCH($Z$7,LenU,0))+IF(AA96="",0,IF(AA96="Conical",PI()/12*(Y96*INDEX(LenF,MATCH($Y$7,LenU,0)))^2*(0),INDEX(HeadK,MATCH(AA96,HeadU,0))*(Y96*INDEX(LenF,MATCH($Y$7,LenU,0)))^3)),0)+IF(ISNUMBER(Y96),PI()/4*(Y96*INDEX(LenF,MATCH($Y$7,LenU,0)))^2*N(AB96)*INDEX(LenF,MATCH($AB$7,LenU,0))+IF(AC96="",0,IF(AC96="Conical",PI()/12*(Y96*INDEX(LenF,MATCH($Y$7,LenU,0)))^2*(0),INDEX(HeadK,MATCH(AC96,HeadU,0))*(Y96*INDEX(LenF,MATCH($Y$7,LenU,0)))^3)),0),"")</f>
        <v/>
      </c>
      <c r="AE96" s="21" t="str">
        <f aca="false">IF(OR(E96="",E96="Piping"),"",IF(E96="Exchanger",AQ96*AR96+IF(P96="",0,IF(P96="Conical",PI()/12*(SQRT(4*AQ96/PI()))^2*(0),INDEX(HeadK,MATCH(P96,HeadU,0))*(SQRT(4*AQ96/PI()))^3))-IF(AND(ISNUMBER(S96),ISNUMBER(V96)),S96*PI()/4*AP96^2*V96*INDEX(LenF,MATCH($V$7,LenU,0)),0),IF(ISNUMBER(N96),PI()/4*(N96*INDEX(LenF,MATCH($N$7,LenU,0)))^2*N(O96)*INDEX(LenF,MATCH($O$7,LenU,0))+IF(P96="",0,IF(P96="Conical",PI()/12*(N96*INDEX(LenF,MATCH($N$7,LenU,0)))^2*(N(R96)*INDEX(LenF,MATCH($R$7,LenU,0))),INDEX(HeadK,MATCH(P96,HeadU,0))*(N96*INDEX(LenF,MATCH($N$7,LenU,0)))^3))+IF(Q96="",0,IF(Q96="Conical",PI()/12*(N96*INDEX(LenF,MATCH($N$7,LenU,0)))^2*(N(R96)*INDEX(LenF,MATCH($R$7,LenU,0))),INDEX(HeadK,MATCH(Q96,HeadU,0))*(N96*INDEX(LenF,MATCH($N$7,LenU,0)))^3)),0)))</f>
        <v/>
      </c>
      <c r="AF96" s="21" t="str">
        <f aca="false">IF(E96&lt;&gt;"Piping","",IF(AND(ISNUMBER(AS96),ISNUMBER(M96)),PI()/4*(AS96/1000)^2*M96*INDEX(LenF,MATCH($M$7,LenU,0)),0))</f>
        <v/>
      </c>
      <c r="AG96" s="21" t="str">
        <f aca="false">IF(E96="","",N(AD96)+N(AE96)+N(AF96))</f>
        <v/>
      </c>
      <c r="AH96" s="21" t="str">
        <f aca="false">IF(ISNUMBER(I96),I96*INDEX(WtF,MATCH($I$7,WtU,0))/WaterRho,"")</f>
        <v/>
      </c>
      <c r="AI96" s="11"/>
      <c r="AJ96" s="11"/>
      <c r="AK96" s="20"/>
      <c r="AL96" s="11"/>
      <c r="AM96" s="21" t="str">
        <f aca="false">IF(AO96="","",AO96*IF(ISNUMBER(AK96),AK96,DefFills)*(1+IF(ISNUMBER(AL96),AL96,DefAllow)))</f>
        <v/>
      </c>
      <c r="AN96" s="22" t="str">
        <f aca="false">IF(G96="Given volume",IF(ISNUMBER(H96),H96*INDEX(VolF,MATCH($H$7,VolU,0)),""),IF(G96="Water weight",AH96,IF(N(AG96)=0,"",AG96)))</f>
        <v/>
      </c>
      <c r="AO96" s="22" t="str">
        <f aca="false">IF(N(AN96)=0,"",AN96*AT96*IF(ISNUMBER(AJ96),AJ96,DefCirc))</f>
        <v/>
      </c>
      <c r="AP96" s="9" t="n">
        <f aca="false">IF(ISNUMBER(T96),T96*INDEX(LenF,MATCH($T$7,LenU,0)),IF(ISNUMBER(W96),W96*INDEX(LenF,MATCH($W$7,LenU,0))/PitchRatio,0))</f>
        <v>0</v>
      </c>
      <c r="AQ96" s="9" t="n">
        <f aca="false">IF(ISNUMBER(N96),PI()/4*(N96*INDEX(LenF,MATCH($N$7,LenU,0)))^2,IF(AND(ISNUMBER(S96),ISNUMBER(W96),X96&lt;&gt;""),S96*(W96*INDEX(LenF,MATCH($W$7,LenU,0)))^2*INDEX(LayoutF,MATCH(X96,LayoutU,0)),0))</f>
        <v>0</v>
      </c>
      <c r="AR96" s="9" t="n">
        <f aca="false">IF(ISNUMBER(O96),O96*INDEX(LenF,MATCH($O$7,LenU,0)),IF(ISNUMBER(V96),V96*INDEX(LenF,MATCH($V$7,LenU,0)),0))</f>
        <v>0</v>
      </c>
      <c r="AS96" s="9" t="str">
        <f aca="false">IF(ISNUMBER(L96),L96*INDEX(LenF,MATCH($L$7,LenU,0))*1000,IF(OR(J96="",K96=""),"",IFERROR(IF(INDEX(PipeWT,MATCH(J96,NPSU,0),MATCH(K96,SchU,0))="","Sch n/a",INDEX(PipeOD,MATCH(J96,NPSU,0))-2*INDEX(PipeWT,MATCH(J96,NPSU,0),MATCH(K96,SchU,0))),"")))</f>
        <v/>
      </c>
      <c r="AT96" s="9" t="n">
        <f aca="false">IF(ISNUMBER(AI96),AI96,IFERROR(INDEX(IF(JobType="Decontamination",TypeFillDC,TypeFillCC),MATCH(E96,TypeL,0)),1))</f>
        <v>1</v>
      </c>
      <c r="AU96" s="9" t="n">
        <v>3</v>
      </c>
    </row>
    <row r="97" customFormat="false" ht="15" hidden="false" customHeight="false" outlineLevel="0" collapsed="false">
      <c r="A97" s="16" t="n">
        <v>22</v>
      </c>
      <c r="B97" s="20"/>
      <c r="C97" s="5"/>
      <c r="D97" s="5"/>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1" t="str">
        <f aca="false">IF(E97="Exchanger",IF(AND(ISNUMBER(S97),ISNUMBER(U97),ISNUMBER(V97)),S97*PI()/4*(U97*INDEX(LenF,MATCH($U$7,LenU,0)))^2*V97*INDEX(LenF,MATCH($V$7,LenU,0)),0)+IF(ISNUMBER(Y97),PI()/4*(Y97*INDEX(LenF,MATCH($Y$7,LenU,0)))^2*N(Z97)*INDEX(LenF,MATCH($Z$7,LenU,0))+IF(AA97="",0,IF(AA97="Conical",PI()/12*(Y97*INDEX(LenF,MATCH($Y$7,LenU,0)))^2*(0),INDEX(HeadK,MATCH(AA97,HeadU,0))*(Y97*INDEX(LenF,MATCH($Y$7,LenU,0)))^3)),0)+IF(ISNUMBER(Y97),PI()/4*(Y97*INDEX(LenF,MATCH($Y$7,LenU,0)))^2*N(AB97)*INDEX(LenF,MATCH($AB$7,LenU,0))+IF(AC97="",0,IF(AC97="Conical",PI()/12*(Y97*INDEX(LenF,MATCH($Y$7,LenU,0)))^2*(0),INDEX(HeadK,MATCH(AC97,HeadU,0))*(Y97*INDEX(LenF,MATCH($Y$7,LenU,0)))^3)),0),"")</f>
        <v/>
      </c>
      <c r="AE97" s="21" t="str">
        <f aca="false">IF(OR(E97="",E97="Piping"),"",IF(E97="Exchanger",AQ97*AR97+IF(P97="",0,IF(P97="Conical",PI()/12*(SQRT(4*AQ97/PI()))^2*(0),INDEX(HeadK,MATCH(P97,HeadU,0))*(SQRT(4*AQ97/PI()))^3))-IF(AND(ISNUMBER(S97),ISNUMBER(V97)),S97*PI()/4*AP97^2*V97*INDEX(LenF,MATCH($V$7,LenU,0)),0),IF(ISNUMBER(N97),PI()/4*(N97*INDEX(LenF,MATCH($N$7,LenU,0)))^2*N(O97)*INDEX(LenF,MATCH($O$7,LenU,0))+IF(P97="",0,IF(P97="Conical",PI()/12*(N97*INDEX(LenF,MATCH($N$7,LenU,0)))^2*(N(R97)*INDEX(LenF,MATCH($R$7,LenU,0))),INDEX(HeadK,MATCH(P97,HeadU,0))*(N97*INDEX(LenF,MATCH($N$7,LenU,0)))^3))+IF(Q97="",0,IF(Q97="Conical",PI()/12*(N97*INDEX(LenF,MATCH($N$7,LenU,0)))^2*(N(R97)*INDEX(LenF,MATCH($R$7,LenU,0))),INDEX(HeadK,MATCH(Q97,HeadU,0))*(N97*INDEX(LenF,MATCH($N$7,LenU,0)))^3)),0)))</f>
        <v/>
      </c>
      <c r="AF97" s="21" t="str">
        <f aca="false">IF(E97&lt;&gt;"Piping","",IF(AND(ISNUMBER(AS97),ISNUMBER(M97)),PI()/4*(AS97/1000)^2*M97*INDEX(LenF,MATCH($M$7,LenU,0)),0))</f>
        <v/>
      </c>
      <c r="AG97" s="21" t="str">
        <f aca="false">IF(E97="","",N(AD97)+N(AE97)+N(AF97))</f>
        <v/>
      </c>
      <c r="AH97" s="21" t="str">
        <f aca="false">IF(ISNUMBER(I97),I97*INDEX(WtF,MATCH($I$7,WtU,0))/WaterRho,"")</f>
        <v/>
      </c>
      <c r="AI97" s="11"/>
      <c r="AJ97" s="11"/>
      <c r="AK97" s="20"/>
      <c r="AL97" s="11"/>
      <c r="AM97" s="21" t="str">
        <f aca="false">IF(AO97="","",AO97*IF(ISNUMBER(AK97),AK97,DefFills)*(1+IF(ISNUMBER(AL97),AL97,DefAllow)))</f>
        <v/>
      </c>
      <c r="AN97" s="22" t="str">
        <f aca="false">IF(G97="Given volume",IF(ISNUMBER(H97),H97*INDEX(VolF,MATCH($H$7,VolU,0)),""),IF(G97="Water weight",AH97,IF(N(AG97)=0,"",AG97)))</f>
        <v/>
      </c>
      <c r="AO97" s="22" t="str">
        <f aca="false">IF(N(AN97)=0,"",AN97*AT97*IF(ISNUMBER(AJ97),AJ97,DefCirc))</f>
        <v/>
      </c>
      <c r="AP97" s="9" t="n">
        <f aca="false">IF(ISNUMBER(T97),T97*INDEX(LenF,MATCH($T$7,LenU,0)),IF(ISNUMBER(W97),W97*INDEX(LenF,MATCH($W$7,LenU,0))/PitchRatio,0))</f>
        <v>0</v>
      </c>
      <c r="AQ97" s="9" t="n">
        <f aca="false">IF(ISNUMBER(N97),PI()/4*(N97*INDEX(LenF,MATCH($N$7,LenU,0)))^2,IF(AND(ISNUMBER(S97),ISNUMBER(W97),X97&lt;&gt;""),S97*(W97*INDEX(LenF,MATCH($W$7,LenU,0)))^2*INDEX(LayoutF,MATCH(X97,LayoutU,0)),0))</f>
        <v>0</v>
      </c>
      <c r="AR97" s="9" t="n">
        <f aca="false">IF(ISNUMBER(O97),O97*INDEX(LenF,MATCH($O$7,LenU,0)),IF(ISNUMBER(V97),V97*INDEX(LenF,MATCH($V$7,LenU,0)),0))</f>
        <v>0</v>
      </c>
      <c r="AS97" s="9" t="str">
        <f aca="false">IF(ISNUMBER(L97),L97*INDEX(LenF,MATCH($L$7,LenU,0))*1000,IF(OR(J97="",K97=""),"",IFERROR(IF(INDEX(PipeWT,MATCH(J97,NPSU,0),MATCH(K97,SchU,0))="","Sch n/a",INDEX(PipeOD,MATCH(J97,NPSU,0))-2*INDEX(PipeWT,MATCH(J97,NPSU,0),MATCH(K97,SchU,0))),"")))</f>
        <v/>
      </c>
      <c r="AT97" s="9" t="n">
        <f aca="false">IF(ISNUMBER(AI97),AI97,IFERROR(INDEX(IF(JobType="Decontamination",TypeFillDC,TypeFillCC),MATCH(E97,TypeL,0)),1))</f>
        <v>1</v>
      </c>
      <c r="AU97" s="9" t="n">
        <v>3</v>
      </c>
    </row>
    <row r="98" customFormat="false" ht="15" hidden="false" customHeight="false" outlineLevel="0" collapsed="false">
      <c r="A98" s="16" t="n">
        <v>23</v>
      </c>
      <c r="B98" s="20"/>
      <c r="C98" s="5"/>
      <c r="D98" s="5"/>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1" t="str">
        <f aca="false">IF(E98="Exchanger",IF(AND(ISNUMBER(S98),ISNUMBER(U98),ISNUMBER(V98)),S98*PI()/4*(U98*INDEX(LenF,MATCH($U$7,LenU,0)))^2*V98*INDEX(LenF,MATCH($V$7,LenU,0)),0)+IF(ISNUMBER(Y98),PI()/4*(Y98*INDEX(LenF,MATCH($Y$7,LenU,0)))^2*N(Z98)*INDEX(LenF,MATCH($Z$7,LenU,0))+IF(AA98="",0,IF(AA98="Conical",PI()/12*(Y98*INDEX(LenF,MATCH($Y$7,LenU,0)))^2*(0),INDEX(HeadK,MATCH(AA98,HeadU,0))*(Y98*INDEX(LenF,MATCH($Y$7,LenU,0)))^3)),0)+IF(ISNUMBER(Y98),PI()/4*(Y98*INDEX(LenF,MATCH($Y$7,LenU,0)))^2*N(AB98)*INDEX(LenF,MATCH($AB$7,LenU,0))+IF(AC98="",0,IF(AC98="Conical",PI()/12*(Y98*INDEX(LenF,MATCH($Y$7,LenU,0)))^2*(0),INDEX(HeadK,MATCH(AC98,HeadU,0))*(Y98*INDEX(LenF,MATCH($Y$7,LenU,0)))^3)),0),"")</f>
        <v/>
      </c>
      <c r="AE98" s="21" t="str">
        <f aca="false">IF(OR(E98="",E98="Piping"),"",IF(E98="Exchanger",AQ98*AR98+IF(P98="",0,IF(P98="Conical",PI()/12*(SQRT(4*AQ98/PI()))^2*(0),INDEX(HeadK,MATCH(P98,HeadU,0))*(SQRT(4*AQ98/PI()))^3))-IF(AND(ISNUMBER(S98),ISNUMBER(V98)),S98*PI()/4*AP98^2*V98*INDEX(LenF,MATCH($V$7,LenU,0)),0),IF(ISNUMBER(N98),PI()/4*(N98*INDEX(LenF,MATCH($N$7,LenU,0)))^2*N(O98)*INDEX(LenF,MATCH($O$7,LenU,0))+IF(P98="",0,IF(P98="Conical",PI()/12*(N98*INDEX(LenF,MATCH($N$7,LenU,0)))^2*(N(R98)*INDEX(LenF,MATCH($R$7,LenU,0))),INDEX(HeadK,MATCH(P98,HeadU,0))*(N98*INDEX(LenF,MATCH($N$7,LenU,0)))^3))+IF(Q98="",0,IF(Q98="Conical",PI()/12*(N98*INDEX(LenF,MATCH($N$7,LenU,0)))^2*(N(R98)*INDEX(LenF,MATCH($R$7,LenU,0))),INDEX(HeadK,MATCH(Q98,HeadU,0))*(N98*INDEX(LenF,MATCH($N$7,LenU,0)))^3)),0)))</f>
        <v/>
      </c>
      <c r="AF98" s="21" t="str">
        <f aca="false">IF(E98&lt;&gt;"Piping","",IF(AND(ISNUMBER(AS98),ISNUMBER(M98)),PI()/4*(AS98/1000)^2*M98*INDEX(LenF,MATCH($M$7,LenU,0)),0))</f>
        <v/>
      </c>
      <c r="AG98" s="21" t="str">
        <f aca="false">IF(E98="","",N(AD98)+N(AE98)+N(AF98))</f>
        <v/>
      </c>
      <c r="AH98" s="21" t="str">
        <f aca="false">IF(ISNUMBER(I98),I98*INDEX(WtF,MATCH($I$7,WtU,0))/WaterRho,"")</f>
        <v/>
      </c>
      <c r="AI98" s="11"/>
      <c r="AJ98" s="11"/>
      <c r="AK98" s="20"/>
      <c r="AL98" s="11"/>
      <c r="AM98" s="21" t="str">
        <f aca="false">IF(AO98="","",AO98*IF(ISNUMBER(AK98),AK98,DefFills)*(1+IF(ISNUMBER(AL98),AL98,DefAllow)))</f>
        <v/>
      </c>
      <c r="AN98" s="22" t="str">
        <f aca="false">IF(G98="Given volume",IF(ISNUMBER(H98),H98*INDEX(VolF,MATCH($H$7,VolU,0)),""),IF(G98="Water weight",AH98,IF(N(AG98)=0,"",AG98)))</f>
        <v/>
      </c>
      <c r="AO98" s="22" t="str">
        <f aca="false">IF(N(AN98)=0,"",AN98*AT98*IF(ISNUMBER(AJ98),AJ98,DefCirc))</f>
        <v/>
      </c>
      <c r="AP98" s="9" t="n">
        <f aca="false">IF(ISNUMBER(T98),T98*INDEX(LenF,MATCH($T$7,LenU,0)),IF(ISNUMBER(W98),W98*INDEX(LenF,MATCH($W$7,LenU,0))/PitchRatio,0))</f>
        <v>0</v>
      </c>
      <c r="AQ98" s="9" t="n">
        <f aca="false">IF(ISNUMBER(N98),PI()/4*(N98*INDEX(LenF,MATCH($N$7,LenU,0)))^2,IF(AND(ISNUMBER(S98),ISNUMBER(W98),X98&lt;&gt;""),S98*(W98*INDEX(LenF,MATCH($W$7,LenU,0)))^2*INDEX(LayoutF,MATCH(X98,LayoutU,0)),0))</f>
        <v>0</v>
      </c>
      <c r="AR98" s="9" t="n">
        <f aca="false">IF(ISNUMBER(O98),O98*INDEX(LenF,MATCH($O$7,LenU,0)),IF(ISNUMBER(V98),V98*INDEX(LenF,MATCH($V$7,LenU,0)),0))</f>
        <v>0</v>
      </c>
      <c r="AS98" s="9" t="str">
        <f aca="false">IF(ISNUMBER(L98),L98*INDEX(LenF,MATCH($L$7,LenU,0))*1000,IF(OR(J98="",K98=""),"",IFERROR(IF(INDEX(PipeWT,MATCH(J98,NPSU,0),MATCH(K98,SchU,0))="","Sch n/a",INDEX(PipeOD,MATCH(J98,NPSU,0))-2*INDEX(PipeWT,MATCH(J98,NPSU,0),MATCH(K98,SchU,0))),"")))</f>
        <v/>
      </c>
      <c r="AT98" s="9" t="n">
        <f aca="false">IF(ISNUMBER(AI98),AI98,IFERROR(INDEX(IF(JobType="Decontamination",TypeFillDC,TypeFillCC),MATCH(E98,TypeL,0)),1))</f>
        <v>1</v>
      </c>
      <c r="AU98" s="9" t="n">
        <v>3</v>
      </c>
    </row>
    <row r="99" customFormat="false" ht="15" hidden="false" customHeight="false" outlineLevel="0" collapsed="false">
      <c r="A99" s="16" t="n">
        <v>24</v>
      </c>
      <c r="B99" s="20"/>
      <c r="C99" s="5"/>
      <c r="D99" s="5"/>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1" t="str">
        <f aca="false">IF(E99="Exchanger",IF(AND(ISNUMBER(S99),ISNUMBER(U99),ISNUMBER(V99)),S99*PI()/4*(U99*INDEX(LenF,MATCH($U$7,LenU,0)))^2*V99*INDEX(LenF,MATCH($V$7,LenU,0)),0)+IF(ISNUMBER(Y99),PI()/4*(Y99*INDEX(LenF,MATCH($Y$7,LenU,0)))^2*N(Z99)*INDEX(LenF,MATCH($Z$7,LenU,0))+IF(AA99="",0,IF(AA99="Conical",PI()/12*(Y99*INDEX(LenF,MATCH($Y$7,LenU,0)))^2*(0),INDEX(HeadK,MATCH(AA99,HeadU,0))*(Y99*INDEX(LenF,MATCH($Y$7,LenU,0)))^3)),0)+IF(ISNUMBER(Y99),PI()/4*(Y99*INDEX(LenF,MATCH($Y$7,LenU,0)))^2*N(AB99)*INDEX(LenF,MATCH($AB$7,LenU,0))+IF(AC99="",0,IF(AC99="Conical",PI()/12*(Y99*INDEX(LenF,MATCH($Y$7,LenU,0)))^2*(0),INDEX(HeadK,MATCH(AC99,HeadU,0))*(Y99*INDEX(LenF,MATCH($Y$7,LenU,0)))^3)),0),"")</f>
        <v/>
      </c>
      <c r="AE99" s="21" t="str">
        <f aca="false">IF(OR(E99="",E99="Piping"),"",IF(E99="Exchanger",AQ99*AR99+IF(P99="",0,IF(P99="Conical",PI()/12*(SQRT(4*AQ99/PI()))^2*(0),INDEX(HeadK,MATCH(P99,HeadU,0))*(SQRT(4*AQ99/PI()))^3))-IF(AND(ISNUMBER(S99),ISNUMBER(V99)),S99*PI()/4*AP99^2*V99*INDEX(LenF,MATCH($V$7,LenU,0)),0),IF(ISNUMBER(N99),PI()/4*(N99*INDEX(LenF,MATCH($N$7,LenU,0)))^2*N(O99)*INDEX(LenF,MATCH($O$7,LenU,0))+IF(P99="",0,IF(P99="Conical",PI()/12*(N99*INDEX(LenF,MATCH($N$7,LenU,0)))^2*(N(R99)*INDEX(LenF,MATCH($R$7,LenU,0))),INDEX(HeadK,MATCH(P99,HeadU,0))*(N99*INDEX(LenF,MATCH($N$7,LenU,0)))^3))+IF(Q99="",0,IF(Q99="Conical",PI()/12*(N99*INDEX(LenF,MATCH($N$7,LenU,0)))^2*(N(R99)*INDEX(LenF,MATCH($R$7,LenU,0))),INDEX(HeadK,MATCH(Q99,HeadU,0))*(N99*INDEX(LenF,MATCH($N$7,LenU,0)))^3)),0)))</f>
        <v/>
      </c>
      <c r="AF99" s="21" t="str">
        <f aca="false">IF(E99&lt;&gt;"Piping","",IF(AND(ISNUMBER(AS99),ISNUMBER(M99)),PI()/4*(AS99/1000)^2*M99*INDEX(LenF,MATCH($M$7,LenU,0)),0))</f>
        <v/>
      </c>
      <c r="AG99" s="21" t="str">
        <f aca="false">IF(E99="","",N(AD99)+N(AE99)+N(AF99))</f>
        <v/>
      </c>
      <c r="AH99" s="21" t="str">
        <f aca="false">IF(ISNUMBER(I99),I99*INDEX(WtF,MATCH($I$7,WtU,0))/WaterRho,"")</f>
        <v/>
      </c>
      <c r="AI99" s="11"/>
      <c r="AJ99" s="11"/>
      <c r="AK99" s="20"/>
      <c r="AL99" s="11"/>
      <c r="AM99" s="21" t="str">
        <f aca="false">IF(AO99="","",AO99*IF(ISNUMBER(AK99),AK99,DefFills)*(1+IF(ISNUMBER(AL99),AL99,DefAllow)))</f>
        <v/>
      </c>
      <c r="AN99" s="22" t="str">
        <f aca="false">IF(G99="Given volume",IF(ISNUMBER(H99),H99*INDEX(VolF,MATCH($H$7,VolU,0)),""),IF(G99="Water weight",AH99,IF(N(AG99)=0,"",AG99)))</f>
        <v/>
      </c>
      <c r="AO99" s="22" t="str">
        <f aca="false">IF(N(AN99)=0,"",AN99*AT99*IF(ISNUMBER(AJ99),AJ99,DefCirc))</f>
        <v/>
      </c>
      <c r="AP99" s="9" t="n">
        <f aca="false">IF(ISNUMBER(T99),T99*INDEX(LenF,MATCH($T$7,LenU,0)),IF(ISNUMBER(W99),W99*INDEX(LenF,MATCH($W$7,LenU,0))/PitchRatio,0))</f>
        <v>0</v>
      </c>
      <c r="AQ99" s="9" t="n">
        <f aca="false">IF(ISNUMBER(N99),PI()/4*(N99*INDEX(LenF,MATCH($N$7,LenU,0)))^2,IF(AND(ISNUMBER(S99),ISNUMBER(W99),X99&lt;&gt;""),S99*(W99*INDEX(LenF,MATCH($W$7,LenU,0)))^2*INDEX(LayoutF,MATCH(X99,LayoutU,0)),0))</f>
        <v>0</v>
      </c>
      <c r="AR99" s="9" t="n">
        <f aca="false">IF(ISNUMBER(O99),O99*INDEX(LenF,MATCH($O$7,LenU,0)),IF(ISNUMBER(V99),V99*INDEX(LenF,MATCH($V$7,LenU,0)),0))</f>
        <v>0</v>
      </c>
      <c r="AS99" s="9" t="str">
        <f aca="false">IF(ISNUMBER(L99),L99*INDEX(LenF,MATCH($L$7,LenU,0))*1000,IF(OR(J99="",K99=""),"",IFERROR(IF(INDEX(PipeWT,MATCH(J99,NPSU,0),MATCH(K99,SchU,0))="","Sch n/a",INDEX(PipeOD,MATCH(J99,NPSU,0))-2*INDEX(PipeWT,MATCH(J99,NPSU,0),MATCH(K99,SchU,0))),"")))</f>
        <v/>
      </c>
      <c r="AT99" s="9" t="n">
        <f aca="false">IF(ISNUMBER(AI99),AI99,IFERROR(INDEX(IF(JobType="Decontamination",TypeFillDC,TypeFillCC),MATCH(E99,TypeL,0)),1))</f>
        <v>1</v>
      </c>
      <c r="AU99" s="9" t="n">
        <v>3</v>
      </c>
    </row>
    <row r="100" customFormat="false" ht="15" hidden="false" customHeight="false" outlineLevel="0" collapsed="false">
      <c r="A100" s="16" t="n">
        <v>25</v>
      </c>
      <c r="B100" s="20"/>
      <c r="C100" s="5"/>
      <c r="D100" s="5"/>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1" t="str">
        <f aca="false">IF(E100="Exchanger",IF(AND(ISNUMBER(S100),ISNUMBER(U100),ISNUMBER(V100)),S100*PI()/4*(U100*INDEX(LenF,MATCH($U$7,LenU,0)))^2*V100*INDEX(LenF,MATCH($V$7,LenU,0)),0)+IF(ISNUMBER(Y100),PI()/4*(Y100*INDEX(LenF,MATCH($Y$7,LenU,0)))^2*N(Z100)*INDEX(LenF,MATCH($Z$7,LenU,0))+IF(AA100="",0,IF(AA100="Conical",PI()/12*(Y100*INDEX(LenF,MATCH($Y$7,LenU,0)))^2*(0),INDEX(HeadK,MATCH(AA100,HeadU,0))*(Y100*INDEX(LenF,MATCH($Y$7,LenU,0)))^3)),0)+IF(ISNUMBER(Y100),PI()/4*(Y100*INDEX(LenF,MATCH($Y$7,LenU,0)))^2*N(AB100)*INDEX(LenF,MATCH($AB$7,LenU,0))+IF(AC100="",0,IF(AC100="Conical",PI()/12*(Y100*INDEX(LenF,MATCH($Y$7,LenU,0)))^2*(0),INDEX(HeadK,MATCH(AC100,HeadU,0))*(Y100*INDEX(LenF,MATCH($Y$7,LenU,0)))^3)),0),"")</f>
        <v/>
      </c>
      <c r="AE100" s="21" t="str">
        <f aca="false">IF(OR(E100="",E100="Piping"),"",IF(E100="Exchanger",AQ100*AR100+IF(P100="",0,IF(P100="Conical",PI()/12*(SQRT(4*AQ100/PI()))^2*(0),INDEX(HeadK,MATCH(P100,HeadU,0))*(SQRT(4*AQ100/PI()))^3))-IF(AND(ISNUMBER(S100),ISNUMBER(V100)),S100*PI()/4*AP100^2*V100*INDEX(LenF,MATCH($V$7,LenU,0)),0),IF(ISNUMBER(N100),PI()/4*(N100*INDEX(LenF,MATCH($N$7,LenU,0)))^2*N(O100)*INDEX(LenF,MATCH($O$7,LenU,0))+IF(P100="",0,IF(P100="Conical",PI()/12*(N100*INDEX(LenF,MATCH($N$7,LenU,0)))^2*(N(R100)*INDEX(LenF,MATCH($R$7,LenU,0))),INDEX(HeadK,MATCH(P100,HeadU,0))*(N100*INDEX(LenF,MATCH($N$7,LenU,0)))^3))+IF(Q100="",0,IF(Q100="Conical",PI()/12*(N100*INDEX(LenF,MATCH($N$7,LenU,0)))^2*(N(R100)*INDEX(LenF,MATCH($R$7,LenU,0))),INDEX(HeadK,MATCH(Q100,HeadU,0))*(N100*INDEX(LenF,MATCH($N$7,LenU,0)))^3)),0)))</f>
        <v/>
      </c>
      <c r="AF100" s="21" t="str">
        <f aca="false">IF(E100&lt;&gt;"Piping","",IF(AND(ISNUMBER(AS100),ISNUMBER(M100)),PI()/4*(AS100/1000)^2*M100*INDEX(LenF,MATCH($M$7,LenU,0)),0))</f>
        <v/>
      </c>
      <c r="AG100" s="21" t="str">
        <f aca="false">IF(E100="","",N(AD100)+N(AE100)+N(AF100))</f>
        <v/>
      </c>
      <c r="AH100" s="21" t="str">
        <f aca="false">IF(ISNUMBER(I100),I100*INDEX(WtF,MATCH($I$7,WtU,0))/WaterRho,"")</f>
        <v/>
      </c>
      <c r="AI100" s="11"/>
      <c r="AJ100" s="11"/>
      <c r="AK100" s="20"/>
      <c r="AL100" s="11"/>
      <c r="AM100" s="21" t="str">
        <f aca="false">IF(AO100="","",AO100*IF(ISNUMBER(AK100),AK100,DefFills)*(1+IF(ISNUMBER(AL100),AL100,DefAllow)))</f>
        <v/>
      </c>
      <c r="AN100" s="22" t="str">
        <f aca="false">IF(G100="Given volume",IF(ISNUMBER(H100),H100*INDEX(VolF,MATCH($H$7,VolU,0)),""),IF(G100="Water weight",AH100,IF(N(AG100)=0,"",AG100)))</f>
        <v/>
      </c>
      <c r="AO100" s="22" t="str">
        <f aca="false">IF(N(AN100)=0,"",AN100*AT100*IF(ISNUMBER(AJ100),AJ100,DefCirc))</f>
        <v/>
      </c>
      <c r="AP100" s="9" t="n">
        <f aca="false">IF(ISNUMBER(T100),T100*INDEX(LenF,MATCH($T$7,LenU,0)),IF(ISNUMBER(W100),W100*INDEX(LenF,MATCH($W$7,LenU,0))/PitchRatio,0))</f>
        <v>0</v>
      </c>
      <c r="AQ100" s="9" t="n">
        <f aca="false">IF(ISNUMBER(N100),PI()/4*(N100*INDEX(LenF,MATCH($N$7,LenU,0)))^2,IF(AND(ISNUMBER(S100),ISNUMBER(W100),X100&lt;&gt;""),S100*(W100*INDEX(LenF,MATCH($W$7,LenU,0)))^2*INDEX(LayoutF,MATCH(X100,LayoutU,0)),0))</f>
        <v>0</v>
      </c>
      <c r="AR100" s="9" t="n">
        <f aca="false">IF(ISNUMBER(O100),O100*INDEX(LenF,MATCH($O$7,LenU,0)),IF(ISNUMBER(V100),V100*INDEX(LenF,MATCH($V$7,LenU,0)),0))</f>
        <v>0</v>
      </c>
      <c r="AS100" s="9" t="str">
        <f aca="false">IF(ISNUMBER(L100),L100*INDEX(LenF,MATCH($L$7,LenU,0))*1000,IF(OR(J100="",K100=""),"",IFERROR(IF(INDEX(PipeWT,MATCH(J100,NPSU,0),MATCH(K100,SchU,0))="","Sch n/a",INDEX(PipeOD,MATCH(J100,NPSU,0))-2*INDEX(PipeWT,MATCH(J100,NPSU,0),MATCH(K100,SchU,0))),"")))</f>
        <v/>
      </c>
      <c r="AT100" s="9" t="n">
        <f aca="false">IF(ISNUMBER(AI100),AI100,IFERROR(INDEX(IF(JobType="Decontamination",TypeFillDC,TypeFillCC),MATCH(E100,TypeL,0)),1))</f>
        <v>1</v>
      </c>
      <c r="AU100" s="9" t="n">
        <v>3</v>
      </c>
    </row>
    <row r="101" customFormat="false" ht="15" hidden="false" customHeight="false" outlineLevel="0" collapsed="false">
      <c r="A101" s="16" t="n">
        <v>26</v>
      </c>
      <c r="B101" s="20"/>
      <c r="C101" s="5"/>
      <c r="D101" s="5"/>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1" t="str">
        <f aca="false">IF(E101="Exchanger",IF(AND(ISNUMBER(S101),ISNUMBER(U101),ISNUMBER(V101)),S101*PI()/4*(U101*INDEX(LenF,MATCH($U$7,LenU,0)))^2*V101*INDEX(LenF,MATCH($V$7,LenU,0)),0)+IF(ISNUMBER(Y101),PI()/4*(Y101*INDEX(LenF,MATCH($Y$7,LenU,0)))^2*N(Z101)*INDEX(LenF,MATCH($Z$7,LenU,0))+IF(AA101="",0,IF(AA101="Conical",PI()/12*(Y101*INDEX(LenF,MATCH($Y$7,LenU,0)))^2*(0),INDEX(HeadK,MATCH(AA101,HeadU,0))*(Y101*INDEX(LenF,MATCH($Y$7,LenU,0)))^3)),0)+IF(ISNUMBER(Y101),PI()/4*(Y101*INDEX(LenF,MATCH($Y$7,LenU,0)))^2*N(AB101)*INDEX(LenF,MATCH($AB$7,LenU,0))+IF(AC101="",0,IF(AC101="Conical",PI()/12*(Y101*INDEX(LenF,MATCH($Y$7,LenU,0)))^2*(0),INDEX(HeadK,MATCH(AC101,HeadU,0))*(Y101*INDEX(LenF,MATCH($Y$7,LenU,0)))^3)),0),"")</f>
        <v/>
      </c>
      <c r="AE101" s="21" t="str">
        <f aca="false">IF(OR(E101="",E101="Piping"),"",IF(E101="Exchanger",AQ101*AR101+IF(P101="",0,IF(P101="Conical",PI()/12*(SQRT(4*AQ101/PI()))^2*(0),INDEX(HeadK,MATCH(P101,HeadU,0))*(SQRT(4*AQ101/PI()))^3))-IF(AND(ISNUMBER(S101),ISNUMBER(V101)),S101*PI()/4*AP101^2*V101*INDEX(LenF,MATCH($V$7,LenU,0)),0),IF(ISNUMBER(N101),PI()/4*(N101*INDEX(LenF,MATCH($N$7,LenU,0)))^2*N(O101)*INDEX(LenF,MATCH($O$7,LenU,0))+IF(P101="",0,IF(P101="Conical",PI()/12*(N101*INDEX(LenF,MATCH($N$7,LenU,0)))^2*(N(R101)*INDEX(LenF,MATCH($R$7,LenU,0))),INDEX(HeadK,MATCH(P101,HeadU,0))*(N101*INDEX(LenF,MATCH($N$7,LenU,0)))^3))+IF(Q101="",0,IF(Q101="Conical",PI()/12*(N101*INDEX(LenF,MATCH($N$7,LenU,0)))^2*(N(R101)*INDEX(LenF,MATCH($R$7,LenU,0))),INDEX(HeadK,MATCH(Q101,HeadU,0))*(N101*INDEX(LenF,MATCH($N$7,LenU,0)))^3)),0)))</f>
        <v/>
      </c>
      <c r="AF101" s="21" t="str">
        <f aca="false">IF(E101&lt;&gt;"Piping","",IF(AND(ISNUMBER(AS101),ISNUMBER(M101)),PI()/4*(AS101/1000)^2*M101*INDEX(LenF,MATCH($M$7,LenU,0)),0))</f>
        <v/>
      </c>
      <c r="AG101" s="21" t="str">
        <f aca="false">IF(E101="","",N(AD101)+N(AE101)+N(AF101))</f>
        <v/>
      </c>
      <c r="AH101" s="21" t="str">
        <f aca="false">IF(ISNUMBER(I101),I101*INDEX(WtF,MATCH($I$7,WtU,0))/WaterRho,"")</f>
        <v/>
      </c>
      <c r="AI101" s="11"/>
      <c r="AJ101" s="11"/>
      <c r="AK101" s="20"/>
      <c r="AL101" s="11"/>
      <c r="AM101" s="21" t="str">
        <f aca="false">IF(AO101="","",AO101*IF(ISNUMBER(AK101),AK101,DefFills)*(1+IF(ISNUMBER(AL101),AL101,DefAllow)))</f>
        <v/>
      </c>
      <c r="AN101" s="22" t="str">
        <f aca="false">IF(G101="Given volume",IF(ISNUMBER(H101),H101*INDEX(VolF,MATCH($H$7,VolU,0)),""),IF(G101="Water weight",AH101,IF(N(AG101)=0,"",AG101)))</f>
        <v/>
      </c>
      <c r="AO101" s="22" t="str">
        <f aca="false">IF(N(AN101)=0,"",AN101*AT101*IF(ISNUMBER(AJ101),AJ101,DefCirc))</f>
        <v/>
      </c>
      <c r="AP101" s="9" t="n">
        <f aca="false">IF(ISNUMBER(T101),T101*INDEX(LenF,MATCH($T$7,LenU,0)),IF(ISNUMBER(W101),W101*INDEX(LenF,MATCH($W$7,LenU,0))/PitchRatio,0))</f>
        <v>0</v>
      </c>
      <c r="AQ101" s="9" t="n">
        <f aca="false">IF(ISNUMBER(N101),PI()/4*(N101*INDEX(LenF,MATCH($N$7,LenU,0)))^2,IF(AND(ISNUMBER(S101),ISNUMBER(W101),X101&lt;&gt;""),S101*(W101*INDEX(LenF,MATCH($W$7,LenU,0)))^2*INDEX(LayoutF,MATCH(X101,LayoutU,0)),0))</f>
        <v>0</v>
      </c>
      <c r="AR101" s="9" t="n">
        <f aca="false">IF(ISNUMBER(O101),O101*INDEX(LenF,MATCH($O$7,LenU,0)),IF(ISNUMBER(V101),V101*INDEX(LenF,MATCH($V$7,LenU,0)),0))</f>
        <v>0</v>
      </c>
      <c r="AS101" s="9" t="str">
        <f aca="false">IF(ISNUMBER(L101),L101*INDEX(LenF,MATCH($L$7,LenU,0))*1000,IF(OR(J101="",K101=""),"",IFERROR(IF(INDEX(PipeWT,MATCH(J101,NPSU,0),MATCH(K101,SchU,0))="","Sch n/a",INDEX(PipeOD,MATCH(J101,NPSU,0))-2*INDEX(PipeWT,MATCH(J101,NPSU,0),MATCH(K101,SchU,0))),"")))</f>
        <v/>
      </c>
      <c r="AT101" s="9" t="n">
        <f aca="false">IF(ISNUMBER(AI101),AI101,IFERROR(INDEX(IF(JobType="Decontamination",TypeFillDC,TypeFillCC),MATCH(E101,TypeL,0)),1))</f>
        <v>1</v>
      </c>
      <c r="AU101" s="9" t="n">
        <v>3</v>
      </c>
    </row>
    <row r="102" customFormat="false" ht="15" hidden="false" customHeight="false" outlineLevel="0" collapsed="false">
      <c r="A102" s="16" t="n">
        <v>27</v>
      </c>
      <c r="B102" s="20"/>
      <c r="C102" s="5"/>
      <c r="D102" s="5"/>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1" t="str">
        <f aca="false">IF(E102="Exchanger",IF(AND(ISNUMBER(S102),ISNUMBER(U102),ISNUMBER(V102)),S102*PI()/4*(U102*INDEX(LenF,MATCH($U$7,LenU,0)))^2*V102*INDEX(LenF,MATCH($V$7,LenU,0)),0)+IF(ISNUMBER(Y102),PI()/4*(Y102*INDEX(LenF,MATCH($Y$7,LenU,0)))^2*N(Z102)*INDEX(LenF,MATCH($Z$7,LenU,0))+IF(AA102="",0,IF(AA102="Conical",PI()/12*(Y102*INDEX(LenF,MATCH($Y$7,LenU,0)))^2*(0),INDEX(HeadK,MATCH(AA102,HeadU,0))*(Y102*INDEX(LenF,MATCH($Y$7,LenU,0)))^3)),0)+IF(ISNUMBER(Y102),PI()/4*(Y102*INDEX(LenF,MATCH($Y$7,LenU,0)))^2*N(AB102)*INDEX(LenF,MATCH($AB$7,LenU,0))+IF(AC102="",0,IF(AC102="Conical",PI()/12*(Y102*INDEX(LenF,MATCH($Y$7,LenU,0)))^2*(0),INDEX(HeadK,MATCH(AC102,HeadU,0))*(Y102*INDEX(LenF,MATCH($Y$7,LenU,0)))^3)),0),"")</f>
        <v/>
      </c>
      <c r="AE102" s="21" t="str">
        <f aca="false">IF(OR(E102="",E102="Piping"),"",IF(E102="Exchanger",AQ102*AR102+IF(P102="",0,IF(P102="Conical",PI()/12*(SQRT(4*AQ102/PI()))^2*(0),INDEX(HeadK,MATCH(P102,HeadU,0))*(SQRT(4*AQ102/PI()))^3))-IF(AND(ISNUMBER(S102),ISNUMBER(V102)),S102*PI()/4*AP102^2*V102*INDEX(LenF,MATCH($V$7,LenU,0)),0),IF(ISNUMBER(N102),PI()/4*(N102*INDEX(LenF,MATCH($N$7,LenU,0)))^2*N(O102)*INDEX(LenF,MATCH($O$7,LenU,0))+IF(P102="",0,IF(P102="Conical",PI()/12*(N102*INDEX(LenF,MATCH($N$7,LenU,0)))^2*(N(R102)*INDEX(LenF,MATCH($R$7,LenU,0))),INDEX(HeadK,MATCH(P102,HeadU,0))*(N102*INDEX(LenF,MATCH($N$7,LenU,0)))^3))+IF(Q102="",0,IF(Q102="Conical",PI()/12*(N102*INDEX(LenF,MATCH($N$7,LenU,0)))^2*(N(R102)*INDEX(LenF,MATCH($R$7,LenU,0))),INDEX(HeadK,MATCH(Q102,HeadU,0))*(N102*INDEX(LenF,MATCH($N$7,LenU,0)))^3)),0)))</f>
        <v/>
      </c>
      <c r="AF102" s="21" t="str">
        <f aca="false">IF(E102&lt;&gt;"Piping","",IF(AND(ISNUMBER(AS102),ISNUMBER(M102)),PI()/4*(AS102/1000)^2*M102*INDEX(LenF,MATCH($M$7,LenU,0)),0))</f>
        <v/>
      </c>
      <c r="AG102" s="21" t="str">
        <f aca="false">IF(E102="","",N(AD102)+N(AE102)+N(AF102))</f>
        <v/>
      </c>
      <c r="AH102" s="21" t="str">
        <f aca="false">IF(ISNUMBER(I102),I102*INDEX(WtF,MATCH($I$7,WtU,0))/WaterRho,"")</f>
        <v/>
      </c>
      <c r="AI102" s="11"/>
      <c r="AJ102" s="11"/>
      <c r="AK102" s="20"/>
      <c r="AL102" s="11"/>
      <c r="AM102" s="21" t="str">
        <f aca="false">IF(AO102="","",AO102*IF(ISNUMBER(AK102),AK102,DefFills)*(1+IF(ISNUMBER(AL102),AL102,DefAllow)))</f>
        <v/>
      </c>
      <c r="AN102" s="22" t="str">
        <f aca="false">IF(G102="Given volume",IF(ISNUMBER(H102),H102*INDEX(VolF,MATCH($H$7,VolU,0)),""),IF(G102="Water weight",AH102,IF(N(AG102)=0,"",AG102)))</f>
        <v/>
      </c>
      <c r="AO102" s="22" t="str">
        <f aca="false">IF(N(AN102)=0,"",AN102*AT102*IF(ISNUMBER(AJ102),AJ102,DefCirc))</f>
        <v/>
      </c>
      <c r="AP102" s="9" t="n">
        <f aca="false">IF(ISNUMBER(T102),T102*INDEX(LenF,MATCH($T$7,LenU,0)),IF(ISNUMBER(W102),W102*INDEX(LenF,MATCH($W$7,LenU,0))/PitchRatio,0))</f>
        <v>0</v>
      </c>
      <c r="AQ102" s="9" t="n">
        <f aca="false">IF(ISNUMBER(N102),PI()/4*(N102*INDEX(LenF,MATCH($N$7,LenU,0)))^2,IF(AND(ISNUMBER(S102),ISNUMBER(W102),X102&lt;&gt;""),S102*(W102*INDEX(LenF,MATCH($W$7,LenU,0)))^2*INDEX(LayoutF,MATCH(X102,LayoutU,0)),0))</f>
        <v>0</v>
      </c>
      <c r="AR102" s="9" t="n">
        <f aca="false">IF(ISNUMBER(O102),O102*INDEX(LenF,MATCH($O$7,LenU,0)),IF(ISNUMBER(V102),V102*INDEX(LenF,MATCH($V$7,LenU,0)),0))</f>
        <v>0</v>
      </c>
      <c r="AS102" s="9" t="str">
        <f aca="false">IF(ISNUMBER(L102),L102*INDEX(LenF,MATCH($L$7,LenU,0))*1000,IF(OR(J102="",K102=""),"",IFERROR(IF(INDEX(PipeWT,MATCH(J102,NPSU,0),MATCH(K102,SchU,0))="","Sch n/a",INDEX(PipeOD,MATCH(J102,NPSU,0))-2*INDEX(PipeWT,MATCH(J102,NPSU,0),MATCH(K102,SchU,0))),"")))</f>
        <v/>
      </c>
      <c r="AT102" s="9" t="n">
        <f aca="false">IF(ISNUMBER(AI102),AI102,IFERROR(INDEX(IF(JobType="Decontamination",TypeFillDC,TypeFillCC),MATCH(E102,TypeL,0)),1))</f>
        <v>1</v>
      </c>
      <c r="AU102" s="9" t="n">
        <v>3</v>
      </c>
    </row>
    <row r="103" customFormat="false" ht="15" hidden="false" customHeight="false" outlineLevel="0" collapsed="false">
      <c r="A103" s="16" t="n">
        <v>28</v>
      </c>
      <c r="B103" s="20"/>
      <c r="C103" s="5"/>
      <c r="D103" s="5"/>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1" t="str">
        <f aca="false">IF(E103="Exchanger",IF(AND(ISNUMBER(S103),ISNUMBER(U103),ISNUMBER(V103)),S103*PI()/4*(U103*INDEX(LenF,MATCH($U$7,LenU,0)))^2*V103*INDEX(LenF,MATCH($V$7,LenU,0)),0)+IF(ISNUMBER(Y103),PI()/4*(Y103*INDEX(LenF,MATCH($Y$7,LenU,0)))^2*N(Z103)*INDEX(LenF,MATCH($Z$7,LenU,0))+IF(AA103="",0,IF(AA103="Conical",PI()/12*(Y103*INDEX(LenF,MATCH($Y$7,LenU,0)))^2*(0),INDEX(HeadK,MATCH(AA103,HeadU,0))*(Y103*INDEX(LenF,MATCH($Y$7,LenU,0)))^3)),0)+IF(ISNUMBER(Y103),PI()/4*(Y103*INDEX(LenF,MATCH($Y$7,LenU,0)))^2*N(AB103)*INDEX(LenF,MATCH($AB$7,LenU,0))+IF(AC103="",0,IF(AC103="Conical",PI()/12*(Y103*INDEX(LenF,MATCH($Y$7,LenU,0)))^2*(0),INDEX(HeadK,MATCH(AC103,HeadU,0))*(Y103*INDEX(LenF,MATCH($Y$7,LenU,0)))^3)),0),"")</f>
        <v/>
      </c>
      <c r="AE103" s="21" t="str">
        <f aca="false">IF(OR(E103="",E103="Piping"),"",IF(E103="Exchanger",AQ103*AR103+IF(P103="",0,IF(P103="Conical",PI()/12*(SQRT(4*AQ103/PI()))^2*(0),INDEX(HeadK,MATCH(P103,HeadU,0))*(SQRT(4*AQ103/PI()))^3))-IF(AND(ISNUMBER(S103),ISNUMBER(V103)),S103*PI()/4*AP103^2*V103*INDEX(LenF,MATCH($V$7,LenU,0)),0),IF(ISNUMBER(N103),PI()/4*(N103*INDEX(LenF,MATCH($N$7,LenU,0)))^2*N(O103)*INDEX(LenF,MATCH($O$7,LenU,0))+IF(P103="",0,IF(P103="Conical",PI()/12*(N103*INDEX(LenF,MATCH($N$7,LenU,0)))^2*(N(R103)*INDEX(LenF,MATCH($R$7,LenU,0))),INDEX(HeadK,MATCH(P103,HeadU,0))*(N103*INDEX(LenF,MATCH($N$7,LenU,0)))^3))+IF(Q103="",0,IF(Q103="Conical",PI()/12*(N103*INDEX(LenF,MATCH($N$7,LenU,0)))^2*(N(R103)*INDEX(LenF,MATCH($R$7,LenU,0))),INDEX(HeadK,MATCH(Q103,HeadU,0))*(N103*INDEX(LenF,MATCH($N$7,LenU,0)))^3)),0)))</f>
        <v/>
      </c>
      <c r="AF103" s="21" t="str">
        <f aca="false">IF(E103&lt;&gt;"Piping","",IF(AND(ISNUMBER(AS103),ISNUMBER(M103)),PI()/4*(AS103/1000)^2*M103*INDEX(LenF,MATCH($M$7,LenU,0)),0))</f>
        <v/>
      </c>
      <c r="AG103" s="21" t="str">
        <f aca="false">IF(E103="","",N(AD103)+N(AE103)+N(AF103))</f>
        <v/>
      </c>
      <c r="AH103" s="21" t="str">
        <f aca="false">IF(ISNUMBER(I103),I103*INDEX(WtF,MATCH($I$7,WtU,0))/WaterRho,"")</f>
        <v/>
      </c>
      <c r="AI103" s="11"/>
      <c r="AJ103" s="11"/>
      <c r="AK103" s="20"/>
      <c r="AL103" s="11"/>
      <c r="AM103" s="21" t="str">
        <f aca="false">IF(AO103="","",AO103*IF(ISNUMBER(AK103),AK103,DefFills)*(1+IF(ISNUMBER(AL103),AL103,DefAllow)))</f>
        <v/>
      </c>
      <c r="AN103" s="22" t="str">
        <f aca="false">IF(G103="Given volume",IF(ISNUMBER(H103),H103*INDEX(VolF,MATCH($H$7,VolU,0)),""),IF(G103="Water weight",AH103,IF(N(AG103)=0,"",AG103)))</f>
        <v/>
      </c>
      <c r="AO103" s="22" t="str">
        <f aca="false">IF(N(AN103)=0,"",AN103*AT103*IF(ISNUMBER(AJ103),AJ103,DefCirc))</f>
        <v/>
      </c>
      <c r="AP103" s="9" t="n">
        <f aca="false">IF(ISNUMBER(T103),T103*INDEX(LenF,MATCH($T$7,LenU,0)),IF(ISNUMBER(W103),W103*INDEX(LenF,MATCH($W$7,LenU,0))/PitchRatio,0))</f>
        <v>0</v>
      </c>
      <c r="AQ103" s="9" t="n">
        <f aca="false">IF(ISNUMBER(N103),PI()/4*(N103*INDEX(LenF,MATCH($N$7,LenU,0)))^2,IF(AND(ISNUMBER(S103),ISNUMBER(W103),X103&lt;&gt;""),S103*(W103*INDEX(LenF,MATCH($W$7,LenU,0)))^2*INDEX(LayoutF,MATCH(X103,LayoutU,0)),0))</f>
        <v>0</v>
      </c>
      <c r="AR103" s="9" t="n">
        <f aca="false">IF(ISNUMBER(O103),O103*INDEX(LenF,MATCH($O$7,LenU,0)),IF(ISNUMBER(V103),V103*INDEX(LenF,MATCH($V$7,LenU,0)),0))</f>
        <v>0</v>
      </c>
      <c r="AS103" s="9" t="str">
        <f aca="false">IF(ISNUMBER(L103),L103*INDEX(LenF,MATCH($L$7,LenU,0))*1000,IF(OR(J103="",K103=""),"",IFERROR(IF(INDEX(PipeWT,MATCH(J103,NPSU,0),MATCH(K103,SchU,0))="","Sch n/a",INDEX(PipeOD,MATCH(J103,NPSU,0))-2*INDEX(PipeWT,MATCH(J103,NPSU,0),MATCH(K103,SchU,0))),"")))</f>
        <v/>
      </c>
      <c r="AT103" s="9" t="n">
        <f aca="false">IF(ISNUMBER(AI103),AI103,IFERROR(INDEX(IF(JobType="Decontamination",TypeFillDC,TypeFillCC),MATCH(E103,TypeL,0)),1))</f>
        <v>1</v>
      </c>
      <c r="AU103" s="9" t="n">
        <v>3</v>
      </c>
    </row>
    <row r="104" customFormat="false" ht="15" hidden="false" customHeight="false" outlineLevel="0" collapsed="false">
      <c r="A104" s="16" t="n">
        <v>29</v>
      </c>
      <c r="B104" s="20"/>
      <c r="C104" s="5"/>
      <c r="D104" s="5"/>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1" t="str">
        <f aca="false">IF(E104="Exchanger",IF(AND(ISNUMBER(S104),ISNUMBER(U104),ISNUMBER(V104)),S104*PI()/4*(U104*INDEX(LenF,MATCH($U$7,LenU,0)))^2*V104*INDEX(LenF,MATCH($V$7,LenU,0)),0)+IF(ISNUMBER(Y104),PI()/4*(Y104*INDEX(LenF,MATCH($Y$7,LenU,0)))^2*N(Z104)*INDEX(LenF,MATCH($Z$7,LenU,0))+IF(AA104="",0,IF(AA104="Conical",PI()/12*(Y104*INDEX(LenF,MATCH($Y$7,LenU,0)))^2*(0),INDEX(HeadK,MATCH(AA104,HeadU,0))*(Y104*INDEX(LenF,MATCH($Y$7,LenU,0)))^3)),0)+IF(ISNUMBER(Y104),PI()/4*(Y104*INDEX(LenF,MATCH($Y$7,LenU,0)))^2*N(AB104)*INDEX(LenF,MATCH($AB$7,LenU,0))+IF(AC104="",0,IF(AC104="Conical",PI()/12*(Y104*INDEX(LenF,MATCH($Y$7,LenU,0)))^2*(0),INDEX(HeadK,MATCH(AC104,HeadU,0))*(Y104*INDEX(LenF,MATCH($Y$7,LenU,0)))^3)),0),"")</f>
        <v/>
      </c>
      <c r="AE104" s="21" t="str">
        <f aca="false">IF(OR(E104="",E104="Piping"),"",IF(E104="Exchanger",AQ104*AR104+IF(P104="",0,IF(P104="Conical",PI()/12*(SQRT(4*AQ104/PI()))^2*(0),INDEX(HeadK,MATCH(P104,HeadU,0))*(SQRT(4*AQ104/PI()))^3))-IF(AND(ISNUMBER(S104),ISNUMBER(V104)),S104*PI()/4*AP104^2*V104*INDEX(LenF,MATCH($V$7,LenU,0)),0),IF(ISNUMBER(N104),PI()/4*(N104*INDEX(LenF,MATCH($N$7,LenU,0)))^2*N(O104)*INDEX(LenF,MATCH($O$7,LenU,0))+IF(P104="",0,IF(P104="Conical",PI()/12*(N104*INDEX(LenF,MATCH($N$7,LenU,0)))^2*(N(R104)*INDEX(LenF,MATCH($R$7,LenU,0))),INDEX(HeadK,MATCH(P104,HeadU,0))*(N104*INDEX(LenF,MATCH($N$7,LenU,0)))^3))+IF(Q104="",0,IF(Q104="Conical",PI()/12*(N104*INDEX(LenF,MATCH($N$7,LenU,0)))^2*(N(R104)*INDEX(LenF,MATCH($R$7,LenU,0))),INDEX(HeadK,MATCH(Q104,HeadU,0))*(N104*INDEX(LenF,MATCH($N$7,LenU,0)))^3)),0)))</f>
        <v/>
      </c>
      <c r="AF104" s="21" t="str">
        <f aca="false">IF(E104&lt;&gt;"Piping","",IF(AND(ISNUMBER(AS104),ISNUMBER(M104)),PI()/4*(AS104/1000)^2*M104*INDEX(LenF,MATCH($M$7,LenU,0)),0))</f>
        <v/>
      </c>
      <c r="AG104" s="21" t="str">
        <f aca="false">IF(E104="","",N(AD104)+N(AE104)+N(AF104))</f>
        <v/>
      </c>
      <c r="AH104" s="21" t="str">
        <f aca="false">IF(ISNUMBER(I104),I104*INDEX(WtF,MATCH($I$7,WtU,0))/WaterRho,"")</f>
        <v/>
      </c>
      <c r="AI104" s="11"/>
      <c r="AJ104" s="11"/>
      <c r="AK104" s="20"/>
      <c r="AL104" s="11"/>
      <c r="AM104" s="21" t="str">
        <f aca="false">IF(AO104="","",AO104*IF(ISNUMBER(AK104),AK104,DefFills)*(1+IF(ISNUMBER(AL104),AL104,DefAllow)))</f>
        <v/>
      </c>
      <c r="AN104" s="22" t="str">
        <f aca="false">IF(G104="Given volume",IF(ISNUMBER(H104),H104*INDEX(VolF,MATCH($H$7,VolU,0)),""),IF(G104="Water weight",AH104,IF(N(AG104)=0,"",AG104)))</f>
        <v/>
      </c>
      <c r="AO104" s="22" t="str">
        <f aca="false">IF(N(AN104)=0,"",AN104*AT104*IF(ISNUMBER(AJ104),AJ104,DefCirc))</f>
        <v/>
      </c>
      <c r="AP104" s="9" t="n">
        <f aca="false">IF(ISNUMBER(T104),T104*INDEX(LenF,MATCH($T$7,LenU,0)),IF(ISNUMBER(W104),W104*INDEX(LenF,MATCH($W$7,LenU,0))/PitchRatio,0))</f>
        <v>0</v>
      </c>
      <c r="AQ104" s="9" t="n">
        <f aca="false">IF(ISNUMBER(N104),PI()/4*(N104*INDEX(LenF,MATCH($N$7,LenU,0)))^2,IF(AND(ISNUMBER(S104),ISNUMBER(W104),X104&lt;&gt;""),S104*(W104*INDEX(LenF,MATCH($W$7,LenU,0)))^2*INDEX(LayoutF,MATCH(X104,LayoutU,0)),0))</f>
        <v>0</v>
      </c>
      <c r="AR104" s="9" t="n">
        <f aca="false">IF(ISNUMBER(O104),O104*INDEX(LenF,MATCH($O$7,LenU,0)),IF(ISNUMBER(V104),V104*INDEX(LenF,MATCH($V$7,LenU,0)),0))</f>
        <v>0</v>
      </c>
      <c r="AS104" s="9" t="str">
        <f aca="false">IF(ISNUMBER(L104),L104*INDEX(LenF,MATCH($L$7,LenU,0))*1000,IF(OR(J104="",K104=""),"",IFERROR(IF(INDEX(PipeWT,MATCH(J104,NPSU,0),MATCH(K104,SchU,0))="","Sch n/a",INDEX(PipeOD,MATCH(J104,NPSU,0))-2*INDEX(PipeWT,MATCH(J104,NPSU,0),MATCH(K104,SchU,0))),"")))</f>
        <v/>
      </c>
      <c r="AT104" s="9" t="n">
        <f aca="false">IF(ISNUMBER(AI104),AI104,IFERROR(INDEX(IF(JobType="Decontamination",TypeFillDC,TypeFillCC),MATCH(E104,TypeL,0)),1))</f>
        <v>1</v>
      </c>
      <c r="AU104" s="9" t="n">
        <v>3</v>
      </c>
    </row>
    <row r="105" customFormat="false" ht="15" hidden="false" customHeight="false" outlineLevel="0" collapsed="false">
      <c r="A105" s="16" t="n">
        <v>30</v>
      </c>
      <c r="B105" s="20"/>
      <c r="C105" s="5"/>
      <c r="D105" s="5"/>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1" t="str">
        <f aca="false">IF(E105="Exchanger",IF(AND(ISNUMBER(S105),ISNUMBER(U105),ISNUMBER(V105)),S105*PI()/4*(U105*INDEX(LenF,MATCH($U$7,LenU,0)))^2*V105*INDEX(LenF,MATCH($V$7,LenU,0)),0)+IF(ISNUMBER(Y105),PI()/4*(Y105*INDEX(LenF,MATCH($Y$7,LenU,0)))^2*N(Z105)*INDEX(LenF,MATCH($Z$7,LenU,0))+IF(AA105="",0,IF(AA105="Conical",PI()/12*(Y105*INDEX(LenF,MATCH($Y$7,LenU,0)))^2*(0),INDEX(HeadK,MATCH(AA105,HeadU,0))*(Y105*INDEX(LenF,MATCH($Y$7,LenU,0)))^3)),0)+IF(ISNUMBER(Y105),PI()/4*(Y105*INDEX(LenF,MATCH($Y$7,LenU,0)))^2*N(AB105)*INDEX(LenF,MATCH($AB$7,LenU,0))+IF(AC105="",0,IF(AC105="Conical",PI()/12*(Y105*INDEX(LenF,MATCH($Y$7,LenU,0)))^2*(0),INDEX(HeadK,MATCH(AC105,HeadU,0))*(Y105*INDEX(LenF,MATCH($Y$7,LenU,0)))^3)),0),"")</f>
        <v/>
      </c>
      <c r="AE105" s="21" t="str">
        <f aca="false">IF(OR(E105="",E105="Piping"),"",IF(E105="Exchanger",AQ105*AR105+IF(P105="",0,IF(P105="Conical",PI()/12*(SQRT(4*AQ105/PI()))^2*(0),INDEX(HeadK,MATCH(P105,HeadU,0))*(SQRT(4*AQ105/PI()))^3))-IF(AND(ISNUMBER(S105),ISNUMBER(V105)),S105*PI()/4*AP105^2*V105*INDEX(LenF,MATCH($V$7,LenU,0)),0),IF(ISNUMBER(N105),PI()/4*(N105*INDEX(LenF,MATCH($N$7,LenU,0)))^2*N(O105)*INDEX(LenF,MATCH($O$7,LenU,0))+IF(P105="",0,IF(P105="Conical",PI()/12*(N105*INDEX(LenF,MATCH($N$7,LenU,0)))^2*(N(R105)*INDEX(LenF,MATCH($R$7,LenU,0))),INDEX(HeadK,MATCH(P105,HeadU,0))*(N105*INDEX(LenF,MATCH($N$7,LenU,0)))^3))+IF(Q105="",0,IF(Q105="Conical",PI()/12*(N105*INDEX(LenF,MATCH($N$7,LenU,0)))^2*(N(R105)*INDEX(LenF,MATCH($R$7,LenU,0))),INDEX(HeadK,MATCH(Q105,HeadU,0))*(N105*INDEX(LenF,MATCH($N$7,LenU,0)))^3)),0)))</f>
        <v/>
      </c>
      <c r="AF105" s="21" t="str">
        <f aca="false">IF(E105&lt;&gt;"Piping","",IF(AND(ISNUMBER(AS105),ISNUMBER(M105)),PI()/4*(AS105/1000)^2*M105*INDEX(LenF,MATCH($M$7,LenU,0)),0))</f>
        <v/>
      </c>
      <c r="AG105" s="21" t="str">
        <f aca="false">IF(E105="","",N(AD105)+N(AE105)+N(AF105))</f>
        <v/>
      </c>
      <c r="AH105" s="21" t="str">
        <f aca="false">IF(ISNUMBER(I105),I105*INDEX(WtF,MATCH($I$7,WtU,0))/WaterRho,"")</f>
        <v/>
      </c>
      <c r="AI105" s="11"/>
      <c r="AJ105" s="11"/>
      <c r="AK105" s="20"/>
      <c r="AL105" s="11"/>
      <c r="AM105" s="21" t="str">
        <f aca="false">IF(AO105="","",AO105*IF(ISNUMBER(AK105),AK105,DefFills)*(1+IF(ISNUMBER(AL105),AL105,DefAllow)))</f>
        <v/>
      </c>
      <c r="AN105" s="22" t="str">
        <f aca="false">IF(G105="Given volume",IF(ISNUMBER(H105),H105*INDEX(VolF,MATCH($H$7,VolU,0)),""),IF(G105="Water weight",AH105,IF(N(AG105)=0,"",AG105)))</f>
        <v/>
      </c>
      <c r="AO105" s="22" t="str">
        <f aca="false">IF(N(AN105)=0,"",AN105*AT105*IF(ISNUMBER(AJ105),AJ105,DefCirc))</f>
        <v/>
      </c>
      <c r="AP105" s="9" t="n">
        <f aca="false">IF(ISNUMBER(T105),T105*INDEX(LenF,MATCH($T$7,LenU,0)),IF(ISNUMBER(W105),W105*INDEX(LenF,MATCH($W$7,LenU,0))/PitchRatio,0))</f>
        <v>0</v>
      </c>
      <c r="AQ105" s="9" t="n">
        <f aca="false">IF(ISNUMBER(N105),PI()/4*(N105*INDEX(LenF,MATCH($N$7,LenU,0)))^2,IF(AND(ISNUMBER(S105),ISNUMBER(W105),X105&lt;&gt;""),S105*(W105*INDEX(LenF,MATCH($W$7,LenU,0)))^2*INDEX(LayoutF,MATCH(X105,LayoutU,0)),0))</f>
        <v>0</v>
      </c>
      <c r="AR105" s="9" t="n">
        <f aca="false">IF(ISNUMBER(O105),O105*INDEX(LenF,MATCH($O$7,LenU,0)),IF(ISNUMBER(V105),V105*INDEX(LenF,MATCH($V$7,LenU,0)),0))</f>
        <v>0</v>
      </c>
      <c r="AS105" s="9" t="str">
        <f aca="false">IF(ISNUMBER(L105),L105*INDEX(LenF,MATCH($L$7,LenU,0))*1000,IF(OR(J105="",K105=""),"",IFERROR(IF(INDEX(PipeWT,MATCH(J105,NPSU,0),MATCH(K105,SchU,0))="","Sch n/a",INDEX(PipeOD,MATCH(J105,NPSU,0))-2*INDEX(PipeWT,MATCH(J105,NPSU,0),MATCH(K105,SchU,0))),"")))</f>
        <v/>
      </c>
      <c r="AT105" s="9" t="n">
        <f aca="false">IF(ISNUMBER(AI105),AI105,IFERROR(INDEX(IF(JobType="Decontamination",TypeFillDC,TypeFillCC),MATCH(E105,TypeL,0)),1))</f>
        <v>1</v>
      </c>
      <c r="AU105" s="9" t="n">
        <v>3</v>
      </c>
    </row>
    <row r="106" customFormat="false" ht="15" hidden="false" customHeight="false" outlineLevel="0" collapsed="false">
      <c r="A106" s="24" t="str">
        <f aca="false">"TOTAL – "&amp;INDEX(UnitNames,3)</f>
        <v>TOTAL – Unit 3</v>
      </c>
      <c r="B106" s="24"/>
      <c r="C106" s="24"/>
      <c r="D106" s="24"/>
      <c r="E106" s="25"/>
      <c r="F106" s="25"/>
      <c r="G106" s="25"/>
      <c r="H106" s="25"/>
      <c r="I106" s="25"/>
      <c r="J106" s="25"/>
      <c r="K106" s="25"/>
      <c r="L106" s="25"/>
      <c r="M106" s="25"/>
      <c r="N106" s="25"/>
      <c r="O106" s="25"/>
      <c r="P106" s="25"/>
      <c r="Q106" s="25"/>
      <c r="R106" s="25"/>
      <c r="S106" s="26" t="str">
        <f aca="false">COUNT(AN76:AN105)&amp;" items"</f>
        <v>0 items</v>
      </c>
      <c r="T106" s="25"/>
      <c r="U106" s="25"/>
      <c r="V106" s="25"/>
      <c r="W106" s="25"/>
      <c r="X106" s="25"/>
      <c r="Y106" s="25"/>
      <c r="Z106" s="25"/>
      <c r="AA106" s="25"/>
      <c r="AB106" s="25"/>
      <c r="AC106" s="25"/>
      <c r="AD106" s="27" t="n">
        <f aca="false">SUM(AD76:AD105)</f>
        <v>0</v>
      </c>
      <c r="AE106" s="27" t="n">
        <f aca="false">SUM(AE76:AE105)</f>
        <v>0</v>
      </c>
      <c r="AF106" s="27" t="n">
        <f aca="false">SUM(AF76:AF105)</f>
        <v>0</v>
      </c>
      <c r="AG106" s="27" t="n">
        <f aca="false">SUM(AG76:AG105)</f>
        <v>0</v>
      </c>
      <c r="AH106" s="27" t="n">
        <f aca="false">SUM(AH76:AH105)</f>
        <v>0</v>
      </c>
      <c r="AI106" s="25"/>
      <c r="AJ106" s="25"/>
      <c r="AK106" s="25"/>
      <c r="AL106" s="25"/>
      <c r="AM106" s="27" t="n">
        <f aca="false">SUM(AM76:AM105)</f>
        <v>0</v>
      </c>
      <c r="AN106" s="27" t="n">
        <f aca="false">SUM(AN76:AN105)</f>
        <v>0</v>
      </c>
      <c r="AO106" s="27" t="n">
        <f aca="false">SUM(AO76:AO105)</f>
        <v>0</v>
      </c>
    </row>
    <row r="108" customFormat="false" ht="15" hidden="false" customHeight="false" outlineLevel="0" collapsed="false">
      <c r="A108" s="18" t="str">
        <f aca="false">"UNIT 4:  "&amp;INDEX(UnitNames,4)</f>
        <v>UNIT 4:  Unit 4</v>
      </c>
      <c r="B108" s="18"/>
      <c r="C108" s="18"/>
      <c r="D108" s="18"/>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row>
    <row r="109" customFormat="false" ht="15" hidden="false" customHeight="false" outlineLevel="0" collapsed="false">
      <c r="A109" s="16" t="n">
        <v>1</v>
      </c>
      <c r="B109" s="20"/>
      <c r="C109" s="5"/>
      <c r="D109" s="5"/>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1" t="str">
        <f aca="false">IF(E109="Exchanger",IF(AND(ISNUMBER(S109),ISNUMBER(U109),ISNUMBER(V109)),S109*PI()/4*(U109*INDEX(LenF,MATCH($U$7,LenU,0)))^2*V109*INDEX(LenF,MATCH($V$7,LenU,0)),0)+IF(ISNUMBER(Y109),PI()/4*(Y109*INDEX(LenF,MATCH($Y$7,LenU,0)))^2*N(Z109)*INDEX(LenF,MATCH($Z$7,LenU,0))+IF(AA109="",0,IF(AA109="Conical",PI()/12*(Y109*INDEX(LenF,MATCH($Y$7,LenU,0)))^2*(0),INDEX(HeadK,MATCH(AA109,HeadU,0))*(Y109*INDEX(LenF,MATCH($Y$7,LenU,0)))^3)),0)+IF(ISNUMBER(Y109),PI()/4*(Y109*INDEX(LenF,MATCH($Y$7,LenU,0)))^2*N(AB109)*INDEX(LenF,MATCH($AB$7,LenU,0))+IF(AC109="",0,IF(AC109="Conical",PI()/12*(Y109*INDEX(LenF,MATCH($Y$7,LenU,0)))^2*(0),INDEX(HeadK,MATCH(AC109,HeadU,0))*(Y109*INDEX(LenF,MATCH($Y$7,LenU,0)))^3)),0),"")</f>
        <v/>
      </c>
      <c r="AE109" s="21" t="str">
        <f aca="false">IF(OR(E109="",E109="Piping"),"",IF(E109="Exchanger",AQ109*AR109+IF(P109="",0,IF(P109="Conical",PI()/12*(SQRT(4*AQ109/PI()))^2*(0),INDEX(HeadK,MATCH(P109,HeadU,0))*(SQRT(4*AQ109/PI()))^3))-IF(AND(ISNUMBER(S109),ISNUMBER(V109)),S109*PI()/4*AP109^2*V109*INDEX(LenF,MATCH($V$7,LenU,0)),0),IF(ISNUMBER(N109),PI()/4*(N109*INDEX(LenF,MATCH($N$7,LenU,0)))^2*N(O109)*INDEX(LenF,MATCH($O$7,LenU,0))+IF(P109="",0,IF(P109="Conical",PI()/12*(N109*INDEX(LenF,MATCH($N$7,LenU,0)))^2*(N(R109)*INDEX(LenF,MATCH($R$7,LenU,0))),INDEX(HeadK,MATCH(P109,HeadU,0))*(N109*INDEX(LenF,MATCH($N$7,LenU,0)))^3))+IF(Q109="",0,IF(Q109="Conical",PI()/12*(N109*INDEX(LenF,MATCH($N$7,LenU,0)))^2*(N(R109)*INDEX(LenF,MATCH($R$7,LenU,0))),INDEX(HeadK,MATCH(Q109,HeadU,0))*(N109*INDEX(LenF,MATCH($N$7,LenU,0)))^3)),0)))</f>
        <v/>
      </c>
      <c r="AF109" s="21" t="str">
        <f aca="false">IF(E109&lt;&gt;"Piping","",IF(AND(ISNUMBER(AS109),ISNUMBER(M109)),PI()/4*(AS109/1000)^2*M109*INDEX(LenF,MATCH($M$7,LenU,0)),0))</f>
        <v/>
      </c>
      <c r="AG109" s="21" t="str">
        <f aca="false">IF(E109="","",N(AD109)+N(AE109)+N(AF109))</f>
        <v/>
      </c>
      <c r="AH109" s="21" t="str">
        <f aca="false">IF(ISNUMBER(I109),I109*INDEX(WtF,MATCH($I$7,WtU,0))/WaterRho,"")</f>
        <v/>
      </c>
      <c r="AI109" s="11"/>
      <c r="AJ109" s="11"/>
      <c r="AK109" s="20"/>
      <c r="AL109" s="11"/>
      <c r="AM109" s="21" t="str">
        <f aca="false">IF(AO109="","",AO109*IF(ISNUMBER(AK109),AK109,DefFills)*(1+IF(ISNUMBER(AL109),AL109,DefAllow)))</f>
        <v/>
      </c>
      <c r="AN109" s="22" t="str">
        <f aca="false">IF(G109="Given volume",IF(ISNUMBER(H109),H109*INDEX(VolF,MATCH($H$7,VolU,0)),""),IF(G109="Water weight",AH109,IF(N(AG109)=0,"",AG109)))</f>
        <v/>
      </c>
      <c r="AO109" s="22" t="str">
        <f aca="false">IF(N(AN109)=0,"",AN109*AT109*IF(ISNUMBER(AJ109),AJ109,DefCirc))</f>
        <v/>
      </c>
      <c r="AP109" s="9" t="n">
        <f aca="false">IF(ISNUMBER(T109),T109*INDEX(LenF,MATCH($T$7,LenU,0)),IF(ISNUMBER(W109),W109*INDEX(LenF,MATCH($W$7,LenU,0))/PitchRatio,0))</f>
        <v>0</v>
      </c>
      <c r="AQ109" s="9" t="n">
        <f aca="false">IF(ISNUMBER(N109),PI()/4*(N109*INDEX(LenF,MATCH($N$7,LenU,0)))^2,IF(AND(ISNUMBER(S109),ISNUMBER(W109),X109&lt;&gt;""),S109*(W109*INDEX(LenF,MATCH($W$7,LenU,0)))^2*INDEX(LayoutF,MATCH(X109,LayoutU,0)),0))</f>
        <v>0</v>
      </c>
      <c r="AR109" s="9" t="n">
        <f aca="false">IF(ISNUMBER(O109),O109*INDEX(LenF,MATCH($O$7,LenU,0)),IF(ISNUMBER(V109),V109*INDEX(LenF,MATCH($V$7,LenU,0)),0))</f>
        <v>0</v>
      </c>
      <c r="AS109" s="9" t="str">
        <f aca="false">IF(ISNUMBER(L109),L109*INDEX(LenF,MATCH($L$7,LenU,0))*1000,IF(OR(J109="",K109=""),"",IFERROR(IF(INDEX(PipeWT,MATCH(J109,NPSU,0),MATCH(K109,SchU,0))="","Sch n/a",INDEX(PipeOD,MATCH(J109,NPSU,0))-2*INDEX(PipeWT,MATCH(J109,NPSU,0),MATCH(K109,SchU,0))),"")))</f>
        <v/>
      </c>
      <c r="AT109" s="9" t="n">
        <f aca="false">IF(ISNUMBER(AI109),AI109,IFERROR(INDEX(IF(JobType="Decontamination",TypeFillDC,TypeFillCC),MATCH(E109,TypeL,0)),1))</f>
        <v>1</v>
      </c>
      <c r="AU109" s="9" t="n">
        <v>4</v>
      </c>
    </row>
    <row r="110" customFormat="false" ht="15" hidden="false" customHeight="false" outlineLevel="0" collapsed="false">
      <c r="A110" s="16" t="n">
        <v>2</v>
      </c>
      <c r="B110" s="20"/>
      <c r="C110" s="5"/>
      <c r="D110" s="5"/>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1" t="str">
        <f aca="false">IF(E110="Exchanger",IF(AND(ISNUMBER(S110),ISNUMBER(U110),ISNUMBER(V110)),S110*PI()/4*(U110*INDEX(LenF,MATCH($U$7,LenU,0)))^2*V110*INDEX(LenF,MATCH($V$7,LenU,0)),0)+IF(ISNUMBER(Y110),PI()/4*(Y110*INDEX(LenF,MATCH($Y$7,LenU,0)))^2*N(Z110)*INDEX(LenF,MATCH($Z$7,LenU,0))+IF(AA110="",0,IF(AA110="Conical",PI()/12*(Y110*INDEX(LenF,MATCH($Y$7,LenU,0)))^2*(0),INDEX(HeadK,MATCH(AA110,HeadU,0))*(Y110*INDEX(LenF,MATCH($Y$7,LenU,0)))^3)),0)+IF(ISNUMBER(Y110),PI()/4*(Y110*INDEX(LenF,MATCH($Y$7,LenU,0)))^2*N(AB110)*INDEX(LenF,MATCH($AB$7,LenU,0))+IF(AC110="",0,IF(AC110="Conical",PI()/12*(Y110*INDEX(LenF,MATCH($Y$7,LenU,0)))^2*(0),INDEX(HeadK,MATCH(AC110,HeadU,0))*(Y110*INDEX(LenF,MATCH($Y$7,LenU,0)))^3)),0),"")</f>
        <v/>
      </c>
      <c r="AE110" s="21" t="str">
        <f aca="false">IF(OR(E110="",E110="Piping"),"",IF(E110="Exchanger",AQ110*AR110+IF(P110="",0,IF(P110="Conical",PI()/12*(SQRT(4*AQ110/PI()))^2*(0),INDEX(HeadK,MATCH(P110,HeadU,0))*(SQRT(4*AQ110/PI()))^3))-IF(AND(ISNUMBER(S110),ISNUMBER(V110)),S110*PI()/4*AP110^2*V110*INDEX(LenF,MATCH($V$7,LenU,0)),0),IF(ISNUMBER(N110),PI()/4*(N110*INDEX(LenF,MATCH($N$7,LenU,0)))^2*N(O110)*INDEX(LenF,MATCH($O$7,LenU,0))+IF(P110="",0,IF(P110="Conical",PI()/12*(N110*INDEX(LenF,MATCH($N$7,LenU,0)))^2*(N(R110)*INDEX(LenF,MATCH($R$7,LenU,0))),INDEX(HeadK,MATCH(P110,HeadU,0))*(N110*INDEX(LenF,MATCH($N$7,LenU,0)))^3))+IF(Q110="",0,IF(Q110="Conical",PI()/12*(N110*INDEX(LenF,MATCH($N$7,LenU,0)))^2*(N(R110)*INDEX(LenF,MATCH($R$7,LenU,0))),INDEX(HeadK,MATCH(Q110,HeadU,0))*(N110*INDEX(LenF,MATCH($N$7,LenU,0)))^3)),0)))</f>
        <v/>
      </c>
      <c r="AF110" s="21" t="str">
        <f aca="false">IF(E110&lt;&gt;"Piping","",IF(AND(ISNUMBER(AS110),ISNUMBER(M110)),PI()/4*(AS110/1000)^2*M110*INDEX(LenF,MATCH($M$7,LenU,0)),0))</f>
        <v/>
      </c>
      <c r="AG110" s="21" t="str">
        <f aca="false">IF(E110="","",N(AD110)+N(AE110)+N(AF110))</f>
        <v/>
      </c>
      <c r="AH110" s="21" t="str">
        <f aca="false">IF(ISNUMBER(I110),I110*INDEX(WtF,MATCH($I$7,WtU,0))/WaterRho,"")</f>
        <v/>
      </c>
      <c r="AI110" s="11"/>
      <c r="AJ110" s="11"/>
      <c r="AK110" s="20"/>
      <c r="AL110" s="11"/>
      <c r="AM110" s="21" t="str">
        <f aca="false">IF(AO110="","",AO110*IF(ISNUMBER(AK110),AK110,DefFills)*(1+IF(ISNUMBER(AL110),AL110,DefAllow)))</f>
        <v/>
      </c>
      <c r="AN110" s="22" t="str">
        <f aca="false">IF(G110="Given volume",IF(ISNUMBER(H110),H110*INDEX(VolF,MATCH($H$7,VolU,0)),""),IF(G110="Water weight",AH110,IF(N(AG110)=0,"",AG110)))</f>
        <v/>
      </c>
      <c r="AO110" s="22" t="str">
        <f aca="false">IF(N(AN110)=0,"",AN110*AT110*IF(ISNUMBER(AJ110),AJ110,DefCirc))</f>
        <v/>
      </c>
      <c r="AP110" s="9" t="n">
        <f aca="false">IF(ISNUMBER(T110),T110*INDEX(LenF,MATCH($T$7,LenU,0)),IF(ISNUMBER(W110),W110*INDEX(LenF,MATCH($W$7,LenU,0))/PitchRatio,0))</f>
        <v>0</v>
      </c>
      <c r="AQ110" s="9" t="n">
        <f aca="false">IF(ISNUMBER(N110),PI()/4*(N110*INDEX(LenF,MATCH($N$7,LenU,0)))^2,IF(AND(ISNUMBER(S110),ISNUMBER(W110),X110&lt;&gt;""),S110*(W110*INDEX(LenF,MATCH($W$7,LenU,0)))^2*INDEX(LayoutF,MATCH(X110,LayoutU,0)),0))</f>
        <v>0</v>
      </c>
      <c r="AR110" s="9" t="n">
        <f aca="false">IF(ISNUMBER(O110),O110*INDEX(LenF,MATCH($O$7,LenU,0)),IF(ISNUMBER(V110),V110*INDEX(LenF,MATCH($V$7,LenU,0)),0))</f>
        <v>0</v>
      </c>
      <c r="AS110" s="9" t="str">
        <f aca="false">IF(ISNUMBER(L110),L110*INDEX(LenF,MATCH($L$7,LenU,0))*1000,IF(OR(J110="",K110=""),"",IFERROR(IF(INDEX(PipeWT,MATCH(J110,NPSU,0),MATCH(K110,SchU,0))="","Sch n/a",INDEX(PipeOD,MATCH(J110,NPSU,0))-2*INDEX(PipeWT,MATCH(J110,NPSU,0),MATCH(K110,SchU,0))),"")))</f>
        <v/>
      </c>
      <c r="AT110" s="9" t="n">
        <f aca="false">IF(ISNUMBER(AI110),AI110,IFERROR(INDEX(IF(JobType="Decontamination",TypeFillDC,TypeFillCC),MATCH(E110,TypeL,0)),1))</f>
        <v>1</v>
      </c>
      <c r="AU110" s="9" t="n">
        <v>4</v>
      </c>
    </row>
    <row r="111" customFormat="false" ht="15" hidden="false" customHeight="false" outlineLevel="0" collapsed="false">
      <c r="A111" s="16" t="n">
        <v>3</v>
      </c>
      <c r="B111" s="20"/>
      <c r="C111" s="5"/>
      <c r="D111" s="5"/>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1" t="str">
        <f aca="false">IF(E111="Exchanger",IF(AND(ISNUMBER(S111),ISNUMBER(U111),ISNUMBER(V111)),S111*PI()/4*(U111*INDEX(LenF,MATCH($U$7,LenU,0)))^2*V111*INDEX(LenF,MATCH($V$7,LenU,0)),0)+IF(ISNUMBER(Y111),PI()/4*(Y111*INDEX(LenF,MATCH($Y$7,LenU,0)))^2*N(Z111)*INDEX(LenF,MATCH($Z$7,LenU,0))+IF(AA111="",0,IF(AA111="Conical",PI()/12*(Y111*INDEX(LenF,MATCH($Y$7,LenU,0)))^2*(0),INDEX(HeadK,MATCH(AA111,HeadU,0))*(Y111*INDEX(LenF,MATCH($Y$7,LenU,0)))^3)),0)+IF(ISNUMBER(Y111),PI()/4*(Y111*INDEX(LenF,MATCH($Y$7,LenU,0)))^2*N(AB111)*INDEX(LenF,MATCH($AB$7,LenU,0))+IF(AC111="",0,IF(AC111="Conical",PI()/12*(Y111*INDEX(LenF,MATCH($Y$7,LenU,0)))^2*(0),INDEX(HeadK,MATCH(AC111,HeadU,0))*(Y111*INDEX(LenF,MATCH($Y$7,LenU,0)))^3)),0),"")</f>
        <v/>
      </c>
      <c r="AE111" s="21" t="str">
        <f aca="false">IF(OR(E111="",E111="Piping"),"",IF(E111="Exchanger",AQ111*AR111+IF(P111="",0,IF(P111="Conical",PI()/12*(SQRT(4*AQ111/PI()))^2*(0),INDEX(HeadK,MATCH(P111,HeadU,0))*(SQRT(4*AQ111/PI()))^3))-IF(AND(ISNUMBER(S111),ISNUMBER(V111)),S111*PI()/4*AP111^2*V111*INDEX(LenF,MATCH($V$7,LenU,0)),0),IF(ISNUMBER(N111),PI()/4*(N111*INDEX(LenF,MATCH($N$7,LenU,0)))^2*N(O111)*INDEX(LenF,MATCH($O$7,LenU,0))+IF(P111="",0,IF(P111="Conical",PI()/12*(N111*INDEX(LenF,MATCH($N$7,LenU,0)))^2*(N(R111)*INDEX(LenF,MATCH($R$7,LenU,0))),INDEX(HeadK,MATCH(P111,HeadU,0))*(N111*INDEX(LenF,MATCH($N$7,LenU,0)))^3))+IF(Q111="",0,IF(Q111="Conical",PI()/12*(N111*INDEX(LenF,MATCH($N$7,LenU,0)))^2*(N(R111)*INDEX(LenF,MATCH($R$7,LenU,0))),INDEX(HeadK,MATCH(Q111,HeadU,0))*(N111*INDEX(LenF,MATCH($N$7,LenU,0)))^3)),0)))</f>
        <v/>
      </c>
      <c r="AF111" s="21" t="str">
        <f aca="false">IF(E111&lt;&gt;"Piping","",IF(AND(ISNUMBER(AS111),ISNUMBER(M111)),PI()/4*(AS111/1000)^2*M111*INDEX(LenF,MATCH($M$7,LenU,0)),0))</f>
        <v/>
      </c>
      <c r="AG111" s="21" t="str">
        <f aca="false">IF(E111="","",N(AD111)+N(AE111)+N(AF111))</f>
        <v/>
      </c>
      <c r="AH111" s="21" t="str">
        <f aca="false">IF(ISNUMBER(I111),I111*INDEX(WtF,MATCH($I$7,WtU,0))/WaterRho,"")</f>
        <v/>
      </c>
      <c r="AI111" s="11"/>
      <c r="AJ111" s="11"/>
      <c r="AK111" s="20"/>
      <c r="AL111" s="11"/>
      <c r="AM111" s="21" t="str">
        <f aca="false">IF(AO111="","",AO111*IF(ISNUMBER(AK111),AK111,DefFills)*(1+IF(ISNUMBER(AL111),AL111,DefAllow)))</f>
        <v/>
      </c>
      <c r="AN111" s="22" t="str">
        <f aca="false">IF(G111="Given volume",IF(ISNUMBER(H111),H111*INDEX(VolF,MATCH($H$7,VolU,0)),""),IF(G111="Water weight",AH111,IF(N(AG111)=0,"",AG111)))</f>
        <v/>
      </c>
      <c r="AO111" s="22" t="str">
        <f aca="false">IF(N(AN111)=0,"",AN111*AT111*IF(ISNUMBER(AJ111),AJ111,DefCirc))</f>
        <v/>
      </c>
      <c r="AP111" s="9" t="n">
        <f aca="false">IF(ISNUMBER(T111),T111*INDEX(LenF,MATCH($T$7,LenU,0)),IF(ISNUMBER(W111),W111*INDEX(LenF,MATCH($W$7,LenU,0))/PitchRatio,0))</f>
        <v>0</v>
      </c>
      <c r="AQ111" s="9" t="n">
        <f aca="false">IF(ISNUMBER(N111),PI()/4*(N111*INDEX(LenF,MATCH($N$7,LenU,0)))^2,IF(AND(ISNUMBER(S111),ISNUMBER(W111),X111&lt;&gt;""),S111*(W111*INDEX(LenF,MATCH($W$7,LenU,0)))^2*INDEX(LayoutF,MATCH(X111,LayoutU,0)),0))</f>
        <v>0</v>
      </c>
      <c r="AR111" s="9" t="n">
        <f aca="false">IF(ISNUMBER(O111),O111*INDEX(LenF,MATCH($O$7,LenU,0)),IF(ISNUMBER(V111),V111*INDEX(LenF,MATCH($V$7,LenU,0)),0))</f>
        <v>0</v>
      </c>
      <c r="AS111" s="9" t="str">
        <f aca="false">IF(ISNUMBER(L111),L111*INDEX(LenF,MATCH($L$7,LenU,0))*1000,IF(OR(J111="",K111=""),"",IFERROR(IF(INDEX(PipeWT,MATCH(J111,NPSU,0),MATCH(K111,SchU,0))="","Sch n/a",INDEX(PipeOD,MATCH(J111,NPSU,0))-2*INDEX(PipeWT,MATCH(J111,NPSU,0),MATCH(K111,SchU,0))),"")))</f>
        <v/>
      </c>
      <c r="AT111" s="9" t="n">
        <f aca="false">IF(ISNUMBER(AI111),AI111,IFERROR(INDEX(IF(JobType="Decontamination",TypeFillDC,TypeFillCC),MATCH(E111,TypeL,0)),1))</f>
        <v>1</v>
      </c>
      <c r="AU111" s="9" t="n">
        <v>4</v>
      </c>
    </row>
    <row r="112" customFormat="false" ht="15" hidden="false" customHeight="false" outlineLevel="0" collapsed="false">
      <c r="A112" s="16" t="n">
        <v>4</v>
      </c>
      <c r="B112" s="20"/>
      <c r="C112" s="5"/>
      <c r="D112" s="5"/>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1" t="str">
        <f aca="false">IF(E112="Exchanger",IF(AND(ISNUMBER(S112),ISNUMBER(U112),ISNUMBER(V112)),S112*PI()/4*(U112*INDEX(LenF,MATCH($U$7,LenU,0)))^2*V112*INDEX(LenF,MATCH($V$7,LenU,0)),0)+IF(ISNUMBER(Y112),PI()/4*(Y112*INDEX(LenF,MATCH($Y$7,LenU,0)))^2*N(Z112)*INDEX(LenF,MATCH($Z$7,LenU,0))+IF(AA112="",0,IF(AA112="Conical",PI()/12*(Y112*INDEX(LenF,MATCH($Y$7,LenU,0)))^2*(0),INDEX(HeadK,MATCH(AA112,HeadU,0))*(Y112*INDEX(LenF,MATCH($Y$7,LenU,0)))^3)),0)+IF(ISNUMBER(Y112),PI()/4*(Y112*INDEX(LenF,MATCH($Y$7,LenU,0)))^2*N(AB112)*INDEX(LenF,MATCH($AB$7,LenU,0))+IF(AC112="",0,IF(AC112="Conical",PI()/12*(Y112*INDEX(LenF,MATCH($Y$7,LenU,0)))^2*(0),INDEX(HeadK,MATCH(AC112,HeadU,0))*(Y112*INDEX(LenF,MATCH($Y$7,LenU,0)))^3)),0),"")</f>
        <v/>
      </c>
      <c r="AE112" s="21" t="str">
        <f aca="false">IF(OR(E112="",E112="Piping"),"",IF(E112="Exchanger",AQ112*AR112+IF(P112="",0,IF(P112="Conical",PI()/12*(SQRT(4*AQ112/PI()))^2*(0),INDEX(HeadK,MATCH(P112,HeadU,0))*(SQRT(4*AQ112/PI()))^3))-IF(AND(ISNUMBER(S112),ISNUMBER(V112)),S112*PI()/4*AP112^2*V112*INDEX(LenF,MATCH($V$7,LenU,0)),0),IF(ISNUMBER(N112),PI()/4*(N112*INDEX(LenF,MATCH($N$7,LenU,0)))^2*N(O112)*INDEX(LenF,MATCH($O$7,LenU,0))+IF(P112="",0,IF(P112="Conical",PI()/12*(N112*INDEX(LenF,MATCH($N$7,LenU,0)))^2*(N(R112)*INDEX(LenF,MATCH($R$7,LenU,0))),INDEX(HeadK,MATCH(P112,HeadU,0))*(N112*INDEX(LenF,MATCH($N$7,LenU,0)))^3))+IF(Q112="",0,IF(Q112="Conical",PI()/12*(N112*INDEX(LenF,MATCH($N$7,LenU,0)))^2*(N(R112)*INDEX(LenF,MATCH($R$7,LenU,0))),INDEX(HeadK,MATCH(Q112,HeadU,0))*(N112*INDEX(LenF,MATCH($N$7,LenU,0)))^3)),0)))</f>
        <v/>
      </c>
      <c r="AF112" s="21" t="str">
        <f aca="false">IF(E112&lt;&gt;"Piping","",IF(AND(ISNUMBER(AS112),ISNUMBER(M112)),PI()/4*(AS112/1000)^2*M112*INDEX(LenF,MATCH($M$7,LenU,0)),0))</f>
        <v/>
      </c>
      <c r="AG112" s="21" t="str">
        <f aca="false">IF(E112="","",N(AD112)+N(AE112)+N(AF112))</f>
        <v/>
      </c>
      <c r="AH112" s="21" t="str">
        <f aca="false">IF(ISNUMBER(I112),I112*INDEX(WtF,MATCH($I$7,WtU,0))/WaterRho,"")</f>
        <v/>
      </c>
      <c r="AI112" s="11"/>
      <c r="AJ112" s="11"/>
      <c r="AK112" s="20"/>
      <c r="AL112" s="11"/>
      <c r="AM112" s="21" t="str">
        <f aca="false">IF(AO112="","",AO112*IF(ISNUMBER(AK112),AK112,DefFills)*(1+IF(ISNUMBER(AL112),AL112,DefAllow)))</f>
        <v/>
      </c>
      <c r="AN112" s="22" t="str">
        <f aca="false">IF(G112="Given volume",IF(ISNUMBER(H112),H112*INDEX(VolF,MATCH($H$7,VolU,0)),""),IF(G112="Water weight",AH112,IF(N(AG112)=0,"",AG112)))</f>
        <v/>
      </c>
      <c r="AO112" s="22" t="str">
        <f aca="false">IF(N(AN112)=0,"",AN112*AT112*IF(ISNUMBER(AJ112),AJ112,DefCirc))</f>
        <v/>
      </c>
      <c r="AP112" s="9" t="n">
        <f aca="false">IF(ISNUMBER(T112),T112*INDEX(LenF,MATCH($T$7,LenU,0)),IF(ISNUMBER(W112),W112*INDEX(LenF,MATCH($W$7,LenU,0))/PitchRatio,0))</f>
        <v>0</v>
      </c>
      <c r="AQ112" s="9" t="n">
        <f aca="false">IF(ISNUMBER(N112),PI()/4*(N112*INDEX(LenF,MATCH($N$7,LenU,0)))^2,IF(AND(ISNUMBER(S112),ISNUMBER(W112),X112&lt;&gt;""),S112*(W112*INDEX(LenF,MATCH($W$7,LenU,0)))^2*INDEX(LayoutF,MATCH(X112,LayoutU,0)),0))</f>
        <v>0</v>
      </c>
      <c r="AR112" s="9" t="n">
        <f aca="false">IF(ISNUMBER(O112),O112*INDEX(LenF,MATCH($O$7,LenU,0)),IF(ISNUMBER(V112),V112*INDEX(LenF,MATCH($V$7,LenU,0)),0))</f>
        <v>0</v>
      </c>
      <c r="AS112" s="9" t="str">
        <f aca="false">IF(ISNUMBER(L112),L112*INDEX(LenF,MATCH($L$7,LenU,0))*1000,IF(OR(J112="",K112=""),"",IFERROR(IF(INDEX(PipeWT,MATCH(J112,NPSU,0),MATCH(K112,SchU,0))="","Sch n/a",INDEX(PipeOD,MATCH(J112,NPSU,0))-2*INDEX(PipeWT,MATCH(J112,NPSU,0),MATCH(K112,SchU,0))),"")))</f>
        <v/>
      </c>
      <c r="AT112" s="9" t="n">
        <f aca="false">IF(ISNUMBER(AI112),AI112,IFERROR(INDEX(IF(JobType="Decontamination",TypeFillDC,TypeFillCC),MATCH(E112,TypeL,0)),1))</f>
        <v>1</v>
      </c>
      <c r="AU112" s="9" t="n">
        <v>4</v>
      </c>
    </row>
    <row r="113" customFormat="false" ht="15" hidden="false" customHeight="false" outlineLevel="0" collapsed="false">
      <c r="A113" s="16" t="n">
        <v>5</v>
      </c>
      <c r="B113" s="20"/>
      <c r="C113" s="5"/>
      <c r="D113" s="5"/>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1" t="str">
        <f aca="false">IF(E113="Exchanger",IF(AND(ISNUMBER(S113),ISNUMBER(U113),ISNUMBER(V113)),S113*PI()/4*(U113*INDEX(LenF,MATCH($U$7,LenU,0)))^2*V113*INDEX(LenF,MATCH($V$7,LenU,0)),0)+IF(ISNUMBER(Y113),PI()/4*(Y113*INDEX(LenF,MATCH($Y$7,LenU,0)))^2*N(Z113)*INDEX(LenF,MATCH($Z$7,LenU,0))+IF(AA113="",0,IF(AA113="Conical",PI()/12*(Y113*INDEX(LenF,MATCH($Y$7,LenU,0)))^2*(0),INDEX(HeadK,MATCH(AA113,HeadU,0))*(Y113*INDEX(LenF,MATCH($Y$7,LenU,0)))^3)),0)+IF(ISNUMBER(Y113),PI()/4*(Y113*INDEX(LenF,MATCH($Y$7,LenU,0)))^2*N(AB113)*INDEX(LenF,MATCH($AB$7,LenU,0))+IF(AC113="",0,IF(AC113="Conical",PI()/12*(Y113*INDEX(LenF,MATCH($Y$7,LenU,0)))^2*(0),INDEX(HeadK,MATCH(AC113,HeadU,0))*(Y113*INDEX(LenF,MATCH($Y$7,LenU,0)))^3)),0),"")</f>
        <v/>
      </c>
      <c r="AE113" s="21" t="str">
        <f aca="false">IF(OR(E113="",E113="Piping"),"",IF(E113="Exchanger",AQ113*AR113+IF(P113="",0,IF(P113="Conical",PI()/12*(SQRT(4*AQ113/PI()))^2*(0),INDEX(HeadK,MATCH(P113,HeadU,0))*(SQRT(4*AQ113/PI()))^3))-IF(AND(ISNUMBER(S113),ISNUMBER(V113)),S113*PI()/4*AP113^2*V113*INDEX(LenF,MATCH($V$7,LenU,0)),0),IF(ISNUMBER(N113),PI()/4*(N113*INDEX(LenF,MATCH($N$7,LenU,0)))^2*N(O113)*INDEX(LenF,MATCH($O$7,LenU,0))+IF(P113="",0,IF(P113="Conical",PI()/12*(N113*INDEX(LenF,MATCH($N$7,LenU,0)))^2*(N(R113)*INDEX(LenF,MATCH($R$7,LenU,0))),INDEX(HeadK,MATCH(P113,HeadU,0))*(N113*INDEX(LenF,MATCH($N$7,LenU,0)))^3))+IF(Q113="",0,IF(Q113="Conical",PI()/12*(N113*INDEX(LenF,MATCH($N$7,LenU,0)))^2*(N(R113)*INDEX(LenF,MATCH($R$7,LenU,0))),INDEX(HeadK,MATCH(Q113,HeadU,0))*(N113*INDEX(LenF,MATCH($N$7,LenU,0)))^3)),0)))</f>
        <v/>
      </c>
      <c r="AF113" s="21" t="str">
        <f aca="false">IF(E113&lt;&gt;"Piping","",IF(AND(ISNUMBER(AS113),ISNUMBER(M113)),PI()/4*(AS113/1000)^2*M113*INDEX(LenF,MATCH($M$7,LenU,0)),0))</f>
        <v/>
      </c>
      <c r="AG113" s="21" t="str">
        <f aca="false">IF(E113="","",N(AD113)+N(AE113)+N(AF113))</f>
        <v/>
      </c>
      <c r="AH113" s="21" t="str">
        <f aca="false">IF(ISNUMBER(I113),I113*INDEX(WtF,MATCH($I$7,WtU,0))/WaterRho,"")</f>
        <v/>
      </c>
      <c r="AI113" s="11"/>
      <c r="AJ113" s="11"/>
      <c r="AK113" s="20"/>
      <c r="AL113" s="11"/>
      <c r="AM113" s="21" t="str">
        <f aca="false">IF(AO113="","",AO113*IF(ISNUMBER(AK113),AK113,DefFills)*(1+IF(ISNUMBER(AL113),AL113,DefAllow)))</f>
        <v/>
      </c>
      <c r="AN113" s="22" t="str">
        <f aca="false">IF(G113="Given volume",IF(ISNUMBER(H113),H113*INDEX(VolF,MATCH($H$7,VolU,0)),""),IF(G113="Water weight",AH113,IF(N(AG113)=0,"",AG113)))</f>
        <v/>
      </c>
      <c r="AO113" s="22" t="str">
        <f aca="false">IF(N(AN113)=0,"",AN113*AT113*IF(ISNUMBER(AJ113),AJ113,DefCirc))</f>
        <v/>
      </c>
      <c r="AP113" s="9" t="n">
        <f aca="false">IF(ISNUMBER(T113),T113*INDEX(LenF,MATCH($T$7,LenU,0)),IF(ISNUMBER(W113),W113*INDEX(LenF,MATCH($W$7,LenU,0))/PitchRatio,0))</f>
        <v>0</v>
      </c>
      <c r="AQ113" s="9" t="n">
        <f aca="false">IF(ISNUMBER(N113),PI()/4*(N113*INDEX(LenF,MATCH($N$7,LenU,0)))^2,IF(AND(ISNUMBER(S113),ISNUMBER(W113),X113&lt;&gt;""),S113*(W113*INDEX(LenF,MATCH($W$7,LenU,0)))^2*INDEX(LayoutF,MATCH(X113,LayoutU,0)),0))</f>
        <v>0</v>
      </c>
      <c r="AR113" s="9" t="n">
        <f aca="false">IF(ISNUMBER(O113),O113*INDEX(LenF,MATCH($O$7,LenU,0)),IF(ISNUMBER(V113),V113*INDEX(LenF,MATCH($V$7,LenU,0)),0))</f>
        <v>0</v>
      </c>
      <c r="AS113" s="9" t="str">
        <f aca="false">IF(ISNUMBER(L113),L113*INDEX(LenF,MATCH($L$7,LenU,0))*1000,IF(OR(J113="",K113=""),"",IFERROR(IF(INDEX(PipeWT,MATCH(J113,NPSU,0),MATCH(K113,SchU,0))="","Sch n/a",INDEX(PipeOD,MATCH(J113,NPSU,0))-2*INDEX(PipeWT,MATCH(J113,NPSU,0),MATCH(K113,SchU,0))),"")))</f>
        <v/>
      </c>
      <c r="AT113" s="9" t="n">
        <f aca="false">IF(ISNUMBER(AI113),AI113,IFERROR(INDEX(IF(JobType="Decontamination",TypeFillDC,TypeFillCC),MATCH(E113,TypeL,0)),1))</f>
        <v>1</v>
      </c>
      <c r="AU113" s="9" t="n">
        <v>4</v>
      </c>
    </row>
    <row r="114" customFormat="false" ht="15" hidden="false" customHeight="false" outlineLevel="0" collapsed="false">
      <c r="A114" s="16" t="n">
        <v>6</v>
      </c>
      <c r="B114" s="20"/>
      <c r="C114" s="5"/>
      <c r="D114" s="5"/>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1" t="str">
        <f aca="false">IF(E114="Exchanger",IF(AND(ISNUMBER(S114),ISNUMBER(U114),ISNUMBER(V114)),S114*PI()/4*(U114*INDEX(LenF,MATCH($U$7,LenU,0)))^2*V114*INDEX(LenF,MATCH($V$7,LenU,0)),0)+IF(ISNUMBER(Y114),PI()/4*(Y114*INDEX(LenF,MATCH($Y$7,LenU,0)))^2*N(Z114)*INDEX(LenF,MATCH($Z$7,LenU,0))+IF(AA114="",0,IF(AA114="Conical",PI()/12*(Y114*INDEX(LenF,MATCH($Y$7,LenU,0)))^2*(0),INDEX(HeadK,MATCH(AA114,HeadU,0))*(Y114*INDEX(LenF,MATCH($Y$7,LenU,0)))^3)),0)+IF(ISNUMBER(Y114),PI()/4*(Y114*INDEX(LenF,MATCH($Y$7,LenU,0)))^2*N(AB114)*INDEX(LenF,MATCH($AB$7,LenU,0))+IF(AC114="",0,IF(AC114="Conical",PI()/12*(Y114*INDEX(LenF,MATCH($Y$7,LenU,0)))^2*(0),INDEX(HeadK,MATCH(AC114,HeadU,0))*(Y114*INDEX(LenF,MATCH($Y$7,LenU,0)))^3)),0),"")</f>
        <v/>
      </c>
      <c r="AE114" s="21" t="str">
        <f aca="false">IF(OR(E114="",E114="Piping"),"",IF(E114="Exchanger",AQ114*AR114+IF(P114="",0,IF(P114="Conical",PI()/12*(SQRT(4*AQ114/PI()))^2*(0),INDEX(HeadK,MATCH(P114,HeadU,0))*(SQRT(4*AQ114/PI()))^3))-IF(AND(ISNUMBER(S114),ISNUMBER(V114)),S114*PI()/4*AP114^2*V114*INDEX(LenF,MATCH($V$7,LenU,0)),0),IF(ISNUMBER(N114),PI()/4*(N114*INDEX(LenF,MATCH($N$7,LenU,0)))^2*N(O114)*INDEX(LenF,MATCH($O$7,LenU,0))+IF(P114="",0,IF(P114="Conical",PI()/12*(N114*INDEX(LenF,MATCH($N$7,LenU,0)))^2*(N(R114)*INDEX(LenF,MATCH($R$7,LenU,0))),INDEX(HeadK,MATCH(P114,HeadU,0))*(N114*INDEX(LenF,MATCH($N$7,LenU,0)))^3))+IF(Q114="",0,IF(Q114="Conical",PI()/12*(N114*INDEX(LenF,MATCH($N$7,LenU,0)))^2*(N(R114)*INDEX(LenF,MATCH($R$7,LenU,0))),INDEX(HeadK,MATCH(Q114,HeadU,0))*(N114*INDEX(LenF,MATCH($N$7,LenU,0)))^3)),0)))</f>
        <v/>
      </c>
      <c r="AF114" s="21" t="str">
        <f aca="false">IF(E114&lt;&gt;"Piping","",IF(AND(ISNUMBER(AS114),ISNUMBER(M114)),PI()/4*(AS114/1000)^2*M114*INDEX(LenF,MATCH($M$7,LenU,0)),0))</f>
        <v/>
      </c>
      <c r="AG114" s="21" t="str">
        <f aca="false">IF(E114="","",N(AD114)+N(AE114)+N(AF114))</f>
        <v/>
      </c>
      <c r="AH114" s="21" t="str">
        <f aca="false">IF(ISNUMBER(I114),I114*INDEX(WtF,MATCH($I$7,WtU,0))/WaterRho,"")</f>
        <v/>
      </c>
      <c r="AI114" s="11"/>
      <c r="AJ114" s="11"/>
      <c r="AK114" s="20"/>
      <c r="AL114" s="11"/>
      <c r="AM114" s="21" t="str">
        <f aca="false">IF(AO114="","",AO114*IF(ISNUMBER(AK114),AK114,DefFills)*(1+IF(ISNUMBER(AL114),AL114,DefAllow)))</f>
        <v/>
      </c>
      <c r="AN114" s="22" t="str">
        <f aca="false">IF(G114="Given volume",IF(ISNUMBER(H114),H114*INDEX(VolF,MATCH($H$7,VolU,0)),""),IF(G114="Water weight",AH114,IF(N(AG114)=0,"",AG114)))</f>
        <v/>
      </c>
      <c r="AO114" s="22" t="str">
        <f aca="false">IF(N(AN114)=0,"",AN114*AT114*IF(ISNUMBER(AJ114),AJ114,DefCirc))</f>
        <v/>
      </c>
      <c r="AP114" s="9" t="n">
        <f aca="false">IF(ISNUMBER(T114),T114*INDEX(LenF,MATCH($T$7,LenU,0)),IF(ISNUMBER(W114),W114*INDEX(LenF,MATCH($W$7,LenU,0))/PitchRatio,0))</f>
        <v>0</v>
      </c>
      <c r="AQ114" s="9" t="n">
        <f aca="false">IF(ISNUMBER(N114),PI()/4*(N114*INDEX(LenF,MATCH($N$7,LenU,0)))^2,IF(AND(ISNUMBER(S114),ISNUMBER(W114),X114&lt;&gt;""),S114*(W114*INDEX(LenF,MATCH($W$7,LenU,0)))^2*INDEX(LayoutF,MATCH(X114,LayoutU,0)),0))</f>
        <v>0</v>
      </c>
      <c r="AR114" s="9" t="n">
        <f aca="false">IF(ISNUMBER(O114),O114*INDEX(LenF,MATCH($O$7,LenU,0)),IF(ISNUMBER(V114),V114*INDEX(LenF,MATCH($V$7,LenU,0)),0))</f>
        <v>0</v>
      </c>
      <c r="AS114" s="9" t="str">
        <f aca="false">IF(ISNUMBER(L114),L114*INDEX(LenF,MATCH($L$7,LenU,0))*1000,IF(OR(J114="",K114=""),"",IFERROR(IF(INDEX(PipeWT,MATCH(J114,NPSU,0),MATCH(K114,SchU,0))="","Sch n/a",INDEX(PipeOD,MATCH(J114,NPSU,0))-2*INDEX(PipeWT,MATCH(J114,NPSU,0),MATCH(K114,SchU,0))),"")))</f>
        <v/>
      </c>
      <c r="AT114" s="9" t="n">
        <f aca="false">IF(ISNUMBER(AI114),AI114,IFERROR(INDEX(IF(JobType="Decontamination",TypeFillDC,TypeFillCC),MATCH(E114,TypeL,0)),1))</f>
        <v>1</v>
      </c>
      <c r="AU114" s="9" t="n">
        <v>4</v>
      </c>
    </row>
    <row r="115" customFormat="false" ht="15" hidden="false" customHeight="false" outlineLevel="0" collapsed="false">
      <c r="A115" s="16" t="n">
        <v>7</v>
      </c>
      <c r="B115" s="20"/>
      <c r="C115" s="5"/>
      <c r="D115" s="5"/>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1" t="str">
        <f aca="false">IF(E115="Exchanger",IF(AND(ISNUMBER(S115),ISNUMBER(U115),ISNUMBER(V115)),S115*PI()/4*(U115*INDEX(LenF,MATCH($U$7,LenU,0)))^2*V115*INDEX(LenF,MATCH($V$7,LenU,0)),0)+IF(ISNUMBER(Y115),PI()/4*(Y115*INDEX(LenF,MATCH($Y$7,LenU,0)))^2*N(Z115)*INDEX(LenF,MATCH($Z$7,LenU,0))+IF(AA115="",0,IF(AA115="Conical",PI()/12*(Y115*INDEX(LenF,MATCH($Y$7,LenU,0)))^2*(0),INDEX(HeadK,MATCH(AA115,HeadU,0))*(Y115*INDEX(LenF,MATCH($Y$7,LenU,0)))^3)),0)+IF(ISNUMBER(Y115),PI()/4*(Y115*INDEX(LenF,MATCH($Y$7,LenU,0)))^2*N(AB115)*INDEX(LenF,MATCH($AB$7,LenU,0))+IF(AC115="",0,IF(AC115="Conical",PI()/12*(Y115*INDEX(LenF,MATCH($Y$7,LenU,0)))^2*(0),INDEX(HeadK,MATCH(AC115,HeadU,0))*(Y115*INDEX(LenF,MATCH($Y$7,LenU,0)))^3)),0),"")</f>
        <v/>
      </c>
      <c r="AE115" s="21" t="str">
        <f aca="false">IF(OR(E115="",E115="Piping"),"",IF(E115="Exchanger",AQ115*AR115+IF(P115="",0,IF(P115="Conical",PI()/12*(SQRT(4*AQ115/PI()))^2*(0),INDEX(HeadK,MATCH(P115,HeadU,0))*(SQRT(4*AQ115/PI()))^3))-IF(AND(ISNUMBER(S115),ISNUMBER(V115)),S115*PI()/4*AP115^2*V115*INDEX(LenF,MATCH($V$7,LenU,0)),0),IF(ISNUMBER(N115),PI()/4*(N115*INDEX(LenF,MATCH($N$7,LenU,0)))^2*N(O115)*INDEX(LenF,MATCH($O$7,LenU,0))+IF(P115="",0,IF(P115="Conical",PI()/12*(N115*INDEX(LenF,MATCH($N$7,LenU,0)))^2*(N(R115)*INDEX(LenF,MATCH($R$7,LenU,0))),INDEX(HeadK,MATCH(P115,HeadU,0))*(N115*INDEX(LenF,MATCH($N$7,LenU,0)))^3))+IF(Q115="",0,IF(Q115="Conical",PI()/12*(N115*INDEX(LenF,MATCH($N$7,LenU,0)))^2*(N(R115)*INDEX(LenF,MATCH($R$7,LenU,0))),INDEX(HeadK,MATCH(Q115,HeadU,0))*(N115*INDEX(LenF,MATCH($N$7,LenU,0)))^3)),0)))</f>
        <v/>
      </c>
      <c r="AF115" s="21" t="str">
        <f aca="false">IF(E115&lt;&gt;"Piping","",IF(AND(ISNUMBER(AS115),ISNUMBER(M115)),PI()/4*(AS115/1000)^2*M115*INDEX(LenF,MATCH($M$7,LenU,0)),0))</f>
        <v/>
      </c>
      <c r="AG115" s="21" t="str">
        <f aca="false">IF(E115="","",N(AD115)+N(AE115)+N(AF115))</f>
        <v/>
      </c>
      <c r="AH115" s="21" t="str">
        <f aca="false">IF(ISNUMBER(I115),I115*INDEX(WtF,MATCH($I$7,WtU,0))/WaterRho,"")</f>
        <v/>
      </c>
      <c r="AI115" s="11"/>
      <c r="AJ115" s="11"/>
      <c r="AK115" s="20"/>
      <c r="AL115" s="11"/>
      <c r="AM115" s="21" t="str">
        <f aca="false">IF(AO115="","",AO115*IF(ISNUMBER(AK115),AK115,DefFills)*(1+IF(ISNUMBER(AL115),AL115,DefAllow)))</f>
        <v/>
      </c>
      <c r="AN115" s="22" t="str">
        <f aca="false">IF(G115="Given volume",IF(ISNUMBER(H115),H115*INDEX(VolF,MATCH($H$7,VolU,0)),""),IF(G115="Water weight",AH115,IF(N(AG115)=0,"",AG115)))</f>
        <v/>
      </c>
      <c r="AO115" s="22" t="str">
        <f aca="false">IF(N(AN115)=0,"",AN115*AT115*IF(ISNUMBER(AJ115),AJ115,DefCirc))</f>
        <v/>
      </c>
      <c r="AP115" s="9" t="n">
        <f aca="false">IF(ISNUMBER(T115),T115*INDEX(LenF,MATCH($T$7,LenU,0)),IF(ISNUMBER(W115),W115*INDEX(LenF,MATCH($W$7,LenU,0))/PitchRatio,0))</f>
        <v>0</v>
      </c>
      <c r="AQ115" s="9" t="n">
        <f aca="false">IF(ISNUMBER(N115),PI()/4*(N115*INDEX(LenF,MATCH($N$7,LenU,0)))^2,IF(AND(ISNUMBER(S115),ISNUMBER(W115),X115&lt;&gt;""),S115*(W115*INDEX(LenF,MATCH($W$7,LenU,0)))^2*INDEX(LayoutF,MATCH(X115,LayoutU,0)),0))</f>
        <v>0</v>
      </c>
      <c r="AR115" s="9" t="n">
        <f aca="false">IF(ISNUMBER(O115),O115*INDEX(LenF,MATCH($O$7,LenU,0)),IF(ISNUMBER(V115),V115*INDEX(LenF,MATCH($V$7,LenU,0)),0))</f>
        <v>0</v>
      </c>
      <c r="AS115" s="9" t="str">
        <f aca="false">IF(ISNUMBER(L115),L115*INDEX(LenF,MATCH($L$7,LenU,0))*1000,IF(OR(J115="",K115=""),"",IFERROR(IF(INDEX(PipeWT,MATCH(J115,NPSU,0),MATCH(K115,SchU,0))="","Sch n/a",INDEX(PipeOD,MATCH(J115,NPSU,0))-2*INDEX(PipeWT,MATCH(J115,NPSU,0),MATCH(K115,SchU,0))),"")))</f>
        <v/>
      </c>
      <c r="AT115" s="9" t="n">
        <f aca="false">IF(ISNUMBER(AI115),AI115,IFERROR(INDEX(IF(JobType="Decontamination",TypeFillDC,TypeFillCC),MATCH(E115,TypeL,0)),1))</f>
        <v>1</v>
      </c>
      <c r="AU115" s="9" t="n">
        <v>4</v>
      </c>
    </row>
    <row r="116" customFormat="false" ht="15" hidden="false" customHeight="false" outlineLevel="0" collapsed="false">
      <c r="A116" s="16" t="n">
        <v>8</v>
      </c>
      <c r="B116" s="20"/>
      <c r="C116" s="5"/>
      <c r="D116" s="5"/>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1" t="str">
        <f aca="false">IF(E116="Exchanger",IF(AND(ISNUMBER(S116),ISNUMBER(U116),ISNUMBER(V116)),S116*PI()/4*(U116*INDEX(LenF,MATCH($U$7,LenU,0)))^2*V116*INDEX(LenF,MATCH($V$7,LenU,0)),0)+IF(ISNUMBER(Y116),PI()/4*(Y116*INDEX(LenF,MATCH($Y$7,LenU,0)))^2*N(Z116)*INDEX(LenF,MATCH($Z$7,LenU,0))+IF(AA116="",0,IF(AA116="Conical",PI()/12*(Y116*INDEX(LenF,MATCH($Y$7,LenU,0)))^2*(0),INDEX(HeadK,MATCH(AA116,HeadU,0))*(Y116*INDEX(LenF,MATCH($Y$7,LenU,0)))^3)),0)+IF(ISNUMBER(Y116),PI()/4*(Y116*INDEX(LenF,MATCH($Y$7,LenU,0)))^2*N(AB116)*INDEX(LenF,MATCH($AB$7,LenU,0))+IF(AC116="",0,IF(AC116="Conical",PI()/12*(Y116*INDEX(LenF,MATCH($Y$7,LenU,0)))^2*(0),INDEX(HeadK,MATCH(AC116,HeadU,0))*(Y116*INDEX(LenF,MATCH($Y$7,LenU,0)))^3)),0),"")</f>
        <v/>
      </c>
      <c r="AE116" s="21" t="str">
        <f aca="false">IF(OR(E116="",E116="Piping"),"",IF(E116="Exchanger",AQ116*AR116+IF(P116="",0,IF(P116="Conical",PI()/12*(SQRT(4*AQ116/PI()))^2*(0),INDEX(HeadK,MATCH(P116,HeadU,0))*(SQRT(4*AQ116/PI()))^3))-IF(AND(ISNUMBER(S116),ISNUMBER(V116)),S116*PI()/4*AP116^2*V116*INDEX(LenF,MATCH($V$7,LenU,0)),0),IF(ISNUMBER(N116),PI()/4*(N116*INDEX(LenF,MATCH($N$7,LenU,0)))^2*N(O116)*INDEX(LenF,MATCH($O$7,LenU,0))+IF(P116="",0,IF(P116="Conical",PI()/12*(N116*INDEX(LenF,MATCH($N$7,LenU,0)))^2*(N(R116)*INDEX(LenF,MATCH($R$7,LenU,0))),INDEX(HeadK,MATCH(P116,HeadU,0))*(N116*INDEX(LenF,MATCH($N$7,LenU,0)))^3))+IF(Q116="",0,IF(Q116="Conical",PI()/12*(N116*INDEX(LenF,MATCH($N$7,LenU,0)))^2*(N(R116)*INDEX(LenF,MATCH($R$7,LenU,0))),INDEX(HeadK,MATCH(Q116,HeadU,0))*(N116*INDEX(LenF,MATCH($N$7,LenU,0)))^3)),0)))</f>
        <v/>
      </c>
      <c r="AF116" s="21" t="str">
        <f aca="false">IF(E116&lt;&gt;"Piping","",IF(AND(ISNUMBER(AS116),ISNUMBER(M116)),PI()/4*(AS116/1000)^2*M116*INDEX(LenF,MATCH($M$7,LenU,0)),0))</f>
        <v/>
      </c>
      <c r="AG116" s="21" t="str">
        <f aca="false">IF(E116="","",N(AD116)+N(AE116)+N(AF116))</f>
        <v/>
      </c>
      <c r="AH116" s="21" t="str">
        <f aca="false">IF(ISNUMBER(I116),I116*INDEX(WtF,MATCH($I$7,WtU,0))/WaterRho,"")</f>
        <v/>
      </c>
      <c r="AI116" s="11"/>
      <c r="AJ116" s="11"/>
      <c r="AK116" s="20"/>
      <c r="AL116" s="11"/>
      <c r="AM116" s="21" t="str">
        <f aca="false">IF(AO116="","",AO116*IF(ISNUMBER(AK116),AK116,DefFills)*(1+IF(ISNUMBER(AL116),AL116,DefAllow)))</f>
        <v/>
      </c>
      <c r="AN116" s="22" t="str">
        <f aca="false">IF(G116="Given volume",IF(ISNUMBER(H116),H116*INDEX(VolF,MATCH($H$7,VolU,0)),""),IF(G116="Water weight",AH116,IF(N(AG116)=0,"",AG116)))</f>
        <v/>
      </c>
      <c r="AO116" s="22" t="str">
        <f aca="false">IF(N(AN116)=0,"",AN116*AT116*IF(ISNUMBER(AJ116),AJ116,DefCirc))</f>
        <v/>
      </c>
      <c r="AP116" s="9" t="n">
        <f aca="false">IF(ISNUMBER(T116),T116*INDEX(LenF,MATCH($T$7,LenU,0)),IF(ISNUMBER(W116),W116*INDEX(LenF,MATCH($W$7,LenU,0))/PitchRatio,0))</f>
        <v>0</v>
      </c>
      <c r="AQ116" s="9" t="n">
        <f aca="false">IF(ISNUMBER(N116),PI()/4*(N116*INDEX(LenF,MATCH($N$7,LenU,0)))^2,IF(AND(ISNUMBER(S116),ISNUMBER(W116),X116&lt;&gt;""),S116*(W116*INDEX(LenF,MATCH($W$7,LenU,0)))^2*INDEX(LayoutF,MATCH(X116,LayoutU,0)),0))</f>
        <v>0</v>
      </c>
      <c r="AR116" s="9" t="n">
        <f aca="false">IF(ISNUMBER(O116),O116*INDEX(LenF,MATCH($O$7,LenU,0)),IF(ISNUMBER(V116),V116*INDEX(LenF,MATCH($V$7,LenU,0)),0))</f>
        <v>0</v>
      </c>
      <c r="AS116" s="9" t="str">
        <f aca="false">IF(ISNUMBER(L116),L116*INDEX(LenF,MATCH($L$7,LenU,0))*1000,IF(OR(J116="",K116=""),"",IFERROR(IF(INDEX(PipeWT,MATCH(J116,NPSU,0),MATCH(K116,SchU,0))="","Sch n/a",INDEX(PipeOD,MATCH(J116,NPSU,0))-2*INDEX(PipeWT,MATCH(J116,NPSU,0),MATCH(K116,SchU,0))),"")))</f>
        <v/>
      </c>
      <c r="AT116" s="9" t="n">
        <f aca="false">IF(ISNUMBER(AI116),AI116,IFERROR(INDEX(IF(JobType="Decontamination",TypeFillDC,TypeFillCC),MATCH(E116,TypeL,0)),1))</f>
        <v>1</v>
      </c>
      <c r="AU116" s="9" t="n">
        <v>4</v>
      </c>
    </row>
    <row r="117" customFormat="false" ht="15" hidden="false" customHeight="false" outlineLevel="0" collapsed="false">
      <c r="A117" s="16" t="n">
        <v>9</v>
      </c>
      <c r="B117" s="20"/>
      <c r="C117" s="5"/>
      <c r="D117" s="5"/>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1" t="str">
        <f aca="false">IF(E117="Exchanger",IF(AND(ISNUMBER(S117),ISNUMBER(U117),ISNUMBER(V117)),S117*PI()/4*(U117*INDEX(LenF,MATCH($U$7,LenU,0)))^2*V117*INDEX(LenF,MATCH($V$7,LenU,0)),0)+IF(ISNUMBER(Y117),PI()/4*(Y117*INDEX(LenF,MATCH($Y$7,LenU,0)))^2*N(Z117)*INDEX(LenF,MATCH($Z$7,LenU,0))+IF(AA117="",0,IF(AA117="Conical",PI()/12*(Y117*INDEX(LenF,MATCH($Y$7,LenU,0)))^2*(0),INDEX(HeadK,MATCH(AA117,HeadU,0))*(Y117*INDEX(LenF,MATCH($Y$7,LenU,0)))^3)),0)+IF(ISNUMBER(Y117),PI()/4*(Y117*INDEX(LenF,MATCH($Y$7,LenU,0)))^2*N(AB117)*INDEX(LenF,MATCH($AB$7,LenU,0))+IF(AC117="",0,IF(AC117="Conical",PI()/12*(Y117*INDEX(LenF,MATCH($Y$7,LenU,0)))^2*(0),INDEX(HeadK,MATCH(AC117,HeadU,0))*(Y117*INDEX(LenF,MATCH($Y$7,LenU,0)))^3)),0),"")</f>
        <v/>
      </c>
      <c r="AE117" s="21" t="str">
        <f aca="false">IF(OR(E117="",E117="Piping"),"",IF(E117="Exchanger",AQ117*AR117+IF(P117="",0,IF(P117="Conical",PI()/12*(SQRT(4*AQ117/PI()))^2*(0),INDEX(HeadK,MATCH(P117,HeadU,0))*(SQRT(4*AQ117/PI()))^3))-IF(AND(ISNUMBER(S117),ISNUMBER(V117)),S117*PI()/4*AP117^2*V117*INDEX(LenF,MATCH($V$7,LenU,0)),0),IF(ISNUMBER(N117),PI()/4*(N117*INDEX(LenF,MATCH($N$7,LenU,0)))^2*N(O117)*INDEX(LenF,MATCH($O$7,LenU,0))+IF(P117="",0,IF(P117="Conical",PI()/12*(N117*INDEX(LenF,MATCH($N$7,LenU,0)))^2*(N(R117)*INDEX(LenF,MATCH($R$7,LenU,0))),INDEX(HeadK,MATCH(P117,HeadU,0))*(N117*INDEX(LenF,MATCH($N$7,LenU,0)))^3))+IF(Q117="",0,IF(Q117="Conical",PI()/12*(N117*INDEX(LenF,MATCH($N$7,LenU,0)))^2*(N(R117)*INDEX(LenF,MATCH($R$7,LenU,0))),INDEX(HeadK,MATCH(Q117,HeadU,0))*(N117*INDEX(LenF,MATCH($N$7,LenU,0)))^3)),0)))</f>
        <v/>
      </c>
      <c r="AF117" s="21" t="str">
        <f aca="false">IF(E117&lt;&gt;"Piping","",IF(AND(ISNUMBER(AS117),ISNUMBER(M117)),PI()/4*(AS117/1000)^2*M117*INDEX(LenF,MATCH($M$7,LenU,0)),0))</f>
        <v/>
      </c>
      <c r="AG117" s="21" t="str">
        <f aca="false">IF(E117="","",N(AD117)+N(AE117)+N(AF117))</f>
        <v/>
      </c>
      <c r="AH117" s="21" t="str">
        <f aca="false">IF(ISNUMBER(I117),I117*INDEX(WtF,MATCH($I$7,WtU,0))/WaterRho,"")</f>
        <v/>
      </c>
      <c r="AI117" s="11"/>
      <c r="AJ117" s="11"/>
      <c r="AK117" s="20"/>
      <c r="AL117" s="11"/>
      <c r="AM117" s="21" t="str">
        <f aca="false">IF(AO117="","",AO117*IF(ISNUMBER(AK117),AK117,DefFills)*(1+IF(ISNUMBER(AL117),AL117,DefAllow)))</f>
        <v/>
      </c>
      <c r="AN117" s="22" t="str">
        <f aca="false">IF(G117="Given volume",IF(ISNUMBER(H117),H117*INDEX(VolF,MATCH($H$7,VolU,0)),""),IF(G117="Water weight",AH117,IF(N(AG117)=0,"",AG117)))</f>
        <v/>
      </c>
      <c r="AO117" s="22" t="str">
        <f aca="false">IF(N(AN117)=0,"",AN117*AT117*IF(ISNUMBER(AJ117),AJ117,DefCirc))</f>
        <v/>
      </c>
      <c r="AP117" s="9" t="n">
        <f aca="false">IF(ISNUMBER(T117),T117*INDEX(LenF,MATCH($T$7,LenU,0)),IF(ISNUMBER(W117),W117*INDEX(LenF,MATCH($W$7,LenU,0))/PitchRatio,0))</f>
        <v>0</v>
      </c>
      <c r="AQ117" s="9" t="n">
        <f aca="false">IF(ISNUMBER(N117),PI()/4*(N117*INDEX(LenF,MATCH($N$7,LenU,0)))^2,IF(AND(ISNUMBER(S117),ISNUMBER(W117),X117&lt;&gt;""),S117*(W117*INDEX(LenF,MATCH($W$7,LenU,0)))^2*INDEX(LayoutF,MATCH(X117,LayoutU,0)),0))</f>
        <v>0</v>
      </c>
      <c r="AR117" s="9" t="n">
        <f aca="false">IF(ISNUMBER(O117),O117*INDEX(LenF,MATCH($O$7,LenU,0)),IF(ISNUMBER(V117),V117*INDEX(LenF,MATCH($V$7,LenU,0)),0))</f>
        <v>0</v>
      </c>
      <c r="AS117" s="9" t="str">
        <f aca="false">IF(ISNUMBER(L117),L117*INDEX(LenF,MATCH($L$7,LenU,0))*1000,IF(OR(J117="",K117=""),"",IFERROR(IF(INDEX(PipeWT,MATCH(J117,NPSU,0),MATCH(K117,SchU,0))="","Sch n/a",INDEX(PipeOD,MATCH(J117,NPSU,0))-2*INDEX(PipeWT,MATCH(J117,NPSU,0),MATCH(K117,SchU,0))),"")))</f>
        <v/>
      </c>
      <c r="AT117" s="9" t="n">
        <f aca="false">IF(ISNUMBER(AI117),AI117,IFERROR(INDEX(IF(JobType="Decontamination",TypeFillDC,TypeFillCC),MATCH(E117,TypeL,0)),1))</f>
        <v>1</v>
      </c>
      <c r="AU117" s="9" t="n">
        <v>4</v>
      </c>
    </row>
    <row r="118" customFormat="false" ht="15" hidden="false" customHeight="false" outlineLevel="0" collapsed="false">
      <c r="A118" s="16" t="n">
        <v>10</v>
      </c>
      <c r="B118" s="20"/>
      <c r="C118" s="5"/>
      <c r="D118" s="5"/>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1" t="str">
        <f aca="false">IF(E118="Exchanger",IF(AND(ISNUMBER(S118),ISNUMBER(U118),ISNUMBER(V118)),S118*PI()/4*(U118*INDEX(LenF,MATCH($U$7,LenU,0)))^2*V118*INDEX(LenF,MATCH($V$7,LenU,0)),0)+IF(ISNUMBER(Y118),PI()/4*(Y118*INDEX(LenF,MATCH($Y$7,LenU,0)))^2*N(Z118)*INDEX(LenF,MATCH($Z$7,LenU,0))+IF(AA118="",0,IF(AA118="Conical",PI()/12*(Y118*INDEX(LenF,MATCH($Y$7,LenU,0)))^2*(0),INDEX(HeadK,MATCH(AA118,HeadU,0))*(Y118*INDEX(LenF,MATCH($Y$7,LenU,0)))^3)),0)+IF(ISNUMBER(Y118),PI()/4*(Y118*INDEX(LenF,MATCH($Y$7,LenU,0)))^2*N(AB118)*INDEX(LenF,MATCH($AB$7,LenU,0))+IF(AC118="",0,IF(AC118="Conical",PI()/12*(Y118*INDEX(LenF,MATCH($Y$7,LenU,0)))^2*(0),INDEX(HeadK,MATCH(AC118,HeadU,0))*(Y118*INDEX(LenF,MATCH($Y$7,LenU,0)))^3)),0),"")</f>
        <v/>
      </c>
      <c r="AE118" s="21" t="str">
        <f aca="false">IF(OR(E118="",E118="Piping"),"",IF(E118="Exchanger",AQ118*AR118+IF(P118="",0,IF(P118="Conical",PI()/12*(SQRT(4*AQ118/PI()))^2*(0),INDEX(HeadK,MATCH(P118,HeadU,0))*(SQRT(4*AQ118/PI()))^3))-IF(AND(ISNUMBER(S118),ISNUMBER(V118)),S118*PI()/4*AP118^2*V118*INDEX(LenF,MATCH($V$7,LenU,0)),0),IF(ISNUMBER(N118),PI()/4*(N118*INDEX(LenF,MATCH($N$7,LenU,0)))^2*N(O118)*INDEX(LenF,MATCH($O$7,LenU,0))+IF(P118="",0,IF(P118="Conical",PI()/12*(N118*INDEX(LenF,MATCH($N$7,LenU,0)))^2*(N(R118)*INDEX(LenF,MATCH($R$7,LenU,0))),INDEX(HeadK,MATCH(P118,HeadU,0))*(N118*INDEX(LenF,MATCH($N$7,LenU,0)))^3))+IF(Q118="",0,IF(Q118="Conical",PI()/12*(N118*INDEX(LenF,MATCH($N$7,LenU,0)))^2*(N(R118)*INDEX(LenF,MATCH($R$7,LenU,0))),INDEX(HeadK,MATCH(Q118,HeadU,0))*(N118*INDEX(LenF,MATCH($N$7,LenU,0)))^3)),0)))</f>
        <v/>
      </c>
      <c r="AF118" s="21" t="str">
        <f aca="false">IF(E118&lt;&gt;"Piping","",IF(AND(ISNUMBER(AS118),ISNUMBER(M118)),PI()/4*(AS118/1000)^2*M118*INDEX(LenF,MATCH($M$7,LenU,0)),0))</f>
        <v/>
      </c>
      <c r="AG118" s="21" t="str">
        <f aca="false">IF(E118="","",N(AD118)+N(AE118)+N(AF118))</f>
        <v/>
      </c>
      <c r="AH118" s="21" t="str">
        <f aca="false">IF(ISNUMBER(I118),I118*INDEX(WtF,MATCH($I$7,WtU,0))/WaterRho,"")</f>
        <v/>
      </c>
      <c r="AI118" s="11"/>
      <c r="AJ118" s="11"/>
      <c r="AK118" s="20"/>
      <c r="AL118" s="11"/>
      <c r="AM118" s="21" t="str">
        <f aca="false">IF(AO118="","",AO118*IF(ISNUMBER(AK118),AK118,DefFills)*(1+IF(ISNUMBER(AL118),AL118,DefAllow)))</f>
        <v/>
      </c>
      <c r="AN118" s="22" t="str">
        <f aca="false">IF(G118="Given volume",IF(ISNUMBER(H118),H118*INDEX(VolF,MATCH($H$7,VolU,0)),""),IF(G118="Water weight",AH118,IF(N(AG118)=0,"",AG118)))</f>
        <v/>
      </c>
      <c r="AO118" s="22" t="str">
        <f aca="false">IF(N(AN118)=0,"",AN118*AT118*IF(ISNUMBER(AJ118),AJ118,DefCirc))</f>
        <v/>
      </c>
      <c r="AP118" s="9" t="n">
        <f aca="false">IF(ISNUMBER(T118),T118*INDEX(LenF,MATCH($T$7,LenU,0)),IF(ISNUMBER(W118),W118*INDEX(LenF,MATCH($W$7,LenU,0))/PitchRatio,0))</f>
        <v>0</v>
      </c>
      <c r="AQ118" s="9" t="n">
        <f aca="false">IF(ISNUMBER(N118),PI()/4*(N118*INDEX(LenF,MATCH($N$7,LenU,0)))^2,IF(AND(ISNUMBER(S118),ISNUMBER(W118),X118&lt;&gt;""),S118*(W118*INDEX(LenF,MATCH($W$7,LenU,0)))^2*INDEX(LayoutF,MATCH(X118,LayoutU,0)),0))</f>
        <v>0</v>
      </c>
      <c r="AR118" s="9" t="n">
        <f aca="false">IF(ISNUMBER(O118),O118*INDEX(LenF,MATCH($O$7,LenU,0)),IF(ISNUMBER(V118),V118*INDEX(LenF,MATCH($V$7,LenU,0)),0))</f>
        <v>0</v>
      </c>
      <c r="AS118" s="9" t="str">
        <f aca="false">IF(ISNUMBER(L118),L118*INDEX(LenF,MATCH($L$7,LenU,0))*1000,IF(OR(J118="",K118=""),"",IFERROR(IF(INDEX(PipeWT,MATCH(J118,NPSU,0),MATCH(K118,SchU,0))="","Sch n/a",INDEX(PipeOD,MATCH(J118,NPSU,0))-2*INDEX(PipeWT,MATCH(J118,NPSU,0),MATCH(K118,SchU,0))),"")))</f>
        <v/>
      </c>
      <c r="AT118" s="9" t="n">
        <f aca="false">IF(ISNUMBER(AI118),AI118,IFERROR(INDEX(IF(JobType="Decontamination",TypeFillDC,TypeFillCC),MATCH(E118,TypeL,0)),1))</f>
        <v>1</v>
      </c>
      <c r="AU118" s="9" t="n">
        <v>4</v>
      </c>
    </row>
    <row r="119" customFormat="false" ht="15" hidden="false" customHeight="false" outlineLevel="0" collapsed="false">
      <c r="A119" s="16" t="n">
        <v>11</v>
      </c>
      <c r="B119" s="20"/>
      <c r="C119" s="5"/>
      <c r="D119" s="5"/>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1" t="str">
        <f aca="false">IF(E119="Exchanger",IF(AND(ISNUMBER(S119),ISNUMBER(U119),ISNUMBER(V119)),S119*PI()/4*(U119*INDEX(LenF,MATCH($U$7,LenU,0)))^2*V119*INDEX(LenF,MATCH($V$7,LenU,0)),0)+IF(ISNUMBER(Y119),PI()/4*(Y119*INDEX(LenF,MATCH($Y$7,LenU,0)))^2*N(Z119)*INDEX(LenF,MATCH($Z$7,LenU,0))+IF(AA119="",0,IF(AA119="Conical",PI()/12*(Y119*INDEX(LenF,MATCH($Y$7,LenU,0)))^2*(0),INDEX(HeadK,MATCH(AA119,HeadU,0))*(Y119*INDEX(LenF,MATCH($Y$7,LenU,0)))^3)),0)+IF(ISNUMBER(Y119),PI()/4*(Y119*INDEX(LenF,MATCH($Y$7,LenU,0)))^2*N(AB119)*INDEX(LenF,MATCH($AB$7,LenU,0))+IF(AC119="",0,IF(AC119="Conical",PI()/12*(Y119*INDEX(LenF,MATCH($Y$7,LenU,0)))^2*(0),INDEX(HeadK,MATCH(AC119,HeadU,0))*(Y119*INDEX(LenF,MATCH($Y$7,LenU,0)))^3)),0),"")</f>
        <v/>
      </c>
      <c r="AE119" s="21" t="str">
        <f aca="false">IF(OR(E119="",E119="Piping"),"",IF(E119="Exchanger",AQ119*AR119+IF(P119="",0,IF(P119="Conical",PI()/12*(SQRT(4*AQ119/PI()))^2*(0),INDEX(HeadK,MATCH(P119,HeadU,0))*(SQRT(4*AQ119/PI()))^3))-IF(AND(ISNUMBER(S119),ISNUMBER(V119)),S119*PI()/4*AP119^2*V119*INDEX(LenF,MATCH($V$7,LenU,0)),0),IF(ISNUMBER(N119),PI()/4*(N119*INDEX(LenF,MATCH($N$7,LenU,0)))^2*N(O119)*INDEX(LenF,MATCH($O$7,LenU,0))+IF(P119="",0,IF(P119="Conical",PI()/12*(N119*INDEX(LenF,MATCH($N$7,LenU,0)))^2*(N(R119)*INDEX(LenF,MATCH($R$7,LenU,0))),INDEX(HeadK,MATCH(P119,HeadU,0))*(N119*INDEX(LenF,MATCH($N$7,LenU,0)))^3))+IF(Q119="",0,IF(Q119="Conical",PI()/12*(N119*INDEX(LenF,MATCH($N$7,LenU,0)))^2*(N(R119)*INDEX(LenF,MATCH($R$7,LenU,0))),INDEX(HeadK,MATCH(Q119,HeadU,0))*(N119*INDEX(LenF,MATCH($N$7,LenU,0)))^3)),0)))</f>
        <v/>
      </c>
      <c r="AF119" s="21" t="str">
        <f aca="false">IF(E119&lt;&gt;"Piping","",IF(AND(ISNUMBER(AS119),ISNUMBER(M119)),PI()/4*(AS119/1000)^2*M119*INDEX(LenF,MATCH($M$7,LenU,0)),0))</f>
        <v/>
      </c>
      <c r="AG119" s="21" t="str">
        <f aca="false">IF(E119="","",N(AD119)+N(AE119)+N(AF119))</f>
        <v/>
      </c>
      <c r="AH119" s="21" t="str">
        <f aca="false">IF(ISNUMBER(I119),I119*INDEX(WtF,MATCH($I$7,WtU,0))/WaterRho,"")</f>
        <v/>
      </c>
      <c r="AI119" s="11"/>
      <c r="AJ119" s="11"/>
      <c r="AK119" s="20"/>
      <c r="AL119" s="11"/>
      <c r="AM119" s="21" t="str">
        <f aca="false">IF(AO119="","",AO119*IF(ISNUMBER(AK119),AK119,DefFills)*(1+IF(ISNUMBER(AL119),AL119,DefAllow)))</f>
        <v/>
      </c>
      <c r="AN119" s="22" t="str">
        <f aca="false">IF(G119="Given volume",IF(ISNUMBER(H119),H119*INDEX(VolF,MATCH($H$7,VolU,0)),""),IF(G119="Water weight",AH119,IF(N(AG119)=0,"",AG119)))</f>
        <v/>
      </c>
      <c r="AO119" s="22" t="str">
        <f aca="false">IF(N(AN119)=0,"",AN119*AT119*IF(ISNUMBER(AJ119),AJ119,DefCirc))</f>
        <v/>
      </c>
      <c r="AP119" s="9" t="n">
        <f aca="false">IF(ISNUMBER(T119),T119*INDEX(LenF,MATCH($T$7,LenU,0)),IF(ISNUMBER(W119),W119*INDEX(LenF,MATCH($W$7,LenU,0))/PitchRatio,0))</f>
        <v>0</v>
      </c>
      <c r="AQ119" s="9" t="n">
        <f aca="false">IF(ISNUMBER(N119),PI()/4*(N119*INDEX(LenF,MATCH($N$7,LenU,0)))^2,IF(AND(ISNUMBER(S119),ISNUMBER(W119),X119&lt;&gt;""),S119*(W119*INDEX(LenF,MATCH($W$7,LenU,0)))^2*INDEX(LayoutF,MATCH(X119,LayoutU,0)),0))</f>
        <v>0</v>
      </c>
      <c r="AR119" s="9" t="n">
        <f aca="false">IF(ISNUMBER(O119),O119*INDEX(LenF,MATCH($O$7,LenU,0)),IF(ISNUMBER(V119),V119*INDEX(LenF,MATCH($V$7,LenU,0)),0))</f>
        <v>0</v>
      </c>
      <c r="AS119" s="9" t="str">
        <f aca="false">IF(ISNUMBER(L119),L119*INDEX(LenF,MATCH($L$7,LenU,0))*1000,IF(OR(J119="",K119=""),"",IFERROR(IF(INDEX(PipeWT,MATCH(J119,NPSU,0),MATCH(K119,SchU,0))="","Sch n/a",INDEX(PipeOD,MATCH(J119,NPSU,0))-2*INDEX(PipeWT,MATCH(J119,NPSU,0),MATCH(K119,SchU,0))),"")))</f>
        <v/>
      </c>
      <c r="AT119" s="9" t="n">
        <f aca="false">IF(ISNUMBER(AI119),AI119,IFERROR(INDEX(IF(JobType="Decontamination",TypeFillDC,TypeFillCC),MATCH(E119,TypeL,0)),1))</f>
        <v>1</v>
      </c>
      <c r="AU119" s="9" t="n">
        <v>4</v>
      </c>
    </row>
    <row r="120" customFormat="false" ht="15" hidden="false" customHeight="false" outlineLevel="0" collapsed="false">
      <c r="A120" s="16" t="n">
        <v>12</v>
      </c>
      <c r="B120" s="20"/>
      <c r="C120" s="5"/>
      <c r="D120" s="5"/>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1" t="str">
        <f aca="false">IF(E120="Exchanger",IF(AND(ISNUMBER(S120),ISNUMBER(U120),ISNUMBER(V120)),S120*PI()/4*(U120*INDEX(LenF,MATCH($U$7,LenU,0)))^2*V120*INDEX(LenF,MATCH($V$7,LenU,0)),0)+IF(ISNUMBER(Y120),PI()/4*(Y120*INDEX(LenF,MATCH($Y$7,LenU,0)))^2*N(Z120)*INDEX(LenF,MATCH($Z$7,LenU,0))+IF(AA120="",0,IF(AA120="Conical",PI()/12*(Y120*INDEX(LenF,MATCH($Y$7,LenU,0)))^2*(0),INDEX(HeadK,MATCH(AA120,HeadU,0))*(Y120*INDEX(LenF,MATCH($Y$7,LenU,0)))^3)),0)+IF(ISNUMBER(Y120),PI()/4*(Y120*INDEX(LenF,MATCH($Y$7,LenU,0)))^2*N(AB120)*INDEX(LenF,MATCH($AB$7,LenU,0))+IF(AC120="",0,IF(AC120="Conical",PI()/12*(Y120*INDEX(LenF,MATCH($Y$7,LenU,0)))^2*(0),INDEX(HeadK,MATCH(AC120,HeadU,0))*(Y120*INDEX(LenF,MATCH($Y$7,LenU,0)))^3)),0),"")</f>
        <v/>
      </c>
      <c r="AE120" s="21" t="str">
        <f aca="false">IF(OR(E120="",E120="Piping"),"",IF(E120="Exchanger",AQ120*AR120+IF(P120="",0,IF(P120="Conical",PI()/12*(SQRT(4*AQ120/PI()))^2*(0),INDEX(HeadK,MATCH(P120,HeadU,0))*(SQRT(4*AQ120/PI()))^3))-IF(AND(ISNUMBER(S120),ISNUMBER(V120)),S120*PI()/4*AP120^2*V120*INDEX(LenF,MATCH($V$7,LenU,0)),0),IF(ISNUMBER(N120),PI()/4*(N120*INDEX(LenF,MATCH($N$7,LenU,0)))^2*N(O120)*INDEX(LenF,MATCH($O$7,LenU,0))+IF(P120="",0,IF(P120="Conical",PI()/12*(N120*INDEX(LenF,MATCH($N$7,LenU,0)))^2*(N(R120)*INDEX(LenF,MATCH($R$7,LenU,0))),INDEX(HeadK,MATCH(P120,HeadU,0))*(N120*INDEX(LenF,MATCH($N$7,LenU,0)))^3))+IF(Q120="",0,IF(Q120="Conical",PI()/12*(N120*INDEX(LenF,MATCH($N$7,LenU,0)))^2*(N(R120)*INDEX(LenF,MATCH($R$7,LenU,0))),INDEX(HeadK,MATCH(Q120,HeadU,0))*(N120*INDEX(LenF,MATCH($N$7,LenU,0)))^3)),0)))</f>
        <v/>
      </c>
      <c r="AF120" s="21" t="str">
        <f aca="false">IF(E120&lt;&gt;"Piping","",IF(AND(ISNUMBER(AS120),ISNUMBER(M120)),PI()/4*(AS120/1000)^2*M120*INDEX(LenF,MATCH($M$7,LenU,0)),0))</f>
        <v/>
      </c>
      <c r="AG120" s="21" t="str">
        <f aca="false">IF(E120="","",N(AD120)+N(AE120)+N(AF120))</f>
        <v/>
      </c>
      <c r="AH120" s="21" t="str">
        <f aca="false">IF(ISNUMBER(I120),I120*INDEX(WtF,MATCH($I$7,WtU,0))/WaterRho,"")</f>
        <v/>
      </c>
      <c r="AI120" s="11"/>
      <c r="AJ120" s="11"/>
      <c r="AK120" s="20"/>
      <c r="AL120" s="11"/>
      <c r="AM120" s="21" t="str">
        <f aca="false">IF(AO120="","",AO120*IF(ISNUMBER(AK120),AK120,DefFills)*(1+IF(ISNUMBER(AL120),AL120,DefAllow)))</f>
        <v/>
      </c>
      <c r="AN120" s="22" t="str">
        <f aca="false">IF(G120="Given volume",IF(ISNUMBER(H120),H120*INDEX(VolF,MATCH($H$7,VolU,0)),""),IF(G120="Water weight",AH120,IF(N(AG120)=0,"",AG120)))</f>
        <v/>
      </c>
      <c r="AO120" s="22" t="str">
        <f aca="false">IF(N(AN120)=0,"",AN120*AT120*IF(ISNUMBER(AJ120),AJ120,DefCirc))</f>
        <v/>
      </c>
      <c r="AP120" s="9" t="n">
        <f aca="false">IF(ISNUMBER(T120),T120*INDEX(LenF,MATCH($T$7,LenU,0)),IF(ISNUMBER(W120),W120*INDEX(LenF,MATCH($W$7,LenU,0))/PitchRatio,0))</f>
        <v>0</v>
      </c>
      <c r="AQ120" s="9" t="n">
        <f aca="false">IF(ISNUMBER(N120),PI()/4*(N120*INDEX(LenF,MATCH($N$7,LenU,0)))^2,IF(AND(ISNUMBER(S120),ISNUMBER(W120),X120&lt;&gt;""),S120*(W120*INDEX(LenF,MATCH($W$7,LenU,0)))^2*INDEX(LayoutF,MATCH(X120,LayoutU,0)),0))</f>
        <v>0</v>
      </c>
      <c r="AR120" s="9" t="n">
        <f aca="false">IF(ISNUMBER(O120),O120*INDEX(LenF,MATCH($O$7,LenU,0)),IF(ISNUMBER(V120),V120*INDEX(LenF,MATCH($V$7,LenU,0)),0))</f>
        <v>0</v>
      </c>
      <c r="AS120" s="9" t="str">
        <f aca="false">IF(ISNUMBER(L120),L120*INDEX(LenF,MATCH($L$7,LenU,0))*1000,IF(OR(J120="",K120=""),"",IFERROR(IF(INDEX(PipeWT,MATCH(J120,NPSU,0),MATCH(K120,SchU,0))="","Sch n/a",INDEX(PipeOD,MATCH(J120,NPSU,0))-2*INDEX(PipeWT,MATCH(J120,NPSU,0),MATCH(K120,SchU,0))),"")))</f>
        <v/>
      </c>
      <c r="AT120" s="9" t="n">
        <f aca="false">IF(ISNUMBER(AI120),AI120,IFERROR(INDEX(IF(JobType="Decontamination",TypeFillDC,TypeFillCC),MATCH(E120,TypeL,0)),1))</f>
        <v>1</v>
      </c>
      <c r="AU120" s="9" t="n">
        <v>4</v>
      </c>
    </row>
    <row r="121" customFormat="false" ht="15" hidden="false" customHeight="false" outlineLevel="0" collapsed="false">
      <c r="A121" s="16" t="n">
        <v>13</v>
      </c>
      <c r="B121" s="20"/>
      <c r="C121" s="5"/>
      <c r="D121" s="5"/>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1" t="str">
        <f aca="false">IF(E121="Exchanger",IF(AND(ISNUMBER(S121),ISNUMBER(U121),ISNUMBER(V121)),S121*PI()/4*(U121*INDEX(LenF,MATCH($U$7,LenU,0)))^2*V121*INDEX(LenF,MATCH($V$7,LenU,0)),0)+IF(ISNUMBER(Y121),PI()/4*(Y121*INDEX(LenF,MATCH($Y$7,LenU,0)))^2*N(Z121)*INDEX(LenF,MATCH($Z$7,LenU,0))+IF(AA121="",0,IF(AA121="Conical",PI()/12*(Y121*INDEX(LenF,MATCH($Y$7,LenU,0)))^2*(0),INDEX(HeadK,MATCH(AA121,HeadU,0))*(Y121*INDEX(LenF,MATCH($Y$7,LenU,0)))^3)),0)+IF(ISNUMBER(Y121),PI()/4*(Y121*INDEX(LenF,MATCH($Y$7,LenU,0)))^2*N(AB121)*INDEX(LenF,MATCH($AB$7,LenU,0))+IF(AC121="",0,IF(AC121="Conical",PI()/12*(Y121*INDEX(LenF,MATCH($Y$7,LenU,0)))^2*(0),INDEX(HeadK,MATCH(AC121,HeadU,0))*(Y121*INDEX(LenF,MATCH($Y$7,LenU,0)))^3)),0),"")</f>
        <v/>
      </c>
      <c r="AE121" s="21" t="str">
        <f aca="false">IF(OR(E121="",E121="Piping"),"",IF(E121="Exchanger",AQ121*AR121+IF(P121="",0,IF(P121="Conical",PI()/12*(SQRT(4*AQ121/PI()))^2*(0),INDEX(HeadK,MATCH(P121,HeadU,0))*(SQRT(4*AQ121/PI()))^3))-IF(AND(ISNUMBER(S121),ISNUMBER(V121)),S121*PI()/4*AP121^2*V121*INDEX(LenF,MATCH($V$7,LenU,0)),0),IF(ISNUMBER(N121),PI()/4*(N121*INDEX(LenF,MATCH($N$7,LenU,0)))^2*N(O121)*INDEX(LenF,MATCH($O$7,LenU,0))+IF(P121="",0,IF(P121="Conical",PI()/12*(N121*INDEX(LenF,MATCH($N$7,LenU,0)))^2*(N(R121)*INDEX(LenF,MATCH($R$7,LenU,0))),INDEX(HeadK,MATCH(P121,HeadU,0))*(N121*INDEX(LenF,MATCH($N$7,LenU,0)))^3))+IF(Q121="",0,IF(Q121="Conical",PI()/12*(N121*INDEX(LenF,MATCH($N$7,LenU,0)))^2*(N(R121)*INDEX(LenF,MATCH($R$7,LenU,0))),INDEX(HeadK,MATCH(Q121,HeadU,0))*(N121*INDEX(LenF,MATCH($N$7,LenU,0)))^3)),0)))</f>
        <v/>
      </c>
      <c r="AF121" s="21" t="str">
        <f aca="false">IF(E121&lt;&gt;"Piping","",IF(AND(ISNUMBER(AS121),ISNUMBER(M121)),PI()/4*(AS121/1000)^2*M121*INDEX(LenF,MATCH($M$7,LenU,0)),0))</f>
        <v/>
      </c>
      <c r="AG121" s="21" t="str">
        <f aca="false">IF(E121="","",N(AD121)+N(AE121)+N(AF121))</f>
        <v/>
      </c>
      <c r="AH121" s="21" t="str">
        <f aca="false">IF(ISNUMBER(I121),I121*INDEX(WtF,MATCH($I$7,WtU,0))/WaterRho,"")</f>
        <v/>
      </c>
      <c r="AI121" s="11"/>
      <c r="AJ121" s="11"/>
      <c r="AK121" s="20"/>
      <c r="AL121" s="11"/>
      <c r="AM121" s="21" t="str">
        <f aca="false">IF(AO121="","",AO121*IF(ISNUMBER(AK121),AK121,DefFills)*(1+IF(ISNUMBER(AL121),AL121,DefAllow)))</f>
        <v/>
      </c>
      <c r="AN121" s="22" t="str">
        <f aca="false">IF(G121="Given volume",IF(ISNUMBER(H121),H121*INDEX(VolF,MATCH($H$7,VolU,0)),""),IF(G121="Water weight",AH121,IF(N(AG121)=0,"",AG121)))</f>
        <v/>
      </c>
      <c r="AO121" s="22" t="str">
        <f aca="false">IF(N(AN121)=0,"",AN121*AT121*IF(ISNUMBER(AJ121),AJ121,DefCirc))</f>
        <v/>
      </c>
      <c r="AP121" s="9" t="n">
        <f aca="false">IF(ISNUMBER(T121),T121*INDEX(LenF,MATCH($T$7,LenU,0)),IF(ISNUMBER(W121),W121*INDEX(LenF,MATCH($W$7,LenU,0))/PitchRatio,0))</f>
        <v>0</v>
      </c>
      <c r="AQ121" s="9" t="n">
        <f aca="false">IF(ISNUMBER(N121),PI()/4*(N121*INDEX(LenF,MATCH($N$7,LenU,0)))^2,IF(AND(ISNUMBER(S121),ISNUMBER(W121),X121&lt;&gt;""),S121*(W121*INDEX(LenF,MATCH($W$7,LenU,0)))^2*INDEX(LayoutF,MATCH(X121,LayoutU,0)),0))</f>
        <v>0</v>
      </c>
      <c r="AR121" s="9" t="n">
        <f aca="false">IF(ISNUMBER(O121),O121*INDEX(LenF,MATCH($O$7,LenU,0)),IF(ISNUMBER(V121),V121*INDEX(LenF,MATCH($V$7,LenU,0)),0))</f>
        <v>0</v>
      </c>
      <c r="AS121" s="9" t="str">
        <f aca="false">IF(ISNUMBER(L121),L121*INDEX(LenF,MATCH($L$7,LenU,0))*1000,IF(OR(J121="",K121=""),"",IFERROR(IF(INDEX(PipeWT,MATCH(J121,NPSU,0),MATCH(K121,SchU,0))="","Sch n/a",INDEX(PipeOD,MATCH(J121,NPSU,0))-2*INDEX(PipeWT,MATCH(J121,NPSU,0),MATCH(K121,SchU,0))),"")))</f>
        <v/>
      </c>
      <c r="AT121" s="9" t="n">
        <f aca="false">IF(ISNUMBER(AI121),AI121,IFERROR(INDEX(IF(JobType="Decontamination",TypeFillDC,TypeFillCC),MATCH(E121,TypeL,0)),1))</f>
        <v>1</v>
      </c>
      <c r="AU121" s="9" t="n">
        <v>4</v>
      </c>
    </row>
    <row r="122" customFormat="false" ht="15" hidden="false" customHeight="false" outlineLevel="0" collapsed="false">
      <c r="A122" s="16" t="n">
        <v>14</v>
      </c>
      <c r="B122" s="20"/>
      <c r="C122" s="5"/>
      <c r="D122" s="5"/>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1" t="str">
        <f aca="false">IF(E122="Exchanger",IF(AND(ISNUMBER(S122),ISNUMBER(U122),ISNUMBER(V122)),S122*PI()/4*(U122*INDEX(LenF,MATCH($U$7,LenU,0)))^2*V122*INDEX(LenF,MATCH($V$7,LenU,0)),0)+IF(ISNUMBER(Y122),PI()/4*(Y122*INDEX(LenF,MATCH($Y$7,LenU,0)))^2*N(Z122)*INDEX(LenF,MATCH($Z$7,LenU,0))+IF(AA122="",0,IF(AA122="Conical",PI()/12*(Y122*INDEX(LenF,MATCH($Y$7,LenU,0)))^2*(0),INDEX(HeadK,MATCH(AA122,HeadU,0))*(Y122*INDEX(LenF,MATCH($Y$7,LenU,0)))^3)),0)+IF(ISNUMBER(Y122),PI()/4*(Y122*INDEX(LenF,MATCH($Y$7,LenU,0)))^2*N(AB122)*INDEX(LenF,MATCH($AB$7,LenU,0))+IF(AC122="",0,IF(AC122="Conical",PI()/12*(Y122*INDEX(LenF,MATCH($Y$7,LenU,0)))^2*(0),INDEX(HeadK,MATCH(AC122,HeadU,0))*(Y122*INDEX(LenF,MATCH($Y$7,LenU,0)))^3)),0),"")</f>
        <v/>
      </c>
      <c r="AE122" s="21" t="str">
        <f aca="false">IF(OR(E122="",E122="Piping"),"",IF(E122="Exchanger",AQ122*AR122+IF(P122="",0,IF(P122="Conical",PI()/12*(SQRT(4*AQ122/PI()))^2*(0),INDEX(HeadK,MATCH(P122,HeadU,0))*(SQRT(4*AQ122/PI()))^3))-IF(AND(ISNUMBER(S122),ISNUMBER(V122)),S122*PI()/4*AP122^2*V122*INDEX(LenF,MATCH($V$7,LenU,0)),0),IF(ISNUMBER(N122),PI()/4*(N122*INDEX(LenF,MATCH($N$7,LenU,0)))^2*N(O122)*INDEX(LenF,MATCH($O$7,LenU,0))+IF(P122="",0,IF(P122="Conical",PI()/12*(N122*INDEX(LenF,MATCH($N$7,LenU,0)))^2*(N(R122)*INDEX(LenF,MATCH($R$7,LenU,0))),INDEX(HeadK,MATCH(P122,HeadU,0))*(N122*INDEX(LenF,MATCH($N$7,LenU,0)))^3))+IF(Q122="",0,IF(Q122="Conical",PI()/12*(N122*INDEX(LenF,MATCH($N$7,LenU,0)))^2*(N(R122)*INDEX(LenF,MATCH($R$7,LenU,0))),INDEX(HeadK,MATCH(Q122,HeadU,0))*(N122*INDEX(LenF,MATCH($N$7,LenU,0)))^3)),0)))</f>
        <v/>
      </c>
      <c r="AF122" s="21" t="str">
        <f aca="false">IF(E122&lt;&gt;"Piping","",IF(AND(ISNUMBER(AS122),ISNUMBER(M122)),PI()/4*(AS122/1000)^2*M122*INDEX(LenF,MATCH($M$7,LenU,0)),0))</f>
        <v/>
      </c>
      <c r="AG122" s="21" t="str">
        <f aca="false">IF(E122="","",N(AD122)+N(AE122)+N(AF122))</f>
        <v/>
      </c>
      <c r="AH122" s="21" t="str">
        <f aca="false">IF(ISNUMBER(I122),I122*INDEX(WtF,MATCH($I$7,WtU,0))/WaterRho,"")</f>
        <v/>
      </c>
      <c r="AI122" s="11"/>
      <c r="AJ122" s="11"/>
      <c r="AK122" s="20"/>
      <c r="AL122" s="11"/>
      <c r="AM122" s="21" t="str">
        <f aca="false">IF(AO122="","",AO122*IF(ISNUMBER(AK122),AK122,DefFills)*(1+IF(ISNUMBER(AL122),AL122,DefAllow)))</f>
        <v/>
      </c>
      <c r="AN122" s="22" t="str">
        <f aca="false">IF(G122="Given volume",IF(ISNUMBER(H122),H122*INDEX(VolF,MATCH($H$7,VolU,0)),""),IF(G122="Water weight",AH122,IF(N(AG122)=0,"",AG122)))</f>
        <v/>
      </c>
      <c r="AO122" s="22" t="str">
        <f aca="false">IF(N(AN122)=0,"",AN122*AT122*IF(ISNUMBER(AJ122),AJ122,DefCirc))</f>
        <v/>
      </c>
      <c r="AP122" s="9" t="n">
        <f aca="false">IF(ISNUMBER(T122),T122*INDEX(LenF,MATCH($T$7,LenU,0)),IF(ISNUMBER(W122),W122*INDEX(LenF,MATCH($W$7,LenU,0))/PitchRatio,0))</f>
        <v>0</v>
      </c>
      <c r="AQ122" s="9" t="n">
        <f aca="false">IF(ISNUMBER(N122),PI()/4*(N122*INDEX(LenF,MATCH($N$7,LenU,0)))^2,IF(AND(ISNUMBER(S122),ISNUMBER(W122),X122&lt;&gt;""),S122*(W122*INDEX(LenF,MATCH($W$7,LenU,0)))^2*INDEX(LayoutF,MATCH(X122,LayoutU,0)),0))</f>
        <v>0</v>
      </c>
      <c r="AR122" s="9" t="n">
        <f aca="false">IF(ISNUMBER(O122),O122*INDEX(LenF,MATCH($O$7,LenU,0)),IF(ISNUMBER(V122),V122*INDEX(LenF,MATCH($V$7,LenU,0)),0))</f>
        <v>0</v>
      </c>
      <c r="AS122" s="9" t="str">
        <f aca="false">IF(ISNUMBER(L122),L122*INDEX(LenF,MATCH($L$7,LenU,0))*1000,IF(OR(J122="",K122=""),"",IFERROR(IF(INDEX(PipeWT,MATCH(J122,NPSU,0),MATCH(K122,SchU,0))="","Sch n/a",INDEX(PipeOD,MATCH(J122,NPSU,0))-2*INDEX(PipeWT,MATCH(J122,NPSU,0),MATCH(K122,SchU,0))),"")))</f>
        <v/>
      </c>
      <c r="AT122" s="9" t="n">
        <f aca="false">IF(ISNUMBER(AI122),AI122,IFERROR(INDEX(IF(JobType="Decontamination",TypeFillDC,TypeFillCC),MATCH(E122,TypeL,0)),1))</f>
        <v>1</v>
      </c>
      <c r="AU122" s="9" t="n">
        <v>4</v>
      </c>
    </row>
    <row r="123" customFormat="false" ht="15" hidden="false" customHeight="false" outlineLevel="0" collapsed="false">
      <c r="A123" s="16" t="n">
        <v>15</v>
      </c>
      <c r="B123" s="20"/>
      <c r="C123" s="5"/>
      <c r="D123" s="5"/>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1" t="str">
        <f aca="false">IF(E123="Exchanger",IF(AND(ISNUMBER(S123),ISNUMBER(U123),ISNUMBER(V123)),S123*PI()/4*(U123*INDEX(LenF,MATCH($U$7,LenU,0)))^2*V123*INDEX(LenF,MATCH($V$7,LenU,0)),0)+IF(ISNUMBER(Y123),PI()/4*(Y123*INDEX(LenF,MATCH($Y$7,LenU,0)))^2*N(Z123)*INDEX(LenF,MATCH($Z$7,LenU,0))+IF(AA123="",0,IF(AA123="Conical",PI()/12*(Y123*INDEX(LenF,MATCH($Y$7,LenU,0)))^2*(0),INDEX(HeadK,MATCH(AA123,HeadU,0))*(Y123*INDEX(LenF,MATCH($Y$7,LenU,0)))^3)),0)+IF(ISNUMBER(Y123),PI()/4*(Y123*INDEX(LenF,MATCH($Y$7,LenU,0)))^2*N(AB123)*INDEX(LenF,MATCH($AB$7,LenU,0))+IF(AC123="",0,IF(AC123="Conical",PI()/12*(Y123*INDEX(LenF,MATCH($Y$7,LenU,0)))^2*(0),INDEX(HeadK,MATCH(AC123,HeadU,0))*(Y123*INDEX(LenF,MATCH($Y$7,LenU,0)))^3)),0),"")</f>
        <v/>
      </c>
      <c r="AE123" s="21" t="str">
        <f aca="false">IF(OR(E123="",E123="Piping"),"",IF(E123="Exchanger",AQ123*AR123+IF(P123="",0,IF(P123="Conical",PI()/12*(SQRT(4*AQ123/PI()))^2*(0),INDEX(HeadK,MATCH(P123,HeadU,0))*(SQRT(4*AQ123/PI()))^3))-IF(AND(ISNUMBER(S123),ISNUMBER(V123)),S123*PI()/4*AP123^2*V123*INDEX(LenF,MATCH($V$7,LenU,0)),0),IF(ISNUMBER(N123),PI()/4*(N123*INDEX(LenF,MATCH($N$7,LenU,0)))^2*N(O123)*INDEX(LenF,MATCH($O$7,LenU,0))+IF(P123="",0,IF(P123="Conical",PI()/12*(N123*INDEX(LenF,MATCH($N$7,LenU,0)))^2*(N(R123)*INDEX(LenF,MATCH($R$7,LenU,0))),INDEX(HeadK,MATCH(P123,HeadU,0))*(N123*INDEX(LenF,MATCH($N$7,LenU,0)))^3))+IF(Q123="",0,IF(Q123="Conical",PI()/12*(N123*INDEX(LenF,MATCH($N$7,LenU,0)))^2*(N(R123)*INDEX(LenF,MATCH($R$7,LenU,0))),INDEX(HeadK,MATCH(Q123,HeadU,0))*(N123*INDEX(LenF,MATCH($N$7,LenU,0)))^3)),0)))</f>
        <v/>
      </c>
      <c r="AF123" s="21" t="str">
        <f aca="false">IF(E123&lt;&gt;"Piping","",IF(AND(ISNUMBER(AS123),ISNUMBER(M123)),PI()/4*(AS123/1000)^2*M123*INDEX(LenF,MATCH($M$7,LenU,0)),0))</f>
        <v/>
      </c>
      <c r="AG123" s="21" t="str">
        <f aca="false">IF(E123="","",N(AD123)+N(AE123)+N(AF123))</f>
        <v/>
      </c>
      <c r="AH123" s="21" t="str">
        <f aca="false">IF(ISNUMBER(I123),I123*INDEX(WtF,MATCH($I$7,WtU,0))/WaterRho,"")</f>
        <v/>
      </c>
      <c r="AI123" s="11"/>
      <c r="AJ123" s="11"/>
      <c r="AK123" s="20"/>
      <c r="AL123" s="11"/>
      <c r="AM123" s="21" t="str">
        <f aca="false">IF(AO123="","",AO123*IF(ISNUMBER(AK123),AK123,DefFills)*(1+IF(ISNUMBER(AL123),AL123,DefAllow)))</f>
        <v/>
      </c>
      <c r="AN123" s="22" t="str">
        <f aca="false">IF(G123="Given volume",IF(ISNUMBER(H123),H123*INDEX(VolF,MATCH($H$7,VolU,0)),""),IF(G123="Water weight",AH123,IF(N(AG123)=0,"",AG123)))</f>
        <v/>
      </c>
      <c r="AO123" s="22" t="str">
        <f aca="false">IF(N(AN123)=0,"",AN123*AT123*IF(ISNUMBER(AJ123),AJ123,DefCirc))</f>
        <v/>
      </c>
      <c r="AP123" s="9" t="n">
        <f aca="false">IF(ISNUMBER(T123),T123*INDEX(LenF,MATCH($T$7,LenU,0)),IF(ISNUMBER(W123),W123*INDEX(LenF,MATCH($W$7,LenU,0))/PitchRatio,0))</f>
        <v>0</v>
      </c>
      <c r="AQ123" s="9" t="n">
        <f aca="false">IF(ISNUMBER(N123),PI()/4*(N123*INDEX(LenF,MATCH($N$7,LenU,0)))^2,IF(AND(ISNUMBER(S123),ISNUMBER(W123),X123&lt;&gt;""),S123*(W123*INDEX(LenF,MATCH($W$7,LenU,0)))^2*INDEX(LayoutF,MATCH(X123,LayoutU,0)),0))</f>
        <v>0</v>
      </c>
      <c r="AR123" s="9" t="n">
        <f aca="false">IF(ISNUMBER(O123),O123*INDEX(LenF,MATCH($O$7,LenU,0)),IF(ISNUMBER(V123),V123*INDEX(LenF,MATCH($V$7,LenU,0)),0))</f>
        <v>0</v>
      </c>
      <c r="AS123" s="9" t="str">
        <f aca="false">IF(ISNUMBER(L123),L123*INDEX(LenF,MATCH($L$7,LenU,0))*1000,IF(OR(J123="",K123=""),"",IFERROR(IF(INDEX(PipeWT,MATCH(J123,NPSU,0),MATCH(K123,SchU,0))="","Sch n/a",INDEX(PipeOD,MATCH(J123,NPSU,0))-2*INDEX(PipeWT,MATCH(J123,NPSU,0),MATCH(K123,SchU,0))),"")))</f>
        <v/>
      </c>
      <c r="AT123" s="9" t="n">
        <f aca="false">IF(ISNUMBER(AI123),AI123,IFERROR(INDEX(IF(JobType="Decontamination",TypeFillDC,TypeFillCC),MATCH(E123,TypeL,0)),1))</f>
        <v>1</v>
      </c>
      <c r="AU123" s="9" t="n">
        <v>4</v>
      </c>
    </row>
    <row r="124" customFormat="false" ht="15" hidden="false" customHeight="false" outlineLevel="0" collapsed="false">
      <c r="A124" s="16" t="n">
        <v>16</v>
      </c>
      <c r="B124" s="20"/>
      <c r="C124" s="5"/>
      <c r="D124" s="5"/>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1" t="str">
        <f aca="false">IF(E124="Exchanger",IF(AND(ISNUMBER(S124),ISNUMBER(U124),ISNUMBER(V124)),S124*PI()/4*(U124*INDEX(LenF,MATCH($U$7,LenU,0)))^2*V124*INDEX(LenF,MATCH($V$7,LenU,0)),0)+IF(ISNUMBER(Y124),PI()/4*(Y124*INDEX(LenF,MATCH($Y$7,LenU,0)))^2*N(Z124)*INDEX(LenF,MATCH($Z$7,LenU,0))+IF(AA124="",0,IF(AA124="Conical",PI()/12*(Y124*INDEX(LenF,MATCH($Y$7,LenU,0)))^2*(0),INDEX(HeadK,MATCH(AA124,HeadU,0))*(Y124*INDEX(LenF,MATCH($Y$7,LenU,0)))^3)),0)+IF(ISNUMBER(Y124),PI()/4*(Y124*INDEX(LenF,MATCH($Y$7,LenU,0)))^2*N(AB124)*INDEX(LenF,MATCH($AB$7,LenU,0))+IF(AC124="",0,IF(AC124="Conical",PI()/12*(Y124*INDEX(LenF,MATCH($Y$7,LenU,0)))^2*(0),INDEX(HeadK,MATCH(AC124,HeadU,0))*(Y124*INDEX(LenF,MATCH($Y$7,LenU,0)))^3)),0),"")</f>
        <v/>
      </c>
      <c r="AE124" s="21" t="str">
        <f aca="false">IF(OR(E124="",E124="Piping"),"",IF(E124="Exchanger",AQ124*AR124+IF(P124="",0,IF(P124="Conical",PI()/12*(SQRT(4*AQ124/PI()))^2*(0),INDEX(HeadK,MATCH(P124,HeadU,0))*(SQRT(4*AQ124/PI()))^3))-IF(AND(ISNUMBER(S124),ISNUMBER(V124)),S124*PI()/4*AP124^2*V124*INDEX(LenF,MATCH($V$7,LenU,0)),0),IF(ISNUMBER(N124),PI()/4*(N124*INDEX(LenF,MATCH($N$7,LenU,0)))^2*N(O124)*INDEX(LenF,MATCH($O$7,LenU,0))+IF(P124="",0,IF(P124="Conical",PI()/12*(N124*INDEX(LenF,MATCH($N$7,LenU,0)))^2*(N(R124)*INDEX(LenF,MATCH($R$7,LenU,0))),INDEX(HeadK,MATCH(P124,HeadU,0))*(N124*INDEX(LenF,MATCH($N$7,LenU,0)))^3))+IF(Q124="",0,IF(Q124="Conical",PI()/12*(N124*INDEX(LenF,MATCH($N$7,LenU,0)))^2*(N(R124)*INDEX(LenF,MATCH($R$7,LenU,0))),INDEX(HeadK,MATCH(Q124,HeadU,0))*(N124*INDEX(LenF,MATCH($N$7,LenU,0)))^3)),0)))</f>
        <v/>
      </c>
      <c r="AF124" s="21" t="str">
        <f aca="false">IF(E124&lt;&gt;"Piping","",IF(AND(ISNUMBER(AS124),ISNUMBER(M124)),PI()/4*(AS124/1000)^2*M124*INDEX(LenF,MATCH($M$7,LenU,0)),0))</f>
        <v/>
      </c>
      <c r="AG124" s="21" t="str">
        <f aca="false">IF(E124="","",N(AD124)+N(AE124)+N(AF124))</f>
        <v/>
      </c>
      <c r="AH124" s="21" t="str">
        <f aca="false">IF(ISNUMBER(I124),I124*INDEX(WtF,MATCH($I$7,WtU,0))/WaterRho,"")</f>
        <v/>
      </c>
      <c r="AI124" s="11"/>
      <c r="AJ124" s="11"/>
      <c r="AK124" s="20"/>
      <c r="AL124" s="11"/>
      <c r="AM124" s="21" t="str">
        <f aca="false">IF(AO124="","",AO124*IF(ISNUMBER(AK124),AK124,DefFills)*(1+IF(ISNUMBER(AL124),AL124,DefAllow)))</f>
        <v/>
      </c>
      <c r="AN124" s="22" t="str">
        <f aca="false">IF(G124="Given volume",IF(ISNUMBER(H124),H124*INDEX(VolF,MATCH($H$7,VolU,0)),""),IF(G124="Water weight",AH124,IF(N(AG124)=0,"",AG124)))</f>
        <v/>
      </c>
      <c r="AO124" s="22" t="str">
        <f aca="false">IF(N(AN124)=0,"",AN124*AT124*IF(ISNUMBER(AJ124),AJ124,DefCirc))</f>
        <v/>
      </c>
      <c r="AP124" s="9" t="n">
        <f aca="false">IF(ISNUMBER(T124),T124*INDEX(LenF,MATCH($T$7,LenU,0)),IF(ISNUMBER(W124),W124*INDEX(LenF,MATCH($W$7,LenU,0))/PitchRatio,0))</f>
        <v>0</v>
      </c>
      <c r="AQ124" s="9" t="n">
        <f aca="false">IF(ISNUMBER(N124),PI()/4*(N124*INDEX(LenF,MATCH($N$7,LenU,0)))^2,IF(AND(ISNUMBER(S124),ISNUMBER(W124),X124&lt;&gt;""),S124*(W124*INDEX(LenF,MATCH($W$7,LenU,0)))^2*INDEX(LayoutF,MATCH(X124,LayoutU,0)),0))</f>
        <v>0</v>
      </c>
      <c r="AR124" s="9" t="n">
        <f aca="false">IF(ISNUMBER(O124),O124*INDEX(LenF,MATCH($O$7,LenU,0)),IF(ISNUMBER(V124),V124*INDEX(LenF,MATCH($V$7,LenU,0)),0))</f>
        <v>0</v>
      </c>
      <c r="AS124" s="9" t="str">
        <f aca="false">IF(ISNUMBER(L124),L124*INDEX(LenF,MATCH($L$7,LenU,0))*1000,IF(OR(J124="",K124=""),"",IFERROR(IF(INDEX(PipeWT,MATCH(J124,NPSU,0),MATCH(K124,SchU,0))="","Sch n/a",INDEX(PipeOD,MATCH(J124,NPSU,0))-2*INDEX(PipeWT,MATCH(J124,NPSU,0),MATCH(K124,SchU,0))),"")))</f>
        <v/>
      </c>
      <c r="AT124" s="9" t="n">
        <f aca="false">IF(ISNUMBER(AI124),AI124,IFERROR(INDEX(IF(JobType="Decontamination",TypeFillDC,TypeFillCC),MATCH(E124,TypeL,0)),1))</f>
        <v>1</v>
      </c>
      <c r="AU124" s="9" t="n">
        <v>4</v>
      </c>
    </row>
    <row r="125" customFormat="false" ht="15" hidden="false" customHeight="false" outlineLevel="0" collapsed="false">
      <c r="A125" s="16" t="n">
        <v>17</v>
      </c>
      <c r="B125" s="20"/>
      <c r="C125" s="5"/>
      <c r="D125" s="5"/>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1" t="str">
        <f aca="false">IF(E125="Exchanger",IF(AND(ISNUMBER(S125),ISNUMBER(U125),ISNUMBER(V125)),S125*PI()/4*(U125*INDEX(LenF,MATCH($U$7,LenU,0)))^2*V125*INDEX(LenF,MATCH($V$7,LenU,0)),0)+IF(ISNUMBER(Y125),PI()/4*(Y125*INDEX(LenF,MATCH($Y$7,LenU,0)))^2*N(Z125)*INDEX(LenF,MATCH($Z$7,LenU,0))+IF(AA125="",0,IF(AA125="Conical",PI()/12*(Y125*INDEX(LenF,MATCH($Y$7,LenU,0)))^2*(0),INDEX(HeadK,MATCH(AA125,HeadU,0))*(Y125*INDEX(LenF,MATCH($Y$7,LenU,0)))^3)),0)+IF(ISNUMBER(Y125),PI()/4*(Y125*INDEX(LenF,MATCH($Y$7,LenU,0)))^2*N(AB125)*INDEX(LenF,MATCH($AB$7,LenU,0))+IF(AC125="",0,IF(AC125="Conical",PI()/12*(Y125*INDEX(LenF,MATCH($Y$7,LenU,0)))^2*(0),INDEX(HeadK,MATCH(AC125,HeadU,0))*(Y125*INDEX(LenF,MATCH($Y$7,LenU,0)))^3)),0),"")</f>
        <v/>
      </c>
      <c r="AE125" s="21" t="str">
        <f aca="false">IF(OR(E125="",E125="Piping"),"",IF(E125="Exchanger",AQ125*AR125+IF(P125="",0,IF(P125="Conical",PI()/12*(SQRT(4*AQ125/PI()))^2*(0),INDEX(HeadK,MATCH(P125,HeadU,0))*(SQRT(4*AQ125/PI()))^3))-IF(AND(ISNUMBER(S125),ISNUMBER(V125)),S125*PI()/4*AP125^2*V125*INDEX(LenF,MATCH($V$7,LenU,0)),0),IF(ISNUMBER(N125),PI()/4*(N125*INDEX(LenF,MATCH($N$7,LenU,0)))^2*N(O125)*INDEX(LenF,MATCH($O$7,LenU,0))+IF(P125="",0,IF(P125="Conical",PI()/12*(N125*INDEX(LenF,MATCH($N$7,LenU,0)))^2*(N(R125)*INDEX(LenF,MATCH($R$7,LenU,0))),INDEX(HeadK,MATCH(P125,HeadU,0))*(N125*INDEX(LenF,MATCH($N$7,LenU,0)))^3))+IF(Q125="",0,IF(Q125="Conical",PI()/12*(N125*INDEX(LenF,MATCH($N$7,LenU,0)))^2*(N(R125)*INDEX(LenF,MATCH($R$7,LenU,0))),INDEX(HeadK,MATCH(Q125,HeadU,0))*(N125*INDEX(LenF,MATCH($N$7,LenU,0)))^3)),0)))</f>
        <v/>
      </c>
      <c r="AF125" s="21" t="str">
        <f aca="false">IF(E125&lt;&gt;"Piping","",IF(AND(ISNUMBER(AS125),ISNUMBER(M125)),PI()/4*(AS125/1000)^2*M125*INDEX(LenF,MATCH($M$7,LenU,0)),0))</f>
        <v/>
      </c>
      <c r="AG125" s="21" t="str">
        <f aca="false">IF(E125="","",N(AD125)+N(AE125)+N(AF125))</f>
        <v/>
      </c>
      <c r="AH125" s="21" t="str">
        <f aca="false">IF(ISNUMBER(I125),I125*INDEX(WtF,MATCH($I$7,WtU,0))/WaterRho,"")</f>
        <v/>
      </c>
      <c r="AI125" s="11"/>
      <c r="AJ125" s="11"/>
      <c r="AK125" s="20"/>
      <c r="AL125" s="11"/>
      <c r="AM125" s="21" t="str">
        <f aca="false">IF(AO125="","",AO125*IF(ISNUMBER(AK125),AK125,DefFills)*(1+IF(ISNUMBER(AL125),AL125,DefAllow)))</f>
        <v/>
      </c>
      <c r="AN125" s="22" t="str">
        <f aca="false">IF(G125="Given volume",IF(ISNUMBER(H125),H125*INDEX(VolF,MATCH($H$7,VolU,0)),""),IF(G125="Water weight",AH125,IF(N(AG125)=0,"",AG125)))</f>
        <v/>
      </c>
      <c r="AO125" s="22" t="str">
        <f aca="false">IF(N(AN125)=0,"",AN125*AT125*IF(ISNUMBER(AJ125),AJ125,DefCirc))</f>
        <v/>
      </c>
      <c r="AP125" s="9" t="n">
        <f aca="false">IF(ISNUMBER(T125),T125*INDEX(LenF,MATCH($T$7,LenU,0)),IF(ISNUMBER(W125),W125*INDEX(LenF,MATCH($W$7,LenU,0))/PitchRatio,0))</f>
        <v>0</v>
      </c>
      <c r="AQ125" s="9" t="n">
        <f aca="false">IF(ISNUMBER(N125),PI()/4*(N125*INDEX(LenF,MATCH($N$7,LenU,0)))^2,IF(AND(ISNUMBER(S125),ISNUMBER(W125),X125&lt;&gt;""),S125*(W125*INDEX(LenF,MATCH($W$7,LenU,0)))^2*INDEX(LayoutF,MATCH(X125,LayoutU,0)),0))</f>
        <v>0</v>
      </c>
      <c r="AR125" s="9" t="n">
        <f aca="false">IF(ISNUMBER(O125),O125*INDEX(LenF,MATCH($O$7,LenU,0)),IF(ISNUMBER(V125),V125*INDEX(LenF,MATCH($V$7,LenU,0)),0))</f>
        <v>0</v>
      </c>
      <c r="AS125" s="9" t="str">
        <f aca="false">IF(ISNUMBER(L125),L125*INDEX(LenF,MATCH($L$7,LenU,0))*1000,IF(OR(J125="",K125=""),"",IFERROR(IF(INDEX(PipeWT,MATCH(J125,NPSU,0),MATCH(K125,SchU,0))="","Sch n/a",INDEX(PipeOD,MATCH(J125,NPSU,0))-2*INDEX(PipeWT,MATCH(J125,NPSU,0),MATCH(K125,SchU,0))),"")))</f>
        <v/>
      </c>
      <c r="AT125" s="9" t="n">
        <f aca="false">IF(ISNUMBER(AI125),AI125,IFERROR(INDEX(IF(JobType="Decontamination",TypeFillDC,TypeFillCC),MATCH(E125,TypeL,0)),1))</f>
        <v>1</v>
      </c>
      <c r="AU125" s="9" t="n">
        <v>4</v>
      </c>
    </row>
    <row r="126" customFormat="false" ht="15" hidden="false" customHeight="false" outlineLevel="0" collapsed="false">
      <c r="A126" s="16" t="n">
        <v>18</v>
      </c>
      <c r="B126" s="20"/>
      <c r="C126" s="5"/>
      <c r="D126" s="5"/>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1" t="str">
        <f aca="false">IF(E126="Exchanger",IF(AND(ISNUMBER(S126),ISNUMBER(U126),ISNUMBER(V126)),S126*PI()/4*(U126*INDEX(LenF,MATCH($U$7,LenU,0)))^2*V126*INDEX(LenF,MATCH($V$7,LenU,0)),0)+IF(ISNUMBER(Y126),PI()/4*(Y126*INDEX(LenF,MATCH($Y$7,LenU,0)))^2*N(Z126)*INDEX(LenF,MATCH($Z$7,LenU,0))+IF(AA126="",0,IF(AA126="Conical",PI()/12*(Y126*INDEX(LenF,MATCH($Y$7,LenU,0)))^2*(0),INDEX(HeadK,MATCH(AA126,HeadU,0))*(Y126*INDEX(LenF,MATCH($Y$7,LenU,0)))^3)),0)+IF(ISNUMBER(Y126),PI()/4*(Y126*INDEX(LenF,MATCH($Y$7,LenU,0)))^2*N(AB126)*INDEX(LenF,MATCH($AB$7,LenU,0))+IF(AC126="",0,IF(AC126="Conical",PI()/12*(Y126*INDEX(LenF,MATCH($Y$7,LenU,0)))^2*(0),INDEX(HeadK,MATCH(AC126,HeadU,0))*(Y126*INDEX(LenF,MATCH($Y$7,LenU,0)))^3)),0),"")</f>
        <v/>
      </c>
      <c r="AE126" s="21" t="str">
        <f aca="false">IF(OR(E126="",E126="Piping"),"",IF(E126="Exchanger",AQ126*AR126+IF(P126="",0,IF(P126="Conical",PI()/12*(SQRT(4*AQ126/PI()))^2*(0),INDEX(HeadK,MATCH(P126,HeadU,0))*(SQRT(4*AQ126/PI()))^3))-IF(AND(ISNUMBER(S126),ISNUMBER(V126)),S126*PI()/4*AP126^2*V126*INDEX(LenF,MATCH($V$7,LenU,0)),0),IF(ISNUMBER(N126),PI()/4*(N126*INDEX(LenF,MATCH($N$7,LenU,0)))^2*N(O126)*INDEX(LenF,MATCH($O$7,LenU,0))+IF(P126="",0,IF(P126="Conical",PI()/12*(N126*INDEX(LenF,MATCH($N$7,LenU,0)))^2*(N(R126)*INDEX(LenF,MATCH($R$7,LenU,0))),INDEX(HeadK,MATCH(P126,HeadU,0))*(N126*INDEX(LenF,MATCH($N$7,LenU,0)))^3))+IF(Q126="",0,IF(Q126="Conical",PI()/12*(N126*INDEX(LenF,MATCH($N$7,LenU,0)))^2*(N(R126)*INDEX(LenF,MATCH($R$7,LenU,0))),INDEX(HeadK,MATCH(Q126,HeadU,0))*(N126*INDEX(LenF,MATCH($N$7,LenU,0)))^3)),0)))</f>
        <v/>
      </c>
      <c r="AF126" s="21" t="str">
        <f aca="false">IF(E126&lt;&gt;"Piping","",IF(AND(ISNUMBER(AS126),ISNUMBER(M126)),PI()/4*(AS126/1000)^2*M126*INDEX(LenF,MATCH($M$7,LenU,0)),0))</f>
        <v/>
      </c>
      <c r="AG126" s="21" t="str">
        <f aca="false">IF(E126="","",N(AD126)+N(AE126)+N(AF126))</f>
        <v/>
      </c>
      <c r="AH126" s="21" t="str">
        <f aca="false">IF(ISNUMBER(I126),I126*INDEX(WtF,MATCH($I$7,WtU,0))/WaterRho,"")</f>
        <v/>
      </c>
      <c r="AI126" s="11"/>
      <c r="AJ126" s="11"/>
      <c r="AK126" s="20"/>
      <c r="AL126" s="11"/>
      <c r="AM126" s="21" t="str">
        <f aca="false">IF(AO126="","",AO126*IF(ISNUMBER(AK126),AK126,DefFills)*(1+IF(ISNUMBER(AL126),AL126,DefAllow)))</f>
        <v/>
      </c>
      <c r="AN126" s="22" t="str">
        <f aca="false">IF(G126="Given volume",IF(ISNUMBER(H126),H126*INDEX(VolF,MATCH($H$7,VolU,0)),""),IF(G126="Water weight",AH126,IF(N(AG126)=0,"",AG126)))</f>
        <v/>
      </c>
      <c r="AO126" s="22" t="str">
        <f aca="false">IF(N(AN126)=0,"",AN126*AT126*IF(ISNUMBER(AJ126),AJ126,DefCirc))</f>
        <v/>
      </c>
      <c r="AP126" s="9" t="n">
        <f aca="false">IF(ISNUMBER(T126),T126*INDEX(LenF,MATCH($T$7,LenU,0)),IF(ISNUMBER(W126),W126*INDEX(LenF,MATCH($W$7,LenU,0))/PitchRatio,0))</f>
        <v>0</v>
      </c>
      <c r="AQ126" s="9" t="n">
        <f aca="false">IF(ISNUMBER(N126),PI()/4*(N126*INDEX(LenF,MATCH($N$7,LenU,0)))^2,IF(AND(ISNUMBER(S126),ISNUMBER(W126),X126&lt;&gt;""),S126*(W126*INDEX(LenF,MATCH($W$7,LenU,0)))^2*INDEX(LayoutF,MATCH(X126,LayoutU,0)),0))</f>
        <v>0</v>
      </c>
      <c r="AR126" s="9" t="n">
        <f aca="false">IF(ISNUMBER(O126),O126*INDEX(LenF,MATCH($O$7,LenU,0)),IF(ISNUMBER(V126),V126*INDEX(LenF,MATCH($V$7,LenU,0)),0))</f>
        <v>0</v>
      </c>
      <c r="AS126" s="9" t="str">
        <f aca="false">IF(ISNUMBER(L126),L126*INDEX(LenF,MATCH($L$7,LenU,0))*1000,IF(OR(J126="",K126=""),"",IFERROR(IF(INDEX(PipeWT,MATCH(J126,NPSU,0),MATCH(K126,SchU,0))="","Sch n/a",INDEX(PipeOD,MATCH(J126,NPSU,0))-2*INDEX(PipeWT,MATCH(J126,NPSU,0),MATCH(K126,SchU,0))),"")))</f>
        <v/>
      </c>
      <c r="AT126" s="9" t="n">
        <f aca="false">IF(ISNUMBER(AI126),AI126,IFERROR(INDEX(IF(JobType="Decontamination",TypeFillDC,TypeFillCC),MATCH(E126,TypeL,0)),1))</f>
        <v>1</v>
      </c>
      <c r="AU126" s="9" t="n">
        <v>4</v>
      </c>
    </row>
    <row r="127" customFormat="false" ht="15" hidden="false" customHeight="false" outlineLevel="0" collapsed="false">
      <c r="A127" s="16" t="n">
        <v>19</v>
      </c>
      <c r="B127" s="20"/>
      <c r="C127" s="5"/>
      <c r="D127" s="5"/>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1" t="str">
        <f aca="false">IF(E127="Exchanger",IF(AND(ISNUMBER(S127),ISNUMBER(U127),ISNUMBER(V127)),S127*PI()/4*(U127*INDEX(LenF,MATCH($U$7,LenU,0)))^2*V127*INDEX(LenF,MATCH($V$7,LenU,0)),0)+IF(ISNUMBER(Y127),PI()/4*(Y127*INDEX(LenF,MATCH($Y$7,LenU,0)))^2*N(Z127)*INDEX(LenF,MATCH($Z$7,LenU,0))+IF(AA127="",0,IF(AA127="Conical",PI()/12*(Y127*INDEX(LenF,MATCH($Y$7,LenU,0)))^2*(0),INDEX(HeadK,MATCH(AA127,HeadU,0))*(Y127*INDEX(LenF,MATCH($Y$7,LenU,0)))^3)),0)+IF(ISNUMBER(Y127),PI()/4*(Y127*INDEX(LenF,MATCH($Y$7,LenU,0)))^2*N(AB127)*INDEX(LenF,MATCH($AB$7,LenU,0))+IF(AC127="",0,IF(AC127="Conical",PI()/12*(Y127*INDEX(LenF,MATCH($Y$7,LenU,0)))^2*(0),INDEX(HeadK,MATCH(AC127,HeadU,0))*(Y127*INDEX(LenF,MATCH($Y$7,LenU,0)))^3)),0),"")</f>
        <v/>
      </c>
      <c r="AE127" s="21" t="str">
        <f aca="false">IF(OR(E127="",E127="Piping"),"",IF(E127="Exchanger",AQ127*AR127+IF(P127="",0,IF(P127="Conical",PI()/12*(SQRT(4*AQ127/PI()))^2*(0),INDEX(HeadK,MATCH(P127,HeadU,0))*(SQRT(4*AQ127/PI()))^3))-IF(AND(ISNUMBER(S127),ISNUMBER(V127)),S127*PI()/4*AP127^2*V127*INDEX(LenF,MATCH($V$7,LenU,0)),0),IF(ISNUMBER(N127),PI()/4*(N127*INDEX(LenF,MATCH($N$7,LenU,0)))^2*N(O127)*INDEX(LenF,MATCH($O$7,LenU,0))+IF(P127="",0,IF(P127="Conical",PI()/12*(N127*INDEX(LenF,MATCH($N$7,LenU,0)))^2*(N(R127)*INDEX(LenF,MATCH($R$7,LenU,0))),INDEX(HeadK,MATCH(P127,HeadU,0))*(N127*INDEX(LenF,MATCH($N$7,LenU,0)))^3))+IF(Q127="",0,IF(Q127="Conical",PI()/12*(N127*INDEX(LenF,MATCH($N$7,LenU,0)))^2*(N(R127)*INDEX(LenF,MATCH($R$7,LenU,0))),INDEX(HeadK,MATCH(Q127,HeadU,0))*(N127*INDEX(LenF,MATCH($N$7,LenU,0)))^3)),0)))</f>
        <v/>
      </c>
      <c r="AF127" s="21" t="str">
        <f aca="false">IF(E127&lt;&gt;"Piping","",IF(AND(ISNUMBER(AS127),ISNUMBER(M127)),PI()/4*(AS127/1000)^2*M127*INDEX(LenF,MATCH($M$7,LenU,0)),0))</f>
        <v/>
      </c>
      <c r="AG127" s="21" t="str">
        <f aca="false">IF(E127="","",N(AD127)+N(AE127)+N(AF127))</f>
        <v/>
      </c>
      <c r="AH127" s="21" t="str">
        <f aca="false">IF(ISNUMBER(I127),I127*INDEX(WtF,MATCH($I$7,WtU,0))/WaterRho,"")</f>
        <v/>
      </c>
      <c r="AI127" s="11"/>
      <c r="AJ127" s="11"/>
      <c r="AK127" s="20"/>
      <c r="AL127" s="11"/>
      <c r="AM127" s="21" t="str">
        <f aca="false">IF(AO127="","",AO127*IF(ISNUMBER(AK127),AK127,DefFills)*(1+IF(ISNUMBER(AL127),AL127,DefAllow)))</f>
        <v/>
      </c>
      <c r="AN127" s="22" t="str">
        <f aca="false">IF(G127="Given volume",IF(ISNUMBER(H127),H127*INDEX(VolF,MATCH($H$7,VolU,0)),""),IF(G127="Water weight",AH127,IF(N(AG127)=0,"",AG127)))</f>
        <v/>
      </c>
      <c r="AO127" s="22" t="str">
        <f aca="false">IF(N(AN127)=0,"",AN127*AT127*IF(ISNUMBER(AJ127),AJ127,DefCirc))</f>
        <v/>
      </c>
      <c r="AP127" s="9" t="n">
        <f aca="false">IF(ISNUMBER(T127),T127*INDEX(LenF,MATCH($T$7,LenU,0)),IF(ISNUMBER(W127),W127*INDEX(LenF,MATCH($W$7,LenU,0))/PitchRatio,0))</f>
        <v>0</v>
      </c>
      <c r="AQ127" s="9" t="n">
        <f aca="false">IF(ISNUMBER(N127),PI()/4*(N127*INDEX(LenF,MATCH($N$7,LenU,0)))^2,IF(AND(ISNUMBER(S127),ISNUMBER(W127),X127&lt;&gt;""),S127*(W127*INDEX(LenF,MATCH($W$7,LenU,0)))^2*INDEX(LayoutF,MATCH(X127,LayoutU,0)),0))</f>
        <v>0</v>
      </c>
      <c r="AR127" s="9" t="n">
        <f aca="false">IF(ISNUMBER(O127),O127*INDEX(LenF,MATCH($O$7,LenU,0)),IF(ISNUMBER(V127),V127*INDEX(LenF,MATCH($V$7,LenU,0)),0))</f>
        <v>0</v>
      </c>
      <c r="AS127" s="9" t="str">
        <f aca="false">IF(ISNUMBER(L127),L127*INDEX(LenF,MATCH($L$7,LenU,0))*1000,IF(OR(J127="",K127=""),"",IFERROR(IF(INDEX(PipeWT,MATCH(J127,NPSU,0),MATCH(K127,SchU,0))="","Sch n/a",INDEX(PipeOD,MATCH(J127,NPSU,0))-2*INDEX(PipeWT,MATCH(J127,NPSU,0),MATCH(K127,SchU,0))),"")))</f>
        <v/>
      </c>
      <c r="AT127" s="9" t="n">
        <f aca="false">IF(ISNUMBER(AI127),AI127,IFERROR(INDEX(IF(JobType="Decontamination",TypeFillDC,TypeFillCC),MATCH(E127,TypeL,0)),1))</f>
        <v>1</v>
      </c>
      <c r="AU127" s="9" t="n">
        <v>4</v>
      </c>
    </row>
    <row r="128" customFormat="false" ht="15" hidden="false" customHeight="false" outlineLevel="0" collapsed="false">
      <c r="A128" s="16" t="n">
        <v>20</v>
      </c>
      <c r="B128" s="20"/>
      <c r="C128" s="5"/>
      <c r="D128" s="5"/>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1" t="str">
        <f aca="false">IF(E128="Exchanger",IF(AND(ISNUMBER(S128),ISNUMBER(U128),ISNUMBER(V128)),S128*PI()/4*(U128*INDEX(LenF,MATCH($U$7,LenU,0)))^2*V128*INDEX(LenF,MATCH($V$7,LenU,0)),0)+IF(ISNUMBER(Y128),PI()/4*(Y128*INDEX(LenF,MATCH($Y$7,LenU,0)))^2*N(Z128)*INDEX(LenF,MATCH($Z$7,LenU,0))+IF(AA128="",0,IF(AA128="Conical",PI()/12*(Y128*INDEX(LenF,MATCH($Y$7,LenU,0)))^2*(0),INDEX(HeadK,MATCH(AA128,HeadU,0))*(Y128*INDEX(LenF,MATCH($Y$7,LenU,0)))^3)),0)+IF(ISNUMBER(Y128),PI()/4*(Y128*INDEX(LenF,MATCH($Y$7,LenU,0)))^2*N(AB128)*INDEX(LenF,MATCH($AB$7,LenU,0))+IF(AC128="",0,IF(AC128="Conical",PI()/12*(Y128*INDEX(LenF,MATCH($Y$7,LenU,0)))^2*(0),INDEX(HeadK,MATCH(AC128,HeadU,0))*(Y128*INDEX(LenF,MATCH($Y$7,LenU,0)))^3)),0),"")</f>
        <v/>
      </c>
      <c r="AE128" s="21" t="str">
        <f aca="false">IF(OR(E128="",E128="Piping"),"",IF(E128="Exchanger",AQ128*AR128+IF(P128="",0,IF(P128="Conical",PI()/12*(SQRT(4*AQ128/PI()))^2*(0),INDEX(HeadK,MATCH(P128,HeadU,0))*(SQRT(4*AQ128/PI()))^3))-IF(AND(ISNUMBER(S128),ISNUMBER(V128)),S128*PI()/4*AP128^2*V128*INDEX(LenF,MATCH($V$7,LenU,0)),0),IF(ISNUMBER(N128),PI()/4*(N128*INDEX(LenF,MATCH($N$7,LenU,0)))^2*N(O128)*INDEX(LenF,MATCH($O$7,LenU,0))+IF(P128="",0,IF(P128="Conical",PI()/12*(N128*INDEX(LenF,MATCH($N$7,LenU,0)))^2*(N(R128)*INDEX(LenF,MATCH($R$7,LenU,0))),INDEX(HeadK,MATCH(P128,HeadU,0))*(N128*INDEX(LenF,MATCH($N$7,LenU,0)))^3))+IF(Q128="",0,IF(Q128="Conical",PI()/12*(N128*INDEX(LenF,MATCH($N$7,LenU,0)))^2*(N(R128)*INDEX(LenF,MATCH($R$7,LenU,0))),INDEX(HeadK,MATCH(Q128,HeadU,0))*(N128*INDEX(LenF,MATCH($N$7,LenU,0)))^3)),0)))</f>
        <v/>
      </c>
      <c r="AF128" s="21" t="str">
        <f aca="false">IF(E128&lt;&gt;"Piping","",IF(AND(ISNUMBER(AS128),ISNUMBER(M128)),PI()/4*(AS128/1000)^2*M128*INDEX(LenF,MATCH($M$7,LenU,0)),0))</f>
        <v/>
      </c>
      <c r="AG128" s="21" t="str">
        <f aca="false">IF(E128="","",N(AD128)+N(AE128)+N(AF128))</f>
        <v/>
      </c>
      <c r="AH128" s="21" t="str">
        <f aca="false">IF(ISNUMBER(I128),I128*INDEX(WtF,MATCH($I$7,WtU,0))/WaterRho,"")</f>
        <v/>
      </c>
      <c r="AI128" s="11"/>
      <c r="AJ128" s="11"/>
      <c r="AK128" s="20"/>
      <c r="AL128" s="11"/>
      <c r="AM128" s="21" t="str">
        <f aca="false">IF(AO128="","",AO128*IF(ISNUMBER(AK128),AK128,DefFills)*(1+IF(ISNUMBER(AL128),AL128,DefAllow)))</f>
        <v/>
      </c>
      <c r="AN128" s="22" t="str">
        <f aca="false">IF(G128="Given volume",IF(ISNUMBER(H128),H128*INDEX(VolF,MATCH($H$7,VolU,0)),""),IF(G128="Water weight",AH128,IF(N(AG128)=0,"",AG128)))</f>
        <v/>
      </c>
      <c r="AO128" s="22" t="str">
        <f aca="false">IF(N(AN128)=0,"",AN128*AT128*IF(ISNUMBER(AJ128),AJ128,DefCirc))</f>
        <v/>
      </c>
      <c r="AP128" s="9" t="n">
        <f aca="false">IF(ISNUMBER(T128),T128*INDEX(LenF,MATCH($T$7,LenU,0)),IF(ISNUMBER(W128),W128*INDEX(LenF,MATCH($W$7,LenU,0))/PitchRatio,0))</f>
        <v>0</v>
      </c>
      <c r="AQ128" s="9" t="n">
        <f aca="false">IF(ISNUMBER(N128),PI()/4*(N128*INDEX(LenF,MATCH($N$7,LenU,0)))^2,IF(AND(ISNUMBER(S128),ISNUMBER(W128),X128&lt;&gt;""),S128*(W128*INDEX(LenF,MATCH($W$7,LenU,0)))^2*INDEX(LayoutF,MATCH(X128,LayoutU,0)),0))</f>
        <v>0</v>
      </c>
      <c r="AR128" s="9" t="n">
        <f aca="false">IF(ISNUMBER(O128),O128*INDEX(LenF,MATCH($O$7,LenU,0)),IF(ISNUMBER(V128),V128*INDEX(LenF,MATCH($V$7,LenU,0)),0))</f>
        <v>0</v>
      </c>
      <c r="AS128" s="9" t="str">
        <f aca="false">IF(ISNUMBER(L128),L128*INDEX(LenF,MATCH($L$7,LenU,0))*1000,IF(OR(J128="",K128=""),"",IFERROR(IF(INDEX(PipeWT,MATCH(J128,NPSU,0),MATCH(K128,SchU,0))="","Sch n/a",INDEX(PipeOD,MATCH(J128,NPSU,0))-2*INDEX(PipeWT,MATCH(J128,NPSU,0),MATCH(K128,SchU,0))),"")))</f>
        <v/>
      </c>
      <c r="AT128" s="9" t="n">
        <f aca="false">IF(ISNUMBER(AI128),AI128,IFERROR(INDEX(IF(JobType="Decontamination",TypeFillDC,TypeFillCC),MATCH(E128,TypeL,0)),1))</f>
        <v>1</v>
      </c>
      <c r="AU128" s="9" t="n">
        <v>4</v>
      </c>
    </row>
    <row r="129" customFormat="false" ht="15" hidden="false" customHeight="false" outlineLevel="0" collapsed="false">
      <c r="A129" s="16" t="n">
        <v>21</v>
      </c>
      <c r="B129" s="20"/>
      <c r="C129" s="5"/>
      <c r="D129" s="5"/>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1" t="str">
        <f aca="false">IF(E129="Exchanger",IF(AND(ISNUMBER(S129),ISNUMBER(U129),ISNUMBER(V129)),S129*PI()/4*(U129*INDEX(LenF,MATCH($U$7,LenU,0)))^2*V129*INDEX(LenF,MATCH($V$7,LenU,0)),0)+IF(ISNUMBER(Y129),PI()/4*(Y129*INDEX(LenF,MATCH($Y$7,LenU,0)))^2*N(Z129)*INDEX(LenF,MATCH($Z$7,LenU,0))+IF(AA129="",0,IF(AA129="Conical",PI()/12*(Y129*INDEX(LenF,MATCH($Y$7,LenU,0)))^2*(0),INDEX(HeadK,MATCH(AA129,HeadU,0))*(Y129*INDEX(LenF,MATCH($Y$7,LenU,0)))^3)),0)+IF(ISNUMBER(Y129),PI()/4*(Y129*INDEX(LenF,MATCH($Y$7,LenU,0)))^2*N(AB129)*INDEX(LenF,MATCH($AB$7,LenU,0))+IF(AC129="",0,IF(AC129="Conical",PI()/12*(Y129*INDEX(LenF,MATCH($Y$7,LenU,0)))^2*(0),INDEX(HeadK,MATCH(AC129,HeadU,0))*(Y129*INDEX(LenF,MATCH($Y$7,LenU,0)))^3)),0),"")</f>
        <v/>
      </c>
      <c r="AE129" s="21" t="str">
        <f aca="false">IF(OR(E129="",E129="Piping"),"",IF(E129="Exchanger",AQ129*AR129+IF(P129="",0,IF(P129="Conical",PI()/12*(SQRT(4*AQ129/PI()))^2*(0),INDEX(HeadK,MATCH(P129,HeadU,0))*(SQRT(4*AQ129/PI()))^3))-IF(AND(ISNUMBER(S129),ISNUMBER(V129)),S129*PI()/4*AP129^2*V129*INDEX(LenF,MATCH($V$7,LenU,0)),0),IF(ISNUMBER(N129),PI()/4*(N129*INDEX(LenF,MATCH($N$7,LenU,0)))^2*N(O129)*INDEX(LenF,MATCH($O$7,LenU,0))+IF(P129="",0,IF(P129="Conical",PI()/12*(N129*INDEX(LenF,MATCH($N$7,LenU,0)))^2*(N(R129)*INDEX(LenF,MATCH($R$7,LenU,0))),INDEX(HeadK,MATCH(P129,HeadU,0))*(N129*INDEX(LenF,MATCH($N$7,LenU,0)))^3))+IF(Q129="",0,IF(Q129="Conical",PI()/12*(N129*INDEX(LenF,MATCH($N$7,LenU,0)))^2*(N(R129)*INDEX(LenF,MATCH($R$7,LenU,0))),INDEX(HeadK,MATCH(Q129,HeadU,0))*(N129*INDEX(LenF,MATCH($N$7,LenU,0)))^3)),0)))</f>
        <v/>
      </c>
      <c r="AF129" s="21" t="str">
        <f aca="false">IF(E129&lt;&gt;"Piping","",IF(AND(ISNUMBER(AS129),ISNUMBER(M129)),PI()/4*(AS129/1000)^2*M129*INDEX(LenF,MATCH($M$7,LenU,0)),0))</f>
        <v/>
      </c>
      <c r="AG129" s="21" t="str">
        <f aca="false">IF(E129="","",N(AD129)+N(AE129)+N(AF129))</f>
        <v/>
      </c>
      <c r="AH129" s="21" t="str">
        <f aca="false">IF(ISNUMBER(I129),I129*INDEX(WtF,MATCH($I$7,WtU,0))/WaterRho,"")</f>
        <v/>
      </c>
      <c r="AI129" s="11"/>
      <c r="AJ129" s="11"/>
      <c r="AK129" s="20"/>
      <c r="AL129" s="11"/>
      <c r="AM129" s="21" t="str">
        <f aca="false">IF(AO129="","",AO129*IF(ISNUMBER(AK129),AK129,DefFills)*(1+IF(ISNUMBER(AL129),AL129,DefAllow)))</f>
        <v/>
      </c>
      <c r="AN129" s="22" t="str">
        <f aca="false">IF(G129="Given volume",IF(ISNUMBER(H129),H129*INDEX(VolF,MATCH($H$7,VolU,0)),""),IF(G129="Water weight",AH129,IF(N(AG129)=0,"",AG129)))</f>
        <v/>
      </c>
      <c r="AO129" s="22" t="str">
        <f aca="false">IF(N(AN129)=0,"",AN129*AT129*IF(ISNUMBER(AJ129),AJ129,DefCirc))</f>
        <v/>
      </c>
      <c r="AP129" s="9" t="n">
        <f aca="false">IF(ISNUMBER(T129),T129*INDEX(LenF,MATCH($T$7,LenU,0)),IF(ISNUMBER(W129),W129*INDEX(LenF,MATCH($W$7,LenU,0))/PitchRatio,0))</f>
        <v>0</v>
      </c>
      <c r="AQ129" s="9" t="n">
        <f aca="false">IF(ISNUMBER(N129),PI()/4*(N129*INDEX(LenF,MATCH($N$7,LenU,0)))^2,IF(AND(ISNUMBER(S129),ISNUMBER(W129),X129&lt;&gt;""),S129*(W129*INDEX(LenF,MATCH($W$7,LenU,0)))^2*INDEX(LayoutF,MATCH(X129,LayoutU,0)),0))</f>
        <v>0</v>
      </c>
      <c r="AR129" s="9" t="n">
        <f aca="false">IF(ISNUMBER(O129),O129*INDEX(LenF,MATCH($O$7,LenU,0)),IF(ISNUMBER(V129),V129*INDEX(LenF,MATCH($V$7,LenU,0)),0))</f>
        <v>0</v>
      </c>
      <c r="AS129" s="9" t="str">
        <f aca="false">IF(ISNUMBER(L129),L129*INDEX(LenF,MATCH($L$7,LenU,0))*1000,IF(OR(J129="",K129=""),"",IFERROR(IF(INDEX(PipeWT,MATCH(J129,NPSU,0),MATCH(K129,SchU,0))="","Sch n/a",INDEX(PipeOD,MATCH(J129,NPSU,0))-2*INDEX(PipeWT,MATCH(J129,NPSU,0),MATCH(K129,SchU,0))),"")))</f>
        <v/>
      </c>
      <c r="AT129" s="9" t="n">
        <f aca="false">IF(ISNUMBER(AI129),AI129,IFERROR(INDEX(IF(JobType="Decontamination",TypeFillDC,TypeFillCC),MATCH(E129,TypeL,0)),1))</f>
        <v>1</v>
      </c>
      <c r="AU129" s="9" t="n">
        <v>4</v>
      </c>
    </row>
    <row r="130" customFormat="false" ht="15" hidden="false" customHeight="false" outlineLevel="0" collapsed="false">
      <c r="A130" s="16" t="n">
        <v>22</v>
      </c>
      <c r="B130" s="20"/>
      <c r="C130" s="5"/>
      <c r="D130" s="5"/>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1" t="str">
        <f aca="false">IF(E130="Exchanger",IF(AND(ISNUMBER(S130),ISNUMBER(U130),ISNUMBER(V130)),S130*PI()/4*(U130*INDEX(LenF,MATCH($U$7,LenU,0)))^2*V130*INDEX(LenF,MATCH($V$7,LenU,0)),0)+IF(ISNUMBER(Y130),PI()/4*(Y130*INDEX(LenF,MATCH($Y$7,LenU,0)))^2*N(Z130)*INDEX(LenF,MATCH($Z$7,LenU,0))+IF(AA130="",0,IF(AA130="Conical",PI()/12*(Y130*INDEX(LenF,MATCH($Y$7,LenU,0)))^2*(0),INDEX(HeadK,MATCH(AA130,HeadU,0))*(Y130*INDEX(LenF,MATCH($Y$7,LenU,0)))^3)),0)+IF(ISNUMBER(Y130),PI()/4*(Y130*INDEX(LenF,MATCH($Y$7,LenU,0)))^2*N(AB130)*INDEX(LenF,MATCH($AB$7,LenU,0))+IF(AC130="",0,IF(AC130="Conical",PI()/12*(Y130*INDEX(LenF,MATCH($Y$7,LenU,0)))^2*(0),INDEX(HeadK,MATCH(AC130,HeadU,0))*(Y130*INDEX(LenF,MATCH($Y$7,LenU,0)))^3)),0),"")</f>
        <v/>
      </c>
      <c r="AE130" s="21" t="str">
        <f aca="false">IF(OR(E130="",E130="Piping"),"",IF(E130="Exchanger",AQ130*AR130+IF(P130="",0,IF(P130="Conical",PI()/12*(SQRT(4*AQ130/PI()))^2*(0),INDEX(HeadK,MATCH(P130,HeadU,0))*(SQRT(4*AQ130/PI()))^3))-IF(AND(ISNUMBER(S130),ISNUMBER(V130)),S130*PI()/4*AP130^2*V130*INDEX(LenF,MATCH($V$7,LenU,0)),0),IF(ISNUMBER(N130),PI()/4*(N130*INDEX(LenF,MATCH($N$7,LenU,0)))^2*N(O130)*INDEX(LenF,MATCH($O$7,LenU,0))+IF(P130="",0,IF(P130="Conical",PI()/12*(N130*INDEX(LenF,MATCH($N$7,LenU,0)))^2*(N(R130)*INDEX(LenF,MATCH($R$7,LenU,0))),INDEX(HeadK,MATCH(P130,HeadU,0))*(N130*INDEX(LenF,MATCH($N$7,LenU,0)))^3))+IF(Q130="",0,IF(Q130="Conical",PI()/12*(N130*INDEX(LenF,MATCH($N$7,LenU,0)))^2*(N(R130)*INDEX(LenF,MATCH($R$7,LenU,0))),INDEX(HeadK,MATCH(Q130,HeadU,0))*(N130*INDEX(LenF,MATCH($N$7,LenU,0)))^3)),0)))</f>
        <v/>
      </c>
      <c r="AF130" s="21" t="str">
        <f aca="false">IF(E130&lt;&gt;"Piping","",IF(AND(ISNUMBER(AS130),ISNUMBER(M130)),PI()/4*(AS130/1000)^2*M130*INDEX(LenF,MATCH($M$7,LenU,0)),0))</f>
        <v/>
      </c>
      <c r="AG130" s="21" t="str">
        <f aca="false">IF(E130="","",N(AD130)+N(AE130)+N(AF130))</f>
        <v/>
      </c>
      <c r="AH130" s="21" t="str">
        <f aca="false">IF(ISNUMBER(I130),I130*INDEX(WtF,MATCH($I$7,WtU,0))/WaterRho,"")</f>
        <v/>
      </c>
      <c r="AI130" s="11"/>
      <c r="AJ130" s="11"/>
      <c r="AK130" s="20"/>
      <c r="AL130" s="11"/>
      <c r="AM130" s="21" t="str">
        <f aca="false">IF(AO130="","",AO130*IF(ISNUMBER(AK130),AK130,DefFills)*(1+IF(ISNUMBER(AL130),AL130,DefAllow)))</f>
        <v/>
      </c>
      <c r="AN130" s="22" t="str">
        <f aca="false">IF(G130="Given volume",IF(ISNUMBER(H130),H130*INDEX(VolF,MATCH($H$7,VolU,0)),""),IF(G130="Water weight",AH130,IF(N(AG130)=0,"",AG130)))</f>
        <v/>
      </c>
      <c r="AO130" s="22" t="str">
        <f aca="false">IF(N(AN130)=0,"",AN130*AT130*IF(ISNUMBER(AJ130),AJ130,DefCirc))</f>
        <v/>
      </c>
      <c r="AP130" s="9" t="n">
        <f aca="false">IF(ISNUMBER(T130),T130*INDEX(LenF,MATCH($T$7,LenU,0)),IF(ISNUMBER(W130),W130*INDEX(LenF,MATCH($W$7,LenU,0))/PitchRatio,0))</f>
        <v>0</v>
      </c>
      <c r="AQ130" s="9" t="n">
        <f aca="false">IF(ISNUMBER(N130),PI()/4*(N130*INDEX(LenF,MATCH($N$7,LenU,0)))^2,IF(AND(ISNUMBER(S130),ISNUMBER(W130),X130&lt;&gt;""),S130*(W130*INDEX(LenF,MATCH($W$7,LenU,0)))^2*INDEX(LayoutF,MATCH(X130,LayoutU,0)),0))</f>
        <v>0</v>
      </c>
      <c r="AR130" s="9" t="n">
        <f aca="false">IF(ISNUMBER(O130),O130*INDEX(LenF,MATCH($O$7,LenU,0)),IF(ISNUMBER(V130),V130*INDEX(LenF,MATCH($V$7,LenU,0)),0))</f>
        <v>0</v>
      </c>
      <c r="AS130" s="9" t="str">
        <f aca="false">IF(ISNUMBER(L130),L130*INDEX(LenF,MATCH($L$7,LenU,0))*1000,IF(OR(J130="",K130=""),"",IFERROR(IF(INDEX(PipeWT,MATCH(J130,NPSU,0),MATCH(K130,SchU,0))="","Sch n/a",INDEX(PipeOD,MATCH(J130,NPSU,0))-2*INDEX(PipeWT,MATCH(J130,NPSU,0),MATCH(K130,SchU,0))),"")))</f>
        <v/>
      </c>
      <c r="AT130" s="9" t="n">
        <f aca="false">IF(ISNUMBER(AI130),AI130,IFERROR(INDEX(IF(JobType="Decontamination",TypeFillDC,TypeFillCC),MATCH(E130,TypeL,0)),1))</f>
        <v>1</v>
      </c>
      <c r="AU130" s="9" t="n">
        <v>4</v>
      </c>
    </row>
    <row r="131" customFormat="false" ht="15" hidden="false" customHeight="false" outlineLevel="0" collapsed="false">
      <c r="A131" s="16" t="n">
        <v>23</v>
      </c>
      <c r="B131" s="20"/>
      <c r="C131" s="5"/>
      <c r="D131" s="5"/>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1" t="str">
        <f aca="false">IF(E131="Exchanger",IF(AND(ISNUMBER(S131),ISNUMBER(U131),ISNUMBER(V131)),S131*PI()/4*(U131*INDEX(LenF,MATCH($U$7,LenU,0)))^2*V131*INDEX(LenF,MATCH($V$7,LenU,0)),0)+IF(ISNUMBER(Y131),PI()/4*(Y131*INDEX(LenF,MATCH($Y$7,LenU,0)))^2*N(Z131)*INDEX(LenF,MATCH($Z$7,LenU,0))+IF(AA131="",0,IF(AA131="Conical",PI()/12*(Y131*INDEX(LenF,MATCH($Y$7,LenU,0)))^2*(0),INDEX(HeadK,MATCH(AA131,HeadU,0))*(Y131*INDEX(LenF,MATCH($Y$7,LenU,0)))^3)),0)+IF(ISNUMBER(Y131),PI()/4*(Y131*INDEX(LenF,MATCH($Y$7,LenU,0)))^2*N(AB131)*INDEX(LenF,MATCH($AB$7,LenU,0))+IF(AC131="",0,IF(AC131="Conical",PI()/12*(Y131*INDEX(LenF,MATCH($Y$7,LenU,0)))^2*(0),INDEX(HeadK,MATCH(AC131,HeadU,0))*(Y131*INDEX(LenF,MATCH($Y$7,LenU,0)))^3)),0),"")</f>
        <v/>
      </c>
      <c r="AE131" s="21" t="str">
        <f aca="false">IF(OR(E131="",E131="Piping"),"",IF(E131="Exchanger",AQ131*AR131+IF(P131="",0,IF(P131="Conical",PI()/12*(SQRT(4*AQ131/PI()))^2*(0),INDEX(HeadK,MATCH(P131,HeadU,0))*(SQRT(4*AQ131/PI()))^3))-IF(AND(ISNUMBER(S131),ISNUMBER(V131)),S131*PI()/4*AP131^2*V131*INDEX(LenF,MATCH($V$7,LenU,0)),0),IF(ISNUMBER(N131),PI()/4*(N131*INDEX(LenF,MATCH($N$7,LenU,0)))^2*N(O131)*INDEX(LenF,MATCH($O$7,LenU,0))+IF(P131="",0,IF(P131="Conical",PI()/12*(N131*INDEX(LenF,MATCH($N$7,LenU,0)))^2*(N(R131)*INDEX(LenF,MATCH($R$7,LenU,0))),INDEX(HeadK,MATCH(P131,HeadU,0))*(N131*INDEX(LenF,MATCH($N$7,LenU,0)))^3))+IF(Q131="",0,IF(Q131="Conical",PI()/12*(N131*INDEX(LenF,MATCH($N$7,LenU,0)))^2*(N(R131)*INDEX(LenF,MATCH($R$7,LenU,0))),INDEX(HeadK,MATCH(Q131,HeadU,0))*(N131*INDEX(LenF,MATCH($N$7,LenU,0)))^3)),0)))</f>
        <v/>
      </c>
      <c r="AF131" s="21" t="str">
        <f aca="false">IF(E131&lt;&gt;"Piping","",IF(AND(ISNUMBER(AS131),ISNUMBER(M131)),PI()/4*(AS131/1000)^2*M131*INDEX(LenF,MATCH($M$7,LenU,0)),0))</f>
        <v/>
      </c>
      <c r="AG131" s="21" t="str">
        <f aca="false">IF(E131="","",N(AD131)+N(AE131)+N(AF131))</f>
        <v/>
      </c>
      <c r="AH131" s="21" t="str">
        <f aca="false">IF(ISNUMBER(I131),I131*INDEX(WtF,MATCH($I$7,WtU,0))/WaterRho,"")</f>
        <v/>
      </c>
      <c r="AI131" s="11"/>
      <c r="AJ131" s="11"/>
      <c r="AK131" s="20"/>
      <c r="AL131" s="11"/>
      <c r="AM131" s="21" t="str">
        <f aca="false">IF(AO131="","",AO131*IF(ISNUMBER(AK131),AK131,DefFills)*(1+IF(ISNUMBER(AL131),AL131,DefAllow)))</f>
        <v/>
      </c>
      <c r="AN131" s="22" t="str">
        <f aca="false">IF(G131="Given volume",IF(ISNUMBER(H131),H131*INDEX(VolF,MATCH($H$7,VolU,0)),""),IF(G131="Water weight",AH131,IF(N(AG131)=0,"",AG131)))</f>
        <v/>
      </c>
      <c r="AO131" s="22" t="str">
        <f aca="false">IF(N(AN131)=0,"",AN131*AT131*IF(ISNUMBER(AJ131),AJ131,DefCirc))</f>
        <v/>
      </c>
      <c r="AP131" s="9" t="n">
        <f aca="false">IF(ISNUMBER(T131),T131*INDEX(LenF,MATCH($T$7,LenU,0)),IF(ISNUMBER(W131),W131*INDEX(LenF,MATCH($W$7,LenU,0))/PitchRatio,0))</f>
        <v>0</v>
      </c>
      <c r="AQ131" s="9" t="n">
        <f aca="false">IF(ISNUMBER(N131),PI()/4*(N131*INDEX(LenF,MATCH($N$7,LenU,0)))^2,IF(AND(ISNUMBER(S131),ISNUMBER(W131),X131&lt;&gt;""),S131*(W131*INDEX(LenF,MATCH($W$7,LenU,0)))^2*INDEX(LayoutF,MATCH(X131,LayoutU,0)),0))</f>
        <v>0</v>
      </c>
      <c r="AR131" s="9" t="n">
        <f aca="false">IF(ISNUMBER(O131),O131*INDEX(LenF,MATCH($O$7,LenU,0)),IF(ISNUMBER(V131),V131*INDEX(LenF,MATCH($V$7,LenU,0)),0))</f>
        <v>0</v>
      </c>
      <c r="AS131" s="9" t="str">
        <f aca="false">IF(ISNUMBER(L131),L131*INDEX(LenF,MATCH($L$7,LenU,0))*1000,IF(OR(J131="",K131=""),"",IFERROR(IF(INDEX(PipeWT,MATCH(J131,NPSU,0),MATCH(K131,SchU,0))="","Sch n/a",INDEX(PipeOD,MATCH(J131,NPSU,0))-2*INDEX(PipeWT,MATCH(J131,NPSU,0),MATCH(K131,SchU,0))),"")))</f>
        <v/>
      </c>
      <c r="AT131" s="9" t="n">
        <f aca="false">IF(ISNUMBER(AI131),AI131,IFERROR(INDEX(IF(JobType="Decontamination",TypeFillDC,TypeFillCC),MATCH(E131,TypeL,0)),1))</f>
        <v>1</v>
      </c>
      <c r="AU131" s="9" t="n">
        <v>4</v>
      </c>
    </row>
    <row r="132" customFormat="false" ht="15" hidden="false" customHeight="false" outlineLevel="0" collapsed="false">
      <c r="A132" s="16" t="n">
        <v>24</v>
      </c>
      <c r="B132" s="20"/>
      <c r="C132" s="5"/>
      <c r="D132" s="5"/>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1" t="str">
        <f aca="false">IF(E132="Exchanger",IF(AND(ISNUMBER(S132),ISNUMBER(U132),ISNUMBER(V132)),S132*PI()/4*(U132*INDEX(LenF,MATCH($U$7,LenU,0)))^2*V132*INDEX(LenF,MATCH($V$7,LenU,0)),0)+IF(ISNUMBER(Y132),PI()/4*(Y132*INDEX(LenF,MATCH($Y$7,LenU,0)))^2*N(Z132)*INDEX(LenF,MATCH($Z$7,LenU,0))+IF(AA132="",0,IF(AA132="Conical",PI()/12*(Y132*INDEX(LenF,MATCH($Y$7,LenU,0)))^2*(0),INDEX(HeadK,MATCH(AA132,HeadU,0))*(Y132*INDEX(LenF,MATCH($Y$7,LenU,0)))^3)),0)+IF(ISNUMBER(Y132),PI()/4*(Y132*INDEX(LenF,MATCH($Y$7,LenU,0)))^2*N(AB132)*INDEX(LenF,MATCH($AB$7,LenU,0))+IF(AC132="",0,IF(AC132="Conical",PI()/12*(Y132*INDEX(LenF,MATCH($Y$7,LenU,0)))^2*(0),INDEX(HeadK,MATCH(AC132,HeadU,0))*(Y132*INDEX(LenF,MATCH($Y$7,LenU,0)))^3)),0),"")</f>
        <v/>
      </c>
      <c r="AE132" s="21" t="str">
        <f aca="false">IF(OR(E132="",E132="Piping"),"",IF(E132="Exchanger",AQ132*AR132+IF(P132="",0,IF(P132="Conical",PI()/12*(SQRT(4*AQ132/PI()))^2*(0),INDEX(HeadK,MATCH(P132,HeadU,0))*(SQRT(4*AQ132/PI()))^3))-IF(AND(ISNUMBER(S132),ISNUMBER(V132)),S132*PI()/4*AP132^2*V132*INDEX(LenF,MATCH($V$7,LenU,0)),0),IF(ISNUMBER(N132),PI()/4*(N132*INDEX(LenF,MATCH($N$7,LenU,0)))^2*N(O132)*INDEX(LenF,MATCH($O$7,LenU,0))+IF(P132="",0,IF(P132="Conical",PI()/12*(N132*INDEX(LenF,MATCH($N$7,LenU,0)))^2*(N(R132)*INDEX(LenF,MATCH($R$7,LenU,0))),INDEX(HeadK,MATCH(P132,HeadU,0))*(N132*INDEX(LenF,MATCH($N$7,LenU,0)))^3))+IF(Q132="",0,IF(Q132="Conical",PI()/12*(N132*INDEX(LenF,MATCH($N$7,LenU,0)))^2*(N(R132)*INDEX(LenF,MATCH($R$7,LenU,0))),INDEX(HeadK,MATCH(Q132,HeadU,0))*(N132*INDEX(LenF,MATCH($N$7,LenU,0)))^3)),0)))</f>
        <v/>
      </c>
      <c r="AF132" s="21" t="str">
        <f aca="false">IF(E132&lt;&gt;"Piping","",IF(AND(ISNUMBER(AS132),ISNUMBER(M132)),PI()/4*(AS132/1000)^2*M132*INDEX(LenF,MATCH($M$7,LenU,0)),0))</f>
        <v/>
      </c>
      <c r="AG132" s="21" t="str">
        <f aca="false">IF(E132="","",N(AD132)+N(AE132)+N(AF132))</f>
        <v/>
      </c>
      <c r="AH132" s="21" t="str">
        <f aca="false">IF(ISNUMBER(I132),I132*INDEX(WtF,MATCH($I$7,WtU,0))/WaterRho,"")</f>
        <v/>
      </c>
      <c r="AI132" s="11"/>
      <c r="AJ132" s="11"/>
      <c r="AK132" s="20"/>
      <c r="AL132" s="11"/>
      <c r="AM132" s="21" t="str">
        <f aca="false">IF(AO132="","",AO132*IF(ISNUMBER(AK132),AK132,DefFills)*(1+IF(ISNUMBER(AL132),AL132,DefAllow)))</f>
        <v/>
      </c>
      <c r="AN132" s="22" t="str">
        <f aca="false">IF(G132="Given volume",IF(ISNUMBER(H132),H132*INDEX(VolF,MATCH($H$7,VolU,0)),""),IF(G132="Water weight",AH132,IF(N(AG132)=0,"",AG132)))</f>
        <v/>
      </c>
      <c r="AO132" s="22" t="str">
        <f aca="false">IF(N(AN132)=0,"",AN132*AT132*IF(ISNUMBER(AJ132),AJ132,DefCirc))</f>
        <v/>
      </c>
      <c r="AP132" s="9" t="n">
        <f aca="false">IF(ISNUMBER(T132),T132*INDEX(LenF,MATCH($T$7,LenU,0)),IF(ISNUMBER(W132),W132*INDEX(LenF,MATCH($W$7,LenU,0))/PitchRatio,0))</f>
        <v>0</v>
      </c>
      <c r="AQ132" s="9" t="n">
        <f aca="false">IF(ISNUMBER(N132),PI()/4*(N132*INDEX(LenF,MATCH($N$7,LenU,0)))^2,IF(AND(ISNUMBER(S132),ISNUMBER(W132),X132&lt;&gt;""),S132*(W132*INDEX(LenF,MATCH($W$7,LenU,0)))^2*INDEX(LayoutF,MATCH(X132,LayoutU,0)),0))</f>
        <v>0</v>
      </c>
      <c r="AR132" s="9" t="n">
        <f aca="false">IF(ISNUMBER(O132),O132*INDEX(LenF,MATCH($O$7,LenU,0)),IF(ISNUMBER(V132),V132*INDEX(LenF,MATCH($V$7,LenU,0)),0))</f>
        <v>0</v>
      </c>
      <c r="AS132" s="9" t="str">
        <f aca="false">IF(ISNUMBER(L132),L132*INDEX(LenF,MATCH($L$7,LenU,0))*1000,IF(OR(J132="",K132=""),"",IFERROR(IF(INDEX(PipeWT,MATCH(J132,NPSU,0),MATCH(K132,SchU,0))="","Sch n/a",INDEX(PipeOD,MATCH(J132,NPSU,0))-2*INDEX(PipeWT,MATCH(J132,NPSU,0),MATCH(K132,SchU,0))),"")))</f>
        <v/>
      </c>
      <c r="AT132" s="9" t="n">
        <f aca="false">IF(ISNUMBER(AI132),AI132,IFERROR(INDEX(IF(JobType="Decontamination",TypeFillDC,TypeFillCC),MATCH(E132,TypeL,0)),1))</f>
        <v>1</v>
      </c>
      <c r="AU132" s="9" t="n">
        <v>4</v>
      </c>
    </row>
    <row r="133" customFormat="false" ht="15" hidden="false" customHeight="false" outlineLevel="0" collapsed="false">
      <c r="A133" s="16" t="n">
        <v>25</v>
      </c>
      <c r="B133" s="20"/>
      <c r="C133" s="5"/>
      <c r="D133" s="5"/>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1" t="str">
        <f aca="false">IF(E133="Exchanger",IF(AND(ISNUMBER(S133),ISNUMBER(U133),ISNUMBER(V133)),S133*PI()/4*(U133*INDEX(LenF,MATCH($U$7,LenU,0)))^2*V133*INDEX(LenF,MATCH($V$7,LenU,0)),0)+IF(ISNUMBER(Y133),PI()/4*(Y133*INDEX(LenF,MATCH($Y$7,LenU,0)))^2*N(Z133)*INDEX(LenF,MATCH($Z$7,LenU,0))+IF(AA133="",0,IF(AA133="Conical",PI()/12*(Y133*INDEX(LenF,MATCH($Y$7,LenU,0)))^2*(0),INDEX(HeadK,MATCH(AA133,HeadU,0))*(Y133*INDEX(LenF,MATCH($Y$7,LenU,0)))^3)),0)+IF(ISNUMBER(Y133),PI()/4*(Y133*INDEX(LenF,MATCH($Y$7,LenU,0)))^2*N(AB133)*INDEX(LenF,MATCH($AB$7,LenU,0))+IF(AC133="",0,IF(AC133="Conical",PI()/12*(Y133*INDEX(LenF,MATCH($Y$7,LenU,0)))^2*(0),INDEX(HeadK,MATCH(AC133,HeadU,0))*(Y133*INDEX(LenF,MATCH($Y$7,LenU,0)))^3)),0),"")</f>
        <v/>
      </c>
      <c r="AE133" s="21" t="str">
        <f aca="false">IF(OR(E133="",E133="Piping"),"",IF(E133="Exchanger",AQ133*AR133+IF(P133="",0,IF(P133="Conical",PI()/12*(SQRT(4*AQ133/PI()))^2*(0),INDEX(HeadK,MATCH(P133,HeadU,0))*(SQRT(4*AQ133/PI()))^3))-IF(AND(ISNUMBER(S133),ISNUMBER(V133)),S133*PI()/4*AP133^2*V133*INDEX(LenF,MATCH($V$7,LenU,0)),0),IF(ISNUMBER(N133),PI()/4*(N133*INDEX(LenF,MATCH($N$7,LenU,0)))^2*N(O133)*INDEX(LenF,MATCH($O$7,LenU,0))+IF(P133="",0,IF(P133="Conical",PI()/12*(N133*INDEX(LenF,MATCH($N$7,LenU,0)))^2*(N(R133)*INDEX(LenF,MATCH($R$7,LenU,0))),INDEX(HeadK,MATCH(P133,HeadU,0))*(N133*INDEX(LenF,MATCH($N$7,LenU,0)))^3))+IF(Q133="",0,IF(Q133="Conical",PI()/12*(N133*INDEX(LenF,MATCH($N$7,LenU,0)))^2*(N(R133)*INDEX(LenF,MATCH($R$7,LenU,0))),INDEX(HeadK,MATCH(Q133,HeadU,0))*(N133*INDEX(LenF,MATCH($N$7,LenU,0)))^3)),0)))</f>
        <v/>
      </c>
      <c r="AF133" s="21" t="str">
        <f aca="false">IF(E133&lt;&gt;"Piping","",IF(AND(ISNUMBER(AS133),ISNUMBER(M133)),PI()/4*(AS133/1000)^2*M133*INDEX(LenF,MATCH($M$7,LenU,0)),0))</f>
        <v/>
      </c>
      <c r="AG133" s="21" t="str">
        <f aca="false">IF(E133="","",N(AD133)+N(AE133)+N(AF133))</f>
        <v/>
      </c>
      <c r="AH133" s="21" t="str">
        <f aca="false">IF(ISNUMBER(I133),I133*INDEX(WtF,MATCH($I$7,WtU,0))/WaterRho,"")</f>
        <v/>
      </c>
      <c r="AI133" s="11"/>
      <c r="AJ133" s="11"/>
      <c r="AK133" s="20"/>
      <c r="AL133" s="11"/>
      <c r="AM133" s="21" t="str">
        <f aca="false">IF(AO133="","",AO133*IF(ISNUMBER(AK133),AK133,DefFills)*(1+IF(ISNUMBER(AL133),AL133,DefAllow)))</f>
        <v/>
      </c>
      <c r="AN133" s="22" t="str">
        <f aca="false">IF(G133="Given volume",IF(ISNUMBER(H133),H133*INDEX(VolF,MATCH($H$7,VolU,0)),""),IF(G133="Water weight",AH133,IF(N(AG133)=0,"",AG133)))</f>
        <v/>
      </c>
      <c r="AO133" s="22" t="str">
        <f aca="false">IF(N(AN133)=0,"",AN133*AT133*IF(ISNUMBER(AJ133),AJ133,DefCirc))</f>
        <v/>
      </c>
      <c r="AP133" s="9" t="n">
        <f aca="false">IF(ISNUMBER(T133),T133*INDEX(LenF,MATCH($T$7,LenU,0)),IF(ISNUMBER(W133),W133*INDEX(LenF,MATCH($W$7,LenU,0))/PitchRatio,0))</f>
        <v>0</v>
      </c>
      <c r="AQ133" s="9" t="n">
        <f aca="false">IF(ISNUMBER(N133),PI()/4*(N133*INDEX(LenF,MATCH($N$7,LenU,0)))^2,IF(AND(ISNUMBER(S133),ISNUMBER(W133),X133&lt;&gt;""),S133*(W133*INDEX(LenF,MATCH($W$7,LenU,0)))^2*INDEX(LayoutF,MATCH(X133,LayoutU,0)),0))</f>
        <v>0</v>
      </c>
      <c r="AR133" s="9" t="n">
        <f aca="false">IF(ISNUMBER(O133),O133*INDEX(LenF,MATCH($O$7,LenU,0)),IF(ISNUMBER(V133),V133*INDEX(LenF,MATCH($V$7,LenU,0)),0))</f>
        <v>0</v>
      </c>
      <c r="AS133" s="9" t="str">
        <f aca="false">IF(ISNUMBER(L133),L133*INDEX(LenF,MATCH($L$7,LenU,0))*1000,IF(OR(J133="",K133=""),"",IFERROR(IF(INDEX(PipeWT,MATCH(J133,NPSU,0),MATCH(K133,SchU,0))="","Sch n/a",INDEX(PipeOD,MATCH(J133,NPSU,0))-2*INDEX(PipeWT,MATCH(J133,NPSU,0),MATCH(K133,SchU,0))),"")))</f>
        <v/>
      </c>
      <c r="AT133" s="9" t="n">
        <f aca="false">IF(ISNUMBER(AI133),AI133,IFERROR(INDEX(IF(JobType="Decontamination",TypeFillDC,TypeFillCC),MATCH(E133,TypeL,0)),1))</f>
        <v>1</v>
      </c>
      <c r="AU133" s="9" t="n">
        <v>4</v>
      </c>
    </row>
    <row r="134" customFormat="false" ht="15" hidden="false" customHeight="false" outlineLevel="0" collapsed="false">
      <c r="A134" s="16" t="n">
        <v>26</v>
      </c>
      <c r="B134" s="20"/>
      <c r="C134" s="5"/>
      <c r="D134" s="5"/>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1" t="str">
        <f aca="false">IF(E134="Exchanger",IF(AND(ISNUMBER(S134),ISNUMBER(U134),ISNUMBER(V134)),S134*PI()/4*(U134*INDEX(LenF,MATCH($U$7,LenU,0)))^2*V134*INDEX(LenF,MATCH($V$7,LenU,0)),0)+IF(ISNUMBER(Y134),PI()/4*(Y134*INDEX(LenF,MATCH($Y$7,LenU,0)))^2*N(Z134)*INDEX(LenF,MATCH($Z$7,LenU,0))+IF(AA134="",0,IF(AA134="Conical",PI()/12*(Y134*INDEX(LenF,MATCH($Y$7,LenU,0)))^2*(0),INDEX(HeadK,MATCH(AA134,HeadU,0))*(Y134*INDEX(LenF,MATCH($Y$7,LenU,0)))^3)),0)+IF(ISNUMBER(Y134),PI()/4*(Y134*INDEX(LenF,MATCH($Y$7,LenU,0)))^2*N(AB134)*INDEX(LenF,MATCH($AB$7,LenU,0))+IF(AC134="",0,IF(AC134="Conical",PI()/12*(Y134*INDEX(LenF,MATCH($Y$7,LenU,0)))^2*(0),INDEX(HeadK,MATCH(AC134,HeadU,0))*(Y134*INDEX(LenF,MATCH($Y$7,LenU,0)))^3)),0),"")</f>
        <v/>
      </c>
      <c r="AE134" s="21" t="str">
        <f aca="false">IF(OR(E134="",E134="Piping"),"",IF(E134="Exchanger",AQ134*AR134+IF(P134="",0,IF(P134="Conical",PI()/12*(SQRT(4*AQ134/PI()))^2*(0),INDEX(HeadK,MATCH(P134,HeadU,0))*(SQRT(4*AQ134/PI()))^3))-IF(AND(ISNUMBER(S134),ISNUMBER(V134)),S134*PI()/4*AP134^2*V134*INDEX(LenF,MATCH($V$7,LenU,0)),0),IF(ISNUMBER(N134),PI()/4*(N134*INDEX(LenF,MATCH($N$7,LenU,0)))^2*N(O134)*INDEX(LenF,MATCH($O$7,LenU,0))+IF(P134="",0,IF(P134="Conical",PI()/12*(N134*INDEX(LenF,MATCH($N$7,LenU,0)))^2*(N(R134)*INDEX(LenF,MATCH($R$7,LenU,0))),INDEX(HeadK,MATCH(P134,HeadU,0))*(N134*INDEX(LenF,MATCH($N$7,LenU,0)))^3))+IF(Q134="",0,IF(Q134="Conical",PI()/12*(N134*INDEX(LenF,MATCH($N$7,LenU,0)))^2*(N(R134)*INDEX(LenF,MATCH($R$7,LenU,0))),INDEX(HeadK,MATCH(Q134,HeadU,0))*(N134*INDEX(LenF,MATCH($N$7,LenU,0)))^3)),0)))</f>
        <v/>
      </c>
      <c r="AF134" s="21" t="str">
        <f aca="false">IF(E134&lt;&gt;"Piping","",IF(AND(ISNUMBER(AS134),ISNUMBER(M134)),PI()/4*(AS134/1000)^2*M134*INDEX(LenF,MATCH($M$7,LenU,0)),0))</f>
        <v/>
      </c>
      <c r="AG134" s="21" t="str">
        <f aca="false">IF(E134="","",N(AD134)+N(AE134)+N(AF134))</f>
        <v/>
      </c>
      <c r="AH134" s="21" t="str">
        <f aca="false">IF(ISNUMBER(I134),I134*INDEX(WtF,MATCH($I$7,WtU,0))/WaterRho,"")</f>
        <v/>
      </c>
      <c r="AI134" s="11"/>
      <c r="AJ134" s="11"/>
      <c r="AK134" s="20"/>
      <c r="AL134" s="11"/>
      <c r="AM134" s="21" t="str">
        <f aca="false">IF(AO134="","",AO134*IF(ISNUMBER(AK134),AK134,DefFills)*(1+IF(ISNUMBER(AL134),AL134,DefAllow)))</f>
        <v/>
      </c>
      <c r="AN134" s="22" t="str">
        <f aca="false">IF(G134="Given volume",IF(ISNUMBER(H134),H134*INDEX(VolF,MATCH($H$7,VolU,0)),""),IF(G134="Water weight",AH134,IF(N(AG134)=0,"",AG134)))</f>
        <v/>
      </c>
      <c r="AO134" s="22" t="str">
        <f aca="false">IF(N(AN134)=0,"",AN134*AT134*IF(ISNUMBER(AJ134),AJ134,DefCirc))</f>
        <v/>
      </c>
      <c r="AP134" s="9" t="n">
        <f aca="false">IF(ISNUMBER(T134),T134*INDEX(LenF,MATCH($T$7,LenU,0)),IF(ISNUMBER(W134),W134*INDEX(LenF,MATCH($W$7,LenU,0))/PitchRatio,0))</f>
        <v>0</v>
      </c>
      <c r="AQ134" s="9" t="n">
        <f aca="false">IF(ISNUMBER(N134),PI()/4*(N134*INDEX(LenF,MATCH($N$7,LenU,0)))^2,IF(AND(ISNUMBER(S134),ISNUMBER(W134),X134&lt;&gt;""),S134*(W134*INDEX(LenF,MATCH($W$7,LenU,0)))^2*INDEX(LayoutF,MATCH(X134,LayoutU,0)),0))</f>
        <v>0</v>
      </c>
      <c r="AR134" s="9" t="n">
        <f aca="false">IF(ISNUMBER(O134),O134*INDEX(LenF,MATCH($O$7,LenU,0)),IF(ISNUMBER(V134),V134*INDEX(LenF,MATCH($V$7,LenU,0)),0))</f>
        <v>0</v>
      </c>
      <c r="AS134" s="9" t="str">
        <f aca="false">IF(ISNUMBER(L134),L134*INDEX(LenF,MATCH($L$7,LenU,0))*1000,IF(OR(J134="",K134=""),"",IFERROR(IF(INDEX(PipeWT,MATCH(J134,NPSU,0),MATCH(K134,SchU,0))="","Sch n/a",INDEX(PipeOD,MATCH(J134,NPSU,0))-2*INDEX(PipeWT,MATCH(J134,NPSU,0),MATCH(K134,SchU,0))),"")))</f>
        <v/>
      </c>
      <c r="AT134" s="9" t="n">
        <f aca="false">IF(ISNUMBER(AI134),AI134,IFERROR(INDEX(IF(JobType="Decontamination",TypeFillDC,TypeFillCC),MATCH(E134,TypeL,0)),1))</f>
        <v>1</v>
      </c>
      <c r="AU134" s="9" t="n">
        <v>4</v>
      </c>
    </row>
    <row r="135" customFormat="false" ht="15" hidden="false" customHeight="false" outlineLevel="0" collapsed="false">
      <c r="A135" s="16" t="n">
        <v>27</v>
      </c>
      <c r="B135" s="20"/>
      <c r="C135" s="5"/>
      <c r="D135" s="5"/>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1" t="str">
        <f aca="false">IF(E135="Exchanger",IF(AND(ISNUMBER(S135),ISNUMBER(U135),ISNUMBER(V135)),S135*PI()/4*(U135*INDEX(LenF,MATCH($U$7,LenU,0)))^2*V135*INDEX(LenF,MATCH($V$7,LenU,0)),0)+IF(ISNUMBER(Y135),PI()/4*(Y135*INDEX(LenF,MATCH($Y$7,LenU,0)))^2*N(Z135)*INDEX(LenF,MATCH($Z$7,LenU,0))+IF(AA135="",0,IF(AA135="Conical",PI()/12*(Y135*INDEX(LenF,MATCH($Y$7,LenU,0)))^2*(0),INDEX(HeadK,MATCH(AA135,HeadU,0))*(Y135*INDEX(LenF,MATCH($Y$7,LenU,0)))^3)),0)+IF(ISNUMBER(Y135),PI()/4*(Y135*INDEX(LenF,MATCH($Y$7,LenU,0)))^2*N(AB135)*INDEX(LenF,MATCH($AB$7,LenU,0))+IF(AC135="",0,IF(AC135="Conical",PI()/12*(Y135*INDEX(LenF,MATCH($Y$7,LenU,0)))^2*(0),INDEX(HeadK,MATCH(AC135,HeadU,0))*(Y135*INDEX(LenF,MATCH($Y$7,LenU,0)))^3)),0),"")</f>
        <v/>
      </c>
      <c r="AE135" s="21" t="str">
        <f aca="false">IF(OR(E135="",E135="Piping"),"",IF(E135="Exchanger",AQ135*AR135+IF(P135="",0,IF(P135="Conical",PI()/12*(SQRT(4*AQ135/PI()))^2*(0),INDEX(HeadK,MATCH(P135,HeadU,0))*(SQRT(4*AQ135/PI()))^3))-IF(AND(ISNUMBER(S135),ISNUMBER(V135)),S135*PI()/4*AP135^2*V135*INDEX(LenF,MATCH($V$7,LenU,0)),0),IF(ISNUMBER(N135),PI()/4*(N135*INDEX(LenF,MATCH($N$7,LenU,0)))^2*N(O135)*INDEX(LenF,MATCH($O$7,LenU,0))+IF(P135="",0,IF(P135="Conical",PI()/12*(N135*INDEX(LenF,MATCH($N$7,LenU,0)))^2*(N(R135)*INDEX(LenF,MATCH($R$7,LenU,0))),INDEX(HeadK,MATCH(P135,HeadU,0))*(N135*INDEX(LenF,MATCH($N$7,LenU,0)))^3))+IF(Q135="",0,IF(Q135="Conical",PI()/12*(N135*INDEX(LenF,MATCH($N$7,LenU,0)))^2*(N(R135)*INDEX(LenF,MATCH($R$7,LenU,0))),INDEX(HeadK,MATCH(Q135,HeadU,0))*(N135*INDEX(LenF,MATCH($N$7,LenU,0)))^3)),0)))</f>
        <v/>
      </c>
      <c r="AF135" s="21" t="str">
        <f aca="false">IF(E135&lt;&gt;"Piping","",IF(AND(ISNUMBER(AS135),ISNUMBER(M135)),PI()/4*(AS135/1000)^2*M135*INDEX(LenF,MATCH($M$7,LenU,0)),0))</f>
        <v/>
      </c>
      <c r="AG135" s="21" t="str">
        <f aca="false">IF(E135="","",N(AD135)+N(AE135)+N(AF135))</f>
        <v/>
      </c>
      <c r="AH135" s="21" t="str">
        <f aca="false">IF(ISNUMBER(I135),I135*INDEX(WtF,MATCH($I$7,WtU,0))/WaterRho,"")</f>
        <v/>
      </c>
      <c r="AI135" s="11"/>
      <c r="AJ135" s="11"/>
      <c r="AK135" s="20"/>
      <c r="AL135" s="11"/>
      <c r="AM135" s="21" t="str">
        <f aca="false">IF(AO135="","",AO135*IF(ISNUMBER(AK135),AK135,DefFills)*(1+IF(ISNUMBER(AL135),AL135,DefAllow)))</f>
        <v/>
      </c>
      <c r="AN135" s="22" t="str">
        <f aca="false">IF(G135="Given volume",IF(ISNUMBER(H135),H135*INDEX(VolF,MATCH($H$7,VolU,0)),""),IF(G135="Water weight",AH135,IF(N(AG135)=0,"",AG135)))</f>
        <v/>
      </c>
      <c r="AO135" s="22" t="str">
        <f aca="false">IF(N(AN135)=0,"",AN135*AT135*IF(ISNUMBER(AJ135),AJ135,DefCirc))</f>
        <v/>
      </c>
      <c r="AP135" s="9" t="n">
        <f aca="false">IF(ISNUMBER(T135),T135*INDEX(LenF,MATCH($T$7,LenU,0)),IF(ISNUMBER(W135),W135*INDEX(LenF,MATCH($W$7,LenU,0))/PitchRatio,0))</f>
        <v>0</v>
      </c>
      <c r="AQ135" s="9" t="n">
        <f aca="false">IF(ISNUMBER(N135),PI()/4*(N135*INDEX(LenF,MATCH($N$7,LenU,0)))^2,IF(AND(ISNUMBER(S135),ISNUMBER(W135),X135&lt;&gt;""),S135*(W135*INDEX(LenF,MATCH($W$7,LenU,0)))^2*INDEX(LayoutF,MATCH(X135,LayoutU,0)),0))</f>
        <v>0</v>
      </c>
      <c r="AR135" s="9" t="n">
        <f aca="false">IF(ISNUMBER(O135),O135*INDEX(LenF,MATCH($O$7,LenU,0)),IF(ISNUMBER(V135),V135*INDEX(LenF,MATCH($V$7,LenU,0)),0))</f>
        <v>0</v>
      </c>
      <c r="AS135" s="9" t="str">
        <f aca="false">IF(ISNUMBER(L135),L135*INDEX(LenF,MATCH($L$7,LenU,0))*1000,IF(OR(J135="",K135=""),"",IFERROR(IF(INDEX(PipeWT,MATCH(J135,NPSU,0),MATCH(K135,SchU,0))="","Sch n/a",INDEX(PipeOD,MATCH(J135,NPSU,0))-2*INDEX(PipeWT,MATCH(J135,NPSU,0),MATCH(K135,SchU,0))),"")))</f>
        <v/>
      </c>
      <c r="AT135" s="9" t="n">
        <f aca="false">IF(ISNUMBER(AI135),AI135,IFERROR(INDEX(IF(JobType="Decontamination",TypeFillDC,TypeFillCC),MATCH(E135,TypeL,0)),1))</f>
        <v>1</v>
      </c>
      <c r="AU135" s="9" t="n">
        <v>4</v>
      </c>
    </row>
    <row r="136" customFormat="false" ht="15" hidden="false" customHeight="false" outlineLevel="0" collapsed="false">
      <c r="A136" s="16" t="n">
        <v>28</v>
      </c>
      <c r="B136" s="20"/>
      <c r="C136" s="5"/>
      <c r="D136" s="5"/>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1" t="str">
        <f aca="false">IF(E136="Exchanger",IF(AND(ISNUMBER(S136),ISNUMBER(U136),ISNUMBER(V136)),S136*PI()/4*(U136*INDEX(LenF,MATCH($U$7,LenU,0)))^2*V136*INDEX(LenF,MATCH($V$7,LenU,0)),0)+IF(ISNUMBER(Y136),PI()/4*(Y136*INDEX(LenF,MATCH($Y$7,LenU,0)))^2*N(Z136)*INDEX(LenF,MATCH($Z$7,LenU,0))+IF(AA136="",0,IF(AA136="Conical",PI()/12*(Y136*INDEX(LenF,MATCH($Y$7,LenU,0)))^2*(0),INDEX(HeadK,MATCH(AA136,HeadU,0))*(Y136*INDEX(LenF,MATCH($Y$7,LenU,0)))^3)),0)+IF(ISNUMBER(Y136),PI()/4*(Y136*INDEX(LenF,MATCH($Y$7,LenU,0)))^2*N(AB136)*INDEX(LenF,MATCH($AB$7,LenU,0))+IF(AC136="",0,IF(AC136="Conical",PI()/12*(Y136*INDEX(LenF,MATCH($Y$7,LenU,0)))^2*(0),INDEX(HeadK,MATCH(AC136,HeadU,0))*(Y136*INDEX(LenF,MATCH($Y$7,LenU,0)))^3)),0),"")</f>
        <v/>
      </c>
      <c r="AE136" s="21" t="str">
        <f aca="false">IF(OR(E136="",E136="Piping"),"",IF(E136="Exchanger",AQ136*AR136+IF(P136="",0,IF(P136="Conical",PI()/12*(SQRT(4*AQ136/PI()))^2*(0),INDEX(HeadK,MATCH(P136,HeadU,0))*(SQRT(4*AQ136/PI()))^3))-IF(AND(ISNUMBER(S136),ISNUMBER(V136)),S136*PI()/4*AP136^2*V136*INDEX(LenF,MATCH($V$7,LenU,0)),0),IF(ISNUMBER(N136),PI()/4*(N136*INDEX(LenF,MATCH($N$7,LenU,0)))^2*N(O136)*INDEX(LenF,MATCH($O$7,LenU,0))+IF(P136="",0,IF(P136="Conical",PI()/12*(N136*INDEX(LenF,MATCH($N$7,LenU,0)))^2*(N(R136)*INDEX(LenF,MATCH($R$7,LenU,0))),INDEX(HeadK,MATCH(P136,HeadU,0))*(N136*INDEX(LenF,MATCH($N$7,LenU,0)))^3))+IF(Q136="",0,IF(Q136="Conical",PI()/12*(N136*INDEX(LenF,MATCH($N$7,LenU,0)))^2*(N(R136)*INDEX(LenF,MATCH($R$7,LenU,0))),INDEX(HeadK,MATCH(Q136,HeadU,0))*(N136*INDEX(LenF,MATCH($N$7,LenU,0)))^3)),0)))</f>
        <v/>
      </c>
      <c r="AF136" s="21" t="str">
        <f aca="false">IF(E136&lt;&gt;"Piping","",IF(AND(ISNUMBER(AS136),ISNUMBER(M136)),PI()/4*(AS136/1000)^2*M136*INDEX(LenF,MATCH($M$7,LenU,0)),0))</f>
        <v/>
      </c>
      <c r="AG136" s="21" t="str">
        <f aca="false">IF(E136="","",N(AD136)+N(AE136)+N(AF136))</f>
        <v/>
      </c>
      <c r="AH136" s="21" t="str">
        <f aca="false">IF(ISNUMBER(I136),I136*INDEX(WtF,MATCH($I$7,WtU,0))/WaterRho,"")</f>
        <v/>
      </c>
      <c r="AI136" s="11"/>
      <c r="AJ136" s="11"/>
      <c r="AK136" s="20"/>
      <c r="AL136" s="11"/>
      <c r="AM136" s="21" t="str">
        <f aca="false">IF(AO136="","",AO136*IF(ISNUMBER(AK136),AK136,DefFills)*(1+IF(ISNUMBER(AL136),AL136,DefAllow)))</f>
        <v/>
      </c>
      <c r="AN136" s="22" t="str">
        <f aca="false">IF(G136="Given volume",IF(ISNUMBER(H136),H136*INDEX(VolF,MATCH($H$7,VolU,0)),""),IF(G136="Water weight",AH136,IF(N(AG136)=0,"",AG136)))</f>
        <v/>
      </c>
      <c r="AO136" s="22" t="str">
        <f aca="false">IF(N(AN136)=0,"",AN136*AT136*IF(ISNUMBER(AJ136),AJ136,DefCirc))</f>
        <v/>
      </c>
      <c r="AP136" s="9" t="n">
        <f aca="false">IF(ISNUMBER(T136),T136*INDEX(LenF,MATCH($T$7,LenU,0)),IF(ISNUMBER(W136),W136*INDEX(LenF,MATCH($W$7,LenU,0))/PitchRatio,0))</f>
        <v>0</v>
      </c>
      <c r="AQ136" s="9" t="n">
        <f aca="false">IF(ISNUMBER(N136),PI()/4*(N136*INDEX(LenF,MATCH($N$7,LenU,0)))^2,IF(AND(ISNUMBER(S136),ISNUMBER(W136),X136&lt;&gt;""),S136*(W136*INDEX(LenF,MATCH($W$7,LenU,0)))^2*INDEX(LayoutF,MATCH(X136,LayoutU,0)),0))</f>
        <v>0</v>
      </c>
      <c r="AR136" s="9" t="n">
        <f aca="false">IF(ISNUMBER(O136),O136*INDEX(LenF,MATCH($O$7,LenU,0)),IF(ISNUMBER(V136),V136*INDEX(LenF,MATCH($V$7,LenU,0)),0))</f>
        <v>0</v>
      </c>
      <c r="AS136" s="9" t="str">
        <f aca="false">IF(ISNUMBER(L136),L136*INDEX(LenF,MATCH($L$7,LenU,0))*1000,IF(OR(J136="",K136=""),"",IFERROR(IF(INDEX(PipeWT,MATCH(J136,NPSU,0),MATCH(K136,SchU,0))="","Sch n/a",INDEX(PipeOD,MATCH(J136,NPSU,0))-2*INDEX(PipeWT,MATCH(J136,NPSU,0),MATCH(K136,SchU,0))),"")))</f>
        <v/>
      </c>
      <c r="AT136" s="9" t="n">
        <f aca="false">IF(ISNUMBER(AI136),AI136,IFERROR(INDEX(IF(JobType="Decontamination",TypeFillDC,TypeFillCC),MATCH(E136,TypeL,0)),1))</f>
        <v>1</v>
      </c>
      <c r="AU136" s="9" t="n">
        <v>4</v>
      </c>
    </row>
    <row r="137" customFormat="false" ht="15" hidden="false" customHeight="false" outlineLevel="0" collapsed="false">
      <c r="A137" s="16" t="n">
        <v>29</v>
      </c>
      <c r="B137" s="20"/>
      <c r="C137" s="5"/>
      <c r="D137" s="5"/>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1" t="str">
        <f aca="false">IF(E137="Exchanger",IF(AND(ISNUMBER(S137),ISNUMBER(U137),ISNUMBER(V137)),S137*PI()/4*(U137*INDEX(LenF,MATCH($U$7,LenU,0)))^2*V137*INDEX(LenF,MATCH($V$7,LenU,0)),0)+IF(ISNUMBER(Y137),PI()/4*(Y137*INDEX(LenF,MATCH($Y$7,LenU,0)))^2*N(Z137)*INDEX(LenF,MATCH($Z$7,LenU,0))+IF(AA137="",0,IF(AA137="Conical",PI()/12*(Y137*INDEX(LenF,MATCH($Y$7,LenU,0)))^2*(0),INDEX(HeadK,MATCH(AA137,HeadU,0))*(Y137*INDEX(LenF,MATCH($Y$7,LenU,0)))^3)),0)+IF(ISNUMBER(Y137),PI()/4*(Y137*INDEX(LenF,MATCH($Y$7,LenU,0)))^2*N(AB137)*INDEX(LenF,MATCH($AB$7,LenU,0))+IF(AC137="",0,IF(AC137="Conical",PI()/12*(Y137*INDEX(LenF,MATCH($Y$7,LenU,0)))^2*(0),INDEX(HeadK,MATCH(AC137,HeadU,0))*(Y137*INDEX(LenF,MATCH($Y$7,LenU,0)))^3)),0),"")</f>
        <v/>
      </c>
      <c r="AE137" s="21" t="str">
        <f aca="false">IF(OR(E137="",E137="Piping"),"",IF(E137="Exchanger",AQ137*AR137+IF(P137="",0,IF(P137="Conical",PI()/12*(SQRT(4*AQ137/PI()))^2*(0),INDEX(HeadK,MATCH(P137,HeadU,0))*(SQRT(4*AQ137/PI()))^3))-IF(AND(ISNUMBER(S137),ISNUMBER(V137)),S137*PI()/4*AP137^2*V137*INDEX(LenF,MATCH($V$7,LenU,0)),0),IF(ISNUMBER(N137),PI()/4*(N137*INDEX(LenF,MATCH($N$7,LenU,0)))^2*N(O137)*INDEX(LenF,MATCH($O$7,LenU,0))+IF(P137="",0,IF(P137="Conical",PI()/12*(N137*INDEX(LenF,MATCH($N$7,LenU,0)))^2*(N(R137)*INDEX(LenF,MATCH($R$7,LenU,0))),INDEX(HeadK,MATCH(P137,HeadU,0))*(N137*INDEX(LenF,MATCH($N$7,LenU,0)))^3))+IF(Q137="",0,IF(Q137="Conical",PI()/12*(N137*INDEX(LenF,MATCH($N$7,LenU,0)))^2*(N(R137)*INDEX(LenF,MATCH($R$7,LenU,0))),INDEX(HeadK,MATCH(Q137,HeadU,0))*(N137*INDEX(LenF,MATCH($N$7,LenU,0)))^3)),0)))</f>
        <v/>
      </c>
      <c r="AF137" s="21" t="str">
        <f aca="false">IF(E137&lt;&gt;"Piping","",IF(AND(ISNUMBER(AS137),ISNUMBER(M137)),PI()/4*(AS137/1000)^2*M137*INDEX(LenF,MATCH($M$7,LenU,0)),0))</f>
        <v/>
      </c>
      <c r="AG137" s="21" t="str">
        <f aca="false">IF(E137="","",N(AD137)+N(AE137)+N(AF137))</f>
        <v/>
      </c>
      <c r="AH137" s="21" t="str">
        <f aca="false">IF(ISNUMBER(I137),I137*INDEX(WtF,MATCH($I$7,WtU,0))/WaterRho,"")</f>
        <v/>
      </c>
      <c r="AI137" s="11"/>
      <c r="AJ137" s="11"/>
      <c r="AK137" s="20"/>
      <c r="AL137" s="11"/>
      <c r="AM137" s="21" t="str">
        <f aca="false">IF(AO137="","",AO137*IF(ISNUMBER(AK137),AK137,DefFills)*(1+IF(ISNUMBER(AL137),AL137,DefAllow)))</f>
        <v/>
      </c>
      <c r="AN137" s="22" t="str">
        <f aca="false">IF(G137="Given volume",IF(ISNUMBER(H137),H137*INDEX(VolF,MATCH($H$7,VolU,0)),""),IF(G137="Water weight",AH137,IF(N(AG137)=0,"",AG137)))</f>
        <v/>
      </c>
      <c r="AO137" s="22" t="str">
        <f aca="false">IF(N(AN137)=0,"",AN137*AT137*IF(ISNUMBER(AJ137),AJ137,DefCirc))</f>
        <v/>
      </c>
      <c r="AP137" s="9" t="n">
        <f aca="false">IF(ISNUMBER(T137),T137*INDEX(LenF,MATCH($T$7,LenU,0)),IF(ISNUMBER(W137),W137*INDEX(LenF,MATCH($W$7,LenU,0))/PitchRatio,0))</f>
        <v>0</v>
      </c>
      <c r="AQ137" s="9" t="n">
        <f aca="false">IF(ISNUMBER(N137),PI()/4*(N137*INDEX(LenF,MATCH($N$7,LenU,0)))^2,IF(AND(ISNUMBER(S137),ISNUMBER(W137),X137&lt;&gt;""),S137*(W137*INDEX(LenF,MATCH($W$7,LenU,0)))^2*INDEX(LayoutF,MATCH(X137,LayoutU,0)),0))</f>
        <v>0</v>
      </c>
      <c r="AR137" s="9" t="n">
        <f aca="false">IF(ISNUMBER(O137),O137*INDEX(LenF,MATCH($O$7,LenU,0)),IF(ISNUMBER(V137),V137*INDEX(LenF,MATCH($V$7,LenU,0)),0))</f>
        <v>0</v>
      </c>
      <c r="AS137" s="9" t="str">
        <f aca="false">IF(ISNUMBER(L137),L137*INDEX(LenF,MATCH($L$7,LenU,0))*1000,IF(OR(J137="",K137=""),"",IFERROR(IF(INDEX(PipeWT,MATCH(J137,NPSU,0),MATCH(K137,SchU,0))="","Sch n/a",INDEX(PipeOD,MATCH(J137,NPSU,0))-2*INDEX(PipeWT,MATCH(J137,NPSU,0),MATCH(K137,SchU,0))),"")))</f>
        <v/>
      </c>
      <c r="AT137" s="9" t="n">
        <f aca="false">IF(ISNUMBER(AI137),AI137,IFERROR(INDEX(IF(JobType="Decontamination",TypeFillDC,TypeFillCC),MATCH(E137,TypeL,0)),1))</f>
        <v>1</v>
      </c>
      <c r="AU137" s="9" t="n">
        <v>4</v>
      </c>
    </row>
    <row r="138" customFormat="false" ht="15" hidden="false" customHeight="false" outlineLevel="0" collapsed="false">
      <c r="A138" s="16" t="n">
        <v>30</v>
      </c>
      <c r="B138" s="20"/>
      <c r="C138" s="5"/>
      <c r="D138" s="5"/>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1" t="str">
        <f aca="false">IF(E138="Exchanger",IF(AND(ISNUMBER(S138),ISNUMBER(U138),ISNUMBER(V138)),S138*PI()/4*(U138*INDEX(LenF,MATCH($U$7,LenU,0)))^2*V138*INDEX(LenF,MATCH($V$7,LenU,0)),0)+IF(ISNUMBER(Y138),PI()/4*(Y138*INDEX(LenF,MATCH($Y$7,LenU,0)))^2*N(Z138)*INDEX(LenF,MATCH($Z$7,LenU,0))+IF(AA138="",0,IF(AA138="Conical",PI()/12*(Y138*INDEX(LenF,MATCH($Y$7,LenU,0)))^2*(0),INDEX(HeadK,MATCH(AA138,HeadU,0))*(Y138*INDEX(LenF,MATCH($Y$7,LenU,0)))^3)),0)+IF(ISNUMBER(Y138),PI()/4*(Y138*INDEX(LenF,MATCH($Y$7,LenU,0)))^2*N(AB138)*INDEX(LenF,MATCH($AB$7,LenU,0))+IF(AC138="",0,IF(AC138="Conical",PI()/12*(Y138*INDEX(LenF,MATCH($Y$7,LenU,0)))^2*(0),INDEX(HeadK,MATCH(AC138,HeadU,0))*(Y138*INDEX(LenF,MATCH($Y$7,LenU,0)))^3)),0),"")</f>
        <v/>
      </c>
      <c r="AE138" s="21" t="str">
        <f aca="false">IF(OR(E138="",E138="Piping"),"",IF(E138="Exchanger",AQ138*AR138+IF(P138="",0,IF(P138="Conical",PI()/12*(SQRT(4*AQ138/PI()))^2*(0),INDEX(HeadK,MATCH(P138,HeadU,0))*(SQRT(4*AQ138/PI()))^3))-IF(AND(ISNUMBER(S138),ISNUMBER(V138)),S138*PI()/4*AP138^2*V138*INDEX(LenF,MATCH($V$7,LenU,0)),0),IF(ISNUMBER(N138),PI()/4*(N138*INDEX(LenF,MATCH($N$7,LenU,0)))^2*N(O138)*INDEX(LenF,MATCH($O$7,LenU,0))+IF(P138="",0,IF(P138="Conical",PI()/12*(N138*INDEX(LenF,MATCH($N$7,LenU,0)))^2*(N(R138)*INDEX(LenF,MATCH($R$7,LenU,0))),INDEX(HeadK,MATCH(P138,HeadU,0))*(N138*INDEX(LenF,MATCH($N$7,LenU,0)))^3))+IF(Q138="",0,IF(Q138="Conical",PI()/12*(N138*INDEX(LenF,MATCH($N$7,LenU,0)))^2*(N(R138)*INDEX(LenF,MATCH($R$7,LenU,0))),INDEX(HeadK,MATCH(Q138,HeadU,0))*(N138*INDEX(LenF,MATCH($N$7,LenU,0)))^3)),0)))</f>
        <v/>
      </c>
      <c r="AF138" s="21" t="str">
        <f aca="false">IF(E138&lt;&gt;"Piping","",IF(AND(ISNUMBER(AS138),ISNUMBER(M138)),PI()/4*(AS138/1000)^2*M138*INDEX(LenF,MATCH($M$7,LenU,0)),0))</f>
        <v/>
      </c>
      <c r="AG138" s="21" t="str">
        <f aca="false">IF(E138="","",N(AD138)+N(AE138)+N(AF138))</f>
        <v/>
      </c>
      <c r="AH138" s="21" t="str">
        <f aca="false">IF(ISNUMBER(I138),I138*INDEX(WtF,MATCH($I$7,WtU,0))/WaterRho,"")</f>
        <v/>
      </c>
      <c r="AI138" s="11"/>
      <c r="AJ138" s="11"/>
      <c r="AK138" s="20"/>
      <c r="AL138" s="11"/>
      <c r="AM138" s="21" t="str">
        <f aca="false">IF(AO138="","",AO138*IF(ISNUMBER(AK138),AK138,DefFills)*(1+IF(ISNUMBER(AL138),AL138,DefAllow)))</f>
        <v/>
      </c>
      <c r="AN138" s="22" t="str">
        <f aca="false">IF(G138="Given volume",IF(ISNUMBER(H138),H138*INDEX(VolF,MATCH($H$7,VolU,0)),""),IF(G138="Water weight",AH138,IF(N(AG138)=0,"",AG138)))</f>
        <v/>
      </c>
      <c r="AO138" s="22" t="str">
        <f aca="false">IF(N(AN138)=0,"",AN138*AT138*IF(ISNUMBER(AJ138),AJ138,DefCirc))</f>
        <v/>
      </c>
      <c r="AP138" s="9" t="n">
        <f aca="false">IF(ISNUMBER(T138),T138*INDEX(LenF,MATCH($T$7,LenU,0)),IF(ISNUMBER(W138),W138*INDEX(LenF,MATCH($W$7,LenU,0))/PitchRatio,0))</f>
        <v>0</v>
      </c>
      <c r="AQ138" s="9" t="n">
        <f aca="false">IF(ISNUMBER(N138),PI()/4*(N138*INDEX(LenF,MATCH($N$7,LenU,0)))^2,IF(AND(ISNUMBER(S138),ISNUMBER(W138),X138&lt;&gt;""),S138*(W138*INDEX(LenF,MATCH($W$7,LenU,0)))^2*INDEX(LayoutF,MATCH(X138,LayoutU,0)),0))</f>
        <v>0</v>
      </c>
      <c r="AR138" s="9" t="n">
        <f aca="false">IF(ISNUMBER(O138),O138*INDEX(LenF,MATCH($O$7,LenU,0)),IF(ISNUMBER(V138),V138*INDEX(LenF,MATCH($V$7,LenU,0)),0))</f>
        <v>0</v>
      </c>
      <c r="AS138" s="9" t="str">
        <f aca="false">IF(ISNUMBER(L138),L138*INDEX(LenF,MATCH($L$7,LenU,0))*1000,IF(OR(J138="",K138=""),"",IFERROR(IF(INDEX(PipeWT,MATCH(J138,NPSU,0),MATCH(K138,SchU,0))="","Sch n/a",INDEX(PipeOD,MATCH(J138,NPSU,0))-2*INDEX(PipeWT,MATCH(J138,NPSU,0),MATCH(K138,SchU,0))),"")))</f>
        <v/>
      </c>
      <c r="AT138" s="9" t="n">
        <f aca="false">IF(ISNUMBER(AI138),AI138,IFERROR(INDEX(IF(JobType="Decontamination",TypeFillDC,TypeFillCC),MATCH(E138,TypeL,0)),1))</f>
        <v>1</v>
      </c>
      <c r="AU138" s="9" t="n">
        <v>4</v>
      </c>
    </row>
    <row r="139" customFormat="false" ht="15" hidden="false" customHeight="false" outlineLevel="0" collapsed="false">
      <c r="A139" s="24" t="str">
        <f aca="false">"TOTAL – "&amp;INDEX(UnitNames,4)</f>
        <v>TOTAL – Unit 4</v>
      </c>
      <c r="B139" s="24"/>
      <c r="C139" s="24"/>
      <c r="D139" s="24"/>
      <c r="E139" s="25"/>
      <c r="F139" s="25"/>
      <c r="G139" s="25"/>
      <c r="H139" s="25"/>
      <c r="I139" s="25"/>
      <c r="J139" s="25"/>
      <c r="K139" s="25"/>
      <c r="L139" s="25"/>
      <c r="M139" s="25"/>
      <c r="N139" s="25"/>
      <c r="O139" s="25"/>
      <c r="P139" s="25"/>
      <c r="Q139" s="25"/>
      <c r="R139" s="25"/>
      <c r="S139" s="26" t="str">
        <f aca="false">COUNT(AN109:AN138)&amp;" items"</f>
        <v>0 items</v>
      </c>
      <c r="T139" s="25"/>
      <c r="U139" s="25"/>
      <c r="V139" s="25"/>
      <c r="W139" s="25"/>
      <c r="X139" s="25"/>
      <c r="Y139" s="25"/>
      <c r="Z139" s="25"/>
      <c r="AA139" s="25"/>
      <c r="AB139" s="25"/>
      <c r="AC139" s="25"/>
      <c r="AD139" s="27" t="n">
        <f aca="false">SUM(AD109:AD138)</f>
        <v>0</v>
      </c>
      <c r="AE139" s="27" t="n">
        <f aca="false">SUM(AE109:AE138)</f>
        <v>0</v>
      </c>
      <c r="AF139" s="27" t="n">
        <f aca="false">SUM(AF109:AF138)</f>
        <v>0</v>
      </c>
      <c r="AG139" s="27" t="n">
        <f aca="false">SUM(AG109:AG138)</f>
        <v>0</v>
      </c>
      <c r="AH139" s="27" t="n">
        <f aca="false">SUM(AH109:AH138)</f>
        <v>0</v>
      </c>
      <c r="AI139" s="25"/>
      <c r="AJ139" s="25"/>
      <c r="AK139" s="25"/>
      <c r="AL139" s="25"/>
      <c r="AM139" s="27" t="n">
        <f aca="false">SUM(AM109:AM138)</f>
        <v>0</v>
      </c>
      <c r="AN139" s="27" t="n">
        <f aca="false">SUM(AN109:AN138)</f>
        <v>0</v>
      </c>
      <c r="AO139" s="27" t="n">
        <f aca="false">SUM(AO109:AO138)</f>
        <v>0</v>
      </c>
    </row>
    <row r="141" customFormat="false" ht="15" hidden="false" customHeight="false" outlineLevel="0" collapsed="false">
      <c r="A141" s="18" t="str">
        <f aca="false">"UNIT 5:  "&amp;INDEX(UnitNames,5)</f>
        <v>UNIT 5:  Unit 5</v>
      </c>
      <c r="B141" s="18"/>
      <c r="C141" s="18"/>
      <c r="D141" s="18"/>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row>
    <row r="142" customFormat="false" ht="15" hidden="false" customHeight="false" outlineLevel="0" collapsed="false">
      <c r="A142" s="16" t="n">
        <v>1</v>
      </c>
      <c r="B142" s="20"/>
      <c r="C142" s="5"/>
      <c r="D142" s="5"/>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1" t="str">
        <f aca="false">IF(E142="Exchanger",IF(AND(ISNUMBER(S142),ISNUMBER(U142),ISNUMBER(V142)),S142*PI()/4*(U142*INDEX(LenF,MATCH($U$7,LenU,0)))^2*V142*INDEX(LenF,MATCH($V$7,LenU,0)),0)+IF(ISNUMBER(Y142),PI()/4*(Y142*INDEX(LenF,MATCH($Y$7,LenU,0)))^2*N(Z142)*INDEX(LenF,MATCH($Z$7,LenU,0))+IF(AA142="",0,IF(AA142="Conical",PI()/12*(Y142*INDEX(LenF,MATCH($Y$7,LenU,0)))^2*(0),INDEX(HeadK,MATCH(AA142,HeadU,0))*(Y142*INDEX(LenF,MATCH($Y$7,LenU,0)))^3)),0)+IF(ISNUMBER(Y142),PI()/4*(Y142*INDEX(LenF,MATCH($Y$7,LenU,0)))^2*N(AB142)*INDEX(LenF,MATCH($AB$7,LenU,0))+IF(AC142="",0,IF(AC142="Conical",PI()/12*(Y142*INDEX(LenF,MATCH($Y$7,LenU,0)))^2*(0),INDEX(HeadK,MATCH(AC142,HeadU,0))*(Y142*INDEX(LenF,MATCH($Y$7,LenU,0)))^3)),0),"")</f>
        <v/>
      </c>
      <c r="AE142" s="21" t="str">
        <f aca="false">IF(OR(E142="",E142="Piping"),"",IF(E142="Exchanger",AQ142*AR142+IF(P142="",0,IF(P142="Conical",PI()/12*(SQRT(4*AQ142/PI()))^2*(0),INDEX(HeadK,MATCH(P142,HeadU,0))*(SQRT(4*AQ142/PI()))^3))-IF(AND(ISNUMBER(S142),ISNUMBER(V142)),S142*PI()/4*AP142^2*V142*INDEX(LenF,MATCH($V$7,LenU,0)),0),IF(ISNUMBER(N142),PI()/4*(N142*INDEX(LenF,MATCH($N$7,LenU,0)))^2*N(O142)*INDEX(LenF,MATCH($O$7,LenU,0))+IF(P142="",0,IF(P142="Conical",PI()/12*(N142*INDEX(LenF,MATCH($N$7,LenU,0)))^2*(N(R142)*INDEX(LenF,MATCH($R$7,LenU,0))),INDEX(HeadK,MATCH(P142,HeadU,0))*(N142*INDEX(LenF,MATCH($N$7,LenU,0)))^3))+IF(Q142="",0,IF(Q142="Conical",PI()/12*(N142*INDEX(LenF,MATCH($N$7,LenU,0)))^2*(N(R142)*INDEX(LenF,MATCH($R$7,LenU,0))),INDEX(HeadK,MATCH(Q142,HeadU,0))*(N142*INDEX(LenF,MATCH($N$7,LenU,0)))^3)),0)))</f>
        <v/>
      </c>
      <c r="AF142" s="21" t="str">
        <f aca="false">IF(E142&lt;&gt;"Piping","",IF(AND(ISNUMBER(AS142),ISNUMBER(M142)),PI()/4*(AS142/1000)^2*M142*INDEX(LenF,MATCH($M$7,LenU,0)),0))</f>
        <v/>
      </c>
      <c r="AG142" s="21" t="str">
        <f aca="false">IF(E142="","",N(AD142)+N(AE142)+N(AF142))</f>
        <v/>
      </c>
      <c r="AH142" s="21" t="str">
        <f aca="false">IF(ISNUMBER(I142),I142*INDEX(WtF,MATCH($I$7,WtU,0))/WaterRho,"")</f>
        <v/>
      </c>
      <c r="AI142" s="11"/>
      <c r="AJ142" s="11"/>
      <c r="AK142" s="20"/>
      <c r="AL142" s="11"/>
      <c r="AM142" s="21" t="str">
        <f aca="false">IF(AO142="","",AO142*IF(ISNUMBER(AK142),AK142,DefFills)*(1+IF(ISNUMBER(AL142),AL142,DefAllow)))</f>
        <v/>
      </c>
      <c r="AN142" s="22" t="str">
        <f aca="false">IF(G142="Given volume",IF(ISNUMBER(H142),H142*INDEX(VolF,MATCH($H$7,VolU,0)),""),IF(G142="Water weight",AH142,IF(N(AG142)=0,"",AG142)))</f>
        <v/>
      </c>
      <c r="AO142" s="22" t="str">
        <f aca="false">IF(N(AN142)=0,"",AN142*AT142*IF(ISNUMBER(AJ142),AJ142,DefCirc))</f>
        <v/>
      </c>
      <c r="AP142" s="9" t="n">
        <f aca="false">IF(ISNUMBER(T142),T142*INDEX(LenF,MATCH($T$7,LenU,0)),IF(ISNUMBER(W142),W142*INDEX(LenF,MATCH($W$7,LenU,0))/PitchRatio,0))</f>
        <v>0</v>
      </c>
      <c r="AQ142" s="9" t="n">
        <f aca="false">IF(ISNUMBER(N142),PI()/4*(N142*INDEX(LenF,MATCH($N$7,LenU,0)))^2,IF(AND(ISNUMBER(S142),ISNUMBER(W142),X142&lt;&gt;""),S142*(W142*INDEX(LenF,MATCH($W$7,LenU,0)))^2*INDEX(LayoutF,MATCH(X142,LayoutU,0)),0))</f>
        <v>0</v>
      </c>
      <c r="AR142" s="9" t="n">
        <f aca="false">IF(ISNUMBER(O142),O142*INDEX(LenF,MATCH($O$7,LenU,0)),IF(ISNUMBER(V142),V142*INDEX(LenF,MATCH($V$7,LenU,0)),0))</f>
        <v>0</v>
      </c>
      <c r="AS142" s="9" t="str">
        <f aca="false">IF(ISNUMBER(L142),L142*INDEX(LenF,MATCH($L$7,LenU,0))*1000,IF(OR(J142="",K142=""),"",IFERROR(IF(INDEX(PipeWT,MATCH(J142,NPSU,0),MATCH(K142,SchU,0))="","Sch n/a",INDEX(PipeOD,MATCH(J142,NPSU,0))-2*INDEX(PipeWT,MATCH(J142,NPSU,0),MATCH(K142,SchU,0))),"")))</f>
        <v/>
      </c>
      <c r="AT142" s="9" t="n">
        <f aca="false">IF(ISNUMBER(AI142),AI142,IFERROR(INDEX(IF(JobType="Decontamination",TypeFillDC,TypeFillCC),MATCH(E142,TypeL,0)),1))</f>
        <v>1</v>
      </c>
      <c r="AU142" s="9" t="n">
        <v>5</v>
      </c>
    </row>
    <row r="143" customFormat="false" ht="15" hidden="false" customHeight="false" outlineLevel="0" collapsed="false">
      <c r="A143" s="16" t="n">
        <v>2</v>
      </c>
      <c r="B143" s="20"/>
      <c r="C143" s="5"/>
      <c r="D143" s="5"/>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1" t="str">
        <f aca="false">IF(E143="Exchanger",IF(AND(ISNUMBER(S143),ISNUMBER(U143),ISNUMBER(V143)),S143*PI()/4*(U143*INDEX(LenF,MATCH($U$7,LenU,0)))^2*V143*INDEX(LenF,MATCH($V$7,LenU,0)),0)+IF(ISNUMBER(Y143),PI()/4*(Y143*INDEX(LenF,MATCH($Y$7,LenU,0)))^2*N(Z143)*INDEX(LenF,MATCH($Z$7,LenU,0))+IF(AA143="",0,IF(AA143="Conical",PI()/12*(Y143*INDEX(LenF,MATCH($Y$7,LenU,0)))^2*(0),INDEX(HeadK,MATCH(AA143,HeadU,0))*(Y143*INDEX(LenF,MATCH($Y$7,LenU,0)))^3)),0)+IF(ISNUMBER(Y143),PI()/4*(Y143*INDEX(LenF,MATCH($Y$7,LenU,0)))^2*N(AB143)*INDEX(LenF,MATCH($AB$7,LenU,0))+IF(AC143="",0,IF(AC143="Conical",PI()/12*(Y143*INDEX(LenF,MATCH($Y$7,LenU,0)))^2*(0),INDEX(HeadK,MATCH(AC143,HeadU,0))*(Y143*INDEX(LenF,MATCH($Y$7,LenU,0)))^3)),0),"")</f>
        <v/>
      </c>
      <c r="AE143" s="21" t="str">
        <f aca="false">IF(OR(E143="",E143="Piping"),"",IF(E143="Exchanger",AQ143*AR143+IF(P143="",0,IF(P143="Conical",PI()/12*(SQRT(4*AQ143/PI()))^2*(0),INDEX(HeadK,MATCH(P143,HeadU,0))*(SQRT(4*AQ143/PI()))^3))-IF(AND(ISNUMBER(S143),ISNUMBER(V143)),S143*PI()/4*AP143^2*V143*INDEX(LenF,MATCH($V$7,LenU,0)),0),IF(ISNUMBER(N143),PI()/4*(N143*INDEX(LenF,MATCH($N$7,LenU,0)))^2*N(O143)*INDEX(LenF,MATCH($O$7,LenU,0))+IF(P143="",0,IF(P143="Conical",PI()/12*(N143*INDEX(LenF,MATCH($N$7,LenU,0)))^2*(N(R143)*INDEX(LenF,MATCH($R$7,LenU,0))),INDEX(HeadK,MATCH(P143,HeadU,0))*(N143*INDEX(LenF,MATCH($N$7,LenU,0)))^3))+IF(Q143="",0,IF(Q143="Conical",PI()/12*(N143*INDEX(LenF,MATCH($N$7,LenU,0)))^2*(N(R143)*INDEX(LenF,MATCH($R$7,LenU,0))),INDEX(HeadK,MATCH(Q143,HeadU,0))*(N143*INDEX(LenF,MATCH($N$7,LenU,0)))^3)),0)))</f>
        <v/>
      </c>
      <c r="AF143" s="21" t="str">
        <f aca="false">IF(E143&lt;&gt;"Piping","",IF(AND(ISNUMBER(AS143),ISNUMBER(M143)),PI()/4*(AS143/1000)^2*M143*INDEX(LenF,MATCH($M$7,LenU,0)),0))</f>
        <v/>
      </c>
      <c r="AG143" s="21" t="str">
        <f aca="false">IF(E143="","",N(AD143)+N(AE143)+N(AF143))</f>
        <v/>
      </c>
      <c r="AH143" s="21" t="str">
        <f aca="false">IF(ISNUMBER(I143),I143*INDEX(WtF,MATCH($I$7,WtU,0))/WaterRho,"")</f>
        <v/>
      </c>
      <c r="AI143" s="11"/>
      <c r="AJ143" s="11"/>
      <c r="AK143" s="20"/>
      <c r="AL143" s="11"/>
      <c r="AM143" s="21" t="str">
        <f aca="false">IF(AO143="","",AO143*IF(ISNUMBER(AK143),AK143,DefFills)*(1+IF(ISNUMBER(AL143),AL143,DefAllow)))</f>
        <v/>
      </c>
      <c r="AN143" s="22" t="str">
        <f aca="false">IF(G143="Given volume",IF(ISNUMBER(H143),H143*INDEX(VolF,MATCH($H$7,VolU,0)),""),IF(G143="Water weight",AH143,IF(N(AG143)=0,"",AG143)))</f>
        <v/>
      </c>
      <c r="AO143" s="22" t="str">
        <f aca="false">IF(N(AN143)=0,"",AN143*AT143*IF(ISNUMBER(AJ143),AJ143,DefCirc))</f>
        <v/>
      </c>
      <c r="AP143" s="9" t="n">
        <f aca="false">IF(ISNUMBER(T143),T143*INDEX(LenF,MATCH($T$7,LenU,0)),IF(ISNUMBER(W143),W143*INDEX(LenF,MATCH($W$7,LenU,0))/PitchRatio,0))</f>
        <v>0</v>
      </c>
      <c r="AQ143" s="9" t="n">
        <f aca="false">IF(ISNUMBER(N143),PI()/4*(N143*INDEX(LenF,MATCH($N$7,LenU,0)))^2,IF(AND(ISNUMBER(S143),ISNUMBER(W143),X143&lt;&gt;""),S143*(W143*INDEX(LenF,MATCH($W$7,LenU,0)))^2*INDEX(LayoutF,MATCH(X143,LayoutU,0)),0))</f>
        <v>0</v>
      </c>
      <c r="AR143" s="9" t="n">
        <f aca="false">IF(ISNUMBER(O143),O143*INDEX(LenF,MATCH($O$7,LenU,0)),IF(ISNUMBER(V143),V143*INDEX(LenF,MATCH($V$7,LenU,0)),0))</f>
        <v>0</v>
      </c>
      <c r="AS143" s="9" t="str">
        <f aca="false">IF(ISNUMBER(L143),L143*INDEX(LenF,MATCH($L$7,LenU,0))*1000,IF(OR(J143="",K143=""),"",IFERROR(IF(INDEX(PipeWT,MATCH(J143,NPSU,0),MATCH(K143,SchU,0))="","Sch n/a",INDEX(PipeOD,MATCH(J143,NPSU,0))-2*INDEX(PipeWT,MATCH(J143,NPSU,0),MATCH(K143,SchU,0))),"")))</f>
        <v/>
      </c>
      <c r="AT143" s="9" t="n">
        <f aca="false">IF(ISNUMBER(AI143),AI143,IFERROR(INDEX(IF(JobType="Decontamination",TypeFillDC,TypeFillCC),MATCH(E143,TypeL,0)),1))</f>
        <v>1</v>
      </c>
      <c r="AU143" s="9" t="n">
        <v>5</v>
      </c>
    </row>
    <row r="144" customFormat="false" ht="15" hidden="false" customHeight="false" outlineLevel="0" collapsed="false">
      <c r="A144" s="16" t="n">
        <v>3</v>
      </c>
      <c r="B144" s="20"/>
      <c r="C144" s="5"/>
      <c r="D144" s="5"/>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1" t="str">
        <f aca="false">IF(E144="Exchanger",IF(AND(ISNUMBER(S144),ISNUMBER(U144),ISNUMBER(V144)),S144*PI()/4*(U144*INDEX(LenF,MATCH($U$7,LenU,0)))^2*V144*INDEX(LenF,MATCH($V$7,LenU,0)),0)+IF(ISNUMBER(Y144),PI()/4*(Y144*INDEX(LenF,MATCH($Y$7,LenU,0)))^2*N(Z144)*INDEX(LenF,MATCH($Z$7,LenU,0))+IF(AA144="",0,IF(AA144="Conical",PI()/12*(Y144*INDEX(LenF,MATCH($Y$7,LenU,0)))^2*(0),INDEX(HeadK,MATCH(AA144,HeadU,0))*(Y144*INDEX(LenF,MATCH($Y$7,LenU,0)))^3)),0)+IF(ISNUMBER(Y144),PI()/4*(Y144*INDEX(LenF,MATCH($Y$7,LenU,0)))^2*N(AB144)*INDEX(LenF,MATCH($AB$7,LenU,0))+IF(AC144="",0,IF(AC144="Conical",PI()/12*(Y144*INDEX(LenF,MATCH($Y$7,LenU,0)))^2*(0),INDEX(HeadK,MATCH(AC144,HeadU,0))*(Y144*INDEX(LenF,MATCH($Y$7,LenU,0)))^3)),0),"")</f>
        <v/>
      </c>
      <c r="AE144" s="21" t="str">
        <f aca="false">IF(OR(E144="",E144="Piping"),"",IF(E144="Exchanger",AQ144*AR144+IF(P144="",0,IF(P144="Conical",PI()/12*(SQRT(4*AQ144/PI()))^2*(0),INDEX(HeadK,MATCH(P144,HeadU,0))*(SQRT(4*AQ144/PI()))^3))-IF(AND(ISNUMBER(S144),ISNUMBER(V144)),S144*PI()/4*AP144^2*V144*INDEX(LenF,MATCH($V$7,LenU,0)),0),IF(ISNUMBER(N144),PI()/4*(N144*INDEX(LenF,MATCH($N$7,LenU,0)))^2*N(O144)*INDEX(LenF,MATCH($O$7,LenU,0))+IF(P144="",0,IF(P144="Conical",PI()/12*(N144*INDEX(LenF,MATCH($N$7,LenU,0)))^2*(N(R144)*INDEX(LenF,MATCH($R$7,LenU,0))),INDEX(HeadK,MATCH(P144,HeadU,0))*(N144*INDEX(LenF,MATCH($N$7,LenU,0)))^3))+IF(Q144="",0,IF(Q144="Conical",PI()/12*(N144*INDEX(LenF,MATCH($N$7,LenU,0)))^2*(N(R144)*INDEX(LenF,MATCH($R$7,LenU,0))),INDEX(HeadK,MATCH(Q144,HeadU,0))*(N144*INDEX(LenF,MATCH($N$7,LenU,0)))^3)),0)))</f>
        <v/>
      </c>
      <c r="AF144" s="21" t="str">
        <f aca="false">IF(E144&lt;&gt;"Piping","",IF(AND(ISNUMBER(AS144),ISNUMBER(M144)),PI()/4*(AS144/1000)^2*M144*INDEX(LenF,MATCH($M$7,LenU,0)),0))</f>
        <v/>
      </c>
      <c r="AG144" s="21" t="str">
        <f aca="false">IF(E144="","",N(AD144)+N(AE144)+N(AF144))</f>
        <v/>
      </c>
      <c r="AH144" s="21" t="str">
        <f aca="false">IF(ISNUMBER(I144),I144*INDEX(WtF,MATCH($I$7,WtU,0))/WaterRho,"")</f>
        <v/>
      </c>
      <c r="AI144" s="11"/>
      <c r="AJ144" s="11"/>
      <c r="AK144" s="20"/>
      <c r="AL144" s="11"/>
      <c r="AM144" s="21" t="str">
        <f aca="false">IF(AO144="","",AO144*IF(ISNUMBER(AK144),AK144,DefFills)*(1+IF(ISNUMBER(AL144),AL144,DefAllow)))</f>
        <v/>
      </c>
      <c r="AN144" s="22" t="str">
        <f aca="false">IF(G144="Given volume",IF(ISNUMBER(H144),H144*INDEX(VolF,MATCH($H$7,VolU,0)),""),IF(G144="Water weight",AH144,IF(N(AG144)=0,"",AG144)))</f>
        <v/>
      </c>
      <c r="AO144" s="22" t="str">
        <f aca="false">IF(N(AN144)=0,"",AN144*AT144*IF(ISNUMBER(AJ144),AJ144,DefCirc))</f>
        <v/>
      </c>
      <c r="AP144" s="9" t="n">
        <f aca="false">IF(ISNUMBER(T144),T144*INDEX(LenF,MATCH($T$7,LenU,0)),IF(ISNUMBER(W144),W144*INDEX(LenF,MATCH($W$7,LenU,0))/PitchRatio,0))</f>
        <v>0</v>
      </c>
      <c r="AQ144" s="9" t="n">
        <f aca="false">IF(ISNUMBER(N144),PI()/4*(N144*INDEX(LenF,MATCH($N$7,LenU,0)))^2,IF(AND(ISNUMBER(S144),ISNUMBER(W144),X144&lt;&gt;""),S144*(W144*INDEX(LenF,MATCH($W$7,LenU,0)))^2*INDEX(LayoutF,MATCH(X144,LayoutU,0)),0))</f>
        <v>0</v>
      </c>
      <c r="AR144" s="9" t="n">
        <f aca="false">IF(ISNUMBER(O144),O144*INDEX(LenF,MATCH($O$7,LenU,0)),IF(ISNUMBER(V144),V144*INDEX(LenF,MATCH($V$7,LenU,0)),0))</f>
        <v>0</v>
      </c>
      <c r="AS144" s="9" t="str">
        <f aca="false">IF(ISNUMBER(L144),L144*INDEX(LenF,MATCH($L$7,LenU,0))*1000,IF(OR(J144="",K144=""),"",IFERROR(IF(INDEX(PipeWT,MATCH(J144,NPSU,0),MATCH(K144,SchU,0))="","Sch n/a",INDEX(PipeOD,MATCH(J144,NPSU,0))-2*INDEX(PipeWT,MATCH(J144,NPSU,0),MATCH(K144,SchU,0))),"")))</f>
        <v/>
      </c>
      <c r="AT144" s="9" t="n">
        <f aca="false">IF(ISNUMBER(AI144),AI144,IFERROR(INDEX(IF(JobType="Decontamination",TypeFillDC,TypeFillCC),MATCH(E144,TypeL,0)),1))</f>
        <v>1</v>
      </c>
      <c r="AU144" s="9" t="n">
        <v>5</v>
      </c>
    </row>
    <row r="145" customFormat="false" ht="15" hidden="false" customHeight="false" outlineLevel="0" collapsed="false">
      <c r="A145" s="16" t="n">
        <v>4</v>
      </c>
      <c r="B145" s="20"/>
      <c r="C145" s="5"/>
      <c r="D145" s="5"/>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1" t="str">
        <f aca="false">IF(E145="Exchanger",IF(AND(ISNUMBER(S145),ISNUMBER(U145),ISNUMBER(V145)),S145*PI()/4*(U145*INDEX(LenF,MATCH($U$7,LenU,0)))^2*V145*INDEX(LenF,MATCH($V$7,LenU,0)),0)+IF(ISNUMBER(Y145),PI()/4*(Y145*INDEX(LenF,MATCH($Y$7,LenU,0)))^2*N(Z145)*INDEX(LenF,MATCH($Z$7,LenU,0))+IF(AA145="",0,IF(AA145="Conical",PI()/12*(Y145*INDEX(LenF,MATCH($Y$7,LenU,0)))^2*(0),INDEX(HeadK,MATCH(AA145,HeadU,0))*(Y145*INDEX(LenF,MATCH($Y$7,LenU,0)))^3)),0)+IF(ISNUMBER(Y145),PI()/4*(Y145*INDEX(LenF,MATCH($Y$7,LenU,0)))^2*N(AB145)*INDEX(LenF,MATCH($AB$7,LenU,0))+IF(AC145="",0,IF(AC145="Conical",PI()/12*(Y145*INDEX(LenF,MATCH($Y$7,LenU,0)))^2*(0),INDEX(HeadK,MATCH(AC145,HeadU,0))*(Y145*INDEX(LenF,MATCH($Y$7,LenU,0)))^3)),0),"")</f>
        <v/>
      </c>
      <c r="AE145" s="21" t="str">
        <f aca="false">IF(OR(E145="",E145="Piping"),"",IF(E145="Exchanger",AQ145*AR145+IF(P145="",0,IF(P145="Conical",PI()/12*(SQRT(4*AQ145/PI()))^2*(0),INDEX(HeadK,MATCH(P145,HeadU,0))*(SQRT(4*AQ145/PI()))^3))-IF(AND(ISNUMBER(S145),ISNUMBER(V145)),S145*PI()/4*AP145^2*V145*INDEX(LenF,MATCH($V$7,LenU,0)),0),IF(ISNUMBER(N145),PI()/4*(N145*INDEX(LenF,MATCH($N$7,LenU,0)))^2*N(O145)*INDEX(LenF,MATCH($O$7,LenU,0))+IF(P145="",0,IF(P145="Conical",PI()/12*(N145*INDEX(LenF,MATCH($N$7,LenU,0)))^2*(N(R145)*INDEX(LenF,MATCH($R$7,LenU,0))),INDEX(HeadK,MATCH(P145,HeadU,0))*(N145*INDEX(LenF,MATCH($N$7,LenU,0)))^3))+IF(Q145="",0,IF(Q145="Conical",PI()/12*(N145*INDEX(LenF,MATCH($N$7,LenU,0)))^2*(N(R145)*INDEX(LenF,MATCH($R$7,LenU,0))),INDEX(HeadK,MATCH(Q145,HeadU,0))*(N145*INDEX(LenF,MATCH($N$7,LenU,0)))^3)),0)))</f>
        <v/>
      </c>
      <c r="AF145" s="21" t="str">
        <f aca="false">IF(E145&lt;&gt;"Piping","",IF(AND(ISNUMBER(AS145),ISNUMBER(M145)),PI()/4*(AS145/1000)^2*M145*INDEX(LenF,MATCH($M$7,LenU,0)),0))</f>
        <v/>
      </c>
      <c r="AG145" s="21" t="str">
        <f aca="false">IF(E145="","",N(AD145)+N(AE145)+N(AF145))</f>
        <v/>
      </c>
      <c r="AH145" s="21" t="str">
        <f aca="false">IF(ISNUMBER(I145),I145*INDEX(WtF,MATCH($I$7,WtU,0))/WaterRho,"")</f>
        <v/>
      </c>
      <c r="AI145" s="11"/>
      <c r="AJ145" s="11"/>
      <c r="AK145" s="20"/>
      <c r="AL145" s="11"/>
      <c r="AM145" s="21" t="str">
        <f aca="false">IF(AO145="","",AO145*IF(ISNUMBER(AK145),AK145,DefFills)*(1+IF(ISNUMBER(AL145),AL145,DefAllow)))</f>
        <v/>
      </c>
      <c r="AN145" s="22" t="str">
        <f aca="false">IF(G145="Given volume",IF(ISNUMBER(H145),H145*INDEX(VolF,MATCH($H$7,VolU,0)),""),IF(G145="Water weight",AH145,IF(N(AG145)=0,"",AG145)))</f>
        <v/>
      </c>
      <c r="AO145" s="22" t="str">
        <f aca="false">IF(N(AN145)=0,"",AN145*AT145*IF(ISNUMBER(AJ145),AJ145,DefCirc))</f>
        <v/>
      </c>
      <c r="AP145" s="9" t="n">
        <f aca="false">IF(ISNUMBER(T145),T145*INDEX(LenF,MATCH($T$7,LenU,0)),IF(ISNUMBER(W145),W145*INDEX(LenF,MATCH($W$7,LenU,0))/PitchRatio,0))</f>
        <v>0</v>
      </c>
      <c r="AQ145" s="9" t="n">
        <f aca="false">IF(ISNUMBER(N145),PI()/4*(N145*INDEX(LenF,MATCH($N$7,LenU,0)))^2,IF(AND(ISNUMBER(S145),ISNUMBER(W145),X145&lt;&gt;""),S145*(W145*INDEX(LenF,MATCH($W$7,LenU,0)))^2*INDEX(LayoutF,MATCH(X145,LayoutU,0)),0))</f>
        <v>0</v>
      </c>
      <c r="AR145" s="9" t="n">
        <f aca="false">IF(ISNUMBER(O145),O145*INDEX(LenF,MATCH($O$7,LenU,0)),IF(ISNUMBER(V145),V145*INDEX(LenF,MATCH($V$7,LenU,0)),0))</f>
        <v>0</v>
      </c>
      <c r="AS145" s="9" t="str">
        <f aca="false">IF(ISNUMBER(L145),L145*INDEX(LenF,MATCH($L$7,LenU,0))*1000,IF(OR(J145="",K145=""),"",IFERROR(IF(INDEX(PipeWT,MATCH(J145,NPSU,0),MATCH(K145,SchU,0))="","Sch n/a",INDEX(PipeOD,MATCH(J145,NPSU,0))-2*INDEX(PipeWT,MATCH(J145,NPSU,0),MATCH(K145,SchU,0))),"")))</f>
        <v/>
      </c>
      <c r="AT145" s="9" t="n">
        <f aca="false">IF(ISNUMBER(AI145),AI145,IFERROR(INDEX(IF(JobType="Decontamination",TypeFillDC,TypeFillCC),MATCH(E145,TypeL,0)),1))</f>
        <v>1</v>
      </c>
      <c r="AU145" s="9" t="n">
        <v>5</v>
      </c>
    </row>
    <row r="146" customFormat="false" ht="15" hidden="false" customHeight="false" outlineLevel="0" collapsed="false">
      <c r="A146" s="16" t="n">
        <v>5</v>
      </c>
      <c r="B146" s="20"/>
      <c r="C146" s="5"/>
      <c r="D146" s="5"/>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1" t="str">
        <f aca="false">IF(E146="Exchanger",IF(AND(ISNUMBER(S146),ISNUMBER(U146),ISNUMBER(V146)),S146*PI()/4*(U146*INDEX(LenF,MATCH($U$7,LenU,0)))^2*V146*INDEX(LenF,MATCH($V$7,LenU,0)),0)+IF(ISNUMBER(Y146),PI()/4*(Y146*INDEX(LenF,MATCH($Y$7,LenU,0)))^2*N(Z146)*INDEX(LenF,MATCH($Z$7,LenU,0))+IF(AA146="",0,IF(AA146="Conical",PI()/12*(Y146*INDEX(LenF,MATCH($Y$7,LenU,0)))^2*(0),INDEX(HeadK,MATCH(AA146,HeadU,0))*(Y146*INDEX(LenF,MATCH($Y$7,LenU,0)))^3)),0)+IF(ISNUMBER(Y146),PI()/4*(Y146*INDEX(LenF,MATCH($Y$7,LenU,0)))^2*N(AB146)*INDEX(LenF,MATCH($AB$7,LenU,0))+IF(AC146="",0,IF(AC146="Conical",PI()/12*(Y146*INDEX(LenF,MATCH($Y$7,LenU,0)))^2*(0),INDEX(HeadK,MATCH(AC146,HeadU,0))*(Y146*INDEX(LenF,MATCH($Y$7,LenU,0)))^3)),0),"")</f>
        <v/>
      </c>
      <c r="AE146" s="21" t="str">
        <f aca="false">IF(OR(E146="",E146="Piping"),"",IF(E146="Exchanger",AQ146*AR146+IF(P146="",0,IF(P146="Conical",PI()/12*(SQRT(4*AQ146/PI()))^2*(0),INDEX(HeadK,MATCH(P146,HeadU,0))*(SQRT(4*AQ146/PI()))^3))-IF(AND(ISNUMBER(S146),ISNUMBER(V146)),S146*PI()/4*AP146^2*V146*INDEX(LenF,MATCH($V$7,LenU,0)),0),IF(ISNUMBER(N146),PI()/4*(N146*INDEX(LenF,MATCH($N$7,LenU,0)))^2*N(O146)*INDEX(LenF,MATCH($O$7,LenU,0))+IF(P146="",0,IF(P146="Conical",PI()/12*(N146*INDEX(LenF,MATCH($N$7,LenU,0)))^2*(N(R146)*INDEX(LenF,MATCH($R$7,LenU,0))),INDEX(HeadK,MATCH(P146,HeadU,0))*(N146*INDEX(LenF,MATCH($N$7,LenU,0)))^3))+IF(Q146="",0,IF(Q146="Conical",PI()/12*(N146*INDEX(LenF,MATCH($N$7,LenU,0)))^2*(N(R146)*INDEX(LenF,MATCH($R$7,LenU,0))),INDEX(HeadK,MATCH(Q146,HeadU,0))*(N146*INDEX(LenF,MATCH($N$7,LenU,0)))^3)),0)))</f>
        <v/>
      </c>
      <c r="AF146" s="21" t="str">
        <f aca="false">IF(E146&lt;&gt;"Piping","",IF(AND(ISNUMBER(AS146),ISNUMBER(M146)),PI()/4*(AS146/1000)^2*M146*INDEX(LenF,MATCH($M$7,LenU,0)),0))</f>
        <v/>
      </c>
      <c r="AG146" s="21" t="str">
        <f aca="false">IF(E146="","",N(AD146)+N(AE146)+N(AF146))</f>
        <v/>
      </c>
      <c r="AH146" s="21" t="str">
        <f aca="false">IF(ISNUMBER(I146),I146*INDEX(WtF,MATCH($I$7,WtU,0))/WaterRho,"")</f>
        <v/>
      </c>
      <c r="AI146" s="11"/>
      <c r="AJ146" s="11"/>
      <c r="AK146" s="20"/>
      <c r="AL146" s="11"/>
      <c r="AM146" s="21" t="str">
        <f aca="false">IF(AO146="","",AO146*IF(ISNUMBER(AK146),AK146,DefFills)*(1+IF(ISNUMBER(AL146),AL146,DefAllow)))</f>
        <v/>
      </c>
      <c r="AN146" s="22" t="str">
        <f aca="false">IF(G146="Given volume",IF(ISNUMBER(H146),H146*INDEX(VolF,MATCH($H$7,VolU,0)),""),IF(G146="Water weight",AH146,IF(N(AG146)=0,"",AG146)))</f>
        <v/>
      </c>
      <c r="AO146" s="22" t="str">
        <f aca="false">IF(N(AN146)=0,"",AN146*AT146*IF(ISNUMBER(AJ146),AJ146,DefCirc))</f>
        <v/>
      </c>
      <c r="AP146" s="9" t="n">
        <f aca="false">IF(ISNUMBER(T146),T146*INDEX(LenF,MATCH($T$7,LenU,0)),IF(ISNUMBER(W146),W146*INDEX(LenF,MATCH($W$7,LenU,0))/PitchRatio,0))</f>
        <v>0</v>
      </c>
      <c r="AQ146" s="9" t="n">
        <f aca="false">IF(ISNUMBER(N146),PI()/4*(N146*INDEX(LenF,MATCH($N$7,LenU,0)))^2,IF(AND(ISNUMBER(S146),ISNUMBER(W146),X146&lt;&gt;""),S146*(W146*INDEX(LenF,MATCH($W$7,LenU,0)))^2*INDEX(LayoutF,MATCH(X146,LayoutU,0)),0))</f>
        <v>0</v>
      </c>
      <c r="AR146" s="9" t="n">
        <f aca="false">IF(ISNUMBER(O146),O146*INDEX(LenF,MATCH($O$7,LenU,0)),IF(ISNUMBER(V146),V146*INDEX(LenF,MATCH($V$7,LenU,0)),0))</f>
        <v>0</v>
      </c>
      <c r="AS146" s="9" t="str">
        <f aca="false">IF(ISNUMBER(L146),L146*INDEX(LenF,MATCH($L$7,LenU,0))*1000,IF(OR(J146="",K146=""),"",IFERROR(IF(INDEX(PipeWT,MATCH(J146,NPSU,0),MATCH(K146,SchU,0))="","Sch n/a",INDEX(PipeOD,MATCH(J146,NPSU,0))-2*INDEX(PipeWT,MATCH(J146,NPSU,0),MATCH(K146,SchU,0))),"")))</f>
        <v/>
      </c>
      <c r="AT146" s="9" t="n">
        <f aca="false">IF(ISNUMBER(AI146),AI146,IFERROR(INDEX(IF(JobType="Decontamination",TypeFillDC,TypeFillCC),MATCH(E146,TypeL,0)),1))</f>
        <v>1</v>
      </c>
      <c r="AU146" s="9" t="n">
        <v>5</v>
      </c>
    </row>
    <row r="147" customFormat="false" ht="15" hidden="false" customHeight="false" outlineLevel="0" collapsed="false">
      <c r="A147" s="16" t="n">
        <v>6</v>
      </c>
      <c r="B147" s="20"/>
      <c r="C147" s="5"/>
      <c r="D147" s="5"/>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1" t="str">
        <f aca="false">IF(E147="Exchanger",IF(AND(ISNUMBER(S147),ISNUMBER(U147),ISNUMBER(V147)),S147*PI()/4*(U147*INDEX(LenF,MATCH($U$7,LenU,0)))^2*V147*INDEX(LenF,MATCH($V$7,LenU,0)),0)+IF(ISNUMBER(Y147),PI()/4*(Y147*INDEX(LenF,MATCH($Y$7,LenU,0)))^2*N(Z147)*INDEX(LenF,MATCH($Z$7,LenU,0))+IF(AA147="",0,IF(AA147="Conical",PI()/12*(Y147*INDEX(LenF,MATCH($Y$7,LenU,0)))^2*(0),INDEX(HeadK,MATCH(AA147,HeadU,0))*(Y147*INDEX(LenF,MATCH($Y$7,LenU,0)))^3)),0)+IF(ISNUMBER(Y147),PI()/4*(Y147*INDEX(LenF,MATCH($Y$7,LenU,0)))^2*N(AB147)*INDEX(LenF,MATCH($AB$7,LenU,0))+IF(AC147="",0,IF(AC147="Conical",PI()/12*(Y147*INDEX(LenF,MATCH($Y$7,LenU,0)))^2*(0),INDEX(HeadK,MATCH(AC147,HeadU,0))*(Y147*INDEX(LenF,MATCH($Y$7,LenU,0)))^3)),0),"")</f>
        <v/>
      </c>
      <c r="AE147" s="21" t="str">
        <f aca="false">IF(OR(E147="",E147="Piping"),"",IF(E147="Exchanger",AQ147*AR147+IF(P147="",0,IF(P147="Conical",PI()/12*(SQRT(4*AQ147/PI()))^2*(0),INDEX(HeadK,MATCH(P147,HeadU,0))*(SQRT(4*AQ147/PI()))^3))-IF(AND(ISNUMBER(S147),ISNUMBER(V147)),S147*PI()/4*AP147^2*V147*INDEX(LenF,MATCH($V$7,LenU,0)),0),IF(ISNUMBER(N147),PI()/4*(N147*INDEX(LenF,MATCH($N$7,LenU,0)))^2*N(O147)*INDEX(LenF,MATCH($O$7,LenU,0))+IF(P147="",0,IF(P147="Conical",PI()/12*(N147*INDEX(LenF,MATCH($N$7,LenU,0)))^2*(N(R147)*INDEX(LenF,MATCH($R$7,LenU,0))),INDEX(HeadK,MATCH(P147,HeadU,0))*(N147*INDEX(LenF,MATCH($N$7,LenU,0)))^3))+IF(Q147="",0,IF(Q147="Conical",PI()/12*(N147*INDEX(LenF,MATCH($N$7,LenU,0)))^2*(N(R147)*INDEX(LenF,MATCH($R$7,LenU,0))),INDEX(HeadK,MATCH(Q147,HeadU,0))*(N147*INDEX(LenF,MATCH($N$7,LenU,0)))^3)),0)))</f>
        <v/>
      </c>
      <c r="AF147" s="21" t="str">
        <f aca="false">IF(E147&lt;&gt;"Piping","",IF(AND(ISNUMBER(AS147),ISNUMBER(M147)),PI()/4*(AS147/1000)^2*M147*INDEX(LenF,MATCH($M$7,LenU,0)),0))</f>
        <v/>
      </c>
      <c r="AG147" s="21" t="str">
        <f aca="false">IF(E147="","",N(AD147)+N(AE147)+N(AF147))</f>
        <v/>
      </c>
      <c r="AH147" s="21" t="str">
        <f aca="false">IF(ISNUMBER(I147),I147*INDEX(WtF,MATCH($I$7,WtU,0))/WaterRho,"")</f>
        <v/>
      </c>
      <c r="AI147" s="11"/>
      <c r="AJ147" s="11"/>
      <c r="AK147" s="20"/>
      <c r="AL147" s="11"/>
      <c r="AM147" s="21" t="str">
        <f aca="false">IF(AO147="","",AO147*IF(ISNUMBER(AK147),AK147,DefFills)*(1+IF(ISNUMBER(AL147),AL147,DefAllow)))</f>
        <v/>
      </c>
      <c r="AN147" s="22" t="str">
        <f aca="false">IF(G147="Given volume",IF(ISNUMBER(H147),H147*INDEX(VolF,MATCH($H$7,VolU,0)),""),IF(G147="Water weight",AH147,IF(N(AG147)=0,"",AG147)))</f>
        <v/>
      </c>
      <c r="AO147" s="22" t="str">
        <f aca="false">IF(N(AN147)=0,"",AN147*AT147*IF(ISNUMBER(AJ147),AJ147,DefCirc))</f>
        <v/>
      </c>
      <c r="AP147" s="9" t="n">
        <f aca="false">IF(ISNUMBER(T147),T147*INDEX(LenF,MATCH($T$7,LenU,0)),IF(ISNUMBER(W147),W147*INDEX(LenF,MATCH($W$7,LenU,0))/PitchRatio,0))</f>
        <v>0</v>
      </c>
      <c r="AQ147" s="9" t="n">
        <f aca="false">IF(ISNUMBER(N147),PI()/4*(N147*INDEX(LenF,MATCH($N$7,LenU,0)))^2,IF(AND(ISNUMBER(S147),ISNUMBER(W147),X147&lt;&gt;""),S147*(W147*INDEX(LenF,MATCH($W$7,LenU,0)))^2*INDEX(LayoutF,MATCH(X147,LayoutU,0)),0))</f>
        <v>0</v>
      </c>
      <c r="AR147" s="9" t="n">
        <f aca="false">IF(ISNUMBER(O147),O147*INDEX(LenF,MATCH($O$7,LenU,0)),IF(ISNUMBER(V147),V147*INDEX(LenF,MATCH($V$7,LenU,0)),0))</f>
        <v>0</v>
      </c>
      <c r="AS147" s="9" t="str">
        <f aca="false">IF(ISNUMBER(L147),L147*INDEX(LenF,MATCH($L$7,LenU,0))*1000,IF(OR(J147="",K147=""),"",IFERROR(IF(INDEX(PipeWT,MATCH(J147,NPSU,0),MATCH(K147,SchU,0))="","Sch n/a",INDEX(PipeOD,MATCH(J147,NPSU,0))-2*INDEX(PipeWT,MATCH(J147,NPSU,0),MATCH(K147,SchU,0))),"")))</f>
        <v/>
      </c>
      <c r="AT147" s="9" t="n">
        <f aca="false">IF(ISNUMBER(AI147),AI147,IFERROR(INDEX(IF(JobType="Decontamination",TypeFillDC,TypeFillCC),MATCH(E147,TypeL,0)),1))</f>
        <v>1</v>
      </c>
      <c r="AU147" s="9" t="n">
        <v>5</v>
      </c>
    </row>
    <row r="148" customFormat="false" ht="15" hidden="false" customHeight="false" outlineLevel="0" collapsed="false">
      <c r="A148" s="16" t="n">
        <v>7</v>
      </c>
      <c r="B148" s="20"/>
      <c r="C148" s="5"/>
      <c r="D148" s="5"/>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1" t="str">
        <f aca="false">IF(E148="Exchanger",IF(AND(ISNUMBER(S148),ISNUMBER(U148),ISNUMBER(V148)),S148*PI()/4*(U148*INDEX(LenF,MATCH($U$7,LenU,0)))^2*V148*INDEX(LenF,MATCH($V$7,LenU,0)),0)+IF(ISNUMBER(Y148),PI()/4*(Y148*INDEX(LenF,MATCH($Y$7,LenU,0)))^2*N(Z148)*INDEX(LenF,MATCH($Z$7,LenU,0))+IF(AA148="",0,IF(AA148="Conical",PI()/12*(Y148*INDEX(LenF,MATCH($Y$7,LenU,0)))^2*(0),INDEX(HeadK,MATCH(AA148,HeadU,0))*(Y148*INDEX(LenF,MATCH($Y$7,LenU,0)))^3)),0)+IF(ISNUMBER(Y148),PI()/4*(Y148*INDEX(LenF,MATCH($Y$7,LenU,0)))^2*N(AB148)*INDEX(LenF,MATCH($AB$7,LenU,0))+IF(AC148="",0,IF(AC148="Conical",PI()/12*(Y148*INDEX(LenF,MATCH($Y$7,LenU,0)))^2*(0),INDEX(HeadK,MATCH(AC148,HeadU,0))*(Y148*INDEX(LenF,MATCH($Y$7,LenU,0)))^3)),0),"")</f>
        <v/>
      </c>
      <c r="AE148" s="21" t="str">
        <f aca="false">IF(OR(E148="",E148="Piping"),"",IF(E148="Exchanger",AQ148*AR148+IF(P148="",0,IF(P148="Conical",PI()/12*(SQRT(4*AQ148/PI()))^2*(0),INDEX(HeadK,MATCH(P148,HeadU,0))*(SQRT(4*AQ148/PI()))^3))-IF(AND(ISNUMBER(S148),ISNUMBER(V148)),S148*PI()/4*AP148^2*V148*INDEX(LenF,MATCH($V$7,LenU,0)),0),IF(ISNUMBER(N148),PI()/4*(N148*INDEX(LenF,MATCH($N$7,LenU,0)))^2*N(O148)*INDEX(LenF,MATCH($O$7,LenU,0))+IF(P148="",0,IF(P148="Conical",PI()/12*(N148*INDEX(LenF,MATCH($N$7,LenU,0)))^2*(N(R148)*INDEX(LenF,MATCH($R$7,LenU,0))),INDEX(HeadK,MATCH(P148,HeadU,0))*(N148*INDEX(LenF,MATCH($N$7,LenU,0)))^3))+IF(Q148="",0,IF(Q148="Conical",PI()/12*(N148*INDEX(LenF,MATCH($N$7,LenU,0)))^2*(N(R148)*INDEX(LenF,MATCH($R$7,LenU,0))),INDEX(HeadK,MATCH(Q148,HeadU,0))*(N148*INDEX(LenF,MATCH($N$7,LenU,0)))^3)),0)))</f>
        <v/>
      </c>
      <c r="AF148" s="21" t="str">
        <f aca="false">IF(E148&lt;&gt;"Piping","",IF(AND(ISNUMBER(AS148),ISNUMBER(M148)),PI()/4*(AS148/1000)^2*M148*INDEX(LenF,MATCH($M$7,LenU,0)),0))</f>
        <v/>
      </c>
      <c r="AG148" s="21" t="str">
        <f aca="false">IF(E148="","",N(AD148)+N(AE148)+N(AF148))</f>
        <v/>
      </c>
      <c r="AH148" s="21" t="str">
        <f aca="false">IF(ISNUMBER(I148),I148*INDEX(WtF,MATCH($I$7,WtU,0))/WaterRho,"")</f>
        <v/>
      </c>
      <c r="AI148" s="11"/>
      <c r="AJ148" s="11"/>
      <c r="AK148" s="20"/>
      <c r="AL148" s="11"/>
      <c r="AM148" s="21" t="str">
        <f aca="false">IF(AO148="","",AO148*IF(ISNUMBER(AK148),AK148,DefFills)*(1+IF(ISNUMBER(AL148),AL148,DefAllow)))</f>
        <v/>
      </c>
      <c r="AN148" s="22" t="str">
        <f aca="false">IF(G148="Given volume",IF(ISNUMBER(H148),H148*INDEX(VolF,MATCH($H$7,VolU,0)),""),IF(G148="Water weight",AH148,IF(N(AG148)=0,"",AG148)))</f>
        <v/>
      </c>
      <c r="AO148" s="22" t="str">
        <f aca="false">IF(N(AN148)=0,"",AN148*AT148*IF(ISNUMBER(AJ148),AJ148,DefCirc))</f>
        <v/>
      </c>
      <c r="AP148" s="9" t="n">
        <f aca="false">IF(ISNUMBER(T148),T148*INDEX(LenF,MATCH($T$7,LenU,0)),IF(ISNUMBER(W148),W148*INDEX(LenF,MATCH($W$7,LenU,0))/PitchRatio,0))</f>
        <v>0</v>
      </c>
      <c r="AQ148" s="9" t="n">
        <f aca="false">IF(ISNUMBER(N148),PI()/4*(N148*INDEX(LenF,MATCH($N$7,LenU,0)))^2,IF(AND(ISNUMBER(S148),ISNUMBER(W148),X148&lt;&gt;""),S148*(W148*INDEX(LenF,MATCH($W$7,LenU,0)))^2*INDEX(LayoutF,MATCH(X148,LayoutU,0)),0))</f>
        <v>0</v>
      </c>
      <c r="AR148" s="9" t="n">
        <f aca="false">IF(ISNUMBER(O148),O148*INDEX(LenF,MATCH($O$7,LenU,0)),IF(ISNUMBER(V148),V148*INDEX(LenF,MATCH($V$7,LenU,0)),0))</f>
        <v>0</v>
      </c>
      <c r="AS148" s="9" t="str">
        <f aca="false">IF(ISNUMBER(L148),L148*INDEX(LenF,MATCH($L$7,LenU,0))*1000,IF(OR(J148="",K148=""),"",IFERROR(IF(INDEX(PipeWT,MATCH(J148,NPSU,0),MATCH(K148,SchU,0))="","Sch n/a",INDEX(PipeOD,MATCH(J148,NPSU,0))-2*INDEX(PipeWT,MATCH(J148,NPSU,0),MATCH(K148,SchU,0))),"")))</f>
        <v/>
      </c>
      <c r="AT148" s="9" t="n">
        <f aca="false">IF(ISNUMBER(AI148),AI148,IFERROR(INDEX(IF(JobType="Decontamination",TypeFillDC,TypeFillCC),MATCH(E148,TypeL,0)),1))</f>
        <v>1</v>
      </c>
      <c r="AU148" s="9" t="n">
        <v>5</v>
      </c>
    </row>
    <row r="149" customFormat="false" ht="15" hidden="false" customHeight="false" outlineLevel="0" collapsed="false">
      <c r="A149" s="16" t="n">
        <v>8</v>
      </c>
      <c r="B149" s="20"/>
      <c r="C149" s="5"/>
      <c r="D149" s="5"/>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1" t="str">
        <f aca="false">IF(E149="Exchanger",IF(AND(ISNUMBER(S149),ISNUMBER(U149),ISNUMBER(V149)),S149*PI()/4*(U149*INDEX(LenF,MATCH($U$7,LenU,0)))^2*V149*INDEX(LenF,MATCH($V$7,LenU,0)),0)+IF(ISNUMBER(Y149),PI()/4*(Y149*INDEX(LenF,MATCH($Y$7,LenU,0)))^2*N(Z149)*INDEX(LenF,MATCH($Z$7,LenU,0))+IF(AA149="",0,IF(AA149="Conical",PI()/12*(Y149*INDEX(LenF,MATCH($Y$7,LenU,0)))^2*(0),INDEX(HeadK,MATCH(AA149,HeadU,0))*(Y149*INDEX(LenF,MATCH($Y$7,LenU,0)))^3)),0)+IF(ISNUMBER(Y149),PI()/4*(Y149*INDEX(LenF,MATCH($Y$7,LenU,0)))^2*N(AB149)*INDEX(LenF,MATCH($AB$7,LenU,0))+IF(AC149="",0,IF(AC149="Conical",PI()/12*(Y149*INDEX(LenF,MATCH($Y$7,LenU,0)))^2*(0),INDEX(HeadK,MATCH(AC149,HeadU,0))*(Y149*INDEX(LenF,MATCH($Y$7,LenU,0)))^3)),0),"")</f>
        <v/>
      </c>
      <c r="AE149" s="21" t="str">
        <f aca="false">IF(OR(E149="",E149="Piping"),"",IF(E149="Exchanger",AQ149*AR149+IF(P149="",0,IF(P149="Conical",PI()/12*(SQRT(4*AQ149/PI()))^2*(0),INDEX(HeadK,MATCH(P149,HeadU,0))*(SQRT(4*AQ149/PI()))^3))-IF(AND(ISNUMBER(S149),ISNUMBER(V149)),S149*PI()/4*AP149^2*V149*INDEX(LenF,MATCH($V$7,LenU,0)),0),IF(ISNUMBER(N149),PI()/4*(N149*INDEX(LenF,MATCH($N$7,LenU,0)))^2*N(O149)*INDEX(LenF,MATCH($O$7,LenU,0))+IF(P149="",0,IF(P149="Conical",PI()/12*(N149*INDEX(LenF,MATCH($N$7,LenU,0)))^2*(N(R149)*INDEX(LenF,MATCH($R$7,LenU,0))),INDEX(HeadK,MATCH(P149,HeadU,0))*(N149*INDEX(LenF,MATCH($N$7,LenU,0)))^3))+IF(Q149="",0,IF(Q149="Conical",PI()/12*(N149*INDEX(LenF,MATCH($N$7,LenU,0)))^2*(N(R149)*INDEX(LenF,MATCH($R$7,LenU,0))),INDEX(HeadK,MATCH(Q149,HeadU,0))*(N149*INDEX(LenF,MATCH($N$7,LenU,0)))^3)),0)))</f>
        <v/>
      </c>
      <c r="AF149" s="21" t="str">
        <f aca="false">IF(E149&lt;&gt;"Piping","",IF(AND(ISNUMBER(AS149),ISNUMBER(M149)),PI()/4*(AS149/1000)^2*M149*INDEX(LenF,MATCH($M$7,LenU,0)),0))</f>
        <v/>
      </c>
      <c r="AG149" s="21" t="str">
        <f aca="false">IF(E149="","",N(AD149)+N(AE149)+N(AF149))</f>
        <v/>
      </c>
      <c r="AH149" s="21" t="str">
        <f aca="false">IF(ISNUMBER(I149),I149*INDEX(WtF,MATCH($I$7,WtU,0))/WaterRho,"")</f>
        <v/>
      </c>
      <c r="AI149" s="11"/>
      <c r="AJ149" s="11"/>
      <c r="AK149" s="20"/>
      <c r="AL149" s="11"/>
      <c r="AM149" s="21" t="str">
        <f aca="false">IF(AO149="","",AO149*IF(ISNUMBER(AK149),AK149,DefFills)*(1+IF(ISNUMBER(AL149),AL149,DefAllow)))</f>
        <v/>
      </c>
      <c r="AN149" s="22" t="str">
        <f aca="false">IF(G149="Given volume",IF(ISNUMBER(H149),H149*INDEX(VolF,MATCH($H$7,VolU,0)),""),IF(G149="Water weight",AH149,IF(N(AG149)=0,"",AG149)))</f>
        <v/>
      </c>
      <c r="AO149" s="22" t="str">
        <f aca="false">IF(N(AN149)=0,"",AN149*AT149*IF(ISNUMBER(AJ149),AJ149,DefCirc))</f>
        <v/>
      </c>
      <c r="AP149" s="9" t="n">
        <f aca="false">IF(ISNUMBER(T149),T149*INDEX(LenF,MATCH($T$7,LenU,0)),IF(ISNUMBER(W149),W149*INDEX(LenF,MATCH($W$7,LenU,0))/PitchRatio,0))</f>
        <v>0</v>
      </c>
      <c r="AQ149" s="9" t="n">
        <f aca="false">IF(ISNUMBER(N149),PI()/4*(N149*INDEX(LenF,MATCH($N$7,LenU,0)))^2,IF(AND(ISNUMBER(S149),ISNUMBER(W149),X149&lt;&gt;""),S149*(W149*INDEX(LenF,MATCH($W$7,LenU,0)))^2*INDEX(LayoutF,MATCH(X149,LayoutU,0)),0))</f>
        <v>0</v>
      </c>
      <c r="AR149" s="9" t="n">
        <f aca="false">IF(ISNUMBER(O149),O149*INDEX(LenF,MATCH($O$7,LenU,0)),IF(ISNUMBER(V149),V149*INDEX(LenF,MATCH($V$7,LenU,0)),0))</f>
        <v>0</v>
      </c>
      <c r="AS149" s="9" t="str">
        <f aca="false">IF(ISNUMBER(L149),L149*INDEX(LenF,MATCH($L$7,LenU,0))*1000,IF(OR(J149="",K149=""),"",IFERROR(IF(INDEX(PipeWT,MATCH(J149,NPSU,0),MATCH(K149,SchU,0))="","Sch n/a",INDEX(PipeOD,MATCH(J149,NPSU,0))-2*INDEX(PipeWT,MATCH(J149,NPSU,0),MATCH(K149,SchU,0))),"")))</f>
        <v/>
      </c>
      <c r="AT149" s="9" t="n">
        <f aca="false">IF(ISNUMBER(AI149),AI149,IFERROR(INDEX(IF(JobType="Decontamination",TypeFillDC,TypeFillCC),MATCH(E149,TypeL,0)),1))</f>
        <v>1</v>
      </c>
      <c r="AU149" s="9" t="n">
        <v>5</v>
      </c>
    </row>
    <row r="150" customFormat="false" ht="15" hidden="false" customHeight="false" outlineLevel="0" collapsed="false">
      <c r="A150" s="16" t="n">
        <v>9</v>
      </c>
      <c r="B150" s="20"/>
      <c r="C150" s="5"/>
      <c r="D150" s="5"/>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1" t="str">
        <f aca="false">IF(E150="Exchanger",IF(AND(ISNUMBER(S150),ISNUMBER(U150),ISNUMBER(V150)),S150*PI()/4*(U150*INDEX(LenF,MATCH($U$7,LenU,0)))^2*V150*INDEX(LenF,MATCH($V$7,LenU,0)),0)+IF(ISNUMBER(Y150),PI()/4*(Y150*INDEX(LenF,MATCH($Y$7,LenU,0)))^2*N(Z150)*INDEX(LenF,MATCH($Z$7,LenU,0))+IF(AA150="",0,IF(AA150="Conical",PI()/12*(Y150*INDEX(LenF,MATCH($Y$7,LenU,0)))^2*(0),INDEX(HeadK,MATCH(AA150,HeadU,0))*(Y150*INDEX(LenF,MATCH($Y$7,LenU,0)))^3)),0)+IF(ISNUMBER(Y150),PI()/4*(Y150*INDEX(LenF,MATCH($Y$7,LenU,0)))^2*N(AB150)*INDEX(LenF,MATCH($AB$7,LenU,0))+IF(AC150="",0,IF(AC150="Conical",PI()/12*(Y150*INDEX(LenF,MATCH($Y$7,LenU,0)))^2*(0),INDEX(HeadK,MATCH(AC150,HeadU,0))*(Y150*INDEX(LenF,MATCH($Y$7,LenU,0)))^3)),0),"")</f>
        <v/>
      </c>
      <c r="AE150" s="21" t="str">
        <f aca="false">IF(OR(E150="",E150="Piping"),"",IF(E150="Exchanger",AQ150*AR150+IF(P150="",0,IF(P150="Conical",PI()/12*(SQRT(4*AQ150/PI()))^2*(0),INDEX(HeadK,MATCH(P150,HeadU,0))*(SQRT(4*AQ150/PI()))^3))-IF(AND(ISNUMBER(S150),ISNUMBER(V150)),S150*PI()/4*AP150^2*V150*INDEX(LenF,MATCH($V$7,LenU,0)),0),IF(ISNUMBER(N150),PI()/4*(N150*INDEX(LenF,MATCH($N$7,LenU,0)))^2*N(O150)*INDEX(LenF,MATCH($O$7,LenU,0))+IF(P150="",0,IF(P150="Conical",PI()/12*(N150*INDEX(LenF,MATCH($N$7,LenU,0)))^2*(N(R150)*INDEX(LenF,MATCH($R$7,LenU,0))),INDEX(HeadK,MATCH(P150,HeadU,0))*(N150*INDEX(LenF,MATCH($N$7,LenU,0)))^3))+IF(Q150="",0,IF(Q150="Conical",PI()/12*(N150*INDEX(LenF,MATCH($N$7,LenU,0)))^2*(N(R150)*INDEX(LenF,MATCH($R$7,LenU,0))),INDEX(HeadK,MATCH(Q150,HeadU,0))*(N150*INDEX(LenF,MATCH($N$7,LenU,0)))^3)),0)))</f>
        <v/>
      </c>
      <c r="AF150" s="21" t="str">
        <f aca="false">IF(E150&lt;&gt;"Piping","",IF(AND(ISNUMBER(AS150),ISNUMBER(M150)),PI()/4*(AS150/1000)^2*M150*INDEX(LenF,MATCH($M$7,LenU,0)),0))</f>
        <v/>
      </c>
      <c r="AG150" s="21" t="str">
        <f aca="false">IF(E150="","",N(AD150)+N(AE150)+N(AF150))</f>
        <v/>
      </c>
      <c r="AH150" s="21" t="str">
        <f aca="false">IF(ISNUMBER(I150),I150*INDEX(WtF,MATCH($I$7,WtU,0))/WaterRho,"")</f>
        <v/>
      </c>
      <c r="AI150" s="11"/>
      <c r="AJ150" s="11"/>
      <c r="AK150" s="20"/>
      <c r="AL150" s="11"/>
      <c r="AM150" s="21" t="str">
        <f aca="false">IF(AO150="","",AO150*IF(ISNUMBER(AK150),AK150,DefFills)*(1+IF(ISNUMBER(AL150),AL150,DefAllow)))</f>
        <v/>
      </c>
      <c r="AN150" s="22" t="str">
        <f aca="false">IF(G150="Given volume",IF(ISNUMBER(H150),H150*INDEX(VolF,MATCH($H$7,VolU,0)),""),IF(G150="Water weight",AH150,IF(N(AG150)=0,"",AG150)))</f>
        <v/>
      </c>
      <c r="AO150" s="22" t="str">
        <f aca="false">IF(N(AN150)=0,"",AN150*AT150*IF(ISNUMBER(AJ150),AJ150,DefCirc))</f>
        <v/>
      </c>
      <c r="AP150" s="9" t="n">
        <f aca="false">IF(ISNUMBER(T150),T150*INDEX(LenF,MATCH($T$7,LenU,0)),IF(ISNUMBER(W150),W150*INDEX(LenF,MATCH($W$7,LenU,0))/PitchRatio,0))</f>
        <v>0</v>
      </c>
      <c r="AQ150" s="9" t="n">
        <f aca="false">IF(ISNUMBER(N150),PI()/4*(N150*INDEX(LenF,MATCH($N$7,LenU,0)))^2,IF(AND(ISNUMBER(S150),ISNUMBER(W150),X150&lt;&gt;""),S150*(W150*INDEX(LenF,MATCH($W$7,LenU,0)))^2*INDEX(LayoutF,MATCH(X150,LayoutU,0)),0))</f>
        <v>0</v>
      </c>
      <c r="AR150" s="9" t="n">
        <f aca="false">IF(ISNUMBER(O150),O150*INDEX(LenF,MATCH($O$7,LenU,0)),IF(ISNUMBER(V150),V150*INDEX(LenF,MATCH($V$7,LenU,0)),0))</f>
        <v>0</v>
      </c>
      <c r="AS150" s="9" t="str">
        <f aca="false">IF(ISNUMBER(L150),L150*INDEX(LenF,MATCH($L$7,LenU,0))*1000,IF(OR(J150="",K150=""),"",IFERROR(IF(INDEX(PipeWT,MATCH(J150,NPSU,0),MATCH(K150,SchU,0))="","Sch n/a",INDEX(PipeOD,MATCH(J150,NPSU,0))-2*INDEX(PipeWT,MATCH(J150,NPSU,0),MATCH(K150,SchU,0))),"")))</f>
        <v/>
      </c>
      <c r="AT150" s="9" t="n">
        <f aca="false">IF(ISNUMBER(AI150),AI150,IFERROR(INDEX(IF(JobType="Decontamination",TypeFillDC,TypeFillCC),MATCH(E150,TypeL,0)),1))</f>
        <v>1</v>
      </c>
      <c r="AU150" s="9" t="n">
        <v>5</v>
      </c>
    </row>
    <row r="151" customFormat="false" ht="15" hidden="false" customHeight="false" outlineLevel="0" collapsed="false">
      <c r="A151" s="16" t="n">
        <v>10</v>
      </c>
      <c r="B151" s="20"/>
      <c r="C151" s="5"/>
      <c r="D151" s="5"/>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1" t="str">
        <f aca="false">IF(E151="Exchanger",IF(AND(ISNUMBER(S151),ISNUMBER(U151),ISNUMBER(V151)),S151*PI()/4*(U151*INDEX(LenF,MATCH($U$7,LenU,0)))^2*V151*INDEX(LenF,MATCH($V$7,LenU,0)),0)+IF(ISNUMBER(Y151),PI()/4*(Y151*INDEX(LenF,MATCH($Y$7,LenU,0)))^2*N(Z151)*INDEX(LenF,MATCH($Z$7,LenU,0))+IF(AA151="",0,IF(AA151="Conical",PI()/12*(Y151*INDEX(LenF,MATCH($Y$7,LenU,0)))^2*(0),INDEX(HeadK,MATCH(AA151,HeadU,0))*(Y151*INDEX(LenF,MATCH($Y$7,LenU,0)))^3)),0)+IF(ISNUMBER(Y151),PI()/4*(Y151*INDEX(LenF,MATCH($Y$7,LenU,0)))^2*N(AB151)*INDEX(LenF,MATCH($AB$7,LenU,0))+IF(AC151="",0,IF(AC151="Conical",PI()/12*(Y151*INDEX(LenF,MATCH($Y$7,LenU,0)))^2*(0),INDEX(HeadK,MATCH(AC151,HeadU,0))*(Y151*INDEX(LenF,MATCH($Y$7,LenU,0)))^3)),0),"")</f>
        <v/>
      </c>
      <c r="AE151" s="21" t="str">
        <f aca="false">IF(OR(E151="",E151="Piping"),"",IF(E151="Exchanger",AQ151*AR151+IF(P151="",0,IF(P151="Conical",PI()/12*(SQRT(4*AQ151/PI()))^2*(0),INDEX(HeadK,MATCH(P151,HeadU,0))*(SQRT(4*AQ151/PI()))^3))-IF(AND(ISNUMBER(S151),ISNUMBER(V151)),S151*PI()/4*AP151^2*V151*INDEX(LenF,MATCH($V$7,LenU,0)),0),IF(ISNUMBER(N151),PI()/4*(N151*INDEX(LenF,MATCH($N$7,LenU,0)))^2*N(O151)*INDEX(LenF,MATCH($O$7,LenU,0))+IF(P151="",0,IF(P151="Conical",PI()/12*(N151*INDEX(LenF,MATCH($N$7,LenU,0)))^2*(N(R151)*INDEX(LenF,MATCH($R$7,LenU,0))),INDEX(HeadK,MATCH(P151,HeadU,0))*(N151*INDEX(LenF,MATCH($N$7,LenU,0)))^3))+IF(Q151="",0,IF(Q151="Conical",PI()/12*(N151*INDEX(LenF,MATCH($N$7,LenU,0)))^2*(N(R151)*INDEX(LenF,MATCH($R$7,LenU,0))),INDEX(HeadK,MATCH(Q151,HeadU,0))*(N151*INDEX(LenF,MATCH($N$7,LenU,0)))^3)),0)))</f>
        <v/>
      </c>
      <c r="AF151" s="21" t="str">
        <f aca="false">IF(E151&lt;&gt;"Piping","",IF(AND(ISNUMBER(AS151),ISNUMBER(M151)),PI()/4*(AS151/1000)^2*M151*INDEX(LenF,MATCH($M$7,LenU,0)),0))</f>
        <v/>
      </c>
      <c r="AG151" s="21" t="str">
        <f aca="false">IF(E151="","",N(AD151)+N(AE151)+N(AF151))</f>
        <v/>
      </c>
      <c r="AH151" s="21" t="str">
        <f aca="false">IF(ISNUMBER(I151),I151*INDEX(WtF,MATCH($I$7,WtU,0))/WaterRho,"")</f>
        <v/>
      </c>
      <c r="AI151" s="11"/>
      <c r="AJ151" s="11"/>
      <c r="AK151" s="20"/>
      <c r="AL151" s="11"/>
      <c r="AM151" s="21" t="str">
        <f aca="false">IF(AO151="","",AO151*IF(ISNUMBER(AK151),AK151,DefFills)*(1+IF(ISNUMBER(AL151),AL151,DefAllow)))</f>
        <v/>
      </c>
      <c r="AN151" s="22" t="str">
        <f aca="false">IF(G151="Given volume",IF(ISNUMBER(H151),H151*INDEX(VolF,MATCH($H$7,VolU,0)),""),IF(G151="Water weight",AH151,IF(N(AG151)=0,"",AG151)))</f>
        <v/>
      </c>
      <c r="AO151" s="22" t="str">
        <f aca="false">IF(N(AN151)=0,"",AN151*AT151*IF(ISNUMBER(AJ151),AJ151,DefCirc))</f>
        <v/>
      </c>
      <c r="AP151" s="9" t="n">
        <f aca="false">IF(ISNUMBER(T151),T151*INDEX(LenF,MATCH($T$7,LenU,0)),IF(ISNUMBER(W151),W151*INDEX(LenF,MATCH($W$7,LenU,0))/PitchRatio,0))</f>
        <v>0</v>
      </c>
      <c r="AQ151" s="9" t="n">
        <f aca="false">IF(ISNUMBER(N151),PI()/4*(N151*INDEX(LenF,MATCH($N$7,LenU,0)))^2,IF(AND(ISNUMBER(S151),ISNUMBER(W151),X151&lt;&gt;""),S151*(W151*INDEX(LenF,MATCH($W$7,LenU,0)))^2*INDEX(LayoutF,MATCH(X151,LayoutU,0)),0))</f>
        <v>0</v>
      </c>
      <c r="AR151" s="9" t="n">
        <f aca="false">IF(ISNUMBER(O151),O151*INDEX(LenF,MATCH($O$7,LenU,0)),IF(ISNUMBER(V151),V151*INDEX(LenF,MATCH($V$7,LenU,0)),0))</f>
        <v>0</v>
      </c>
      <c r="AS151" s="9" t="str">
        <f aca="false">IF(ISNUMBER(L151),L151*INDEX(LenF,MATCH($L$7,LenU,0))*1000,IF(OR(J151="",K151=""),"",IFERROR(IF(INDEX(PipeWT,MATCH(J151,NPSU,0),MATCH(K151,SchU,0))="","Sch n/a",INDEX(PipeOD,MATCH(J151,NPSU,0))-2*INDEX(PipeWT,MATCH(J151,NPSU,0),MATCH(K151,SchU,0))),"")))</f>
        <v/>
      </c>
      <c r="AT151" s="9" t="n">
        <f aca="false">IF(ISNUMBER(AI151),AI151,IFERROR(INDEX(IF(JobType="Decontamination",TypeFillDC,TypeFillCC),MATCH(E151,TypeL,0)),1))</f>
        <v>1</v>
      </c>
      <c r="AU151" s="9" t="n">
        <v>5</v>
      </c>
    </row>
    <row r="152" customFormat="false" ht="15" hidden="false" customHeight="false" outlineLevel="0" collapsed="false">
      <c r="A152" s="16" t="n">
        <v>11</v>
      </c>
      <c r="B152" s="20"/>
      <c r="C152" s="5"/>
      <c r="D152" s="5"/>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1" t="str">
        <f aca="false">IF(E152="Exchanger",IF(AND(ISNUMBER(S152),ISNUMBER(U152),ISNUMBER(V152)),S152*PI()/4*(U152*INDEX(LenF,MATCH($U$7,LenU,0)))^2*V152*INDEX(LenF,MATCH($V$7,LenU,0)),0)+IF(ISNUMBER(Y152),PI()/4*(Y152*INDEX(LenF,MATCH($Y$7,LenU,0)))^2*N(Z152)*INDEX(LenF,MATCH($Z$7,LenU,0))+IF(AA152="",0,IF(AA152="Conical",PI()/12*(Y152*INDEX(LenF,MATCH($Y$7,LenU,0)))^2*(0),INDEX(HeadK,MATCH(AA152,HeadU,0))*(Y152*INDEX(LenF,MATCH($Y$7,LenU,0)))^3)),0)+IF(ISNUMBER(Y152),PI()/4*(Y152*INDEX(LenF,MATCH($Y$7,LenU,0)))^2*N(AB152)*INDEX(LenF,MATCH($AB$7,LenU,0))+IF(AC152="",0,IF(AC152="Conical",PI()/12*(Y152*INDEX(LenF,MATCH($Y$7,LenU,0)))^2*(0),INDEX(HeadK,MATCH(AC152,HeadU,0))*(Y152*INDEX(LenF,MATCH($Y$7,LenU,0)))^3)),0),"")</f>
        <v/>
      </c>
      <c r="AE152" s="21" t="str">
        <f aca="false">IF(OR(E152="",E152="Piping"),"",IF(E152="Exchanger",AQ152*AR152+IF(P152="",0,IF(P152="Conical",PI()/12*(SQRT(4*AQ152/PI()))^2*(0),INDEX(HeadK,MATCH(P152,HeadU,0))*(SQRT(4*AQ152/PI()))^3))-IF(AND(ISNUMBER(S152),ISNUMBER(V152)),S152*PI()/4*AP152^2*V152*INDEX(LenF,MATCH($V$7,LenU,0)),0),IF(ISNUMBER(N152),PI()/4*(N152*INDEX(LenF,MATCH($N$7,LenU,0)))^2*N(O152)*INDEX(LenF,MATCH($O$7,LenU,0))+IF(P152="",0,IF(P152="Conical",PI()/12*(N152*INDEX(LenF,MATCH($N$7,LenU,0)))^2*(N(R152)*INDEX(LenF,MATCH($R$7,LenU,0))),INDEX(HeadK,MATCH(P152,HeadU,0))*(N152*INDEX(LenF,MATCH($N$7,LenU,0)))^3))+IF(Q152="",0,IF(Q152="Conical",PI()/12*(N152*INDEX(LenF,MATCH($N$7,LenU,0)))^2*(N(R152)*INDEX(LenF,MATCH($R$7,LenU,0))),INDEX(HeadK,MATCH(Q152,HeadU,0))*(N152*INDEX(LenF,MATCH($N$7,LenU,0)))^3)),0)))</f>
        <v/>
      </c>
      <c r="AF152" s="21" t="str">
        <f aca="false">IF(E152&lt;&gt;"Piping","",IF(AND(ISNUMBER(AS152),ISNUMBER(M152)),PI()/4*(AS152/1000)^2*M152*INDEX(LenF,MATCH($M$7,LenU,0)),0))</f>
        <v/>
      </c>
      <c r="AG152" s="21" t="str">
        <f aca="false">IF(E152="","",N(AD152)+N(AE152)+N(AF152))</f>
        <v/>
      </c>
      <c r="AH152" s="21" t="str">
        <f aca="false">IF(ISNUMBER(I152),I152*INDEX(WtF,MATCH($I$7,WtU,0))/WaterRho,"")</f>
        <v/>
      </c>
      <c r="AI152" s="11"/>
      <c r="AJ152" s="11"/>
      <c r="AK152" s="20"/>
      <c r="AL152" s="11"/>
      <c r="AM152" s="21" t="str">
        <f aca="false">IF(AO152="","",AO152*IF(ISNUMBER(AK152),AK152,DefFills)*(1+IF(ISNUMBER(AL152),AL152,DefAllow)))</f>
        <v/>
      </c>
      <c r="AN152" s="22" t="str">
        <f aca="false">IF(G152="Given volume",IF(ISNUMBER(H152),H152*INDEX(VolF,MATCH($H$7,VolU,0)),""),IF(G152="Water weight",AH152,IF(N(AG152)=0,"",AG152)))</f>
        <v/>
      </c>
      <c r="AO152" s="22" t="str">
        <f aca="false">IF(N(AN152)=0,"",AN152*AT152*IF(ISNUMBER(AJ152),AJ152,DefCirc))</f>
        <v/>
      </c>
      <c r="AP152" s="9" t="n">
        <f aca="false">IF(ISNUMBER(T152),T152*INDEX(LenF,MATCH($T$7,LenU,0)),IF(ISNUMBER(W152),W152*INDEX(LenF,MATCH($W$7,LenU,0))/PitchRatio,0))</f>
        <v>0</v>
      </c>
      <c r="AQ152" s="9" t="n">
        <f aca="false">IF(ISNUMBER(N152),PI()/4*(N152*INDEX(LenF,MATCH($N$7,LenU,0)))^2,IF(AND(ISNUMBER(S152),ISNUMBER(W152),X152&lt;&gt;""),S152*(W152*INDEX(LenF,MATCH($W$7,LenU,0)))^2*INDEX(LayoutF,MATCH(X152,LayoutU,0)),0))</f>
        <v>0</v>
      </c>
      <c r="AR152" s="9" t="n">
        <f aca="false">IF(ISNUMBER(O152),O152*INDEX(LenF,MATCH($O$7,LenU,0)),IF(ISNUMBER(V152),V152*INDEX(LenF,MATCH($V$7,LenU,0)),0))</f>
        <v>0</v>
      </c>
      <c r="AS152" s="9" t="str">
        <f aca="false">IF(ISNUMBER(L152),L152*INDEX(LenF,MATCH($L$7,LenU,0))*1000,IF(OR(J152="",K152=""),"",IFERROR(IF(INDEX(PipeWT,MATCH(J152,NPSU,0),MATCH(K152,SchU,0))="","Sch n/a",INDEX(PipeOD,MATCH(J152,NPSU,0))-2*INDEX(PipeWT,MATCH(J152,NPSU,0),MATCH(K152,SchU,0))),"")))</f>
        <v/>
      </c>
      <c r="AT152" s="9" t="n">
        <f aca="false">IF(ISNUMBER(AI152),AI152,IFERROR(INDEX(IF(JobType="Decontamination",TypeFillDC,TypeFillCC),MATCH(E152,TypeL,0)),1))</f>
        <v>1</v>
      </c>
      <c r="AU152" s="9" t="n">
        <v>5</v>
      </c>
    </row>
    <row r="153" customFormat="false" ht="15" hidden="false" customHeight="false" outlineLevel="0" collapsed="false">
      <c r="A153" s="16" t="n">
        <v>12</v>
      </c>
      <c r="B153" s="20"/>
      <c r="C153" s="5"/>
      <c r="D153" s="5"/>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1" t="str">
        <f aca="false">IF(E153="Exchanger",IF(AND(ISNUMBER(S153),ISNUMBER(U153),ISNUMBER(V153)),S153*PI()/4*(U153*INDEX(LenF,MATCH($U$7,LenU,0)))^2*V153*INDEX(LenF,MATCH($V$7,LenU,0)),0)+IF(ISNUMBER(Y153),PI()/4*(Y153*INDEX(LenF,MATCH($Y$7,LenU,0)))^2*N(Z153)*INDEX(LenF,MATCH($Z$7,LenU,0))+IF(AA153="",0,IF(AA153="Conical",PI()/12*(Y153*INDEX(LenF,MATCH($Y$7,LenU,0)))^2*(0),INDEX(HeadK,MATCH(AA153,HeadU,0))*(Y153*INDEX(LenF,MATCH($Y$7,LenU,0)))^3)),0)+IF(ISNUMBER(Y153),PI()/4*(Y153*INDEX(LenF,MATCH($Y$7,LenU,0)))^2*N(AB153)*INDEX(LenF,MATCH($AB$7,LenU,0))+IF(AC153="",0,IF(AC153="Conical",PI()/12*(Y153*INDEX(LenF,MATCH($Y$7,LenU,0)))^2*(0),INDEX(HeadK,MATCH(AC153,HeadU,0))*(Y153*INDEX(LenF,MATCH($Y$7,LenU,0)))^3)),0),"")</f>
        <v/>
      </c>
      <c r="AE153" s="21" t="str">
        <f aca="false">IF(OR(E153="",E153="Piping"),"",IF(E153="Exchanger",AQ153*AR153+IF(P153="",0,IF(P153="Conical",PI()/12*(SQRT(4*AQ153/PI()))^2*(0),INDEX(HeadK,MATCH(P153,HeadU,0))*(SQRT(4*AQ153/PI()))^3))-IF(AND(ISNUMBER(S153),ISNUMBER(V153)),S153*PI()/4*AP153^2*V153*INDEX(LenF,MATCH($V$7,LenU,0)),0),IF(ISNUMBER(N153),PI()/4*(N153*INDEX(LenF,MATCH($N$7,LenU,0)))^2*N(O153)*INDEX(LenF,MATCH($O$7,LenU,0))+IF(P153="",0,IF(P153="Conical",PI()/12*(N153*INDEX(LenF,MATCH($N$7,LenU,0)))^2*(N(R153)*INDEX(LenF,MATCH($R$7,LenU,0))),INDEX(HeadK,MATCH(P153,HeadU,0))*(N153*INDEX(LenF,MATCH($N$7,LenU,0)))^3))+IF(Q153="",0,IF(Q153="Conical",PI()/12*(N153*INDEX(LenF,MATCH($N$7,LenU,0)))^2*(N(R153)*INDEX(LenF,MATCH($R$7,LenU,0))),INDEX(HeadK,MATCH(Q153,HeadU,0))*(N153*INDEX(LenF,MATCH($N$7,LenU,0)))^3)),0)))</f>
        <v/>
      </c>
      <c r="AF153" s="21" t="str">
        <f aca="false">IF(E153&lt;&gt;"Piping","",IF(AND(ISNUMBER(AS153),ISNUMBER(M153)),PI()/4*(AS153/1000)^2*M153*INDEX(LenF,MATCH($M$7,LenU,0)),0))</f>
        <v/>
      </c>
      <c r="AG153" s="21" t="str">
        <f aca="false">IF(E153="","",N(AD153)+N(AE153)+N(AF153))</f>
        <v/>
      </c>
      <c r="AH153" s="21" t="str">
        <f aca="false">IF(ISNUMBER(I153),I153*INDEX(WtF,MATCH($I$7,WtU,0))/WaterRho,"")</f>
        <v/>
      </c>
      <c r="AI153" s="11"/>
      <c r="AJ153" s="11"/>
      <c r="AK153" s="20"/>
      <c r="AL153" s="11"/>
      <c r="AM153" s="21" t="str">
        <f aca="false">IF(AO153="","",AO153*IF(ISNUMBER(AK153),AK153,DefFills)*(1+IF(ISNUMBER(AL153),AL153,DefAllow)))</f>
        <v/>
      </c>
      <c r="AN153" s="22" t="str">
        <f aca="false">IF(G153="Given volume",IF(ISNUMBER(H153),H153*INDEX(VolF,MATCH($H$7,VolU,0)),""),IF(G153="Water weight",AH153,IF(N(AG153)=0,"",AG153)))</f>
        <v/>
      </c>
      <c r="AO153" s="22" t="str">
        <f aca="false">IF(N(AN153)=0,"",AN153*AT153*IF(ISNUMBER(AJ153),AJ153,DefCirc))</f>
        <v/>
      </c>
      <c r="AP153" s="9" t="n">
        <f aca="false">IF(ISNUMBER(T153),T153*INDEX(LenF,MATCH($T$7,LenU,0)),IF(ISNUMBER(W153),W153*INDEX(LenF,MATCH($W$7,LenU,0))/PitchRatio,0))</f>
        <v>0</v>
      </c>
      <c r="AQ153" s="9" t="n">
        <f aca="false">IF(ISNUMBER(N153),PI()/4*(N153*INDEX(LenF,MATCH($N$7,LenU,0)))^2,IF(AND(ISNUMBER(S153),ISNUMBER(W153),X153&lt;&gt;""),S153*(W153*INDEX(LenF,MATCH($W$7,LenU,0)))^2*INDEX(LayoutF,MATCH(X153,LayoutU,0)),0))</f>
        <v>0</v>
      </c>
      <c r="AR153" s="9" t="n">
        <f aca="false">IF(ISNUMBER(O153),O153*INDEX(LenF,MATCH($O$7,LenU,0)),IF(ISNUMBER(V153),V153*INDEX(LenF,MATCH($V$7,LenU,0)),0))</f>
        <v>0</v>
      </c>
      <c r="AS153" s="9" t="str">
        <f aca="false">IF(ISNUMBER(L153),L153*INDEX(LenF,MATCH($L$7,LenU,0))*1000,IF(OR(J153="",K153=""),"",IFERROR(IF(INDEX(PipeWT,MATCH(J153,NPSU,0),MATCH(K153,SchU,0))="","Sch n/a",INDEX(PipeOD,MATCH(J153,NPSU,0))-2*INDEX(PipeWT,MATCH(J153,NPSU,0),MATCH(K153,SchU,0))),"")))</f>
        <v/>
      </c>
      <c r="AT153" s="9" t="n">
        <f aca="false">IF(ISNUMBER(AI153),AI153,IFERROR(INDEX(IF(JobType="Decontamination",TypeFillDC,TypeFillCC),MATCH(E153,TypeL,0)),1))</f>
        <v>1</v>
      </c>
      <c r="AU153" s="9" t="n">
        <v>5</v>
      </c>
    </row>
    <row r="154" customFormat="false" ht="15" hidden="false" customHeight="false" outlineLevel="0" collapsed="false">
      <c r="A154" s="16" t="n">
        <v>13</v>
      </c>
      <c r="B154" s="20"/>
      <c r="C154" s="5"/>
      <c r="D154" s="5"/>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1" t="str">
        <f aca="false">IF(E154="Exchanger",IF(AND(ISNUMBER(S154),ISNUMBER(U154),ISNUMBER(V154)),S154*PI()/4*(U154*INDEX(LenF,MATCH($U$7,LenU,0)))^2*V154*INDEX(LenF,MATCH($V$7,LenU,0)),0)+IF(ISNUMBER(Y154),PI()/4*(Y154*INDEX(LenF,MATCH($Y$7,LenU,0)))^2*N(Z154)*INDEX(LenF,MATCH($Z$7,LenU,0))+IF(AA154="",0,IF(AA154="Conical",PI()/12*(Y154*INDEX(LenF,MATCH($Y$7,LenU,0)))^2*(0),INDEX(HeadK,MATCH(AA154,HeadU,0))*(Y154*INDEX(LenF,MATCH($Y$7,LenU,0)))^3)),0)+IF(ISNUMBER(Y154),PI()/4*(Y154*INDEX(LenF,MATCH($Y$7,LenU,0)))^2*N(AB154)*INDEX(LenF,MATCH($AB$7,LenU,0))+IF(AC154="",0,IF(AC154="Conical",PI()/12*(Y154*INDEX(LenF,MATCH($Y$7,LenU,0)))^2*(0),INDEX(HeadK,MATCH(AC154,HeadU,0))*(Y154*INDEX(LenF,MATCH($Y$7,LenU,0)))^3)),0),"")</f>
        <v/>
      </c>
      <c r="AE154" s="21" t="str">
        <f aca="false">IF(OR(E154="",E154="Piping"),"",IF(E154="Exchanger",AQ154*AR154+IF(P154="",0,IF(P154="Conical",PI()/12*(SQRT(4*AQ154/PI()))^2*(0),INDEX(HeadK,MATCH(P154,HeadU,0))*(SQRT(4*AQ154/PI()))^3))-IF(AND(ISNUMBER(S154),ISNUMBER(V154)),S154*PI()/4*AP154^2*V154*INDEX(LenF,MATCH($V$7,LenU,0)),0),IF(ISNUMBER(N154),PI()/4*(N154*INDEX(LenF,MATCH($N$7,LenU,0)))^2*N(O154)*INDEX(LenF,MATCH($O$7,LenU,0))+IF(P154="",0,IF(P154="Conical",PI()/12*(N154*INDEX(LenF,MATCH($N$7,LenU,0)))^2*(N(R154)*INDEX(LenF,MATCH($R$7,LenU,0))),INDEX(HeadK,MATCH(P154,HeadU,0))*(N154*INDEX(LenF,MATCH($N$7,LenU,0)))^3))+IF(Q154="",0,IF(Q154="Conical",PI()/12*(N154*INDEX(LenF,MATCH($N$7,LenU,0)))^2*(N(R154)*INDEX(LenF,MATCH($R$7,LenU,0))),INDEX(HeadK,MATCH(Q154,HeadU,0))*(N154*INDEX(LenF,MATCH($N$7,LenU,0)))^3)),0)))</f>
        <v/>
      </c>
      <c r="AF154" s="21" t="str">
        <f aca="false">IF(E154&lt;&gt;"Piping","",IF(AND(ISNUMBER(AS154),ISNUMBER(M154)),PI()/4*(AS154/1000)^2*M154*INDEX(LenF,MATCH($M$7,LenU,0)),0))</f>
        <v/>
      </c>
      <c r="AG154" s="21" t="str">
        <f aca="false">IF(E154="","",N(AD154)+N(AE154)+N(AF154))</f>
        <v/>
      </c>
      <c r="AH154" s="21" t="str">
        <f aca="false">IF(ISNUMBER(I154),I154*INDEX(WtF,MATCH($I$7,WtU,0))/WaterRho,"")</f>
        <v/>
      </c>
      <c r="AI154" s="11"/>
      <c r="AJ154" s="11"/>
      <c r="AK154" s="20"/>
      <c r="AL154" s="11"/>
      <c r="AM154" s="21" t="str">
        <f aca="false">IF(AO154="","",AO154*IF(ISNUMBER(AK154),AK154,DefFills)*(1+IF(ISNUMBER(AL154),AL154,DefAllow)))</f>
        <v/>
      </c>
      <c r="AN154" s="22" t="str">
        <f aca="false">IF(G154="Given volume",IF(ISNUMBER(H154),H154*INDEX(VolF,MATCH($H$7,VolU,0)),""),IF(G154="Water weight",AH154,IF(N(AG154)=0,"",AG154)))</f>
        <v/>
      </c>
      <c r="AO154" s="22" t="str">
        <f aca="false">IF(N(AN154)=0,"",AN154*AT154*IF(ISNUMBER(AJ154),AJ154,DefCirc))</f>
        <v/>
      </c>
      <c r="AP154" s="9" t="n">
        <f aca="false">IF(ISNUMBER(T154),T154*INDEX(LenF,MATCH($T$7,LenU,0)),IF(ISNUMBER(W154),W154*INDEX(LenF,MATCH($W$7,LenU,0))/PitchRatio,0))</f>
        <v>0</v>
      </c>
      <c r="AQ154" s="9" t="n">
        <f aca="false">IF(ISNUMBER(N154),PI()/4*(N154*INDEX(LenF,MATCH($N$7,LenU,0)))^2,IF(AND(ISNUMBER(S154),ISNUMBER(W154),X154&lt;&gt;""),S154*(W154*INDEX(LenF,MATCH($W$7,LenU,0)))^2*INDEX(LayoutF,MATCH(X154,LayoutU,0)),0))</f>
        <v>0</v>
      </c>
      <c r="AR154" s="9" t="n">
        <f aca="false">IF(ISNUMBER(O154),O154*INDEX(LenF,MATCH($O$7,LenU,0)),IF(ISNUMBER(V154),V154*INDEX(LenF,MATCH($V$7,LenU,0)),0))</f>
        <v>0</v>
      </c>
      <c r="AS154" s="9" t="str">
        <f aca="false">IF(ISNUMBER(L154),L154*INDEX(LenF,MATCH($L$7,LenU,0))*1000,IF(OR(J154="",K154=""),"",IFERROR(IF(INDEX(PipeWT,MATCH(J154,NPSU,0),MATCH(K154,SchU,0))="","Sch n/a",INDEX(PipeOD,MATCH(J154,NPSU,0))-2*INDEX(PipeWT,MATCH(J154,NPSU,0),MATCH(K154,SchU,0))),"")))</f>
        <v/>
      </c>
      <c r="AT154" s="9" t="n">
        <f aca="false">IF(ISNUMBER(AI154),AI154,IFERROR(INDEX(IF(JobType="Decontamination",TypeFillDC,TypeFillCC),MATCH(E154,TypeL,0)),1))</f>
        <v>1</v>
      </c>
      <c r="AU154" s="9" t="n">
        <v>5</v>
      </c>
    </row>
    <row r="155" customFormat="false" ht="15" hidden="false" customHeight="false" outlineLevel="0" collapsed="false">
      <c r="A155" s="16" t="n">
        <v>14</v>
      </c>
      <c r="B155" s="20"/>
      <c r="C155" s="5"/>
      <c r="D155" s="5"/>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1" t="str">
        <f aca="false">IF(E155="Exchanger",IF(AND(ISNUMBER(S155),ISNUMBER(U155),ISNUMBER(V155)),S155*PI()/4*(U155*INDEX(LenF,MATCH($U$7,LenU,0)))^2*V155*INDEX(LenF,MATCH($V$7,LenU,0)),0)+IF(ISNUMBER(Y155),PI()/4*(Y155*INDEX(LenF,MATCH($Y$7,LenU,0)))^2*N(Z155)*INDEX(LenF,MATCH($Z$7,LenU,0))+IF(AA155="",0,IF(AA155="Conical",PI()/12*(Y155*INDEX(LenF,MATCH($Y$7,LenU,0)))^2*(0),INDEX(HeadK,MATCH(AA155,HeadU,0))*(Y155*INDEX(LenF,MATCH($Y$7,LenU,0)))^3)),0)+IF(ISNUMBER(Y155),PI()/4*(Y155*INDEX(LenF,MATCH($Y$7,LenU,0)))^2*N(AB155)*INDEX(LenF,MATCH($AB$7,LenU,0))+IF(AC155="",0,IF(AC155="Conical",PI()/12*(Y155*INDEX(LenF,MATCH($Y$7,LenU,0)))^2*(0),INDEX(HeadK,MATCH(AC155,HeadU,0))*(Y155*INDEX(LenF,MATCH($Y$7,LenU,0)))^3)),0),"")</f>
        <v/>
      </c>
      <c r="AE155" s="21" t="str">
        <f aca="false">IF(OR(E155="",E155="Piping"),"",IF(E155="Exchanger",AQ155*AR155+IF(P155="",0,IF(P155="Conical",PI()/12*(SQRT(4*AQ155/PI()))^2*(0),INDEX(HeadK,MATCH(P155,HeadU,0))*(SQRT(4*AQ155/PI()))^3))-IF(AND(ISNUMBER(S155),ISNUMBER(V155)),S155*PI()/4*AP155^2*V155*INDEX(LenF,MATCH($V$7,LenU,0)),0),IF(ISNUMBER(N155),PI()/4*(N155*INDEX(LenF,MATCH($N$7,LenU,0)))^2*N(O155)*INDEX(LenF,MATCH($O$7,LenU,0))+IF(P155="",0,IF(P155="Conical",PI()/12*(N155*INDEX(LenF,MATCH($N$7,LenU,0)))^2*(N(R155)*INDEX(LenF,MATCH($R$7,LenU,0))),INDEX(HeadK,MATCH(P155,HeadU,0))*(N155*INDEX(LenF,MATCH($N$7,LenU,0)))^3))+IF(Q155="",0,IF(Q155="Conical",PI()/12*(N155*INDEX(LenF,MATCH($N$7,LenU,0)))^2*(N(R155)*INDEX(LenF,MATCH($R$7,LenU,0))),INDEX(HeadK,MATCH(Q155,HeadU,0))*(N155*INDEX(LenF,MATCH($N$7,LenU,0)))^3)),0)))</f>
        <v/>
      </c>
      <c r="AF155" s="21" t="str">
        <f aca="false">IF(E155&lt;&gt;"Piping","",IF(AND(ISNUMBER(AS155),ISNUMBER(M155)),PI()/4*(AS155/1000)^2*M155*INDEX(LenF,MATCH($M$7,LenU,0)),0))</f>
        <v/>
      </c>
      <c r="AG155" s="21" t="str">
        <f aca="false">IF(E155="","",N(AD155)+N(AE155)+N(AF155))</f>
        <v/>
      </c>
      <c r="AH155" s="21" t="str">
        <f aca="false">IF(ISNUMBER(I155),I155*INDEX(WtF,MATCH($I$7,WtU,0))/WaterRho,"")</f>
        <v/>
      </c>
      <c r="AI155" s="11"/>
      <c r="AJ155" s="11"/>
      <c r="AK155" s="20"/>
      <c r="AL155" s="11"/>
      <c r="AM155" s="21" t="str">
        <f aca="false">IF(AO155="","",AO155*IF(ISNUMBER(AK155),AK155,DefFills)*(1+IF(ISNUMBER(AL155),AL155,DefAllow)))</f>
        <v/>
      </c>
      <c r="AN155" s="22" t="str">
        <f aca="false">IF(G155="Given volume",IF(ISNUMBER(H155),H155*INDEX(VolF,MATCH($H$7,VolU,0)),""),IF(G155="Water weight",AH155,IF(N(AG155)=0,"",AG155)))</f>
        <v/>
      </c>
      <c r="AO155" s="22" t="str">
        <f aca="false">IF(N(AN155)=0,"",AN155*AT155*IF(ISNUMBER(AJ155),AJ155,DefCirc))</f>
        <v/>
      </c>
      <c r="AP155" s="9" t="n">
        <f aca="false">IF(ISNUMBER(T155),T155*INDEX(LenF,MATCH($T$7,LenU,0)),IF(ISNUMBER(W155),W155*INDEX(LenF,MATCH($W$7,LenU,0))/PitchRatio,0))</f>
        <v>0</v>
      </c>
      <c r="AQ155" s="9" t="n">
        <f aca="false">IF(ISNUMBER(N155),PI()/4*(N155*INDEX(LenF,MATCH($N$7,LenU,0)))^2,IF(AND(ISNUMBER(S155),ISNUMBER(W155),X155&lt;&gt;""),S155*(W155*INDEX(LenF,MATCH($W$7,LenU,0)))^2*INDEX(LayoutF,MATCH(X155,LayoutU,0)),0))</f>
        <v>0</v>
      </c>
      <c r="AR155" s="9" t="n">
        <f aca="false">IF(ISNUMBER(O155),O155*INDEX(LenF,MATCH($O$7,LenU,0)),IF(ISNUMBER(V155),V155*INDEX(LenF,MATCH($V$7,LenU,0)),0))</f>
        <v>0</v>
      </c>
      <c r="AS155" s="9" t="str">
        <f aca="false">IF(ISNUMBER(L155),L155*INDEX(LenF,MATCH($L$7,LenU,0))*1000,IF(OR(J155="",K155=""),"",IFERROR(IF(INDEX(PipeWT,MATCH(J155,NPSU,0),MATCH(K155,SchU,0))="","Sch n/a",INDEX(PipeOD,MATCH(J155,NPSU,0))-2*INDEX(PipeWT,MATCH(J155,NPSU,0),MATCH(K155,SchU,0))),"")))</f>
        <v/>
      </c>
      <c r="AT155" s="9" t="n">
        <f aca="false">IF(ISNUMBER(AI155),AI155,IFERROR(INDEX(IF(JobType="Decontamination",TypeFillDC,TypeFillCC),MATCH(E155,TypeL,0)),1))</f>
        <v>1</v>
      </c>
      <c r="AU155" s="9" t="n">
        <v>5</v>
      </c>
    </row>
    <row r="156" customFormat="false" ht="15" hidden="false" customHeight="false" outlineLevel="0" collapsed="false">
      <c r="A156" s="16" t="n">
        <v>15</v>
      </c>
      <c r="B156" s="20"/>
      <c r="C156" s="5"/>
      <c r="D156" s="5"/>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1" t="str">
        <f aca="false">IF(E156="Exchanger",IF(AND(ISNUMBER(S156),ISNUMBER(U156),ISNUMBER(V156)),S156*PI()/4*(U156*INDEX(LenF,MATCH($U$7,LenU,0)))^2*V156*INDEX(LenF,MATCH($V$7,LenU,0)),0)+IF(ISNUMBER(Y156),PI()/4*(Y156*INDEX(LenF,MATCH($Y$7,LenU,0)))^2*N(Z156)*INDEX(LenF,MATCH($Z$7,LenU,0))+IF(AA156="",0,IF(AA156="Conical",PI()/12*(Y156*INDEX(LenF,MATCH($Y$7,LenU,0)))^2*(0),INDEX(HeadK,MATCH(AA156,HeadU,0))*(Y156*INDEX(LenF,MATCH($Y$7,LenU,0)))^3)),0)+IF(ISNUMBER(Y156),PI()/4*(Y156*INDEX(LenF,MATCH($Y$7,LenU,0)))^2*N(AB156)*INDEX(LenF,MATCH($AB$7,LenU,0))+IF(AC156="",0,IF(AC156="Conical",PI()/12*(Y156*INDEX(LenF,MATCH($Y$7,LenU,0)))^2*(0),INDEX(HeadK,MATCH(AC156,HeadU,0))*(Y156*INDEX(LenF,MATCH($Y$7,LenU,0)))^3)),0),"")</f>
        <v/>
      </c>
      <c r="AE156" s="21" t="str">
        <f aca="false">IF(OR(E156="",E156="Piping"),"",IF(E156="Exchanger",AQ156*AR156+IF(P156="",0,IF(P156="Conical",PI()/12*(SQRT(4*AQ156/PI()))^2*(0),INDEX(HeadK,MATCH(P156,HeadU,0))*(SQRT(4*AQ156/PI()))^3))-IF(AND(ISNUMBER(S156),ISNUMBER(V156)),S156*PI()/4*AP156^2*V156*INDEX(LenF,MATCH($V$7,LenU,0)),0),IF(ISNUMBER(N156),PI()/4*(N156*INDEX(LenF,MATCH($N$7,LenU,0)))^2*N(O156)*INDEX(LenF,MATCH($O$7,LenU,0))+IF(P156="",0,IF(P156="Conical",PI()/12*(N156*INDEX(LenF,MATCH($N$7,LenU,0)))^2*(N(R156)*INDEX(LenF,MATCH($R$7,LenU,0))),INDEX(HeadK,MATCH(P156,HeadU,0))*(N156*INDEX(LenF,MATCH($N$7,LenU,0)))^3))+IF(Q156="",0,IF(Q156="Conical",PI()/12*(N156*INDEX(LenF,MATCH($N$7,LenU,0)))^2*(N(R156)*INDEX(LenF,MATCH($R$7,LenU,0))),INDEX(HeadK,MATCH(Q156,HeadU,0))*(N156*INDEX(LenF,MATCH($N$7,LenU,0)))^3)),0)))</f>
        <v/>
      </c>
      <c r="AF156" s="21" t="str">
        <f aca="false">IF(E156&lt;&gt;"Piping","",IF(AND(ISNUMBER(AS156),ISNUMBER(M156)),PI()/4*(AS156/1000)^2*M156*INDEX(LenF,MATCH($M$7,LenU,0)),0))</f>
        <v/>
      </c>
      <c r="AG156" s="21" t="str">
        <f aca="false">IF(E156="","",N(AD156)+N(AE156)+N(AF156))</f>
        <v/>
      </c>
      <c r="AH156" s="21" t="str">
        <f aca="false">IF(ISNUMBER(I156),I156*INDEX(WtF,MATCH($I$7,WtU,0))/WaterRho,"")</f>
        <v/>
      </c>
      <c r="AI156" s="11"/>
      <c r="AJ156" s="11"/>
      <c r="AK156" s="20"/>
      <c r="AL156" s="11"/>
      <c r="AM156" s="21" t="str">
        <f aca="false">IF(AO156="","",AO156*IF(ISNUMBER(AK156),AK156,DefFills)*(1+IF(ISNUMBER(AL156),AL156,DefAllow)))</f>
        <v/>
      </c>
      <c r="AN156" s="22" t="str">
        <f aca="false">IF(G156="Given volume",IF(ISNUMBER(H156),H156*INDEX(VolF,MATCH($H$7,VolU,0)),""),IF(G156="Water weight",AH156,IF(N(AG156)=0,"",AG156)))</f>
        <v/>
      </c>
      <c r="AO156" s="22" t="str">
        <f aca="false">IF(N(AN156)=0,"",AN156*AT156*IF(ISNUMBER(AJ156),AJ156,DefCirc))</f>
        <v/>
      </c>
      <c r="AP156" s="9" t="n">
        <f aca="false">IF(ISNUMBER(T156),T156*INDEX(LenF,MATCH($T$7,LenU,0)),IF(ISNUMBER(W156),W156*INDEX(LenF,MATCH($W$7,LenU,0))/PitchRatio,0))</f>
        <v>0</v>
      </c>
      <c r="AQ156" s="9" t="n">
        <f aca="false">IF(ISNUMBER(N156),PI()/4*(N156*INDEX(LenF,MATCH($N$7,LenU,0)))^2,IF(AND(ISNUMBER(S156),ISNUMBER(W156),X156&lt;&gt;""),S156*(W156*INDEX(LenF,MATCH($W$7,LenU,0)))^2*INDEX(LayoutF,MATCH(X156,LayoutU,0)),0))</f>
        <v>0</v>
      </c>
      <c r="AR156" s="9" t="n">
        <f aca="false">IF(ISNUMBER(O156),O156*INDEX(LenF,MATCH($O$7,LenU,0)),IF(ISNUMBER(V156),V156*INDEX(LenF,MATCH($V$7,LenU,0)),0))</f>
        <v>0</v>
      </c>
      <c r="AS156" s="9" t="str">
        <f aca="false">IF(ISNUMBER(L156),L156*INDEX(LenF,MATCH($L$7,LenU,0))*1000,IF(OR(J156="",K156=""),"",IFERROR(IF(INDEX(PipeWT,MATCH(J156,NPSU,0),MATCH(K156,SchU,0))="","Sch n/a",INDEX(PipeOD,MATCH(J156,NPSU,0))-2*INDEX(PipeWT,MATCH(J156,NPSU,0),MATCH(K156,SchU,0))),"")))</f>
        <v/>
      </c>
      <c r="AT156" s="9" t="n">
        <f aca="false">IF(ISNUMBER(AI156),AI156,IFERROR(INDEX(IF(JobType="Decontamination",TypeFillDC,TypeFillCC),MATCH(E156,TypeL,0)),1))</f>
        <v>1</v>
      </c>
      <c r="AU156" s="9" t="n">
        <v>5</v>
      </c>
    </row>
    <row r="157" customFormat="false" ht="15" hidden="false" customHeight="false" outlineLevel="0" collapsed="false">
      <c r="A157" s="16" t="n">
        <v>16</v>
      </c>
      <c r="B157" s="20"/>
      <c r="C157" s="5"/>
      <c r="D157" s="5"/>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1" t="str">
        <f aca="false">IF(E157="Exchanger",IF(AND(ISNUMBER(S157),ISNUMBER(U157),ISNUMBER(V157)),S157*PI()/4*(U157*INDEX(LenF,MATCH($U$7,LenU,0)))^2*V157*INDEX(LenF,MATCH($V$7,LenU,0)),0)+IF(ISNUMBER(Y157),PI()/4*(Y157*INDEX(LenF,MATCH($Y$7,LenU,0)))^2*N(Z157)*INDEX(LenF,MATCH($Z$7,LenU,0))+IF(AA157="",0,IF(AA157="Conical",PI()/12*(Y157*INDEX(LenF,MATCH($Y$7,LenU,0)))^2*(0),INDEX(HeadK,MATCH(AA157,HeadU,0))*(Y157*INDEX(LenF,MATCH($Y$7,LenU,0)))^3)),0)+IF(ISNUMBER(Y157),PI()/4*(Y157*INDEX(LenF,MATCH($Y$7,LenU,0)))^2*N(AB157)*INDEX(LenF,MATCH($AB$7,LenU,0))+IF(AC157="",0,IF(AC157="Conical",PI()/12*(Y157*INDEX(LenF,MATCH($Y$7,LenU,0)))^2*(0),INDEX(HeadK,MATCH(AC157,HeadU,0))*(Y157*INDEX(LenF,MATCH($Y$7,LenU,0)))^3)),0),"")</f>
        <v/>
      </c>
      <c r="AE157" s="21" t="str">
        <f aca="false">IF(OR(E157="",E157="Piping"),"",IF(E157="Exchanger",AQ157*AR157+IF(P157="",0,IF(P157="Conical",PI()/12*(SQRT(4*AQ157/PI()))^2*(0),INDEX(HeadK,MATCH(P157,HeadU,0))*(SQRT(4*AQ157/PI()))^3))-IF(AND(ISNUMBER(S157),ISNUMBER(V157)),S157*PI()/4*AP157^2*V157*INDEX(LenF,MATCH($V$7,LenU,0)),0),IF(ISNUMBER(N157),PI()/4*(N157*INDEX(LenF,MATCH($N$7,LenU,0)))^2*N(O157)*INDEX(LenF,MATCH($O$7,LenU,0))+IF(P157="",0,IF(P157="Conical",PI()/12*(N157*INDEX(LenF,MATCH($N$7,LenU,0)))^2*(N(R157)*INDEX(LenF,MATCH($R$7,LenU,0))),INDEX(HeadK,MATCH(P157,HeadU,0))*(N157*INDEX(LenF,MATCH($N$7,LenU,0)))^3))+IF(Q157="",0,IF(Q157="Conical",PI()/12*(N157*INDEX(LenF,MATCH($N$7,LenU,0)))^2*(N(R157)*INDEX(LenF,MATCH($R$7,LenU,0))),INDEX(HeadK,MATCH(Q157,HeadU,0))*(N157*INDEX(LenF,MATCH($N$7,LenU,0)))^3)),0)))</f>
        <v/>
      </c>
      <c r="AF157" s="21" t="str">
        <f aca="false">IF(E157&lt;&gt;"Piping","",IF(AND(ISNUMBER(AS157),ISNUMBER(M157)),PI()/4*(AS157/1000)^2*M157*INDEX(LenF,MATCH($M$7,LenU,0)),0))</f>
        <v/>
      </c>
      <c r="AG157" s="21" t="str">
        <f aca="false">IF(E157="","",N(AD157)+N(AE157)+N(AF157))</f>
        <v/>
      </c>
      <c r="AH157" s="21" t="str">
        <f aca="false">IF(ISNUMBER(I157),I157*INDEX(WtF,MATCH($I$7,WtU,0))/WaterRho,"")</f>
        <v/>
      </c>
      <c r="AI157" s="11"/>
      <c r="AJ157" s="11"/>
      <c r="AK157" s="20"/>
      <c r="AL157" s="11"/>
      <c r="AM157" s="21" t="str">
        <f aca="false">IF(AO157="","",AO157*IF(ISNUMBER(AK157),AK157,DefFills)*(1+IF(ISNUMBER(AL157),AL157,DefAllow)))</f>
        <v/>
      </c>
      <c r="AN157" s="22" t="str">
        <f aca="false">IF(G157="Given volume",IF(ISNUMBER(H157),H157*INDEX(VolF,MATCH($H$7,VolU,0)),""),IF(G157="Water weight",AH157,IF(N(AG157)=0,"",AG157)))</f>
        <v/>
      </c>
      <c r="AO157" s="22" t="str">
        <f aca="false">IF(N(AN157)=0,"",AN157*AT157*IF(ISNUMBER(AJ157),AJ157,DefCirc))</f>
        <v/>
      </c>
      <c r="AP157" s="9" t="n">
        <f aca="false">IF(ISNUMBER(T157),T157*INDEX(LenF,MATCH($T$7,LenU,0)),IF(ISNUMBER(W157),W157*INDEX(LenF,MATCH($W$7,LenU,0))/PitchRatio,0))</f>
        <v>0</v>
      </c>
      <c r="AQ157" s="9" t="n">
        <f aca="false">IF(ISNUMBER(N157),PI()/4*(N157*INDEX(LenF,MATCH($N$7,LenU,0)))^2,IF(AND(ISNUMBER(S157),ISNUMBER(W157),X157&lt;&gt;""),S157*(W157*INDEX(LenF,MATCH($W$7,LenU,0)))^2*INDEX(LayoutF,MATCH(X157,LayoutU,0)),0))</f>
        <v>0</v>
      </c>
      <c r="AR157" s="9" t="n">
        <f aca="false">IF(ISNUMBER(O157),O157*INDEX(LenF,MATCH($O$7,LenU,0)),IF(ISNUMBER(V157),V157*INDEX(LenF,MATCH($V$7,LenU,0)),0))</f>
        <v>0</v>
      </c>
      <c r="AS157" s="9" t="str">
        <f aca="false">IF(ISNUMBER(L157),L157*INDEX(LenF,MATCH($L$7,LenU,0))*1000,IF(OR(J157="",K157=""),"",IFERROR(IF(INDEX(PipeWT,MATCH(J157,NPSU,0),MATCH(K157,SchU,0))="","Sch n/a",INDEX(PipeOD,MATCH(J157,NPSU,0))-2*INDEX(PipeWT,MATCH(J157,NPSU,0),MATCH(K157,SchU,0))),"")))</f>
        <v/>
      </c>
      <c r="AT157" s="9" t="n">
        <f aca="false">IF(ISNUMBER(AI157),AI157,IFERROR(INDEX(IF(JobType="Decontamination",TypeFillDC,TypeFillCC),MATCH(E157,TypeL,0)),1))</f>
        <v>1</v>
      </c>
      <c r="AU157" s="9" t="n">
        <v>5</v>
      </c>
    </row>
    <row r="158" customFormat="false" ht="15" hidden="false" customHeight="false" outlineLevel="0" collapsed="false">
      <c r="A158" s="16" t="n">
        <v>17</v>
      </c>
      <c r="B158" s="20"/>
      <c r="C158" s="5"/>
      <c r="D158" s="5"/>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1" t="str">
        <f aca="false">IF(E158="Exchanger",IF(AND(ISNUMBER(S158),ISNUMBER(U158),ISNUMBER(V158)),S158*PI()/4*(U158*INDEX(LenF,MATCH($U$7,LenU,0)))^2*V158*INDEX(LenF,MATCH($V$7,LenU,0)),0)+IF(ISNUMBER(Y158),PI()/4*(Y158*INDEX(LenF,MATCH($Y$7,LenU,0)))^2*N(Z158)*INDEX(LenF,MATCH($Z$7,LenU,0))+IF(AA158="",0,IF(AA158="Conical",PI()/12*(Y158*INDEX(LenF,MATCH($Y$7,LenU,0)))^2*(0),INDEX(HeadK,MATCH(AA158,HeadU,0))*(Y158*INDEX(LenF,MATCH($Y$7,LenU,0)))^3)),0)+IF(ISNUMBER(Y158),PI()/4*(Y158*INDEX(LenF,MATCH($Y$7,LenU,0)))^2*N(AB158)*INDEX(LenF,MATCH($AB$7,LenU,0))+IF(AC158="",0,IF(AC158="Conical",PI()/12*(Y158*INDEX(LenF,MATCH($Y$7,LenU,0)))^2*(0),INDEX(HeadK,MATCH(AC158,HeadU,0))*(Y158*INDEX(LenF,MATCH($Y$7,LenU,0)))^3)),0),"")</f>
        <v/>
      </c>
      <c r="AE158" s="21" t="str">
        <f aca="false">IF(OR(E158="",E158="Piping"),"",IF(E158="Exchanger",AQ158*AR158+IF(P158="",0,IF(P158="Conical",PI()/12*(SQRT(4*AQ158/PI()))^2*(0),INDEX(HeadK,MATCH(P158,HeadU,0))*(SQRT(4*AQ158/PI()))^3))-IF(AND(ISNUMBER(S158),ISNUMBER(V158)),S158*PI()/4*AP158^2*V158*INDEX(LenF,MATCH($V$7,LenU,0)),0),IF(ISNUMBER(N158),PI()/4*(N158*INDEX(LenF,MATCH($N$7,LenU,0)))^2*N(O158)*INDEX(LenF,MATCH($O$7,LenU,0))+IF(P158="",0,IF(P158="Conical",PI()/12*(N158*INDEX(LenF,MATCH($N$7,LenU,0)))^2*(N(R158)*INDEX(LenF,MATCH($R$7,LenU,0))),INDEX(HeadK,MATCH(P158,HeadU,0))*(N158*INDEX(LenF,MATCH($N$7,LenU,0)))^3))+IF(Q158="",0,IF(Q158="Conical",PI()/12*(N158*INDEX(LenF,MATCH($N$7,LenU,0)))^2*(N(R158)*INDEX(LenF,MATCH($R$7,LenU,0))),INDEX(HeadK,MATCH(Q158,HeadU,0))*(N158*INDEX(LenF,MATCH($N$7,LenU,0)))^3)),0)))</f>
        <v/>
      </c>
      <c r="AF158" s="21" t="str">
        <f aca="false">IF(E158&lt;&gt;"Piping","",IF(AND(ISNUMBER(AS158),ISNUMBER(M158)),PI()/4*(AS158/1000)^2*M158*INDEX(LenF,MATCH($M$7,LenU,0)),0))</f>
        <v/>
      </c>
      <c r="AG158" s="21" t="str">
        <f aca="false">IF(E158="","",N(AD158)+N(AE158)+N(AF158))</f>
        <v/>
      </c>
      <c r="AH158" s="21" t="str">
        <f aca="false">IF(ISNUMBER(I158),I158*INDEX(WtF,MATCH($I$7,WtU,0))/WaterRho,"")</f>
        <v/>
      </c>
      <c r="AI158" s="11"/>
      <c r="AJ158" s="11"/>
      <c r="AK158" s="20"/>
      <c r="AL158" s="11"/>
      <c r="AM158" s="21" t="str">
        <f aca="false">IF(AO158="","",AO158*IF(ISNUMBER(AK158),AK158,DefFills)*(1+IF(ISNUMBER(AL158),AL158,DefAllow)))</f>
        <v/>
      </c>
      <c r="AN158" s="22" t="str">
        <f aca="false">IF(G158="Given volume",IF(ISNUMBER(H158),H158*INDEX(VolF,MATCH($H$7,VolU,0)),""),IF(G158="Water weight",AH158,IF(N(AG158)=0,"",AG158)))</f>
        <v/>
      </c>
      <c r="AO158" s="22" t="str">
        <f aca="false">IF(N(AN158)=0,"",AN158*AT158*IF(ISNUMBER(AJ158),AJ158,DefCirc))</f>
        <v/>
      </c>
      <c r="AP158" s="9" t="n">
        <f aca="false">IF(ISNUMBER(T158),T158*INDEX(LenF,MATCH($T$7,LenU,0)),IF(ISNUMBER(W158),W158*INDEX(LenF,MATCH($W$7,LenU,0))/PitchRatio,0))</f>
        <v>0</v>
      </c>
      <c r="AQ158" s="9" t="n">
        <f aca="false">IF(ISNUMBER(N158),PI()/4*(N158*INDEX(LenF,MATCH($N$7,LenU,0)))^2,IF(AND(ISNUMBER(S158),ISNUMBER(W158),X158&lt;&gt;""),S158*(W158*INDEX(LenF,MATCH($W$7,LenU,0)))^2*INDEX(LayoutF,MATCH(X158,LayoutU,0)),0))</f>
        <v>0</v>
      </c>
      <c r="AR158" s="9" t="n">
        <f aca="false">IF(ISNUMBER(O158),O158*INDEX(LenF,MATCH($O$7,LenU,0)),IF(ISNUMBER(V158),V158*INDEX(LenF,MATCH($V$7,LenU,0)),0))</f>
        <v>0</v>
      </c>
      <c r="AS158" s="9" t="str">
        <f aca="false">IF(ISNUMBER(L158),L158*INDEX(LenF,MATCH($L$7,LenU,0))*1000,IF(OR(J158="",K158=""),"",IFERROR(IF(INDEX(PipeWT,MATCH(J158,NPSU,0),MATCH(K158,SchU,0))="","Sch n/a",INDEX(PipeOD,MATCH(J158,NPSU,0))-2*INDEX(PipeWT,MATCH(J158,NPSU,0),MATCH(K158,SchU,0))),"")))</f>
        <v/>
      </c>
      <c r="AT158" s="9" t="n">
        <f aca="false">IF(ISNUMBER(AI158),AI158,IFERROR(INDEX(IF(JobType="Decontamination",TypeFillDC,TypeFillCC),MATCH(E158,TypeL,0)),1))</f>
        <v>1</v>
      </c>
      <c r="AU158" s="9" t="n">
        <v>5</v>
      </c>
    </row>
    <row r="159" customFormat="false" ht="15" hidden="false" customHeight="false" outlineLevel="0" collapsed="false">
      <c r="A159" s="16" t="n">
        <v>18</v>
      </c>
      <c r="B159" s="20"/>
      <c r="C159" s="5"/>
      <c r="D159" s="5"/>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1" t="str">
        <f aca="false">IF(E159="Exchanger",IF(AND(ISNUMBER(S159),ISNUMBER(U159),ISNUMBER(V159)),S159*PI()/4*(U159*INDEX(LenF,MATCH($U$7,LenU,0)))^2*V159*INDEX(LenF,MATCH($V$7,LenU,0)),0)+IF(ISNUMBER(Y159),PI()/4*(Y159*INDEX(LenF,MATCH($Y$7,LenU,0)))^2*N(Z159)*INDEX(LenF,MATCH($Z$7,LenU,0))+IF(AA159="",0,IF(AA159="Conical",PI()/12*(Y159*INDEX(LenF,MATCH($Y$7,LenU,0)))^2*(0),INDEX(HeadK,MATCH(AA159,HeadU,0))*(Y159*INDEX(LenF,MATCH($Y$7,LenU,0)))^3)),0)+IF(ISNUMBER(Y159),PI()/4*(Y159*INDEX(LenF,MATCH($Y$7,LenU,0)))^2*N(AB159)*INDEX(LenF,MATCH($AB$7,LenU,0))+IF(AC159="",0,IF(AC159="Conical",PI()/12*(Y159*INDEX(LenF,MATCH($Y$7,LenU,0)))^2*(0),INDEX(HeadK,MATCH(AC159,HeadU,0))*(Y159*INDEX(LenF,MATCH($Y$7,LenU,0)))^3)),0),"")</f>
        <v/>
      </c>
      <c r="AE159" s="21" t="str">
        <f aca="false">IF(OR(E159="",E159="Piping"),"",IF(E159="Exchanger",AQ159*AR159+IF(P159="",0,IF(P159="Conical",PI()/12*(SQRT(4*AQ159/PI()))^2*(0),INDEX(HeadK,MATCH(P159,HeadU,0))*(SQRT(4*AQ159/PI()))^3))-IF(AND(ISNUMBER(S159),ISNUMBER(V159)),S159*PI()/4*AP159^2*V159*INDEX(LenF,MATCH($V$7,LenU,0)),0),IF(ISNUMBER(N159),PI()/4*(N159*INDEX(LenF,MATCH($N$7,LenU,0)))^2*N(O159)*INDEX(LenF,MATCH($O$7,LenU,0))+IF(P159="",0,IF(P159="Conical",PI()/12*(N159*INDEX(LenF,MATCH($N$7,LenU,0)))^2*(N(R159)*INDEX(LenF,MATCH($R$7,LenU,0))),INDEX(HeadK,MATCH(P159,HeadU,0))*(N159*INDEX(LenF,MATCH($N$7,LenU,0)))^3))+IF(Q159="",0,IF(Q159="Conical",PI()/12*(N159*INDEX(LenF,MATCH($N$7,LenU,0)))^2*(N(R159)*INDEX(LenF,MATCH($R$7,LenU,0))),INDEX(HeadK,MATCH(Q159,HeadU,0))*(N159*INDEX(LenF,MATCH($N$7,LenU,0)))^3)),0)))</f>
        <v/>
      </c>
      <c r="AF159" s="21" t="str">
        <f aca="false">IF(E159&lt;&gt;"Piping","",IF(AND(ISNUMBER(AS159),ISNUMBER(M159)),PI()/4*(AS159/1000)^2*M159*INDEX(LenF,MATCH($M$7,LenU,0)),0))</f>
        <v/>
      </c>
      <c r="AG159" s="21" t="str">
        <f aca="false">IF(E159="","",N(AD159)+N(AE159)+N(AF159))</f>
        <v/>
      </c>
      <c r="AH159" s="21" t="str">
        <f aca="false">IF(ISNUMBER(I159),I159*INDEX(WtF,MATCH($I$7,WtU,0))/WaterRho,"")</f>
        <v/>
      </c>
      <c r="AI159" s="11"/>
      <c r="AJ159" s="11"/>
      <c r="AK159" s="20"/>
      <c r="AL159" s="11"/>
      <c r="AM159" s="21" t="str">
        <f aca="false">IF(AO159="","",AO159*IF(ISNUMBER(AK159),AK159,DefFills)*(1+IF(ISNUMBER(AL159),AL159,DefAllow)))</f>
        <v/>
      </c>
      <c r="AN159" s="22" t="str">
        <f aca="false">IF(G159="Given volume",IF(ISNUMBER(H159),H159*INDEX(VolF,MATCH($H$7,VolU,0)),""),IF(G159="Water weight",AH159,IF(N(AG159)=0,"",AG159)))</f>
        <v/>
      </c>
      <c r="AO159" s="22" t="str">
        <f aca="false">IF(N(AN159)=0,"",AN159*AT159*IF(ISNUMBER(AJ159),AJ159,DefCirc))</f>
        <v/>
      </c>
      <c r="AP159" s="9" t="n">
        <f aca="false">IF(ISNUMBER(T159),T159*INDEX(LenF,MATCH($T$7,LenU,0)),IF(ISNUMBER(W159),W159*INDEX(LenF,MATCH($W$7,LenU,0))/PitchRatio,0))</f>
        <v>0</v>
      </c>
      <c r="AQ159" s="9" t="n">
        <f aca="false">IF(ISNUMBER(N159),PI()/4*(N159*INDEX(LenF,MATCH($N$7,LenU,0)))^2,IF(AND(ISNUMBER(S159),ISNUMBER(W159),X159&lt;&gt;""),S159*(W159*INDEX(LenF,MATCH($W$7,LenU,0)))^2*INDEX(LayoutF,MATCH(X159,LayoutU,0)),0))</f>
        <v>0</v>
      </c>
      <c r="AR159" s="9" t="n">
        <f aca="false">IF(ISNUMBER(O159),O159*INDEX(LenF,MATCH($O$7,LenU,0)),IF(ISNUMBER(V159),V159*INDEX(LenF,MATCH($V$7,LenU,0)),0))</f>
        <v>0</v>
      </c>
      <c r="AS159" s="9" t="str">
        <f aca="false">IF(ISNUMBER(L159),L159*INDEX(LenF,MATCH($L$7,LenU,0))*1000,IF(OR(J159="",K159=""),"",IFERROR(IF(INDEX(PipeWT,MATCH(J159,NPSU,0),MATCH(K159,SchU,0))="","Sch n/a",INDEX(PipeOD,MATCH(J159,NPSU,0))-2*INDEX(PipeWT,MATCH(J159,NPSU,0),MATCH(K159,SchU,0))),"")))</f>
        <v/>
      </c>
      <c r="AT159" s="9" t="n">
        <f aca="false">IF(ISNUMBER(AI159),AI159,IFERROR(INDEX(IF(JobType="Decontamination",TypeFillDC,TypeFillCC),MATCH(E159,TypeL,0)),1))</f>
        <v>1</v>
      </c>
      <c r="AU159" s="9" t="n">
        <v>5</v>
      </c>
    </row>
    <row r="160" customFormat="false" ht="15" hidden="false" customHeight="false" outlineLevel="0" collapsed="false">
      <c r="A160" s="16" t="n">
        <v>19</v>
      </c>
      <c r="B160" s="20"/>
      <c r="C160" s="5"/>
      <c r="D160" s="5"/>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1" t="str">
        <f aca="false">IF(E160="Exchanger",IF(AND(ISNUMBER(S160),ISNUMBER(U160),ISNUMBER(V160)),S160*PI()/4*(U160*INDEX(LenF,MATCH($U$7,LenU,0)))^2*V160*INDEX(LenF,MATCH($V$7,LenU,0)),0)+IF(ISNUMBER(Y160),PI()/4*(Y160*INDEX(LenF,MATCH($Y$7,LenU,0)))^2*N(Z160)*INDEX(LenF,MATCH($Z$7,LenU,0))+IF(AA160="",0,IF(AA160="Conical",PI()/12*(Y160*INDEX(LenF,MATCH($Y$7,LenU,0)))^2*(0),INDEX(HeadK,MATCH(AA160,HeadU,0))*(Y160*INDEX(LenF,MATCH($Y$7,LenU,0)))^3)),0)+IF(ISNUMBER(Y160),PI()/4*(Y160*INDEX(LenF,MATCH($Y$7,LenU,0)))^2*N(AB160)*INDEX(LenF,MATCH($AB$7,LenU,0))+IF(AC160="",0,IF(AC160="Conical",PI()/12*(Y160*INDEX(LenF,MATCH($Y$7,LenU,0)))^2*(0),INDEX(HeadK,MATCH(AC160,HeadU,0))*(Y160*INDEX(LenF,MATCH($Y$7,LenU,0)))^3)),0),"")</f>
        <v/>
      </c>
      <c r="AE160" s="21" t="str">
        <f aca="false">IF(OR(E160="",E160="Piping"),"",IF(E160="Exchanger",AQ160*AR160+IF(P160="",0,IF(P160="Conical",PI()/12*(SQRT(4*AQ160/PI()))^2*(0),INDEX(HeadK,MATCH(P160,HeadU,0))*(SQRT(4*AQ160/PI()))^3))-IF(AND(ISNUMBER(S160),ISNUMBER(V160)),S160*PI()/4*AP160^2*V160*INDEX(LenF,MATCH($V$7,LenU,0)),0),IF(ISNUMBER(N160),PI()/4*(N160*INDEX(LenF,MATCH($N$7,LenU,0)))^2*N(O160)*INDEX(LenF,MATCH($O$7,LenU,0))+IF(P160="",0,IF(P160="Conical",PI()/12*(N160*INDEX(LenF,MATCH($N$7,LenU,0)))^2*(N(R160)*INDEX(LenF,MATCH($R$7,LenU,0))),INDEX(HeadK,MATCH(P160,HeadU,0))*(N160*INDEX(LenF,MATCH($N$7,LenU,0)))^3))+IF(Q160="",0,IF(Q160="Conical",PI()/12*(N160*INDEX(LenF,MATCH($N$7,LenU,0)))^2*(N(R160)*INDEX(LenF,MATCH($R$7,LenU,0))),INDEX(HeadK,MATCH(Q160,HeadU,0))*(N160*INDEX(LenF,MATCH($N$7,LenU,0)))^3)),0)))</f>
        <v/>
      </c>
      <c r="AF160" s="21" t="str">
        <f aca="false">IF(E160&lt;&gt;"Piping","",IF(AND(ISNUMBER(AS160),ISNUMBER(M160)),PI()/4*(AS160/1000)^2*M160*INDEX(LenF,MATCH($M$7,LenU,0)),0))</f>
        <v/>
      </c>
      <c r="AG160" s="21" t="str">
        <f aca="false">IF(E160="","",N(AD160)+N(AE160)+N(AF160))</f>
        <v/>
      </c>
      <c r="AH160" s="21" t="str">
        <f aca="false">IF(ISNUMBER(I160),I160*INDEX(WtF,MATCH($I$7,WtU,0))/WaterRho,"")</f>
        <v/>
      </c>
      <c r="AI160" s="11"/>
      <c r="AJ160" s="11"/>
      <c r="AK160" s="20"/>
      <c r="AL160" s="11"/>
      <c r="AM160" s="21" t="str">
        <f aca="false">IF(AO160="","",AO160*IF(ISNUMBER(AK160),AK160,DefFills)*(1+IF(ISNUMBER(AL160),AL160,DefAllow)))</f>
        <v/>
      </c>
      <c r="AN160" s="22" t="str">
        <f aca="false">IF(G160="Given volume",IF(ISNUMBER(H160),H160*INDEX(VolF,MATCH($H$7,VolU,0)),""),IF(G160="Water weight",AH160,IF(N(AG160)=0,"",AG160)))</f>
        <v/>
      </c>
      <c r="AO160" s="22" t="str">
        <f aca="false">IF(N(AN160)=0,"",AN160*AT160*IF(ISNUMBER(AJ160),AJ160,DefCirc))</f>
        <v/>
      </c>
      <c r="AP160" s="9" t="n">
        <f aca="false">IF(ISNUMBER(T160),T160*INDEX(LenF,MATCH($T$7,LenU,0)),IF(ISNUMBER(W160),W160*INDEX(LenF,MATCH($W$7,LenU,0))/PitchRatio,0))</f>
        <v>0</v>
      </c>
      <c r="AQ160" s="9" t="n">
        <f aca="false">IF(ISNUMBER(N160),PI()/4*(N160*INDEX(LenF,MATCH($N$7,LenU,0)))^2,IF(AND(ISNUMBER(S160),ISNUMBER(W160),X160&lt;&gt;""),S160*(W160*INDEX(LenF,MATCH($W$7,LenU,0)))^2*INDEX(LayoutF,MATCH(X160,LayoutU,0)),0))</f>
        <v>0</v>
      </c>
      <c r="AR160" s="9" t="n">
        <f aca="false">IF(ISNUMBER(O160),O160*INDEX(LenF,MATCH($O$7,LenU,0)),IF(ISNUMBER(V160),V160*INDEX(LenF,MATCH($V$7,LenU,0)),0))</f>
        <v>0</v>
      </c>
      <c r="AS160" s="9" t="str">
        <f aca="false">IF(ISNUMBER(L160),L160*INDEX(LenF,MATCH($L$7,LenU,0))*1000,IF(OR(J160="",K160=""),"",IFERROR(IF(INDEX(PipeWT,MATCH(J160,NPSU,0),MATCH(K160,SchU,0))="","Sch n/a",INDEX(PipeOD,MATCH(J160,NPSU,0))-2*INDEX(PipeWT,MATCH(J160,NPSU,0),MATCH(K160,SchU,0))),"")))</f>
        <v/>
      </c>
      <c r="AT160" s="9" t="n">
        <f aca="false">IF(ISNUMBER(AI160),AI160,IFERROR(INDEX(IF(JobType="Decontamination",TypeFillDC,TypeFillCC),MATCH(E160,TypeL,0)),1))</f>
        <v>1</v>
      </c>
      <c r="AU160" s="9" t="n">
        <v>5</v>
      </c>
    </row>
    <row r="161" customFormat="false" ht="15" hidden="false" customHeight="false" outlineLevel="0" collapsed="false">
      <c r="A161" s="16" t="n">
        <v>20</v>
      </c>
      <c r="B161" s="20"/>
      <c r="C161" s="5"/>
      <c r="D161" s="5"/>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1" t="str">
        <f aca="false">IF(E161="Exchanger",IF(AND(ISNUMBER(S161),ISNUMBER(U161),ISNUMBER(V161)),S161*PI()/4*(U161*INDEX(LenF,MATCH($U$7,LenU,0)))^2*V161*INDEX(LenF,MATCH($V$7,LenU,0)),0)+IF(ISNUMBER(Y161),PI()/4*(Y161*INDEX(LenF,MATCH($Y$7,LenU,0)))^2*N(Z161)*INDEX(LenF,MATCH($Z$7,LenU,0))+IF(AA161="",0,IF(AA161="Conical",PI()/12*(Y161*INDEX(LenF,MATCH($Y$7,LenU,0)))^2*(0),INDEX(HeadK,MATCH(AA161,HeadU,0))*(Y161*INDEX(LenF,MATCH($Y$7,LenU,0)))^3)),0)+IF(ISNUMBER(Y161),PI()/4*(Y161*INDEX(LenF,MATCH($Y$7,LenU,0)))^2*N(AB161)*INDEX(LenF,MATCH($AB$7,LenU,0))+IF(AC161="",0,IF(AC161="Conical",PI()/12*(Y161*INDEX(LenF,MATCH($Y$7,LenU,0)))^2*(0),INDEX(HeadK,MATCH(AC161,HeadU,0))*(Y161*INDEX(LenF,MATCH($Y$7,LenU,0)))^3)),0),"")</f>
        <v/>
      </c>
      <c r="AE161" s="21" t="str">
        <f aca="false">IF(OR(E161="",E161="Piping"),"",IF(E161="Exchanger",AQ161*AR161+IF(P161="",0,IF(P161="Conical",PI()/12*(SQRT(4*AQ161/PI()))^2*(0),INDEX(HeadK,MATCH(P161,HeadU,0))*(SQRT(4*AQ161/PI()))^3))-IF(AND(ISNUMBER(S161),ISNUMBER(V161)),S161*PI()/4*AP161^2*V161*INDEX(LenF,MATCH($V$7,LenU,0)),0),IF(ISNUMBER(N161),PI()/4*(N161*INDEX(LenF,MATCH($N$7,LenU,0)))^2*N(O161)*INDEX(LenF,MATCH($O$7,LenU,0))+IF(P161="",0,IF(P161="Conical",PI()/12*(N161*INDEX(LenF,MATCH($N$7,LenU,0)))^2*(N(R161)*INDEX(LenF,MATCH($R$7,LenU,0))),INDEX(HeadK,MATCH(P161,HeadU,0))*(N161*INDEX(LenF,MATCH($N$7,LenU,0)))^3))+IF(Q161="",0,IF(Q161="Conical",PI()/12*(N161*INDEX(LenF,MATCH($N$7,LenU,0)))^2*(N(R161)*INDEX(LenF,MATCH($R$7,LenU,0))),INDEX(HeadK,MATCH(Q161,HeadU,0))*(N161*INDEX(LenF,MATCH($N$7,LenU,0)))^3)),0)))</f>
        <v/>
      </c>
      <c r="AF161" s="21" t="str">
        <f aca="false">IF(E161&lt;&gt;"Piping","",IF(AND(ISNUMBER(AS161),ISNUMBER(M161)),PI()/4*(AS161/1000)^2*M161*INDEX(LenF,MATCH($M$7,LenU,0)),0))</f>
        <v/>
      </c>
      <c r="AG161" s="21" t="str">
        <f aca="false">IF(E161="","",N(AD161)+N(AE161)+N(AF161))</f>
        <v/>
      </c>
      <c r="AH161" s="21" t="str">
        <f aca="false">IF(ISNUMBER(I161),I161*INDEX(WtF,MATCH($I$7,WtU,0))/WaterRho,"")</f>
        <v/>
      </c>
      <c r="AI161" s="11"/>
      <c r="AJ161" s="11"/>
      <c r="AK161" s="20"/>
      <c r="AL161" s="11"/>
      <c r="AM161" s="21" t="str">
        <f aca="false">IF(AO161="","",AO161*IF(ISNUMBER(AK161),AK161,DefFills)*(1+IF(ISNUMBER(AL161),AL161,DefAllow)))</f>
        <v/>
      </c>
      <c r="AN161" s="22" t="str">
        <f aca="false">IF(G161="Given volume",IF(ISNUMBER(H161),H161*INDEX(VolF,MATCH($H$7,VolU,0)),""),IF(G161="Water weight",AH161,IF(N(AG161)=0,"",AG161)))</f>
        <v/>
      </c>
      <c r="AO161" s="22" t="str">
        <f aca="false">IF(N(AN161)=0,"",AN161*AT161*IF(ISNUMBER(AJ161),AJ161,DefCirc))</f>
        <v/>
      </c>
      <c r="AP161" s="9" t="n">
        <f aca="false">IF(ISNUMBER(T161),T161*INDEX(LenF,MATCH($T$7,LenU,0)),IF(ISNUMBER(W161),W161*INDEX(LenF,MATCH($W$7,LenU,0))/PitchRatio,0))</f>
        <v>0</v>
      </c>
      <c r="AQ161" s="9" t="n">
        <f aca="false">IF(ISNUMBER(N161),PI()/4*(N161*INDEX(LenF,MATCH($N$7,LenU,0)))^2,IF(AND(ISNUMBER(S161),ISNUMBER(W161),X161&lt;&gt;""),S161*(W161*INDEX(LenF,MATCH($W$7,LenU,0)))^2*INDEX(LayoutF,MATCH(X161,LayoutU,0)),0))</f>
        <v>0</v>
      </c>
      <c r="AR161" s="9" t="n">
        <f aca="false">IF(ISNUMBER(O161),O161*INDEX(LenF,MATCH($O$7,LenU,0)),IF(ISNUMBER(V161),V161*INDEX(LenF,MATCH($V$7,LenU,0)),0))</f>
        <v>0</v>
      </c>
      <c r="AS161" s="9" t="str">
        <f aca="false">IF(ISNUMBER(L161),L161*INDEX(LenF,MATCH($L$7,LenU,0))*1000,IF(OR(J161="",K161=""),"",IFERROR(IF(INDEX(PipeWT,MATCH(J161,NPSU,0),MATCH(K161,SchU,0))="","Sch n/a",INDEX(PipeOD,MATCH(J161,NPSU,0))-2*INDEX(PipeWT,MATCH(J161,NPSU,0),MATCH(K161,SchU,0))),"")))</f>
        <v/>
      </c>
      <c r="AT161" s="9" t="n">
        <f aca="false">IF(ISNUMBER(AI161),AI161,IFERROR(INDEX(IF(JobType="Decontamination",TypeFillDC,TypeFillCC),MATCH(E161,TypeL,0)),1))</f>
        <v>1</v>
      </c>
      <c r="AU161" s="9" t="n">
        <v>5</v>
      </c>
    </row>
    <row r="162" customFormat="false" ht="15" hidden="false" customHeight="false" outlineLevel="0" collapsed="false">
      <c r="A162" s="16" t="n">
        <v>21</v>
      </c>
      <c r="B162" s="20"/>
      <c r="C162" s="5"/>
      <c r="D162" s="5"/>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1" t="str">
        <f aca="false">IF(E162="Exchanger",IF(AND(ISNUMBER(S162),ISNUMBER(U162),ISNUMBER(V162)),S162*PI()/4*(U162*INDEX(LenF,MATCH($U$7,LenU,0)))^2*V162*INDEX(LenF,MATCH($V$7,LenU,0)),0)+IF(ISNUMBER(Y162),PI()/4*(Y162*INDEX(LenF,MATCH($Y$7,LenU,0)))^2*N(Z162)*INDEX(LenF,MATCH($Z$7,LenU,0))+IF(AA162="",0,IF(AA162="Conical",PI()/12*(Y162*INDEX(LenF,MATCH($Y$7,LenU,0)))^2*(0),INDEX(HeadK,MATCH(AA162,HeadU,0))*(Y162*INDEX(LenF,MATCH($Y$7,LenU,0)))^3)),0)+IF(ISNUMBER(Y162),PI()/4*(Y162*INDEX(LenF,MATCH($Y$7,LenU,0)))^2*N(AB162)*INDEX(LenF,MATCH($AB$7,LenU,0))+IF(AC162="",0,IF(AC162="Conical",PI()/12*(Y162*INDEX(LenF,MATCH($Y$7,LenU,0)))^2*(0),INDEX(HeadK,MATCH(AC162,HeadU,0))*(Y162*INDEX(LenF,MATCH($Y$7,LenU,0)))^3)),0),"")</f>
        <v/>
      </c>
      <c r="AE162" s="21" t="str">
        <f aca="false">IF(OR(E162="",E162="Piping"),"",IF(E162="Exchanger",AQ162*AR162+IF(P162="",0,IF(P162="Conical",PI()/12*(SQRT(4*AQ162/PI()))^2*(0),INDEX(HeadK,MATCH(P162,HeadU,0))*(SQRT(4*AQ162/PI()))^3))-IF(AND(ISNUMBER(S162),ISNUMBER(V162)),S162*PI()/4*AP162^2*V162*INDEX(LenF,MATCH($V$7,LenU,0)),0),IF(ISNUMBER(N162),PI()/4*(N162*INDEX(LenF,MATCH($N$7,LenU,0)))^2*N(O162)*INDEX(LenF,MATCH($O$7,LenU,0))+IF(P162="",0,IF(P162="Conical",PI()/12*(N162*INDEX(LenF,MATCH($N$7,LenU,0)))^2*(N(R162)*INDEX(LenF,MATCH($R$7,LenU,0))),INDEX(HeadK,MATCH(P162,HeadU,0))*(N162*INDEX(LenF,MATCH($N$7,LenU,0)))^3))+IF(Q162="",0,IF(Q162="Conical",PI()/12*(N162*INDEX(LenF,MATCH($N$7,LenU,0)))^2*(N(R162)*INDEX(LenF,MATCH($R$7,LenU,0))),INDEX(HeadK,MATCH(Q162,HeadU,0))*(N162*INDEX(LenF,MATCH($N$7,LenU,0)))^3)),0)))</f>
        <v/>
      </c>
      <c r="AF162" s="21" t="str">
        <f aca="false">IF(E162&lt;&gt;"Piping","",IF(AND(ISNUMBER(AS162),ISNUMBER(M162)),PI()/4*(AS162/1000)^2*M162*INDEX(LenF,MATCH($M$7,LenU,0)),0))</f>
        <v/>
      </c>
      <c r="AG162" s="21" t="str">
        <f aca="false">IF(E162="","",N(AD162)+N(AE162)+N(AF162))</f>
        <v/>
      </c>
      <c r="AH162" s="21" t="str">
        <f aca="false">IF(ISNUMBER(I162),I162*INDEX(WtF,MATCH($I$7,WtU,0))/WaterRho,"")</f>
        <v/>
      </c>
      <c r="AI162" s="11"/>
      <c r="AJ162" s="11"/>
      <c r="AK162" s="20"/>
      <c r="AL162" s="11"/>
      <c r="AM162" s="21" t="str">
        <f aca="false">IF(AO162="","",AO162*IF(ISNUMBER(AK162),AK162,DefFills)*(1+IF(ISNUMBER(AL162),AL162,DefAllow)))</f>
        <v/>
      </c>
      <c r="AN162" s="22" t="str">
        <f aca="false">IF(G162="Given volume",IF(ISNUMBER(H162),H162*INDEX(VolF,MATCH($H$7,VolU,0)),""),IF(G162="Water weight",AH162,IF(N(AG162)=0,"",AG162)))</f>
        <v/>
      </c>
      <c r="AO162" s="22" t="str">
        <f aca="false">IF(N(AN162)=0,"",AN162*AT162*IF(ISNUMBER(AJ162),AJ162,DefCirc))</f>
        <v/>
      </c>
      <c r="AP162" s="9" t="n">
        <f aca="false">IF(ISNUMBER(T162),T162*INDEX(LenF,MATCH($T$7,LenU,0)),IF(ISNUMBER(W162),W162*INDEX(LenF,MATCH($W$7,LenU,0))/PitchRatio,0))</f>
        <v>0</v>
      </c>
      <c r="AQ162" s="9" t="n">
        <f aca="false">IF(ISNUMBER(N162),PI()/4*(N162*INDEX(LenF,MATCH($N$7,LenU,0)))^2,IF(AND(ISNUMBER(S162),ISNUMBER(W162),X162&lt;&gt;""),S162*(W162*INDEX(LenF,MATCH($W$7,LenU,0)))^2*INDEX(LayoutF,MATCH(X162,LayoutU,0)),0))</f>
        <v>0</v>
      </c>
      <c r="AR162" s="9" t="n">
        <f aca="false">IF(ISNUMBER(O162),O162*INDEX(LenF,MATCH($O$7,LenU,0)),IF(ISNUMBER(V162),V162*INDEX(LenF,MATCH($V$7,LenU,0)),0))</f>
        <v>0</v>
      </c>
      <c r="AS162" s="9" t="str">
        <f aca="false">IF(ISNUMBER(L162),L162*INDEX(LenF,MATCH($L$7,LenU,0))*1000,IF(OR(J162="",K162=""),"",IFERROR(IF(INDEX(PipeWT,MATCH(J162,NPSU,0),MATCH(K162,SchU,0))="","Sch n/a",INDEX(PipeOD,MATCH(J162,NPSU,0))-2*INDEX(PipeWT,MATCH(J162,NPSU,0),MATCH(K162,SchU,0))),"")))</f>
        <v/>
      </c>
      <c r="AT162" s="9" t="n">
        <f aca="false">IF(ISNUMBER(AI162),AI162,IFERROR(INDEX(IF(JobType="Decontamination",TypeFillDC,TypeFillCC),MATCH(E162,TypeL,0)),1))</f>
        <v>1</v>
      </c>
      <c r="AU162" s="9" t="n">
        <v>5</v>
      </c>
    </row>
    <row r="163" customFormat="false" ht="15" hidden="false" customHeight="false" outlineLevel="0" collapsed="false">
      <c r="A163" s="16" t="n">
        <v>22</v>
      </c>
      <c r="B163" s="20"/>
      <c r="C163" s="5"/>
      <c r="D163" s="5"/>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1" t="str">
        <f aca="false">IF(E163="Exchanger",IF(AND(ISNUMBER(S163),ISNUMBER(U163),ISNUMBER(V163)),S163*PI()/4*(U163*INDEX(LenF,MATCH($U$7,LenU,0)))^2*V163*INDEX(LenF,MATCH($V$7,LenU,0)),0)+IF(ISNUMBER(Y163),PI()/4*(Y163*INDEX(LenF,MATCH($Y$7,LenU,0)))^2*N(Z163)*INDEX(LenF,MATCH($Z$7,LenU,0))+IF(AA163="",0,IF(AA163="Conical",PI()/12*(Y163*INDEX(LenF,MATCH($Y$7,LenU,0)))^2*(0),INDEX(HeadK,MATCH(AA163,HeadU,0))*(Y163*INDEX(LenF,MATCH($Y$7,LenU,0)))^3)),0)+IF(ISNUMBER(Y163),PI()/4*(Y163*INDEX(LenF,MATCH($Y$7,LenU,0)))^2*N(AB163)*INDEX(LenF,MATCH($AB$7,LenU,0))+IF(AC163="",0,IF(AC163="Conical",PI()/12*(Y163*INDEX(LenF,MATCH($Y$7,LenU,0)))^2*(0),INDEX(HeadK,MATCH(AC163,HeadU,0))*(Y163*INDEX(LenF,MATCH($Y$7,LenU,0)))^3)),0),"")</f>
        <v/>
      </c>
      <c r="AE163" s="21" t="str">
        <f aca="false">IF(OR(E163="",E163="Piping"),"",IF(E163="Exchanger",AQ163*AR163+IF(P163="",0,IF(P163="Conical",PI()/12*(SQRT(4*AQ163/PI()))^2*(0),INDEX(HeadK,MATCH(P163,HeadU,0))*(SQRT(4*AQ163/PI()))^3))-IF(AND(ISNUMBER(S163),ISNUMBER(V163)),S163*PI()/4*AP163^2*V163*INDEX(LenF,MATCH($V$7,LenU,0)),0),IF(ISNUMBER(N163),PI()/4*(N163*INDEX(LenF,MATCH($N$7,LenU,0)))^2*N(O163)*INDEX(LenF,MATCH($O$7,LenU,0))+IF(P163="",0,IF(P163="Conical",PI()/12*(N163*INDEX(LenF,MATCH($N$7,LenU,0)))^2*(N(R163)*INDEX(LenF,MATCH($R$7,LenU,0))),INDEX(HeadK,MATCH(P163,HeadU,0))*(N163*INDEX(LenF,MATCH($N$7,LenU,0)))^3))+IF(Q163="",0,IF(Q163="Conical",PI()/12*(N163*INDEX(LenF,MATCH($N$7,LenU,0)))^2*(N(R163)*INDEX(LenF,MATCH($R$7,LenU,0))),INDEX(HeadK,MATCH(Q163,HeadU,0))*(N163*INDEX(LenF,MATCH($N$7,LenU,0)))^3)),0)))</f>
        <v/>
      </c>
      <c r="AF163" s="21" t="str">
        <f aca="false">IF(E163&lt;&gt;"Piping","",IF(AND(ISNUMBER(AS163),ISNUMBER(M163)),PI()/4*(AS163/1000)^2*M163*INDEX(LenF,MATCH($M$7,LenU,0)),0))</f>
        <v/>
      </c>
      <c r="AG163" s="21" t="str">
        <f aca="false">IF(E163="","",N(AD163)+N(AE163)+N(AF163))</f>
        <v/>
      </c>
      <c r="AH163" s="21" t="str">
        <f aca="false">IF(ISNUMBER(I163),I163*INDEX(WtF,MATCH($I$7,WtU,0))/WaterRho,"")</f>
        <v/>
      </c>
      <c r="AI163" s="11"/>
      <c r="AJ163" s="11"/>
      <c r="AK163" s="20"/>
      <c r="AL163" s="11"/>
      <c r="AM163" s="21" t="str">
        <f aca="false">IF(AO163="","",AO163*IF(ISNUMBER(AK163),AK163,DefFills)*(1+IF(ISNUMBER(AL163),AL163,DefAllow)))</f>
        <v/>
      </c>
      <c r="AN163" s="22" t="str">
        <f aca="false">IF(G163="Given volume",IF(ISNUMBER(H163),H163*INDEX(VolF,MATCH($H$7,VolU,0)),""),IF(G163="Water weight",AH163,IF(N(AG163)=0,"",AG163)))</f>
        <v/>
      </c>
      <c r="AO163" s="22" t="str">
        <f aca="false">IF(N(AN163)=0,"",AN163*AT163*IF(ISNUMBER(AJ163),AJ163,DefCirc))</f>
        <v/>
      </c>
      <c r="AP163" s="9" t="n">
        <f aca="false">IF(ISNUMBER(T163),T163*INDEX(LenF,MATCH($T$7,LenU,0)),IF(ISNUMBER(W163),W163*INDEX(LenF,MATCH($W$7,LenU,0))/PitchRatio,0))</f>
        <v>0</v>
      </c>
      <c r="AQ163" s="9" t="n">
        <f aca="false">IF(ISNUMBER(N163),PI()/4*(N163*INDEX(LenF,MATCH($N$7,LenU,0)))^2,IF(AND(ISNUMBER(S163),ISNUMBER(W163),X163&lt;&gt;""),S163*(W163*INDEX(LenF,MATCH($W$7,LenU,0)))^2*INDEX(LayoutF,MATCH(X163,LayoutU,0)),0))</f>
        <v>0</v>
      </c>
      <c r="AR163" s="9" t="n">
        <f aca="false">IF(ISNUMBER(O163),O163*INDEX(LenF,MATCH($O$7,LenU,0)),IF(ISNUMBER(V163),V163*INDEX(LenF,MATCH($V$7,LenU,0)),0))</f>
        <v>0</v>
      </c>
      <c r="AS163" s="9" t="str">
        <f aca="false">IF(ISNUMBER(L163),L163*INDEX(LenF,MATCH($L$7,LenU,0))*1000,IF(OR(J163="",K163=""),"",IFERROR(IF(INDEX(PipeWT,MATCH(J163,NPSU,0),MATCH(K163,SchU,0))="","Sch n/a",INDEX(PipeOD,MATCH(J163,NPSU,0))-2*INDEX(PipeWT,MATCH(J163,NPSU,0),MATCH(K163,SchU,0))),"")))</f>
        <v/>
      </c>
      <c r="AT163" s="9" t="n">
        <f aca="false">IF(ISNUMBER(AI163),AI163,IFERROR(INDEX(IF(JobType="Decontamination",TypeFillDC,TypeFillCC),MATCH(E163,TypeL,0)),1))</f>
        <v>1</v>
      </c>
      <c r="AU163" s="9" t="n">
        <v>5</v>
      </c>
    </row>
    <row r="164" customFormat="false" ht="15" hidden="false" customHeight="false" outlineLevel="0" collapsed="false">
      <c r="A164" s="16" t="n">
        <v>23</v>
      </c>
      <c r="B164" s="20"/>
      <c r="C164" s="5"/>
      <c r="D164" s="5"/>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1" t="str">
        <f aca="false">IF(E164="Exchanger",IF(AND(ISNUMBER(S164),ISNUMBER(U164),ISNUMBER(V164)),S164*PI()/4*(U164*INDEX(LenF,MATCH($U$7,LenU,0)))^2*V164*INDEX(LenF,MATCH($V$7,LenU,0)),0)+IF(ISNUMBER(Y164),PI()/4*(Y164*INDEX(LenF,MATCH($Y$7,LenU,0)))^2*N(Z164)*INDEX(LenF,MATCH($Z$7,LenU,0))+IF(AA164="",0,IF(AA164="Conical",PI()/12*(Y164*INDEX(LenF,MATCH($Y$7,LenU,0)))^2*(0),INDEX(HeadK,MATCH(AA164,HeadU,0))*(Y164*INDEX(LenF,MATCH($Y$7,LenU,0)))^3)),0)+IF(ISNUMBER(Y164),PI()/4*(Y164*INDEX(LenF,MATCH($Y$7,LenU,0)))^2*N(AB164)*INDEX(LenF,MATCH($AB$7,LenU,0))+IF(AC164="",0,IF(AC164="Conical",PI()/12*(Y164*INDEX(LenF,MATCH($Y$7,LenU,0)))^2*(0),INDEX(HeadK,MATCH(AC164,HeadU,0))*(Y164*INDEX(LenF,MATCH($Y$7,LenU,0)))^3)),0),"")</f>
        <v/>
      </c>
      <c r="AE164" s="21" t="str">
        <f aca="false">IF(OR(E164="",E164="Piping"),"",IF(E164="Exchanger",AQ164*AR164+IF(P164="",0,IF(P164="Conical",PI()/12*(SQRT(4*AQ164/PI()))^2*(0),INDEX(HeadK,MATCH(P164,HeadU,0))*(SQRT(4*AQ164/PI()))^3))-IF(AND(ISNUMBER(S164),ISNUMBER(V164)),S164*PI()/4*AP164^2*V164*INDEX(LenF,MATCH($V$7,LenU,0)),0),IF(ISNUMBER(N164),PI()/4*(N164*INDEX(LenF,MATCH($N$7,LenU,0)))^2*N(O164)*INDEX(LenF,MATCH($O$7,LenU,0))+IF(P164="",0,IF(P164="Conical",PI()/12*(N164*INDEX(LenF,MATCH($N$7,LenU,0)))^2*(N(R164)*INDEX(LenF,MATCH($R$7,LenU,0))),INDEX(HeadK,MATCH(P164,HeadU,0))*(N164*INDEX(LenF,MATCH($N$7,LenU,0)))^3))+IF(Q164="",0,IF(Q164="Conical",PI()/12*(N164*INDEX(LenF,MATCH($N$7,LenU,0)))^2*(N(R164)*INDEX(LenF,MATCH($R$7,LenU,0))),INDEX(HeadK,MATCH(Q164,HeadU,0))*(N164*INDEX(LenF,MATCH($N$7,LenU,0)))^3)),0)))</f>
        <v/>
      </c>
      <c r="AF164" s="21" t="str">
        <f aca="false">IF(E164&lt;&gt;"Piping","",IF(AND(ISNUMBER(AS164),ISNUMBER(M164)),PI()/4*(AS164/1000)^2*M164*INDEX(LenF,MATCH($M$7,LenU,0)),0))</f>
        <v/>
      </c>
      <c r="AG164" s="21" t="str">
        <f aca="false">IF(E164="","",N(AD164)+N(AE164)+N(AF164))</f>
        <v/>
      </c>
      <c r="AH164" s="21" t="str">
        <f aca="false">IF(ISNUMBER(I164),I164*INDEX(WtF,MATCH($I$7,WtU,0))/WaterRho,"")</f>
        <v/>
      </c>
      <c r="AI164" s="11"/>
      <c r="AJ164" s="11"/>
      <c r="AK164" s="20"/>
      <c r="AL164" s="11"/>
      <c r="AM164" s="21" t="str">
        <f aca="false">IF(AO164="","",AO164*IF(ISNUMBER(AK164),AK164,DefFills)*(1+IF(ISNUMBER(AL164),AL164,DefAllow)))</f>
        <v/>
      </c>
      <c r="AN164" s="22" t="str">
        <f aca="false">IF(G164="Given volume",IF(ISNUMBER(H164),H164*INDEX(VolF,MATCH($H$7,VolU,0)),""),IF(G164="Water weight",AH164,IF(N(AG164)=0,"",AG164)))</f>
        <v/>
      </c>
      <c r="AO164" s="22" t="str">
        <f aca="false">IF(N(AN164)=0,"",AN164*AT164*IF(ISNUMBER(AJ164),AJ164,DefCirc))</f>
        <v/>
      </c>
      <c r="AP164" s="9" t="n">
        <f aca="false">IF(ISNUMBER(T164),T164*INDEX(LenF,MATCH($T$7,LenU,0)),IF(ISNUMBER(W164),W164*INDEX(LenF,MATCH($W$7,LenU,0))/PitchRatio,0))</f>
        <v>0</v>
      </c>
      <c r="AQ164" s="9" t="n">
        <f aca="false">IF(ISNUMBER(N164),PI()/4*(N164*INDEX(LenF,MATCH($N$7,LenU,0)))^2,IF(AND(ISNUMBER(S164),ISNUMBER(W164),X164&lt;&gt;""),S164*(W164*INDEX(LenF,MATCH($W$7,LenU,0)))^2*INDEX(LayoutF,MATCH(X164,LayoutU,0)),0))</f>
        <v>0</v>
      </c>
      <c r="AR164" s="9" t="n">
        <f aca="false">IF(ISNUMBER(O164),O164*INDEX(LenF,MATCH($O$7,LenU,0)),IF(ISNUMBER(V164),V164*INDEX(LenF,MATCH($V$7,LenU,0)),0))</f>
        <v>0</v>
      </c>
      <c r="AS164" s="9" t="str">
        <f aca="false">IF(ISNUMBER(L164),L164*INDEX(LenF,MATCH($L$7,LenU,0))*1000,IF(OR(J164="",K164=""),"",IFERROR(IF(INDEX(PipeWT,MATCH(J164,NPSU,0),MATCH(K164,SchU,0))="","Sch n/a",INDEX(PipeOD,MATCH(J164,NPSU,0))-2*INDEX(PipeWT,MATCH(J164,NPSU,0),MATCH(K164,SchU,0))),"")))</f>
        <v/>
      </c>
      <c r="AT164" s="9" t="n">
        <f aca="false">IF(ISNUMBER(AI164),AI164,IFERROR(INDEX(IF(JobType="Decontamination",TypeFillDC,TypeFillCC),MATCH(E164,TypeL,0)),1))</f>
        <v>1</v>
      </c>
      <c r="AU164" s="9" t="n">
        <v>5</v>
      </c>
    </row>
    <row r="165" customFormat="false" ht="15" hidden="false" customHeight="false" outlineLevel="0" collapsed="false">
      <c r="A165" s="16" t="n">
        <v>24</v>
      </c>
      <c r="B165" s="20"/>
      <c r="C165" s="5"/>
      <c r="D165" s="5"/>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1" t="str">
        <f aca="false">IF(E165="Exchanger",IF(AND(ISNUMBER(S165),ISNUMBER(U165),ISNUMBER(V165)),S165*PI()/4*(U165*INDEX(LenF,MATCH($U$7,LenU,0)))^2*V165*INDEX(LenF,MATCH($V$7,LenU,0)),0)+IF(ISNUMBER(Y165),PI()/4*(Y165*INDEX(LenF,MATCH($Y$7,LenU,0)))^2*N(Z165)*INDEX(LenF,MATCH($Z$7,LenU,0))+IF(AA165="",0,IF(AA165="Conical",PI()/12*(Y165*INDEX(LenF,MATCH($Y$7,LenU,0)))^2*(0),INDEX(HeadK,MATCH(AA165,HeadU,0))*(Y165*INDEX(LenF,MATCH($Y$7,LenU,0)))^3)),0)+IF(ISNUMBER(Y165),PI()/4*(Y165*INDEX(LenF,MATCH($Y$7,LenU,0)))^2*N(AB165)*INDEX(LenF,MATCH($AB$7,LenU,0))+IF(AC165="",0,IF(AC165="Conical",PI()/12*(Y165*INDEX(LenF,MATCH($Y$7,LenU,0)))^2*(0),INDEX(HeadK,MATCH(AC165,HeadU,0))*(Y165*INDEX(LenF,MATCH($Y$7,LenU,0)))^3)),0),"")</f>
        <v/>
      </c>
      <c r="AE165" s="21" t="str">
        <f aca="false">IF(OR(E165="",E165="Piping"),"",IF(E165="Exchanger",AQ165*AR165+IF(P165="",0,IF(P165="Conical",PI()/12*(SQRT(4*AQ165/PI()))^2*(0),INDEX(HeadK,MATCH(P165,HeadU,0))*(SQRT(4*AQ165/PI()))^3))-IF(AND(ISNUMBER(S165),ISNUMBER(V165)),S165*PI()/4*AP165^2*V165*INDEX(LenF,MATCH($V$7,LenU,0)),0),IF(ISNUMBER(N165),PI()/4*(N165*INDEX(LenF,MATCH($N$7,LenU,0)))^2*N(O165)*INDEX(LenF,MATCH($O$7,LenU,0))+IF(P165="",0,IF(P165="Conical",PI()/12*(N165*INDEX(LenF,MATCH($N$7,LenU,0)))^2*(N(R165)*INDEX(LenF,MATCH($R$7,LenU,0))),INDEX(HeadK,MATCH(P165,HeadU,0))*(N165*INDEX(LenF,MATCH($N$7,LenU,0)))^3))+IF(Q165="",0,IF(Q165="Conical",PI()/12*(N165*INDEX(LenF,MATCH($N$7,LenU,0)))^2*(N(R165)*INDEX(LenF,MATCH($R$7,LenU,0))),INDEX(HeadK,MATCH(Q165,HeadU,0))*(N165*INDEX(LenF,MATCH($N$7,LenU,0)))^3)),0)))</f>
        <v/>
      </c>
      <c r="AF165" s="21" t="str">
        <f aca="false">IF(E165&lt;&gt;"Piping","",IF(AND(ISNUMBER(AS165),ISNUMBER(M165)),PI()/4*(AS165/1000)^2*M165*INDEX(LenF,MATCH($M$7,LenU,0)),0))</f>
        <v/>
      </c>
      <c r="AG165" s="21" t="str">
        <f aca="false">IF(E165="","",N(AD165)+N(AE165)+N(AF165))</f>
        <v/>
      </c>
      <c r="AH165" s="21" t="str">
        <f aca="false">IF(ISNUMBER(I165),I165*INDEX(WtF,MATCH($I$7,WtU,0))/WaterRho,"")</f>
        <v/>
      </c>
      <c r="AI165" s="11"/>
      <c r="AJ165" s="11"/>
      <c r="AK165" s="20"/>
      <c r="AL165" s="11"/>
      <c r="AM165" s="21" t="str">
        <f aca="false">IF(AO165="","",AO165*IF(ISNUMBER(AK165),AK165,DefFills)*(1+IF(ISNUMBER(AL165),AL165,DefAllow)))</f>
        <v/>
      </c>
      <c r="AN165" s="22" t="str">
        <f aca="false">IF(G165="Given volume",IF(ISNUMBER(H165),H165*INDEX(VolF,MATCH($H$7,VolU,0)),""),IF(G165="Water weight",AH165,IF(N(AG165)=0,"",AG165)))</f>
        <v/>
      </c>
      <c r="AO165" s="22" t="str">
        <f aca="false">IF(N(AN165)=0,"",AN165*AT165*IF(ISNUMBER(AJ165),AJ165,DefCirc))</f>
        <v/>
      </c>
      <c r="AP165" s="9" t="n">
        <f aca="false">IF(ISNUMBER(T165),T165*INDEX(LenF,MATCH($T$7,LenU,0)),IF(ISNUMBER(W165),W165*INDEX(LenF,MATCH($W$7,LenU,0))/PitchRatio,0))</f>
        <v>0</v>
      </c>
      <c r="AQ165" s="9" t="n">
        <f aca="false">IF(ISNUMBER(N165),PI()/4*(N165*INDEX(LenF,MATCH($N$7,LenU,0)))^2,IF(AND(ISNUMBER(S165),ISNUMBER(W165),X165&lt;&gt;""),S165*(W165*INDEX(LenF,MATCH($W$7,LenU,0)))^2*INDEX(LayoutF,MATCH(X165,LayoutU,0)),0))</f>
        <v>0</v>
      </c>
      <c r="AR165" s="9" t="n">
        <f aca="false">IF(ISNUMBER(O165),O165*INDEX(LenF,MATCH($O$7,LenU,0)),IF(ISNUMBER(V165),V165*INDEX(LenF,MATCH($V$7,LenU,0)),0))</f>
        <v>0</v>
      </c>
      <c r="AS165" s="9" t="str">
        <f aca="false">IF(ISNUMBER(L165),L165*INDEX(LenF,MATCH($L$7,LenU,0))*1000,IF(OR(J165="",K165=""),"",IFERROR(IF(INDEX(PipeWT,MATCH(J165,NPSU,0),MATCH(K165,SchU,0))="","Sch n/a",INDEX(PipeOD,MATCH(J165,NPSU,0))-2*INDEX(PipeWT,MATCH(J165,NPSU,0),MATCH(K165,SchU,0))),"")))</f>
        <v/>
      </c>
      <c r="AT165" s="9" t="n">
        <f aca="false">IF(ISNUMBER(AI165),AI165,IFERROR(INDEX(IF(JobType="Decontamination",TypeFillDC,TypeFillCC),MATCH(E165,TypeL,0)),1))</f>
        <v>1</v>
      </c>
      <c r="AU165" s="9" t="n">
        <v>5</v>
      </c>
    </row>
    <row r="166" customFormat="false" ht="15" hidden="false" customHeight="false" outlineLevel="0" collapsed="false">
      <c r="A166" s="16" t="n">
        <v>25</v>
      </c>
      <c r="B166" s="20"/>
      <c r="C166" s="5"/>
      <c r="D166" s="5"/>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1" t="str">
        <f aca="false">IF(E166="Exchanger",IF(AND(ISNUMBER(S166),ISNUMBER(U166),ISNUMBER(V166)),S166*PI()/4*(U166*INDEX(LenF,MATCH($U$7,LenU,0)))^2*V166*INDEX(LenF,MATCH($V$7,LenU,0)),0)+IF(ISNUMBER(Y166),PI()/4*(Y166*INDEX(LenF,MATCH($Y$7,LenU,0)))^2*N(Z166)*INDEX(LenF,MATCH($Z$7,LenU,0))+IF(AA166="",0,IF(AA166="Conical",PI()/12*(Y166*INDEX(LenF,MATCH($Y$7,LenU,0)))^2*(0),INDEX(HeadK,MATCH(AA166,HeadU,0))*(Y166*INDEX(LenF,MATCH($Y$7,LenU,0)))^3)),0)+IF(ISNUMBER(Y166),PI()/4*(Y166*INDEX(LenF,MATCH($Y$7,LenU,0)))^2*N(AB166)*INDEX(LenF,MATCH($AB$7,LenU,0))+IF(AC166="",0,IF(AC166="Conical",PI()/12*(Y166*INDEX(LenF,MATCH($Y$7,LenU,0)))^2*(0),INDEX(HeadK,MATCH(AC166,HeadU,0))*(Y166*INDEX(LenF,MATCH($Y$7,LenU,0)))^3)),0),"")</f>
        <v/>
      </c>
      <c r="AE166" s="21" t="str">
        <f aca="false">IF(OR(E166="",E166="Piping"),"",IF(E166="Exchanger",AQ166*AR166+IF(P166="",0,IF(P166="Conical",PI()/12*(SQRT(4*AQ166/PI()))^2*(0),INDEX(HeadK,MATCH(P166,HeadU,0))*(SQRT(4*AQ166/PI()))^3))-IF(AND(ISNUMBER(S166),ISNUMBER(V166)),S166*PI()/4*AP166^2*V166*INDEX(LenF,MATCH($V$7,LenU,0)),0),IF(ISNUMBER(N166),PI()/4*(N166*INDEX(LenF,MATCH($N$7,LenU,0)))^2*N(O166)*INDEX(LenF,MATCH($O$7,LenU,0))+IF(P166="",0,IF(P166="Conical",PI()/12*(N166*INDEX(LenF,MATCH($N$7,LenU,0)))^2*(N(R166)*INDEX(LenF,MATCH($R$7,LenU,0))),INDEX(HeadK,MATCH(P166,HeadU,0))*(N166*INDEX(LenF,MATCH($N$7,LenU,0)))^3))+IF(Q166="",0,IF(Q166="Conical",PI()/12*(N166*INDEX(LenF,MATCH($N$7,LenU,0)))^2*(N(R166)*INDEX(LenF,MATCH($R$7,LenU,0))),INDEX(HeadK,MATCH(Q166,HeadU,0))*(N166*INDEX(LenF,MATCH($N$7,LenU,0)))^3)),0)))</f>
        <v/>
      </c>
      <c r="AF166" s="21" t="str">
        <f aca="false">IF(E166&lt;&gt;"Piping","",IF(AND(ISNUMBER(AS166),ISNUMBER(M166)),PI()/4*(AS166/1000)^2*M166*INDEX(LenF,MATCH($M$7,LenU,0)),0))</f>
        <v/>
      </c>
      <c r="AG166" s="21" t="str">
        <f aca="false">IF(E166="","",N(AD166)+N(AE166)+N(AF166))</f>
        <v/>
      </c>
      <c r="AH166" s="21" t="str">
        <f aca="false">IF(ISNUMBER(I166),I166*INDEX(WtF,MATCH($I$7,WtU,0))/WaterRho,"")</f>
        <v/>
      </c>
      <c r="AI166" s="11"/>
      <c r="AJ166" s="11"/>
      <c r="AK166" s="20"/>
      <c r="AL166" s="11"/>
      <c r="AM166" s="21" t="str">
        <f aca="false">IF(AO166="","",AO166*IF(ISNUMBER(AK166),AK166,DefFills)*(1+IF(ISNUMBER(AL166),AL166,DefAllow)))</f>
        <v/>
      </c>
      <c r="AN166" s="22" t="str">
        <f aca="false">IF(G166="Given volume",IF(ISNUMBER(H166),H166*INDEX(VolF,MATCH($H$7,VolU,0)),""),IF(G166="Water weight",AH166,IF(N(AG166)=0,"",AG166)))</f>
        <v/>
      </c>
      <c r="AO166" s="22" t="str">
        <f aca="false">IF(N(AN166)=0,"",AN166*AT166*IF(ISNUMBER(AJ166),AJ166,DefCirc))</f>
        <v/>
      </c>
      <c r="AP166" s="9" t="n">
        <f aca="false">IF(ISNUMBER(T166),T166*INDEX(LenF,MATCH($T$7,LenU,0)),IF(ISNUMBER(W166),W166*INDEX(LenF,MATCH($W$7,LenU,0))/PitchRatio,0))</f>
        <v>0</v>
      </c>
      <c r="AQ166" s="9" t="n">
        <f aca="false">IF(ISNUMBER(N166),PI()/4*(N166*INDEX(LenF,MATCH($N$7,LenU,0)))^2,IF(AND(ISNUMBER(S166),ISNUMBER(W166),X166&lt;&gt;""),S166*(W166*INDEX(LenF,MATCH($W$7,LenU,0)))^2*INDEX(LayoutF,MATCH(X166,LayoutU,0)),0))</f>
        <v>0</v>
      </c>
      <c r="AR166" s="9" t="n">
        <f aca="false">IF(ISNUMBER(O166),O166*INDEX(LenF,MATCH($O$7,LenU,0)),IF(ISNUMBER(V166),V166*INDEX(LenF,MATCH($V$7,LenU,0)),0))</f>
        <v>0</v>
      </c>
      <c r="AS166" s="9" t="str">
        <f aca="false">IF(ISNUMBER(L166),L166*INDEX(LenF,MATCH($L$7,LenU,0))*1000,IF(OR(J166="",K166=""),"",IFERROR(IF(INDEX(PipeWT,MATCH(J166,NPSU,0),MATCH(K166,SchU,0))="","Sch n/a",INDEX(PipeOD,MATCH(J166,NPSU,0))-2*INDEX(PipeWT,MATCH(J166,NPSU,0),MATCH(K166,SchU,0))),"")))</f>
        <v/>
      </c>
      <c r="AT166" s="9" t="n">
        <f aca="false">IF(ISNUMBER(AI166),AI166,IFERROR(INDEX(IF(JobType="Decontamination",TypeFillDC,TypeFillCC),MATCH(E166,TypeL,0)),1))</f>
        <v>1</v>
      </c>
      <c r="AU166" s="9" t="n">
        <v>5</v>
      </c>
    </row>
    <row r="167" customFormat="false" ht="15" hidden="false" customHeight="false" outlineLevel="0" collapsed="false">
      <c r="A167" s="16" t="n">
        <v>26</v>
      </c>
      <c r="B167" s="20"/>
      <c r="C167" s="5"/>
      <c r="D167" s="5"/>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1" t="str">
        <f aca="false">IF(E167="Exchanger",IF(AND(ISNUMBER(S167),ISNUMBER(U167),ISNUMBER(V167)),S167*PI()/4*(U167*INDEX(LenF,MATCH($U$7,LenU,0)))^2*V167*INDEX(LenF,MATCH($V$7,LenU,0)),0)+IF(ISNUMBER(Y167),PI()/4*(Y167*INDEX(LenF,MATCH($Y$7,LenU,0)))^2*N(Z167)*INDEX(LenF,MATCH($Z$7,LenU,0))+IF(AA167="",0,IF(AA167="Conical",PI()/12*(Y167*INDEX(LenF,MATCH($Y$7,LenU,0)))^2*(0),INDEX(HeadK,MATCH(AA167,HeadU,0))*(Y167*INDEX(LenF,MATCH($Y$7,LenU,0)))^3)),0)+IF(ISNUMBER(Y167),PI()/4*(Y167*INDEX(LenF,MATCH($Y$7,LenU,0)))^2*N(AB167)*INDEX(LenF,MATCH($AB$7,LenU,0))+IF(AC167="",0,IF(AC167="Conical",PI()/12*(Y167*INDEX(LenF,MATCH($Y$7,LenU,0)))^2*(0),INDEX(HeadK,MATCH(AC167,HeadU,0))*(Y167*INDEX(LenF,MATCH($Y$7,LenU,0)))^3)),0),"")</f>
        <v/>
      </c>
      <c r="AE167" s="21" t="str">
        <f aca="false">IF(OR(E167="",E167="Piping"),"",IF(E167="Exchanger",AQ167*AR167+IF(P167="",0,IF(P167="Conical",PI()/12*(SQRT(4*AQ167/PI()))^2*(0),INDEX(HeadK,MATCH(P167,HeadU,0))*(SQRT(4*AQ167/PI()))^3))-IF(AND(ISNUMBER(S167),ISNUMBER(V167)),S167*PI()/4*AP167^2*V167*INDEX(LenF,MATCH($V$7,LenU,0)),0),IF(ISNUMBER(N167),PI()/4*(N167*INDEX(LenF,MATCH($N$7,LenU,0)))^2*N(O167)*INDEX(LenF,MATCH($O$7,LenU,0))+IF(P167="",0,IF(P167="Conical",PI()/12*(N167*INDEX(LenF,MATCH($N$7,LenU,0)))^2*(N(R167)*INDEX(LenF,MATCH($R$7,LenU,0))),INDEX(HeadK,MATCH(P167,HeadU,0))*(N167*INDEX(LenF,MATCH($N$7,LenU,0)))^3))+IF(Q167="",0,IF(Q167="Conical",PI()/12*(N167*INDEX(LenF,MATCH($N$7,LenU,0)))^2*(N(R167)*INDEX(LenF,MATCH($R$7,LenU,0))),INDEX(HeadK,MATCH(Q167,HeadU,0))*(N167*INDEX(LenF,MATCH($N$7,LenU,0)))^3)),0)))</f>
        <v/>
      </c>
      <c r="AF167" s="21" t="str">
        <f aca="false">IF(E167&lt;&gt;"Piping","",IF(AND(ISNUMBER(AS167),ISNUMBER(M167)),PI()/4*(AS167/1000)^2*M167*INDEX(LenF,MATCH($M$7,LenU,0)),0))</f>
        <v/>
      </c>
      <c r="AG167" s="21" t="str">
        <f aca="false">IF(E167="","",N(AD167)+N(AE167)+N(AF167))</f>
        <v/>
      </c>
      <c r="AH167" s="21" t="str">
        <f aca="false">IF(ISNUMBER(I167),I167*INDEX(WtF,MATCH($I$7,WtU,0))/WaterRho,"")</f>
        <v/>
      </c>
      <c r="AI167" s="11"/>
      <c r="AJ167" s="11"/>
      <c r="AK167" s="20"/>
      <c r="AL167" s="11"/>
      <c r="AM167" s="21" t="str">
        <f aca="false">IF(AO167="","",AO167*IF(ISNUMBER(AK167),AK167,DefFills)*(1+IF(ISNUMBER(AL167),AL167,DefAllow)))</f>
        <v/>
      </c>
      <c r="AN167" s="22" t="str">
        <f aca="false">IF(G167="Given volume",IF(ISNUMBER(H167),H167*INDEX(VolF,MATCH($H$7,VolU,0)),""),IF(G167="Water weight",AH167,IF(N(AG167)=0,"",AG167)))</f>
        <v/>
      </c>
      <c r="AO167" s="22" t="str">
        <f aca="false">IF(N(AN167)=0,"",AN167*AT167*IF(ISNUMBER(AJ167),AJ167,DefCirc))</f>
        <v/>
      </c>
      <c r="AP167" s="9" t="n">
        <f aca="false">IF(ISNUMBER(T167),T167*INDEX(LenF,MATCH($T$7,LenU,0)),IF(ISNUMBER(W167),W167*INDEX(LenF,MATCH($W$7,LenU,0))/PitchRatio,0))</f>
        <v>0</v>
      </c>
      <c r="AQ167" s="9" t="n">
        <f aca="false">IF(ISNUMBER(N167),PI()/4*(N167*INDEX(LenF,MATCH($N$7,LenU,0)))^2,IF(AND(ISNUMBER(S167),ISNUMBER(W167),X167&lt;&gt;""),S167*(W167*INDEX(LenF,MATCH($W$7,LenU,0)))^2*INDEX(LayoutF,MATCH(X167,LayoutU,0)),0))</f>
        <v>0</v>
      </c>
      <c r="AR167" s="9" t="n">
        <f aca="false">IF(ISNUMBER(O167),O167*INDEX(LenF,MATCH($O$7,LenU,0)),IF(ISNUMBER(V167),V167*INDEX(LenF,MATCH($V$7,LenU,0)),0))</f>
        <v>0</v>
      </c>
      <c r="AS167" s="9" t="str">
        <f aca="false">IF(ISNUMBER(L167),L167*INDEX(LenF,MATCH($L$7,LenU,0))*1000,IF(OR(J167="",K167=""),"",IFERROR(IF(INDEX(PipeWT,MATCH(J167,NPSU,0),MATCH(K167,SchU,0))="","Sch n/a",INDEX(PipeOD,MATCH(J167,NPSU,0))-2*INDEX(PipeWT,MATCH(J167,NPSU,0),MATCH(K167,SchU,0))),"")))</f>
        <v/>
      </c>
      <c r="AT167" s="9" t="n">
        <f aca="false">IF(ISNUMBER(AI167),AI167,IFERROR(INDEX(IF(JobType="Decontamination",TypeFillDC,TypeFillCC),MATCH(E167,TypeL,0)),1))</f>
        <v>1</v>
      </c>
      <c r="AU167" s="9" t="n">
        <v>5</v>
      </c>
    </row>
    <row r="168" customFormat="false" ht="15" hidden="false" customHeight="false" outlineLevel="0" collapsed="false">
      <c r="A168" s="16" t="n">
        <v>27</v>
      </c>
      <c r="B168" s="20"/>
      <c r="C168" s="5"/>
      <c r="D168" s="5"/>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1" t="str">
        <f aca="false">IF(E168="Exchanger",IF(AND(ISNUMBER(S168),ISNUMBER(U168),ISNUMBER(V168)),S168*PI()/4*(U168*INDEX(LenF,MATCH($U$7,LenU,0)))^2*V168*INDEX(LenF,MATCH($V$7,LenU,0)),0)+IF(ISNUMBER(Y168),PI()/4*(Y168*INDEX(LenF,MATCH($Y$7,LenU,0)))^2*N(Z168)*INDEX(LenF,MATCH($Z$7,LenU,0))+IF(AA168="",0,IF(AA168="Conical",PI()/12*(Y168*INDEX(LenF,MATCH($Y$7,LenU,0)))^2*(0),INDEX(HeadK,MATCH(AA168,HeadU,0))*(Y168*INDEX(LenF,MATCH($Y$7,LenU,0)))^3)),0)+IF(ISNUMBER(Y168),PI()/4*(Y168*INDEX(LenF,MATCH($Y$7,LenU,0)))^2*N(AB168)*INDEX(LenF,MATCH($AB$7,LenU,0))+IF(AC168="",0,IF(AC168="Conical",PI()/12*(Y168*INDEX(LenF,MATCH($Y$7,LenU,0)))^2*(0),INDEX(HeadK,MATCH(AC168,HeadU,0))*(Y168*INDEX(LenF,MATCH($Y$7,LenU,0)))^3)),0),"")</f>
        <v/>
      </c>
      <c r="AE168" s="21" t="str">
        <f aca="false">IF(OR(E168="",E168="Piping"),"",IF(E168="Exchanger",AQ168*AR168+IF(P168="",0,IF(P168="Conical",PI()/12*(SQRT(4*AQ168/PI()))^2*(0),INDEX(HeadK,MATCH(P168,HeadU,0))*(SQRT(4*AQ168/PI()))^3))-IF(AND(ISNUMBER(S168),ISNUMBER(V168)),S168*PI()/4*AP168^2*V168*INDEX(LenF,MATCH($V$7,LenU,0)),0),IF(ISNUMBER(N168),PI()/4*(N168*INDEX(LenF,MATCH($N$7,LenU,0)))^2*N(O168)*INDEX(LenF,MATCH($O$7,LenU,0))+IF(P168="",0,IF(P168="Conical",PI()/12*(N168*INDEX(LenF,MATCH($N$7,LenU,0)))^2*(N(R168)*INDEX(LenF,MATCH($R$7,LenU,0))),INDEX(HeadK,MATCH(P168,HeadU,0))*(N168*INDEX(LenF,MATCH($N$7,LenU,0)))^3))+IF(Q168="",0,IF(Q168="Conical",PI()/12*(N168*INDEX(LenF,MATCH($N$7,LenU,0)))^2*(N(R168)*INDEX(LenF,MATCH($R$7,LenU,0))),INDEX(HeadK,MATCH(Q168,HeadU,0))*(N168*INDEX(LenF,MATCH($N$7,LenU,0)))^3)),0)))</f>
        <v/>
      </c>
      <c r="AF168" s="21" t="str">
        <f aca="false">IF(E168&lt;&gt;"Piping","",IF(AND(ISNUMBER(AS168),ISNUMBER(M168)),PI()/4*(AS168/1000)^2*M168*INDEX(LenF,MATCH($M$7,LenU,0)),0))</f>
        <v/>
      </c>
      <c r="AG168" s="21" t="str">
        <f aca="false">IF(E168="","",N(AD168)+N(AE168)+N(AF168))</f>
        <v/>
      </c>
      <c r="AH168" s="21" t="str">
        <f aca="false">IF(ISNUMBER(I168),I168*INDEX(WtF,MATCH($I$7,WtU,0))/WaterRho,"")</f>
        <v/>
      </c>
      <c r="AI168" s="11"/>
      <c r="AJ168" s="11"/>
      <c r="AK168" s="20"/>
      <c r="AL168" s="11"/>
      <c r="AM168" s="21" t="str">
        <f aca="false">IF(AO168="","",AO168*IF(ISNUMBER(AK168),AK168,DefFills)*(1+IF(ISNUMBER(AL168),AL168,DefAllow)))</f>
        <v/>
      </c>
      <c r="AN168" s="22" t="str">
        <f aca="false">IF(G168="Given volume",IF(ISNUMBER(H168),H168*INDEX(VolF,MATCH($H$7,VolU,0)),""),IF(G168="Water weight",AH168,IF(N(AG168)=0,"",AG168)))</f>
        <v/>
      </c>
      <c r="AO168" s="22" t="str">
        <f aca="false">IF(N(AN168)=0,"",AN168*AT168*IF(ISNUMBER(AJ168),AJ168,DefCirc))</f>
        <v/>
      </c>
      <c r="AP168" s="9" t="n">
        <f aca="false">IF(ISNUMBER(T168),T168*INDEX(LenF,MATCH($T$7,LenU,0)),IF(ISNUMBER(W168),W168*INDEX(LenF,MATCH($W$7,LenU,0))/PitchRatio,0))</f>
        <v>0</v>
      </c>
      <c r="AQ168" s="9" t="n">
        <f aca="false">IF(ISNUMBER(N168),PI()/4*(N168*INDEX(LenF,MATCH($N$7,LenU,0)))^2,IF(AND(ISNUMBER(S168),ISNUMBER(W168),X168&lt;&gt;""),S168*(W168*INDEX(LenF,MATCH($W$7,LenU,0)))^2*INDEX(LayoutF,MATCH(X168,LayoutU,0)),0))</f>
        <v>0</v>
      </c>
      <c r="AR168" s="9" t="n">
        <f aca="false">IF(ISNUMBER(O168),O168*INDEX(LenF,MATCH($O$7,LenU,0)),IF(ISNUMBER(V168),V168*INDEX(LenF,MATCH($V$7,LenU,0)),0))</f>
        <v>0</v>
      </c>
      <c r="AS168" s="9" t="str">
        <f aca="false">IF(ISNUMBER(L168),L168*INDEX(LenF,MATCH($L$7,LenU,0))*1000,IF(OR(J168="",K168=""),"",IFERROR(IF(INDEX(PipeWT,MATCH(J168,NPSU,0),MATCH(K168,SchU,0))="","Sch n/a",INDEX(PipeOD,MATCH(J168,NPSU,0))-2*INDEX(PipeWT,MATCH(J168,NPSU,0),MATCH(K168,SchU,0))),"")))</f>
        <v/>
      </c>
      <c r="AT168" s="9" t="n">
        <f aca="false">IF(ISNUMBER(AI168),AI168,IFERROR(INDEX(IF(JobType="Decontamination",TypeFillDC,TypeFillCC),MATCH(E168,TypeL,0)),1))</f>
        <v>1</v>
      </c>
      <c r="AU168" s="9" t="n">
        <v>5</v>
      </c>
    </row>
    <row r="169" customFormat="false" ht="15" hidden="false" customHeight="false" outlineLevel="0" collapsed="false">
      <c r="A169" s="16" t="n">
        <v>28</v>
      </c>
      <c r="B169" s="20"/>
      <c r="C169" s="5"/>
      <c r="D169" s="5"/>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1" t="str">
        <f aca="false">IF(E169="Exchanger",IF(AND(ISNUMBER(S169),ISNUMBER(U169),ISNUMBER(V169)),S169*PI()/4*(U169*INDEX(LenF,MATCH($U$7,LenU,0)))^2*V169*INDEX(LenF,MATCH($V$7,LenU,0)),0)+IF(ISNUMBER(Y169),PI()/4*(Y169*INDEX(LenF,MATCH($Y$7,LenU,0)))^2*N(Z169)*INDEX(LenF,MATCH($Z$7,LenU,0))+IF(AA169="",0,IF(AA169="Conical",PI()/12*(Y169*INDEX(LenF,MATCH($Y$7,LenU,0)))^2*(0),INDEX(HeadK,MATCH(AA169,HeadU,0))*(Y169*INDEX(LenF,MATCH($Y$7,LenU,0)))^3)),0)+IF(ISNUMBER(Y169),PI()/4*(Y169*INDEX(LenF,MATCH($Y$7,LenU,0)))^2*N(AB169)*INDEX(LenF,MATCH($AB$7,LenU,0))+IF(AC169="",0,IF(AC169="Conical",PI()/12*(Y169*INDEX(LenF,MATCH($Y$7,LenU,0)))^2*(0),INDEX(HeadK,MATCH(AC169,HeadU,0))*(Y169*INDEX(LenF,MATCH($Y$7,LenU,0)))^3)),0),"")</f>
        <v/>
      </c>
      <c r="AE169" s="21" t="str">
        <f aca="false">IF(OR(E169="",E169="Piping"),"",IF(E169="Exchanger",AQ169*AR169+IF(P169="",0,IF(P169="Conical",PI()/12*(SQRT(4*AQ169/PI()))^2*(0),INDEX(HeadK,MATCH(P169,HeadU,0))*(SQRT(4*AQ169/PI()))^3))-IF(AND(ISNUMBER(S169),ISNUMBER(V169)),S169*PI()/4*AP169^2*V169*INDEX(LenF,MATCH($V$7,LenU,0)),0),IF(ISNUMBER(N169),PI()/4*(N169*INDEX(LenF,MATCH($N$7,LenU,0)))^2*N(O169)*INDEX(LenF,MATCH($O$7,LenU,0))+IF(P169="",0,IF(P169="Conical",PI()/12*(N169*INDEX(LenF,MATCH($N$7,LenU,0)))^2*(N(R169)*INDEX(LenF,MATCH($R$7,LenU,0))),INDEX(HeadK,MATCH(P169,HeadU,0))*(N169*INDEX(LenF,MATCH($N$7,LenU,0)))^3))+IF(Q169="",0,IF(Q169="Conical",PI()/12*(N169*INDEX(LenF,MATCH($N$7,LenU,0)))^2*(N(R169)*INDEX(LenF,MATCH($R$7,LenU,0))),INDEX(HeadK,MATCH(Q169,HeadU,0))*(N169*INDEX(LenF,MATCH($N$7,LenU,0)))^3)),0)))</f>
        <v/>
      </c>
      <c r="AF169" s="21" t="str">
        <f aca="false">IF(E169&lt;&gt;"Piping","",IF(AND(ISNUMBER(AS169),ISNUMBER(M169)),PI()/4*(AS169/1000)^2*M169*INDEX(LenF,MATCH($M$7,LenU,0)),0))</f>
        <v/>
      </c>
      <c r="AG169" s="21" t="str">
        <f aca="false">IF(E169="","",N(AD169)+N(AE169)+N(AF169))</f>
        <v/>
      </c>
      <c r="AH169" s="21" t="str">
        <f aca="false">IF(ISNUMBER(I169),I169*INDEX(WtF,MATCH($I$7,WtU,0))/WaterRho,"")</f>
        <v/>
      </c>
      <c r="AI169" s="11"/>
      <c r="AJ169" s="11"/>
      <c r="AK169" s="20"/>
      <c r="AL169" s="11"/>
      <c r="AM169" s="21" t="str">
        <f aca="false">IF(AO169="","",AO169*IF(ISNUMBER(AK169),AK169,DefFills)*(1+IF(ISNUMBER(AL169),AL169,DefAllow)))</f>
        <v/>
      </c>
      <c r="AN169" s="22" t="str">
        <f aca="false">IF(G169="Given volume",IF(ISNUMBER(H169),H169*INDEX(VolF,MATCH($H$7,VolU,0)),""),IF(G169="Water weight",AH169,IF(N(AG169)=0,"",AG169)))</f>
        <v/>
      </c>
      <c r="AO169" s="22" t="str">
        <f aca="false">IF(N(AN169)=0,"",AN169*AT169*IF(ISNUMBER(AJ169),AJ169,DefCirc))</f>
        <v/>
      </c>
      <c r="AP169" s="9" t="n">
        <f aca="false">IF(ISNUMBER(T169),T169*INDEX(LenF,MATCH($T$7,LenU,0)),IF(ISNUMBER(W169),W169*INDEX(LenF,MATCH($W$7,LenU,0))/PitchRatio,0))</f>
        <v>0</v>
      </c>
      <c r="AQ169" s="9" t="n">
        <f aca="false">IF(ISNUMBER(N169),PI()/4*(N169*INDEX(LenF,MATCH($N$7,LenU,0)))^2,IF(AND(ISNUMBER(S169),ISNUMBER(W169),X169&lt;&gt;""),S169*(W169*INDEX(LenF,MATCH($W$7,LenU,0)))^2*INDEX(LayoutF,MATCH(X169,LayoutU,0)),0))</f>
        <v>0</v>
      </c>
      <c r="AR169" s="9" t="n">
        <f aca="false">IF(ISNUMBER(O169),O169*INDEX(LenF,MATCH($O$7,LenU,0)),IF(ISNUMBER(V169),V169*INDEX(LenF,MATCH($V$7,LenU,0)),0))</f>
        <v>0</v>
      </c>
      <c r="AS169" s="9" t="str">
        <f aca="false">IF(ISNUMBER(L169),L169*INDEX(LenF,MATCH($L$7,LenU,0))*1000,IF(OR(J169="",K169=""),"",IFERROR(IF(INDEX(PipeWT,MATCH(J169,NPSU,0),MATCH(K169,SchU,0))="","Sch n/a",INDEX(PipeOD,MATCH(J169,NPSU,0))-2*INDEX(PipeWT,MATCH(J169,NPSU,0),MATCH(K169,SchU,0))),"")))</f>
        <v/>
      </c>
      <c r="AT169" s="9" t="n">
        <f aca="false">IF(ISNUMBER(AI169),AI169,IFERROR(INDEX(IF(JobType="Decontamination",TypeFillDC,TypeFillCC),MATCH(E169,TypeL,0)),1))</f>
        <v>1</v>
      </c>
      <c r="AU169" s="9" t="n">
        <v>5</v>
      </c>
    </row>
    <row r="170" customFormat="false" ht="15" hidden="false" customHeight="false" outlineLevel="0" collapsed="false">
      <c r="A170" s="16" t="n">
        <v>29</v>
      </c>
      <c r="B170" s="20"/>
      <c r="C170" s="5"/>
      <c r="D170" s="5"/>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1" t="str">
        <f aca="false">IF(E170="Exchanger",IF(AND(ISNUMBER(S170),ISNUMBER(U170),ISNUMBER(V170)),S170*PI()/4*(U170*INDEX(LenF,MATCH($U$7,LenU,0)))^2*V170*INDEX(LenF,MATCH($V$7,LenU,0)),0)+IF(ISNUMBER(Y170),PI()/4*(Y170*INDEX(LenF,MATCH($Y$7,LenU,0)))^2*N(Z170)*INDEX(LenF,MATCH($Z$7,LenU,0))+IF(AA170="",0,IF(AA170="Conical",PI()/12*(Y170*INDEX(LenF,MATCH($Y$7,LenU,0)))^2*(0),INDEX(HeadK,MATCH(AA170,HeadU,0))*(Y170*INDEX(LenF,MATCH($Y$7,LenU,0)))^3)),0)+IF(ISNUMBER(Y170),PI()/4*(Y170*INDEX(LenF,MATCH($Y$7,LenU,0)))^2*N(AB170)*INDEX(LenF,MATCH($AB$7,LenU,0))+IF(AC170="",0,IF(AC170="Conical",PI()/12*(Y170*INDEX(LenF,MATCH($Y$7,LenU,0)))^2*(0),INDEX(HeadK,MATCH(AC170,HeadU,0))*(Y170*INDEX(LenF,MATCH($Y$7,LenU,0)))^3)),0),"")</f>
        <v/>
      </c>
      <c r="AE170" s="21" t="str">
        <f aca="false">IF(OR(E170="",E170="Piping"),"",IF(E170="Exchanger",AQ170*AR170+IF(P170="",0,IF(P170="Conical",PI()/12*(SQRT(4*AQ170/PI()))^2*(0),INDEX(HeadK,MATCH(P170,HeadU,0))*(SQRT(4*AQ170/PI()))^3))-IF(AND(ISNUMBER(S170),ISNUMBER(V170)),S170*PI()/4*AP170^2*V170*INDEX(LenF,MATCH($V$7,LenU,0)),0),IF(ISNUMBER(N170),PI()/4*(N170*INDEX(LenF,MATCH($N$7,LenU,0)))^2*N(O170)*INDEX(LenF,MATCH($O$7,LenU,0))+IF(P170="",0,IF(P170="Conical",PI()/12*(N170*INDEX(LenF,MATCH($N$7,LenU,0)))^2*(N(R170)*INDEX(LenF,MATCH($R$7,LenU,0))),INDEX(HeadK,MATCH(P170,HeadU,0))*(N170*INDEX(LenF,MATCH($N$7,LenU,0)))^3))+IF(Q170="",0,IF(Q170="Conical",PI()/12*(N170*INDEX(LenF,MATCH($N$7,LenU,0)))^2*(N(R170)*INDEX(LenF,MATCH($R$7,LenU,0))),INDEX(HeadK,MATCH(Q170,HeadU,0))*(N170*INDEX(LenF,MATCH($N$7,LenU,0)))^3)),0)))</f>
        <v/>
      </c>
      <c r="AF170" s="21" t="str">
        <f aca="false">IF(E170&lt;&gt;"Piping","",IF(AND(ISNUMBER(AS170),ISNUMBER(M170)),PI()/4*(AS170/1000)^2*M170*INDEX(LenF,MATCH($M$7,LenU,0)),0))</f>
        <v/>
      </c>
      <c r="AG170" s="21" t="str">
        <f aca="false">IF(E170="","",N(AD170)+N(AE170)+N(AF170))</f>
        <v/>
      </c>
      <c r="AH170" s="21" t="str">
        <f aca="false">IF(ISNUMBER(I170),I170*INDEX(WtF,MATCH($I$7,WtU,0))/WaterRho,"")</f>
        <v/>
      </c>
      <c r="AI170" s="11"/>
      <c r="AJ170" s="11"/>
      <c r="AK170" s="20"/>
      <c r="AL170" s="11"/>
      <c r="AM170" s="21" t="str">
        <f aca="false">IF(AO170="","",AO170*IF(ISNUMBER(AK170),AK170,DefFills)*(1+IF(ISNUMBER(AL170),AL170,DefAllow)))</f>
        <v/>
      </c>
      <c r="AN170" s="22" t="str">
        <f aca="false">IF(G170="Given volume",IF(ISNUMBER(H170),H170*INDEX(VolF,MATCH($H$7,VolU,0)),""),IF(G170="Water weight",AH170,IF(N(AG170)=0,"",AG170)))</f>
        <v/>
      </c>
      <c r="AO170" s="22" t="str">
        <f aca="false">IF(N(AN170)=0,"",AN170*AT170*IF(ISNUMBER(AJ170),AJ170,DefCirc))</f>
        <v/>
      </c>
      <c r="AP170" s="9" t="n">
        <f aca="false">IF(ISNUMBER(T170),T170*INDEX(LenF,MATCH($T$7,LenU,0)),IF(ISNUMBER(W170),W170*INDEX(LenF,MATCH($W$7,LenU,0))/PitchRatio,0))</f>
        <v>0</v>
      </c>
      <c r="AQ170" s="9" t="n">
        <f aca="false">IF(ISNUMBER(N170),PI()/4*(N170*INDEX(LenF,MATCH($N$7,LenU,0)))^2,IF(AND(ISNUMBER(S170),ISNUMBER(W170),X170&lt;&gt;""),S170*(W170*INDEX(LenF,MATCH($W$7,LenU,0)))^2*INDEX(LayoutF,MATCH(X170,LayoutU,0)),0))</f>
        <v>0</v>
      </c>
      <c r="AR170" s="9" t="n">
        <f aca="false">IF(ISNUMBER(O170),O170*INDEX(LenF,MATCH($O$7,LenU,0)),IF(ISNUMBER(V170),V170*INDEX(LenF,MATCH($V$7,LenU,0)),0))</f>
        <v>0</v>
      </c>
      <c r="AS170" s="9" t="str">
        <f aca="false">IF(ISNUMBER(L170),L170*INDEX(LenF,MATCH($L$7,LenU,0))*1000,IF(OR(J170="",K170=""),"",IFERROR(IF(INDEX(PipeWT,MATCH(J170,NPSU,0),MATCH(K170,SchU,0))="","Sch n/a",INDEX(PipeOD,MATCH(J170,NPSU,0))-2*INDEX(PipeWT,MATCH(J170,NPSU,0),MATCH(K170,SchU,0))),"")))</f>
        <v/>
      </c>
      <c r="AT170" s="9" t="n">
        <f aca="false">IF(ISNUMBER(AI170),AI170,IFERROR(INDEX(IF(JobType="Decontamination",TypeFillDC,TypeFillCC),MATCH(E170,TypeL,0)),1))</f>
        <v>1</v>
      </c>
      <c r="AU170" s="9" t="n">
        <v>5</v>
      </c>
    </row>
    <row r="171" customFormat="false" ht="15" hidden="false" customHeight="false" outlineLevel="0" collapsed="false">
      <c r="A171" s="16" t="n">
        <v>30</v>
      </c>
      <c r="B171" s="20"/>
      <c r="C171" s="5"/>
      <c r="D171" s="5"/>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1" t="str">
        <f aca="false">IF(E171="Exchanger",IF(AND(ISNUMBER(S171),ISNUMBER(U171),ISNUMBER(V171)),S171*PI()/4*(U171*INDEX(LenF,MATCH($U$7,LenU,0)))^2*V171*INDEX(LenF,MATCH($V$7,LenU,0)),0)+IF(ISNUMBER(Y171),PI()/4*(Y171*INDEX(LenF,MATCH($Y$7,LenU,0)))^2*N(Z171)*INDEX(LenF,MATCH($Z$7,LenU,0))+IF(AA171="",0,IF(AA171="Conical",PI()/12*(Y171*INDEX(LenF,MATCH($Y$7,LenU,0)))^2*(0),INDEX(HeadK,MATCH(AA171,HeadU,0))*(Y171*INDEX(LenF,MATCH($Y$7,LenU,0)))^3)),0)+IF(ISNUMBER(Y171),PI()/4*(Y171*INDEX(LenF,MATCH($Y$7,LenU,0)))^2*N(AB171)*INDEX(LenF,MATCH($AB$7,LenU,0))+IF(AC171="",0,IF(AC171="Conical",PI()/12*(Y171*INDEX(LenF,MATCH($Y$7,LenU,0)))^2*(0),INDEX(HeadK,MATCH(AC171,HeadU,0))*(Y171*INDEX(LenF,MATCH($Y$7,LenU,0)))^3)),0),"")</f>
        <v/>
      </c>
      <c r="AE171" s="21" t="str">
        <f aca="false">IF(OR(E171="",E171="Piping"),"",IF(E171="Exchanger",AQ171*AR171+IF(P171="",0,IF(P171="Conical",PI()/12*(SQRT(4*AQ171/PI()))^2*(0),INDEX(HeadK,MATCH(P171,HeadU,0))*(SQRT(4*AQ171/PI()))^3))-IF(AND(ISNUMBER(S171),ISNUMBER(V171)),S171*PI()/4*AP171^2*V171*INDEX(LenF,MATCH($V$7,LenU,0)),0),IF(ISNUMBER(N171),PI()/4*(N171*INDEX(LenF,MATCH($N$7,LenU,0)))^2*N(O171)*INDEX(LenF,MATCH($O$7,LenU,0))+IF(P171="",0,IF(P171="Conical",PI()/12*(N171*INDEX(LenF,MATCH($N$7,LenU,0)))^2*(N(R171)*INDEX(LenF,MATCH($R$7,LenU,0))),INDEX(HeadK,MATCH(P171,HeadU,0))*(N171*INDEX(LenF,MATCH($N$7,LenU,0)))^3))+IF(Q171="",0,IF(Q171="Conical",PI()/12*(N171*INDEX(LenF,MATCH($N$7,LenU,0)))^2*(N(R171)*INDEX(LenF,MATCH($R$7,LenU,0))),INDEX(HeadK,MATCH(Q171,HeadU,0))*(N171*INDEX(LenF,MATCH($N$7,LenU,0)))^3)),0)))</f>
        <v/>
      </c>
      <c r="AF171" s="21" t="str">
        <f aca="false">IF(E171&lt;&gt;"Piping","",IF(AND(ISNUMBER(AS171),ISNUMBER(M171)),PI()/4*(AS171/1000)^2*M171*INDEX(LenF,MATCH($M$7,LenU,0)),0))</f>
        <v/>
      </c>
      <c r="AG171" s="21" t="str">
        <f aca="false">IF(E171="","",N(AD171)+N(AE171)+N(AF171))</f>
        <v/>
      </c>
      <c r="AH171" s="21" t="str">
        <f aca="false">IF(ISNUMBER(I171),I171*INDEX(WtF,MATCH($I$7,WtU,0))/WaterRho,"")</f>
        <v/>
      </c>
      <c r="AI171" s="11"/>
      <c r="AJ171" s="11"/>
      <c r="AK171" s="20"/>
      <c r="AL171" s="11"/>
      <c r="AM171" s="21" t="str">
        <f aca="false">IF(AO171="","",AO171*IF(ISNUMBER(AK171),AK171,DefFills)*(1+IF(ISNUMBER(AL171),AL171,DefAllow)))</f>
        <v/>
      </c>
      <c r="AN171" s="22" t="str">
        <f aca="false">IF(G171="Given volume",IF(ISNUMBER(H171),H171*INDEX(VolF,MATCH($H$7,VolU,0)),""),IF(G171="Water weight",AH171,IF(N(AG171)=0,"",AG171)))</f>
        <v/>
      </c>
      <c r="AO171" s="22" t="str">
        <f aca="false">IF(N(AN171)=0,"",AN171*AT171*IF(ISNUMBER(AJ171),AJ171,DefCirc))</f>
        <v/>
      </c>
      <c r="AP171" s="9" t="n">
        <f aca="false">IF(ISNUMBER(T171),T171*INDEX(LenF,MATCH($T$7,LenU,0)),IF(ISNUMBER(W171),W171*INDEX(LenF,MATCH($W$7,LenU,0))/PitchRatio,0))</f>
        <v>0</v>
      </c>
      <c r="AQ171" s="9" t="n">
        <f aca="false">IF(ISNUMBER(N171),PI()/4*(N171*INDEX(LenF,MATCH($N$7,LenU,0)))^2,IF(AND(ISNUMBER(S171),ISNUMBER(W171),X171&lt;&gt;""),S171*(W171*INDEX(LenF,MATCH($W$7,LenU,0)))^2*INDEX(LayoutF,MATCH(X171,LayoutU,0)),0))</f>
        <v>0</v>
      </c>
      <c r="AR171" s="9" t="n">
        <f aca="false">IF(ISNUMBER(O171),O171*INDEX(LenF,MATCH($O$7,LenU,0)),IF(ISNUMBER(V171),V171*INDEX(LenF,MATCH($V$7,LenU,0)),0))</f>
        <v>0</v>
      </c>
      <c r="AS171" s="9" t="str">
        <f aca="false">IF(ISNUMBER(L171),L171*INDEX(LenF,MATCH($L$7,LenU,0))*1000,IF(OR(J171="",K171=""),"",IFERROR(IF(INDEX(PipeWT,MATCH(J171,NPSU,0),MATCH(K171,SchU,0))="","Sch n/a",INDEX(PipeOD,MATCH(J171,NPSU,0))-2*INDEX(PipeWT,MATCH(J171,NPSU,0),MATCH(K171,SchU,0))),"")))</f>
        <v/>
      </c>
      <c r="AT171" s="9" t="n">
        <f aca="false">IF(ISNUMBER(AI171),AI171,IFERROR(INDEX(IF(JobType="Decontamination",TypeFillDC,TypeFillCC),MATCH(E171,TypeL,0)),1))</f>
        <v>1</v>
      </c>
      <c r="AU171" s="9" t="n">
        <v>5</v>
      </c>
    </row>
    <row r="172" customFormat="false" ht="15" hidden="false" customHeight="false" outlineLevel="0" collapsed="false">
      <c r="A172" s="24" t="str">
        <f aca="false">"TOTAL – "&amp;INDEX(UnitNames,5)</f>
        <v>TOTAL – Unit 5</v>
      </c>
      <c r="B172" s="24"/>
      <c r="C172" s="24"/>
      <c r="D172" s="24"/>
      <c r="E172" s="25"/>
      <c r="F172" s="25"/>
      <c r="G172" s="25"/>
      <c r="H172" s="25"/>
      <c r="I172" s="25"/>
      <c r="J172" s="25"/>
      <c r="K172" s="25"/>
      <c r="L172" s="25"/>
      <c r="M172" s="25"/>
      <c r="N172" s="25"/>
      <c r="O172" s="25"/>
      <c r="P172" s="25"/>
      <c r="Q172" s="25"/>
      <c r="R172" s="25"/>
      <c r="S172" s="26" t="str">
        <f aca="false">COUNT(AN142:AN171)&amp;" items"</f>
        <v>0 items</v>
      </c>
      <c r="T172" s="25"/>
      <c r="U172" s="25"/>
      <c r="V172" s="25"/>
      <c r="W172" s="25"/>
      <c r="X172" s="25"/>
      <c r="Y172" s="25"/>
      <c r="Z172" s="25"/>
      <c r="AA172" s="25"/>
      <c r="AB172" s="25"/>
      <c r="AC172" s="25"/>
      <c r="AD172" s="27" t="n">
        <f aca="false">SUM(AD142:AD171)</f>
        <v>0</v>
      </c>
      <c r="AE172" s="27" t="n">
        <f aca="false">SUM(AE142:AE171)</f>
        <v>0</v>
      </c>
      <c r="AF172" s="27" t="n">
        <f aca="false">SUM(AF142:AF171)</f>
        <v>0</v>
      </c>
      <c r="AG172" s="27" t="n">
        <f aca="false">SUM(AG142:AG171)</f>
        <v>0</v>
      </c>
      <c r="AH172" s="27" t="n">
        <f aca="false">SUM(AH142:AH171)</f>
        <v>0</v>
      </c>
      <c r="AI172" s="25"/>
      <c r="AJ172" s="25"/>
      <c r="AK172" s="25"/>
      <c r="AL172" s="25"/>
      <c r="AM172" s="27" t="n">
        <f aca="false">SUM(AM142:AM171)</f>
        <v>0</v>
      </c>
      <c r="AN172" s="27" t="n">
        <f aca="false">SUM(AN142:AN171)</f>
        <v>0</v>
      </c>
      <c r="AO172" s="27" t="n">
        <f aca="false">SUM(AO142:AO171)</f>
        <v>0</v>
      </c>
    </row>
    <row r="174" customFormat="false" ht="15" hidden="false" customHeight="false" outlineLevel="0" collapsed="false">
      <c r="A174" s="18" t="str">
        <f aca="false">"UNIT 6:  "&amp;INDEX(UnitNames,6)</f>
        <v>UNIT 6:  Unit 6</v>
      </c>
      <c r="B174" s="18"/>
      <c r="C174" s="18"/>
      <c r="D174" s="18"/>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row>
    <row r="175" customFormat="false" ht="15" hidden="false" customHeight="false" outlineLevel="0" collapsed="false">
      <c r="A175" s="16" t="n">
        <v>1</v>
      </c>
      <c r="B175" s="20"/>
      <c r="C175" s="5"/>
      <c r="D175" s="5"/>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1" t="str">
        <f aca="false">IF(E175="Exchanger",IF(AND(ISNUMBER(S175),ISNUMBER(U175),ISNUMBER(V175)),S175*PI()/4*(U175*INDEX(LenF,MATCH($U$7,LenU,0)))^2*V175*INDEX(LenF,MATCH($V$7,LenU,0)),0)+IF(ISNUMBER(Y175),PI()/4*(Y175*INDEX(LenF,MATCH($Y$7,LenU,0)))^2*N(Z175)*INDEX(LenF,MATCH($Z$7,LenU,0))+IF(AA175="",0,IF(AA175="Conical",PI()/12*(Y175*INDEX(LenF,MATCH($Y$7,LenU,0)))^2*(0),INDEX(HeadK,MATCH(AA175,HeadU,0))*(Y175*INDEX(LenF,MATCH($Y$7,LenU,0)))^3)),0)+IF(ISNUMBER(Y175),PI()/4*(Y175*INDEX(LenF,MATCH($Y$7,LenU,0)))^2*N(AB175)*INDEX(LenF,MATCH($AB$7,LenU,0))+IF(AC175="",0,IF(AC175="Conical",PI()/12*(Y175*INDEX(LenF,MATCH($Y$7,LenU,0)))^2*(0),INDEX(HeadK,MATCH(AC175,HeadU,0))*(Y175*INDEX(LenF,MATCH($Y$7,LenU,0)))^3)),0),"")</f>
        <v/>
      </c>
      <c r="AE175" s="21" t="str">
        <f aca="false">IF(OR(E175="",E175="Piping"),"",IF(E175="Exchanger",AQ175*AR175+IF(P175="",0,IF(P175="Conical",PI()/12*(SQRT(4*AQ175/PI()))^2*(0),INDEX(HeadK,MATCH(P175,HeadU,0))*(SQRT(4*AQ175/PI()))^3))-IF(AND(ISNUMBER(S175),ISNUMBER(V175)),S175*PI()/4*AP175^2*V175*INDEX(LenF,MATCH($V$7,LenU,0)),0),IF(ISNUMBER(N175),PI()/4*(N175*INDEX(LenF,MATCH($N$7,LenU,0)))^2*N(O175)*INDEX(LenF,MATCH($O$7,LenU,0))+IF(P175="",0,IF(P175="Conical",PI()/12*(N175*INDEX(LenF,MATCH($N$7,LenU,0)))^2*(N(R175)*INDEX(LenF,MATCH($R$7,LenU,0))),INDEX(HeadK,MATCH(P175,HeadU,0))*(N175*INDEX(LenF,MATCH($N$7,LenU,0)))^3))+IF(Q175="",0,IF(Q175="Conical",PI()/12*(N175*INDEX(LenF,MATCH($N$7,LenU,0)))^2*(N(R175)*INDEX(LenF,MATCH($R$7,LenU,0))),INDEX(HeadK,MATCH(Q175,HeadU,0))*(N175*INDEX(LenF,MATCH($N$7,LenU,0)))^3)),0)))</f>
        <v/>
      </c>
      <c r="AF175" s="21" t="str">
        <f aca="false">IF(E175&lt;&gt;"Piping","",IF(AND(ISNUMBER(AS175),ISNUMBER(M175)),PI()/4*(AS175/1000)^2*M175*INDEX(LenF,MATCH($M$7,LenU,0)),0))</f>
        <v/>
      </c>
      <c r="AG175" s="21" t="str">
        <f aca="false">IF(E175="","",N(AD175)+N(AE175)+N(AF175))</f>
        <v/>
      </c>
      <c r="AH175" s="21" t="str">
        <f aca="false">IF(ISNUMBER(I175),I175*INDEX(WtF,MATCH($I$7,WtU,0))/WaterRho,"")</f>
        <v/>
      </c>
      <c r="AI175" s="11"/>
      <c r="AJ175" s="11"/>
      <c r="AK175" s="20"/>
      <c r="AL175" s="11"/>
      <c r="AM175" s="21" t="str">
        <f aca="false">IF(AO175="","",AO175*IF(ISNUMBER(AK175),AK175,DefFills)*(1+IF(ISNUMBER(AL175),AL175,DefAllow)))</f>
        <v/>
      </c>
      <c r="AN175" s="22" t="str">
        <f aca="false">IF(G175="Given volume",IF(ISNUMBER(H175),H175*INDEX(VolF,MATCH($H$7,VolU,0)),""),IF(G175="Water weight",AH175,IF(N(AG175)=0,"",AG175)))</f>
        <v/>
      </c>
      <c r="AO175" s="22" t="str">
        <f aca="false">IF(N(AN175)=0,"",AN175*AT175*IF(ISNUMBER(AJ175),AJ175,DefCirc))</f>
        <v/>
      </c>
      <c r="AP175" s="9" t="n">
        <f aca="false">IF(ISNUMBER(T175),T175*INDEX(LenF,MATCH($T$7,LenU,0)),IF(ISNUMBER(W175),W175*INDEX(LenF,MATCH($W$7,LenU,0))/PitchRatio,0))</f>
        <v>0</v>
      </c>
      <c r="AQ175" s="9" t="n">
        <f aca="false">IF(ISNUMBER(N175),PI()/4*(N175*INDEX(LenF,MATCH($N$7,LenU,0)))^2,IF(AND(ISNUMBER(S175),ISNUMBER(W175),X175&lt;&gt;""),S175*(W175*INDEX(LenF,MATCH($W$7,LenU,0)))^2*INDEX(LayoutF,MATCH(X175,LayoutU,0)),0))</f>
        <v>0</v>
      </c>
      <c r="AR175" s="9" t="n">
        <f aca="false">IF(ISNUMBER(O175),O175*INDEX(LenF,MATCH($O$7,LenU,0)),IF(ISNUMBER(V175),V175*INDEX(LenF,MATCH($V$7,LenU,0)),0))</f>
        <v>0</v>
      </c>
      <c r="AS175" s="9" t="str">
        <f aca="false">IF(ISNUMBER(L175),L175*INDEX(LenF,MATCH($L$7,LenU,0))*1000,IF(OR(J175="",K175=""),"",IFERROR(IF(INDEX(PipeWT,MATCH(J175,NPSU,0),MATCH(K175,SchU,0))="","Sch n/a",INDEX(PipeOD,MATCH(J175,NPSU,0))-2*INDEX(PipeWT,MATCH(J175,NPSU,0),MATCH(K175,SchU,0))),"")))</f>
        <v/>
      </c>
      <c r="AT175" s="9" t="n">
        <f aca="false">IF(ISNUMBER(AI175),AI175,IFERROR(INDEX(IF(JobType="Decontamination",TypeFillDC,TypeFillCC),MATCH(E175,TypeL,0)),1))</f>
        <v>1</v>
      </c>
      <c r="AU175" s="9" t="n">
        <v>6</v>
      </c>
    </row>
    <row r="176" customFormat="false" ht="15" hidden="false" customHeight="false" outlineLevel="0" collapsed="false">
      <c r="A176" s="16" t="n">
        <v>2</v>
      </c>
      <c r="B176" s="20"/>
      <c r="C176" s="5"/>
      <c r="D176" s="5"/>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1" t="str">
        <f aca="false">IF(E176="Exchanger",IF(AND(ISNUMBER(S176),ISNUMBER(U176),ISNUMBER(V176)),S176*PI()/4*(U176*INDEX(LenF,MATCH($U$7,LenU,0)))^2*V176*INDEX(LenF,MATCH($V$7,LenU,0)),0)+IF(ISNUMBER(Y176),PI()/4*(Y176*INDEX(LenF,MATCH($Y$7,LenU,0)))^2*N(Z176)*INDEX(LenF,MATCH($Z$7,LenU,0))+IF(AA176="",0,IF(AA176="Conical",PI()/12*(Y176*INDEX(LenF,MATCH($Y$7,LenU,0)))^2*(0),INDEX(HeadK,MATCH(AA176,HeadU,0))*(Y176*INDEX(LenF,MATCH($Y$7,LenU,0)))^3)),0)+IF(ISNUMBER(Y176),PI()/4*(Y176*INDEX(LenF,MATCH($Y$7,LenU,0)))^2*N(AB176)*INDEX(LenF,MATCH($AB$7,LenU,0))+IF(AC176="",0,IF(AC176="Conical",PI()/12*(Y176*INDEX(LenF,MATCH($Y$7,LenU,0)))^2*(0),INDEX(HeadK,MATCH(AC176,HeadU,0))*(Y176*INDEX(LenF,MATCH($Y$7,LenU,0)))^3)),0),"")</f>
        <v/>
      </c>
      <c r="AE176" s="21" t="str">
        <f aca="false">IF(OR(E176="",E176="Piping"),"",IF(E176="Exchanger",AQ176*AR176+IF(P176="",0,IF(P176="Conical",PI()/12*(SQRT(4*AQ176/PI()))^2*(0),INDEX(HeadK,MATCH(P176,HeadU,0))*(SQRT(4*AQ176/PI()))^3))-IF(AND(ISNUMBER(S176),ISNUMBER(V176)),S176*PI()/4*AP176^2*V176*INDEX(LenF,MATCH($V$7,LenU,0)),0),IF(ISNUMBER(N176),PI()/4*(N176*INDEX(LenF,MATCH($N$7,LenU,0)))^2*N(O176)*INDEX(LenF,MATCH($O$7,LenU,0))+IF(P176="",0,IF(P176="Conical",PI()/12*(N176*INDEX(LenF,MATCH($N$7,LenU,0)))^2*(N(R176)*INDEX(LenF,MATCH($R$7,LenU,0))),INDEX(HeadK,MATCH(P176,HeadU,0))*(N176*INDEX(LenF,MATCH($N$7,LenU,0)))^3))+IF(Q176="",0,IF(Q176="Conical",PI()/12*(N176*INDEX(LenF,MATCH($N$7,LenU,0)))^2*(N(R176)*INDEX(LenF,MATCH($R$7,LenU,0))),INDEX(HeadK,MATCH(Q176,HeadU,0))*(N176*INDEX(LenF,MATCH($N$7,LenU,0)))^3)),0)))</f>
        <v/>
      </c>
      <c r="AF176" s="21" t="str">
        <f aca="false">IF(E176&lt;&gt;"Piping","",IF(AND(ISNUMBER(AS176),ISNUMBER(M176)),PI()/4*(AS176/1000)^2*M176*INDEX(LenF,MATCH($M$7,LenU,0)),0))</f>
        <v/>
      </c>
      <c r="AG176" s="21" t="str">
        <f aca="false">IF(E176="","",N(AD176)+N(AE176)+N(AF176))</f>
        <v/>
      </c>
      <c r="AH176" s="21" t="str">
        <f aca="false">IF(ISNUMBER(I176),I176*INDEX(WtF,MATCH($I$7,WtU,0))/WaterRho,"")</f>
        <v/>
      </c>
      <c r="AI176" s="11"/>
      <c r="AJ176" s="11"/>
      <c r="AK176" s="20"/>
      <c r="AL176" s="11"/>
      <c r="AM176" s="21" t="str">
        <f aca="false">IF(AO176="","",AO176*IF(ISNUMBER(AK176),AK176,DefFills)*(1+IF(ISNUMBER(AL176),AL176,DefAllow)))</f>
        <v/>
      </c>
      <c r="AN176" s="22" t="str">
        <f aca="false">IF(G176="Given volume",IF(ISNUMBER(H176),H176*INDEX(VolF,MATCH($H$7,VolU,0)),""),IF(G176="Water weight",AH176,IF(N(AG176)=0,"",AG176)))</f>
        <v/>
      </c>
      <c r="AO176" s="22" t="str">
        <f aca="false">IF(N(AN176)=0,"",AN176*AT176*IF(ISNUMBER(AJ176),AJ176,DefCirc))</f>
        <v/>
      </c>
      <c r="AP176" s="9" t="n">
        <f aca="false">IF(ISNUMBER(T176),T176*INDEX(LenF,MATCH($T$7,LenU,0)),IF(ISNUMBER(W176),W176*INDEX(LenF,MATCH($W$7,LenU,0))/PitchRatio,0))</f>
        <v>0</v>
      </c>
      <c r="AQ176" s="9" t="n">
        <f aca="false">IF(ISNUMBER(N176),PI()/4*(N176*INDEX(LenF,MATCH($N$7,LenU,0)))^2,IF(AND(ISNUMBER(S176),ISNUMBER(W176),X176&lt;&gt;""),S176*(W176*INDEX(LenF,MATCH($W$7,LenU,0)))^2*INDEX(LayoutF,MATCH(X176,LayoutU,0)),0))</f>
        <v>0</v>
      </c>
      <c r="AR176" s="9" t="n">
        <f aca="false">IF(ISNUMBER(O176),O176*INDEX(LenF,MATCH($O$7,LenU,0)),IF(ISNUMBER(V176),V176*INDEX(LenF,MATCH($V$7,LenU,0)),0))</f>
        <v>0</v>
      </c>
      <c r="AS176" s="9" t="str">
        <f aca="false">IF(ISNUMBER(L176),L176*INDEX(LenF,MATCH($L$7,LenU,0))*1000,IF(OR(J176="",K176=""),"",IFERROR(IF(INDEX(PipeWT,MATCH(J176,NPSU,0),MATCH(K176,SchU,0))="","Sch n/a",INDEX(PipeOD,MATCH(J176,NPSU,0))-2*INDEX(PipeWT,MATCH(J176,NPSU,0),MATCH(K176,SchU,0))),"")))</f>
        <v/>
      </c>
      <c r="AT176" s="9" t="n">
        <f aca="false">IF(ISNUMBER(AI176),AI176,IFERROR(INDEX(IF(JobType="Decontamination",TypeFillDC,TypeFillCC),MATCH(E176,TypeL,0)),1))</f>
        <v>1</v>
      </c>
      <c r="AU176" s="9" t="n">
        <v>6</v>
      </c>
    </row>
    <row r="177" customFormat="false" ht="15" hidden="false" customHeight="false" outlineLevel="0" collapsed="false">
      <c r="A177" s="16" t="n">
        <v>3</v>
      </c>
      <c r="B177" s="20"/>
      <c r="C177" s="5"/>
      <c r="D177" s="5"/>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1" t="str">
        <f aca="false">IF(E177="Exchanger",IF(AND(ISNUMBER(S177),ISNUMBER(U177),ISNUMBER(V177)),S177*PI()/4*(U177*INDEX(LenF,MATCH($U$7,LenU,0)))^2*V177*INDEX(LenF,MATCH($V$7,LenU,0)),0)+IF(ISNUMBER(Y177),PI()/4*(Y177*INDEX(LenF,MATCH($Y$7,LenU,0)))^2*N(Z177)*INDEX(LenF,MATCH($Z$7,LenU,0))+IF(AA177="",0,IF(AA177="Conical",PI()/12*(Y177*INDEX(LenF,MATCH($Y$7,LenU,0)))^2*(0),INDEX(HeadK,MATCH(AA177,HeadU,0))*(Y177*INDEX(LenF,MATCH($Y$7,LenU,0)))^3)),0)+IF(ISNUMBER(Y177),PI()/4*(Y177*INDEX(LenF,MATCH($Y$7,LenU,0)))^2*N(AB177)*INDEX(LenF,MATCH($AB$7,LenU,0))+IF(AC177="",0,IF(AC177="Conical",PI()/12*(Y177*INDEX(LenF,MATCH($Y$7,LenU,0)))^2*(0),INDEX(HeadK,MATCH(AC177,HeadU,0))*(Y177*INDEX(LenF,MATCH($Y$7,LenU,0)))^3)),0),"")</f>
        <v/>
      </c>
      <c r="AE177" s="21" t="str">
        <f aca="false">IF(OR(E177="",E177="Piping"),"",IF(E177="Exchanger",AQ177*AR177+IF(P177="",0,IF(P177="Conical",PI()/12*(SQRT(4*AQ177/PI()))^2*(0),INDEX(HeadK,MATCH(P177,HeadU,0))*(SQRT(4*AQ177/PI()))^3))-IF(AND(ISNUMBER(S177),ISNUMBER(V177)),S177*PI()/4*AP177^2*V177*INDEX(LenF,MATCH($V$7,LenU,0)),0),IF(ISNUMBER(N177),PI()/4*(N177*INDEX(LenF,MATCH($N$7,LenU,0)))^2*N(O177)*INDEX(LenF,MATCH($O$7,LenU,0))+IF(P177="",0,IF(P177="Conical",PI()/12*(N177*INDEX(LenF,MATCH($N$7,LenU,0)))^2*(N(R177)*INDEX(LenF,MATCH($R$7,LenU,0))),INDEX(HeadK,MATCH(P177,HeadU,0))*(N177*INDEX(LenF,MATCH($N$7,LenU,0)))^3))+IF(Q177="",0,IF(Q177="Conical",PI()/12*(N177*INDEX(LenF,MATCH($N$7,LenU,0)))^2*(N(R177)*INDEX(LenF,MATCH($R$7,LenU,0))),INDEX(HeadK,MATCH(Q177,HeadU,0))*(N177*INDEX(LenF,MATCH($N$7,LenU,0)))^3)),0)))</f>
        <v/>
      </c>
      <c r="AF177" s="21" t="str">
        <f aca="false">IF(E177&lt;&gt;"Piping","",IF(AND(ISNUMBER(AS177),ISNUMBER(M177)),PI()/4*(AS177/1000)^2*M177*INDEX(LenF,MATCH($M$7,LenU,0)),0))</f>
        <v/>
      </c>
      <c r="AG177" s="21" t="str">
        <f aca="false">IF(E177="","",N(AD177)+N(AE177)+N(AF177))</f>
        <v/>
      </c>
      <c r="AH177" s="21" t="str">
        <f aca="false">IF(ISNUMBER(I177),I177*INDEX(WtF,MATCH($I$7,WtU,0))/WaterRho,"")</f>
        <v/>
      </c>
      <c r="AI177" s="11"/>
      <c r="AJ177" s="11"/>
      <c r="AK177" s="20"/>
      <c r="AL177" s="11"/>
      <c r="AM177" s="21" t="str">
        <f aca="false">IF(AO177="","",AO177*IF(ISNUMBER(AK177),AK177,DefFills)*(1+IF(ISNUMBER(AL177),AL177,DefAllow)))</f>
        <v/>
      </c>
      <c r="AN177" s="22" t="str">
        <f aca="false">IF(G177="Given volume",IF(ISNUMBER(H177),H177*INDEX(VolF,MATCH($H$7,VolU,0)),""),IF(G177="Water weight",AH177,IF(N(AG177)=0,"",AG177)))</f>
        <v/>
      </c>
      <c r="AO177" s="22" t="str">
        <f aca="false">IF(N(AN177)=0,"",AN177*AT177*IF(ISNUMBER(AJ177),AJ177,DefCirc))</f>
        <v/>
      </c>
      <c r="AP177" s="9" t="n">
        <f aca="false">IF(ISNUMBER(T177),T177*INDEX(LenF,MATCH($T$7,LenU,0)),IF(ISNUMBER(W177),W177*INDEX(LenF,MATCH($W$7,LenU,0))/PitchRatio,0))</f>
        <v>0</v>
      </c>
      <c r="AQ177" s="9" t="n">
        <f aca="false">IF(ISNUMBER(N177),PI()/4*(N177*INDEX(LenF,MATCH($N$7,LenU,0)))^2,IF(AND(ISNUMBER(S177),ISNUMBER(W177),X177&lt;&gt;""),S177*(W177*INDEX(LenF,MATCH($W$7,LenU,0)))^2*INDEX(LayoutF,MATCH(X177,LayoutU,0)),0))</f>
        <v>0</v>
      </c>
      <c r="AR177" s="9" t="n">
        <f aca="false">IF(ISNUMBER(O177),O177*INDEX(LenF,MATCH($O$7,LenU,0)),IF(ISNUMBER(V177),V177*INDEX(LenF,MATCH($V$7,LenU,0)),0))</f>
        <v>0</v>
      </c>
      <c r="AS177" s="9" t="str">
        <f aca="false">IF(ISNUMBER(L177),L177*INDEX(LenF,MATCH($L$7,LenU,0))*1000,IF(OR(J177="",K177=""),"",IFERROR(IF(INDEX(PipeWT,MATCH(J177,NPSU,0),MATCH(K177,SchU,0))="","Sch n/a",INDEX(PipeOD,MATCH(J177,NPSU,0))-2*INDEX(PipeWT,MATCH(J177,NPSU,0),MATCH(K177,SchU,0))),"")))</f>
        <v/>
      </c>
      <c r="AT177" s="9" t="n">
        <f aca="false">IF(ISNUMBER(AI177),AI177,IFERROR(INDEX(IF(JobType="Decontamination",TypeFillDC,TypeFillCC),MATCH(E177,TypeL,0)),1))</f>
        <v>1</v>
      </c>
      <c r="AU177" s="9" t="n">
        <v>6</v>
      </c>
    </row>
    <row r="178" customFormat="false" ht="15" hidden="false" customHeight="false" outlineLevel="0" collapsed="false">
      <c r="A178" s="16" t="n">
        <v>4</v>
      </c>
      <c r="B178" s="20"/>
      <c r="C178" s="5"/>
      <c r="D178" s="5"/>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1" t="str">
        <f aca="false">IF(E178="Exchanger",IF(AND(ISNUMBER(S178),ISNUMBER(U178),ISNUMBER(V178)),S178*PI()/4*(U178*INDEX(LenF,MATCH($U$7,LenU,0)))^2*V178*INDEX(LenF,MATCH($V$7,LenU,0)),0)+IF(ISNUMBER(Y178),PI()/4*(Y178*INDEX(LenF,MATCH($Y$7,LenU,0)))^2*N(Z178)*INDEX(LenF,MATCH($Z$7,LenU,0))+IF(AA178="",0,IF(AA178="Conical",PI()/12*(Y178*INDEX(LenF,MATCH($Y$7,LenU,0)))^2*(0),INDEX(HeadK,MATCH(AA178,HeadU,0))*(Y178*INDEX(LenF,MATCH($Y$7,LenU,0)))^3)),0)+IF(ISNUMBER(Y178),PI()/4*(Y178*INDEX(LenF,MATCH($Y$7,LenU,0)))^2*N(AB178)*INDEX(LenF,MATCH($AB$7,LenU,0))+IF(AC178="",0,IF(AC178="Conical",PI()/12*(Y178*INDEX(LenF,MATCH($Y$7,LenU,0)))^2*(0),INDEX(HeadK,MATCH(AC178,HeadU,0))*(Y178*INDEX(LenF,MATCH($Y$7,LenU,0)))^3)),0),"")</f>
        <v/>
      </c>
      <c r="AE178" s="21" t="str">
        <f aca="false">IF(OR(E178="",E178="Piping"),"",IF(E178="Exchanger",AQ178*AR178+IF(P178="",0,IF(P178="Conical",PI()/12*(SQRT(4*AQ178/PI()))^2*(0),INDEX(HeadK,MATCH(P178,HeadU,0))*(SQRT(4*AQ178/PI()))^3))-IF(AND(ISNUMBER(S178),ISNUMBER(V178)),S178*PI()/4*AP178^2*V178*INDEX(LenF,MATCH($V$7,LenU,0)),0),IF(ISNUMBER(N178),PI()/4*(N178*INDEX(LenF,MATCH($N$7,LenU,0)))^2*N(O178)*INDEX(LenF,MATCH($O$7,LenU,0))+IF(P178="",0,IF(P178="Conical",PI()/12*(N178*INDEX(LenF,MATCH($N$7,LenU,0)))^2*(N(R178)*INDEX(LenF,MATCH($R$7,LenU,0))),INDEX(HeadK,MATCH(P178,HeadU,0))*(N178*INDEX(LenF,MATCH($N$7,LenU,0)))^3))+IF(Q178="",0,IF(Q178="Conical",PI()/12*(N178*INDEX(LenF,MATCH($N$7,LenU,0)))^2*(N(R178)*INDEX(LenF,MATCH($R$7,LenU,0))),INDEX(HeadK,MATCH(Q178,HeadU,0))*(N178*INDEX(LenF,MATCH($N$7,LenU,0)))^3)),0)))</f>
        <v/>
      </c>
      <c r="AF178" s="21" t="str">
        <f aca="false">IF(E178&lt;&gt;"Piping","",IF(AND(ISNUMBER(AS178),ISNUMBER(M178)),PI()/4*(AS178/1000)^2*M178*INDEX(LenF,MATCH($M$7,LenU,0)),0))</f>
        <v/>
      </c>
      <c r="AG178" s="21" t="str">
        <f aca="false">IF(E178="","",N(AD178)+N(AE178)+N(AF178))</f>
        <v/>
      </c>
      <c r="AH178" s="21" t="str">
        <f aca="false">IF(ISNUMBER(I178),I178*INDEX(WtF,MATCH($I$7,WtU,0))/WaterRho,"")</f>
        <v/>
      </c>
      <c r="AI178" s="11"/>
      <c r="AJ178" s="11"/>
      <c r="AK178" s="20"/>
      <c r="AL178" s="11"/>
      <c r="AM178" s="21" t="str">
        <f aca="false">IF(AO178="","",AO178*IF(ISNUMBER(AK178),AK178,DefFills)*(1+IF(ISNUMBER(AL178),AL178,DefAllow)))</f>
        <v/>
      </c>
      <c r="AN178" s="22" t="str">
        <f aca="false">IF(G178="Given volume",IF(ISNUMBER(H178),H178*INDEX(VolF,MATCH($H$7,VolU,0)),""),IF(G178="Water weight",AH178,IF(N(AG178)=0,"",AG178)))</f>
        <v/>
      </c>
      <c r="AO178" s="22" t="str">
        <f aca="false">IF(N(AN178)=0,"",AN178*AT178*IF(ISNUMBER(AJ178),AJ178,DefCirc))</f>
        <v/>
      </c>
      <c r="AP178" s="9" t="n">
        <f aca="false">IF(ISNUMBER(T178),T178*INDEX(LenF,MATCH($T$7,LenU,0)),IF(ISNUMBER(W178),W178*INDEX(LenF,MATCH($W$7,LenU,0))/PitchRatio,0))</f>
        <v>0</v>
      </c>
      <c r="AQ178" s="9" t="n">
        <f aca="false">IF(ISNUMBER(N178),PI()/4*(N178*INDEX(LenF,MATCH($N$7,LenU,0)))^2,IF(AND(ISNUMBER(S178),ISNUMBER(W178),X178&lt;&gt;""),S178*(W178*INDEX(LenF,MATCH($W$7,LenU,0)))^2*INDEX(LayoutF,MATCH(X178,LayoutU,0)),0))</f>
        <v>0</v>
      </c>
      <c r="AR178" s="9" t="n">
        <f aca="false">IF(ISNUMBER(O178),O178*INDEX(LenF,MATCH($O$7,LenU,0)),IF(ISNUMBER(V178),V178*INDEX(LenF,MATCH($V$7,LenU,0)),0))</f>
        <v>0</v>
      </c>
      <c r="AS178" s="9" t="str">
        <f aca="false">IF(ISNUMBER(L178),L178*INDEX(LenF,MATCH($L$7,LenU,0))*1000,IF(OR(J178="",K178=""),"",IFERROR(IF(INDEX(PipeWT,MATCH(J178,NPSU,0),MATCH(K178,SchU,0))="","Sch n/a",INDEX(PipeOD,MATCH(J178,NPSU,0))-2*INDEX(PipeWT,MATCH(J178,NPSU,0),MATCH(K178,SchU,0))),"")))</f>
        <v/>
      </c>
      <c r="AT178" s="9" t="n">
        <f aca="false">IF(ISNUMBER(AI178),AI178,IFERROR(INDEX(IF(JobType="Decontamination",TypeFillDC,TypeFillCC),MATCH(E178,TypeL,0)),1))</f>
        <v>1</v>
      </c>
      <c r="AU178" s="9" t="n">
        <v>6</v>
      </c>
    </row>
    <row r="179" customFormat="false" ht="15" hidden="false" customHeight="false" outlineLevel="0" collapsed="false">
      <c r="A179" s="16" t="n">
        <v>5</v>
      </c>
      <c r="B179" s="20"/>
      <c r="C179" s="5"/>
      <c r="D179" s="5"/>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1" t="str">
        <f aca="false">IF(E179="Exchanger",IF(AND(ISNUMBER(S179),ISNUMBER(U179),ISNUMBER(V179)),S179*PI()/4*(U179*INDEX(LenF,MATCH($U$7,LenU,0)))^2*V179*INDEX(LenF,MATCH($V$7,LenU,0)),0)+IF(ISNUMBER(Y179),PI()/4*(Y179*INDEX(LenF,MATCH($Y$7,LenU,0)))^2*N(Z179)*INDEX(LenF,MATCH($Z$7,LenU,0))+IF(AA179="",0,IF(AA179="Conical",PI()/12*(Y179*INDEX(LenF,MATCH($Y$7,LenU,0)))^2*(0),INDEX(HeadK,MATCH(AA179,HeadU,0))*(Y179*INDEX(LenF,MATCH($Y$7,LenU,0)))^3)),0)+IF(ISNUMBER(Y179),PI()/4*(Y179*INDEX(LenF,MATCH($Y$7,LenU,0)))^2*N(AB179)*INDEX(LenF,MATCH($AB$7,LenU,0))+IF(AC179="",0,IF(AC179="Conical",PI()/12*(Y179*INDEX(LenF,MATCH($Y$7,LenU,0)))^2*(0),INDEX(HeadK,MATCH(AC179,HeadU,0))*(Y179*INDEX(LenF,MATCH($Y$7,LenU,0)))^3)),0),"")</f>
        <v/>
      </c>
      <c r="AE179" s="21" t="str">
        <f aca="false">IF(OR(E179="",E179="Piping"),"",IF(E179="Exchanger",AQ179*AR179+IF(P179="",0,IF(P179="Conical",PI()/12*(SQRT(4*AQ179/PI()))^2*(0),INDEX(HeadK,MATCH(P179,HeadU,0))*(SQRT(4*AQ179/PI()))^3))-IF(AND(ISNUMBER(S179),ISNUMBER(V179)),S179*PI()/4*AP179^2*V179*INDEX(LenF,MATCH($V$7,LenU,0)),0),IF(ISNUMBER(N179),PI()/4*(N179*INDEX(LenF,MATCH($N$7,LenU,0)))^2*N(O179)*INDEX(LenF,MATCH($O$7,LenU,0))+IF(P179="",0,IF(P179="Conical",PI()/12*(N179*INDEX(LenF,MATCH($N$7,LenU,0)))^2*(N(R179)*INDEX(LenF,MATCH($R$7,LenU,0))),INDEX(HeadK,MATCH(P179,HeadU,0))*(N179*INDEX(LenF,MATCH($N$7,LenU,0)))^3))+IF(Q179="",0,IF(Q179="Conical",PI()/12*(N179*INDEX(LenF,MATCH($N$7,LenU,0)))^2*(N(R179)*INDEX(LenF,MATCH($R$7,LenU,0))),INDEX(HeadK,MATCH(Q179,HeadU,0))*(N179*INDEX(LenF,MATCH($N$7,LenU,0)))^3)),0)))</f>
        <v/>
      </c>
      <c r="AF179" s="21" t="str">
        <f aca="false">IF(E179&lt;&gt;"Piping","",IF(AND(ISNUMBER(AS179),ISNUMBER(M179)),PI()/4*(AS179/1000)^2*M179*INDEX(LenF,MATCH($M$7,LenU,0)),0))</f>
        <v/>
      </c>
      <c r="AG179" s="21" t="str">
        <f aca="false">IF(E179="","",N(AD179)+N(AE179)+N(AF179))</f>
        <v/>
      </c>
      <c r="AH179" s="21" t="str">
        <f aca="false">IF(ISNUMBER(I179),I179*INDEX(WtF,MATCH($I$7,WtU,0))/WaterRho,"")</f>
        <v/>
      </c>
      <c r="AI179" s="11"/>
      <c r="AJ179" s="11"/>
      <c r="AK179" s="20"/>
      <c r="AL179" s="11"/>
      <c r="AM179" s="21" t="str">
        <f aca="false">IF(AO179="","",AO179*IF(ISNUMBER(AK179),AK179,DefFills)*(1+IF(ISNUMBER(AL179),AL179,DefAllow)))</f>
        <v/>
      </c>
      <c r="AN179" s="22" t="str">
        <f aca="false">IF(G179="Given volume",IF(ISNUMBER(H179),H179*INDEX(VolF,MATCH($H$7,VolU,0)),""),IF(G179="Water weight",AH179,IF(N(AG179)=0,"",AG179)))</f>
        <v/>
      </c>
      <c r="AO179" s="22" t="str">
        <f aca="false">IF(N(AN179)=0,"",AN179*AT179*IF(ISNUMBER(AJ179),AJ179,DefCirc))</f>
        <v/>
      </c>
      <c r="AP179" s="9" t="n">
        <f aca="false">IF(ISNUMBER(T179),T179*INDEX(LenF,MATCH($T$7,LenU,0)),IF(ISNUMBER(W179),W179*INDEX(LenF,MATCH($W$7,LenU,0))/PitchRatio,0))</f>
        <v>0</v>
      </c>
      <c r="AQ179" s="9" t="n">
        <f aca="false">IF(ISNUMBER(N179),PI()/4*(N179*INDEX(LenF,MATCH($N$7,LenU,0)))^2,IF(AND(ISNUMBER(S179),ISNUMBER(W179),X179&lt;&gt;""),S179*(W179*INDEX(LenF,MATCH($W$7,LenU,0)))^2*INDEX(LayoutF,MATCH(X179,LayoutU,0)),0))</f>
        <v>0</v>
      </c>
      <c r="AR179" s="9" t="n">
        <f aca="false">IF(ISNUMBER(O179),O179*INDEX(LenF,MATCH($O$7,LenU,0)),IF(ISNUMBER(V179),V179*INDEX(LenF,MATCH($V$7,LenU,0)),0))</f>
        <v>0</v>
      </c>
      <c r="AS179" s="9" t="str">
        <f aca="false">IF(ISNUMBER(L179),L179*INDEX(LenF,MATCH($L$7,LenU,0))*1000,IF(OR(J179="",K179=""),"",IFERROR(IF(INDEX(PipeWT,MATCH(J179,NPSU,0),MATCH(K179,SchU,0))="","Sch n/a",INDEX(PipeOD,MATCH(J179,NPSU,0))-2*INDEX(PipeWT,MATCH(J179,NPSU,0),MATCH(K179,SchU,0))),"")))</f>
        <v/>
      </c>
      <c r="AT179" s="9" t="n">
        <f aca="false">IF(ISNUMBER(AI179),AI179,IFERROR(INDEX(IF(JobType="Decontamination",TypeFillDC,TypeFillCC),MATCH(E179,TypeL,0)),1))</f>
        <v>1</v>
      </c>
      <c r="AU179" s="9" t="n">
        <v>6</v>
      </c>
    </row>
    <row r="180" customFormat="false" ht="15" hidden="false" customHeight="false" outlineLevel="0" collapsed="false">
      <c r="A180" s="16" t="n">
        <v>6</v>
      </c>
      <c r="B180" s="20"/>
      <c r="C180" s="5"/>
      <c r="D180" s="5"/>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1" t="str">
        <f aca="false">IF(E180="Exchanger",IF(AND(ISNUMBER(S180),ISNUMBER(U180),ISNUMBER(V180)),S180*PI()/4*(U180*INDEX(LenF,MATCH($U$7,LenU,0)))^2*V180*INDEX(LenF,MATCH($V$7,LenU,0)),0)+IF(ISNUMBER(Y180),PI()/4*(Y180*INDEX(LenF,MATCH($Y$7,LenU,0)))^2*N(Z180)*INDEX(LenF,MATCH($Z$7,LenU,0))+IF(AA180="",0,IF(AA180="Conical",PI()/12*(Y180*INDEX(LenF,MATCH($Y$7,LenU,0)))^2*(0),INDEX(HeadK,MATCH(AA180,HeadU,0))*(Y180*INDEX(LenF,MATCH($Y$7,LenU,0)))^3)),0)+IF(ISNUMBER(Y180),PI()/4*(Y180*INDEX(LenF,MATCH($Y$7,LenU,0)))^2*N(AB180)*INDEX(LenF,MATCH($AB$7,LenU,0))+IF(AC180="",0,IF(AC180="Conical",PI()/12*(Y180*INDEX(LenF,MATCH($Y$7,LenU,0)))^2*(0),INDEX(HeadK,MATCH(AC180,HeadU,0))*(Y180*INDEX(LenF,MATCH($Y$7,LenU,0)))^3)),0),"")</f>
        <v/>
      </c>
      <c r="AE180" s="21" t="str">
        <f aca="false">IF(OR(E180="",E180="Piping"),"",IF(E180="Exchanger",AQ180*AR180+IF(P180="",0,IF(P180="Conical",PI()/12*(SQRT(4*AQ180/PI()))^2*(0),INDEX(HeadK,MATCH(P180,HeadU,0))*(SQRT(4*AQ180/PI()))^3))-IF(AND(ISNUMBER(S180),ISNUMBER(V180)),S180*PI()/4*AP180^2*V180*INDEX(LenF,MATCH($V$7,LenU,0)),0),IF(ISNUMBER(N180),PI()/4*(N180*INDEX(LenF,MATCH($N$7,LenU,0)))^2*N(O180)*INDEX(LenF,MATCH($O$7,LenU,0))+IF(P180="",0,IF(P180="Conical",PI()/12*(N180*INDEX(LenF,MATCH($N$7,LenU,0)))^2*(N(R180)*INDEX(LenF,MATCH($R$7,LenU,0))),INDEX(HeadK,MATCH(P180,HeadU,0))*(N180*INDEX(LenF,MATCH($N$7,LenU,0)))^3))+IF(Q180="",0,IF(Q180="Conical",PI()/12*(N180*INDEX(LenF,MATCH($N$7,LenU,0)))^2*(N(R180)*INDEX(LenF,MATCH($R$7,LenU,0))),INDEX(HeadK,MATCH(Q180,HeadU,0))*(N180*INDEX(LenF,MATCH($N$7,LenU,0)))^3)),0)))</f>
        <v/>
      </c>
      <c r="AF180" s="21" t="str">
        <f aca="false">IF(E180&lt;&gt;"Piping","",IF(AND(ISNUMBER(AS180),ISNUMBER(M180)),PI()/4*(AS180/1000)^2*M180*INDEX(LenF,MATCH($M$7,LenU,0)),0))</f>
        <v/>
      </c>
      <c r="AG180" s="21" t="str">
        <f aca="false">IF(E180="","",N(AD180)+N(AE180)+N(AF180))</f>
        <v/>
      </c>
      <c r="AH180" s="21" t="str">
        <f aca="false">IF(ISNUMBER(I180),I180*INDEX(WtF,MATCH($I$7,WtU,0))/WaterRho,"")</f>
        <v/>
      </c>
      <c r="AI180" s="11"/>
      <c r="AJ180" s="11"/>
      <c r="AK180" s="20"/>
      <c r="AL180" s="11"/>
      <c r="AM180" s="21" t="str">
        <f aca="false">IF(AO180="","",AO180*IF(ISNUMBER(AK180),AK180,DefFills)*(1+IF(ISNUMBER(AL180),AL180,DefAllow)))</f>
        <v/>
      </c>
      <c r="AN180" s="22" t="str">
        <f aca="false">IF(G180="Given volume",IF(ISNUMBER(H180),H180*INDEX(VolF,MATCH($H$7,VolU,0)),""),IF(G180="Water weight",AH180,IF(N(AG180)=0,"",AG180)))</f>
        <v/>
      </c>
      <c r="AO180" s="22" t="str">
        <f aca="false">IF(N(AN180)=0,"",AN180*AT180*IF(ISNUMBER(AJ180),AJ180,DefCirc))</f>
        <v/>
      </c>
      <c r="AP180" s="9" t="n">
        <f aca="false">IF(ISNUMBER(T180),T180*INDEX(LenF,MATCH($T$7,LenU,0)),IF(ISNUMBER(W180),W180*INDEX(LenF,MATCH($W$7,LenU,0))/PitchRatio,0))</f>
        <v>0</v>
      </c>
      <c r="AQ180" s="9" t="n">
        <f aca="false">IF(ISNUMBER(N180),PI()/4*(N180*INDEX(LenF,MATCH($N$7,LenU,0)))^2,IF(AND(ISNUMBER(S180),ISNUMBER(W180),X180&lt;&gt;""),S180*(W180*INDEX(LenF,MATCH($W$7,LenU,0)))^2*INDEX(LayoutF,MATCH(X180,LayoutU,0)),0))</f>
        <v>0</v>
      </c>
      <c r="AR180" s="9" t="n">
        <f aca="false">IF(ISNUMBER(O180),O180*INDEX(LenF,MATCH($O$7,LenU,0)),IF(ISNUMBER(V180),V180*INDEX(LenF,MATCH($V$7,LenU,0)),0))</f>
        <v>0</v>
      </c>
      <c r="AS180" s="9" t="str">
        <f aca="false">IF(ISNUMBER(L180),L180*INDEX(LenF,MATCH($L$7,LenU,0))*1000,IF(OR(J180="",K180=""),"",IFERROR(IF(INDEX(PipeWT,MATCH(J180,NPSU,0),MATCH(K180,SchU,0))="","Sch n/a",INDEX(PipeOD,MATCH(J180,NPSU,0))-2*INDEX(PipeWT,MATCH(J180,NPSU,0),MATCH(K180,SchU,0))),"")))</f>
        <v/>
      </c>
      <c r="AT180" s="9" t="n">
        <f aca="false">IF(ISNUMBER(AI180),AI180,IFERROR(INDEX(IF(JobType="Decontamination",TypeFillDC,TypeFillCC),MATCH(E180,TypeL,0)),1))</f>
        <v>1</v>
      </c>
      <c r="AU180" s="9" t="n">
        <v>6</v>
      </c>
    </row>
    <row r="181" customFormat="false" ht="15" hidden="false" customHeight="false" outlineLevel="0" collapsed="false">
      <c r="A181" s="16" t="n">
        <v>7</v>
      </c>
      <c r="B181" s="20"/>
      <c r="C181" s="5"/>
      <c r="D181" s="5"/>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1" t="str">
        <f aca="false">IF(E181="Exchanger",IF(AND(ISNUMBER(S181),ISNUMBER(U181),ISNUMBER(V181)),S181*PI()/4*(U181*INDEX(LenF,MATCH($U$7,LenU,0)))^2*V181*INDEX(LenF,MATCH($V$7,LenU,0)),0)+IF(ISNUMBER(Y181),PI()/4*(Y181*INDEX(LenF,MATCH($Y$7,LenU,0)))^2*N(Z181)*INDEX(LenF,MATCH($Z$7,LenU,0))+IF(AA181="",0,IF(AA181="Conical",PI()/12*(Y181*INDEX(LenF,MATCH($Y$7,LenU,0)))^2*(0),INDEX(HeadK,MATCH(AA181,HeadU,0))*(Y181*INDEX(LenF,MATCH($Y$7,LenU,0)))^3)),0)+IF(ISNUMBER(Y181),PI()/4*(Y181*INDEX(LenF,MATCH($Y$7,LenU,0)))^2*N(AB181)*INDEX(LenF,MATCH($AB$7,LenU,0))+IF(AC181="",0,IF(AC181="Conical",PI()/12*(Y181*INDEX(LenF,MATCH($Y$7,LenU,0)))^2*(0),INDEX(HeadK,MATCH(AC181,HeadU,0))*(Y181*INDEX(LenF,MATCH($Y$7,LenU,0)))^3)),0),"")</f>
        <v/>
      </c>
      <c r="AE181" s="21" t="str">
        <f aca="false">IF(OR(E181="",E181="Piping"),"",IF(E181="Exchanger",AQ181*AR181+IF(P181="",0,IF(P181="Conical",PI()/12*(SQRT(4*AQ181/PI()))^2*(0),INDEX(HeadK,MATCH(P181,HeadU,0))*(SQRT(4*AQ181/PI()))^3))-IF(AND(ISNUMBER(S181),ISNUMBER(V181)),S181*PI()/4*AP181^2*V181*INDEX(LenF,MATCH($V$7,LenU,0)),0),IF(ISNUMBER(N181),PI()/4*(N181*INDEX(LenF,MATCH($N$7,LenU,0)))^2*N(O181)*INDEX(LenF,MATCH($O$7,LenU,0))+IF(P181="",0,IF(P181="Conical",PI()/12*(N181*INDEX(LenF,MATCH($N$7,LenU,0)))^2*(N(R181)*INDEX(LenF,MATCH($R$7,LenU,0))),INDEX(HeadK,MATCH(P181,HeadU,0))*(N181*INDEX(LenF,MATCH($N$7,LenU,0)))^3))+IF(Q181="",0,IF(Q181="Conical",PI()/12*(N181*INDEX(LenF,MATCH($N$7,LenU,0)))^2*(N(R181)*INDEX(LenF,MATCH($R$7,LenU,0))),INDEX(HeadK,MATCH(Q181,HeadU,0))*(N181*INDEX(LenF,MATCH($N$7,LenU,0)))^3)),0)))</f>
        <v/>
      </c>
      <c r="AF181" s="21" t="str">
        <f aca="false">IF(E181&lt;&gt;"Piping","",IF(AND(ISNUMBER(AS181),ISNUMBER(M181)),PI()/4*(AS181/1000)^2*M181*INDEX(LenF,MATCH($M$7,LenU,0)),0))</f>
        <v/>
      </c>
      <c r="AG181" s="21" t="str">
        <f aca="false">IF(E181="","",N(AD181)+N(AE181)+N(AF181))</f>
        <v/>
      </c>
      <c r="AH181" s="21" t="str">
        <f aca="false">IF(ISNUMBER(I181),I181*INDEX(WtF,MATCH($I$7,WtU,0))/WaterRho,"")</f>
        <v/>
      </c>
      <c r="AI181" s="11"/>
      <c r="AJ181" s="11"/>
      <c r="AK181" s="20"/>
      <c r="AL181" s="11"/>
      <c r="AM181" s="21" t="str">
        <f aca="false">IF(AO181="","",AO181*IF(ISNUMBER(AK181),AK181,DefFills)*(1+IF(ISNUMBER(AL181),AL181,DefAllow)))</f>
        <v/>
      </c>
      <c r="AN181" s="22" t="str">
        <f aca="false">IF(G181="Given volume",IF(ISNUMBER(H181),H181*INDEX(VolF,MATCH($H$7,VolU,0)),""),IF(G181="Water weight",AH181,IF(N(AG181)=0,"",AG181)))</f>
        <v/>
      </c>
      <c r="AO181" s="22" t="str">
        <f aca="false">IF(N(AN181)=0,"",AN181*AT181*IF(ISNUMBER(AJ181),AJ181,DefCirc))</f>
        <v/>
      </c>
      <c r="AP181" s="9" t="n">
        <f aca="false">IF(ISNUMBER(T181),T181*INDEX(LenF,MATCH($T$7,LenU,0)),IF(ISNUMBER(W181),W181*INDEX(LenF,MATCH($W$7,LenU,0))/PitchRatio,0))</f>
        <v>0</v>
      </c>
      <c r="AQ181" s="9" t="n">
        <f aca="false">IF(ISNUMBER(N181),PI()/4*(N181*INDEX(LenF,MATCH($N$7,LenU,0)))^2,IF(AND(ISNUMBER(S181),ISNUMBER(W181),X181&lt;&gt;""),S181*(W181*INDEX(LenF,MATCH($W$7,LenU,0)))^2*INDEX(LayoutF,MATCH(X181,LayoutU,0)),0))</f>
        <v>0</v>
      </c>
      <c r="AR181" s="9" t="n">
        <f aca="false">IF(ISNUMBER(O181),O181*INDEX(LenF,MATCH($O$7,LenU,0)),IF(ISNUMBER(V181),V181*INDEX(LenF,MATCH($V$7,LenU,0)),0))</f>
        <v>0</v>
      </c>
      <c r="AS181" s="9" t="str">
        <f aca="false">IF(ISNUMBER(L181),L181*INDEX(LenF,MATCH($L$7,LenU,0))*1000,IF(OR(J181="",K181=""),"",IFERROR(IF(INDEX(PipeWT,MATCH(J181,NPSU,0),MATCH(K181,SchU,0))="","Sch n/a",INDEX(PipeOD,MATCH(J181,NPSU,0))-2*INDEX(PipeWT,MATCH(J181,NPSU,0),MATCH(K181,SchU,0))),"")))</f>
        <v/>
      </c>
      <c r="AT181" s="9" t="n">
        <f aca="false">IF(ISNUMBER(AI181),AI181,IFERROR(INDEX(IF(JobType="Decontamination",TypeFillDC,TypeFillCC),MATCH(E181,TypeL,0)),1))</f>
        <v>1</v>
      </c>
      <c r="AU181" s="9" t="n">
        <v>6</v>
      </c>
    </row>
    <row r="182" customFormat="false" ht="15" hidden="false" customHeight="false" outlineLevel="0" collapsed="false">
      <c r="A182" s="16" t="n">
        <v>8</v>
      </c>
      <c r="B182" s="20"/>
      <c r="C182" s="5"/>
      <c r="D182" s="5"/>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1" t="str">
        <f aca="false">IF(E182="Exchanger",IF(AND(ISNUMBER(S182),ISNUMBER(U182),ISNUMBER(V182)),S182*PI()/4*(U182*INDEX(LenF,MATCH($U$7,LenU,0)))^2*V182*INDEX(LenF,MATCH($V$7,LenU,0)),0)+IF(ISNUMBER(Y182),PI()/4*(Y182*INDEX(LenF,MATCH($Y$7,LenU,0)))^2*N(Z182)*INDEX(LenF,MATCH($Z$7,LenU,0))+IF(AA182="",0,IF(AA182="Conical",PI()/12*(Y182*INDEX(LenF,MATCH($Y$7,LenU,0)))^2*(0),INDEX(HeadK,MATCH(AA182,HeadU,0))*(Y182*INDEX(LenF,MATCH($Y$7,LenU,0)))^3)),0)+IF(ISNUMBER(Y182),PI()/4*(Y182*INDEX(LenF,MATCH($Y$7,LenU,0)))^2*N(AB182)*INDEX(LenF,MATCH($AB$7,LenU,0))+IF(AC182="",0,IF(AC182="Conical",PI()/12*(Y182*INDEX(LenF,MATCH($Y$7,LenU,0)))^2*(0),INDEX(HeadK,MATCH(AC182,HeadU,0))*(Y182*INDEX(LenF,MATCH($Y$7,LenU,0)))^3)),0),"")</f>
        <v/>
      </c>
      <c r="AE182" s="21" t="str">
        <f aca="false">IF(OR(E182="",E182="Piping"),"",IF(E182="Exchanger",AQ182*AR182+IF(P182="",0,IF(P182="Conical",PI()/12*(SQRT(4*AQ182/PI()))^2*(0),INDEX(HeadK,MATCH(P182,HeadU,0))*(SQRT(4*AQ182/PI()))^3))-IF(AND(ISNUMBER(S182),ISNUMBER(V182)),S182*PI()/4*AP182^2*V182*INDEX(LenF,MATCH($V$7,LenU,0)),0),IF(ISNUMBER(N182),PI()/4*(N182*INDEX(LenF,MATCH($N$7,LenU,0)))^2*N(O182)*INDEX(LenF,MATCH($O$7,LenU,0))+IF(P182="",0,IF(P182="Conical",PI()/12*(N182*INDEX(LenF,MATCH($N$7,LenU,0)))^2*(N(R182)*INDEX(LenF,MATCH($R$7,LenU,0))),INDEX(HeadK,MATCH(P182,HeadU,0))*(N182*INDEX(LenF,MATCH($N$7,LenU,0)))^3))+IF(Q182="",0,IF(Q182="Conical",PI()/12*(N182*INDEX(LenF,MATCH($N$7,LenU,0)))^2*(N(R182)*INDEX(LenF,MATCH($R$7,LenU,0))),INDEX(HeadK,MATCH(Q182,HeadU,0))*(N182*INDEX(LenF,MATCH($N$7,LenU,0)))^3)),0)))</f>
        <v/>
      </c>
      <c r="AF182" s="21" t="str">
        <f aca="false">IF(E182&lt;&gt;"Piping","",IF(AND(ISNUMBER(AS182),ISNUMBER(M182)),PI()/4*(AS182/1000)^2*M182*INDEX(LenF,MATCH($M$7,LenU,0)),0))</f>
        <v/>
      </c>
      <c r="AG182" s="21" t="str">
        <f aca="false">IF(E182="","",N(AD182)+N(AE182)+N(AF182))</f>
        <v/>
      </c>
      <c r="AH182" s="21" t="str">
        <f aca="false">IF(ISNUMBER(I182),I182*INDEX(WtF,MATCH($I$7,WtU,0))/WaterRho,"")</f>
        <v/>
      </c>
      <c r="AI182" s="11"/>
      <c r="AJ182" s="11"/>
      <c r="AK182" s="20"/>
      <c r="AL182" s="11"/>
      <c r="AM182" s="21" t="str">
        <f aca="false">IF(AO182="","",AO182*IF(ISNUMBER(AK182),AK182,DefFills)*(1+IF(ISNUMBER(AL182),AL182,DefAllow)))</f>
        <v/>
      </c>
      <c r="AN182" s="22" t="str">
        <f aca="false">IF(G182="Given volume",IF(ISNUMBER(H182),H182*INDEX(VolF,MATCH($H$7,VolU,0)),""),IF(G182="Water weight",AH182,IF(N(AG182)=0,"",AG182)))</f>
        <v/>
      </c>
      <c r="AO182" s="22" t="str">
        <f aca="false">IF(N(AN182)=0,"",AN182*AT182*IF(ISNUMBER(AJ182),AJ182,DefCirc))</f>
        <v/>
      </c>
      <c r="AP182" s="9" t="n">
        <f aca="false">IF(ISNUMBER(T182),T182*INDEX(LenF,MATCH($T$7,LenU,0)),IF(ISNUMBER(W182),W182*INDEX(LenF,MATCH($W$7,LenU,0))/PitchRatio,0))</f>
        <v>0</v>
      </c>
      <c r="AQ182" s="9" t="n">
        <f aca="false">IF(ISNUMBER(N182),PI()/4*(N182*INDEX(LenF,MATCH($N$7,LenU,0)))^2,IF(AND(ISNUMBER(S182),ISNUMBER(W182),X182&lt;&gt;""),S182*(W182*INDEX(LenF,MATCH($W$7,LenU,0)))^2*INDEX(LayoutF,MATCH(X182,LayoutU,0)),0))</f>
        <v>0</v>
      </c>
      <c r="AR182" s="9" t="n">
        <f aca="false">IF(ISNUMBER(O182),O182*INDEX(LenF,MATCH($O$7,LenU,0)),IF(ISNUMBER(V182),V182*INDEX(LenF,MATCH($V$7,LenU,0)),0))</f>
        <v>0</v>
      </c>
      <c r="AS182" s="9" t="str">
        <f aca="false">IF(ISNUMBER(L182),L182*INDEX(LenF,MATCH($L$7,LenU,0))*1000,IF(OR(J182="",K182=""),"",IFERROR(IF(INDEX(PipeWT,MATCH(J182,NPSU,0),MATCH(K182,SchU,0))="","Sch n/a",INDEX(PipeOD,MATCH(J182,NPSU,0))-2*INDEX(PipeWT,MATCH(J182,NPSU,0),MATCH(K182,SchU,0))),"")))</f>
        <v/>
      </c>
      <c r="AT182" s="9" t="n">
        <f aca="false">IF(ISNUMBER(AI182),AI182,IFERROR(INDEX(IF(JobType="Decontamination",TypeFillDC,TypeFillCC),MATCH(E182,TypeL,0)),1))</f>
        <v>1</v>
      </c>
      <c r="AU182" s="9" t="n">
        <v>6</v>
      </c>
    </row>
    <row r="183" customFormat="false" ht="15" hidden="false" customHeight="false" outlineLevel="0" collapsed="false">
      <c r="A183" s="16" t="n">
        <v>9</v>
      </c>
      <c r="B183" s="20"/>
      <c r="C183" s="5"/>
      <c r="D183" s="5"/>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1" t="str">
        <f aca="false">IF(E183="Exchanger",IF(AND(ISNUMBER(S183),ISNUMBER(U183),ISNUMBER(V183)),S183*PI()/4*(U183*INDEX(LenF,MATCH($U$7,LenU,0)))^2*V183*INDEX(LenF,MATCH($V$7,LenU,0)),0)+IF(ISNUMBER(Y183),PI()/4*(Y183*INDEX(LenF,MATCH($Y$7,LenU,0)))^2*N(Z183)*INDEX(LenF,MATCH($Z$7,LenU,0))+IF(AA183="",0,IF(AA183="Conical",PI()/12*(Y183*INDEX(LenF,MATCH($Y$7,LenU,0)))^2*(0),INDEX(HeadK,MATCH(AA183,HeadU,0))*(Y183*INDEX(LenF,MATCH($Y$7,LenU,0)))^3)),0)+IF(ISNUMBER(Y183),PI()/4*(Y183*INDEX(LenF,MATCH($Y$7,LenU,0)))^2*N(AB183)*INDEX(LenF,MATCH($AB$7,LenU,0))+IF(AC183="",0,IF(AC183="Conical",PI()/12*(Y183*INDEX(LenF,MATCH($Y$7,LenU,0)))^2*(0),INDEX(HeadK,MATCH(AC183,HeadU,0))*(Y183*INDEX(LenF,MATCH($Y$7,LenU,0)))^3)),0),"")</f>
        <v/>
      </c>
      <c r="AE183" s="21" t="str">
        <f aca="false">IF(OR(E183="",E183="Piping"),"",IF(E183="Exchanger",AQ183*AR183+IF(P183="",0,IF(P183="Conical",PI()/12*(SQRT(4*AQ183/PI()))^2*(0),INDEX(HeadK,MATCH(P183,HeadU,0))*(SQRT(4*AQ183/PI()))^3))-IF(AND(ISNUMBER(S183),ISNUMBER(V183)),S183*PI()/4*AP183^2*V183*INDEX(LenF,MATCH($V$7,LenU,0)),0),IF(ISNUMBER(N183),PI()/4*(N183*INDEX(LenF,MATCH($N$7,LenU,0)))^2*N(O183)*INDEX(LenF,MATCH($O$7,LenU,0))+IF(P183="",0,IF(P183="Conical",PI()/12*(N183*INDEX(LenF,MATCH($N$7,LenU,0)))^2*(N(R183)*INDEX(LenF,MATCH($R$7,LenU,0))),INDEX(HeadK,MATCH(P183,HeadU,0))*(N183*INDEX(LenF,MATCH($N$7,LenU,0)))^3))+IF(Q183="",0,IF(Q183="Conical",PI()/12*(N183*INDEX(LenF,MATCH($N$7,LenU,0)))^2*(N(R183)*INDEX(LenF,MATCH($R$7,LenU,0))),INDEX(HeadK,MATCH(Q183,HeadU,0))*(N183*INDEX(LenF,MATCH($N$7,LenU,0)))^3)),0)))</f>
        <v/>
      </c>
      <c r="AF183" s="21" t="str">
        <f aca="false">IF(E183&lt;&gt;"Piping","",IF(AND(ISNUMBER(AS183),ISNUMBER(M183)),PI()/4*(AS183/1000)^2*M183*INDEX(LenF,MATCH($M$7,LenU,0)),0))</f>
        <v/>
      </c>
      <c r="AG183" s="21" t="str">
        <f aca="false">IF(E183="","",N(AD183)+N(AE183)+N(AF183))</f>
        <v/>
      </c>
      <c r="AH183" s="21" t="str">
        <f aca="false">IF(ISNUMBER(I183),I183*INDEX(WtF,MATCH($I$7,WtU,0))/WaterRho,"")</f>
        <v/>
      </c>
      <c r="AI183" s="11"/>
      <c r="AJ183" s="11"/>
      <c r="AK183" s="20"/>
      <c r="AL183" s="11"/>
      <c r="AM183" s="21" t="str">
        <f aca="false">IF(AO183="","",AO183*IF(ISNUMBER(AK183),AK183,DefFills)*(1+IF(ISNUMBER(AL183),AL183,DefAllow)))</f>
        <v/>
      </c>
      <c r="AN183" s="22" t="str">
        <f aca="false">IF(G183="Given volume",IF(ISNUMBER(H183),H183*INDEX(VolF,MATCH($H$7,VolU,0)),""),IF(G183="Water weight",AH183,IF(N(AG183)=0,"",AG183)))</f>
        <v/>
      </c>
      <c r="AO183" s="22" t="str">
        <f aca="false">IF(N(AN183)=0,"",AN183*AT183*IF(ISNUMBER(AJ183),AJ183,DefCirc))</f>
        <v/>
      </c>
      <c r="AP183" s="9" t="n">
        <f aca="false">IF(ISNUMBER(T183),T183*INDEX(LenF,MATCH($T$7,LenU,0)),IF(ISNUMBER(W183),W183*INDEX(LenF,MATCH($W$7,LenU,0))/PitchRatio,0))</f>
        <v>0</v>
      </c>
      <c r="AQ183" s="9" t="n">
        <f aca="false">IF(ISNUMBER(N183),PI()/4*(N183*INDEX(LenF,MATCH($N$7,LenU,0)))^2,IF(AND(ISNUMBER(S183),ISNUMBER(W183),X183&lt;&gt;""),S183*(W183*INDEX(LenF,MATCH($W$7,LenU,0)))^2*INDEX(LayoutF,MATCH(X183,LayoutU,0)),0))</f>
        <v>0</v>
      </c>
      <c r="AR183" s="9" t="n">
        <f aca="false">IF(ISNUMBER(O183),O183*INDEX(LenF,MATCH($O$7,LenU,0)),IF(ISNUMBER(V183),V183*INDEX(LenF,MATCH($V$7,LenU,0)),0))</f>
        <v>0</v>
      </c>
      <c r="AS183" s="9" t="str">
        <f aca="false">IF(ISNUMBER(L183),L183*INDEX(LenF,MATCH($L$7,LenU,0))*1000,IF(OR(J183="",K183=""),"",IFERROR(IF(INDEX(PipeWT,MATCH(J183,NPSU,0),MATCH(K183,SchU,0))="","Sch n/a",INDEX(PipeOD,MATCH(J183,NPSU,0))-2*INDEX(PipeWT,MATCH(J183,NPSU,0),MATCH(K183,SchU,0))),"")))</f>
        <v/>
      </c>
      <c r="AT183" s="9" t="n">
        <f aca="false">IF(ISNUMBER(AI183),AI183,IFERROR(INDEX(IF(JobType="Decontamination",TypeFillDC,TypeFillCC),MATCH(E183,TypeL,0)),1))</f>
        <v>1</v>
      </c>
      <c r="AU183" s="9" t="n">
        <v>6</v>
      </c>
    </row>
    <row r="184" customFormat="false" ht="15" hidden="false" customHeight="false" outlineLevel="0" collapsed="false">
      <c r="A184" s="16" t="n">
        <v>10</v>
      </c>
      <c r="B184" s="20"/>
      <c r="C184" s="5"/>
      <c r="D184" s="5"/>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1" t="str">
        <f aca="false">IF(E184="Exchanger",IF(AND(ISNUMBER(S184),ISNUMBER(U184),ISNUMBER(V184)),S184*PI()/4*(U184*INDEX(LenF,MATCH($U$7,LenU,0)))^2*V184*INDEX(LenF,MATCH($V$7,LenU,0)),0)+IF(ISNUMBER(Y184),PI()/4*(Y184*INDEX(LenF,MATCH($Y$7,LenU,0)))^2*N(Z184)*INDEX(LenF,MATCH($Z$7,LenU,0))+IF(AA184="",0,IF(AA184="Conical",PI()/12*(Y184*INDEX(LenF,MATCH($Y$7,LenU,0)))^2*(0),INDEX(HeadK,MATCH(AA184,HeadU,0))*(Y184*INDEX(LenF,MATCH($Y$7,LenU,0)))^3)),0)+IF(ISNUMBER(Y184),PI()/4*(Y184*INDEX(LenF,MATCH($Y$7,LenU,0)))^2*N(AB184)*INDEX(LenF,MATCH($AB$7,LenU,0))+IF(AC184="",0,IF(AC184="Conical",PI()/12*(Y184*INDEX(LenF,MATCH($Y$7,LenU,0)))^2*(0),INDEX(HeadK,MATCH(AC184,HeadU,0))*(Y184*INDEX(LenF,MATCH($Y$7,LenU,0)))^3)),0),"")</f>
        <v/>
      </c>
      <c r="AE184" s="21" t="str">
        <f aca="false">IF(OR(E184="",E184="Piping"),"",IF(E184="Exchanger",AQ184*AR184+IF(P184="",0,IF(P184="Conical",PI()/12*(SQRT(4*AQ184/PI()))^2*(0),INDEX(HeadK,MATCH(P184,HeadU,0))*(SQRT(4*AQ184/PI()))^3))-IF(AND(ISNUMBER(S184),ISNUMBER(V184)),S184*PI()/4*AP184^2*V184*INDEX(LenF,MATCH($V$7,LenU,0)),0),IF(ISNUMBER(N184),PI()/4*(N184*INDEX(LenF,MATCH($N$7,LenU,0)))^2*N(O184)*INDEX(LenF,MATCH($O$7,LenU,0))+IF(P184="",0,IF(P184="Conical",PI()/12*(N184*INDEX(LenF,MATCH($N$7,LenU,0)))^2*(N(R184)*INDEX(LenF,MATCH($R$7,LenU,0))),INDEX(HeadK,MATCH(P184,HeadU,0))*(N184*INDEX(LenF,MATCH($N$7,LenU,0)))^3))+IF(Q184="",0,IF(Q184="Conical",PI()/12*(N184*INDEX(LenF,MATCH($N$7,LenU,0)))^2*(N(R184)*INDEX(LenF,MATCH($R$7,LenU,0))),INDEX(HeadK,MATCH(Q184,HeadU,0))*(N184*INDEX(LenF,MATCH($N$7,LenU,0)))^3)),0)))</f>
        <v/>
      </c>
      <c r="AF184" s="21" t="str">
        <f aca="false">IF(E184&lt;&gt;"Piping","",IF(AND(ISNUMBER(AS184),ISNUMBER(M184)),PI()/4*(AS184/1000)^2*M184*INDEX(LenF,MATCH($M$7,LenU,0)),0))</f>
        <v/>
      </c>
      <c r="AG184" s="21" t="str">
        <f aca="false">IF(E184="","",N(AD184)+N(AE184)+N(AF184))</f>
        <v/>
      </c>
      <c r="AH184" s="21" t="str">
        <f aca="false">IF(ISNUMBER(I184),I184*INDEX(WtF,MATCH($I$7,WtU,0))/WaterRho,"")</f>
        <v/>
      </c>
      <c r="AI184" s="11"/>
      <c r="AJ184" s="11"/>
      <c r="AK184" s="20"/>
      <c r="AL184" s="11"/>
      <c r="AM184" s="21" t="str">
        <f aca="false">IF(AO184="","",AO184*IF(ISNUMBER(AK184),AK184,DefFills)*(1+IF(ISNUMBER(AL184),AL184,DefAllow)))</f>
        <v/>
      </c>
      <c r="AN184" s="22" t="str">
        <f aca="false">IF(G184="Given volume",IF(ISNUMBER(H184),H184*INDEX(VolF,MATCH($H$7,VolU,0)),""),IF(G184="Water weight",AH184,IF(N(AG184)=0,"",AG184)))</f>
        <v/>
      </c>
      <c r="AO184" s="22" t="str">
        <f aca="false">IF(N(AN184)=0,"",AN184*AT184*IF(ISNUMBER(AJ184),AJ184,DefCirc))</f>
        <v/>
      </c>
      <c r="AP184" s="9" t="n">
        <f aca="false">IF(ISNUMBER(T184),T184*INDEX(LenF,MATCH($T$7,LenU,0)),IF(ISNUMBER(W184),W184*INDEX(LenF,MATCH($W$7,LenU,0))/PitchRatio,0))</f>
        <v>0</v>
      </c>
      <c r="AQ184" s="9" t="n">
        <f aca="false">IF(ISNUMBER(N184),PI()/4*(N184*INDEX(LenF,MATCH($N$7,LenU,0)))^2,IF(AND(ISNUMBER(S184),ISNUMBER(W184),X184&lt;&gt;""),S184*(W184*INDEX(LenF,MATCH($W$7,LenU,0)))^2*INDEX(LayoutF,MATCH(X184,LayoutU,0)),0))</f>
        <v>0</v>
      </c>
      <c r="AR184" s="9" t="n">
        <f aca="false">IF(ISNUMBER(O184),O184*INDEX(LenF,MATCH($O$7,LenU,0)),IF(ISNUMBER(V184),V184*INDEX(LenF,MATCH($V$7,LenU,0)),0))</f>
        <v>0</v>
      </c>
      <c r="AS184" s="9" t="str">
        <f aca="false">IF(ISNUMBER(L184),L184*INDEX(LenF,MATCH($L$7,LenU,0))*1000,IF(OR(J184="",K184=""),"",IFERROR(IF(INDEX(PipeWT,MATCH(J184,NPSU,0),MATCH(K184,SchU,0))="","Sch n/a",INDEX(PipeOD,MATCH(J184,NPSU,0))-2*INDEX(PipeWT,MATCH(J184,NPSU,0),MATCH(K184,SchU,0))),"")))</f>
        <v/>
      </c>
      <c r="AT184" s="9" t="n">
        <f aca="false">IF(ISNUMBER(AI184),AI184,IFERROR(INDEX(IF(JobType="Decontamination",TypeFillDC,TypeFillCC),MATCH(E184,TypeL,0)),1))</f>
        <v>1</v>
      </c>
      <c r="AU184" s="9" t="n">
        <v>6</v>
      </c>
    </row>
    <row r="185" customFormat="false" ht="15" hidden="false" customHeight="false" outlineLevel="0" collapsed="false">
      <c r="A185" s="16" t="n">
        <v>11</v>
      </c>
      <c r="B185" s="20"/>
      <c r="C185" s="5"/>
      <c r="D185" s="5"/>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1" t="str">
        <f aca="false">IF(E185="Exchanger",IF(AND(ISNUMBER(S185),ISNUMBER(U185),ISNUMBER(V185)),S185*PI()/4*(U185*INDEX(LenF,MATCH($U$7,LenU,0)))^2*V185*INDEX(LenF,MATCH($V$7,LenU,0)),0)+IF(ISNUMBER(Y185),PI()/4*(Y185*INDEX(LenF,MATCH($Y$7,LenU,0)))^2*N(Z185)*INDEX(LenF,MATCH($Z$7,LenU,0))+IF(AA185="",0,IF(AA185="Conical",PI()/12*(Y185*INDEX(LenF,MATCH($Y$7,LenU,0)))^2*(0),INDEX(HeadK,MATCH(AA185,HeadU,0))*(Y185*INDEX(LenF,MATCH($Y$7,LenU,0)))^3)),0)+IF(ISNUMBER(Y185),PI()/4*(Y185*INDEX(LenF,MATCH($Y$7,LenU,0)))^2*N(AB185)*INDEX(LenF,MATCH($AB$7,LenU,0))+IF(AC185="",0,IF(AC185="Conical",PI()/12*(Y185*INDEX(LenF,MATCH($Y$7,LenU,0)))^2*(0),INDEX(HeadK,MATCH(AC185,HeadU,0))*(Y185*INDEX(LenF,MATCH($Y$7,LenU,0)))^3)),0),"")</f>
        <v/>
      </c>
      <c r="AE185" s="21" t="str">
        <f aca="false">IF(OR(E185="",E185="Piping"),"",IF(E185="Exchanger",AQ185*AR185+IF(P185="",0,IF(P185="Conical",PI()/12*(SQRT(4*AQ185/PI()))^2*(0),INDEX(HeadK,MATCH(P185,HeadU,0))*(SQRT(4*AQ185/PI()))^3))-IF(AND(ISNUMBER(S185),ISNUMBER(V185)),S185*PI()/4*AP185^2*V185*INDEX(LenF,MATCH($V$7,LenU,0)),0),IF(ISNUMBER(N185),PI()/4*(N185*INDEX(LenF,MATCH($N$7,LenU,0)))^2*N(O185)*INDEX(LenF,MATCH($O$7,LenU,0))+IF(P185="",0,IF(P185="Conical",PI()/12*(N185*INDEX(LenF,MATCH($N$7,LenU,0)))^2*(N(R185)*INDEX(LenF,MATCH($R$7,LenU,0))),INDEX(HeadK,MATCH(P185,HeadU,0))*(N185*INDEX(LenF,MATCH($N$7,LenU,0)))^3))+IF(Q185="",0,IF(Q185="Conical",PI()/12*(N185*INDEX(LenF,MATCH($N$7,LenU,0)))^2*(N(R185)*INDEX(LenF,MATCH($R$7,LenU,0))),INDEX(HeadK,MATCH(Q185,HeadU,0))*(N185*INDEX(LenF,MATCH($N$7,LenU,0)))^3)),0)))</f>
        <v/>
      </c>
      <c r="AF185" s="21" t="str">
        <f aca="false">IF(E185&lt;&gt;"Piping","",IF(AND(ISNUMBER(AS185),ISNUMBER(M185)),PI()/4*(AS185/1000)^2*M185*INDEX(LenF,MATCH($M$7,LenU,0)),0))</f>
        <v/>
      </c>
      <c r="AG185" s="21" t="str">
        <f aca="false">IF(E185="","",N(AD185)+N(AE185)+N(AF185))</f>
        <v/>
      </c>
      <c r="AH185" s="21" t="str">
        <f aca="false">IF(ISNUMBER(I185),I185*INDEX(WtF,MATCH($I$7,WtU,0))/WaterRho,"")</f>
        <v/>
      </c>
      <c r="AI185" s="11"/>
      <c r="AJ185" s="11"/>
      <c r="AK185" s="20"/>
      <c r="AL185" s="11"/>
      <c r="AM185" s="21" t="str">
        <f aca="false">IF(AO185="","",AO185*IF(ISNUMBER(AK185),AK185,DefFills)*(1+IF(ISNUMBER(AL185),AL185,DefAllow)))</f>
        <v/>
      </c>
      <c r="AN185" s="22" t="str">
        <f aca="false">IF(G185="Given volume",IF(ISNUMBER(H185),H185*INDEX(VolF,MATCH($H$7,VolU,0)),""),IF(G185="Water weight",AH185,IF(N(AG185)=0,"",AG185)))</f>
        <v/>
      </c>
      <c r="AO185" s="22" t="str">
        <f aca="false">IF(N(AN185)=0,"",AN185*AT185*IF(ISNUMBER(AJ185),AJ185,DefCirc))</f>
        <v/>
      </c>
      <c r="AP185" s="9" t="n">
        <f aca="false">IF(ISNUMBER(T185),T185*INDEX(LenF,MATCH($T$7,LenU,0)),IF(ISNUMBER(W185),W185*INDEX(LenF,MATCH($W$7,LenU,0))/PitchRatio,0))</f>
        <v>0</v>
      </c>
      <c r="AQ185" s="9" t="n">
        <f aca="false">IF(ISNUMBER(N185),PI()/4*(N185*INDEX(LenF,MATCH($N$7,LenU,0)))^2,IF(AND(ISNUMBER(S185),ISNUMBER(W185),X185&lt;&gt;""),S185*(W185*INDEX(LenF,MATCH($W$7,LenU,0)))^2*INDEX(LayoutF,MATCH(X185,LayoutU,0)),0))</f>
        <v>0</v>
      </c>
      <c r="AR185" s="9" t="n">
        <f aca="false">IF(ISNUMBER(O185),O185*INDEX(LenF,MATCH($O$7,LenU,0)),IF(ISNUMBER(V185),V185*INDEX(LenF,MATCH($V$7,LenU,0)),0))</f>
        <v>0</v>
      </c>
      <c r="AS185" s="9" t="str">
        <f aca="false">IF(ISNUMBER(L185),L185*INDEX(LenF,MATCH($L$7,LenU,0))*1000,IF(OR(J185="",K185=""),"",IFERROR(IF(INDEX(PipeWT,MATCH(J185,NPSU,0),MATCH(K185,SchU,0))="","Sch n/a",INDEX(PipeOD,MATCH(J185,NPSU,0))-2*INDEX(PipeWT,MATCH(J185,NPSU,0),MATCH(K185,SchU,0))),"")))</f>
        <v/>
      </c>
      <c r="AT185" s="9" t="n">
        <f aca="false">IF(ISNUMBER(AI185),AI185,IFERROR(INDEX(IF(JobType="Decontamination",TypeFillDC,TypeFillCC),MATCH(E185,TypeL,0)),1))</f>
        <v>1</v>
      </c>
      <c r="AU185" s="9" t="n">
        <v>6</v>
      </c>
    </row>
    <row r="186" customFormat="false" ht="15" hidden="false" customHeight="false" outlineLevel="0" collapsed="false">
      <c r="A186" s="16" t="n">
        <v>12</v>
      </c>
      <c r="B186" s="20"/>
      <c r="C186" s="5"/>
      <c r="D186" s="5"/>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1" t="str">
        <f aca="false">IF(E186="Exchanger",IF(AND(ISNUMBER(S186),ISNUMBER(U186),ISNUMBER(V186)),S186*PI()/4*(U186*INDEX(LenF,MATCH($U$7,LenU,0)))^2*V186*INDEX(LenF,MATCH($V$7,LenU,0)),0)+IF(ISNUMBER(Y186),PI()/4*(Y186*INDEX(LenF,MATCH($Y$7,LenU,0)))^2*N(Z186)*INDEX(LenF,MATCH($Z$7,LenU,0))+IF(AA186="",0,IF(AA186="Conical",PI()/12*(Y186*INDEX(LenF,MATCH($Y$7,LenU,0)))^2*(0),INDEX(HeadK,MATCH(AA186,HeadU,0))*(Y186*INDEX(LenF,MATCH($Y$7,LenU,0)))^3)),0)+IF(ISNUMBER(Y186),PI()/4*(Y186*INDEX(LenF,MATCH($Y$7,LenU,0)))^2*N(AB186)*INDEX(LenF,MATCH($AB$7,LenU,0))+IF(AC186="",0,IF(AC186="Conical",PI()/12*(Y186*INDEX(LenF,MATCH($Y$7,LenU,0)))^2*(0),INDEX(HeadK,MATCH(AC186,HeadU,0))*(Y186*INDEX(LenF,MATCH($Y$7,LenU,0)))^3)),0),"")</f>
        <v/>
      </c>
      <c r="AE186" s="21" t="str">
        <f aca="false">IF(OR(E186="",E186="Piping"),"",IF(E186="Exchanger",AQ186*AR186+IF(P186="",0,IF(P186="Conical",PI()/12*(SQRT(4*AQ186/PI()))^2*(0),INDEX(HeadK,MATCH(P186,HeadU,0))*(SQRT(4*AQ186/PI()))^3))-IF(AND(ISNUMBER(S186),ISNUMBER(V186)),S186*PI()/4*AP186^2*V186*INDEX(LenF,MATCH($V$7,LenU,0)),0),IF(ISNUMBER(N186),PI()/4*(N186*INDEX(LenF,MATCH($N$7,LenU,0)))^2*N(O186)*INDEX(LenF,MATCH($O$7,LenU,0))+IF(P186="",0,IF(P186="Conical",PI()/12*(N186*INDEX(LenF,MATCH($N$7,LenU,0)))^2*(N(R186)*INDEX(LenF,MATCH($R$7,LenU,0))),INDEX(HeadK,MATCH(P186,HeadU,0))*(N186*INDEX(LenF,MATCH($N$7,LenU,0)))^3))+IF(Q186="",0,IF(Q186="Conical",PI()/12*(N186*INDEX(LenF,MATCH($N$7,LenU,0)))^2*(N(R186)*INDEX(LenF,MATCH($R$7,LenU,0))),INDEX(HeadK,MATCH(Q186,HeadU,0))*(N186*INDEX(LenF,MATCH($N$7,LenU,0)))^3)),0)))</f>
        <v/>
      </c>
      <c r="AF186" s="21" t="str">
        <f aca="false">IF(E186&lt;&gt;"Piping","",IF(AND(ISNUMBER(AS186),ISNUMBER(M186)),PI()/4*(AS186/1000)^2*M186*INDEX(LenF,MATCH($M$7,LenU,0)),0))</f>
        <v/>
      </c>
      <c r="AG186" s="21" t="str">
        <f aca="false">IF(E186="","",N(AD186)+N(AE186)+N(AF186))</f>
        <v/>
      </c>
      <c r="AH186" s="21" t="str">
        <f aca="false">IF(ISNUMBER(I186),I186*INDEX(WtF,MATCH($I$7,WtU,0))/WaterRho,"")</f>
        <v/>
      </c>
      <c r="AI186" s="11"/>
      <c r="AJ186" s="11"/>
      <c r="AK186" s="20"/>
      <c r="AL186" s="11"/>
      <c r="AM186" s="21" t="str">
        <f aca="false">IF(AO186="","",AO186*IF(ISNUMBER(AK186),AK186,DefFills)*(1+IF(ISNUMBER(AL186),AL186,DefAllow)))</f>
        <v/>
      </c>
      <c r="AN186" s="22" t="str">
        <f aca="false">IF(G186="Given volume",IF(ISNUMBER(H186),H186*INDEX(VolF,MATCH($H$7,VolU,0)),""),IF(G186="Water weight",AH186,IF(N(AG186)=0,"",AG186)))</f>
        <v/>
      </c>
      <c r="AO186" s="22" t="str">
        <f aca="false">IF(N(AN186)=0,"",AN186*AT186*IF(ISNUMBER(AJ186),AJ186,DefCirc))</f>
        <v/>
      </c>
      <c r="AP186" s="9" t="n">
        <f aca="false">IF(ISNUMBER(T186),T186*INDEX(LenF,MATCH($T$7,LenU,0)),IF(ISNUMBER(W186),W186*INDEX(LenF,MATCH($W$7,LenU,0))/PitchRatio,0))</f>
        <v>0</v>
      </c>
      <c r="AQ186" s="9" t="n">
        <f aca="false">IF(ISNUMBER(N186),PI()/4*(N186*INDEX(LenF,MATCH($N$7,LenU,0)))^2,IF(AND(ISNUMBER(S186),ISNUMBER(W186),X186&lt;&gt;""),S186*(W186*INDEX(LenF,MATCH($W$7,LenU,0)))^2*INDEX(LayoutF,MATCH(X186,LayoutU,0)),0))</f>
        <v>0</v>
      </c>
      <c r="AR186" s="9" t="n">
        <f aca="false">IF(ISNUMBER(O186),O186*INDEX(LenF,MATCH($O$7,LenU,0)),IF(ISNUMBER(V186),V186*INDEX(LenF,MATCH($V$7,LenU,0)),0))</f>
        <v>0</v>
      </c>
      <c r="AS186" s="9" t="str">
        <f aca="false">IF(ISNUMBER(L186),L186*INDEX(LenF,MATCH($L$7,LenU,0))*1000,IF(OR(J186="",K186=""),"",IFERROR(IF(INDEX(PipeWT,MATCH(J186,NPSU,0),MATCH(K186,SchU,0))="","Sch n/a",INDEX(PipeOD,MATCH(J186,NPSU,0))-2*INDEX(PipeWT,MATCH(J186,NPSU,0),MATCH(K186,SchU,0))),"")))</f>
        <v/>
      </c>
      <c r="AT186" s="9" t="n">
        <f aca="false">IF(ISNUMBER(AI186),AI186,IFERROR(INDEX(IF(JobType="Decontamination",TypeFillDC,TypeFillCC),MATCH(E186,TypeL,0)),1))</f>
        <v>1</v>
      </c>
      <c r="AU186" s="9" t="n">
        <v>6</v>
      </c>
    </row>
    <row r="187" customFormat="false" ht="15" hidden="false" customHeight="false" outlineLevel="0" collapsed="false">
      <c r="A187" s="16" t="n">
        <v>13</v>
      </c>
      <c r="B187" s="20"/>
      <c r="C187" s="5"/>
      <c r="D187" s="5"/>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1" t="str">
        <f aca="false">IF(E187="Exchanger",IF(AND(ISNUMBER(S187),ISNUMBER(U187),ISNUMBER(V187)),S187*PI()/4*(U187*INDEX(LenF,MATCH($U$7,LenU,0)))^2*V187*INDEX(LenF,MATCH($V$7,LenU,0)),0)+IF(ISNUMBER(Y187),PI()/4*(Y187*INDEX(LenF,MATCH($Y$7,LenU,0)))^2*N(Z187)*INDEX(LenF,MATCH($Z$7,LenU,0))+IF(AA187="",0,IF(AA187="Conical",PI()/12*(Y187*INDEX(LenF,MATCH($Y$7,LenU,0)))^2*(0),INDEX(HeadK,MATCH(AA187,HeadU,0))*(Y187*INDEX(LenF,MATCH($Y$7,LenU,0)))^3)),0)+IF(ISNUMBER(Y187),PI()/4*(Y187*INDEX(LenF,MATCH($Y$7,LenU,0)))^2*N(AB187)*INDEX(LenF,MATCH($AB$7,LenU,0))+IF(AC187="",0,IF(AC187="Conical",PI()/12*(Y187*INDEX(LenF,MATCH($Y$7,LenU,0)))^2*(0),INDEX(HeadK,MATCH(AC187,HeadU,0))*(Y187*INDEX(LenF,MATCH($Y$7,LenU,0)))^3)),0),"")</f>
        <v/>
      </c>
      <c r="AE187" s="21" t="str">
        <f aca="false">IF(OR(E187="",E187="Piping"),"",IF(E187="Exchanger",AQ187*AR187+IF(P187="",0,IF(P187="Conical",PI()/12*(SQRT(4*AQ187/PI()))^2*(0),INDEX(HeadK,MATCH(P187,HeadU,0))*(SQRT(4*AQ187/PI()))^3))-IF(AND(ISNUMBER(S187),ISNUMBER(V187)),S187*PI()/4*AP187^2*V187*INDEX(LenF,MATCH($V$7,LenU,0)),0),IF(ISNUMBER(N187),PI()/4*(N187*INDEX(LenF,MATCH($N$7,LenU,0)))^2*N(O187)*INDEX(LenF,MATCH($O$7,LenU,0))+IF(P187="",0,IF(P187="Conical",PI()/12*(N187*INDEX(LenF,MATCH($N$7,LenU,0)))^2*(N(R187)*INDEX(LenF,MATCH($R$7,LenU,0))),INDEX(HeadK,MATCH(P187,HeadU,0))*(N187*INDEX(LenF,MATCH($N$7,LenU,0)))^3))+IF(Q187="",0,IF(Q187="Conical",PI()/12*(N187*INDEX(LenF,MATCH($N$7,LenU,0)))^2*(N(R187)*INDEX(LenF,MATCH($R$7,LenU,0))),INDEX(HeadK,MATCH(Q187,HeadU,0))*(N187*INDEX(LenF,MATCH($N$7,LenU,0)))^3)),0)))</f>
        <v/>
      </c>
      <c r="AF187" s="21" t="str">
        <f aca="false">IF(E187&lt;&gt;"Piping","",IF(AND(ISNUMBER(AS187),ISNUMBER(M187)),PI()/4*(AS187/1000)^2*M187*INDEX(LenF,MATCH($M$7,LenU,0)),0))</f>
        <v/>
      </c>
      <c r="AG187" s="21" t="str">
        <f aca="false">IF(E187="","",N(AD187)+N(AE187)+N(AF187))</f>
        <v/>
      </c>
      <c r="AH187" s="21" t="str">
        <f aca="false">IF(ISNUMBER(I187),I187*INDEX(WtF,MATCH($I$7,WtU,0))/WaterRho,"")</f>
        <v/>
      </c>
      <c r="AI187" s="11"/>
      <c r="AJ187" s="11"/>
      <c r="AK187" s="20"/>
      <c r="AL187" s="11"/>
      <c r="AM187" s="21" t="str">
        <f aca="false">IF(AO187="","",AO187*IF(ISNUMBER(AK187),AK187,DefFills)*(1+IF(ISNUMBER(AL187),AL187,DefAllow)))</f>
        <v/>
      </c>
      <c r="AN187" s="22" t="str">
        <f aca="false">IF(G187="Given volume",IF(ISNUMBER(H187),H187*INDEX(VolF,MATCH($H$7,VolU,0)),""),IF(G187="Water weight",AH187,IF(N(AG187)=0,"",AG187)))</f>
        <v/>
      </c>
      <c r="AO187" s="22" t="str">
        <f aca="false">IF(N(AN187)=0,"",AN187*AT187*IF(ISNUMBER(AJ187),AJ187,DefCirc))</f>
        <v/>
      </c>
      <c r="AP187" s="9" t="n">
        <f aca="false">IF(ISNUMBER(T187),T187*INDEX(LenF,MATCH($T$7,LenU,0)),IF(ISNUMBER(W187),W187*INDEX(LenF,MATCH($W$7,LenU,0))/PitchRatio,0))</f>
        <v>0</v>
      </c>
      <c r="AQ187" s="9" t="n">
        <f aca="false">IF(ISNUMBER(N187),PI()/4*(N187*INDEX(LenF,MATCH($N$7,LenU,0)))^2,IF(AND(ISNUMBER(S187),ISNUMBER(W187),X187&lt;&gt;""),S187*(W187*INDEX(LenF,MATCH($W$7,LenU,0)))^2*INDEX(LayoutF,MATCH(X187,LayoutU,0)),0))</f>
        <v>0</v>
      </c>
      <c r="AR187" s="9" t="n">
        <f aca="false">IF(ISNUMBER(O187),O187*INDEX(LenF,MATCH($O$7,LenU,0)),IF(ISNUMBER(V187),V187*INDEX(LenF,MATCH($V$7,LenU,0)),0))</f>
        <v>0</v>
      </c>
      <c r="AS187" s="9" t="str">
        <f aca="false">IF(ISNUMBER(L187),L187*INDEX(LenF,MATCH($L$7,LenU,0))*1000,IF(OR(J187="",K187=""),"",IFERROR(IF(INDEX(PipeWT,MATCH(J187,NPSU,0),MATCH(K187,SchU,0))="","Sch n/a",INDEX(PipeOD,MATCH(J187,NPSU,0))-2*INDEX(PipeWT,MATCH(J187,NPSU,0),MATCH(K187,SchU,0))),"")))</f>
        <v/>
      </c>
      <c r="AT187" s="9" t="n">
        <f aca="false">IF(ISNUMBER(AI187),AI187,IFERROR(INDEX(IF(JobType="Decontamination",TypeFillDC,TypeFillCC),MATCH(E187,TypeL,0)),1))</f>
        <v>1</v>
      </c>
      <c r="AU187" s="9" t="n">
        <v>6</v>
      </c>
    </row>
    <row r="188" customFormat="false" ht="15" hidden="false" customHeight="false" outlineLevel="0" collapsed="false">
      <c r="A188" s="16" t="n">
        <v>14</v>
      </c>
      <c r="B188" s="20"/>
      <c r="C188" s="5"/>
      <c r="D188" s="5"/>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1" t="str">
        <f aca="false">IF(E188="Exchanger",IF(AND(ISNUMBER(S188),ISNUMBER(U188),ISNUMBER(V188)),S188*PI()/4*(U188*INDEX(LenF,MATCH($U$7,LenU,0)))^2*V188*INDEX(LenF,MATCH($V$7,LenU,0)),0)+IF(ISNUMBER(Y188),PI()/4*(Y188*INDEX(LenF,MATCH($Y$7,LenU,0)))^2*N(Z188)*INDEX(LenF,MATCH($Z$7,LenU,0))+IF(AA188="",0,IF(AA188="Conical",PI()/12*(Y188*INDEX(LenF,MATCH($Y$7,LenU,0)))^2*(0),INDEX(HeadK,MATCH(AA188,HeadU,0))*(Y188*INDEX(LenF,MATCH($Y$7,LenU,0)))^3)),0)+IF(ISNUMBER(Y188),PI()/4*(Y188*INDEX(LenF,MATCH($Y$7,LenU,0)))^2*N(AB188)*INDEX(LenF,MATCH($AB$7,LenU,0))+IF(AC188="",0,IF(AC188="Conical",PI()/12*(Y188*INDEX(LenF,MATCH($Y$7,LenU,0)))^2*(0),INDEX(HeadK,MATCH(AC188,HeadU,0))*(Y188*INDEX(LenF,MATCH($Y$7,LenU,0)))^3)),0),"")</f>
        <v/>
      </c>
      <c r="AE188" s="21" t="str">
        <f aca="false">IF(OR(E188="",E188="Piping"),"",IF(E188="Exchanger",AQ188*AR188+IF(P188="",0,IF(P188="Conical",PI()/12*(SQRT(4*AQ188/PI()))^2*(0),INDEX(HeadK,MATCH(P188,HeadU,0))*(SQRT(4*AQ188/PI()))^3))-IF(AND(ISNUMBER(S188),ISNUMBER(V188)),S188*PI()/4*AP188^2*V188*INDEX(LenF,MATCH($V$7,LenU,0)),0),IF(ISNUMBER(N188),PI()/4*(N188*INDEX(LenF,MATCH($N$7,LenU,0)))^2*N(O188)*INDEX(LenF,MATCH($O$7,LenU,0))+IF(P188="",0,IF(P188="Conical",PI()/12*(N188*INDEX(LenF,MATCH($N$7,LenU,0)))^2*(N(R188)*INDEX(LenF,MATCH($R$7,LenU,0))),INDEX(HeadK,MATCH(P188,HeadU,0))*(N188*INDEX(LenF,MATCH($N$7,LenU,0)))^3))+IF(Q188="",0,IF(Q188="Conical",PI()/12*(N188*INDEX(LenF,MATCH($N$7,LenU,0)))^2*(N(R188)*INDEX(LenF,MATCH($R$7,LenU,0))),INDEX(HeadK,MATCH(Q188,HeadU,0))*(N188*INDEX(LenF,MATCH($N$7,LenU,0)))^3)),0)))</f>
        <v/>
      </c>
      <c r="AF188" s="21" t="str">
        <f aca="false">IF(E188&lt;&gt;"Piping","",IF(AND(ISNUMBER(AS188),ISNUMBER(M188)),PI()/4*(AS188/1000)^2*M188*INDEX(LenF,MATCH($M$7,LenU,0)),0))</f>
        <v/>
      </c>
      <c r="AG188" s="21" t="str">
        <f aca="false">IF(E188="","",N(AD188)+N(AE188)+N(AF188))</f>
        <v/>
      </c>
      <c r="AH188" s="21" t="str">
        <f aca="false">IF(ISNUMBER(I188),I188*INDEX(WtF,MATCH($I$7,WtU,0))/WaterRho,"")</f>
        <v/>
      </c>
      <c r="AI188" s="11"/>
      <c r="AJ188" s="11"/>
      <c r="AK188" s="20"/>
      <c r="AL188" s="11"/>
      <c r="AM188" s="21" t="str">
        <f aca="false">IF(AO188="","",AO188*IF(ISNUMBER(AK188),AK188,DefFills)*(1+IF(ISNUMBER(AL188),AL188,DefAllow)))</f>
        <v/>
      </c>
      <c r="AN188" s="22" t="str">
        <f aca="false">IF(G188="Given volume",IF(ISNUMBER(H188),H188*INDEX(VolF,MATCH($H$7,VolU,0)),""),IF(G188="Water weight",AH188,IF(N(AG188)=0,"",AG188)))</f>
        <v/>
      </c>
      <c r="AO188" s="22" t="str">
        <f aca="false">IF(N(AN188)=0,"",AN188*AT188*IF(ISNUMBER(AJ188),AJ188,DefCirc))</f>
        <v/>
      </c>
      <c r="AP188" s="9" t="n">
        <f aca="false">IF(ISNUMBER(T188),T188*INDEX(LenF,MATCH($T$7,LenU,0)),IF(ISNUMBER(W188),W188*INDEX(LenF,MATCH($W$7,LenU,0))/PitchRatio,0))</f>
        <v>0</v>
      </c>
      <c r="AQ188" s="9" t="n">
        <f aca="false">IF(ISNUMBER(N188),PI()/4*(N188*INDEX(LenF,MATCH($N$7,LenU,0)))^2,IF(AND(ISNUMBER(S188),ISNUMBER(W188),X188&lt;&gt;""),S188*(W188*INDEX(LenF,MATCH($W$7,LenU,0)))^2*INDEX(LayoutF,MATCH(X188,LayoutU,0)),0))</f>
        <v>0</v>
      </c>
      <c r="AR188" s="9" t="n">
        <f aca="false">IF(ISNUMBER(O188),O188*INDEX(LenF,MATCH($O$7,LenU,0)),IF(ISNUMBER(V188),V188*INDEX(LenF,MATCH($V$7,LenU,0)),0))</f>
        <v>0</v>
      </c>
      <c r="AS188" s="9" t="str">
        <f aca="false">IF(ISNUMBER(L188),L188*INDEX(LenF,MATCH($L$7,LenU,0))*1000,IF(OR(J188="",K188=""),"",IFERROR(IF(INDEX(PipeWT,MATCH(J188,NPSU,0),MATCH(K188,SchU,0))="","Sch n/a",INDEX(PipeOD,MATCH(J188,NPSU,0))-2*INDEX(PipeWT,MATCH(J188,NPSU,0),MATCH(K188,SchU,0))),"")))</f>
        <v/>
      </c>
      <c r="AT188" s="9" t="n">
        <f aca="false">IF(ISNUMBER(AI188),AI188,IFERROR(INDEX(IF(JobType="Decontamination",TypeFillDC,TypeFillCC),MATCH(E188,TypeL,0)),1))</f>
        <v>1</v>
      </c>
      <c r="AU188" s="9" t="n">
        <v>6</v>
      </c>
    </row>
    <row r="189" customFormat="false" ht="15" hidden="false" customHeight="false" outlineLevel="0" collapsed="false">
      <c r="A189" s="16" t="n">
        <v>15</v>
      </c>
      <c r="B189" s="20"/>
      <c r="C189" s="5"/>
      <c r="D189" s="5"/>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1" t="str">
        <f aca="false">IF(E189="Exchanger",IF(AND(ISNUMBER(S189),ISNUMBER(U189),ISNUMBER(V189)),S189*PI()/4*(U189*INDEX(LenF,MATCH($U$7,LenU,0)))^2*V189*INDEX(LenF,MATCH($V$7,LenU,0)),0)+IF(ISNUMBER(Y189),PI()/4*(Y189*INDEX(LenF,MATCH($Y$7,LenU,0)))^2*N(Z189)*INDEX(LenF,MATCH($Z$7,LenU,0))+IF(AA189="",0,IF(AA189="Conical",PI()/12*(Y189*INDEX(LenF,MATCH($Y$7,LenU,0)))^2*(0),INDEX(HeadK,MATCH(AA189,HeadU,0))*(Y189*INDEX(LenF,MATCH($Y$7,LenU,0)))^3)),0)+IF(ISNUMBER(Y189),PI()/4*(Y189*INDEX(LenF,MATCH($Y$7,LenU,0)))^2*N(AB189)*INDEX(LenF,MATCH($AB$7,LenU,0))+IF(AC189="",0,IF(AC189="Conical",PI()/12*(Y189*INDEX(LenF,MATCH($Y$7,LenU,0)))^2*(0),INDEX(HeadK,MATCH(AC189,HeadU,0))*(Y189*INDEX(LenF,MATCH($Y$7,LenU,0)))^3)),0),"")</f>
        <v/>
      </c>
      <c r="AE189" s="21" t="str">
        <f aca="false">IF(OR(E189="",E189="Piping"),"",IF(E189="Exchanger",AQ189*AR189+IF(P189="",0,IF(P189="Conical",PI()/12*(SQRT(4*AQ189/PI()))^2*(0),INDEX(HeadK,MATCH(P189,HeadU,0))*(SQRT(4*AQ189/PI()))^3))-IF(AND(ISNUMBER(S189),ISNUMBER(V189)),S189*PI()/4*AP189^2*V189*INDEX(LenF,MATCH($V$7,LenU,0)),0),IF(ISNUMBER(N189),PI()/4*(N189*INDEX(LenF,MATCH($N$7,LenU,0)))^2*N(O189)*INDEX(LenF,MATCH($O$7,LenU,0))+IF(P189="",0,IF(P189="Conical",PI()/12*(N189*INDEX(LenF,MATCH($N$7,LenU,0)))^2*(N(R189)*INDEX(LenF,MATCH($R$7,LenU,0))),INDEX(HeadK,MATCH(P189,HeadU,0))*(N189*INDEX(LenF,MATCH($N$7,LenU,0)))^3))+IF(Q189="",0,IF(Q189="Conical",PI()/12*(N189*INDEX(LenF,MATCH($N$7,LenU,0)))^2*(N(R189)*INDEX(LenF,MATCH($R$7,LenU,0))),INDEX(HeadK,MATCH(Q189,HeadU,0))*(N189*INDEX(LenF,MATCH($N$7,LenU,0)))^3)),0)))</f>
        <v/>
      </c>
      <c r="AF189" s="21" t="str">
        <f aca="false">IF(E189&lt;&gt;"Piping","",IF(AND(ISNUMBER(AS189),ISNUMBER(M189)),PI()/4*(AS189/1000)^2*M189*INDEX(LenF,MATCH($M$7,LenU,0)),0))</f>
        <v/>
      </c>
      <c r="AG189" s="21" t="str">
        <f aca="false">IF(E189="","",N(AD189)+N(AE189)+N(AF189))</f>
        <v/>
      </c>
      <c r="AH189" s="21" t="str">
        <f aca="false">IF(ISNUMBER(I189),I189*INDEX(WtF,MATCH($I$7,WtU,0))/WaterRho,"")</f>
        <v/>
      </c>
      <c r="AI189" s="11"/>
      <c r="AJ189" s="11"/>
      <c r="AK189" s="20"/>
      <c r="AL189" s="11"/>
      <c r="AM189" s="21" t="str">
        <f aca="false">IF(AO189="","",AO189*IF(ISNUMBER(AK189),AK189,DefFills)*(1+IF(ISNUMBER(AL189),AL189,DefAllow)))</f>
        <v/>
      </c>
      <c r="AN189" s="22" t="str">
        <f aca="false">IF(G189="Given volume",IF(ISNUMBER(H189),H189*INDEX(VolF,MATCH($H$7,VolU,0)),""),IF(G189="Water weight",AH189,IF(N(AG189)=0,"",AG189)))</f>
        <v/>
      </c>
      <c r="AO189" s="22" t="str">
        <f aca="false">IF(N(AN189)=0,"",AN189*AT189*IF(ISNUMBER(AJ189),AJ189,DefCirc))</f>
        <v/>
      </c>
      <c r="AP189" s="9" t="n">
        <f aca="false">IF(ISNUMBER(T189),T189*INDEX(LenF,MATCH($T$7,LenU,0)),IF(ISNUMBER(W189),W189*INDEX(LenF,MATCH($W$7,LenU,0))/PitchRatio,0))</f>
        <v>0</v>
      </c>
      <c r="AQ189" s="9" t="n">
        <f aca="false">IF(ISNUMBER(N189),PI()/4*(N189*INDEX(LenF,MATCH($N$7,LenU,0)))^2,IF(AND(ISNUMBER(S189),ISNUMBER(W189),X189&lt;&gt;""),S189*(W189*INDEX(LenF,MATCH($W$7,LenU,0)))^2*INDEX(LayoutF,MATCH(X189,LayoutU,0)),0))</f>
        <v>0</v>
      </c>
      <c r="AR189" s="9" t="n">
        <f aca="false">IF(ISNUMBER(O189),O189*INDEX(LenF,MATCH($O$7,LenU,0)),IF(ISNUMBER(V189),V189*INDEX(LenF,MATCH($V$7,LenU,0)),0))</f>
        <v>0</v>
      </c>
      <c r="AS189" s="9" t="str">
        <f aca="false">IF(ISNUMBER(L189),L189*INDEX(LenF,MATCH($L$7,LenU,0))*1000,IF(OR(J189="",K189=""),"",IFERROR(IF(INDEX(PipeWT,MATCH(J189,NPSU,0),MATCH(K189,SchU,0))="","Sch n/a",INDEX(PipeOD,MATCH(J189,NPSU,0))-2*INDEX(PipeWT,MATCH(J189,NPSU,0),MATCH(K189,SchU,0))),"")))</f>
        <v/>
      </c>
      <c r="AT189" s="9" t="n">
        <f aca="false">IF(ISNUMBER(AI189),AI189,IFERROR(INDEX(IF(JobType="Decontamination",TypeFillDC,TypeFillCC),MATCH(E189,TypeL,0)),1))</f>
        <v>1</v>
      </c>
      <c r="AU189" s="9" t="n">
        <v>6</v>
      </c>
    </row>
    <row r="190" customFormat="false" ht="15" hidden="false" customHeight="false" outlineLevel="0" collapsed="false">
      <c r="A190" s="16" t="n">
        <v>16</v>
      </c>
      <c r="B190" s="20"/>
      <c r="C190" s="5"/>
      <c r="D190" s="5"/>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1" t="str">
        <f aca="false">IF(E190="Exchanger",IF(AND(ISNUMBER(S190),ISNUMBER(U190),ISNUMBER(V190)),S190*PI()/4*(U190*INDEX(LenF,MATCH($U$7,LenU,0)))^2*V190*INDEX(LenF,MATCH($V$7,LenU,0)),0)+IF(ISNUMBER(Y190),PI()/4*(Y190*INDEX(LenF,MATCH($Y$7,LenU,0)))^2*N(Z190)*INDEX(LenF,MATCH($Z$7,LenU,0))+IF(AA190="",0,IF(AA190="Conical",PI()/12*(Y190*INDEX(LenF,MATCH($Y$7,LenU,0)))^2*(0),INDEX(HeadK,MATCH(AA190,HeadU,0))*(Y190*INDEX(LenF,MATCH($Y$7,LenU,0)))^3)),0)+IF(ISNUMBER(Y190),PI()/4*(Y190*INDEX(LenF,MATCH($Y$7,LenU,0)))^2*N(AB190)*INDEX(LenF,MATCH($AB$7,LenU,0))+IF(AC190="",0,IF(AC190="Conical",PI()/12*(Y190*INDEX(LenF,MATCH($Y$7,LenU,0)))^2*(0),INDEX(HeadK,MATCH(AC190,HeadU,0))*(Y190*INDEX(LenF,MATCH($Y$7,LenU,0)))^3)),0),"")</f>
        <v/>
      </c>
      <c r="AE190" s="21" t="str">
        <f aca="false">IF(OR(E190="",E190="Piping"),"",IF(E190="Exchanger",AQ190*AR190+IF(P190="",0,IF(P190="Conical",PI()/12*(SQRT(4*AQ190/PI()))^2*(0),INDEX(HeadK,MATCH(P190,HeadU,0))*(SQRT(4*AQ190/PI()))^3))-IF(AND(ISNUMBER(S190),ISNUMBER(V190)),S190*PI()/4*AP190^2*V190*INDEX(LenF,MATCH($V$7,LenU,0)),0),IF(ISNUMBER(N190),PI()/4*(N190*INDEX(LenF,MATCH($N$7,LenU,0)))^2*N(O190)*INDEX(LenF,MATCH($O$7,LenU,0))+IF(P190="",0,IF(P190="Conical",PI()/12*(N190*INDEX(LenF,MATCH($N$7,LenU,0)))^2*(N(R190)*INDEX(LenF,MATCH($R$7,LenU,0))),INDEX(HeadK,MATCH(P190,HeadU,0))*(N190*INDEX(LenF,MATCH($N$7,LenU,0)))^3))+IF(Q190="",0,IF(Q190="Conical",PI()/12*(N190*INDEX(LenF,MATCH($N$7,LenU,0)))^2*(N(R190)*INDEX(LenF,MATCH($R$7,LenU,0))),INDEX(HeadK,MATCH(Q190,HeadU,0))*(N190*INDEX(LenF,MATCH($N$7,LenU,0)))^3)),0)))</f>
        <v/>
      </c>
      <c r="AF190" s="21" t="str">
        <f aca="false">IF(E190&lt;&gt;"Piping","",IF(AND(ISNUMBER(AS190),ISNUMBER(M190)),PI()/4*(AS190/1000)^2*M190*INDEX(LenF,MATCH($M$7,LenU,0)),0))</f>
        <v/>
      </c>
      <c r="AG190" s="21" t="str">
        <f aca="false">IF(E190="","",N(AD190)+N(AE190)+N(AF190))</f>
        <v/>
      </c>
      <c r="AH190" s="21" t="str">
        <f aca="false">IF(ISNUMBER(I190),I190*INDEX(WtF,MATCH($I$7,WtU,0))/WaterRho,"")</f>
        <v/>
      </c>
      <c r="AI190" s="11"/>
      <c r="AJ190" s="11"/>
      <c r="AK190" s="20"/>
      <c r="AL190" s="11"/>
      <c r="AM190" s="21" t="str">
        <f aca="false">IF(AO190="","",AO190*IF(ISNUMBER(AK190),AK190,DefFills)*(1+IF(ISNUMBER(AL190),AL190,DefAllow)))</f>
        <v/>
      </c>
      <c r="AN190" s="22" t="str">
        <f aca="false">IF(G190="Given volume",IF(ISNUMBER(H190),H190*INDEX(VolF,MATCH($H$7,VolU,0)),""),IF(G190="Water weight",AH190,IF(N(AG190)=0,"",AG190)))</f>
        <v/>
      </c>
      <c r="AO190" s="22" t="str">
        <f aca="false">IF(N(AN190)=0,"",AN190*AT190*IF(ISNUMBER(AJ190),AJ190,DefCirc))</f>
        <v/>
      </c>
      <c r="AP190" s="9" t="n">
        <f aca="false">IF(ISNUMBER(T190),T190*INDEX(LenF,MATCH($T$7,LenU,0)),IF(ISNUMBER(W190),W190*INDEX(LenF,MATCH($W$7,LenU,0))/PitchRatio,0))</f>
        <v>0</v>
      </c>
      <c r="AQ190" s="9" t="n">
        <f aca="false">IF(ISNUMBER(N190),PI()/4*(N190*INDEX(LenF,MATCH($N$7,LenU,0)))^2,IF(AND(ISNUMBER(S190),ISNUMBER(W190),X190&lt;&gt;""),S190*(W190*INDEX(LenF,MATCH($W$7,LenU,0)))^2*INDEX(LayoutF,MATCH(X190,LayoutU,0)),0))</f>
        <v>0</v>
      </c>
      <c r="AR190" s="9" t="n">
        <f aca="false">IF(ISNUMBER(O190),O190*INDEX(LenF,MATCH($O$7,LenU,0)),IF(ISNUMBER(V190),V190*INDEX(LenF,MATCH($V$7,LenU,0)),0))</f>
        <v>0</v>
      </c>
      <c r="AS190" s="9" t="str">
        <f aca="false">IF(ISNUMBER(L190),L190*INDEX(LenF,MATCH($L$7,LenU,0))*1000,IF(OR(J190="",K190=""),"",IFERROR(IF(INDEX(PipeWT,MATCH(J190,NPSU,0),MATCH(K190,SchU,0))="","Sch n/a",INDEX(PipeOD,MATCH(J190,NPSU,0))-2*INDEX(PipeWT,MATCH(J190,NPSU,0),MATCH(K190,SchU,0))),"")))</f>
        <v/>
      </c>
      <c r="AT190" s="9" t="n">
        <f aca="false">IF(ISNUMBER(AI190),AI190,IFERROR(INDEX(IF(JobType="Decontamination",TypeFillDC,TypeFillCC),MATCH(E190,TypeL,0)),1))</f>
        <v>1</v>
      </c>
      <c r="AU190" s="9" t="n">
        <v>6</v>
      </c>
    </row>
    <row r="191" customFormat="false" ht="15" hidden="false" customHeight="false" outlineLevel="0" collapsed="false">
      <c r="A191" s="16" t="n">
        <v>17</v>
      </c>
      <c r="B191" s="20"/>
      <c r="C191" s="5"/>
      <c r="D191" s="5"/>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1" t="str">
        <f aca="false">IF(E191="Exchanger",IF(AND(ISNUMBER(S191),ISNUMBER(U191),ISNUMBER(V191)),S191*PI()/4*(U191*INDEX(LenF,MATCH($U$7,LenU,0)))^2*V191*INDEX(LenF,MATCH($V$7,LenU,0)),0)+IF(ISNUMBER(Y191),PI()/4*(Y191*INDEX(LenF,MATCH($Y$7,LenU,0)))^2*N(Z191)*INDEX(LenF,MATCH($Z$7,LenU,0))+IF(AA191="",0,IF(AA191="Conical",PI()/12*(Y191*INDEX(LenF,MATCH($Y$7,LenU,0)))^2*(0),INDEX(HeadK,MATCH(AA191,HeadU,0))*(Y191*INDEX(LenF,MATCH($Y$7,LenU,0)))^3)),0)+IF(ISNUMBER(Y191),PI()/4*(Y191*INDEX(LenF,MATCH($Y$7,LenU,0)))^2*N(AB191)*INDEX(LenF,MATCH($AB$7,LenU,0))+IF(AC191="",0,IF(AC191="Conical",PI()/12*(Y191*INDEX(LenF,MATCH($Y$7,LenU,0)))^2*(0),INDEX(HeadK,MATCH(AC191,HeadU,0))*(Y191*INDEX(LenF,MATCH($Y$7,LenU,0)))^3)),0),"")</f>
        <v/>
      </c>
      <c r="AE191" s="21" t="str">
        <f aca="false">IF(OR(E191="",E191="Piping"),"",IF(E191="Exchanger",AQ191*AR191+IF(P191="",0,IF(P191="Conical",PI()/12*(SQRT(4*AQ191/PI()))^2*(0),INDEX(HeadK,MATCH(P191,HeadU,0))*(SQRT(4*AQ191/PI()))^3))-IF(AND(ISNUMBER(S191),ISNUMBER(V191)),S191*PI()/4*AP191^2*V191*INDEX(LenF,MATCH($V$7,LenU,0)),0),IF(ISNUMBER(N191),PI()/4*(N191*INDEX(LenF,MATCH($N$7,LenU,0)))^2*N(O191)*INDEX(LenF,MATCH($O$7,LenU,0))+IF(P191="",0,IF(P191="Conical",PI()/12*(N191*INDEX(LenF,MATCH($N$7,LenU,0)))^2*(N(R191)*INDEX(LenF,MATCH($R$7,LenU,0))),INDEX(HeadK,MATCH(P191,HeadU,0))*(N191*INDEX(LenF,MATCH($N$7,LenU,0)))^3))+IF(Q191="",0,IF(Q191="Conical",PI()/12*(N191*INDEX(LenF,MATCH($N$7,LenU,0)))^2*(N(R191)*INDEX(LenF,MATCH($R$7,LenU,0))),INDEX(HeadK,MATCH(Q191,HeadU,0))*(N191*INDEX(LenF,MATCH($N$7,LenU,0)))^3)),0)))</f>
        <v/>
      </c>
      <c r="AF191" s="21" t="str">
        <f aca="false">IF(E191&lt;&gt;"Piping","",IF(AND(ISNUMBER(AS191),ISNUMBER(M191)),PI()/4*(AS191/1000)^2*M191*INDEX(LenF,MATCH($M$7,LenU,0)),0))</f>
        <v/>
      </c>
      <c r="AG191" s="21" t="str">
        <f aca="false">IF(E191="","",N(AD191)+N(AE191)+N(AF191))</f>
        <v/>
      </c>
      <c r="AH191" s="21" t="str">
        <f aca="false">IF(ISNUMBER(I191),I191*INDEX(WtF,MATCH($I$7,WtU,0))/WaterRho,"")</f>
        <v/>
      </c>
      <c r="AI191" s="11"/>
      <c r="AJ191" s="11"/>
      <c r="AK191" s="20"/>
      <c r="AL191" s="11"/>
      <c r="AM191" s="21" t="str">
        <f aca="false">IF(AO191="","",AO191*IF(ISNUMBER(AK191),AK191,DefFills)*(1+IF(ISNUMBER(AL191),AL191,DefAllow)))</f>
        <v/>
      </c>
      <c r="AN191" s="22" t="str">
        <f aca="false">IF(G191="Given volume",IF(ISNUMBER(H191),H191*INDEX(VolF,MATCH($H$7,VolU,0)),""),IF(G191="Water weight",AH191,IF(N(AG191)=0,"",AG191)))</f>
        <v/>
      </c>
      <c r="AO191" s="22" t="str">
        <f aca="false">IF(N(AN191)=0,"",AN191*AT191*IF(ISNUMBER(AJ191),AJ191,DefCirc))</f>
        <v/>
      </c>
      <c r="AP191" s="9" t="n">
        <f aca="false">IF(ISNUMBER(T191),T191*INDEX(LenF,MATCH($T$7,LenU,0)),IF(ISNUMBER(W191),W191*INDEX(LenF,MATCH($W$7,LenU,0))/PitchRatio,0))</f>
        <v>0</v>
      </c>
      <c r="AQ191" s="9" t="n">
        <f aca="false">IF(ISNUMBER(N191),PI()/4*(N191*INDEX(LenF,MATCH($N$7,LenU,0)))^2,IF(AND(ISNUMBER(S191),ISNUMBER(W191),X191&lt;&gt;""),S191*(W191*INDEX(LenF,MATCH($W$7,LenU,0)))^2*INDEX(LayoutF,MATCH(X191,LayoutU,0)),0))</f>
        <v>0</v>
      </c>
      <c r="AR191" s="9" t="n">
        <f aca="false">IF(ISNUMBER(O191),O191*INDEX(LenF,MATCH($O$7,LenU,0)),IF(ISNUMBER(V191),V191*INDEX(LenF,MATCH($V$7,LenU,0)),0))</f>
        <v>0</v>
      </c>
      <c r="AS191" s="9" t="str">
        <f aca="false">IF(ISNUMBER(L191),L191*INDEX(LenF,MATCH($L$7,LenU,0))*1000,IF(OR(J191="",K191=""),"",IFERROR(IF(INDEX(PipeWT,MATCH(J191,NPSU,0),MATCH(K191,SchU,0))="","Sch n/a",INDEX(PipeOD,MATCH(J191,NPSU,0))-2*INDEX(PipeWT,MATCH(J191,NPSU,0),MATCH(K191,SchU,0))),"")))</f>
        <v/>
      </c>
      <c r="AT191" s="9" t="n">
        <f aca="false">IF(ISNUMBER(AI191),AI191,IFERROR(INDEX(IF(JobType="Decontamination",TypeFillDC,TypeFillCC),MATCH(E191,TypeL,0)),1))</f>
        <v>1</v>
      </c>
      <c r="AU191" s="9" t="n">
        <v>6</v>
      </c>
    </row>
    <row r="192" customFormat="false" ht="15" hidden="false" customHeight="false" outlineLevel="0" collapsed="false">
      <c r="A192" s="16" t="n">
        <v>18</v>
      </c>
      <c r="B192" s="20"/>
      <c r="C192" s="5"/>
      <c r="D192" s="5"/>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1" t="str">
        <f aca="false">IF(E192="Exchanger",IF(AND(ISNUMBER(S192),ISNUMBER(U192),ISNUMBER(V192)),S192*PI()/4*(U192*INDEX(LenF,MATCH($U$7,LenU,0)))^2*V192*INDEX(LenF,MATCH($V$7,LenU,0)),0)+IF(ISNUMBER(Y192),PI()/4*(Y192*INDEX(LenF,MATCH($Y$7,LenU,0)))^2*N(Z192)*INDEX(LenF,MATCH($Z$7,LenU,0))+IF(AA192="",0,IF(AA192="Conical",PI()/12*(Y192*INDEX(LenF,MATCH($Y$7,LenU,0)))^2*(0),INDEX(HeadK,MATCH(AA192,HeadU,0))*(Y192*INDEX(LenF,MATCH($Y$7,LenU,0)))^3)),0)+IF(ISNUMBER(Y192),PI()/4*(Y192*INDEX(LenF,MATCH($Y$7,LenU,0)))^2*N(AB192)*INDEX(LenF,MATCH($AB$7,LenU,0))+IF(AC192="",0,IF(AC192="Conical",PI()/12*(Y192*INDEX(LenF,MATCH($Y$7,LenU,0)))^2*(0),INDEX(HeadK,MATCH(AC192,HeadU,0))*(Y192*INDEX(LenF,MATCH($Y$7,LenU,0)))^3)),0),"")</f>
        <v/>
      </c>
      <c r="AE192" s="21" t="str">
        <f aca="false">IF(OR(E192="",E192="Piping"),"",IF(E192="Exchanger",AQ192*AR192+IF(P192="",0,IF(P192="Conical",PI()/12*(SQRT(4*AQ192/PI()))^2*(0),INDEX(HeadK,MATCH(P192,HeadU,0))*(SQRT(4*AQ192/PI()))^3))-IF(AND(ISNUMBER(S192),ISNUMBER(V192)),S192*PI()/4*AP192^2*V192*INDEX(LenF,MATCH($V$7,LenU,0)),0),IF(ISNUMBER(N192),PI()/4*(N192*INDEX(LenF,MATCH($N$7,LenU,0)))^2*N(O192)*INDEX(LenF,MATCH($O$7,LenU,0))+IF(P192="",0,IF(P192="Conical",PI()/12*(N192*INDEX(LenF,MATCH($N$7,LenU,0)))^2*(N(R192)*INDEX(LenF,MATCH($R$7,LenU,0))),INDEX(HeadK,MATCH(P192,HeadU,0))*(N192*INDEX(LenF,MATCH($N$7,LenU,0)))^3))+IF(Q192="",0,IF(Q192="Conical",PI()/12*(N192*INDEX(LenF,MATCH($N$7,LenU,0)))^2*(N(R192)*INDEX(LenF,MATCH($R$7,LenU,0))),INDEX(HeadK,MATCH(Q192,HeadU,0))*(N192*INDEX(LenF,MATCH($N$7,LenU,0)))^3)),0)))</f>
        <v/>
      </c>
      <c r="AF192" s="21" t="str">
        <f aca="false">IF(E192&lt;&gt;"Piping","",IF(AND(ISNUMBER(AS192),ISNUMBER(M192)),PI()/4*(AS192/1000)^2*M192*INDEX(LenF,MATCH($M$7,LenU,0)),0))</f>
        <v/>
      </c>
      <c r="AG192" s="21" t="str">
        <f aca="false">IF(E192="","",N(AD192)+N(AE192)+N(AF192))</f>
        <v/>
      </c>
      <c r="AH192" s="21" t="str">
        <f aca="false">IF(ISNUMBER(I192),I192*INDEX(WtF,MATCH($I$7,WtU,0))/WaterRho,"")</f>
        <v/>
      </c>
      <c r="AI192" s="11"/>
      <c r="AJ192" s="11"/>
      <c r="AK192" s="20"/>
      <c r="AL192" s="11"/>
      <c r="AM192" s="21" t="str">
        <f aca="false">IF(AO192="","",AO192*IF(ISNUMBER(AK192),AK192,DefFills)*(1+IF(ISNUMBER(AL192),AL192,DefAllow)))</f>
        <v/>
      </c>
      <c r="AN192" s="22" t="str">
        <f aca="false">IF(G192="Given volume",IF(ISNUMBER(H192),H192*INDEX(VolF,MATCH($H$7,VolU,0)),""),IF(G192="Water weight",AH192,IF(N(AG192)=0,"",AG192)))</f>
        <v/>
      </c>
      <c r="AO192" s="22" t="str">
        <f aca="false">IF(N(AN192)=0,"",AN192*AT192*IF(ISNUMBER(AJ192),AJ192,DefCirc))</f>
        <v/>
      </c>
      <c r="AP192" s="9" t="n">
        <f aca="false">IF(ISNUMBER(T192),T192*INDEX(LenF,MATCH($T$7,LenU,0)),IF(ISNUMBER(W192),W192*INDEX(LenF,MATCH($W$7,LenU,0))/PitchRatio,0))</f>
        <v>0</v>
      </c>
      <c r="AQ192" s="9" t="n">
        <f aca="false">IF(ISNUMBER(N192),PI()/4*(N192*INDEX(LenF,MATCH($N$7,LenU,0)))^2,IF(AND(ISNUMBER(S192),ISNUMBER(W192),X192&lt;&gt;""),S192*(W192*INDEX(LenF,MATCH($W$7,LenU,0)))^2*INDEX(LayoutF,MATCH(X192,LayoutU,0)),0))</f>
        <v>0</v>
      </c>
      <c r="AR192" s="9" t="n">
        <f aca="false">IF(ISNUMBER(O192),O192*INDEX(LenF,MATCH($O$7,LenU,0)),IF(ISNUMBER(V192),V192*INDEX(LenF,MATCH($V$7,LenU,0)),0))</f>
        <v>0</v>
      </c>
      <c r="AS192" s="9" t="str">
        <f aca="false">IF(ISNUMBER(L192),L192*INDEX(LenF,MATCH($L$7,LenU,0))*1000,IF(OR(J192="",K192=""),"",IFERROR(IF(INDEX(PipeWT,MATCH(J192,NPSU,0),MATCH(K192,SchU,0))="","Sch n/a",INDEX(PipeOD,MATCH(J192,NPSU,0))-2*INDEX(PipeWT,MATCH(J192,NPSU,0),MATCH(K192,SchU,0))),"")))</f>
        <v/>
      </c>
      <c r="AT192" s="9" t="n">
        <f aca="false">IF(ISNUMBER(AI192),AI192,IFERROR(INDEX(IF(JobType="Decontamination",TypeFillDC,TypeFillCC),MATCH(E192,TypeL,0)),1))</f>
        <v>1</v>
      </c>
      <c r="AU192" s="9" t="n">
        <v>6</v>
      </c>
    </row>
    <row r="193" customFormat="false" ht="15" hidden="false" customHeight="false" outlineLevel="0" collapsed="false">
      <c r="A193" s="16" t="n">
        <v>19</v>
      </c>
      <c r="B193" s="20"/>
      <c r="C193" s="5"/>
      <c r="D193" s="5"/>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1" t="str">
        <f aca="false">IF(E193="Exchanger",IF(AND(ISNUMBER(S193),ISNUMBER(U193),ISNUMBER(V193)),S193*PI()/4*(U193*INDEX(LenF,MATCH($U$7,LenU,0)))^2*V193*INDEX(LenF,MATCH($V$7,LenU,0)),0)+IF(ISNUMBER(Y193),PI()/4*(Y193*INDEX(LenF,MATCH($Y$7,LenU,0)))^2*N(Z193)*INDEX(LenF,MATCH($Z$7,LenU,0))+IF(AA193="",0,IF(AA193="Conical",PI()/12*(Y193*INDEX(LenF,MATCH($Y$7,LenU,0)))^2*(0),INDEX(HeadK,MATCH(AA193,HeadU,0))*(Y193*INDEX(LenF,MATCH($Y$7,LenU,0)))^3)),0)+IF(ISNUMBER(Y193),PI()/4*(Y193*INDEX(LenF,MATCH($Y$7,LenU,0)))^2*N(AB193)*INDEX(LenF,MATCH($AB$7,LenU,0))+IF(AC193="",0,IF(AC193="Conical",PI()/12*(Y193*INDEX(LenF,MATCH($Y$7,LenU,0)))^2*(0),INDEX(HeadK,MATCH(AC193,HeadU,0))*(Y193*INDEX(LenF,MATCH($Y$7,LenU,0)))^3)),0),"")</f>
        <v/>
      </c>
      <c r="AE193" s="21" t="str">
        <f aca="false">IF(OR(E193="",E193="Piping"),"",IF(E193="Exchanger",AQ193*AR193+IF(P193="",0,IF(P193="Conical",PI()/12*(SQRT(4*AQ193/PI()))^2*(0),INDEX(HeadK,MATCH(P193,HeadU,0))*(SQRT(4*AQ193/PI()))^3))-IF(AND(ISNUMBER(S193),ISNUMBER(V193)),S193*PI()/4*AP193^2*V193*INDEX(LenF,MATCH($V$7,LenU,0)),0),IF(ISNUMBER(N193),PI()/4*(N193*INDEX(LenF,MATCH($N$7,LenU,0)))^2*N(O193)*INDEX(LenF,MATCH($O$7,LenU,0))+IF(P193="",0,IF(P193="Conical",PI()/12*(N193*INDEX(LenF,MATCH($N$7,LenU,0)))^2*(N(R193)*INDEX(LenF,MATCH($R$7,LenU,0))),INDEX(HeadK,MATCH(P193,HeadU,0))*(N193*INDEX(LenF,MATCH($N$7,LenU,0)))^3))+IF(Q193="",0,IF(Q193="Conical",PI()/12*(N193*INDEX(LenF,MATCH($N$7,LenU,0)))^2*(N(R193)*INDEX(LenF,MATCH($R$7,LenU,0))),INDEX(HeadK,MATCH(Q193,HeadU,0))*(N193*INDEX(LenF,MATCH($N$7,LenU,0)))^3)),0)))</f>
        <v/>
      </c>
      <c r="AF193" s="21" t="str">
        <f aca="false">IF(E193&lt;&gt;"Piping","",IF(AND(ISNUMBER(AS193),ISNUMBER(M193)),PI()/4*(AS193/1000)^2*M193*INDEX(LenF,MATCH($M$7,LenU,0)),0))</f>
        <v/>
      </c>
      <c r="AG193" s="21" t="str">
        <f aca="false">IF(E193="","",N(AD193)+N(AE193)+N(AF193))</f>
        <v/>
      </c>
      <c r="AH193" s="21" t="str">
        <f aca="false">IF(ISNUMBER(I193),I193*INDEX(WtF,MATCH($I$7,WtU,0))/WaterRho,"")</f>
        <v/>
      </c>
      <c r="AI193" s="11"/>
      <c r="AJ193" s="11"/>
      <c r="AK193" s="20"/>
      <c r="AL193" s="11"/>
      <c r="AM193" s="21" t="str">
        <f aca="false">IF(AO193="","",AO193*IF(ISNUMBER(AK193),AK193,DefFills)*(1+IF(ISNUMBER(AL193),AL193,DefAllow)))</f>
        <v/>
      </c>
      <c r="AN193" s="22" t="str">
        <f aca="false">IF(G193="Given volume",IF(ISNUMBER(H193),H193*INDEX(VolF,MATCH($H$7,VolU,0)),""),IF(G193="Water weight",AH193,IF(N(AG193)=0,"",AG193)))</f>
        <v/>
      </c>
      <c r="AO193" s="22" t="str">
        <f aca="false">IF(N(AN193)=0,"",AN193*AT193*IF(ISNUMBER(AJ193),AJ193,DefCirc))</f>
        <v/>
      </c>
      <c r="AP193" s="9" t="n">
        <f aca="false">IF(ISNUMBER(T193),T193*INDEX(LenF,MATCH($T$7,LenU,0)),IF(ISNUMBER(W193),W193*INDEX(LenF,MATCH($W$7,LenU,0))/PitchRatio,0))</f>
        <v>0</v>
      </c>
      <c r="AQ193" s="9" t="n">
        <f aca="false">IF(ISNUMBER(N193),PI()/4*(N193*INDEX(LenF,MATCH($N$7,LenU,0)))^2,IF(AND(ISNUMBER(S193),ISNUMBER(W193),X193&lt;&gt;""),S193*(W193*INDEX(LenF,MATCH($W$7,LenU,0)))^2*INDEX(LayoutF,MATCH(X193,LayoutU,0)),0))</f>
        <v>0</v>
      </c>
      <c r="AR193" s="9" t="n">
        <f aca="false">IF(ISNUMBER(O193),O193*INDEX(LenF,MATCH($O$7,LenU,0)),IF(ISNUMBER(V193),V193*INDEX(LenF,MATCH($V$7,LenU,0)),0))</f>
        <v>0</v>
      </c>
      <c r="AS193" s="9" t="str">
        <f aca="false">IF(ISNUMBER(L193),L193*INDEX(LenF,MATCH($L$7,LenU,0))*1000,IF(OR(J193="",K193=""),"",IFERROR(IF(INDEX(PipeWT,MATCH(J193,NPSU,0),MATCH(K193,SchU,0))="","Sch n/a",INDEX(PipeOD,MATCH(J193,NPSU,0))-2*INDEX(PipeWT,MATCH(J193,NPSU,0),MATCH(K193,SchU,0))),"")))</f>
        <v/>
      </c>
      <c r="AT193" s="9" t="n">
        <f aca="false">IF(ISNUMBER(AI193),AI193,IFERROR(INDEX(IF(JobType="Decontamination",TypeFillDC,TypeFillCC),MATCH(E193,TypeL,0)),1))</f>
        <v>1</v>
      </c>
      <c r="AU193" s="9" t="n">
        <v>6</v>
      </c>
    </row>
    <row r="194" customFormat="false" ht="15" hidden="false" customHeight="false" outlineLevel="0" collapsed="false">
      <c r="A194" s="16" t="n">
        <v>20</v>
      </c>
      <c r="B194" s="20"/>
      <c r="C194" s="5"/>
      <c r="D194" s="5"/>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1" t="str">
        <f aca="false">IF(E194="Exchanger",IF(AND(ISNUMBER(S194),ISNUMBER(U194),ISNUMBER(V194)),S194*PI()/4*(U194*INDEX(LenF,MATCH($U$7,LenU,0)))^2*V194*INDEX(LenF,MATCH($V$7,LenU,0)),0)+IF(ISNUMBER(Y194),PI()/4*(Y194*INDEX(LenF,MATCH($Y$7,LenU,0)))^2*N(Z194)*INDEX(LenF,MATCH($Z$7,LenU,0))+IF(AA194="",0,IF(AA194="Conical",PI()/12*(Y194*INDEX(LenF,MATCH($Y$7,LenU,0)))^2*(0),INDEX(HeadK,MATCH(AA194,HeadU,0))*(Y194*INDEX(LenF,MATCH($Y$7,LenU,0)))^3)),0)+IF(ISNUMBER(Y194),PI()/4*(Y194*INDEX(LenF,MATCH($Y$7,LenU,0)))^2*N(AB194)*INDEX(LenF,MATCH($AB$7,LenU,0))+IF(AC194="",0,IF(AC194="Conical",PI()/12*(Y194*INDEX(LenF,MATCH($Y$7,LenU,0)))^2*(0),INDEX(HeadK,MATCH(AC194,HeadU,0))*(Y194*INDEX(LenF,MATCH($Y$7,LenU,0)))^3)),0),"")</f>
        <v/>
      </c>
      <c r="AE194" s="21" t="str">
        <f aca="false">IF(OR(E194="",E194="Piping"),"",IF(E194="Exchanger",AQ194*AR194+IF(P194="",0,IF(P194="Conical",PI()/12*(SQRT(4*AQ194/PI()))^2*(0),INDEX(HeadK,MATCH(P194,HeadU,0))*(SQRT(4*AQ194/PI()))^3))-IF(AND(ISNUMBER(S194),ISNUMBER(V194)),S194*PI()/4*AP194^2*V194*INDEX(LenF,MATCH($V$7,LenU,0)),0),IF(ISNUMBER(N194),PI()/4*(N194*INDEX(LenF,MATCH($N$7,LenU,0)))^2*N(O194)*INDEX(LenF,MATCH($O$7,LenU,0))+IF(P194="",0,IF(P194="Conical",PI()/12*(N194*INDEX(LenF,MATCH($N$7,LenU,0)))^2*(N(R194)*INDEX(LenF,MATCH($R$7,LenU,0))),INDEX(HeadK,MATCH(P194,HeadU,0))*(N194*INDEX(LenF,MATCH($N$7,LenU,0)))^3))+IF(Q194="",0,IF(Q194="Conical",PI()/12*(N194*INDEX(LenF,MATCH($N$7,LenU,0)))^2*(N(R194)*INDEX(LenF,MATCH($R$7,LenU,0))),INDEX(HeadK,MATCH(Q194,HeadU,0))*(N194*INDEX(LenF,MATCH($N$7,LenU,0)))^3)),0)))</f>
        <v/>
      </c>
      <c r="AF194" s="21" t="str">
        <f aca="false">IF(E194&lt;&gt;"Piping","",IF(AND(ISNUMBER(AS194),ISNUMBER(M194)),PI()/4*(AS194/1000)^2*M194*INDEX(LenF,MATCH($M$7,LenU,0)),0))</f>
        <v/>
      </c>
      <c r="AG194" s="21" t="str">
        <f aca="false">IF(E194="","",N(AD194)+N(AE194)+N(AF194))</f>
        <v/>
      </c>
      <c r="AH194" s="21" t="str">
        <f aca="false">IF(ISNUMBER(I194),I194*INDEX(WtF,MATCH($I$7,WtU,0))/WaterRho,"")</f>
        <v/>
      </c>
      <c r="AI194" s="11"/>
      <c r="AJ194" s="11"/>
      <c r="AK194" s="20"/>
      <c r="AL194" s="11"/>
      <c r="AM194" s="21" t="str">
        <f aca="false">IF(AO194="","",AO194*IF(ISNUMBER(AK194),AK194,DefFills)*(1+IF(ISNUMBER(AL194),AL194,DefAllow)))</f>
        <v/>
      </c>
      <c r="AN194" s="22" t="str">
        <f aca="false">IF(G194="Given volume",IF(ISNUMBER(H194),H194*INDEX(VolF,MATCH($H$7,VolU,0)),""),IF(G194="Water weight",AH194,IF(N(AG194)=0,"",AG194)))</f>
        <v/>
      </c>
      <c r="AO194" s="22" t="str">
        <f aca="false">IF(N(AN194)=0,"",AN194*AT194*IF(ISNUMBER(AJ194),AJ194,DefCirc))</f>
        <v/>
      </c>
      <c r="AP194" s="9" t="n">
        <f aca="false">IF(ISNUMBER(T194),T194*INDEX(LenF,MATCH($T$7,LenU,0)),IF(ISNUMBER(W194),W194*INDEX(LenF,MATCH($W$7,LenU,0))/PitchRatio,0))</f>
        <v>0</v>
      </c>
      <c r="AQ194" s="9" t="n">
        <f aca="false">IF(ISNUMBER(N194),PI()/4*(N194*INDEX(LenF,MATCH($N$7,LenU,0)))^2,IF(AND(ISNUMBER(S194),ISNUMBER(W194),X194&lt;&gt;""),S194*(W194*INDEX(LenF,MATCH($W$7,LenU,0)))^2*INDEX(LayoutF,MATCH(X194,LayoutU,0)),0))</f>
        <v>0</v>
      </c>
      <c r="AR194" s="9" t="n">
        <f aca="false">IF(ISNUMBER(O194),O194*INDEX(LenF,MATCH($O$7,LenU,0)),IF(ISNUMBER(V194),V194*INDEX(LenF,MATCH($V$7,LenU,0)),0))</f>
        <v>0</v>
      </c>
      <c r="AS194" s="9" t="str">
        <f aca="false">IF(ISNUMBER(L194),L194*INDEX(LenF,MATCH($L$7,LenU,0))*1000,IF(OR(J194="",K194=""),"",IFERROR(IF(INDEX(PipeWT,MATCH(J194,NPSU,0),MATCH(K194,SchU,0))="","Sch n/a",INDEX(PipeOD,MATCH(J194,NPSU,0))-2*INDEX(PipeWT,MATCH(J194,NPSU,0),MATCH(K194,SchU,0))),"")))</f>
        <v/>
      </c>
      <c r="AT194" s="9" t="n">
        <f aca="false">IF(ISNUMBER(AI194),AI194,IFERROR(INDEX(IF(JobType="Decontamination",TypeFillDC,TypeFillCC),MATCH(E194,TypeL,0)),1))</f>
        <v>1</v>
      </c>
      <c r="AU194" s="9" t="n">
        <v>6</v>
      </c>
    </row>
    <row r="195" customFormat="false" ht="15" hidden="false" customHeight="false" outlineLevel="0" collapsed="false">
      <c r="A195" s="16" t="n">
        <v>21</v>
      </c>
      <c r="B195" s="20"/>
      <c r="C195" s="5"/>
      <c r="D195" s="5"/>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1" t="str">
        <f aca="false">IF(E195="Exchanger",IF(AND(ISNUMBER(S195),ISNUMBER(U195),ISNUMBER(V195)),S195*PI()/4*(U195*INDEX(LenF,MATCH($U$7,LenU,0)))^2*V195*INDEX(LenF,MATCH($V$7,LenU,0)),0)+IF(ISNUMBER(Y195),PI()/4*(Y195*INDEX(LenF,MATCH($Y$7,LenU,0)))^2*N(Z195)*INDEX(LenF,MATCH($Z$7,LenU,0))+IF(AA195="",0,IF(AA195="Conical",PI()/12*(Y195*INDEX(LenF,MATCH($Y$7,LenU,0)))^2*(0),INDEX(HeadK,MATCH(AA195,HeadU,0))*(Y195*INDEX(LenF,MATCH($Y$7,LenU,0)))^3)),0)+IF(ISNUMBER(Y195),PI()/4*(Y195*INDEX(LenF,MATCH($Y$7,LenU,0)))^2*N(AB195)*INDEX(LenF,MATCH($AB$7,LenU,0))+IF(AC195="",0,IF(AC195="Conical",PI()/12*(Y195*INDEX(LenF,MATCH($Y$7,LenU,0)))^2*(0),INDEX(HeadK,MATCH(AC195,HeadU,0))*(Y195*INDEX(LenF,MATCH($Y$7,LenU,0)))^3)),0),"")</f>
        <v/>
      </c>
      <c r="AE195" s="21" t="str">
        <f aca="false">IF(OR(E195="",E195="Piping"),"",IF(E195="Exchanger",AQ195*AR195+IF(P195="",0,IF(P195="Conical",PI()/12*(SQRT(4*AQ195/PI()))^2*(0),INDEX(HeadK,MATCH(P195,HeadU,0))*(SQRT(4*AQ195/PI()))^3))-IF(AND(ISNUMBER(S195),ISNUMBER(V195)),S195*PI()/4*AP195^2*V195*INDEX(LenF,MATCH($V$7,LenU,0)),0),IF(ISNUMBER(N195),PI()/4*(N195*INDEX(LenF,MATCH($N$7,LenU,0)))^2*N(O195)*INDEX(LenF,MATCH($O$7,LenU,0))+IF(P195="",0,IF(P195="Conical",PI()/12*(N195*INDEX(LenF,MATCH($N$7,LenU,0)))^2*(N(R195)*INDEX(LenF,MATCH($R$7,LenU,0))),INDEX(HeadK,MATCH(P195,HeadU,0))*(N195*INDEX(LenF,MATCH($N$7,LenU,0)))^3))+IF(Q195="",0,IF(Q195="Conical",PI()/12*(N195*INDEX(LenF,MATCH($N$7,LenU,0)))^2*(N(R195)*INDEX(LenF,MATCH($R$7,LenU,0))),INDEX(HeadK,MATCH(Q195,HeadU,0))*(N195*INDEX(LenF,MATCH($N$7,LenU,0)))^3)),0)))</f>
        <v/>
      </c>
      <c r="AF195" s="21" t="str">
        <f aca="false">IF(E195&lt;&gt;"Piping","",IF(AND(ISNUMBER(AS195),ISNUMBER(M195)),PI()/4*(AS195/1000)^2*M195*INDEX(LenF,MATCH($M$7,LenU,0)),0))</f>
        <v/>
      </c>
      <c r="AG195" s="21" t="str">
        <f aca="false">IF(E195="","",N(AD195)+N(AE195)+N(AF195))</f>
        <v/>
      </c>
      <c r="AH195" s="21" t="str">
        <f aca="false">IF(ISNUMBER(I195),I195*INDEX(WtF,MATCH($I$7,WtU,0))/WaterRho,"")</f>
        <v/>
      </c>
      <c r="AI195" s="11"/>
      <c r="AJ195" s="11"/>
      <c r="AK195" s="20"/>
      <c r="AL195" s="11"/>
      <c r="AM195" s="21" t="str">
        <f aca="false">IF(AO195="","",AO195*IF(ISNUMBER(AK195),AK195,DefFills)*(1+IF(ISNUMBER(AL195),AL195,DefAllow)))</f>
        <v/>
      </c>
      <c r="AN195" s="22" t="str">
        <f aca="false">IF(G195="Given volume",IF(ISNUMBER(H195),H195*INDEX(VolF,MATCH($H$7,VolU,0)),""),IF(G195="Water weight",AH195,IF(N(AG195)=0,"",AG195)))</f>
        <v/>
      </c>
      <c r="AO195" s="22" t="str">
        <f aca="false">IF(N(AN195)=0,"",AN195*AT195*IF(ISNUMBER(AJ195),AJ195,DefCirc))</f>
        <v/>
      </c>
      <c r="AP195" s="9" t="n">
        <f aca="false">IF(ISNUMBER(T195),T195*INDEX(LenF,MATCH($T$7,LenU,0)),IF(ISNUMBER(W195),W195*INDEX(LenF,MATCH($W$7,LenU,0))/PitchRatio,0))</f>
        <v>0</v>
      </c>
      <c r="AQ195" s="9" t="n">
        <f aca="false">IF(ISNUMBER(N195),PI()/4*(N195*INDEX(LenF,MATCH($N$7,LenU,0)))^2,IF(AND(ISNUMBER(S195),ISNUMBER(W195),X195&lt;&gt;""),S195*(W195*INDEX(LenF,MATCH($W$7,LenU,0)))^2*INDEX(LayoutF,MATCH(X195,LayoutU,0)),0))</f>
        <v>0</v>
      </c>
      <c r="AR195" s="9" t="n">
        <f aca="false">IF(ISNUMBER(O195),O195*INDEX(LenF,MATCH($O$7,LenU,0)),IF(ISNUMBER(V195),V195*INDEX(LenF,MATCH($V$7,LenU,0)),0))</f>
        <v>0</v>
      </c>
      <c r="AS195" s="9" t="str">
        <f aca="false">IF(ISNUMBER(L195),L195*INDEX(LenF,MATCH($L$7,LenU,0))*1000,IF(OR(J195="",K195=""),"",IFERROR(IF(INDEX(PipeWT,MATCH(J195,NPSU,0),MATCH(K195,SchU,0))="","Sch n/a",INDEX(PipeOD,MATCH(J195,NPSU,0))-2*INDEX(PipeWT,MATCH(J195,NPSU,0),MATCH(K195,SchU,0))),"")))</f>
        <v/>
      </c>
      <c r="AT195" s="9" t="n">
        <f aca="false">IF(ISNUMBER(AI195),AI195,IFERROR(INDEX(IF(JobType="Decontamination",TypeFillDC,TypeFillCC),MATCH(E195,TypeL,0)),1))</f>
        <v>1</v>
      </c>
      <c r="AU195" s="9" t="n">
        <v>6</v>
      </c>
    </row>
    <row r="196" customFormat="false" ht="15" hidden="false" customHeight="false" outlineLevel="0" collapsed="false">
      <c r="A196" s="16" t="n">
        <v>22</v>
      </c>
      <c r="B196" s="20"/>
      <c r="C196" s="5"/>
      <c r="D196" s="5"/>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1" t="str">
        <f aca="false">IF(E196="Exchanger",IF(AND(ISNUMBER(S196),ISNUMBER(U196),ISNUMBER(V196)),S196*PI()/4*(U196*INDEX(LenF,MATCH($U$7,LenU,0)))^2*V196*INDEX(LenF,MATCH($V$7,LenU,0)),0)+IF(ISNUMBER(Y196),PI()/4*(Y196*INDEX(LenF,MATCH($Y$7,LenU,0)))^2*N(Z196)*INDEX(LenF,MATCH($Z$7,LenU,0))+IF(AA196="",0,IF(AA196="Conical",PI()/12*(Y196*INDEX(LenF,MATCH($Y$7,LenU,0)))^2*(0),INDEX(HeadK,MATCH(AA196,HeadU,0))*(Y196*INDEX(LenF,MATCH($Y$7,LenU,0)))^3)),0)+IF(ISNUMBER(Y196),PI()/4*(Y196*INDEX(LenF,MATCH($Y$7,LenU,0)))^2*N(AB196)*INDEX(LenF,MATCH($AB$7,LenU,0))+IF(AC196="",0,IF(AC196="Conical",PI()/12*(Y196*INDEX(LenF,MATCH($Y$7,LenU,0)))^2*(0),INDEX(HeadK,MATCH(AC196,HeadU,0))*(Y196*INDEX(LenF,MATCH($Y$7,LenU,0)))^3)),0),"")</f>
        <v/>
      </c>
      <c r="AE196" s="21" t="str">
        <f aca="false">IF(OR(E196="",E196="Piping"),"",IF(E196="Exchanger",AQ196*AR196+IF(P196="",0,IF(P196="Conical",PI()/12*(SQRT(4*AQ196/PI()))^2*(0),INDEX(HeadK,MATCH(P196,HeadU,0))*(SQRT(4*AQ196/PI()))^3))-IF(AND(ISNUMBER(S196),ISNUMBER(V196)),S196*PI()/4*AP196^2*V196*INDEX(LenF,MATCH($V$7,LenU,0)),0),IF(ISNUMBER(N196),PI()/4*(N196*INDEX(LenF,MATCH($N$7,LenU,0)))^2*N(O196)*INDEX(LenF,MATCH($O$7,LenU,0))+IF(P196="",0,IF(P196="Conical",PI()/12*(N196*INDEX(LenF,MATCH($N$7,LenU,0)))^2*(N(R196)*INDEX(LenF,MATCH($R$7,LenU,0))),INDEX(HeadK,MATCH(P196,HeadU,0))*(N196*INDEX(LenF,MATCH($N$7,LenU,0)))^3))+IF(Q196="",0,IF(Q196="Conical",PI()/12*(N196*INDEX(LenF,MATCH($N$7,LenU,0)))^2*(N(R196)*INDEX(LenF,MATCH($R$7,LenU,0))),INDEX(HeadK,MATCH(Q196,HeadU,0))*(N196*INDEX(LenF,MATCH($N$7,LenU,0)))^3)),0)))</f>
        <v/>
      </c>
      <c r="AF196" s="21" t="str">
        <f aca="false">IF(E196&lt;&gt;"Piping","",IF(AND(ISNUMBER(AS196),ISNUMBER(M196)),PI()/4*(AS196/1000)^2*M196*INDEX(LenF,MATCH($M$7,LenU,0)),0))</f>
        <v/>
      </c>
      <c r="AG196" s="21" t="str">
        <f aca="false">IF(E196="","",N(AD196)+N(AE196)+N(AF196))</f>
        <v/>
      </c>
      <c r="AH196" s="21" t="str">
        <f aca="false">IF(ISNUMBER(I196),I196*INDEX(WtF,MATCH($I$7,WtU,0))/WaterRho,"")</f>
        <v/>
      </c>
      <c r="AI196" s="11"/>
      <c r="AJ196" s="11"/>
      <c r="AK196" s="20"/>
      <c r="AL196" s="11"/>
      <c r="AM196" s="21" t="str">
        <f aca="false">IF(AO196="","",AO196*IF(ISNUMBER(AK196),AK196,DefFills)*(1+IF(ISNUMBER(AL196),AL196,DefAllow)))</f>
        <v/>
      </c>
      <c r="AN196" s="22" t="str">
        <f aca="false">IF(G196="Given volume",IF(ISNUMBER(H196),H196*INDEX(VolF,MATCH($H$7,VolU,0)),""),IF(G196="Water weight",AH196,IF(N(AG196)=0,"",AG196)))</f>
        <v/>
      </c>
      <c r="AO196" s="22" t="str">
        <f aca="false">IF(N(AN196)=0,"",AN196*AT196*IF(ISNUMBER(AJ196),AJ196,DefCirc))</f>
        <v/>
      </c>
      <c r="AP196" s="9" t="n">
        <f aca="false">IF(ISNUMBER(T196),T196*INDEX(LenF,MATCH($T$7,LenU,0)),IF(ISNUMBER(W196),W196*INDEX(LenF,MATCH($W$7,LenU,0))/PitchRatio,0))</f>
        <v>0</v>
      </c>
      <c r="AQ196" s="9" t="n">
        <f aca="false">IF(ISNUMBER(N196),PI()/4*(N196*INDEX(LenF,MATCH($N$7,LenU,0)))^2,IF(AND(ISNUMBER(S196),ISNUMBER(W196),X196&lt;&gt;""),S196*(W196*INDEX(LenF,MATCH($W$7,LenU,0)))^2*INDEX(LayoutF,MATCH(X196,LayoutU,0)),0))</f>
        <v>0</v>
      </c>
      <c r="AR196" s="9" t="n">
        <f aca="false">IF(ISNUMBER(O196),O196*INDEX(LenF,MATCH($O$7,LenU,0)),IF(ISNUMBER(V196),V196*INDEX(LenF,MATCH($V$7,LenU,0)),0))</f>
        <v>0</v>
      </c>
      <c r="AS196" s="9" t="str">
        <f aca="false">IF(ISNUMBER(L196),L196*INDEX(LenF,MATCH($L$7,LenU,0))*1000,IF(OR(J196="",K196=""),"",IFERROR(IF(INDEX(PipeWT,MATCH(J196,NPSU,0),MATCH(K196,SchU,0))="","Sch n/a",INDEX(PipeOD,MATCH(J196,NPSU,0))-2*INDEX(PipeWT,MATCH(J196,NPSU,0),MATCH(K196,SchU,0))),"")))</f>
        <v/>
      </c>
      <c r="AT196" s="9" t="n">
        <f aca="false">IF(ISNUMBER(AI196),AI196,IFERROR(INDEX(IF(JobType="Decontamination",TypeFillDC,TypeFillCC),MATCH(E196,TypeL,0)),1))</f>
        <v>1</v>
      </c>
      <c r="AU196" s="9" t="n">
        <v>6</v>
      </c>
    </row>
    <row r="197" customFormat="false" ht="15" hidden="false" customHeight="false" outlineLevel="0" collapsed="false">
      <c r="A197" s="16" t="n">
        <v>23</v>
      </c>
      <c r="B197" s="20"/>
      <c r="C197" s="5"/>
      <c r="D197" s="5"/>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1" t="str">
        <f aca="false">IF(E197="Exchanger",IF(AND(ISNUMBER(S197),ISNUMBER(U197),ISNUMBER(V197)),S197*PI()/4*(U197*INDEX(LenF,MATCH($U$7,LenU,0)))^2*V197*INDEX(LenF,MATCH($V$7,LenU,0)),0)+IF(ISNUMBER(Y197),PI()/4*(Y197*INDEX(LenF,MATCH($Y$7,LenU,0)))^2*N(Z197)*INDEX(LenF,MATCH($Z$7,LenU,0))+IF(AA197="",0,IF(AA197="Conical",PI()/12*(Y197*INDEX(LenF,MATCH($Y$7,LenU,0)))^2*(0),INDEX(HeadK,MATCH(AA197,HeadU,0))*(Y197*INDEX(LenF,MATCH($Y$7,LenU,0)))^3)),0)+IF(ISNUMBER(Y197),PI()/4*(Y197*INDEX(LenF,MATCH($Y$7,LenU,0)))^2*N(AB197)*INDEX(LenF,MATCH($AB$7,LenU,0))+IF(AC197="",0,IF(AC197="Conical",PI()/12*(Y197*INDEX(LenF,MATCH($Y$7,LenU,0)))^2*(0),INDEX(HeadK,MATCH(AC197,HeadU,0))*(Y197*INDEX(LenF,MATCH($Y$7,LenU,0)))^3)),0),"")</f>
        <v/>
      </c>
      <c r="AE197" s="21" t="str">
        <f aca="false">IF(OR(E197="",E197="Piping"),"",IF(E197="Exchanger",AQ197*AR197+IF(P197="",0,IF(P197="Conical",PI()/12*(SQRT(4*AQ197/PI()))^2*(0),INDEX(HeadK,MATCH(P197,HeadU,0))*(SQRT(4*AQ197/PI()))^3))-IF(AND(ISNUMBER(S197),ISNUMBER(V197)),S197*PI()/4*AP197^2*V197*INDEX(LenF,MATCH($V$7,LenU,0)),0),IF(ISNUMBER(N197),PI()/4*(N197*INDEX(LenF,MATCH($N$7,LenU,0)))^2*N(O197)*INDEX(LenF,MATCH($O$7,LenU,0))+IF(P197="",0,IF(P197="Conical",PI()/12*(N197*INDEX(LenF,MATCH($N$7,LenU,0)))^2*(N(R197)*INDEX(LenF,MATCH($R$7,LenU,0))),INDEX(HeadK,MATCH(P197,HeadU,0))*(N197*INDEX(LenF,MATCH($N$7,LenU,0)))^3))+IF(Q197="",0,IF(Q197="Conical",PI()/12*(N197*INDEX(LenF,MATCH($N$7,LenU,0)))^2*(N(R197)*INDEX(LenF,MATCH($R$7,LenU,0))),INDEX(HeadK,MATCH(Q197,HeadU,0))*(N197*INDEX(LenF,MATCH($N$7,LenU,0)))^3)),0)))</f>
        <v/>
      </c>
      <c r="AF197" s="21" t="str">
        <f aca="false">IF(E197&lt;&gt;"Piping","",IF(AND(ISNUMBER(AS197),ISNUMBER(M197)),PI()/4*(AS197/1000)^2*M197*INDEX(LenF,MATCH($M$7,LenU,0)),0))</f>
        <v/>
      </c>
      <c r="AG197" s="21" t="str">
        <f aca="false">IF(E197="","",N(AD197)+N(AE197)+N(AF197))</f>
        <v/>
      </c>
      <c r="AH197" s="21" t="str">
        <f aca="false">IF(ISNUMBER(I197),I197*INDEX(WtF,MATCH($I$7,WtU,0))/WaterRho,"")</f>
        <v/>
      </c>
      <c r="AI197" s="11"/>
      <c r="AJ197" s="11"/>
      <c r="AK197" s="20"/>
      <c r="AL197" s="11"/>
      <c r="AM197" s="21" t="str">
        <f aca="false">IF(AO197="","",AO197*IF(ISNUMBER(AK197),AK197,DefFills)*(1+IF(ISNUMBER(AL197),AL197,DefAllow)))</f>
        <v/>
      </c>
      <c r="AN197" s="22" t="str">
        <f aca="false">IF(G197="Given volume",IF(ISNUMBER(H197),H197*INDEX(VolF,MATCH($H$7,VolU,0)),""),IF(G197="Water weight",AH197,IF(N(AG197)=0,"",AG197)))</f>
        <v/>
      </c>
      <c r="AO197" s="22" t="str">
        <f aca="false">IF(N(AN197)=0,"",AN197*AT197*IF(ISNUMBER(AJ197),AJ197,DefCirc))</f>
        <v/>
      </c>
      <c r="AP197" s="9" t="n">
        <f aca="false">IF(ISNUMBER(T197),T197*INDEX(LenF,MATCH($T$7,LenU,0)),IF(ISNUMBER(W197),W197*INDEX(LenF,MATCH($W$7,LenU,0))/PitchRatio,0))</f>
        <v>0</v>
      </c>
      <c r="AQ197" s="9" t="n">
        <f aca="false">IF(ISNUMBER(N197),PI()/4*(N197*INDEX(LenF,MATCH($N$7,LenU,0)))^2,IF(AND(ISNUMBER(S197),ISNUMBER(W197),X197&lt;&gt;""),S197*(W197*INDEX(LenF,MATCH($W$7,LenU,0)))^2*INDEX(LayoutF,MATCH(X197,LayoutU,0)),0))</f>
        <v>0</v>
      </c>
      <c r="AR197" s="9" t="n">
        <f aca="false">IF(ISNUMBER(O197),O197*INDEX(LenF,MATCH($O$7,LenU,0)),IF(ISNUMBER(V197),V197*INDEX(LenF,MATCH($V$7,LenU,0)),0))</f>
        <v>0</v>
      </c>
      <c r="AS197" s="9" t="str">
        <f aca="false">IF(ISNUMBER(L197),L197*INDEX(LenF,MATCH($L$7,LenU,0))*1000,IF(OR(J197="",K197=""),"",IFERROR(IF(INDEX(PipeWT,MATCH(J197,NPSU,0),MATCH(K197,SchU,0))="","Sch n/a",INDEX(PipeOD,MATCH(J197,NPSU,0))-2*INDEX(PipeWT,MATCH(J197,NPSU,0),MATCH(K197,SchU,0))),"")))</f>
        <v/>
      </c>
      <c r="AT197" s="9" t="n">
        <f aca="false">IF(ISNUMBER(AI197),AI197,IFERROR(INDEX(IF(JobType="Decontamination",TypeFillDC,TypeFillCC),MATCH(E197,TypeL,0)),1))</f>
        <v>1</v>
      </c>
      <c r="AU197" s="9" t="n">
        <v>6</v>
      </c>
    </row>
    <row r="198" customFormat="false" ht="15" hidden="false" customHeight="false" outlineLevel="0" collapsed="false">
      <c r="A198" s="16" t="n">
        <v>24</v>
      </c>
      <c r="B198" s="20"/>
      <c r="C198" s="5"/>
      <c r="D198" s="5"/>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1" t="str">
        <f aca="false">IF(E198="Exchanger",IF(AND(ISNUMBER(S198),ISNUMBER(U198),ISNUMBER(V198)),S198*PI()/4*(U198*INDEX(LenF,MATCH($U$7,LenU,0)))^2*V198*INDEX(LenF,MATCH($V$7,LenU,0)),0)+IF(ISNUMBER(Y198),PI()/4*(Y198*INDEX(LenF,MATCH($Y$7,LenU,0)))^2*N(Z198)*INDEX(LenF,MATCH($Z$7,LenU,0))+IF(AA198="",0,IF(AA198="Conical",PI()/12*(Y198*INDEX(LenF,MATCH($Y$7,LenU,0)))^2*(0),INDEX(HeadK,MATCH(AA198,HeadU,0))*(Y198*INDEX(LenF,MATCH($Y$7,LenU,0)))^3)),0)+IF(ISNUMBER(Y198),PI()/4*(Y198*INDEX(LenF,MATCH($Y$7,LenU,0)))^2*N(AB198)*INDEX(LenF,MATCH($AB$7,LenU,0))+IF(AC198="",0,IF(AC198="Conical",PI()/12*(Y198*INDEX(LenF,MATCH($Y$7,LenU,0)))^2*(0),INDEX(HeadK,MATCH(AC198,HeadU,0))*(Y198*INDEX(LenF,MATCH($Y$7,LenU,0)))^3)),0),"")</f>
        <v/>
      </c>
      <c r="AE198" s="21" t="str">
        <f aca="false">IF(OR(E198="",E198="Piping"),"",IF(E198="Exchanger",AQ198*AR198+IF(P198="",0,IF(P198="Conical",PI()/12*(SQRT(4*AQ198/PI()))^2*(0),INDEX(HeadK,MATCH(P198,HeadU,0))*(SQRT(4*AQ198/PI()))^3))-IF(AND(ISNUMBER(S198),ISNUMBER(V198)),S198*PI()/4*AP198^2*V198*INDEX(LenF,MATCH($V$7,LenU,0)),0),IF(ISNUMBER(N198),PI()/4*(N198*INDEX(LenF,MATCH($N$7,LenU,0)))^2*N(O198)*INDEX(LenF,MATCH($O$7,LenU,0))+IF(P198="",0,IF(P198="Conical",PI()/12*(N198*INDEX(LenF,MATCH($N$7,LenU,0)))^2*(N(R198)*INDEX(LenF,MATCH($R$7,LenU,0))),INDEX(HeadK,MATCH(P198,HeadU,0))*(N198*INDEX(LenF,MATCH($N$7,LenU,0)))^3))+IF(Q198="",0,IF(Q198="Conical",PI()/12*(N198*INDEX(LenF,MATCH($N$7,LenU,0)))^2*(N(R198)*INDEX(LenF,MATCH($R$7,LenU,0))),INDEX(HeadK,MATCH(Q198,HeadU,0))*(N198*INDEX(LenF,MATCH($N$7,LenU,0)))^3)),0)))</f>
        <v/>
      </c>
      <c r="AF198" s="21" t="str">
        <f aca="false">IF(E198&lt;&gt;"Piping","",IF(AND(ISNUMBER(AS198),ISNUMBER(M198)),PI()/4*(AS198/1000)^2*M198*INDEX(LenF,MATCH($M$7,LenU,0)),0))</f>
        <v/>
      </c>
      <c r="AG198" s="21" t="str">
        <f aca="false">IF(E198="","",N(AD198)+N(AE198)+N(AF198))</f>
        <v/>
      </c>
      <c r="AH198" s="21" t="str">
        <f aca="false">IF(ISNUMBER(I198),I198*INDEX(WtF,MATCH($I$7,WtU,0))/WaterRho,"")</f>
        <v/>
      </c>
      <c r="AI198" s="11"/>
      <c r="AJ198" s="11"/>
      <c r="AK198" s="20"/>
      <c r="AL198" s="11"/>
      <c r="AM198" s="21" t="str">
        <f aca="false">IF(AO198="","",AO198*IF(ISNUMBER(AK198),AK198,DefFills)*(1+IF(ISNUMBER(AL198),AL198,DefAllow)))</f>
        <v/>
      </c>
      <c r="AN198" s="22" t="str">
        <f aca="false">IF(G198="Given volume",IF(ISNUMBER(H198),H198*INDEX(VolF,MATCH($H$7,VolU,0)),""),IF(G198="Water weight",AH198,IF(N(AG198)=0,"",AG198)))</f>
        <v/>
      </c>
      <c r="AO198" s="22" t="str">
        <f aca="false">IF(N(AN198)=0,"",AN198*AT198*IF(ISNUMBER(AJ198),AJ198,DefCirc))</f>
        <v/>
      </c>
      <c r="AP198" s="9" t="n">
        <f aca="false">IF(ISNUMBER(T198),T198*INDEX(LenF,MATCH($T$7,LenU,0)),IF(ISNUMBER(W198),W198*INDEX(LenF,MATCH($W$7,LenU,0))/PitchRatio,0))</f>
        <v>0</v>
      </c>
      <c r="AQ198" s="9" t="n">
        <f aca="false">IF(ISNUMBER(N198),PI()/4*(N198*INDEX(LenF,MATCH($N$7,LenU,0)))^2,IF(AND(ISNUMBER(S198),ISNUMBER(W198),X198&lt;&gt;""),S198*(W198*INDEX(LenF,MATCH($W$7,LenU,0)))^2*INDEX(LayoutF,MATCH(X198,LayoutU,0)),0))</f>
        <v>0</v>
      </c>
      <c r="AR198" s="9" t="n">
        <f aca="false">IF(ISNUMBER(O198),O198*INDEX(LenF,MATCH($O$7,LenU,0)),IF(ISNUMBER(V198),V198*INDEX(LenF,MATCH($V$7,LenU,0)),0))</f>
        <v>0</v>
      </c>
      <c r="AS198" s="9" t="str">
        <f aca="false">IF(ISNUMBER(L198),L198*INDEX(LenF,MATCH($L$7,LenU,0))*1000,IF(OR(J198="",K198=""),"",IFERROR(IF(INDEX(PipeWT,MATCH(J198,NPSU,0),MATCH(K198,SchU,0))="","Sch n/a",INDEX(PipeOD,MATCH(J198,NPSU,0))-2*INDEX(PipeWT,MATCH(J198,NPSU,0),MATCH(K198,SchU,0))),"")))</f>
        <v/>
      </c>
      <c r="AT198" s="9" t="n">
        <f aca="false">IF(ISNUMBER(AI198),AI198,IFERROR(INDEX(IF(JobType="Decontamination",TypeFillDC,TypeFillCC),MATCH(E198,TypeL,0)),1))</f>
        <v>1</v>
      </c>
      <c r="AU198" s="9" t="n">
        <v>6</v>
      </c>
    </row>
    <row r="199" customFormat="false" ht="15" hidden="false" customHeight="false" outlineLevel="0" collapsed="false">
      <c r="A199" s="16" t="n">
        <v>25</v>
      </c>
      <c r="B199" s="20"/>
      <c r="C199" s="5"/>
      <c r="D199" s="5"/>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1" t="str">
        <f aca="false">IF(E199="Exchanger",IF(AND(ISNUMBER(S199),ISNUMBER(U199),ISNUMBER(V199)),S199*PI()/4*(U199*INDEX(LenF,MATCH($U$7,LenU,0)))^2*V199*INDEX(LenF,MATCH($V$7,LenU,0)),0)+IF(ISNUMBER(Y199),PI()/4*(Y199*INDEX(LenF,MATCH($Y$7,LenU,0)))^2*N(Z199)*INDEX(LenF,MATCH($Z$7,LenU,0))+IF(AA199="",0,IF(AA199="Conical",PI()/12*(Y199*INDEX(LenF,MATCH($Y$7,LenU,0)))^2*(0),INDEX(HeadK,MATCH(AA199,HeadU,0))*(Y199*INDEX(LenF,MATCH($Y$7,LenU,0)))^3)),0)+IF(ISNUMBER(Y199),PI()/4*(Y199*INDEX(LenF,MATCH($Y$7,LenU,0)))^2*N(AB199)*INDEX(LenF,MATCH($AB$7,LenU,0))+IF(AC199="",0,IF(AC199="Conical",PI()/12*(Y199*INDEX(LenF,MATCH($Y$7,LenU,0)))^2*(0),INDEX(HeadK,MATCH(AC199,HeadU,0))*(Y199*INDEX(LenF,MATCH($Y$7,LenU,0)))^3)),0),"")</f>
        <v/>
      </c>
      <c r="AE199" s="21" t="str">
        <f aca="false">IF(OR(E199="",E199="Piping"),"",IF(E199="Exchanger",AQ199*AR199+IF(P199="",0,IF(P199="Conical",PI()/12*(SQRT(4*AQ199/PI()))^2*(0),INDEX(HeadK,MATCH(P199,HeadU,0))*(SQRT(4*AQ199/PI()))^3))-IF(AND(ISNUMBER(S199),ISNUMBER(V199)),S199*PI()/4*AP199^2*V199*INDEX(LenF,MATCH($V$7,LenU,0)),0),IF(ISNUMBER(N199),PI()/4*(N199*INDEX(LenF,MATCH($N$7,LenU,0)))^2*N(O199)*INDEX(LenF,MATCH($O$7,LenU,0))+IF(P199="",0,IF(P199="Conical",PI()/12*(N199*INDEX(LenF,MATCH($N$7,LenU,0)))^2*(N(R199)*INDEX(LenF,MATCH($R$7,LenU,0))),INDEX(HeadK,MATCH(P199,HeadU,0))*(N199*INDEX(LenF,MATCH($N$7,LenU,0)))^3))+IF(Q199="",0,IF(Q199="Conical",PI()/12*(N199*INDEX(LenF,MATCH($N$7,LenU,0)))^2*(N(R199)*INDEX(LenF,MATCH($R$7,LenU,0))),INDEX(HeadK,MATCH(Q199,HeadU,0))*(N199*INDEX(LenF,MATCH($N$7,LenU,0)))^3)),0)))</f>
        <v/>
      </c>
      <c r="AF199" s="21" t="str">
        <f aca="false">IF(E199&lt;&gt;"Piping","",IF(AND(ISNUMBER(AS199),ISNUMBER(M199)),PI()/4*(AS199/1000)^2*M199*INDEX(LenF,MATCH($M$7,LenU,0)),0))</f>
        <v/>
      </c>
      <c r="AG199" s="21" t="str">
        <f aca="false">IF(E199="","",N(AD199)+N(AE199)+N(AF199))</f>
        <v/>
      </c>
      <c r="AH199" s="21" t="str">
        <f aca="false">IF(ISNUMBER(I199),I199*INDEX(WtF,MATCH($I$7,WtU,0))/WaterRho,"")</f>
        <v/>
      </c>
      <c r="AI199" s="11"/>
      <c r="AJ199" s="11"/>
      <c r="AK199" s="20"/>
      <c r="AL199" s="11"/>
      <c r="AM199" s="21" t="str">
        <f aca="false">IF(AO199="","",AO199*IF(ISNUMBER(AK199),AK199,DefFills)*(1+IF(ISNUMBER(AL199),AL199,DefAllow)))</f>
        <v/>
      </c>
      <c r="AN199" s="22" t="str">
        <f aca="false">IF(G199="Given volume",IF(ISNUMBER(H199),H199*INDEX(VolF,MATCH($H$7,VolU,0)),""),IF(G199="Water weight",AH199,IF(N(AG199)=0,"",AG199)))</f>
        <v/>
      </c>
      <c r="AO199" s="22" t="str">
        <f aca="false">IF(N(AN199)=0,"",AN199*AT199*IF(ISNUMBER(AJ199),AJ199,DefCirc))</f>
        <v/>
      </c>
      <c r="AP199" s="9" t="n">
        <f aca="false">IF(ISNUMBER(T199),T199*INDEX(LenF,MATCH($T$7,LenU,0)),IF(ISNUMBER(W199),W199*INDEX(LenF,MATCH($W$7,LenU,0))/PitchRatio,0))</f>
        <v>0</v>
      </c>
      <c r="AQ199" s="9" t="n">
        <f aca="false">IF(ISNUMBER(N199),PI()/4*(N199*INDEX(LenF,MATCH($N$7,LenU,0)))^2,IF(AND(ISNUMBER(S199),ISNUMBER(W199),X199&lt;&gt;""),S199*(W199*INDEX(LenF,MATCH($W$7,LenU,0)))^2*INDEX(LayoutF,MATCH(X199,LayoutU,0)),0))</f>
        <v>0</v>
      </c>
      <c r="AR199" s="9" t="n">
        <f aca="false">IF(ISNUMBER(O199),O199*INDEX(LenF,MATCH($O$7,LenU,0)),IF(ISNUMBER(V199),V199*INDEX(LenF,MATCH($V$7,LenU,0)),0))</f>
        <v>0</v>
      </c>
      <c r="AS199" s="9" t="str">
        <f aca="false">IF(ISNUMBER(L199),L199*INDEX(LenF,MATCH($L$7,LenU,0))*1000,IF(OR(J199="",K199=""),"",IFERROR(IF(INDEX(PipeWT,MATCH(J199,NPSU,0),MATCH(K199,SchU,0))="","Sch n/a",INDEX(PipeOD,MATCH(J199,NPSU,0))-2*INDEX(PipeWT,MATCH(J199,NPSU,0),MATCH(K199,SchU,0))),"")))</f>
        <v/>
      </c>
      <c r="AT199" s="9" t="n">
        <f aca="false">IF(ISNUMBER(AI199),AI199,IFERROR(INDEX(IF(JobType="Decontamination",TypeFillDC,TypeFillCC),MATCH(E199,TypeL,0)),1))</f>
        <v>1</v>
      </c>
      <c r="AU199" s="9" t="n">
        <v>6</v>
      </c>
    </row>
    <row r="200" customFormat="false" ht="15" hidden="false" customHeight="false" outlineLevel="0" collapsed="false">
      <c r="A200" s="16" t="n">
        <v>26</v>
      </c>
      <c r="B200" s="20"/>
      <c r="C200" s="5"/>
      <c r="D200" s="5"/>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1" t="str">
        <f aca="false">IF(E200="Exchanger",IF(AND(ISNUMBER(S200),ISNUMBER(U200),ISNUMBER(V200)),S200*PI()/4*(U200*INDEX(LenF,MATCH($U$7,LenU,0)))^2*V200*INDEX(LenF,MATCH($V$7,LenU,0)),0)+IF(ISNUMBER(Y200),PI()/4*(Y200*INDEX(LenF,MATCH($Y$7,LenU,0)))^2*N(Z200)*INDEX(LenF,MATCH($Z$7,LenU,0))+IF(AA200="",0,IF(AA200="Conical",PI()/12*(Y200*INDEX(LenF,MATCH($Y$7,LenU,0)))^2*(0),INDEX(HeadK,MATCH(AA200,HeadU,0))*(Y200*INDEX(LenF,MATCH($Y$7,LenU,0)))^3)),0)+IF(ISNUMBER(Y200),PI()/4*(Y200*INDEX(LenF,MATCH($Y$7,LenU,0)))^2*N(AB200)*INDEX(LenF,MATCH($AB$7,LenU,0))+IF(AC200="",0,IF(AC200="Conical",PI()/12*(Y200*INDEX(LenF,MATCH($Y$7,LenU,0)))^2*(0),INDEX(HeadK,MATCH(AC200,HeadU,0))*(Y200*INDEX(LenF,MATCH($Y$7,LenU,0)))^3)),0),"")</f>
        <v/>
      </c>
      <c r="AE200" s="21" t="str">
        <f aca="false">IF(OR(E200="",E200="Piping"),"",IF(E200="Exchanger",AQ200*AR200+IF(P200="",0,IF(P200="Conical",PI()/12*(SQRT(4*AQ200/PI()))^2*(0),INDEX(HeadK,MATCH(P200,HeadU,0))*(SQRT(4*AQ200/PI()))^3))-IF(AND(ISNUMBER(S200),ISNUMBER(V200)),S200*PI()/4*AP200^2*V200*INDEX(LenF,MATCH($V$7,LenU,0)),0),IF(ISNUMBER(N200),PI()/4*(N200*INDEX(LenF,MATCH($N$7,LenU,0)))^2*N(O200)*INDEX(LenF,MATCH($O$7,LenU,0))+IF(P200="",0,IF(P200="Conical",PI()/12*(N200*INDEX(LenF,MATCH($N$7,LenU,0)))^2*(N(R200)*INDEX(LenF,MATCH($R$7,LenU,0))),INDEX(HeadK,MATCH(P200,HeadU,0))*(N200*INDEX(LenF,MATCH($N$7,LenU,0)))^3))+IF(Q200="",0,IF(Q200="Conical",PI()/12*(N200*INDEX(LenF,MATCH($N$7,LenU,0)))^2*(N(R200)*INDEX(LenF,MATCH($R$7,LenU,0))),INDEX(HeadK,MATCH(Q200,HeadU,0))*(N200*INDEX(LenF,MATCH($N$7,LenU,0)))^3)),0)))</f>
        <v/>
      </c>
      <c r="AF200" s="21" t="str">
        <f aca="false">IF(E200&lt;&gt;"Piping","",IF(AND(ISNUMBER(AS200),ISNUMBER(M200)),PI()/4*(AS200/1000)^2*M200*INDEX(LenF,MATCH($M$7,LenU,0)),0))</f>
        <v/>
      </c>
      <c r="AG200" s="21" t="str">
        <f aca="false">IF(E200="","",N(AD200)+N(AE200)+N(AF200))</f>
        <v/>
      </c>
      <c r="AH200" s="21" t="str">
        <f aca="false">IF(ISNUMBER(I200),I200*INDEX(WtF,MATCH($I$7,WtU,0))/WaterRho,"")</f>
        <v/>
      </c>
      <c r="AI200" s="11"/>
      <c r="AJ200" s="11"/>
      <c r="AK200" s="20"/>
      <c r="AL200" s="11"/>
      <c r="AM200" s="21" t="str">
        <f aca="false">IF(AO200="","",AO200*IF(ISNUMBER(AK200),AK200,DefFills)*(1+IF(ISNUMBER(AL200),AL200,DefAllow)))</f>
        <v/>
      </c>
      <c r="AN200" s="22" t="str">
        <f aca="false">IF(G200="Given volume",IF(ISNUMBER(H200),H200*INDEX(VolF,MATCH($H$7,VolU,0)),""),IF(G200="Water weight",AH200,IF(N(AG200)=0,"",AG200)))</f>
        <v/>
      </c>
      <c r="AO200" s="22" t="str">
        <f aca="false">IF(N(AN200)=0,"",AN200*AT200*IF(ISNUMBER(AJ200),AJ200,DefCirc))</f>
        <v/>
      </c>
      <c r="AP200" s="9" t="n">
        <f aca="false">IF(ISNUMBER(T200),T200*INDEX(LenF,MATCH($T$7,LenU,0)),IF(ISNUMBER(W200),W200*INDEX(LenF,MATCH($W$7,LenU,0))/PitchRatio,0))</f>
        <v>0</v>
      </c>
      <c r="AQ200" s="9" t="n">
        <f aca="false">IF(ISNUMBER(N200),PI()/4*(N200*INDEX(LenF,MATCH($N$7,LenU,0)))^2,IF(AND(ISNUMBER(S200),ISNUMBER(W200),X200&lt;&gt;""),S200*(W200*INDEX(LenF,MATCH($W$7,LenU,0)))^2*INDEX(LayoutF,MATCH(X200,LayoutU,0)),0))</f>
        <v>0</v>
      </c>
      <c r="AR200" s="9" t="n">
        <f aca="false">IF(ISNUMBER(O200),O200*INDEX(LenF,MATCH($O$7,LenU,0)),IF(ISNUMBER(V200),V200*INDEX(LenF,MATCH($V$7,LenU,0)),0))</f>
        <v>0</v>
      </c>
      <c r="AS200" s="9" t="str">
        <f aca="false">IF(ISNUMBER(L200),L200*INDEX(LenF,MATCH($L$7,LenU,0))*1000,IF(OR(J200="",K200=""),"",IFERROR(IF(INDEX(PipeWT,MATCH(J200,NPSU,0),MATCH(K200,SchU,0))="","Sch n/a",INDEX(PipeOD,MATCH(J200,NPSU,0))-2*INDEX(PipeWT,MATCH(J200,NPSU,0),MATCH(K200,SchU,0))),"")))</f>
        <v/>
      </c>
      <c r="AT200" s="9" t="n">
        <f aca="false">IF(ISNUMBER(AI200),AI200,IFERROR(INDEX(IF(JobType="Decontamination",TypeFillDC,TypeFillCC),MATCH(E200,TypeL,0)),1))</f>
        <v>1</v>
      </c>
      <c r="AU200" s="9" t="n">
        <v>6</v>
      </c>
    </row>
    <row r="201" customFormat="false" ht="15" hidden="false" customHeight="false" outlineLevel="0" collapsed="false">
      <c r="A201" s="16" t="n">
        <v>27</v>
      </c>
      <c r="B201" s="20"/>
      <c r="C201" s="5"/>
      <c r="D201" s="5"/>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1" t="str">
        <f aca="false">IF(E201="Exchanger",IF(AND(ISNUMBER(S201),ISNUMBER(U201),ISNUMBER(V201)),S201*PI()/4*(U201*INDEX(LenF,MATCH($U$7,LenU,0)))^2*V201*INDEX(LenF,MATCH($V$7,LenU,0)),0)+IF(ISNUMBER(Y201),PI()/4*(Y201*INDEX(LenF,MATCH($Y$7,LenU,0)))^2*N(Z201)*INDEX(LenF,MATCH($Z$7,LenU,0))+IF(AA201="",0,IF(AA201="Conical",PI()/12*(Y201*INDEX(LenF,MATCH($Y$7,LenU,0)))^2*(0),INDEX(HeadK,MATCH(AA201,HeadU,0))*(Y201*INDEX(LenF,MATCH($Y$7,LenU,0)))^3)),0)+IF(ISNUMBER(Y201),PI()/4*(Y201*INDEX(LenF,MATCH($Y$7,LenU,0)))^2*N(AB201)*INDEX(LenF,MATCH($AB$7,LenU,0))+IF(AC201="",0,IF(AC201="Conical",PI()/12*(Y201*INDEX(LenF,MATCH($Y$7,LenU,0)))^2*(0),INDEX(HeadK,MATCH(AC201,HeadU,0))*(Y201*INDEX(LenF,MATCH($Y$7,LenU,0)))^3)),0),"")</f>
        <v/>
      </c>
      <c r="AE201" s="21" t="str">
        <f aca="false">IF(OR(E201="",E201="Piping"),"",IF(E201="Exchanger",AQ201*AR201+IF(P201="",0,IF(P201="Conical",PI()/12*(SQRT(4*AQ201/PI()))^2*(0),INDEX(HeadK,MATCH(P201,HeadU,0))*(SQRT(4*AQ201/PI()))^3))-IF(AND(ISNUMBER(S201),ISNUMBER(V201)),S201*PI()/4*AP201^2*V201*INDEX(LenF,MATCH($V$7,LenU,0)),0),IF(ISNUMBER(N201),PI()/4*(N201*INDEX(LenF,MATCH($N$7,LenU,0)))^2*N(O201)*INDEX(LenF,MATCH($O$7,LenU,0))+IF(P201="",0,IF(P201="Conical",PI()/12*(N201*INDEX(LenF,MATCH($N$7,LenU,0)))^2*(N(R201)*INDEX(LenF,MATCH($R$7,LenU,0))),INDEX(HeadK,MATCH(P201,HeadU,0))*(N201*INDEX(LenF,MATCH($N$7,LenU,0)))^3))+IF(Q201="",0,IF(Q201="Conical",PI()/12*(N201*INDEX(LenF,MATCH($N$7,LenU,0)))^2*(N(R201)*INDEX(LenF,MATCH($R$7,LenU,0))),INDEX(HeadK,MATCH(Q201,HeadU,0))*(N201*INDEX(LenF,MATCH($N$7,LenU,0)))^3)),0)))</f>
        <v/>
      </c>
      <c r="AF201" s="21" t="str">
        <f aca="false">IF(E201&lt;&gt;"Piping","",IF(AND(ISNUMBER(AS201),ISNUMBER(M201)),PI()/4*(AS201/1000)^2*M201*INDEX(LenF,MATCH($M$7,LenU,0)),0))</f>
        <v/>
      </c>
      <c r="AG201" s="21" t="str">
        <f aca="false">IF(E201="","",N(AD201)+N(AE201)+N(AF201))</f>
        <v/>
      </c>
      <c r="AH201" s="21" t="str">
        <f aca="false">IF(ISNUMBER(I201),I201*INDEX(WtF,MATCH($I$7,WtU,0))/WaterRho,"")</f>
        <v/>
      </c>
      <c r="AI201" s="11"/>
      <c r="AJ201" s="11"/>
      <c r="AK201" s="20"/>
      <c r="AL201" s="11"/>
      <c r="AM201" s="21" t="str">
        <f aca="false">IF(AO201="","",AO201*IF(ISNUMBER(AK201),AK201,DefFills)*(1+IF(ISNUMBER(AL201),AL201,DefAllow)))</f>
        <v/>
      </c>
      <c r="AN201" s="22" t="str">
        <f aca="false">IF(G201="Given volume",IF(ISNUMBER(H201),H201*INDEX(VolF,MATCH($H$7,VolU,0)),""),IF(G201="Water weight",AH201,IF(N(AG201)=0,"",AG201)))</f>
        <v/>
      </c>
      <c r="AO201" s="22" t="str">
        <f aca="false">IF(N(AN201)=0,"",AN201*AT201*IF(ISNUMBER(AJ201),AJ201,DefCirc))</f>
        <v/>
      </c>
      <c r="AP201" s="9" t="n">
        <f aca="false">IF(ISNUMBER(T201),T201*INDEX(LenF,MATCH($T$7,LenU,0)),IF(ISNUMBER(W201),W201*INDEX(LenF,MATCH($W$7,LenU,0))/PitchRatio,0))</f>
        <v>0</v>
      </c>
      <c r="AQ201" s="9" t="n">
        <f aca="false">IF(ISNUMBER(N201),PI()/4*(N201*INDEX(LenF,MATCH($N$7,LenU,0)))^2,IF(AND(ISNUMBER(S201),ISNUMBER(W201),X201&lt;&gt;""),S201*(W201*INDEX(LenF,MATCH($W$7,LenU,0)))^2*INDEX(LayoutF,MATCH(X201,LayoutU,0)),0))</f>
        <v>0</v>
      </c>
      <c r="AR201" s="9" t="n">
        <f aca="false">IF(ISNUMBER(O201),O201*INDEX(LenF,MATCH($O$7,LenU,0)),IF(ISNUMBER(V201),V201*INDEX(LenF,MATCH($V$7,LenU,0)),0))</f>
        <v>0</v>
      </c>
      <c r="AS201" s="9" t="str">
        <f aca="false">IF(ISNUMBER(L201),L201*INDEX(LenF,MATCH($L$7,LenU,0))*1000,IF(OR(J201="",K201=""),"",IFERROR(IF(INDEX(PipeWT,MATCH(J201,NPSU,0),MATCH(K201,SchU,0))="","Sch n/a",INDEX(PipeOD,MATCH(J201,NPSU,0))-2*INDEX(PipeWT,MATCH(J201,NPSU,0),MATCH(K201,SchU,0))),"")))</f>
        <v/>
      </c>
      <c r="AT201" s="9" t="n">
        <f aca="false">IF(ISNUMBER(AI201),AI201,IFERROR(INDEX(IF(JobType="Decontamination",TypeFillDC,TypeFillCC),MATCH(E201,TypeL,0)),1))</f>
        <v>1</v>
      </c>
      <c r="AU201" s="9" t="n">
        <v>6</v>
      </c>
    </row>
    <row r="202" customFormat="false" ht="15" hidden="false" customHeight="false" outlineLevel="0" collapsed="false">
      <c r="A202" s="16" t="n">
        <v>28</v>
      </c>
      <c r="B202" s="20"/>
      <c r="C202" s="5"/>
      <c r="D202" s="5"/>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1" t="str">
        <f aca="false">IF(E202="Exchanger",IF(AND(ISNUMBER(S202),ISNUMBER(U202),ISNUMBER(V202)),S202*PI()/4*(U202*INDEX(LenF,MATCH($U$7,LenU,0)))^2*V202*INDEX(LenF,MATCH($V$7,LenU,0)),0)+IF(ISNUMBER(Y202),PI()/4*(Y202*INDEX(LenF,MATCH($Y$7,LenU,0)))^2*N(Z202)*INDEX(LenF,MATCH($Z$7,LenU,0))+IF(AA202="",0,IF(AA202="Conical",PI()/12*(Y202*INDEX(LenF,MATCH($Y$7,LenU,0)))^2*(0),INDEX(HeadK,MATCH(AA202,HeadU,0))*(Y202*INDEX(LenF,MATCH($Y$7,LenU,0)))^3)),0)+IF(ISNUMBER(Y202),PI()/4*(Y202*INDEX(LenF,MATCH($Y$7,LenU,0)))^2*N(AB202)*INDEX(LenF,MATCH($AB$7,LenU,0))+IF(AC202="",0,IF(AC202="Conical",PI()/12*(Y202*INDEX(LenF,MATCH($Y$7,LenU,0)))^2*(0),INDEX(HeadK,MATCH(AC202,HeadU,0))*(Y202*INDEX(LenF,MATCH($Y$7,LenU,0)))^3)),0),"")</f>
        <v/>
      </c>
      <c r="AE202" s="21" t="str">
        <f aca="false">IF(OR(E202="",E202="Piping"),"",IF(E202="Exchanger",AQ202*AR202+IF(P202="",0,IF(P202="Conical",PI()/12*(SQRT(4*AQ202/PI()))^2*(0),INDEX(HeadK,MATCH(P202,HeadU,0))*(SQRT(4*AQ202/PI()))^3))-IF(AND(ISNUMBER(S202),ISNUMBER(V202)),S202*PI()/4*AP202^2*V202*INDEX(LenF,MATCH($V$7,LenU,0)),0),IF(ISNUMBER(N202),PI()/4*(N202*INDEX(LenF,MATCH($N$7,LenU,0)))^2*N(O202)*INDEX(LenF,MATCH($O$7,LenU,0))+IF(P202="",0,IF(P202="Conical",PI()/12*(N202*INDEX(LenF,MATCH($N$7,LenU,0)))^2*(N(R202)*INDEX(LenF,MATCH($R$7,LenU,0))),INDEX(HeadK,MATCH(P202,HeadU,0))*(N202*INDEX(LenF,MATCH($N$7,LenU,0)))^3))+IF(Q202="",0,IF(Q202="Conical",PI()/12*(N202*INDEX(LenF,MATCH($N$7,LenU,0)))^2*(N(R202)*INDEX(LenF,MATCH($R$7,LenU,0))),INDEX(HeadK,MATCH(Q202,HeadU,0))*(N202*INDEX(LenF,MATCH($N$7,LenU,0)))^3)),0)))</f>
        <v/>
      </c>
      <c r="AF202" s="21" t="str">
        <f aca="false">IF(E202&lt;&gt;"Piping","",IF(AND(ISNUMBER(AS202),ISNUMBER(M202)),PI()/4*(AS202/1000)^2*M202*INDEX(LenF,MATCH($M$7,LenU,0)),0))</f>
        <v/>
      </c>
      <c r="AG202" s="21" t="str">
        <f aca="false">IF(E202="","",N(AD202)+N(AE202)+N(AF202))</f>
        <v/>
      </c>
      <c r="AH202" s="21" t="str">
        <f aca="false">IF(ISNUMBER(I202),I202*INDEX(WtF,MATCH($I$7,WtU,0))/WaterRho,"")</f>
        <v/>
      </c>
      <c r="AI202" s="11"/>
      <c r="AJ202" s="11"/>
      <c r="AK202" s="20"/>
      <c r="AL202" s="11"/>
      <c r="AM202" s="21" t="str">
        <f aca="false">IF(AO202="","",AO202*IF(ISNUMBER(AK202),AK202,DefFills)*(1+IF(ISNUMBER(AL202),AL202,DefAllow)))</f>
        <v/>
      </c>
      <c r="AN202" s="22" t="str">
        <f aca="false">IF(G202="Given volume",IF(ISNUMBER(H202),H202*INDEX(VolF,MATCH($H$7,VolU,0)),""),IF(G202="Water weight",AH202,IF(N(AG202)=0,"",AG202)))</f>
        <v/>
      </c>
      <c r="AO202" s="22" t="str">
        <f aca="false">IF(N(AN202)=0,"",AN202*AT202*IF(ISNUMBER(AJ202),AJ202,DefCirc))</f>
        <v/>
      </c>
      <c r="AP202" s="9" t="n">
        <f aca="false">IF(ISNUMBER(T202),T202*INDEX(LenF,MATCH($T$7,LenU,0)),IF(ISNUMBER(W202),W202*INDEX(LenF,MATCH($W$7,LenU,0))/PitchRatio,0))</f>
        <v>0</v>
      </c>
      <c r="AQ202" s="9" t="n">
        <f aca="false">IF(ISNUMBER(N202),PI()/4*(N202*INDEX(LenF,MATCH($N$7,LenU,0)))^2,IF(AND(ISNUMBER(S202),ISNUMBER(W202),X202&lt;&gt;""),S202*(W202*INDEX(LenF,MATCH($W$7,LenU,0)))^2*INDEX(LayoutF,MATCH(X202,LayoutU,0)),0))</f>
        <v>0</v>
      </c>
      <c r="AR202" s="9" t="n">
        <f aca="false">IF(ISNUMBER(O202),O202*INDEX(LenF,MATCH($O$7,LenU,0)),IF(ISNUMBER(V202),V202*INDEX(LenF,MATCH($V$7,LenU,0)),0))</f>
        <v>0</v>
      </c>
      <c r="AS202" s="9" t="str">
        <f aca="false">IF(ISNUMBER(L202),L202*INDEX(LenF,MATCH($L$7,LenU,0))*1000,IF(OR(J202="",K202=""),"",IFERROR(IF(INDEX(PipeWT,MATCH(J202,NPSU,0),MATCH(K202,SchU,0))="","Sch n/a",INDEX(PipeOD,MATCH(J202,NPSU,0))-2*INDEX(PipeWT,MATCH(J202,NPSU,0),MATCH(K202,SchU,0))),"")))</f>
        <v/>
      </c>
      <c r="AT202" s="9" t="n">
        <f aca="false">IF(ISNUMBER(AI202),AI202,IFERROR(INDEX(IF(JobType="Decontamination",TypeFillDC,TypeFillCC),MATCH(E202,TypeL,0)),1))</f>
        <v>1</v>
      </c>
      <c r="AU202" s="9" t="n">
        <v>6</v>
      </c>
    </row>
    <row r="203" customFormat="false" ht="15" hidden="false" customHeight="false" outlineLevel="0" collapsed="false">
      <c r="A203" s="16" t="n">
        <v>29</v>
      </c>
      <c r="B203" s="20"/>
      <c r="C203" s="5"/>
      <c r="D203" s="5"/>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1" t="str">
        <f aca="false">IF(E203="Exchanger",IF(AND(ISNUMBER(S203),ISNUMBER(U203),ISNUMBER(V203)),S203*PI()/4*(U203*INDEX(LenF,MATCH($U$7,LenU,0)))^2*V203*INDEX(LenF,MATCH($V$7,LenU,0)),0)+IF(ISNUMBER(Y203),PI()/4*(Y203*INDEX(LenF,MATCH($Y$7,LenU,0)))^2*N(Z203)*INDEX(LenF,MATCH($Z$7,LenU,0))+IF(AA203="",0,IF(AA203="Conical",PI()/12*(Y203*INDEX(LenF,MATCH($Y$7,LenU,0)))^2*(0),INDEX(HeadK,MATCH(AA203,HeadU,0))*(Y203*INDEX(LenF,MATCH($Y$7,LenU,0)))^3)),0)+IF(ISNUMBER(Y203),PI()/4*(Y203*INDEX(LenF,MATCH($Y$7,LenU,0)))^2*N(AB203)*INDEX(LenF,MATCH($AB$7,LenU,0))+IF(AC203="",0,IF(AC203="Conical",PI()/12*(Y203*INDEX(LenF,MATCH($Y$7,LenU,0)))^2*(0),INDEX(HeadK,MATCH(AC203,HeadU,0))*(Y203*INDEX(LenF,MATCH($Y$7,LenU,0)))^3)),0),"")</f>
        <v/>
      </c>
      <c r="AE203" s="21" t="str">
        <f aca="false">IF(OR(E203="",E203="Piping"),"",IF(E203="Exchanger",AQ203*AR203+IF(P203="",0,IF(P203="Conical",PI()/12*(SQRT(4*AQ203/PI()))^2*(0),INDEX(HeadK,MATCH(P203,HeadU,0))*(SQRT(4*AQ203/PI()))^3))-IF(AND(ISNUMBER(S203),ISNUMBER(V203)),S203*PI()/4*AP203^2*V203*INDEX(LenF,MATCH($V$7,LenU,0)),0),IF(ISNUMBER(N203),PI()/4*(N203*INDEX(LenF,MATCH($N$7,LenU,0)))^2*N(O203)*INDEX(LenF,MATCH($O$7,LenU,0))+IF(P203="",0,IF(P203="Conical",PI()/12*(N203*INDEX(LenF,MATCH($N$7,LenU,0)))^2*(N(R203)*INDEX(LenF,MATCH($R$7,LenU,0))),INDEX(HeadK,MATCH(P203,HeadU,0))*(N203*INDEX(LenF,MATCH($N$7,LenU,0)))^3))+IF(Q203="",0,IF(Q203="Conical",PI()/12*(N203*INDEX(LenF,MATCH($N$7,LenU,0)))^2*(N(R203)*INDEX(LenF,MATCH($R$7,LenU,0))),INDEX(HeadK,MATCH(Q203,HeadU,0))*(N203*INDEX(LenF,MATCH($N$7,LenU,0)))^3)),0)))</f>
        <v/>
      </c>
      <c r="AF203" s="21" t="str">
        <f aca="false">IF(E203&lt;&gt;"Piping","",IF(AND(ISNUMBER(AS203),ISNUMBER(M203)),PI()/4*(AS203/1000)^2*M203*INDEX(LenF,MATCH($M$7,LenU,0)),0))</f>
        <v/>
      </c>
      <c r="AG203" s="21" t="str">
        <f aca="false">IF(E203="","",N(AD203)+N(AE203)+N(AF203))</f>
        <v/>
      </c>
      <c r="AH203" s="21" t="str">
        <f aca="false">IF(ISNUMBER(I203),I203*INDEX(WtF,MATCH($I$7,WtU,0))/WaterRho,"")</f>
        <v/>
      </c>
      <c r="AI203" s="11"/>
      <c r="AJ203" s="11"/>
      <c r="AK203" s="20"/>
      <c r="AL203" s="11"/>
      <c r="AM203" s="21" t="str">
        <f aca="false">IF(AO203="","",AO203*IF(ISNUMBER(AK203),AK203,DefFills)*(1+IF(ISNUMBER(AL203),AL203,DefAllow)))</f>
        <v/>
      </c>
      <c r="AN203" s="22" t="str">
        <f aca="false">IF(G203="Given volume",IF(ISNUMBER(H203),H203*INDEX(VolF,MATCH($H$7,VolU,0)),""),IF(G203="Water weight",AH203,IF(N(AG203)=0,"",AG203)))</f>
        <v/>
      </c>
      <c r="AO203" s="22" t="str">
        <f aca="false">IF(N(AN203)=0,"",AN203*AT203*IF(ISNUMBER(AJ203),AJ203,DefCirc))</f>
        <v/>
      </c>
      <c r="AP203" s="9" t="n">
        <f aca="false">IF(ISNUMBER(T203),T203*INDEX(LenF,MATCH($T$7,LenU,0)),IF(ISNUMBER(W203),W203*INDEX(LenF,MATCH($W$7,LenU,0))/PitchRatio,0))</f>
        <v>0</v>
      </c>
      <c r="AQ203" s="9" t="n">
        <f aca="false">IF(ISNUMBER(N203),PI()/4*(N203*INDEX(LenF,MATCH($N$7,LenU,0)))^2,IF(AND(ISNUMBER(S203),ISNUMBER(W203),X203&lt;&gt;""),S203*(W203*INDEX(LenF,MATCH($W$7,LenU,0)))^2*INDEX(LayoutF,MATCH(X203,LayoutU,0)),0))</f>
        <v>0</v>
      </c>
      <c r="AR203" s="9" t="n">
        <f aca="false">IF(ISNUMBER(O203),O203*INDEX(LenF,MATCH($O$7,LenU,0)),IF(ISNUMBER(V203),V203*INDEX(LenF,MATCH($V$7,LenU,0)),0))</f>
        <v>0</v>
      </c>
      <c r="AS203" s="9" t="str">
        <f aca="false">IF(ISNUMBER(L203),L203*INDEX(LenF,MATCH($L$7,LenU,0))*1000,IF(OR(J203="",K203=""),"",IFERROR(IF(INDEX(PipeWT,MATCH(J203,NPSU,0),MATCH(K203,SchU,0))="","Sch n/a",INDEX(PipeOD,MATCH(J203,NPSU,0))-2*INDEX(PipeWT,MATCH(J203,NPSU,0),MATCH(K203,SchU,0))),"")))</f>
        <v/>
      </c>
      <c r="AT203" s="9" t="n">
        <f aca="false">IF(ISNUMBER(AI203),AI203,IFERROR(INDEX(IF(JobType="Decontamination",TypeFillDC,TypeFillCC),MATCH(E203,TypeL,0)),1))</f>
        <v>1</v>
      </c>
      <c r="AU203" s="9" t="n">
        <v>6</v>
      </c>
    </row>
    <row r="204" customFormat="false" ht="15" hidden="false" customHeight="false" outlineLevel="0" collapsed="false">
      <c r="A204" s="16" t="n">
        <v>30</v>
      </c>
      <c r="B204" s="20"/>
      <c r="C204" s="5"/>
      <c r="D204" s="5"/>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1" t="str">
        <f aca="false">IF(E204="Exchanger",IF(AND(ISNUMBER(S204),ISNUMBER(U204),ISNUMBER(V204)),S204*PI()/4*(U204*INDEX(LenF,MATCH($U$7,LenU,0)))^2*V204*INDEX(LenF,MATCH($V$7,LenU,0)),0)+IF(ISNUMBER(Y204),PI()/4*(Y204*INDEX(LenF,MATCH($Y$7,LenU,0)))^2*N(Z204)*INDEX(LenF,MATCH($Z$7,LenU,0))+IF(AA204="",0,IF(AA204="Conical",PI()/12*(Y204*INDEX(LenF,MATCH($Y$7,LenU,0)))^2*(0),INDEX(HeadK,MATCH(AA204,HeadU,0))*(Y204*INDEX(LenF,MATCH($Y$7,LenU,0)))^3)),0)+IF(ISNUMBER(Y204),PI()/4*(Y204*INDEX(LenF,MATCH($Y$7,LenU,0)))^2*N(AB204)*INDEX(LenF,MATCH($AB$7,LenU,0))+IF(AC204="",0,IF(AC204="Conical",PI()/12*(Y204*INDEX(LenF,MATCH($Y$7,LenU,0)))^2*(0),INDEX(HeadK,MATCH(AC204,HeadU,0))*(Y204*INDEX(LenF,MATCH($Y$7,LenU,0)))^3)),0),"")</f>
        <v/>
      </c>
      <c r="AE204" s="21" t="str">
        <f aca="false">IF(OR(E204="",E204="Piping"),"",IF(E204="Exchanger",AQ204*AR204+IF(P204="",0,IF(P204="Conical",PI()/12*(SQRT(4*AQ204/PI()))^2*(0),INDEX(HeadK,MATCH(P204,HeadU,0))*(SQRT(4*AQ204/PI()))^3))-IF(AND(ISNUMBER(S204),ISNUMBER(V204)),S204*PI()/4*AP204^2*V204*INDEX(LenF,MATCH($V$7,LenU,0)),0),IF(ISNUMBER(N204),PI()/4*(N204*INDEX(LenF,MATCH($N$7,LenU,0)))^2*N(O204)*INDEX(LenF,MATCH($O$7,LenU,0))+IF(P204="",0,IF(P204="Conical",PI()/12*(N204*INDEX(LenF,MATCH($N$7,LenU,0)))^2*(N(R204)*INDEX(LenF,MATCH($R$7,LenU,0))),INDEX(HeadK,MATCH(P204,HeadU,0))*(N204*INDEX(LenF,MATCH($N$7,LenU,0)))^3))+IF(Q204="",0,IF(Q204="Conical",PI()/12*(N204*INDEX(LenF,MATCH($N$7,LenU,0)))^2*(N(R204)*INDEX(LenF,MATCH($R$7,LenU,0))),INDEX(HeadK,MATCH(Q204,HeadU,0))*(N204*INDEX(LenF,MATCH($N$7,LenU,0)))^3)),0)))</f>
        <v/>
      </c>
      <c r="AF204" s="21" t="str">
        <f aca="false">IF(E204&lt;&gt;"Piping","",IF(AND(ISNUMBER(AS204),ISNUMBER(M204)),PI()/4*(AS204/1000)^2*M204*INDEX(LenF,MATCH($M$7,LenU,0)),0))</f>
        <v/>
      </c>
      <c r="AG204" s="21" t="str">
        <f aca="false">IF(E204="","",N(AD204)+N(AE204)+N(AF204))</f>
        <v/>
      </c>
      <c r="AH204" s="21" t="str">
        <f aca="false">IF(ISNUMBER(I204),I204*INDEX(WtF,MATCH($I$7,WtU,0))/WaterRho,"")</f>
        <v/>
      </c>
      <c r="AI204" s="11"/>
      <c r="AJ204" s="11"/>
      <c r="AK204" s="20"/>
      <c r="AL204" s="11"/>
      <c r="AM204" s="21" t="str">
        <f aca="false">IF(AO204="","",AO204*IF(ISNUMBER(AK204),AK204,DefFills)*(1+IF(ISNUMBER(AL204),AL204,DefAllow)))</f>
        <v/>
      </c>
      <c r="AN204" s="22" t="str">
        <f aca="false">IF(G204="Given volume",IF(ISNUMBER(H204),H204*INDEX(VolF,MATCH($H$7,VolU,0)),""),IF(G204="Water weight",AH204,IF(N(AG204)=0,"",AG204)))</f>
        <v/>
      </c>
      <c r="AO204" s="22" t="str">
        <f aca="false">IF(N(AN204)=0,"",AN204*AT204*IF(ISNUMBER(AJ204),AJ204,DefCirc))</f>
        <v/>
      </c>
      <c r="AP204" s="9" t="n">
        <f aca="false">IF(ISNUMBER(T204),T204*INDEX(LenF,MATCH($T$7,LenU,0)),IF(ISNUMBER(W204),W204*INDEX(LenF,MATCH($W$7,LenU,0))/PitchRatio,0))</f>
        <v>0</v>
      </c>
      <c r="AQ204" s="9" t="n">
        <f aca="false">IF(ISNUMBER(N204),PI()/4*(N204*INDEX(LenF,MATCH($N$7,LenU,0)))^2,IF(AND(ISNUMBER(S204),ISNUMBER(W204),X204&lt;&gt;""),S204*(W204*INDEX(LenF,MATCH($W$7,LenU,0)))^2*INDEX(LayoutF,MATCH(X204,LayoutU,0)),0))</f>
        <v>0</v>
      </c>
      <c r="AR204" s="9" t="n">
        <f aca="false">IF(ISNUMBER(O204),O204*INDEX(LenF,MATCH($O$7,LenU,0)),IF(ISNUMBER(V204),V204*INDEX(LenF,MATCH($V$7,LenU,0)),0))</f>
        <v>0</v>
      </c>
      <c r="AS204" s="9" t="str">
        <f aca="false">IF(ISNUMBER(L204),L204*INDEX(LenF,MATCH($L$7,LenU,0))*1000,IF(OR(J204="",K204=""),"",IFERROR(IF(INDEX(PipeWT,MATCH(J204,NPSU,0),MATCH(K204,SchU,0))="","Sch n/a",INDEX(PipeOD,MATCH(J204,NPSU,0))-2*INDEX(PipeWT,MATCH(J204,NPSU,0),MATCH(K204,SchU,0))),"")))</f>
        <v/>
      </c>
      <c r="AT204" s="9" t="n">
        <f aca="false">IF(ISNUMBER(AI204),AI204,IFERROR(INDEX(IF(JobType="Decontamination",TypeFillDC,TypeFillCC),MATCH(E204,TypeL,0)),1))</f>
        <v>1</v>
      </c>
      <c r="AU204" s="9" t="n">
        <v>6</v>
      </c>
    </row>
    <row r="205" customFormat="false" ht="15" hidden="false" customHeight="false" outlineLevel="0" collapsed="false">
      <c r="A205" s="24" t="str">
        <f aca="false">"TOTAL – "&amp;INDEX(UnitNames,6)</f>
        <v>TOTAL – Unit 6</v>
      </c>
      <c r="B205" s="24"/>
      <c r="C205" s="24"/>
      <c r="D205" s="24"/>
      <c r="E205" s="25"/>
      <c r="F205" s="25"/>
      <c r="G205" s="25"/>
      <c r="H205" s="25"/>
      <c r="I205" s="25"/>
      <c r="J205" s="25"/>
      <c r="K205" s="25"/>
      <c r="L205" s="25"/>
      <c r="M205" s="25"/>
      <c r="N205" s="25"/>
      <c r="O205" s="25"/>
      <c r="P205" s="25"/>
      <c r="Q205" s="25"/>
      <c r="R205" s="25"/>
      <c r="S205" s="26" t="str">
        <f aca="false">COUNT(AN175:AN204)&amp;" items"</f>
        <v>0 items</v>
      </c>
      <c r="T205" s="25"/>
      <c r="U205" s="25"/>
      <c r="V205" s="25"/>
      <c r="W205" s="25"/>
      <c r="X205" s="25"/>
      <c r="Y205" s="25"/>
      <c r="Z205" s="25"/>
      <c r="AA205" s="25"/>
      <c r="AB205" s="25"/>
      <c r="AC205" s="25"/>
      <c r="AD205" s="27" t="n">
        <f aca="false">SUM(AD175:AD204)</f>
        <v>0</v>
      </c>
      <c r="AE205" s="27" t="n">
        <f aca="false">SUM(AE175:AE204)</f>
        <v>0</v>
      </c>
      <c r="AF205" s="27" t="n">
        <f aca="false">SUM(AF175:AF204)</f>
        <v>0</v>
      </c>
      <c r="AG205" s="27" t="n">
        <f aca="false">SUM(AG175:AG204)</f>
        <v>0</v>
      </c>
      <c r="AH205" s="27" t="n">
        <f aca="false">SUM(AH175:AH204)</f>
        <v>0</v>
      </c>
      <c r="AI205" s="25"/>
      <c r="AJ205" s="25"/>
      <c r="AK205" s="25"/>
      <c r="AL205" s="25"/>
      <c r="AM205" s="27" t="n">
        <f aca="false">SUM(AM175:AM204)</f>
        <v>0</v>
      </c>
      <c r="AN205" s="27" t="n">
        <f aca="false">SUM(AN175:AN204)</f>
        <v>0</v>
      </c>
      <c r="AO205" s="27" t="n">
        <f aca="false">SUM(AO175:AO204)</f>
        <v>0</v>
      </c>
    </row>
    <row r="207" customFormat="false" ht="15" hidden="false" customHeight="false" outlineLevel="0" collapsed="false">
      <c r="A207" s="18" t="str">
        <f aca="false">"UNIT 7:  "&amp;INDEX(UnitNames,7)</f>
        <v>UNIT 7:  Unit 7</v>
      </c>
      <c r="B207" s="18"/>
      <c r="C207" s="18"/>
      <c r="D207" s="18"/>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row>
    <row r="208" customFormat="false" ht="15" hidden="false" customHeight="false" outlineLevel="0" collapsed="false">
      <c r="A208" s="16" t="n">
        <v>1</v>
      </c>
      <c r="B208" s="20"/>
      <c r="C208" s="5"/>
      <c r="D208" s="5"/>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1" t="str">
        <f aca="false">IF(E208="Exchanger",IF(AND(ISNUMBER(S208),ISNUMBER(U208),ISNUMBER(V208)),S208*PI()/4*(U208*INDEX(LenF,MATCH($U$7,LenU,0)))^2*V208*INDEX(LenF,MATCH($V$7,LenU,0)),0)+IF(ISNUMBER(Y208),PI()/4*(Y208*INDEX(LenF,MATCH($Y$7,LenU,0)))^2*N(Z208)*INDEX(LenF,MATCH($Z$7,LenU,0))+IF(AA208="",0,IF(AA208="Conical",PI()/12*(Y208*INDEX(LenF,MATCH($Y$7,LenU,0)))^2*(0),INDEX(HeadK,MATCH(AA208,HeadU,0))*(Y208*INDEX(LenF,MATCH($Y$7,LenU,0)))^3)),0)+IF(ISNUMBER(Y208),PI()/4*(Y208*INDEX(LenF,MATCH($Y$7,LenU,0)))^2*N(AB208)*INDEX(LenF,MATCH($AB$7,LenU,0))+IF(AC208="",0,IF(AC208="Conical",PI()/12*(Y208*INDEX(LenF,MATCH($Y$7,LenU,0)))^2*(0),INDEX(HeadK,MATCH(AC208,HeadU,0))*(Y208*INDEX(LenF,MATCH($Y$7,LenU,0)))^3)),0),"")</f>
        <v/>
      </c>
      <c r="AE208" s="21" t="str">
        <f aca="false">IF(OR(E208="",E208="Piping"),"",IF(E208="Exchanger",AQ208*AR208+IF(P208="",0,IF(P208="Conical",PI()/12*(SQRT(4*AQ208/PI()))^2*(0),INDEX(HeadK,MATCH(P208,HeadU,0))*(SQRT(4*AQ208/PI()))^3))-IF(AND(ISNUMBER(S208),ISNUMBER(V208)),S208*PI()/4*AP208^2*V208*INDEX(LenF,MATCH($V$7,LenU,0)),0),IF(ISNUMBER(N208),PI()/4*(N208*INDEX(LenF,MATCH($N$7,LenU,0)))^2*N(O208)*INDEX(LenF,MATCH($O$7,LenU,0))+IF(P208="",0,IF(P208="Conical",PI()/12*(N208*INDEX(LenF,MATCH($N$7,LenU,0)))^2*(N(R208)*INDEX(LenF,MATCH($R$7,LenU,0))),INDEX(HeadK,MATCH(P208,HeadU,0))*(N208*INDEX(LenF,MATCH($N$7,LenU,0)))^3))+IF(Q208="",0,IF(Q208="Conical",PI()/12*(N208*INDEX(LenF,MATCH($N$7,LenU,0)))^2*(N(R208)*INDEX(LenF,MATCH($R$7,LenU,0))),INDEX(HeadK,MATCH(Q208,HeadU,0))*(N208*INDEX(LenF,MATCH($N$7,LenU,0)))^3)),0)))</f>
        <v/>
      </c>
      <c r="AF208" s="21" t="str">
        <f aca="false">IF(E208&lt;&gt;"Piping","",IF(AND(ISNUMBER(AS208),ISNUMBER(M208)),PI()/4*(AS208/1000)^2*M208*INDEX(LenF,MATCH($M$7,LenU,0)),0))</f>
        <v/>
      </c>
      <c r="AG208" s="21" t="str">
        <f aca="false">IF(E208="","",N(AD208)+N(AE208)+N(AF208))</f>
        <v/>
      </c>
      <c r="AH208" s="21" t="str">
        <f aca="false">IF(ISNUMBER(I208),I208*INDEX(WtF,MATCH($I$7,WtU,0))/WaterRho,"")</f>
        <v/>
      </c>
      <c r="AI208" s="11"/>
      <c r="AJ208" s="11"/>
      <c r="AK208" s="20"/>
      <c r="AL208" s="11"/>
      <c r="AM208" s="21" t="str">
        <f aca="false">IF(AO208="","",AO208*IF(ISNUMBER(AK208),AK208,DefFills)*(1+IF(ISNUMBER(AL208),AL208,DefAllow)))</f>
        <v/>
      </c>
      <c r="AN208" s="22" t="str">
        <f aca="false">IF(G208="Given volume",IF(ISNUMBER(H208),H208*INDEX(VolF,MATCH($H$7,VolU,0)),""),IF(G208="Water weight",AH208,IF(N(AG208)=0,"",AG208)))</f>
        <v/>
      </c>
      <c r="AO208" s="22" t="str">
        <f aca="false">IF(N(AN208)=0,"",AN208*AT208*IF(ISNUMBER(AJ208),AJ208,DefCirc))</f>
        <v/>
      </c>
      <c r="AP208" s="9" t="n">
        <f aca="false">IF(ISNUMBER(T208),T208*INDEX(LenF,MATCH($T$7,LenU,0)),IF(ISNUMBER(W208),W208*INDEX(LenF,MATCH($W$7,LenU,0))/PitchRatio,0))</f>
        <v>0</v>
      </c>
      <c r="AQ208" s="9" t="n">
        <f aca="false">IF(ISNUMBER(N208),PI()/4*(N208*INDEX(LenF,MATCH($N$7,LenU,0)))^2,IF(AND(ISNUMBER(S208),ISNUMBER(W208),X208&lt;&gt;""),S208*(W208*INDEX(LenF,MATCH($W$7,LenU,0)))^2*INDEX(LayoutF,MATCH(X208,LayoutU,0)),0))</f>
        <v>0</v>
      </c>
      <c r="AR208" s="9" t="n">
        <f aca="false">IF(ISNUMBER(O208),O208*INDEX(LenF,MATCH($O$7,LenU,0)),IF(ISNUMBER(V208),V208*INDEX(LenF,MATCH($V$7,LenU,0)),0))</f>
        <v>0</v>
      </c>
      <c r="AS208" s="9" t="str">
        <f aca="false">IF(ISNUMBER(L208),L208*INDEX(LenF,MATCH($L$7,LenU,0))*1000,IF(OR(J208="",K208=""),"",IFERROR(IF(INDEX(PipeWT,MATCH(J208,NPSU,0),MATCH(K208,SchU,0))="","Sch n/a",INDEX(PipeOD,MATCH(J208,NPSU,0))-2*INDEX(PipeWT,MATCH(J208,NPSU,0),MATCH(K208,SchU,0))),"")))</f>
        <v/>
      </c>
      <c r="AT208" s="9" t="n">
        <f aca="false">IF(ISNUMBER(AI208),AI208,IFERROR(INDEX(IF(JobType="Decontamination",TypeFillDC,TypeFillCC),MATCH(E208,TypeL,0)),1))</f>
        <v>1</v>
      </c>
      <c r="AU208" s="9" t="n">
        <v>7</v>
      </c>
    </row>
    <row r="209" customFormat="false" ht="15" hidden="false" customHeight="false" outlineLevel="0" collapsed="false">
      <c r="A209" s="16" t="n">
        <v>2</v>
      </c>
      <c r="B209" s="20"/>
      <c r="C209" s="5"/>
      <c r="D209" s="5"/>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1" t="str">
        <f aca="false">IF(E209="Exchanger",IF(AND(ISNUMBER(S209),ISNUMBER(U209),ISNUMBER(V209)),S209*PI()/4*(U209*INDEX(LenF,MATCH($U$7,LenU,0)))^2*V209*INDEX(LenF,MATCH($V$7,LenU,0)),0)+IF(ISNUMBER(Y209),PI()/4*(Y209*INDEX(LenF,MATCH($Y$7,LenU,0)))^2*N(Z209)*INDEX(LenF,MATCH($Z$7,LenU,0))+IF(AA209="",0,IF(AA209="Conical",PI()/12*(Y209*INDEX(LenF,MATCH($Y$7,LenU,0)))^2*(0),INDEX(HeadK,MATCH(AA209,HeadU,0))*(Y209*INDEX(LenF,MATCH($Y$7,LenU,0)))^3)),0)+IF(ISNUMBER(Y209),PI()/4*(Y209*INDEX(LenF,MATCH($Y$7,LenU,0)))^2*N(AB209)*INDEX(LenF,MATCH($AB$7,LenU,0))+IF(AC209="",0,IF(AC209="Conical",PI()/12*(Y209*INDEX(LenF,MATCH($Y$7,LenU,0)))^2*(0),INDEX(HeadK,MATCH(AC209,HeadU,0))*(Y209*INDEX(LenF,MATCH($Y$7,LenU,0)))^3)),0),"")</f>
        <v/>
      </c>
      <c r="AE209" s="21" t="str">
        <f aca="false">IF(OR(E209="",E209="Piping"),"",IF(E209="Exchanger",AQ209*AR209+IF(P209="",0,IF(P209="Conical",PI()/12*(SQRT(4*AQ209/PI()))^2*(0),INDEX(HeadK,MATCH(P209,HeadU,0))*(SQRT(4*AQ209/PI()))^3))-IF(AND(ISNUMBER(S209),ISNUMBER(V209)),S209*PI()/4*AP209^2*V209*INDEX(LenF,MATCH($V$7,LenU,0)),0),IF(ISNUMBER(N209),PI()/4*(N209*INDEX(LenF,MATCH($N$7,LenU,0)))^2*N(O209)*INDEX(LenF,MATCH($O$7,LenU,0))+IF(P209="",0,IF(P209="Conical",PI()/12*(N209*INDEX(LenF,MATCH($N$7,LenU,0)))^2*(N(R209)*INDEX(LenF,MATCH($R$7,LenU,0))),INDEX(HeadK,MATCH(P209,HeadU,0))*(N209*INDEX(LenF,MATCH($N$7,LenU,0)))^3))+IF(Q209="",0,IF(Q209="Conical",PI()/12*(N209*INDEX(LenF,MATCH($N$7,LenU,0)))^2*(N(R209)*INDEX(LenF,MATCH($R$7,LenU,0))),INDEX(HeadK,MATCH(Q209,HeadU,0))*(N209*INDEX(LenF,MATCH($N$7,LenU,0)))^3)),0)))</f>
        <v/>
      </c>
      <c r="AF209" s="21" t="str">
        <f aca="false">IF(E209&lt;&gt;"Piping","",IF(AND(ISNUMBER(AS209),ISNUMBER(M209)),PI()/4*(AS209/1000)^2*M209*INDEX(LenF,MATCH($M$7,LenU,0)),0))</f>
        <v/>
      </c>
      <c r="AG209" s="21" t="str">
        <f aca="false">IF(E209="","",N(AD209)+N(AE209)+N(AF209))</f>
        <v/>
      </c>
      <c r="AH209" s="21" t="str">
        <f aca="false">IF(ISNUMBER(I209),I209*INDEX(WtF,MATCH($I$7,WtU,0))/WaterRho,"")</f>
        <v/>
      </c>
      <c r="AI209" s="11"/>
      <c r="AJ209" s="11"/>
      <c r="AK209" s="20"/>
      <c r="AL209" s="11"/>
      <c r="AM209" s="21" t="str">
        <f aca="false">IF(AO209="","",AO209*IF(ISNUMBER(AK209),AK209,DefFills)*(1+IF(ISNUMBER(AL209),AL209,DefAllow)))</f>
        <v/>
      </c>
      <c r="AN209" s="22" t="str">
        <f aca="false">IF(G209="Given volume",IF(ISNUMBER(H209),H209*INDEX(VolF,MATCH($H$7,VolU,0)),""),IF(G209="Water weight",AH209,IF(N(AG209)=0,"",AG209)))</f>
        <v/>
      </c>
      <c r="AO209" s="22" t="str">
        <f aca="false">IF(N(AN209)=0,"",AN209*AT209*IF(ISNUMBER(AJ209),AJ209,DefCirc))</f>
        <v/>
      </c>
      <c r="AP209" s="9" t="n">
        <f aca="false">IF(ISNUMBER(T209),T209*INDEX(LenF,MATCH($T$7,LenU,0)),IF(ISNUMBER(W209),W209*INDEX(LenF,MATCH($W$7,LenU,0))/PitchRatio,0))</f>
        <v>0</v>
      </c>
      <c r="AQ209" s="9" t="n">
        <f aca="false">IF(ISNUMBER(N209),PI()/4*(N209*INDEX(LenF,MATCH($N$7,LenU,0)))^2,IF(AND(ISNUMBER(S209),ISNUMBER(W209),X209&lt;&gt;""),S209*(W209*INDEX(LenF,MATCH($W$7,LenU,0)))^2*INDEX(LayoutF,MATCH(X209,LayoutU,0)),0))</f>
        <v>0</v>
      </c>
      <c r="AR209" s="9" t="n">
        <f aca="false">IF(ISNUMBER(O209),O209*INDEX(LenF,MATCH($O$7,LenU,0)),IF(ISNUMBER(V209),V209*INDEX(LenF,MATCH($V$7,LenU,0)),0))</f>
        <v>0</v>
      </c>
      <c r="AS209" s="9" t="str">
        <f aca="false">IF(ISNUMBER(L209),L209*INDEX(LenF,MATCH($L$7,LenU,0))*1000,IF(OR(J209="",K209=""),"",IFERROR(IF(INDEX(PipeWT,MATCH(J209,NPSU,0),MATCH(K209,SchU,0))="","Sch n/a",INDEX(PipeOD,MATCH(J209,NPSU,0))-2*INDEX(PipeWT,MATCH(J209,NPSU,0),MATCH(K209,SchU,0))),"")))</f>
        <v/>
      </c>
      <c r="AT209" s="9" t="n">
        <f aca="false">IF(ISNUMBER(AI209),AI209,IFERROR(INDEX(IF(JobType="Decontamination",TypeFillDC,TypeFillCC),MATCH(E209,TypeL,0)),1))</f>
        <v>1</v>
      </c>
      <c r="AU209" s="9" t="n">
        <v>7</v>
      </c>
    </row>
    <row r="210" customFormat="false" ht="15" hidden="false" customHeight="false" outlineLevel="0" collapsed="false">
      <c r="A210" s="16" t="n">
        <v>3</v>
      </c>
      <c r="B210" s="20"/>
      <c r="C210" s="5"/>
      <c r="D210" s="5"/>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1" t="str">
        <f aca="false">IF(E210="Exchanger",IF(AND(ISNUMBER(S210),ISNUMBER(U210),ISNUMBER(V210)),S210*PI()/4*(U210*INDEX(LenF,MATCH($U$7,LenU,0)))^2*V210*INDEX(LenF,MATCH($V$7,LenU,0)),0)+IF(ISNUMBER(Y210),PI()/4*(Y210*INDEX(LenF,MATCH($Y$7,LenU,0)))^2*N(Z210)*INDEX(LenF,MATCH($Z$7,LenU,0))+IF(AA210="",0,IF(AA210="Conical",PI()/12*(Y210*INDEX(LenF,MATCH($Y$7,LenU,0)))^2*(0),INDEX(HeadK,MATCH(AA210,HeadU,0))*(Y210*INDEX(LenF,MATCH($Y$7,LenU,0)))^3)),0)+IF(ISNUMBER(Y210),PI()/4*(Y210*INDEX(LenF,MATCH($Y$7,LenU,0)))^2*N(AB210)*INDEX(LenF,MATCH($AB$7,LenU,0))+IF(AC210="",0,IF(AC210="Conical",PI()/12*(Y210*INDEX(LenF,MATCH($Y$7,LenU,0)))^2*(0),INDEX(HeadK,MATCH(AC210,HeadU,0))*(Y210*INDEX(LenF,MATCH($Y$7,LenU,0)))^3)),0),"")</f>
        <v/>
      </c>
      <c r="AE210" s="21" t="str">
        <f aca="false">IF(OR(E210="",E210="Piping"),"",IF(E210="Exchanger",AQ210*AR210+IF(P210="",0,IF(P210="Conical",PI()/12*(SQRT(4*AQ210/PI()))^2*(0),INDEX(HeadK,MATCH(P210,HeadU,0))*(SQRT(4*AQ210/PI()))^3))-IF(AND(ISNUMBER(S210),ISNUMBER(V210)),S210*PI()/4*AP210^2*V210*INDEX(LenF,MATCH($V$7,LenU,0)),0),IF(ISNUMBER(N210),PI()/4*(N210*INDEX(LenF,MATCH($N$7,LenU,0)))^2*N(O210)*INDEX(LenF,MATCH($O$7,LenU,0))+IF(P210="",0,IF(P210="Conical",PI()/12*(N210*INDEX(LenF,MATCH($N$7,LenU,0)))^2*(N(R210)*INDEX(LenF,MATCH($R$7,LenU,0))),INDEX(HeadK,MATCH(P210,HeadU,0))*(N210*INDEX(LenF,MATCH($N$7,LenU,0)))^3))+IF(Q210="",0,IF(Q210="Conical",PI()/12*(N210*INDEX(LenF,MATCH($N$7,LenU,0)))^2*(N(R210)*INDEX(LenF,MATCH($R$7,LenU,0))),INDEX(HeadK,MATCH(Q210,HeadU,0))*(N210*INDEX(LenF,MATCH($N$7,LenU,0)))^3)),0)))</f>
        <v/>
      </c>
      <c r="AF210" s="21" t="str">
        <f aca="false">IF(E210&lt;&gt;"Piping","",IF(AND(ISNUMBER(AS210),ISNUMBER(M210)),PI()/4*(AS210/1000)^2*M210*INDEX(LenF,MATCH($M$7,LenU,0)),0))</f>
        <v/>
      </c>
      <c r="AG210" s="21" t="str">
        <f aca="false">IF(E210="","",N(AD210)+N(AE210)+N(AF210))</f>
        <v/>
      </c>
      <c r="AH210" s="21" t="str">
        <f aca="false">IF(ISNUMBER(I210),I210*INDEX(WtF,MATCH($I$7,WtU,0))/WaterRho,"")</f>
        <v/>
      </c>
      <c r="AI210" s="11"/>
      <c r="AJ210" s="11"/>
      <c r="AK210" s="20"/>
      <c r="AL210" s="11"/>
      <c r="AM210" s="21" t="str">
        <f aca="false">IF(AO210="","",AO210*IF(ISNUMBER(AK210),AK210,DefFills)*(1+IF(ISNUMBER(AL210),AL210,DefAllow)))</f>
        <v/>
      </c>
      <c r="AN210" s="22" t="str">
        <f aca="false">IF(G210="Given volume",IF(ISNUMBER(H210),H210*INDEX(VolF,MATCH($H$7,VolU,0)),""),IF(G210="Water weight",AH210,IF(N(AG210)=0,"",AG210)))</f>
        <v/>
      </c>
      <c r="AO210" s="22" t="str">
        <f aca="false">IF(N(AN210)=0,"",AN210*AT210*IF(ISNUMBER(AJ210),AJ210,DefCirc))</f>
        <v/>
      </c>
      <c r="AP210" s="9" t="n">
        <f aca="false">IF(ISNUMBER(T210),T210*INDEX(LenF,MATCH($T$7,LenU,0)),IF(ISNUMBER(W210),W210*INDEX(LenF,MATCH($W$7,LenU,0))/PitchRatio,0))</f>
        <v>0</v>
      </c>
      <c r="AQ210" s="9" t="n">
        <f aca="false">IF(ISNUMBER(N210),PI()/4*(N210*INDEX(LenF,MATCH($N$7,LenU,0)))^2,IF(AND(ISNUMBER(S210),ISNUMBER(W210),X210&lt;&gt;""),S210*(W210*INDEX(LenF,MATCH($W$7,LenU,0)))^2*INDEX(LayoutF,MATCH(X210,LayoutU,0)),0))</f>
        <v>0</v>
      </c>
      <c r="AR210" s="9" t="n">
        <f aca="false">IF(ISNUMBER(O210),O210*INDEX(LenF,MATCH($O$7,LenU,0)),IF(ISNUMBER(V210),V210*INDEX(LenF,MATCH($V$7,LenU,0)),0))</f>
        <v>0</v>
      </c>
      <c r="AS210" s="9" t="str">
        <f aca="false">IF(ISNUMBER(L210),L210*INDEX(LenF,MATCH($L$7,LenU,0))*1000,IF(OR(J210="",K210=""),"",IFERROR(IF(INDEX(PipeWT,MATCH(J210,NPSU,0),MATCH(K210,SchU,0))="","Sch n/a",INDEX(PipeOD,MATCH(J210,NPSU,0))-2*INDEX(PipeWT,MATCH(J210,NPSU,0),MATCH(K210,SchU,0))),"")))</f>
        <v/>
      </c>
      <c r="AT210" s="9" t="n">
        <f aca="false">IF(ISNUMBER(AI210),AI210,IFERROR(INDEX(IF(JobType="Decontamination",TypeFillDC,TypeFillCC),MATCH(E210,TypeL,0)),1))</f>
        <v>1</v>
      </c>
      <c r="AU210" s="9" t="n">
        <v>7</v>
      </c>
    </row>
    <row r="211" customFormat="false" ht="15" hidden="false" customHeight="false" outlineLevel="0" collapsed="false">
      <c r="A211" s="16" t="n">
        <v>4</v>
      </c>
      <c r="B211" s="20"/>
      <c r="C211" s="5"/>
      <c r="D211" s="5"/>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1" t="str">
        <f aca="false">IF(E211="Exchanger",IF(AND(ISNUMBER(S211),ISNUMBER(U211),ISNUMBER(V211)),S211*PI()/4*(U211*INDEX(LenF,MATCH($U$7,LenU,0)))^2*V211*INDEX(LenF,MATCH($V$7,LenU,0)),0)+IF(ISNUMBER(Y211),PI()/4*(Y211*INDEX(LenF,MATCH($Y$7,LenU,0)))^2*N(Z211)*INDEX(LenF,MATCH($Z$7,LenU,0))+IF(AA211="",0,IF(AA211="Conical",PI()/12*(Y211*INDEX(LenF,MATCH($Y$7,LenU,0)))^2*(0),INDEX(HeadK,MATCH(AA211,HeadU,0))*(Y211*INDEX(LenF,MATCH($Y$7,LenU,0)))^3)),0)+IF(ISNUMBER(Y211),PI()/4*(Y211*INDEX(LenF,MATCH($Y$7,LenU,0)))^2*N(AB211)*INDEX(LenF,MATCH($AB$7,LenU,0))+IF(AC211="",0,IF(AC211="Conical",PI()/12*(Y211*INDEX(LenF,MATCH($Y$7,LenU,0)))^2*(0),INDEX(HeadK,MATCH(AC211,HeadU,0))*(Y211*INDEX(LenF,MATCH($Y$7,LenU,0)))^3)),0),"")</f>
        <v/>
      </c>
      <c r="AE211" s="21" t="str">
        <f aca="false">IF(OR(E211="",E211="Piping"),"",IF(E211="Exchanger",AQ211*AR211+IF(P211="",0,IF(P211="Conical",PI()/12*(SQRT(4*AQ211/PI()))^2*(0),INDEX(HeadK,MATCH(P211,HeadU,0))*(SQRT(4*AQ211/PI()))^3))-IF(AND(ISNUMBER(S211),ISNUMBER(V211)),S211*PI()/4*AP211^2*V211*INDEX(LenF,MATCH($V$7,LenU,0)),0),IF(ISNUMBER(N211),PI()/4*(N211*INDEX(LenF,MATCH($N$7,LenU,0)))^2*N(O211)*INDEX(LenF,MATCH($O$7,LenU,0))+IF(P211="",0,IF(P211="Conical",PI()/12*(N211*INDEX(LenF,MATCH($N$7,LenU,0)))^2*(N(R211)*INDEX(LenF,MATCH($R$7,LenU,0))),INDEX(HeadK,MATCH(P211,HeadU,0))*(N211*INDEX(LenF,MATCH($N$7,LenU,0)))^3))+IF(Q211="",0,IF(Q211="Conical",PI()/12*(N211*INDEX(LenF,MATCH($N$7,LenU,0)))^2*(N(R211)*INDEX(LenF,MATCH($R$7,LenU,0))),INDEX(HeadK,MATCH(Q211,HeadU,0))*(N211*INDEX(LenF,MATCH($N$7,LenU,0)))^3)),0)))</f>
        <v/>
      </c>
      <c r="AF211" s="21" t="str">
        <f aca="false">IF(E211&lt;&gt;"Piping","",IF(AND(ISNUMBER(AS211),ISNUMBER(M211)),PI()/4*(AS211/1000)^2*M211*INDEX(LenF,MATCH($M$7,LenU,0)),0))</f>
        <v/>
      </c>
      <c r="AG211" s="21" t="str">
        <f aca="false">IF(E211="","",N(AD211)+N(AE211)+N(AF211))</f>
        <v/>
      </c>
      <c r="AH211" s="21" t="str">
        <f aca="false">IF(ISNUMBER(I211),I211*INDEX(WtF,MATCH($I$7,WtU,0))/WaterRho,"")</f>
        <v/>
      </c>
      <c r="AI211" s="11"/>
      <c r="AJ211" s="11"/>
      <c r="AK211" s="20"/>
      <c r="AL211" s="11"/>
      <c r="AM211" s="21" t="str">
        <f aca="false">IF(AO211="","",AO211*IF(ISNUMBER(AK211),AK211,DefFills)*(1+IF(ISNUMBER(AL211),AL211,DefAllow)))</f>
        <v/>
      </c>
      <c r="AN211" s="22" t="str">
        <f aca="false">IF(G211="Given volume",IF(ISNUMBER(H211),H211*INDEX(VolF,MATCH($H$7,VolU,0)),""),IF(G211="Water weight",AH211,IF(N(AG211)=0,"",AG211)))</f>
        <v/>
      </c>
      <c r="AO211" s="22" t="str">
        <f aca="false">IF(N(AN211)=0,"",AN211*AT211*IF(ISNUMBER(AJ211),AJ211,DefCirc))</f>
        <v/>
      </c>
      <c r="AP211" s="9" t="n">
        <f aca="false">IF(ISNUMBER(T211),T211*INDEX(LenF,MATCH($T$7,LenU,0)),IF(ISNUMBER(W211),W211*INDEX(LenF,MATCH($W$7,LenU,0))/PitchRatio,0))</f>
        <v>0</v>
      </c>
      <c r="AQ211" s="9" t="n">
        <f aca="false">IF(ISNUMBER(N211),PI()/4*(N211*INDEX(LenF,MATCH($N$7,LenU,0)))^2,IF(AND(ISNUMBER(S211),ISNUMBER(W211),X211&lt;&gt;""),S211*(W211*INDEX(LenF,MATCH($W$7,LenU,0)))^2*INDEX(LayoutF,MATCH(X211,LayoutU,0)),0))</f>
        <v>0</v>
      </c>
      <c r="AR211" s="9" t="n">
        <f aca="false">IF(ISNUMBER(O211),O211*INDEX(LenF,MATCH($O$7,LenU,0)),IF(ISNUMBER(V211),V211*INDEX(LenF,MATCH($V$7,LenU,0)),0))</f>
        <v>0</v>
      </c>
      <c r="AS211" s="9" t="str">
        <f aca="false">IF(ISNUMBER(L211),L211*INDEX(LenF,MATCH($L$7,LenU,0))*1000,IF(OR(J211="",K211=""),"",IFERROR(IF(INDEX(PipeWT,MATCH(J211,NPSU,0),MATCH(K211,SchU,0))="","Sch n/a",INDEX(PipeOD,MATCH(J211,NPSU,0))-2*INDEX(PipeWT,MATCH(J211,NPSU,0),MATCH(K211,SchU,0))),"")))</f>
        <v/>
      </c>
      <c r="AT211" s="9" t="n">
        <f aca="false">IF(ISNUMBER(AI211),AI211,IFERROR(INDEX(IF(JobType="Decontamination",TypeFillDC,TypeFillCC),MATCH(E211,TypeL,0)),1))</f>
        <v>1</v>
      </c>
      <c r="AU211" s="9" t="n">
        <v>7</v>
      </c>
    </row>
    <row r="212" customFormat="false" ht="15" hidden="false" customHeight="false" outlineLevel="0" collapsed="false">
      <c r="A212" s="16" t="n">
        <v>5</v>
      </c>
      <c r="B212" s="20"/>
      <c r="C212" s="5"/>
      <c r="D212" s="5"/>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1" t="str">
        <f aca="false">IF(E212="Exchanger",IF(AND(ISNUMBER(S212),ISNUMBER(U212),ISNUMBER(V212)),S212*PI()/4*(U212*INDEX(LenF,MATCH($U$7,LenU,0)))^2*V212*INDEX(LenF,MATCH($V$7,LenU,0)),0)+IF(ISNUMBER(Y212),PI()/4*(Y212*INDEX(LenF,MATCH($Y$7,LenU,0)))^2*N(Z212)*INDEX(LenF,MATCH($Z$7,LenU,0))+IF(AA212="",0,IF(AA212="Conical",PI()/12*(Y212*INDEX(LenF,MATCH($Y$7,LenU,0)))^2*(0),INDEX(HeadK,MATCH(AA212,HeadU,0))*(Y212*INDEX(LenF,MATCH($Y$7,LenU,0)))^3)),0)+IF(ISNUMBER(Y212),PI()/4*(Y212*INDEX(LenF,MATCH($Y$7,LenU,0)))^2*N(AB212)*INDEX(LenF,MATCH($AB$7,LenU,0))+IF(AC212="",0,IF(AC212="Conical",PI()/12*(Y212*INDEX(LenF,MATCH($Y$7,LenU,0)))^2*(0),INDEX(HeadK,MATCH(AC212,HeadU,0))*(Y212*INDEX(LenF,MATCH($Y$7,LenU,0)))^3)),0),"")</f>
        <v/>
      </c>
      <c r="AE212" s="21" t="str">
        <f aca="false">IF(OR(E212="",E212="Piping"),"",IF(E212="Exchanger",AQ212*AR212+IF(P212="",0,IF(P212="Conical",PI()/12*(SQRT(4*AQ212/PI()))^2*(0),INDEX(HeadK,MATCH(P212,HeadU,0))*(SQRT(4*AQ212/PI()))^3))-IF(AND(ISNUMBER(S212),ISNUMBER(V212)),S212*PI()/4*AP212^2*V212*INDEX(LenF,MATCH($V$7,LenU,0)),0),IF(ISNUMBER(N212),PI()/4*(N212*INDEX(LenF,MATCH($N$7,LenU,0)))^2*N(O212)*INDEX(LenF,MATCH($O$7,LenU,0))+IF(P212="",0,IF(P212="Conical",PI()/12*(N212*INDEX(LenF,MATCH($N$7,LenU,0)))^2*(N(R212)*INDEX(LenF,MATCH($R$7,LenU,0))),INDEX(HeadK,MATCH(P212,HeadU,0))*(N212*INDEX(LenF,MATCH($N$7,LenU,0)))^3))+IF(Q212="",0,IF(Q212="Conical",PI()/12*(N212*INDEX(LenF,MATCH($N$7,LenU,0)))^2*(N(R212)*INDEX(LenF,MATCH($R$7,LenU,0))),INDEX(HeadK,MATCH(Q212,HeadU,0))*(N212*INDEX(LenF,MATCH($N$7,LenU,0)))^3)),0)))</f>
        <v/>
      </c>
      <c r="AF212" s="21" t="str">
        <f aca="false">IF(E212&lt;&gt;"Piping","",IF(AND(ISNUMBER(AS212),ISNUMBER(M212)),PI()/4*(AS212/1000)^2*M212*INDEX(LenF,MATCH($M$7,LenU,0)),0))</f>
        <v/>
      </c>
      <c r="AG212" s="21" t="str">
        <f aca="false">IF(E212="","",N(AD212)+N(AE212)+N(AF212))</f>
        <v/>
      </c>
      <c r="AH212" s="21" t="str">
        <f aca="false">IF(ISNUMBER(I212),I212*INDEX(WtF,MATCH($I$7,WtU,0))/WaterRho,"")</f>
        <v/>
      </c>
      <c r="AI212" s="11"/>
      <c r="AJ212" s="11"/>
      <c r="AK212" s="20"/>
      <c r="AL212" s="11"/>
      <c r="AM212" s="21" t="str">
        <f aca="false">IF(AO212="","",AO212*IF(ISNUMBER(AK212),AK212,DefFills)*(1+IF(ISNUMBER(AL212),AL212,DefAllow)))</f>
        <v/>
      </c>
      <c r="AN212" s="22" t="str">
        <f aca="false">IF(G212="Given volume",IF(ISNUMBER(H212),H212*INDEX(VolF,MATCH($H$7,VolU,0)),""),IF(G212="Water weight",AH212,IF(N(AG212)=0,"",AG212)))</f>
        <v/>
      </c>
      <c r="AO212" s="22" t="str">
        <f aca="false">IF(N(AN212)=0,"",AN212*AT212*IF(ISNUMBER(AJ212),AJ212,DefCirc))</f>
        <v/>
      </c>
      <c r="AP212" s="9" t="n">
        <f aca="false">IF(ISNUMBER(T212),T212*INDEX(LenF,MATCH($T$7,LenU,0)),IF(ISNUMBER(W212),W212*INDEX(LenF,MATCH($W$7,LenU,0))/PitchRatio,0))</f>
        <v>0</v>
      </c>
      <c r="AQ212" s="9" t="n">
        <f aca="false">IF(ISNUMBER(N212),PI()/4*(N212*INDEX(LenF,MATCH($N$7,LenU,0)))^2,IF(AND(ISNUMBER(S212),ISNUMBER(W212),X212&lt;&gt;""),S212*(W212*INDEX(LenF,MATCH($W$7,LenU,0)))^2*INDEX(LayoutF,MATCH(X212,LayoutU,0)),0))</f>
        <v>0</v>
      </c>
      <c r="AR212" s="9" t="n">
        <f aca="false">IF(ISNUMBER(O212),O212*INDEX(LenF,MATCH($O$7,LenU,0)),IF(ISNUMBER(V212),V212*INDEX(LenF,MATCH($V$7,LenU,0)),0))</f>
        <v>0</v>
      </c>
      <c r="AS212" s="9" t="str">
        <f aca="false">IF(ISNUMBER(L212),L212*INDEX(LenF,MATCH($L$7,LenU,0))*1000,IF(OR(J212="",K212=""),"",IFERROR(IF(INDEX(PipeWT,MATCH(J212,NPSU,0),MATCH(K212,SchU,0))="","Sch n/a",INDEX(PipeOD,MATCH(J212,NPSU,0))-2*INDEX(PipeWT,MATCH(J212,NPSU,0),MATCH(K212,SchU,0))),"")))</f>
        <v/>
      </c>
      <c r="AT212" s="9" t="n">
        <f aca="false">IF(ISNUMBER(AI212),AI212,IFERROR(INDEX(IF(JobType="Decontamination",TypeFillDC,TypeFillCC),MATCH(E212,TypeL,0)),1))</f>
        <v>1</v>
      </c>
      <c r="AU212" s="9" t="n">
        <v>7</v>
      </c>
    </row>
    <row r="213" customFormat="false" ht="15" hidden="false" customHeight="false" outlineLevel="0" collapsed="false">
      <c r="A213" s="16" t="n">
        <v>6</v>
      </c>
      <c r="B213" s="20"/>
      <c r="C213" s="5"/>
      <c r="D213" s="5"/>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1" t="str">
        <f aca="false">IF(E213="Exchanger",IF(AND(ISNUMBER(S213),ISNUMBER(U213),ISNUMBER(V213)),S213*PI()/4*(U213*INDEX(LenF,MATCH($U$7,LenU,0)))^2*V213*INDEX(LenF,MATCH($V$7,LenU,0)),0)+IF(ISNUMBER(Y213),PI()/4*(Y213*INDEX(LenF,MATCH($Y$7,LenU,0)))^2*N(Z213)*INDEX(LenF,MATCH($Z$7,LenU,0))+IF(AA213="",0,IF(AA213="Conical",PI()/12*(Y213*INDEX(LenF,MATCH($Y$7,LenU,0)))^2*(0),INDEX(HeadK,MATCH(AA213,HeadU,0))*(Y213*INDEX(LenF,MATCH($Y$7,LenU,0)))^3)),0)+IF(ISNUMBER(Y213),PI()/4*(Y213*INDEX(LenF,MATCH($Y$7,LenU,0)))^2*N(AB213)*INDEX(LenF,MATCH($AB$7,LenU,0))+IF(AC213="",0,IF(AC213="Conical",PI()/12*(Y213*INDEX(LenF,MATCH($Y$7,LenU,0)))^2*(0),INDEX(HeadK,MATCH(AC213,HeadU,0))*(Y213*INDEX(LenF,MATCH($Y$7,LenU,0)))^3)),0),"")</f>
        <v/>
      </c>
      <c r="AE213" s="21" t="str">
        <f aca="false">IF(OR(E213="",E213="Piping"),"",IF(E213="Exchanger",AQ213*AR213+IF(P213="",0,IF(P213="Conical",PI()/12*(SQRT(4*AQ213/PI()))^2*(0),INDEX(HeadK,MATCH(P213,HeadU,0))*(SQRT(4*AQ213/PI()))^3))-IF(AND(ISNUMBER(S213),ISNUMBER(V213)),S213*PI()/4*AP213^2*V213*INDEX(LenF,MATCH($V$7,LenU,0)),0),IF(ISNUMBER(N213),PI()/4*(N213*INDEX(LenF,MATCH($N$7,LenU,0)))^2*N(O213)*INDEX(LenF,MATCH($O$7,LenU,0))+IF(P213="",0,IF(P213="Conical",PI()/12*(N213*INDEX(LenF,MATCH($N$7,LenU,0)))^2*(N(R213)*INDEX(LenF,MATCH($R$7,LenU,0))),INDEX(HeadK,MATCH(P213,HeadU,0))*(N213*INDEX(LenF,MATCH($N$7,LenU,0)))^3))+IF(Q213="",0,IF(Q213="Conical",PI()/12*(N213*INDEX(LenF,MATCH($N$7,LenU,0)))^2*(N(R213)*INDEX(LenF,MATCH($R$7,LenU,0))),INDEX(HeadK,MATCH(Q213,HeadU,0))*(N213*INDEX(LenF,MATCH($N$7,LenU,0)))^3)),0)))</f>
        <v/>
      </c>
      <c r="AF213" s="21" t="str">
        <f aca="false">IF(E213&lt;&gt;"Piping","",IF(AND(ISNUMBER(AS213),ISNUMBER(M213)),PI()/4*(AS213/1000)^2*M213*INDEX(LenF,MATCH($M$7,LenU,0)),0))</f>
        <v/>
      </c>
      <c r="AG213" s="21" t="str">
        <f aca="false">IF(E213="","",N(AD213)+N(AE213)+N(AF213))</f>
        <v/>
      </c>
      <c r="AH213" s="21" t="str">
        <f aca="false">IF(ISNUMBER(I213),I213*INDEX(WtF,MATCH($I$7,WtU,0))/WaterRho,"")</f>
        <v/>
      </c>
      <c r="AI213" s="11"/>
      <c r="AJ213" s="11"/>
      <c r="AK213" s="20"/>
      <c r="AL213" s="11"/>
      <c r="AM213" s="21" t="str">
        <f aca="false">IF(AO213="","",AO213*IF(ISNUMBER(AK213),AK213,DefFills)*(1+IF(ISNUMBER(AL213),AL213,DefAllow)))</f>
        <v/>
      </c>
      <c r="AN213" s="22" t="str">
        <f aca="false">IF(G213="Given volume",IF(ISNUMBER(H213),H213*INDEX(VolF,MATCH($H$7,VolU,0)),""),IF(G213="Water weight",AH213,IF(N(AG213)=0,"",AG213)))</f>
        <v/>
      </c>
      <c r="AO213" s="22" t="str">
        <f aca="false">IF(N(AN213)=0,"",AN213*AT213*IF(ISNUMBER(AJ213),AJ213,DefCirc))</f>
        <v/>
      </c>
      <c r="AP213" s="9" t="n">
        <f aca="false">IF(ISNUMBER(T213),T213*INDEX(LenF,MATCH($T$7,LenU,0)),IF(ISNUMBER(W213),W213*INDEX(LenF,MATCH($W$7,LenU,0))/PitchRatio,0))</f>
        <v>0</v>
      </c>
      <c r="AQ213" s="9" t="n">
        <f aca="false">IF(ISNUMBER(N213),PI()/4*(N213*INDEX(LenF,MATCH($N$7,LenU,0)))^2,IF(AND(ISNUMBER(S213),ISNUMBER(W213),X213&lt;&gt;""),S213*(W213*INDEX(LenF,MATCH($W$7,LenU,0)))^2*INDEX(LayoutF,MATCH(X213,LayoutU,0)),0))</f>
        <v>0</v>
      </c>
      <c r="AR213" s="9" t="n">
        <f aca="false">IF(ISNUMBER(O213),O213*INDEX(LenF,MATCH($O$7,LenU,0)),IF(ISNUMBER(V213),V213*INDEX(LenF,MATCH($V$7,LenU,0)),0))</f>
        <v>0</v>
      </c>
      <c r="AS213" s="9" t="str">
        <f aca="false">IF(ISNUMBER(L213),L213*INDEX(LenF,MATCH($L$7,LenU,0))*1000,IF(OR(J213="",K213=""),"",IFERROR(IF(INDEX(PipeWT,MATCH(J213,NPSU,0),MATCH(K213,SchU,0))="","Sch n/a",INDEX(PipeOD,MATCH(J213,NPSU,0))-2*INDEX(PipeWT,MATCH(J213,NPSU,0),MATCH(K213,SchU,0))),"")))</f>
        <v/>
      </c>
      <c r="AT213" s="9" t="n">
        <f aca="false">IF(ISNUMBER(AI213),AI213,IFERROR(INDEX(IF(JobType="Decontamination",TypeFillDC,TypeFillCC),MATCH(E213,TypeL,0)),1))</f>
        <v>1</v>
      </c>
      <c r="AU213" s="9" t="n">
        <v>7</v>
      </c>
    </row>
    <row r="214" customFormat="false" ht="15" hidden="false" customHeight="false" outlineLevel="0" collapsed="false">
      <c r="A214" s="16" t="n">
        <v>7</v>
      </c>
      <c r="B214" s="20"/>
      <c r="C214" s="5"/>
      <c r="D214" s="5"/>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1" t="str">
        <f aca="false">IF(E214="Exchanger",IF(AND(ISNUMBER(S214),ISNUMBER(U214),ISNUMBER(V214)),S214*PI()/4*(U214*INDEX(LenF,MATCH($U$7,LenU,0)))^2*V214*INDEX(LenF,MATCH($V$7,LenU,0)),0)+IF(ISNUMBER(Y214),PI()/4*(Y214*INDEX(LenF,MATCH($Y$7,LenU,0)))^2*N(Z214)*INDEX(LenF,MATCH($Z$7,LenU,0))+IF(AA214="",0,IF(AA214="Conical",PI()/12*(Y214*INDEX(LenF,MATCH($Y$7,LenU,0)))^2*(0),INDEX(HeadK,MATCH(AA214,HeadU,0))*(Y214*INDEX(LenF,MATCH($Y$7,LenU,0)))^3)),0)+IF(ISNUMBER(Y214),PI()/4*(Y214*INDEX(LenF,MATCH($Y$7,LenU,0)))^2*N(AB214)*INDEX(LenF,MATCH($AB$7,LenU,0))+IF(AC214="",0,IF(AC214="Conical",PI()/12*(Y214*INDEX(LenF,MATCH($Y$7,LenU,0)))^2*(0),INDEX(HeadK,MATCH(AC214,HeadU,0))*(Y214*INDEX(LenF,MATCH($Y$7,LenU,0)))^3)),0),"")</f>
        <v/>
      </c>
      <c r="AE214" s="21" t="str">
        <f aca="false">IF(OR(E214="",E214="Piping"),"",IF(E214="Exchanger",AQ214*AR214+IF(P214="",0,IF(P214="Conical",PI()/12*(SQRT(4*AQ214/PI()))^2*(0),INDEX(HeadK,MATCH(P214,HeadU,0))*(SQRT(4*AQ214/PI()))^3))-IF(AND(ISNUMBER(S214),ISNUMBER(V214)),S214*PI()/4*AP214^2*V214*INDEX(LenF,MATCH($V$7,LenU,0)),0),IF(ISNUMBER(N214),PI()/4*(N214*INDEX(LenF,MATCH($N$7,LenU,0)))^2*N(O214)*INDEX(LenF,MATCH($O$7,LenU,0))+IF(P214="",0,IF(P214="Conical",PI()/12*(N214*INDEX(LenF,MATCH($N$7,LenU,0)))^2*(N(R214)*INDEX(LenF,MATCH($R$7,LenU,0))),INDEX(HeadK,MATCH(P214,HeadU,0))*(N214*INDEX(LenF,MATCH($N$7,LenU,0)))^3))+IF(Q214="",0,IF(Q214="Conical",PI()/12*(N214*INDEX(LenF,MATCH($N$7,LenU,0)))^2*(N(R214)*INDEX(LenF,MATCH($R$7,LenU,0))),INDEX(HeadK,MATCH(Q214,HeadU,0))*(N214*INDEX(LenF,MATCH($N$7,LenU,0)))^3)),0)))</f>
        <v/>
      </c>
      <c r="AF214" s="21" t="str">
        <f aca="false">IF(E214&lt;&gt;"Piping","",IF(AND(ISNUMBER(AS214),ISNUMBER(M214)),PI()/4*(AS214/1000)^2*M214*INDEX(LenF,MATCH($M$7,LenU,0)),0))</f>
        <v/>
      </c>
      <c r="AG214" s="21" t="str">
        <f aca="false">IF(E214="","",N(AD214)+N(AE214)+N(AF214))</f>
        <v/>
      </c>
      <c r="AH214" s="21" t="str">
        <f aca="false">IF(ISNUMBER(I214),I214*INDEX(WtF,MATCH($I$7,WtU,0))/WaterRho,"")</f>
        <v/>
      </c>
      <c r="AI214" s="11"/>
      <c r="AJ214" s="11"/>
      <c r="AK214" s="20"/>
      <c r="AL214" s="11"/>
      <c r="AM214" s="21" t="str">
        <f aca="false">IF(AO214="","",AO214*IF(ISNUMBER(AK214),AK214,DefFills)*(1+IF(ISNUMBER(AL214),AL214,DefAllow)))</f>
        <v/>
      </c>
      <c r="AN214" s="22" t="str">
        <f aca="false">IF(G214="Given volume",IF(ISNUMBER(H214),H214*INDEX(VolF,MATCH($H$7,VolU,0)),""),IF(G214="Water weight",AH214,IF(N(AG214)=0,"",AG214)))</f>
        <v/>
      </c>
      <c r="AO214" s="22" t="str">
        <f aca="false">IF(N(AN214)=0,"",AN214*AT214*IF(ISNUMBER(AJ214),AJ214,DefCirc))</f>
        <v/>
      </c>
      <c r="AP214" s="9" t="n">
        <f aca="false">IF(ISNUMBER(T214),T214*INDEX(LenF,MATCH($T$7,LenU,0)),IF(ISNUMBER(W214),W214*INDEX(LenF,MATCH($W$7,LenU,0))/PitchRatio,0))</f>
        <v>0</v>
      </c>
      <c r="AQ214" s="9" t="n">
        <f aca="false">IF(ISNUMBER(N214),PI()/4*(N214*INDEX(LenF,MATCH($N$7,LenU,0)))^2,IF(AND(ISNUMBER(S214),ISNUMBER(W214),X214&lt;&gt;""),S214*(W214*INDEX(LenF,MATCH($W$7,LenU,0)))^2*INDEX(LayoutF,MATCH(X214,LayoutU,0)),0))</f>
        <v>0</v>
      </c>
      <c r="AR214" s="9" t="n">
        <f aca="false">IF(ISNUMBER(O214),O214*INDEX(LenF,MATCH($O$7,LenU,0)),IF(ISNUMBER(V214),V214*INDEX(LenF,MATCH($V$7,LenU,0)),0))</f>
        <v>0</v>
      </c>
      <c r="AS214" s="9" t="str">
        <f aca="false">IF(ISNUMBER(L214),L214*INDEX(LenF,MATCH($L$7,LenU,0))*1000,IF(OR(J214="",K214=""),"",IFERROR(IF(INDEX(PipeWT,MATCH(J214,NPSU,0),MATCH(K214,SchU,0))="","Sch n/a",INDEX(PipeOD,MATCH(J214,NPSU,0))-2*INDEX(PipeWT,MATCH(J214,NPSU,0),MATCH(K214,SchU,0))),"")))</f>
        <v/>
      </c>
      <c r="AT214" s="9" t="n">
        <f aca="false">IF(ISNUMBER(AI214),AI214,IFERROR(INDEX(IF(JobType="Decontamination",TypeFillDC,TypeFillCC),MATCH(E214,TypeL,0)),1))</f>
        <v>1</v>
      </c>
      <c r="AU214" s="9" t="n">
        <v>7</v>
      </c>
    </row>
    <row r="215" customFormat="false" ht="15" hidden="false" customHeight="false" outlineLevel="0" collapsed="false">
      <c r="A215" s="16" t="n">
        <v>8</v>
      </c>
      <c r="B215" s="20"/>
      <c r="C215" s="5"/>
      <c r="D215" s="5"/>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1" t="str">
        <f aca="false">IF(E215="Exchanger",IF(AND(ISNUMBER(S215),ISNUMBER(U215),ISNUMBER(V215)),S215*PI()/4*(U215*INDEX(LenF,MATCH($U$7,LenU,0)))^2*V215*INDEX(LenF,MATCH($V$7,LenU,0)),0)+IF(ISNUMBER(Y215),PI()/4*(Y215*INDEX(LenF,MATCH($Y$7,LenU,0)))^2*N(Z215)*INDEX(LenF,MATCH($Z$7,LenU,0))+IF(AA215="",0,IF(AA215="Conical",PI()/12*(Y215*INDEX(LenF,MATCH($Y$7,LenU,0)))^2*(0),INDEX(HeadK,MATCH(AA215,HeadU,0))*(Y215*INDEX(LenF,MATCH($Y$7,LenU,0)))^3)),0)+IF(ISNUMBER(Y215),PI()/4*(Y215*INDEX(LenF,MATCH($Y$7,LenU,0)))^2*N(AB215)*INDEX(LenF,MATCH($AB$7,LenU,0))+IF(AC215="",0,IF(AC215="Conical",PI()/12*(Y215*INDEX(LenF,MATCH($Y$7,LenU,0)))^2*(0),INDEX(HeadK,MATCH(AC215,HeadU,0))*(Y215*INDEX(LenF,MATCH($Y$7,LenU,0)))^3)),0),"")</f>
        <v/>
      </c>
      <c r="AE215" s="21" t="str">
        <f aca="false">IF(OR(E215="",E215="Piping"),"",IF(E215="Exchanger",AQ215*AR215+IF(P215="",0,IF(P215="Conical",PI()/12*(SQRT(4*AQ215/PI()))^2*(0),INDEX(HeadK,MATCH(P215,HeadU,0))*(SQRT(4*AQ215/PI()))^3))-IF(AND(ISNUMBER(S215),ISNUMBER(V215)),S215*PI()/4*AP215^2*V215*INDEX(LenF,MATCH($V$7,LenU,0)),0),IF(ISNUMBER(N215),PI()/4*(N215*INDEX(LenF,MATCH($N$7,LenU,0)))^2*N(O215)*INDEX(LenF,MATCH($O$7,LenU,0))+IF(P215="",0,IF(P215="Conical",PI()/12*(N215*INDEX(LenF,MATCH($N$7,LenU,0)))^2*(N(R215)*INDEX(LenF,MATCH($R$7,LenU,0))),INDEX(HeadK,MATCH(P215,HeadU,0))*(N215*INDEX(LenF,MATCH($N$7,LenU,0)))^3))+IF(Q215="",0,IF(Q215="Conical",PI()/12*(N215*INDEX(LenF,MATCH($N$7,LenU,0)))^2*(N(R215)*INDEX(LenF,MATCH($R$7,LenU,0))),INDEX(HeadK,MATCH(Q215,HeadU,0))*(N215*INDEX(LenF,MATCH($N$7,LenU,0)))^3)),0)))</f>
        <v/>
      </c>
      <c r="AF215" s="21" t="str">
        <f aca="false">IF(E215&lt;&gt;"Piping","",IF(AND(ISNUMBER(AS215),ISNUMBER(M215)),PI()/4*(AS215/1000)^2*M215*INDEX(LenF,MATCH($M$7,LenU,0)),0))</f>
        <v/>
      </c>
      <c r="AG215" s="21" t="str">
        <f aca="false">IF(E215="","",N(AD215)+N(AE215)+N(AF215))</f>
        <v/>
      </c>
      <c r="AH215" s="21" t="str">
        <f aca="false">IF(ISNUMBER(I215),I215*INDEX(WtF,MATCH($I$7,WtU,0))/WaterRho,"")</f>
        <v/>
      </c>
      <c r="AI215" s="11"/>
      <c r="AJ215" s="11"/>
      <c r="AK215" s="20"/>
      <c r="AL215" s="11"/>
      <c r="AM215" s="21" t="str">
        <f aca="false">IF(AO215="","",AO215*IF(ISNUMBER(AK215),AK215,DefFills)*(1+IF(ISNUMBER(AL215),AL215,DefAllow)))</f>
        <v/>
      </c>
      <c r="AN215" s="22" t="str">
        <f aca="false">IF(G215="Given volume",IF(ISNUMBER(H215),H215*INDEX(VolF,MATCH($H$7,VolU,0)),""),IF(G215="Water weight",AH215,IF(N(AG215)=0,"",AG215)))</f>
        <v/>
      </c>
      <c r="AO215" s="22" t="str">
        <f aca="false">IF(N(AN215)=0,"",AN215*AT215*IF(ISNUMBER(AJ215),AJ215,DefCirc))</f>
        <v/>
      </c>
      <c r="AP215" s="9" t="n">
        <f aca="false">IF(ISNUMBER(T215),T215*INDEX(LenF,MATCH($T$7,LenU,0)),IF(ISNUMBER(W215),W215*INDEX(LenF,MATCH($W$7,LenU,0))/PitchRatio,0))</f>
        <v>0</v>
      </c>
      <c r="AQ215" s="9" t="n">
        <f aca="false">IF(ISNUMBER(N215),PI()/4*(N215*INDEX(LenF,MATCH($N$7,LenU,0)))^2,IF(AND(ISNUMBER(S215),ISNUMBER(W215),X215&lt;&gt;""),S215*(W215*INDEX(LenF,MATCH($W$7,LenU,0)))^2*INDEX(LayoutF,MATCH(X215,LayoutU,0)),0))</f>
        <v>0</v>
      </c>
      <c r="AR215" s="9" t="n">
        <f aca="false">IF(ISNUMBER(O215),O215*INDEX(LenF,MATCH($O$7,LenU,0)),IF(ISNUMBER(V215),V215*INDEX(LenF,MATCH($V$7,LenU,0)),0))</f>
        <v>0</v>
      </c>
      <c r="AS215" s="9" t="str">
        <f aca="false">IF(ISNUMBER(L215),L215*INDEX(LenF,MATCH($L$7,LenU,0))*1000,IF(OR(J215="",K215=""),"",IFERROR(IF(INDEX(PipeWT,MATCH(J215,NPSU,0),MATCH(K215,SchU,0))="","Sch n/a",INDEX(PipeOD,MATCH(J215,NPSU,0))-2*INDEX(PipeWT,MATCH(J215,NPSU,0),MATCH(K215,SchU,0))),"")))</f>
        <v/>
      </c>
      <c r="AT215" s="9" t="n">
        <f aca="false">IF(ISNUMBER(AI215),AI215,IFERROR(INDEX(IF(JobType="Decontamination",TypeFillDC,TypeFillCC),MATCH(E215,TypeL,0)),1))</f>
        <v>1</v>
      </c>
      <c r="AU215" s="9" t="n">
        <v>7</v>
      </c>
    </row>
    <row r="216" customFormat="false" ht="15" hidden="false" customHeight="false" outlineLevel="0" collapsed="false">
      <c r="A216" s="16" t="n">
        <v>9</v>
      </c>
      <c r="B216" s="20"/>
      <c r="C216" s="5"/>
      <c r="D216" s="5"/>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1" t="str">
        <f aca="false">IF(E216="Exchanger",IF(AND(ISNUMBER(S216),ISNUMBER(U216),ISNUMBER(V216)),S216*PI()/4*(U216*INDEX(LenF,MATCH($U$7,LenU,0)))^2*V216*INDEX(LenF,MATCH($V$7,LenU,0)),0)+IF(ISNUMBER(Y216),PI()/4*(Y216*INDEX(LenF,MATCH($Y$7,LenU,0)))^2*N(Z216)*INDEX(LenF,MATCH($Z$7,LenU,0))+IF(AA216="",0,IF(AA216="Conical",PI()/12*(Y216*INDEX(LenF,MATCH($Y$7,LenU,0)))^2*(0),INDEX(HeadK,MATCH(AA216,HeadU,0))*(Y216*INDEX(LenF,MATCH($Y$7,LenU,0)))^3)),0)+IF(ISNUMBER(Y216),PI()/4*(Y216*INDEX(LenF,MATCH($Y$7,LenU,0)))^2*N(AB216)*INDEX(LenF,MATCH($AB$7,LenU,0))+IF(AC216="",0,IF(AC216="Conical",PI()/12*(Y216*INDEX(LenF,MATCH($Y$7,LenU,0)))^2*(0),INDEX(HeadK,MATCH(AC216,HeadU,0))*(Y216*INDEX(LenF,MATCH($Y$7,LenU,0)))^3)),0),"")</f>
        <v/>
      </c>
      <c r="AE216" s="21" t="str">
        <f aca="false">IF(OR(E216="",E216="Piping"),"",IF(E216="Exchanger",AQ216*AR216+IF(P216="",0,IF(P216="Conical",PI()/12*(SQRT(4*AQ216/PI()))^2*(0),INDEX(HeadK,MATCH(P216,HeadU,0))*(SQRT(4*AQ216/PI()))^3))-IF(AND(ISNUMBER(S216),ISNUMBER(V216)),S216*PI()/4*AP216^2*V216*INDEX(LenF,MATCH($V$7,LenU,0)),0),IF(ISNUMBER(N216),PI()/4*(N216*INDEX(LenF,MATCH($N$7,LenU,0)))^2*N(O216)*INDEX(LenF,MATCH($O$7,LenU,0))+IF(P216="",0,IF(P216="Conical",PI()/12*(N216*INDEX(LenF,MATCH($N$7,LenU,0)))^2*(N(R216)*INDEX(LenF,MATCH($R$7,LenU,0))),INDEX(HeadK,MATCH(P216,HeadU,0))*(N216*INDEX(LenF,MATCH($N$7,LenU,0)))^3))+IF(Q216="",0,IF(Q216="Conical",PI()/12*(N216*INDEX(LenF,MATCH($N$7,LenU,0)))^2*(N(R216)*INDEX(LenF,MATCH($R$7,LenU,0))),INDEX(HeadK,MATCH(Q216,HeadU,0))*(N216*INDEX(LenF,MATCH($N$7,LenU,0)))^3)),0)))</f>
        <v/>
      </c>
      <c r="AF216" s="21" t="str">
        <f aca="false">IF(E216&lt;&gt;"Piping","",IF(AND(ISNUMBER(AS216),ISNUMBER(M216)),PI()/4*(AS216/1000)^2*M216*INDEX(LenF,MATCH($M$7,LenU,0)),0))</f>
        <v/>
      </c>
      <c r="AG216" s="21" t="str">
        <f aca="false">IF(E216="","",N(AD216)+N(AE216)+N(AF216))</f>
        <v/>
      </c>
      <c r="AH216" s="21" t="str">
        <f aca="false">IF(ISNUMBER(I216),I216*INDEX(WtF,MATCH($I$7,WtU,0))/WaterRho,"")</f>
        <v/>
      </c>
      <c r="AI216" s="11"/>
      <c r="AJ216" s="11"/>
      <c r="AK216" s="20"/>
      <c r="AL216" s="11"/>
      <c r="AM216" s="21" t="str">
        <f aca="false">IF(AO216="","",AO216*IF(ISNUMBER(AK216),AK216,DefFills)*(1+IF(ISNUMBER(AL216),AL216,DefAllow)))</f>
        <v/>
      </c>
      <c r="AN216" s="22" t="str">
        <f aca="false">IF(G216="Given volume",IF(ISNUMBER(H216),H216*INDEX(VolF,MATCH($H$7,VolU,0)),""),IF(G216="Water weight",AH216,IF(N(AG216)=0,"",AG216)))</f>
        <v/>
      </c>
      <c r="AO216" s="22" t="str">
        <f aca="false">IF(N(AN216)=0,"",AN216*AT216*IF(ISNUMBER(AJ216),AJ216,DefCirc))</f>
        <v/>
      </c>
      <c r="AP216" s="9" t="n">
        <f aca="false">IF(ISNUMBER(T216),T216*INDEX(LenF,MATCH($T$7,LenU,0)),IF(ISNUMBER(W216),W216*INDEX(LenF,MATCH($W$7,LenU,0))/PitchRatio,0))</f>
        <v>0</v>
      </c>
      <c r="AQ216" s="9" t="n">
        <f aca="false">IF(ISNUMBER(N216),PI()/4*(N216*INDEX(LenF,MATCH($N$7,LenU,0)))^2,IF(AND(ISNUMBER(S216),ISNUMBER(W216),X216&lt;&gt;""),S216*(W216*INDEX(LenF,MATCH($W$7,LenU,0)))^2*INDEX(LayoutF,MATCH(X216,LayoutU,0)),0))</f>
        <v>0</v>
      </c>
      <c r="AR216" s="9" t="n">
        <f aca="false">IF(ISNUMBER(O216),O216*INDEX(LenF,MATCH($O$7,LenU,0)),IF(ISNUMBER(V216),V216*INDEX(LenF,MATCH($V$7,LenU,0)),0))</f>
        <v>0</v>
      </c>
      <c r="AS216" s="9" t="str">
        <f aca="false">IF(ISNUMBER(L216),L216*INDEX(LenF,MATCH($L$7,LenU,0))*1000,IF(OR(J216="",K216=""),"",IFERROR(IF(INDEX(PipeWT,MATCH(J216,NPSU,0),MATCH(K216,SchU,0))="","Sch n/a",INDEX(PipeOD,MATCH(J216,NPSU,0))-2*INDEX(PipeWT,MATCH(J216,NPSU,0),MATCH(K216,SchU,0))),"")))</f>
        <v/>
      </c>
      <c r="AT216" s="9" t="n">
        <f aca="false">IF(ISNUMBER(AI216),AI216,IFERROR(INDEX(IF(JobType="Decontamination",TypeFillDC,TypeFillCC),MATCH(E216,TypeL,0)),1))</f>
        <v>1</v>
      </c>
      <c r="AU216" s="9" t="n">
        <v>7</v>
      </c>
    </row>
    <row r="217" customFormat="false" ht="15" hidden="false" customHeight="false" outlineLevel="0" collapsed="false">
      <c r="A217" s="16" t="n">
        <v>10</v>
      </c>
      <c r="B217" s="20"/>
      <c r="C217" s="5"/>
      <c r="D217" s="5"/>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1" t="str">
        <f aca="false">IF(E217="Exchanger",IF(AND(ISNUMBER(S217),ISNUMBER(U217),ISNUMBER(V217)),S217*PI()/4*(U217*INDEX(LenF,MATCH($U$7,LenU,0)))^2*V217*INDEX(LenF,MATCH($V$7,LenU,0)),0)+IF(ISNUMBER(Y217),PI()/4*(Y217*INDEX(LenF,MATCH($Y$7,LenU,0)))^2*N(Z217)*INDEX(LenF,MATCH($Z$7,LenU,0))+IF(AA217="",0,IF(AA217="Conical",PI()/12*(Y217*INDEX(LenF,MATCH($Y$7,LenU,0)))^2*(0),INDEX(HeadK,MATCH(AA217,HeadU,0))*(Y217*INDEX(LenF,MATCH($Y$7,LenU,0)))^3)),0)+IF(ISNUMBER(Y217),PI()/4*(Y217*INDEX(LenF,MATCH($Y$7,LenU,0)))^2*N(AB217)*INDEX(LenF,MATCH($AB$7,LenU,0))+IF(AC217="",0,IF(AC217="Conical",PI()/12*(Y217*INDEX(LenF,MATCH($Y$7,LenU,0)))^2*(0),INDEX(HeadK,MATCH(AC217,HeadU,0))*(Y217*INDEX(LenF,MATCH($Y$7,LenU,0)))^3)),0),"")</f>
        <v/>
      </c>
      <c r="AE217" s="21" t="str">
        <f aca="false">IF(OR(E217="",E217="Piping"),"",IF(E217="Exchanger",AQ217*AR217+IF(P217="",0,IF(P217="Conical",PI()/12*(SQRT(4*AQ217/PI()))^2*(0),INDEX(HeadK,MATCH(P217,HeadU,0))*(SQRT(4*AQ217/PI()))^3))-IF(AND(ISNUMBER(S217),ISNUMBER(V217)),S217*PI()/4*AP217^2*V217*INDEX(LenF,MATCH($V$7,LenU,0)),0),IF(ISNUMBER(N217),PI()/4*(N217*INDEX(LenF,MATCH($N$7,LenU,0)))^2*N(O217)*INDEX(LenF,MATCH($O$7,LenU,0))+IF(P217="",0,IF(P217="Conical",PI()/12*(N217*INDEX(LenF,MATCH($N$7,LenU,0)))^2*(N(R217)*INDEX(LenF,MATCH($R$7,LenU,0))),INDEX(HeadK,MATCH(P217,HeadU,0))*(N217*INDEX(LenF,MATCH($N$7,LenU,0)))^3))+IF(Q217="",0,IF(Q217="Conical",PI()/12*(N217*INDEX(LenF,MATCH($N$7,LenU,0)))^2*(N(R217)*INDEX(LenF,MATCH($R$7,LenU,0))),INDEX(HeadK,MATCH(Q217,HeadU,0))*(N217*INDEX(LenF,MATCH($N$7,LenU,0)))^3)),0)))</f>
        <v/>
      </c>
      <c r="AF217" s="21" t="str">
        <f aca="false">IF(E217&lt;&gt;"Piping","",IF(AND(ISNUMBER(AS217),ISNUMBER(M217)),PI()/4*(AS217/1000)^2*M217*INDEX(LenF,MATCH($M$7,LenU,0)),0))</f>
        <v/>
      </c>
      <c r="AG217" s="21" t="str">
        <f aca="false">IF(E217="","",N(AD217)+N(AE217)+N(AF217))</f>
        <v/>
      </c>
      <c r="AH217" s="21" t="str">
        <f aca="false">IF(ISNUMBER(I217),I217*INDEX(WtF,MATCH($I$7,WtU,0))/WaterRho,"")</f>
        <v/>
      </c>
      <c r="AI217" s="11"/>
      <c r="AJ217" s="11"/>
      <c r="AK217" s="20"/>
      <c r="AL217" s="11"/>
      <c r="AM217" s="21" t="str">
        <f aca="false">IF(AO217="","",AO217*IF(ISNUMBER(AK217),AK217,DefFills)*(1+IF(ISNUMBER(AL217),AL217,DefAllow)))</f>
        <v/>
      </c>
      <c r="AN217" s="22" t="str">
        <f aca="false">IF(G217="Given volume",IF(ISNUMBER(H217),H217*INDEX(VolF,MATCH($H$7,VolU,0)),""),IF(G217="Water weight",AH217,IF(N(AG217)=0,"",AG217)))</f>
        <v/>
      </c>
      <c r="AO217" s="22" t="str">
        <f aca="false">IF(N(AN217)=0,"",AN217*AT217*IF(ISNUMBER(AJ217),AJ217,DefCirc))</f>
        <v/>
      </c>
      <c r="AP217" s="9" t="n">
        <f aca="false">IF(ISNUMBER(T217),T217*INDEX(LenF,MATCH($T$7,LenU,0)),IF(ISNUMBER(W217),W217*INDEX(LenF,MATCH($W$7,LenU,0))/PitchRatio,0))</f>
        <v>0</v>
      </c>
      <c r="AQ217" s="9" t="n">
        <f aca="false">IF(ISNUMBER(N217),PI()/4*(N217*INDEX(LenF,MATCH($N$7,LenU,0)))^2,IF(AND(ISNUMBER(S217),ISNUMBER(W217),X217&lt;&gt;""),S217*(W217*INDEX(LenF,MATCH($W$7,LenU,0)))^2*INDEX(LayoutF,MATCH(X217,LayoutU,0)),0))</f>
        <v>0</v>
      </c>
      <c r="AR217" s="9" t="n">
        <f aca="false">IF(ISNUMBER(O217),O217*INDEX(LenF,MATCH($O$7,LenU,0)),IF(ISNUMBER(V217),V217*INDEX(LenF,MATCH($V$7,LenU,0)),0))</f>
        <v>0</v>
      </c>
      <c r="AS217" s="9" t="str">
        <f aca="false">IF(ISNUMBER(L217),L217*INDEX(LenF,MATCH($L$7,LenU,0))*1000,IF(OR(J217="",K217=""),"",IFERROR(IF(INDEX(PipeWT,MATCH(J217,NPSU,0),MATCH(K217,SchU,0))="","Sch n/a",INDEX(PipeOD,MATCH(J217,NPSU,0))-2*INDEX(PipeWT,MATCH(J217,NPSU,0),MATCH(K217,SchU,0))),"")))</f>
        <v/>
      </c>
      <c r="AT217" s="9" t="n">
        <f aca="false">IF(ISNUMBER(AI217),AI217,IFERROR(INDEX(IF(JobType="Decontamination",TypeFillDC,TypeFillCC),MATCH(E217,TypeL,0)),1))</f>
        <v>1</v>
      </c>
      <c r="AU217" s="9" t="n">
        <v>7</v>
      </c>
    </row>
    <row r="218" customFormat="false" ht="15" hidden="false" customHeight="false" outlineLevel="0" collapsed="false">
      <c r="A218" s="16" t="n">
        <v>11</v>
      </c>
      <c r="B218" s="20"/>
      <c r="C218" s="5"/>
      <c r="D218" s="5"/>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1" t="str">
        <f aca="false">IF(E218="Exchanger",IF(AND(ISNUMBER(S218),ISNUMBER(U218),ISNUMBER(V218)),S218*PI()/4*(U218*INDEX(LenF,MATCH($U$7,LenU,0)))^2*V218*INDEX(LenF,MATCH($V$7,LenU,0)),0)+IF(ISNUMBER(Y218),PI()/4*(Y218*INDEX(LenF,MATCH($Y$7,LenU,0)))^2*N(Z218)*INDEX(LenF,MATCH($Z$7,LenU,0))+IF(AA218="",0,IF(AA218="Conical",PI()/12*(Y218*INDEX(LenF,MATCH($Y$7,LenU,0)))^2*(0),INDEX(HeadK,MATCH(AA218,HeadU,0))*(Y218*INDEX(LenF,MATCH($Y$7,LenU,0)))^3)),0)+IF(ISNUMBER(Y218),PI()/4*(Y218*INDEX(LenF,MATCH($Y$7,LenU,0)))^2*N(AB218)*INDEX(LenF,MATCH($AB$7,LenU,0))+IF(AC218="",0,IF(AC218="Conical",PI()/12*(Y218*INDEX(LenF,MATCH($Y$7,LenU,0)))^2*(0),INDEX(HeadK,MATCH(AC218,HeadU,0))*(Y218*INDEX(LenF,MATCH($Y$7,LenU,0)))^3)),0),"")</f>
        <v/>
      </c>
      <c r="AE218" s="21" t="str">
        <f aca="false">IF(OR(E218="",E218="Piping"),"",IF(E218="Exchanger",AQ218*AR218+IF(P218="",0,IF(P218="Conical",PI()/12*(SQRT(4*AQ218/PI()))^2*(0),INDEX(HeadK,MATCH(P218,HeadU,0))*(SQRT(4*AQ218/PI()))^3))-IF(AND(ISNUMBER(S218),ISNUMBER(V218)),S218*PI()/4*AP218^2*V218*INDEX(LenF,MATCH($V$7,LenU,0)),0),IF(ISNUMBER(N218),PI()/4*(N218*INDEX(LenF,MATCH($N$7,LenU,0)))^2*N(O218)*INDEX(LenF,MATCH($O$7,LenU,0))+IF(P218="",0,IF(P218="Conical",PI()/12*(N218*INDEX(LenF,MATCH($N$7,LenU,0)))^2*(N(R218)*INDEX(LenF,MATCH($R$7,LenU,0))),INDEX(HeadK,MATCH(P218,HeadU,0))*(N218*INDEX(LenF,MATCH($N$7,LenU,0)))^3))+IF(Q218="",0,IF(Q218="Conical",PI()/12*(N218*INDEX(LenF,MATCH($N$7,LenU,0)))^2*(N(R218)*INDEX(LenF,MATCH($R$7,LenU,0))),INDEX(HeadK,MATCH(Q218,HeadU,0))*(N218*INDEX(LenF,MATCH($N$7,LenU,0)))^3)),0)))</f>
        <v/>
      </c>
      <c r="AF218" s="21" t="str">
        <f aca="false">IF(E218&lt;&gt;"Piping","",IF(AND(ISNUMBER(AS218),ISNUMBER(M218)),PI()/4*(AS218/1000)^2*M218*INDEX(LenF,MATCH($M$7,LenU,0)),0))</f>
        <v/>
      </c>
      <c r="AG218" s="21" t="str">
        <f aca="false">IF(E218="","",N(AD218)+N(AE218)+N(AF218))</f>
        <v/>
      </c>
      <c r="AH218" s="21" t="str">
        <f aca="false">IF(ISNUMBER(I218),I218*INDEX(WtF,MATCH($I$7,WtU,0))/WaterRho,"")</f>
        <v/>
      </c>
      <c r="AI218" s="11"/>
      <c r="AJ218" s="11"/>
      <c r="AK218" s="20"/>
      <c r="AL218" s="11"/>
      <c r="AM218" s="21" t="str">
        <f aca="false">IF(AO218="","",AO218*IF(ISNUMBER(AK218),AK218,DefFills)*(1+IF(ISNUMBER(AL218),AL218,DefAllow)))</f>
        <v/>
      </c>
      <c r="AN218" s="22" t="str">
        <f aca="false">IF(G218="Given volume",IF(ISNUMBER(H218),H218*INDEX(VolF,MATCH($H$7,VolU,0)),""),IF(G218="Water weight",AH218,IF(N(AG218)=0,"",AG218)))</f>
        <v/>
      </c>
      <c r="AO218" s="22" t="str">
        <f aca="false">IF(N(AN218)=0,"",AN218*AT218*IF(ISNUMBER(AJ218),AJ218,DefCirc))</f>
        <v/>
      </c>
      <c r="AP218" s="9" t="n">
        <f aca="false">IF(ISNUMBER(T218),T218*INDEX(LenF,MATCH($T$7,LenU,0)),IF(ISNUMBER(W218),W218*INDEX(LenF,MATCH($W$7,LenU,0))/PitchRatio,0))</f>
        <v>0</v>
      </c>
      <c r="AQ218" s="9" t="n">
        <f aca="false">IF(ISNUMBER(N218),PI()/4*(N218*INDEX(LenF,MATCH($N$7,LenU,0)))^2,IF(AND(ISNUMBER(S218),ISNUMBER(W218),X218&lt;&gt;""),S218*(W218*INDEX(LenF,MATCH($W$7,LenU,0)))^2*INDEX(LayoutF,MATCH(X218,LayoutU,0)),0))</f>
        <v>0</v>
      </c>
      <c r="AR218" s="9" t="n">
        <f aca="false">IF(ISNUMBER(O218),O218*INDEX(LenF,MATCH($O$7,LenU,0)),IF(ISNUMBER(V218),V218*INDEX(LenF,MATCH($V$7,LenU,0)),0))</f>
        <v>0</v>
      </c>
      <c r="AS218" s="9" t="str">
        <f aca="false">IF(ISNUMBER(L218),L218*INDEX(LenF,MATCH($L$7,LenU,0))*1000,IF(OR(J218="",K218=""),"",IFERROR(IF(INDEX(PipeWT,MATCH(J218,NPSU,0),MATCH(K218,SchU,0))="","Sch n/a",INDEX(PipeOD,MATCH(J218,NPSU,0))-2*INDEX(PipeWT,MATCH(J218,NPSU,0),MATCH(K218,SchU,0))),"")))</f>
        <v/>
      </c>
      <c r="AT218" s="9" t="n">
        <f aca="false">IF(ISNUMBER(AI218),AI218,IFERROR(INDEX(IF(JobType="Decontamination",TypeFillDC,TypeFillCC),MATCH(E218,TypeL,0)),1))</f>
        <v>1</v>
      </c>
      <c r="AU218" s="9" t="n">
        <v>7</v>
      </c>
    </row>
    <row r="219" customFormat="false" ht="15" hidden="false" customHeight="false" outlineLevel="0" collapsed="false">
      <c r="A219" s="16" t="n">
        <v>12</v>
      </c>
      <c r="B219" s="20"/>
      <c r="C219" s="5"/>
      <c r="D219" s="5"/>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1" t="str">
        <f aca="false">IF(E219="Exchanger",IF(AND(ISNUMBER(S219),ISNUMBER(U219),ISNUMBER(V219)),S219*PI()/4*(U219*INDEX(LenF,MATCH($U$7,LenU,0)))^2*V219*INDEX(LenF,MATCH($V$7,LenU,0)),0)+IF(ISNUMBER(Y219),PI()/4*(Y219*INDEX(LenF,MATCH($Y$7,LenU,0)))^2*N(Z219)*INDEX(LenF,MATCH($Z$7,LenU,0))+IF(AA219="",0,IF(AA219="Conical",PI()/12*(Y219*INDEX(LenF,MATCH($Y$7,LenU,0)))^2*(0),INDEX(HeadK,MATCH(AA219,HeadU,0))*(Y219*INDEX(LenF,MATCH($Y$7,LenU,0)))^3)),0)+IF(ISNUMBER(Y219),PI()/4*(Y219*INDEX(LenF,MATCH($Y$7,LenU,0)))^2*N(AB219)*INDEX(LenF,MATCH($AB$7,LenU,0))+IF(AC219="",0,IF(AC219="Conical",PI()/12*(Y219*INDEX(LenF,MATCH($Y$7,LenU,0)))^2*(0),INDEX(HeadK,MATCH(AC219,HeadU,0))*(Y219*INDEX(LenF,MATCH($Y$7,LenU,0)))^3)),0),"")</f>
        <v/>
      </c>
      <c r="AE219" s="21" t="str">
        <f aca="false">IF(OR(E219="",E219="Piping"),"",IF(E219="Exchanger",AQ219*AR219+IF(P219="",0,IF(P219="Conical",PI()/12*(SQRT(4*AQ219/PI()))^2*(0),INDEX(HeadK,MATCH(P219,HeadU,0))*(SQRT(4*AQ219/PI()))^3))-IF(AND(ISNUMBER(S219),ISNUMBER(V219)),S219*PI()/4*AP219^2*V219*INDEX(LenF,MATCH($V$7,LenU,0)),0),IF(ISNUMBER(N219),PI()/4*(N219*INDEX(LenF,MATCH($N$7,LenU,0)))^2*N(O219)*INDEX(LenF,MATCH($O$7,LenU,0))+IF(P219="",0,IF(P219="Conical",PI()/12*(N219*INDEX(LenF,MATCH($N$7,LenU,0)))^2*(N(R219)*INDEX(LenF,MATCH($R$7,LenU,0))),INDEX(HeadK,MATCH(P219,HeadU,0))*(N219*INDEX(LenF,MATCH($N$7,LenU,0)))^3))+IF(Q219="",0,IF(Q219="Conical",PI()/12*(N219*INDEX(LenF,MATCH($N$7,LenU,0)))^2*(N(R219)*INDEX(LenF,MATCH($R$7,LenU,0))),INDEX(HeadK,MATCH(Q219,HeadU,0))*(N219*INDEX(LenF,MATCH($N$7,LenU,0)))^3)),0)))</f>
        <v/>
      </c>
      <c r="AF219" s="21" t="str">
        <f aca="false">IF(E219&lt;&gt;"Piping","",IF(AND(ISNUMBER(AS219),ISNUMBER(M219)),PI()/4*(AS219/1000)^2*M219*INDEX(LenF,MATCH($M$7,LenU,0)),0))</f>
        <v/>
      </c>
      <c r="AG219" s="21" t="str">
        <f aca="false">IF(E219="","",N(AD219)+N(AE219)+N(AF219))</f>
        <v/>
      </c>
      <c r="AH219" s="21" t="str">
        <f aca="false">IF(ISNUMBER(I219),I219*INDEX(WtF,MATCH($I$7,WtU,0))/WaterRho,"")</f>
        <v/>
      </c>
      <c r="AI219" s="11"/>
      <c r="AJ219" s="11"/>
      <c r="AK219" s="20"/>
      <c r="AL219" s="11"/>
      <c r="AM219" s="21" t="str">
        <f aca="false">IF(AO219="","",AO219*IF(ISNUMBER(AK219),AK219,DefFills)*(1+IF(ISNUMBER(AL219),AL219,DefAllow)))</f>
        <v/>
      </c>
      <c r="AN219" s="22" t="str">
        <f aca="false">IF(G219="Given volume",IF(ISNUMBER(H219),H219*INDEX(VolF,MATCH($H$7,VolU,0)),""),IF(G219="Water weight",AH219,IF(N(AG219)=0,"",AG219)))</f>
        <v/>
      </c>
      <c r="AO219" s="22" t="str">
        <f aca="false">IF(N(AN219)=0,"",AN219*AT219*IF(ISNUMBER(AJ219),AJ219,DefCirc))</f>
        <v/>
      </c>
      <c r="AP219" s="9" t="n">
        <f aca="false">IF(ISNUMBER(T219),T219*INDEX(LenF,MATCH($T$7,LenU,0)),IF(ISNUMBER(W219),W219*INDEX(LenF,MATCH($W$7,LenU,0))/PitchRatio,0))</f>
        <v>0</v>
      </c>
      <c r="AQ219" s="9" t="n">
        <f aca="false">IF(ISNUMBER(N219),PI()/4*(N219*INDEX(LenF,MATCH($N$7,LenU,0)))^2,IF(AND(ISNUMBER(S219),ISNUMBER(W219),X219&lt;&gt;""),S219*(W219*INDEX(LenF,MATCH($W$7,LenU,0)))^2*INDEX(LayoutF,MATCH(X219,LayoutU,0)),0))</f>
        <v>0</v>
      </c>
      <c r="AR219" s="9" t="n">
        <f aca="false">IF(ISNUMBER(O219),O219*INDEX(LenF,MATCH($O$7,LenU,0)),IF(ISNUMBER(V219),V219*INDEX(LenF,MATCH($V$7,LenU,0)),0))</f>
        <v>0</v>
      </c>
      <c r="AS219" s="9" t="str">
        <f aca="false">IF(ISNUMBER(L219),L219*INDEX(LenF,MATCH($L$7,LenU,0))*1000,IF(OR(J219="",K219=""),"",IFERROR(IF(INDEX(PipeWT,MATCH(J219,NPSU,0),MATCH(K219,SchU,0))="","Sch n/a",INDEX(PipeOD,MATCH(J219,NPSU,0))-2*INDEX(PipeWT,MATCH(J219,NPSU,0),MATCH(K219,SchU,0))),"")))</f>
        <v/>
      </c>
      <c r="AT219" s="9" t="n">
        <f aca="false">IF(ISNUMBER(AI219),AI219,IFERROR(INDEX(IF(JobType="Decontamination",TypeFillDC,TypeFillCC),MATCH(E219,TypeL,0)),1))</f>
        <v>1</v>
      </c>
      <c r="AU219" s="9" t="n">
        <v>7</v>
      </c>
    </row>
    <row r="220" customFormat="false" ht="15" hidden="false" customHeight="false" outlineLevel="0" collapsed="false">
      <c r="A220" s="16" t="n">
        <v>13</v>
      </c>
      <c r="B220" s="20"/>
      <c r="C220" s="5"/>
      <c r="D220" s="5"/>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1" t="str">
        <f aca="false">IF(E220="Exchanger",IF(AND(ISNUMBER(S220),ISNUMBER(U220),ISNUMBER(V220)),S220*PI()/4*(U220*INDEX(LenF,MATCH($U$7,LenU,0)))^2*V220*INDEX(LenF,MATCH($V$7,LenU,0)),0)+IF(ISNUMBER(Y220),PI()/4*(Y220*INDEX(LenF,MATCH($Y$7,LenU,0)))^2*N(Z220)*INDEX(LenF,MATCH($Z$7,LenU,0))+IF(AA220="",0,IF(AA220="Conical",PI()/12*(Y220*INDEX(LenF,MATCH($Y$7,LenU,0)))^2*(0),INDEX(HeadK,MATCH(AA220,HeadU,0))*(Y220*INDEX(LenF,MATCH($Y$7,LenU,0)))^3)),0)+IF(ISNUMBER(Y220),PI()/4*(Y220*INDEX(LenF,MATCH($Y$7,LenU,0)))^2*N(AB220)*INDEX(LenF,MATCH($AB$7,LenU,0))+IF(AC220="",0,IF(AC220="Conical",PI()/12*(Y220*INDEX(LenF,MATCH($Y$7,LenU,0)))^2*(0),INDEX(HeadK,MATCH(AC220,HeadU,0))*(Y220*INDEX(LenF,MATCH($Y$7,LenU,0)))^3)),0),"")</f>
        <v/>
      </c>
      <c r="AE220" s="21" t="str">
        <f aca="false">IF(OR(E220="",E220="Piping"),"",IF(E220="Exchanger",AQ220*AR220+IF(P220="",0,IF(P220="Conical",PI()/12*(SQRT(4*AQ220/PI()))^2*(0),INDEX(HeadK,MATCH(P220,HeadU,0))*(SQRT(4*AQ220/PI()))^3))-IF(AND(ISNUMBER(S220),ISNUMBER(V220)),S220*PI()/4*AP220^2*V220*INDEX(LenF,MATCH($V$7,LenU,0)),0),IF(ISNUMBER(N220),PI()/4*(N220*INDEX(LenF,MATCH($N$7,LenU,0)))^2*N(O220)*INDEX(LenF,MATCH($O$7,LenU,0))+IF(P220="",0,IF(P220="Conical",PI()/12*(N220*INDEX(LenF,MATCH($N$7,LenU,0)))^2*(N(R220)*INDEX(LenF,MATCH($R$7,LenU,0))),INDEX(HeadK,MATCH(P220,HeadU,0))*(N220*INDEX(LenF,MATCH($N$7,LenU,0)))^3))+IF(Q220="",0,IF(Q220="Conical",PI()/12*(N220*INDEX(LenF,MATCH($N$7,LenU,0)))^2*(N(R220)*INDEX(LenF,MATCH($R$7,LenU,0))),INDEX(HeadK,MATCH(Q220,HeadU,0))*(N220*INDEX(LenF,MATCH($N$7,LenU,0)))^3)),0)))</f>
        <v/>
      </c>
      <c r="AF220" s="21" t="str">
        <f aca="false">IF(E220&lt;&gt;"Piping","",IF(AND(ISNUMBER(AS220),ISNUMBER(M220)),PI()/4*(AS220/1000)^2*M220*INDEX(LenF,MATCH($M$7,LenU,0)),0))</f>
        <v/>
      </c>
      <c r="AG220" s="21" t="str">
        <f aca="false">IF(E220="","",N(AD220)+N(AE220)+N(AF220))</f>
        <v/>
      </c>
      <c r="AH220" s="21" t="str">
        <f aca="false">IF(ISNUMBER(I220),I220*INDEX(WtF,MATCH($I$7,WtU,0))/WaterRho,"")</f>
        <v/>
      </c>
      <c r="AI220" s="11"/>
      <c r="AJ220" s="11"/>
      <c r="AK220" s="20"/>
      <c r="AL220" s="11"/>
      <c r="AM220" s="21" t="str">
        <f aca="false">IF(AO220="","",AO220*IF(ISNUMBER(AK220),AK220,DefFills)*(1+IF(ISNUMBER(AL220),AL220,DefAllow)))</f>
        <v/>
      </c>
      <c r="AN220" s="22" t="str">
        <f aca="false">IF(G220="Given volume",IF(ISNUMBER(H220),H220*INDEX(VolF,MATCH($H$7,VolU,0)),""),IF(G220="Water weight",AH220,IF(N(AG220)=0,"",AG220)))</f>
        <v/>
      </c>
      <c r="AO220" s="22" t="str">
        <f aca="false">IF(N(AN220)=0,"",AN220*AT220*IF(ISNUMBER(AJ220),AJ220,DefCirc))</f>
        <v/>
      </c>
      <c r="AP220" s="9" t="n">
        <f aca="false">IF(ISNUMBER(T220),T220*INDEX(LenF,MATCH($T$7,LenU,0)),IF(ISNUMBER(W220),W220*INDEX(LenF,MATCH($W$7,LenU,0))/PitchRatio,0))</f>
        <v>0</v>
      </c>
      <c r="AQ220" s="9" t="n">
        <f aca="false">IF(ISNUMBER(N220),PI()/4*(N220*INDEX(LenF,MATCH($N$7,LenU,0)))^2,IF(AND(ISNUMBER(S220),ISNUMBER(W220),X220&lt;&gt;""),S220*(W220*INDEX(LenF,MATCH($W$7,LenU,0)))^2*INDEX(LayoutF,MATCH(X220,LayoutU,0)),0))</f>
        <v>0</v>
      </c>
      <c r="AR220" s="9" t="n">
        <f aca="false">IF(ISNUMBER(O220),O220*INDEX(LenF,MATCH($O$7,LenU,0)),IF(ISNUMBER(V220),V220*INDEX(LenF,MATCH($V$7,LenU,0)),0))</f>
        <v>0</v>
      </c>
      <c r="AS220" s="9" t="str">
        <f aca="false">IF(ISNUMBER(L220),L220*INDEX(LenF,MATCH($L$7,LenU,0))*1000,IF(OR(J220="",K220=""),"",IFERROR(IF(INDEX(PipeWT,MATCH(J220,NPSU,0),MATCH(K220,SchU,0))="","Sch n/a",INDEX(PipeOD,MATCH(J220,NPSU,0))-2*INDEX(PipeWT,MATCH(J220,NPSU,0),MATCH(K220,SchU,0))),"")))</f>
        <v/>
      </c>
      <c r="AT220" s="9" t="n">
        <f aca="false">IF(ISNUMBER(AI220),AI220,IFERROR(INDEX(IF(JobType="Decontamination",TypeFillDC,TypeFillCC),MATCH(E220,TypeL,0)),1))</f>
        <v>1</v>
      </c>
      <c r="AU220" s="9" t="n">
        <v>7</v>
      </c>
    </row>
    <row r="221" customFormat="false" ht="15" hidden="false" customHeight="false" outlineLevel="0" collapsed="false">
      <c r="A221" s="16" t="n">
        <v>14</v>
      </c>
      <c r="B221" s="20"/>
      <c r="C221" s="5"/>
      <c r="D221" s="5"/>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1" t="str">
        <f aca="false">IF(E221="Exchanger",IF(AND(ISNUMBER(S221),ISNUMBER(U221),ISNUMBER(V221)),S221*PI()/4*(U221*INDEX(LenF,MATCH($U$7,LenU,0)))^2*V221*INDEX(LenF,MATCH($V$7,LenU,0)),0)+IF(ISNUMBER(Y221),PI()/4*(Y221*INDEX(LenF,MATCH($Y$7,LenU,0)))^2*N(Z221)*INDEX(LenF,MATCH($Z$7,LenU,0))+IF(AA221="",0,IF(AA221="Conical",PI()/12*(Y221*INDEX(LenF,MATCH($Y$7,LenU,0)))^2*(0),INDEX(HeadK,MATCH(AA221,HeadU,0))*(Y221*INDEX(LenF,MATCH($Y$7,LenU,0)))^3)),0)+IF(ISNUMBER(Y221),PI()/4*(Y221*INDEX(LenF,MATCH($Y$7,LenU,0)))^2*N(AB221)*INDEX(LenF,MATCH($AB$7,LenU,0))+IF(AC221="",0,IF(AC221="Conical",PI()/12*(Y221*INDEX(LenF,MATCH($Y$7,LenU,0)))^2*(0),INDEX(HeadK,MATCH(AC221,HeadU,0))*(Y221*INDEX(LenF,MATCH($Y$7,LenU,0)))^3)),0),"")</f>
        <v/>
      </c>
      <c r="AE221" s="21" t="str">
        <f aca="false">IF(OR(E221="",E221="Piping"),"",IF(E221="Exchanger",AQ221*AR221+IF(P221="",0,IF(P221="Conical",PI()/12*(SQRT(4*AQ221/PI()))^2*(0),INDEX(HeadK,MATCH(P221,HeadU,0))*(SQRT(4*AQ221/PI()))^3))-IF(AND(ISNUMBER(S221),ISNUMBER(V221)),S221*PI()/4*AP221^2*V221*INDEX(LenF,MATCH($V$7,LenU,0)),0),IF(ISNUMBER(N221),PI()/4*(N221*INDEX(LenF,MATCH($N$7,LenU,0)))^2*N(O221)*INDEX(LenF,MATCH($O$7,LenU,0))+IF(P221="",0,IF(P221="Conical",PI()/12*(N221*INDEX(LenF,MATCH($N$7,LenU,0)))^2*(N(R221)*INDEX(LenF,MATCH($R$7,LenU,0))),INDEX(HeadK,MATCH(P221,HeadU,0))*(N221*INDEX(LenF,MATCH($N$7,LenU,0)))^3))+IF(Q221="",0,IF(Q221="Conical",PI()/12*(N221*INDEX(LenF,MATCH($N$7,LenU,0)))^2*(N(R221)*INDEX(LenF,MATCH($R$7,LenU,0))),INDEX(HeadK,MATCH(Q221,HeadU,0))*(N221*INDEX(LenF,MATCH($N$7,LenU,0)))^3)),0)))</f>
        <v/>
      </c>
      <c r="AF221" s="21" t="str">
        <f aca="false">IF(E221&lt;&gt;"Piping","",IF(AND(ISNUMBER(AS221),ISNUMBER(M221)),PI()/4*(AS221/1000)^2*M221*INDEX(LenF,MATCH($M$7,LenU,0)),0))</f>
        <v/>
      </c>
      <c r="AG221" s="21" t="str">
        <f aca="false">IF(E221="","",N(AD221)+N(AE221)+N(AF221))</f>
        <v/>
      </c>
      <c r="AH221" s="21" t="str">
        <f aca="false">IF(ISNUMBER(I221),I221*INDEX(WtF,MATCH($I$7,WtU,0))/WaterRho,"")</f>
        <v/>
      </c>
      <c r="AI221" s="11"/>
      <c r="AJ221" s="11"/>
      <c r="AK221" s="20"/>
      <c r="AL221" s="11"/>
      <c r="AM221" s="21" t="str">
        <f aca="false">IF(AO221="","",AO221*IF(ISNUMBER(AK221),AK221,DefFills)*(1+IF(ISNUMBER(AL221),AL221,DefAllow)))</f>
        <v/>
      </c>
      <c r="AN221" s="22" t="str">
        <f aca="false">IF(G221="Given volume",IF(ISNUMBER(H221),H221*INDEX(VolF,MATCH($H$7,VolU,0)),""),IF(G221="Water weight",AH221,IF(N(AG221)=0,"",AG221)))</f>
        <v/>
      </c>
      <c r="AO221" s="22" t="str">
        <f aca="false">IF(N(AN221)=0,"",AN221*AT221*IF(ISNUMBER(AJ221),AJ221,DefCirc))</f>
        <v/>
      </c>
      <c r="AP221" s="9" t="n">
        <f aca="false">IF(ISNUMBER(T221),T221*INDEX(LenF,MATCH($T$7,LenU,0)),IF(ISNUMBER(W221),W221*INDEX(LenF,MATCH($W$7,LenU,0))/PitchRatio,0))</f>
        <v>0</v>
      </c>
      <c r="AQ221" s="9" t="n">
        <f aca="false">IF(ISNUMBER(N221),PI()/4*(N221*INDEX(LenF,MATCH($N$7,LenU,0)))^2,IF(AND(ISNUMBER(S221),ISNUMBER(W221),X221&lt;&gt;""),S221*(W221*INDEX(LenF,MATCH($W$7,LenU,0)))^2*INDEX(LayoutF,MATCH(X221,LayoutU,0)),0))</f>
        <v>0</v>
      </c>
      <c r="AR221" s="9" t="n">
        <f aca="false">IF(ISNUMBER(O221),O221*INDEX(LenF,MATCH($O$7,LenU,0)),IF(ISNUMBER(V221),V221*INDEX(LenF,MATCH($V$7,LenU,0)),0))</f>
        <v>0</v>
      </c>
      <c r="AS221" s="9" t="str">
        <f aca="false">IF(ISNUMBER(L221),L221*INDEX(LenF,MATCH($L$7,LenU,0))*1000,IF(OR(J221="",K221=""),"",IFERROR(IF(INDEX(PipeWT,MATCH(J221,NPSU,0),MATCH(K221,SchU,0))="","Sch n/a",INDEX(PipeOD,MATCH(J221,NPSU,0))-2*INDEX(PipeWT,MATCH(J221,NPSU,0),MATCH(K221,SchU,0))),"")))</f>
        <v/>
      </c>
      <c r="AT221" s="9" t="n">
        <f aca="false">IF(ISNUMBER(AI221),AI221,IFERROR(INDEX(IF(JobType="Decontamination",TypeFillDC,TypeFillCC),MATCH(E221,TypeL,0)),1))</f>
        <v>1</v>
      </c>
      <c r="AU221" s="9" t="n">
        <v>7</v>
      </c>
    </row>
    <row r="222" customFormat="false" ht="15" hidden="false" customHeight="false" outlineLevel="0" collapsed="false">
      <c r="A222" s="16" t="n">
        <v>15</v>
      </c>
      <c r="B222" s="20"/>
      <c r="C222" s="5"/>
      <c r="D222" s="5"/>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1" t="str">
        <f aca="false">IF(E222="Exchanger",IF(AND(ISNUMBER(S222),ISNUMBER(U222),ISNUMBER(V222)),S222*PI()/4*(U222*INDEX(LenF,MATCH($U$7,LenU,0)))^2*V222*INDEX(LenF,MATCH($V$7,LenU,0)),0)+IF(ISNUMBER(Y222),PI()/4*(Y222*INDEX(LenF,MATCH($Y$7,LenU,0)))^2*N(Z222)*INDEX(LenF,MATCH($Z$7,LenU,0))+IF(AA222="",0,IF(AA222="Conical",PI()/12*(Y222*INDEX(LenF,MATCH($Y$7,LenU,0)))^2*(0),INDEX(HeadK,MATCH(AA222,HeadU,0))*(Y222*INDEX(LenF,MATCH($Y$7,LenU,0)))^3)),0)+IF(ISNUMBER(Y222),PI()/4*(Y222*INDEX(LenF,MATCH($Y$7,LenU,0)))^2*N(AB222)*INDEX(LenF,MATCH($AB$7,LenU,0))+IF(AC222="",0,IF(AC222="Conical",PI()/12*(Y222*INDEX(LenF,MATCH($Y$7,LenU,0)))^2*(0),INDEX(HeadK,MATCH(AC222,HeadU,0))*(Y222*INDEX(LenF,MATCH($Y$7,LenU,0)))^3)),0),"")</f>
        <v/>
      </c>
      <c r="AE222" s="21" t="str">
        <f aca="false">IF(OR(E222="",E222="Piping"),"",IF(E222="Exchanger",AQ222*AR222+IF(P222="",0,IF(P222="Conical",PI()/12*(SQRT(4*AQ222/PI()))^2*(0),INDEX(HeadK,MATCH(P222,HeadU,0))*(SQRT(4*AQ222/PI()))^3))-IF(AND(ISNUMBER(S222),ISNUMBER(V222)),S222*PI()/4*AP222^2*V222*INDEX(LenF,MATCH($V$7,LenU,0)),0),IF(ISNUMBER(N222),PI()/4*(N222*INDEX(LenF,MATCH($N$7,LenU,0)))^2*N(O222)*INDEX(LenF,MATCH($O$7,LenU,0))+IF(P222="",0,IF(P222="Conical",PI()/12*(N222*INDEX(LenF,MATCH($N$7,LenU,0)))^2*(N(R222)*INDEX(LenF,MATCH($R$7,LenU,0))),INDEX(HeadK,MATCH(P222,HeadU,0))*(N222*INDEX(LenF,MATCH($N$7,LenU,0)))^3))+IF(Q222="",0,IF(Q222="Conical",PI()/12*(N222*INDEX(LenF,MATCH($N$7,LenU,0)))^2*(N(R222)*INDEX(LenF,MATCH($R$7,LenU,0))),INDEX(HeadK,MATCH(Q222,HeadU,0))*(N222*INDEX(LenF,MATCH($N$7,LenU,0)))^3)),0)))</f>
        <v/>
      </c>
      <c r="AF222" s="21" t="str">
        <f aca="false">IF(E222&lt;&gt;"Piping","",IF(AND(ISNUMBER(AS222),ISNUMBER(M222)),PI()/4*(AS222/1000)^2*M222*INDEX(LenF,MATCH($M$7,LenU,0)),0))</f>
        <v/>
      </c>
      <c r="AG222" s="21" t="str">
        <f aca="false">IF(E222="","",N(AD222)+N(AE222)+N(AF222))</f>
        <v/>
      </c>
      <c r="AH222" s="21" t="str">
        <f aca="false">IF(ISNUMBER(I222),I222*INDEX(WtF,MATCH($I$7,WtU,0))/WaterRho,"")</f>
        <v/>
      </c>
      <c r="AI222" s="11"/>
      <c r="AJ222" s="11"/>
      <c r="AK222" s="20"/>
      <c r="AL222" s="11"/>
      <c r="AM222" s="21" t="str">
        <f aca="false">IF(AO222="","",AO222*IF(ISNUMBER(AK222),AK222,DefFills)*(1+IF(ISNUMBER(AL222),AL222,DefAllow)))</f>
        <v/>
      </c>
      <c r="AN222" s="22" t="str">
        <f aca="false">IF(G222="Given volume",IF(ISNUMBER(H222),H222*INDEX(VolF,MATCH($H$7,VolU,0)),""),IF(G222="Water weight",AH222,IF(N(AG222)=0,"",AG222)))</f>
        <v/>
      </c>
      <c r="AO222" s="22" t="str">
        <f aca="false">IF(N(AN222)=0,"",AN222*AT222*IF(ISNUMBER(AJ222),AJ222,DefCirc))</f>
        <v/>
      </c>
      <c r="AP222" s="9" t="n">
        <f aca="false">IF(ISNUMBER(T222),T222*INDEX(LenF,MATCH($T$7,LenU,0)),IF(ISNUMBER(W222),W222*INDEX(LenF,MATCH($W$7,LenU,0))/PitchRatio,0))</f>
        <v>0</v>
      </c>
      <c r="AQ222" s="9" t="n">
        <f aca="false">IF(ISNUMBER(N222),PI()/4*(N222*INDEX(LenF,MATCH($N$7,LenU,0)))^2,IF(AND(ISNUMBER(S222),ISNUMBER(W222),X222&lt;&gt;""),S222*(W222*INDEX(LenF,MATCH($W$7,LenU,0)))^2*INDEX(LayoutF,MATCH(X222,LayoutU,0)),0))</f>
        <v>0</v>
      </c>
      <c r="AR222" s="9" t="n">
        <f aca="false">IF(ISNUMBER(O222),O222*INDEX(LenF,MATCH($O$7,LenU,0)),IF(ISNUMBER(V222),V222*INDEX(LenF,MATCH($V$7,LenU,0)),0))</f>
        <v>0</v>
      </c>
      <c r="AS222" s="9" t="str">
        <f aca="false">IF(ISNUMBER(L222),L222*INDEX(LenF,MATCH($L$7,LenU,0))*1000,IF(OR(J222="",K222=""),"",IFERROR(IF(INDEX(PipeWT,MATCH(J222,NPSU,0),MATCH(K222,SchU,0))="","Sch n/a",INDEX(PipeOD,MATCH(J222,NPSU,0))-2*INDEX(PipeWT,MATCH(J222,NPSU,0),MATCH(K222,SchU,0))),"")))</f>
        <v/>
      </c>
      <c r="AT222" s="9" t="n">
        <f aca="false">IF(ISNUMBER(AI222),AI222,IFERROR(INDEX(IF(JobType="Decontamination",TypeFillDC,TypeFillCC),MATCH(E222,TypeL,0)),1))</f>
        <v>1</v>
      </c>
      <c r="AU222" s="9" t="n">
        <v>7</v>
      </c>
    </row>
    <row r="223" customFormat="false" ht="15" hidden="false" customHeight="false" outlineLevel="0" collapsed="false">
      <c r="A223" s="16" t="n">
        <v>16</v>
      </c>
      <c r="B223" s="20"/>
      <c r="C223" s="5"/>
      <c r="D223" s="5"/>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1" t="str">
        <f aca="false">IF(E223="Exchanger",IF(AND(ISNUMBER(S223),ISNUMBER(U223),ISNUMBER(V223)),S223*PI()/4*(U223*INDEX(LenF,MATCH($U$7,LenU,0)))^2*V223*INDEX(LenF,MATCH($V$7,LenU,0)),0)+IF(ISNUMBER(Y223),PI()/4*(Y223*INDEX(LenF,MATCH($Y$7,LenU,0)))^2*N(Z223)*INDEX(LenF,MATCH($Z$7,LenU,0))+IF(AA223="",0,IF(AA223="Conical",PI()/12*(Y223*INDEX(LenF,MATCH($Y$7,LenU,0)))^2*(0),INDEX(HeadK,MATCH(AA223,HeadU,0))*(Y223*INDEX(LenF,MATCH($Y$7,LenU,0)))^3)),0)+IF(ISNUMBER(Y223),PI()/4*(Y223*INDEX(LenF,MATCH($Y$7,LenU,0)))^2*N(AB223)*INDEX(LenF,MATCH($AB$7,LenU,0))+IF(AC223="",0,IF(AC223="Conical",PI()/12*(Y223*INDEX(LenF,MATCH($Y$7,LenU,0)))^2*(0),INDEX(HeadK,MATCH(AC223,HeadU,0))*(Y223*INDEX(LenF,MATCH($Y$7,LenU,0)))^3)),0),"")</f>
        <v/>
      </c>
      <c r="AE223" s="21" t="str">
        <f aca="false">IF(OR(E223="",E223="Piping"),"",IF(E223="Exchanger",AQ223*AR223+IF(P223="",0,IF(P223="Conical",PI()/12*(SQRT(4*AQ223/PI()))^2*(0),INDEX(HeadK,MATCH(P223,HeadU,0))*(SQRT(4*AQ223/PI()))^3))-IF(AND(ISNUMBER(S223),ISNUMBER(V223)),S223*PI()/4*AP223^2*V223*INDEX(LenF,MATCH($V$7,LenU,0)),0),IF(ISNUMBER(N223),PI()/4*(N223*INDEX(LenF,MATCH($N$7,LenU,0)))^2*N(O223)*INDEX(LenF,MATCH($O$7,LenU,0))+IF(P223="",0,IF(P223="Conical",PI()/12*(N223*INDEX(LenF,MATCH($N$7,LenU,0)))^2*(N(R223)*INDEX(LenF,MATCH($R$7,LenU,0))),INDEX(HeadK,MATCH(P223,HeadU,0))*(N223*INDEX(LenF,MATCH($N$7,LenU,0)))^3))+IF(Q223="",0,IF(Q223="Conical",PI()/12*(N223*INDEX(LenF,MATCH($N$7,LenU,0)))^2*(N(R223)*INDEX(LenF,MATCH($R$7,LenU,0))),INDEX(HeadK,MATCH(Q223,HeadU,0))*(N223*INDEX(LenF,MATCH($N$7,LenU,0)))^3)),0)))</f>
        <v/>
      </c>
      <c r="AF223" s="21" t="str">
        <f aca="false">IF(E223&lt;&gt;"Piping","",IF(AND(ISNUMBER(AS223),ISNUMBER(M223)),PI()/4*(AS223/1000)^2*M223*INDEX(LenF,MATCH($M$7,LenU,0)),0))</f>
        <v/>
      </c>
      <c r="AG223" s="21" t="str">
        <f aca="false">IF(E223="","",N(AD223)+N(AE223)+N(AF223))</f>
        <v/>
      </c>
      <c r="AH223" s="21" t="str">
        <f aca="false">IF(ISNUMBER(I223),I223*INDEX(WtF,MATCH($I$7,WtU,0))/WaterRho,"")</f>
        <v/>
      </c>
      <c r="AI223" s="11"/>
      <c r="AJ223" s="11"/>
      <c r="AK223" s="20"/>
      <c r="AL223" s="11"/>
      <c r="AM223" s="21" t="str">
        <f aca="false">IF(AO223="","",AO223*IF(ISNUMBER(AK223),AK223,DefFills)*(1+IF(ISNUMBER(AL223),AL223,DefAllow)))</f>
        <v/>
      </c>
      <c r="AN223" s="22" t="str">
        <f aca="false">IF(G223="Given volume",IF(ISNUMBER(H223),H223*INDEX(VolF,MATCH($H$7,VolU,0)),""),IF(G223="Water weight",AH223,IF(N(AG223)=0,"",AG223)))</f>
        <v/>
      </c>
      <c r="AO223" s="22" t="str">
        <f aca="false">IF(N(AN223)=0,"",AN223*AT223*IF(ISNUMBER(AJ223),AJ223,DefCirc))</f>
        <v/>
      </c>
      <c r="AP223" s="9" t="n">
        <f aca="false">IF(ISNUMBER(T223),T223*INDEX(LenF,MATCH($T$7,LenU,0)),IF(ISNUMBER(W223),W223*INDEX(LenF,MATCH($W$7,LenU,0))/PitchRatio,0))</f>
        <v>0</v>
      </c>
      <c r="AQ223" s="9" t="n">
        <f aca="false">IF(ISNUMBER(N223),PI()/4*(N223*INDEX(LenF,MATCH($N$7,LenU,0)))^2,IF(AND(ISNUMBER(S223),ISNUMBER(W223),X223&lt;&gt;""),S223*(W223*INDEX(LenF,MATCH($W$7,LenU,0)))^2*INDEX(LayoutF,MATCH(X223,LayoutU,0)),0))</f>
        <v>0</v>
      </c>
      <c r="AR223" s="9" t="n">
        <f aca="false">IF(ISNUMBER(O223),O223*INDEX(LenF,MATCH($O$7,LenU,0)),IF(ISNUMBER(V223),V223*INDEX(LenF,MATCH($V$7,LenU,0)),0))</f>
        <v>0</v>
      </c>
      <c r="AS223" s="9" t="str">
        <f aca="false">IF(ISNUMBER(L223),L223*INDEX(LenF,MATCH($L$7,LenU,0))*1000,IF(OR(J223="",K223=""),"",IFERROR(IF(INDEX(PipeWT,MATCH(J223,NPSU,0),MATCH(K223,SchU,0))="","Sch n/a",INDEX(PipeOD,MATCH(J223,NPSU,0))-2*INDEX(PipeWT,MATCH(J223,NPSU,0),MATCH(K223,SchU,0))),"")))</f>
        <v/>
      </c>
      <c r="AT223" s="9" t="n">
        <f aca="false">IF(ISNUMBER(AI223),AI223,IFERROR(INDEX(IF(JobType="Decontamination",TypeFillDC,TypeFillCC),MATCH(E223,TypeL,0)),1))</f>
        <v>1</v>
      </c>
      <c r="AU223" s="9" t="n">
        <v>7</v>
      </c>
    </row>
    <row r="224" customFormat="false" ht="15" hidden="false" customHeight="false" outlineLevel="0" collapsed="false">
      <c r="A224" s="16" t="n">
        <v>17</v>
      </c>
      <c r="B224" s="20"/>
      <c r="C224" s="5"/>
      <c r="D224" s="5"/>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1" t="str">
        <f aca="false">IF(E224="Exchanger",IF(AND(ISNUMBER(S224),ISNUMBER(U224),ISNUMBER(V224)),S224*PI()/4*(U224*INDEX(LenF,MATCH($U$7,LenU,0)))^2*V224*INDEX(LenF,MATCH($V$7,LenU,0)),0)+IF(ISNUMBER(Y224),PI()/4*(Y224*INDEX(LenF,MATCH($Y$7,LenU,0)))^2*N(Z224)*INDEX(LenF,MATCH($Z$7,LenU,0))+IF(AA224="",0,IF(AA224="Conical",PI()/12*(Y224*INDEX(LenF,MATCH($Y$7,LenU,0)))^2*(0),INDEX(HeadK,MATCH(AA224,HeadU,0))*(Y224*INDEX(LenF,MATCH($Y$7,LenU,0)))^3)),0)+IF(ISNUMBER(Y224),PI()/4*(Y224*INDEX(LenF,MATCH($Y$7,LenU,0)))^2*N(AB224)*INDEX(LenF,MATCH($AB$7,LenU,0))+IF(AC224="",0,IF(AC224="Conical",PI()/12*(Y224*INDEX(LenF,MATCH($Y$7,LenU,0)))^2*(0),INDEX(HeadK,MATCH(AC224,HeadU,0))*(Y224*INDEX(LenF,MATCH($Y$7,LenU,0)))^3)),0),"")</f>
        <v/>
      </c>
      <c r="AE224" s="21" t="str">
        <f aca="false">IF(OR(E224="",E224="Piping"),"",IF(E224="Exchanger",AQ224*AR224+IF(P224="",0,IF(P224="Conical",PI()/12*(SQRT(4*AQ224/PI()))^2*(0),INDEX(HeadK,MATCH(P224,HeadU,0))*(SQRT(4*AQ224/PI()))^3))-IF(AND(ISNUMBER(S224),ISNUMBER(V224)),S224*PI()/4*AP224^2*V224*INDEX(LenF,MATCH($V$7,LenU,0)),0),IF(ISNUMBER(N224),PI()/4*(N224*INDEX(LenF,MATCH($N$7,LenU,0)))^2*N(O224)*INDEX(LenF,MATCH($O$7,LenU,0))+IF(P224="",0,IF(P224="Conical",PI()/12*(N224*INDEX(LenF,MATCH($N$7,LenU,0)))^2*(N(R224)*INDEX(LenF,MATCH($R$7,LenU,0))),INDEX(HeadK,MATCH(P224,HeadU,0))*(N224*INDEX(LenF,MATCH($N$7,LenU,0)))^3))+IF(Q224="",0,IF(Q224="Conical",PI()/12*(N224*INDEX(LenF,MATCH($N$7,LenU,0)))^2*(N(R224)*INDEX(LenF,MATCH($R$7,LenU,0))),INDEX(HeadK,MATCH(Q224,HeadU,0))*(N224*INDEX(LenF,MATCH($N$7,LenU,0)))^3)),0)))</f>
        <v/>
      </c>
      <c r="AF224" s="21" t="str">
        <f aca="false">IF(E224&lt;&gt;"Piping","",IF(AND(ISNUMBER(AS224),ISNUMBER(M224)),PI()/4*(AS224/1000)^2*M224*INDEX(LenF,MATCH($M$7,LenU,0)),0))</f>
        <v/>
      </c>
      <c r="AG224" s="21" t="str">
        <f aca="false">IF(E224="","",N(AD224)+N(AE224)+N(AF224))</f>
        <v/>
      </c>
      <c r="AH224" s="21" t="str">
        <f aca="false">IF(ISNUMBER(I224),I224*INDEX(WtF,MATCH($I$7,WtU,0))/WaterRho,"")</f>
        <v/>
      </c>
      <c r="AI224" s="11"/>
      <c r="AJ224" s="11"/>
      <c r="AK224" s="20"/>
      <c r="AL224" s="11"/>
      <c r="AM224" s="21" t="str">
        <f aca="false">IF(AO224="","",AO224*IF(ISNUMBER(AK224),AK224,DefFills)*(1+IF(ISNUMBER(AL224),AL224,DefAllow)))</f>
        <v/>
      </c>
      <c r="AN224" s="22" t="str">
        <f aca="false">IF(G224="Given volume",IF(ISNUMBER(H224),H224*INDEX(VolF,MATCH($H$7,VolU,0)),""),IF(G224="Water weight",AH224,IF(N(AG224)=0,"",AG224)))</f>
        <v/>
      </c>
      <c r="AO224" s="22" t="str">
        <f aca="false">IF(N(AN224)=0,"",AN224*AT224*IF(ISNUMBER(AJ224),AJ224,DefCirc))</f>
        <v/>
      </c>
      <c r="AP224" s="9" t="n">
        <f aca="false">IF(ISNUMBER(T224),T224*INDEX(LenF,MATCH($T$7,LenU,0)),IF(ISNUMBER(W224),W224*INDEX(LenF,MATCH($W$7,LenU,0))/PitchRatio,0))</f>
        <v>0</v>
      </c>
      <c r="AQ224" s="9" t="n">
        <f aca="false">IF(ISNUMBER(N224),PI()/4*(N224*INDEX(LenF,MATCH($N$7,LenU,0)))^2,IF(AND(ISNUMBER(S224),ISNUMBER(W224),X224&lt;&gt;""),S224*(W224*INDEX(LenF,MATCH($W$7,LenU,0)))^2*INDEX(LayoutF,MATCH(X224,LayoutU,0)),0))</f>
        <v>0</v>
      </c>
      <c r="AR224" s="9" t="n">
        <f aca="false">IF(ISNUMBER(O224),O224*INDEX(LenF,MATCH($O$7,LenU,0)),IF(ISNUMBER(V224),V224*INDEX(LenF,MATCH($V$7,LenU,0)),0))</f>
        <v>0</v>
      </c>
      <c r="AS224" s="9" t="str">
        <f aca="false">IF(ISNUMBER(L224),L224*INDEX(LenF,MATCH($L$7,LenU,0))*1000,IF(OR(J224="",K224=""),"",IFERROR(IF(INDEX(PipeWT,MATCH(J224,NPSU,0),MATCH(K224,SchU,0))="","Sch n/a",INDEX(PipeOD,MATCH(J224,NPSU,0))-2*INDEX(PipeWT,MATCH(J224,NPSU,0),MATCH(K224,SchU,0))),"")))</f>
        <v/>
      </c>
      <c r="AT224" s="9" t="n">
        <f aca="false">IF(ISNUMBER(AI224),AI224,IFERROR(INDEX(IF(JobType="Decontamination",TypeFillDC,TypeFillCC),MATCH(E224,TypeL,0)),1))</f>
        <v>1</v>
      </c>
      <c r="AU224" s="9" t="n">
        <v>7</v>
      </c>
    </row>
    <row r="225" customFormat="false" ht="15" hidden="false" customHeight="false" outlineLevel="0" collapsed="false">
      <c r="A225" s="16" t="n">
        <v>18</v>
      </c>
      <c r="B225" s="20"/>
      <c r="C225" s="5"/>
      <c r="D225" s="5"/>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1" t="str">
        <f aca="false">IF(E225="Exchanger",IF(AND(ISNUMBER(S225),ISNUMBER(U225),ISNUMBER(V225)),S225*PI()/4*(U225*INDEX(LenF,MATCH($U$7,LenU,0)))^2*V225*INDEX(LenF,MATCH($V$7,LenU,0)),0)+IF(ISNUMBER(Y225),PI()/4*(Y225*INDEX(LenF,MATCH($Y$7,LenU,0)))^2*N(Z225)*INDEX(LenF,MATCH($Z$7,LenU,0))+IF(AA225="",0,IF(AA225="Conical",PI()/12*(Y225*INDEX(LenF,MATCH($Y$7,LenU,0)))^2*(0),INDEX(HeadK,MATCH(AA225,HeadU,0))*(Y225*INDEX(LenF,MATCH($Y$7,LenU,0)))^3)),0)+IF(ISNUMBER(Y225),PI()/4*(Y225*INDEX(LenF,MATCH($Y$7,LenU,0)))^2*N(AB225)*INDEX(LenF,MATCH($AB$7,LenU,0))+IF(AC225="",0,IF(AC225="Conical",PI()/12*(Y225*INDEX(LenF,MATCH($Y$7,LenU,0)))^2*(0),INDEX(HeadK,MATCH(AC225,HeadU,0))*(Y225*INDEX(LenF,MATCH($Y$7,LenU,0)))^3)),0),"")</f>
        <v/>
      </c>
      <c r="AE225" s="21" t="str">
        <f aca="false">IF(OR(E225="",E225="Piping"),"",IF(E225="Exchanger",AQ225*AR225+IF(P225="",0,IF(P225="Conical",PI()/12*(SQRT(4*AQ225/PI()))^2*(0),INDEX(HeadK,MATCH(P225,HeadU,0))*(SQRT(4*AQ225/PI()))^3))-IF(AND(ISNUMBER(S225),ISNUMBER(V225)),S225*PI()/4*AP225^2*V225*INDEX(LenF,MATCH($V$7,LenU,0)),0),IF(ISNUMBER(N225),PI()/4*(N225*INDEX(LenF,MATCH($N$7,LenU,0)))^2*N(O225)*INDEX(LenF,MATCH($O$7,LenU,0))+IF(P225="",0,IF(P225="Conical",PI()/12*(N225*INDEX(LenF,MATCH($N$7,LenU,0)))^2*(N(R225)*INDEX(LenF,MATCH($R$7,LenU,0))),INDEX(HeadK,MATCH(P225,HeadU,0))*(N225*INDEX(LenF,MATCH($N$7,LenU,0)))^3))+IF(Q225="",0,IF(Q225="Conical",PI()/12*(N225*INDEX(LenF,MATCH($N$7,LenU,0)))^2*(N(R225)*INDEX(LenF,MATCH($R$7,LenU,0))),INDEX(HeadK,MATCH(Q225,HeadU,0))*(N225*INDEX(LenF,MATCH($N$7,LenU,0)))^3)),0)))</f>
        <v/>
      </c>
      <c r="AF225" s="21" t="str">
        <f aca="false">IF(E225&lt;&gt;"Piping","",IF(AND(ISNUMBER(AS225),ISNUMBER(M225)),PI()/4*(AS225/1000)^2*M225*INDEX(LenF,MATCH($M$7,LenU,0)),0))</f>
        <v/>
      </c>
      <c r="AG225" s="21" t="str">
        <f aca="false">IF(E225="","",N(AD225)+N(AE225)+N(AF225))</f>
        <v/>
      </c>
      <c r="AH225" s="21" t="str">
        <f aca="false">IF(ISNUMBER(I225),I225*INDEX(WtF,MATCH($I$7,WtU,0))/WaterRho,"")</f>
        <v/>
      </c>
      <c r="AI225" s="11"/>
      <c r="AJ225" s="11"/>
      <c r="AK225" s="20"/>
      <c r="AL225" s="11"/>
      <c r="AM225" s="21" t="str">
        <f aca="false">IF(AO225="","",AO225*IF(ISNUMBER(AK225),AK225,DefFills)*(1+IF(ISNUMBER(AL225),AL225,DefAllow)))</f>
        <v/>
      </c>
      <c r="AN225" s="22" t="str">
        <f aca="false">IF(G225="Given volume",IF(ISNUMBER(H225),H225*INDEX(VolF,MATCH($H$7,VolU,0)),""),IF(G225="Water weight",AH225,IF(N(AG225)=0,"",AG225)))</f>
        <v/>
      </c>
      <c r="AO225" s="22" t="str">
        <f aca="false">IF(N(AN225)=0,"",AN225*AT225*IF(ISNUMBER(AJ225),AJ225,DefCirc))</f>
        <v/>
      </c>
      <c r="AP225" s="9" t="n">
        <f aca="false">IF(ISNUMBER(T225),T225*INDEX(LenF,MATCH($T$7,LenU,0)),IF(ISNUMBER(W225),W225*INDEX(LenF,MATCH($W$7,LenU,0))/PitchRatio,0))</f>
        <v>0</v>
      </c>
      <c r="AQ225" s="9" t="n">
        <f aca="false">IF(ISNUMBER(N225),PI()/4*(N225*INDEX(LenF,MATCH($N$7,LenU,0)))^2,IF(AND(ISNUMBER(S225),ISNUMBER(W225),X225&lt;&gt;""),S225*(W225*INDEX(LenF,MATCH($W$7,LenU,0)))^2*INDEX(LayoutF,MATCH(X225,LayoutU,0)),0))</f>
        <v>0</v>
      </c>
      <c r="AR225" s="9" t="n">
        <f aca="false">IF(ISNUMBER(O225),O225*INDEX(LenF,MATCH($O$7,LenU,0)),IF(ISNUMBER(V225),V225*INDEX(LenF,MATCH($V$7,LenU,0)),0))</f>
        <v>0</v>
      </c>
      <c r="AS225" s="9" t="str">
        <f aca="false">IF(ISNUMBER(L225),L225*INDEX(LenF,MATCH($L$7,LenU,0))*1000,IF(OR(J225="",K225=""),"",IFERROR(IF(INDEX(PipeWT,MATCH(J225,NPSU,0),MATCH(K225,SchU,0))="","Sch n/a",INDEX(PipeOD,MATCH(J225,NPSU,0))-2*INDEX(PipeWT,MATCH(J225,NPSU,0),MATCH(K225,SchU,0))),"")))</f>
        <v/>
      </c>
      <c r="AT225" s="9" t="n">
        <f aca="false">IF(ISNUMBER(AI225),AI225,IFERROR(INDEX(IF(JobType="Decontamination",TypeFillDC,TypeFillCC),MATCH(E225,TypeL,0)),1))</f>
        <v>1</v>
      </c>
      <c r="AU225" s="9" t="n">
        <v>7</v>
      </c>
    </row>
    <row r="226" customFormat="false" ht="15" hidden="false" customHeight="false" outlineLevel="0" collapsed="false">
      <c r="A226" s="16" t="n">
        <v>19</v>
      </c>
      <c r="B226" s="20"/>
      <c r="C226" s="5"/>
      <c r="D226" s="5"/>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1" t="str">
        <f aca="false">IF(E226="Exchanger",IF(AND(ISNUMBER(S226),ISNUMBER(U226),ISNUMBER(V226)),S226*PI()/4*(U226*INDEX(LenF,MATCH($U$7,LenU,0)))^2*V226*INDEX(LenF,MATCH($V$7,LenU,0)),0)+IF(ISNUMBER(Y226),PI()/4*(Y226*INDEX(LenF,MATCH($Y$7,LenU,0)))^2*N(Z226)*INDEX(LenF,MATCH($Z$7,LenU,0))+IF(AA226="",0,IF(AA226="Conical",PI()/12*(Y226*INDEX(LenF,MATCH($Y$7,LenU,0)))^2*(0),INDEX(HeadK,MATCH(AA226,HeadU,0))*(Y226*INDEX(LenF,MATCH($Y$7,LenU,0)))^3)),0)+IF(ISNUMBER(Y226),PI()/4*(Y226*INDEX(LenF,MATCH($Y$7,LenU,0)))^2*N(AB226)*INDEX(LenF,MATCH($AB$7,LenU,0))+IF(AC226="",0,IF(AC226="Conical",PI()/12*(Y226*INDEX(LenF,MATCH($Y$7,LenU,0)))^2*(0),INDEX(HeadK,MATCH(AC226,HeadU,0))*(Y226*INDEX(LenF,MATCH($Y$7,LenU,0)))^3)),0),"")</f>
        <v/>
      </c>
      <c r="AE226" s="21" t="str">
        <f aca="false">IF(OR(E226="",E226="Piping"),"",IF(E226="Exchanger",AQ226*AR226+IF(P226="",0,IF(P226="Conical",PI()/12*(SQRT(4*AQ226/PI()))^2*(0),INDEX(HeadK,MATCH(P226,HeadU,0))*(SQRT(4*AQ226/PI()))^3))-IF(AND(ISNUMBER(S226),ISNUMBER(V226)),S226*PI()/4*AP226^2*V226*INDEX(LenF,MATCH($V$7,LenU,0)),0),IF(ISNUMBER(N226),PI()/4*(N226*INDEX(LenF,MATCH($N$7,LenU,0)))^2*N(O226)*INDEX(LenF,MATCH($O$7,LenU,0))+IF(P226="",0,IF(P226="Conical",PI()/12*(N226*INDEX(LenF,MATCH($N$7,LenU,0)))^2*(N(R226)*INDEX(LenF,MATCH($R$7,LenU,0))),INDEX(HeadK,MATCH(P226,HeadU,0))*(N226*INDEX(LenF,MATCH($N$7,LenU,0)))^3))+IF(Q226="",0,IF(Q226="Conical",PI()/12*(N226*INDEX(LenF,MATCH($N$7,LenU,0)))^2*(N(R226)*INDEX(LenF,MATCH($R$7,LenU,0))),INDEX(HeadK,MATCH(Q226,HeadU,0))*(N226*INDEX(LenF,MATCH($N$7,LenU,0)))^3)),0)))</f>
        <v/>
      </c>
      <c r="AF226" s="21" t="str">
        <f aca="false">IF(E226&lt;&gt;"Piping","",IF(AND(ISNUMBER(AS226),ISNUMBER(M226)),PI()/4*(AS226/1000)^2*M226*INDEX(LenF,MATCH($M$7,LenU,0)),0))</f>
        <v/>
      </c>
      <c r="AG226" s="21" t="str">
        <f aca="false">IF(E226="","",N(AD226)+N(AE226)+N(AF226))</f>
        <v/>
      </c>
      <c r="AH226" s="21" t="str">
        <f aca="false">IF(ISNUMBER(I226),I226*INDEX(WtF,MATCH($I$7,WtU,0))/WaterRho,"")</f>
        <v/>
      </c>
      <c r="AI226" s="11"/>
      <c r="AJ226" s="11"/>
      <c r="AK226" s="20"/>
      <c r="AL226" s="11"/>
      <c r="AM226" s="21" t="str">
        <f aca="false">IF(AO226="","",AO226*IF(ISNUMBER(AK226),AK226,DefFills)*(1+IF(ISNUMBER(AL226),AL226,DefAllow)))</f>
        <v/>
      </c>
      <c r="AN226" s="22" t="str">
        <f aca="false">IF(G226="Given volume",IF(ISNUMBER(H226),H226*INDEX(VolF,MATCH($H$7,VolU,0)),""),IF(G226="Water weight",AH226,IF(N(AG226)=0,"",AG226)))</f>
        <v/>
      </c>
      <c r="AO226" s="22" t="str">
        <f aca="false">IF(N(AN226)=0,"",AN226*AT226*IF(ISNUMBER(AJ226),AJ226,DefCirc))</f>
        <v/>
      </c>
      <c r="AP226" s="9" t="n">
        <f aca="false">IF(ISNUMBER(T226),T226*INDEX(LenF,MATCH($T$7,LenU,0)),IF(ISNUMBER(W226),W226*INDEX(LenF,MATCH($W$7,LenU,0))/PitchRatio,0))</f>
        <v>0</v>
      </c>
      <c r="AQ226" s="9" t="n">
        <f aca="false">IF(ISNUMBER(N226),PI()/4*(N226*INDEX(LenF,MATCH($N$7,LenU,0)))^2,IF(AND(ISNUMBER(S226),ISNUMBER(W226),X226&lt;&gt;""),S226*(W226*INDEX(LenF,MATCH($W$7,LenU,0)))^2*INDEX(LayoutF,MATCH(X226,LayoutU,0)),0))</f>
        <v>0</v>
      </c>
      <c r="AR226" s="9" t="n">
        <f aca="false">IF(ISNUMBER(O226),O226*INDEX(LenF,MATCH($O$7,LenU,0)),IF(ISNUMBER(V226),V226*INDEX(LenF,MATCH($V$7,LenU,0)),0))</f>
        <v>0</v>
      </c>
      <c r="AS226" s="9" t="str">
        <f aca="false">IF(ISNUMBER(L226),L226*INDEX(LenF,MATCH($L$7,LenU,0))*1000,IF(OR(J226="",K226=""),"",IFERROR(IF(INDEX(PipeWT,MATCH(J226,NPSU,0),MATCH(K226,SchU,0))="","Sch n/a",INDEX(PipeOD,MATCH(J226,NPSU,0))-2*INDEX(PipeWT,MATCH(J226,NPSU,0),MATCH(K226,SchU,0))),"")))</f>
        <v/>
      </c>
      <c r="AT226" s="9" t="n">
        <f aca="false">IF(ISNUMBER(AI226),AI226,IFERROR(INDEX(IF(JobType="Decontamination",TypeFillDC,TypeFillCC),MATCH(E226,TypeL,0)),1))</f>
        <v>1</v>
      </c>
      <c r="AU226" s="9" t="n">
        <v>7</v>
      </c>
    </row>
    <row r="227" customFormat="false" ht="15" hidden="false" customHeight="false" outlineLevel="0" collapsed="false">
      <c r="A227" s="16" t="n">
        <v>20</v>
      </c>
      <c r="B227" s="20"/>
      <c r="C227" s="5"/>
      <c r="D227" s="5"/>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1" t="str">
        <f aca="false">IF(E227="Exchanger",IF(AND(ISNUMBER(S227),ISNUMBER(U227),ISNUMBER(V227)),S227*PI()/4*(U227*INDEX(LenF,MATCH($U$7,LenU,0)))^2*V227*INDEX(LenF,MATCH($V$7,LenU,0)),0)+IF(ISNUMBER(Y227),PI()/4*(Y227*INDEX(LenF,MATCH($Y$7,LenU,0)))^2*N(Z227)*INDEX(LenF,MATCH($Z$7,LenU,0))+IF(AA227="",0,IF(AA227="Conical",PI()/12*(Y227*INDEX(LenF,MATCH($Y$7,LenU,0)))^2*(0),INDEX(HeadK,MATCH(AA227,HeadU,0))*(Y227*INDEX(LenF,MATCH($Y$7,LenU,0)))^3)),0)+IF(ISNUMBER(Y227),PI()/4*(Y227*INDEX(LenF,MATCH($Y$7,LenU,0)))^2*N(AB227)*INDEX(LenF,MATCH($AB$7,LenU,0))+IF(AC227="",0,IF(AC227="Conical",PI()/12*(Y227*INDEX(LenF,MATCH($Y$7,LenU,0)))^2*(0),INDEX(HeadK,MATCH(AC227,HeadU,0))*(Y227*INDEX(LenF,MATCH($Y$7,LenU,0)))^3)),0),"")</f>
        <v/>
      </c>
      <c r="AE227" s="21" t="str">
        <f aca="false">IF(OR(E227="",E227="Piping"),"",IF(E227="Exchanger",AQ227*AR227+IF(P227="",0,IF(P227="Conical",PI()/12*(SQRT(4*AQ227/PI()))^2*(0),INDEX(HeadK,MATCH(P227,HeadU,0))*(SQRT(4*AQ227/PI()))^3))-IF(AND(ISNUMBER(S227),ISNUMBER(V227)),S227*PI()/4*AP227^2*V227*INDEX(LenF,MATCH($V$7,LenU,0)),0),IF(ISNUMBER(N227),PI()/4*(N227*INDEX(LenF,MATCH($N$7,LenU,0)))^2*N(O227)*INDEX(LenF,MATCH($O$7,LenU,0))+IF(P227="",0,IF(P227="Conical",PI()/12*(N227*INDEX(LenF,MATCH($N$7,LenU,0)))^2*(N(R227)*INDEX(LenF,MATCH($R$7,LenU,0))),INDEX(HeadK,MATCH(P227,HeadU,0))*(N227*INDEX(LenF,MATCH($N$7,LenU,0)))^3))+IF(Q227="",0,IF(Q227="Conical",PI()/12*(N227*INDEX(LenF,MATCH($N$7,LenU,0)))^2*(N(R227)*INDEX(LenF,MATCH($R$7,LenU,0))),INDEX(HeadK,MATCH(Q227,HeadU,0))*(N227*INDEX(LenF,MATCH($N$7,LenU,0)))^3)),0)))</f>
        <v/>
      </c>
      <c r="AF227" s="21" t="str">
        <f aca="false">IF(E227&lt;&gt;"Piping","",IF(AND(ISNUMBER(AS227),ISNUMBER(M227)),PI()/4*(AS227/1000)^2*M227*INDEX(LenF,MATCH($M$7,LenU,0)),0))</f>
        <v/>
      </c>
      <c r="AG227" s="21" t="str">
        <f aca="false">IF(E227="","",N(AD227)+N(AE227)+N(AF227))</f>
        <v/>
      </c>
      <c r="AH227" s="21" t="str">
        <f aca="false">IF(ISNUMBER(I227),I227*INDEX(WtF,MATCH($I$7,WtU,0))/WaterRho,"")</f>
        <v/>
      </c>
      <c r="AI227" s="11"/>
      <c r="AJ227" s="11"/>
      <c r="AK227" s="20"/>
      <c r="AL227" s="11"/>
      <c r="AM227" s="21" t="str">
        <f aca="false">IF(AO227="","",AO227*IF(ISNUMBER(AK227),AK227,DefFills)*(1+IF(ISNUMBER(AL227),AL227,DefAllow)))</f>
        <v/>
      </c>
      <c r="AN227" s="22" t="str">
        <f aca="false">IF(G227="Given volume",IF(ISNUMBER(H227),H227*INDEX(VolF,MATCH($H$7,VolU,0)),""),IF(G227="Water weight",AH227,IF(N(AG227)=0,"",AG227)))</f>
        <v/>
      </c>
      <c r="AO227" s="22" t="str">
        <f aca="false">IF(N(AN227)=0,"",AN227*AT227*IF(ISNUMBER(AJ227),AJ227,DefCirc))</f>
        <v/>
      </c>
      <c r="AP227" s="9" t="n">
        <f aca="false">IF(ISNUMBER(T227),T227*INDEX(LenF,MATCH($T$7,LenU,0)),IF(ISNUMBER(W227),W227*INDEX(LenF,MATCH($W$7,LenU,0))/PitchRatio,0))</f>
        <v>0</v>
      </c>
      <c r="AQ227" s="9" t="n">
        <f aca="false">IF(ISNUMBER(N227),PI()/4*(N227*INDEX(LenF,MATCH($N$7,LenU,0)))^2,IF(AND(ISNUMBER(S227),ISNUMBER(W227),X227&lt;&gt;""),S227*(W227*INDEX(LenF,MATCH($W$7,LenU,0)))^2*INDEX(LayoutF,MATCH(X227,LayoutU,0)),0))</f>
        <v>0</v>
      </c>
      <c r="AR227" s="9" t="n">
        <f aca="false">IF(ISNUMBER(O227),O227*INDEX(LenF,MATCH($O$7,LenU,0)),IF(ISNUMBER(V227),V227*INDEX(LenF,MATCH($V$7,LenU,0)),0))</f>
        <v>0</v>
      </c>
      <c r="AS227" s="9" t="str">
        <f aca="false">IF(ISNUMBER(L227),L227*INDEX(LenF,MATCH($L$7,LenU,0))*1000,IF(OR(J227="",K227=""),"",IFERROR(IF(INDEX(PipeWT,MATCH(J227,NPSU,0),MATCH(K227,SchU,0))="","Sch n/a",INDEX(PipeOD,MATCH(J227,NPSU,0))-2*INDEX(PipeWT,MATCH(J227,NPSU,0),MATCH(K227,SchU,0))),"")))</f>
        <v/>
      </c>
      <c r="AT227" s="9" t="n">
        <f aca="false">IF(ISNUMBER(AI227),AI227,IFERROR(INDEX(IF(JobType="Decontamination",TypeFillDC,TypeFillCC),MATCH(E227,TypeL,0)),1))</f>
        <v>1</v>
      </c>
      <c r="AU227" s="9" t="n">
        <v>7</v>
      </c>
    </row>
    <row r="228" customFormat="false" ht="15" hidden="false" customHeight="false" outlineLevel="0" collapsed="false">
      <c r="A228" s="16" t="n">
        <v>21</v>
      </c>
      <c r="B228" s="20"/>
      <c r="C228" s="5"/>
      <c r="D228" s="5"/>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1" t="str">
        <f aca="false">IF(E228="Exchanger",IF(AND(ISNUMBER(S228),ISNUMBER(U228),ISNUMBER(V228)),S228*PI()/4*(U228*INDEX(LenF,MATCH($U$7,LenU,0)))^2*V228*INDEX(LenF,MATCH($V$7,LenU,0)),0)+IF(ISNUMBER(Y228),PI()/4*(Y228*INDEX(LenF,MATCH($Y$7,LenU,0)))^2*N(Z228)*INDEX(LenF,MATCH($Z$7,LenU,0))+IF(AA228="",0,IF(AA228="Conical",PI()/12*(Y228*INDEX(LenF,MATCH($Y$7,LenU,0)))^2*(0),INDEX(HeadK,MATCH(AA228,HeadU,0))*(Y228*INDEX(LenF,MATCH($Y$7,LenU,0)))^3)),0)+IF(ISNUMBER(Y228),PI()/4*(Y228*INDEX(LenF,MATCH($Y$7,LenU,0)))^2*N(AB228)*INDEX(LenF,MATCH($AB$7,LenU,0))+IF(AC228="",0,IF(AC228="Conical",PI()/12*(Y228*INDEX(LenF,MATCH($Y$7,LenU,0)))^2*(0),INDEX(HeadK,MATCH(AC228,HeadU,0))*(Y228*INDEX(LenF,MATCH($Y$7,LenU,0)))^3)),0),"")</f>
        <v/>
      </c>
      <c r="AE228" s="21" t="str">
        <f aca="false">IF(OR(E228="",E228="Piping"),"",IF(E228="Exchanger",AQ228*AR228+IF(P228="",0,IF(P228="Conical",PI()/12*(SQRT(4*AQ228/PI()))^2*(0),INDEX(HeadK,MATCH(P228,HeadU,0))*(SQRT(4*AQ228/PI()))^3))-IF(AND(ISNUMBER(S228),ISNUMBER(V228)),S228*PI()/4*AP228^2*V228*INDEX(LenF,MATCH($V$7,LenU,0)),0),IF(ISNUMBER(N228),PI()/4*(N228*INDEX(LenF,MATCH($N$7,LenU,0)))^2*N(O228)*INDEX(LenF,MATCH($O$7,LenU,0))+IF(P228="",0,IF(P228="Conical",PI()/12*(N228*INDEX(LenF,MATCH($N$7,LenU,0)))^2*(N(R228)*INDEX(LenF,MATCH($R$7,LenU,0))),INDEX(HeadK,MATCH(P228,HeadU,0))*(N228*INDEX(LenF,MATCH($N$7,LenU,0)))^3))+IF(Q228="",0,IF(Q228="Conical",PI()/12*(N228*INDEX(LenF,MATCH($N$7,LenU,0)))^2*(N(R228)*INDEX(LenF,MATCH($R$7,LenU,0))),INDEX(HeadK,MATCH(Q228,HeadU,0))*(N228*INDEX(LenF,MATCH($N$7,LenU,0)))^3)),0)))</f>
        <v/>
      </c>
      <c r="AF228" s="21" t="str">
        <f aca="false">IF(E228&lt;&gt;"Piping","",IF(AND(ISNUMBER(AS228),ISNUMBER(M228)),PI()/4*(AS228/1000)^2*M228*INDEX(LenF,MATCH($M$7,LenU,0)),0))</f>
        <v/>
      </c>
      <c r="AG228" s="21" t="str">
        <f aca="false">IF(E228="","",N(AD228)+N(AE228)+N(AF228))</f>
        <v/>
      </c>
      <c r="AH228" s="21" t="str">
        <f aca="false">IF(ISNUMBER(I228),I228*INDEX(WtF,MATCH($I$7,WtU,0))/WaterRho,"")</f>
        <v/>
      </c>
      <c r="AI228" s="11"/>
      <c r="AJ228" s="11"/>
      <c r="AK228" s="20"/>
      <c r="AL228" s="11"/>
      <c r="AM228" s="21" t="str">
        <f aca="false">IF(AO228="","",AO228*IF(ISNUMBER(AK228),AK228,DefFills)*(1+IF(ISNUMBER(AL228),AL228,DefAllow)))</f>
        <v/>
      </c>
      <c r="AN228" s="22" t="str">
        <f aca="false">IF(G228="Given volume",IF(ISNUMBER(H228),H228*INDEX(VolF,MATCH($H$7,VolU,0)),""),IF(G228="Water weight",AH228,IF(N(AG228)=0,"",AG228)))</f>
        <v/>
      </c>
      <c r="AO228" s="22" t="str">
        <f aca="false">IF(N(AN228)=0,"",AN228*AT228*IF(ISNUMBER(AJ228),AJ228,DefCirc))</f>
        <v/>
      </c>
      <c r="AP228" s="9" t="n">
        <f aca="false">IF(ISNUMBER(T228),T228*INDEX(LenF,MATCH($T$7,LenU,0)),IF(ISNUMBER(W228),W228*INDEX(LenF,MATCH($W$7,LenU,0))/PitchRatio,0))</f>
        <v>0</v>
      </c>
      <c r="AQ228" s="9" t="n">
        <f aca="false">IF(ISNUMBER(N228),PI()/4*(N228*INDEX(LenF,MATCH($N$7,LenU,0)))^2,IF(AND(ISNUMBER(S228),ISNUMBER(W228),X228&lt;&gt;""),S228*(W228*INDEX(LenF,MATCH($W$7,LenU,0)))^2*INDEX(LayoutF,MATCH(X228,LayoutU,0)),0))</f>
        <v>0</v>
      </c>
      <c r="AR228" s="9" t="n">
        <f aca="false">IF(ISNUMBER(O228),O228*INDEX(LenF,MATCH($O$7,LenU,0)),IF(ISNUMBER(V228),V228*INDEX(LenF,MATCH($V$7,LenU,0)),0))</f>
        <v>0</v>
      </c>
      <c r="AS228" s="9" t="str">
        <f aca="false">IF(ISNUMBER(L228),L228*INDEX(LenF,MATCH($L$7,LenU,0))*1000,IF(OR(J228="",K228=""),"",IFERROR(IF(INDEX(PipeWT,MATCH(J228,NPSU,0),MATCH(K228,SchU,0))="","Sch n/a",INDEX(PipeOD,MATCH(J228,NPSU,0))-2*INDEX(PipeWT,MATCH(J228,NPSU,0),MATCH(K228,SchU,0))),"")))</f>
        <v/>
      </c>
      <c r="AT228" s="9" t="n">
        <f aca="false">IF(ISNUMBER(AI228),AI228,IFERROR(INDEX(IF(JobType="Decontamination",TypeFillDC,TypeFillCC),MATCH(E228,TypeL,0)),1))</f>
        <v>1</v>
      </c>
      <c r="AU228" s="9" t="n">
        <v>7</v>
      </c>
    </row>
    <row r="229" customFormat="false" ht="15" hidden="false" customHeight="false" outlineLevel="0" collapsed="false">
      <c r="A229" s="16" t="n">
        <v>22</v>
      </c>
      <c r="B229" s="20"/>
      <c r="C229" s="5"/>
      <c r="D229" s="5"/>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1" t="str">
        <f aca="false">IF(E229="Exchanger",IF(AND(ISNUMBER(S229),ISNUMBER(U229),ISNUMBER(V229)),S229*PI()/4*(U229*INDEX(LenF,MATCH($U$7,LenU,0)))^2*V229*INDEX(LenF,MATCH($V$7,LenU,0)),0)+IF(ISNUMBER(Y229),PI()/4*(Y229*INDEX(LenF,MATCH($Y$7,LenU,0)))^2*N(Z229)*INDEX(LenF,MATCH($Z$7,LenU,0))+IF(AA229="",0,IF(AA229="Conical",PI()/12*(Y229*INDEX(LenF,MATCH($Y$7,LenU,0)))^2*(0),INDEX(HeadK,MATCH(AA229,HeadU,0))*(Y229*INDEX(LenF,MATCH($Y$7,LenU,0)))^3)),0)+IF(ISNUMBER(Y229),PI()/4*(Y229*INDEX(LenF,MATCH($Y$7,LenU,0)))^2*N(AB229)*INDEX(LenF,MATCH($AB$7,LenU,0))+IF(AC229="",0,IF(AC229="Conical",PI()/12*(Y229*INDEX(LenF,MATCH($Y$7,LenU,0)))^2*(0),INDEX(HeadK,MATCH(AC229,HeadU,0))*(Y229*INDEX(LenF,MATCH($Y$7,LenU,0)))^3)),0),"")</f>
        <v/>
      </c>
      <c r="AE229" s="21" t="str">
        <f aca="false">IF(OR(E229="",E229="Piping"),"",IF(E229="Exchanger",AQ229*AR229+IF(P229="",0,IF(P229="Conical",PI()/12*(SQRT(4*AQ229/PI()))^2*(0),INDEX(HeadK,MATCH(P229,HeadU,0))*(SQRT(4*AQ229/PI()))^3))-IF(AND(ISNUMBER(S229),ISNUMBER(V229)),S229*PI()/4*AP229^2*V229*INDEX(LenF,MATCH($V$7,LenU,0)),0),IF(ISNUMBER(N229),PI()/4*(N229*INDEX(LenF,MATCH($N$7,LenU,0)))^2*N(O229)*INDEX(LenF,MATCH($O$7,LenU,0))+IF(P229="",0,IF(P229="Conical",PI()/12*(N229*INDEX(LenF,MATCH($N$7,LenU,0)))^2*(N(R229)*INDEX(LenF,MATCH($R$7,LenU,0))),INDEX(HeadK,MATCH(P229,HeadU,0))*(N229*INDEX(LenF,MATCH($N$7,LenU,0)))^3))+IF(Q229="",0,IF(Q229="Conical",PI()/12*(N229*INDEX(LenF,MATCH($N$7,LenU,0)))^2*(N(R229)*INDEX(LenF,MATCH($R$7,LenU,0))),INDEX(HeadK,MATCH(Q229,HeadU,0))*(N229*INDEX(LenF,MATCH($N$7,LenU,0)))^3)),0)))</f>
        <v/>
      </c>
      <c r="AF229" s="21" t="str">
        <f aca="false">IF(E229&lt;&gt;"Piping","",IF(AND(ISNUMBER(AS229),ISNUMBER(M229)),PI()/4*(AS229/1000)^2*M229*INDEX(LenF,MATCH($M$7,LenU,0)),0))</f>
        <v/>
      </c>
      <c r="AG229" s="21" t="str">
        <f aca="false">IF(E229="","",N(AD229)+N(AE229)+N(AF229))</f>
        <v/>
      </c>
      <c r="AH229" s="21" t="str">
        <f aca="false">IF(ISNUMBER(I229),I229*INDEX(WtF,MATCH($I$7,WtU,0))/WaterRho,"")</f>
        <v/>
      </c>
      <c r="AI229" s="11"/>
      <c r="AJ229" s="11"/>
      <c r="AK229" s="20"/>
      <c r="AL229" s="11"/>
      <c r="AM229" s="21" t="str">
        <f aca="false">IF(AO229="","",AO229*IF(ISNUMBER(AK229),AK229,DefFills)*(1+IF(ISNUMBER(AL229),AL229,DefAllow)))</f>
        <v/>
      </c>
      <c r="AN229" s="22" t="str">
        <f aca="false">IF(G229="Given volume",IF(ISNUMBER(H229),H229*INDEX(VolF,MATCH($H$7,VolU,0)),""),IF(G229="Water weight",AH229,IF(N(AG229)=0,"",AG229)))</f>
        <v/>
      </c>
      <c r="AO229" s="22" t="str">
        <f aca="false">IF(N(AN229)=0,"",AN229*AT229*IF(ISNUMBER(AJ229),AJ229,DefCirc))</f>
        <v/>
      </c>
      <c r="AP229" s="9" t="n">
        <f aca="false">IF(ISNUMBER(T229),T229*INDEX(LenF,MATCH($T$7,LenU,0)),IF(ISNUMBER(W229),W229*INDEX(LenF,MATCH($W$7,LenU,0))/PitchRatio,0))</f>
        <v>0</v>
      </c>
      <c r="AQ229" s="9" t="n">
        <f aca="false">IF(ISNUMBER(N229),PI()/4*(N229*INDEX(LenF,MATCH($N$7,LenU,0)))^2,IF(AND(ISNUMBER(S229),ISNUMBER(W229),X229&lt;&gt;""),S229*(W229*INDEX(LenF,MATCH($W$7,LenU,0)))^2*INDEX(LayoutF,MATCH(X229,LayoutU,0)),0))</f>
        <v>0</v>
      </c>
      <c r="AR229" s="9" t="n">
        <f aca="false">IF(ISNUMBER(O229),O229*INDEX(LenF,MATCH($O$7,LenU,0)),IF(ISNUMBER(V229),V229*INDEX(LenF,MATCH($V$7,LenU,0)),0))</f>
        <v>0</v>
      </c>
      <c r="AS229" s="9" t="str">
        <f aca="false">IF(ISNUMBER(L229),L229*INDEX(LenF,MATCH($L$7,LenU,0))*1000,IF(OR(J229="",K229=""),"",IFERROR(IF(INDEX(PipeWT,MATCH(J229,NPSU,0),MATCH(K229,SchU,0))="","Sch n/a",INDEX(PipeOD,MATCH(J229,NPSU,0))-2*INDEX(PipeWT,MATCH(J229,NPSU,0),MATCH(K229,SchU,0))),"")))</f>
        <v/>
      </c>
      <c r="AT229" s="9" t="n">
        <f aca="false">IF(ISNUMBER(AI229),AI229,IFERROR(INDEX(IF(JobType="Decontamination",TypeFillDC,TypeFillCC),MATCH(E229,TypeL,0)),1))</f>
        <v>1</v>
      </c>
      <c r="AU229" s="9" t="n">
        <v>7</v>
      </c>
    </row>
    <row r="230" customFormat="false" ht="15" hidden="false" customHeight="false" outlineLevel="0" collapsed="false">
      <c r="A230" s="16" t="n">
        <v>23</v>
      </c>
      <c r="B230" s="20"/>
      <c r="C230" s="5"/>
      <c r="D230" s="5"/>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1" t="str">
        <f aca="false">IF(E230="Exchanger",IF(AND(ISNUMBER(S230),ISNUMBER(U230),ISNUMBER(V230)),S230*PI()/4*(U230*INDEX(LenF,MATCH($U$7,LenU,0)))^2*V230*INDEX(LenF,MATCH($V$7,LenU,0)),0)+IF(ISNUMBER(Y230),PI()/4*(Y230*INDEX(LenF,MATCH($Y$7,LenU,0)))^2*N(Z230)*INDEX(LenF,MATCH($Z$7,LenU,0))+IF(AA230="",0,IF(AA230="Conical",PI()/12*(Y230*INDEX(LenF,MATCH($Y$7,LenU,0)))^2*(0),INDEX(HeadK,MATCH(AA230,HeadU,0))*(Y230*INDEX(LenF,MATCH($Y$7,LenU,0)))^3)),0)+IF(ISNUMBER(Y230),PI()/4*(Y230*INDEX(LenF,MATCH($Y$7,LenU,0)))^2*N(AB230)*INDEX(LenF,MATCH($AB$7,LenU,0))+IF(AC230="",0,IF(AC230="Conical",PI()/12*(Y230*INDEX(LenF,MATCH($Y$7,LenU,0)))^2*(0),INDEX(HeadK,MATCH(AC230,HeadU,0))*(Y230*INDEX(LenF,MATCH($Y$7,LenU,0)))^3)),0),"")</f>
        <v/>
      </c>
      <c r="AE230" s="21" t="str">
        <f aca="false">IF(OR(E230="",E230="Piping"),"",IF(E230="Exchanger",AQ230*AR230+IF(P230="",0,IF(P230="Conical",PI()/12*(SQRT(4*AQ230/PI()))^2*(0),INDEX(HeadK,MATCH(P230,HeadU,0))*(SQRT(4*AQ230/PI()))^3))-IF(AND(ISNUMBER(S230),ISNUMBER(V230)),S230*PI()/4*AP230^2*V230*INDEX(LenF,MATCH($V$7,LenU,0)),0),IF(ISNUMBER(N230),PI()/4*(N230*INDEX(LenF,MATCH($N$7,LenU,0)))^2*N(O230)*INDEX(LenF,MATCH($O$7,LenU,0))+IF(P230="",0,IF(P230="Conical",PI()/12*(N230*INDEX(LenF,MATCH($N$7,LenU,0)))^2*(N(R230)*INDEX(LenF,MATCH($R$7,LenU,0))),INDEX(HeadK,MATCH(P230,HeadU,0))*(N230*INDEX(LenF,MATCH($N$7,LenU,0)))^3))+IF(Q230="",0,IF(Q230="Conical",PI()/12*(N230*INDEX(LenF,MATCH($N$7,LenU,0)))^2*(N(R230)*INDEX(LenF,MATCH($R$7,LenU,0))),INDEX(HeadK,MATCH(Q230,HeadU,0))*(N230*INDEX(LenF,MATCH($N$7,LenU,0)))^3)),0)))</f>
        <v/>
      </c>
      <c r="AF230" s="21" t="str">
        <f aca="false">IF(E230&lt;&gt;"Piping","",IF(AND(ISNUMBER(AS230),ISNUMBER(M230)),PI()/4*(AS230/1000)^2*M230*INDEX(LenF,MATCH($M$7,LenU,0)),0))</f>
        <v/>
      </c>
      <c r="AG230" s="21" t="str">
        <f aca="false">IF(E230="","",N(AD230)+N(AE230)+N(AF230))</f>
        <v/>
      </c>
      <c r="AH230" s="21" t="str">
        <f aca="false">IF(ISNUMBER(I230),I230*INDEX(WtF,MATCH($I$7,WtU,0))/WaterRho,"")</f>
        <v/>
      </c>
      <c r="AI230" s="11"/>
      <c r="AJ230" s="11"/>
      <c r="AK230" s="20"/>
      <c r="AL230" s="11"/>
      <c r="AM230" s="21" t="str">
        <f aca="false">IF(AO230="","",AO230*IF(ISNUMBER(AK230),AK230,DefFills)*(1+IF(ISNUMBER(AL230),AL230,DefAllow)))</f>
        <v/>
      </c>
      <c r="AN230" s="22" t="str">
        <f aca="false">IF(G230="Given volume",IF(ISNUMBER(H230),H230*INDEX(VolF,MATCH($H$7,VolU,0)),""),IF(G230="Water weight",AH230,IF(N(AG230)=0,"",AG230)))</f>
        <v/>
      </c>
      <c r="AO230" s="22" t="str">
        <f aca="false">IF(N(AN230)=0,"",AN230*AT230*IF(ISNUMBER(AJ230),AJ230,DefCirc))</f>
        <v/>
      </c>
      <c r="AP230" s="9" t="n">
        <f aca="false">IF(ISNUMBER(T230),T230*INDEX(LenF,MATCH($T$7,LenU,0)),IF(ISNUMBER(W230),W230*INDEX(LenF,MATCH($W$7,LenU,0))/PitchRatio,0))</f>
        <v>0</v>
      </c>
      <c r="AQ230" s="9" t="n">
        <f aca="false">IF(ISNUMBER(N230),PI()/4*(N230*INDEX(LenF,MATCH($N$7,LenU,0)))^2,IF(AND(ISNUMBER(S230),ISNUMBER(W230),X230&lt;&gt;""),S230*(W230*INDEX(LenF,MATCH($W$7,LenU,0)))^2*INDEX(LayoutF,MATCH(X230,LayoutU,0)),0))</f>
        <v>0</v>
      </c>
      <c r="AR230" s="9" t="n">
        <f aca="false">IF(ISNUMBER(O230),O230*INDEX(LenF,MATCH($O$7,LenU,0)),IF(ISNUMBER(V230),V230*INDEX(LenF,MATCH($V$7,LenU,0)),0))</f>
        <v>0</v>
      </c>
      <c r="AS230" s="9" t="str">
        <f aca="false">IF(ISNUMBER(L230),L230*INDEX(LenF,MATCH($L$7,LenU,0))*1000,IF(OR(J230="",K230=""),"",IFERROR(IF(INDEX(PipeWT,MATCH(J230,NPSU,0),MATCH(K230,SchU,0))="","Sch n/a",INDEX(PipeOD,MATCH(J230,NPSU,0))-2*INDEX(PipeWT,MATCH(J230,NPSU,0),MATCH(K230,SchU,0))),"")))</f>
        <v/>
      </c>
      <c r="AT230" s="9" t="n">
        <f aca="false">IF(ISNUMBER(AI230),AI230,IFERROR(INDEX(IF(JobType="Decontamination",TypeFillDC,TypeFillCC),MATCH(E230,TypeL,0)),1))</f>
        <v>1</v>
      </c>
      <c r="AU230" s="9" t="n">
        <v>7</v>
      </c>
    </row>
    <row r="231" customFormat="false" ht="15" hidden="false" customHeight="false" outlineLevel="0" collapsed="false">
      <c r="A231" s="16" t="n">
        <v>24</v>
      </c>
      <c r="B231" s="20"/>
      <c r="C231" s="5"/>
      <c r="D231" s="5"/>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1" t="str">
        <f aca="false">IF(E231="Exchanger",IF(AND(ISNUMBER(S231),ISNUMBER(U231),ISNUMBER(V231)),S231*PI()/4*(U231*INDEX(LenF,MATCH($U$7,LenU,0)))^2*V231*INDEX(LenF,MATCH($V$7,LenU,0)),0)+IF(ISNUMBER(Y231),PI()/4*(Y231*INDEX(LenF,MATCH($Y$7,LenU,0)))^2*N(Z231)*INDEX(LenF,MATCH($Z$7,LenU,0))+IF(AA231="",0,IF(AA231="Conical",PI()/12*(Y231*INDEX(LenF,MATCH($Y$7,LenU,0)))^2*(0),INDEX(HeadK,MATCH(AA231,HeadU,0))*(Y231*INDEX(LenF,MATCH($Y$7,LenU,0)))^3)),0)+IF(ISNUMBER(Y231),PI()/4*(Y231*INDEX(LenF,MATCH($Y$7,LenU,0)))^2*N(AB231)*INDEX(LenF,MATCH($AB$7,LenU,0))+IF(AC231="",0,IF(AC231="Conical",PI()/12*(Y231*INDEX(LenF,MATCH($Y$7,LenU,0)))^2*(0),INDEX(HeadK,MATCH(AC231,HeadU,0))*(Y231*INDEX(LenF,MATCH($Y$7,LenU,0)))^3)),0),"")</f>
        <v/>
      </c>
      <c r="AE231" s="21" t="str">
        <f aca="false">IF(OR(E231="",E231="Piping"),"",IF(E231="Exchanger",AQ231*AR231+IF(P231="",0,IF(P231="Conical",PI()/12*(SQRT(4*AQ231/PI()))^2*(0),INDEX(HeadK,MATCH(P231,HeadU,0))*(SQRT(4*AQ231/PI()))^3))-IF(AND(ISNUMBER(S231),ISNUMBER(V231)),S231*PI()/4*AP231^2*V231*INDEX(LenF,MATCH($V$7,LenU,0)),0),IF(ISNUMBER(N231),PI()/4*(N231*INDEX(LenF,MATCH($N$7,LenU,0)))^2*N(O231)*INDEX(LenF,MATCH($O$7,LenU,0))+IF(P231="",0,IF(P231="Conical",PI()/12*(N231*INDEX(LenF,MATCH($N$7,LenU,0)))^2*(N(R231)*INDEX(LenF,MATCH($R$7,LenU,0))),INDEX(HeadK,MATCH(P231,HeadU,0))*(N231*INDEX(LenF,MATCH($N$7,LenU,0)))^3))+IF(Q231="",0,IF(Q231="Conical",PI()/12*(N231*INDEX(LenF,MATCH($N$7,LenU,0)))^2*(N(R231)*INDEX(LenF,MATCH($R$7,LenU,0))),INDEX(HeadK,MATCH(Q231,HeadU,0))*(N231*INDEX(LenF,MATCH($N$7,LenU,0)))^3)),0)))</f>
        <v/>
      </c>
      <c r="AF231" s="21" t="str">
        <f aca="false">IF(E231&lt;&gt;"Piping","",IF(AND(ISNUMBER(AS231),ISNUMBER(M231)),PI()/4*(AS231/1000)^2*M231*INDEX(LenF,MATCH($M$7,LenU,0)),0))</f>
        <v/>
      </c>
      <c r="AG231" s="21" t="str">
        <f aca="false">IF(E231="","",N(AD231)+N(AE231)+N(AF231))</f>
        <v/>
      </c>
      <c r="AH231" s="21" t="str">
        <f aca="false">IF(ISNUMBER(I231),I231*INDEX(WtF,MATCH($I$7,WtU,0))/WaterRho,"")</f>
        <v/>
      </c>
      <c r="AI231" s="11"/>
      <c r="AJ231" s="11"/>
      <c r="AK231" s="20"/>
      <c r="AL231" s="11"/>
      <c r="AM231" s="21" t="str">
        <f aca="false">IF(AO231="","",AO231*IF(ISNUMBER(AK231),AK231,DefFills)*(1+IF(ISNUMBER(AL231),AL231,DefAllow)))</f>
        <v/>
      </c>
      <c r="AN231" s="22" t="str">
        <f aca="false">IF(G231="Given volume",IF(ISNUMBER(H231),H231*INDEX(VolF,MATCH($H$7,VolU,0)),""),IF(G231="Water weight",AH231,IF(N(AG231)=0,"",AG231)))</f>
        <v/>
      </c>
      <c r="AO231" s="22" t="str">
        <f aca="false">IF(N(AN231)=0,"",AN231*AT231*IF(ISNUMBER(AJ231),AJ231,DefCirc))</f>
        <v/>
      </c>
      <c r="AP231" s="9" t="n">
        <f aca="false">IF(ISNUMBER(T231),T231*INDEX(LenF,MATCH($T$7,LenU,0)),IF(ISNUMBER(W231),W231*INDEX(LenF,MATCH($W$7,LenU,0))/PitchRatio,0))</f>
        <v>0</v>
      </c>
      <c r="AQ231" s="9" t="n">
        <f aca="false">IF(ISNUMBER(N231),PI()/4*(N231*INDEX(LenF,MATCH($N$7,LenU,0)))^2,IF(AND(ISNUMBER(S231),ISNUMBER(W231),X231&lt;&gt;""),S231*(W231*INDEX(LenF,MATCH($W$7,LenU,0)))^2*INDEX(LayoutF,MATCH(X231,LayoutU,0)),0))</f>
        <v>0</v>
      </c>
      <c r="AR231" s="9" t="n">
        <f aca="false">IF(ISNUMBER(O231),O231*INDEX(LenF,MATCH($O$7,LenU,0)),IF(ISNUMBER(V231),V231*INDEX(LenF,MATCH($V$7,LenU,0)),0))</f>
        <v>0</v>
      </c>
      <c r="AS231" s="9" t="str">
        <f aca="false">IF(ISNUMBER(L231),L231*INDEX(LenF,MATCH($L$7,LenU,0))*1000,IF(OR(J231="",K231=""),"",IFERROR(IF(INDEX(PipeWT,MATCH(J231,NPSU,0),MATCH(K231,SchU,0))="","Sch n/a",INDEX(PipeOD,MATCH(J231,NPSU,0))-2*INDEX(PipeWT,MATCH(J231,NPSU,0),MATCH(K231,SchU,0))),"")))</f>
        <v/>
      </c>
      <c r="AT231" s="9" t="n">
        <f aca="false">IF(ISNUMBER(AI231),AI231,IFERROR(INDEX(IF(JobType="Decontamination",TypeFillDC,TypeFillCC),MATCH(E231,TypeL,0)),1))</f>
        <v>1</v>
      </c>
      <c r="AU231" s="9" t="n">
        <v>7</v>
      </c>
    </row>
    <row r="232" customFormat="false" ht="15" hidden="false" customHeight="false" outlineLevel="0" collapsed="false">
      <c r="A232" s="16" t="n">
        <v>25</v>
      </c>
      <c r="B232" s="20"/>
      <c r="C232" s="5"/>
      <c r="D232" s="5"/>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1" t="str">
        <f aca="false">IF(E232="Exchanger",IF(AND(ISNUMBER(S232),ISNUMBER(U232),ISNUMBER(V232)),S232*PI()/4*(U232*INDEX(LenF,MATCH($U$7,LenU,0)))^2*V232*INDEX(LenF,MATCH($V$7,LenU,0)),0)+IF(ISNUMBER(Y232),PI()/4*(Y232*INDEX(LenF,MATCH($Y$7,LenU,0)))^2*N(Z232)*INDEX(LenF,MATCH($Z$7,LenU,0))+IF(AA232="",0,IF(AA232="Conical",PI()/12*(Y232*INDEX(LenF,MATCH($Y$7,LenU,0)))^2*(0),INDEX(HeadK,MATCH(AA232,HeadU,0))*(Y232*INDEX(LenF,MATCH($Y$7,LenU,0)))^3)),0)+IF(ISNUMBER(Y232),PI()/4*(Y232*INDEX(LenF,MATCH($Y$7,LenU,0)))^2*N(AB232)*INDEX(LenF,MATCH($AB$7,LenU,0))+IF(AC232="",0,IF(AC232="Conical",PI()/12*(Y232*INDEX(LenF,MATCH($Y$7,LenU,0)))^2*(0),INDEX(HeadK,MATCH(AC232,HeadU,0))*(Y232*INDEX(LenF,MATCH($Y$7,LenU,0)))^3)),0),"")</f>
        <v/>
      </c>
      <c r="AE232" s="21" t="str">
        <f aca="false">IF(OR(E232="",E232="Piping"),"",IF(E232="Exchanger",AQ232*AR232+IF(P232="",0,IF(P232="Conical",PI()/12*(SQRT(4*AQ232/PI()))^2*(0),INDEX(HeadK,MATCH(P232,HeadU,0))*(SQRT(4*AQ232/PI()))^3))-IF(AND(ISNUMBER(S232),ISNUMBER(V232)),S232*PI()/4*AP232^2*V232*INDEX(LenF,MATCH($V$7,LenU,0)),0),IF(ISNUMBER(N232),PI()/4*(N232*INDEX(LenF,MATCH($N$7,LenU,0)))^2*N(O232)*INDEX(LenF,MATCH($O$7,LenU,0))+IF(P232="",0,IF(P232="Conical",PI()/12*(N232*INDEX(LenF,MATCH($N$7,LenU,0)))^2*(N(R232)*INDEX(LenF,MATCH($R$7,LenU,0))),INDEX(HeadK,MATCH(P232,HeadU,0))*(N232*INDEX(LenF,MATCH($N$7,LenU,0)))^3))+IF(Q232="",0,IF(Q232="Conical",PI()/12*(N232*INDEX(LenF,MATCH($N$7,LenU,0)))^2*(N(R232)*INDEX(LenF,MATCH($R$7,LenU,0))),INDEX(HeadK,MATCH(Q232,HeadU,0))*(N232*INDEX(LenF,MATCH($N$7,LenU,0)))^3)),0)))</f>
        <v/>
      </c>
      <c r="AF232" s="21" t="str">
        <f aca="false">IF(E232&lt;&gt;"Piping","",IF(AND(ISNUMBER(AS232),ISNUMBER(M232)),PI()/4*(AS232/1000)^2*M232*INDEX(LenF,MATCH($M$7,LenU,0)),0))</f>
        <v/>
      </c>
      <c r="AG232" s="21" t="str">
        <f aca="false">IF(E232="","",N(AD232)+N(AE232)+N(AF232))</f>
        <v/>
      </c>
      <c r="AH232" s="21" t="str">
        <f aca="false">IF(ISNUMBER(I232),I232*INDEX(WtF,MATCH($I$7,WtU,0))/WaterRho,"")</f>
        <v/>
      </c>
      <c r="AI232" s="11"/>
      <c r="AJ232" s="11"/>
      <c r="AK232" s="20"/>
      <c r="AL232" s="11"/>
      <c r="AM232" s="21" t="str">
        <f aca="false">IF(AO232="","",AO232*IF(ISNUMBER(AK232),AK232,DefFills)*(1+IF(ISNUMBER(AL232),AL232,DefAllow)))</f>
        <v/>
      </c>
      <c r="AN232" s="22" t="str">
        <f aca="false">IF(G232="Given volume",IF(ISNUMBER(H232),H232*INDEX(VolF,MATCH($H$7,VolU,0)),""),IF(G232="Water weight",AH232,IF(N(AG232)=0,"",AG232)))</f>
        <v/>
      </c>
      <c r="AO232" s="22" t="str">
        <f aca="false">IF(N(AN232)=0,"",AN232*AT232*IF(ISNUMBER(AJ232),AJ232,DefCirc))</f>
        <v/>
      </c>
      <c r="AP232" s="9" t="n">
        <f aca="false">IF(ISNUMBER(T232),T232*INDEX(LenF,MATCH($T$7,LenU,0)),IF(ISNUMBER(W232),W232*INDEX(LenF,MATCH($W$7,LenU,0))/PitchRatio,0))</f>
        <v>0</v>
      </c>
      <c r="AQ232" s="9" t="n">
        <f aca="false">IF(ISNUMBER(N232),PI()/4*(N232*INDEX(LenF,MATCH($N$7,LenU,0)))^2,IF(AND(ISNUMBER(S232),ISNUMBER(W232),X232&lt;&gt;""),S232*(W232*INDEX(LenF,MATCH($W$7,LenU,0)))^2*INDEX(LayoutF,MATCH(X232,LayoutU,0)),0))</f>
        <v>0</v>
      </c>
      <c r="AR232" s="9" t="n">
        <f aca="false">IF(ISNUMBER(O232),O232*INDEX(LenF,MATCH($O$7,LenU,0)),IF(ISNUMBER(V232),V232*INDEX(LenF,MATCH($V$7,LenU,0)),0))</f>
        <v>0</v>
      </c>
      <c r="AS232" s="9" t="str">
        <f aca="false">IF(ISNUMBER(L232),L232*INDEX(LenF,MATCH($L$7,LenU,0))*1000,IF(OR(J232="",K232=""),"",IFERROR(IF(INDEX(PipeWT,MATCH(J232,NPSU,0),MATCH(K232,SchU,0))="","Sch n/a",INDEX(PipeOD,MATCH(J232,NPSU,0))-2*INDEX(PipeWT,MATCH(J232,NPSU,0),MATCH(K232,SchU,0))),"")))</f>
        <v/>
      </c>
      <c r="AT232" s="9" t="n">
        <f aca="false">IF(ISNUMBER(AI232),AI232,IFERROR(INDEX(IF(JobType="Decontamination",TypeFillDC,TypeFillCC),MATCH(E232,TypeL,0)),1))</f>
        <v>1</v>
      </c>
      <c r="AU232" s="9" t="n">
        <v>7</v>
      </c>
    </row>
    <row r="233" customFormat="false" ht="15" hidden="false" customHeight="false" outlineLevel="0" collapsed="false">
      <c r="A233" s="16" t="n">
        <v>26</v>
      </c>
      <c r="B233" s="20"/>
      <c r="C233" s="5"/>
      <c r="D233" s="5"/>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1" t="str">
        <f aca="false">IF(E233="Exchanger",IF(AND(ISNUMBER(S233),ISNUMBER(U233),ISNUMBER(V233)),S233*PI()/4*(U233*INDEX(LenF,MATCH($U$7,LenU,0)))^2*V233*INDEX(LenF,MATCH($V$7,LenU,0)),0)+IF(ISNUMBER(Y233),PI()/4*(Y233*INDEX(LenF,MATCH($Y$7,LenU,0)))^2*N(Z233)*INDEX(LenF,MATCH($Z$7,LenU,0))+IF(AA233="",0,IF(AA233="Conical",PI()/12*(Y233*INDEX(LenF,MATCH($Y$7,LenU,0)))^2*(0),INDEX(HeadK,MATCH(AA233,HeadU,0))*(Y233*INDEX(LenF,MATCH($Y$7,LenU,0)))^3)),0)+IF(ISNUMBER(Y233),PI()/4*(Y233*INDEX(LenF,MATCH($Y$7,LenU,0)))^2*N(AB233)*INDEX(LenF,MATCH($AB$7,LenU,0))+IF(AC233="",0,IF(AC233="Conical",PI()/12*(Y233*INDEX(LenF,MATCH($Y$7,LenU,0)))^2*(0),INDEX(HeadK,MATCH(AC233,HeadU,0))*(Y233*INDEX(LenF,MATCH($Y$7,LenU,0)))^3)),0),"")</f>
        <v/>
      </c>
      <c r="AE233" s="21" t="str">
        <f aca="false">IF(OR(E233="",E233="Piping"),"",IF(E233="Exchanger",AQ233*AR233+IF(P233="",0,IF(P233="Conical",PI()/12*(SQRT(4*AQ233/PI()))^2*(0),INDEX(HeadK,MATCH(P233,HeadU,0))*(SQRT(4*AQ233/PI()))^3))-IF(AND(ISNUMBER(S233),ISNUMBER(V233)),S233*PI()/4*AP233^2*V233*INDEX(LenF,MATCH($V$7,LenU,0)),0),IF(ISNUMBER(N233),PI()/4*(N233*INDEX(LenF,MATCH($N$7,LenU,0)))^2*N(O233)*INDEX(LenF,MATCH($O$7,LenU,0))+IF(P233="",0,IF(P233="Conical",PI()/12*(N233*INDEX(LenF,MATCH($N$7,LenU,0)))^2*(N(R233)*INDEX(LenF,MATCH($R$7,LenU,0))),INDEX(HeadK,MATCH(P233,HeadU,0))*(N233*INDEX(LenF,MATCH($N$7,LenU,0)))^3))+IF(Q233="",0,IF(Q233="Conical",PI()/12*(N233*INDEX(LenF,MATCH($N$7,LenU,0)))^2*(N(R233)*INDEX(LenF,MATCH($R$7,LenU,0))),INDEX(HeadK,MATCH(Q233,HeadU,0))*(N233*INDEX(LenF,MATCH($N$7,LenU,0)))^3)),0)))</f>
        <v/>
      </c>
      <c r="AF233" s="21" t="str">
        <f aca="false">IF(E233&lt;&gt;"Piping","",IF(AND(ISNUMBER(AS233),ISNUMBER(M233)),PI()/4*(AS233/1000)^2*M233*INDEX(LenF,MATCH($M$7,LenU,0)),0))</f>
        <v/>
      </c>
      <c r="AG233" s="21" t="str">
        <f aca="false">IF(E233="","",N(AD233)+N(AE233)+N(AF233))</f>
        <v/>
      </c>
      <c r="AH233" s="21" t="str">
        <f aca="false">IF(ISNUMBER(I233),I233*INDEX(WtF,MATCH($I$7,WtU,0))/WaterRho,"")</f>
        <v/>
      </c>
      <c r="AI233" s="11"/>
      <c r="AJ233" s="11"/>
      <c r="AK233" s="20"/>
      <c r="AL233" s="11"/>
      <c r="AM233" s="21" t="str">
        <f aca="false">IF(AO233="","",AO233*IF(ISNUMBER(AK233),AK233,DefFills)*(1+IF(ISNUMBER(AL233),AL233,DefAllow)))</f>
        <v/>
      </c>
      <c r="AN233" s="22" t="str">
        <f aca="false">IF(G233="Given volume",IF(ISNUMBER(H233),H233*INDEX(VolF,MATCH($H$7,VolU,0)),""),IF(G233="Water weight",AH233,IF(N(AG233)=0,"",AG233)))</f>
        <v/>
      </c>
      <c r="AO233" s="22" t="str">
        <f aca="false">IF(N(AN233)=0,"",AN233*AT233*IF(ISNUMBER(AJ233),AJ233,DefCirc))</f>
        <v/>
      </c>
      <c r="AP233" s="9" t="n">
        <f aca="false">IF(ISNUMBER(T233),T233*INDEX(LenF,MATCH($T$7,LenU,0)),IF(ISNUMBER(W233),W233*INDEX(LenF,MATCH($W$7,LenU,0))/PitchRatio,0))</f>
        <v>0</v>
      </c>
      <c r="AQ233" s="9" t="n">
        <f aca="false">IF(ISNUMBER(N233),PI()/4*(N233*INDEX(LenF,MATCH($N$7,LenU,0)))^2,IF(AND(ISNUMBER(S233),ISNUMBER(W233),X233&lt;&gt;""),S233*(W233*INDEX(LenF,MATCH($W$7,LenU,0)))^2*INDEX(LayoutF,MATCH(X233,LayoutU,0)),0))</f>
        <v>0</v>
      </c>
      <c r="AR233" s="9" t="n">
        <f aca="false">IF(ISNUMBER(O233),O233*INDEX(LenF,MATCH($O$7,LenU,0)),IF(ISNUMBER(V233),V233*INDEX(LenF,MATCH($V$7,LenU,0)),0))</f>
        <v>0</v>
      </c>
      <c r="AS233" s="9" t="str">
        <f aca="false">IF(ISNUMBER(L233),L233*INDEX(LenF,MATCH($L$7,LenU,0))*1000,IF(OR(J233="",K233=""),"",IFERROR(IF(INDEX(PipeWT,MATCH(J233,NPSU,0),MATCH(K233,SchU,0))="","Sch n/a",INDEX(PipeOD,MATCH(J233,NPSU,0))-2*INDEX(PipeWT,MATCH(J233,NPSU,0),MATCH(K233,SchU,0))),"")))</f>
        <v/>
      </c>
      <c r="AT233" s="9" t="n">
        <f aca="false">IF(ISNUMBER(AI233),AI233,IFERROR(INDEX(IF(JobType="Decontamination",TypeFillDC,TypeFillCC),MATCH(E233,TypeL,0)),1))</f>
        <v>1</v>
      </c>
      <c r="AU233" s="9" t="n">
        <v>7</v>
      </c>
    </row>
    <row r="234" customFormat="false" ht="15" hidden="false" customHeight="false" outlineLevel="0" collapsed="false">
      <c r="A234" s="16" t="n">
        <v>27</v>
      </c>
      <c r="B234" s="20"/>
      <c r="C234" s="5"/>
      <c r="D234" s="5"/>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1" t="str">
        <f aca="false">IF(E234="Exchanger",IF(AND(ISNUMBER(S234),ISNUMBER(U234),ISNUMBER(V234)),S234*PI()/4*(U234*INDEX(LenF,MATCH($U$7,LenU,0)))^2*V234*INDEX(LenF,MATCH($V$7,LenU,0)),0)+IF(ISNUMBER(Y234),PI()/4*(Y234*INDEX(LenF,MATCH($Y$7,LenU,0)))^2*N(Z234)*INDEX(LenF,MATCH($Z$7,LenU,0))+IF(AA234="",0,IF(AA234="Conical",PI()/12*(Y234*INDEX(LenF,MATCH($Y$7,LenU,0)))^2*(0),INDEX(HeadK,MATCH(AA234,HeadU,0))*(Y234*INDEX(LenF,MATCH($Y$7,LenU,0)))^3)),0)+IF(ISNUMBER(Y234),PI()/4*(Y234*INDEX(LenF,MATCH($Y$7,LenU,0)))^2*N(AB234)*INDEX(LenF,MATCH($AB$7,LenU,0))+IF(AC234="",0,IF(AC234="Conical",PI()/12*(Y234*INDEX(LenF,MATCH($Y$7,LenU,0)))^2*(0),INDEX(HeadK,MATCH(AC234,HeadU,0))*(Y234*INDEX(LenF,MATCH($Y$7,LenU,0)))^3)),0),"")</f>
        <v/>
      </c>
      <c r="AE234" s="21" t="str">
        <f aca="false">IF(OR(E234="",E234="Piping"),"",IF(E234="Exchanger",AQ234*AR234+IF(P234="",0,IF(P234="Conical",PI()/12*(SQRT(4*AQ234/PI()))^2*(0),INDEX(HeadK,MATCH(P234,HeadU,0))*(SQRT(4*AQ234/PI()))^3))-IF(AND(ISNUMBER(S234),ISNUMBER(V234)),S234*PI()/4*AP234^2*V234*INDEX(LenF,MATCH($V$7,LenU,0)),0),IF(ISNUMBER(N234),PI()/4*(N234*INDEX(LenF,MATCH($N$7,LenU,0)))^2*N(O234)*INDEX(LenF,MATCH($O$7,LenU,0))+IF(P234="",0,IF(P234="Conical",PI()/12*(N234*INDEX(LenF,MATCH($N$7,LenU,0)))^2*(N(R234)*INDEX(LenF,MATCH($R$7,LenU,0))),INDEX(HeadK,MATCH(P234,HeadU,0))*(N234*INDEX(LenF,MATCH($N$7,LenU,0)))^3))+IF(Q234="",0,IF(Q234="Conical",PI()/12*(N234*INDEX(LenF,MATCH($N$7,LenU,0)))^2*(N(R234)*INDEX(LenF,MATCH($R$7,LenU,0))),INDEX(HeadK,MATCH(Q234,HeadU,0))*(N234*INDEX(LenF,MATCH($N$7,LenU,0)))^3)),0)))</f>
        <v/>
      </c>
      <c r="AF234" s="21" t="str">
        <f aca="false">IF(E234&lt;&gt;"Piping","",IF(AND(ISNUMBER(AS234),ISNUMBER(M234)),PI()/4*(AS234/1000)^2*M234*INDEX(LenF,MATCH($M$7,LenU,0)),0))</f>
        <v/>
      </c>
      <c r="AG234" s="21" t="str">
        <f aca="false">IF(E234="","",N(AD234)+N(AE234)+N(AF234))</f>
        <v/>
      </c>
      <c r="AH234" s="21" t="str">
        <f aca="false">IF(ISNUMBER(I234),I234*INDEX(WtF,MATCH($I$7,WtU,0))/WaterRho,"")</f>
        <v/>
      </c>
      <c r="AI234" s="11"/>
      <c r="AJ234" s="11"/>
      <c r="AK234" s="20"/>
      <c r="AL234" s="11"/>
      <c r="AM234" s="21" t="str">
        <f aca="false">IF(AO234="","",AO234*IF(ISNUMBER(AK234),AK234,DefFills)*(1+IF(ISNUMBER(AL234),AL234,DefAllow)))</f>
        <v/>
      </c>
      <c r="AN234" s="22" t="str">
        <f aca="false">IF(G234="Given volume",IF(ISNUMBER(H234),H234*INDEX(VolF,MATCH($H$7,VolU,0)),""),IF(G234="Water weight",AH234,IF(N(AG234)=0,"",AG234)))</f>
        <v/>
      </c>
      <c r="AO234" s="22" t="str">
        <f aca="false">IF(N(AN234)=0,"",AN234*AT234*IF(ISNUMBER(AJ234),AJ234,DefCirc))</f>
        <v/>
      </c>
      <c r="AP234" s="9" t="n">
        <f aca="false">IF(ISNUMBER(T234),T234*INDEX(LenF,MATCH($T$7,LenU,0)),IF(ISNUMBER(W234),W234*INDEX(LenF,MATCH($W$7,LenU,0))/PitchRatio,0))</f>
        <v>0</v>
      </c>
      <c r="AQ234" s="9" t="n">
        <f aca="false">IF(ISNUMBER(N234),PI()/4*(N234*INDEX(LenF,MATCH($N$7,LenU,0)))^2,IF(AND(ISNUMBER(S234),ISNUMBER(W234),X234&lt;&gt;""),S234*(W234*INDEX(LenF,MATCH($W$7,LenU,0)))^2*INDEX(LayoutF,MATCH(X234,LayoutU,0)),0))</f>
        <v>0</v>
      </c>
      <c r="AR234" s="9" t="n">
        <f aca="false">IF(ISNUMBER(O234),O234*INDEX(LenF,MATCH($O$7,LenU,0)),IF(ISNUMBER(V234),V234*INDEX(LenF,MATCH($V$7,LenU,0)),0))</f>
        <v>0</v>
      </c>
      <c r="AS234" s="9" t="str">
        <f aca="false">IF(ISNUMBER(L234),L234*INDEX(LenF,MATCH($L$7,LenU,0))*1000,IF(OR(J234="",K234=""),"",IFERROR(IF(INDEX(PipeWT,MATCH(J234,NPSU,0),MATCH(K234,SchU,0))="","Sch n/a",INDEX(PipeOD,MATCH(J234,NPSU,0))-2*INDEX(PipeWT,MATCH(J234,NPSU,0),MATCH(K234,SchU,0))),"")))</f>
        <v/>
      </c>
      <c r="AT234" s="9" t="n">
        <f aca="false">IF(ISNUMBER(AI234),AI234,IFERROR(INDEX(IF(JobType="Decontamination",TypeFillDC,TypeFillCC),MATCH(E234,TypeL,0)),1))</f>
        <v>1</v>
      </c>
      <c r="AU234" s="9" t="n">
        <v>7</v>
      </c>
    </row>
    <row r="235" customFormat="false" ht="15" hidden="false" customHeight="false" outlineLevel="0" collapsed="false">
      <c r="A235" s="16" t="n">
        <v>28</v>
      </c>
      <c r="B235" s="20"/>
      <c r="C235" s="5"/>
      <c r="D235" s="5"/>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1" t="str">
        <f aca="false">IF(E235="Exchanger",IF(AND(ISNUMBER(S235),ISNUMBER(U235),ISNUMBER(V235)),S235*PI()/4*(U235*INDEX(LenF,MATCH($U$7,LenU,0)))^2*V235*INDEX(LenF,MATCH($V$7,LenU,0)),0)+IF(ISNUMBER(Y235),PI()/4*(Y235*INDEX(LenF,MATCH($Y$7,LenU,0)))^2*N(Z235)*INDEX(LenF,MATCH($Z$7,LenU,0))+IF(AA235="",0,IF(AA235="Conical",PI()/12*(Y235*INDEX(LenF,MATCH($Y$7,LenU,0)))^2*(0),INDEX(HeadK,MATCH(AA235,HeadU,0))*(Y235*INDEX(LenF,MATCH($Y$7,LenU,0)))^3)),0)+IF(ISNUMBER(Y235),PI()/4*(Y235*INDEX(LenF,MATCH($Y$7,LenU,0)))^2*N(AB235)*INDEX(LenF,MATCH($AB$7,LenU,0))+IF(AC235="",0,IF(AC235="Conical",PI()/12*(Y235*INDEX(LenF,MATCH($Y$7,LenU,0)))^2*(0),INDEX(HeadK,MATCH(AC235,HeadU,0))*(Y235*INDEX(LenF,MATCH($Y$7,LenU,0)))^3)),0),"")</f>
        <v/>
      </c>
      <c r="AE235" s="21" t="str">
        <f aca="false">IF(OR(E235="",E235="Piping"),"",IF(E235="Exchanger",AQ235*AR235+IF(P235="",0,IF(P235="Conical",PI()/12*(SQRT(4*AQ235/PI()))^2*(0),INDEX(HeadK,MATCH(P235,HeadU,0))*(SQRT(4*AQ235/PI()))^3))-IF(AND(ISNUMBER(S235),ISNUMBER(V235)),S235*PI()/4*AP235^2*V235*INDEX(LenF,MATCH($V$7,LenU,0)),0),IF(ISNUMBER(N235),PI()/4*(N235*INDEX(LenF,MATCH($N$7,LenU,0)))^2*N(O235)*INDEX(LenF,MATCH($O$7,LenU,0))+IF(P235="",0,IF(P235="Conical",PI()/12*(N235*INDEX(LenF,MATCH($N$7,LenU,0)))^2*(N(R235)*INDEX(LenF,MATCH($R$7,LenU,0))),INDEX(HeadK,MATCH(P235,HeadU,0))*(N235*INDEX(LenF,MATCH($N$7,LenU,0)))^3))+IF(Q235="",0,IF(Q235="Conical",PI()/12*(N235*INDEX(LenF,MATCH($N$7,LenU,0)))^2*(N(R235)*INDEX(LenF,MATCH($R$7,LenU,0))),INDEX(HeadK,MATCH(Q235,HeadU,0))*(N235*INDEX(LenF,MATCH($N$7,LenU,0)))^3)),0)))</f>
        <v/>
      </c>
      <c r="AF235" s="21" t="str">
        <f aca="false">IF(E235&lt;&gt;"Piping","",IF(AND(ISNUMBER(AS235),ISNUMBER(M235)),PI()/4*(AS235/1000)^2*M235*INDEX(LenF,MATCH($M$7,LenU,0)),0))</f>
        <v/>
      </c>
      <c r="AG235" s="21" t="str">
        <f aca="false">IF(E235="","",N(AD235)+N(AE235)+N(AF235))</f>
        <v/>
      </c>
      <c r="AH235" s="21" t="str">
        <f aca="false">IF(ISNUMBER(I235),I235*INDEX(WtF,MATCH($I$7,WtU,0))/WaterRho,"")</f>
        <v/>
      </c>
      <c r="AI235" s="11"/>
      <c r="AJ235" s="11"/>
      <c r="AK235" s="20"/>
      <c r="AL235" s="11"/>
      <c r="AM235" s="21" t="str">
        <f aca="false">IF(AO235="","",AO235*IF(ISNUMBER(AK235),AK235,DefFills)*(1+IF(ISNUMBER(AL235),AL235,DefAllow)))</f>
        <v/>
      </c>
      <c r="AN235" s="22" t="str">
        <f aca="false">IF(G235="Given volume",IF(ISNUMBER(H235),H235*INDEX(VolF,MATCH($H$7,VolU,0)),""),IF(G235="Water weight",AH235,IF(N(AG235)=0,"",AG235)))</f>
        <v/>
      </c>
      <c r="AO235" s="22" t="str">
        <f aca="false">IF(N(AN235)=0,"",AN235*AT235*IF(ISNUMBER(AJ235),AJ235,DefCirc))</f>
        <v/>
      </c>
      <c r="AP235" s="9" t="n">
        <f aca="false">IF(ISNUMBER(T235),T235*INDEX(LenF,MATCH($T$7,LenU,0)),IF(ISNUMBER(W235),W235*INDEX(LenF,MATCH($W$7,LenU,0))/PitchRatio,0))</f>
        <v>0</v>
      </c>
      <c r="AQ235" s="9" t="n">
        <f aca="false">IF(ISNUMBER(N235),PI()/4*(N235*INDEX(LenF,MATCH($N$7,LenU,0)))^2,IF(AND(ISNUMBER(S235),ISNUMBER(W235),X235&lt;&gt;""),S235*(W235*INDEX(LenF,MATCH($W$7,LenU,0)))^2*INDEX(LayoutF,MATCH(X235,LayoutU,0)),0))</f>
        <v>0</v>
      </c>
      <c r="AR235" s="9" t="n">
        <f aca="false">IF(ISNUMBER(O235),O235*INDEX(LenF,MATCH($O$7,LenU,0)),IF(ISNUMBER(V235),V235*INDEX(LenF,MATCH($V$7,LenU,0)),0))</f>
        <v>0</v>
      </c>
      <c r="AS235" s="9" t="str">
        <f aca="false">IF(ISNUMBER(L235),L235*INDEX(LenF,MATCH($L$7,LenU,0))*1000,IF(OR(J235="",K235=""),"",IFERROR(IF(INDEX(PipeWT,MATCH(J235,NPSU,0),MATCH(K235,SchU,0))="","Sch n/a",INDEX(PipeOD,MATCH(J235,NPSU,0))-2*INDEX(PipeWT,MATCH(J235,NPSU,0),MATCH(K235,SchU,0))),"")))</f>
        <v/>
      </c>
      <c r="AT235" s="9" t="n">
        <f aca="false">IF(ISNUMBER(AI235),AI235,IFERROR(INDEX(IF(JobType="Decontamination",TypeFillDC,TypeFillCC),MATCH(E235,TypeL,0)),1))</f>
        <v>1</v>
      </c>
      <c r="AU235" s="9" t="n">
        <v>7</v>
      </c>
    </row>
    <row r="236" customFormat="false" ht="15" hidden="false" customHeight="false" outlineLevel="0" collapsed="false">
      <c r="A236" s="16" t="n">
        <v>29</v>
      </c>
      <c r="B236" s="20"/>
      <c r="C236" s="5"/>
      <c r="D236" s="5"/>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1" t="str">
        <f aca="false">IF(E236="Exchanger",IF(AND(ISNUMBER(S236),ISNUMBER(U236),ISNUMBER(V236)),S236*PI()/4*(U236*INDEX(LenF,MATCH($U$7,LenU,0)))^2*V236*INDEX(LenF,MATCH($V$7,LenU,0)),0)+IF(ISNUMBER(Y236),PI()/4*(Y236*INDEX(LenF,MATCH($Y$7,LenU,0)))^2*N(Z236)*INDEX(LenF,MATCH($Z$7,LenU,0))+IF(AA236="",0,IF(AA236="Conical",PI()/12*(Y236*INDEX(LenF,MATCH($Y$7,LenU,0)))^2*(0),INDEX(HeadK,MATCH(AA236,HeadU,0))*(Y236*INDEX(LenF,MATCH($Y$7,LenU,0)))^3)),0)+IF(ISNUMBER(Y236),PI()/4*(Y236*INDEX(LenF,MATCH($Y$7,LenU,0)))^2*N(AB236)*INDEX(LenF,MATCH($AB$7,LenU,0))+IF(AC236="",0,IF(AC236="Conical",PI()/12*(Y236*INDEX(LenF,MATCH($Y$7,LenU,0)))^2*(0),INDEX(HeadK,MATCH(AC236,HeadU,0))*(Y236*INDEX(LenF,MATCH($Y$7,LenU,0)))^3)),0),"")</f>
        <v/>
      </c>
      <c r="AE236" s="21" t="str">
        <f aca="false">IF(OR(E236="",E236="Piping"),"",IF(E236="Exchanger",AQ236*AR236+IF(P236="",0,IF(P236="Conical",PI()/12*(SQRT(4*AQ236/PI()))^2*(0),INDEX(HeadK,MATCH(P236,HeadU,0))*(SQRT(4*AQ236/PI()))^3))-IF(AND(ISNUMBER(S236),ISNUMBER(V236)),S236*PI()/4*AP236^2*V236*INDEX(LenF,MATCH($V$7,LenU,0)),0),IF(ISNUMBER(N236),PI()/4*(N236*INDEX(LenF,MATCH($N$7,LenU,0)))^2*N(O236)*INDEX(LenF,MATCH($O$7,LenU,0))+IF(P236="",0,IF(P236="Conical",PI()/12*(N236*INDEX(LenF,MATCH($N$7,LenU,0)))^2*(N(R236)*INDEX(LenF,MATCH($R$7,LenU,0))),INDEX(HeadK,MATCH(P236,HeadU,0))*(N236*INDEX(LenF,MATCH($N$7,LenU,0)))^3))+IF(Q236="",0,IF(Q236="Conical",PI()/12*(N236*INDEX(LenF,MATCH($N$7,LenU,0)))^2*(N(R236)*INDEX(LenF,MATCH($R$7,LenU,0))),INDEX(HeadK,MATCH(Q236,HeadU,0))*(N236*INDEX(LenF,MATCH($N$7,LenU,0)))^3)),0)))</f>
        <v/>
      </c>
      <c r="AF236" s="21" t="str">
        <f aca="false">IF(E236&lt;&gt;"Piping","",IF(AND(ISNUMBER(AS236),ISNUMBER(M236)),PI()/4*(AS236/1000)^2*M236*INDEX(LenF,MATCH($M$7,LenU,0)),0))</f>
        <v/>
      </c>
      <c r="AG236" s="21" t="str">
        <f aca="false">IF(E236="","",N(AD236)+N(AE236)+N(AF236))</f>
        <v/>
      </c>
      <c r="AH236" s="21" t="str">
        <f aca="false">IF(ISNUMBER(I236),I236*INDEX(WtF,MATCH($I$7,WtU,0))/WaterRho,"")</f>
        <v/>
      </c>
      <c r="AI236" s="11"/>
      <c r="AJ236" s="11"/>
      <c r="AK236" s="20"/>
      <c r="AL236" s="11"/>
      <c r="AM236" s="21" t="str">
        <f aca="false">IF(AO236="","",AO236*IF(ISNUMBER(AK236),AK236,DefFills)*(1+IF(ISNUMBER(AL236),AL236,DefAllow)))</f>
        <v/>
      </c>
      <c r="AN236" s="22" t="str">
        <f aca="false">IF(G236="Given volume",IF(ISNUMBER(H236),H236*INDEX(VolF,MATCH($H$7,VolU,0)),""),IF(G236="Water weight",AH236,IF(N(AG236)=0,"",AG236)))</f>
        <v/>
      </c>
      <c r="AO236" s="22" t="str">
        <f aca="false">IF(N(AN236)=0,"",AN236*AT236*IF(ISNUMBER(AJ236),AJ236,DefCirc))</f>
        <v/>
      </c>
      <c r="AP236" s="9" t="n">
        <f aca="false">IF(ISNUMBER(T236),T236*INDEX(LenF,MATCH($T$7,LenU,0)),IF(ISNUMBER(W236),W236*INDEX(LenF,MATCH($W$7,LenU,0))/PitchRatio,0))</f>
        <v>0</v>
      </c>
      <c r="AQ236" s="9" t="n">
        <f aca="false">IF(ISNUMBER(N236),PI()/4*(N236*INDEX(LenF,MATCH($N$7,LenU,0)))^2,IF(AND(ISNUMBER(S236),ISNUMBER(W236),X236&lt;&gt;""),S236*(W236*INDEX(LenF,MATCH($W$7,LenU,0)))^2*INDEX(LayoutF,MATCH(X236,LayoutU,0)),0))</f>
        <v>0</v>
      </c>
      <c r="AR236" s="9" t="n">
        <f aca="false">IF(ISNUMBER(O236),O236*INDEX(LenF,MATCH($O$7,LenU,0)),IF(ISNUMBER(V236),V236*INDEX(LenF,MATCH($V$7,LenU,0)),0))</f>
        <v>0</v>
      </c>
      <c r="AS236" s="9" t="str">
        <f aca="false">IF(ISNUMBER(L236),L236*INDEX(LenF,MATCH($L$7,LenU,0))*1000,IF(OR(J236="",K236=""),"",IFERROR(IF(INDEX(PipeWT,MATCH(J236,NPSU,0),MATCH(K236,SchU,0))="","Sch n/a",INDEX(PipeOD,MATCH(J236,NPSU,0))-2*INDEX(PipeWT,MATCH(J236,NPSU,0),MATCH(K236,SchU,0))),"")))</f>
        <v/>
      </c>
      <c r="AT236" s="9" t="n">
        <f aca="false">IF(ISNUMBER(AI236),AI236,IFERROR(INDEX(IF(JobType="Decontamination",TypeFillDC,TypeFillCC),MATCH(E236,TypeL,0)),1))</f>
        <v>1</v>
      </c>
      <c r="AU236" s="9" t="n">
        <v>7</v>
      </c>
    </row>
    <row r="237" customFormat="false" ht="15" hidden="false" customHeight="false" outlineLevel="0" collapsed="false">
      <c r="A237" s="16" t="n">
        <v>30</v>
      </c>
      <c r="B237" s="20"/>
      <c r="C237" s="5"/>
      <c r="D237" s="5"/>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1" t="str">
        <f aca="false">IF(E237="Exchanger",IF(AND(ISNUMBER(S237),ISNUMBER(U237),ISNUMBER(V237)),S237*PI()/4*(U237*INDEX(LenF,MATCH($U$7,LenU,0)))^2*V237*INDEX(LenF,MATCH($V$7,LenU,0)),0)+IF(ISNUMBER(Y237),PI()/4*(Y237*INDEX(LenF,MATCH($Y$7,LenU,0)))^2*N(Z237)*INDEX(LenF,MATCH($Z$7,LenU,0))+IF(AA237="",0,IF(AA237="Conical",PI()/12*(Y237*INDEX(LenF,MATCH($Y$7,LenU,0)))^2*(0),INDEX(HeadK,MATCH(AA237,HeadU,0))*(Y237*INDEX(LenF,MATCH($Y$7,LenU,0)))^3)),0)+IF(ISNUMBER(Y237),PI()/4*(Y237*INDEX(LenF,MATCH($Y$7,LenU,0)))^2*N(AB237)*INDEX(LenF,MATCH($AB$7,LenU,0))+IF(AC237="",0,IF(AC237="Conical",PI()/12*(Y237*INDEX(LenF,MATCH($Y$7,LenU,0)))^2*(0),INDEX(HeadK,MATCH(AC237,HeadU,0))*(Y237*INDEX(LenF,MATCH($Y$7,LenU,0)))^3)),0),"")</f>
        <v/>
      </c>
      <c r="AE237" s="21" t="str">
        <f aca="false">IF(OR(E237="",E237="Piping"),"",IF(E237="Exchanger",AQ237*AR237+IF(P237="",0,IF(P237="Conical",PI()/12*(SQRT(4*AQ237/PI()))^2*(0),INDEX(HeadK,MATCH(P237,HeadU,0))*(SQRT(4*AQ237/PI()))^3))-IF(AND(ISNUMBER(S237),ISNUMBER(V237)),S237*PI()/4*AP237^2*V237*INDEX(LenF,MATCH($V$7,LenU,0)),0),IF(ISNUMBER(N237),PI()/4*(N237*INDEX(LenF,MATCH($N$7,LenU,0)))^2*N(O237)*INDEX(LenF,MATCH($O$7,LenU,0))+IF(P237="",0,IF(P237="Conical",PI()/12*(N237*INDEX(LenF,MATCH($N$7,LenU,0)))^2*(N(R237)*INDEX(LenF,MATCH($R$7,LenU,0))),INDEX(HeadK,MATCH(P237,HeadU,0))*(N237*INDEX(LenF,MATCH($N$7,LenU,0)))^3))+IF(Q237="",0,IF(Q237="Conical",PI()/12*(N237*INDEX(LenF,MATCH($N$7,LenU,0)))^2*(N(R237)*INDEX(LenF,MATCH($R$7,LenU,0))),INDEX(HeadK,MATCH(Q237,HeadU,0))*(N237*INDEX(LenF,MATCH($N$7,LenU,0)))^3)),0)))</f>
        <v/>
      </c>
      <c r="AF237" s="21" t="str">
        <f aca="false">IF(E237&lt;&gt;"Piping","",IF(AND(ISNUMBER(AS237),ISNUMBER(M237)),PI()/4*(AS237/1000)^2*M237*INDEX(LenF,MATCH($M$7,LenU,0)),0))</f>
        <v/>
      </c>
      <c r="AG237" s="21" t="str">
        <f aca="false">IF(E237="","",N(AD237)+N(AE237)+N(AF237))</f>
        <v/>
      </c>
      <c r="AH237" s="21" t="str">
        <f aca="false">IF(ISNUMBER(I237),I237*INDEX(WtF,MATCH($I$7,WtU,0))/WaterRho,"")</f>
        <v/>
      </c>
      <c r="AI237" s="11"/>
      <c r="AJ237" s="11"/>
      <c r="AK237" s="20"/>
      <c r="AL237" s="11"/>
      <c r="AM237" s="21" t="str">
        <f aca="false">IF(AO237="","",AO237*IF(ISNUMBER(AK237),AK237,DefFills)*(1+IF(ISNUMBER(AL237),AL237,DefAllow)))</f>
        <v/>
      </c>
      <c r="AN237" s="22" t="str">
        <f aca="false">IF(G237="Given volume",IF(ISNUMBER(H237),H237*INDEX(VolF,MATCH($H$7,VolU,0)),""),IF(G237="Water weight",AH237,IF(N(AG237)=0,"",AG237)))</f>
        <v/>
      </c>
      <c r="AO237" s="22" t="str">
        <f aca="false">IF(N(AN237)=0,"",AN237*AT237*IF(ISNUMBER(AJ237),AJ237,DefCirc))</f>
        <v/>
      </c>
      <c r="AP237" s="9" t="n">
        <f aca="false">IF(ISNUMBER(T237),T237*INDEX(LenF,MATCH($T$7,LenU,0)),IF(ISNUMBER(W237),W237*INDEX(LenF,MATCH($W$7,LenU,0))/PitchRatio,0))</f>
        <v>0</v>
      </c>
      <c r="AQ237" s="9" t="n">
        <f aca="false">IF(ISNUMBER(N237),PI()/4*(N237*INDEX(LenF,MATCH($N$7,LenU,0)))^2,IF(AND(ISNUMBER(S237),ISNUMBER(W237),X237&lt;&gt;""),S237*(W237*INDEX(LenF,MATCH($W$7,LenU,0)))^2*INDEX(LayoutF,MATCH(X237,LayoutU,0)),0))</f>
        <v>0</v>
      </c>
      <c r="AR237" s="9" t="n">
        <f aca="false">IF(ISNUMBER(O237),O237*INDEX(LenF,MATCH($O$7,LenU,0)),IF(ISNUMBER(V237),V237*INDEX(LenF,MATCH($V$7,LenU,0)),0))</f>
        <v>0</v>
      </c>
      <c r="AS237" s="9" t="str">
        <f aca="false">IF(ISNUMBER(L237),L237*INDEX(LenF,MATCH($L$7,LenU,0))*1000,IF(OR(J237="",K237=""),"",IFERROR(IF(INDEX(PipeWT,MATCH(J237,NPSU,0),MATCH(K237,SchU,0))="","Sch n/a",INDEX(PipeOD,MATCH(J237,NPSU,0))-2*INDEX(PipeWT,MATCH(J237,NPSU,0),MATCH(K237,SchU,0))),"")))</f>
        <v/>
      </c>
      <c r="AT237" s="9" t="n">
        <f aca="false">IF(ISNUMBER(AI237),AI237,IFERROR(INDEX(IF(JobType="Decontamination",TypeFillDC,TypeFillCC),MATCH(E237,TypeL,0)),1))</f>
        <v>1</v>
      </c>
      <c r="AU237" s="9" t="n">
        <v>7</v>
      </c>
    </row>
    <row r="238" customFormat="false" ht="15" hidden="false" customHeight="false" outlineLevel="0" collapsed="false">
      <c r="A238" s="24" t="str">
        <f aca="false">"TOTAL – "&amp;INDEX(UnitNames,7)</f>
        <v>TOTAL – Unit 7</v>
      </c>
      <c r="B238" s="24"/>
      <c r="C238" s="24"/>
      <c r="D238" s="24"/>
      <c r="E238" s="25"/>
      <c r="F238" s="25"/>
      <c r="G238" s="25"/>
      <c r="H238" s="25"/>
      <c r="I238" s="25"/>
      <c r="J238" s="25"/>
      <c r="K238" s="25"/>
      <c r="L238" s="25"/>
      <c r="M238" s="25"/>
      <c r="N238" s="25"/>
      <c r="O238" s="25"/>
      <c r="P238" s="25"/>
      <c r="Q238" s="25"/>
      <c r="R238" s="25"/>
      <c r="S238" s="26" t="str">
        <f aca="false">COUNT(AN208:AN237)&amp;" items"</f>
        <v>0 items</v>
      </c>
      <c r="T238" s="25"/>
      <c r="U238" s="25"/>
      <c r="V238" s="25"/>
      <c r="W238" s="25"/>
      <c r="X238" s="25"/>
      <c r="Y238" s="25"/>
      <c r="Z238" s="25"/>
      <c r="AA238" s="25"/>
      <c r="AB238" s="25"/>
      <c r="AC238" s="25"/>
      <c r="AD238" s="27" t="n">
        <f aca="false">SUM(AD208:AD237)</f>
        <v>0</v>
      </c>
      <c r="AE238" s="27" t="n">
        <f aca="false">SUM(AE208:AE237)</f>
        <v>0</v>
      </c>
      <c r="AF238" s="27" t="n">
        <f aca="false">SUM(AF208:AF237)</f>
        <v>0</v>
      </c>
      <c r="AG238" s="27" t="n">
        <f aca="false">SUM(AG208:AG237)</f>
        <v>0</v>
      </c>
      <c r="AH238" s="27" t="n">
        <f aca="false">SUM(AH208:AH237)</f>
        <v>0</v>
      </c>
      <c r="AI238" s="25"/>
      <c r="AJ238" s="25"/>
      <c r="AK238" s="25"/>
      <c r="AL238" s="25"/>
      <c r="AM238" s="27" t="n">
        <f aca="false">SUM(AM208:AM237)</f>
        <v>0</v>
      </c>
      <c r="AN238" s="27" t="n">
        <f aca="false">SUM(AN208:AN237)</f>
        <v>0</v>
      </c>
      <c r="AO238" s="27" t="n">
        <f aca="false">SUM(AO208:AO237)</f>
        <v>0</v>
      </c>
    </row>
    <row r="240" customFormat="false" ht="15" hidden="false" customHeight="false" outlineLevel="0" collapsed="false">
      <c r="A240" s="18" t="str">
        <f aca="false">"UNIT 8:  "&amp;INDEX(UnitNames,8)</f>
        <v>UNIT 8:  Unit 8</v>
      </c>
      <c r="B240" s="18"/>
      <c r="C240" s="18"/>
      <c r="D240" s="18"/>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row>
    <row r="241" customFormat="false" ht="15" hidden="false" customHeight="false" outlineLevel="0" collapsed="false">
      <c r="A241" s="16" t="n">
        <v>1</v>
      </c>
      <c r="B241" s="20"/>
      <c r="C241" s="5"/>
      <c r="D241" s="5"/>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1" t="str">
        <f aca="false">IF(E241="Exchanger",IF(AND(ISNUMBER(S241),ISNUMBER(U241),ISNUMBER(V241)),S241*PI()/4*(U241*INDEX(LenF,MATCH($U$7,LenU,0)))^2*V241*INDEX(LenF,MATCH($V$7,LenU,0)),0)+IF(ISNUMBER(Y241),PI()/4*(Y241*INDEX(LenF,MATCH($Y$7,LenU,0)))^2*N(Z241)*INDEX(LenF,MATCH($Z$7,LenU,0))+IF(AA241="",0,IF(AA241="Conical",PI()/12*(Y241*INDEX(LenF,MATCH($Y$7,LenU,0)))^2*(0),INDEX(HeadK,MATCH(AA241,HeadU,0))*(Y241*INDEX(LenF,MATCH($Y$7,LenU,0)))^3)),0)+IF(ISNUMBER(Y241),PI()/4*(Y241*INDEX(LenF,MATCH($Y$7,LenU,0)))^2*N(AB241)*INDEX(LenF,MATCH($AB$7,LenU,0))+IF(AC241="",0,IF(AC241="Conical",PI()/12*(Y241*INDEX(LenF,MATCH($Y$7,LenU,0)))^2*(0),INDEX(HeadK,MATCH(AC241,HeadU,0))*(Y241*INDEX(LenF,MATCH($Y$7,LenU,0)))^3)),0),"")</f>
        <v/>
      </c>
      <c r="AE241" s="21" t="str">
        <f aca="false">IF(OR(E241="",E241="Piping"),"",IF(E241="Exchanger",AQ241*AR241+IF(P241="",0,IF(P241="Conical",PI()/12*(SQRT(4*AQ241/PI()))^2*(0),INDEX(HeadK,MATCH(P241,HeadU,0))*(SQRT(4*AQ241/PI()))^3))-IF(AND(ISNUMBER(S241),ISNUMBER(V241)),S241*PI()/4*AP241^2*V241*INDEX(LenF,MATCH($V$7,LenU,0)),0),IF(ISNUMBER(N241),PI()/4*(N241*INDEX(LenF,MATCH($N$7,LenU,0)))^2*N(O241)*INDEX(LenF,MATCH($O$7,LenU,0))+IF(P241="",0,IF(P241="Conical",PI()/12*(N241*INDEX(LenF,MATCH($N$7,LenU,0)))^2*(N(R241)*INDEX(LenF,MATCH($R$7,LenU,0))),INDEX(HeadK,MATCH(P241,HeadU,0))*(N241*INDEX(LenF,MATCH($N$7,LenU,0)))^3))+IF(Q241="",0,IF(Q241="Conical",PI()/12*(N241*INDEX(LenF,MATCH($N$7,LenU,0)))^2*(N(R241)*INDEX(LenF,MATCH($R$7,LenU,0))),INDEX(HeadK,MATCH(Q241,HeadU,0))*(N241*INDEX(LenF,MATCH($N$7,LenU,0)))^3)),0)))</f>
        <v/>
      </c>
      <c r="AF241" s="21" t="str">
        <f aca="false">IF(E241&lt;&gt;"Piping","",IF(AND(ISNUMBER(AS241),ISNUMBER(M241)),PI()/4*(AS241/1000)^2*M241*INDEX(LenF,MATCH($M$7,LenU,0)),0))</f>
        <v/>
      </c>
      <c r="AG241" s="21" t="str">
        <f aca="false">IF(E241="","",N(AD241)+N(AE241)+N(AF241))</f>
        <v/>
      </c>
      <c r="AH241" s="21" t="str">
        <f aca="false">IF(ISNUMBER(I241),I241*INDEX(WtF,MATCH($I$7,WtU,0))/WaterRho,"")</f>
        <v/>
      </c>
      <c r="AI241" s="11"/>
      <c r="AJ241" s="11"/>
      <c r="AK241" s="20"/>
      <c r="AL241" s="11"/>
      <c r="AM241" s="21" t="str">
        <f aca="false">IF(AO241="","",AO241*IF(ISNUMBER(AK241),AK241,DefFills)*(1+IF(ISNUMBER(AL241),AL241,DefAllow)))</f>
        <v/>
      </c>
      <c r="AN241" s="22" t="str">
        <f aca="false">IF(G241="Given volume",IF(ISNUMBER(H241),H241*INDEX(VolF,MATCH($H$7,VolU,0)),""),IF(G241="Water weight",AH241,IF(N(AG241)=0,"",AG241)))</f>
        <v/>
      </c>
      <c r="AO241" s="22" t="str">
        <f aca="false">IF(N(AN241)=0,"",AN241*AT241*IF(ISNUMBER(AJ241),AJ241,DefCirc))</f>
        <v/>
      </c>
      <c r="AP241" s="9" t="n">
        <f aca="false">IF(ISNUMBER(T241),T241*INDEX(LenF,MATCH($T$7,LenU,0)),IF(ISNUMBER(W241),W241*INDEX(LenF,MATCH($W$7,LenU,0))/PitchRatio,0))</f>
        <v>0</v>
      </c>
      <c r="AQ241" s="9" t="n">
        <f aca="false">IF(ISNUMBER(N241),PI()/4*(N241*INDEX(LenF,MATCH($N$7,LenU,0)))^2,IF(AND(ISNUMBER(S241),ISNUMBER(W241),X241&lt;&gt;""),S241*(W241*INDEX(LenF,MATCH($W$7,LenU,0)))^2*INDEX(LayoutF,MATCH(X241,LayoutU,0)),0))</f>
        <v>0</v>
      </c>
      <c r="AR241" s="9" t="n">
        <f aca="false">IF(ISNUMBER(O241),O241*INDEX(LenF,MATCH($O$7,LenU,0)),IF(ISNUMBER(V241),V241*INDEX(LenF,MATCH($V$7,LenU,0)),0))</f>
        <v>0</v>
      </c>
      <c r="AS241" s="9" t="str">
        <f aca="false">IF(ISNUMBER(L241),L241*INDEX(LenF,MATCH($L$7,LenU,0))*1000,IF(OR(J241="",K241=""),"",IFERROR(IF(INDEX(PipeWT,MATCH(J241,NPSU,0),MATCH(K241,SchU,0))="","Sch n/a",INDEX(PipeOD,MATCH(J241,NPSU,0))-2*INDEX(PipeWT,MATCH(J241,NPSU,0),MATCH(K241,SchU,0))),"")))</f>
        <v/>
      </c>
      <c r="AT241" s="9" t="n">
        <f aca="false">IF(ISNUMBER(AI241),AI241,IFERROR(INDEX(IF(JobType="Decontamination",TypeFillDC,TypeFillCC),MATCH(E241,TypeL,0)),1))</f>
        <v>1</v>
      </c>
      <c r="AU241" s="9" t="n">
        <v>8</v>
      </c>
    </row>
    <row r="242" customFormat="false" ht="15" hidden="false" customHeight="false" outlineLevel="0" collapsed="false">
      <c r="A242" s="16" t="n">
        <v>2</v>
      </c>
      <c r="B242" s="20"/>
      <c r="C242" s="5"/>
      <c r="D242" s="5"/>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1" t="str">
        <f aca="false">IF(E242="Exchanger",IF(AND(ISNUMBER(S242),ISNUMBER(U242),ISNUMBER(V242)),S242*PI()/4*(U242*INDEX(LenF,MATCH($U$7,LenU,0)))^2*V242*INDEX(LenF,MATCH($V$7,LenU,0)),0)+IF(ISNUMBER(Y242),PI()/4*(Y242*INDEX(LenF,MATCH($Y$7,LenU,0)))^2*N(Z242)*INDEX(LenF,MATCH($Z$7,LenU,0))+IF(AA242="",0,IF(AA242="Conical",PI()/12*(Y242*INDEX(LenF,MATCH($Y$7,LenU,0)))^2*(0),INDEX(HeadK,MATCH(AA242,HeadU,0))*(Y242*INDEX(LenF,MATCH($Y$7,LenU,0)))^3)),0)+IF(ISNUMBER(Y242),PI()/4*(Y242*INDEX(LenF,MATCH($Y$7,LenU,0)))^2*N(AB242)*INDEX(LenF,MATCH($AB$7,LenU,0))+IF(AC242="",0,IF(AC242="Conical",PI()/12*(Y242*INDEX(LenF,MATCH($Y$7,LenU,0)))^2*(0),INDEX(HeadK,MATCH(AC242,HeadU,0))*(Y242*INDEX(LenF,MATCH($Y$7,LenU,0)))^3)),0),"")</f>
        <v/>
      </c>
      <c r="AE242" s="21" t="str">
        <f aca="false">IF(OR(E242="",E242="Piping"),"",IF(E242="Exchanger",AQ242*AR242+IF(P242="",0,IF(P242="Conical",PI()/12*(SQRT(4*AQ242/PI()))^2*(0),INDEX(HeadK,MATCH(P242,HeadU,0))*(SQRT(4*AQ242/PI()))^3))-IF(AND(ISNUMBER(S242),ISNUMBER(V242)),S242*PI()/4*AP242^2*V242*INDEX(LenF,MATCH($V$7,LenU,0)),0),IF(ISNUMBER(N242),PI()/4*(N242*INDEX(LenF,MATCH($N$7,LenU,0)))^2*N(O242)*INDEX(LenF,MATCH($O$7,LenU,0))+IF(P242="",0,IF(P242="Conical",PI()/12*(N242*INDEX(LenF,MATCH($N$7,LenU,0)))^2*(N(R242)*INDEX(LenF,MATCH($R$7,LenU,0))),INDEX(HeadK,MATCH(P242,HeadU,0))*(N242*INDEX(LenF,MATCH($N$7,LenU,0)))^3))+IF(Q242="",0,IF(Q242="Conical",PI()/12*(N242*INDEX(LenF,MATCH($N$7,LenU,0)))^2*(N(R242)*INDEX(LenF,MATCH($R$7,LenU,0))),INDEX(HeadK,MATCH(Q242,HeadU,0))*(N242*INDEX(LenF,MATCH($N$7,LenU,0)))^3)),0)))</f>
        <v/>
      </c>
      <c r="AF242" s="21" t="str">
        <f aca="false">IF(E242&lt;&gt;"Piping","",IF(AND(ISNUMBER(AS242),ISNUMBER(M242)),PI()/4*(AS242/1000)^2*M242*INDEX(LenF,MATCH($M$7,LenU,0)),0))</f>
        <v/>
      </c>
      <c r="AG242" s="21" t="str">
        <f aca="false">IF(E242="","",N(AD242)+N(AE242)+N(AF242))</f>
        <v/>
      </c>
      <c r="AH242" s="21" t="str">
        <f aca="false">IF(ISNUMBER(I242),I242*INDEX(WtF,MATCH($I$7,WtU,0))/WaterRho,"")</f>
        <v/>
      </c>
      <c r="AI242" s="11"/>
      <c r="AJ242" s="11"/>
      <c r="AK242" s="20"/>
      <c r="AL242" s="11"/>
      <c r="AM242" s="21" t="str">
        <f aca="false">IF(AO242="","",AO242*IF(ISNUMBER(AK242),AK242,DefFills)*(1+IF(ISNUMBER(AL242),AL242,DefAllow)))</f>
        <v/>
      </c>
      <c r="AN242" s="22" t="str">
        <f aca="false">IF(G242="Given volume",IF(ISNUMBER(H242),H242*INDEX(VolF,MATCH($H$7,VolU,0)),""),IF(G242="Water weight",AH242,IF(N(AG242)=0,"",AG242)))</f>
        <v/>
      </c>
      <c r="AO242" s="22" t="str">
        <f aca="false">IF(N(AN242)=0,"",AN242*AT242*IF(ISNUMBER(AJ242),AJ242,DefCirc))</f>
        <v/>
      </c>
      <c r="AP242" s="9" t="n">
        <f aca="false">IF(ISNUMBER(T242),T242*INDEX(LenF,MATCH($T$7,LenU,0)),IF(ISNUMBER(W242),W242*INDEX(LenF,MATCH($W$7,LenU,0))/PitchRatio,0))</f>
        <v>0</v>
      </c>
      <c r="AQ242" s="9" t="n">
        <f aca="false">IF(ISNUMBER(N242),PI()/4*(N242*INDEX(LenF,MATCH($N$7,LenU,0)))^2,IF(AND(ISNUMBER(S242),ISNUMBER(W242),X242&lt;&gt;""),S242*(W242*INDEX(LenF,MATCH($W$7,LenU,0)))^2*INDEX(LayoutF,MATCH(X242,LayoutU,0)),0))</f>
        <v>0</v>
      </c>
      <c r="AR242" s="9" t="n">
        <f aca="false">IF(ISNUMBER(O242),O242*INDEX(LenF,MATCH($O$7,LenU,0)),IF(ISNUMBER(V242),V242*INDEX(LenF,MATCH($V$7,LenU,0)),0))</f>
        <v>0</v>
      </c>
      <c r="AS242" s="9" t="str">
        <f aca="false">IF(ISNUMBER(L242),L242*INDEX(LenF,MATCH($L$7,LenU,0))*1000,IF(OR(J242="",K242=""),"",IFERROR(IF(INDEX(PipeWT,MATCH(J242,NPSU,0),MATCH(K242,SchU,0))="","Sch n/a",INDEX(PipeOD,MATCH(J242,NPSU,0))-2*INDEX(PipeWT,MATCH(J242,NPSU,0),MATCH(K242,SchU,0))),"")))</f>
        <v/>
      </c>
      <c r="AT242" s="9" t="n">
        <f aca="false">IF(ISNUMBER(AI242),AI242,IFERROR(INDEX(IF(JobType="Decontamination",TypeFillDC,TypeFillCC),MATCH(E242,TypeL,0)),1))</f>
        <v>1</v>
      </c>
      <c r="AU242" s="9" t="n">
        <v>8</v>
      </c>
    </row>
    <row r="243" customFormat="false" ht="15" hidden="false" customHeight="false" outlineLevel="0" collapsed="false">
      <c r="A243" s="16" t="n">
        <v>3</v>
      </c>
      <c r="B243" s="20"/>
      <c r="C243" s="5"/>
      <c r="D243" s="5"/>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1" t="str">
        <f aca="false">IF(E243="Exchanger",IF(AND(ISNUMBER(S243),ISNUMBER(U243),ISNUMBER(V243)),S243*PI()/4*(U243*INDEX(LenF,MATCH($U$7,LenU,0)))^2*V243*INDEX(LenF,MATCH($V$7,LenU,0)),0)+IF(ISNUMBER(Y243),PI()/4*(Y243*INDEX(LenF,MATCH($Y$7,LenU,0)))^2*N(Z243)*INDEX(LenF,MATCH($Z$7,LenU,0))+IF(AA243="",0,IF(AA243="Conical",PI()/12*(Y243*INDEX(LenF,MATCH($Y$7,LenU,0)))^2*(0),INDEX(HeadK,MATCH(AA243,HeadU,0))*(Y243*INDEX(LenF,MATCH($Y$7,LenU,0)))^3)),0)+IF(ISNUMBER(Y243),PI()/4*(Y243*INDEX(LenF,MATCH($Y$7,LenU,0)))^2*N(AB243)*INDEX(LenF,MATCH($AB$7,LenU,0))+IF(AC243="",0,IF(AC243="Conical",PI()/12*(Y243*INDEX(LenF,MATCH($Y$7,LenU,0)))^2*(0),INDEX(HeadK,MATCH(AC243,HeadU,0))*(Y243*INDEX(LenF,MATCH($Y$7,LenU,0)))^3)),0),"")</f>
        <v/>
      </c>
      <c r="AE243" s="21" t="str">
        <f aca="false">IF(OR(E243="",E243="Piping"),"",IF(E243="Exchanger",AQ243*AR243+IF(P243="",0,IF(P243="Conical",PI()/12*(SQRT(4*AQ243/PI()))^2*(0),INDEX(HeadK,MATCH(P243,HeadU,0))*(SQRT(4*AQ243/PI()))^3))-IF(AND(ISNUMBER(S243),ISNUMBER(V243)),S243*PI()/4*AP243^2*V243*INDEX(LenF,MATCH($V$7,LenU,0)),0),IF(ISNUMBER(N243),PI()/4*(N243*INDEX(LenF,MATCH($N$7,LenU,0)))^2*N(O243)*INDEX(LenF,MATCH($O$7,LenU,0))+IF(P243="",0,IF(P243="Conical",PI()/12*(N243*INDEX(LenF,MATCH($N$7,LenU,0)))^2*(N(R243)*INDEX(LenF,MATCH($R$7,LenU,0))),INDEX(HeadK,MATCH(P243,HeadU,0))*(N243*INDEX(LenF,MATCH($N$7,LenU,0)))^3))+IF(Q243="",0,IF(Q243="Conical",PI()/12*(N243*INDEX(LenF,MATCH($N$7,LenU,0)))^2*(N(R243)*INDEX(LenF,MATCH($R$7,LenU,0))),INDEX(HeadK,MATCH(Q243,HeadU,0))*(N243*INDEX(LenF,MATCH($N$7,LenU,0)))^3)),0)))</f>
        <v/>
      </c>
      <c r="AF243" s="21" t="str">
        <f aca="false">IF(E243&lt;&gt;"Piping","",IF(AND(ISNUMBER(AS243),ISNUMBER(M243)),PI()/4*(AS243/1000)^2*M243*INDEX(LenF,MATCH($M$7,LenU,0)),0))</f>
        <v/>
      </c>
      <c r="AG243" s="21" t="str">
        <f aca="false">IF(E243="","",N(AD243)+N(AE243)+N(AF243))</f>
        <v/>
      </c>
      <c r="AH243" s="21" t="str">
        <f aca="false">IF(ISNUMBER(I243),I243*INDEX(WtF,MATCH($I$7,WtU,0))/WaterRho,"")</f>
        <v/>
      </c>
      <c r="AI243" s="11"/>
      <c r="AJ243" s="11"/>
      <c r="AK243" s="20"/>
      <c r="AL243" s="11"/>
      <c r="AM243" s="21" t="str">
        <f aca="false">IF(AO243="","",AO243*IF(ISNUMBER(AK243),AK243,DefFills)*(1+IF(ISNUMBER(AL243),AL243,DefAllow)))</f>
        <v/>
      </c>
      <c r="AN243" s="22" t="str">
        <f aca="false">IF(G243="Given volume",IF(ISNUMBER(H243),H243*INDEX(VolF,MATCH($H$7,VolU,0)),""),IF(G243="Water weight",AH243,IF(N(AG243)=0,"",AG243)))</f>
        <v/>
      </c>
      <c r="AO243" s="22" t="str">
        <f aca="false">IF(N(AN243)=0,"",AN243*AT243*IF(ISNUMBER(AJ243),AJ243,DefCirc))</f>
        <v/>
      </c>
      <c r="AP243" s="9" t="n">
        <f aca="false">IF(ISNUMBER(T243),T243*INDEX(LenF,MATCH($T$7,LenU,0)),IF(ISNUMBER(W243),W243*INDEX(LenF,MATCH($W$7,LenU,0))/PitchRatio,0))</f>
        <v>0</v>
      </c>
      <c r="AQ243" s="9" t="n">
        <f aca="false">IF(ISNUMBER(N243),PI()/4*(N243*INDEX(LenF,MATCH($N$7,LenU,0)))^2,IF(AND(ISNUMBER(S243),ISNUMBER(W243),X243&lt;&gt;""),S243*(W243*INDEX(LenF,MATCH($W$7,LenU,0)))^2*INDEX(LayoutF,MATCH(X243,LayoutU,0)),0))</f>
        <v>0</v>
      </c>
      <c r="AR243" s="9" t="n">
        <f aca="false">IF(ISNUMBER(O243),O243*INDEX(LenF,MATCH($O$7,LenU,0)),IF(ISNUMBER(V243),V243*INDEX(LenF,MATCH($V$7,LenU,0)),0))</f>
        <v>0</v>
      </c>
      <c r="AS243" s="9" t="str">
        <f aca="false">IF(ISNUMBER(L243),L243*INDEX(LenF,MATCH($L$7,LenU,0))*1000,IF(OR(J243="",K243=""),"",IFERROR(IF(INDEX(PipeWT,MATCH(J243,NPSU,0),MATCH(K243,SchU,0))="","Sch n/a",INDEX(PipeOD,MATCH(J243,NPSU,0))-2*INDEX(PipeWT,MATCH(J243,NPSU,0),MATCH(K243,SchU,0))),"")))</f>
        <v/>
      </c>
      <c r="AT243" s="9" t="n">
        <f aca="false">IF(ISNUMBER(AI243),AI243,IFERROR(INDEX(IF(JobType="Decontamination",TypeFillDC,TypeFillCC),MATCH(E243,TypeL,0)),1))</f>
        <v>1</v>
      </c>
      <c r="AU243" s="9" t="n">
        <v>8</v>
      </c>
    </row>
    <row r="244" customFormat="false" ht="15" hidden="false" customHeight="false" outlineLevel="0" collapsed="false">
      <c r="A244" s="16" t="n">
        <v>4</v>
      </c>
      <c r="B244" s="20"/>
      <c r="C244" s="5"/>
      <c r="D244" s="5"/>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1" t="str">
        <f aca="false">IF(E244="Exchanger",IF(AND(ISNUMBER(S244),ISNUMBER(U244),ISNUMBER(V244)),S244*PI()/4*(U244*INDEX(LenF,MATCH($U$7,LenU,0)))^2*V244*INDEX(LenF,MATCH($V$7,LenU,0)),0)+IF(ISNUMBER(Y244),PI()/4*(Y244*INDEX(LenF,MATCH($Y$7,LenU,0)))^2*N(Z244)*INDEX(LenF,MATCH($Z$7,LenU,0))+IF(AA244="",0,IF(AA244="Conical",PI()/12*(Y244*INDEX(LenF,MATCH($Y$7,LenU,0)))^2*(0),INDEX(HeadK,MATCH(AA244,HeadU,0))*(Y244*INDEX(LenF,MATCH($Y$7,LenU,0)))^3)),0)+IF(ISNUMBER(Y244),PI()/4*(Y244*INDEX(LenF,MATCH($Y$7,LenU,0)))^2*N(AB244)*INDEX(LenF,MATCH($AB$7,LenU,0))+IF(AC244="",0,IF(AC244="Conical",PI()/12*(Y244*INDEX(LenF,MATCH($Y$7,LenU,0)))^2*(0),INDEX(HeadK,MATCH(AC244,HeadU,0))*(Y244*INDEX(LenF,MATCH($Y$7,LenU,0)))^3)),0),"")</f>
        <v/>
      </c>
      <c r="AE244" s="21" t="str">
        <f aca="false">IF(OR(E244="",E244="Piping"),"",IF(E244="Exchanger",AQ244*AR244+IF(P244="",0,IF(P244="Conical",PI()/12*(SQRT(4*AQ244/PI()))^2*(0),INDEX(HeadK,MATCH(P244,HeadU,0))*(SQRT(4*AQ244/PI()))^3))-IF(AND(ISNUMBER(S244),ISNUMBER(V244)),S244*PI()/4*AP244^2*V244*INDEX(LenF,MATCH($V$7,LenU,0)),0),IF(ISNUMBER(N244),PI()/4*(N244*INDEX(LenF,MATCH($N$7,LenU,0)))^2*N(O244)*INDEX(LenF,MATCH($O$7,LenU,0))+IF(P244="",0,IF(P244="Conical",PI()/12*(N244*INDEX(LenF,MATCH($N$7,LenU,0)))^2*(N(R244)*INDEX(LenF,MATCH($R$7,LenU,0))),INDEX(HeadK,MATCH(P244,HeadU,0))*(N244*INDEX(LenF,MATCH($N$7,LenU,0)))^3))+IF(Q244="",0,IF(Q244="Conical",PI()/12*(N244*INDEX(LenF,MATCH($N$7,LenU,0)))^2*(N(R244)*INDEX(LenF,MATCH($R$7,LenU,0))),INDEX(HeadK,MATCH(Q244,HeadU,0))*(N244*INDEX(LenF,MATCH($N$7,LenU,0)))^3)),0)))</f>
        <v/>
      </c>
      <c r="AF244" s="21" t="str">
        <f aca="false">IF(E244&lt;&gt;"Piping","",IF(AND(ISNUMBER(AS244),ISNUMBER(M244)),PI()/4*(AS244/1000)^2*M244*INDEX(LenF,MATCH($M$7,LenU,0)),0))</f>
        <v/>
      </c>
      <c r="AG244" s="21" t="str">
        <f aca="false">IF(E244="","",N(AD244)+N(AE244)+N(AF244))</f>
        <v/>
      </c>
      <c r="AH244" s="21" t="str">
        <f aca="false">IF(ISNUMBER(I244),I244*INDEX(WtF,MATCH($I$7,WtU,0))/WaterRho,"")</f>
        <v/>
      </c>
      <c r="AI244" s="11"/>
      <c r="AJ244" s="11"/>
      <c r="AK244" s="20"/>
      <c r="AL244" s="11"/>
      <c r="AM244" s="21" t="str">
        <f aca="false">IF(AO244="","",AO244*IF(ISNUMBER(AK244),AK244,DefFills)*(1+IF(ISNUMBER(AL244),AL244,DefAllow)))</f>
        <v/>
      </c>
      <c r="AN244" s="22" t="str">
        <f aca="false">IF(G244="Given volume",IF(ISNUMBER(H244),H244*INDEX(VolF,MATCH($H$7,VolU,0)),""),IF(G244="Water weight",AH244,IF(N(AG244)=0,"",AG244)))</f>
        <v/>
      </c>
      <c r="AO244" s="22" t="str">
        <f aca="false">IF(N(AN244)=0,"",AN244*AT244*IF(ISNUMBER(AJ244),AJ244,DefCirc))</f>
        <v/>
      </c>
      <c r="AP244" s="9" t="n">
        <f aca="false">IF(ISNUMBER(T244),T244*INDEX(LenF,MATCH($T$7,LenU,0)),IF(ISNUMBER(W244),W244*INDEX(LenF,MATCH($W$7,LenU,0))/PitchRatio,0))</f>
        <v>0</v>
      </c>
      <c r="AQ244" s="9" t="n">
        <f aca="false">IF(ISNUMBER(N244),PI()/4*(N244*INDEX(LenF,MATCH($N$7,LenU,0)))^2,IF(AND(ISNUMBER(S244),ISNUMBER(W244),X244&lt;&gt;""),S244*(W244*INDEX(LenF,MATCH($W$7,LenU,0)))^2*INDEX(LayoutF,MATCH(X244,LayoutU,0)),0))</f>
        <v>0</v>
      </c>
      <c r="AR244" s="9" t="n">
        <f aca="false">IF(ISNUMBER(O244),O244*INDEX(LenF,MATCH($O$7,LenU,0)),IF(ISNUMBER(V244),V244*INDEX(LenF,MATCH($V$7,LenU,0)),0))</f>
        <v>0</v>
      </c>
      <c r="AS244" s="9" t="str">
        <f aca="false">IF(ISNUMBER(L244),L244*INDEX(LenF,MATCH($L$7,LenU,0))*1000,IF(OR(J244="",K244=""),"",IFERROR(IF(INDEX(PipeWT,MATCH(J244,NPSU,0),MATCH(K244,SchU,0))="","Sch n/a",INDEX(PipeOD,MATCH(J244,NPSU,0))-2*INDEX(PipeWT,MATCH(J244,NPSU,0),MATCH(K244,SchU,0))),"")))</f>
        <v/>
      </c>
      <c r="AT244" s="9" t="n">
        <f aca="false">IF(ISNUMBER(AI244),AI244,IFERROR(INDEX(IF(JobType="Decontamination",TypeFillDC,TypeFillCC),MATCH(E244,TypeL,0)),1))</f>
        <v>1</v>
      </c>
      <c r="AU244" s="9" t="n">
        <v>8</v>
      </c>
    </row>
    <row r="245" customFormat="false" ht="15" hidden="false" customHeight="false" outlineLevel="0" collapsed="false">
      <c r="A245" s="16" t="n">
        <v>5</v>
      </c>
      <c r="B245" s="20"/>
      <c r="C245" s="5"/>
      <c r="D245" s="5"/>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1" t="str">
        <f aca="false">IF(E245="Exchanger",IF(AND(ISNUMBER(S245),ISNUMBER(U245),ISNUMBER(V245)),S245*PI()/4*(U245*INDEX(LenF,MATCH($U$7,LenU,0)))^2*V245*INDEX(LenF,MATCH($V$7,LenU,0)),0)+IF(ISNUMBER(Y245),PI()/4*(Y245*INDEX(LenF,MATCH($Y$7,LenU,0)))^2*N(Z245)*INDEX(LenF,MATCH($Z$7,LenU,0))+IF(AA245="",0,IF(AA245="Conical",PI()/12*(Y245*INDEX(LenF,MATCH($Y$7,LenU,0)))^2*(0),INDEX(HeadK,MATCH(AA245,HeadU,0))*(Y245*INDEX(LenF,MATCH($Y$7,LenU,0)))^3)),0)+IF(ISNUMBER(Y245),PI()/4*(Y245*INDEX(LenF,MATCH($Y$7,LenU,0)))^2*N(AB245)*INDEX(LenF,MATCH($AB$7,LenU,0))+IF(AC245="",0,IF(AC245="Conical",PI()/12*(Y245*INDEX(LenF,MATCH($Y$7,LenU,0)))^2*(0),INDEX(HeadK,MATCH(AC245,HeadU,0))*(Y245*INDEX(LenF,MATCH($Y$7,LenU,0)))^3)),0),"")</f>
        <v/>
      </c>
      <c r="AE245" s="21" t="str">
        <f aca="false">IF(OR(E245="",E245="Piping"),"",IF(E245="Exchanger",AQ245*AR245+IF(P245="",0,IF(P245="Conical",PI()/12*(SQRT(4*AQ245/PI()))^2*(0),INDEX(HeadK,MATCH(P245,HeadU,0))*(SQRT(4*AQ245/PI()))^3))-IF(AND(ISNUMBER(S245),ISNUMBER(V245)),S245*PI()/4*AP245^2*V245*INDEX(LenF,MATCH($V$7,LenU,0)),0),IF(ISNUMBER(N245),PI()/4*(N245*INDEX(LenF,MATCH($N$7,LenU,0)))^2*N(O245)*INDEX(LenF,MATCH($O$7,LenU,0))+IF(P245="",0,IF(P245="Conical",PI()/12*(N245*INDEX(LenF,MATCH($N$7,LenU,0)))^2*(N(R245)*INDEX(LenF,MATCH($R$7,LenU,0))),INDEX(HeadK,MATCH(P245,HeadU,0))*(N245*INDEX(LenF,MATCH($N$7,LenU,0)))^3))+IF(Q245="",0,IF(Q245="Conical",PI()/12*(N245*INDEX(LenF,MATCH($N$7,LenU,0)))^2*(N(R245)*INDEX(LenF,MATCH($R$7,LenU,0))),INDEX(HeadK,MATCH(Q245,HeadU,0))*(N245*INDEX(LenF,MATCH($N$7,LenU,0)))^3)),0)))</f>
        <v/>
      </c>
      <c r="AF245" s="21" t="str">
        <f aca="false">IF(E245&lt;&gt;"Piping","",IF(AND(ISNUMBER(AS245),ISNUMBER(M245)),PI()/4*(AS245/1000)^2*M245*INDEX(LenF,MATCH($M$7,LenU,0)),0))</f>
        <v/>
      </c>
      <c r="AG245" s="21" t="str">
        <f aca="false">IF(E245="","",N(AD245)+N(AE245)+N(AF245))</f>
        <v/>
      </c>
      <c r="AH245" s="21" t="str">
        <f aca="false">IF(ISNUMBER(I245),I245*INDEX(WtF,MATCH($I$7,WtU,0))/WaterRho,"")</f>
        <v/>
      </c>
      <c r="AI245" s="11"/>
      <c r="AJ245" s="11"/>
      <c r="AK245" s="20"/>
      <c r="AL245" s="11"/>
      <c r="AM245" s="21" t="str">
        <f aca="false">IF(AO245="","",AO245*IF(ISNUMBER(AK245),AK245,DefFills)*(1+IF(ISNUMBER(AL245),AL245,DefAllow)))</f>
        <v/>
      </c>
      <c r="AN245" s="22" t="str">
        <f aca="false">IF(G245="Given volume",IF(ISNUMBER(H245),H245*INDEX(VolF,MATCH($H$7,VolU,0)),""),IF(G245="Water weight",AH245,IF(N(AG245)=0,"",AG245)))</f>
        <v/>
      </c>
      <c r="AO245" s="22" t="str">
        <f aca="false">IF(N(AN245)=0,"",AN245*AT245*IF(ISNUMBER(AJ245),AJ245,DefCirc))</f>
        <v/>
      </c>
      <c r="AP245" s="9" t="n">
        <f aca="false">IF(ISNUMBER(T245),T245*INDEX(LenF,MATCH($T$7,LenU,0)),IF(ISNUMBER(W245),W245*INDEX(LenF,MATCH($W$7,LenU,0))/PitchRatio,0))</f>
        <v>0</v>
      </c>
      <c r="AQ245" s="9" t="n">
        <f aca="false">IF(ISNUMBER(N245),PI()/4*(N245*INDEX(LenF,MATCH($N$7,LenU,0)))^2,IF(AND(ISNUMBER(S245),ISNUMBER(W245),X245&lt;&gt;""),S245*(W245*INDEX(LenF,MATCH($W$7,LenU,0)))^2*INDEX(LayoutF,MATCH(X245,LayoutU,0)),0))</f>
        <v>0</v>
      </c>
      <c r="AR245" s="9" t="n">
        <f aca="false">IF(ISNUMBER(O245),O245*INDEX(LenF,MATCH($O$7,LenU,0)),IF(ISNUMBER(V245),V245*INDEX(LenF,MATCH($V$7,LenU,0)),0))</f>
        <v>0</v>
      </c>
      <c r="AS245" s="9" t="str">
        <f aca="false">IF(ISNUMBER(L245),L245*INDEX(LenF,MATCH($L$7,LenU,0))*1000,IF(OR(J245="",K245=""),"",IFERROR(IF(INDEX(PipeWT,MATCH(J245,NPSU,0),MATCH(K245,SchU,0))="","Sch n/a",INDEX(PipeOD,MATCH(J245,NPSU,0))-2*INDEX(PipeWT,MATCH(J245,NPSU,0),MATCH(K245,SchU,0))),"")))</f>
        <v/>
      </c>
      <c r="AT245" s="9" t="n">
        <f aca="false">IF(ISNUMBER(AI245),AI245,IFERROR(INDEX(IF(JobType="Decontamination",TypeFillDC,TypeFillCC),MATCH(E245,TypeL,0)),1))</f>
        <v>1</v>
      </c>
      <c r="AU245" s="9" t="n">
        <v>8</v>
      </c>
    </row>
    <row r="246" customFormat="false" ht="15" hidden="false" customHeight="false" outlineLevel="0" collapsed="false">
      <c r="A246" s="16" t="n">
        <v>6</v>
      </c>
      <c r="B246" s="20"/>
      <c r="C246" s="5"/>
      <c r="D246" s="5"/>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1" t="str">
        <f aca="false">IF(E246="Exchanger",IF(AND(ISNUMBER(S246),ISNUMBER(U246),ISNUMBER(V246)),S246*PI()/4*(U246*INDEX(LenF,MATCH($U$7,LenU,0)))^2*V246*INDEX(LenF,MATCH($V$7,LenU,0)),0)+IF(ISNUMBER(Y246),PI()/4*(Y246*INDEX(LenF,MATCH($Y$7,LenU,0)))^2*N(Z246)*INDEX(LenF,MATCH($Z$7,LenU,0))+IF(AA246="",0,IF(AA246="Conical",PI()/12*(Y246*INDEX(LenF,MATCH($Y$7,LenU,0)))^2*(0),INDEX(HeadK,MATCH(AA246,HeadU,0))*(Y246*INDEX(LenF,MATCH($Y$7,LenU,0)))^3)),0)+IF(ISNUMBER(Y246),PI()/4*(Y246*INDEX(LenF,MATCH($Y$7,LenU,0)))^2*N(AB246)*INDEX(LenF,MATCH($AB$7,LenU,0))+IF(AC246="",0,IF(AC246="Conical",PI()/12*(Y246*INDEX(LenF,MATCH($Y$7,LenU,0)))^2*(0),INDEX(HeadK,MATCH(AC246,HeadU,0))*(Y246*INDEX(LenF,MATCH($Y$7,LenU,0)))^3)),0),"")</f>
        <v/>
      </c>
      <c r="AE246" s="21" t="str">
        <f aca="false">IF(OR(E246="",E246="Piping"),"",IF(E246="Exchanger",AQ246*AR246+IF(P246="",0,IF(P246="Conical",PI()/12*(SQRT(4*AQ246/PI()))^2*(0),INDEX(HeadK,MATCH(P246,HeadU,0))*(SQRT(4*AQ246/PI()))^3))-IF(AND(ISNUMBER(S246),ISNUMBER(V246)),S246*PI()/4*AP246^2*V246*INDEX(LenF,MATCH($V$7,LenU,0)),0),IF(ISNUMBER(N246),PI()/4*(N246*INDEX(LenF,MATCH($N$7,LenU,0)))^2*N(O246)*INDEX(LenF,MATCH($O$7,LenU,0))+IF(P246="",0,IF(P246="Conical",PI()/12*(N246*INDEX(LenF,MATCH($N$7,LenU,0)))^2*(N(R246)*INDEX(LenF,MATCH($R$7,LenU,0))),INDEX(HeadK,MATCH(P246,HeadU,0))*(N246*INDEX(LenF,MATCH($N$7,LenU,0)))^3))+IF(Q246="",0,IF(Q246="Conical",PI()/12*(N246*INDEX(LenF,MATCH($N$7,LenU,0)))^2*(N(R246)*INDEX(LenF,MATCH($R$7,LenU,0))),INDEX(HeadK,MATCH(Q246,HeadU,0))*(N246*INDEX(LenF,MATCH($N$7,LenU,0)))^3)),0)))</f>
        <v/>
      </c>
      <c r="AF246" s="21" t="str">
        <f aca="false">IF(E246&lt;&gt;"Piping","",IF(AND(ISNUMBER(AS246),ISNUMBER(M246)),PI()/4*(AS246/1000)^2*M246*INDEX(LenF,MATCH($M$7,LenU,0)),0))</f>
        <v/>
      </c>
      <c r="AG246" s="21" t="str">
        <f aca="false">IF(E246="","",N(AD246)+N(AE246)+N(AF246))</f>
        <v/>
      </c>
      <c r="AH246" s="21" t="str">
        <f aca="false">IF(ISNUMBER(I246),I246*INDEX(WtF,MATCH($I$7,WtU,0))/WaterRho,"")</f>
        <v/>
      </c>
      <c r="AI246" s="11"/>
      <c r="AJ246" s="11"/>
      <c r="AK246" s="20"/>
      <c r="AL246" s="11"/>
      <c r="AM246" s="21" t="str">
        <f aca="false">IF(AO246="","",AO246*IF(ISNUMBER(AK246),AK246,DefFills)*(1+IF(ISNUMBER(AL246),AL246,DefAllow)))</f>
        <v/>
      </c>
      <c r="AN246" s="22" t="str">
        <f aca="false">IF(G246="Given volume",IF(ISNUMBER(H246),H246*INDEX(VolF,MATCH($H$7,VolU,0)),""),IF(G246="Water weight",AH246,IF(N(AG246)=0,"",AG246)))</f>
        <v/>
      </c>
      <c r="AO246" s="22" t="str">
        <f aca="false">IF(N(AN246)=0,"",AN246*AT246*IF(ISNUMBER(AJ246),AJ246,DefCirc))</f>
        <v/>
      </c>
      <c r="AP246" s="9" t="n">
        <f aca="false">IF(ISNUMBER(T246),T246*INDEX(LenF,MATCH($T$7,LenU,0)),IF(ISNUMBER(W246),W246*INDEX(LenF,MATCH($W$7,LenU,0))/PitchRatio,0))</f>
        <v>0</v>
      </c>
      <c r="AQ246" s="9" t="n">
        <f aca="false">IF(ISNUMBER(N246),PI()/4*(N246*INDEX(LenF,MATCH($N$7,LenU,0)))^2,IF(AND(ISNUMBER(S246),ISNUMBER(W246),X246&lt;&gt;""),S246*(W246*INDEX(LenF,MATCH($W$7,LenU,0)))^2*INDEX(LayoutF,MATCH(X246,LayoutU,0)),0))</f>
        <v>0</v>
      </c>
      <c r="AR246" s="9" t="n">
        <f aca="false">IF(ISNUMBER(O246),O246*INDEX(LenF,MATCH($O$7,LenU,0)),IF(ISNUMBER(V246),V246*INDEX(LenF,MATCH($V$7,LenU,0)),0))</f>
        <v>0</v>
      </c>
      <c r="AS246" s="9" t="str">
        <f aca="false">IF(ISNUMBER(L246),L246*INDEX(LenF,MATCH($L$7,LenU,0))*1000,IF(OR(J246="",K246=""),"",IFERROR(IF(INDEX(PipeWT,MATCH(J246,NPSU,0),MATCH(K246,SchU,0))="","Sch n/a",INDEX(PipeOD,MATCH(J246,NPSU,0))-2*INDEX(PipeWT,MATCH(J246,NPSU,0),MATCH(K246,SchU,0))),"")))</f>
        <v/>
      </c>
      <c r="AT246" s="9" t="n">
        <f aca="false">IF(ISNUMBER(AI246),AI246,IFERROR(INDEX(IF(JobType="Decontamination",TypeFillDC,TypeFillCC),MATCH(E246,TypeL,0)),1))</f>
        <v>1</v>
      </c>
      <c r="AU246" s="9" t="n">
        <v>8</v>
      </c>
    </row>
    <row r="247" customFormat="false" ht="15" hidden="false" customHeight="false" outlineLevel="0" collapsed="false">
      <c r="A247" s="16" t="n">
        <v>7</v>
      </c>
      <c r="B247" s="20"/>
      <c r="C247" s="5"/>
      <c r="D247" s="5"/>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1" t="str">
        <f aca="false">IF(E247="Exchanger",IF(AND(ISNUMBER(S247),ISNUMBER(U247),ISNUMBER(V247)),S247*PI()/4*(U247*INDEX(LenF,MATCH($U$7,LenU,0)))^2*V247*INDEX(LenF,MATCH($V$7,LenU,0)),0)+IF(ISNUMBER(Y247),PI()/4*(Y247*INDEX(LenF,MATCH($Y$7,LenU,0)))^2*N(Z247)*INDEX(LenF,MATCH($Z$7,LenU,0))+IF(AA247="",0,IF(AA247="Conical",PI()/12*(Y247*INDEX(LenF,MATCH($Y$7,LenU,0)))^2*(0),INDEX(HeadK,MATCH(AA247,HeadU,0))*(Y247*INDEX(LenF,MATCH($Y$7,LenU,0)))^3)),0)+IF(ISNUMBER(Y247),PI()/4*(Y247*INDEX(LenF,MATCH($Y$7,LenU,0)))^2*N(AB247)*INDEX(LenF,MATCH($AB$7,LenU,0))+IF(AC247="",0,IF(AC247="Conical",PI()/12*(Y247*INDEX(LenF,MATCH($Y$7,LenU,0)))^2*(0),INDEX(HeadK,MATCH(AC247,HeadU,0))*(Y247*INDEX(LenF,MATCH($Y$7,LenU,0)))^3)),0),"")</f>
        <v/>
      </c>
      <c r="AE247" s="21" t="str">
        <f aca="false">IF(OR(E247="",E247="Piping"),"",IF(E247="Exchanger",AQ247*AR247+IF(P247="",0,IF(P247="Conical",PI()/12*(SQRT(4*AQ247/PI()))^2*(0),INDEX(HeadK,MATCH(P247,HeadU,0))*(SQRT(4*AQ247/PI()))^3))-IF(AND(ISNUMBER(S247),ISNUMBER(V247)),S247*PI()/4*AP247^2*V247*INDEX(LenF,MATCH($V$7,LenU,0)),0),IF(ISNUMBER(N247),PI()/4*(N247*INDEX(LenF,MATCH($N$7,LenU,0)))^2*N(O247)*INDEX(LenF,MATCH($O$7,LenU,0))+IF(P247="",0,IF(P247="Conical",PI()/12*(N247*INDEX(LenF,MATCH($N$7,LenU,0)))^2*(N(R247)*INDEX(LenF,MATCH($R$7,LenU,0))),INDEX(HeadK,MATCH(P247,HeadU,0))*(N247*INDEX(LenF,MATCH($N$7,LenU,0)))^3))+IF(Q247="",0,IF(Q247="Conical",PI()/12*(N247*INDEX(LenF,MATCH($N$7,LenU,0)))^2*(N(R247)*INDEX(LenF,MATCH($R$7,LenU,0))),INDEX(HeadK,MATCH(Q247,HeadU,0))*(N247*INDEX(LenF,MATCH($N$7,LenU,0)))^3)),0)))</f>
        <v/>
      </c>
      <c r="AF247" s="21" t="str">
        <f aca="false">IF(E247&lt;&gt;"Piping","",IF(AND(ISNUMBER(AS247),ISNUMBER(M247)),PI()/4*(AS247/1000)^2*M247*INDEX(LenF,MATCH($M$7,LenU,0)),0))</f>
        <v/>
      </c>
      <c r="AG247" s="21" t="str">
        <f aca="false">IF(E247="","",N(AD247)+N(AE247)+N(AF247))</f>
        <v/>
      </c>
      <c r="AH247" s="21" t="str">
        <f aca="false">IF(ISNUMBER(I247),I247*INDEX(WtF,MATCH($I$7,WtU,0))/WaterRho,"")</f>
        <v/>
      </c>
      <c r="AI247" s="11"/>
      <c r="AJ247" s="11"/>
      <c r="AK247" s="20"/>
      <c r="AL247" s="11"/>
      <c r="AM247" s="21" t="str">
        <f aca="false">IF(AO247="","",AO247*IF(ISNUMBER(AK247),AK247,DefFills)*(1+IF(ISNUMBER(AL247),AL247,DefAllow)))</f>
        <v/>
      </c>
      <c r="AN247" s="22" t="str">
        <f aca="false">IF(G247="Given volume",IF(ISNUMBER(H247),H247*INDEX(VolF,MATCH($H$7,VolU,0)),""),IF(G247="Water weight",AH247,IF(N(AG247)=0,"",AG247)))</f>
        <v/>
      </c>
      <c r="AO247" s="22" t="str">
        <f aca="false">IF(N(AN247)=0,"",AN247*AT247*IF(ISNUMBER(AJ247),AJ247,DefCirc))</f>
        <v/>
      </c>
      <c r="AP247" s="9" t="n">
        <f aca="false">IF(ISNUMBER(T247),T247*INDEX(LenF,MATCH($T$7,LenU,0)),IF(ISNUMBER(W247),W247*INDEX(LenF,MATCH($W$7,LenU,0))/PitchRatio,0))</f>
        <v>0</v>
      </c>
      <c r="AQ247" s="9" t="n">
        <f aca="false">IF(ISNUMBER(N247),PI()/4*(N247*INDEX(LenF,MATCH($N$7,LenU,0)))^2,IF(AND(ISNUMBER(S247),ISNUMBER(W247),X247&lt;&gt;""),S247*(W247*INDEX(LenF,MATCH($W$7,LenU,0)))^2*INDEX(LayoutF,MATCH(X247,LayoutU,0)),0))</f>
        <v>0</v>
      </c>
      <c r="AR247" s="9" t="n">
        <f aca="false">IF(ISNUMBER(O247),O247*INDEX(LenF,MATCH($O$7,LenU,0)),IF(ISNUMBER(V247),V247*INDEX(LenF,MATCH($V$7,LenU,0)),0))</f>
        <v>0</v>
      </c>
      <c r="AS247" s="9" t="str">
        <f aca="false">IF(ISNUMBER(L247),L247*INDEX(LenF,MATCH($L$7,LenU,0))*1000,IF(OR(J247="",K247=""),"",IFERROR(IF(INDEX(PipeWT,MATCH(J247,NPSU,0),MATCH(K247,SchU,0))="","Sch n/a",INDEX(PipeOD,MATCH(J247,NPSU,0))-2*INDEX(PipeWT,MATCH(J247,NPSU,0),MATCH(K247,SchU,0))),"")))</f>
        <v/>
      </c>
      <c r="AT247" s="9" t="n">
        <f aca="false">IF(ISNUMBER(AI247),AI247,IFERROR(INDEX(IF(JobType="Decontamination",TypeFillDC,TypeFillCC),MATCH(E247,TypeL,0)),1))</f>
        <v>1</v>
      </c>
      <c r="AU247" s="9" t="n">
        <v>8</v>
      </c>
    </row>
    <row r="248" customFormat="false" ht="15" hidden="false" customHeight="false" outlineLevel="0" collapsed="false">
      <c r="A248" s="16" t="n">
        <v>8</v>
      </c>
      <c r="B248" s="20"/>
      <c r="C248" s="5"/>
      <c r="D248" s="5"/>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1" t="str">
        <f aca="false">IF(E248="Exchanger",IF(AND(ISNUMBER(S248),ISNUMBER(U248),ISNUMBER(V248)),S248*PI()/4*(U248*INDEX(LenF,MATCH($U$7,LenU,0)))^2*V248*INDEX(LenF,MATCH($V$7,LenU,0)),0)+IF(ISNUMBER(Y248),PI()/4*(Y248*INDEX(LenF,MATCH($Y$7,LenU,0)))^2*N(Z248)*INDEX(LenF,MATCH($Z$7,LenU,0))+IF(AA248="",0,IF(AA248="Conical",PI()/12*(Y248*INDEX(LenF,MATCH($Y$7,LenU,0)))^2*(0),INDEX(HeadK,MATCH(AA248,HeadU,0))*(Y248*INDEX(LenF,MATCH($Y$7,LenU,0)))^3)),0)+IF(ISNUMBER(Y248),PI()/4*(Y248*INDEX(LenF,MATCH($Y$7,LenU,0)))^2*N(AB248)*INDEX(LenF,MATCH($AB$7,LenU,0))+IF(AC248="",0,IF(AC248="Conical",PI()/12*(Y248*INDEX(LenF,MATCH($Y$7,LenU,0)))^2*(0),INDEX(HeadK,MATCH(AC248,HeadU,0))*(Y248*INDEX(LenF,MATCH($Y$7,LenU,0)))^3)),0),"")</f>
        <v/>
      </c>
      <c r="AE248" s="21" t="str">
        <f aca="false">IF(OR(E248="",E248="Piping"),"",IF(E248="Exchanger",AQ248*AR248+IF(P248="",0,IF(P248="Conical",PI()/12*(SQRT(4*AQ248/PI()))^2*(0),INDEX(HeadK,MATCH(P248,HeadU,0))*(SQRT(4*AQ248/PI()))^3))-IF(AND(ISNUMBER(S248),ISNUMBER(V248)),S248*PI()/4*AP248^2*V248*INDEX(LenF,MATCH($V$7,LenU,0)),0),IF(ISNUMBER(N248),PI()/4*(N248*INDEX(LenF,MATCH($N$7,LenU,0)))^2*N(O248)*INDEX(LenF,MATCH($O$7,LenU,0))+IF(P248="",0,IF(P248="Conical",PI()/12*(N248*INDEX(LenF,MATCH($N$7,LenU,0)))^2*(N(R248)*INDEX(LenF,MATCH($R$7,LenU,0))),INDEX(HeadK,MATCH(P248,HeadU,0))*(N248*INDEX(LenF,MATCH($N$7,LenU,0)))^3))+IF(Q248="",0,IF(Q248="Conical",PI()/12*(N248*INDEX(LenF,MATCH($N$7,LenU,0)))^2*(N(R248)*INDEX(LenF,MATCH($R$7,LenU,0))),INDEX(HeadK,MATCH(Q248,HeadU,0))*(N248*INDEX(LenF,MATCH($N$7,LenU,0)))^3)),0)))</f>
        <v/>
      </c>
      <c r="AF248" s="21" t="str">
        <f aca="false">IF(E248&lt;&gt;"Piping","",IF(AND(ISNUMBER(AS248),ISNUMBER(M248)),PI()/4*(AS248/1000)^2*M248*INDEX(LenF,MATCH($M$7,LenU,0)),0))</f>
        <v/>
      </c>
      <c r="AG248" s="21" t="str">
        <f aca="false">IF(E248="","",N(AD248)+N(AE248)+N(AF248))</f>
        <v/>
      </c>
      <c r="AH248" s="21" t="str">
        <f aca="false">IF(ISNUMBER(I248),I248*INDEX(WtF,MATCH($I$7,WtU,0))/WaterRho,"")</f>
        <v/>
      </c>
      <c r="AI248" s="11"/>
      <c r="AJ248" s="11"/>
      <c r="AK248" s="20"/>
      <c r="AL248" s="11"/>
      <c r="AM248" s="21" t="str">
        <f aca="false">IF(AO248="","",AO248*IF(ISNUMBER(AK248),AK248,DefFills)*(1+IF(ISNUMBER(AL248),AL248,DefAllow)))</f>
        <v/>
      </c>
      <c r="AN248" s="22" t="str">
        <f aca="false">IF(G248="Given volume",IF(ISNUMBER(H248),H248*INDEX(VolF,MATCH($H$7,VolU,0)),""),IF(G248="Water weight",AH248,IF(N(AG248)=0,"",AG248)))</f>
        <v/>
      </c>
      <c r="AO248" s="22" t="str">
        <f aca="false">IF(N(AN248)=0,"",AN248*AT248*IF(ISNUMBER(AJ248),AJ248,DefCirc))</f>
        <v/>
      </c>
      <c r="AP248" s="9" t="n">
        <f aca="false">IF(ISNUMBER(T248),T248*INDEX(LenF,MATCH($T$7,LenU,0)),IF(ISNUMBER(W248),W248*INDEX(LenF,MATCH($W$7,LenU,0))/PitchRatio,0))</f>
        <v>0</v>
      </c>
      <c r="AQ248" s="9" t="n">
        <f aca="false">IF(ISNUMBER(N248),PI()/4*(N248*INDEX(LenF,MATCH($N$7,LenU,0)))^2,IF(AND(ISNUMBER(S248),ISNUMBER(W248),X248&lt;&gt;""),S248*(W248*INDEX(LenF,MATCH($W$7,LenU,0)))^2*INDEX(LayoutF,MATCH(X248,LayoutU,0)),0))</f>
        <v>0</v>
      </c>
      <c r="AR248" s="9" t="n">
        <f aca="false">IF(ISNUMBER(O248),O248*INDEX(LenF,MATCH($O$7,LenU,0)),IF(ISNUMBER(V248),V248*INDEX(LenF,MATCH($V$7,LenU,0)),0))</f>
        <v>0</v>
      </c>
      <c r="AS248" s="9" t="str">
        <f aca="false">IF(ISNUMBER(L248),L248*INDEX(LenF,MATCH($L$7,LenU,0))*1000,IF(OR(J248="",K248=""),"",IFERROR(IF(INDEX(PipeWT,MATCH(J248,NPSU,0),MATCH(K248,SchU,0))="","Sch n/a",INDEX(PipeOD,MATCH(J248,NPSU,0))-2*INDEX(PipeWT,MATCH(J248,NPSU,0),MATCH(K248,SchU,0))),"")))</f>
        <v/>
      </c>
      <c r="AT248" s="9" t="n">
        <f aca="false">IF(ISNUMBER(AI248),AI248,IFERROR(INDEX(IF(JobType="Decontamination",TypeFillDC,TypeFillCC),MATCH(E248,TypeL,0)),1))</f>
        <v>1</v>
      </c>
      <c r="AU248" s="9" t="n">
        <v>8</v>
      </c>
    </row>
    <row r="249" customFormat="false" ht="15" hidden="false" customHeight="false" outlineLevel="0" collapsed="false">
      <c r="A249" s="16" t="n">
        <v>9</v>
      </c>
      <c r="B249" s="20"/>
      <c r="C249" s="5"/>
      <c r="D249" s="5"/>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1" t="str">
        <f aca="false">IF(E249="Exchanger",IF(AND(ISNUMBER(S249),ISNUMBER(U249),ISNUMBER(V249)),S249*PI()/4*(U249*INDEX(LenF,MATCH($U$7,LenU,0)))^2*V249*INDEX(LenF,MATCH($V$7,LenU,0)),0)+IF(ISNUMBER(Y249),PI()/4*(Y249*INDEX(LenF,MATCH($Y$7,LenU,0)))^2*N(Z249)*INDEX(LenF,MATCH($Z$7,LenU,0))+IF(AA249="",0,IF(AA249="Conical",PI()/12*(Y249*INDEX(LenF,MATCH($Y$7,LenU,0)))^2*(0),INDEX(HeadK,MATCH(AA249,HeadU,0))*(Y249*INDEX(LenF,MATCH($Y$7,LenU,0)))^3)),0)+IF(ISNUMBER(Y249),PI()/4*(Y249*INDEX(LenF,MATCH($Y$7,LenU,0)))^2*N(AB249)*INDEX(LenF,MATCH($AB$7,LenU,0))+IF(AC249="",0,IF(AC249="Conical",PI()/12*(Y249*INDEX(LenF,MATCH($Y$7,LenU,0)))^2*(0),INDEX(HeadK,MATCH(AC249,HeadU,0))*(Y249*INDEX(LenF,MATCH($Y$7,LenU,0)))^3)),0),"")</f>
        <v/>
      </c>
      <c r="AE249" s="21" t="str">
        <f aca="false">IF(OR(E249="",E249="Piping"),"",IF(E249="Exchanger",AQ249*AR249+IF(P249="",0,IF(P249="Conical",PI()/12*(SQRT(4*AQ249/PI()))^2*(0),INDEX(HeadK,MATCH(P249,HeadU,0))*(SQRT(4*AQ249/PI()))^3))-IF(AND(ISNUMBER(S249),ISNUMBER(V249)),S249*PI()/4*AP249^2*V249*INDEX(LenF,MATCH($V$7,LenU,0)),0),IF(ISNUMBER(N249),PI()/4*(N249*INDEX(LenF,MATCH($N$7,LenU,0)))^2*N(O249)*INDEX(LenF,MATCH($O$7,LenU,0))+IF(P249="",0,IF(P249="Conical",PI()/12*(N249*INDEX(LenF,MATCH($N$7,LenU,0)))^2*(N(R249)*INDEX(LenF,MATCH($R$7,LenU,0))),INDEX(HeadK,MATCH(P249,HeadU,0))*(N249*INDEX(LenF,MATCH($N$7,LenU,0)))^3))+IF(Q249="",0,IF(Q249="Conical",PI()/12*(N249*INDEX(LenF,MATCH($N$7,LenU,0)))^2*(N(R249)*INDEX(LenF,MATCH($R$7,LenU,0))),INDEX(HeadK,MATCH(Q249,HeadU,0))*(N249*INDEX(LenF,MATCH($N$7,LenU,0)))^3)),0)))</f>
        <v/>
      </c>
      <c r="AF249" s="21" t="str">
        <f aca="false">IF(E249&lt;&gt;"Piping","",IF(AND(ISNUMBER(AS249),ISNUMBER(M249)),PI()/4*(AS249/1000)^2*M249*INDEX(LenF,MATCH($M$7,LenU,0)),0))</f>
        <v/>
      </c>
      <c r="AG249" s="21" t="str">
        <f aca="false">IF(E249="","",N(AD249)+N(AE249)+N(AF249))</f>
        <v/>
      </c>
      <c r="AH249" s="21" t="str">
        <f aca="false">IF(ISNUMBER(I249),I249*INDEX(WtF,MATCH($I$7,WtU,0))/WaterRho,"")</f>
        <v/>
      </c>
      <c r="AI249" s="11"/>
      <c r="AJ249" s="11"/>
      <c r="AK249" s="20"/>
      <c r="AL249" s="11"/>
      <c r="AM249" s="21" t="str">
        <f aca="false">IF(AO249="","",AO249*IF(ISNUMBER(AK249),AK249,DefFills)*(1+IF(ISNUMBER(AL249),AL249,DefAllow)))</f>
        <v/>
      </c>
      <c r="AN249" s="22" t="str">
        <f aca="false">IF(G249="Given volume",IF(ISNUMBER(H249),H249*INDEX(VolF,MATCH($H$7,VolU,0)),""),IF(G249="Water weight",AH249,IF(N(AG249)=0,"",AG249)))</f>
        <v/>
      </c>
      <c r="AO249" s="22" t="str">
        <f aca="false">IF(N(AN249)=0,"",AN249*AT249*IF(ISNUMBER(AJ249),AJ249,DefCirc))</f>
        <v/>
      </c>
      <c r="AP249" s="9" t="n">
        <f aca="false">IF(ISNUMBER(T249),T249*INDEX(LenF,MATCH($T$7,LenU,0)),IF(ISNUMBER(W249),W249*INDEX(LenF,MATCH($W$7,LenU,0))/PitchRatio,0))</f>
        <v>0</v>
      </c>
      <c r="AQ249" s="9" t="n">
        <f aca="false">IF(ISNUMBER(N249),PI()/4*(N249*INDEX(LenF,MATCH($N$7,LenU,0)))^2,IF(AND(ISNUMBER(S249),ISNUMBER(W249),X249&lt;&gt;""),S249*(W249*INDEX(LenF,MATCH($W$7,LenU,0)))^2*INDEX(LayoutF,MATCH(X249,LayoutU,0)),0))</f>
        <v>0</v>
      </c>
      <c r="AR249" s="9" t="n">
        <f aca="false">IF(ISNUMBER(O249),O249*INDEX(LenF,MATCH($O$7,LenU,0)),IF(ISNUMBER(V249),V249*INDEX(LenF,MATCH($V$7,LenU,0)),0))</f>
        <v>0</v>
      </c>
      <c r="AS249" s="9" t="str">
        <f aca="false">IF(ISNUMBER(L249),L249*INDEX(LenF,MATCH($L$7,LenU,0))*1000,IF(OR(J249="",K249=""),"",IFERROR(IF(INDEX(PipeWT,MATCH(J249,NPSU,0),MATCH(K249,SchU,0))="","Sch n/a",INDEX(PipeOD,MATCH(J249,NPSU,0))-2*INDEX(PipeWT,MATCH(J249,NPSU,0),MATCH(K249,SchU,0))),"")))</f>
        <v/>
      </c>
      <c r="AT249" s="9" t="n">
        <f aca="false">IF(ISNUMBER(AI249),AI249,IFERROR(INDEX(IF(JobType="Decontamination",TypeFillDC,TypeFillCC),MATCH(E249,TypeL,0)),1))</f>
        <v>1</v>
      </c>
      <c r="AU249" s="9" t="n">
        <v>8</v>
      </c>
    </row>
    <row r="250" customFormat="false" ht="15" hidden="false" customHeight="false" outlineLevel="0" collapsed="false">
      <c r="A250" s="16" t="n">
        <v>10</v>
      </c>
      <c r="B250" s="20"/>
      <c r="C250" s="5"/>
      <c r="D250" s="5"/>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1" t="str">
        <f aca="false">IF(E250="Exchanger",IF(AND(ISNUMBER(S250),ISNUMBER(U250),ISNUMBER(V250)),S250*PI()/4*(U250*INDEX(LenF,MATCH($U$7,LenU,0)))^2*V250*INDEX(LenF,MATCH($V$7,LenU,0)),0)+IF(ISNUMBER(Y250),PI()/4*(Y250*INDEX(LenF,MATCH($Y$7,LenU,0)))^2*N(Z250)*INDEX(LenF,MATCH($Z$7,LenU,0))+IF(AA250="",0,IF(AA250="Conical",PI()/12*(Y250*INDEX(LenF,MATCH($Y$7,LenU,0)))^2*(0),INDEX(HeadK,MATCH(AA250,HeadU,0))*(Y250*INDEX(LenF,MATCH($Y$7,LenU,0)))^3)),0)+IF(ISNUMBER(Y250),PI()/4*(Y250*INDEX(LenF,MATCH($Y$7,LenU,0)))^2*N(AB250)*INDEX(LenF,MATCH($AB$7,LenU,0))+IF(AC250="",0,IF(AC250="Conical",PI()/12*(Y250*INDEX(LenF,MATCH($Y$7,LenU,0)))^2*(0),INDEX(HeadK,MATCH(AC250,HeadU,0))*(Y250*INDEX(LenF,MATCH($Y$7,LenU,0)))^3)),0),"")</f>
        <v/>
      </c>
      <c r="AE250" s="21" t="str">
        <f aca="false">IF(OR(E250="",E250="Piping"),"",IF(E250="Exchanger",AQ250*AR250+IF(P250="",0,IF(P250="Conical",PI()/12*(SQRT(4*AQ250/PI()))^2*(0),INDEX(HeadK,MATCH(P250,HeadU,0))*(SQRT(4*AQ250/PI()))^3))-IF(AND(ISNUMBER(S250),ISNUMBER(V250)),S250*PI()/4*AP250^2*V250*INDEX(LenF,MATCH($V$7,LenU,0)),0),IF(ISNUMBER(N250),PI()/4*(N250*INDEX(LenF,MATCH($N$7,LenU,0)))^2*N(O250)*INDEX(LenF,MATCH($O$7,LenU,0))+IF(P250="",0,IF(P250="Conical",PI()/12*(N250*INDEX(LenF,MATCH($N$7,LenU,0)))^2*(N(R250)*INDEX(LenF,MATCH($R$7,LenU,0))),INDEX(HeadK,MATCH(P250,HeadU,0))*(N250*INDEX(LenF,MATCH($N$7,LenU,0)))^3))+IF(Q250="",0,IF(Q250="Conical",PI()/12*(N250*INDEX(LenF,MATCH($N$7,LenU,0)))^2*(N(R250)*INDEX(LenF,MATCH($R$7,LenU,0))),INDEX(HeadK,MATCH(Q250,HeadU,0))*(N250*INDEX(LenF,MATCH($N$7,LenU,0)))^3)),0)))</f>
        <v/>
      </c>
      <c r="AF250" s="21" t="str">
        <f aca="false">IF(E250&lt;&gt;"Piping","",IF(AND(ISNUMBER(AS250),ISNUMBER(M250)),PI()/4*(AS250/1000)^2*M250*INDEX(LenF,MATCH($M$7,LenU,0)),0))</f>
        <v/>
      </c>
      <c r="AG250" s="21" t="str">
        <f aca="false">IF(E250="","",N(AD250)+N(AE250)+N(AF250))</f>
        <v/>
      </c>
      <c r="AH250" s="21" t="str">
        <f aca="false">IF(ISNUMBER(I250),I250*INDEX(WtF,MATCH($I$7,WtU,0))/WaterRho,"")</f>
        <v/>
      </c>
      <c r="AI250" s="11"/>
      <c r="AJ250" s="11"/>
      <c r="AK250" s="20"/>
      <c r="AL250" s="11"/>
      <c r="AM250" s="21" t="str">
        <f aca="false">IF(AO250="","",AO250*IF(ISNUMBER(AK250),AK250,DefFills)*(1+IF(ISNUMBER(AL250),AL250,DefAllow)))</f>
        <v/>
      </c>
      <c r="AN250" s="22" t="str">
        <f aca="false">IF(G250="Given volume",IF(ISNUMBER(H250),H250*INDEX(VolF,MATCH($H$7,VolU,0)),""),IF(G250="Water weight",AH250,IF(N(AG250)=0,"",AG250)))</f>
        <v/>
      </c>
      <c r="AO250" s="22" t="str">
        <f aca="false">IF(N(AN250)=0,"",AN250*AT250*IF(ISNUMBER(AJ250),AJ250,DefCirc))</f>
        <v/>
      </c>
      <c r="AP250" s="9" t="n">
        <f aca="false">IF(ISNUMBER(T250),T250*INDEX(LenF,MATCH($T$7,LenU,0)),IF(ISNUMBER(W250),W250*INDEX(LenF,MATCH($W$7,LenU,0))/PitchRatio,0))</f>
        <v>0</v>
      </c>
      <c r="AQ250" s="9" t="n">
        <f aca="false">IF(ISNUMBER(N250),PI()/4*(N250*INDEX(LenF,MATCH($N$7,LenU,0)))^2,IF(AND(ISNUMBER(S250),ISNUMBER(W250),X250&lt;&gt;""),S250*(W250*INDEX(LenF,MATCH($W$7,LenU,0)))^2*INDEX(LayoutF,MATCH(X250,LayoutU,0)),0))</f>
        <v>0</v>
      </c>
      <c r="AR250" s="9" t="n">
        <f aca="false">IF(ISNUMBER(O250),O250*INDEX(LenF,MATCH($O$7,LenU,0)),IF(ISNUMBER(V250),V250*INDEX(LenF,MATCH($V$7,LenU,0)),0))</f>
        <v>0</v>
      </c>
      <c r="AS250" s="9" t="str">
        <f aca="false">IF(ISNUMBER(L250),L250*INDEX(LenF,MATCH($L$7,LenU,0))*1000,IF(OR(J250="",K250=""),"",IFERROR(IF(INDEX(PipeWT,MATCH(J250,NPSU,0),MATCH(K250,SchU,0))="","Sch n/a",INDEX(PipeOD,MATCH(J250,NPSU,0))-2*INDEX(PipeWT,MATCH(J250,NPSU,0),MATCH(K250,SchU,0))),"")))</f>
        <v/>
      </c>
      <c r="AT250" s="9" t="n">
        <f aca="false">IF(ISNUMBER(AI250),AI250,IFERROR(INDEX(IF(JobType="Decontamination",TypeFillDC,TypeFillCC),MATCH(E250,TypeL,0)),1))</f>
        <v>1</v>
      </c>
      <c r="AU250" s="9" t="n">
        <v>8</v>
      </c>
    </row>
    <row r="251" customFormat="false" ht="15" hidden="false" customHeight="false" outlineLevel="0" collapsed="false">
      <c r="A251" s="16" t="n">
        <v>11</v>
      </c>
      <c r="B251" s="20"/>
      <c r="C251" s="5"/>
      <c r="D251" s="5"/>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1" t="str">
        <f aca="false">IF(E251="Exchanger",IF(AND(ISNUMBER(S251),ISNUMBER(U251),ISNUMBER(V251)),S251*PI()/4*(U251*INDEX(LenF,MATCH($U$7,LenU,0)))^2*V251*INDEX(LenF,MATCH($V$7,LenU,0)),0)+IF(ISNUMBER(Y251),PI()/4*(Y251*INDEX(LenF,MATCH($Y$7,LenU,0)))^2*N(Z251)*INDEX(LenF,MATCH($Z$7,LenU,0))+IF(AA251="",0,IF(AA251="Conical",PI()/12*(Y251*INDEX(LenF,MATCH($Y$7,LenU,0)))^2*(0),INDEX(HeadK,MATCH(AA251,HeadU,0))*(Y251*INDEX(LenF,MATCH($Y$7,LenU,0)))^3)),0)+IF(ISNUMBER(Y251),PI()/4*(Y251*INDEX(LenF,MATCH($Y$7,LenU,0)))^2*N(AB251)*INDEX(LenF,MATCH($AB$7,LenU,0))+IF(AC251="",0,IF(AC251="Conical",PI()/12*(Y251*INDEX(LenF,MATCH($Y$7,LenU,0)))^2*(0),INDEX(HeadK,MATCH(AC251,HeadU,0))*(Y251*INDEX(LenF,MATCH($Y$7,LenU,0)))^3)),0),"")</f>
        <v/>
      </c>
      <c r="AE251" s="21" t="str">
        <f aca="false">IF(OR(E251="",E251="Piping"),"",IF(E251="Exchanger",AQ251*AR251+IF(P251="",0,IF(P251="Conical",PI()/12*(SQRT(4*AQ251/PI()))^2*(0),INDEX(HeadK,MATCH(P251,HeadU,0))*(SQRT(4*AQ251/PI()))^3))-IF(AND(ISNUMBER(S251),ISNUMBER(V251)),S251*PI()/4*AP251^2*V251*INDEX(LenF,MATCH($V$7,LenU,0)),0),IF(ISNUMBER(N251),PI()/4*(N251*INDEX(LenF,MATCH($N$7,LenU,0)))^2*N(O251)*INDEX(LenF,MATCH($O$7,LenU,0))+IF(P251="",0,IF(P251="Conical",PI()/12*(N251*INDEX(LenF,MATCH($N$7,LenU,0)))^2*(N(R251)*INDEX(LenF,MATCH($R$7,LenU,0))),INDEX(HeadK,MATCH(P251,HeadU,0))*(N251*INDEX(LenF,MATCH($N$7,LenU,0)))^3))+IF(Q251="",0,IF(Q251="Conical",PI()/12*(N251*INDEX(LenF,MATCH($N$7,LenU,0)))^2*(N(R251)*INDEX(LenF,MATCH($R$7,LenU,0))),INDEX(HeadK,MATCH(Q251,HeadU,0))*(N251*INDEX(LenF,MATCH($N$7,LenU,0)))^3)),0)))</f>
        <v/>
      </c>
      <c r="AF251" s="21" t="str">
        <f aca="false">IF(E251&lt;&gt;"Piping","",IF(AND(ISNUMBER(AS251),ISNUMBER(M251)),PI()/4*(AS251/1000)^2*M251*INDEX(LenF,MATCH($M$7,LenU,0)),0))</f>
        <v/>
      </c>
      <c r="AG251" s="21" t="str">
        <f aca="false">IF(E251="","",N(AD251)+N(AE251)+N(AF251))</f>
        <v/>
      </c>
      <c r="AH251" s="21" t="str">
        <f aca="false">IF(ISNUMBER(I251),I251*INDEX(WtF,MATCH($I$7,WtU,0))/WaterRho,"")</f>
        <v/>
      </c>
      <c r="AI251" s="11"/>
      <c r="AJ251" s="11"/>
      <c r="AK251" s="20"/>
      <c r="AL251" s="11"/>
      <c r="AM251" s="21" t="str">
        <f aca="false">IF(AO251="","",AO251*IF(ISNUMBER(AK251),AK251,DefFills)*(1+IF(ISNUMBER(AL251),AL251,DefAllow)))</f>
        <v/>
      </c>
      <c r="AN251" s="22" t="str">
        <f aca="false">IF(G251="Given volume",IF(ISNUMBER(H251),H251*INDEX(VolF,MATCH($H$7,VolU,0)),""),IF(G251="Water weight",AH251,IF(N(AG251)=0,"",AG251)))</f>
        <v/>
      </c>
      <c r="AO251" s="22" t="str">
        <f aca="false">IF(N(AN251)=0,"",AN251*AT251*IF(ISNUMBER(AJ251),AJ251,DefCirc))</f>
        <v/>
      </c>
      <c r="AP251" s="9" t="n">
        <f aca="false">IF(ISNUMBER(T251),T251*INDEX(LenF,MATCH($T$7,LenU,0)),IF(ISNUMBER(W251),W251*INDEX(LenF,MATCH($W$7,LenU,0))/PitchRatio,0))</f>
        <v>0</v>
      </c>
      <c r="AQ251" s="9" t="n">
        <f aca="false">IF(ISNUMBER(N251),PI()/4*(N251*INDEX(LenF,MATCH($N$7,LenU,0)))^2,IF(AND(ISNUMBER(S251),ISNUMBER(W251),X251&lt;&gt;""),S251*(W251*INDEX(LenF,MATCH($W$7,LenU,0)))^2*INDEX(LayoutF,MATCH(X251,LayoutU,0)),0))</f>
        <v>0</v>
      </c>
      <c r="AR251" s="9" t="n">
        <f aca="false">IF(ISNUMBER(O251),O251*INDEX(LenF,MATCH($O$7,LenU,0)),IF(ISNUMBER(V251),V251*INDEX(LenF,MATCH($V$7,LenU,0)),0))</f>
        <v>0</v>
      </c>
      <c r="AS251" s="9" t="str">
        <f aca="false">IF(ISNUMBER(L251),L251*INDEX(LenF,MATCH($L$7,LenU,0))*1000,IF(OR(J251="",K251=""),"",IFERROR(IF(INDEX(PipeWT,MATCH(J251,NPSU,0),MATCH(K251,SchU,0))="","Sch n/a",INDEX(PipeOD,MATCH(J251,NPSU,0))-2*INDEX(PipeWT,MATCH(J251,NPSU,0),MATCH(K251,SchU,0))),"")))</f>
        <v/>
      </c>
      <c r="AT251" s="9" t="n">
        <f aca="false">IF(ISNUMBER(AI251),AI251,IFERROR(INDEX(IF(JobType="Decontamination",TypeFillDC,TypeFillCC),MATCH(E251,TypeL,0)),1))</f>
        <v>1</v>
      </c>
      <c r="AU251" s="9" t="n">
        <v>8</v>
      </c>
    </row>
    <row r="252" customFormat="false" ht="15" hidden="false" customHeight="false" outlineLevel="0" collapsed="false">
      <c r="A252" s="16" t="n">
        <v>12</v>
      </c>
      <c r="B252" s="20"/>
      <c r="C252" s="5"/>
      <c r="D252" s="5"/>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1" t="str">
        <f aca="false">IF(E252="Exchanger",IF(AND(ISNUMBER(S252),ISNUMBER(U252),ISNUMBER(V252)),S252*PI()/4*(U252*INDEX(LenF,MATCH($U$7,LenU,0)))^2*V252*INDEX(LenF,MATCH($V$7,LenU,0)),0)+IF(ISNUMBER(Y252),PI()/4*(Y252*INDEX(LenF,MATCH($Y$7,LenU,0)))^2*N(Z252)*INDEX(LenF,MATCH($Z$7,LenU,0))+IF(AA252="",0,IF(AA252="Conical",PI()/12*(Y252*INDEX(LenF,MATCH($Y$7,LenU,0)))^2*(0),INDEX(HeadK,MATCH(AA252,HeadU,0))*(Y252*INDEX(LenF,MATCH($Y$7,LenU,0)))^3)),0)+IF(ISNUMBER(Y252),PI()/4*(Y252*INDEX(LenF,MATCH($Y$7,LenU,0)))^2*N(AB252)*INDEX(LenF,MATCH($AB$7,LenU,0))+IF(AC252="",0,IF(AC252="Conical",PI()/12*(Y252*INDEX(LenF,MATCH($Y$7,LenU,0)))^2*(0),INDEX(HeadK,MATCH(AC252,HeadU,0))*(Y252*INDEX(LenF,MATCH($Y$7,LenU,0)))^3)),0),"")</f>
        <v/>
      </c>
      <c r="AE252" s="21" t="str">
        <f aca="false">IF(OR(E252="",E252="Piping"),"",IF(E252="Exchanger",AQ252*AR252+IF(P252="",0,IF(P252="Conical",PI()/12*(SQRT(4*AQ252/PI()))^2*(0),INDEX(HeadK,MATCH(P252,HeadU,0))*(SQRT(4*AQ252/PI()))^3))-IF(AND(ISNUMBER(S252),ISNUMBER(V252)),S252*PI()/4*AP252^2*V252*INDEX(LenF,MATCH($V$7,LenU,0)),0),IF(ISNUMBER(N252),PI()/4*(N252*INDEX(LenF,MATCH($N$7,LenU,0)))^2*N(O252)*INDEX(LenF,MATCH($O$7,LenU,0))+IF(P252="",0,IF(P252="Conical",PI()/12*(N252*INDEX(LenF,MATCH($N$7,LenU,0)))^2*(N(R252)*INDEX(LenF,MATCH($R$7,LenU,0))),INDEX(HeadK,MATCH(P252,HeadU,0))*(N252*INDEX(LenF,MATCH($N$7,LenU,0)))^3))+IF(Q252="",0,IF(Q252="Conical",PI()/12*(N252*INDEX(LenF,MATCH($N$7,LenU,0)))^2*(N(R252)*INDEX(LenF,MATCH($R$7,LenU,0))),INDEX(HeadK,MATCH(Q252,HeadU,0))*(N252*INDEX(LenF,MATCH($N$7,LenU,0)))^3)),0)))</f>
        <v/>
      </c>
      <c r="AF252" s="21" t="str">
        <f aca="false">IF(E252&lt;&gt;"Piping","",IF(AND(ISNUMBER(AS252),ISNUMBER(M252)),PI()/4*(AS252/1000)^2*M252*INDEX(LenF,MATCH($M$7,LenU,0)),0))</f>
        <v/>
      </c>
      <c r="AG252" s="21" t="str">
        <f aca="false">IF(E252="","",N(AD252)+N(AE252)+N(AF252))</f>
        <v/>
      </c>
      <c r="AH252" s="21" t="str">
        <f aca="false">IF(ISNUMBER(I252),I252*INDEX(WtF,MATCH($I$7,WtU,0))/WaterRho,"")</f>
        <v/>
      </c>
      <c r="AI252" s="11"/>
      <c r="AJ252" s="11"/>
      <c r="AK252" s="20"/>
      <c r="AL252" s="11"/>
      <c r="AM252" s="21" t="str">
        <f aca="false">IF(AO252="","",AO252*IF(ISNUMBER(AK252),AK252,DefFills)*(1+IF(ISNUMBER(AL252),AL252,DefAllow)))</f>
        <v/>
      </c>
      <c r="AN252" s="22" t="str">
        <f aca="false">IF(G252="Given volume",IF(ISNUMBER(H252),H252*INDEX(VolF,MATCH($H$7,VolU,0)),""),IF(G252="Water weight",AH252,IF(N(AG252)=0,"",AG252)))</f>
        <v/>
      </c>
      <c r="AO252" s="22" t="str">
        <f aca="false">IF(N(AN252)=0,"",AN252*AT252*IF(ISNUMBER(AJ252),AJ252,DefCirc))</f>
        <v/>
      </c>
      <c r="AP252" s="9" t="n">
        <f aca="false">IF(ISNUMBER(T252),T252*INDEX(LenF,MATCH($T$7,LenU,0)),IF(ISNUMBER(W252),W252*INDEX(LenF,MATCH($W$7,LenU,0))/PitchRatio,0))</f>
        <v>0</v>
      </c>
      <c r="AQ252" s="9" t="n">
        <f aca="false">IF(ISNUMBER(N252),PI()/4*(N252*INDEX(LenF,MATCH($N$7,LenU,0)))^2,IF(AND(ISNUMBER(S252),ISNUMBER(W252),X252&lt;&gt;""),S252*(W252*INDEX(LenF,MATCH($W$7,LenU,0)))^2*INDEX(LayoutF,MATCH(X252,LayoutU,0)),0))</f>
        <v>0</v>
      </c>
      <c r="AR252" s="9" t="n">
        <f aca="false">IF(ISNUMBER(O252),O252*INDEX(LenF,MATCH($O$7,LenU,0)),IF(ISNUMBER(V252),V252*INDEX(LenF,MATCH($V$7,LenU,0)),0))</f>
        <v>0</v>
      </c>
      <c r="AS252" s="9" t="str">
        <f aca="false">IF(ISNUMBER(L252),L252*INDEX(LenF,MATCH($L$7,LenU,0))*1000,IF(OR(J252="",K252=""),"",IFERROR(IF(INDEX(PipeWT,MATCH(J252,NPSU,0),MATCH(K252,SchU,0))="","Sch n/a",INDEX(PipeOD,MATCH(J252,NPSU,0))-2*INDEX(PipeWT,MATCH(J252,NPSU,0),MATCH(K252,SchU,0))),"")))</f>
        <v/>
      </c>
      <c r="AT252" s="9" t="n">
        <f aca="false">IF(ISNUMBER(AI252),AI252,IFERROR(INDEX(IF(JobType="Decontamination",TypeFillDC,TypeFillCC),MATCH(E252,TypeL,0)),1))</f>
        <v>1</v>
      </c>
      <c r="AU252" s="9" t="n">
        <v>8</v>
      </c>
    </row>
    <row r="253" customFormat="false" ht="15" hidden="false" customHeight="false" outlineLevel="0" collapsed="false">
      <c r="A253" s="16" t="n">
        <v>13</v>
      </c>
      <c r="B253" s="20"/>
      <c r="C253" s="5"/>
      <c r="D253" s="5"/>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1" t="str">
        <f aca="false">IF(E253="Exchanger",IF(AND(ISNUMBER(S253),ISNUMBER(U253),ISNUMBER(V253)),S253*PI()/4*(U253*INDEX(LenF,MATCH($U$7,LenU,0)))^2*V253*INDEX(LenF,MATCH($V$7,LenU,0)),0)+IF(ISNUMBER(Y253),PI()/4*(Y253*INDEX(LenF,MATCH($Y$7,LenU,0)))^2*N(Z253)*INDEX(LenF,MATCH($Z$7,LenU,0))+IF(AA253="",0,IF(AA253="Conical",PI()/12*(Y253*INDEX(LenF,MATCH($Y$7,LenU,0)))^2*(0),INDEX(HeadK,MATCH(AA253,HeadU,0))*(Y253*INDEX(LenF,MATCH($Y$7,LenU,0)))^3)),0)+IF(ISNUMBER(Y253),PI()/4*(Y253*INDEX(LenF,MATCH($Y$7,LenU,0)))^2*N(AB253)*INDEX(LenF,MATCH($AB$7,LenU,0))+IF(AC253="",0,IF(AC253="Conical",PI()/12*(Y253*INDEX(LenF,MATCH($Y$7,LenU,0)))^2*(0),INDEX(HeadK,MATCH(AC253,HeadU,0))*(Y253*INDEX(LenF,MATCH($Y$7,LenU,0)))^3)),0),"")</f>
        <v/>
      </c>
      <c r="AE253" s="21" t="str">
        <f aca="false">IF(OR(E253="",E253="Piping"),"",IF(E253="Exchanger",AQ253*AR253+IF(P253="",0,IF(P253="Conical",PI()/12*(SQRT(4*AQ253/PI()))^2*(0),INDEX(HeadK,MATCH(P253,HeadU,0))*(SQRT(4*AQ253/PI()))^3))-IF(AND(ISNUMBER(S253),ISNUMBER(V253)),S253*PI()/4*AP253^2*V253*INDEX(LenF,MATCH($V$7,LenU,0)),0),IF(ISNUMBER(N253),PI()/4*(N253*INDEX(LenF,MATCH($N$7,LenU,0)))^2*N(O253)*INDEX(LenF,MATCH($O$7,LenU,0))+IF(P253="",0,IF(P253="Conical",PI()/12*(N253*INDEX(LenF,MATCH($N$7,LenU,0)))^2*(N(R253)*INDEX(LenF,MATCH($R$7,LenU,0))),INDEX(HeadK,MATCH(P253,HeadU,0))*(N253*INDEX(LenF,MATCH($N$7,LenU,0)))^3))+IF(Q253="",0,IF(Q253="Conical",PI()/12*(N253*INDEX(LenF,MATCH($N$7,LenU,0)))^2*(N(R253)*INDEX(LenF,MATCH($R$7,LenU,0))),INDEX(HeadK,MATCH(Q253,HeadU,0))*(N253*INDEX(LenF,MATCH($N$7,LenU,0)))^3)),0)))</f>
        <v/>
      </c>
      <c r="AF253" s="21" t="str">
        <f aca="false">IF(E253&lt;&gt;"Piping","",IF(AND(ISNUMBER(AS253),ISNUMBER(M253)),PI()/4*(AS253/1000)^2*M253*INDEX(LenF,MATCH($M$7,LenU,0)),0))</f>
        <v/>
      </c>
      <c r="AG253" s="21" t="str">
        <f aca="false">IF(E253="","",N(AD253)+N(AE253)+N(AF253))</f>
        <v/>
      </c>
      <c r="AH253" s="21" t="str">
        <f aca="false">IF(ISNUMBER(I253),I253*INDEX(WtF,MATCH($I$7,WtU,0))/WaterRho,"")</f>
        <v/>
      </c>
      <c r="AI253" s="11"/>
      <c r="AJ253" s="11"/>
      <c r="AK253" s="20"/>
      <c r="AL253" s="11"/>
      <c r="AM253" s="21" t="str">
        <f aca="false">IF(AO253="","",AO253*IF(ISNUMBER(AK253),AK253,DefFills)*(1+IF(ISNUMBER(AL253),AL253,DefAllow)))</f>
        <v/>
      </c>
      <c r="AN253" s="22" t="str">
        <f aca="false">IF(G253="Given volume",IF(ISNUMBER(H253),H253*INDEX(VolF,MATCH($H$7,VolU,0)),""),IF(G253="Water weight",AH253,IF(N(AG253)=0,"",AG253)))</f>
        <v/>
      </c>
      <c r="AO253" s="22" t="str">
        <f aca="false">IF(N(AN253)=0,"",AN253*AT253*IF(ISNUMBER(AJ253),AJ253,DefCirc))</f>
        <v/>
      </c>
      <c r="AP253" s="9" t="n">
        <f aca="false">IF(ISNUMBER(T253),T253*INDEX(LenF,MATCH($T$7,LenU,0)),IF(ISNUMBER(W253),W253*INDEX(LenF,MATCH($W$7,LenU,0))/PitchRatio,0))</f>
        <v>0</v>
      </c>
      <c r="AQ253" s="9" t="n">
        <f aca="false">IF(ISNUMBER(N253),PI()/4*(N253*INDEX(LenF,MATCH($N$7,LenU,0)))^2,IF(AND(ISNUMBER(S253),ISNUMBER(W253),X253&lt;&gt;""),S253*(W253*INDEX(LenF,MATCH($W$7,LenU,0)))^2*INDEX(LayoutF,MATCH(X253,LayoutU,0)),0))</f>
        <v>0</v>
      </c>
      <c r="AR253" s="9" t="n">
        <f aca="false">IF(ISNUMBER(O253),O253*INDEX(LenF,MATCH($O$7,LenU,0)),IF(ISNUMBER(V253),V253*INDEX(LenF,MATCH($V$7,LenU,0)),0))</f>
        <v>0</v>
      </c>
      <c r="AS253" s="9" t="str">
        <f aca="false">IF(ISNUMBER(L253),L253*INDEX(LenF,MATCH($L$7,LenU,0))*1000,IF(OR(J253="",K253=""),"",IFERROR(IF(INDEX(PipeWT,MATCH(J253,NPSU,0),MATCH(K253,SchU,0))="","Sch n/a",INDEX(PipeOD,MATCH(J253,NPSU,0))-2*INDEX(PipeWT,MATCH(J253,NPSU,0),MATCH(K253,SchU,0))),"")))</f>
        <v/>
      </c>
      <c r="AT253" s="9" t="n">
        <f aca="false">IF(ISNUMBER(AI253),AI253,IFERROR(INDEX(IF(JobType="Decontamination",TypeFillDC,TypeFillCC),MATCH(E253,TypeL,0)),1))</f>
        <v>1</v>
      </c>
      <c r="AU253" s="9" t="n">
        <v>8</v>
      </c>
    </row>
    <row r="254" customFormat="false" ht="15" hidden="false" customHeight="false" outlineLevel="0" collapsed="false">
      <c r="A254" s="16" t="n">
        <v>14</v>
      </c>
      <c r="B254" s="20"/>
      <c r="C254" s="5"/>
      <c r="D254" s="5"/>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1" t="str">
        <f aca="false">IF(E254="Exchanger",IF(AND(ISNUMBER(S254),ISNUMBER(U254),ISNUMBER(V254)),S254*PI()/4*(U254*INDEX(LenF,MATCH($U$7,LenU,0)))^2*V254*INDEX(LenF,MATCH($V$7,LenU,0)),0)+IF(ISNUMBER(Y254),PI()/4*(Y254*INDEX(LenF,MATCH($Y$7,LenU,0)))^2*N(Z254)*INDEX(LenF,MATCH($Z$7,LenU,0))+IF(AA254="",0,IF(AA254="Conical",PI()/12*(Y254*INDEX(LenF,MATCH($Y$7,LenU,0)))^2*(0),INDEX(HeadK,MATCH(AA254,HeadU,0))*(Y254*INDEX(LenF,MATCH($Y$7,LenU,0)))^3)),0)+IF(ISNUMBER(Y254),PI()/4*(Y254*INDEX(LenF,MATCH($Y$7,LenU,0)))^2*N(AB254)*INDEX(LenF,MATCH($AB$7,LenU,0))+IF(AC254="",0,IF(AC254="Conical",PI()/12*(Y254*INDEX(LenF,MATCH($Y$7,LenU,0)))^2*(0),INDEX(HeadK,MATCH(AC254,HeadU,0))*(Y254*INDEX(LenF,MATCH($Y$7,LenU,0)))^3)),0),"")</f>
        <v/>
      </c>
      <c r="AE254" s="21" t="str">
        <f aca="false">IF(OR(E254="",E254="Piping"),"",IF(E254="Exchanger",AQ254*AR254+IF(P254="",0,IF(P254="Conical",PI()/12*(SQRT(4*AQ254/PI()))^2*(0),INDEX(HeadK,MATCH(P254,HeadU,0))*(SQRT(4*AQ254/PI()))^3))-IF(AND(ISNUMBER(S254),ISNUMBER(V254)),S254*PI()/4*AP254^2*V254*INDEX(LenF,MATCH($V$7,LenU,0)),0),IF(ISNUMBER(N254),PI()/4*(N254*INDEX(LenF,MATCH($N$7,LenU,0)))^2*N(O254)*INDEX(LenF,MATCH($O$7,LenU,0))+IF(P254="",0,IF(P254="Conical",PI()/12*(N254*INDEX(LenF,MATCH($N$7,LenU,0)))^2*(N(R254)*INDEX(LenF,MATCH($R$7,LenU,0))),INDEX(HeadK,MATCH(P254,HeadU,0))*(N254*INDEX(LenF,MATCH($N$7,LenU,0)))^3))+IF(Q254="",0,IF(Q254="Conical",PI()/12*(N254*INDEX(LenF,MATCH($N$7,LenU,0)))^2*(N(R254)*INDEX(LenF,MATCH($R$7,LenU,0))),INDEX(HeadK,MATCH(Q254,HeadU,0))*(N254*INDEX(LenF,MATCH($N$7,LenU,0)))^3)),0)))</f>
        <v/>
      </c>
      <c r="AF254" s="21" t="str">
        <f aca="false">IF(E254&lt;&gt;"Piping","",IF(AND(ISNUMBER(AS254),ISNUMBER(M254)),PI()/4*(AS254/1000)^2*M254*INDEX(LenF,MATCH($M$7,LenU,0)),0))</f>
        <v/>
      </c>
      <c r="AG254" s="21" t="str">
        <f aca="false">IF(E254="","",N(AD254)+N(AE254)+N(AF254))</f>
        <v/>
      </c>
      <c r="AH254" s="21" t="str">
        <f aca="false">IF(ISNUMBER(I254),I254*INDEX(WtF,MATCH($I$7,WtU,0))/WaterRho,"")</f>
        <v/>
      </c>
      <c r="AI254" s="11"/>
      <c r="AJ254" s="11"/>
      <c r="AK254" s="20"/>
      <c r="AL254" s="11"/>
      <c r="AM254" s="21" t="str">
        <f aca="false">IF(AO254="","",AO254*IF(ISNUMBER(AK254),AK254,DefFills)*(1+IF(ISNUMBER(AL254),AL254,DefAllow)))</f>
        <v/>
      </c>
      <c r="AN254" s="22" t="str">
        <f aca="false">IF(G254="Given volume",IF(ISNUMBER(H254),H254*INDEX(VolF,MATCH($H$7,VolU,0)),""),IF(G254="Water weight",AH254,IF(N(AG254)=0,"",AG254)))</f>
        <v/>
      </c>
      <c r="AO254" s="22" t="str">
        <f aca="false">IF(N(AN254)=0,"",AN254*AT254*IF(ISNUMBER(AJ254),AJ254,DefCirc))</f>
        <v/>
      </c>
      <c r="AP254" s="9" t="n">
        <f aca="false">IF(ISNUMBER(T254),T254*INDEX(LenF,MATCH($T$7,LenU,0)),IF(ISNUMBER(W254),W254*INDEX(LenF,MATCH($W$7,LenU,0))/PitchRatio,0))</f>
        <v>0</v>
      </c>
      <c r="AQ254" s="9" t="n">
        <f aca="false">IF(ISNUMBER(N254),PI()/4*(N254*INDEX(LenF,MATCH($N$7,LenU,0)))^2,IF(AND(ISNUMBER(S254),ISNUMBER(W254),X254&lt;&gt;""),S254*(W254*INDEX(LenF,MATCH($W$7,LenU,0)))^2*INDEX(LayoutF,MATCH(X254,LayoutU,0)),0))</f>
        <v>0</v>
      </c>
      <c r="AR254" s="9" t="n">
        <f aca="false">IF(ISNUMBER(O254),O254*INDEX(LenF,MATCH($O$7,LenU,0)),IF(ISNUMBER(V254),V254*INDEX(LenF,MATCH($V$7,LenU,0)),0))</f>
        <v>0</v>
      </c>
      <c r="AS254" s="9" t="str">
        <f aca="false">IF(ISNUMBER(L254),L254*INDEX(LenF,MATCH($L$7,LenU,0))*1000,IF(OR(J254="",K254=""),"",IFERROR(IF(INDEX(PipeWT,MATCH(J254,NPSU,0),MATCH(K254,SchU,0))="","Sch n/a",INDEX(PipeOD,MATCH(J254,NPSU,0))-2*INDEX(PipeWT,MATCH(J254,NPSU,0),MATCH(K254,SchU,0))),"")))</f>
        <v/>
      </c>
      <c r="AT254" s="9" t="n">
        <f aca="false">IF(ISNUMBER(AI254),AI254,IFERROR(INDEX(IF(JobType="Decontamination",TypeFillDC,TypeFillCC),MATCH(E254,TypeL,0)),1))</f>
        <v>1</v>
      </c>
      <c r="AU254" s="9" t="n">
        <v>8</v>
      </c>
    </row>
    <row r="255" customFormat="false" ht="15" hidden="false" customHeight="false" outlineLevel="0" collapsed="false">
      <c r="A255" s="16" t="n">
        <v>15</v>
      </c>
      <c r="B255" s="20"/>
      <c r="C255" s="5"/>
      <c r="D255" s="5"/>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1" t="str">
        <f aca="false">IF(E255="Exchanger",IF(AND(ISNUMBER(S255),ISNUMBER(U255),ISNUMBER(V255)),S255*PI()/4*(U255*INDEX(LenF,MATCH($U$7,LenU,0)))^2*V255*INDEX(LenF,MATCH($V$7,LenU,0)),0)+IF(ISNUMBER(Y255),PI()/4*(Y255*INDEX(LenF,MATCH($Y$7,LenU,0)))^2*N(Z255)*INDEX(LenF,MATCH($Z$7,LenU,0))+IF(AA255="",0,IF(AA255="Conical",PI()/12*(Y255*INDEX(LenF,MATCH($Y$7,LenU,0)))^2*(0),INDEX(HeadK,MATCH(AA255,HeadU,0))*(Y255*INDEX(LenF,MATCH($Y$7,LenU,0)))^3)),0)+IF(ISNUMBER(Y255),PI()/4*(Y255*INDEX(LenF,MATCH($Y$7,LenU,0)))^2*N(AB255)*INDEX(LenF,MATCH($AB$7,LenU,0))+IF(AC255="",0,IF(AC255="Conical",PI()/12*(Y255*INDEX(LenF,MATCH($Y$7,LenU,0)))^2*(0),INDEX(HeadK,MATCH(AC255,HeadU,0))*(Y255*INDEX(LenF,MATCH($Y$7,LenU,0)))^3)),0),"")</f>
        <v/>
      </c>
      <c r="AE255" s="21" t="str">
        <f aca="false">IF(OR(E255="",E255="Piping"),"",IF(E255="Exchanger",AQ255*AR255+IF(P255="",0,IF(P255="Conical",PI()/12*(SQRT(4*AQ255/PI()))^2*(0),INDEX(HeadK,MATCH(P255,HeadU,0))*(SQRT(4*AQ255/PI()))^3))-IF(AND(ISNUMBER(S255),ISNUMBER(V255)),S255*PI()/4*AP255^2*V255*INDEX(LenF,MATCH($V$7,LenU,0)),0),IF(ISNUMBER(N255),PI()/4*(N255*INDEX(LenF,MATCH($N$7,LenU,0)))^2*N(O255)*INDEX(LenF,MATCH($O$7,LenU,0))+IF(P255="",0,IF(P255="Conical",PI()/12*(N255*INDEX(LenF,MATCH($N$7,LenU,0)))^2*(N(R255)*INDEX(LenF,MATCH($R$7,LenU,0))),INDEX(HeadK,MATCH(P255,HeadU,0))*(N255*INDEX(LenF,MATCH($N$7,LenU,0)))^3))+IF(Q255="",0,IF(Q255="Conical",PI()/12*(N255*INDEX(LenF,MATCH($N$7,LenU,0)))^2*(N(R255)*INDEX(LenF,MATCH($R$7,LenU,0))),INDEX(HeadK,MATCH(Q255,HeadU,0))*(N255*INDEX(LenF,MATCH($N$7,LenU,0)))^3)),0)))</f>
        <v/>
      </c>
      <c r="AF255" s="21" t="str">
        <f aca="false">IF(E255&lt;&gt;"Piping","",IF(AND(ISNUMBER(AS255),ISNUMBER(M255)),PI()/4*(AS255/1000)^2*M255*INDEX(LenF,MATCH($M$7,LenU,0)),0))</f>
        <v/>
      </c>
      <c r="AG255" s="21" t="str">
        <f aca="false">IF(E255="","",N(AD255)+N(AE255)+N(AF255))</f>
        <v/>
      </c>
      <c r="AH255" s="21" t="str">
        <f aca="false">IF(ISNUMBER(I255),I255*INDEX(WtF,MATCH($I$7,WtU,0))/WaterRho,"")</f>
        <v/>
      </c>
      <c r="AI255" s="11"/>
      <c r="AJ255" s="11"/>
      <c r="AK255" s="20"/>
      <c r="AL255" s="11"/>
      <c r="AM255" s="21" t="str">
        <f aca="false">IF(AO255="","",AO255*IF(ISNUMBER(AK255),AK255,DefFills)*(1+IF(ISNUMBER(AL255),AL255,DefAllow)))</f>
        <v/>
      </c>
      <c r="AN255" s="22" t="str">
        <f aca="false">IF(G255="Given volume",IF(ISNUMBER(H255),H255*INDEX(VolF,MATCH($H$7,VolU,0)),""),IF(G255="Water weight",AH255,IF(N(AG255)=0,"",AG255)))</f>
        <v/>
      </c>
      <c r="AO255" s="22" t="str">
        <f aca="false">IF(N(AN255)=0,"",AN255*AT255*IF(ISNUMBER(AJ255),AJ255,DefCirc))</f>
        <v/>
      </c>
      <c r="AP255" s="9" t="n">
        <f aca="false">IF(ISNUMBER(T255),T255*INDEX(LenF,MATCH($T$7,LenU,0)),IF(ISNUMBER(W255),W255*INDEX(LenF,MATCH($W$7,LenU,0))/PitchRatio,0))</f>
        <v>0</v>
      </c>
      <c r="AQ255" s="9" t="n">
        <f aca="false">IF(ISNUMBER(N255),PI()/4*(N255*INDEX(LenF,MATCH($N$7,LenU,0)))^2,IF(AND(ISNUMBER(S255),ISNUMBER(W255),X255&lt;&gt;""),S255*(W255*INDEX(LenF,MATCH($W$7,LenU,0)))^2*INDEX(LayoutF,MATCH(X255,LayoutU,0)),0))</f>
        <v>0</v>
      </c>
      <c r="AR255" s="9" t="n">
        <f aca="false">IF(ISNUMBER(O255),O255*INDEX(LenF,MATCH($O$7,LenU,0)),IF(ISNUMBER(V255),V255*INDEX(LenF,MATCH($V$7,LenU,0)),0))</f>
        <v>0</v>
      </c>
      <c r="AS255" s="9" t="str">
        <f aca="false">IF(ISNUMBER(L255),L255*INDEX(LenF,MATCH($L$7,LenU,0))*1000,IF(OR(J255="",K255=""),"",IFERROR(IF(INDEX(PipeWT,MATCH(J255,NPSU,0),MATCH(K255,SchU,0))="","Sch n/a",INDEX(PipeOD,MATCH(J255,NPSU,0))-2*INDEX(PipeWT,MATCH(J255,NPSU,0),MATCH(K255,SchU,0))),"")))</f>
        <v/>
      </c>
      <c r="AT255" s="9" t="n">
        <f aca="false">IF(ISNUMBER(AI255),AI255,IFERROR(INDEX(IF(JobType="Decontamination",TypeFillDC,TypeFillCC),MATCH(E255,TypeL,0)),1))</f>
        <v>1</v>
      </c>
      <c r="AU255" s="9" t="n">
        <v>8</v>
      </c>
    </row>
    <row r="256" customFormat="false" ht="15" hidden="false" customHeight="false" outlineLevel="0" collapsed="false">
      <c r="A256" s="16" t="n">
        <v>16</v>
      </c>
      <c r="B256" s="20"/>
      <c r="C256" s="5"/>
      <c r="D256" s="5"/>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1" t="str">
        <f aca="false">IF(E256="Exchanger",IF(AND(ISNUMBER(S256),ISNUMBER(U256),ISNUMBER(V256)),S256*PI()/4*(U256*INDEX(LenF,MATCH($U$7,LenU,0)))^2*V256*INDEX(LenF,MATCH($V$7,LenU,0)),0)+IF(ISNUMBER(Y256),PI()/4*(Y256*INDEX(LenF,MATCH($Y$7,LenU,0)))^2*N(Z256)*INDEX(LenF,MATCH($Z$7,LenU,0))+IF(AA256="",0,IF(AA256="Conical",PI()/12*(Y256*INDEX(LenF,MATCH($Y$7,LenU,0)))^2*(0),INDEX(HeadK,MATCH(AA256,HeadU,0))*(Y256*INDEX(LenF,MATCH($Y$7,LenU,0)))^3)),0)+IF(ISNUMBER(Y256),PI()/4*(Y256*INDEX(LenF,MATCH($Y$7,LenU,0)))^2*N(AB256)*INDEX(LenF,MATCH($AB$7,LenU,0))+IF(AC256="",0,IF(AC256="Conical",PI()/12*(Y256*INDEX(LenF,MATCH($Y$7,LenU,0)))^2*(0),INDEX(HeadK,MATCH(AC256,HeadU,0))*(Y256*INDEX(LenF,MATCH($Y$7,LenU,0)))^3)),0),"")</f>
        <v/>
      </c>
      <c r="AE256" s="21" t="str">
        <f aca="false">IF(OR(E256="",E256="Piping"),"",IF(E256="Exchanger",AQ256*AR256+IF(P256="",0,IF(P256="Conical",PI()/12*(SQRT(4*AQ256/PI()))^2*(0),INDEX(HeadK,MATCH(P256,HeadU,0))*(SQRT(4*AQ256/PI()))^3))-IF(AND(ISNUMBER(S256),ISNUMBER(V256)),S256*PI()/4*AP256^2*V256*INDEX(LenF,MATCH($V$7,LenU,0)),0),IF(ISNUMBER(N256),PI()/4*(N256*INDEX(LenF,MATCH($N$7,LenU,0)))^2*N(O256)*INDEX(LenF,MATCH($O$7,LenU,0))+IF(P256="",0,IF(P256="Conical",PI()/12*(N256*INDEX(LenF,MATCH($N$7,LenU,0)))^2*(N(R256)*INDEX(LenF,MATCH($R$7,LenU,0))),INDEX(HeadK,MATCH(P256,HeadU,0))*(N256*INDEX(LenF,MATCH($N$7,LenU,0)))^3))+IF(Q256="",0,IF(Q256="Conical",PI()/12*(N256*INDEX(LenF,MATCH($N$7,LenU,0)))^2*(N(R256)*INDEX(LenF,MATCH($R$7,LenU,0))),INDEX(HeadK,MATCH(Q256,HeadU,0))*(N256*INDEX(LenF,MATCH($N$7,LenU,0)))^3)),0)))</f>
        <v/>
      </c>
      <c r="AF256" s="21" t="str">
        <f aca="false">IF(E256&lt;&gt;"Piping","",IF(AND(ISNUMBER(AS256),ISNUMBER(M256)),PI()/4*(AS256/1000)^2*M256*INDEX(LenF,MATCH($M$7,LenU,0)),0))</f>
        <v/>
      </c>
      <c r="AG256" s="21" t="str">
        <f aca="false">IF(E256="","",N(AD256)+N(AE256)+N(AF256))</f>
        <v/>
      </c>
      <c r="AH256" s="21" t="str">
        <f aca="false">IF(ISNUMBER(I256),I256*INDEX(WtF,MATCH($I$7,WtU,0))/WaterRho,"")</f>
        <v/>
      </c>
      <c r="AI256" s="11"/>
      <c r="AJ256" s="11"/>
      <c r="AK256" s="20"/>
      <c r="AL256" s="11"/>
      <c r="AM256" s="21" t="str">
        <f aca="false">IF(AO256="","",AO256*IF(ISNUMBER(AK256),AK256,DefFills)*(1+IF(ISNUMBER(AL256),AL256,DefAllow)))</f>
        <v/>
      </c>
      <c r="AN256" s="22" t="str">
        <f aca="false">IF(G256="Given volume",IF(ISNUMBER(H256),H256*INDEX(VolF,MATCH($H$7,VolU,0)),""),IF(G256="Water weight",AH256,IF(N(AG256)=0,"",AG256)))</f>
        <v/>
      </c>
      <c r="AO256" s="22" t="str">
        <f aca="false">IF(N(AN256)=0,"",AN256*AT256*IF(ISNUMBER(AJ256),AJ256,DefCirc))</f>
        <v/>
      </c>
      <c r="AP256" s="9" t="n">
        <f aca="false">IF(ISNUMBER(T256),T256*INDEX(LenF,MATCH($T$7,LenU,0)),IF(ISNUMBER(W256),W256*INDEX(LenF,MATCH($W$7,LenU,0))/PitchRatio,0))</f>
        <v>0</v>
      </c>
      <c r="AQ256" s="9" t="n">
        <f aca="false">IF(ISNUMBER(N256),PI()/4*(N256*INDEX(LenF,MATCH($N$7,LenU,0)))^2,IF(AND(ISNUMBER(S256),ISNUMBER(W256),X256&lt;&gt;""),S256*(W256*INDEX(LenF,MATCH($W$7,LenU,0)))^2*INDEX(LayoutF,MATCH(X256,LayoutU,0)),0))</f>
        <v>0</v>
      </c>
      <c r="AR256" s="9" t="n">
        <f aca="false">IF(ISNUMBER(O256),O256*INDEX(LenF,MATCH($O$7,LenU,0)),IF(ISNUMBER(V256),V256*INDEX(LenF,MATCH($V$7,LenU,0)),0))</f>
        <v>0</v>
      </c>
      <c r="AS256" s="9" t="str">
        <f aca="false">IF(ISNUMBER(L256),L256*INDEX(LenF,MATCH($L$7,LenU,0))*1000,IF(OR(J256="",K256=""),"",IFERROR(IF(INDEX(PipeWT,MATCH(J256,NPSU,0),MATCH(K256,SchU,0))="","Sch n/a",INDEX(PipeOD,MATCH(J256,NPSU,0))-2*INDEX(PipeWT,MATCH(J256,NPSU,0),MATCH(K256,SchU,0))),"")))</f>
        <v/>
      </c>
      <c r="AT256" s="9" t="n">
        <f aca="false">IF(ISNUMBER(AI256),AI256,IFERROR(INDEX(IF(JobType="Decontamination",TypeFillDC,TypeFillCC),MATCH(E256,TypeL,0)),1))</f>
        <v>1</v>
      </c>
      <c r="AU256" s="9" t="n">
        <v>8</v>
      </c>
    </row>
    <row r="257" customFormat="false" ht="15" hidden="false" customHeight="false" outlineLevel="0" collapsed="false">
      <c r="A257" s="16" t="n">
        <v>17</v>
      </c>
      <c r="B257" s="20"/>
      <c r="C257" s="5"/>
      <c r="D257" s="5"/>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1" t="str">
        <f aca="false">IF(E257="Exchanger",IF(AND(ISNUMBER(S257),ISNUMBER(U257),ISNUMBER(V257)),S257*PI()/4*(U257*INDEX(LenF,MATCH($U$7,LenU,0)))^2*V257*INDEX(LenF,MATCH($V$7,LenU,0)),0)+IF(ISNUMBER(Y257),PI()/4*(Y257*INDEX(LenF,MATCH($Y$7,LenU,0)))^2*N(Z257)*INDEX(LenF,MATCH($Z$7,LenU,0))+IF(AA257="",0,IF(AA257="Conical",PI()/12*(Y257*INDEX(LenF,MATCH($Y$7,LenU,0)))^2*(0),INDEX(HeadK,MATCH(AA257,HeadU,0))*(Y257*INDEX(LenF,MATCH($Y$7,LenU,0)))^3)),0)+IF(ISNUMBER(Y257),PI()/4*(Y257*INDEX(LenF,MATCH($Y$7,LenU,0)))^2*N(AB257)*INDEX(LenF,MATCH($AB$7,LenU,0))+IF(AC257="",0,IF(AC257="Conical",PI()/12*(Y257*INDEX(LenF,MATCH($Y$7,LenU,0)))^2*(0),INDEX(HeadK,MATCH(AC257,HeadU,0))*(Y257*INDEX(LenF,MATCH($Y$7,LenU,0)))^3)),0),"")</f>
        <v/>
      </c>
      <c r="AE257" s="21" t="str">
        <f aca="false">IF(OR(E257="",E257="Piping"),"",IF(E257="Exchanger",AQ257*AR257+IF(P257="",0,IF(P257="Conical",PI()/12*(SQRT(4*AQ257/PI()))^2*(0),INDEX(HeadK,MATCH(P257,HeadU,0))*(SQRT(4*AQ257/PI()))^3))-IF(AND(ISNUMBER(S257),ISNUMBER(V257)),S257*PI()/4*AP257^2*V257*INDEX(LenF,MATCH($V$7,LenU,0)),0),IF(ISNUMBER(N257),PI()/4*(N257*INDEX(LenF,MATCH($N$7,LenU,0)))^2*N(O257)*INDEX(LenF,MATCH($O$7,LenU,0))+IF(P257="",0,IF(P257="Conical",PI()/12*(N257*INDEX(LenF,MATCH($N$7,LenU,0)))^2*(N(R257)*INDEX(LenF,MATCH($R$7,LenU,0))),INDEX(HeadK,MATCH(P257,HeadU,0))*(N257*INDEX(LenF,MATCH($N$7,LenU,0)))^3))+IF(Q257="",0,IF(Q257="Conical",PI()/12*(N257*INDEX(LenF,MATCH($N$7,LenU,0)))^2*(N(R257)*INDEX(LenF,MATCH($R$7,LenU,0))),INDEX(HeadK,MATCH(Q257,HeadU,0))*(N257*INDEX(LenF,MATCH($N$7,LenU,0)))^3)),0)))</f>
        <v/>
      </c>
      <c r="AF257" s="21" t="str">
        <f aca="false">IF(E257&lt;&gt;"Piping","",IF(AND(ISNUMBER(AS257),ISNUMBER(M257)),PI()/4*(AS257/1000)^2*M257*INDEX(LenF,MATCH($M$7,LenU,0)),0))</f>
        <v/>
      </c>
      <c r="AG257" s="21" t="str">
        <f aca="false">IF(E257="","",N(AD257)+N(AE257)+N(AF257))</f>
        <v/>
      </c>
      <c r="AH257" s="21" t="str">
        <f aca="false">IF(ISNUMBER(I257),I257*INDEX(WtF,MATCH($I$7,WtU,0))/WaterRho,"")</f>
        <v/>
      </c>
      <c r="AI257" s="11"/>
      <c r="AJ257" s="11"/>
      <c r="AK257" s="20"/>
      <c r="AL257" s="11"/>
      <c r="AM257" s="21" t="str">
        <f aca="false">IF(AO257="","",AO257*IF(ISNUMBER(AK257),AK257,DefFills)*(1+IF(ISNUMBER(AL257),AL257,DefAllow)))</f>
        <v/>
      </c>
      <c r="AN257" s="22" t="str">
        <f aca="false">IF(G257="Given volume",IF(ISNUMBER(H257),H257*INDEX(VolF,MATCH($H$7,VolU,0)),""),IF(G257="Water weight",AH257,IF(N(AG257)=0,"",AG257)))</f>
        <v/>
      </c>
      <c r="AO257" s="22" t="str">
        <f aca="false">IF(N(AN257)=0,"",AN257*AT257*IF(ISNUMBER(AJ257),AJ257,DefCirc))</f>
        <v/>
      </c>
      <c r="AP257" s="9" t="n">
        <f aca="false">IF(ISNUMBER(T257),T257*INDEX(LenF,MATCH($T$7,LenU,0)),IF(ISNUMBER(W257),W257*INDEX(LenF,MATCH($W$7,LenU,0))/PitchRatio,0))</f>
        <v>0</v>
      </c>
      <c r="AQ257" s="9" t="n">
        <f aca="false">IF(ISNUMBER(N257),PI()/4*(N257*INDEX(LenF,MATCH($N$7,LenU,0)))^2,IF(AND(ISNUMBER(S257),ISNUMBER(W257),X257&lt;&gt;""),S257*(W257*INDEX(LenF,MATCH($W$7,LenU,0)))^2*INDEX(LayoutF,MATCH(X257,LayoutU,0)),0))</f>
        <v>0</v>
      </c>
      <c r="AR257" s="9" t="n">
        <f aca="false">IF(ISNUMBER(O257),O257*INDEX(LenF,MATCH($O$7,LenU,0)),IF(ISNUMBER(V257),V257*INDEX(LenF,MATCH($V$7,LenU,0)),0))</f>
        <v>0</v>
      </c>
      <c r="AS257" s="9" t="str">
        <f aca="false">IF(ISNUMBER(L257),L257*INDEX(LenF,MATCH($L$7,LenU,0))*1000,IF(OR(J257="",K257=""),"",IFERROR(IF(INDEX(PipeWT,MATCH(J257,NPSU,0),MATCH(K257,SchU,0))="","Sch n/a",INDEX(PipeOD,MATCH(J257,NPSU,0))-2*INDEX(PipeWT,MATCH(J257,NPSU,0),MATCH(K257,SchU,0))),"")))</f>
        <v/>
      </c>
      <c r="AT257" s="9" t="n">
        <f aca="false">IF(ISNUMBER(AI257),AI257,IFERROR(INDEX(IF(JobType="Decontamination",TypeFillDC,TypeFillCC),MATCH(E257,TypeL,0)),1))</f>
        <v>1</v>
      </c>
      <c r="AU257" s="9" t="n">
        <v>8</v>
      </c>
    </row>
    <row r="258" customFormat="false" ht="15" hidden="false" customHeight="false" outlineLevel="0" collapsed="false">
      <c r="A258" s="16" t="n">
        <v>18</v>
      </c>
      <c r="B258" s="20"/>
      <c r="C258" s="5"/>
      <c r="D258" s="5"/>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1" t="str">
        <f aca="false">IF(E258="Exchanger",IF(AND(ISNUMBER(S258),ISNUMBER(U258),ISNUMBER(V258)),S258*PI()/4*(U258*INDEX(LenF,MATCH($U$7,LenU,0)))^2*V258*INDEX(LenF,MATCH($V$7,LenU,0)),0)+IF(ISNUMBER(Y258),PI()/4*(Y258*INDEX(LenF,MATCH($Y$7,LenU,0)))^2*N(Z258)*INDEX(LenF,MATCH($Z$7,LenU,0))+IF(AA258="",0,IF(AA258="Conical",PI()/12*(Y258*INDEX(LenF,MATCH($Y$7,LenU,0)))^2*(0),INDEX(HeadK,MATCH(AA258,HeadU,0))*(Y258*INDEX(LenF,MATCH($Y$7,LenU,0)))^3)),0)+IF(ISNUMBER(Y258),PI()/4*(Y258*INDEX(LenF,MATCH($Y$7,LenU,0)))^2*N(AB258)*INDEX(LenF,MATCH($AB$7,LenU,0))+IF(AC258="",0,IF(AC258="Conical",PI()/12*(Y258*INDEX(LenF,MATCH($Y$7,LenU,0)))^2*(0),INDEX(HeadK,MATCH(AC258,HeadU,0))*(Y258*INDEX(LenF,MATCH($Y$7,LenU,0)))^3)),0),"")</f>
        <v/>
      </c>
      <c r="AE258" s="21" t="str">
        <f aca="false">IF(OR(E258="",E258="Piping"),"",IF(E258="Exchanger",AQ258*AR258+IF(P258="",0,IF(P258="Conical",PI()/12*(SQRT(4*AQ258/PI()))^2*(0),INDEX(HeadK,MATCH(P258,HeadU,0))*(SQRT(4*AQ258/PI()))^3))-IF(AND(ISNUMBER(S258),ISNUMBER(V258)),S258*PI()/4*AP258^2*V258*INDEX(LenF,MATCH($V$7,LenU,0)),0),IF(ISNUMBER(N258),PI()/4*(N258*INDEX(LenF,MATCH($N$7,LenU,0)))^2*N(O258)*INDEX(LenF,MATCH($O$7,LenU,0))+IF(P258="",0,IF(P258="Conical",PI()/12*(N258*INDEX(LenF,MATCH($N$7,LenU,0)))^2*(N(R258)*INDEX(LenF,MATCH($R$7,LenU,0))),INDEX(HeadK,MATCH(P258,HeadU,0))*(N258*INDEX(LenF,MATCH($N$7,LenU,0)))^3))+IF(Q258="",0,IF(Q258="Conical",PI()/12*(N258*INDEX(LenF,MATCH($N$7,LenU,0)))^2*(N(R258)*INDEX(LenF,MATCH($R$7,LenU,0))),INDEX(HeadK,MATCH(Q258,HeadU,0))*(N258*INDEX(LenF,MATCH($N$7,LenU,0)))^3)),0)))</f>
        <v/>
      </c>
      <c r="AF258" s="21" t="str">
        <f aca="false">IF(E258&lt;&gt;"Piping","",IF(AND(ISNUMBER(AS258),ISNUMBER(M258)),PI()/4*(AS258/1000)^2*M258*INDEX(LenF,MATCH($M$7,LenU,0)),0))</f>
        <v/>
      </c>
      <c r="AG258" s="21" t="str">
        <f aca="false">IF(E258="","",N(AD258)+N(AE258)+N(AF258))</f>
        <v/>
      </c>
      <c r="AH258" s="21" t="str">
        <f aca="false">IF(ISNUMBER(I258),I258*INDEX(WtF,MATCH($I$7,WtU,0))/WaterRho,"")</f>
        <v/>
      </c>
      <c r="AI258" s="11"/>
      <c r="AJ258" s="11"/>
      <c r="AK258" s="20"/>
      <c r="AL258" s="11"/>
      <c r="AM258" s="21" t="str">
        <f aca="false">IF(AO258="","",AO258*IF(ISNUMBER(AK258),AK258,DefFills)*(1+IF(ISNUMBER(AL258),AL258,DefAllow)))</f>
        <v/>
      </c>
      <c r="AN258" s="22" t="str">
        <f aca="false">IF(G258="Given volume",IF(ISNUMBER(H258),H258*INDEX(VolF,MATCH($H$7,VolU,0)),""),IF(G258="Water weight",AH258,IF(N(AG258)=0,"",AG258)))</f>
        <v/>
      </c>
      <c r="AO258" s="22" t="str">
        <f aca="false">IF(N(AN258)=0,"",AN258*AT258*IF(ISNUMBER(AJ258),AJ258,DefCirc))</f>
        <v/>
      </c>
      <c r="AP258" s="9" t="n">
        <f aca="false">IF(ISNUMBER(T258),T258*INDEX(LenF,MATCH($T$7,LenU,0)),IF(ISNUMBER(W258),W258*INDEX(LenF,MATCH($W$7,LenU,0))/PitchRatio,0))</f>
        <v>0</v>
      </c>
      <c r="AQ258" s="9" t="n">
        <f aca="false">IF(ISNUMBER(N258),PI()/4*(N258*INDEX(LenF,MATCH($N$7,LenU,0)))^2,IF(AND(ISNUMBER(S258),ISNUMBER(W258),X258&lt;&gt;""),S258*(W258*INDEX(LenF,MATCH($W$7,LenU,0)))^2*INDEX(LayoutF,MATCH(X258,LayoutU,0)),0))</f>
        <v>0</v>
      </c>
      <c r="AR258" s="9" t="n">
        <f aca="false">IF(ISNUMBER(O258),O258*INDEX(LenF,MATCH($O$7,LenU,0)),IF(ISNUMBER(V258),V258*INDEX(LenF,MATCH($V$7,LenU,0)),0))</f>
        <v>0</v>
      </c>
      <c r="AS258" s="9" t="str">
        <f aca="false">IF(ISNUMBER(L258),L258*INDEX(LenF,MATCH($L$7,LenU,0))*1000,IF(OR(J258="",K258=""),"",IFERROR(IF(INDEX(PipeWT,MATCH(J258,NPSU,0),MATCH(K258,SchU,0))="","Sch n/a",INDEX(PipeOD,MATCH(J258,NPSU,0))-2*INDEX(PipeWT,MATCH(J258,NPSU,0),MATCH(K258,SchU,0))),"")))</f>
        <v/>
      </c>
      <c r="AT258" s="9" t="n">
        <f aca="false">IF(ISNUMBER(AI258),AI258,IFERROR(INDEX(IF(JobType="Decontamination",TypeFillDC,TypeFillCC),MATCH(E258,TypeL,0)),1))</f>
        <v>1</v>
      </c>
      <c r="AU258" s="9" t="n">
        <v>8</v>
      </c>
    </row>
    <row r="259" customFormat="false" ht="15" hidden="false" customHeight="false" outlineLevel="0" collapsed="false">
      <c r="A259" s="16" t="n">
        <v>19</v>
      </c>
      <c r="B259" s="20"/>
      <c r="C259" s="5"/>
      <c r="D259" s="5"/>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1" t="str">
        <f aca="false">IF(E259="Exchanger",IF(AND(ISNUMBER(S259),ISNUMBER(U259),ISNUMBER(V259)),S259*PI()/4*(U259*INDEX(LenF,MATCH($U$7,LenU,0)))^2*V259*INDEX(LenF,MATCH($V$7,LenU,0)),0)+IF(ISNUMBER(Y259),PI()/4*(Y259*INDEX(LenF,MATCH($Y$7,LenU,0)))^2*N(Z259)*INDEX(LenF,MATCH($Z$7,LenU,0))+IF(AA259="",0,IF(AA259="Conical",PI()/12*(Y259*INDEX(LenF,MATCH($Y$7,LenU,0)))^2*(0),INDEX(HeadK,MATCH(AA259,HeadU,0))*(Y259*INDEX(LenF,MATCH($Y$7,LenU,0)))^3)),0)+IF(ISNUMBER(Y259),PI()/4*(Y259*INDEX(LenF,MATCH($Y$7,LenU,0)))^2*N(AB259)*INDEX(LenF,MATCH($AB$7,LenU,0))+IF(AC259="",0,IF(AC259="Conical",PI()/12*(Y259*INDEX(LenF,MATCH($Y$7,LenU,0)))^2*(0),INDEX(HeadK,MATCH(AC259,HeadU,0))*(Y259*INDEX(LenF,MATCH($Y$7,LenU,0)))^3)),0),"")</f>
        <v/>
      </c>
      <c r="AE259" s="21" t="str">
        <f aca="false">IF(OR(E259="",E259="Piping"),"",IF(E259="Exchanger",AQ259*AR259+IF(P259="",0,IF(P259="Conical",PI()/12*(SQRT(4*AQ259/PI()))^2*(0),INDEX(HeadK,MATCH(P259,HeadU,0))*(SQRT(4*AQ259/PI()))^3))-IF(AND(ISNUMBER(S259),ISNUMBER(V259)),S259*PI()/4*AP259^2*V259*INDEX(LenF,MATCH($V$7,LenU,0)),0),IF(ISNUMBER(N259),PI()/4*(N259*INDEX(LenF,MATCH($N$7,LenU,0)))^2*N(O259)*INDEX(LenF,MATCH($O$7,LenU,0))+IF(P259="",0,IF(P259="Conical",PI()/12*(N259*INDEX(LenF,MATCH($N$7,LenU,0)))^2*(N(R259)*INDEX(LenF,MATCH($R$7,LenU,0))),INDEX(HeadK,MATCH(P259,HeadU,0))*(N259*INDEX(LenF,MATCH($N$7,LenU,0)))^3))+IF(Q259="",0,IF(Q259="Conical",PI()/12*(N259*INDEX(LenF,MATCH($N$7,LenU,0)))^2*(N(R259)*INDEX(LenF,MATCH($R$7,LenU,0))),INDEX(HeadK,MATCH(Q259,HeadU,0))*(N259*INDEX(LenF,MATCH($N$7,LenU,0)))^3)),0)))</f>
        <v/>
      </c>
      <c r="AF259" s="21" t="str">
        <f aca="false">IF(E259&lt;&gt;"Piping","",IF(AND(ISNUMBER(AS259),ISNUMBER(M259)),PI()/4*(AS259/1000)^2*M259*INDEX(LenF,MATCH($M$7,LenU,0)),0))</f>
        <v/>
      </c>
      <c r="AG259" s="21" t="str">
        <f aca="false">IF(E259="","",N(AD259)+N(AE259)+N(AF259))</f>
        <v/>
      </c>
      <c r="AH259" s="21" t="str">
        <f aca="false">IF(ISNUMBER(I259),I259*INDEX(WtF,MATCH($I$7,WtU,0))/WaterRho,"")</f>
        <v/>
      </c>
      <c r="AI259" s="11"/>
      <c r="AJ259" s="11"/>
      <c r="AK259" s="20"/>
      <c r="AL259" s="11"/>
      <c r="AM259" s="21" t="str">
        <f aca="false">IF(AO259="","",AO259*IF(ISNUMBER(AK259),AK259,DefFills)*(1+IF(ISNUMBER(AL259),AL259,DefAllow)))</f>
        <v/>
      </c>
      <c r="AN259" s="22" t="str">
        <f aca="false">IF(G259="Given volume",IF(ISNUMBER(H259),H259*INDEX(VolF,MATCH($H$7,VolU,0)),""),IF(G259="Water weight",AH259,IF(N(AG259)=0,"",AG259)))</f>
        <v/>
      </c>
      <c r="AO259" s="22" t="str">
        <f aca="false">IF(N(AN259)=0,"",AN259*AT259*IF(ISNUMBER(AJ259),AJ259,DefCirc))</f>
        <v/>
      </c>
      <c r="AP259" s="9" t="n">
        <f aca="false">IF(ISNUMBER(T259),T259*INDEX(LenF,MATCH($T$7,LenU,0)),IF(ISNUMBER(W259),W259*INDEX(LenF,MATCH($W$7,LenU,0))/PitchRatio,0))</f>
        <v>0</v>
      </c>
      <c r="AQ259" s="9" t="n">
        <f aca="false">IF(ISNUMBER(N259),PI()/4*(N259*INDEX(LenF,MATCH($N$7,LenU,0)))^2,IF(AND(ISNUMBER(S259),ISNUMBER(W259),X259&lt;&gt;""),S259*(W259*INDEX(LenF,MATCH($W$7,LenU,0)))^2*INDEX(LayoutF,MATCH(X259,LayoutU,0)),0))</f>
        <v>0</v>
      </c>
      <c r="AR259" s="9" t="n">
        <f aca="false">IF(ISNUMBER(O259),O259*INDEX(LenF,MATCH($O$7,LenU,0)),IF(ISNUMBER(V259),V259*INDEX(LenF,MATCH($V$7,LenU,0)),0))</f>
        <v>0</v>
      </c>
      <c r="AS259" s="9" t="str">
        <f aca="false">IF(ISNUMBER(L259),L259*INDEX(LenF,MATCH($L$7,LenU,0))*1000,IF(OR(J259="",K259=""),"",IFERROR(IF(INDEX(PipeWT,MATCH(J259,NPSU,0),MATCH(K259,SchU,0))="","Sch n/a",INDEX(PipeOD,MATCH(J259,NPSU,0))-2*INDEX(PipeWT,MATCH(J259,NPSU,0),MATCH(K259,SchU,0))),"")))</f>
        <v/>
      </c>
      <c r="AT259" s="9" t="n">
        <f aca="false">IF(ISNUMBER(AI259),AI259,IFERROR(INDEX(IF(JobType="Decontamination",TypeFillDC,TypeFillCC),MATCH(E259,TypeL,0)),1))</f>
        <v>1</v>
      </c>
      <c r="AU259" s="9" t="n">
        <v>8</v>
      </c>
    </row>
    <row r="260" customFormat="false" ht="15" hidden="false" customHeight="false" outlineLevel="0" collapsed="false">
      <c r="A260" s="16" t="n">
        <v>20</v>
      </c>
      <c r="B260" s="20"/>
      <c r="C260" s="5"/>
      <c r="D260" s="5"/>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1" t="str">
        <f aca="false">IF(E260="Exchanger",IF(AND(ISNUMBER(S260),ISNUMBER(U260),ISNUMBER(V260)),S260*PI()/4*(U260*INDEX(LenF,MATCH($U$7,LenU,0)))^2*V260*INDEX(LenF,MATCH($V$7,LenU,0)),0)+IF(ISNUMBER(Y260),PI()/4*(Y260*INDEX(LenF,MATCH($Y$7,LenU,0)))^2*N(Z260)*INDEX(LenF,MATCH($Z$7,LenU,0))+IF(AA260="",0,IF(AA260="Conical",PI()/12*(Y260*INDEX(LenF,MATCH($Y$7,LenU,0)))^2*(0),INDEX(HeadK,MATCH(AA260,HeadU,0))*(Y260*INDEX(LenF,MATCH($Y$7,LenU,0)))^3)),0)+IF(ISNUMBER(Y260),PI()/4*(Y260*INDEX(LenF,MATCH($Y$7,LenU,0)))^2*N(AB260)*INDEX(LenF,MATCH($AB$7,LenU,0))+IF(AC260="",0,IF(AC260="Conical",PI()/12*(Y260*INDEX(LenF,MATCH($Y$7,LenU,0)))^2*(0),INDEX(HeadK,MATCH(AC260,HeadU,0))*(Y260*INDEX(LenF,MATCH($Y$7,LenU,0)))^3)),0),"")</f>
        <v/>
      </c>
      <c r="AE260" s="21" t="str">
        <f aca="false">IF(OR(E260="",E260="Piping"),"",IF(E260="Exchanger",AQ260*AR260+IF(P260="",0,IF(P260="Conical",PI()/12*(SQRT(4*AQ260/PI()))^2*(0),INDEX(HeadK,MATCH(P260,HeadU,0))*(SQRT(4*AQ260/PI()))^3))-IF(AND(ISNUMBER(S260),ISNUMBER(V260)),S260*PI()/4*AP260^2*V260*INDEX(LenF,MATCH($V$7,LenU,0)),0),IF(ISNUMBER(N260),PI()/4*(N260*INDEX(LenF,MATCH($N$7,LenU,0)))^2*N(O260)*INDEX(LenF,MATCH($O$7,LenU,0))+IF(P260="",0,IF(P260="Conical",PI()/12*(N260*INDEX(LenF,MATCH($N$7,LenU,0)))^2*(N(R260)*INDEX(LenF,MATCH($R$7,LenU,0))),INDEX(HeadK,MATCH(P260,HeadU,0))*(N260*INDEX(LenF,MATCH($N$7,LenU,0)))^3))+IF(Q260="",0,IF(Q260="Conical",PI()/12*(N260*INDEX(LenF,MATCH($N$7,LenU,0)))^2*(N(R260)*INDEX(LenF,MATCH($R$7,LenU,0))),INDEX(HeadK,MATCH(Q260,HeadU,0))*(N260*INDEX(LenF,MATCH($N$7,LenU,0)))^3)),0)))</f>
        <v/>
      </c>
      <c r="AF260" s="21" t="str">
        <f aca="false">IF(E260&lt;&gt;"Piping","",IF(AND(ISNUMBER(AS260),ISNUMBER(M260)),PI()/4*(AS260/1000)^2*M260*INDEX(LenF,MATCH($M$7,LenU,0)),0))</f>
        <v/>
      </c>
      <c r="AG260" s="21" t="str">
        <f aca="false">IF(E260="","",N(AD260)+N(AE260)+N(AF260))</f>
        <v/>
      </c>
      <c r="AH260" s="21" t="str">
        <f aca="false">IF(ISNUMBER(I260),I260*INDEX(WtF,MATCH($I$7,WtU,0))/WaterRho,"")</f>
        <v/>
      </c>
      <c r="AI260" s="11"/>
      <c r="AJ260" s="11"/>
      <c r="AK260" s="20"/>
      <c r="AL260" s="11"/>
      <c r="AM260" s="21" t="str">
        <f aca="false">IF(AO260="","",AO260*IF(ISNUMBER(AK260),AK260,DefFills)*(1+IF(ISNUMBER(AL260),AL260,DefAllow)))</f>
        <v/>
      </c>
      <c r="AN260" s="22" t="str">
        <f aca="false">IF(G260="Given volume",IF(ISNUMBER(H260),H260*INDEX(VolF,MATCH($H$7,VolU,0)),""),IF(G260="Water weight",AH260,IF(N(AG260)=0,"",AG260)))</f>
        <v/>
      </c>
      <c r="AO260" s="22" t="str">
        <f aca="false">IF(N(AN260)=0,"",AN260*AT260*IF(ISNUMBER(AJ260),AJ260,DefCirc))</f>
        <v/>
      </c>
      <c r="AP260" s="9" t="n">
        <f aca="false">IF(ISNUMBER(T260),T260*INDEX(LenF,MATCH($T$7,LenU,0)),IF(ISNUMBER(W260),W260*INDEX(LenF,MATCH($W$7,LenU,0))/PitchRatio,0))</f>
        <v>0</v>
      </c>
      <c r="AQ260" s="9" t="n">
        <f aca="false">IF(ISNUMBER(N260),PI()/4*(N260*INDEX(LenF,MATCH($N$7,LenU,0)))^2,IF(AND(ISNUMBER(S260),ISNUMBER(W260),X260&lt;&gt;""),S260*(W260*INDEX(LenF,MATCH($W$7,LenU,0)))^2*INDEX(LayoutF,MATCH(X260,LayoutU,0)),0))</f>
        <v>0</v>
      </c>
      <c r="AR260" s="9" t="n">
        <f aca="false">IF(ISNUMBER(O260),O260*INDEX(LenF,MATCH($O$7,LenU,0)),IF(ISNUMBER(V260),V260*INDEX(LenF,MATCH($V$7,LenU,0)),0))</f>
        <v>0</v>
      </c>
      <c r="AS260" s="9" t="str">
        <f aca="false">IF(ISNUMBER(L260),L260*INDEX(LenF,MATCH($L$7,LenU,0))*1000,IF(OR(J260="",K260=""),"",IFERROR(IF(INDEX(PipeWT,MATCH(J260,NPSU,0),MATCH(K260,SchU,0))="","Sch n/a",INDEX(PipeOD,MATCH(J260,NPSU,0))-2*INDEX(PipeWT,MATCH(J260,NPSU,0),MATCH(K260,SchU,0))),"")))</f>
        <v/>
      </c>
      <c r="AT260" s="9" t="n">
        <f aca="false">IF(ISNUMBER(AI260),AI260,IFERROR(INDEX(IF(JobType="Decontamination",TypeFillDC,TypeFillCC),MATCH(E260,TypeL,0)),1))</f>
        <v>1</v>
      </c>
      <c r="AU260" s="9" t="n">
        <v>8</v>
      </c>
    </row>
    <row r="261" customFormat="false" ht="15" hidden="false" customHeight="false" outlineLevel="0" collapsed="false">
      <c r="A261" s="16" t="n">
        <v>21</v>
      </c>
      <c r="B261" s="20"/>
      <c r="C261" s="5"/>
      <c r="D261" s="5"/>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1" t="str">
        <f aca="false">IF(E261="Exchanger",IF(AND(ISNUMBER(S261),ISNUMBER(U261),ISNUMBER(V261)),S261*PI()/4*(U261*INDEX(LenF,MATCH($U$7,LenU,0)))^2*V261*INDEX(LenF,MATCH($V$7,LenU,0)),0)+IF(ISNUMBER(Y261),PI()/4*(Y261*INDEX(LenF,MATCH($Y$7,LenU,0)))^2*N(Z261)*INDEX(LenF,MATCH($Z$7,LenU,0))+IF(AA261="",0,IF(AA261="Conical",PI()/12*(Y261*INDEX(LenF,MATCH($Y$7,LenU,0)))^2*(0),INDEX(HeadK,MATCH(AA261,HeadU,0))*(Y261*INDEX(LenF,MATCH($Y$7,LenU,0)))^3)),0)+IF(ISNUMBER(Y261),PI()/4*(Y261*INDEX(LenF,MATCH($Y$7,LenU,0)))^2*N(AB261)*INDEX(LenF,MATCH($AB$7,LenU,0))+IF(AC261="",0,IF(AC261="Conical",PI()/12*(Y261*INDEX(LenF,MATCH($Y$7,LenU,0)))^2*(0),INDEX(HeadK,MATCH(AC261,HeadU,0))*(Y261*INDEX(LenF,MATCH($Y$7,LenU,0)))^3)),0),"")</f>
        <v/>
      </c>
      <c r="AE261" s="21" t="str">
        <f aca="false">IF(OR(E261="",E261="Piping"),"",IF(E261="Exchanger",AQ261*AR261+IF(P261="",0,IF(P261="Conical",PI()/12*(SQRT(4*AQ261/PI()))^2*(0),INDEX(HeadK,MATCH(P261,HeadU,0))*(SQRT(4*AQ261/PI()))^3))-IF(AND(ISNUMBER(S261),ISNUMBER(V261)),S261*PI()/4*AP261^2*V261*INDEX(LenF,MATCH($V$7,LenU,0)),0),IF(ISNUMBER(N261),PI()/4*(N261*INDEX(LenF,MATCH($N$7,LenU,0)))^2*N(O261)*INDEX(LenF,MATCH($O$7,LenU,0))+IF(P261="",0,IF(P261="Conical",PI()/12*(N261*INDEX(LenF,MATCH($N$7,LenU,0)))^2*(N(R261)*INDEX(LenF,MATCH($R$7,LenU,0))),INDEX(HeadK,MATCH(P261,HeadU,0))*(N261*INDEX(LenF,MATCH($N$7,LenU,0)))^3))+IF(Q261="",0,IF(Q261="Conical",PI()/12*(N261*INDEX(LenF,MATCH($N$7,LenU,0)))^2*(N(R261)*INDEX(LenF,MATCH($R$7,LenU,0))),INDEX(HeadK,MATCH(Q261,HeadU,0))*(N261*INDEX(LenF,MATCH($N$7,LenU,0)))^3)),0)))</f>
        <v/>
      </c>
      <c r="AF261" s="21" t="str">
        <f aca="false">IF(E261&lt;&gt;"Piping","",IF(AND(ISNUMBER(AS261),ISNUMBER(M261)),PI()/4*(AS261/1000)^2*M261*INDEX(LenF,MATCH($M$7,LenU,0)),0))</f>
        <v/>
      </c>
      <c r="AG261" s="21" t="str">
        <f aca="false">IF(E261="","",N(AD261)+N(AE261)+N(AF261))</f>
        <v/>
      </c>
      <c r="AH261" s="21" t="str">
        <f aca="false">IF(ISNUMBER(I261),I261*INDEX(WtF,MATCH($I$7,WtU,0))/WaterRho,"")</f>
        <v/>
      </c>
      <c r="AI261" s="11"/>
      <c r="AJ261" s="11"/>
      <c r="AK261" s="20"/>
      <c r="AL261" s="11"/>
      <c r="AM261" s="21" t="str">
        <f aca="false">IF(AO261="","",AO261*IF(ISNUMBER(AK261),AK261,DefFills)*(1+IF(ISNUMBER(AL261),AL261,DefAllow)))</f>
        <v/>
      </c>
      <c r="AN261" s="22" t="str">
        <f aca="false">IF(G261="Given volume",IF(ISNUMBER(H261),H261*INDEX(VolF,MATCH($H$7,VolU,0)),""),IF(G261="Water weight",AH261,IF(N(AG261)=0,"",AG261)))</f>
        <v/>
      </c>
      <c r="AO261" s="22" t="str">
        <f aca="false">IF(N(AN261)=0,"",AN261*AT261*IF(ISNUMBER(AJ261),AJ261,DefCirc))</f>
        <v/>
      </c>
      <c r="AP261" s="9" t="n">
        <f aca="false">IF(ISNUMBER(T261),T261*INDEX(LenF,MATCH($T$7,LenU,0)),IF(ISNUMBER(W261),W261*INDEX(LenF,MATCH($W$7,LenU,0))/PitchRatio,0))</f>
        <v>0</v>
      </c>
      <c r="AQ261" s="9" t="n">
        <f aca="false">IF(ISNUMBER(N261),PI()/4*(N261*INDEX(LenF,MATCH($N$7,LenU,0)))^2,IF(AND(ISNUMBER(S261),ISNUMBER(W261),X261&lt;&gt;""),S261*(W261*INDEX(LenF,MATCH($W$7,LenU,0)))^2*INDEX(LayoutF,MATCH(X261,LayoutU,0)),0))</f>
        <v>0</v>
      </c>
      <c r="AR261" s="9" t="n">
        <f aca="false">IF(ISNUMBER(O261),O261*INDEX(LenF,MATCH($O$7,LenU,0)),IF(ISNUMBER(V261),V261*INDEX(LenF,MATCH($V$7,LenU,0)),0))</f>
        <v>0</v>
      </c>
      <c r="AS261" s="9" t="str">
        <f aca="false">IF(ISNUMBER(L261),L261*INDEX(LenF,MATCH($L$7,LenU,0))*1000,IF(OR(J261="",K261=""),"",IFERROR(IF(INDEX(PipeWT,MATCH(J261,NPSU,0),MATCH(K261,SchU,0))="","Sch n/a",INDEX(PipeOD,MATCH(J261,NPSU,0))-2*INDEX(PipeWT,MATCH(J261,NPSU,0),MATCH(K261,SchU,0))),"")))</f>
        <v/>
      </c>
      <c r="AT261" s="9" t="n">
        <f aca="false">IF(ISNUMBER(AI261),AI261,IFERROR(INDEX(IF(JobType="Decontamination",TypeFillDC,TypeFillCC),MATCH(E261,TypeL,0)),1))</f>
        <v>1</v>
      </c>
      <c r="AU261" s="9" t="n">
        <v>8</v>
      </c>
    </row>
    <row r="262" customFormat="false" ht="15" hidden="false" customHeight="false" outlineLevel="0" collapsed="false">
      <c r="A262" s="16" t="n">
        <v>22</v>
      </c>
      <c r="B262" s="20"/>
      <c r="C262" s="5"/>
      <c r="D262" s="5"/>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1" t="str">
        <f aca="false">IF(E262="Exchanger",IF(AND(ISNUMBER(S262),ISNUMBER(U262),ISNUMBER(V262)),S262*PI()/4*(U262*INDEX(LenF,MATCH($U$7,LenU,0)))^2*V262*INDEX(LenF,MATCH($V$7,LenU,0)),0)+IF(ISNUMBER(Y262),PI()/4*(Y262*INDEX(LenF,MATCH($Y$7,LenU,0)))^2*N(Z262)*INDEX(LenF,MATCH($Z$7,LenU,0))+IF(AA262="",0,IF(AA262="Conical",PI()/12*(Y262*INDEX(LenF,MATCH($Y$7,LenU,0)))^2*(0),INDEX(HeadK,MATCH(AA262,HeadU,0))*(Y262*INDEX(LenF,MATCH($Y$7,LenU,0)))^3)),0)+IF(ISNUMBER(Y262),PI()/4*(Y262*INDEX(LenF,MATCH($Y$7,LenU,0)))^2*N(AB262)*INDEX(LenF,MATCH($AB$7,LenU,0))+IF(AC262="",0,IF(AC262="Conical",PI()/12*(Y262*INDEX(LenF,MATCH($Y$7,LenU,0)))^2*(0),INDEX(HeadK,MATCH(AC262,HeadU,0))*(Y262*INDEX(LenF,MATCH($Y$7,LenU,0)))^3)),0),"")</f>
        <v/>
      </c>
      <c r="AE262" s="21" t="str">
        <f aca="false">IF(OR(E262="",E262="Piping"),"",IF(E262="Exchanger",AQ262*AR262+IF(P262="",0,IF(P262="Conical",PI()/12*(SQRT(4*AQ262/PI()))^2*(0),INDEX(HeadK,MATCH(P262,HeadU,0))*(SQRT(4*AQ262/PI()))^3))-IF(AND(ISNUMBER(S262),ISNUMBER(V262)),S262*PI()/4*AP262^2*V262*INDEX(LenF,MATCH($V$7,LenU,0)),0),IF(ISNUMBER(N262),PI()/4*(N262*INDEX(LenF,MATCH($N$7,LenU,0)))^2*N(O262)*INDEX(LenF,MATCH($O$7,LenU,0))+IF(P262="",0,IF(P262="Conical",PI()/12*(N262*INDEX(LenF,MATCH($N$7,LenU,0)))^2*(N(R262)*INDEX(LenF,MATCH($R$7,LenU,0))),INDEX(HeadK,MATCH(P262,HeadU,0))*(N262*INDEX(LenF,MATCH($N$7,LenU,0)))^3))+IF(Q262="",0,IF(Q262="Conical",PI()/12*(N262*INDEX(LenF,MATCH($N$7,LenU,0)))^2*(N(R262)*INDEX(LenF,MATCH($R$7,LenU,0))),INDEX(HeadK,MATCH(Q262,HeadU,0))*(N262*INDEX(LenF,MATCH($N$7,LenU,0)))^3)),0)))</f>
        <v/>
      </c>
      <c r="AF262" s="21" t="str">
        <f aca="false">IF(E262&lt;&gt;"Piping","",IF(AND(ISNUMBER(AS262),ISNUMBER(M262)),PI()/4*(AS262/1000)^2*M262*INDEX(LenF,MATCH($M$7,LenU,0)),0))</f>
        <v/>
      </c>
      <c r="AG262" s="21" t="str">
        <f aca="false">IF(E262="","",N(AD262)+N(AE262)+N(AF262))</f>
        <v/>
      </c>
      <c r="AH262" s="21" t="str">
        <f aca="false">IF(ISNUMBER(I262),I262*INDEX(WtF,MATCH($I$7,WtU,0))/WaterRho,"")</f>
        <v/>
      </c>
      <c r="AI262" s="11"/>
      <c r="AJ262" s="11"/>
      <c r="AK262" s="20"/>
      <c r="AL262" s="11"/>
      <c r="AM262" s="21" t="str">
        <f aca="false">IF(AO262="","",AO262*IF(ISNUMBER(AK262),AK262,DefFills)*(1+IF(ISNUMBER(AL262),AL262,DefAllow)))</f>
        <v/>
      </c>
      <c r="AN262" s="22" t="str">
        <f aca="false">IF(G262="Given volume",IF(ISNUMBER(H262),H262*INDEX(VolF,MATCH($H$7,VolU,0)),""),IF(G262="Water weight",AH262,IF(N(AG262)=0,"",AG262)))</f>
        <v/>
      </c>
      <c r="AO262" s="22" t="str">
        <f aca="false">IF(N(AN262)=0,"",AN262*AT262*IF(ISNUMBER(AJ262),AJ262,DefCirc))</f>
        <v/>
      </c>
      <c r="AP262" s="9" t="n">
        <f aca="false">IF(ISNUMBER(T262),T262*INDEX(LenF,MATCH($T$7,LenU,0)),IF(ISNUMBER(W262),W262*INDEX(LenF,MATCH($W$7,LenU,0))/PitchRatio,0))</f>
        <v>0</v>
      </c>
      <c r="AQ262" s="9" t="n">
        <f aca="false">IF(ISNUMBER(N262),PI()/4*(N262*INDEX(LenF,MATCH($N$7,LenU,0)))^2,IF(AND(ISNUMBER(S262),ISNUMBER(W262),X262&lt;&gt;""),S262*(W262*INDEX(LenF,MATCH($W$7,LenU,0)))^2*INDEX(LayoutF,MATCH(X262,LayoutU,0)),0))</f>
        <v>0</v>
      </c>
      <c r="AR262" s="9" t="n">
        <f aca="false">IF(ISNUMBER(O262),O262*INDEX(LenF,MATCH($O$7,LenU,0)),IF(ISNUMBER(V262),V262*INDEX(LenF,MATCH($V$7,LenU,0)),0))</f>
        <v>0</v>
      </c>
      <c r="AS262" s="9" t="str">
        <f aca="false">IF(ISNUMBER(L262),L262*INDEX(LenF,MATCH($L$7,LenU,0))*1000,IF(OR(J262="",K262=""),"",IFERROR(IF(INDEX(PipeWT,MATCH(J262,NPSU,0),MATCH(K262,SchU,0))="","Sch n/a",INDEX(PipeOD,MATCH(J262,NPSU,0))-2*INDEX(PipeWT,MATCH(J262,NPSU,0),MATCH(K262,SchU,0))),"")))</f>
        <v/>
      </c>
      <c r="AT262" s="9" t="n">
        <f aca="false">IF(ISNUMBER(AI262),AI262,IFERROR(INDEX(IF(JobType="Decontamination",TypeFillDC,TypeFillCC),MATCH(E262,TypeL,0)),1))</f>
        <v>1</v>
      </c>
      <c r="AU262" s="9" t="n">
        <v>8</v>
      </c>
    </row>
    <row r="263" customFormat="false" ht="15" hidden="false" customHeight="false" outlineLevel="0" collapsed="false">
      <c r="A263" s="16" t="n">
        <v>23</v>
      </c>
      <c r="B263" s="20"/>
      <c r="C263" s="5"/>
      <c r="D263" s="5"/>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1" t="str">
        <f aca="false">IF(E263="Exchanger",IF(AND(ISNUMBER(S263),ISNUMBER(U263),ISNUMBER(V263)),S263*PI()/4*(U263*INDEX(LenF,MATCH($U$7,LenU,0)))^2*V263*INDEX(LenF,MATCH($V$7,LenU,0)),0)+IF(ISNUMBER(Y263),PI()/4*(Y263*INDEX(LenF,MATCH($Y$7,LenU,0)))^2*N(Z263)*INDEX(LenF,MATCH($Z$7,LenU,0))+IF(AA263="",0,IF(AA263="Conical",PI()/12*(Y263*INDEX(LenF,MATCH($Y$7,LenU,0)))^2*(0),INDEX(HeadK,MATCH(AA263,HeadU,0))*(Y263*INDEX(LenF,MATCH($Y$7,LenU,0)))^3)),0)+IF(ISNUMBER(Y263),PI()/4*(Y263*INDEX(LenF,MATCH($Y$7,LenU,0)))^2*N(AB263)*INDEX(LenF,MATCH($AB$7,LenU,0))+IF(AC263="",0,IF(AC263="Conical",PI()/12*(Y263*INDEX(LenF,MATCH($Y$7,LenU,0)))^2*(0),INDEX(HeadK,MATCH(AC263,HeadU,0))*(Y263*INDEX(LenF,MATCH($Y$7,LenU,0)))^3)),0),"")</f>
        <v/>
      </c>
      <c r="AE263" s="21" t="str">
        <f aca="false">IF(OR(E263="",E263="Piping"),"",IF(E263="Exchanger",AQ263*AR263+IF(P263="",0,IF(P263="Conical",PI()/12*(SQRT(4*AQ263/PI()))^2*(0),INDEX(HeadK,MATCH(P263,HeadU,0))*(SQRT(4*AQ263/PI()))^3))-IF(AND(ISNUMBER(S263),ISNUMBER(V263)),S263*PI()/4*AP263^2*V263*INDEX(LenF,MATCH($V$7,LenU,0)),0),IF(ISNUMBER(N263),PI()/4*(N263*INDEX(LenF,MATCH($N$7,LenU,0)))^2*N(O263)*INDEX(LenF,MATCH($O$7,LenU,0))+IF(P263="",0,IF(P263="Conical",PI()/12*(N263*INDEX(LenF,MATCH($N$7,LenU,0)))^2*(N(R263)*INDEX(LenF,MATCH($R$7,LenU,0))),INDEX(HeadK,MATCH(P263,HeadU,0))*(N263*INDEX(LenF,MATCH($N$7,LenU,0)))^3))+IF(Q263="",0,IF(Q263="Conical",PI()/12*(N263*INDEX(LenF,MATCH($N$7,LenU,0)))^2*(N(R263)*INDEX(LenF,MATCH($R$7,LenU,0))),INDEX(HeadK,MATCH(Q263,HeadU,0))*(N263*INDEX(LenF,MATCH($N$7,LenU,0)))^3)),0)))</f>
        <v/>
      </c>
      <c r="AF263" s="21" t="str">
        <f aca="false">IF(E263&lt;&gt;"Piping","",IF(AND(ISNUMBER(AS263),ISNUMBER(M263)),PI()/4*(AS263/1000)^2*M263*INDEX(LenF,MATCH($M$7,LenU,0)),0))</f>
        <v/>
      </c>
      <c r="AG263" s="21" t="str">
        <f aca="false">IF(E263="","",N(AD263)+N(AE263)+N(AF263))</f>
        <v/>
      </c>
      <c r="AH263" s="21" t="str">
        <f aca="false">IF(ISNUMBER(I263),I263*INDEX(WtF,MATCH($I$7,WtU,0))/WaterRho,"")</f>
        <v/>
      </c>
      <c r="AI263" s="11"/>
      <c r="AJ263" s="11"/>
      <c r="AK263" s="20"/>
      <c r="AL263" s="11"/>
      <c r="AM263" s="21" t="str">
        <f aca="false">IF(AO263="","",AO263*IF(ISNUMBER(AK263),AK263,DefFills)*(1+IF(ISNUMBER(AL263),AL263,DefAllow)))</f>
        <v/>
      </c>
      <c r="AN263" s="22" t="str">
        <f aca="false">IF(G263="Given volume",IF(ISNUMBER(H263),H263*INDEX(VolF,MATCH($H$7,VolU,0)),""),IF(G263="Water weight",AH263,IF(N(AG263)=0,"",AG263)))</f>
        <v/>
      </c>
      <c r="AO263" s="22" t="str">
        <f aca="false">IF(N(AN263)=0,"",AN263*AT263*IF(ISNUMBER(AJ263),AJ263,DefCirc))</f>
        <v/>
      </c>
      <c r="AP263" s="9" t="n">
        <f aca="false">IF(ISNUMBER(T263),T263*INDEX(LenF,MATCH($T$7,LenU,0)),IF(ISNUMBER(W263),W263*INDEX(LenF,MATCH($W$7,LenU,0))/PitchRatio,0))</f>
        <v>0</v>
      </c>
      <c r="AQ263" s="9" t="n">
        <f aca="false">IF(ISNUMBER(N263),PI()/4*(N263*INDEX(LenF,MATCH($N$7,LenU,0)))^2,IF(AND(ISNUMBER(S263),ISNUMBER(W263),X263&lt;&gt;""),S263*(W263*INDEX(LenF,MATCH($W$7,LenU,0)))^2*INDEX(LayoutF,MATCH(X263,LayoutU,0)),0))</f>
        <v>0</v>
      </c>
      <c r="AR263" s="9" t="n">
        <f aca="false">IF(ISNUMBER(O263),O263*INDEX(LenF,MATCH($O$7,LenU,0)),IF(ISNUMBER(V263),V263*INDEX(LenF,MATCH($V$7,LenU,0)),0))</f>
        <v>0</v>
      </c>
      <c r="AS263" s="9" t="str">
        <f aca="false">IF(ISNUMBER(L263),L263*INDEX(LenF,MATCH($L$7,LenU,0))*1000,IF(OR(J263="",K263=""),"",IFERROR(IF(INDEX(PipeWT,MATCH(J263,NPSU,0),MATCH(K263,SchU,0))="","Sch n/a",INDEX(PipeOD,MATCH(J263,NPSU,0))-2*INDEX(PipeWT,MATCH(J263,NPSU,0),MATCH(K263,SchU,0))),"")))</f>
        <v/>
      </c>
      <c r="AT263" s="9" t="n">
        <f aca="false">IF(ISNUMBER(AI263),AI263,IFERROR(INDEX(IF(JobType="Decontamination",TypeFillDC,TypeFillCC),MATCH(E263,TypeL,0)),1))</f>
        <v>1</v>
      </c>
      <c r="AU263" s="9" t="n">
        <v>8</v>
      </c>
    </row>
    <row r="264" customFormat="false" ht="15" hidden="false" customHeight="false" outlineLevel="0" collapsed="false">
      <c r="A264" s="16" t="n">
        <v>24</v>
      </c>
      <c r="B264" s="20"/>
      <c r="C264" s="5"/>
      <c r="D264" s="5"/>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1" t="str">
        <f aca="false">IF(E264="Exchanger",IF(AND(ISNUMBER(S264),ISNUMBER(U264),ISNUMBER(V264)),S264*PI()/4*(U264*INDEX(LenF,MATCH($U$7,LenU,0)))^2*V264*INDEX(LenF,MATCH($V$7,LenU,0)),0)+IF(ISNUMBER(Y264),PI()/4*(Y264*INDEX(LenF,MATCH($Y$7,LenU,0)))^2*N(Z264)*INDEX(LenF,MATCH($Z$7,LenU,0))+IF(AA264="",0,IF(AA264="Conical",PI()/12*(Y264*INDEX(LenF,MATCH($Y$7,LenU,0)))^2*(0),INDEX(HeadK,MATCH(AA264,HeadU,0))*(Y264*INDEX(LenF,MATCH($Y$7,LenU,0)))^3)),0)+IF(ISNUMBER(Y264),PI()/4*(Y264*INDEX(LenF,MATCH($Y$7,LenU,0)))^2*N(AB264)*INDEX(LenF,MATCH($AB$7,LenU,0))+IF(AC264="",0,IF(AC264="Conical",PI()/12*(Y264*INDEX(LenF,MATCH($Y$7,LenU,0)))^2*(0),INDEX(HeadK,MATCH(AC264,HeadU,0))*(Y264*INDEX(LenF,MATCH($Y$7,LenU,0)))^3)),0),"")</f>
        <v/>
      </c>
      <c r="AE264" s="21" t="str">
        <f aca="false">IF(OR(E264="",E264="Piping"),"",IF(E264="Exchanger",AQ264*AR264+IF(P264="",0,IF(P264="Conical",PI()/12*(SQRT(4*AQ264/PI()))^2*(0),INDEX(HeadK,MATCH(P264,HeadU,0))*(SQRT(4*AQ264/PI()))^3))-IF(AND(ISNUMBER(S264),ISNUMBER(V264)),S264*PI()/4*AP264^2*V264*INDEX(LenF,MATCH($V$7,LenU,0)),0),IF(ISNUMBER(N264),PI()/4*(N264*INDEX(LenF,MATCH($N$7,LenU,0)))^2*N(O264)*INDEX(LenF,MATCH($O$7,LenU,0))+IF(P264="",0,IF(P264="Conical",PI()/12*(N264*INDEX(LenF,MATCH($N$7,LenU,0)))^2*(N(R264)*INDEX(LenF,MATCH($R$7,LenU,0))),INDEX(HeadK,MATCH(P264,HeadU,0))*(N264*INDEX(LenF,MATCH($N$7,LenU,0)))^3))+IF(Q264="",0,IF(Q264="Conical",PI()/12*(N264*INDEX(LenF,MATCH($N$7,LenU,0)))^2*(N(R264)*INDEX(LenF,MATCH($R$7,LenU,0))),INDEX(HeadK,MATCH(Q264,HeadU,0))*(N264*INDEX(LenF,MATCH($N$7,LenU,0)))^3)),0)))</f>
        <v/>
      </c>
      <c r="AF264" s="21" t="str">
        <f aca="false">IF(E264&lt;&gt;"Piping","",IF(AND(ISNUMBER(AS264),ISNUMBER(M264)),PI()/4*(AS264/1000)^2*M264*INDEX(LenF,MATCH($M$7,LenU,0)),0))</f>
        <v/>
      </c>
      <c r="AG264" s="21" t="str">
        <f aca="false">IF(E264="","",N(AD264)+N(AE264)+N(AF264))</f>
        <v/>
      </c>
      <c r="AH264" s="21" t="str">
        <f aca="false">IF(ISNUMBER(I264),I264*INDEX(WtF,MATCH($I$7,WtU,0))/WaterRho,"")</f>
        <v/>
      </c>
      <c r="AI264" s="11"/>
      <c r="AJ264" s="11"/>
      <c r="AK264" s="20"/>
      <c r="AL264" s="11"/>
      <c r="AM264" s="21" t="str">
        <f aca="false">IF(AO264="","",AO264*IF(ISNUMBER(AK264),AK264,DefFills)*(1+IF(ISNUMBER(AL264),AL264,DefAllow)))</f>
        <v/>
      </c>
      <c r="AN264" s="22" t="str">
        <f aca="false">IF(G264="Given volume",IF(ISNUMBER(H264),H264*INDEX(VolF,MATCH($H$7,VolU,0)),""),IF(G264="Water weight",AH264,IF(N(AG264)=0,"",AG264)))</f>
        <v/>
      </c>
      <c r="AO264" s="22" t="str">
        <f aca="false">IF(N(AN264)=0,"",AN264*AT264*IF(ISNUMBER(AJ264),AJ264,DefCirc))</f>
        <v/>
      </c>
      <c r="AP264" s="9" t="n">
        <f aca="false">IF(ISNUMBER(T264),T264*INDEX(LenF,MATCH($T$7,LenU,0)),IF(ISNUMBER(W264),W264*INDEX(LenF,MATCH($W$7,LenU,0))/PitchRatio,0))</f>
        <v>0</v>
      </c>
      <c r="AQ264" s="9" t="n">
        <f aca="false">IF(ISNUMBER(N264),PI()/4*(N264*INDEX(LenF,MATCH($N$7,LenU,0)))^2,IF(AND(ISNUMBER(S264),ISNUMBER(W264),X264&lt;&gt;""),S264*(W264*INDEX(LenF,MATCH($W$7,LenU,0)))^2*INDEX(LayoutF,MATCH(X264,LayoutU,0)),0))</f>
        <v>0</v>
      </c>
      <c r="AR264" s="9" t="n">
        <f aca="false">IF(ISNUMBER(O264),O264*INDEX(LenF,MATCH($O$7,LenU,0)),IF(ISNUMBER(V264),V264*INDEX(LenF,MATCH($V$7,LenU,0)),0))</f>
        <v>0</v>
      </c>
      <c r="AS264" s="9" t="str">
        <f aca="false">IF(ISNUMBER(L264),L264*INDEX(LenF,MATCH($L$7,LenU,0))*1000,IF(OR(J264="",K264=""),"",IFERROR(IF(INDEX(PipeWT,MATCH(J264,NPSU,0),MATCH(K264,SchU,0))="","Sch n/a",INDEX(PipeOD,MATCH(J264,NPSU,0))-2*INDEX(PipeWT,MATCH(J264,NPSU,0),MATCH(K264,SchU,0))),"")))</f>
        <v/>
      </c>
      <c r="AT264" s="9" t="n">
        <f aca="false">IF(ISNUMBER(AI264),AI264,IFERROR(INDEX(IF(JobType="Decontamination",TypeFillDC,TypeFillCC),MATCH(E264,TypeL,0)),1))</f>
        <v>1</v>
      </c>
      <c r="AU264" s="9" t="n">
        <v>8</v>
      </c>
    </row>
    <row r="265" customFormat="false" ht="15" hidden="false" customHeight="false" outlineLevel="0" collapsed="false">
      <c r="A265" s="16" t="n">
        <v>25</v>
      </c>
      <c r="B265" s="20"/>
      <c r="C265" s="5"/>
      <c r="D265" s="5"/>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1" t="str">
        <f aca="false">IF(E265="Exchanger",IF(AND(ISNUMBER(S265),ISNUMBER(U265),ISNUMBER(V265)),S265*PI()/4*(U265*INDEX(LenF,MATCH($U$7,LenU,0)))^2*V265*INDEX(LenF,MATCH($V$7,LenU,0)),0)+IF(ISNUMBER(Y265),PI()/4*(Y265*INDEX(LenF,MATCH($Y$7,LenU,0)))^2*N(Z265)*INDEX(LenF,MATCH($Z$7,LenU,0))+IF(AA265="",0,IF(AA265="Conical",PI()/12*(Y265*INDEX(LenF,MATCH($Y$7,LenU,0)))^2*(0),INDEX(HeadK,MATCH(AA265,HeadU,0))*(Y265*INDEX(LenF,MATCH($Y$7,LenU,0)))^3)),0)+IF(ISNUMBER(Y265),PI()/4*(Y265*INDEX(LenF,MATCH($Y$7,LenU,0)))^2*N(AB265)*INDEX(LenF,MATCH($AB$7,LenU,0))+IF(AC265="",0,IF(AC265="Conical",PI()/12*(Y265*INDEX(LenF,MATCH($Y$7,LenU,0)))^2*(0),INDEX(HeadK,MATCH(AC265,HeadU,0))*(Y265*INDEX(LenF,MATCH($Y$7,LenU,0)))^3)),0),"")</f>
        <v/>
      </c>
      <c r="AE265" s="21" t="str">
        <f aca="false">IF(OR(E265="",E265="Piping"),"",IF(E265="Exchanger",AQ265*AR265+IF(P265="",0,IF(P265="Conical",PI()/12*(SQRT(4*AQ265/PI()))^2*(0),INDEX(HeadK,MATCH(P265,HeadU,0))*(SQRT(4*AQ265/PI()))^3))-IF(AND(ISNUMBER(S265),ISNUMBER(V265)),S265*PI()/4*AP265^2*V265*INDEX(LenF,MATCH($V$7,LenU,0)),0),IF(ISNUMBER(N265),PI()/4*(N265*INDEX(LenF,MATCH($N$7,LenU,0)))^2*N(O265)*INDEX(LenF,MATCH($O$7,LenU,0))+IF(P265="",0,IF(P265="Conical",PI()/12*(N265*INDEX(LenF,MATCH($N$7,LenU,0)))^2*(N(R265)*INDEX(LenF,MATCH($R$7,LenU,0))),INDEX(HeadK,MATCH(P265,HeadU,0))*(N265*INDEX(LenF,MATCH($N$7,LenU,0)))^3))+IF(Q265="",0,IF(Q265="Conical",PI()/12*(N265*INDEX(LenF,MATCH($N$7,LenU,0)))^2*(N(R265)*INDEX(LenF,MATCH($R$7,LenU,0))),INDEX(HeadK,MATCH(Q265,HeadU,0))*(N265*INDEX(LenF,MATCH($N$7,LenU,0)))^3)),0)))</f>
        <v/>
      </c>
      <c r="AF265" s="21" t="str">
        <f aca="false">IF(E265&lt;&gt;"Piping","",IF(AND(ISNUMBER(AS265),ISNUMBER(M265)),PI()/4*(AS265/1000)^2*M265*INDEX(LenF,MATCH($M$7,LenU,0)),0))</f>
        <v/>
      </c>
      <c r="AG265" s="21" t="str">
        <f aca="false">IF(E265="","",N(AD265)+N(AE265)+N(AF265))</f>
        <v/>
      </c>
      <c r="AH265" s="21" t="str">
        <f aca="false">IF(ISNUMBER(I265),I265*INDEX(WtF,MATCH($I$7,WtU,0))/WaterRho,"")</f>
        <v/>
      </c>
      <c r="AI265" s="11"/>
      <c r="AJ265" s="11"/>
      <c r="AK265" s="20"/>
      <c r="AL265" s="11"/>
      <c r="AM265" s="21" t="str">
        <f aca="false">IF(AO265="","",AO265*IF(ISNUMBER(AK265),AK265,DefFills)*(1+IF(ISNUMBER(AL265),AL265,DefAllow)))</f>
        <v/>
      </c>
      <c r="AN265" s="22" t="str">
        <f aca="false">IF(G265="Given volume",IF(ISNUMBER(H265),H265*INDEX(VolF,MATCH($H$7,VolU,0)),""),IF(G265="Water weight",AH265,IF(N(AG265)=0,"",AG265)))</f>
        <v/>
      </c>
      <c r="AO265" s="22" t="str">
        <f aca="false">IF(N(AN265)=0,"",AN265*AT265*IF(ISNUMBER(AJ265),AJ265,DefCirc))</f>
        <v/>
      </c>
      <c r="AP265" s="9" t="n">
        <f aca="false">IF(ISNUMBER(T265),T265*INDEX(LenF,MATCH($T$7,LenU,0)),IF(ISNUMBER(W265),W265*INDEX(LenF,MATCH($W$7,LenU,0))/PitchRatio,0))</f>
        <v>0</v>
      </c>
      <c r="AQ265" s="9" t="n">
        <f aca="false">IF(ISNUMBER(N265),PI()/4*(N265*INDEX(LenF,MATCH($N$7,LenU,0)))^2,IF(AND(ISNUMBER(S265),ISNUMBER(W265),X265&lt;&gt;""),S265*(W265*INDEX(LenF,MATCH($W$7,LenU,0)))^2*INDEX(LayoutF,MATCH(X265,LayoutU,0)),0))</f>
        <v>0</v>
      </c>
      <c r="AR265" s="9" t="n">
        <f aca="false">IF(ISNUMBER(O265),O265*INDEX(LenF,MATCH($O$7,LenU,0)),IF(ISNUMBER(V265),V265*INDEX(LenF,MATCH($V$7,LenU,0)),0))</f>
        <v>0</v>
      </c>
      <c r="AS265" s="9" t="str">
        <f aca="false">IF(ISNUMBER(L265),L265*INDEX(LenF,MATCH($L$7,LenU,0))*1000,IF(OR(J265="",K265=""),"",IFERROR(IF(INDEX(PipeWT,MATCH(J265,NPSU,0),MATCH(K265,SchU,0))="","Sch n/a",INDEX(PipeOD,MATCH(J265,NPSU,0))-2*INDEX(PipeWT,MATCH(J265,NPSU,0),MATCH(K265,SchU,0))),"")))</f>
        <v/>
      </c>
      <c r="AT265" s="9" t="n">
        <f aca="false">IF(ISNUMBER(AI265),AI265,IFERROR(INDEX(IF(JobType="Decontamination",TypeFillDC,TypeFillCC),MATCH(E265,TypeL,0)),1))</f>
        <v>1</v>
      </c>
      <c r="AU265" s="9" t="n">
        <v>8</v>
      </c>
    </row>
    <row r="266" customFormat="false" ht="15" hidden="false" customHeight="false" outlineLevel="0" collapsed="false">
      <c r="A266" s="16" t="n">
        <v>26</v>
      </c>
      <c r="B266" s="20"/>
      <c r="C266" s="5"/>
      <c r="D266" s="5"/>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1" t="str">
        <f aca="false">IF(E266="Exchanger",IF(AND(ISNUMBER(S266),ISNUMBER(U266),ISNUMBER(V266)),S266*PI()/4*(U266*INDEX(LenF,MATCH($U$7,LenU,0)))^2*V266*INDEX(LenF,MATCH($V$7,LenU,0)),0)+IF(ISNUMBER(Y266),PI()/4*(Y266*INDEX(LenF,MATCH($Y$7,LenU,0)))^2*N(Z266)*INDEX(LenF,MATCH($Z$7,LenU,0))+IF(AA266="",0,IF(AA266="Conical",PI()/12*(Y266*INDEX(LenF,MATCH($Y$7,LenU,0)))^2*(0),INDEX(HeadK,MATCH(AA266,HeadU,0))*(Y266*INDEX(LenF,MATCH($Y$7,LenU,0)))^3)),0)+IF(ISNUMBER(Y266),PI()/4*(Y266*INDEX(LenF,MATCH($Y$7,LenU,0)))^2*N(AB266)*INDEX(LenF,MATCH($AB$7,LenU,0))+IF(AC266="",0,IF(AC266="Conical",PI()/12*(Y266*INDEX(LenF,MATCH($Y$7,LenU,0)))^2*(0),INDEX(HeadK,MATCH(AC266,HeadU,0))*(Y266*INDEX(LenF,MATCH($Y$7,LenU,0)))^3)),0),"")</f>
        <v/>
      </c>
      <c r="AE266" s="21" t="str">
        <f aca="false">IF(OR(E266="",E266="Piping"),"",IF(E266="Exchanger",AQ266*AR266+IF(P266="",0,IF(P266="Conical",PI()/12*(SQRT(4*AQ266/PI()))^2*(0),INDEX(HeadK,MATCH(P266,HeadU,0))*(SQRT(4*AQ266/PI()))^3))-IF(AND(ISNUMBER(S266),ISNUMBER(V266)),S266*PI()/4*AP266^2*V266*INDEX(LenF,MATCH($V$7,LenU,0)),0),IF(ISNUMBER(N266),PI()/4*(N266*INDEX(LenF,MATCH($N$7,LenU,0)))^2*N(O266)*INDEX(LenF,MATCH($O$7,LenU,0))+IF(P266="",0,IF(P266="Conical",PI()/12*(N266*INDEX(LenF,MATCH($N$7,LenU,0)))^2*(N(R266)*INDEX(LenF,MATCH($R$7,LenU,0))),INDEX(HeadK,MATCH(P266,HeadU,0))*(N266*INDEX(LenF,MATCH($N$7,LenU,0)))^3))+IF(Q266="",0,IF(Q266="Conical",PI()/12*(N266*INDEX(LenF,MATCH($N$7,LenU,0)))^2*(N(R266)*INDEX(LenF,MATCH($R$7,LenU,0))),INDEX(HeadK,MATCH(Q266,HeadU,0))*(N266*INDEX(LenF,MATCH($N$7,LenU,0)))^3)),0)))</f>
        <v/>
      </c>
      <c r="AF266" s="21" t="str">
        <f aca="false">IF(E266&lt;&gt;"Piping","",IF(AND(ISNUMBER(AS266),ISNUMBER(M266)),PI()/4*(AS266/1000)^2*M266*INDEX(LenF,MATCH($M$7,LenU,0)),0))</f>
        <v/>
      </c>
      <c r="AG266" s="21" t="str">
        <f aca="false">IF(E266="","",N(AD266)+N(AE266)+N(AF266))</f>
        <v/>
      </c>
      <c r="AH266" s="21" t="str">
        <f aca="false">IF(ISNUMBER(I266),I266*INDEX(WtF,MATCH($I$7,WtU,0))/WaterRho,"")</f>
        <v/>
      </c>
      <c r="AI266" s="11"/>
      <c r="AJ266" s="11"/>
      <c r="AK266" s="20"/>
      <c r="AL266" s="11"/>
      <c r="AM266" s="21" t="str">
        <f aca="false">IF(AO266="","",AO266*IF(ISNUMBER(AK266),AK266,DefFills)*(1+IF(ISNUMBER(AL266),AL266,DefAllow)))</f>
        <v/>
      </c>
      <c r="AN266" s="22" t="str">
        <f aca="false">IF(G266="Given volume",IF(ISNUMBER(H266),H266*INDEX(VolF,MATCH($H$7,VolU,0)),""),IF(G266="Water weight",AH266,IF(N(AG266)=0,"",AG266)))</f>
        <v/>
      </c>
      <c r="AO266" s="22" t="str">
        <f aca="false">IF(N(AN266)=0,"",AN266*AT266*IF(ISNUMBER(AJ266),AJ266,DefCirc))</f>
        <v/>
      </c>
      <c r="AP266" s="9" t="n">
        <f aca="false">IF(ISNUMBER(T266),T266*INDEX(LenF,MATCH($T$7,LenU,0)),IF(ISNUMBER(W266),W266*INDEX(LenF,MATCH($W$7,LenU,0))/PitchRatio,0))</f>
        <v>0</v>
      </c>
      <c r="AQ266" s="9" t="n">
        <f aca="false">IF(ISNUMBER(N266),PI()/4*(N266*INDEX(LenF,MATCH($N$7,LenU,0)))^2,IF(AND(ISNUMBER(S266),ISNUMBER(W266),X266&lt;&gt;""),S266*(W266*INDEX(LenF,MATCH($W$7,LenU,0)))^2*INDEX(LayoutF,MATCH(X266,LayoutU,0)),0))</f>
        <v>0</v>
      </c>
      <c r="AR266" s="9" t="n">
        <f aca="false">IF(ISNUMBER(O266),O266*INDEX(LenF,MATCH($O$7,LenU,0)),IF(ISNUMBER(V266),V266*INDEX(LenF,MATCH($V$7,LenU,0)),0))</f>
        <v>0</v>
      </c>
      <c r="AS266" s="9" t="str">
        <f aca="false">IF(ISNUMBER(L266),L266*INDEX(LenF,MATCH($L$7,LenU,0))*1000,IF(OR(J266="",K266=""),"",IFERROR(IF(INDEX(PipeWT,MATCH(J266,NPSU,0),MATCH(K266,SchU,0))="","Sch n/a",INDEX(PipeOD,MATCH(J266,NPSU,0))-2*INDEX(PipeWT,MATCH(J266,NPSU,0),MATCH(K266,SchU,0))),"")))</f>
        <v/>
      </c>
      <c r="AT266" s="9" t="n">
        <f aca="false">IF(ISNUMBER(AI266),AI266,IFERROR(INDEX(IF(JobType="Decontamination",TypeFillDC,TypeFillCC),MATCH(E266,TypeL,0)),1))</f>
        <v>1</v>
      </c>
      <c r="AU266" s="9" t="n">
        <v>8</v>
      </c>
    </row>
    <row r="267" customFormat="false" ht="15" hidden="false" customHeight="false" outlineLevel="0" collapsed="false">
      <c r="A267" s="16" t="n">
        <v>27</v>
      </c>
      <c r="B267" s="20"/>
      <c r="C267" s="5"/>
      <c r="D267" s="5"/>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1" t="str">
        <f aca="false">IF(E267="Exchanger",IF(AND(ISNUMBER(S267),ISNUMBER(U267),ISNUMBER(V267)),S267*PI()/4*(U267*INDEX(LenF,MATCH($U$7,LenU,0)))^2*V267*INDEX(LenF,MATCH($V$7,LenU,0)),0)+IF(ISNUMBER(Y267),PI()/4*(Y267*INDEX(LenF,MATCH($Y$7,LenU,0)))^2*N(Z267)*INDEX(LenF,MATCH($Z$7,LenU,0))+IF(AA267="",0,IF(AA267="Conical",PI()/12*(Y267*INDEX(LenF,MATCH($Y$7,LenU,0)))^2*(0),INDEX(HeadK,MATCH(AA267,HeadU,0))*(Y267*INDEX(LenF,MATCH($Y$7,LenU,0)))^3)),0)+IF(ISNUMBER(Y267),PI()/4*(Y267*INDEX(LenF,MATCH($Y$7,LenU,0)))^2*N(AB267)*INDEX(LenF,MATCH($AB$7,LenU,0))+IF(AC267="",0,IF(AC267="Conical",PI()/12*(Y267*INDEX(LenF,MATCH($Y$7,LenU,0)))^2*(0),INDEX(HeadK,MATCH(AC267,HeadU,0))*(Y267*INDEX(LenF,MATCH($Y$7,LenU,0)))^3)),0),"")</f>
        <v/>
      </c>
      <c r="AE267" s="21" t="str">
        <f aca="false">IF(OR(E267="",E267="Piping"),"",IF(E267="Exchanger",AQ267*AR267+IF(P267="",0,IF(P267="Conical",PI()/12*(SQRT(4*AQ267/PI()))^2*(0),INDEX(HeadK,MATCH(P267,HeadU,0))*(SQRT(4*AQ267/PI()))^3))-IF(AND(ISNUMBER(S267),ISNUMBER(V267)),S267*PI()/4*AP267^2*V267*INDEX(LenF,MATCH($V$7,LenU,0)),0),IF(ISNUMBER(N267),PI()/4*(N267*INDEX(LenF,MATCH($N$7,LenU,0)))^2*N(O267)*INDEX(LenF,MATCH($O$7,LenU,0))+IF(P267="",0,IF(P267="Conical",PI()/12*(N267*INDEX(LenF,MATCH($N$7,LenU,0)))^2*(N(R267)*INDEX(LenF,MATCH($R$7,LenU,0))),INDEX(HeadK,MATCH(P267,HeadU,0))*(N267*INDEX(LenF,MATCH($N$7,LenU,0)))^3))+IF(Q267="",0,IF(Q267="Conical",PI()/12*(N267*INDEX(LenF,MATCH($N$7,LenU,0)))^2*(N(R267)*INDEX(LenF,MATCH($R$7,LenU,0))),INDEX(HeadK,MATCH(Q267,HeadU,0))*(N267*INDEX(LenF,MATCH($N$7,LenU,0)))^3)),0)))</f>
        <v/>
      </c>
      <c r="AF267" s="21" t="str">
        <f aca="false">IF(E267&lt;&gt;"Piping","",IF(AND(ISNUMBER(AS267),ISNUMBER(M267)),PI()/4*(AS267/1000)^2*M267*INDEX(LenF,MATCH($M$7,LenU,0)),0))</f>
        <v/>
      </c>
      <c r="AG267" s="21" t="str">
        <f aca="false">IF(E267="","",N(AD267)+N(AE267)+N(AF267))</f>
        <v/>
      </c>
      <c r="AH267" s="21" t="str">
        <f aca="false">IF(ISNUMBER(I267),I267*INDEX(WtF,MATCH($I$7,WtU,0))/WaterRho,"")</f>
        <v/>
      </c>
      <c r="AI267" s="11"/>
      <c r="AJ267" s="11"/>
      <c r="AK267" s="20"/>
      <c r="AL267" s="11"/>
      <c r="AM267" s="21" t="str">
        <f aca="false">IF(AO267="","",AO267*IF(ISNUMBER(AK267),AK267,DefFills)*(1+IF(ISNUMBER(AL267),AL267,DefAllow)))</f>
        <v/>
      </c>
      <c r="AN267" s="22" t="str">
        <f aca="false">IF(G267="Given volume",IF(ISNUMBER(H267),H267*INDEX(VolF,MATCH($H$7,VolU,0)),""),IF(G267="Water weight",AH267,IF(N(AG267)=0,"",AG267)))</f>
        <v/>
      </c>
      <c r="AO267" s="22" t="str">
        <f aca="false">IF(N(AN267)=0,"",AN267*AT267*IF(ISNUMBER(AJ267),AJ267,DefCirc))</f>
        <v/>
      </c>
      <c r="AP267" s="9" t="n">
        <f aca="false">IF(ISNUMBER(T267),T267*INDEX(LenF,MATCH($T$7,LenU,0)),IF(ISNUMBER(W267),W267*INDEX(LenF,MATCH($W$7,LenU,0))/PitchRatio,0))</f>
        <v>0</v>
      </c>
      <c r="AQ267" s="9" t="n">
        <f aca="false">IF(ISNUMBER(N267),PI()/4*(N267*INDEX(LenF,MATCH($N$7,LenU,0)))^2,IF(AND(ISNUMBER(S267),ISNUMBER(W267),X267&lt;&gt;""),S267*(W267*INDEX(LenF,MATCH($W$7,LenU,0)))^2*INDEX(LayoutF,MATCH(X267,LayoutU,0)),0))</f>
        <v>0</v>
      </c>
      <c r="AR267" s="9" t="n">
        <f aca="false">IF(ISNUMBER(O267),O267*INDEX(LenF,MATCH($O$7,LenU,0)),IF(ISNUMBER(V267),V267*INDEX(LenF,MATCH($V$7,LenU,0)),0))</f>
        <v>0</v>
      </c>
      <c r="AS267" s="9" t="str">
        <f aca="false">IF(ISNUMBER(L267),L267*INDEX(LenF,MATCH($L$7,LenU,0))*1000,IF(OR(J267="",K267=""),"",IFERROR(IF(INDEX(PipeWT,MATCH(J267,NPSU,0),MATCH(K267,SchU,0))="","Sch n/a",INDEX(PipeOD,MATCH(J267,NPSU,0))-2*INDEX(PipeWT,MATCH(J267,NPSU,0),MATCH(K267,SchU,0))),"")))</f>
        <v/>
      </c>
      <c r="AT267" s="9" t="n">
        <f aca="false">IF(ISNUMBER(AI267),AI267,IFERROR(INDEX(IF(JobType="Decontamination",TypeFillDC,TypeFillCC),MATCH(E267,TypeL,0)),1))</f>
        <v>1</v>
      </c>
      <c r="AU267" s="9" t="n">
        <v>8</v>
      </c>
    </row>
    <row r="268" customFormat="false" ht="15" hidden="false" customHeight="false" outlineLevel="0" collapsed="false">
      <c r="A268" s="16" t="n">
        <v>28</v>
      </c>
      <c r="B268" s="20"/>
      <c r="C268" s="5"/>
      <c r="D268" s="5"/>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1" t="str">
        <f aca="false">IF(E268="Exchanger",IF(AND(ISNUMBER(S268),ISNUMBER(U268),ISNUMBER(V268)),S268*PI()/4*(U268*INDEX(LenF,MATCH($U$7,LenU,0)))^2*V268*INDEX(LenF,MATCH($V$7,LenU,0)),0)+IF(ISNUMBER(Y268),PI()/4*(Y268*INDEX(LenF,MATCH($Y$7,LenU,0)))^2*N(Z268)*INDEX(LenF,MATCH($Z$7,LenU,0))+IF(AA268="",0,IF(AA268="Conical",PI()/12*(Y268*INDEX(LenF,MATCH($Y$7,LenU,0)))^2*(0),INDEX(HeadK,MATCH(AA268,HeadU,0))*(Y268*INDEX(LenF,MATCH($Y$7,LenU,0)))^3)),0)+IF(ISNUMBER(Y268),PI()/4*(Y268*INDEX(LenF,MATCH($Y$7,LenU,0)))^2*N(AB268)*INDEX(LenF,MATCH($AB$7,LenU,0))+IF(AC268="",0,IF(AC268="Conical",PI()/12*(Y268*INDEX(LenF,MATCH($Y$7,LenU,0)))^2*(0),INDEX(HeadK,MATCH(AC268,HeadU,0))*(Y268*INDEX(LenF,MATCH($Y$7,LenU,0)))^3)),0),"")</f>
        <v/>
      </c>
      <c r="AE268" s="21" t="str">
        <f aca="false">IF(OR(E268="",E268="Piping"),"",IF(E268="Exchanger",AQ268*AR268+IF(P268="",0,IF(P268="Conical",PI()/12*(SQRT(4*AQ268/PI()))^2*(0),INDEX(HeadK,MATCH(P268,HeadU,0))*(SQRT(4*AQ268/PI()))^3))-IF(AND(ISNUMBER(S268),ISNUMBER(V268)),S268*PI()/4*AP268^2*V268*INDEX(LenF,MATCH($V$7,LenU,0)),0),IF(ISNUMBER(N268),PI()/4*(N268*INDEX(LenF,MATCH($N$7,LenU,0)))^2*N(O268)*INDEX(LenF,MATCH($O$7,LenU,0))+IF(P268="",0,IF(P268="Conical",PI()/12*(N268*INDEX(LenF,MATCH($N$7,LenU,0)))^2*(N(R268)*INDEX(LenF,MATCH($R$7,LenU,0))),INDEX(HeadK,MATCH(P268,HeadU,0))*(N268*INDEX(LenF,MATCH($N$7,LenU,0)))^3))+IF(Q268="",0,IF(Q268="Conical",PI()/12*(N268*INDEX(LenF,MATCH($N$7,LenU,0)))^2*(N(R268)*INDEX(LenF,MATCH($R$7,LenU,0))),INDEX(HeadK,MATCH(Q268,HeadU,0))*(N268*INDEX(LenF,MATCH($N$7,LenU,0)))^3)),0)))</f>
        <v/>
      </c>
      <c r="AF268" s="21" t="str">
        <f aca="false">IF(E268&lt;&gt;"Piping","",IF(AND(ISNUMBER(AS268),ISNUMBER(M268)),PI()/4*(AS268/1000)^2*M268*INDEX(LenF,MATCH($M$7,LenU,0)),0))</f>
        <v/>
      </c>
      <c r="AG268" s="21" t="str">
        <f aca="false">IF(E268="","",N(AD268)+N(AE268)+N(AF268))</f>
        <v/>
      </c>
      <c r="AH268" s="21" t="str">
        <f aca="false">IF(ISNUMBER(I268),I268*INDEX(WtF,MATCH($I$7,WtU,0))/WaterRho,"")</f>
        <v/>
      </c>
      <c r="AI268" s="11"/>
      <c r="AJ268" s="11"/>
      <c r="AK268" s="20"/>
      <c r="AL268" s="11"/>
      <c r="AM268" s="21" t="str">
        <f aca="false">IF(AO268="","",AO268*IF(ISNUMBER(AK268),AK268,DefFills)*(1+IF(ISNUMBER(AL268),AL268,DefAllow)))</f>
        <v/>
      </c>
      <c r="AN268" s="22" t="str">
        <f aca="false">IF(G268="Given volume",IF(ISNUMBER(H268),H268*INDEX(VolF,MATCH($H$7,VolU,0)),""),IF(G268="Water weight",AH268,IF(N(AG268)=0,"",AG268)))</f>
        <v/>
      </c>
      <c r="AO268" s="22" t="str">
        <f aca="false">IF(N(AN268)=0,"",AN268*AT268*IF(ISNUMBER(AJ268),AJ268,DefCirc))</f>
        <v/>
      </c>
      <c r="AP268" s="9" t="n">
        <f aca="false">IF(ISNUMBER(T268),T268*INDEX(LenF,MATCH($T$7,LenU,0)),IF(ISNUMBER(W268),W268*INDEX(LenF,MATCH($W$7,LenU,0))/PitchRatio,0))</f>
        <v>0</v>
      </c>
      <c r="AQ268" s="9" t="n">
        <f aca="false">IF(ISNUMBER(N268),PI()/4*(N268*INDEX(LenF,MATCH($N$7,LenU,0)))^2,IF(AND(ISNUMBER(S268),ISNUMBER(W268),X268&lt;&gt;""),S268*(W268*INDEX(LenF,MATCH($W$7,LenU,0)))^2*INDEX(LayoutF,MATCH(X268,LayoutU,0)),0))</f>
        <v>0</v>
      </c>
      <c r="AR268" s="9" t="n">
        <f aca="false">IF(ISNUMBER(O268),O268*INDEX(LenF,MATCH($O$7,LenU,0)),IF(ISNUMBER(V268),V268*INDEX(LenF,MATCH($V$7,LenU,0)),0))</f>
        <v>0</v>
      </c>
      <c r="AS268" s="9" t="str">
        <f aca="false">IF(ISNUMBER(L268),L268*INDEX(LenF,MATCH($L$7,LenU,0))*1000,IF(OR(J268="",K268=""),"",IFERROR(IF(INDEX(PipeWT,MATCH(J268,NPSU,0),MATCH(K268,SchU,0))="","Sch n/a",INDEX(PipeOD,MATCH(J268,NPSU,0))-2*INDEX(PipeWT,MATCH(J268,NPSU,0),MATCH(K268,SchU,0))),"")))</f>
        <v/>
      </c>
      <c r="AT268" s="9" t="n">
        <f aca="false">IF(ISNUMBER(AI268),AI268,IFERROR(INDEX(IF(JobType="Decontamination",TypeFillDC,TypeFillCC),MATCH(E268,TypeL,0)),1))</f>
        <v>1</v>
      </c>
      <c r="AU268" s="9" t="n">
        <v>8</v>
      </c>
    </row>
    <row r="269" customFormat="false" ht="15" hidden="false" customHeight="false" outlineLevel="0" collapsed="false">
      <c r="A269" s="16" t="n">
        <v>29</v>
      </c>
      <c r="B269" s="20"/>
      <c r="C269" s="5"/>
      <c r="D269" s="5"/>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1" t="str">
        <f aca="false">IF(E269="Exchanger",IF(AND(ISNUMBER(S269),ISNUMBER(U269),ISNUMBER(V269)),S269*PI()/4*(U269*INDEX(LenF,MATCH($U$7,LenU,0)))^2*V269*INDEX(LenF,MATCH($V$7,LenU,0)),0)+IF(ISNUMBER(Y269),PI()/4*(Y269*INDEX(LenF,MATCH($Y$7,LenU,0)))^2*N(Z269)*INDEX(LenF,MATCH($Z$7,LenU,0))+IF(AA269="",0,IF(AA269="Conical",PI()/12*(Y269*INDEX(LenF,MATCH($Y$7,LenU,0)))^2*(0),INDEX(HeadK,MATCH(AA269,HeadU,0))*(Y269*INDEX(LenF,MATCH($Y$7,LenU,0)))^3)),0)+IF(ISNUMBER(Y269),PI()/4*(Y269*INDEX(LenF,MATCH($Y$7,LenU,0)))^2*N(AB269)*INDEX(LenF,MATCH($AB$7,LenU,0))+IF(AC269="",0,IF(AC269="Conical",PI()/12*(Y269*INDEX(LenF,MATCH($Y$7,LenU,0)))^2*(0),INDEX(HeadK,MATCH(AC269,HeadU,0))*(Y269*INDEX(LenF,MATCH($Y$7,LenU,0)))^3)),0),"")</f>
        <v/>
      </c>
      <c r="AE269" s="21" t="str">
        <f aca="false">IF(OR(E269="",E269="Piping"),"",IF(E269="Exchanger",AQ269*AR269+IF(P269="",0,IF(P269="Conical",PI()/12*(SQRT(4*AQ269/PI()))^2*(0),INDEX(HeadK,MATCH(P269,HeadU,0))*(SQRT(4*AQ269/PI()))^3))-IF(AND(ISNUMBER(S269),ISNUMBER(V269)),S269*PI()/4*AP269^2*V269*INDEX(LenF,MATCH($V$7,LenU,0)),0),IF(ISNUMBER(N269),PI()/4*(N269*INDEX(LenF,MATCH($N$7,LenU,0)))^2*N(O269)*INDEX(LenF,MATCH($O$7,LenU,0))+IF(P269="",0,IF(P269="Conical",PI()/12*(N269*INDEX(LenF,MATCH($N$7,LenU,0)))^2*(N(R269)*INDEX(LenF,MATCH($R$7,LenU,0))),INDEX(HeadK,MATCH(P269,HeadU,0))*(N269*INDEX(LenF,MATCH($N$7,LenU,0)))^3))+IF(Q269="",0,IF(Q269="Conical",PI()/12*(N269*INDEX(LenF,MATCH($N$7,LenU,0)))^2*(N(R269)*INDEX(LenF,MATCH($R$7,LenU,0))),INDEX(HeadK,MATCH(Q269,HeadU,0))*(N269*INDEX(LenF,MATCH($N$7,LenU,0)))^3)),0)))</f>
        <v/>
      </c>
      <c r="AF269" s="21" t="str">
        <f aca="false">IF(E269&lt;&gt;"Piping","",IF(AND(ISNUMBER(AS269),ISNUMBER(M269)),PI()/4*(AS269/1000)^2*M269*INDEX(LenF,MATCH($M$7,LenU,0)),0))</f>
        <v/>
      </c>
      <c r="AG269" s="21" t="str">
        <f aca="false">IF(E269="","",N(AD269)+N(AE269)+N(AF269))</f>
        <v/>
      </c>
      <c r="AH269" s="21" t="str">
        <f aca="false">IF(ISNUMBER(I269),I269*INDEX(WtF,MATCH($I$7,WtU,0))/WaterRho,"")</f>
        <v/>
      </c>
      <c r="AI269" s="11"/>
      <c r="AJ269" s="11"/>
      <c r="AK269" s="20"/>
      <c r="AL269" s="11"/>
      <c r="AM269" s="21" t="str">
        <f aca="false">IF(AO269="","",AO269*IF(ISNUMBER(AK269),AK269,DefFills)*(1+IF(ISNUMBER(AL269),AL269,DefAllow)))</f>
        <v/>
      </c>
      <c r="AN269" s="22" t="str">
        <f aca="false">IF(G269="Given volume",IF(ISNUMBER(H269),H269*INDEX(VolF,MATCH($H$7,VolU,0)),""),IF(G269="Water weight",AH269,IF(N(AG269)=0,"",AG269)))</f>
        <v/>
      </c>
      <c r="AO269" s="22" t="str">
        <f aca="false">IF(N(AN269)=0,"",AN269*AT269*IF(ISNUMBER(AJ269),AJ269,DefCirc))</f>
        <v/>
      </c>
      <c r="AP269" s="9" t="n">
        <f aca="false">IF(ISNUMBER(T269),T269*INDEX(LenF,MATCH($T$7,LenU,0)),IF(ISNUMBER(W269),W269*INDEX(LenF,MATCH($W$7,LenU,0))/PitchRatio,0))</f>
        <v>0</v>
      </c>
      <c r="AQ269" s="9" t="n">
        <f aca="false">IF(ISNUMBER(N269),PI()/4*(N269*INDEX(LenF,MATCH($N$7,LenU,0)))^2,IF(AND(ISNUMBER(S269),ISNUMBER(W269),X269&lt;&gt;""),S269*(W269*INDEX(LenF,MATCH($W$7,LenU,0)))^2*INDEX(LayoutF,MATCH(X269,LayoutU,0)),0))</f>
        <v>0</v>
      </c>
      <c r="AR269" s="9" t="n">
        <f aca="false">IF(ISNUMBER(O269),O269*INDEX(LenF,MATCH($O$7,LenU,0)),IF(ISNUMBER(V269),V269*INDEX(LenF,MATCH($V$7,LenU,0)),0))</f>
        <v>0</v>
      </c>
      <c r="AS269" s="9" t="str">
        <f aca="false">IF(ISNUMBER(L269),L269*INDEX(LenF,MATCH($L$7,LenU,0))*1000,IF(OR(J269="",K269=""),"",IFERROR(IF(INDEX(PipeWT,MATCH(J269,NPSU,0),MATCH(K269,SchU,0))="","Sch n/a",INDEX(PipeOD,MATCH(J269,NPSU,0))-2*INDEX(PipeWT,MATCH(J269,NPSU,0),MATCH(K269,SchU,0))),"")))</f>
        <v/>
      </c>
      <c r="AT269" s="9" t="n">
        <f aca="false">IF(ISNUMBER(AI269),AI269,IFERROR(INDEX(IF(JobType="Decontamination",TypeFillDC,TypeFillCC),MATCH(E269,TypeL,0)),1))</f>
        <v>1</v>
      </c>
      <c r="AU269" s="9" t="n">
        <v>8</v>
      </c>
    </row>
    <row r="270" customFormat="false" ht="15" hidden="false" customHeight="false" outlineLevel="0" collapsed="false">
      <c r="A270" s="16" t="n">
        <v>30</v>
      </c>
      <c r="B270" s="20"/>
      <c r="C270" s="5"/>
      <c r="D270" s="5"/>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1" t="str">
        <f aca="false">IF(E270="Exchanger",IF(AND(ISNUMBER(S270),ISNUMBER(U270),ISNUMBER(V270)),S270*PI()/4*(U270*INDEX(LenF,MATCH($U$7,LenU,0)))^2*V270*INDEX(LenF,MATCH($V$7,LenU,0)),0)+IF(ISNUMBER(Y270),PI()/4*(Y270*INDEX(LenF,MATCH($Y$7,LenU,0)))^2*N(Z270)*INDEX(LenF,MATCH($Z$7,LenU,0))+IF(AA270="",0,IF(AA270="Conical",PI()/12*(Y270*INDEX(LenF,MATCH($Y$7,LenU,0)))^2*(0),INDEX(HeadK,MATCH(AA270,HeadU,0))*(Y270*INDEX(LenF,MATCH($Y$7,LenU,0)))^3)),0)+IF(ISNUMBER(Y270),PI()/4*(Y270*INDEX(LenF,MATCH($Y$7,LenU,0)))^2*N(AB270)*INDEX(LenF,MATCH($AB$7,LenU,0))+IF(AC270="",0,IF(AC270="Conical",PI()/12*(Y270*INDEX(LenF,MATCH($Y$7,LenU,0)))^2*(0),INDEX(HeadK,MATCH(AC270,HeadU,0))*(Y270*INDEX(LenF,MATCH($Y$7,LenU,0)))^3)),0),"")</f>
        <v/>
      </c>
      <c r="AE270" s="21" t="str">
        <f aca="false">IF(OR(E270="",E270="Piping"),"",IF(E270="Exchanger",AQ270*AR270+IF(P270="",0,IF(P270="Conical",PI()/12*(SQRT(4*AQ270/PI()))^2*(0),INDEX(HeadK,MATCH(P270,HeadU,0))*(SQRT(4*AQ270/PI()))^3))-IF(AND(ISNUMBER(S270),ISNUMBER(V270)),S270*PI()/4*AP270^2*V270*INDEX(LenF,MATCH($V$7,LenU,0)),0),IF(ISNUMBER(N270),PI()/4*(N270*INDEX(LenF,MATCH($N$7,LenU,0)))^2*N(O270)*INDEX(LenF,MATCH($O$7,LenU,0))+IF(P270="",0,IF(P270="Conical",PI()/12*(N270*INDEX(LenF,MATCH($N$7,LenU,0)))^2*(N(R270)*INDEX(LenF,MATCH($R$7,LenU,0))),INDEX(HeadK,MATCH(P270,HeadU,0))*(N270*INDEX(LenF,MATCH($N$7,LenU,0)))^3))+IF(Q270="",0,IF(Q270="Conical",PI()/12*(N270*INDEX(LenF,MATCH($N$7,LenU,0)))^2*(N(R270)*INDEX(LenF,MATCH($R$7,LenU,0))),INDEX(HeadK,MATCH(Q270,HeadU,0))*(N270*INDEX(LenF,MATCH($N$7,LenU,0)))^3)),0)))</f>
        <v/>
      </c>
      <c r="AF270" s="21" t="str">
        <f aca="false">IF(E270&lt;&gt;"Piping","",IF(AND(ISNUMBER(AS270),ISNUMBER(M270)),PI()/4*(AS270/1000)^2*M270*INDEX(LenF,MATCH($M$7,LenU,0)),0))</f>
        <v/>
      </c>
      <c r="AG270" s="21" t="str">
        <f aca="false">IF(E270="","",N(AD270)+N(AE270)+N(AF270))</f>
        <v/>
      </c>
      <c r="AH270" s="21" t="str">
        <f aca="false">IF(ISNUMBER(I270),I270*INDEX(WtF,MATCH($I$7,WtU,0))/WaterRho,"")</f>
        <v/>
      </c>
      <c r="AI270" s="11"/>
      <c r="AJ270" s="11"/>
      <c r="AK270" s="20"/>
      <c r="AL270" s="11"/>
      <c r="AM270" s="21" t="str">
        <f aca="false">IF(AO270="","",AO270*IF(ISNUMBER(AK270),AK270,DefFills)*(1+IF(ISNUMBER(AL270),AL270,DefAllow)))</f>
        <v/>
      </c>
      <c r="AN270" s="22" t="str">
        <f aca="false">IF(G270="Given volume",IF(ISNUMBER(H270),H270*INDEX(VolF,MATCH($H$7,VolU,0)),""),IF(G270="Water weight",AH270,IF(N(AG270)=0,"",AG270)))</f>
        <v/>
      </c>
      <c r="AO270" s="22" t="str">
        <f aca="false">IF(N(AN270)=0,"",AN270*AT270*IF(ISNUMBER(AJ270),AJ270,DefCirc))</f>
        <v/>
      </c>
      <c r="AP270" s="9" t="n">
        <f aca="false">IF(ISNUMBER(T270),T270*INDEX(LenF,MATCH($T$7,LenU,0)),IF(ISNUMBER(W270),W270*INDEX(LenF,MATCH($W$7,LenU,0))/PitchRatio,0))</f>
        <v>0</v>
      </c>
      <c r="AQ270" s="9" t="n">
        <f aca="false">IF(ISNUMBER(N270),PI()/4*(N270*INDEX(LenF,MATCH($N$7,LenU,0)))^2,IF(AND(ISNUMBER(S270),ISNUMBER(W270),X270&lt;&gt;""),S270*(W270*INDEX(LenF,MATCH($W$7,LenU,0)))^2*INDEX(LayoutF,MATCH(X270,LayoutU,0)),0))</f>
        <v>0</v>
      </c>
      <c r="AR270" s="9" t="n">
        <f aca="false">IF(ISNUMBER(O270),O270*INDEX(LenF,MATCH($O$7,LenU,0)),IF(ISNUMBER(V270),V270*INDEX(LenF,MATCH($V$7,LenU,0)),0))</f>
        <v>0</v>
      </c>
      <c r="AS270" s="9" t="str">
        <f aca="false">IF(ISNUMBER(L270),L270*INDEX(LenF,MATCH($L$7,LenU,0))*1000,IF(OR(J270="",K270=""),"",IFERROR(IF(INDEX(PipeWT,MATCH(J270,NPSU,0),MATCH(K270,SchU,0))="","Sch n/a",INDEX(PipeOD,MATCH(J270,NPSU,0))-2*INDEX(PipeWT,MATCH(J270,NPSU,0),MATCH(K270,SchU,0))),"")))</f>
        <v/>
      </c>
      <c r="AT270" s="9" t="n">
        <f aca="false">IF(ISNUMBER(AI270),AI270,IFERROR(INDEX(IF(JobType="Decontamination",TypeFillDC,TypeFillCC),MATCH(E270,TypeL,0)),1))</f>
        <v>1</v>
      </c>
      <c r="AU270" s="9" t="n">
        <v>8</v>
      </c>
    </row>
    <row r="271" customFormat="false" ht="15" hidden="false" customHeight="false" outlineLevel="0" collapsed="false">
      <c r="A271" s="24" t="str">
        <f aca="false">"TOTAL – "&amp;INDEX(UnitNames,8)</f>
        <v>TOTAL – Unit 8</v>
      </c>
      <c r="B271" s="24"/>
      <c r="C271" s="24"/>
      <c r="D271" s="24"/>
      <c r="E271" s="25"/>
      <c r="F271" s="25"/>
      <c r="G271" s="25"/>
      <c r="H271" s="25"/>
      <c r="I271" s="25"/>
      <c r="J271" s="25"/>
      <c r="K271" s="25"/>
      <c r="L271" s="25"/>
      <c r="M271" s="25"/>
      <c r="N271" s="25"/>
      <c r="O271" s="25"/>
      <c r="P271" s="25"/>
      <c r="Q271" s="25"/>
      <c r="R271" s="25"/>
      <c r="S271" s="26" t="str">
        <f aca="false">COUNT(AN241:AN270)&amp;" items"</f>
        <v>0 items</v>
      </c>
      <c r="T271" s="25"/>
      <c r="U271" s="25"/>
      <c r="V271" s="25"/>
      <c r="W271" s="25"/>
      <c r="X271" s="25"/>
      <c r="Y271" s="25"/>
      <c r="Z271" s="25"/>
      <c r="AA271" s="25"/>
      <c r="AB271" s="25"/>
      <c r="AC271" s="25"/>
      <c r="AD271" s="27" t="n">
        <f aca="false">SUM(AD241:AD270)</f>
        <v>0</v>
      </c>
      <c r="AE271" s="27" t="n">
        <f aca="false">SUM(AE241:AE270)</f>
        <v>0</v>
      </c>
      <c r="AF271" s="27" t="n">
        <f aca="false">SUM(AF241:AF270)</f>
        <v>0</v>
      </c>
      <c r="AG271" s="27" t="n">
        <f aca="false">SUM(AG241:AG270)</f>
        <v>0</v>
      </c>
      <c r="AH271" s="27" t="n">
        <f aca="false">SUM(AH241:AH270)</f>
        <v>0</v>
      </c>
      <c r="AI271" s="25"/>
      <c r="AJ271" s="25"/>
      <c r="AK271" s="25"/>
      <c r="AL271" s="25"/>
      <c r="AM271" s="27" t="n">
        <f aca="false">SUM(AM241:AM270)</f>
        <v>0</v>
      </c>
      <c r="AN271" s="27" t="n">
        <f aca="false">SUM(AN241:AN270)</f>
        <v>0</v>
      </c>
      <c r="AO271" s="27" t="n">
        <f aca="false">SUM(AO241:AO270)</f>
        <v>0</v>
      </c>
    </row>
    <row r="273" customFormat="false" ht="15" hidden="false" customHeight="false" outlineLevel="0" collapsed="false">
      <c r="A273" s="18" t="str">
        <f aca="false">"UNIT 9:  "&amp;INDEX(UnitNames,9)</f>
        <v>UNIT 9:  Unit 9</v>
      </c>
      <c r="B273" s="18"/>
      <c r="C273" s="18"/>
      <c r="D273" s="18"/>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row>
    <row r="274" customFormat="false" ht="15" hidden="false" customHeight="false" outlineLevel="0" collapsed="false">
      <c r="A274" s="16" t="n">
        <v>1</v>
      </c>
      <c r="B274" s="20"/>
      <c r="C274" s="5"/>
      <c r="D274" s="5"/>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1" t="str">
        <f aca="false">IF(E274="Exchanger",IF(AND(ISNUMBER(S274),ISNUMBER(U274),ISNUMBER(V274)),S274*PI()/4*(U274*INDEX(LenF,MATCH($U$7,LenU,0)))^2*V274*INDEX(LenF,MATCH($V$7,LenU,0)),0)+IF(ISNUMBER(Y274),PI()/4*(Y274*INDEX(LenF,MATCH($Y$7,LenU,0)))^2*N(Z274)*INDEX(LenF,MATCH($Z$7,LenU,0))+IF(AA274="",0,IF(AA274="Conical",PI()/12*(Y274*INDEX(LenF,MATCH($Y$7,LenU,0)))^2*(0),INDEX(HeadK,MATCH(AA274,HeadU,0))*(Y274*INDEX(LenF,MATCH($Y$7,LenU,0)))^3)),0)+IF(ISNUMBER(Y274),PI()/4*(Y274*INDEX(LenF,MATCH($Y$7,LenU,0)))^2*N(AB274)*INDEX(LenF,MATCH($AB$7,LenU,0))+IF(AC274="",0,IF(AC274="Conical",PI()/12*(Y274*INDEX(LenF,MATCH($Y$7,LenU,0)))^2*(0),INDEX(HeadK,MATCH(AC274,HeadU,0))*(Y274*INDEX(LenF,MATCH($Y$7,LenU,0)))^3)),0),"")</f>
        <v/>
      </c>
      <c r="AE274" s="21" t="str">
        <f aca="false">IF(OR(E274="",E274="Piping"),"",IF(E274="Exchanger",AQ274*AR274+IF(P274="",0,IF(P274="Conical",PI()/12*(SQRT(4*AQ274/PI()))^2*(0),INDEX(HeadK,MATCH(P274,HeadU,0))*(SQRT(4*AQ274/PI()))^3))-IF(AND(ISNUMBER(S274),ISNUMBER(V274)),S274*PI()/4*AP274^2*V274*INDEX(LenF,MATCH($V$7,LenU,0)),0),IF(ISNUMBER(N274),PI()/4*(N274*INDEX(LenF,MATCH($N$7,LenU,0)))^2*N(O274)*INDEX(LenF,MATCH($O$7,LenU,0))+IF(P274="",0,IF(P274="Conical",PI()/12*(N274*INDEX(LenF,MATCH($N$7,LenU,0)))^2*(N(R274)*INDEX(LenF,MATCH($R$7,LenU,0))),INDEX(HeadK,MATCH(P274,HeadU,0))*(N274*INDEX(LenF,MATCH($N$7,LenU,0)))^3))+IF(Q274="",0,IF(Q274="Conical",PI()/12*(N274*INDEX(LenF,MATCH($N$7,LenU,0)))^2*(N(R274)*INDEX(LenF,MATCH($R$7,LenU,0))),INDEX(HeadK,MATCH(Q274,HeadU,0))*(N274*INDEX(LenF,MATCH($N$7,LenU,0)))^3)),0)))</f>
        <v/>
      </c>
      <c r="AF274" s="21" t="str">
        <f aca="false">IF(E274&lt;&gt;"Piping","",IF(AND(ISNUMBER(AS274),ISNUMBER(M274)),PI()/4*(AS274/1000)^2*M274*INDEX(LenF,MATCH($M$7,LenU,0)),0))</f>
        <v/>
      </c>
      <c r="AG274" s="21" t="str">
        <f aca="false">IF(E274="","",N(AD274)+N(AE274)+N(AF274))</f>
        <v/>
      </c>
      <c r="AH274" s="21" t="str">
        <f aca="false">IF(ISNUMBER(I274),I274*INDEX(WtF,MATCH($I$7,WtU,0))/WaterRho,"")</f>
        <v/>
      </c>
      <c r="AI274" s="11"/>
      <c r="AJ274" s="11"/>
      <c r="AK274" s="20"/>
      <c r="AL274" s="11"/>
      <c r="AM274" s="21" t="str">
        <f aca="false">IF(AO274="","",AO274*IF(ISNUMBER(AK274),AK274,DefFills)*(1+IF(ISNUMBER(AL274),AL274,DefAllow)))</f>
        <v/>
      </c>
      <c r="AN274" s="22" t="str">
        <f aca="false">IF(G274="Given volume",IF(ISNUMBER(H274),H274*INDEX(VolF,MATCH($H$7,VolU,0)),""),IF(G274="Water weight",AH274,IF(N(AG274)=0,"",AG274)))</f>
        <v/>
      </c>
      <c r="AO274" s="22" t="str">
        <f aca="false">IF(N(AN274)=0,"",AN274*AT274*IF(ISNUMBER(AJ274),AJ274,DefCirc))</f>
        <v/>
      </c>
      <c r="AP274" s="9" t="n">
        <f aca="false">IF(ISNUMBER(T274),T274*INDEX(LenF,MATCH($T$7,LenU,0)),IF(ISNUMBER(W274),W274*INDEX(LenF,MATCH($W$7,LenU,0))/PitchRatio,0))</f>
        <v>0</v>
      </c>
      <c r="AQ274" s="9" t="n">
        <f aca="false">IF(ISNUMBER(N274),PI()/4*(N274*INDEX(LenF,MATCH($N$7,LenU,0)))^2,IF(AND(ISNUMBER(S274),ISNUMBER(W274),X274&lt;&gt;""),S274*(W274*INDEX(LenF,MATCH($W$7,LenU,0)))^2*INDEX(LayoutF,MATCH(X274,LayoutU,0)),0))</f>
        <v>0</v>
      </c>
      <c r="AR274" s="9" t="n">
        <f aca="false">IF(ISNUMBER(O274),O274*INDEX(LenF,MATCH($O$7,LenU,0)),IF(ISNUMBER(V274),V274*INDEX(LenF,MATCH($V$7,LenU,0)),0))</f>
        <v>0</v>
      </c>
      <c r="AS274" s="9" t="str">
        <f aca="false">IF(ISNUMBER(L274),L274*INDEX(LenF,MATCH($L$7,LenU,0))*1000,IF(OR(J274="",K274=""),"",IFERROR(IF(INDEX(PipeWT,MATCH(J274,NPSU,0),MATCH(K274,SchU,0))="","Sch n/a",INDEX(PipeOD,MATCH(J274,NPSU,0))-2*INDEX(PipeWT,MATCH(J274,NPSU,0),MATCH(K274,SchU,0))),"")))</f>
        <v/>
      </c>
      <c r="AT274" s="9" t="n">
        <f aca="false">IF(ISNUMBER(AI274),AI274,IFERROR(INDEX(IF(JobType="Decontamination",TypeFillDC,TypeFillCC),MATCH(E274,TypeL,0)),1))</f>
        <v>1</v>
      </c>
      <c r="AU274" s="9" t="n">
        <v>9</v>
      </c>
    </row>
    <row r="275" customFormat="false" ht="15" hidden="false" customHeight="false" outlineLevel="0" collapsed="false">
      <c r="A275" s="16" t="n">
        <v>2</v>
      </c>
      <c r="B275" s="20"/>
      <c r="C275" s="5"/>
      <c r="D275" s="5"/>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1" t="str">
        <f aca="false">IF(E275="Exchanger",IF(AND(ISNUMBER(S275),ISNUMBER(U275),ISNUMBER(V275)),S275*PI()/4*(U275*INDEX(LenF,MATCH($U$7,LenU,0)))^2*V275*INDEX(LenF,MATCH($V$7,LenU,0)),0)+IF(ISNUMBER(Y275),PI()/4*(Y275*INDEX(LenF,MATCH($Y$7,LenU,0)))^2*N(Z275)*INDEX(LenF,MATCH($Z$7,LenU,0))+IF(AA275="",0,IF(AA275="Conical",PI()/12*(Y275*INDEX(LenF,MATCH($Y$7,LenU,0)))^2*(0),INDEX(HeadK,MATCH(AA275,HeadU,0))*(Y275*INDEX(LenF,MATCH($Y$7,LenU,0)))^3)),0)+IF(ISNUMBER(Y275),PI()/4*(Y275*INDEX(LenF,MATCH($Y$7,LenU,0)))^2*N(AB275)*INDEX(LenF,MATCH($AB$7,LenU,0))+IF(AC275="",0,IF(AC275="Conical",PI()/12*(Y275*INDEX(LenF,MATCH($Y$7,LenU,0)))^2*(0),INDEX(HeadK,MATCH(AC275,HeadU,0))*(Y275*INDEX(LenF,MATCH($Y$7,LenU,0)))^3)),0),"")</f>
        <v/>
      </c>
      <c r="AE275" s="21" t="str">
        <f aca="false">IF(OR(E275="",E275="Piping"),"",IF(E275="Exchanger",AQ275*AR275+IF(P275="",0,IF(P275="Conical",PI()/12*(SQRT(4*AQ275/PI()))^2*(0),INDEX(HeadK,MATCH(P275,HeadU,0))*(SQRT(4*AQ275/PI()))^3))-IF(AND(ISNUMBER(S275),ISNUMBER(V275)),S275*PI()/4*AP275^2*V275*INDEX(LenF,MATCH($V$7,LenU,0)),0),IF(ISNUMBER(N275),PI()/4*(N275*INDEX(LenF,MATCH($N$7,LenU,0)))^2*N(O275)*INDEX(LenF,MATCH($O$7,LenU,0))+IF(P275="",0,IF(P275="Conical",PI()/12*(N275*INDEX(LenF,MATCH($N$7,LenU,0)))^2*(N(R275)*INDEX(LenF,MATCH($R$7,LenU,0))),INDEX(HeadK,MATCH(P275,HeadU,0))*(N275*INDEX(LenF,MATCH($N$7,LenU,0)))^3))+IF(Q275="",0,IF(Q275="Conical",PI()/12*(N275*INDEX(LenF,MATCH($N$7,LenU,0)))^2*(N(R275)*INDEX(LenF,MATCH($R$7,LenU,0))),INDEX(HeadK,MATCH(Q275,HeadU,0))*(N275*INDEX(LenF,MATCH($N$7,LenU,0)))^3)),0)))</f>
        <v/>
      </c>
      <c r="AF275" s="21" t="str">
        <f aca="false">IF(E275&lt;&gt;"Piping","",IF(AND(ISNUMBER(AS275),ISNUMBER(M275)),PI()/4*(AS275/1000)^2*M275*INDEX(LenF,MATCH($M$7,LenU,0)),0))</f>
        <v/>
      </c>
      <c r="AG275" s="21" t="str">
        <f aca="false">IF(E275="","",N(AD275)+N(AE275)+N(AF275))</f>
        <v/>
      </c>
      <c r="AH275" s="21" t="str">
        <f aca="false">IF(ISNUMBER(I275),I275*INDEX(WtF,MATCH($I$7,WtU,0))/WaterRho,"")</f>
        <v/>
      </c>
      <c r="AI275" s="11"/>
      <c r="AJ275" s="11"/>
      <c r="AK275" s="20"/>
      <c r="AL275" s="11"/>
      <c r="AM275" s="21" t="str">
        <f aca="false">IF(AO275="","",AO275*IF(ISNUMBER(AK275),AK275,DefFills)*(1+IF(ISNUMBER(AL275),AL275,DefAllow)))</f>
        <v/>
      </c>
      <c r="AN275" s="22" t="str">
        <f aca="false">IF(G275="Given volume",IF(ISNUMBER(H275),H275*INDEX(VolF,MATCH($H$7,VolU,0)),""),IF(G275="Water weight",AH275,IF(N(AG275)=0,"",AG275)))</f>
        <v/>
      </c>
      <c r="AO275" s="22" t="str">
        <f aca="false">IF(N(AN275)=0,"",AN275*AT275*IF(ISNUMBER(AJ275),AJ275,DefCirc))</f>
        <v/>
      </c>
      <c r="AP275" s="9" t="n">
        <f aca="false">IF(ISNUMBER(T275),T275*INDEX(LenF,MATCH($T$7,LenU,0)),IF(ISNUMBER(W275),W275*INDEX(LenF,MATCH($W$7,LenU,0))/PitchRatio,0))</f>
        <v>0</v>
      </c>
      <c r="AQ275" s="9" t="n">
        <f aca="false">IF(ISNUMBER(N275),PI()/4*(N275*INDEX(LenF,MATCH($N$7,LenU,0)))^2,IF(AND(ISNUMBER(S275),ISNUMBER(W275),X275&lt;&gt;""),S275*(W275*INDEX(LenF,MATCH($W$7,LenU,0)))^2*INDEX(LayoutF,MATCH(X275,LayoutU,0)),0))</f>
        <v>0</v>
      </c>
      <c r="AR275" s="9" t="n">
        <f aca="false">IF(ISNUMBER(O275),O275*INDEX(LenF,MATCH($O$7,LenU,0)),IF(ISNUMBER(V275),V275*INDEX(LenF,MATCH($V$7,LenU,0)),0))</f>
        <v>0</v>
      </c>
      <c r="AS275" s="9" t="str">
        <f aca="false">IF(ISNUMBER(L275),L275*INDEX(LenF,MATCH($L$7,LenU,0))*1000,IF(OR(J275="",K275=""),"",IFERROR(IF(INDEX(PipeWT,MATCH(J275,NPSU,0),MATCH(K275,SchU,0))="","Sch n/a",INDEX(PipeOD,MATCH(J275,NPSU,0))-2*INDEX(PipeWT,MATCH(J275,NPSU,0),MATCH(K275,SchU,0))),"")))</f>
        <v/>
      </c>
      <c r="AT275" s="9" t="n">
        <f aca="false">IF(ISNUMBER(AI275),AI275,IFERROR(INDEX(IF(JobType="Decontamination",TypeFillDC,TypeFillCC),MATCH(E275,TypeL,0)),1))</f>
        <v>1</v>
      </c>
      <c r="AU275" s="9" t="n">
        <v>9</v>
      </c>
    </row>
    <row r="276" customFormat="false" ht="15" hidden="false" customHeight="false" outlineLevel="0" collapsed="false">
      <c r="A276" s="16" t="n">
        <v>3</v>
      </c>
      <c r="B276" s="20"/>
      <c r="C276" s="5"/>
      <c r="D276" s="5"/>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1" t="str">
        <f aca="false">IF(E276="Exchanger",IF(AND(ISNUMBER(S276),ISNUMBER(U276),ISNUMBER(V276)),S276*PI()/4*(U276*INDEX(LenF,MATCH($U$7,LenU,0)))^2*V276*INDEX(LenF,MATCH($V$7,LenU,0)),0)+IF(ISNUMBER(Y276),PI()/4*(Y276*INDEX(LenF,MATCH($Y$7,LenU,0)))^2*N(Z276)*INDEX(LenF,MATCH($Z$7,LenU,0))+IF(AA276="",0,IF(AA276="Conical",PI()/12*(Y276*INDEX(LenF,MATCH($Y$7,LenU,0)))^2*(0),INDEX(HeadK,MATCH(AA276,HeadU,0))*(Y276*INDEX(LenF,MATCH($Y$7,LenU,0)))^3)),0)+IF(ISNUMBER(Y276),PI()/4*(Y276*INDEX(LenF,MATCH($Y$7,LenU,0)))^2*N(AB276)*INDEX(LenF,MATCH($AB$7,LenU,0))+IF(AC276="",0,IF(AC276="Conical",PI()/12*(Y276*INDEX(LenF,MATCH($Y$7,LenU,0)))^2*(0),INDEX(HeadK,MATCH(AC276,HeadU,0))*(Y276*INDEX(LenF,MATCH($Y$7,LenU,0)))^3)),0),"")</f>
        <v/>
      </c>
      <c r="AE276" s="21" t="str">
        <f aca="false">IF(OR(E276="",E276="Piping"),"",IF(E276="Exchanger",AQ276*AR276+IF(P276="",0,IF(P276="Conical",PI()/12*(SQRT(4*AQ276/PI()))^2*(0),INDEX(HeadK,MATCH(P276,HeadU,0))*(SQRT(4*AQ276/PI()))^3))-IF(AND(ISNUMBER(S276),ISNUMBER(V276)),S276*PI()/4*AP276^2*V276*INDEX(LenF,MATCH($V$7,LenU,0)),0),IF(ISNUMBER(N276),PI()/4*(N276*INDEX(LenF,MATCH($N$7,LenU,0)))^2*N(O276)*INDEX(LenF,MATCH($O$7,LenU,0))+IF(P276="",0,IF(P276="Conical",PI()/12*(N276*INDEX(LenF,MATCH($N$7,LenU,0)))^2*(N(R276)*INDEX(LenF,MATCH($R$7,LenU,0))),INDEX(HeadK,MATCH(P276,HeadU,0))*(N276*INDEX(LenF,MATCH($N$7,LenU,0)))^3))+IF(Q276="",0,IF(Q276="Conical",PI()/12*(N276*INDEX(LenF,MATCH($N$7,LenU,0)))^2*(N(R276)*INDEX(LenF,MATCH($R$7,LenU,0))),INDEX(HeadK,MATCH(Q276,HeadU,0))*(N276*INDEX(LenF,MATCH($N$7,LenU,0)))^3)),0)))</f>
        <v/>
      </c>
      <c r="AF276" s="21" t="str">
        <f aca="false">IF(E276&lt;&gt;"Piping","",IF(AND(ISNUMBER(AS276),ISNUMBER(M276)),PI()/4*(AS276/1000)^2*M276*INDEX(LenF,MATCH($M$7,LenU,0)),0))</f>
        <v/>
      </c>
      <c r="AG276" s="21" t="str">
        <f aca="false">IF(E276="","",N(AD276)+N(AE276)+N(AF276))</f>
        <v/>
      </c>
      <c r="AH276" s="21" t="str">
        <f aca="false">IF(ISNUMBER(I276),I276*INDEX(WtF,MATCH($I$7,WtU,0))/WaterRho,"")</f>
        <v/>
      </c>
      <c r="AI276" s="11"/>
      <c r="AJ276" s="11"/>
      <c r="AK276" s="20"/>
      <c r="AL276" s="11"/>
      <c r="AM276" s="21" t="str">
        <f aca="false">IF(AO276="","",AO276*IF(ISNUMBER(AK276),AK276,DefFills)*(1+IF(ISNUMBER(AL276),AL276,DefAllow)))</f>
        <v/>
      </c>
      <c r="AN276" s="22" t="str">
        <f aca="false">IF(G276="Given volume",IF(ISNUMBER(H276),H276*INDEX(VolF,MATCH($H$7,VolU,0)),""),IF(G276="Water weight",AH276,IF(N(AG276)=0,"",AG276)))</f>
        <v/>
      </c>
      <c r="AO276" s="22" t="str">
        <f aca="false">IF(N(AN276)=0,"",AN276*AT276*IF(ISNUMBER(AJ276),AJ276,DefCirc))</f>
        <v/>
      </c>
      <c r="AP276" s="9" t="n">
        <f aca="false">IF(ISNUMBER(T276),T276*INDEX(LenF,MATCH($T$7,LenU,0)),IF(ISNUMBER(W276),W276*INDEX(LenF,MATCH($W$7,LenU,0))/PitchRatio,0))</f>
        <v>0</v>
      </c>
      <c r="AQ276" s="9" t="n">
        <f aca="false">IF(ISNUMBER(N276),PI()/4*(N276*INDEX(LenF,MATCH($N$7,LenU,0)))^2,IF(AND(ISNUMBER(S276),ISNUMBER(W276),X276&lt;&gt;""),S276*(W276*INDEX(LenF,MATCH($W$7,LenU,0)))^2*INDEX(LayoutF,MATCH(X276,LayoutU,0)),0))</f>
        <v>0</v>
      </c>
      <c r="AR276" s="9" t="n">
        <f aca="false">IF(ISNUMBER(O276),O276*INDEX(LenF,MATCH($O$7,LenU,0)),IF(ISNUMBER(V276),V276*INDEX(LenF,MATCH($V$7,LenU,0)),0))</f>
        <v>0</v>
      </c>
      <c r="AS276" s="9" t="str">
        <f aca="false">IF(ISNUMBER(L276),L276*INDEX(LenF,MATCH($L$7,LenU,0))*1000,IF(OR(J276="",K276=""),"",IFERROR(IF(INDEX(PipeWT,MATCH(J276,NPSU,0),MATCH(K276,SchU,0))="","Sch n/a",INDEX(PipeOD,MATCH(J276,NPSU,0))-2*INDEX(PipeWT,MATCH(J276,NPSU,0),MATCH(K276,SchU,0))),"")))</f>
        <v/>
      </c>
      <c r="AT276" s="9" t="n">
        <f aca="false">IF(ISNUMBER(AI276),AI276,IFERROR(INDEX(IF(JobType="Decontamination",TypeFillDC,TypeFillCC),MATCH(E276,TypeL,0)),1))</f>
        <v>1</v>
      </c>
      <c r="AU276" s="9" t="n">
        <v>9</v>
      </c>
    </row>
    <row r="277" customFormat="false" ht="15" hidden="false" customHeight="false" outlineLevel="0" collapsed="false">
      <c r="A277" s="16" t="n">
        <v>4</v>
      </c>
      <c r="B277" s="20"/>
      <c r="C277" s="5"/>
      <c r="D277" s="5"/>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1" t="str">
        <f aca="false">IF(E277="Exchanger",IF(AND(ISNUMBER(S277),ISNUMBER(U277),ISNUMBER(V277)),S277*PI()/4*(U277*INDEX(LenF,MATCH($U$7,LenU,0)))^2*V277*INDEX(LenF,MATCH($V$7,LenU,0)),0)+IF(ISNUMBER(Y277),PI()/4*(Y277*INDEX(LenF,MATCH($Y$7,LenU,0)))^2*N(Z277)*INDEX(LenF,MATCH($Z$7,LenU,0))+IF(AA277="",0,IF(AA277="Conical",PI()/12*(Y277*INDEX(LenF,MATCH($Y$7,LenU,0)))^2*(0),INDEX(HeadK,MATCH(AA277,HeadU,0))*(Y277*INDEX(LenF,MATCH($Y$7,LenU,0)))^3)),0)+IF(ISNUMBER(Y277),PI()/4*(Y277*INDEX(LenF,MATCH($Y$7,LenU,0)))^2*N(AB277)*INDEX(LenF,MATCH($AB$7,LenU,0))+IF(AC277="",0,IF(AC277="Conical",PI()/12*(Y277*INDEX(LenF,MATCH($Y$7,LenU,0)))^2*(0),INDEX(HeadK,MATCH(AC277,HeadU,0))*(Y277*INDEX(LenF,MATCH($Y$7,LenU,0)))^3)),0),"")</f>
        <v/>
      </c>
      <c r="AE277" s="21" t="str">
        <f aca="false">IF(OR(E277="",E277="Piping"),"",IF(E277="Exchanger",AQ277*AR277+IF(P277="",0,IF(P277="Conical",PI()/12*(SQRT(4*AQ277/PI()))^2*(0),INDEX(HeadK,MATCH(P277,HeadU,0))*(SQRT(4*AQ277/PI()))^3))-IF(AND(ISNUMBER(S277),ISNUMBER(V277)),S277*PI()/4*AP277^2*V277*INDEX(LenF,MATCH($V$7,LenU,0)),0),IF(ISNUMBER(N277),PI()/4*(N277*INDEX(LenF,MATCH($N$7,LenU,0)))^2*N(O277)*INDEX(LenF,MATCH($O$7,LenU,0))+IF(P277="",0,IF(P277="Conical",PI()/12*(N277*INDEX(LenF,MATCH($N$7,LenU,0)))^2*(N(R277)*INDEX(LenF,MATCH($R$7,LenU,0))),INDEX(HeadK,MATCH(P277,HeadU,0))*(N277*INDEX(LenF,MATCH($N$7,LenU,0)))^3))+IF(Q277="",0,IF(Q277="Conical",PI()/12*(N277*INDEX(LenF,MATCH($N$7,LenU,0)))^2*(N(R277)*INDEX(LenF,MATCH($R$7,LenU,0))),INDEX(HeadK,MATCH(Q277,HeadU,0))*(N277*INDEX(LenF,MATCH($N$7,LenU,0)))^3)),0)))</f>
        <v/>
      </c>
      <c r="AF277" s="21" t="str">
        <f aca="false">IF(E277&lt;&gt;"Piping","",IF(AND(ISNUMBER(AS277),ISNUMBER(M277)),PI()/4*(AS277/1000)^2*M277*INDEX(LenF,MATCH($M$7,LenU,0)),0))</f>
        <v/>
      </c>
      <c r="AG277" s="21" t="str">
        <f aca="false">IF(E277="","",N(AD277)+N(AE277)+N(AF277))</f>
        <v/>
      </c>
      <c r="AH277" s="21" t="str">
        <f aca="false">IF(ISNUMBER(I277),I277*INDEX(WtF,MATCH($I$7,WtU,0))/WaterRho,"")</f>
        <v/>
      </c>
      <c r="AI277" s="11"/>
      <c r="AJ277" s="11"/>
      <c r="AK277" s="20"/>
      <c r="AL277" s="11"/>
      <c r="AM277" s="21" t="str">
        <f aca="false">IF(AO277="","",AO277*IF(ISNUMBER(AK277),AK277,DefFills)*(1+IF(ISNUMBER(AL277),AL277,DefAllow)))</f>
        <v/>
      </c>
      <c r="AN277" s="22" t="str">
        <f aca="false">IF(G277="Given volume",IF(ISNUMBER(H277),H277*INDEX(VolF,MATCH($H$7,VolU,0)),""),IF(G277="Water weight",AH277,IF(N(AG277)=0,"",AG277)))</f>
        <v/>
      </c>
      <c r="AO277" s="22" t="str">
        <f aca="false">IF(N(AN277)=0,"",AN277*AT277*IF(ISNUMBER(AJ277),AJ277,DefCirc))</f>
        <v/>
      </c>
      <c r="AP277" s="9" t="n">
        <f aca="false">IF(ISNUMBER(T277),T277*INDEX(LenF,MATCH($T$7,LenU,0)),IF(ISNUMBER(W277),W277*INDEX(LenF,MATCH($W$7,LenU,0))/PitchRatio,0))</f>
        <v>0</v>
      </c>
      <c r="AQ277" s="9" t="n">
        <f aca="false">IF(ISNUMBER(N277),PI()/4*(N277*INDEX(LenF,MATCH($N$7,LenU,0)))^2,IF(AND(ISNUMBER(S277),ISNUMBER(W277),X277&lt;&gt;""),S277*(W277*INDEX(LenF,MATCH($W$7,LenU,0)))^2*INDEX(LayoutF,MATCH(X277,LayoutU,0)),0))</f>
        <v>0</v>
      </c>
      <c r="AR277" s="9" t="n">
        <f aca="false">IF(ISNUMBER(O277),O277*INDEX(LenF,MATCH($O$7,LenU,0)),IF(ISNUMBER(V277),V277*INDEX(LenF,MATCH($V$7,LenU,0)),0))</f>
        <v>0</v>
      </c>
      <c r="AS277" s="9" t="str">
        <f aca="false">IF(ISNUMBER(L277),L277*INDEX(LenF,MATCH($L$7,LenU,0))*1000,IF(OR(J277="",K277=""),"",IFERROR(IF(INDEX(PipeWT,MATCH(J277,NPSU,0),MATCH(K277,SchU,0))="","Sch n/a",INDEX(PipeOD,MATCH(J277,NPSU,0))-2*INDEX(PipeWT,MATCH(J277,NPSU,0),MATCH(K277,SchU,0))),"")))</f>
        <v/>
      </c>
      <c r="AT277" s="9" t="n">
        <f aca="false">IF(ISNUMBER(AI277),AI277,IFERROR(INDEX(IF(JobType="Decontamination",TypeFillDC,TypeFillCC),MATCH(E277,TypeL,0)),1))</f>
        <v>1</v>
      </c>
      <c r="AU277" s="9" t="n">
        <v>9</v>
      </c>
    </row>
    <row r="278" customFormat="false" ht="15" hidden="false" customHeight="false" outlineLevel="0" collapsed="false">
      <c r="A278" s="16" t="n">
        <v>5</v>
      </c>
      <c r="B278" s="20"/>
      <c r="C278" s="5"/>
      <c r="D278" s="5"/>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1" t="str">
        <f aca="false">IF(E278="Exchanger",IF(AND(ISNUMBER(S278),ISNUMBER(U278),ISNUMBER(V278)),S278*PI()/4*(U278*INDEX(LenF,MATCH($U$7,LenU,0)))^2*V278*INDEX(LenF,MATCH($V$7,LenU,0)),0)+IF(ISNUMBER(Y278),PI()/4*(Y278*INDEX(LenF,MATCH($Y$7,LenU,0)))^2*N(Z278)*INDEX(LenF,MATCH($Z$7,LenU,0))+IF(AA278="",0,IF(AA278="Conical",PI()/12*(Y278*INDEX(LenF,MATCH($Y$7,LenU,0)))^2*(0),INDEX(HeadK,MATCH(AA278,HeadU,0))*(Y278*INDEX(LenF,MATCH($Y$7,LenU,0)))^3)),0)+IF(ISNUMBER(Y278),PI()/4*(Y278*INDEX(LenF,MATCH($Y$7,LenU,0)))^2*N(AB278)*INDEX(LenF,MATCH($AB$7,LenU,0))+IF(AC278="",0,IF(AC278="Conical",PI()/12*(Y278*INDEX(LenF,MATCH($Y$7,LenU,0)))^2*(0),INDEX(HeadK,MATCH(AC278,HeadU,0))*(Y278*INDEX(LenF,MATCH($Y$7,LenU,0)))^3)),0),"")</f>
        <v/>
      </c>
      <c r="AE278" s="21" t="str">
        <f aca="false">IF(OR(E278="",E278="Piping"),"",IF(E278="Exchanger",AQ278*AR278+IF(P278="",0,IF(P278="Conical",PI()/12*(SQRT(4*AQ278/PI()))^2*(0),INDEX(HeadK,MATCH(P278,HeadU,0))*(SQRT(4*AQ278/PI()))^3))-IF(AND(ISNUMBER(S278),ISNUMBER(V278)),S278*PI()/4*AP278^2*V278*INDEX(LenF,MATCH($V$7,LenU,0)),0),IF(ISNUMBER(N278),PI()/4*(N278*INDEX(LenF,MATCH($N$7,LenU,0)))^2*N(O278)*INDEX(LenF,MATCH($O$7,LenU,0))+IF(P278="",0,IF(P278="Conical",PI()/12*(N278*INDEX(LenF,MATCH($N$7,LenU,0)))^2*(N(R278)*INDEX(LenF,MATCH($R$7,LenU,0))),INDEX(HeadK,MATCH(P278,HeadU,0))*(N278*INDEX(LenF,MATCH($N$7,LenU,0)))^3))+IF(Q278="",0,IF(Q278="Conical",PI()/12*(N278*INDEX(LenF,MATCH($N$7,LenU,0)))^2*(N(R278)*INDEX(LenF,MATCH($R$7,LenU,0))),INDEX(HeadK,MATCH(Q278,HeadU,0))*(N278*INDEX(LenF,MATCH($N$7,LenU,0)))^3)),0)))</f>
        <v/>
      </c>
      <c r="AF278" s="21" t="str">
        <f aca="false">IF(E278&lt;&gt;"Piping","",IF(AND(ISNUMBER(AS278),ISNUMBER(M278)),PI()/4*(AS278/1000)^2*M278*INDEX(LenF,MATCH($M$7,LenU,0)),0))</f>
        <v/>
      </c>
      <c r="AG278" s="21" t="str">
        <f aca="false">IF(E278="","",N(AD278)+N(AE278)+N(AF278))</f>
        <v/>
      </c>
      <c r="AH278" s="21" t="str">
        <f aca="false">IF(ISNUMBER(I278),I278*INDEX(WtF,MATCH($I$7,WtU,0))/WaterRho,"")</f>
        <v/>
      </c>
      <c r="AI278" s="11"/>
      <c r="AJ278" s="11"/>
      <c r="AK278" s="20"/>
      <c r="AL278" s="11"/>
      <c r="AM278" s="21" t="str">
        <f aca="false">IF(AO278="","",AO278*IF(ISNUMBER(AK278),AK278,DefFills)*(1+IF(ISNUMBER(AL278),AL278,DefAllow)))</f>
        <v/>
      </c>
      <c r="AN278" s="22" t="str">
        <f aca="false">IF(G278="Given volume",IF(ISNUMBER(H278),H278*INDEX(VolF,MATCH($H$7,VolU,0)),""),IF(G278="Water weight",AH278,IF(N(AG278)=0,"",AG278)))</f>
        <v/>
      </c>
      <c r="AO278" s="22" t="str">
        <f aca="false">IF(N(AN278)=0,"",AN278*AT278*IF(ISNUMBER(AJ278),AJ278,DefCirc))</f>
        <v/>
      </c>
      <c r="AP278" s="9" t="n">
        <f aca="false">IF(ISNUMBER(T278),T278*INDEX(LenF,MATCH($T$7,LenU,0)),IF(ISNUMBER(W278),W278*INDEX(LenF,MATCH($W$7,LenU,0))/PitchRatio,0))</f>
        <v>0</v>
      </c>
      <c r="AQ278" s="9" t="n">
        <f aca="false">IF(ISNUMBER(N278),PI()/4*(N278*INDEX(LenF,MATCH($N$7,LenU,0)))^2,IF(AND(ISNUMBER(S278),ISNUMBER(W278),X278&lt;&gt;""),S278*(W278*INDEX(LenF,MATCH($W$7,LenU,0)))^2*INDEX(LayoutF,MATCH(X278,LayoutU,0)),0))</f>
        <v>0</v>
      </c>
      <c r="AR278" s="9" t="n">
        <f aca="false">IF(ISNUMBER(O278),O278*INDEX(LenF,MATCH($O$7,LenU,0)),IF(ISNUMBER(V278),V278*INDEX(LenF,MATCH($V$7,LenU,0)),0))</f>
        <v>0</v>
      </c>
      <c r="AS278" s="9" t="str">
        <f aca="false">IF(ISNUMBER(L278),L278*INDEX(LenF,MATCH($L$7,LenU,0))*1000,IF(OR(J278="",K278=""),"",IFERROR(IF(INDEX(PipeWT,MATCH(J278,NPSU,0),MATCH(K278,SchU,0))="","Sch n/a",INDEX(PipeOD,MATCH(J278,NPSU,0))-2*INDEX(PipeWT,MATCH(J278,NPSU,0),MATCH(K278,SchU,0))),"")))</f>
        <v/>
      </c>
      <c r="AT278" s="9" t="n">
        <f aca="false">IF(ISNUMBER(AI278),AI278,IFERROR(INDEX(IF(JobType="Decontamination",TypeFillDC,TypeFillCC),MATCH(E278,TypeL,0)),1))</f>
        <v>1</v>
      </c>
      <c r="AU278" s="9" t="n">
        <v>9</v>
      </c>
    </row>
    <row r="279" customFormat="false" ht="15" hidden="false" customHeight="false" outlineLevel="0" collapsed="false">
      <c r="A279" s="16" t="n">
        <v>6</v>
      </c>
      <c r="B279" s="20"/>
      <c r="C279" s="5"/>
      <c r="D279" s="5"/>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1" t="str">
        <f aca="false">IF(E279="Exchanger",IF(AND(ISNUMBER(S279),ISNUMBER(U279),ISNUMBER(V279)),S279*PI()/4*(U279*INDEX(LenF,MATCH($U$7,LenU,0)))^2*V279*INDEX(LenF,MATCH($V$7,LenU,0)),0)+IF(ISNUMBER(Y279),PI()/4*(Y279*INDEX(LenF,MATCH($Y$7,LenU,0)))^2*N(Z279)*INDEX(LenF,MATCH($Z$7,LenU,0))+IF(AA279="",0,IF(AA279="Conical",PI()/12*(Y279*INDEX(LenF,MATCH($Y$7,LenU,0)))^2*(0),INDEX(HeadK,MATCH(AA279,HeadU,0))*(Y279*INDEX(LenF,MATCH($Y$7,LenU,0)))^3)),0)+IF(ISNUMBER(Y279),PI()/4*(Y279*INDEX(LenF,MATCH($Y$7,LenU,0)))^2*N(AB279)*INDEX(LenF,MATCH($AB$7,LenU,0))+IF(AC279="",0,IF(AC279="Conical",PI()/12*(Y279*INDEX(LenF,MATCH($Y$7,LenU,0)))^2*(0),INDEX(HeadK,MATCH(AC279,HeadU,0))*(Y279*INDEX(LenF,MATCH($Y$7,LenU,0)))^3)),0),"")</f>
        <v/>
      </c>
      <c r="AE279" s="21" t="str">
        <f aca="false">IF(OR(E279="",E279="Piping"),"",IF(E279="Exchanger",AQ279*AR279+IF(P279="",0,IF(P279="Conical",PI()/12*(SQRT(4*AQ279/PI()))^2*(0),INDEX(HeadK,MATCH(P279,HeadU,0))*(SQRT(4*AQ279/PI()))^3))-IF(AND(ISNUMBER(S279),ISNUMBER(V279)),S279*PI()/4*AP279^2*V279*INDEX(LenF,MATCH($V$7,LenU,0)),0),IF(ISNUMBER(N279),PI()/4*(N279*INDEX(LenF,MATCH($N$7,LenU,0)))^2*N(O279)*INDEX(LenF,MATCH($O$7,LenU,0))+IF(P279="",0,IF(P279="Conical",PI()/12*(N279*INDEX(LenF,MATCH($N$7,LenU,0)))^2*(N(R279)*INDEX(LenF,MATCH($R$7,LenU,0))),INDEX(HeadK,MATCH(P279,HeadU,0))*(N279*INDEX(LenF,MATCH($N$7,LenU,0)))^3))+IF(Q279="",0,IF(Q279="Conical",PI()/12*(N279*INDEX(LenF,MATCH($N$7,LenU,0)))^2*(N(R279)*INDEX(LenF,MATCH($R$7,LenU,0))),INDEX(HeadK,MATCH(Q279,HeadU,0))*(N279*INDEX(LenF,MATCH($N$7,LenU,0)))^3)),0)))</f>
        <v/>
      </c>
      <c r="AF279" s="21" t="str">
        <f aca="false">IF(E279&lt;&gt;"Piping","",IF(AND(ISNUMBER(AS279),ISNUMBER(M279)),PI()/4*(AS279/1000)^2*M279*INDEX(LenF,MATCH($M$7,LenU,0)),0))</f>
        <v/>
      </c>
      <c r="AG279" s="21" t="str">
        <f aca="false">IF(E279="","",N(AD279)+N(AE279)+N(AF279))</f>
        <v/>
      </c>
      <c r="AH279" s="21" t="str">
        <f aca="false">IF(ISNUMBER(I279),I279*INDEX(WtF,MATCH($I$7,WtU,0))/WaterRho,"")</f>
        <v/>
      </c>
      <c r="AI279" s="11"/>
      <c r="AJ279" s="11"/>
      <c r="AK279" s="20"/>
      <c r="AL279" s="11"/>
      <c r="AM279" s="21" t="str">
        <f aca="false">IF(AO279="","",AO279*IF(ISNUMBER(AK279),AK279,DefFills)*(1+IF(ISNUMBER(AL279),AL279,DefAllow)))</f>
        <v/>
      </c>
      <c r="AN279" s="22" t="str">
        <f aca="false">IF(G279="Given volume",IF(ISNUMBER(H279),H279*INDEX(VolF,MATCH($H$7,VolU,0)),""),IF(G279="Water weight",AH279,IF(N(AG279)=0,"",AG279)))</f>
        <v/>
      </c>
      <c r="AO279" s="22" t="str">
        <f aca="false">IF(N(AN279)=0,"",AN279*AT279*IF(ISNUMBER(AJ279),AJ279,DefCirc))</f>
        <v/>
      </c>
      <c r="AP279" s="9" t="n">
        <f aca="false">IF(ISNUMBER(T279),T279*INDEX(LenF,MATCH($T$7,LenU,0)),IF(ISNUMBER(W279),W279*INDEX(LenF,MATCH($W$7,LenU,0))/PitchRatio,0))</f>
        <v>0</v>
      </c>
      <c r="AQ279" s="9" t="n">
        <f aca="false">IF(ISNUMBER(N279),PI()/4*(N279*INDEX(LenF,MATCH($N$7,LenU,0)))^2,IF(AND(ISNUMBER(S279),ISNUMBER(W279),X279&lt;&gt;""),S279*(W279*INDEX(LenF,MATCH($W$7,LenU,0)))^2*INDEX(LayoutF,MATCH(X279,LayoutU,0)),0))</f>
        <v>0</v>
      </c>
      <c r="AR279" s="9" t="n">
        <f aca="false">IF(ISNUMBER(O279),O279*INDEX(LenF,MATCH($O$7,LenU,0)),IF(ISNUMBER(V279),V279*INDEX(LenF,MATCH($V$7,LenU,0)),0))</f>
        <v>0</v>
      </c>
      <c r="AS279" s="9" t="str">
        <f aca="false">IF(ISNUMBER(L279),L279*INDEX(LenF,MATCH($L$7,LenU,0))*1000,IF(OR(J279="",K279=""),"",IFERROR(IF(INDEX(PipeWT,MATCH(J279,NPSU,0),MATCH(K279,SchU,0))="","Sch n/a",INDEX(PipeOD,MATCH(J279,NPSU,0))-2*INDEX(PipeWT,MATCH(J279,NPSU,0),MATCH(K279,SchU,0))),"")))</f>
        <v/>
      </c>
      <c r="AT279" s="9" t="n">
        <f aca="false">IF(ISNUMBER(AI279),AI279,IFERROR(INDEX(IF(JobType="Decontamination",TypeFillDC,TypeFillCC),MATCH(E279,TypeL,0)),1))</f>
        <v>1</v>
      </c>
      <c r="AU279" s="9" t="n">
        <v>9</v>
      </c>
    </row>
    <row r="280" customFormat="false" ht="15" hidden="false" customHeight="false" outlineLevel="0" collapsed="false">
      <c r="A280" s="16" t="n">
        <v>7</v>
      </c>
      <c r="B280" s="20"/>
      <c r="C280" s="5"/>
      <c r="D280" s="5"/>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1" t="str">
        <f aca="false">IF(E280="Exchanger",IF(AND(ISNUMBER(S280),ISNUMBER(U280),ISNUMBER(V280)),S280*PI()/4*(U280*INDEX(LenF,MATCH($U$7,LenU,0)))^2*V280*INDEX(LenF,MATCH($V$7,LenU,0)),0)+IF(ISNUMBER(Y280),PI()/4*(Y280*INDEX(LenF,MATCH($Y$7,LenU,0)))^2*N(Z280)*INDEX(LenF,MATCH($Z$7,LenU,0))+IF(AA280="",0,IF(AA280="Conical",PI()/12*(Y280*INDEX(LenF,MATCH($Y$7,LenU,0)))^2*(0),INDEX(HeadK,MATCH(AA280,HeadU,0))*(Y280*INDEX(LenF,MATCH($Y$7,LenU,0)))^3)),0)+IF(ISNUMBER(Y280),PI()/4*(Y280*INDEX(LenF,MATCH($Y$7,LenU,0)))^2*N(AB280)*INDEX(LenF,MATCH($AB$7,LenU,0))+IF(AC280="",0,IF(AC280="Conical",PI()/12*(Y280*INDEX(LenF,MATCH($Y$7,LenU,0)))^2*(0),INDEX(HeadK,MATCH(AC280,HeadU,0))*(Y280*INDEX(LenF,MATCH($Y$7,LenU,0)))^3)),0),"")</f>
        <v/>
      </c>
      <c r="AE280" s="21" t="str">
        <f aca="false">IF(OR(E280="",E280="Piping"),"",IF(E280="Exchanger",AQ280*AR280+IF(P280="",0,IF(P280="Conical",PI()/12*(SQRT(4*AQ280/PI()))^2*(0),INDEX(HeadK,MATCH(P280,HeadU,0))*(SQRT(4*AQ280/PI()))^3))-IF(AND(ISNUMBER(S280),ISNUMBER(V280)),S280*PI()/4*AP280^2*V280*INDEX(LenF,MATCH($V$7,LenU,0)),0),IF(ISNUMBER(N280),PI()/4*(N280*INDEX(LenF,MATCH($N$7,LenU,0)))^2*N(O280)*INDEX(LenF,MATCH($O$7,LenU,0))+IF(P280="",0,IF(P280="Conical",PI()/12*(N280*INDEX(LenF,MATCH($N$7,LenU,0)))^2*(N(R280)*INDEX(LenF,MATCH($R$7,LenU,0))),INDEX(HeadK,MATCH(P280,HeadU,0))*(N280*INDEX(LenF,MATCH($N$7,LenU,0)))^3))+IF(Q280="",0,IF(Q280="Conical",PI()/12*(N280*INDEX(LenF,MATCH($N$7,LenU,0)))^2*(N(R280)*INDEX(LenF,MATCH($R$7,LenU,0))),INDEX(HeadK,MATCH(Q280,HeadU,0))*(N280*INDEX(LenF,MATCH($N$7,LenU,0)))^3)),0)))</f>
        <v/>
      </c>
      <c r="AF280" s="21" t="str">
        <f aca="false">IF(E280&lt;&gt;"Piping","",IF(AND(ISNUMBER(AS280),ISNUMBER(M280)),PI()/4*(AS280/1000)^2*M280*INDEX(LenF,MATCH($M$7,LenU,0)),0))</f>
        <v/>
      </c>
      <c r="AG280" s="21" t="str">
        <f aca="false">IF(E280="","",N(AD280)+N(AE280)+N(AF280))</f>
        <v/>
      </c>
      <c r="AH280" s="21" t="str">
        <f aca="false">IF(ISNUMBER(I280),I280*INDEX(WtF,MATCH($I$7,WtU,0))/WaterRho,"")</f>
        <v/>
      </c>
      <c r="AI280" s="11"/>
      <c r="AJ280" s="11"/>
      <c r="AK280" s="20"/>
      <c r="AL280" s="11"/>
      <c r="AM280" s="21" t="str">
        <f aca="false">IF(AO280="","",AO280*IF(ISNUMBER(AK280),AK280,DefFills)*(1+IF(ISNUMBER(AL280),AL280,DefAllow)))</f>
        <v/>
      </c>
      <c r="AN280" s="22" t="str">
        <f aca="false">IF(G280="Given volume",IF(ISNUMBER(H280),H280*INDEX(VolF,MATCH($H$7,VolU,0)),""),IF(G280="Water weight",AH280,IF(N(AG280)=0,"",AG280)))</f>
        <v/>
      </c>
      <c r="AO280" s="22" t="str">
        <f aca="false">IF(N(AN280)=0,"",AN280*AT280*IF(ISNUMBER(AJ280),AJ280,DefCirc))</f>
        <v/>
      </c>
      <c r="AP280" s="9" t="n">
        <f aca="false">IF(ISNUMBER(T280),T280*INDEX(LenF,MATCH($T$7,LenU,0)),IF(ISNUMBER(W280),W280*INDEX(LenF,MATCH($W$7,LenU,0))/PitchRatio,0))</f>
        <v>0</v>
      </c>
      <c r="AQ280" s="9" t="n">
        <f aca="false">IF(ISNUMBER(N280),PI()/4*(N280*INDEX(LenF,MATCH($N$7,LenU,0)))^2,IF(AND(ISNUMBER(S280),ISNUMBER(W280),X280&lt;&gt;""),S280*(W280*INDEX(LenF,MATCH($W$7,LenU,0)))^2*INDEX(LayoutF,MATCH(X280,LayoutU,0)),0))</f>
        <v>0</v>
      </c>
      <c r="AR280" s="9" t="n">
        <f aca="false">IF(ISNUMBER(O280),O280*INDEX(LenF,MATCH($O$7,LenU,0)),IF(ISNUMBER(V280),V280*INDEX(LenF,MATCH($V$7,LenU,0)),0))</f>
        <v>0</v>
      </c>
      <c r="AS280" s="9" t="str">
        <f aca="false">IF(ISNUMBER(L280),L280*INDEX(LenF,MATCH($L$7,LenU,0))*1000,IF(OR(J280="",K280=""),"",IFERROR(IF(INDEX(PipeWT,MATCH(J280,NPSU,0),MATCH(K280,SchU,0))="","Sch n/a",INDEX(PipeOD,MATCH(J280,NPSU,0))-2*INDEX(PipeWT,MATCH(J280,NPSU,0),MATCH(K280,SchU,0))),"")))</f>
        <v/>
      </c>
      <c r="AT280" s="9" t="n">
        <f aca="false">IF(ISNUMBER(AI280),AI280,IFERROR(INDEX(IF(JobType="Decontamination",TypeFillDC,TypeFillCC),MATCH(E280,TypeL,0)),1))</f>
        <v>1</v>
      </c>
      <c r="AU280" s="9" t="n">
        <v>9</v>
      </c>
    </row>
    <row r="281" customFormat="false" ht="15" hidden="false" customHeight="false" outlineLevel="0" collapsed="false">
      <c r="A281" s="16" t="n">
        <v>8</v>
      </c>
      <c r="B281" s="20"/>
      <c r="C281" s="5"/>
      <c r="D281" s="5"/>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1" t="str">
        <f aca="false">IF(E281="Exchanger",IF(AND(ISNUMBER(S281),ISNUMBER(U281),ISNUMBER(V281)),S281*PI()/4*(U281*INDEX(LenF,MATCH($U$7,LenU,0)))^2*V281*INDEX(LenF,MATCH($V$7,LenU,0)),0)+IF(ISNUMBER(Y281),PI()/4*(Y281*INDEX(LenF,MATCH($Y$7,LenU,0)))^2*N(Z281)*INDEX(LenF,MATCH($Z$7,LenU,0))+IF(AA281="",0,IF(AA281="Conical",PI()/12*(Y281*INDEX(LenF,MATCH($Y$7,LenU,0)))^2*(0),INDEX(HeadK,MATCH(AA281,HeadU,0))*(Y281*INDEX(LenF,MATCH($Y$7,LenU,0)))^3)),0)+IF(ISNUMBER(Y281),PI()/4*(Y281*INDEX(LenF,MATCH($Y$7,LenU,0)))^2*N(AB281)*INDEX(LenF,MATCH($AB$7,LenU,0))+IF(AC281="",0,IF(AC281="Conical",PI()/12*(Y281*INDEX(LenF,MATCH($Y$7,LenU,0)))^2*(0),INDEX(HeadK,MATCH(AC281,HeadU,0))*(Y281*INDEX(LenF,MATCH($Y$7,LenU,0)))^3)),0),"")</f>
        <v/>
      </c>
      <c r="AE281" s="21" t="str">
        <f aca="false">IF(OR(E281="",E281="Piping"),"",IF(E281="Exchanger",AQ281*AR281+IF(P281="",0,IF(P281="Conical",PI()/12*(SQRT(4*AQ281/PI()))^2*(0),INDEX(HeadK,MATCH(P281,HeadU,0))*(SQRT(4*AQ281/PI()))^3))-IF(AND(ISNUMBER(S281),ISNUMBER(V281)),S281*PI()/4*AP281^2*V281*INDEX(LenF,MATCH($V$7,LenU,0)),0),IF(ISNUMBER(N281),PI()/4*(N281*INDEX(LenF,MATCH($N$7,LenU,0)))^2*N(O281)*INDEX(LenF,MATCH($O$7,LenU,0))+IF(P281="",0,IF(P281="Conical",PI()/12*(N281*INDEX(LenF,MATCH($N$7,LenU,0)))^2*(N(R281)*INDEX(LenF,MATCH($R$7,LenU,0))),INDEX(HeadK,MATCH(P281,HeadU,0))*(N281*INDEX(LenF,MATCH($N$7,LenU,0)))^3))+IF(Q281="",0,IF(Q281="Conical",PI()/12*(N281*INDEX(LenF,MATCH($N$7,LenU,0)))^2*(N(R281)*INDEX(LenF,MATCH($R$7,LenU,0))),INDEX(HeadK,MATCH(Q281,HeadU,0))*(N281*INDEX(LenF,MATCH($N$7,LenU,0)))^3)),0)))</f>
        <v/>
      </c>
      <c r="AF281" s="21" t="str">
        <f aca="false">IF(E281&lt;&gt;"Piping","",IF(AND(ISNUMBER(AS281),ISNUMBER(M281)),PI()/4*(AS281/1000)^2*M281*INDEX(LenF,MATCH($M$7,LenU,0)),0))</f>
        <v/>
      </c>
      <c r="AG281" s="21" t="str">
        <f aca="false">IF(E281="","",N(AD281)+N(AE281)+N(AF281))</f>
        <v/>
      </c>
      <c r="AH281" s="21" t="str">
        <f aca="false">IF(ISNUMBER(I281),I281*INDEX(WtF,MATCH($I$7,WtU,0))/WaterRho,"")</f>
        <v/>
      </c>
      <c r="AI281" s="11"/>
      <c r="AJ281" s="11"/>
      <c r="AK281" s="20"/>
      <c r="AL281" s="11"/>
      <c r="AM281" s="21" t="str">
        <f aca="false">IF(AO281="","",AO281*IF(ISNUMBER(AK281),AK281,DefFills)*(1+IF(ISNUMBER(AL281),AL281,DefAllow)))</f>
        <v/>
      </c>
      <c r="AN281" s="22" t="str">
        <f aca="false">IF(G281="Given volume",IF(ISNUMBER(H281),H281*INDEX(VolF,MATCH($H$7,VolU,0)),""),IF(G281="Water weight",AH281,IF(N(AG281)=0,"",AG281)))</f>
        <v/>
      </c>
      <c r="AO281" s="22" t="str">
        <f aca="false">IF(N(AN281)=0,"",AN281*AT281*IF(ISNUMBER(AJ281),AJ281,DefCirc))</f>
        <v/>
      </c>
      <c r="AP281" s="9" t="n">
        <f aca="false">IF(ISNUMBER(T281),T281*INDEX(LenF,MATCH($T$7,LenU,0)),IF(ISNUMBER(W281),W281*INDEX(LenF,MATCH($W$7,LenU,0))/PitchRatio,0))</f>
        <v>0</v>
      </c>
      <c r="AQ281" s="9" t="n">
        <f aca="false">IF(ISNUMBER(N281),PI()/4*(N281*INDEX(LenF,MATCH($N$7,LenU,0)))^2,IF(AND(ISNUMBER(S281),ISNUMBER(W281),X281&lt;&gt;""),S281*(W281*INDEX(LenF,MATCH($W$7,LenU,0)))^2*INDEX(LayoutF,MATCH(X281,LayoutU,0)),0))</f>
        <v>0</v>
      </c>
      <c r="AR281" s="9" t="n">
        <f aca="false">IF(ISNUMBER(O281),O281*INDEX(LenF,MATCH($O$7,LenU,0)),IF(ISNUMBER(V281),V281*INDEX(LenF,MATCH($V$7,LenU,0)),0))</f>
        <v>0</v>
      </c>
      <c r="AS281" s="9" t="str">
        <f aca="false">IF(ISNUMBER(L281),L281*INDEX(LenF,MATCH($L$7,LenU,0))*1000,IF(OR(J281="",K281=""),"",IFERROR(IF(INDEX(PipeWT,MATCH(J281,NPSU,0),MATCH(K281,SchU,0))="","Sch n/a",INDEX(PipeOD,MATCH(J281,NPSU,0))-2*INDEX(PipeWT,MATCH(J281,NPSU,0),MATCH(K281,SchU,0))),"")))</f>
        <v/>
      </c>
      <c r="AT281" s="9" t="n">
        <f aca="false">IF(ISNUMBER(AI281),AI281,IFERROR(INDEX(IF(JobType="Decontamination",TypeFillDC,TypeFillCC),MATCH(E281,TypeL,0)),1))</f>
        <v>1</v>
      </c>
      <c r="AU281" s="9" t="n">
        <v>9</v>
      </c>
    </row>
    <row r="282" customFormat="false" ht="15" hidden="false" customHeight="false" outlineLevel="0" collapsed="false">
      <c r="A282" s="16" t="n">
        <v>9</v>
      </c>
      <c r="B282" s="20"/>
      <c r="C282" s="5"/>
      <c r="D282" s="5"/>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1" t="str">
        <f aca="false">IF(E282="Exchanger",IF(AND(ISNUMBER(S282),ISNUMBER(U282),ISNUMBER(V282)),S282*PI()/4*(U282*INDEX(LenF,MATCH($U$7,LenU,0)))^2*V282*INDEX(LenF,MATCH($V$7,LenU,0)),0)+IF(ISNUMBER(Y282),PI()/4*(Y282*INDEX(LenF,MATCH($Y$7,LenU,0)))^2*N(Z282)*INDEX(LenF,MATCH($Z$7,LenU,0))+IF(AA282="",0,IF(AA282="Conical",PI()/12*(Y282*INDEX(LenF,MATCH($Y$7,LenU,0)))^2*(0),INDEX(HeadK,MATCH(AA282,HeadU,0))*(Y282*INDEX(LenF,MATCH($Y$7,LenU,0)))^3)),0)+IF(ISNUMBER(Y282),PI()/4*(Y282*INDEX(LenF,MATCH($Y$7,LenU,0)))^2*N(AB282)*INDEX(LenF,MATCH($AB$7,LenU,0))+IF(AC282="",0,IF(AC282="Conical",PI()/12*(Y282*INDEX(LenF,MATCH($Y$7,LenU,0)))^2*(0),INDEX(HeadK,MATCH(AC282,HeadU,0))*(Y282*INDEX(LenF,MATCH($Y$7,LenU,0)))^3)),0),"")</f>
        <v/>
      </c>
      <c r="AE282" s="21" t="str">
        <f aca="false">IF(OR(E282="",E282="Piping"),"",IF(E282="Exchanger",AQ282*AR282+IF(P282="",0,IF(P282="Conical",PI()/12*(SQRT(4*AQ282/PI()))^2*(0),INDEX(HeadK,MATCH(P282,HeadU,0))*(SQRT(4*AQ282/PI()))^3))-IF(AND(ISNUMBER(S282),ISNUMBER(V282)),S282*PI()/4*AP282^2*V282*INDEX(LenF,MATCH($V$7,LenU,0)),0),IF(ISNUMBER(N282),PI()/4*(N282*INDEX(LenF,MATCH($N$7,LenU,0)))^2*N(O282)*INDEX(LenF,MATCH($O$7,LenU,0))+IF(P282="",0,IF(P282="Conical",PI()/12*(N282*INDEX(LenF,MATCH($N$7,LenU,0)))^2*(N(R282)*INDEX(LenF,MATCH($R$7,LenU,0))),INDEX(HeadK,MATCH(P282,HeadU,0))*(N282*INDEX(LenF,MATCH($N$7,LenU,0)))^3))+IF(Q282="",0,IF(Q282="Conical",PI()/12*(N282*INDEX(LenF,MATCH($N$7,LenU,0)))^2*(N(R282)*INDEX(LenF,MATCH($R$7,LenU,0))),INDEX(HeadK,MATCH(Q282,HeadU,0))*(N282*INDEX(LenF,MATCH($N$7,LenU,0)))^3)),0)))</f>
        <v/>
      </c>
      <c r="AF282" s="21" t="str">
        <f aca="false">IF(E282&lt;&gt;"Piping","",IF(AND(ISNUMBER(AS282),ISNUMBER(M282)),PI()/4*(AS282/1000)^2*M282*INDEX(LenF,MATCH($M$7,LenU,0)),0))</f>
        <v/>
      </c>
      <c r="AG282" s="21" t="str">
        <f aca="false">IF(E282="","",N(AD282)+N(AE282)+N(AF282))</f>
        <v/>
      </c>
      <c r="AH282" s="21" t="str">
        <f aca="false">IF(ISNUMBER(I282),I282*INDEX(WtF,MATCH($I$7,WtU,0))/WaterRho,"")</f>
        <v/>
      </c>
      <c r="AI282" s="11"/>
      <c r="AJ282" s="11"/>
      <c r="AK282" s="20"/>
      <c r="AL282" s="11"/>
      <c r="AM282" s="21" t="str">
        <f aca="false">IF(AO282="","",AO282*IF(ISNUMBER(AK282),AK282,DefFills)*(1+IF(ISNUMBER(AL282),AL282,DefAllow)))</f>
        <v/>
      </c>
      <c r="AN282" s="22" t="str">
        <f aca="false">IF(G282="Given volume",IF(ISNUMBER(H282),H282*INDEX(VolF,MATCH($H$7,VolU,0)),""),IF(G282="Water weight",AH282,IF(N(AG282)=0,"",AG282)))</f>
        <v/>
      </c>
      <c r="AO282" s="22" t="str">
        <f aca="false">IF(N(AN282)=0,"",AN282*AT282*IF(ISNUMBER(AJ282),AJ282,DefCirc))</f>
        <v/>
      </c>
      <c r="AP282" s="9" t="n">
        <f aca="false">IF(ISNUMBER(T282),T282*INDEX(LenF,MATCH($T$7,LenU,0)),IF(ISNUMBER(W282),W282*INDEX(LenF,MATCH($W$7,LenU,0))/PitchRatio,0))</f>
        <v>0</v>
      </c>
      <c r="AQ282" s="9" t="n">
        <f aca="false">IF(ISNUMBER(N282),PI()/4*(N282*INDEX(LenF,MATCH($N$7,LenU,0)))^2,IF(AND(ISNUMBER(S282),ISNUMBER(W282),X282&lt;&gt;""),S282*(W282*INDEX(LenF,MATCH($W$7,LenU,0)))^2*INDEX(LayoutF,MATCH(X282,LayoutU,0)),0))</f>
        <v>0</v>
      </c>
      <c r="AR282" s="9" t="n">
        <f aca="false">IF(ISNUMBER(O282),O282*INDEX(LenF,MATCH($O$7,LenU,0)),IF(ISNUMBER(V282),V282*INDEX(LenF,MATCH($V$7,LenU,0)),0))</f>
        <v>0</v>
      </c>
      <c r="AS282" s="9" t="str">
        <f aca="false">IF(ISNUMBER(L282),L282*INDEX(LenF,MATCH($L$7,LenU,0))*1000,IF(OR(J282="",K282=""),"",IFERROR(IF(INDEX(PipeWT,MATCH(J282,NPSU,0),MATCH(K282,SchU,0))="","Sch n/a",INDEX(PipeOD,MATCH(J282,NPSU,0))-2*INDEX(PipeWT,MATCH(J282,NPSU,0),MATCH(K282,SchU,0))),"")))</f>
        <v/>
      </c>
      <c r="AT282" s="9" t="n">
        <f aca="false">IF(ISNUMBER(AI282),AI282,IFERROR(INDEX(IF(JobType="Decontamination",TypeFillDC,TypeFillCC),MATCH(E282,TypeL,0)),1))</f>
        <v>1</v>
      </c>
      <c r="AU282" s="9" t="n">
        <v>9</v>
      </c>
    </row>
    <row r="283" customFormat="false" ht="15" hidden="false" customHeight="false" outlineLevel="0" collapsed="false">
      <c r="A283" s="16" t="n">
        <v>10</v>
      </c>
      <c r="B283" s="20"/>
      <c r="C283" s="5"/>
      <c r="D283" s="5"/>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1" t="str">
        <f aca="false">IF(E283="Exchanger",IF(AND(ISNUMBER(S283),ISNUMBER(U283),ISNUMBER(V283)),S283*PI()/4*(U283*INDEX(LenF,MATCH($U$7,LenU,0)))^2*V283*INDEX(LenF,MATCH($V$7,LenU,0)),0)+IF(ISNUMBER(Y283),PI()/4*(Y283*INDEX(LenF,MATCH($Y$7,LenU,0)))^2*N(Z283)*INDEX(LenF,MATCH($Z$7,LenU,0))+IF(AA283="",0,IF(AA283="Conical",PI()/12*(Y283*INDEX(LenF,MATCH($Y$7,LenU,0)))^2*(0),INDEX(HeadK,MATCH(AA283,HeadU,0))*(Y283*INDEX(LenF,MATCH($Y$7,LenU,0)))^3)),0)+IF(ISNUMBER(Y283),PI()/4*(Y283*INDEX(LenF,MATCH($Y$7,LenU,0)))^2*N(AB283)*INDEX(LenF,MATCH($AB$7,LenU,0))+IF(AC283="",0,IF(AC283="Conical",PI()/12*(Y283*INDEX(LenF,MATCH($Y$7,LenU,0)))^2*(0),INDEX(HeadK,MATCH(AC283,HeadU,0))*(Y283*INDEX(LenF,MATCH($Y$7,LenU,0)))^3)),0),"")</f>
        <v/>
      </c>
      <c r="AE283" s="21" t="str">
        <f aca="false">IF(OR(E283="",E283="Piping"),"",IF(E283="Exchanger",AQ283*AR283+IF(P283="",0,IF(P283="Conical",PI()/12*(SQRT(4*AQ283/PI()))^2*(0),INDEX(HeadK,MATCH(P283,HeadU,0))*(SQRT(4*AQ283/PI()))^3))-IF(AND(ISNUMBER(S283),ISNUMBER(V283)),S283*PI()/4*AP283^2*V283*INDEX(LenF,MATCH($V$7,LenU,0)),0),IF(ISNUMBER(N283),PI()/4*(N283*INDEX(LenF,MATCH($N$7,LenU,0)))^2*N(O283)*INDEX(LenF,MATCH($O$7,LenU,0))+IF(P283="",0,IF(P283="Conical",PI()/12*(N283*INDEX(LenF,MATCH($N$7,LenU,0)))^2*(N(R283)*INDEX(LenF,MATCH($R$7,LenU,0))),INDEX(HeadK,MATCH(P283,HeadU,0))*(N283*INDEX(LenF,MATCH($N$7,LenU,0)))^3))+IF(Q283="",0,IF(Q283="Conical",PI()/12*(N283*INDEX(LenF,MATCH($N$7,LenU,0)))^2*(N(R283)*INDEX(LenF,MATCH($R$7,LenU,0))),INDEX(HeadK,MATCH(Q283,HeadU,0))*(N283*INDEX(LenF,MATCH($N$7,LenU,0)))^3)),0)))</f>
        <v/>
      </c>
      <c r="AF283" s="21" t="str">
        <f aca="false">IF(E283&lt;&gt;"Piping","",IF(AND(ISNUMBER(AS283),ISNUMBER(M283)),PI()/4*(AS283/1000)^2*M283*INDEX(LenF,MATCH($M$7,LenU,0)),0))</f>
        <v/>
      </c>
      <c r="AG283" s="21" t="str">
        <f aca="false">IF(E283="","",N(AD283)+N(AE283)+N(AF283))</f>
        <v/>
      </c>
      <c r="AH283" s="21" t="str">
        <f aca="false">IF(ISNUMBER(I283),I283*INDEX(WtF,MATCH($I$7,WtU,0))/WaterRho,"")</f>
        <v/>
      </c>
      <c r="AI283" s="11"/>
      <c r="AJ283" s="11"/>
      <c r="AK283" s="20"/>
      <c r="AL283" s="11"/>
      <c r="AM283" s="21" t="str">
        <f aca="false">IF(AO283="","",AO283*IF(ISNUMBER(AK283),AK283,DefFills)*(1+IF(ISNUMBER(AL283),AL283,DefAllow)))</f>
        <v/>
      </c>
      <c r="AN283" s="22" t="str">
        <f aca="false">IF(G283="Given volume",IF(ISNUMBER(H283),H283*INDEX(VolF,MATCH($H$7,VolU,0)),""),IF(G283="Water weight",AH283,IF(N(AG283)=0,"",AG283)))</f>
        <v/>
      </c>
      <c r="AO283" s="22" t="str">
        <f aca="false">IF(N(AN283)=0,"",AN283*AT283*IF(ISNUMBER(AJ283),AJ283,DefCirc))</f>
        <v/>
      </c>
      <c r="AP283" s="9" t="n">
        <f aca="false">IF(ISNUMBER(T283),T283*INDEX(LenF,MATCH($T$7,LenU,0)),IF(ISNUMBER(W283),W283*INDEX(LenF,MATCH($W$7,LenU,0))/PitchRatio,0))</f>
        <v>0</v>
      </c>
      <c r="AQ283" s="9" t="n">
        <f aca="false">IF(ISNUMBER(N283),PI()/4*(N283*INDEX(LenF,MATCH($N$7,LenU,0)))^2,IF(AND(ISNUMBER(S283),ISNUMBER(W283),X283&lt;&gt;""),S283*(W283*INDEX(LenF,MATCH($W$7,LenU,0)))^2*INDEX(LayoutF,MATCH(X283,LayoutU,0)),0))</f>
        <v>0</v>
      </c>
      <c r="AR283" s="9" t="n">
        <f aca="false">IF(ISNUMBER(O283),O283*INDEX(LenF,MATCH($O$7,LenU,0)),IF(ISNUMBER(V283),V283*INDEX(LenF,MATCH($V$7,LenU,0)),0))</f>
        <v>0</v>
      </c>
      <c r="AS283" s="9" t="str">
        <f aca="false">IF(ISNUMBER(L283),L283*INDEX(LenF,MATCH($L$7,LenU,0))*1000,IF(OR(J283="",K283=""),"",IFERROR(IF(INDEX(PipeWT,MATCH(J283,NPSU,0),MATCH(K283,SchU,0))="","Sch n/a",INDEX(PipeOD,MATCH(J283,NPSU,0))-2*INDEX(PipeWT,MATCH(J283,NPSU,0),MATCH(K283,SchU,0))),"")))</f>
        <v/>
      </c>
      <c r="AT283" s="9" t="n">
        <f aca="false">IF(ISNUMBER(AI283),AI283,IFERROR(INDEX(IF(JobType="Decontamination",TypeFillDC,TypeFillCC),MATCH(E283,TypeL,0)),1))</f>
        <v>1</v>
      </c>
      <c r="AU283" s="9" t="n">
        <v>9</v>
      </c>
    </row>
    <row r="284" customFormat="false" ht="15" hidden="false" customHeight="false" outlineLevel="0" collapsed="false">
      <c r="A284" s="16" t="n">
        <v>11</v>
      </c>
      <c r="B284" s="20"/>
      <c r="C284" s="5"/>
      <c r="D284" s="5"/>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1" t="str">
        <f aca="false">IF(E284="Exchanger",IF(AND(ISNUMBER(S284),ISNUMBER(U284),ISNUMBER(V284)),S284*PI()/4*(U284*INDEX(LenF,MATCH($U$7,LenU,0)))^2*V284*INDEX(LenF,MATCH($V$7,LenU,0)),0)+IF(ISNUMBER(Y284),PI()/4*(Y284*INDEX(LenF,MATCH($Y$7,LenU,0)))^2*N(Z284)*INDEX(LenF,MATCH($Z$7,LenU,0))+IF(AA284="",0,IF(AA284="Conical",PI()/12*(Y284*INDEX(LenF,MATCH($Y$7,LenU,0)))^2*(0),INDEX(HeadK,MATCH(AA284,HeadU,0))*(Y284*INDEX(LenF,MATCH($Y$7,LenU,0)))^3)),0)+IF(ISNUMBER(Y284),PI()/4*(Y284*INDEX(LenF,MATCH($Y$7,LenU,0)))^2*N(AB284)*INDEX(LenF,MATCH($AB$7,LenU,0))+IF(AC284="",0,IF(AC284="Conical",PI()/12*(Y284*INDEX(LenF,MATCH($Y$7,LenU,0)))^2*(0),INDEX(HeadK,MATCH(AC284,HeadU,0))*(Y284*INDEX(LenF,MATCH($Y$7,LenU,0)))^3)),0),"")</f>
        <v/>
      </c>
      <c r="AE284" s="21" t="str">
        <f aca="false">IF(OR(E284="",E284="Piping"),"",IF(E284="Exchanger",AQ284*AR284+IF(P284="",0,IF(P284="Conical",PI()/12*(SQRT(4*AQ284/PI()))^2*(0),INDEX(HeadK,MATCH(P284,HeadU,0))*(SQRT(4*AQ284/PI()))^3))-IF(AND(ISNUMBER(S284),ISNUMBER(V284)),S284*PI()/4*AP284^2*V284*INDEX(LenF,MATCH($V$7,LenU,0)),0),IF(ISNUMBER(N284),PI()/4*(N284*INDEX(LenF,MATCH($N$7,LenU,0)))^2*N(O284)*INDEX(LenF,MATCH($O$7,LenU,0))+IF(P284="",0,IF(P284="Conical",PI()/12*(N284*INDEX(LenF,MATCH($N$7,LenU,0)))^2*(N(R284)*INDEX(LenF,MATCH($R$7,LenU,0))),INDEX(HeadK,MATCH(P284,HeadU,0))*(N284*INDEX(LenF,MATCH($N$7,LenU,0)))^3))+IF(Q284="",0,IF(Q284="Conical",PI()/12*(N284*INDEX(LenF,MATCH($N$7,LenU,0)))^2*(N(R284)*INDEX(LenF,MATCH($R$7,LenU,0))),INDEX(HeadK,MATCH(Q284,HeadU,0))*(N284*INDEX(LenF,MATCH($N$7,LenU,0)))^3)),0)))</f>
        <v/>
      </c>
      <c r="AF284" s="21" t="str">
        <f aca="false">IF(E284&lt;&gt;"Piping","",IF(AND(ISNUMBER(AS284),ISNUMBER(M284)),PI()/4*(AS284/1000)^2*M284*INDEX(LenF,MATCH($M$7,LenU,0)),0))</f>
        <v/>
      </c>
      <c r="AG284" s="21" t="str">
        <f aca="false">IF(E284="","",N(AD284)+N(AE284)+N(AF284))</f>
        <v/>
      </c>
      <c r="AH284" s="21" t="str">
        <f aca="false">IF(ISNUMBER(I284),I284*INDEX(WtF,MATCH($I$7,WtU,0))/WaterRho,"")</f>
        <v/>
      </c>
      <c r="AI284" s="11"/>
      <c r="AJ284" s="11"/>
      <c r="AK284" s="20"/>
      <c r="AL284" s="11"/>
      <c r="AM284" s="21" t="str">
        <f aca="false">IF(AO284="","",AO284*IF(ISNUMBER(AK284),AK284,DefFills)*(1+IF(ISNUMBER(AL284),AL284,DefAllow)))</f>
        <v/>
      </c>
      <c r="AN284" s="22" t="str">
        <f aca="false">IF(G284="Given volume",IF(ISNUMBER(H284),H284*INDEX(VolF,MATCH($H$7,VolU,0)),""),IF(G284="Water weight",AH284,IF(N(AG284)=0,"",AG284)))</f>
        <v/>
      </c>
      <c r="AO284" s="22" t="str">
        <f aca="false">IF(N(AN284)=0,"",AN284*AT284*IF(ISNUMBER(AJ284),AJ284,DefCirc))</f>
        <v/>
      </c>
      <c r="AP284" s="9" t="n">
        <f aca="false">IF(ISNUMBER(T284),T284*INDEX(LenF,MATCH($T$7,LenU,0)),IF(ISNUMBER(W284),W284*INDEX(LenF,MATCH($W$7,LenU,0))/PitchRatio,0))</f>
        <v>0</v>
      </c>
      <c r="AQ284" s="9" t="n">
        <f aca="false">IF(ISNUMBER(N284),PI()/4*(N284*INDEX(LenF,MATCH($N$7,LenU,0)))^2,IF(AND(ISNUMBER(S284),ISNUMBER(W284),X284&lt;&gt;""),S284*(W284*INDEX(LenF,MATCH($W$7,LenU,0)))^2*INDEX(LayoutF,MATCH(X284,LayoutU,0)),0))</f>
        <v>0</v>
      </c>
      <c r="AR284" s="9" t="n">
        <f aca="false">IF(ISNUMBER(O284),O284*INDEX(LenF,MATCH($O$7,LenU,0)),IF(ISNUMBER(V284),V284*INDEX(LenF,MATCH($V$7,LenU,0)),0))</f>
        <v>0</v>
      </c>
      <c r="AS284" s="9" t="str">
        <f aca="false">IF(ISNUMBER(L284),L284*INDEX(LenF,MATCH($L$7,LenU,0))*1000,IF(OR(J284="",K284=""),"",IFERROR(IF(INDEX(PipeWT,MATCH(J284,NPSU,0),MATCH(K284,SchU,0))="","Sch n/a",INDEX(PipeOD,MATCH(J284,NPSU,0))-2*INDEX(PipeWT,MATCH(J284,NPSU,0),MATCH(K284,SchU,0))),"")))</f>
        <v/>
      </c>
      <c r="AT284" s="9" t="n">
        <f aca="false">IF(ISNUMBER(AI284),AI284,IFERROR(INDEX(IF(JobType="Decontamination",TypeFillDC,TypeFillCC),MATCH(E284,TypeL,0)),1))</f>
        <v>1</v>
      </c>
      <c r="AU284" s="9" t="n">
        <v>9</v>
      </c>
    </row>
    <row r="285" customFormat="false" ht="15" hidden="false" customHeight="false" outlineLevel="0" collapsed="false">
      <c r="A285" s="16" t="n">
        <v>12</v>
      </c>
      <c r="B285" s="20"/>
      <c r="C285" s="5"/>
      <c r="D285" s="5"/>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1" t="str">
        <f aca="false">IF(E285="Exchanger",IF(AND(ISNUMBER(S285),ISNUMBER(U285),ISNUMBER(V285)),S285*PI()/4*(U285*INDEX(LenF,MATCH($U$7,LenU,0)))^2*V285*INDEX(LenF,MATCH($V$7,LenU,0)),0)+IF(ISNUMBER(Y285),PI()/4*(Y285*INDEX(LenF,MATCH($Y$7,LenU,0)))^2*N(Z285)*INDEX(LenF,MATCH($Z$7,LenU,0))+IF(AA285="",0,IF(AA285="Conical",PI()/12*(Y285*INDEX(LenF,MATCH($Y$7,LenU,0)))^2*(0),INDEX(HeadK,MATCH(AA285,HeadU,0))*(Y285*INDEX(LenF,MATCH($Y$7,LenU,0)))^3)),0)+IF(ISNUMBER(Y285),PI()/4*(Y285*INDEX(LenF,MATCH($Y$7,LenU,0)))^2*N(AB285)*INDEX(LenF,MATCH($AB$7,LenU,0))+IF(AC285="",0,IF(AC285="Conical",PI()/12*(Y285*INDEX(LenF,MATCH($Y$7,LenU,0)))^2*(0),INDEX(HeadK,MATCH(AC285,HeadU,0))*(Y285*INDEX(LenF,MATCH($Y$7,LenU,0)))^3)),0),"")</f>
        <v/>
      </c>
      <c r="AE285" s="21" t="str">
        <f aca="false">IF(OR(E285="",E285="Piping"),"",IF(E285="Exchanger",AQ285*AR285+IF(P285="",0,IF(P285="Conical",PI()/12*(SQRT(4*AQ285/PI()))^2*(0),INDEX(HeadK,MATCH(P285,HeadU,0))*(SQRT(4*AQ285/PI()))^3))-IF(AND(ISNUMBER(S285),ISNUMBER(V285)),S285*PI()/4*AP285^2*V285*INDEX(LenF,MATCH($V$7,LenU,0)),0),IF(ISNUMBER(N285),PI()/4*(N285*INDEX(LenF,MATCH($N$7,LenU,0)))^2*N(O285)*INDEX(LenF,MATCH($O$7,LenU,0))+IF(P285="",0,IF(P285="Conical",PI()/12*(N285*INDEX(LenF,MATCH($N$7,LenU,0)))^2*(N(R285)*INDEX(LenF,MATCH($R$7,LenU,0))),INDEX(HeadK,MATCH(P285,HeadU,0))*(N285*INDEX(LenF,MATCH($N$7,LenU,0)))^3))+IF(Q285="",0,IF(Q285="Conical",PI()/12*(N285*INDEX(LenF,MATCH($N$7,LenU,0)))^2*(N(R285)*INDEX(LenF,MATCH($R$7,LenU,0))),INDEX(HeadK,MATCH(Q285,HeadU,0))*(N285*INDEX(LenF,MATCH($N$7,LenU,0)))^3)),0)))</f>
        <v/>
      </c>
      <c r="AF285" s="21" t="str">
        <f aca="false">IF(E285&lt;&gt;"Piping","",IF(AND(ISNUMBER(AS285),ISNUMBER(M285)),PI()/4*(AS285/1000)^2*M285*INDEX(LenF,MATCH($M$7,LenU,0)),0))</f>
        <v/>
      </c>
      <c r="AG285" s="21" t="str">
        <f aca="false">IF(E285="","",N(AD285)+N(AE285)+N(AF285))</f>
        <v/>
      </c>
      <c r="AH285" s="21" t="str">
        <f aca="false">IF(ISNUMBER(I285),I285*INDEX(WtF,MATCH($I$7,WtU,0))/WaterRho,"")</f>
        <v/>
      </c>
      <c r="AI285" s="11"/>
      <c r="AJ285" s="11"/>
      <c r="AK285" s="20"/>
      <c r="AL285" s="11"/>
      <c r="AM285" s="21" t="str">
        <f aca="false">IF(AO285="","",AO285*IF(ISNUMBER(AK285),AK285,DefFills)*(1+IF(ISNUMBER(AL285),AL285,DefAllow)))</f>
        <v/>
      </c>
      <c r="AN285" s="22" t="str">
        <f aca="false">IF(G285="Given volume",IF(ISNUMBER(H285),H285*INDEX(VolF,MATCH($H$7,VolU,0)),""),IF(G285="Water weight",AH285,IF(N(AG285)=0,"",AG285)))</f>
        <v/>
      </c>
      <c r="AO285" s="22" t="str">
        <f aca="false">IF(N(AN285)=0,"",AN285*AT285*IF(ISNUMBER(AJ285),AJ285,DefCirc))</f>
        <v/>
      </c>
      <c r="AP285" s="9" t="n">
        <f aca="false">IF(ISNUMBER(T285),T285*INDEX(LenF,MATCH($T$7,LenU,0)),IF(ISNUMBER(W285),W285*INDEX(LenF,MATCH($W$7,LenU,0))/PitchRatio,0))</f>
        <v>0</v>
      </c>
      <c r="AQ285" s="9" t="n">
        <f aca="false">IF(ISNUMBER(N285),PI()/4*(N285*INDEX(LenF,MATCH($N$7,LenU,0)))^2,IF(AND(ISNUMBER(S285),ISNUMBER(W285),X285&lt;&gt;""),S285*(W285*INDEX(LenF,MATCH($W$7,LenU,0)))^2*INDEX(LayoutF,MATCH(X285,LayoutU,0)),0))</f>
        <v>0</v>
      </c>
      <c r="AR285" s="9" t="n">
        <f aca="false">IF(ISNUMBER(O285),O285*INDEX(LenF,MATCH($O$7,LenU,0)),IF(ISNUMBER(V285),V285*INDEX(LenF,MATCH($V$7,LenU,0)),0))</f>
        <v>0</v>
      </c>
      <c r="AS285" s="9" t="str">
        <f aca="false">IF(ISNUMBER(L285),L285*INDEX(LenF,MATCH($L$7,LenU,0))*1000,IF(OR(J285="",K285=""),"",IFERROR(IF(INDEX(PipeWT,MATCH(J285,NPSU,0),MATCH(K285,SchU,0))="","Sch n/a",INDEX(PipeOD,MATCH(J285,NPSU,0))-2*INDEX(PipeWT,MATCH(J285,NPSU,0),MATCH(K285,SchU,0))),"")))</f>
        <v/>
      </c>
      <c r="AT285" s="9" t="n">
        <f aca="false">IF(ISNUMBER(AI285),AI285,IFERROR(INDEX(IF(JobType="Decontamination",TypeFillDC,TypeFillCC),MATCH(E285,TypeL,0)),1))</f>
        <v>1</v>
      </c>
      <c r="AU285" s="9" t="n">
        <v>9</v>
      </c>
    </row>
    <row r="286" customFormat="false" ht="15" hidden="false" customHeight="false" outlineLevel="0" collapsed="false">
      <c r="A286" s="16" t="n">
        <v>13</v>
      </c>
      <c r="B286" s="20"/>
      <c r="C286" s="5"/>
      <c r="D286" s="5"/>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1" t="str">
        <f aca="false">IF(E286="Exchanger",IF(AND(ISNUMBER(S286),ISNUMBER(U286),ISNUMBER(V286)),S286*PI()/4*(U286*INDEX(LenF,MATCH($U$7,LenU,0)))^2*V286*INDEX(LenF,MATCH($V$7,LenU,0)),0)+IF(ISNUMBER(Y286),PI()/4*(Y286*INDEX(LenF,MATCH($Y$7,LenU,0)))^2*N(Z286)*INDEX(LenF,MATCH($Z$7,LenU,0))+IF(AA286="",0,IF(AA286="Conical",PI()/12*(Y286*INDEX(LenF,MATCH($Y$7,LenU,0)))^2*(0),INDEX(HeadK,MATCH(AA286,HeadU,0))*(Y286*INDEX(LenF,MATCH($Y$7,LenU,0)))^3)),0)+IF(ISNUMBER(Y286),PI()/4*(Y286*INDEX(LenF,MATCH($Y$7,LenU,0)))^2*N(AB286)*INDEX(LenF,MATCH($AB$7,LenU,0))+IF(AC286="",0,IF(AC286="Conical",PI()/12*(Y286*INDEX(LenF,MATCH($Y$7,LenU,0)))^2*(0),INDEX(HeadK,MATCH(AC286,HeadU,0))*(Y286*INDEX(LenF,MATCH($Y$7,LenU,0)))^3)),0),"")</f>
        <v/>
      </c>
      <c r="AE286" s="21" t="str">
        <f aca="false">IF(OR(E286="",E286="Piping"),"",IF(E286="Exchanger",AQ286*AR286+IF(P286="",0,IF(P286="Conical",PI()/12*(SQRT(4*AQ286/PI()))^2*(0),INDEX(HeadK,MATCH(P286,HeadU,0))*(SQRT(4*AQ286/PI()))^3))-IF(AND(ISNUMBER(S286),ISNUMBER(V286)),S286*PI()/4*AP286^2*V286*INDEX(LenF,MATCH($V$7,LenU,0)),0),IF(ISNUMBER(N286),PI()/4*(N286*INDEX(LenF,MATCH($N$7,LenU,0)))^2*N(O286)*INDEX(LenF,MATCH($O$7,LenU,0))+IF(P286="",0,IF(P286="Conical",PI()/12*(N286*INDEX(LenF,MATCH($N$7,LenU,0)))^2*(N(R286)*INDEX(LenF,MATCH($R$7,LenU,0))),INDEX(HeadK,MATCH(P286,HeadU,0))*(N286*INDEX(LenF,MATCH($N$7,LenU,0)))^3))+IF(Q286="",0,IF(Q286="Conical",PI()/12*(N286*INDEX(LenF,MATCH($N$7,LenU,0)))^2*(N(R286)*INDEX(LenF,MATCH($R$7,LenU,0))),INDEX(HeadK,MATCH(Q286,HeadU,0))*(N286*INDEX(LenF,MATCH($N$7,LenU,0)))^3)),0)))</f>
        <v/>
      </c>
      <c r="AF286" s="21" t="str">
        <f aca="false">IF(E286&lt;&gt;"Piping","",IF(AND(ISNUMBER(AS286),ISNUMBER(M286)),PI()/4*(AS286/1000)^2*M286*INDEX(LenF,MATCH($M$7,LenU,0)),0))</f>
        <v/>
      </c>
      <c r="AG286" s="21" t="str">
        <f aca="false">IF(E286="","",N(AD286)+N(AE286)+N(AF286))</f>
        <v/>
      </c>
      <c r="AH286" s="21" t="str">
        <f aca="false">IF(ISNUMBER(I286),I286*INDEX(WtF,MATCH($I$7,WtU,0))/WaterRho,"")</f>
        <v/>
      </c>
      <c r="AI286" s="11"/>
      <c r="AJ286" s="11"/>
      <c r="AK286" s="20"/>
      <c r="AL286" s="11"/>
      <c r="AM286" s="21" t="str">
        <f aca="false">IF(AO286="","",AO286*IF(ISNUMBER(AK286),AK286,DefFills)*(1+IF(ISNUMBER(AL286),AL286,DefAllow)))</f>
        <v/>
      </c>
      <c r="AN286" s="22" t="str">
        <f aca="false">IF(G286="Given volume",IF(ISNUMBER(H286),H286*INDEX(VolF,MATCH($H$7,VolU,0)),""),IF(G286="Water weight",AH286,IF(N(AG286)=0,"",AG286)))</f>
        <v/>
      </c>
      <c r="AO286" s="22" t="str">
        <f aca="false">IF(N(AN286)=0,"",AN286*AT286*IF(ISNUMBER(AJ286),AJ286,DefCirc))</f>
        <v/>
      </c>
      <c r="AP286" s="9" t="n">
        <f aca="false">IF(ISNUMBER(T286),T286*INDEX(LenF,MATCH($T$7,LenU,0)),IF(ISNUMBER(W286),W286*INDEX(LenF,MATCH($W$7,LenU,0))/PitchRatio,0))</f>
        <v>0</v>
      </c>
      <c r="AQ286" s="9" t="n">
        <f aca="false">IF(ISNUMBER(N286),PI()/4*(N286*INDEX(LenF,MATCH($N$7,LenU,0)))^2,IF(AND(ISNUMBER(S286),ISNUMBER(W286),X286&lt;&gt;""),S286*(W286*INDEX(LenF,MATCH($W$7,LenU,0)))^2*INDEX(LayoutF,MATCH(X286,LayoutU,0)),0))</f>
        <v>0</v>
      </c>
      <c r="AR286" s="9" t="n">
        <f aca="false">IF(ISNUMBER(O286),O286*INDEX(LenF,MATCH($O$7,LenU,0)),IF(ISNUMBER(V286),V286*INDEX(LenF,MATCH($V$7,LenU,0)),0))</f>
        <v>0</v>
      </c>
      <c r="AS286" s="9" t="str">
        <f aca="false">IF(ISNUMBER(L286),L286*INDEX(LenF,MATCH($L$7,LenU,0))*1000,IF(OR(J286="",K286=""),"",IFERROR(IF(INDEX(PipeWT,MATCH(J286,NPSU,0),MATCH(K286,SchU,0))="","Sch n/a",INDEX(PipeOD,MATCH(J286,NPSU,0))-2*INDEX(PipeWT,MATCH(J286,NPSU,0),MATCH(K286,SchU,0))),"")))</f>
        <v/>
      </c>
      <c r="AT286" s="9" t="n">
        <f aca="false">IF(ISNUMBER(AI286),AI286,IFERROR(INDEX(IF(JobType="Decontamination",TypeFillDC,TypeFillCC),MATCH(E286,TypeL,0)),1))</f>
        <v>1</v>
      </c>
      <c r="AU286" s="9" t="n">
        <v>9</v>
      </c>
    </row>
    <row r="287" customFormat="false" ht="15" hidden="false" customHeight="false" outlineLevel="0" collapsed="false">
      <c r="A287" s="16" t="n">
        <v>14</v>
      </c>
      <c r="B287" s="20"/>
      <c r="C287" s="5"/>
      <c r="D287" s="5"/>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1" t="str">
        <f aca="false">IF(E287="Exchanger",IF(AND(ISNUMBER(S287),ISNUMBER(U287),ISNUMBER(V287)),S287*PI()/4*(U287*INDEX(LenF,MATCH($U$7,LenU,0)))^2*V287*INDEX(LenF,MATCH($V$7,LenU,0)),0)+IF(ISNUMBER(Y287),PI()/4*(Y287*INDEX(LenF,MATCH($Y$7,LenU,0)))^2*N(Z287)*INDEX(LenF,MATCH($Z$7,LenU,0))+IF(AA287="",0,IF(AA287="Conical",PI()/12*(Y287*INDEX(LenF,MATCH($Y$7,LenU,0)))^2*(0),INDEX(HeadK,MATCH(AA287,HeadU,0))*(Y287*INDEX(LenF,MATCH($Y$7,LenU,0)))^3)),0)+IF(ISNUMBER(Y287),PI()/4*(Y287*INDEX(LenF,MATCH($Y$7,LenU,0)))^2*N(AB287)*INDEX(LenF,MATCH($AB$7,LenU,0))+IF(AC287="",0,IF(AC287="Conical",PI()/12*(Y287*INDEX(LenF,MATCH($Y$7,LenU,0)))^2*(0),INDEX(HeadK,MATCH(AC287,HeadU,0))*(Y287*INDEX(LenF,MATCH($Y$7,LenU,0)))^3)),0),"")</f>
        <v/>
      </c>
      <c r="AE287" s="21" t="str">
        <f aca="false">IF(OR(E287="",E287="Piping"),"",IF(E287="Exchanger",AQ287*AR287+IF(P287="",0,IF(P287="Conical",PI()/12*(SQRT(4*AQ287/PI()))^2*(0),INDEX(HeadK,MATCH(P287,HeadU,0))*(SQRT(4*AQ287/PI()))^3))-IF(AND(ISNUMBER(S287),ISNUMBER(V287)),S287*PI()/4*AP287^2*V287*INDEX(LenF,MATCH($V$7,LenU,0)),0),IF(ISNUMBER(N287),PI()/4*(N287*INDEX(LenF,MATCH($N$7,LenU,0)))^2*N(O287)*INDEX(LenF,MATCH($O$7,LenU,0))+IF(P287="",0,IF(P287="Conical",PI()/12*(N287*INDEX(LenF,MATCH($N$7,LenU,0)))^2*(N(R287)*INDEX(LenF,MATCH($R$7,LenU,0))),INDEX(HeadK,MATCH(P287,HeadU,0))*(N287*INDEX(LenF,MATCH($N$7,LenU,0)))^3))+IF(Q287="",0,IF(Q287="Conical",PI()/12*(N287*INDEX(LenF,MATCH($N$7,LenU,0)))^2*(N(R287)*INDEX(LenF,MATCH($R$7,LenU,0))),INDEX(HeadK,MATCH(Q287,HeadU,0))*(N287*INDEX(LenF,MATCH($N$7,LenU,0)))^3)),0)))</f>
        <v/>
      </c>
      <c r="AF287" s="21" t="str">
        <f aca="false">IF(E287&lt;&gt;"Piping","",IF(AND(ISNUMBER(AS287),ISNUMBER(M287)),PI()/4*(AS287/1000)^2*M287*INDEX(LenF,MATCH($M$7,LenU,0)),0))</f>
        <v/>
      </c>
      <c r="AG287" s="21" t="str">
        <f aca="false">IF(E287="","",N(AD287)+N(AE287)+N(AF287))</f>
        <v/>
      </c>
      <c r="AH287" s="21" t="str">
        <f aca="false">IF(ISNUMBER(I287),I287*INDEX(WtF,MATCH($I$7,WtU,0))/WaterRho,"")</f>
        <v/>
      </c>
      <c r="AI287" s="11"/>
      <c r="AJ287" s="11"/>
      <c r="AK287" s="20"/>
      <c r="AL287" s="11"/>
      <c r="AM287" s="21" t="str">
        <f aca="false">IF(AO287="","",AO287*IF(ISNUMBER(AK287),AK287,DefFills)*(1+IF(ISNUMBER(AL287),AL287,DefAllow)))</f>
        <v/>
      </c>
      <c r="AN287" s="22" t="str">
        <f aca="false">IF(G287="Given volume",IF(ISNUMBER(H287),H287*INDEX(VolF,MATCH($H$7,VolU,0)),""),IF(G287="Water weight",AH287,IF(N(AG287)=0,"",AG287)))</f>
        <v/>
      </c>
      <c r="AO287" s="22" t="str">
        <f aca="false">IF(N(AN287)=0,"",AN287*AT287*IF(ISNUMBER(AJ287),AJ287,DefCirc))</f>
        <v/>
      </c>
      <c r="AP287" s="9" t="n">
        <f aca="false">IF(ISNUMBER(T287),T287*INDEX(LenF,MATCH($T$7,LenU,0)),IF(ISNUMBER(W287),W287*INDEX(LenF,MATCH($W$7,LenU,0))/PitchRatio,0))</f>
        <v>0</v>
      </c>
      <c r="AQ287" s="9" t="n">
        <f aca="false">IF(ISNUMBER(N287),PI()/4*(N287*INDEX(LenF,MATCH($N$7,LenU,0)))^2,IF(AND(ISNUMBER(S287),ISNUMBER(W287),X287&lt;&gt;""),S287*(W287*INDEX(LenF,MATCH($W$7,LenU,0)))^2*INDEX(LayoutF,MATCH(X287,LayoutU,0)),0))</f>
        <v>0</v>
      </c>
      <c r="AR287" s="9" t="n">
        <f aca="false">IF(ISNUMBER(O287),O287*INDEX(LenF,MATCH($O$7,LenU,0)),IF(ISNUMBER(V287),V287*INDEX(LenF,MATCH($V$7,LenU,0)),0))</f>
        <v>0</v>
      </c>
      <c r="AS287" s="9" t="str">
        <f aca="false">IF(ISNUMBER(L287),L287*INDEX(LenF,MATCH($L$7,LenU,0))*1000,IF(OR(J287="",K287=""),"",IFERROR(IF(INDEX(PipeWT,MATCH(J287,NPSU,0),MATCH(K287,SchU,0))="","Sch n/a",INDEX(PipeOD,MATCH(J287,NPSU,0))-2*INDEX(PipeWT,MATCH(J287,NPSU,0),MATCH(K287,SchU,0))),"")))</f>
        <v/>
      </c>
      <c r="AT287" s="9" t="n">
        <f aca="false">IF(ISNUMBER(AI287),AI287,IFERROR(INDEX(IF(JobType="Decontamination",TypeFillDC,TypeFillCC),MATCH(E287,TypeL,0)),1))</f>
        <v>1</v>
      </c>
      <c r="AU287" s="9" t="n">
        <v>9</v>
      </c>
    </row>
    <row r="288" customFormat="false" ht="15" hidden="false" customHeight="false" outlineLevel="0" collapsed="false">
      <c r="A288" s="16" t="n">
        <v>15</v>
      </c>
      <c r="B288" s="20"/>
      <c r="C288" s="5"/>
      <c r="D288" s="5"/>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1" t="str">
        <f aca="false">IF(E288="Exchanger",IF(AND(ISNUMBER(S288),ISNUMBER(U288),ISNUMBER(V288)),S288*PI()/4*(U288*INDEX(LenF,MATCH($U$7,LenU,0)))^2*V288*INDEX(LenF,MATCH($V$7,LenU,0)),0)+IF(ISNUMBER(Y288),PI()/4*(Y288*INDEX(LenF,MATCH($Y$7,LenU,0)))^2*N(Z288)*INDEX(LenF,MATCH($Z$7,LenU,0))+IF(AA288="",0,IF(AA288="Conical",PI()/12*(Y288*INDEX(LenF,MATCH($Y$7,LenU,0)))^2*(0),INDEX(HeadK,MATCH(AA288,HeadU,0))*(Y288*INDEX(LenF,MATCH($Y$7,LenU,0)))^3)),0)+IF(ISNUMBER(Y288),PI()/4*(Y288*INDEX(LenF,MATCH($Y$7,LenU,0)))^2*N(AB288)*INDEX(LenF,MATCH($AB$7,LenU,0))+IF(AC288="",0,IF(AC288="Conical",PI()/12*(Y288*INDEX(LenF,MATCH($Y$7,LenU,0)))^2*(0),INDEX(HeadK,MATCH(AC288,HeadU,0))*(Y288*INDEX(LenF,MATCH($Y$7,LenU,0)))^3)),0),"")</f>
        <v/>
      </c>
      <c r="AE288" s="21" t="str">
        <f aca="false">IF(OR(E288="",E288="Piping"),"",IF(E288="Exchanger",AQ288*AR288+IF(P288="",0,IF(P288="Conical",PI()/12*(SQRT(4*AQ288/PI()))^2*(0),INDEX(HeadK,MATCH(P288,HeadU,0))*(SQRT(4*AQ288/PI()))^3))-IF(AND(ISNUMBER(S288),ISNUMBER(V288)),S288*PI()/4*AP288^2*V288*INDEX(LenF,MATCH($V$7,LenU,0)),0),IF(ISNUMBER(N288),PI()/4*(N288*INDEX(LenF,MATCH($N$7,LenU,0)))^2*N(O288)*INDEX(LenF,MATCH($O$7,LenU,0))+IF(P288="",0,IF(P288="Conical",PI()/12*(N288*INDEX(LenF,MATCH($N$7,LenU,0)))^2*(N(R288)*INDEX(LenF,MATCH($R$7,LenU,0))),INDEX(HeadK,MATCH(P288,HeadU,0))*(N288*INDEX(LenF,MATCH($N$7,LenU,0)))^3))+IF(Q288="",0,IF(Q288="Conical",PI()/12*(N288*INDEX(LenF,MATCH($N$7,LenU,0)))^2*(N(R288)*INDEX(LenF,MATCH($R$7,LenU,0))),INDEX(HeadK,MATCH(Q288,HeadU,0))*(N288*INDEX(LenF,MATCH($N$7,LenU,0)))^3)),0)))</f>
        <v/>
      </c>
      <c r="AF288" s="21" t="str">
        <f aca="false">IF(E288&lt;&gt;"Piping","",IF(AND(ISNUMBER(AS288),ISNUMBER(M288)),PI()/4*(AS288/1000)^2*M288*INDEX(LenF,MATCH($M$7,LenU,0)),0))</f>
        <v/>
      </c>
      <c r="AG288" s="21" t="str">
        <f aca="false">IF(E288="","",N(AD288)+N(AE288)+N(AF288))</f>
        <v/>
      </c>
      <c r="AH288" s="21" t="str">
        <f aca="false">IF(ISNUMBER(I288),I288*INDEX(WtF,MATCH($I$7,WtU,0))/WaterRho,"")</f>
        <v/>
      </c>
      <c r="AI288" s="11"/>
      <c r="AJ288" s="11"/>
      <c r="AK288" s="20"/>
      <c r="AL288" s="11"/>
      <c r="AM288" s="21" t="str">
        <f aca="false">IF(AO288="","",AO288*IF(ISNUMBER(AK288),AK288,DefFills)*(1+IF(ISNUMBER(AL288),AL288,DefAllow)))</f>
        <v/>
      </c>
      <c r="AN288" s="22" t="str">
        <f aca="false">IF(G288="Given volume",IF(ISNUMBER(H288),H288*INDEX(VolF,MATCH($H$7,VolU,0)),""),IF(G288="Water weight",AH288,IF(N(AG288)=0,"",AG288)))</f>
        <v/>
      </c>
      <c r="AO288" s="22" t="str">
        <f aca="false">IF(N(AN288)=0,"",AN288*AT288*IF(ISNUMBER(AJ288),AJ288,DefCirc))</f>
        <v/>
      </c>
      <c r="AP288" s="9" t="n">
        <f aca="false">IF(ISNUMBER(T288),T288*INDEX(LenF,MATCH($T$7,LenU,0)),IF(ISNUMBER(W288),W288*INDEX(LenF,MATCH($W$7,LenU,0))/PitchRatio,0))</f>
        <v>0</v>
      </c>
      <c r="AQ288" s="9" t="n">
        <f aca="false">IF(ISNUMBER(N288),PI()/4*(N288*INDEX(LenF,MATCH($N$7,LenU,0)))^2,IF(AND(ISNUMBER(S288),ISNUMBER(W288),X288&lt;&gt;""),S288*(W288*INDEX(LenF,MATCH($W$7,LenU,0)))^2*INDEX(LayoutF,MATCH(X288,LayoutU,0)),0))</f>
        <v>0</v>
      </c>
      <c r="AR288" s="9" t="n">
        <f aca="false">IF(ISNUMBER(O288),O288*INDEX(LenF,MATCH($O$7,LenU,0)),IF(ISNUMBER(V288),V288*INDEX(LenF,MATCH($V$7,LenU,0)),0))</f>
        <v>0</v>
      </c>
      <c r="AS288" s="9" t="str">
        <f aca="false">IF(ISNUMBER(L288),L288*INDEX(LenF,MATCH($L$7,LenU,0))*1000,IF(OR(J288="",K288=""),"",IFERROR(IF(INDEX(PipeWT,MATCH(J288,NPSU,0),MATCH(K288,SchU,0))="","Sch n/a",INDEX(PipeOD,MATCH(J288,NPSU,0))-2*INDEX(PipeWT,MATCH(J288,NPSU,0),MATCH(K288,SchU,0))),"")))</f>
        <v/>
      </c>
      <c r="AT288" s="9" t="n">
        <f aca="false">IF(ISNUMBER(AI288),AI288,IFERROR(INDEX(IF(JobType="Decontamination",TypeFillDC,TypeFillCC),MATCH(E288,TypeL,0)),1))</f>
        <v>1</v>
      </c>
      <c r="AU288" s="9" t="n">
        <v>9</v>
      </c>
    </row>
    <row r="289" customFormat="false" ht="15" hidden="false" customHeight="false" outlineLevel="0" collapsed="false">
      <c r="A289" s="16" t="n">
        <v>16</v>
      </c>
      <c r="B289" s="20"/>
      <c r="C289" s="5"/>
      <c r="D289" s="5"/>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1" t="str">
        <f aca="false">IF(E289="Exchanger",IF(AND(ISNUMBER(S289),ISNUMBER(U289),ISNUMBER(V289)),S289*PI()/4*(U289*INDEX(LenF,MATCH($U$7,LenU,0)))^2*V289*INDEX(LenF,MATCH($V$7,LenU,0)),0)+IF(ISNUMBER(Y289),PI()/4*(Y289*INDEX(LenF,MATCH($Y$7,LenU,0)))^2*N(Z289)*INDEX(LenF,MATCH($Z$7,LenU,0))+IF(AA289="",0,IF(AA289="Conical",PI()/12*(Y289*INDEX(LenF,MATCH($Y$7,LenU,0)))^2*(0),INDEX(HeadK,MATCH(AA289,HeadU,0))*(Y289*INDEX(LenF,MATCH($Y$7,LenU,0)))^3)),0)+IF(ISNUMBER(Y289),PI()/4*(Y289*INDEX(LenF,MATCH($Y$7,LenU,0)))^2*N(AB289)*INDEX(LenF,MATCH($AB$7,LenU,0))+IF(AC289="",0,IF(AC289="Conical",PI()/12*(Y289*INDEX(LenF,MATCH($Y$7,LenU,0)))^2*(0),INDEX(HeadK,MATCH(AC289,HeadU,0))*(Y289*INDEX(LenF,MATCH($Y$7,LenU,0)))^3)),0),"")</f>
        <v/>
      </c>
      <c r="AE289" s="21" t="str">
        <f aca="false">IF(OR(E289="",E289="Piping"),"",IF(E289="Exchanger",AQ289*AR289+IF(P289="",0,IF(P289="Conical",PI()/12*(SQRT(4*AQ289/PI()))^2*(0),INDEX(HeadK,MATCH(P289,HeadU,0))*(SQRT(4*AQ289/PI()))^3))-IF(AND(ISNUMBER(S289),ISNUMBER(V289)),S289*PI()/4*AP289^2*V289*INDEX(LenF,MATCH($V$7,LenU,0)),0),IF(ISNUMBER(N289),PI()/4*(N289*INDEX(LenF,MATCH($N$7,LenU,0)))^2*N(O289)*INDEX(LenF,MATCH($O$7,LenU,0))+IF(P289="",0,IF(P289="Conical",PI()/12*(N289*INDEX(LenF,MATCH($N$7,LenU,0)))^2*(N(R289)*INDEX(LenF,MATCH($R$7,LenU,0))),INDEX(HeadK,MATCH(P289,HeadU,0))*(N289*INDEX(LenF,MATCH($N$7,LenU,0)))^3))+IF(Q289="",0,IF(Q289="Conical",PI()/12*(N289*INDEX(LenF,MATCH($N$7,LenU,0)))^2*(N(R289)*INDEX(LenF,MATCH($R$7,LenU,0))),INDEX(HeadK,MATCH(Q289,HeadU,0))*(N289*INDEX(LenF,MATCH($N$7,LenU,0)))^3)),0)))</f>
        <v/>
      </c>
      <c r="AF289" s="21" t="str">
        <f aca="false">IF(E289&lt;&gt;"Piping","",IF(AND(ISNUMBER(AS289),ISNUMBER(M289)),PI()/4*(AS289/1000)^2*M289*INDEX(LenF,MATCH($M$7,LenU,0)),0))</f>
        <v/>
      </c>
      <c r="AG289" s="21" t="str">
        <f aca="false">IF(E289="","",N(AD289)+N(AE289)+N(AF289))</f>
        <v/>
      </c>
      <c r="AH289" s="21" t="str">
        <f aca="false">IF(ISNUMBER(I289),I289*INDEX(WtF,MATCH($I$7,WtU,0))/WaterRho,"")</f>
        <v/>
      </c>
      <c r="AI289" s="11"/>
      <c r="AJ289" s="11"/>
      <c r="AK289" s="20"/>
      <c r="AL289" s="11"/>
      <c r="AM289" s="21" t="str">
        <f aca="false">IF(AO289="","",AO289*IF(ISNUMBER(AK289),AK289,DefFills)*(1+IF(ISNUMBER(AL289),AL289,DefAllow)))</f>
        <v/>
      </c>
      <c r="AN289" s="22" t="str">
        <f aca="false">IF(G289="Given volume",IF(ISNUMBER(H289),H289*INDEX(VolF,MATCH($H$7,VolU,0)),""),IF(G289="Water weight",AH289,IF(N(AG289)=0,"",AG289)))</f>
        <v/>
      </c>
      <c r="AO289" s="22" t="str">
        <f aca="false">IF(N(AN289)=0,"",AN289*AT289*IF(ISNUMBER(AJ289),AJ289,DefCirc))</f>
        <v/>
      </c>
      <c r="AP289" s="9" t="n">
        <f aca="false">IF(ISNUMBER(T289),T289*INDEX(LenF,MATCH($T$7,LenU,0)),IF(ISNUMBER(W289),W289*INDEX(LenF,MATCH($W$7,LenU,0))/PitchRatio,0))</f>
        <v>0</v>
      </c>
      <c r="AQ289" s="9" t="n">
        <f aca="false">IF(ISNUMBER(N289),PI()/4*(N289*INDEX(LenF,MATCH($N$7,LenU,0)))^2,IF(AND(ISNUMBER(S289),ISNUMBER(W289),X289&lt;&gt;""),S289*(W289*INDEX(LenF,MATCH($W$7,LenU,0)))^2*INDEX(LayoutF,MATCH(X289,LayoutU,0)),0))</f>
        <v>0</v>
      </c>
      <c r="AR289" s="9" t="n">
        <f aca="false">IF(ISNUMBER(O289),O289*INDEX(LenF,MATCH($O$7,LenU,0)),IF(ISNUMBER(V289),V289*INDEX(LenF,MATCH($V$7,LenU,0)),0))</f>
        <v>0</v>
      </c>
      <c r="AS289" s="9" t="str">
        <f aca="false">IF(ISNUMBER(L289),L289*INDEX(LenF,MATCH($L$7,LenU,0))*1000,IF(OR(J289="",K289=""),"",IFERROR(IF(INDEX(PipeWT,MATCH(J289,NPSU,0),MATCH(K289,SchU,0))="","Sch n/a",INDEX(PipeOD,MATCH(J289,NPSU,0))-2*INDEX(PipeWT,MATCH(J289,NPSU,0),MATCH(K289,SchU,0))),"")))</f>
        <v/>
      </c>
      <c r="AT289" s="9" t="n">
        <f aca="false">IF(ISNUMBER(AI289),AI289,IFERROR(INDEX(IF(JobType="Decontamination",TypeFillDC,TypeFillCC),MATCH(E289,TypeL,0)),1))</f>
        <v>1</v>
      </c>
      <c r="AU289" s="9" t="n">
        <v>9</v>
      </c>
    </row>
    <row r="290" customFormat="false" ht="15" hidden="false" customHeight="false" outlineLevel="0" collapsed="false">
      <c r="A290" s="16" t="n">
        <v>17</v>
      </c>
      <c r="B290" s="20"/>
      <c r="C290" s="5"/>
      <c r="D290" s="5"/>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1" t="str">
        <f aca="false">IF(E290="Exchanger",IF(AND(ISNUMBER(S290),ISNUMBER(U290),ISNUMBER(V290)),S290*PI()/4*(U290*INDEX(LenF,MATCH($U$7,LenU,0)))^2*V290*INDEX(LenF,MATCH($V$7,LenU,0)),0)+IF(ISNUMBER(Y290),PI()/4*(Y290*INDEX(LenF,MATCH($Y$7,LenU,0)))^2*N(Z290)*INDEX(LenF,MATCH($Z$7,LenU,0))+IF(AA290="",0,IF(AA290="Conical",PI()/12*(Y290*INDEX(LenF,MATCH($Y$7,LenU,0)))^2*(0),INDEX(HeadK,MATCH(AA290,HeadU,0))*(Y290*INDEX(LenF,MATCH($Y$7,LenU,0)))^3)),0)+IF(ISNUMBER(Y290),PI()/4*(Y290*INDEX(LenF,MATCH($Y$7,LenU,0)))^2*N(AB290)*INDEX(LenF,MATCH($AB$7,LenU,0))+IF(AC290="",0,IF(AC290="Conical",PI()/12*(Y290*INDEX(LenF,MATCH($Y$7,LenU,0)))^2*(0),INDEX(HeadK,MATCH(AC290,HeadU,0))*(Y290*INDEX(LenF,MATCH($Y$7,LenU,0)))^3)),0),"")</f>
        <v/>
      </c>
      <c r="AE290" s="21" t="str">
        <f aca="false">IF(OR(E290="",E290="Piping"),"",IF(E290="Exchanger",AQ290*AR290+IF(P290="",0,IF(P290="Conical",PI()/12*(SQRT(4*AQ290/PI()))^2*(0),INDEX(HeadK,MATCH(P290,HeadU,0))*(SQRT(4*AQ290/PI()))^3))-IF(AND(ISNUMBER(S290),ISNUMBER(V290)),S290*PI()/4*AP290^2*V290*INDEX(LenF,MATCH($V$7,LenU,0)),0),IF(ISNUMBER(N290),PI()/4*(N290*INDEX(LenF,MATCH($N$7,LenU,0)))^2*N(O290)*INDEX(LenF,MATCH($O$7,LenU,0))+IF(P290="",0,IF(P290="Conical",PI()/12*(N290*INDEX(LenF,MATCH($N$7,LenU,0)))^2*(N(R290)*INDEX(LenF,MATCH($R$7,LenU,0))),INDEX(HeadK,MATCH(P290,HeadU,0))*(N290*INDEX(LenF,MATCH($N$7,LenU,0)))^3))+IF(Q290="",0,IF(Q290="Conical",PI()/12*(N290*INDEX(LenF,MATCH($N$7,LenU,0)))^2*(N(R290)*INDEX(LenF,MATCH($R$7,LenU,0))),INDEX(HeadK,MATCH(Q290,HeadU,0))*(N290*INDEX(LenF,MATCH($N$7,LenU,0)))^3)),0)))</f>
        <v/>
      </c>
      <c r="AF290" s="21" t="str">
        <f aca="false">IF(E290&lt;&gt;"Piping","",IF(AND(ISNUMBER(AS290),ISNUMBER(M290)),PI()/4*(AS290/1000)^2*M290*INDEX(LenF,MATCH($M$7,LenU,0)),0))</f>
        <v/>
      </c>
      <c r="AG290" s="21" t="str">
        <f aca="false">IF(E290="","",N(AD290)+N(AE290)+N(AF290))</f>
        <v/>
      </c>
      <c r="AH290" s="21" t="str">
        <f aca="false">IF(ISNUMBER(I290),I290*INDEX(WtF,MATCH($I$7,WtU,0))/WaterRho,"")</f>
        <v/>
      </c>
      <c r="AI290" s="11"/>
      <c r="AJ290" s="11"/>
      <c r="AK290" s="20"/>
      <c r="AL290" s="11"/>
      <c r="AM290" s="21" t="str">
        <f aca="false">IF(AO290="","",AO290*IF(ISNUMBER(AK290),AK290,DefFills)*(1+IF(ISNUMBER(AL290),AL290,DefAllow)))</f>
        <v/>
      </c>
      <c r="AN290" s="22" t="str">
        <f aca="false">IF(G290="Given volume",IF(ISNUMBER(H290),H290*INDEX(VolF,MATCH($H$7,VolU,0)),""),IF(G290="Water weight",AH290,IF(N(AG290)=0,"",AG290)))</f>
        <v/>
      </c>
      <c r="AO290" s="22" t="str">
        <f aca="false">IF(N(AN290)=0,"",AN290*AT290*IF(ISNUMBER(AJ290),AJ290,DefCirc))</f>
        <v/>
      </c>
      <c r="AP290" s="9" t="n">
        <f aca="false">IF(ISNUMBER(T290),T290*INDEX(LenF,MATCH($T$7,LenU,0)),IF(ISNUMBER(W290),W290*INDEX(LenF,MATCH($W$7,LenU,0))/PitchRatio,0))</f>
        <v>0</v>
      </c>
      <c r="AQ290" s="9" t="n">
        <f aca="false">IF(ISNUMBER(N290),PI()/4*(N290*INDEX(LenF,MATCH($N$7,LenU,0)))^2,IF(AND(ISNUMBER(S290),ISNUMBER(W290),X290&lt;&gt;""),S290*(W290*INDEX(LenF,MATCH($W$7,LenU,0)))^2*INDEX(LayoutF,MATCH(X290,LayoutU,0)),0))</f>
        <v>0</v>
      </c>
      <c r="AR290" s="9" t="n">
        <f aca="false">IF(ISNUMBER(O290),O290*INDEX(LenF,MATCH($O$7,LenU,0)),IF(ISNUMBER(V290),V290*INDEX(LenF,MATCH($V$7,LenU,0)),0))</f>
        <v>0</v>
      </c>
      <c r="AS290" s="9" t="str">
        <f aca="false">IF(ISNUMBER(L290),L290*INDEX(LenF,MATCH($L$7,LenU,0))*1000,IF(OR(J290="",K290=""),"",IFERROR(IF(INDEX(PipeWT,MATCH(J290,NPSU,0),MATCH(K290,SchU,0))="","Sch n/a",INDEX(PipeOD,MATCH(J290,NPSU,0))-2*INDEX(PipeWT,MATCH(J290,NPSU,0),MATCH(K290,SchU,0))),"")))</f>
        <v/>
      </c>
      <c r="AT290" s="9" t="n">
        <f aca="false">IF(ISNUMBER(AI290),AI290,IFERROR(INDEX(IF(JobType="Decontamination",TypeFillDC,TypeFillCC),MATCH(E290,TypeL,0)),1))</f>
        <v>1</v>
      </c>
      <c r="AU290" s="9" t="n">
        <v>9</v>
      </c>
    </row>
    <row r="291" customFormat="false" ht="15" hidden="false" customHeight="false" outlineLevel="0" collapsed="false">
      <c r="A291" s="16" t="n">
        <v>18</v>
      </c>
      <c r="B291" s="20"/>
      <c r="C291" s="5"/>
      <c r="D291" s="5"/>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1" t="str">
        <f aca="false">IF(E291="Exchanger",IF(AND(ISNUMBER(S291),ISNUMBER(U291),ISNUMBER(V291)),S291*PI()/4*(U291*INDEX(LenF,MATCH($U$7,LenU,0)))^2*V291*INDEX(LenF,MATCH($V$7,LenU,0)),0)+IF(ISNUMBER(Y291),PI()/4*(Y291*INDEX(LenF,MATCH($Y$7,LenU,0)))^2*N(Z291)*INDEX(LenF,MATCH($Z$7,LenU,0))+IF(AA291="",0,IF(AA291="Conical",PI()/12*(Y291*INDEX(LenF,MATCH($Y$7,LenU,0)))^2*(0),INDEX(HeadK,MATCH(AA291,HeadU,0))*(Y291*INDEX(LenF,MATCH($Y$7,LenU,0)))^3)),0)+IF(ISNUMBER(Y291),PI()/4*(Y291*INDEX(LenF,MATCH($Y$7,LenU,0)))^2*N(AB291)*INDEX(LenF,MATCH($AB$7,LenU,0))+IF(AC291="",0,IF(AC291="Conical",PI()/12*(Y291*INDEX(LenF,MATCH($Y$7,LenU,0)))^2*(0),INDEX(HeadK,MATCH(AC291,HeadU,0))*(Y291*INDEX(LenF,MATCH($Y$7,LenU,0)))^3)),0),"")</f>
        <v/>
      </c>
      <c r="AE291" s="21" t="str">
        <f aca="false">IF(OR(E291="",E291="Piping"),"",IF(E291="Exchanger",AQ291*AR291+IF(P291="",0,IF(P291="Conical",PI()/12*(SQRT(4*AQ291/PI()))^2*(0),INDEX(HeadK,MATCH(P291,HeadU,0))*(SQRT(4*AQ291/PI()))^3))-IF(AND(ISNUMBER(S291),ISNUMBER(V291)),S291*PI()/4*AP291^2*V291*INDEX(LenF,MATCH($V$7,LenU,0)),0),IF(ISNUMBER(N291),PI()/4*(N291*INDEX(LenF,MATCH($N$7,LenU,0)))^2*N(O291)*INDEX(LenF,MATCH($O$7,LenU,0))+IF(P291="",0,IF(P291="Conical",PI()/12*(N291*INDEX(LenF,MATCH($N$7,LenU,0)))^2*(N(R291)*INDEX(LenF,MATCH($R$7,LenU,0))),INDEX(HeadK,MATCH(P291,HeadU,0))*(N291*INDEX(LenF,MATCH($N$7,LenU,0)))^3))+IF(Q291="",0,IF(Q291="Conical",PI()/12*(N291*INDEX(LenF,MATCH($N$7,LenU,0)))^2*(N(R291)*INDEX(LenF,MATCH($R$7,LenU,0))),INDEX(HeadK,MATCH(Q291,HeadU,0))*(N291*INDEX(LenF,MATCH($N$7,LenU,0)))^3)),0)))</f>
        <v/>
      </c>
      <c r="AF291" s="21" t="str">
        <f aca="false">IF(E291&lt;&gt;"Piping","",IF(AND(ISNUMBER(AS291),ISNUMBER(M291)),PI()/4*(AS291/1000)^2*M291*INDEX(LenF,MATCH($M$7,LenU,0)),0))</f>
        <v/>
      </c>
      <c r="AG291" s="21" t="str">
        <f aca="false">IF(E291="","",N(AD291)+N(AE291)+N(AF291))</f>
        <v/>
      </c>
      <c r="AH291" s="21" t="str">
        <f aca="false">IF(ISNUMBER(I291),I291*INDEX(WtF,MATCH($I$7,WtU,0))/WaterRho,"")</f>
        <v/>
      </c>
      <c r="AI291" s="11"/>
      <c r="AJ291" s="11"/>
      <c r="AK291" s="20"/>
      <c r="AL291" s="11"/>
      <c r="AM291" s="21" t="str">
        <f aca="false">IF(AO291="","",AO291*IF(ISNUMBER(AK291),AK291,DefFills)*(1+IF(ISNUMBER(AL291),AL291,DefAllow)))</f>
        <v/>
      </c>
      <c r="AN291" s="22" t="str">
        <f aca="false">IF(G291="Given volume",IF(ISNUMBER(H291),H291*INDEX(VolF,MATCH($H$7,VolU,0)),""),IF(G291="Water weight",AH291,IF(N(AG291)=0,"",AG291)))</f>
        <v/>
      </c>
      <c r="AO291" s="22" t="str">
        <f aca="false">IF(N(AN291)=0,"",AN291*AT291*IF(ISNUMBER(AJ291),AJ291,DefCirc))</f>
        <v/>
      </c>
      <c r="AP291" s="9" t="n">
        <f aca="false">IF(ISNUMBER(T291),T291*INDEX(LenF,MATCH($T$7,LenU,0)),IF(ISNUMBER(W291),W291*INDEX(LenF,MATCH($W$7,LenU,0))/PitchRatio,0))</f>
        <v>0</v>
      </c>
      <c r="AQ291" s="9" t="n">
        <f aca="false">IF(ISNUMBER(N291),PI()/4*(N291*INDEX(LenF,MATCH($N$7,LenU,0)))^2,IF(AND(ISNUMBER(S291),ISNUMBER(W291),X291&lt;&gt;""),S291*(W291*INDEX(LenF,MATCH($W$7,LenU,0)))^2*INDEX(LayoutF,MATCH(X291,LayoutU,0)),0))</f>
        <v>0</v>
      </c>
      <c r="AR291" s="9" t="n">
        <f aca="false">IF(ISNUMBER(O291),O291*INDEX(LenF,MATCH($O$7,LenU,0)),IF(ISNUMBER(V291),V291*INDEX(LenF,MATCH($V$7,LenU,0)),0))</f>
        <v>0</v>
      </c>
      <c r="AS291" s="9" t="str">
        <f aca="false">IF(ISNUMBER(L291),L291*INDEX(LenF,MATCH($L$7,LenU,0))*1000,IF(OR(J291="",K291=""),"",IFERROR(IF(INDEX(PipeWT,MATCH(J291,NPSU,0),MATCH(K291,SchU,0))="","Sch n/a",INDEX(PipeOD,MATCH(J291,NPSU,0))-2*INDEX(PipeWT,MATCH(J291,NPSU,0),MATCH(K291,SchU,0))),"")))</f>
        <v/>
      </c>
      <c r="AT291" s="9" t="n">
        <f aca="false">IF(ISNUMBER(AI291),AI291,IFERROR(INDEX(IF(JobType="Decontamination",TypeFillDC,TypeFillCC),MATCH(E291,TypeL,0)),1))</f>
        <v>1</v>
      </c>
      <c r="AU291" s="9" t="n">
        <v>9</v>
      </c>
    </row>
    <row r="292" customFormat="false" ht="15" hidden="false" customHeight="false" outlineLevel="0" collapsed="false">
      <c r="A292" s="16" t="n">
        <v>19</v>
      </c>
      <c r="B292" s="20"/>
      <c r="C292" s="5"/>
      <c r="D292" s="5"/>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1" t="str">
        <f aca="false">IF(E292="Exchanger",IF(AND(ISNUMBER(S292),ISNUMBER(U292),ISNUMBER(V292)),S292*PI()/4*(U292*INDEX(LenF,MATCH($U$7,LenU,0)))^2*V292*INDEX(LenF,MATCH($V$7,LenU,0)),0)+IF(ISNUMBER(Y292),PI()/4*(Y292*INDEX(LenF,MATCH($Y$7,LenU,0)))^2*N(Z292)*INDEX(LenF,MATCH($Z$7,LenU,0))+IF(AA292="",0,IF(AA292="Conical",PI()/12*(Y292*INDEX(LenF,MATCH($Y$7,LenU,0)))^2*(0),INDEX(HeadK,MATCH(AA292,HeadU,0))*(Y292*INDEX(LenF,MATCH($Y$7,LenU,0)))^3)),0)+IF(ISNUMBER(Y292),PI()/4*(Y292*INDEX(LenF,MATCH($Y$7,LenU,0)))^2*N(AB292)*INDEX(LenF,MATCH($AB$7,LenU,0))+IF(AC292="",0,IF(AC292="Conical",PI()/12*(Y292*INDEX(LenF,MATCH($Y$7,LenU,0)))^2*(0),INDEX(HeadK,MATCH(AC292,HeadU,0))*(Y292*INDEX(LenF,MATCH($Y$7,LenU,0)))^3)),0),"")</f>
        <v/>
      </c>
      <c r="AE292" s="21" t="str">
        <f aca="false">IF(OR(E292="",E292="Piping"),"",IF(E292="Exchanger",AQ292*AR292+IF(P292="",0,IF(P292="Conical",PI()/12*(SQRT(4*AQ292/PI()))^2*(0),INDEX(HeadK,MATCH(P292,HeadU,0))*(SQRT(4*AQ292/PI()))^3))-IF(AND(ISNUMBER(S292),ISNUMBER(V292)),S292*PI()/4*AP292^2*V292*INDEX(LenF,MATCH($V$7,LenU,0)),0),IF(ISNUMBER(N292),PI()/4*(N292*INDEX(LenF,MATCH($N$7,LenU,0)))^2*N(O292)*INDEX(LenF,MATCH($O$7,LenU,0))+IF(P292="",0,IF(P292="Conical",PI()/12*(N292*INDEX(LenF,MATCH($N$7,LenU,0)))^2*(N(R292)*INDEX(LenF,MATCH($R$7,LenU,0))),INDEX(HeadK,MATCH(P292,HeadU,0))*(N292*INDEX(LenF,MATCH($N$7,LenU,0)))^3))+IF(Q292="",0,IF(Q292="Conical",PI()/12*(N292*INDEX(LenF,MATCH($N$7,LenU,0)))^2*(N(R292)*INDEX(LenF,MATCH($R$7,LenU,0))),INDEX(HeadK,MATCH(Q292,HeadU,0))*(N292*INDEX(LenF,MATCH($N$7,LenU,0)))^3)),0)))</f>
        <v/>
      </c>
      <c r="AF292" s="21" t="str">
        <f aca="false">IF(E292&lt;&gt;"Piping","",IF(AND(ISNUMBER(AS292),ISNUMBER(M292)),PI()/4*(AS292/1000)^2*M292*INDEX(LenF,MATCH($M$7,LenU,0)),0))</f>
        <v/>
      </c>
      <c r="AG292" s="21" t="str">
        <f aca="false">IF(E292="","",N(AD292)+N(AE292)+N(AF292))</f>
        <v/>
      </c>
      <c r="AH292" s="21" t="str">
        <f aca="false">IF(ISNUMBER(I292),I292*INDEX(WtF,MATCH($I$7,WtU,0))/WaterRho,"")</f>
        <v/>
      </c>
      <c r="AI292" s="11"/>
      <c r="AJ292" s="11"/>
      <c r="AK292" s="20"/>
      <c r="AL292" s="11"/>
      <c r="AM292" s="21" t="str">
        <f aca="false">IF(AO292="","",AO292*IF(ISNUMBER(AK292),AK292,DefFills)*(1+IF(ISNUMBER(AL292),AL292,DefAllow)))</f>
        <v/>
      </c>
      <c r="AN292" s="22" t="str">
        <f aca="false">IF(G292="Given volume",IF(ISNUMBER(H292),H292*INDEX(VolF,MATCH($H$7,VolU,0)),""),IF(G292="Water weight",AH292,IF(N(AG292)=0,"",AG292)))</f>
        <v/>
      </c>
      <c r="AO292" s="22" t="str">
        <f aca="false">IF(N(AN292)=0,"",AN292*AT292*IF(ISNUMBER(AJ292),AJ292,DefCirc))</f>
        <v/>
      </c>
      <c r="AP292" s="9" t="n">
        <f aca="false">IF(ISNUMBER(T292),T292*INDEX(LenF,MATCH($T$7,LenU,0)),IF(ISNUMBER(W292),W292*INDEX(LenF,MATCH($W$7,LenU,0))/PitchRatio,0))</f>
        <v>0</v>
      </c>
      <c r="AQ292" s="9" t="n">
        <f aca="false">IF(ISNUMBER(N292),PI()/4*(N292*INDEX(LenF,MATCH($N$7,LenU,0)))^2,IF(AND(ISNUMBER(S292),ISNUMBER(W292),X292&lt;&gt;""),S292*(W292*INDEX(LenF,MATCH($W$7,LenU,0)))^2*INDEX(LayoutF,MATCH(X292,LayoutU,0)),0))</f>
        <v>0</v>
      </c>
      <c r="AR292" s="9" t="n">
        <f aca="false">IF(ISNUMBER(O292),O292*INDEX(LenF,MATCH($O$7,LenU,0)),IF(ISNUMBER(V292),V292*INDEX(LenF,MATCH($V$7,LenU,0)),0))</f>
        <v>0</v>
      </c>
      <c r="AS292" s="9" t="str">
        <f aca="false">IF(ISNUMBER(L292),L292*INDEX(LenF,MATCH($L$7,LenU,0))*1000,IF(OR(J292="",K292=""),"",IFERROR(IF(INDEX(PipeWT,MATCH(J292,NPSU,0),MATCH(K292,SchU,0))="","Sch n/a",INDEX(PipeOD,MATCH(J292,NPSU,0))-2*INDEX(PipeWT,MATCH(J292,NPSU,0),MATCH(K292,SchU,0))),"")))</f>
        <v/>
      </c>
      <c r="AT292" s="9" t="n">
        <f aca="false">IF(ISNUMBER(AI292),AI292,IFERROR(INDEX(IF(JobType="Decontamination",TypeFillDC,TypeFillCC),MATCH(E292,TypeL,0)),1))</f>
        <v>1</v>
      </c>
      <c r="AU292" s="9" t="n">
        <v>9</v>
      </c>
    </row>
    <row r="293" customFormat="false" ht="15" hidden="false" customHeight="false" outlineLevel="0" collapsed="false">
      <c r="A293" s="16" t="n">
        <v>20</v>
      </c>
      <c r="B293" s="20"/>
      <c r="C293" s="5"/>
      <c r="D293" s="5"/>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1" t="str">
        <f aca="false">IF(E293="Exchanger",IF(AND(ISNUMBER(S293),ISNUMBER(U293),ISNUMBER(V293)),S293*PI()/4*(U293*INDEX(LenF,MATCH($U$7,LenU,0)))^2*V293*INDEX(LenF,MATCH($V$7,LenU,0)),0)+IF(ISNUMBER(Y293),PI()/4*(Y293*INDEX(LenF,MATCH($Y$7,LenU,0)))^2*N(Z293)*INDEX(LenF,MATCH($Z$7,LenU,0))+IF(AA293="",0,IF(AA293="Conical",PI()/12*(Y293*INDEX(LenF,MATCH($Y$7,LenU,0)))^2*(0),INDEX(HeadK,MATCH(AA293,HeadU,0))*(Y293*INDEX(LenF,MATCH($Y$7,LenU,0)))^3)),0)+IF(ISNUMBER(Y293),PI()/4*(Y293*INDEX(LenF,MATCH($Y$7,LenU,0)))^2*N(AB293)*INDEX(LenF,MATCH($AB$7,LenU,0))+IF(AC293="",0,IF(AC293="Conical",PI()/12*(Y293*INDEX(LenF,MATCH($Y$7,LenU,0)))^2*(0),INDEX(HeadK,MATCH(AC293,HeadU,0))*(Y293*INDEX(LenF,MATCH($Y$7,LenU,0)))^3)),0),"")</f>
        <v/>
      </c>
      <c r="AE293" s="21" t="str">
        <f aca="false">IF(OR(E293="",E293="Piping"),"",IF(E293="Exchanger",AQ293*AR293+IF(P293="",0,IF(P293="Conical",PI()/12*(SQRT(4*AQ293/PI()))^2*(0),INDEX(HeadK,MATCH(P293,HeadU,0))*(SQRT(4*AQ293/PI()))^3))-IF(AND(ISNUMBER(S293),ISNUMBER(V293)),S293*PI()/4*AP293^2*V293*INDEX(LenF,MATCH($V$7,LenU,0)),0),IF(ISNUMBER(N293),PI()/4*(N293*INDEX(LenF,MATCH($N$7,LenU,0)))^2*N(O293)*INDEX(LenF,MATCH($O$7,LenU,0))+IF(P293="",0,IF(P293="Conical",PI()/12*(N293*INDEX(LenF,MATCH($N$7,LenU,0)))^2*(N(R293)*INDEX(LenF,MATCH($R$7,LenU,0))),INDEX(HeadK,MATCH(P293,HeadU,0))*(N293*INDEX(LenF,MATCH($N$7,LenU,0)))^3))+IF(Q293="",0,IF(Q293="Conical",PI()/12*(N293*INDEX(LenF,MATCH($N$7,LenU,0)))^2*(N(R293)*INDEX(LenF,MATCH($R$7,LenU,0))),INDEX(HeadK,MATCH(Q293,HeadU,0))*(N293*INDEX(LenF,MATCH($N$7,LenU,0)))^3)),0)))</f>
        <v/>
      </c>
      <c r="AF293" s="21" t="str">
        <f aca="false">IF(E293&lt;&gt;"Piping","",IF(AND(ISNUMBER(AS293),ISNUMBER(M293)),PI()/4*(AS293/1000)^2*M293*INDEX(LenF,MATCH($M$7,LenU,0)),0))</f>
        <v/>
      </c>
      <c r="AG293" s="21" t="str">
        <f aca="false">IF(E293="","",N(AD293)+N(AE293)+N(AF293))</f>
        <v/>
      </c>
      <c r="AH293" s="21" t="str">
        <f aca="false">IF(ISNUMBER(I293),I293*INDEX(WtF,MATCH($I$7,WtU,0))/WaterRho,"")</f>
        <v/>
      </c>
      <c r="AI293" s="11"/>
      <c r="AJ293" s="11"/>
      <c r="AK293" s="20"/>
      <c r="AL293" s="11"/>
      <c r="AM293" s="21" t="str">
        <f aca="false">IF(AO293="","",AO293*IF(ISNUMBER(AK293),AK293,DefFills)*(1+IF(ISNUMBER(AL293),AL293,DefAllow)))</f>
        <v/>
      </c>
      <c r="AN293" s="22" t="str">
        <f aca="false">IF(G293="Given volume",IF(ISNUMBER(H293),H293*INDEX(VolF,MATCH($H$7,VolU,0)),""),IF(G293="Water weight",AH293,IF(N(AG293)=0,"",AG293)))</f>
        <v/>
      </c>
      <c r="AO293" s="22" t="str">
        <f aca="false">IF(N(AN293)=0,"",AN293*AT293*IF(ISNUMBER(AJ293),AJ293,DefCirc))</f>
        <v/>
      </c>
      <c r="AP293" s="9" t="n">
        <f aca="false">IF(ISNUMBER(T293),T293*INDEX(LenF,MATCH($T$7,LenU,0)),IF(ISNUMBER(W293),W293*INDEX(LenF,MATCH($W$7,LenU,0))/PitchRatio,0))</f>
        <v>0</v>
      </c>
      <c r="AQ293" s="9" t="n">
        <f aca="false">IF(ISNUMBER(N293),PI()/4*(N293*INDEX(LenF,MATCH($N$7,LenU,0)))^2,IF(AND(ISNUMBER(S293),ISNUMBER(W293),X293&lt;&gt;""),S293*(W293*INDEX(LenF,MATCH($W$7,LenU,0)))^2*INDEX(LayoutF,MATCH(X293,LayoutU,0)),0))</f>
        <v>0</v>
      </c>
      <c r="AR293" s="9" t="n">
        <f aca="false">IF(ISNUMBER(O293),O293*INDEX(LenF,MATCH($O$7,LenU,0)),IF(ISNUMBER(V293),V293*INDEX(LenF,MATCH($V$7,LenU,0)),0))</f>
        <v>0</v>
      </c>
      <c r="AS293" s="9" t="str">
        <f aca="false">IF(ISNUMBER(L293),L293*INDEX(LenF,MATCH($L$7,LenU,0))*1000,IF(OR(J293="",K293=""),"",IFERROR(IF(INDEX(PipeWT,MATCH(J293,NPSU,0),MATCH(K293,SchU,0))="","Sch n/a",INDEX(PipeOD,MATCH(J293,NPSU,0))-2*INDEX(PipeWT,MATCH(J293,NPSU,0),MATCH(K293,SchU,0))),"")))</f>
        <v/>
      </c>
      <c r="AT293" s="9" t="n">
        <f aca="false">IF(ISNUMBER(AI293),AI293,IFERROR(INDEX(IF(JobType="Decontamination",TypeFillDC,TypeFillCC),MATCH(E293,TypeL,0)),1))</f>
        <v>1</v>
      </c>
      <c r="AU293" s="9" t="n">
        <v>9</v>
      </c>
    </row>
    <row r="294" customFormat="false" ht="15" hidden="false" customHeight="false" outlineLevel="0" collapsed="false">
      <c r="A294" s="16" t="n">
        <v>21</v>
      </c>
      <c r="B294" s="20"/>
      <c r="C294" s="5"/>
      <c r="D294" s="5"/>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1" t="str">
        <f aca="false">IF(E294="Exchanger",IF(AND(ISNUMBER(S294),ISNUMBER(U294),ISNUMBER(V294)),S294*PI()/4*(U294*INDEX(LenF,MATCH($U$7,LenU,0)))^2*V294*INDEX(LenF,MATCH($V$7,LenU,0)),0)+IF(ISNUMBER(Y294),PI()/4*(Y294*INDEX(LenF,MATCH($Y$7,LenU,0)))^2*N(Z294)*INDEX(LenF,MATCH($Z$7,LenU,0))+IF(AA294="",0,IF(AA294="Conical",PI()/12*(Y294*INDEX(LenF,MATCH($Y$7,LenU,0)))^2*(0),INDEX(HeadK,MATCH(AA294,HeadU,0))*(Y294*INDEX(LenF,MATCH($Y$7,LenU,0)))^3)),0)+IF(ISNUMBER(Y294),PI()/4*(Y294*INDEX(LenF,MATCH($Y$7,LenU,0)))^2*N(AB294)*INDEX(LenF,MATCH($AB$7,LenU,0))+IF(AC294="",0,IF(AC294="Conical",PI()/12*(Y294*INDEX(LenF,MATCH($Y$7,LenU,0)))^2*(0),INDEX(HeadK,MATCH(AC294,HeadU,0))*(Y294*INDEX(LenF,MATCH($Y$7,LenU,0)))^3)),0),"")</f>
        <v/>
      </c>
      <c r="AE294" s="21" t="str">
        <f aca="false">IF(OR(E294="",E294="Piping"),"",IF(E294="Exchanger",AQ294*AR294+IF(P294="",0,IF(P294="Conical",PI()/12*(SQRT(4*AQ294/PI()))^2*(0),INDEX(HeadK,MATCH(P294,HeadU,0))*(SQRT(4*AQ294/PI()))^3))-IF(AND(ISNUMBER(S294),ISNUMBER(V294)),S294*PI()/4*AP294^2*V294*INDEX(LenF,MATCH($V$7,LenU,0)),0),IF(ISNUMBER(N294),PI()/4*(N294*INDEX(LenF,MATCH($N$7,LenU,0)))^2*N(O294)*INDEX(LenF,MATCH($O$7,LenU,0))+IF(P294="",0,IF(P294="Conical",PI()/12*(N294*INDEX(LenF,MATCH($N$7,LenU,0)))^2*(N(R294)*INDEX(LenF,MATCH($R$7,LenU,0))),INDEX(HeadK,MATCH(P294,HeadU,0))*(N294*INDEX(LenF,MATCH($N$7,LenU,0)))^3))+IF(Q294="",0,IF(Q294="Conical",PI()/12*(N294*INDEX(LenF,MATCH($N$7,LenU,0)))^2*(N(R294)*INDEX(LenF,MATCH($R$7,LenU,0))),INDEX(HeadK,MATCH(Q294,HeadU,0))*(N294*INDEX(LenF,MATCH($N$7,LenU,0)))^3)),0)))</f>
        <v/>
      </c>
      <c r="AF294" s="21" t="str">
        <f aca="false">IF(E294&lt;&gt;"Piping","",IF(AND(ISNUMBER(AS294),ISNUMBER(M294)),PI()/4*(AS294/1000)^2*M294*INDEX(LenF,MATCH($M$7,LenU,0)),0))</f>
        <v/>
      </c>
      <c r="AG294" s="21" t="str">
        <f aca="false">IF(E294="","",N(AD294)+N(AE294)+N(AF294))</f>
        <v/>
      </c>
      <c r="AH294" s="21" t="str">
        <f aca="false">IF(ISNUMBER(I294),I294*INDEX(WtF,MATCH($I$7,WtU,0))/WaterRho,"")</f>
        <v/>
      </c>
      <c r="AI294" s="11"/>
      <c r="AJ294" s="11"/>
      <c r="AK294" s="20"/>
      <c r="AL294" s="11"/>
      <c r="AM294" s="21" t="str">
        <f aca="false">IF(AO294="","",AO294*IF(ISNUMBER(AK294),AK294,DefFills)*(1+IF(ISNUMBER(AL294),AL294,DefAllow)))</f>
        <v/>
      </c>
      <c r="AN294" s="22" t="str">
        <f aca="false">IF(G294="Given volume",IF(ISNUMBER(H294),H294*INDEX(VolF,MATCH($H$7,VolU,0)),""),IF(G294="Water weight",AH294,IF(N(AG294)=0,"",AG294)))</f>
        <v/>
      </c>
      <c r="AO294" s="22" t="str">
        <f aca="false">IF(N(AN294)=0,"",AN294*AT294*IF(ISNUMBER(AJ294),AJ294,DefCirc))</f>
        <v/>
      </c>
      <c r="AP294" s="9" t="n">
        <f aca="false">IF(ISNUMBER(T294),T294*INDEX(LenF,MATCH($T$7,LenU,0)),IF(ISNUMBER(W294),W294*INDEX(LenF,MATCH($W$7,LenU,0))/PitchRatio,0))</f>
        <v>0</v>
      </c>
      <c r="AQ294" s="9" t="n">
        <f aca="false">IF(ISNUMBER(N294),PI()/4*(N294*INDEX(LenF,MATCH($N$7,LenU,0)))^2,IF(AND(ISNUMBER(S294),ISNUMBER(W294),X294&lt;&gt;""),S294*(W294*INDEX(LenF,MATCH($W$7,LenU,0)))^2*INDEX(LayoutF,MATCH(X294,LayoutU,0)),0))</f>
        <v>0</v>
      </c>
      <c r="AR294" s="9" t="n">
        <f aca="false">IF(ISNUMBER(O294),O294*INDEX(LenF,MATCH($O$7,LenU,0)),IF(ISNUMBER(V294),V294*INDEX(LenF,MATCH($V$7,LenU,0)),0))</f>
        <v>0</v>
      </c>
      <c r="AS294" s="9" t="str">
        <f aca="false">IF(ISNUMBER(L294),L294*INDEX(LenF,MATCH($L$7,LenU,0))*1000,IF(OR(J294="",K294=""),"",IFERROR(IF(INDEX(PipeWT,MATCH(J294,NPSU,0),MATCH(K294,SchU,0))="","Sch n/a",INDEX(PipeOD,MATCH(J294,NPSU,0))-2*INDEX(PipeWT,MATCH(J294,NPSU,0),MATCH(K294,SchU,0))),"")))</f>
        <v/>
      </c>
      <c r="AT294" s="9" t="n">
        <f aca="false">IF(ISNUMBER(AI294),AI294,IFERROR(INDEX(IF(JobType="Decontamination",TypeFillDC,TypeFillCC),MATCH(E294,TypeL,0)),1))</f>
        <v>1</v>
      </c>
      <c r="AU294" s="9" t="n">
        <v>9</v>
      </c>
    </row>
    <row r="295" customFormat="false" ht="15" hidden="false" customHeight="false" outlineLevel="0" collapsed="false">
      <c r="A295" s="16" t="n">
        <v>22</v>
      </c>
      <c r="B295" s="20"/>
      <c r="C295" s="5"/>
      <c r="D295" s="5"/>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1" t="str">
        <f aca="false">IF(E295="Exchanger",IF(AND(ISNUMBER(S295),ISNUMBER(U295),ISNUMBER(V295)),S295*PI()/4*(U295*INDEX(LenF,MATCH($U$7,LenU,0)))^2*V295*INDEX(LenF,MATCH($V$7,LenU,0)),0)+IF(ISNUMBER(Y295),PI()/4*(Y295*INDEX(LenF,MATCH($Y$7,LenU,0)))^2*N(Z295)*INDEX(LenF,MATCH($Z$7,LenU,0))+IF(AA295="",0,IF(AA295="Conical",PI()/12*(Y295*INDEX(LenF,MATCH($Y$7,LenU,0)))^2*(0),INDEX(HeadK,MATCH(AA295,HeadU,0))*(Y295*INDEX(LenF,MATCH($Y$7,LenU,0)))^3)),0)+IF(ISNUMBER(Y295),PI()/4*(Y295*INDEX(LenF,MATCH($Y$7,LenU,0)))^2*N(AB295)*INDEX(LenF,MATCH($AB$7,LenU,0))+IF(AC295="",0,IF(AC295="Conical",PI()/12*(Y295*INDEX(LenF,MATCH($Y$7,LenU,0)))^2*(0),INDEX(HeadK,MATCH(AC295,HeadU,0))*(Y295*INDEX(LenF,MATCH($Y$7,LenU,0)))^3)),0),"")</f>
        <v/>
      </c>
      <c r="AE295" s="21" t="str">
        <f aca="false">IF(OR(E295="",E295="Piping"),"",IF(E295="Exchanger",AQ295*AR295+IF(P295="",0,IF(P295="Conical",PI()/12*(SQRT(4*AQ295/PI()))^2*(0),INDEX(HeadK,MATCH(P295,HeadU,0))*(SQRT(4*AQ295/PI()))^3))-IF(AND(ISNUMBER(S295),ISNUMBER(V295)),S295*PI()/4*AP295^2*V295*INDEX(LenF,MATCH($V$7,LenU,0)),0),IF(ISNUMBER(N295),PI()/4*(N295*INDEX(LenF,MATCH($N$7,LenU,0)))^2*N(O295)*INDEX(LenF,MATCH($O$7,LenU,0))+IF(P295="",0,IF(P295="Conical",PI()/12*(N295*INDEX(LenF,MATCH($N$7,LenU,0)))^2*(N(R295)*INDEX(LenF,MATCH($R$7,LenU,0))),INDEX(HeadK,MATCH(P295,HeadU,0))*(N295*INDEX(LenF,MATCH($N$7,LenU,0)))^3))+IF(Q295="",0,IF(Q295="Conical",PI()/12*(N295*INDEX(LenF,MATCH($N$7,LenU,0)))^2*(N(R295)*INDEX(LenF,MATCH($R$7,LenU,0))),INDEX(HeadK,MATCH(Q295,HeadU,0))*(N295*INDEX(LenF,MATCH($N$7,LenU,0)))^3)),0)))</f>
        <v/>
      </c>
      <c r="AF295" s="21" t="str">
        <f aca="false">IF(E295&lt;&gt;"Piping","",IF(AND(ISNUMBER(AS295),ISNUMBER(M295)),PI()/4*(AS295/1000)^2*M295*INDEX(LenF,MATCH($M$7,LenU,0)),0))</f>
        <v/>
      </c>
      <c r="AG295" s="21" t="str">
        <f aca="false">IF(E295="","",N(AD295)+N(AE295)+N(AF295))</f>
        <v/>
      </c>
      <c r="AH295" s="21" t="str">
        <f aca="false">IF(ISNUMBER(I295),I295*INDEX(WtF,MATCH($I$7,WtU,0))/WaterRho,"")</f>
        <v/>
      </c>
      <c r="AI295" s="11"/>
      <c r="AJ295" s="11"/>
      <c r="AK295" s="20"/>
      <c r="AL295" s="11"/>
      <c r="AM295" s="21" t="str">
        <f aca="false">IF(AO295="","",AO295*IF(ISNUMBER(AK295),AK295,DefFills)*(1+IF(ISNUMBER(AL295),AL295,DefAllow)))</f>
        <v/>
      </c>
      <c r="AN295" s="22" t="str">
        <f aca="false">IF(G295="Given volume",IF(ISNUMBER(H295),H295*INDEX(VolF,MATCH($H$7,VolU,0)),""),IF(G295="Water weight",AH295,IF(N(AG295)=0,"",AG295)))</f>
        <v/>
      </c>
      <c r="AO295" s="22" t="str">
        <f aca="false">IF(N(AN295)=0,"",AN295*AT295*IF(ISNUMBER(AJ295),AJ295,DefCirc))</f>
        <v/>
      </c>
      <c r="AP295" s="9" t="n">
        <f aca="false">IF(ISNUMBER(T295),T295*INDEX(LenF,MATCH($T$7,LenU,0)),IF(ISNUMBER(W295),W295*INDEX(LenF,MATCH($W$7,LenU,0))/PitchRatio,0))</f>
        <v>0</v>
      </c>
      <c r="AQ295" s="9" t="n">
        <f aca="false">IF(ISNUMBER(N295),PI()/4*(N295*INDEX(LenF,MATCH($N$7,LenU,0)))^2,IF(AND(ISNUMBER(S295),ISNUMBER(W295),X295&lt;&gt;""),S295*(W295*INDEX(LenF,MATCH($W$7,LenU,0)))^2*INDEX(LayoutF,MATCH(X295,LayoutU,0)),0))</f>
        <v>0</v>
      </c>
      <c r="AR295" s="9" t="n">
        <f aca="false">IF(ISNUMBER(O295),O295*INDEX(LenF,MATCH($O$7,LenU,0)),IF(ISNUMBER(V295),V295*INDEX(LenF,MATCH($V$7,LenU,0)),0))</f>
        <v>0</v>
      </c>
      <c r="AS295" s="9" t="str">
        <f aca="false">IF(ISNUMBER(L295),L295*INDEX(LenF,MATCH($L$7,LenU,0))*1000,IF(OR(J295="",K295=""),"",IFERROR(IF(INDEX(PipeWT,MATCH(J295,NPSU,0),MATCH(K295,SchU,0))="","Sch n/a",INDEX(PipeOD,MATCH(J295,NPSU,0))-2*INDEX(PipeWT,MATCH(J295,NPSU,0),MATCH(K295,SchU,0))),"")))</f>
        <v/>
      </c>
      <c r="AT295" s="9" t="n">
        <f aca="false">IF(ISNUMBER(AI295),AI295,IFERROR(INDEX(IF(JobType="Decontamination",TypeFillDC,TypeFillCC),MATCH(E295,TypeL,0)),1))</f>
        <v>1</v>
      </c>
      <c r="AU295" s="9" t="n">
        <v>9</v>
      </c>
    </row>
    <row r="296" customFormat="false" ht="15" hidden="false" customHeight="false" outlineLevel="0" collapsed="false">
      <c r="A296" s="16" t="n">
        <v>23</v>
      </c>
      <c r="B296" s="20"/>
      <c r="C296" s="5"/>
      <c r="D296" s="5"/>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1" t="str">
        <f aca="false">IF(E296="Exchanger",IF(AND(ISNUMBER(S296),ISNUMBER(U296),ISNUMBER(V296)),S296*PI()/4*(U296*INDEX(LenF,MATCH($U$7,LenU,0)))^2*V296*INDEX(LenF,MATCH($V$7,LenU,0)),0)+IF(ISNUMBER(Y296),PI()/4*(Y296*INDEX(LenF,MATCH($Y$7,LenU,0)))^2*N(Z296)*INDEX(LenF,MATCH($Z$7,LenU,0))+IF(AA296="",0,IF(AA296="Conical",PI()/12*(Y296*INDEX(LenF,MATCH($Y$7,LenU,0)))^2*(0),INDEX(HeadK,MATCH(AA296,HeadU,0))*(Y296*INDEX(LenF,MATCH($Y$7,LenU,0)))^3)),0)+IF(ISNUMBER(Y296),PI()/4*(Y296*INDEX(LenF,MATCH($Y$7,LenU,0)))^2*N(AB296)*INDEX(LenF,MATCH($AB$7,LenU,0))+IF(AC296="",0,IF(AC296="Conical",PI()/12*(Y296*INDEX(LenF,MATCH($Y$7,LenU,0)))^2*(0),INDEX(HeadK,MATCH(AC296,HeadU,0))*(Y296*INDEX(LenF,MATCH($Y$7,LenU,0)))^3)),0),"")</f>
        <v/>
      </c>
      <c r="AE296" s="21" t="str">
        <f aca="false">IF(OR(E296="",E296="Piping"),"",IF(E296="Exchanger",AQ296*AR296+IF(P296="",0,IF(P296="Conical",PI()/12*(SQRT(4*AQ296/PI()))^2*(0),INDEX(HeadK,MATCH(P296,HeadU,0))*(SQRT(4*AQ296/PI()))^3))-IF(AND(ISNUMBER(S296),ISNUMBER(V296)),S296*PI()/4*AP296^2*V296*INDEX(LenF,MATCH($V$7,LenU,0)),0),IF(ISNUMBER(N296),PI()/4*(N296*INDEX(LenF,MATCH($N$7,LenU,0)))^2*N(O296)*INDEX(LenF,MATCH($O$7,LenU,0))+IF(P296="",0,IF(P296="Conical",PI()/12*(N296*INDEX(LenF,MATCH($N$7,LenU,0)))^2*(N(R296)*INDEX(LenF,MATCH($R$7,LenU,0))),INDEX(HeadK,MATCH(P296,HeadU,0))*(N296*INDEX(LenF,MATCH($N$7,LenU,0)))^3))+IF(Q296="",0,IF(Q296="Conical",PI()/12*(N296*INDEX(LenF,MATCH($N$7,LenU,0)))^2*(N(R296)*INDEX(LenF,MATCH($R$7,LenU,0))),INDEX(HeadK,MATCH(Q296,HeadU,0))*(N296*INDEX(LenF,MATCH($N$7,LenU,0)))^3)),0)))</f>
        <v/>
      </c>
      <c r="AF296" s="21" t="str">
        <f aca="false">IF(E296&lt;&gt;"Piping","",IF(AND(ISNUMBER(AS296),ISNUMBER(M296)),PI()/4*(AS296/1000)^2*M296*INDEX(LenF,MATCH($M$7,LenU,0)),0))</f>
        <v/>
      </c>
      <c r="AG296" s="21" t="str">
        <f aca="false">IF(E296="","",N(AD296)+N(AE296)+N(AF296))</f>
        <v/>
      </c>
      <c r="AH296" s="21" t="str">
        <f aca="false">IF(ISNUMBER(I296),I296*INDEX(WtF,MATCH($I$7,WtU,0))/WaterRho,"")</f>
        <v/>
      </c>
      <c r="AI296" s="11"/>
      <c r="AJ296" s="11"/>
      <c r="AK296" s="20"/>
      <c r="AL296" s="11"/>
      <c r="AM296" s="21" t="str">
        <f aca="false">IF(AO296="","",AO296*IF(ISNUMBER(AK296),AK296,DefFills)*(1+IF(ISNUMBER(AL296),AL296,DefAllow)))</f>
        <v/>
      </c>
      <c r="AN296" s="22" t="str">
        <f aca="false">IF(G296="Given volume",IF(ISNUMBER(H296),H296*INDEX(VolF,MATCH($H$7,VolU,0)),""),IF(G296="Water weight",AH296,IF(N(AG296)=0,"",AG296)))</f>
        <v/>
      </c>
      <c r="AO296" s="22" t="str">
        <f aca="false">IF(N(AN296)=0,"",AN296*AT296*IF(ISNUMBER(AJ296),AJ296,DefCirc))</f>
        <v/>
      </c>
      <c r="AP296" s="9" t="n">
        <f aca="false">IF(ISNUMBER(T296),T296*INDEX(LenF,MATCH($T$7,LenU,0)),IF(ISNUMBER(W296),W296*INDEX(LenF,MATCH($W$7,LenU,0))/PitchRatio,0))</f>
        <v>0</v>
      </c>
      <c r="AQ296" s="9" t="n">
        <f aca="false">IF(ISNUMBER(N296),PI()/4*(N296*INDEX(LenF,MATCH($N$7,LenU,0)))^2,IF(AND(ISNUMBER(S296),ISNUMBER(W296),X296&lt;&gt;""),S296*(W296*INDEX(LenF,MATCH($W$7,LenU,0)))^2*INDEX(LayoutF,MATCH(X296,LayoutU,0)),0))</f>
        <v>0</v>
      </c>
      <c r="AR296" s="9" t="n">
        <f aca="false">IF(ISNUMBER(O296),O296*INDEX(LenF,MATCH($O$7,LenU,0)),IF(ISNUMBER(V296),V296*INDEX(LenF,MATCH($V$7,LenU,0)),0))</f>
        <v>0</v>
      </c>
      <c r="AS296" s="9" t="str">
        <f aca="false">IF(ISNUMBER(L296),L296*INDEX(LenF,MATCH($L$7,LenU,0))*1000,IF(OR(J296="",K296=""),"",IFERROR(IF(INDEX(PipeWT,MATCH(J296,NPSU,0),MATCH(K296,SchU,0))="","Sch n/a",INDEX(PipeOD,MATCH(J296,NPSU,0))-2*INDEX(PipeWT,MATCH(J296,NPSU,0),MATCH(K296,SchU,0))),"")))</f>
        <v/>
      </c>
      <c r="AT296" s="9" t="n">
        <f aca="false">IF(ISNUMBER(AI296),AI296,IFERROR(INDEX(IF(JobType="Decontamination",TypeFillDC,TypeFillCC),MATCH(E296,TypeL,0)),1))</f>
        <v>1</v>
      </c>
      <c r="AU296" s="9" t="n">
        <v>9</v>
      </c>
    </row>
    <row r="297" customFormat="false" ht="15" hidden="false" customHeight="false" outlineLevel="0" collapsed="false">
      <c r="A297" s="16" t="n">
        <v>24</v>
      </c>
      <c r="B297" s="20"/>
      <c r="C297" s="5"/>
      <c r="D297" s="5"/>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1" t="str">
        <f aca="false">IF(E297="Exchanger",IF(AND(ISNUMBER(S297),ISNUMBER(U297),ISNUMBER(V297)),S297*PI()/4*(U297*INDEX(LenF,MATCH($U$7,LenU,0)))^2*V297*INDEX(LenF,MATCH($V$7,LenU,0)),0)+IF(ISNUMBER(Y297),PI()/4*(Y297*INDEX(LenF,MATCH($Y$7,LenU,0)))^2*N(Z297)*INDEX(LenF,MATCH($Z$7,LenU,0))+IF(AA297="",0,IF(AA297="Conical",PI()/12*(Y297*INDEX(LenF,MATCH($Y$7,LenU,0)))^2*(0),INDEX(HeadK,MATCH(AA297,HeadU,0))*(Y297*INDEX(LenF,MATCH($Y$7,LenU,0)))^3)),0)+IF(ISNUMBER(Y297),PI()/4*(Y297*INDEX(LenF,MATCH($Y$7,LenU,0)))^2*N(AB297)*INDEX(LenF,MATCH($AB$7,LenU,0))+IF(AC297="",0,IF(AC297="Conical",PI()/12*(Y297*INDEX(LenF,MATCH($Y$7,LenU,0)))^2*(0),INDEX(HeadK,MATCH(AC297,HeadU,0))*(Y297*INDEX(LenF,MATCH($Y$7,LenU,0)))^3)),0),"")</f>
        <v/>
      </c>
      <c r="AE297" s="21" t="str">
        <f aca="false">IF(OR(E297="",E297="Piping"),"",IF(E297="Exchanger",AQ297*AR297+IF(P297="",0,IF(P297="Conical",PI()/12*(SQRT(4*AQ297/PI()))^2*(0),INDEX(HeadK,MATCH(P297,HeadU,0))*(SQRT(4*AQ297/PI()))^3))-IF(AND(ISNUMBER(S297),ISNUMBER(V297)),S297*PI()/4*AP297^2*V297*INDEX(LenF,MATCH($V$7,LenU,0)),0),IF(ISNUMBER(N297),PI()/4*(N297*INDEX(LenF,MATCH($N$7,LenU,0)))^2*N(O297)*INDEX(LenF,MATCH($O$7,LenU,0))+IF(P297="",0,IF(P297="Conical",PI()/12*(N297*INDEX(LenF,MATCH($N$7,LenU,0)))^2*(N(R297)*INDEX(LenF,MATCH($R$7,LenU,0))),INDEX(HeadK,MATCH(P297,HeadU,0))*(N297*INDEX(LenF,MATCH($N$7,LenU,0)))^3))+IF(Q297="",0,IF(Q297="Conical",PI()/12*(N297*INDEX(LenF,MATCH($N$7,LenU,0)))^2*(N(R297)*INDEX(LenF,MATCH($R$7,LenU,0))),INDEX(HeadK,MATCH(Q297,HeadU,0))*(N297*INDEX(LenF,MATCH($N$7,LenU,0)))^3)),0)))</f>
        <v/>
      </c>
      <c r="AF297" s="21" t="str">
        <f aca="false">IF(E297&lt;&gt;"Piping","",IF(AND(ISNUMBER(AS297),ISNUMBER(M297)),PI()/4*(AS297/1000)^2*M297*INDEX(LenF,MATCH($M$7,LenU,0)),0))</f>
        <v/>
      </c>
      <c r="AG297" s="21" t="str">
        <f aca="false">IF(E297="","",N(AD297)+N(AE297)+N(AF297))</f>
        <v/>
      </c>
      <c r="AH297" s="21" t="str">
        <f aca="false">IF(ISNUMBER(I297),I297*INDEX(WtF,MATCH($I$7,WtU,0))/WaterRho,"")</f>
        <v/>
      </c>
      <c r="AI297" s="11"/>
      <c r="AJ297" s="11"/>
      <c r="AK297" s="20"/>
      <c r="AL297" s="11"/>
      <c r="AM297" s="21" t="str">
        <f aca="false">IF(AO297="","",AO297*IF(ISNUMBER(AK297),AK297,DefFills)*(1+IF(ISNUMBER(AL297),AL297,DefAllow)))</f>
        <v/>
      </c>
      <c r="AN297" s="22" t="str">
        <f aca="false">IF(G297="Given volume",IF(ISNUMBER(H297),H297*INDEX(VolF,MATCH($H$7,VolU,0)),""),IF(G297="Water weight",AH297,IF(N(AG297)=0,"",AG297)))</f>
        <v/>
      </c>
      <c r="AO297" s="22" t="str">
        <f aca="false">IF(N(AN297)=0,"",AN297*AT297*IF(ISNUMBER(AJ297),AJ297,DefCirc))</f>
        <v/>
      </c>
      <c r="AP297" s="9" t="n">
        <f aca="false">IF(ISNUMBER(T297),T297*INDEX(LenF,MATCH($T$7,LenU,0)),IF(ISNUMBER(W297),W297*INDEX(LenF,MATCH($W$7,LenU,0))/PitchRatio,0))</f>
        <v>0</v>
      </c>
      <c r="AQ297" s="9" t="n">
        <f aca="false">IF(ISNUMBER(N297),PI()/4*(N297*INDEX(LenF,MATCH($N$7,LenU,0)))^2,IF(AND(ISNUMBER(S297),ISNUMBER(W297),X297&lt;&gt;""),S297*(W297*INDEX(LenF,MATCH($W$7,LenU,0)))^2*INDEX(LayoutF,MATCH(X297,LayoutU,0)),0))</f>
        <v>0</v>
      </c>
      <c r="AR297" s="9" t="n">
        <f aca="false">IF(ISNUMBER(O297),O297*INDEX(LenF,MATCH($O$7,LenU,0)),IF(ISNUMBER(V297),V297*INDEX(LenF,MATCH($V$7,LenU,0)),0))</f>
        <v>0</v>
      </c>
      <c r="AS297" s="9" t="str">
        <f aca="false">IF(ISNUMBER(L297),L297*INDEX(LenF,MATCH($L$7,LenU,0))*1000,IF(OR(J297="",K297=""),"",IFERROR(IF(INDEX(PipeWT,MATCH(J297,NPSU,0),MATCH(K297,SchU,0))="","Sch n/a",INDEX(PipeOD,MATCH(J297,NPSU,0))-2*INDEX(PipeWT,MATCH(J297,NPSU,0),MATCH(K297,SchU,0))),"")))</f>
        <v/>
      </c>
      <c r="AT297" s="9" t="n">
        <f aca="false">IF(ISNUMBER(AI297),AI297,IFERROR(INDEX(IF(JobType="Decontamination",TypeFillDC,TypeFillCC),MATCH(E297,TypeL,0)),1))</f>
        <v>1</v>
      </c>
      <c r="AU297" s="9" t="n">
        <v>9</v>
      </c>
    </row>
    <row r="298" customFormat="false" ht="15" hidden="false" customHeight="false" outlineLevel="0" collapsed="false">
      <c r="A298" s="16" t="n">
        <v>25</v>
      </c>
      <c r="B298" s="20"/>
      <c r="C298" s="5"/>
      <c r="D298" s="5"/>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1" t="str">
        <f aca="false">IF(E298="Exchanger",IF(AND(ISNUMBER(S298),ISNUMBER(U298),ISNUMBER(V298)),S298*PI()/4*(U298*INDEX(LenF,MATCH($U$7,LenU,0)))^2*V298*INDEX(LenF,MATCH($V$7,LenU,0)),0)+IF(ISNUMBER(Y298),PI()/4*(Y298*INDEX(LenF,MATCH($Y$7,LenU,0)))^2*N(Z298)*INDEX(LenF,MATCH($Z$7,LenU,0))+IF(AA298="",0,IF(AA298="Conical",PI()/12*(Y298*INDEX(LenF,MATCH($Y$7,LenU,0)))^2*(0),INDEX(HeadK,MATCH(AA298,HeadU,0))*(Y298*INDEX(LenF,MATCH($Y$7,LenU,0)))^3)),0)+IF(ISNUMBER(Y298),PI()/4*(Y298*INDEX(LenF,MATCH($Y$7,LenU,0)))^2*N(AB298)*INDEX(LenF,MATCH($AB$7,LenU,0))+IF(AC298="",0,IF(AC298="Conical",PI()/12*(Y298*INDEX(LenF,MATCH($Y$7,LenU,0)))^2*(0),INDEX(HeadK,MATCH(AC298,HeadU,0))*(Y298*INDEX(LenF,MATCH($Y$7,LenU,0)))^3)),0),"")</f>
        <v/>
      </c>
      <c r="AE298" s="21" t="str">
        <f aca="false">IF(OR(E298="",E298="Piping"),"",IF(E298="Exchanger",AQ298*AR298+IF(P298="",0,IF(P298="Conical",PI()/12*(SQRT(4*AQ298/PI()))^2*(0),INDEX(HeadK,MATCH(P298,HeadU,0))*(SQRT(4*AQ298/PI()))^3))-IF(AND(ISNUMBER(S298),ISNUMBER(V298)),S298*PI()/4*AP298^2*V298*INDEX(LenF,MATCH($V$7,LenU,0)),0),IF(ISNUMBER(N298),PI()/4*(N298*INDEX(LenF,MATCH($N$7,LenU,0)))^2*N(O298)*INDEX(LenF,MATCH($O$7,LenU,0))+IF(P298="",0,IF(P298="Conical",PI()/12*(N298*INDEX(LenF,MATCH($N$7,LenU,0)))^2*(N(R298)*INDEX(LenF,MATCH($R$7,LenU,0))),INDEX(HeadK,MATCH(P298,HeadU,0))*(N298*INDEX(LenF,MATCH($N$7,LenU,0)))^3))+IF(Q298="",0,IF(Q298="Conical",PI()/12*(N298*INDEX(LenF,MATCH($N$7,LenU,0)))^2*(N(R298)*INDEX(LenF,MATCH($R$7,LenU,0))),INDEX(HeadK,MATCH(Q298,HeadU,0))*(N298*INDEX(LenF,MATCH($N$7,LenU,0)))^3)),0)))</f>
        <v/>
      </c>
      <c r="AF298" s="21" t="str">
        <f aca="false">IF(E298&lt;&gt;"Piping","",IF(AND(ISNUMBER(AS298),ISNUMBER(M298)),PI()/4*(AS298/1000)^2*M298*INDEX(LenF,MATCH($M$7,LenU,0)),0))</f>
        <v/>
      </c>
      <c r="AG298" s="21" t="str">
        <f aca="false">IF(E298="","",N(AD298)+N(AE298)+N(AF298))</f>
        <v/>
      </c>
      <c r="AH298" s="21" t="str">
        <f aca="false">IF(ISNUMBER(I298),I298*INDEX(WtF,MATCH($I$7,WtU,0))/WaterRho,"")</f>
        <v/>
      </c>
      <c r="AI298" s="11"/>
      <c r="AJ298" s="11"/>
      <c r="AK298" s="20"/>
      <c r="AL298" s="11"/>
      <c r="AM298" s="21" t="str">
        <f aca="false">IF(AO298="","",AO298*IF(ISNUMBER(AK298),AK298,DefFills)*(1+IF(ISNUMBER(AL298),AL298,DefAllow)))</f>
        <v/>
      </c>
      <c r="AN298" s="22" t="str">
        <f aca="false">IF(G298="Given volume",IF(ISNUMBER(H298),H298*INDEX(VolF,MATCH($H$7,VolU,0)),""),IF(G298="Water weight",AH298,IF(N(AG298)=0,"",AG298)))</f>
        <v/>
      </c>
      <c r="AO298" s="22" t="str">
        <f aca="false">IF(N(AN298)=0,"",AN298*AT298*IF(ISNUMBER(AJ298),AJ298,DefCirc))</f>
        <v/>
      </c>
      <c r="AP298" s="9" t="n">
        <f aca="false">IF(ISNUMBER(T298),T298*INDEX(LenF,MATCH($T$7,LenU,0)),IF(ISNUMBER(W298),W298*INDEX(LenF,MATCH($W$7,LenU,0))/PitchRatio,0))</f>
        <v>0</v>
      </c>
      <c r="AQ298" s="9" t="n">
        <f aca="false">IF(ISNUMBER(N298),PI()/4*(N298*INDEX(LenF,MATCH($N$7,LenU,0)))^2,IF(AND(ISNUMBER(S298),ISNUMBER(W298),X298&lt;&gt;""),S298*(W298*INDEX(LenF,MATCH($W$7,LenU,0)))^2*INDEX(LayoutF,MATCH(X298,LayoutU,0)),0))</f>
        <v>0</v>
      </c>
      <c r="AR298" s="9" t="n">
        <f aca="false">IF(ISNUMBER(O298),O298*INDEX(LenF,MATCH($O$7,LenU,0)),IF(ISNUMBER(V298),V298*INDEX(LenF,MATCH($V$7,LenU,0)),0))</f>
        <v>0</v>
      </c>
      <c r="AS298" s="9" t="str">
        <f aca="false">IF(ISNUMBER(L298),L298*INDEX(LenF,MATCH($L$7,LenU,0))*1000,IF(OR(J298="",K298=""),"",IFERROR(IF(INDEX(PipeWT,MATCH(J298,NPSU,0),MATCH(K298,SchU,0))="","Sch n/a",INDEX(PipeOD,MATCH(J298,NPSU,0))-2*INDEX(PipeWT,MATCH(J298,NPSU,0),MATCH(K298,SchU,0))),"")))</f>
        <v/>
      </c>
      <c r="AT298" s="9" t="n">
        <f aca="false">IF(ISNUMBER(AI298),AI298,IFERROR(INDEX(IF(JobType="Decontamination",TypeFillDC,TypeFillCC),MATCH(E298,TypeL,0)),1))</f>
        <v>1</v>
      </c>
      <c r="AU298" s="9" t="n">
        <v>9</v>
      </c>
    </row>
    <row r="299" customFormat="false" ht="15" hidden="false" customHeight="false" outlineLevel="0" collapsed="false">
      <c r="A299" s="16" t="n">
        <v>26</v>
      </c>
      <c r="B299" s="20"/>
      <c r="C299" s="5"/>
      <c r="D299" s="5"/>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1" t="str">
        <f aca="false">IF(E299="Exchanger",IF(AND(ISNUMBER(S299),ISNUMBER(U299),ISNUMBER(V299)),S299*PI()/4*(U299*INDEX(LenF,MATCH($U$7,LenU,0)))^2*V299*INDEX(LenF,MATCH($V$7,LenU,0)),0)+IF(ISNUMBER(Y299),PI()/4*(Y299*INDEX(LenF,MATCH($Y$7,LenU,0)))^2*N(Z299)*INDEX(LenF,MATCH($Z$7,LenU,0))+IF(AA299="",0,IF(AA299="Conical",PI()/12*(Y299*INDEX(LenF,MATCH($Y$7,LenU,0)))^2*(0),INDEX(HeadK,MATCH(AA299,HeadU,0))*(Y299*INDEX(LenF,MATCH($Y$7,LenU,0)))^3)),0)+IF(ISNUMBER(Y299),PI()/4*(Y299*INDEX(LenF,MATCH($Y$7,LenU,0)))^2*N(AB299)*INDEX(LenF,MATCH($AB$7,LenU,0))+IF(AC299="",0,IF(AC299="Conical",PI()/12*(Y299*INDEX(LenF,MATCH($Y$7,LenU,0)))^2*(0),INDEX(HeadK,MATCH(AC299,HeadU,0))*(Y299*INDEX(LenF,MATCH($Y$7,LenU,0)))^3)),0),"")</f>
        <v/>
      </c>
      <c r="AE299" s="21" t="str">
        <f aca="false">IF(OR(E299="",E299="Piping"),"",IF(E299="Exchanger",AQ299*AR299+IF(P299="",0,IF(P299="Conical",PI()/12*(SQRT(4*AQ299/PI()))^2*(0),INDEX(HeadK,MATCH(P299,HeadU,0))*(SQRT(4*AQ299/PI()))^3))-IF(AND(ISNUMBER(S299),ISNUMBER(V299)),S299*PI()/4*AP299^2*V299*INDEX(LenF,MATCH($V$7,LenU,0)),0),IF(ISNUMBER(N299),PI()/4*(N299*INDEX(LenF,MATCH($N$7,LenU,0)))^2*N(O299)*INDEX(LenF,MATCH($O$7,LenU,0))+IF(P299="",0,IF(P299="Conical",PI()/12*(N299*INDEX(LenF,MATCH($N$7,LenU,0)))^2*(N(R299)*INDEX(LenF,MATCH($R$7,LenU,0))),INDEX(HeadK,MATCH(P299,HeadU,0))*(N299*INDEX(LenF,MATCH($N$7,LenU,0)))^3))+IF(Q299="",0,IF(Q299="Conical",PI()/12*(N299*INDEX(LenF,MATCH($N$7,LenU,0)))^2*(N(R299)*INDEX(LenF,MATCH($R$7,LenU,0))),INDEX(HeadK,MATCH(Q299,HeadU,0))*(N299*INDEX(LenF,MATCH($N$7,LenU,0)))^3)),0)))</f>
        <v/>
      </c>
      <c r="AF299" s="21" t="str">
        <f aca="false">IF(E299&lt;&gt;"Piping","",IF(AND(ISNUMBER(AS299),ISNUMBER(M299)),PI()/4*(AS299/1000)^2*M299*INDEX(LenF,MATCH($M$7,LenU,0)),0))</f>
        <v/>
      </c>
      <c r="AG299" s="21" t="str">
        <f aca="false">IF(E299="","",N(AD299)+N(AE299)+N(AF299))</f>
        <v/>
      </c>
      <c r="AH299" s="21" t="str">
        <f aca="false">IF(ISNUMBER(I299),I299*INDEX(WtF,MATCH($I$7,WtU,0))/WaterRho,"")</f>
        <v/>
      </c>
      <c r="AI299" s="11"/>
      <c r="AJ299" s="11"/>
      <c r="AK299" s="20"/>
      <c r="AL299" s="11"/>
      <c r="AM299" s="21" t="str">
        <f aca="false">IF(AO299="","",AO299*IF(ISNUMBER(AK299),AK299,DefFills)*(1+IF(ISNUMBER(AL299),AL299,DefAllow)))</f>
        <v/>
      </c>
      <c r="AN299" s="22" t="str">
        <f aca="false">IF(G299="Given volume",IF(ISNUMBER(H299),H299*INDEX(VolF,MATCH($H$7,VolU,0)),""),IF(G299="Water weight",AH299,IF(N(AG299)=0,"",AG299)))</f>
        <v/>
      </c>
      <c r="AO299" s="22" t="str">
        <f aca="false">IF(N(AN299)=0,"",AN299*AT299*IF(ISNUMBER(AJ299),AJ299,DefCirc))</f>
        <v/>
      </c>
      <c r="AP299" s="9" t="n">
        <f aca="false">IF(ISNUMBER(T299),T299*INDEX(LenF,MATCH($T$7,LenU,0)),IF(ISNUMBER(W299),W299*INDEX(LenF,MATCH($W$7,LenU,0))/PitchRatio,0))</f>
        <v>0</v>
      </c>
      <c r="AQ299" s="9" t="n">
        <f aca="false">IF(ISNUMBER(N299),PI()/4*(N299*INDEX(LenF,MATCH($N$7,LenU,0)))^2,IF(AND(ISNUMBER(S299),ISNUMBER(W299),X299&lt;&gt;""),S299*(W299*INDEX(LenF,MATCH($W$7,LenU,0)))^2*INDEX(LayoutF,MATCH(X299,LayoutU,0)),0))</f>
        <v>0</v>
      </c>
      <c r="AR299" s="9" t="n">
        <f aca="false">IF(ISNUMBER(O299),O299*INDEX(LenF,MATCH($O$7,LenU,0)),IF(ISNUMBER(V299),V299*INDEX(LenF,MATCH($V$7,LenU,0)),0))</f>
        <v>0</v>
      </c>
      <c r="AS299" s="9" t="str">
        <f aca="false">IF(ISNUMBER(L299),L299*INDEX(LenF,MATCH($L$7,LenU,0))*1000,IF(OR(J299="",K299=""),"",IFERROR(IF(INDEX(PipeWT,MATCH(J299,NPSU,0),MATCH(K299,SchU,0))="","Sch n/a",INDEX(PipeOD,MATCH(J299,NPSU,0))-2*INDEX(PipeWT,MATCH(J299,NPSU,0),MATCH(K299,SchU,0))),"")))</f>
        <v/>
      </c>
      <c r="AT299" s="9" t="n">
        <f aca="false">IF(ISNUMBER(AI299),AI299,IFERROR(INDEX(IF(JobType="Decontamination",TypeFillDC,TypeFillCC),MATCH(E299,TypeL,0)),1))</f>
        <v>1</v>
      </c>
      <c r="AU299" s="9" t="n">
        <v>9</v>
      </c>
    </row>
    <row r="300" customFormat="false" ht="15" hidden="false" customHeight="false" outlineLevel="0" collapsed="false">
      <c r="A300" s="16" t="n">
        <v>27</v>
      </c>
      <c r="B300" s="20"/>
      <c r="C300" s="5"/>
      <c r="D300" s="5"/>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1" t="str">
        <f aca="false">IF(E300="Exchanger",IF(AND(ISNUMBER(S300),ISNUMBER(U300),ISNUMBER(V300)),S300*PI()/4*(U300*INDEX(LenF,MATCH($U$7,LenU,0)))^2*V300*INDEX(LenF,MATCH($V$7,LenU,0)),0)+IF(ISNUMBER(Y300),PI()/4*(Y300*INDEX(LenF,MATCH($Y$7,LenU,0)))^2*N(Z300)*INDEX(LenF,MATCH($Z$7,LenU,0))+IF(AA300="",0,IF(AA300="Conical",PI()/12*(Y300*INDEX(LenF,MATCH($Y$7,LenU,0)))^2*(0),INDEX(HeadK,MATCH(AA300,HeadU,0))*(Y300*INDEX(LenF,MATCH($Y$7,LenU,0)))^3)),0)+IF(ISNUMBER(Y300),PI()/4*(Y300*INDEX(LenF,MATCH($Y$7,LenU,0)))^2*N(AB300)*INDEX(LenF,MATCH($AB$7,LenU,0))+IF(AC300="",0,IF(AC300="Conical",PI()/12*(Y300*INDEX(LenF,MATCH($Y$7,LenU,0)))^2*(0),INDEX(HeadK,MATCH(AC300,HeadU,0))*(Y300*INDEX(LenF,MATCH($Y$7,LenU,0)))^3)),0),"")</f>
        <v/>
      </c>
      <c r="AE300" s="21" t="str">
        <f aca="false">IF(OR(E300="",E300="Piping"),"",IF(E300="Exchanger",AQ300*AR300+IF(P300="",0,IF(P300="Conical",PI()/12*(SQRT(4*AQ300/PI()))^2*(0),INDEX(HeadK,MATCH(P300,HeadU,0))*(SQRT(4*AQ300/PI()))^3))-IF(AND(ISNUMBER(S300),ISNUMBER(V300)),S300*PI()/4*AP300^2*V300*INDEX(LenF,MATCH($V$7,LenU,0)),0),IF(ISNUMBER(N300),PI()/4*(N300*INDEX(LenF,MATCH($N$7,LenU,0)))^2*N(O300)*INDEX(LenF,MATCH($O$7,LenU,0))+IF(P300="",0,IF(P300="Conical",PI()/12*(N300*INDEX(LenF,MATCH($N$7,LenU,0)))^2*(N(R300)*INDEX(LenF,MATCH($R$7,LenU,0))),INDEX(HeadK,MATCH(P300,HeadU,0))*(N300*INDEX(LenF,MATCH($N$7,LenU,0)))^3))+IF(Q300="",0,IF(Q300="Conical",PI()/12*(N300*INDEX(LenF,MATCH($N$7,LenU,0)))^2*(N(R300)*INDEX(LenF,MATCH($R$7,LenU,0))),INDEX(HeadK,MATCH(Q300,HeadU,0))*(N300*INDEX(LenF,MATCH($N$7,LenU,0)))^3)),0)))</f>
        <v/>
      </c>
      <c r="AF300" s="21" t="str">
        <f aca="false">IF(E300&lt;&gt;"Piping","",IF(AND(ISNUMBER(AS300),ISNUMBER(M300)),PI()/4*(AS300/1000)^2*M300*INDEX(LenF,MATCH($M$7,LenU,0)),0))</f>
        <v/>
      </c>
      <c r="AG300" s="21" t="str">
        <f aca="false">IF(E300="","",N(AD300)+N(AE300)+N(AF300))</f>
        <v/>
      </c>
      <c r="AH300" s="21" t="str">
        <f aca="false">IF(ISNUMBER(I300),I300*INDEX(WtF,MATCH($I$7,WtU,0))/WaterRho,"")</f>
        <v/>
      </c>
      <c r="AI300" s="11"/>
      <c r="AJ300" s="11"/>
      <c r="AK300" s="20"/>
      <c r="AL300" s="11"/>
      <c r="AM300" s="21" t="str">
        <f aca="false">IF(AO300="","",AO300*IF(ISNUMBER(AK300),AK300,DefFills)*(1+IF(ISNUMBER(AL300),AL300,DefAllow)))</f>
        <v/>
      </c>
      <c r="AN300" s="22" t="str">
        <f aca="false">IF(G300="Given volume",IF(ISNUMBER(H300),H300*INDEX(VolF,MATCH($H$7,VolU,0)),""),IF(G300="Water weight",AH300,IF(N(AG300)=0,"",AG300)))</f>
        <v/>
      </c>
      <c r="AO300" s="22" t="str">
        <f aca="false">IF(N(AN300)=0,"",AN300*AT300*IF(ISNUMBER(AJ300),AJ300,DefCirc))</f>
        <v/>
      </c>
      <c r="AP300" s="9" t="n">
        <f aca="false">IF(ISNUMBER(T300),T300*INDEX(LenF,MATCH($T$7,LenU,0)),IF(ISNUMBER(W300),W300*INDEX(LenF,MATCH($W$7,LenU,0))/PitchRatio,0))</f>
        <v>0</v>
      </c>
      <c r="AQ300" s="9" t="n">
        <f aca="false">IF(ISNUMBER(N300),PI()/4*(N300*INDEX(LenF,MATCH($N$7,LenU,0)))^2,IF(AND(ISNUMBER(S300),ISNUMBER(W300),X300&lt;&gt;""),S300*(W300*INDEX(LenF,MATCH($W$7,LenU,0)))^2*INDEX(LayoutF,MATCH(X300,LayoutU,0)),0))</f>
        <v>0</v>
      </c>
      <c r="AR300" s="9" t="n">
        <f aca="false">IF(ISNUMBER(O300),O300*INDEX(LenF,MATCH($O$7,LenU,0)),IF(ISNUMBER(V300),V300*INDEX(LenF,MATCH($V$7,LenU,0)),0))</f>
        <v>0</v>
      </c>
      <c r="AS300" s="9" t="str">
        <f aca="false">IF(ISNUMBER(L300),L300*INDEX(LenF,MATCH($L$7,LenU,0))*1000,IF(OR(J300="",K300=""),"",IFERROR(IF(INDEX(PipeWT,MATCH(J300,NPSU,0),MATCH(K300,SchU,0))="","Sch n/a",INDEX(PipeOD,MATCH(J300,NPSU,0))-2*INDEX(PipeWT,MATCH(J300,NPSU,0),MATCH(K300,SchU,0))),"")))</f>
        <v/>
      </c>
      <c r="AT300" s="9" t="n">
        <f aca="false">IF(ISNUMBER(AI300),AI300,IFERROR(INDEX(IF(JobType="Decontamination",TypeFillDC,TypeFillCC),MATCH(E300,TypeL,0)),1))</f>
        <v>1</v>
      </c>
      <c r="AU300" s="9" t="n">
        <v>9</v>
      </c>
    </row>
    <row r="301" customFormat="false" ht="15" hidden="false" customHeight="false" outlineLevel="0" collapsed="false">
      <c r="A301" s="16" t="n">
        <v>28</v>
      </c>
      <c r="B301" s="20"/>
      <c r="C301" s="5"/>
      <c r="D301" s="5"/>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1" t="str">
        <f aca="false">IF(E301="Exchanger",IF(AND(ISNUMBER(S301),ISNUMBER(U301),ISNUMBER(V301)),S301*PI()/4*(U301*INDEX(LenF,MATCH($U$7,LenU,0)))^2*V301*INDEX(LenF,MATCH($V$7,LenU,0)),0)+IF(ISNUMBER(Y301),PI()/4*(Y301*INDEX(LenF,MATCH($Y$7,LenU,0)))^2*N(Z301)*INDEX(LenF,MATCH($Z$7,LenU,0))+IF(AA301="",0,IF(AA301="Conical",PI()/12*(Y301*INDEX(LenF,MATCH($Y$7,LenU,0)))^2*(0),INDEX(HeadK,MATCH(AA301,HeadU,0))*(Y301*INDEX(LenF,MATCH($Y$7,LenU,0)))^3)),0)+IF(ISNUMBER(Y301),PI()/4*(Y301*INDEX(LenF,MATCH($Y$7,LenU,0)))^2*N(AB301)*INDEX(LenF,MATCH($AB$7,LenU,0))+IF(AC301="",0,IF(AC301="Conical",PI()/12*(Y301*INDEX(LenF,MATCH($Y$7,LenU,0)))^2*(0),INDEX(HeadK,MATCH(AC301,HeadU,0))*(Y301*INDEX(LenF,MATCH($Y$7,LenU,0)))^3)),0),"")</f>
        <v/>
      </c>
      <c r="AE301" s="21" t="str">
        <f aca="false">IF(OR(E301="",E301="Piping"),"",IF(E301="Exchanger",AQ301*AR301+IF(P301="",0,IF(P301="Conical",PI()/12*(SQRT(4*AQ301/PI()))^2*(0),INDEX(HeadK,MATCH(P301,HeadU,0))*(SQRT(4*AQ301/PI()))^3))-IF(AND(ISNUMBER(S301),ISNUMBER(V301)),S301*PI()/4*AP301^2*V301*INDEX(LenF,MATCH($V$7,LenU,0)),0),IF(ISNUMBER(N301),PI()/4*(N301*INDEX(LenF,MATCH($N$7,LenU,0)))^2*N(O301)*INDEX(LenF,MATCH($O$7,LenU,0))+IF(P301="",0,IF(P301="Conical",PI()/12*(N301*INDEX(LenF,MATCH($N$7,LenU,0)))^2*(N(R301)*INDEX(LenF,MATCH($R$7,LenU,0))),INDEX(HeadK,MATCH(P301,HeadU,0))*(N301*INDEX(LenF,MATCH($N$7,LenU,0)))^3))+IF(Q301="",0,IF(Q301="Conical",PI()/12*(N301*INDEX(LenF,MATCH($N$7,LenU,0)))^2*(N(R301)*INDEX(LenF,MATCH($R$7,LenU,0))),INDEX(HeadK,MATCH(Q301,HeadU,0))*(N301*INDEX(LenF,MATCH($N$7,LenU,0)))^3)),0)))</f>
        <v/>
      </c>
      <c r="AF301" s="21" t="str">
        <f aca="false">IF(E301&lt;&gt;"Piping","",IF(AND(ISNUMBER(AS301),ISNUMBER(M301)),PI()/4*(AS301/1000)^2*M301*INDEX(LenF,MATCH($M$7,LenU,0)),0))</f>
        <v/>
      </c>
      <c r="AG301" s="21" t="str">
        <f aca="false">IF(E301="","",N(AD301)+N(AE301)+N(AF301))</f>
        <v/>
      </c>
      <c r="AH301" s="21" t="str">
        <f aca="false">IF(ISNUMBER(I301),I301*INDEX(WtF,MATCH($I$7,WtU,0))/WaterRho,"")</f>
        <v/>
      </c>
      <c r="AI301" s="11"/>
      <c r="AJ301" s="11"/>
      <c r="AK301" s="20"/>
      <c r="AL301" s="11"/>
      <c r="AM301" s="21" t="str">
        <f aca="false">IF(AO301="","",AO301*IF(ISNUMBER(AK301),AK301,DefFills)*(1+IF(ISNUMBER(AL301),AL301,DefAllow)))</f>
        <v/>
      </c>
      <c r="AN301" s="22" t="str">
        <f aca="false">IF(G301="Given volume",IF(ISNUMBER(H301),H301*INDEX(VolF,MATCH($H$7,VolU,0)),""),IF(G301="Water weight",AH301,IF(N(AG301)=0,"",AG301)))</f>
        <v/>
      </c>
      <c r="AO301" s="22" t="str">
        <f aca="false">IF(N(AN301)=0,"",AN301*AT301*IF(ISNUMBER(AJ301),AJ301,DefCirc))</f>
        <v/>
      </c>
      <c r="AP301" s="9" t="n">
        <f aca="false">IF(ISNUMBER(T301),T301*INDEX(LenF,MATCH($T$7,LenU,0)),IF(ISNUMBER(W301),W301*INDEX(LenF,MATCH($W$7,LenU,0))/PitchRatio,0))</f>
        <v>0</v>
      </c>
      <c r="AQ301" s="9" t="n">
        <f aca="false">IF(ISNUMBER(N301),PI()/4*(N301*INDEX(LenF,MATCH($N$7,LenU,0)))^2,IF(AND(ISNUMBER(S301),ISNUMBER(W301),X301&lt;&gt;""),S301*(W301*INDEX(LenF,MATCH($W$7,LenU,0)))^2*INDEX(LayoutF,MATCH(X301,LayoutU,0)),0))</f>
        <v>0</v>
      </c>
      <c r="AR301" s="9" t="n">
        <f aca="false">IF(ISNUMBER(O301),O301*INDEX(LenF,MATCH($O$7,LenU,0)),IF(ISNUMBER(V301),V301*INDEX(LenF,MATCH($V$7,LenU,0)),0))</f>
        <v>0</v>
      </c>
      <c r="AS301" s="9" t="str">
        <f aca="false">IF(ISNUMBER(L301),L301*INDEX(LenF,MATCH($L$7,LenU,0))*1000,IF(OR(J301="",K301=""),"",IFERROR(IF(INDEX(PipeWT,MATCH(J301,NPSU,0),MATCH(K301,SchU,0))="","Sch n/a",INDEX(PipeOD,MATCH(J301,NPSU,0))-2*INDEX(PipeWT,MATCH(J301,NPSU,0),MATCH(K301,SchU,0))),"")))</f>
        <v/>
      </c>
      <c r="AT301" s="9" t="n">
        <f aca="false">IF(ISNUMBER(AI301),AI301,IFERROR(INDEX(IF(JobType="Decontamination",TypeFillDC,TypeFillCC),MATCH(E301,TypeL,0)),1))</f>
        <v>1</v>
      </c>
      <c r="AU301" s="9" t="n">
        <v>9</v>
      </c>
    </row>
    <row r="302" customFormat="false" ht="15" hidden="false" customHeight="false" outlineLevel="0" collapsed="false">
      <c r="A302" s="16" t="n">
        <v>29</v>
      </c>
      <c r="B302" s="20"/>
      <c r="C302" s="5"/>
      <c r="D302" s="5"/>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1" t="str">
        <f aca="false">IF(E302="Exchanger",IF(AND(ISNUMBER(S302),ISNUMBER(U302),ISNUMBER(V302)),S302*PI()/4*(U302*INDEX(LenF,MATCH($U$7,LenU,0)))^2*V302*INDEX(LenF,MATCH($V$7,LenU,0)),0)+IF(ISNUMBER(Y302),PI()/4*(Y302*INDEX(LenF,MATCH($Y$7,LenU,0)))^2*N(Z302)*INDEX(LenF,MATCH($Z$7,LenU,0))+IF(AA302="",0,IF(AA302="Conical",PI()/12*(Y302*INDEX(LenF,MATCH($Y$7,LenU,0)))^2*(0),INDEX(HeadK,MATCH(AA302,HeadU,0))*(Y302*INDEX(LenF,MATCH($Y$7,LenU,0)))^3)),0)+IF(ISNUMBER(Y302),PI()/4*(Y302*INDEX(LenF,MATCH($Y$7,LenU,0)))^2*N(AB302)*INDEX(LenF,MATCH($AB$7,LenU,0))+IF(AC302="",0,IF(AC302="Conical",PI()/12*(Y302*INDEX(LenF,MATCH($Y$7,LenU,0)))^2*(0),INDEX(HeadK,MATCH(AC302,HeadU,0))*(Y302*INDEX(LenF,MATCH($Y$7,LenU,0)))^3)),0),"")</f>
        <v/>
      </c>
      <c r="AE302" s="21" t="str">
        <f aca="false">IF(OR(E302="",E302="Piping"),"",IF(E302="Exchanger",AQ302*AR302+IF(P302="",0,IF(P302="Conical",PI()/12*(SQRT(4*AQ302/PI()))^2*(0),INDEX(HeadK,MATCH(P302,HeadU,0))*(SQRT(4*AQ302/PI()))^3))-IF(AND(ISNUMBER(S302),ISNUMBER(V302)),S302*PI()/4*AP302^2*V302*INDEX(LenF,MATCH($V$7,LenU,0)),0),IF(ISNUMBER(N302),PI()/4*(N302*INDEX(LenF,MATCH($N$7,LenU,0)))^2*N(O302)*INDEX(LenF,MATCH($O$7,LenU,0))+IF(P302="",0,IF(P302="Conical",PI()/12*(N302*INDEX(LenF,MATCH($N$7,LenU,0)))^2*(N(R302)*INDEX(LenF,MATCH($R$7,LenU,0))),INDEX(HeadK,MATCH(P302,HeadU,0))*(N302*INDEX(LenF,MATCH($N$7,LenU,0)))^3))+IF(Q302="",0,IF(Q302="Conical",PI()/12*(N302*INDEX(LenF,MATCH($N$7,LenU,0)))^2*(N(R302)*INDEX(LenF,MATCH($R$7,LenU,0))),INDEX(HeadK,MATCH(Q302,HeadU,0))*(N302*INDEX(LenF,MATCH($N$7,LenU,0)))^3)),0)))</f>
        <v/>
      </c>
      <c r="AF302" s="21" t="str">
        <f aca="false">IF(E302&lt;&gt;"Piping","",IF(AND(ISNUMBER(AS302),ISNUMBER(M302)),PI()/4*(AS302/1000)^2*M302*INDEX(LenF,MATCH($M$7,LenU,0)),0))</f>
        <v/>
      </c>
      <c r="AG302" s="21" t="str">
        <f aca="false">IF(E302="","",N(AD302)+N(AE302)+N(AF302))</f>
        <v/>
      </c>
      <c r="AH302" s="21" t="str">
        <f aca="false">IF(ISNUMBER(I302),I302*INDEX(WtF,MATCH($I$7,WtU,0))/WaterRho,"")</f>
        <v/>
      </c>
      <c r="AI302" s="11"/>
      <c r="AJ302" s="11"/>
      <c r="AK302" s="20"/>
      <c r="AL302" s="11"/>
      <c r="AM302" s="21" t="str">
        <f aca="false">IF(AO302="","",AO302*IF(ISNUMBER(AK302),AK302,DefFills)*(1+IF(ISNUMBER(AL302),AL302,DefAllow)))</f>
        <v/>
      </c>
      <c r="AN302" s="22" t="str">
        <f aca="false">IF(G302="Given volume",IF(ISNUMBER(H302),H302*INDEX(VolF,MATCH($H$7,VolU,0)),""),IF(G302="Water weight",AH302,IF(N(AG302)=0,"",AG302)))</f>
        <v/>
      </c>
      <c r="AO302" s="22" t="str">
        <f aca="false">IF(N(AN302)=0,"",AN302*AT302*IF(ISNUMBER(AJ302),AJ302,DefCirc))</f>
        <v/>
      </c>
      <c r="AP302" s="9" t="n">
        <f aca="false">IF(ISNUMBER(T302),T302*INDEX(LenF,MATCH($T$7,LenU,0)),IF(ISNUMBER(W302),W302*INDEX(LenF,MATCH($W$7,LenU,0))/PitchRatio,0))</f>
        <v>0</v>
      </c>
      <c r="AQ302" s="9" t="n">
        <f aca="false">IF(ISNUMBER(N302),PI()/4*(N302*INDEX(LenF,MATCH($N$7,LenU,0)))^2,IF(AND(ISNUMBER(S302),ISNUMBER(W302),X302&lt;&gt;""),S302*(W302*INDEX(LenF,MATCH($W$7,LenU,0)))^2*INDEX(LayoutF,MATCH(X302,LayoutU,0)),0))</f>
        <v>0</v>
      </c>
      <c r="AR302" s="9" t="n">
        <f aca="false">IF(ISNUMBER(O302),O302*INDEX(LenF,MATCH($O$7,LenU,0)),IF(ISNUMBER(V302),V302*INDEX(LenF,MATCH($V$7,LenU,0)),0))</f>
        <v>0</v>
      </c>
      <c r="AS302" s="9" t="str">
        <f aca="false">IF(ISNUMBER(L302),L302*INDEX(LenF,MATCH($L$7,LenU,0))*1000,IF(OR(J302="",K302=""),"",IFERROR(IF(INDEX(PipeWT,MATCH(J302,NPSU,0),MATCH(K302,SchU,0))="","Sch n/a",INDEX(PipeOD,MATCH(J302,NPSU,0))-2*INDEX(PipeWT,MATCH(J302,NPSU,0),MATCH(K302,SchU,0))),"")))</f>
        <v/>
      </c>
      <c r="AT302" s="9" t="n">
        <f aca="false">IF(ISNUMBER(AI302),AI302,IFERROR(INDEX(IF(JobType="Decontamination",TypeFillDC,TypeFillCC),MATCH(E302,TypeL,0)),1))</f>
        <v>1</v>
      </c>
      <c r="AU302" s="9" t="n">
        <v>9</v>
      </c>
    </row>
    <row r="303" customFormat="false" ht="15" hidden="false" customHeight="false" outlineLevel="0" collapsed="false">
      <c r="A303" s="16" t="n">
        <v>30</v>
      </c>
      <c r="B303" s="20"/>
      <c r="C303" s="5"/>
      <c r="D303" s="5"/>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1" t="str">
        <f aca="false">IF(E303="Exchanger",IF(AND(ISNUMBER(S303),ISNUMBER(U303),ISNUMBER(V303)),S303*PI()/4*(U303*INDEX(LenF,MATCH($U$7,LenU,0)))^2*V303*INDEX(LenF,MATCH($V$7,LenU,0)),0)+IF(ISNUMBER(Y303),PI()/4*(Y303*INDEX(LenF,MATCH($Y$7,LenU,0)))^2*N(Z303)*INDEX(LenF,MATCH($Z$7,LenU,0))+IF(AA303="",0,IF(AA303="Conical",PI()/12*(Y303*INDEX(LenF,MATCH($Y$7,LenU,0)))^2*(0),INDEX(HeadK,MATCH(AA303,HeadU,0))*(Y303*INDEX(LenF,MATCH($Y$7,LenU,0)))^3)),0)+IF(ISNUMBER(Y303),PI()/4*(Y303*INDEX(LenF,MATCH($Y$7,LenU,0)))^2*N(AB303)*INDEX(LenF,MATCH($AB$7,LenU,0))+IF(AC303="",0,IF(AC303="Conical",PI()/12*(Y303*INDEX(LenF,MATCH($Y$7,LenU,0)))^2*(0),INDEX(HeadK,MATCH(AC303,HeadU,0))*(Y303*INDEX(LenF,MATCH($Y$7,LenU,0)))^3)),0),"")</f>
        <v/>
      </c>
      <c r="AE303" s="21" t="str">
        <f aca="false">IF(OR(E303="",E303="Piping"),"",IF(E303="Exchanger",AQ303*AR303+IF(P303="",0,IF(P303="Conical",PI()/12*(SQRT(4*AQ303/PI()))^2*(0),INDEX(HeadK,MATCH(P303,HeadU,0))*(SQRT(4*AQ303/PI()))^3))-IF(AND(ISNUMBER(S303),ISNUMBER(V303)),S303*PI()/4*AP303^2*V303*INDEX(LenF,MATCH($V$7,LenU,0)),0),IF(ISNUMBER(N303),PI()/4*(N303*INDEX(LenF,MATCH($N$7,LenU,0)))^2*N(O303)*INDEX(LenF,MATCH($O$7,LenU,0))+IF(P303="",0,IF(P303="Conical",PI()/12*(N303*INDEX(LenF,MATCH($N$7,LenU,0)))^2*(N(R303)*INDEX(LenF,MATCH($R$7,LenU,0))),INDEX(HeadK,MATCH(P303,HeadU,0))*(N303*INDEX(LenF,MATCH($N$7,LenU,0)))^3))+IF(Q303="",0,IF(Q303="Conical",PI()/12*(N303*INDEX(LenF,MATCH($N$7,LenU,0)))^2*(N(R303)*INDEX(LenF,MATCH($R$7,LenU,0))),INDEX(HeadK,MATCH(Q303,HeadU,0))*(N303*INDEX(LenF,MATCH($N$7,LenU,0)))^3)),0)))</f>
        <v/>
      </c>
      <c r="AF303" s="21" t="str">
        <f aca="false">IF(E303&lt;&gt;"Piping","",IF(AND(ISNUMBER(AS303),ISNUMBER(M303)),PI()/4*(AS303/1000)^2*M303*INDEX(LenF,MATCH($M$7,LenU,0)),0))</f>
        <v/>
      </c>
      <c r="AG303" s="21" t="str">
        <f aca="false">IF(E303="","",N(AD303)+N(AE303)+N(AF303))</f>
        <v/>
      </c>
      <c r="AH303" s="21" t="str">
        <f aca="false">IF(ISNUMBER(I303),I303*INDEX(WtF,MATCH($I$7,WtU,0))/WaterRho,"")</f>
        <v/>
      </c>
      <c r="AI303" s="11"/>
      <c r="AJ303" s="11"/>
      <c r="AK303" s="20"/>
      <c r="AL303" s="11"/>
      <c r="AM303" s="21" t="str">
        <f aca="false">IF(AO303="","",AO303*IF(ISNUMBER(AK303),AK303,DefFills)*(1+IF(ISNUMBER(AL303),AL303,DefAllow)))</f>
        <v/>
      </c>
      <c r="AN303" s="22" t="str">
        <f aca="false">IF(G303="Given volume",IF(ISNUMBER(H303),H303*INDEX(VolF,MATCH($H$7,VolU,0)),""),IF(G303="Water weight",AH303,IF(N(AG303)=0,"",AG303)))</f>
        <v/>
      </c>
      <c r="AO303" s="22" t="str">
        <f aca="false">IF(N(AN303)=0,"",AN303*AT303*IF(ISNUMBER(AJ303),AJ303,DefCirc))</f>
        <v/>
      </c>
      <c r="AP303" s="9" t="n">
        <f aca="false">IF(ISNUMBER(T303),T303*INDEX(LenF,MATCH($T$7,LenU,0)),IF(ISNUMBER(W303),W303*INDEX(LenF,MATCH($W$7,LenU,0))/PitchRatio,0))</f>
        <v>0</v>
      </c>
      <c r="AQ303" s="9" t="n">
        <f aca="false">IF(ISNUMBER(N303),PI()/4*(N303*INDEX(LenF,MATCH($N$7,LenU,0)))^2,IF(AND(ISNUMBER(S303),ISNUMBER(W303),X303&lt;&gt;""),S303*(W303*INDEX(LenF,MATCH($W$7,LenU,0)))^2*INDEX(LayoutF,MATCH(X303,LayoutU,0)),0))</f>
        <v>0</v>
      </c>
      <c r="AR303" s="9" t="n">
        <f aca="false">IF(ISNUMBER(O303),O303*INDEX(LenF,MATCH($O$7,LenU,0)),IF(ISNUMBER(V303),V303*INDEX(LenF,MATCH($V$7,LenU,0)),0))</f>
        <v>0</v>
      </c>
      <c r="AS303" s="9" t="str">
        <f aca="false">IF(ISNUMBER(L303),L303*INDEX(LenF,MATCH($L$7,LenU,0))*1000,IF(OR(J303="",K303=""),"",IFERROR(IF(INDEX(PipeWT,MATCH(J303,NPSU,0),MATCH(K303,SchU,0))="","Sch n/a",INDEX(PipeOD,MATCH(J303,NPSU,0))-2*INDEX(PipeWT,MATCH(J303,NPSU,0),MATCH(K303,SchU,0))),"")))</f>
        <v/>
      </c>
      <c r="AT303" s="9" t="n">
        <f aca="false">IF(ISNUMBER(AI303),AI303,IFERROR(INDEX(IF(JobType="Decontamination",TypeFillDC,TypeFillCC),MATCH(E303,TypeL,0)),1))</f>
        <v>1</v>
      </c>
      <c r="AU303" s="9" t="n">
        <v>9</v>
      </c>
    </row>
    <row r="304" customFormat="false" ht="15" hidden="false" customHeight="false" outlineLevel="0" collapsed="false">
      <c r="A304" s="24" t="str">
        <f aca="false">"TOTAL – "&amp;INDEX(UnitNames,9)</f>
        <v>TOTAL – Unit 9</v>
      </c>
      <c r="B304" s="24"/>
      <c r="C304" s="24"/>
      <c r="D304" s="24"/>
      <c r="E304" s="25"/>
      <c r="F304" s="25"/>
      <c r="G304" s="25"/>
      <c r="H304" s="25"/>
      <c r="I304" s="25"/>
      <c r="J304" s="25"/>
      <c r="K304" s="25"/>
      <c r="L304" s="25"/>
      <c r="M304" s="25"/>
      <c r="N304" s="25"/>
      <c r="O304" s="25"/>
      <c r="P304" s="25"/>
      <c r="Q304" s="25"/>
      <c r="R304" s="25"/>
      <c r="S304" s="26" t="str">
        <f aca="false">COUNT(AN274:AN303)&amp;" items"</f>
        <v>0 items</v>
      </c>
      <c r="T304" s="25"/>
      <c r="U304" s="25"/>
      <c r="V304" s="25"/>
      <c r="W304" s="25"/>
      <c r="X304" s="25"/>
      <c r="Y304" s="25"/>
      <c r="Z304" s="25"/>
      <c r="AA304" s="25"/>
      <c r="AB304" s="25"/>
      <c r="AC304" s="25"/>
      <c r="AD304" s="27" t="n">
        <f aca="false">SUM(AD274:AD303)</f>
        <v>0</v>
      </c>
      <c r="AE304" s="27" t="n">
        <f aca="false">SUM(AE274:AE303)</f>
        <v>0</v>
      </c>
      <c r="AF304" s="27" t="n">
        <f aca="false">SUM(AF274:AF303)</f>
        <v>0</v>
      </c>
      <c r="AG304" s="27" t="n">
        <f aca="false">SUM(AG274:AG303)</f>
        <v>0</v>
      </c>
      <c r="AH304" s="27" t="n">
        <f aca="false">SUM(AH274:AH303)</f>
        <v>0</v>
      </c>
      <c r="AI304" s="25"/>
      <c r="AJ304" s="25"/>
      <c r="AK304" s="25"/>
      <c r="AL304" s="25"/>
      <c r="AM304" s="27" t="n">
        <f aca="false">SUM(AM274:AM303)</f>
        <v>0</v>
      </c>
      <c r="AN304" s="27" t="n">
        <f aca="false">SUM(AN274:AN303)</f>
        <v>0</v>
      </c>
      <c r="AO304" s="27" t="n">
        <f aca="false">SUM(AO274:AO303)</f>
        <v>0</v>
      </c>
    </row>
    <row r="306" customFormat="false" ht="15" hidden="false" customHeight="false" outlineLevel="0" collapsed="false">
      <c r="A306" s="18" t="str">
        <f aca="false">"UNIT 10:  "&amp;INDEX(UnitNames,10)</f>
        <v>UNIT 10:  Unit 10</v>
      </c>
      <c r="B306" s="18"/>
      <c r="C306" s="18"/>
      <c r="D306" s="18"/>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row>
    <row r="307" customFormat="false" ht="15" hidden="false" customHeight="false" outlineLevel="0" collapsed="false">
      <c r="A307" s="16" t="n">
        <v>1</v>
      </c>
      <c r="B307" s="20"/>
      <c r="C307" s="5"/>
      <c r="D307" s="5"/>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1" t="str">
        <f aca="false">IF(E307="Exchanger",IF(AND(ISNUMBER(S307),ISNUMBER(U307),ISNUMBER(V307)),S307*PI()/4*(U307*INDEX(LenF,MATCH($U$7,LenU,0)))^2*V307*INDEX(LenF,MATCH($V$7,LenU,0)),0)+IF(ISNUMBER(Y307),PI()/4*(Y307*INDEX(LenF,MATCH($Y$7,LenU,0)))^2*N(Z307)*INDEX(LenF,MATCH($Z$7,LenU,0))+IF(AA307="",0,IF(AA307="Conical",PI()/12*(Y307*INDEX(LenF,MATCH($Y$7,LenU,0)))^2*(0),INDEX(HeadK,MATCH(AA307,HeadU,0))*(Y307*INDEX(LenF,MATCH($Y$7,LenU,0)))^3)),0)+IF(ISNUMBER(Y307),PI()/4*(Y307*INDEX(LenF,MATCH($Y$7,LenU,0)))^2*N(AB307)*INDEX(LenF,MATCH($AB$7,LenU,0))+IF(AC307="",0,IF(AC307="Conical",PI()/12*(Y307*INDEX(LenF,MATCH($Y$7,LenU,0)))^2*(0),INDEX(HeadK,MATCH(AC307,HeadU,0))*(Y307*INDEX(LenF,MATCH($Y$7,LenU,0)))^3)),0),"")</f>
        <v/>
      </c>
      <c r="AE307" s="21" t="str">
        <f aca="false">IF(OR(E307="",E307="Piping"),"",IF(E307="Exchanger",AQ307*AR307+IF(P307="",0,IF(P307="Conical",PI()/12*(SQRT(4*AQ307/PI()))^2*(0),INDEX(HeadK,MATCH(P307,HeadU,0))*(SQRT(4*AQ307/PI()))^3))-IF(AND(ISNUMBER(S307),ISNUMBER(V307)),S307*PI()/4*AP307^2*V307*INDEX(LenF,MATCH($V$7,LenU,0)),0),IF(ISNUMBER(N307),PI()/4*(N307*INDEX(LenF,MATCH($N$7,LenU,0)))^2*N(O307)*INDEX(LenF,MATCH($O$7,LenU,0))+IF(P307="",0,IF(P307="Conical",PI()/12*(N307*INDEX(LenF,MATCH($N$7,LenU,0)))^2*(N(R307)*INDEX(LenF,MATCH($R$7,LenU,0))),INDEX(HeadK,MATCH(P307,HeadU,0))*(N307*INDEX(LenF,MATCH($N$7,LenU,0)))^3))+IF(Q307="",0,IF(Q307="Conical",PI()/12*(N307*INDEX(LenF,MATCH($N$7,LenU,0)))^2*(N(R307)*INDEX(LenF,MATCH($R$7,LenU,0))),INDEX(HeadK,MATCH(Q307,HeadU,0))*(N307*INDEX(LenF,MATCH($N$7,LenU,0)))^3)),0)))</f>
        <v/>
      </c>
      <c r="AF307" s="21" t="str">
        <f aca="false">IF(E307&lt;&gt;"Piping","",IF(AND(ISNUMBER(AS307),ISNUMBER(M307)),PI()/4*(AS307/1000)^2*M307*INDEX(LenF,MATCH($M$7,LenU,0)),0))</f>
        <v/>
      </c>
      <c r="AG307" s="21" t="str">
        <f aca="false">IF(E307="","",N(AD307)+N(AE307)+N(AF307))</f>
        <v/>
      </c>
      <c r="AH307" s="21" t="str">
        <f aca="false">IF(ISNUMBER(I307),I307*INDEX(WtF,MATCH($I$7,WtU,0))/WaterRho,"")</f>
        <v/>
      </c>
      <c r="AI307" s="11"/>
      <c r="AJ307" s="11"/>
      <c r="AK307" s="20"/>
      <c r="AL307" s="11"/>
      <c r="AM307" s="21" t="str">
        <f aca="false">IF(AO307="","",AO307*IF(ISNUMBER(AK307),AK307,DefFills)*(1+IF(ISNUMBER(AL307),AL307,DefAllow)))</f>
        <v/>
      </c>
      <c r="AN307" s="22" t="str">
        <f aca="false">IF(G307="Given volume",IF(ISNUMBER(H307),H307*INDEX(VolF,MATCH($H$7,VolU,0)),""),IF(G307="Water weight",AH307,IF(N(AG307)=0,"",AG307)))</f>
        <v/>
      </c>
      <c r="AO307" s="22" t="str">
        <f aca="false">IF(N(AN307)=0,"",AN307*AT307*IF(ISNUMBER(AJ307),AJ307,DefCirc))</f>
        <v/>
      </c>
      <c r="AP307" s="9" t="n">
        <f aca="false">IF(ISNUMBER(T307),T307*INDEX(LenF,MATCH($T$7,LenU,0)),IF(ISNUMBER(W307),W307*INDEX(LenF,MATCH($W$7,LenU,0))/PitchRatio,0))</f>
        <v>0</v>
      </c>
      <c r="AQ307" s="9" t="n">
        <f aca="false">IF(ISNUMBER(N307),PI()/4*(N307*INDEX(LenF,MATCH($N$7,LenU,0)))^2,IF(AND(ISNUMBER(S307),ISNUMBER(W307),X307&lt;&gt;""),S307*(W307*INDEX(LenF,MATCH($W$7,LenU,0)))^2*INDEX(LayoutF,MATCH(X307,LayoutU,0)),0))</f>
        <v>0</v>
      </c>
      <c r="AR307" s="9" t="n">
        <f aca="false">IF(ISNUMBER(O307),O307*INDEX(LenF,MATCH($O$7,LenU,0)),IF(ISNUMBER(V307),V307*INDEX(LenF,MATCH($V$7,LenU,0)),0))</f>
        <v>0</v>
      </c>
      <c r="AS307" s="9" t="str">
        <f aca="false">IF(ISNUMBER(L307),L307*INDEX(LenF,MATCH($L$7,LenU,0))*1000,IF(OR(J307="",K307=""),"",IFERROR(IF(INDEX(PipeWT,MATCH(J307,NPSU,0),MATCH(K307,SchU,0))="","Sch n/a",INDEX(PipeOD,MATCH(J307,NPSU,0))-2*INDEX(PipeWT,MATCH(J307,NPSU,0),MATCH(K307,SchU,0))),"")))</f>
        <v/>
      </c>
      <c r="AT307" s="9" t="n">
        <f aca="false">IF(ISNUMBER(AI307),AI307,IFERROR(INDEX(IF(JobType="Decontamination",TypeFillDC,TypeFillCC),MATCH(E307,TypeL,0)),1))</f>
        <v>1</v>
      </c>
      <c r="AU307" s="9" t="n">
        <v>10</v>
      </c>
    </row>
    <row r="308" customFormat="false" ht="15" hidden="false" customHeight="false" outlineLevel="0" collapsed="false">
      <c r="A308" s="16" t="n">
        <v>2</v>
      </c>
      <c r="B308" s="20"/>
      <c r="C308" s="5"/>
      <c r="D308" s="5"/>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1" t="str">
        <f aca="false">IF(E308="Exchanger",IF(AND(ISNUMBER(S308),ISNUMBER(U308),ISNUMBER(V308)),S308*PI()/4*(U308*INDEX(LenF,MATCH($U$7,LenU,0)))^2*V308*INDEX(LenF,MATCH($V$7,LenU,0)),0)+IF(ISNUMBER(Y308),PI()/4*(Y308*INDEX(LenF,MATCH($Y$7,LenU,0)))^2*N(Z308)*INDEX(LenF,MATCH($Z$7,LenU,0))+IF(AA308="",0,IF(AA308="Conical",PI()/12*(Y308*INDEX(LenF,MATCH($Y$7,LenU,0)))^2*(0),INDEX(HeadK,MATCH(AA308,HeadU,0))*(Y308*INDEX(LenF,MATCH($Y$7,LenU,0)))^3)),0)+IF(ISNUMBER(Y308),PI()/4*(Y308*INDEX(LenF,MATCH($Y$7,LenU,0)))^2*N(AB308)*INDEX(LenF,MATCH($AB$7,LenU,0))+IF(AC308="",0,IF(AC308="Conical",PI()/12*(Y308*INDEX(LenF,MATCH($Y$7,LenU,0)))^2*(0),INDEX(HeadK,MATCH(AC308,HeadU,0))*(Y308*INDEX(LenF,MATCH($Y$7,LenU,0)))^3)),0),"")</f>
        <v/>
      </c>
      <c r="AE308" s="21" t="str">
        <f aca="false">IF(OR(E308="",E308="Piping"),"",IF(E308="Exchanger",AQ308*AR308+IF(P308="",0,IF(P308="Conical",PI()/12*(SQRT(4*AQ308/PI()))^2*(0),INDEX(HeadK,MATCH(P308,HeadU,0))*(SQRT(4*AQ308/PI()))^3))-IF(AND(ISNUMBER(S308),ISNUMBER(V308)),S308*PI()/4*AP308^2*V308*INDEX(LenF,MATCH($V$7,LenU,0)),0),IF(ISNUMBER(N308),PI()/4*(N308*INDEX(LenF,MATCH($N$7,LenU,0)))^2*N(O308)*INDEX(LenF,MATCH($O$7,LenU,0))+IF(P308="",0,IF(P308="Conical",PI()/12*(N308*INDEX(LenF,MATCH($N$7,LenU,0)))^2*(N(R308)*INDEX(LenF,MATCH($R$7,LenU,0))),INDEX(HeadK,MATCH(P308,HeadU,0))*(N308*INDEX(LenF,MATCH($N$7,LenU,0)))^3))+IF(Q308="",0,IF(Q308="Conical",PI()/12*(N308*INDEX(LenF,MATCH($N$7,LenU,0)))^2*(N(R308)*INDEX(LenF,MATCH($R$7,LenU,0))),INDEX(HeadK,MATCH(Q308,HeadU,0))*(N308*INDEX(LenF,MATCH($N$7,LenU,0)))^3)),0)))</f>
        <v/>
      </c>
      <c r="AF308" s="21" t="str">
        <f aca="false">IF(E308&lt;&gt;"Piping","",IF(AND(ISNUMBER(AS308),ISNUMBER(M308)),PI()/4*(AS308/1000)^2*M308*INDEX(LenF,MATCH($M$7,LenU,0)),0))</f>
        <v/>
      </c>
      <c r="AG308" s="21" t="str">
        <f aca="false">IF(E308="","",N(AD308)+N(AE308)+N(AF308))</f>
        <v/>
      </c>
      <c r="AH308" s="21" t="str">
        <f aca="false">IF(ISNUMBER(I308),I308*INDEX(WtF,MATCH($I$7,WtU,0))/WaterRho,"")</f>
        <v/>
      </c>
      <c r="AI308" s="11"/>
      <c r="AJ308" s="11"/>
      <c r="AK308" s="20"/>
      <c r="AL308" s="11"/>
      <c r="AM308" s="21" t="str">
        <f aca="false">IF(AO308="","",AO308*IF(ISNUMBER(AK308),AK308,DefFills)*(1+IF(ISNUMBER(AL308),AL308,DefAllow)))</f>
        <v/>
      </c>
      <c r="AN308" s="22" t="str">
        <f aca="false">IF(G308="Given volume",IF(ISNUMBER(H308),H308*INDEX(VolF,MATCH($H$7,VolU,0)),""),IF(G308="Water weight",AH308,IF(N(AG308)=0,"",AG308)))</f>
        <v/>
      </c>
      <c r="AO308" s="22" t="str">
        <f aca="false">IF(N(AN308)=0,"",AN308*AT308*IF(ISNUMBER(AJ308),AJ308,DefCirc))</f>
        <v/>
      </c>
      <c r="AP308" s="9" t="n">
        <f aca="false">IF(ISNUMBER(T308),T308*INDEX(LenF,MATCH($T$7,LenU,0)),IF(ISNUMBER(W308),W308*INDEX(LenF,MATCH($W$7,LenU,0))/PitchRatio,0))</f>
        <v>0</v>
      </c>
      <c r="AQ308" s="9" t="n">
        <f aca="false">IF(ISNUMBER(N308),PI()/4*(N308*INDEX(LenF,MATCH($N$7,LenU,0)))^2,IF(AND(ISNUMBER(S308),ISNUMBER(W308),X308&lt;&gt;""),S308*(W308*INDEX(LenF,MATCH($W$7,LenU,0)))^2*INDEX(LayoutF,MATCH(X308,LayoutU,0)),0))</f>
        <v>0</v>
      </c>
      <c r="AR308" s="9" t="n">
        <f aca="false">IF(ISNUMBER(O308),O308*INDEX(LenF,MATCH($O$7,LenU,0)),IF(ISNUMBER(V308),V308*INDEX(LenF,MATCH($V$7,LenU,0)),0))</f>
        <v>0</v>
      </c>
      <c r="AS308" s="9" t="str">
        <f aca="false">IF(ISNUMBER(L308),L308*INDEX(LenF,MATCH($L$7,LenU,0))*1000,IF(OR(J308="",K308=""),"",IFERROR(IF(INDEX(PipeWT,MATCH(J308,NPSU,0),MATCH(K308,SchU,0))="","Sch n/a",INDEX(PipeOD,MATCH(J308,NPSU,0))-2*INDEX(PipeWT,MATCH(J308,NPSU,0),MATCH(K308,SchU,0))),"")))</f>
        <v/>
      </c>
      <c r="AT308" s="9" t="n">
        <f aca="false">IF(ISNUMBER(AI308),AI308,IFERROR(INDEX(IF(JobType="Decontamination",TypeFillDC,TypeFillCC),MATCH(E308,TypeL,0)),1))</f>
        <v>1</v>
      </c>
      <c r="AU308" s="9" t="n">
        <v>10</v>
      </c>
    </row>
    <row r="309" customFormat="false" ht="15" hidden="false" customHeight="false" outlineLevel="0" collapsed="false">
      <c r="A309" s="16" t="n">
        <v>3</v>
      </c>
      <c r="B309" s="20"/>
      <c r="C309" s="5"/>
      <c r="D309" s="5"/>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1" t="str">
        <f aca="false">IF(E309="Exchanger",IF(AND(ISNUMBER(S309),ISNUMBER(U309),ISNUMBER(V309)),S309*PI()/4*(U309*INDEX(LenF,MATCH($U$7,LenU,0)))^2*V309*INDEX(LenF,MATCH($V$7,LenU,0)),0)+IF(ISNUMBER(Y309),PI()/4*(Y309*INDEX(LenF,MATCH($Y$7,LenU,0)))^2*N(Z309)*INDEX(LenF,MATCH($Z$7,LenU,0))+IF(AA309="",0,IF(AA309="Conical",PI()/12*(Y309*INDEX(LenF,MATCH($Y$7,LenU,0)))^2*(0),INDEX(HeadK,MATCH(AA309,HeadU,0))*(Y309*INDEX(LenF,MATCH($Y$7,LenU,0)))^3)),0)+IF(ISNUMBER(Y309),PI()/4*(Y309*INDEX(LenF,MATCH($Y$7,LenU,0)))^2*N(AB309)*INDEX(LenF,MATCH($AB$7,LenU,0))+IF(AC309="",0,IF(AC309="Conical",PI()/12*(Y309*INDEX(LenF,MATCH($Y$7,LenU,0)))^2*(0),INDEX(HeadK,MATCH(AC309,HeadU,0))*(Y309*INDEX(LenF,MATCH($Y$7,LenU,0)))^3)),0),"")</f>
        <v/>
      </c>
      <c r="AE309" s="21" t="str">
        <f aca="false">IF(OR(E309="",E309="Piping"),"",IF(E309="Exchanger",AQ309*AR309+IF(P309="",0,IF(P309="Conical",PI()/12*(SQRT(4*AQ309/PI()))^2*(0),INDEX(HeadK,MATCH(P309,HeadU,0))*(SQRT(4*AQ309/PI()))^3))-IF(AND(ISNUMBER(S309),ISNUMBER(V309)),S309*PI()/4*AP309^2*V309*INDEX(LenF,MATCH($V$7,LenU,0)),0),IF(ISNUMBER(N309),PI()/4*(N309*INDEX(LenF,MATCH($N$7,LenU,0)))^2*N(O309)*INDEX(LenF,MATCH($O$7,LenU,0))+IF(P309="",0,IF(P309="Conical",PI()/12*(N309*INDEX(LenF,MATCH($N$7,LenU,0)))^2*(N(R309)*INDEX(LenF,MATCH($R$7,LenU,0))),INDEX(HeadK,MATCH(P309,HeadU,0))*(N309*INDEX(LenF,MATCH($N$7,LenU,0)))^3))+IF(Q309="",0,IF(Q309="Conical",PI()/12*(N309*INDEX(LenF,MATCH($N$7,LenU,0)))^2*(N(R309)*INDEX(LenF,MATCH($R$7,LenU,0))),INDEX(HeadK,MATCH(Q309,HeadU,0))*(N309*INDEX(LenF,MATCH($N$7,LenU,0)))^3)),0)))</f>
        <v/>
      </c>
      <c r="AF309" s="21" t="str">
        <f aca="false">IF(E309&lt;&gt;"Piping","",IF(AND(ISNUMBER(AS309),ISNUMBER(M309)),PI()/4*(AS309/1000)^2*M309*INDEX(LenF,MATCH($M$7,LenU,0)),0))</f>
        <v/>
      </c>
      <c r="AG309" s="21" t="str">
        <f aca="false">IF(E309="","",N(AD309)+N(AE309)+N(AF309))</f>
        <v/>
      </c>
      <c r="AH309" s="21" t="str">
        <f aca="false">IF(ISNUMBER(I309),I309*INDEX(WtF,MATCH($I$7,WtU,0))/WaterRho,"")</f>
        <v/>
      </c>
      <c r="AI309" s="11"/>
      <c r="AJ309" s="11"/>
      <c r="AK309" s="20"/>
      <c r="AL309" s="11"/>
      <c r="AM309" s="21" t="str">
        <f aca="false">IF(AO309="","",AO309*IF(ISNUMBER(AK309),AK309,DefFills)*(1+IF(ISNUMBER(AL309),AL309,DefAllow)))</f>
        <v/>
      </c>
      <c r="AN309" s="22" t="str">
        <f aca="false">IF(G309="Given volume",IF(ISNUMBER(H309),H309*INDEX(VolF,MATCH($H$7,VolU,0)),""),IF(G309="Water weight",AH309,IF(N(AG309)=0,"",AG309)))</f>
        <v/>
      </c>
      <c r="AO309" s="22" t="str">
        <f aca="false">IF(N(AN309)=0,"",AN309*AT309*IF(ISNUMBER(AJ309),AJ309,DefCirc))</f>
        <v/>
      </c>
      <c r="AP309" s="9" t="n">
        <f aca="false">IF(ISNUMBER(T309),T309*INDEX(LenF,MATCH($T$7,LenU,0)),IF(ISNUMBER(W309),W309*INDEX(LenF,MATCH($W$7,LenU,0))/PitchRatio,0))</f>
        <v>0</v>
      </c>
      <c r="AQ309" s="9" t="n">
        <f aca="false">IF(ISNUMBER(N309),PI()/4*(N309*INDEX(LenF,MATCH($N$7,LenU,0)))^2,IF(AND(ISNUMBER(S309),ISNUMBER(W309),X309&lt;&gt;""),S309*(W309*INDEX(LenF,MATCH($W$7,LenU,0)))^2*INDEX(LayoutF,MATCH(X309,LayoutU,0)),0))</f>
        <v>0</v>
      </c>
      <c r="AR309" s="9" t="n">
        <f aca="false">IF(ISNUMBER(O309),O309*INDEX(LenF,MATCH($O$7,LenU,0)),IF(ISNUMBER(V309),V309*INDEX(LenF,MATCH($V$7,LenU,0)),0))</f>
        <v>0</v>
      </c>
      <c r="AS309" s="9" t="str">
        <f aca="false">IF(ISNUMBER(L309),L309*INDEX(LenF,MATCH($L$7,LenU,0))*1000,IF(OR(J309="",K309=""),"",IFERROR(IF(INDEX(PipeWT,MATCH(J309,NPSU,0),MATCH(K309,SchU,0))="","Sch n/a",INDEX(PipeOD,MATCH(J309,NPSU,0))-2*INDEX(PipeWT,MATCH(J309,NPSU,0),MATCH(K309,SchU,0))),"")))</f>
        <v/>
      </c>
      <c r="AT309" s="9" t="n">
        <f aca="false">IF(ISNUMBER(AI309),AI309,IFERROR(INDEX(IF(JobType="Decontamination",TypeFillDC,TypeFillCC),MATCH(E309,TypeL,0)),1))</f>
        <v>1</v>
      </c>
      <c r="AU309" s="9" t="n">
        <v>10</v>
      </c>
    </row>
    <row r="310" customFormat="false" ht="15" hidden="false" customHeight="false" outlineLevel="0" collapsed="false">
      <c r="A310" s="16" t="n">
        <v>4</v>
      </c>
      <c r="B310" s="20"/>
      <c r="C310" s="5"/>
      <c r="D310" s="5"/>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1" t="str">
        <f aca="false">IF(E310="Exchanger",IF(AND(ISNUMBER(S310),ISNUMBER(U310),ISNUMBER(V310)),S310*PI()/4*(U310*INDEX(LenF,MATCH($U$7,LenU,0)))^2*V310*INDEX(LenF,MATCH($V$7,LenU,0)),0)+IF(ISNUMBER(Y310),PI()/4*(Y310*INDEX(LenF,MATCH($Y$7,LenU,0)))^2*N(Z310)*INDEX(LenF,MATCH($Z$7,LenU,0))+IF(AA310="",0,IF(AA310="Conical",PI()/12*(Y310*INDEX(LenF,MATCH($Y$7,LenU,0)))^2*(0),INDEX(HeadK,MATCH(AA310,HeadU,0))*(Y310*INDEX(LenF,MATCH($Y$7,LenU,0)))^3)),0)+IF(ISNUMBER(Y310),PI()/4*(Y310*INDEX(LenF,MATCH($Y$7,LenU,0)))^2*N(AB310)*INDEX(LenF,MATCH($AB$7,LenU,0))+IF(AC310="",0,IF(AC310="Conical",PI()/12*(Y310*INDEX(LenF,MATCH($Y$7,LenU,0)))^2*(0),INDEX(HeadK,MATCH(AC310,HeadU,0))*(Y310*INDEX(LenF,MATCH($Y$7,LenU,0)))^3)),0),"")</f>
        <v/>
      </c>
      <c r="AE310" s="21" t="str">
        <f aca="false">IF(OR(E310="",E310="Piping"),"",IF(E310="Exchanger",AQ310*AR310+IF(P310="",0,IF(P310="Conical",PI()/12*(SQRT(4*AQ310/PI()))^2*(0),INDEX(HeadK,MATCH(P310,HeadU,0))*(SQRT(4*AQ310/PI()))^3))-IF(AND(ISNUMBER(S310),ISNUMBER(V310)),S310*PI()/4*AP310^2*V310*INDEX(LenF,MATCH($V$7,LenU,0)),0),IF(ISNUMBER(N310),PI()/4*(N310*INDEX(LenF,MATCH($N$7,LenU,0)))^2*N(O310)*INDEX(LenF,MATCH($O$7,LenU,0))+IF(P310="",0,IF(P310="Conical",PI()/12*(N310*INDEX(LenF,MATCH($N$7,LenU,0)))^2*(N(R310)*INDEX(LenF,MATCH($R$7,LenU,0))),INDEX(HeadK,MATCH(P310,HeadU,0))*(N310*INDEX(LenF,MATCH($N$7,LenU,0)))^3))+IF(Q310="",0,IF(Q310="Conical",PI()/12*(N310*INDEX(LenF,MATCH($N$7,LenU,0)))^2*(N(R310)*INDEX(LenF,MATCH($R$7,LenU,0))),INDEX(HeadK,MATCH(Q310,HeadU,0))*(N310*INDEX(LenF,MATCH($N$7,LenU,0)))^3)),0)))</f>
        <v/>
      </c>
      <c r="AF310" s="21" t="str">
        <f aca="false">IF(E310&lt;&gt;"Piping","",IF(AND(ISNUMBER(AS310),ISNUMBER(M310)),PI()/4*(AS310/1000)^2*M310*INDEX(LenF,MATCH($M$7,LenU,0)),0))</f>
        <v/>
      </c>
      <c r="AG310" s="21" t="str">
        <f aca="false">IF(E310="","",N(AD310)+N(AE310)+N(AF310))</f>
        <v/>
      </c>
      <c r="AH310" s="21" t="str">
        <f aca="false">IF(ISNUMBER(I310),I310*INDEX(WtF,MATCH($I$7,WtU,0))/WaterRho,"")</f>
        <v/>
      </c>
      <c r="AI310" s="11"/>
      <c r="AJ310" s="11"/>
      <c r="AK310" s="20"/>
      <c r="AL310" s="11"/>
      <c r="AM310" s="21" t="str">
        <f aca="false">IF(AO310="","",AO310*IF(ISNUMBER(AK310),AK310,DefFills)*(1+IF(ISNUMBER(AL310),AL310,DefAllow)))</f>
        <v/>
      </c>
      <c r="AN310" s="22" t="str">
        <f aca="false">IF(G310="Given volume",IF(ISNUMBER(H310),H310*INDEX(VolF,MATCH($H$7,VolU,0)),""),IF(G310="Water weight",AH310,IF(N(AG310)=0,"",AG310)))</f>
        <v/>
      </c>
      <c r="AO310" s="22" t="str">
        <f aca="false">IF(N(AN310)=0,"",AN310*AT310*IF(ISNUMBER(AJ310),AJ310,DefCirc))</f>
        <v/>
      </c>
      <c r="AP310" s="9" t="n">
        <f aca="false">IF(ISNUMBER(T310),T310*INDEX(LenF,MATCH($T$7,LenU,0)),IF(ISNUMBER(W310),W310*INDEX(LenF,MATCH($W$7,LenU,0))/PitchRatio,0))</f>
        <v>0</v>
      </c>
      <c r="AQ310" s="9" t="n">
        <f aca="false">IF(ISNUMBER(N310),PI()/4*(N310*INDEX(LenF,MATCH($N$7,LenU,0)))^2,IF(AND(ISNUMBER(S310),ISNUMBER(W310),X310&lt;&gt;""),S310*(W310*INDEX(LenF,MATCH($W$7,LenU,0)))^2*INDEX(LayoutF,MATCH(X310,LayoutU,0)),0))</f>
        <v>0</v>
      </c>
      <c r="AR310" s="9" t="n">
        <f aca="false">IF(ISNUMBER(O310),O310*INDEX(LenF,MATCH($O$7,LenU,0)),IF(ISNUMBER(V310),V310*INDEX(LenF,MATCH($V$7,LenU,0)),0))</f>
        <v>0</v>
      </c>
      <c r="AS310" s="9" t="str">
        <f aca="false">IF(ISNUMBER(L310),L310*INDEX(LenF,MATCH($L$7,LenU,0))*1000,IF(OR(J310="",K310=""),"",IFERROR(IF(INDEX(PipeWT,MATCH(J310,NPSU,0),MATCH(K310,SchU,0))="","Sch n/a",INDEX(PipeOD,MATCH(J310,NPSU,0))-2*INDEX(PipeWT,MATCH(J310,NPSU,0),MATCH(K310,SchU,0))),"")))</f>
        <v/>
      </c>
      <c r="AT310" s="9" t="n">
        <f aca="false">IF(ISNUMBER(AI310),AI310,IFERROR(INDEX(IF(JobType="Decontamination",TypeFillDC,TypeFillCC),MATCH(E310,TypeL,0)),1))</f>
        <v>1</v>
      </c>
      <c r="AU310" s="9" t="n">
        <v>10</v>
      </c>
    </row>
    <row r="311" customFormat="false" ht="15" hidden="false" customHeight="false" outlineLevel="0" collapsed="false">
      <c r="A311" s="16" t="n">
        <v>5</v>
      </c>
      <c r="B311" s="20"/>
      <c r="C311" s="5"/>
      <c r="D311" s="5"/>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1" t="str">
        <f aca="false">IF(E311="Exchanger",IF(AND(ISNUMBER(S311),ISNUMBER(U311),ISNUMBER(V311)),S311*PI()/4*(U311*INDEX(LenF,MATCH($U$7,LenU,0)))^2*V311*INDEX(LenF,MATCH($V$7,LenU,0)),0)+IF(ISNUMBER(Y311),PI()/4*(Y311*INDEX(LenF,MATCH($Y$7,LenU,0)))^2*N(Z311)*INDEX(LenF,MATCH($Z$7,LenU,0))+IF(AA311="",0,IF(AA311="Conical",PI()/12*(Y311*INDEX(LenF,MATCH($Y$7,LenU,0)))^2*(0),INDEX(HeadK,MATCH(AA311,HeadU,0))*(Y311*INDEX(LenF,MATCH($Y$7,LenU,0)))^3)),0)+IF(ISNUMBER(Y311),PI()/4*(Y311*INDEX(LenF,MATCH($Y$7,LenU,0)))^2*N(AB311)*INDEX(LenF,MATCH($AB$7,LenU,0))+IF(AC311="",0,IF(AC311="Conical",PI()/12*(Y311*INDEX(LenF,MATCH($Y$7,LenU,0)))^2*(0),INDEX(HeadK,MATCH(AC311,HeadU,0))*(Y311*INDEX(LenF,MATCH($Y$7,LenU,0)))^3)),0),"")</f>
        <v/>
      </c>
      <c r="AE311" s="21" t="str">
        <f aca="false">IF(OR(E311="",E311="Piping"),"",IF(E311="Exchanger",AQ311*AR311+IF(P311="",0,IF(P311="Conical",PI()/12*(SQRT(4*AQ311/PI()))^2*(0),INDEX(HeadK,MATCH(P311,HeadU,0))*(SQRT(4*AQ311/PI()))^3))-IF(AND(ISNUMBER(S311),ISNUMBER(V311)),S311*PI()/4*AP311^2*V311*INDEX(LenF,MATCH($V$7,LenU,0)),0),IF(ISNUMBER(N311),PI()/4*(N311*INDEX(LenF,MATCH($N$7,LenU,0)))^2*N(O311)*INDEX(LenF,MATCH($O$7,LenU,0))+IF(P311="",0,IF(P311="Conical",PI()/12*(N311*INDEX(LenF,MATCH($N$7,LenU,0)))^2*(N(R311)*INDEX(LenF,MATCH($R$7,LenU,0))),INDEX(HeadK,MATCH(P311,HeadU,0))*(N311*INDEX(LenF,MATCH($N$7,LenU,0)))^3))+IF(Q311="",0,IF(Q311="Conical",PI()/12*(N311*INDEX(LenF,MATCH($N$7,LenU,0)))^2*(N(R311)*INDEX(LenF,MATCH($R$7,LenU,0))),INDEX(HeadK,MATCH(Q311,HeadU,0))*(N311*INDEX(LenF,MATCH($N$7,LenU,0)))^3)),0)))</f>
        <v/>
      </c>
      <c r="AF311" s="21" t="str">
        <f aca="false">IF(E311&lt;&gt;"Piping","",IF(AND(ISNUMBER(AS311),ISNUMBER(M311)),PI()/4*(AS311/1000)^2*M311*INDEX(LenF,MATCH($M$7,LenU,0)),0))</f>
        <v/>
      </c>
      <c r="AG311" s="21" t="str">
        <f aca="false">IF(E311="","",N(AD311)+N(AE311)+N(AF311))</f>
        <v/>
      </c>
      <c r="AH311" s="21" t="str">
        <f aca="false">IF(ISNUMBER(I311),I311*INDEX(WtF,MATCH($I$7,WtU,0))/WaterRho,"")</f>
        <v/>
      </c>
      <c r="AI311" s="11"/>
      <c r="AJ311" s="11"/>
      <c r="AK311" s="20"/>
      <c r="AL311" s="11"/>
      <c r="AM311" s="21" t="str">
        <f aca="false">IF(AO311="","",AO311*IF(ISNUMBER(AK311),AK311,DefFills)*(1+IF(ISNUMBER(AL311),AL311,DefAllow)))</f>
        <v/>
      </c>
      <c r="AN311" s="22" t="str">
        <f aca="false">IF(G311="Given volume",IF(ISNUMBER(H311),H311*INDEX(VolF,MATCH($H$7,VolU,0)),""),IF(G311="Water weight",AH311,IF(N(AG311)=0,"",AG311)))</f>
        <v/>
      </c>
      <c r="AO311" s="22" t="str">
        <f aca="false">IF(N(AN311)=0,"",AN311*AT311*IF(ISNUMBER(AJ311),AJ311,DefCirc))</f>
        <v/>
      </c>
      <c r="AP311" s="9" t="n">
        <f aca="false">IF(ISNUMBER(T311),T311*INDEX(LenF,MATCH($T$7,LenU,0)),IF(ISNUMBER(W311),W311*INDEX(LenF,MATCH($W$7,LenU,0))/PitchRatio,0))</f>
        <v>0</v>
      </c>
      <c r="AQ311" s="9" t="n">
        <f aca="false">IF(ISNUMBER(N311),PI()/4*(N311*INDEX(LenF,MATCH($N$7,LenU,0)))^2,IF(AND(ISNUMBER(S311),ISNUMBER(W311),X311&lt;&gt;""),S311*(W311*INDEX(LenF,MATCH($W$7,LenU,0)))^2*INDEX(LayoutF,MATCH(X311,LayoutU,0)),0))</f>
        <v>0</v>
      </c>
      <c r="AR311" s="9" t="n">
        <f aca="false">IF(ISNUMBER(O311),O311*INDEX(LenF,MATCH($O$7,LenU,0)),IF(ISNUMBER(V311),V311*INDEX(LenF,MATCH($V$7,LenU,0)),0))</f>
        <v>0</v>
      </c>
      <c r="AS311" s="9" t="str">
        <f aca="false">IF(ISNUMBER(L311),L311*INDEX(LenF,MATCH($L$7,LenU,0))*1000,IF(OR(J311="",K311=""),"",IFERROR(IF(INDEX(PipeWT,MATCH(J311,NPSU,0),MATCH(K311,SchU,0))="","Sch n/a",INDEX(PipeOD,MATCH(J311,NPSU,0))-2*INDEX(PipeWT,MATCH(J311,NPSU,0),MATCH(K311,SchU,0))),"")))</f>
        <v/>
      </c>
      <c r="AT311" s="9" t="n">
        <f aca="false">IF(ISNUMBER(AI311),AI311,IFERROR(INDEX(IF(JobType="Decontamination",TypeFillDC,TypeFillCC),MATCH(E311,TypeL,0)),1))</f>
        <v>1</v>
      </c>
      <c r="AU311" s="9" t="n">
        <v>10</v>
      </c>
    </row>
    <row r="312" customFormat="false" ht="15" hidden="false" customHeight="false" outlineLevel="0" collapsed="false">
      <c r="A312" s="16" t="n">
        <v>6</v>
      </c>
      <c r="B312" s="20"/>
      <c r="C312" s="5"/>
      <c r="D312" s="5"/>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1" t="str">
        <f aca="false">IF(E312="Exchanger",IF(AND(ISNUMBER(S312),ISNUMBER(U312),ISNUMBER(V312)),S312*PI()/4*(U312*INDEX(LenF,MATCH($U$7,LenU,0)))^2*V312*INDEX(LenF,MATCH($V$7,LenU,0)),0)+IF(ISNUMBER(Y312),PI()/4*(Y312*INDEX(LenF,MATCH($Y$7,LenU,0)))^2*N(Z312)*INDEX(LenF,MATCH($Z$7,LenU,0))+IF(AA312="",0,IF(AA312="Conical",PI()/12*(Y312*INDEX(LenF,MATCH($Y$7,LenU,0)))^2*(0),INDEX(HeadK,MATCH(AA312,HeadU,0))*(Y312*INDEX(LenF,MATCH($Y$7,LenU,0)))^3)),0)+IF(ISNUMBER(Y312),PI()/4*(Y312*INDEX(LenF,MATCH($Y$7,LenU,0)))^2*N(AB312)*INDEX(LenF,MATCH($AB$7,LenU,0))+IF(AC312="",0,IF(AC312="Conical",PI()/12*(Y312*INDEX(LenF,MATCH($Y$7,LenU,0)))^2*(0),INDEX(HeadK,MATCH(AC312,HeadU,0))*(Y312*INDEX(LenF,MATCH($Y$7,LenU,0)))^3)),0),"")</f>
        <v/>
      </c>
      <c r="AE312" s="21" t="str">
        <f aca="false">IF(OR(E312="",E312="Piping"),"",IF(E312="Exchanger",AQ312*AR312+IF(P312="",0,IF(P312="Conical",PI()/12*(SQRT(4*AQ312/PI()))^2*(0),INDEX(HeadK,MATCH(P312,HeadU,0))*(SQRT(4*AQ312/PI()))^3))-IF(AND(ISNUMBER(S312),ISNUMBER(V312)),S312*PI()/4*AP312^2*V312*INDEX(LenF,MATCH($V$7,LenU,0)),0),IF(ISNUMBER(N312),PI()/4*(N312*INDEX(LenF,MATCH($N$7,LenU,0)))^2*N(O312)*INDEX(LenF,MATCH($O$7,LenU,0))+IF(P312="",0,IF(P312="Conical",PI()/12*(N312*INDEX(LenF,MATCH($N$7,LenU,0)))^2*(N(R312)*INDEX(LenF,MATCH($R$7,LenU,0))),INDEX(HeadK,MATCH(P312,HeadU,0))*(N312*INDEX(LenF,MATCH($N$7,LenU,0)))^3))+IF(Q312="",0,IF(Q312="Conical",PI()/12*(N312*INDEX(LenF,MATCH($N$7,LenU,0)))^2*(N(R312)*INDEX(LenF,MATCH($R$7,LenU,0))),INDEX(HeadK,MATCH(Q312,HeadU,0))*(N312*INDEX(LenF,MATCH($N$7,LenU,0)))^3)),0)))</f>
        <v/>
      </c>
      <c r="AF312" s="21" t="str">
        <f aca="false">IF(E312&lt;&gt;"Piping","",IF(AND(ISNUMBER(AS312),ISNUMBER(M312)),PI()/4*(AS312/1000)^2*M312*INDEX(LenF,MATCH($M$7,LenU,0)),0))</f>
        <v/>
      </c>
      <c r="AG312" s="21" t="str">
        <f aca="false">IF(E312="","",N(AD312)+N(AE312)+N(AF312))</f>
        <v/>
      </c>
      <c r="AH312" s="21" t="str">
        <f aca="false">IF(ISNUMBER(I312),I312*INDEX(WtF,MATCH($I$7,WtU,0))/WaterRho,"")</f>
        <v/>
      </c>
      <c r="AI312" s="11"/>
      <c r="AJ312" s="11"/>
      <c r="AK312" s="20"/>
      <c r="AL312" s="11"/>
      <c r="AM312" s="21" t="str">
        <f aca="false">IF(AO312="","",AO312*IF(ISNUMBER(AK312),AK312,DefFills)*(1+IF(ISNUMBER(AL312),AL312,DefAllow)))</f>
        <v/>
      </c>
      <c r="AN312" s="22" t="str">
        <f aca="false">IF(G312="Given volume",IF(ISNUMBER(H312),H312*INDEX(VolF,MATCH($H$7,VolU,0)),""),IF(G312="Water weight",AH312,IF(N(AG312)=0,"",AG312)))</f>
        <v/>
      </c>
      <c r="AO312" s="22" t="str">
        <f aca="false">IF(N(AN312)=0,"",AN312*AT312*IF(ISNUMBER(AJ312),AJ312,DefCirc))</f>
        <v/>
      </c>
      <c r="AP312" s="9" t="n">
        <f aca="false">IF(ISNUMBER(T312),T312*INDEX(LenF,MATCH($T$7,LenU,0)),IF(ISNUMBER(W312),W312*INDEX(LenF,MATCH($W$7,LenU,0))/PitchRatio,0))</f>
        <v>0</v>
      </c>
      <c r="AQ312" s="9" t="n">
        <f aca="false">IF(ISNUMBER(N312),PI()/4*(N312*INDEX(LenF,MATCH($N$7,LenU,0)))^2,IF(AND(ISNUMBER(S312),ISNUMBER(W312),X312&lt;&gt;""),S312*(W312*INDEX(LenF,MATCH($W$7,LenU,0)))^2*INDEX(LayoutF,MATCH(X312,LayoutU,0)),0))</f>
        <v>0</v>
      </c>
      <c r="AR312" s="9" t="n">
        <f aca="false">IF(ISNUMBER(O312),O312*INDEX(LenF,MATCH($O$7,LenU,0)),IF(ISNUMBER(V312),V312*INDEX(LenF,MATCH($V$7,LenU,0)),0))</f>
        <v>0</v>
      </c>
      <c r="AS312" s="9" t="str">
        <f aca="false">IF(ISNUMBER(L312),L312*INDEX(LenF,MATCH($L$7,LenU,0))*1000,IF(OR(J312="",K312=""),"",IFERROR(IF(INDEX(PipeWT,MATCH(J312,NPSU,0),MATCH(K312,SchU,0))="","Sch n/a",INDEX(PipeOD,MATCH(J312,NPSU,0))-2*INDEX(PipeWT,MATCH(J312,NPSU,0),MATCH(K312,SchU,0))),"")))</f>
        <v/>
      </c>
      <c r="AT312" s="9" t="n">
        <f aca="false">IF(ISNUMBER(AI312),AI312,IFERROR(INDEX(IF(JobType="Decontamination",TypeFillDC,TypeFillCC),MATCH(E312,TypeL,0)),1))</f>
        <v>1</v>
      </c>
      <c r="AU312" s="9" t="n">
        <v>10</v>
      </c>
    </row>
    <row r="313" customFormat="false" ht="15" hidden="false" customHeight="false" outlineLevel="0" collapsed="false">
      <c r="A313" s="16" t="n">
        <v>7</v>
      </c>
      <c r="B313" s="20"/>
      <c r="C313" s="5"/>
      <c r="D313" s="5"/>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1" t="str">
        <f aca="false">IF(E313="Exchanger",IF(AND(ISNUMBER(S313),ISNUMBER(U313),ISNUMBER(V313)),S313*PI()/4*(U313*INDEX(LenF,MATCH($U$7,LenU,0)))^2*V313*INDEX(LenF,MATCH($V$7,LenU,0)),0)+IF(ISNUMBER(Y313),PI()/4*(Y313*INDEX(LenF,MATCH($Y$7,LenU,0)))^2*N(Z313)*INDEX(LenF,MATCH($Z$7,LenU,0))+IF(AA313="",0,IF(AA313="Conical",PI()/12*(Y313*INDEX(LenF,MATCH($Y$7,LenU,0)))^2*(0),INDEX(HeadK,MATCH(AA313,HeadU,0))*(Y313*INDEX(LenF,MATCH($Y$7,LenU,0)))^3)),0)+IF(ISNUMBER(Y313),PI()/4*(Y313*INDEX(LenF,MATCH($Y$7,LenU,0)))^2*N(AB313)*INDEX(LenF,MATCH($AB$7,LenU,0))+IF(AC313="",0,IF(AC313="Conical",PI()/12*(Y313*INDEX(LenF,MATCH($Y$7,LenU,0)))^2*(0),INDEX(HeadK,MATCH(AC313,HeadU,0))*(Y313*INDEX(LenF,MATCH($Y$7,LenU,0)))^3)),0),"")</f>
        <v/>
      </c>
      <c r="AE313" s="21" t="str">
        <f aca="false">IF(OR(E313="",E313="Piping"),"",IF(E313="Exchanger",AQ313*AR313+IF(P313="",0,IF(P313="Conical",PI()/12*(SQRT(4*AQ313/PI()))^2*(0),INDEX(HeadK,MATCH(P313,HeadU,0))*(SQRT(4*AQ313/PI()))^3))-IF(AND(ISNUMBER(S313),ISNUMBER(V313)),S313*PI()/4*AP313^2*V313*INDEX(LenF,MATCH($V$7,LenU,0)),0),IF(ISNUMBER(N313),PI()/4*(N313*INDEX(LenF,MATCH($N$7,LenU,0)))^2*N(O313)*INDEX(LenF,MATCH($O$7,LenU,0))+IF(P313="",0,IF(P313="Conical",PI()/12*(N313*INDEX(LenF,MATCH($N$7,LenU,0)))^2*(N(R313)*INDEX(LenF,MATCH($R$7,LenU,0))),INDEX(HeadK,MATCH(P313,HeadU,0))*(N313*INDEX(LenF,MATCH($N$7,LenU,0)))^3))+IF(Q313="",0,IF(Q313="Conical",PI()/12*(N313*INDEX(LenF,MATCH($N$7,LenU,0)))^2*(N(R313)*INDEX(LenF,MATCH($R$7,LenU,0))),INDEX(HeadK,MATCH(Q313,HeadU,0))*(N313*INDEX(LenF,MATCH($N$7,LenU,0)))^3)),0)))</f>
        <v/>
      </c>
      <c r="AF313" s="21" t="str">
        <f aca="false">IF(E313&lt;&gt;"Piping","",IF(AND(ISNUMBER(AS313),ISNUMBER(M313)),PI()/4*(AS313/1000)^2*M313*INDEX(LenF,MATCH($M$7,LenU,0)),0))</f>
        <v/>
      </c>
      <c r="AG313" s="21" t="str">
        <f aca="false">IF(E313="","",N(AD313)+N(AE313)+N(AF313))</f>
        <v/>
      </c>
      <c r="AH313" s="21" t="str">
        <f aca="false">IF(ISNUMBER(I313),I313*INDEX(WtF,MATCH($I$7,WtU,0))/WaterRho,"")</f>
        <v/>
      </c>
      <c r="AI313" s="11"/>
      <c r="AJ313" s="11"/>
      <c r="AK313" s="20"/>
      <c r="AL313" s="11"/>
      <c r="AM313" s="21" t="str">
        <f aca="false">IF(AO313="","",AO313*IF(ISNUMBER(AK313),AK313,DefFills)*(1+IF(ISNUMBER(AL313),AL313,DefAllow)))</f>
        <v/>
      </c>
      <c r="AN313" s="22" t="str">
        <f aca="false">IF(G313="Given volume",IF(ISNUMBER(H313),H313*INDEX(VolF,MATCH($H$7,VolU,0)),""),IF(G313="Water weight",AH313,IF(N(AG313)=0,"",AG313)))</f>
        <v/>
      </c>
      <c r="AO313" s="22" t="str">
        <f aca="false">IF(N(AN313)=0,"",AN313*AT313*IF(ISNUMBER(AJ313),AJ313,DefCirc))</f>
        <v/>
      </c>
      <c r="AP313" s="9" t="n">
        <f aca="false">IF(ISNUMBER(T313),T313*INDEX(LenF,MATCH($T$7,LenU,0)),IF(ISNUMBER(W313),W313*INDEX(LenF,MATCH($W$7,LenU,0))/PitchRatio,0))</f>
        <v>0</v>
      </c>
      <c r="AQ313" s="9" t="n">
        <f aca="false">IF(ISNUMBER(N313),PI()/4*(N313*INDEX(LenF,MATCH($N$7,LenU,0)))^2,IF(AND(ISNUMBER(S313),ISNUMBER(W313),X313&lt;&gt;""),S313*(W313*INDEX(LenF,MATCH($W$7,LenU,0)))^2*INDEX(LayoutF,MATCH(X313,LayoutU,0)),0))</f>
        <v>0</v>
      </c>
      <c r="AR313" s="9" t="n">
        <f aca="false">IF(ISNUMBER(O313),O313*INDEX(LenF,MATCH($O$7,LenU,0)),IF(ISNUMBER(V313),V313*INDEX(LenF,MATCH($V$7,LenU,0)),0))</f>
        <v>0</v>
      </c>
      <c r="AS313" s="9" t="str">
        <f aca="false">IF(ISNUMBER(L313),L313*INDEX(LenF,MATCH($L$7,LenU,0))*1000,IF(OR(J313="",K313=""),"",IFERROR(IF(INDEX(PipeWT,MATCH(J313,NPSU,0),MATCH(K313,SchU,0))="","Sch n/a",INDEX(PipeOD,MATCH(J313,NPSU,0))-2*INDEX(PipeWT,MATCH(J313,NPSU,0),MATCH(K313,SchU,0))),"")))</f>
        <v/>
      </c>
      <c r="AT313" s="9" t="n">
        <f aca="false">IF(ISNUMBER(AI313),AI313,IFERROR(INDEX(IF(JobType="Decontamination",TypeFillDC,TypeFillCC),MATCH(E313,TypeL,0)),1))</f>
        <v>1</v>
      </c>
      <c r="AU313" s="9" t="n">
        <v>10</v>
      </c>
    </row>
    <row r="314" customFormat="false" ht="15" hidden="false" customHeight="false" outlineLevel="0" collapsed="false">
      <c r="A314" s="16" t="n">
        <v>8</v>
      </c>
      <c r="B314" s="20"/>
      <c r="C314" s="5"/>
      <c r="D314" s="5"/>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1" t="str">
        <f aca="false">IF(E314="Exchanger",IF(AND(ISNUMBER(S314),ISNUMBER(U314),ISNUMBER(V314)),S314*PI()/4*(U314*INDEX(LenF,MATCH($U$7,LenU,0)))^2*V314*INDEX(LenF,MATCH($V$7,LenU,0)),0)+IF(ISNUMBER(Y314),PI()/4*(Y314*INDEX(LenF,MATCH($Y$7,LenU,0)))^2*N(Z314)*INDEX(LenF,MATCH($Z$7,LenU,0))+IF(AA314="",0,IF(AA314="Conical",PI()/12*(Y314*INDEX(LenF,MATCH($Y$7,LenU,0)))^2*(0),INDEX(HeadK,MATCH(AA314,HeadU,0))*(Y314*INDEX(LenF,MATCH($Y$7,LenU,0)))^3)),0)+IF(ISNUMBER(Y314),PI()/4*(Y314*INDEX(LenF,MATCH($Y$7,LenU,0)))^2*N(AB314)*INDEX(LenF,MATCH($AB$7,LenU,0))+IF(AC314="",0,IF(AC314="Conical",PI()/12*(Y314*INDEX(LenF,MATCH($Y$7,LenU,0)))^2*(0),INDEX(HeadK,MATCH(AC314,HeadU,0))*(Y314*INDEX(LenF,MATCH($Y$7,LenU,0)))^3)),0),"")</f>
        <v/>
      </c>
      <c r="AE314" s="21" t="str">
        <f aca="false">IF(OR(E314="",E314="Piping"),"",IF(E314="Exchanger",AQ314*AR314+IF(P314="",0,IF(P314="Conical",PI()/12*(SQRT(4*AQ314/PI()))^2*(0),INDEX(HeadK,MATCH(P314,HeadU,0))*(SQRT(4*AQ314/PI()))^3))-IF(AND(ISNUMBER(S314),ISNUMBER(V314)),S314*PI()/4*AP314^2*V314*INDEX(LenF,MATCH($V$7,LenU,0)),0),IF(ISNUMBER(N314),PI()/4*(N314*INDEX(LenF,MATCH($N$7,LenU,0)))^2*N(O314)*INDEX(LenF,MATCH($O$7,LenU,0))+IF(P314="",0,IF(P314="Conical",PI()/12*(N314*INDEX(LenF,MATCH($N$7,LenU,0)))^2*(N(R314)*INDEX(LenF,MATCH($R$7,LenU,0))),INDEX(HeadK,MATCH(P314,HeadU,0))*(N314*INDEX(LenF,MATCH($N$7,LenU,0)))^3))+IF(Q314="",0,IF(Q314="Conical",PI()/12*(N314*INDEX(LenF,MATCH($N$7,LenU,0)))^2*(N(R314)*INDEX(LenF,MATCH($R$7,LenU,0))),INDEX(HeadK,MATCH(Q314,HeadU,0))*(N314*INDEX(LenF,MATCH($N$7,LenU,0)))^3)),0)))</f>
        <v/>
      </c>
      <c r="AF314" s="21" t="str">
        <f aca="false">IF(E314&lt;&gt;"Piping","",IF(AND(ISNUMBER(AS314),ISNUMBER(M314)),PI()/4*(AS314/1000)^2*M314*INDEX(LenF,MATCH($M$7,LenU,0)),0))</f>
        <v/>
      </c>
      <c r="AG314" s="21" t="str">
        <f aca="false">IF(E314="","",N(AD314)+N(AE314)+N(AF314))</f>
        <v/>
      </c>
      <c r="AH314" s="21" t="str">
        <f aca="false">IF(ISNUMBER(I314),I314*INDEX(WtF,MATCH($I$7,WtU,0))/WaterRho,"")</f>
        <v/>
      </c>
      <c r="AI314" s="11"/>
      <c r="AJ314" s="11"/>
      <c r="AK314" s="20"/>
      <c r="AL314" s="11"/>
      <c r="AM314" s="21" t="str">
        <f aca="false">IF(AO314="","",AO314*IF(ISNUMBER(AK314),AK314,DefFills)*(1+IF(ISNUMBER(AL314),AL314,DefAllow)))</f>
        <v/>
      </c>
      <c r="AN314" s="22" t="str">
        <f aca="false">IF(G314="Given volume",IF(ISNUMBER(H314),H314*INDEX(VolF,MATCH($H$7,VolU,0)),""),IF(G314="Water weight",AH314,IF(N(AG314)=0,"",AG314)))</f>
        <v/>
      </c>
      <c r="AO314" s="22" t="str">
        <f aca="false">IF(N(AN314)=0,"",AN314*AT314*IF(ISNUMBER(AJ314),AJ314,DefCirc))</f>
        <v/>
      </c>
      <c r="AP314" s="9" t="n">
        <f aca="false">IF(ISNUMBER(T314),T314*INDEX(LenF,MATCH($T$7,LenU,0)),IF(ISNUMBER(W314),W314*INDEX(LenF,MATCH($W$7,LenU,0))/PitchRatio,0))</f>
        <v>0</v>
      </c>
      <c r="AQ314" s="9" t="n">
        <f aca="false">IF(ISNUMBER(N314),PI()/4*(N314*INDEX(LenF,MATCH($N$7,LenU,0)))^2,IF(AND(ISNUMBER(S314),ISNUMBER(W314),X314&lt;&gt;""),S314*(W314*INDEX(LenF,MATCH($W$7,LenU,0)))^2*INDEX(LayoutF,MATCH(X314,LayoutU,0)),0))</f>
        <v>0</v>
      </c>
      <c r="AR314" s="9" t="n">
        <f aca="false">IF(ISNUMBER(O314),O314*INDEX(LenF,MATCH($O$7,LenU,0)),IF(ISNUMBER(V314),V314*INDEX(LenF,MATCH($V$7,LenU,0)),0))</f>
        <v>0</v>
      </c>
      <c r="AS314" s="9" t="str">
        <f aca="false">IF(ISNUMBER(L314),L314*INDEX(LenF,MATCH($L$7,LenU,0))*1000,IF(OR(J314="",K314=""),"",IFERROR(IF(INDEX(PipeWT,MATCH(J314,NPSU,0),MATCH(K314,SchU,0))="","Sch n/a",INDEX(PipeOD,MATCH(J314,NPSU,0))-2*INDEX(PipeWT,MATCH(J314,NPSU,0),MATCH(K314,SchU,0))),"")))</f>
        <v/>
      </c>
      <c r="AT314" s="9" t="n">
        <f aca="false">IF(ISNUMBER(AI314),AI314,IFERROR(INDEX(IF(JobType="Decontamination",TypeFillDC,TypeFillCC),MATCH(E314,TypeL,0)),1))</f>
        <v>1</v>
      </c>
      <c r="AU314" s="9" t="n">
        <v>10</v>
      </c>
    </row>
    <row r="315" customFormat="false" ht="15" hidden="false" customHeight="false" outlineLevel="0" collapsed="false">
      <c r="A315" s="16" t="n">
        <v>9</v>
      </c>
      <c r="B315" s="20"/>
      <c r="C315" s="5"/>
      <c r="D315" s="5"/>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1" t="str">
        <f aca="false">IF(E315="Exchanger",IF(AND(ISNUMBER(S315),ISNUMBER(U315),ISNUMBER(V315)),S315*PI()/4*(U315*INDEX(LenF,MATCH($U$7,LenU,0)))^2*V315*INDEX(LenF,MATCH($V$7,LenU,0)),0)+IF(ISNUMBER(Y315),PI()/4*(Y315*INDEX(LenF,MATCH($Y$7,LenU,0)))^2*N(Z315)*INDEX(LenF,MATCH($Z$7,LenU,0))+IF(AA315="",0,IF(AA315="Conical",PI()/12*(Y315*INDEX(LenF,MATCH($Y$7,LenU,0)))^2*(0),INDEX(HeadK,MATCH(AA315,HeadU,0))*(Y315*INDEX(LenF,MATCH($Y$7,LenU,0)))^3)),0)+IF(ISNUMBER(Y315),PI()/4*(Y315*INDEX(LenF,MATCH($Y$7,LenU,0)))^2*N(AB315)*INDEX(LenF,MATCH($AB$7,LenU,0))+IF(AC315="",0,IF(AC315="Conical",PI()/12*(Y315*INDEX(LenF,MATCH($Y$7,LenU,0)))^2*(0),INDEX(HeadK,MATCH(AC315,HeadU,0))*(Y315*INDEX(LenF,MATCH($Y$7,LenU,0)))^3)),0),"")</f>
        <v/>
      </c>
      <c r="AE315" s="21" t="str">
        <f aca="false">IF(OR(E315="",E315="Piping"),"",IF(E315="Exchanger",AQ315*AR315+IF(P315="",0,IF(P315="Conical",PI()/12*(SQRT(4*AQ315/PI()))^2*(0),INDEX(HeadK,MATCH(P315,HeadU,0))*(SQRT(4*AQ315/PI()))^3))-IF(AND(ISNUMBER(S315),ISNUMBER(V315)),S315*PI()/4*AP315^2*V315*INDEX(LenF,MATCH($V$7,LenU,0)),0),IF(ISNUMBER(N315),PI()/4*(N315*INDEX(LenF,MATCH($N$7,LenU,0)))^2*N(O315)*INDEX(LenF,MATCH($O$7,LenU,0))+IF(P315="",0,IF(P315="Conical",PI()/12*(N315*INDEX(LenF,MATCH($N$7,LenU,0)))^2*(N(R315)*INDEX(LenF,MATCH($R$7,LenU,0))),INDEX(HeadK,MATCH(P315,HeadU,0))*(N315*INDEX(LenF,MATCH($N$7,LenU,0)))^3))+IF(Q315="",0,IF(Q315="Conical",PI()/12*(N315*INDEX(LenF,MATCH($N$7,LenU,0)))^2*(N(R315)*INDEX(LenF,MATCH($R$7,LenU,0))),INDEX(HeadK,MATCH(Q315,HeadU,0))*(N315*INDEX(LenF,MATCH($N$7,LenU,0)))^3)),0)))</f>
        <v/>
      </c>
      <c r="AF315" s="21" t="str">
        <f aca="false">IF(E315&lt;&gt;"Piping","",IF(AND(ISNUMBER(AS315),ISNUMBER(M315)),PI()/4*(AS315/1000)^2*M315*INDEX(LenF,MATCH($M$7,LenU,0)),0))</f>
        <v/>
      </c>
      <c r="AG315" s="21" t="str">
        <f aca="false">IF(E315="","",N(AD315)+N(AE315)+N(AF315))</f>
        <v/>
      </c>
      <c r="AH315" s="21" t="str">
        <f aca="false">IF(ISNUMBER(I315),I315*INDEX(WtF,MATCH($I$7,WtU,0))/WaterRho,"")</f>
        <v/>
      </c>
      <c r="AI315" s="11"/>
      <c r="AJ315" s="11"/>
      <c r="AK315" s="20"/>
      <c r="AL315" s="11"/>
      <c r="AM315" s="21" t="str">
        <f aca="false">IF(AO315="","",AO315*IF(ISNUMBER(AK315),AK315,DefFills)*(1+IF(ISNUMBER(AL315),AL315,DefAllow)))</f>
        <v/>
      </c>
      <c r="AN315" s="22" t="str">
        <f aca="false">IF(G315="Given volume",IF(ISNUMBER(H315),H315*INDEX(VolF,MATCH($H$7,VolU,0)),""),IF(G315="Water weight",AH315,IF(N(AG315)=0,"",AG315)))</f>
        <v/>
      </c>
      <c r="AO315" s="22" t="str">
        <f aca="false">IF(N(AN315)=0,"",AN315*AT315*IF(ISNUMBER(AJ315),AJ315,DefCirc))</f>
        <v/>
      </c>
      <c r="AP315" s="9" t="n">
        <f aca="false">IF(ISNUMBER(T315),T315*INDEX(LenF,MATCH($T$7,LenU,0)),IF(ISNUMBER(W315),W315*INDEX(LenF,MATCH($W$7,LenU,0))/PitchRatio,0))</f>
        <v>0</v>
      </c>
      <c r="AQ315" s="9" t="n">
        <f aca="false">IF(ISNUMBER(N315),PI()/4*(N315*INDEX(LenF,MATCH($N$7,LenU,0)))^2,IF(AND(ISNUMBER(S315),ISNUMBER(W315),X315&lt;&gt;""),S315*(W315*INDEX(LenF,MATCH($W$7,LenU,0)))^2*INDEX(LayoutF,MATCH(X315,LayoutU,0)),0))</f>
        <v>0</v>
      </c>
      <c r="AR315" s="9" t="n">
        <f aca="false">IF(ISNUMBER(O315),O315*INDEX(LenF,MATCH($O$7,LenU,0)),IF(ISNUMBER(V315),V315*INDEX(LenF,MATCH($V$7,LenU,0)),0))</f>
        <v>0</v>
      </c>
      <c r="AS315" s="9" t="str">
        <f aca="false">IF(ISNUMBER(L315),L315*INDEX(LenF,MATCH($L$7,LenU,0))*1000,IF(OR(J315="",K315=""),"",IFERROR(IF(INDEX(PipeWT,MATCH(J315,NPSU,0),MATCH(K315,SchU,0))="","Sch n/a",INDEX(PipeOD,MATCH(J315,NPSU,0))-2*INDEX(PipeWT,MATCH(J315,NPSU,0),MATCH(K315,SchU,0))),"")))</f>
        <v/>
      </c>
      <c r="AT315" s="9" t="n">
        <f aca="false">IF(ISNUMBER(AI315),AI315,IFERROR(INDEX(IF(JobType="Decontamination",TypeFillDC,TypeFillCC),MATCH(E315,TypeL,0)),1))</f>
        <v>1</v>
      </c>
      <c r="AU315" s="9" t="n">
        <v>10</v>
      </c>
    </row>
    <row r="316" customFormat="false" ht="15" hidden="false" customHeight="false" outlineLevel="0" collapsed="false">
      <c r="A316" s="16" t="n">
        <v>10</v>
      </c>
      <c r="B316" s="20"/>
      <c r="C316" s="5"/>
      <c r="D316" s="5"/>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1" t="str">
        <f aca="false">IF(E316="Exchanger",IF(AND(ISNUMBER(S316),ISNUMBER(U316),ISNUMBER(V316)),S316*PI()/4*(U316*INDEX(LenF,MATCH($U$7,LenU,0)))^2*V316*INDEX(LenF,MATCH($V$7,LenU,0)),0)+IF(ISNUMBER(Y316),PI()/4*(Y316*INDEX(LenF,MATCH($Y$7,LenU,0)))^2*N(Z316)*INDEX(LenF,MATCH($Z$7,LenU,0))+IF(AA316="",0,IF(AA316="Conical",PI()/12*(Y316*INDEX(LenF,MATCH($Y$7,LenU,0)))^2*(0),INDEX(HeadK,MATCH(AA316,HeadU,0))*(Y316*INDEX(LenF,MATCH($Y$7,LenU,0)))^3)),0)+IF(ISNUMBER(Y316),PI()/4*(Y316*INDEX(LenF,MATCH($Y$7,LenU,0)))^2*N(AB316)*INDEX(LenF,MATCH($AB$7,LenU,0))+IF(AC316="",0,IF(AC316="Conical",PI()/12*(Y316*INDEX(LenF,MATCH($Y$7,LenU,0)))^2*(0),INDEX(HeadK,MATCH(AC316,HeadU,0))*(Y316*INDEX(LenF,MATCH($Y$7,LenU,0)))^3)),0),"")</f>
        <v/>
      </c>
      <c r="AE316" s="21" t="str">
        <f aca="false">IF(OR(E316="",E316="Piping"),"",IF(E316="Exchanger",AQ316*AR316+IF(P316="",0,IF(P316="Conical",PI()/12*(SQRT(4*AQ316/PI()))^2*(0),INDEX(HeadK,MATCH(P316,HeadU,0))*(SQRT(4*AQ316/PI()))^3))-IF(AND(ISNUMBER(S316),ISNUMBER(V316)),S316*PI()/4*AP316^2*V316*INDEX(LenF,MATCH($V$7,LenU,0)),0),IF(ISNUMBER(N316),PI()/4*(N316*INDEX(LenF,MATCH($N$7,LenU,0)))^2*N(O316)*INDEX(LenF,MATCH($O$7,LenU,0))+IF(P316="",0,IF(P316="Conical",PI()/12*(N316*INDEX(LenF,MATCH($N$7,LenU,0)))^2*(N(R316)*INDEX(LenF,MATCH($R$7,LenU,0))),INDEX(HeadK,MATCH(P316,HeadU,0))*(N316*INDEX(LenF,MATCH($N$7,LenU,0)))^3))+IF(Q316="",0,IF(Q316="Conical",PI()/12*(N316*INDEX(LenF,MATCH($N$7,LenU,0)))^2*(N(R316)*INDEX(LenF,MATCH($R$7,LenU,0))),INDEX(HeadK,MATCH(Q316,HeadU,0))*(N316*INDEX(LenF,MATCH($N$7,LenU,0)))^3)),0)))</f>
        <v/>
      </c>
      <c r="AF316" s="21" t="str">
        <f aca="false">IF(E316&lt;&gt;"Piping","",IF(AND(ISNUMBER(AS316),ISNUMBER(M316)),PI()/4*(AS316/1000)^2*M316*INDEX(LenF,MATCH($M$7,LenU,0)),0))</f>
        <v/>
      </c>
      <c r="AG316" s="21" t="str">
        <f aca="false">IF(E316="","",N(AD316)+N(AE316)+N(AF316))</f>
        <v/>
      </c>
      <c r="AH316" s="21" t="str">
        <f aca="false">IF(ISNUMBER(I316),I316*INDEX(WtF,MATCH($I$7,WtU,0))/WaterRho,"")</f>
        <v/>
      </c>
      <c r="AI316" s="11"/>
      <c r="AJ316" s="11"/>
      <c r="AK316" s="20"/>
      <c r="AL316" s="11"/>
      <c r="AM316" s="21" t="str">
        <f aca="false">IF(AO316="","",AO316*IF(ISNUMBER(AK316),AK316,DefFills)*(1+IF(ISNUMBER(AL316),AL316,DefAllow)))</f>
        <v/>
      </c>
      <c r="AN316" s="22" t="str">
        <f aca="false">IF(G316="Given volume",IF(ISNUMBER(H316),H316*INDEX(VolF,MATCH($H$7,VolU,0)),""),IF(G316="Water weight",AH316,IF(N(AG316)=0,"",AG316)))</f>
        <v/>
      </c>
      <c r="AO316" s="22" t="str">
        <f aca="false">IF(N(AN316)=0,"",AN316*AT316*IF(ISNUMBER(AJ316),AJ316,DefCirc))</f>
        <v/>
      </c>
      <c r="AP316" s="9" t="n">
        <f aca="false">IF(ISNUMBER(T316),T316*INDEX(LenF,MATCH($T$7,LenU,0)),IF(ISNUMBER(W316),W316*INDEX(LenF,MATCH($W$7,LenU,0))/PitchRatio,0))</f>
        <v>0</v>
      </c>
      <c r="AQ316" s="9" t="n">
        <f aca="false">IF(ISNUMBER(N316),PI()/4*(N316*INDEX(LenF,MATCH($N$7,LenU,0)))^2,IF(AND(ISNUMBER(S316),ISNUMBER(W316),X316&lt;&gt;""),S316*(W316*INDEX(LenF,MATCH($W$7,LenU,0)))^2*INDEX(LayoutF,MATCH(X316,LayoutU,0)),0))</f>
        <v>0</v>
      </c>
      <c r="AR316" s="9" t="n">
        <f aca="false">IF(ISNUMBER(O316),O316*INDEX(LenF,MATCH($O$7,LenU,0)),IF(ISNUMBER(V316),V316*INDEX(LenF,MATCH($V$7,LenU,0)),0))</f>
        <v>0</v>
      </c>
      <c r="AS316" s="9" t="str">
        <f aca="false">IF(ISNUMBER(L316),L316*INDEX(LenF,MATCH($L$7,LenU,0))*1000,IF(OR(J316="",K316=""),"",IFERROR(IF(INDEX(PipeWT,MATCH(J316,NPSU,0),MATCH(K316,SchU,0))="","Sch n/a",INDEX(PipeOD,MATCH(J316,NPSU,0))-2*INDEX(PipeWT,MATCH(J316,NPSU,0),MATCH(K316,SchU,0))),"")))</f>
        <v/>
      </c>
      <c r="AT316" s="9" t="n">
        <f aca="false">IF(ISNUMBER(AI316),AI316,IFERROR(INDEX(IF(JobType="Decontamination",TypeFillDC,TypeFillCC),MATCH(E316,TypeL,0)),1))</f>
        <v>1</v>
      </c>
      <c r="AU316" s="9" t="n">
        <v>10</v>
      </c>
    </row>
    <row r="317" customFormat="false" ht="15" hidden="false" customHeight="false" outlineLevel="0" collapsed="false">
      <c r="A317" s="16" t="n">
        <v>11</v>
      </c>
      <c r="B317" s="20"/>
      <c r="C317" s="5"/>
      <c r="D317" s="5"/>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1" t="str">
        <f aca="false">IF(E317="Exchanger",IF(AND(ISNUMBER(S317),ISNUMBER(U317),ISNUMBER(V317)),S317*PI()/4*(U317*INDEX(LenF,MATCH($U$7,LenU,0)))^2*V317*INDEX(LenF,MATCH($V$7,LenU,0)),0)+IF(ISNUMBER(Y317),PI()/4*(Y317*INDEX(LenF,MATCH($Y$7,LenU,0)))^2*N(Z317)*INDEX(LenF,MATCH($Z$7,LenU,0))+IF(AA317="",0,IF(AA317="Conical",PI()/12*(Y317*INDEX(LenF,MATCH($Y$7,LenU,0)))^2*(0),INDEX(HeadK,MATCH(AA317,HeadU,0))*(Y317*INDEX(LenF,MATCH($Y$7,LenU,0)))^3)),0)+IF(ISNUMBER(Y317),PI()/4*(Y317*INDEX(LenF,MATCH($Y$7,LenU,0)))^2*N(AB317)*INDEX(LenF,MATCH($AB$7,LenU,0))+IF(AC317="",0,IF(AC317="Conical",PI()/12*(Y317*INDEX(LenF,MATCH($Y$7,LenU,0)))^2*(0),INDEX(HeadK,MATCH(AC317,HeadU,0))*(Y317*INDEX(LenF,MATCH($Y$7,LenU,0)))^3)),0),"")</f>
        <v/>
      </c>
      <c r="AE317" s="21" t="str">
        <f aca="false">IF(OR(E317="",E317="Piping"),"",IF(E317="Exchanger",AQ317*AR317+IF(P317="",0,IF(P317="Conical",PI()/12*(SQRT(4*AQ317/PI()))^2*(0),INDEX(HeadK,MATCH(P317,HeadU,0))*(SQRT(4*AQ317/PI()))^3))-IF(AND(ISNUMBER(S317),ISNUMBER(V317)),S317*PI()/4*AP317^2*V317*INDEX(LenF,MATCH($V$7,LenU,0)),0),IF(ISNUMBER(N317),PI()/4*(N317*INDEX(LenF,MATCH($N$7,LenU,0)))^2*N(O317)*INDEX(LenF,MATCH($O$7,LenU,0))+IF(P317="",0,IF(P317="Conical",PI()/12*(N317*INDEX(LenF,MATCH($N$7,LenU,0)))^2*(N(R317)*INDEX(LenF,MATCH($R$7,LenU,0))),INDEX(HeadK,MATCH(P317,HeadU,0))*(N317*INDEX(LenF,MATCH($N$7,LenU,0)))^3))+IF(Q317="",0,IF(Q317="Conical",PI()/12*(N317*INDEX(LenF,MATCH($N$7,LenU,0)))^2*(N(R317)*INDEX(LenF,MATCH($R$7,LenU,0))),INDEX(HeadK,MATCH(Q317,HeadU,0))*(N317*INDEX(LenF,MATCH($N$7,LenU,0)))^3)),0)))</f>
        <v/>
      </c>
      <c r="AF317" s="21" t="str">
        <f aca="false">IF(E317&lt;&gt;"Piping","",IF(AND(ISNUMBER(AS317),ISNUMBER(M317)),PI()/4*(AS317/1000)^2*M317*INDEX(LenF,MATCH($M$7,LenU,0)),0))</f>
        <v/>
      </c>
      <c r="AG317" s="21" t="str">
        <f aca="false">IF(E317="","",N(AD317)+N(AE317)+N(AF317))</f>
        <v/>
      </c>
      <c r="AH317" s="21" t="str">
        <f aca="false">IF(ISNUMBER(I317),I317*INDEX(WtF,MATCH($I$7,WtU,0))/WaterRho,"")</f>
        <v/>
      </c>
      <c r="AI317" s="11"/>
      <c r="AJ317" s="11"/>
      <c r="AK317" s="20"/>
      <c r="AL317" s="11"/>
      <c r="AM317" s="21" t="str">
        <f aca="false">IF(AO317="","",AO317*IF(ISNUMBER(AK317),AK317,DefFills)*(1+IF(ISNUMBER(AL317),AL317,DefAllow)))</f>
        <v/>
      </c>
      <c r="AN317" s="22" t="str">
        <f aca="false">IF(G317="Given volume",IF(ISNUMBER(H317),H317*INDEX(VolF,MATCH($H$7,VolU,0)),""),IF(G317="Water weight",AH317,IF(N(AG317)=0,"",AG317)))</f>
        <v/>
      </c>
      <c r="AO317" s="22" t="str">
        <f aca="false">IF(N(AN317)=0,"",AN317*AT317*IF(ISNUMBER(AJ317),AJ317,DefCirc))</f>
        <v/>
      </c>
      <c r="AP317" s="9" t="n">
        <f aca="false">IF(ISNUMBER(T317),T317*INDEX(LenF,MATCH($T$7,LenU,0)),IF(ISNUMBER(W317),W317*INDEX(LenF,MATCH($W$7,LenU,0))/PitchRatio,0))</f>
        <v>0</v>
      </c>
      <c r="AQ317" s="9" t="n">
        <f aca="false">IF(ISNUMBER(N317),PI()/4*(N317*INDEX(LenF,MATCH($N$7,LenU,0)))^2,IF(AND(ISNUMBER(S317),ISNUMBER(W317),X317&lt;&gt;""),S317*(W317*INDEX(LenF,MATCH($W$7,LenU,0)))^2*INDEX(LayoutF,MATCH(X317,LayoutU,0)),0))</f>
        <v>0</v>
      </c>
      <c r="AR317" s="9" t="n">
        <f aca="false">IF(ISNUMBER(O317),O317*INDEX(LenF,MATCH($O$7,LenU,0)),IF(ISNUMBER(V317),V317*INDEX(LenF,MATCH($V$7,LenU,0)),0))</f>
        <v>0</v>
      </c>
      <c r="AS317" s="9" t="str">
        <f aca="false">IF(ISNUMBER(L317),L317*INDEX(LenF,MATCH($L$7,LenU,0))*1000,IF(OR(J317="",K317=""),"",IFERROR(IF(INDEX(PipeWT,MATCH(J317,NPSU,0),MATCH(K317,SchU,0))="","Sch n/a",INDEX(PipeOD,MATCH(J317,NPSU,0))-2*INDEX(PipeWT,MATCH(J317,NPSU,0),MATCH(K317,SchU,0))),"")))</f>
        <v/>
      </c>
      <c r="AT317" s="9" t="n">
        <f aca="false">IF(ISNUMBER(AI317),AI317,IFERROR(INDEX(IF(JobType="Decontamination",TypeFillDC,TypeFillCC),MATCH(E317,TypeL,0)),1))</f>
        <v>1</v>
      </c>
      <c r="AU317" s="9" t="n">
        <v>10</v>
      </c>
    </row>
    <row r="318" customFormat="false" ht="15" hidden="false" customHeight="false" outlineLevel="0" collapsed="false">
      <c r="A318" s="16" t="n">
        <v>12</v>
      </c>
      <c r="B318" s="20"/>
      <c r="C318" s="5"/>
      <c r="D318" s="5"/>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1" t="str">
        <f aca="false">IF(E318="Exchanger",IF(AND(ISNUMBER(S318),ISNUMBER(U318),ISNUMBER(V318)),S318*PI()/4*(U318*INDEX(LenF,MATCH($U$7,LenU,0)))^2*V318*INDEX(LenF,MATCH($V$7,LenU,0)),0)+IF(ISNUMBER(Y318),PI()/4*(Y318*INDEX(LenF,MATCH($Y$7,LenU,0)))^2*N(Z318)*INDEX(LenF,MATCH($Z$7,LenU,0))+IF(AA318="",0,IF(AA318="Conical",PI()/12*(Y318*INDEX(LenF,MATCH($Y$7,LenU,0)))^2*(0),INDEX(HeadK,MATCH(AA318,HeadU,0))*(Y318*INDEX(LenF,MATCH($Y$7,LenU,0)))^3)),0)+IF(ISNUMBER(Y318),PI()/4*(Y318*INDEX(LenF,MATCH($Y$7,LenU,0)))^2*N(AB318)*INDEX(LenF,MATCH($AB$7,LenU,0))+IF(AC318="",0,IF(AC318="Conical",PI()/12*(Y318*INDEX(LenF,MATCH($Y$7,LenU,0)))^2*(0),INDEX(HeadK,MATCH(AC318,HeadU,0))*(Y318*INDEX(LenF,MATCH($Y$7,LenU,0)))^3)),0),"")</f>
        <v/>
      </c>
      <c r="AE318" s="21" t="str">
        <f aca="false">IF(OR(E318="",E318="Piping"),"",IF(E318="Exchanger",AQ318*AR318+IF(P318="",0,IF(P318="Conical",PI()/12*(SQRT(4*AQ318/PI()))^2*(0),INDEX(HeadK,MATCH(P318,HeadU,0))*(SQRT(4*AQ318/PI()))^3))-IF(AND(ISNUMBER(S318),ISNUMBER(V318)),S318*PI()/4*AP318^2*V318*INDEX(LenF,MATCH($V$7,LenU,0)),0),IF(ISNUMBER(N318),PI()/4*(N318*INDEX(LenF,MATCH($N$7,LenU,0)))^2*N(O318)*INDEX(LenF,MATCH($O$7,LenU,0))+IF(P318="",0,IF(P318="Conical",PI()/12*(N318*INDEX(LenF,MATCH($N$7,LenU,0)))^2*(N(R318)*INDEX(LenF,MATCH($R$7,LenU,0))),INDEX(HeadK,MATCH(P318,HeadU,0))*(N318*INDEX(LenF,MATCH($N$7,LenU,0)))^3))+IF(Q318="",0,IF(Q318="Conical",PI()/12*(N318*INDEX(LenF,MATCH($N$7,LenU,0)))^2*(N(R318)*INDEX(LenF,MATCH($R$7,LenU,0))),INDEX(HeadK,MATCH(Q318,HeadU,0))*(N318*INDEX(LenF,MATCH($N$7,LenU,0)))^3)),0)))</f>
        <v/>
      </c>
      <c r="AF318" s="21" t="str">
        <f aca="false">IF(E318&lt;&gt;"Piping","",IF(AND(ISNUMBER(AS318),ISNUMBER(M318)),PI()/4*(AS318/1000)^2*M318*INDEX(LenF,MATCH($M$7,LenU,0)),0))</f>
        <v/>
      </c>
      <c r="AG318" s="21" t="str">
        <f aca="false">IF(E318="","",N(AD318)+N(AE318)+N(AF318))</f>
        <v/>
      </c>
      <c r="AH318" s="21" t="str">
        <f aca="false">IF(ISNUMBER(I318),I318*INDEX(WtF,MATCH($I$7,WtU,0))/WaterRho,"")</f>
        <v/>
      </c>
      <c r="AI318" s="11"/>
      <c r="AJ318" s="11"/>
      <c r="AK318" s="20"/>
      <c r="AL318" s="11"/>
      <c r="AM318" s="21" t="str">
        <f aca="false">IF(AO318="","",AO318*IF(ISNUMBER(AK318),AK318,DefFills)*(1+IF(ISNUMBER(AL318),AL318,DefAllow)))</f>
        <v/>
      </c>
      <c r="AN318" s="22" t="str">
        <f aca="false">IF(G318="Given volume",IF(ISNUMBER(H318),H318*INDEX(VolF,MATCH($H$7,VolU,0)),""),IF(G318="Water weight",AH318,IF(N(AG318)=0,"",AG318)))</f>
        <v/>
      </c>
      <c r="AO318" s="22" t="str">
        <f aca="false">IF(N(AN318)=0,"",AN318*AT318*IF(ISNUMBER(AJ318),AJ318,DefCirc))</f>
        <v/>
      </c>
      <c r="AP318" s="9" t="n">
        <f aca="false">IF(ISNUMBER(T318),T318*INDEX(LenF,MATCH($T$7,LenU,0)),IF(ISNUMBER(W318),W318*INDEX(LenF,MATCH($W$7,LenU,0))/PitchRatio,0))</f>
        <v>0</v>
      </c>
      <c r="AQ318" s="9" t="n">
        <f aca="false">IF(ISNUMBER(N318),PI()/4*(N318*INDEX(LenF,MATCH($N$7,LenU,0)))^2,IF(AND(ISNUMBER(S318),ISNUMBER(W318),X318&lt;&gt;""),S318*(W318*INDEX(LenF,MATCH($W$7,LenU,0)))^2*INDEX(LayoutF,MATCH(X318,LayoutU,0)),0))</f>
        <v>0</v>
      </c>
      <c r="AR318" s="9" t="n">
        <f aca="false">IF(ISNUMBER(O318),O318*INDEX(LenF,MATCH($O$7,LenU,0)),IF(ISNUMBER(V318),V318*INDEX(LenF,MATCH($V$7,LenU,0)),0))</f>
        <v>0</v>
      </c>
      <c r="AS318" s="9" t="str">
        <f aca="false">IF(ISNUMBER(L318),L318*INDEX(LenF,MATCH($L$7,LenU,0))*1000,IF(OR(J318="",K318=""),"",IFERROR(IF(INDEX(PipeWT,MATCH(J318,NPSU,0),MATCH(K318,SchU,0))="","Sch n/a",INDEX(PipeOD,MATCH(J318,NPSU,0))-2*INDEX(PipeWT,MATCH(J318,NPSU,0),MATCH(K318,SchU,0))),"")))</f>
        <v/>
      </c>
      <c r="AT318" s="9" t="n">
        <f aca="false">IF(ISNUMBER(AI318),AI318,IFERROR(INDEX(IF(JobType="Decontamination",TypeFillDC,TypeFillCC),MATCH(E318,TypeL,0)),1))</f>
        <v>1</v>
      </c>
      <c r="AU318" s="9" t="n">
        <v>10</v>
      </c>
    </row>
    <row r="319" customFormat="false" ht="15" hidden="false" customHeight="false" outlineLevel="0" collapsed="false">
      <c r="A319" s="16" t="n">
        <v>13</v>
      </c>
      <c r="B319" s="20"/>
      <c r="C319" s="5"/>
      <c r="D319" s="5"/>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1" t="str">
        <f aca="false">IF(E319="Exchanger",IF(AND(ISNUMBER(S319),ISNUMBER(U319),ISNUMBER(V319)),S319*PI()/4*(U319*INDEX(LenF,MATCH($U$7,LenU,0)))^2*V319*INDEX(LenF,MATCH($V$7,LenU,0)),0)+IF(ISNUMBER(Y319),PI()/4*(Y319*INDEX(LenF,MATCH($Y$7,LenU,0)))^2*N(Z319)*INDEX(LenF,MATCH($Z$7,LenU,0))+IF(AA319="",0,IF(AA319="Conical",PI()/12*(Y319*INDEX(LenF,MATCH($Y$7,LenU,0)))^2*(0),INDEX(HeadK,MATCH(AA319,HeadU,0))*(Y319*INDEX(LenF,MATCH($Y$7,LenU,0)))^3)),0)+IF(ISNUMBER(Y319),PI()/4*(Y319*INDEX(LenF,MATCH($Y$7,LenU,0)))^2*N(AB319)*INDEX(LenF,MATCH($AB$7,LenU,0))+IF(AC319="",0,IF(AC319="Conical",PI()/12*(Y319*INDEX(LenF,MATCH($Y$7,LenU,0)))^2*(0),INDEX(HeadK,MATCH(AC319,HeadU,0))*(Y319*INDEX(LenF,MATCH($Y$7,LenU,0)))^3)),0),"")</f>
        <v/>
      </c>
      <c r="AE319" s="21" t="str">
        <f aca="false">IF(OR(E319="",E319="Piping"),"",IF(E319="Exchanger",AQ319*AR319+IF(P319="",0,IF(P319="Conical",PI()/12*(SQRT(4*AQ319/PI()))^2*(0),INDEX(HeadK,MATCH(P319,HeadU,0))*(SQRT(4*AQ319/PI()))^3))-IF(AND(ISNUMBER(S319),ISNUMBER(V319)),S319*PI()/4*AP319^2*V319*INDEX(LenF,MATCH($V$7,LenU,0)),0),IF(ISNUMBER(N319),PI()/4*(N319*INDEX(LenF,MATCH($N$7,LenU,0)))^2*N(O319)*INDEX(LenF,MATCH($O$7,LenU,0))+IF(P319="",0,IF(P319="Conical",PI()/12*(N319*INDEX(LenF,MATCH($N$7,LenU,0)))^2*(N(R319)*INDEX(LenF,MATCH($R$7,LenU,0))),INDEX(HeadK,MATCH(P319,HeadU,0))*(N319*INDEX(LenF,MATCH($N$7,LenU,0)))^3))+IF(Q319="",0,IF(Q319="Conical",PI()/12*(N319*INDEX(LenF,MATCH($N$7,LenU,0)))^2*(N(R319)*INDEX(LenF,MATCH($R$7,LenU,0))),INDEX(HeadK,MATCH(Q319,HeadU,0))*(N319*INDEX(LenF,MATCH($N$7,LenU,0)))^3)),0)))</f>
        <v/>
      </c>
      <c r="AF319" s="21" t="str">
        <f aca="false">IF(E319&lt;&gt;"Piping","",IF(AND(ISNUMBER(AS319),ISNUMBER(M319)),PI()/4*(AS319/1000)^2*M319*INDEX(LenF,MATCH($M$7,LenU,0)),0))</f>
        <v/>
      </c>
      <c r="AG319" s="21" t="str">
        <f aca="false">IF(E319="","",N(AD319)+N(AE319)+N(AF319))</f>
        <v/>
      </c>
      <c r="AH319" s="21" t="str">
        <f aca="false">IF(ISNUMBER(I319),I319*INDEX(WtF,MATCH($I$7,WtU,0))/WaterRho,"")</f>
        <v/>
      </c>
      <c r="AI319" s="11"/>
      <c r="AJ319" s="11"/>
      <c r="AK319" s="20"/>
      <c r="AL319" s="11"/>
      <c r="AM319" s="21" t="str">
        <f aca="false">IF(AO319="","",AO319*IF(ISNUMBER(AK319),AK319,DefFills)*(1+IF(ISNUMBER(AL319),AL319,DefAllow)))</f>
        <v/>
      </c>
      <c r="AN319" s="22" t="str">
        <f aca="false">IF(G319="Given volume",IF(ISNUMBER(H319),H319*INDEX(VolF,MATCH($H$7,VolU,0)),""),IF(G319="Water weight",AH319,IF(N(AG319)=0,"",AG319)))</f>
        <v/>
      </c>
      <c r="AO319" s="22" t="str">
        <f aca="false">IF(N(AN319)=0,"",AN319*AT319*IF(ISNUMBER(AJ319),AJ319,DefCirc))</f>
        <v/>
      </c>
      <c r="AP319" s="9" t="n">
        <f aca="false">IF(ISNUMBER(T319),T319*INDEX(LenF,MATCH($T$7,LenU,0)),IF(ISNUMBER(W319),W319*INDEX(LenF,MATCH($W$7,LenU,0))/PitchRatio,0))</f>
        <v>0</v>
      </c>
      <c r="AQ319" s="9" t="n">
        <f aca="false">IF(ISNUMBER(N319),PI()/4*(N319*INDEX(LenF,MATCH($N$7,LenU,0)))^2,IF(AND(ISNUMBER(S319),ISNUMBER(W319),X319&lt;&gt;""),S319*(W319*INDEX(LenF,MATCH($W$7,LenU,0)))^2*INDEX(LayoutF,MATCH(X319,LayoutU,0)),0))</f>
        <v>0</v>
      </c>
      <c r="AR319" s="9" t="n">
        <f aca="false">IF(ISNUMBER(O319),O319*INDEX(LenF,MATCH($O$7,LenU,0)),IF(ISNUMBER(V319),V319*INDEX(LenF,MATCH($V$7,LenU,0)),0))</f>
        <v>0</v>
      </c>
      <c r="AS319" s="9" t="str">
        <f aca="false">IF(ISNUMBER(L319),L319*INDEX(LenF,MATCH($L$7,LenU,0))*1000,IF(OR(J319="",K319=""),"",IFERROR(IF(INDEX(PipeWT,MATCH(J319,NPSU,0),MATCH(K319,SchU,0))="","Sch n/a",INDEX(PipeOD,MATCH(J319,NPSU,0))-2*INDEX(PipeWT,MATCH(J319,NPSU,0),MATCH(K319,SchU,0))),"")))</f>
        <v/>
      </c>
      <c r="AT319" s="9" t="n">
        <f aca="false">IF(ISNUMBER(AI319),AI319,IFERROR(INDEX(IF(JobType="Decontamination",TypeFillDC,TypeFillCC),MATCH(E319,TypeL,0)),1))</f>
        <v>1</v>
      </c>
      <c r="AU319" s="9" t="n">
        <v>10</v>
      </c>
    </row>
    <row r="320" customFormat="false" ht="15" hidden="false" customHeight="false" outlineLevel="0" collapsed="false">
      <c r="A320" s="16" t="n">
        <v>14</v>
      </c>
      <c r="B320" s="20"/>
      <c r="C320" s="5"/>
      <c r="D320" s="5"/>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1" t="str">
        <f aca="false">IF(E320="Exchanger",IF(AND(ISNUMBER(S320),ISNUMBER(U320),ISNUMBER(V320)),S320*PI()/4*(U320*INDEX(LenF,MATCH($U$7,LenU,0)))^2*V320*INDEX(LenF,MATCH($V$7,LenU,0)),0)+IF(ISNUMBER(Y320),PI()/4*(Y320*INDEX(LenF,MATCH($Y$7,LenU,0)))^2*N(Z320)*INDEX(LenF,MATCH($Z$7,LenU,0))+IF(AA320="",0,IF(AA320="Conical",PI()/12*(Y320*INDEX(LenF,MATCH($Y$7,LenU,0)))^2*(0),INDEX(HeadK,MATCH(AA320,HeadU,0))*(Y320*INDEX(LenF,MATCH($Y$7,LenU,0)))^3)),0)+IF(ISNUMBER(Y320),PI()/4*(Y320*INDEX(LenF,MATCH($Y$7,LenU,0)))^2*N(AB320)*INDEX(LenF,MATCH($AB$7,LenU,0))+IF(AC320="",0,IF(AC320="Conical",PI()/12*(Y320*INDEX(LenF,MATCH($Y$7,LenU,0)))^2*(0),INDEX(HeadK,MATCH(AC320,HeadU,0))*(Y320*INDEX(LenF,MATCH($Y$7,LenU,0)))^3)),0),"")</f>
        <v/>
      </c>
      <c r="AE320" s="21" t="str">
        <f aca="false">IF(OR(E320="",E320="Piping"),"",IF(E320="Exchanger",AQ320*AR320+IF(P320="",0,IF(P320="Conical",PI()/12*(SQRT(4*AQ320/PI()))^2*(0),INDEX(HeadK,MATCH(P320,HeadU,0))*(SQRT(4*AQ320/PI()))^3))-IF(AND(ISNUMBER(S320),ISNUMBER(V320)),S320*PI()/4*AP320^2*V320*INDEX(LenF,MATCH($V$7,LenU,0)),0),IF(ISNUMBER(N320),PI()/4*(N320*INDEX(LenF,MATCH($N$7,LenU,0)))^2*N(O320)*INDEX(LenF,MATCH($O$7,LenU,0))+IF(P320="",0,IF(P320="Conical",PI()/12*(N320*INDEX(LenF,MATCH($N$7,LenU,0)))^2*(N(R320)*INDEX(LenF,MATCH($R$7,LenU,0))),INDEX(HeadK,MATCH(P320,HeadU,0))*(N320*INDEX(LenF,MATCH($N$7,LenU,0)))^3))+IF(Q320="",0,IF(Q320="Conical",PI()/12*(N320*INDEX(LenF,MATCH($N$7,LenU,0)))^2*(N(R320)*INDEX(LenF,MATCH($R$7,LenU,0))),INDEX(HeadK,MATCH(Q320,HeadU,0))*(N320*INDEX(LenF,MATCH($N$7,LenU,0)))^3)),0)))</f>
        <v/>
      </c>
      <c r="AF320" s="21" t="str">
        <f aca="false">IF(E320&lt;&gt;"Piping","",IF(AND(ISNUMBER(AS320),ISNUMBER(M320)),PI()/4*(AS320/1000)^2*M320*INDEX(LenF,MATCH($M$7,LenU,0)),0))</f>
        <v/>
      </c>
      <c r="AG320" s="21" t="str">
        <f aca="false">IF(E320="","",N(AD320)+N(AE320)+N(AF320))</f>
        <v/>
      </c>
      <c r="AH320" s="21" t="str">
        <f aca="false">IF(ISNUMBER(I320),I320*INDEX(WtF,MATCH($I$7,WtU,0))/WaterRho,"")</f>
        <v/>
      </c>
      <c r="AI320" s="11"/>
      <c r="AJ320" s="11"/>
      <c r="AK320" s="20"/>
      <c r="AL320" s="11"/>
      <c r="AM320" s="21" t="str">
        <f aca="false">IF(AO320="","",AO320*IF(ISNUMBER(AK320),AK320,DefFills)*(1+IF(ISNUMBER(AL320),AL320,DefAllow)))</f>
        <v/>
      </c>
      <c r="AN320" s="22" t="str">
        <f aca="false">IF(G320="Given volume",IF(ISNUMBER(H320),H320*INDEX(VolF,MATCH($H$7,VolU,0)),""),IF(G320="Water weight",AH320,IF(N(AG320)=0,"",AG320)))</f>
        <v/>
      </c>
      <c r="AO320" s="22" t="str">
        <f aca="false">IF(N(AN320)=0,"",AN320*AT320*IF(ISNUMBER(AJ320),AJ320,DefCirc))</f>
        <v/>
      </c>
      <c r="AP320" s="9" t="n">
        <f aca="false">IF(ISNUMBER(T320),T320*INDEX(LenF,MATCH($T$7,LenU,0)),IF(ISNUMBER(W320),W320*INDEX(LenF,MATCH($W$7,LenU,0))/PitchRatio,0))</f>
        <v>0</v>
      </c>
      <c r="AQ320" s="9" t="n">
        <f aca="false">IF(ISNUMBER(N320),PI()/4*(N320*INDEX(LenF,MATCH($N$7,LenU,0)))^2,IF(AND(ISNUMBER(S320),ISNUMBER(W320),X320&lt;&gt;""),S320*(W320*INDEX(LenF,MATCH($W$7,LenU,0)))^2*INDEX(LayoutF,MATCH(X320,LayoutU,0)),0))</f>
        <v>0</v>
      </c>
      <c r="AR320" s="9" t="n">
        <f aca="false">IF(ISNUMBER(O320),O320*INDEX(LenF,MATCH($O$7,LenU,0)),IF(ISNUMBER(V320),V320*INDEX(LenF,MATCH($V$7,LenU,0)),0))</f>
        <v>0</v>
      </c>
      <c r="AS320" s="9" t="str">
        <f aca="false">IF(ISNUMBER(L320),L320*INDEX(LenF,MATCH($L$7,LenU,0))*1000,IF(OR(J320="",K320=""),"",IFERROR(IF(INDEX(PipeWT,MATCH(J320,NPSU,0),MATCH(K320,SchU,0))="","Sch n/a",INDEX(PipeOD,MATCH(J320,NPSU,0))-2*INDEX(PipeWT,MATCH(J320,NPSU,0),MATCH(K320,SchU,0))),"")))</f>
        <v/>
      </c>
      <c r="AT320" s="9" t="n">
        <f aca="false">IF(ISNUMBER(AI320),AI320,IFERROR(INDEX(IF(JobType="Decontamination",TypeFillDC,TypeFillCC),MATCH(E320,TypeL,0)),1))</f>
        <v>1</v>
      </c>
      <c r="AU320" s="9" t="n">
        <v>10</v>
      </c>
    </row>
    <row r="321" customFormat="false" ht="15" hidden="false" customHeight="false" outlineLevel="0" collapsed="false">
      <c r="A321" s="16" t="n">
        <v>15</v>
      </c>
      <c r="B321" s="20"/>
      <c r="C321" s="5"/>
      <c r="D321" s="5"/>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1" t="str">
        <f aca="false">IF(E321="Exchanger",IF(AND(ISNUMBER(S321),ISNUMBER(U321),ISNUMBER(V321)),S321*PI()/4*(U321*INDEX(LenF,MATCH($U$7,LenU,0)))^2*V321*INDEX(LenF,MATCH($V$7,LenU,0)),0)+IF(ISNUMBER(Y321),PI()/4*(Y321*INDEX(LenF,MATCH($Y$7,LenU,0)))^2*N(Z321)*INDEX(LenF,MATCH($Z$7,LenU,0))+IF(AA321="",0,IF(AA321="Conical",PI()/12*(Y321*INDEX(LenF,MATCH($Y$7,LenU,0)))^2*(0),INDEX(HeadK,MATCH(AA321,HeadU,0))*(Y321*INDEX(LenF,MATCH($Y$7,LenU,0)))^3)),0)+IF(ISNUMBER(Y321),PI()/4*(Y321*INDEX(LenF,MATCH($Y$7,LenU,0)))^2*N(AB321)*INDEX(LenF,MATCH($AB$7,LenU,0))+IF(AC321="",0,IF(AC321="Conical",PI()/12*(Y321*INDEX(LenF,MATCH($Y$7,LenU,0)))^2*(0),INDEX(HeadK,MATCH(AC321,HeadU,0))*(Y321*INDEX(LenF,MATCH($Y$7,LenU,0)))^3)),0),"")</f>
        <v/>
      </c>
      <c r="AE321" s="21" t="str">
        <f aca="false">IF(OR(E321="",E321="Piping"),"",IF(E321="Exchanger",AQ321*AR321+IF(P321="",0,IF(P321="Conical",PI()/12*(SQRT(4*AQ321/PI()))^2*(0),INDEX(HeadK,MATCH(P321,HeadU,0))*(SQRT(4*AQ321/PI()))^3))-IF(AND(ISNUMBER(S321),ISNUMBER(V321)),S321*PI()/4*AP321^2*V321*INDEX(LenF,MATCH($V$7,LenU,0)),0),IF(ISNUMBER(N321),PI()/4*(N321*INDEX(LenF,MATCH($N$7,LenU,0)))^2*N(O321)*INDEX(LenF,MATCH($O$7,LenU,0))+IF(P321="",0,IF(P321="Conical",PI()/12*(N321*INDEX(LenF,MATCH($N$7,LenU,0)))^2*(N(R321)*INDEX(LenF,MATCH($R$7,LenU,0))),INDEX(HeadK,MATCH(P321,HeadU,0))*(N321*INDEX(LenF,MATCH($N$7,LenU,0)))^3))+IF(Q321="",0,IF(Q321="Conical",PI()/12*(N321*INDEX(LenF,MATCH($N$7,LenU,0)))^2*(N(R321)*INDEX(LenF,MATCH($R$7,LenU,0))),INDEX(HeadK,MATCH(Q321,HeadU,0))*(N321*INDEX(LenF,MATCH($N$7,LenU,0)))^3)),0)))</f>
        <v/>
      </c>
      <c r="AF321" s="21" t="str">
        <f aca="false">IF(E321&lt;&gt;"Piping","",IF(AND(ISNUMBER(AS321),ISNUMBER(M321)),PI()/4*(AS321/1000)^2*M321*INDEX(LenF,MATCH($M$7,LenU,0)),0))</f>
        <v/>
      </c>
      <c r="AG321" s="21" t="str">
        <f aca="false">IF(E321="","",N(AD321)+N(AE321)+N(AF321))</f>
        <v/>
      </c>
      <c r="AH321" s="21" t="str">
        <f aca="false">IF(ISNUMBER(I321),I321*INDEX(WtF,MATCH($I$7,WtU,0))/WaterRho,"")</f>
        <v/>
      </c>
      <c r="AI321" s="11"/>
      <c r="AJ321" s="11"/>
      <c r="AK321" s="20"/>
      <c r="AL321" s="11"/>
      <c r="AM321" s="21" t="str">
        <f aca="false">IF(AO321="","",AO321*IF(ISNUMBER(AK321),AK321,DefFills)*(1+IF(ISNUMBER(AL321),AL321,DefAllow)))</f>
        <v/>
      </c>
      <c r="AN321" s="22" t="str">
        <f aca="false">IF(G321="Given volume",IF(ISNUMBER(H321),H321*INDEX(VolF,MATCH($H$7,VolU,0)),""),IF(G321="Water weight",AH321,IF(N(AG321)=0,"",AG321)))</f>
        <v/>
      </c>
      <c r="AO321" s="22" t="str">
        <f aca="false">IF(N(AN321)=0,"",AN321*AT321*IF(ISNUMBER(AJ321),AJ321,DefCirc))</f>
        <v/>
      </c>
      <c r="AP321" s="9" t="n">
        <f aca="false">IF(ISNUMBER(T321),T321*INDEX(LenF,MATCH($T$7,LenU,0)),IF(ISNUMBER(W321),W321*INDEX(LenF,MATCH($W$7,LenU,0))/PitchRatio,0))</f>
        <v>0</v>
      </c>
      <c r="AQ321" s="9" t="n">
        <f aca="false">IF(ISNUMBER(N321),PI()/4*(N321*INDEX(LenF,MATCH($N$7,LenU,0)))^2,IF(AND(ISNUMBER(S321),ISNUMBER(W321),X321&lt;&gt;""),S321*(W321*INDEX(LenF,MATCH($W$7,LenU,0)))^2*INDEX(LayoutF,MATCH(X321,LayoutU,0)),0))</f>
        <v>0</v>
      </c>
      <c r="AR321" s="9" t="n">
        <f aca="false">IF(ISNUMBER(O321),O321*INDEX(LenF,MATCH($O$7,LenU,0)),IF(ISNUMBER(V321),V321*INDEX(LenF,MATCH($V$7,LenU,0)),0))</f>
        <v>0</v>
      </c>
      <c r="AS321" s="9" t="str">
        <f aca="false">IF(ISNUMBER(L321),L321*INDEX(LenF,MATCH($L$7,LenU,0))*1000,IF(OR(J321="",K321=""),"",IFERROR(IF(INDEX(PipeWT,MATCH(J321,NPSU,0),MATCH(K321,SchU,0))="","Sch n/a",INDEX(PipeOD,MATCH(J321,NPSU,0))-2*INDEX(PipeWT,MATCH(J321,NPSU,0),MATCH(K321,SchU,0))),"")))</f>
        <v/>
      </c>
      <c r="AT321" s="9" t="n">
        <f aca="false">IF(ISNUMBER(AI321),AI321,IFERROR(INDEX(IF(JobType="Decontamination",TypeFillDC,TypeFillCC),MATCH(E321,TypeL,0)),1))</f>
        <v>1</v>
      </c>
      <c r="AU321" s="9" t="n">
        <v>10</v>
      </c>
    </row>
    <row r="322" customFormat="false" ht="15" hidden="false" customHeight="false" outlineLevel="0" collapsed="false">
      <c r="A322" s="16" t="n">
        <v>16</v>
      </c>
      <c r="B322" s="20"/>
      <c r="C322" s="5"/>
      <c r="D322" s="5"/>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1" t="str">
        <f aca="false">IF(E322="Exchanger",IF(AND(ISNUMBER(S322),ISNUMBER(U322),ISNUMBER(V322)),S322*PI()/4*(U322*INDEX(LenF,MATCH($U$7,LenU,0)))^2*V322*INDEX(LenF,MATCH($V$7,LenU,0)),0)+IF(ISNUMBER(Y322),PI()/4*(Y322*INDEX(LenF,MATCH($Y$7,LenU,0)))^2*N(Z322)*INDEX(LenF,MATCH($Z$7,LenU,0))+IF(AA322="",0,IF(AA322="Conical",PI()/12*(Y322*INDEX(LenF,MATCH($Y$7,LenU,0)))^2*(0),INDEX(HeadK,MATCH(AA322,HeadU,0))*(Y322*INDEX(LenF,MATCH($Y$7,LenU,0)))^3)),0)+IF(ISNUMBER(Y322),PI()/4*(Y322*INDEX(LenF,MATCH($Y$7,LenU,0)))^2*N(AB322)*INDEX(LenF,MATCH($AB$7,LenU,0))+IF(AC322="",0,IF(AC322="Conical",PI()/12*(Y322*INDEX(LenF,MATCH($Y$7,LenU,0)))^2*(0),INDEX(HeadK,MATCH(AC322,HeadU,0))*(Y322*INDEX(LenF,MATCH($Y$7,LenU,0)))^3)),0),"")</f>
        <v/>
      </c>
      <c r="AE322" s="21" t="str">
        <f aca="false">IF(OR(E322="",E322="Piping"),"",IF(E322="Exchanger",AQ322*AR322+IF(P322="",0,IF(P322="Conical",PI()/12*(SQRT(4*AQ322/PI()))^2*(0),INDEX(HeadK,MATCH(P322,HeadU,0))*(SQRT(4*AQ322/PI()))^3))-IF(AND(ISNUMBER(S322),ISNUMBER(V322)),S322*PI()/4*AP322^2*V322*INDEX(LenF,MATCH($V$7,LenU,0)),0),IF(ISNUMBER(N322),PI()/4*(N322*INDEX(LenF,MATCH($N$7,LenU,0)))^2*N(O322)*INDEX(LenF,MATCH($O$7,LenU,0))+IF(P322="",0,IF(P322="Conical",PI()/12*(N322*INDEX(LenF,MATCH($N$7,LenU,0)))^2*(N(R322)*INDEX(LenF,MATCH($R$7,LenU,0))),INDEX(HeadK,MATCH(P322,HeadU,0))*(N322*INDEX(LenF,MATCH($N$7,LenU,0)))^3))+IF(Q322="",0,IF(Q322="Conical",PI()/12*(N322*INDEX(LenF,MATCH($N$7,LenU,0)))^2*(N(R322)*INDEX(LenF,MATCH($R$7,LenU,0))),INDEX(HeadK,MATCH(Q322,HeadU,0))*(N322*INDEX(LenF,MATCH($N$7,LenU,0)))^3)),0)))</f>
        <v/>
      </c>
      <c r="AF322" s="21" t="str">
        <f aca="false">IF(E322&lt;&gt;"Piping","",IF(AND(ISNUMBER(AS322),ISNUMBER(M322)),PI()/4*(AS322/1000)^2*M322*INDEX(LenF,MATCH($M$7,LenU,0)),0))</f>
        <v/>
      </c>
      <c r="AG322" s="21" t="str">
        <f aca="false">IF(E322="","",N(AD322)+N(AE322)+N(AF322))</f>
        <v/>
      </c>
      <c r="AH322" s="21" t="str">
        <f aca="false">IF(ISNUMBER(I322),I322*INDEX(WtF,MATCH($I$7,WtU,0))/WaterRho,"")</f>
        <v/>
      </c>
      <c r="AI322" s="11"/>
      <c r="AJ322" s="11"/>
      <c r="AK322" s="20"/>
      <c r="AL322" s="11"/>
      <c r="AM322" s="21" t="str">
        <f aca="false">IF(AO322="","",AO322*IF(ISNUMBER(AK322),AK322,DefFills)*(1+IF(ISNUMBER(AL322),AL322,DefAllow)))</f>
        <v/>
      </c>
      <c r="AN322" s="22" t="str">
        <f aca="false">IF(G322="Given volume",IF(ISNUMBER(H322),H322*INDEX(VolF,MATCH($H$7,VolU,0)),""),IF(G322="Water weight",AH322,IF(N(AG322)=0,"",AG322)))</f>
        <v/>
      </c>
      <c r="AO322" s="22" t="str">
        <f aca="false">IF(N(AN322)=0,"",AN322*AT322*IF(ISNUMBER(AJ322),AJ322,DefCirc))</f>
        <v/>
      </c>
      <c r="AP322" s="9" t="n">
        <f aca="false">IF(ISNUMBER(T322),T322*INDEX(LenF,MATCH($T$7,LenU,0)),IF(ISNUMBER(W322),W322*INDEX(LenF,MATCH($W$7,LenU,0))/PitchRatio,0))</f>
        <v>0</v>
      </c>
      <c r="AQ322" s="9" t="n">
        <f aca="false">IF(ISNUMBER(N322),PI()/4*(N322*INDEX(LenF,MATCH($N$7,LenU,0)))^2,IF(AND(ISNUMBER(S322),ISNUMBER(W322),X322&lt;&gt;""),S322*(W322*INDEX(LenF,MATCH($W$7,LenU,0)))^2*INDEX(LayoutF,MATCH(X322,LayoutU,0)),0))</f>
        <v>0</v>
      </c>
      <c r="AR322" s="9" t="n">
        <f aca="false">IF(ISNUMBER(O322),O322*INDEX(LenF,MATCH($O$7,LenU,0)),IF(ISNUMBER(V322),V322*INDEX(LenF,MATCH($V$7,LenU,0)),0))</f>
        <v>0</v>
      </c>
      <c r="AS322" s="9" t="str">
        <f aca="false">IF(ISNUMBER(L322),L322*INDEX(LenF,MATCH($L$7,LenU,0))*1000,IF(OR(J322="",K322=""),"",IFERROR(IF(INDEX(PipeWT,MATCH(J322,NPSU,0),MATCH(K322,SchU,0))="","Sch n/a",INDEX(PipeOD,MATCH(J322,NPSU,0))-2*INDEX(PipeWT,MATCH(J322,NPSU,0),MATCH(K322,SchU,0))),"")))</f>
        <v/>
      </c>
      <c r="AT322" s="9" t="n">
        <f aca="false">IF(ISNUMBER(AI322),AI322,IFERROR(INDEX(IF(JobType="Decontamination",TypeFillDC,TypeFillCC),MATCH(E322,TypeL,0)),1))</f>
        <v>1</v>
      </c>
      <c r="AU322" s="9" t="n">
        <v>10</v>
      </c>
    </row>
    <row r="323" customFormat="false" ht="15" hidden="false" customHeight="false" outlineLevel="0" collapsed="false">
      <c r="A323" s="16" t="n">
        <v>17</v>
      </c>
      <c r="B323" s="20"/>
      <c r="C323" s="5"/>
      <c r="D323" s="5"/>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1" t="str">
        <f aca="false">IF(E323="Exchanger",IF(AND(ISNUMBER(S323),ISNUMBER(U323),ISNUMBER(V323)),S323*PI()/4*(U323*INDEX(LenF,MATCH($U$7,LenU,0)))^2*V323*INDEX(LenF,MATCH($V$7,LenU,0)),0)+IF(ISNUMBER(Y323),PI()/4*(Y323*INDEX(LenF,MATCH($Y$7,LenU,0)))^2*N(Z323)*INDEX(LenF,MATCH($Z$7,LenU,0))+IF(AA323="",0,IF(AA323="Conical",PI()/12*(Y323*INDEX(LenF,MATCH($Y$7,LenU,0)))^2*(0),INDEX(HeadK,MATCH(AA323,HeadU,0))*(Y323*INDEX(LenF,MATCH($Y$7,LenU,0)))^3)),0)+IF(ISNUMBER(Y323),PI()/4*(Y323*INDEX(LenF,MATCH($Y$7,LenU,0)))^2*N(AB323)*INDEX(LenF,MATCH($AB$7,LenU,0))+IF(AC323="",0,IF(AC323="Conical",PI()/12*(Y323*INDEX(LenF,MATCH($Y$7,LenU,0)))^2*(0),INDEX(HeadK,MATCH(AC323,HeadU,0))*(Y323*INDEX(LenF,MATCH($Y$7,LenU,0)))^3)),0),"")</f>
        <v/>
      </c>
      <c r="AE323" s="21" t="str">
        <f aca="false">IF(OR(E323="",E323="Piping"),"",IF(E323="Exchanger",AQ323*AR323+IF(P323="",0,IF(P323="Conical",PI()/12*(SQRT(4*AQ323/PI()))^2*(0),INDEX(HeadK,MATCH(P323,HeadU,0))*(SQRT(4*AQ323/PI()))^3))-IF(AND(ISNUMBER(S323),ISNUMBER(V323)),S323*PI()/4*AP323^2*V323*INDEX(LenF,MATCH($V$7,LenU,0)),0),IF(ISNUMBER(N323),PI()/4*(N323*INDEX(LenF,MATCH($N$7,LenU,0)))^2*N(O323)*INDEX(LenF,MATCH($O$7,LenU,0))+IF(P323="",0,IF(P323="Conical",PI()/12*(N323*INDEX(LenF,MATCH($N$7,LenU,0)))^2*(N(R323)*INDEX(LenF,MATCH($R$7,LenU,0))),INDEX(HeadK,MATCH(P323,HeadU,0))*(N323*INDEX(LenF,MATCH($N$7,LenU,0)))^3))+IF(Q323="",0,IF(Q323="Conical",PI()/12*(N323*INDEX(LenF,MATCH($N$7,LenU,0)))^2*(N(R323)*INDEX(LenF,MATCH($R$7,LenU,0))),INDEX(HeadK,MATCH(Q323,HeadU,0))*(N323*INDEX(LenF,MATCH($N$7,LenU,0)))^3)),0)))</f>
        <v/>
      </c>
      <c r="AF323" s="21" t="str">
        <f aca="false">IF(E323&lt;&gt;"Piping","",IF(AND(ISNUMBER(AS323),ISNUMBER(M323)),PI()/4*(AS323/1000)^2*M323*INDEX(LenF,MATCH($M$7,LenU,0)),0))</f>
        <v/>
      </c>
      <c r="AG323" s="21" t="str">
        <f aca="false">IF(E323="","",N(AD323)+N(AE323)+N(AF323))</f>
        <v/>
      </c>
      <c r="AH323" s="21" t="str">
        <f aca="false">IF(ISNUMBER(I323),I323*INDEX(WtF,MATCH($I$7,WtU,0))/WaterRho,"")</f>
        <v/>
      </c>
      <c r="AI323" s="11"/>
      <c r="AJ323" s="11"/>
      <c r="AK323" s="20"/>
      <c r="AL323" s="11"/>
      <c r="AM323" s="21" t="str">
        <f aca="false">IF(AO323="","",AO323*IF(ISNUMBER(AK323),AK323,DefFills)*(1+IF(ISNUMBER(AL323),AL323,DefAllow)))</f>
        <v/>
      </c>
      <c r="AN323" s="22" t="str">
        <f aca="false">IF(G323="Given volume",IF(ISNUMBER(H323),H323*INDEX(VolF,MATCH($H$7,VolU,0)),""),IF(G323="Water weight",AH323,IF(N(AG323)=0,"",AG323)))</f>
        <v/>
      </c>
      <c r="AO323" s="22" t="str">
        <f aca="false">IF(N(AN323)=0,"",AN323*AT323*IF(ISNUMBER(AJ323),AJ323,DefCirc))</f>
        <v/>
      </c>
      <c r="AP323" s="9" t="n">
        <f aca="false">IF(ISNUMBER(T323),T323*INDEX(LenF,MATCH($T$7,LenU,0)),IF(ISNUMBER(W323),W323*INDEX(LenF,MATCH($W$7,LenU,0))/PitchRatio,0))</f>
        <v>0</v>
      </c>
      <c r="AQ323" s="9" t="n">
        <f aca="false">IF(ISNUMBER(N323),PI()/4*(N323*INDEX(LenF,MATCH($N$7,LenU,0)))^2,IF(AND(ISNUMBER(S323),ISNUMBER(W323),X323&lt;&gt;""),S323*(W323*INDEX(LenF,MATCH($W$7,LenU,0)))^2*INDEX(LayoutF,MATCH(X323,LayoutU,0)),0))</f>
        <v>0</v>
      </c>
      <c r="AR323" s="9" t="n">
        <f aca="false">IF(ISNUMBER(O323),O323*INDEX(LenF,MATCH($O$7,LenU,0)),IF(ISNUMBER(V323),V323*INDEX(LenF,MATCH($V$7,LenU,0)),0))</f>
        <v>0</v>
      </c>
      <c r="AS323" s="9" t="str">
        <f aca="false">IF(ISNUMBER(L323),L323*INDEX(LenF,MATCH($L$7,LenU,0))*1000,IF(OR(J323="",K323=""),"",IFERROR(IF(INDEX(PipeWT,MATCH(J323,NPSU,0),MATCH(K323,SchU,0))="","Sch n/a",INDEX(PipeOD,MATCH(J323,NPSU,0))-2*INDEX(PipeWT,MATCH(J323,NPSU,0),MATCH(K323,SchU,0))),"")))</f>
        <v/>
      </c>
      <c r="AT323" s="9" t="n">
        <f aca="false">IF(ISNUMBER(AI323),AI323,IFERROR(INDEX(IF(JobType="Decontamination",TypeFillDC,TypeFillCC),MATCH(E323,TypeL,0)),1))</f>
        <v>1</v>
      </c>
      <c r="AU323" s="9" t="n">
        <v>10</v>
      </c>
    </row>
    <row r="324" customFormat="false" ht="15" hidden="false" customHeight="false" outlineLevel="0" collapsed="false">
      <c r="A324" s="16" t="n">
        <v>18</v>
      </c>
      <c r="B324" s="20"/>
      <c r="C324" s="5"/>
      <c r="D324" s="5"/>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1" t="str">
        <f aca="false">IF(E324="Exchanger",IF(AND(ISNUMBER(S324),ISNUMBER(U324),ISNUMBER(V324)),S324*PI()/4*(U324*INDEX(LenF,MATCH($U$7,LenU,0)))^2*V324*INDEX(LenF,MATCH($V$7,LenU,0)),0)+IF(ISNUMBER(Y324),PI()/4*(Y324*INDEX(LenF,MATCH($Y$7,LenU,0)))^2*N(Z324)*INDEX(LenF,MATCH($Z$7,LenU,0))+IF(AA324="",0,IF(AA324="Conical",PI()/12*(Y324*INDEX(LenF,MATCH($Y$7,LenU,0)))^2*(0),INDEX(HeadK,MATCH(AA324,HeadU,0))*(Y324*INDEX(LenF,MATCH($Y$7,LenU,0)))^3)),0)+IF(ISNUMBER(Y324),PI()/4*(Y324*INDEX(LenF,MATCH($Y$7,LenU,0)))^2*N(AB324)*INDEX(LenF,MATCH($AB$7,LenU,0))+IF(AC324="",0,IF(AC324="Conical",PI()/12*(Y324*INDEX(LenF,MATCH($Y$7,LenU,0)))^2*(0),INDEX(HeadK,MATCH(AC324,HeadU,0))*(Y324*INDEX(LenF,MATCH($Y$7,LenU,0)))^3)),0),"")</f>
        <v/>
      </c>
      <c r="AE324" s="21" t="str">
        <f aca="false">IF(OR(E324="",E324="Piping"),"",IF(E324="Exchanger",AQ324*AR324+IF(P324="",0,IF(P324="Conical",PI()/12*(SQRT(4*AQ324/PI()))^2*(0),INDEX(HeadK,MATCH(P324,HeadU,0))*(SQRT(4*AQ324/PI()))^3))-IF(AND(ISNUMBER(S324),ISNUMBER(V324)),S324*PI()/4*AP324^2*V324*INDEX(LenF,MATCH($V$7,LenU,0)),0),IF(ISNUMBER(N324),PI()/4*(N324*INDEX(LenF,MATCH($N$7,LenU,0)))^2*N(O324)*INDEX(LenF,MATCH($O$7,LenU,0))+IF(P324="",0,IF(P324="Conical",PI()/12*(N324*INDEX(LenF,MATCH($N$7,LenU,0)))^2*(N(R324)*INDEX(LenF,MATCH($R$7,LenU,0))),INDEX(HeadK,MATCH(P324,HeadU,0))*(N324*INDEX(LenF,MATCH($N$7,LenU,0)))^3))+IF(Q324="",0,IF(Q324="Conical",PI()/12*(N324*INDEX(LenF,MATCH($N$7,LenU,0)))^2*(N(R324)*INDEX(LenF,MATCH($R$7,LenU,0))),INDEX(HeadK,MATCH(Q324,HeadU,0))*(N324*INDEX(LenF,MATCH($N$7,LenU,0)))^3)),0)))</f>
        <v/>
      </c>
      <c r="AF324" s="21" t="str">
        <f aca="false">IF(E324&lt;&gt;"Piping","",IF(AND(ISNUMBER(AS324),ISNUMBER(M324)),PI()/4*(AS324/1000)^2*M324*INDEX(LenF,MATCH($M$7,LenU,0)),0))</f>
        <v/>
      </c>
      <c r="AG324" s="21" t="str">
        <f aca="false">IF(E324="","",N(AD324)+N(AE324)+N(AF324))</f>
        <v/>
      </c>
      <c r="AH324" s="21" t="str">
        <f aca="false">IF(ISNUMBER(I324),I324*INDEX(WtF,MATCH($I$7,WtU,0))/WaterRho,"")</f>
        <v/>
      </c>
      <c r="AI324" s="11"/>
      <c r="AJ324" s="11"/>
      <c r="AK324" s="20"/>
      <c r="AL324" s="11"/>
      <c r="AM324" s="21" t="str">
        <f aca="false">IF(AO324="","",AO324*IF(ISNUMBER(AK324),AK324,DefFills)*(1+IF(ISNUMBER(AL324),AL324,DefAllow)))</f>
        <v/>
      </c>
      <c r="AN324" s="22" t="str">
        <f aca="false">IF(G324="Given volume",IF(ISNUMBER(H324),H324*INDEX(VolF,MATCH($H$7,VolU,0)),""),IF(G324="Water weight",AH324,IF(N(AG324)=0,"",AG324)))</f>
        <v/>
      </c>
      <c r="AO324" s="22" t="str">
        <f aca="false">IF(N(AN324)=0,"",AN324*AT324*IF(ISNUMBER(AJ324),AJ324,DefCirc))</f>
        <v/>
      </c>
      <c r="AP324" s="9" t="n">
        <f aca="false">IF(ISNUMBER(T324),T324*INDEX(LenF,MATCH($T$7,LenU,0)),IF(ISNUMBER(W324),W324*INDEX(LenF,MATCH($W$7,LenU,0))/PitchRatio,0))</f>
        <v>0</v>
      </c>
      <c r="AQ324" s="9" t="n">
        <f aca="false">IF(ISNUMBER(N324),PI()/4*(N324*INDEX(LenF,MATCH($N$7,LenU,0)))^2,IF(AND(ISNUMBER(S324),ISNUMBER(W324),X324&lt;&gt;""),S324*(W324*INDEX(LenF,MATCH($W$7,LenU,0)))^2*INDEX(LayoutF,MATCH(X324,LayoutU,0)),0))</f>
        <v>0</v>
      </c>
      <c r="AR324" s="9" t="n">
        <f aca="false">IF(ISNUMBER(O324),O324*INDEX(LenF,MATCH($O$7,LenU,0)),IF(ISNUMBER(V324),V324*INDEX(LenF,MATCH($V$7,LenU,0)),0))</f>
        <v>0</v>
      </c>
      <c r="AS324" s="9" t="str">
        <f aca="false">IF(ISNUMBER(L324),L324*INDEX(LenF,MATCH($L$7,LenU,0))*1000,IF(OR(J324="",K324=""),"",IFERROR(IF(INDEX(PipeWT,MATCH(J324,NPSU,0),MATCH(K324,SchU,0))="","Sch n/a",INDEX(PipeOD,MATCH(J324,NPSU,0))-2*INDEX(PipeWT,MATCH(J324,NPSU,0),MATCH(K324,SchU,0))),"")))</f>
        <v/>
      </c>
      <c r="AT324" s="9" t="n">
        <f aca="false">IF(ISNUMBER(AI324),AI324,IFERROR(INDEX(IF(JobType="Decontamination",TypeFillDC,TypeFillCC),MATCH(E324,TypeL,0)),1))</f>
        <v>1</v>
      </c>
      <c r="AU324" s="9" t="n">
        <v>10</v>
      </c>
    </row>
    <row r="325" customFormat="false" ht="15" hidden="false" customHeight="false" outlineLevel="0" collapsed="false">
      <c r="A325" s="16" t="n">
        <v>19</v>
      </c>
      <c r="B325" s="20"/>
      <c r="C325" s="5"/>
      <c r="D325" s="5"/>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1" t="str">
        <f aca="false">IF(E325="Exchanger",IF(AND(ISNUMBER(S325),ISNUMBER(U325),ISNUMBER(V325)),S325*PI()/4*(U325*INDEX(LenF,MATCH($U$7,LenU,0)))^2*V325*INDEX(LenF,MATCH($V$7,LenU,0)),0)+IF(ISNUMBER(Y325),PI()/4*(Y325*INDEX(LenF,MATCH($Y$7,LenU,0)))^2*N(Z325)*INDEX(LenF,MATCH($Z$7,LenU,0))+IF(AA325="",0,IF(AA325="Conical",PI()/12*(Y325*INDEX(LenF,MATCH($Y$7,LenU,0)))^2*(0),INDEX(HeadK,MATCH(AA325,HeadU,0))*(Y325*INDEX(LenF,MATCH($Y$7,LenU,0)))^3)),0)+IF(ISNUMBER(Y325),PI()/4*(Y325*INDEX(LenF,MATCH($Y$7,LenU,0)))^2*N(AB325)*INDEX(LenF,MATCH($AB$7,LenU,0))+IF(AC325="",0,IF(AC325="Conical",PI()/12*(Y325*INDEX(LenF,MATCH($Y$7,LenU,0)))^2*(0),INDEX(HeadK,MATCH(AC325,HeadU,0))*(Y325*INDEX(LenF,MATCH($Y$7,LenU,0)))^3)),0),"")</f>
        <v/>
      </c>
      <c r="AE325" s="21" t="str">
        <f aca="false">IF(OR(E325="",E325="Piping"),"",IF(E325="Exchanger",AQ325*AR325+IF(P325="",0,IF(P325="Conical",PI()/12*(SQRT(4*AQ325/PI()))^2*(0),INDEX(HeadK,MATCH(P325,HeadU,0))*(SQRT(4*AQ325/PI()))^3))-IF(AND(ISNUMBER(S325),ISNUMBER(V325)),S325*PI()/4*AP325^2*V325*INDEX(LenF,MATCH($V$7,LenU,0)),0),IF(ISNUMBER(N325),PI()/4*(N325*INDEX(LenF,MATCH($N$7,LenU,0)))^2*N(O325)*INDEX(LenF,MATCH($O$7,LenU,0))+IF(P325="",0,IF(P325="Conical",PI()/12*(N325*INDEX(LenF,MATCH($N$7,LenU,0)))^2*(N(R325)*INDEX(LenF,MATCH($R$7,LenU,0))),INDEX(HeadK,MATCH(P325,HeadU,0))*(N325*INDEX(LenF,MATCH($N$7,LenU,0)))^3))+IF(Q325="",0,IF(Q325="Conical",PI()/12*(N325*INDEX(LenF,MATCH($N$7,LenU,0)))^2*(N(R325)*INDEX(LenF,MATCH($R$7,LenU,0))),INDEX(HeadK,MATCH(Q325,HeadU,0))*(N325*INDEX(LenF,MATCH($N$7,LenU,0)))^3)),0)))</f>
        <v/>
      </c>
      <c r="AF325" s="21" t="str">
        <f aca="false">IF(E325&lt;&gt;"Piping","",IF(AND(ISNUMBER(AS325),ISNUMBER(M325)),PI()/4*(AS325/1000)^2*M325*INDEX(LenF,MATCH($M$7,LenU,0)),0))</f>
        <v/>
      </c>
      <c r="AG325" s="21" t="str">
        <f aca="false">IF(E325="","",N(AD325)+N(AE325)+N(AF325))</f>
        <v/>
      </c>
      <c r="AH325" s="21" t="str">
        <f aca="false">IF(ISNUMBER(I325),I325*INDEX(WtF,MATCH($I$7,WtU,0))/WaterRho,"")</f>
        <v/>
      </c>
      <c r="AI325" s="11"/>
      <c r="AJ325" s="11"/>
      <c r="AK325" s="20"/>
      <c r="AL325" s="11"/>
      <c r="AM325" s="21" t="str">
        <f aca="false">IF(AO325="","",AO325*IF(ISNUMBER(AK325),AK325,DefFills)*(1+IF(ISNUMBER(AL325),AL325,DefAllow)))</f>
        <v/>
      </c>
      <c r="AN325" s="22" t="str">
        <f aca="false">IF(G325="Given volume",IF(ISNUMBER(H325),H325*INDEX(VolF,MATCH($H$7,VolU,0)),""),IF(G325="Water weight",AH325,IF(N(AG325)=0,"",AG325)))</f>
        <v/>
      </c>
      <c r="AO325" s="22" t="str">
        <f aca="false">IF(N(AN325)=0,"",AN325*AT325*IF(ISNUMBER(AJ325),AJ325,DefCirc))</f>
        <v/>
      </c>
      <c r="AP325" s="9" t="n">
        <f aca="false">IF(ISNUMBER(T325),T325*INDEX(LenF,MATCH($T$7,LenU,0)),IF(ISNUMBER(W325),W325*INDEX(LenF,MATCH($W$7,LenU,0))/PitchRatio,0))</f>
        <v>0</v>
      </c>
      <c r="AQ325" s="9" t="n">
        <f aca="false">IF(ISNUMBER(N325),PI()/4*(N325*INDEX(LenF,MATCH($N$7,LenU,0)))^2,IF(AND(ISNUMBER(S325),ISNUMBER(W325),X325&lt;&gt;""),S325*(W325*INDEX(LenF,MATCH($W$7,LenU,0)))^2*INDEX(LayoutF,MATCH(X325,LayoutU,0)),0))</f>
        <v>0</v>
      </c>
      <c r="AR325" s="9" t="n">
        <f aca="false">IF(ISNUMBER(O325),O325*INDEX(LenF,MATCH($O$7,LenU,0)),IF(ISNUMBER(V325),V325*INDEX(LenF,MATCH($V$7,LenU,0)),0))</f>
        <v>0</v>
      </c>
      <c r="AS325" s="9" t="str">
        <f aca="false">IF(ISNUMBER(L325),L325*INDEX(LenF,MATCH($L$7,LenU,0))*1000,IF(OR(J325="",K325=""),"",IFERROR(IF(INDEX(PipeWT,MATCH(J325,NPSU,0),MATCH(K325,SchU,0))="","Sch n/a",INDEX(PipeOD,MATCH(J325,NPSU,0))-2*INDEX(PipeWT,MATCH(J325,NPSU,0),MATCH(K325,SchU,0))),"")))</f>
        <v/>
      </c>
      <c r="AT325" s="9" t="n">
        <f aca="false">IF(ISNUMBER(AI325),AI325,IFERROR(INDEX(IF(JobType="Decontamination",TypeFillDC,TypeFillCC),MATCH(E325,TypeL,0)),1))</f>
        <v>1</v>
      </c>
      <c r="AU325" s="9" t="n">
        <v>10</v>
      </c>
    </row>
    <row r="326" customFormat="false" ht="15" hidden="false" customHeight="false" outlineLevel="0" collapsed="false">
      <c r="A326" s="16" t="n">
        <v>20</v>
      </c>
      <c r="B326" s="20"/>
      <c r="C326" s="5"/>
      <c r="D326" s="5"/>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1" t="str">
        <f aca="false">IF(E326="Exchanger",IF(AND(ISNUMBER(S326),ISNUMBER(U326),ISNUMBER(V326)),S326*PI()/4*(U326*INDEX(LenF,MATCH($U$7,LenU,0)))^2*V326*INDEX(LenF,MATCH($V$7,LenU,0)),0)+IF(ISNUMBER(Y326),PI()/4*(Y326*INDEX(LenF,MATCH($Y$7,LenU,0)))^2*N(Z326)*INDEX(LenF,MATCH($Z$7,LenU,0))+IF(AA326="",0,IF(AA326="Conical",PI()/12*(Y326*INDEX(LenF,MATCH($Y$7,LenU,0)))^2*(0),INDEX(HeadK,MATCH(AA326,HeadU,0))*(Y326*INDEX(LenF,MATCH($Y$7,LenU,0)))^3)),0)+IF(ISNUMBER(Y326),PI()/4*(Y326*INDEX(LenF,MATCH($Y$7,LenU,0)))^2*N(AB326)*INDEX(LenF,MATCH($AB$7,LenU,0))+IF(AC326="",0,IF(AC326="Conical",PI()/12*(Y326*INDEX(LenF,MATCH($Y$7,LenU,0)))^2*(0),INDEX(HeadK,MATCH(AC326,HeadU,0))*(Y326*INDEX(LenF,MATCH($Y$7,LenU,0)))^3)),0),"")</f>
        <v/>
      </c>
      <c r="AE326" s="21" t="str">
        <f aca="false">IF(OR(E326="",E326="Piping"),"",IF(E326="Exchanger",AQ326*AR326+IF(P326="",0,IF(P326="Conical",PI()/12*(SQRT(4*AQ326/PI()))^2*(0),INDEX(HeadK,MATCH(P326,HeadU,0))*(SQRT(4*AQ326/PI()))^3))-IF(AND(ISNUMBER(S326),ISNUMBER(V326)),S326*PI()/4*AP326^2*V326*INDEX(LenF,MATCH($V$7,LenU,0)),0),IF(ISNUMBER(N326),PI()/4*(N326*INDEX(LenF,MATCH($N$7,LenU,0)))^2*N(O326)*INDEX(LenF,MATCH($O$7,LenU,0))+IF(P326="",0,IF(P326="Conical",PI()/12*(N326*INDEX(LenF,MATCH($N$7,LenU,0)))^2*(N(R326)*INDEX(LenF,MATCH($R$7,LenU,0))),INDEX(HeadK,MATCH(P326,HeadU,0))*(N326*INDEX(LenF,MATCH($N$7,LenU,0)))^3))+IF(Q326="",0,IF(Q326="Conical",PI()/12*(N326*INDEX(LenF,MATCH($N$7,LenU,0)))^2*(N(R326)*INDEX(LenF,MATCH($R$7,LenU,0))),INDEX(HeadK,MATCH(Q326,HeadU,0))*(N326*INDEX(LenF,MATCH($N$7,LenU,0)))^3)),0)))</f>
        <v/>
      </c>
      <c r="AF326" s="21" t="str">
        <f aca="false">IF(E326&lt;&gt;"Piping","",IF(AND(ISNUMBER(AS326),ISNUMBER(M326)),PI()/4*(AS326/1000)^2*M326*INDEX(LenF,MATCH($M$7,LenU,0)),0))</f>
        <v/>
      </c>
      <c r="AG326" s="21" t="str">
        <f aca="false">IF(E326="","",N(AD326)+N(AE326)+N(AF326))</f>
        <v/>
      </c>
      <c r="AH326" s="21" t="str">
        <f aca="false">IF(ISNUMBER(I326),I326*INDEX(WtF,MATCH($I$7,WtU,0))/WaterRho,"")</f>
        <v/>
      </c>
      <c r="AI326" s="11"/>
      <c r="AJ326" s="11"/>
      <c r="AK326" s="20"/>
      <c r="AL326" s="11"/>
      <c r="AM326" s="21" t="str">
        <f aca="false">IF(AO326="","",AO326*IF(ISNUMBER(AK326),AK326,DefFills)*(1+IF(ISNUMBER(AL326),AL326,DefAllow)))</f>
        <v/>
      </c>
      <c r="AN326" s="22" t="str">
        <f aca="false">IF(G326="Given volume",IF(ISNUMBER(H326),H326*INDEX(VolF,MATCH($H$7,VolU,0)),""),IF(G326="Water weight",AH326,IF(N(AG326)=0,"",AG326)))</f>
        <v/>
      </c>
      <c r="AO326" s="22" t="str">
        <f aca="false">IF(N(AN326)=0,"",AN326*AT326*IF(ISNUMBER(AJ326),AJ326,DefCirc))</f>
        <v/>
      </c>
      <c r="AP326" s="9" t="n">
        <f aca="false">IF(ISNUMBER(T326),T326*INDEX(LenF,MATCH($T$7,LenU,0)),IF(ISNUMBER(W326),W326*INDEX(LenF,MATCH($W$7,LenU,0))/PitchRatio,0))</f>
        <v>0</v>
      </c>
      <c r="AQ326" s="9" t="n">
        <f aca="false">IF(ISNUMBER(N326),PI()/4*(N326*INDEX(LenF,MATCH($N$7,LenU,0)))^2,IF(AND(ISNUMBER(S326),ISNUMBER(W326),X326&lt;&gt;""),S326*(W326*INDEX(LenF,MATCH($W$7,LenU,0)))^2*INDEX(LayoutF,MATCH(X326,LayoutU,0)),0))</f>
        <v>0</v>
      </c>
      <c r="AR326" s="9" t="n">
        <f aca="false">IF(ISNUMBER(O326),O326*INDEX(LenF,MATCH($O$7,LenU,0)),IF(ISNUMBER(V326),V326*INDEX(LenF,MATCH($V$7,LenU,0)),0))</f>
        <v>0</v>
      </c>
      <c r="AS326" s="9" t="str">
        <f aca="false">IF(ISNUMBER(L326),L326*INDEX(LenF,MATCH($L$7,LenU,0))*1000,IF(OR(J326="",K326=""),"",IFERROR(IF(INDEX(PipeWT,MATCH(J326,NPSU,0),MATCH(K326,SchU,0))="","Sch n/a",INDEX(PipeOD,MATCH(J326,NPSU,0))-2*INDEX(PipeWT,MATCH(J326,NPSU,0),MATCH(K326,SchU,0))),"")))</f>
        <v/>
      </c>
      <c r="AT326" s="9" t="n">
        <f aca="false">IF(ISNUMBER(AI326),AI326,IFERROR(INDEX(IF(JobType="Decontamination",TypeFillDC,TypeFillCC),MATCH(E326,TypeL,0)),1))</f>
        <v>1</v>
      </c>
      <c r="AU326" s="9" t="n">
        <v>10</v>
      </c>
    </row>
    <row r="327" customFormat="false" ht="15" hidden="false" customHeight="false" outlineLevel="0" collapsed="false">
      <c r="A327" s="16" t="n">
        <v>21</v>
      </c>
      <c r="B327" s="20"/>
      <c r="C327" s="5"/>
      <c r="D327" s="5"/>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1" t="str">
        <f aca="false">IF(E327="Exchanger",IF(AND(ISNUMBER(S327),ISNUMBER(U327),ISNUMBER(V327)),S327*PI()/4*(U327*INDEX(LenF,MATCH($U$7,LenU,0)))^2*V327*INDEX(LenF,MATCH($V$7,LenU,0)),0)+IF(ISNUMBER(Y327),PI()/4*(Y327*INDEX(LenF,MATCH($Y$7,LenU,0)))^2*N(Z327)*INDEX(LenF,MATCH($Z$7,LenU,0))+IF(AA327="",0,IF(AA327="Conical",PI()/12*(Y327*INDEX(LenF,MATCH($Y$7,LenU,0)))^2*(0),INDEX(HeadK,MATCH(AA327,HeadU,0))*(Y327*INDEX(LenF,MATCH($Y$7,LenU,0)))^3)),0)+IF(ISNUMBER(Y327),PI()/4*(Y327*INDEX(LenF,MATCH($Y$7,LenU,0)))^2*N(AB327)*INDEX(LenF,MATCH($AB$7,LenU,0))+IF(AC327="",0,IF(AC327="Conical",PI()/12*(Y327*INDEX(LenF,MATCH($Y$7,LenU,0)))^2*(0),INDEX(HeadK,MATCH(AC327,HeadU,0))*(Y327*INDEX(LenF,MATCH($Y$7,LenU,0)))^3)),0),"")</f>
        <v/>
      </c>
      <c r="AE327" s="21" t="str">
        <f aca="false">IF(OR(E327="",E327="Piping"),"",IF(E327="Exchanger",AQ327*AR327+IF(P327="",0,IF(P327="Conical",PI()/12*(SQRT(4*AQ327/PI()))^2*(0),INDEX(HeadK,MATCH(P327,HeadU,0))*(SQRT(4*AQ327/PI()))^3))-IF(AND(ISNUMBER(S327),ISNUMBER(V327)),S327*PI()/4*AP327^2*V327*INDEX(LenF,MATCH($V$7,LenU,0)),0),IF(ISNUMBER(N327),PI()/4*(N327*INDEX(LenF,MATCH($N$7,LenU,0)))^2*N(O327)*INDEX(LenF,MATCH($O$7,LenU,0))+IF(P327="",0,IF(P327="Conical",PI()/12*(N327*INDEX(LenF,MATCH($N$7,LenU,0)))^2*(N(R327)*INDEX(LenF,MATCH($R$7,LenU,0))),INDEX(HeadK,MATCH(P327,HeadU,0))*(N327*INDEX(LenF,MATCH($N$7,LenU,0)))^3))+IF(Q327="",0,IF(Q327="Conical",PI()/12*(N327*INDEX(LenF,MATCH($N$7,LenU,0)))^2*(N(R327)*INDEX(LenF,MATCH($R$7,LenU,0))),INDEX(HeadK,MATCH(Q327,HeadU,0))*(N327*INDEX(LenF,MATCH($N$7,LenU,0)))^3)),0)))</f>
        <v/>
      </c>
      <c r="AF327" s="21" t="str">
        <f aca="false">IF(E327&lt;&gt;"Piping","",IF(AND(ISNUMBER(AS327),ISNUMBER(M327)),PI()/4*(AS327/1000)^2*M327*INDEX(LenF,MATCH($M$7,LenU,0)),0))</f>
        <v/>
      </c>
      <c r="AG327" s="21" t="str">
        <f aca="false">IF(E327="","",N(AD327)+N(AE327)+N(AF327))</f>
        <v/>
      </c>
      <c r="AH327" s="21" t="str">
        <f aca="false">IF(ISNUMBER(I327),I327*INDEX(WtF,MATCH($I$7,WtU,0))/WaterRho,"")</f>
        <v/>
      </c>
      <c r="AI327" s="11"/>
      <c r="AJ327" s="11"/>
      <c r="AK327" s="20"/>
      <c r="AL327" s="11"/>
      <c r="AM327" s="21" t="str">
        <f aca="false">IF(AO327="","",AO327*IF(ISNUMBER(AK327),AK327,DefFills)*(1+IF(ISNUMBER(AL327),AL327,DefAllow)))</f>
        <v/>
      </c>
      <c r="AN327" s="22" t="str">
        <f aca="false">IF(G327="Given volume",IF(ISNUMBER(H327),H327*INDEX(VolF,MATCH($H$7,VolU,0)),""),IF(G327="Water weight",AH327,IF(N(AG327)=0,"",AG327)))</f>
        <v/>
      </c>
      <c r="AO327" s="22" t="str">
        <f aca="false">IF(N(AN327)=0,"",AN327*AT327*IF(ISNUMBER(AJ327),AJ327,DefCirc))</f>
        <v/>
      </c>
      <c r="AP327" s="9" t="n">
        <f aca="false">IF(ISNUMBER(T327),T327*INDEX(LenF,MATCH($T$7,LenU,0)),IF(ISNUMBER(W327),W327*INDEX(LenF,MATCH($W$7,LenU,0))/PitchRatio,0))</f>
        <v>0</v>
      </c>
      <c r="AQ327" s="9" t="n">
        <f aca="false">IF(ISNUMBER(N327),PI()/4*(N327*INDEX(LenF,MATCH($N$7,LenU,0)))^2,IF(AND(ISNUMBER(S327),ISNUMBER(W327),X327&lt;&gt;""),S327*(W327*INDEX(LenF,MATCH($W$7,LenU,0)))^2*INDEX(LayoutF,MATCH(X327,LayoutU,0)),0))</f>
        <v>0</v>
      </c>
      <c r="AR327" s="9" t="n">
        <f aca="false">IF(ISNUMBER(O327),O327*INDEX(LenF,MATCH($O$7,LenU,0)),IF(ISNUMBER(V327),V327*INDEX(LenF,MATCH($V$7,LenU,0)),0))</f>
        <v>0</v>
      </c>
      <c r="AS327" s="9" t="str">
        <f aca="false">IF(ISNUMBER(L327),L327*INDEX(LenF,MATCH($L$7,LenU,0))*1000,IF(OR(J327="",K327=""),"",IFERROR(IF(INDEX(PipeWT,MATCH(J327,NPSU,0),MATCH(K327,SchU,0))="","Sch n/a",INDEX(PipeOD,MATCH(J327,NPSU,0))-2*INDEX(PipeWT,MATCH(J327,NPSU,0),MATCH(K327,SchU,0))),"")))</f>
        <v/>
      </c>
      <c r="AT327" s="9" t="n">
        <f aca="false">IF(ISNUMBER(AI327),AI327,IFERROR(INDEX(IF(JobType="Decontamination",TypeFillDC,TypeFillCC),MATCH(E327,TypeL,0)),1))</f>
        <v>1</v>
      </c>
      <c r="AU327" s="9" t="n">
        <v>10</v>
      </c>
    </row>
    <row r="328" customFormat="false" ht="15" hidden="false" customHeight="false" outlineLevel="0" collapsed="false">
      <c r="A328" s="16" t="n">
        <v>22</v>
      </c>
      <c r="B328" s="20"/>
      <c r="C328" s="5"/>
      <c r="D328" s="5"/>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1" t="str">
        <f aca="false">IF(E328="Exchanger",IF(AND(ISNUMBER(S328),ISNUMBER(U328),ISNUMBER(V328)),S328*PI()/4*(U328*INDEX(LenF,MATCH($U$7,LenU,0)))^2*V328*INDEX(LenF,MATCH($V$7,LenU,0)),0)+IF(ISNUMBER(Y328),PI()/4*(Y328*INDEX(LenF,MATCH($Y$7,LenU,0)))^2*N(Z328)*INDEX(LenF,MATCH($Z$7,LenU,0))+IF(AA328="",0,IF(AA328="Conical",PI()/12*(Y328*INDEX(LenF,MATCH($Y$7,LenU,0)))^2*(0),INDEX(HeadK,MATCH(AA328,HeadU,0))*(Y328*INDEX(LenF,MATCH($Y$7,LenU,0)))^3)),0)+IF(ISNUMBER(Y328),PI()/4*(Y328*INDEX(LenF,MATCH($Y$7,LenU,0)))^2*N(AB328)*INDEX(LenF,MATCH($AB$7,LenU,0))+IF(AC328="",0,IF(AC328="Conical",PI()/12*(Y328*INDEX(LenF,MATCH($Y$7,LenU,0)))^2*(0),INDEX(HeadK,MATCH(AC328,HeadU,0))*(Y328*INDEX(LenF,MATCH($Y$7,LenU,0)))^3)),0),"")</f>
        <v/>
      </c>
      <c r="AE328" s="21" t="str">
        <f aca="false">IF(OR(E328="",E328="Piping"),"",IF(E328="Exchanger",AQ328*AR328+IF(P328="",0,IF(P328="Conical",PI()/12*(SQRT(4*AQ328/PI()))^2*(0),INDEX(HeadK,MATCH(P328,HeadU,0))*(SQRT(4*AQ328/PI()))^3))-IF(AND(ISNUMBER(S328),ISNUMBER(V328)),S328*PI()/4*AP328^2*V328*INDEX(LenF,MATCH($V$7,LenU,0)),0),IF(ISNUMBER(N328),PI()/4*(N328*INDEX(LenF,MATCH($N$7,LenU,0)))^2*N(O328)*INDEX(LenF,MATCH($O$7,LenU,0))+IF(P328="",0,IF(P328="Conical",PI()/12*(N328*INDEX(LenF,MATCH($N$7,LenU,0)))^2*(N(R328)*INDEX(LenF,MATCH($R$7,LenU,0))),INDEX(HeadK,MATCH(P328,HeadU,0))*(N328*INDEX(LenF,MATCH($N$7,LenU,0)))^3))+IF(Q328="",0,IF(Q328="Conical",PI()/12*(N328*INDEX(LenF,MATCH($N$7,LenU,0)))^2*(N(R328)*INDEX(LenF,MATCH($R$7,LenU,0))),INDEX(HeadK,MATCH(Q328,HeadU,0))*(N328*INDEX(LenF,MATCH($N$7,LenU,0)))^3)),0)))</f>
        <v/>
      </c>
      <c r="AF328" s="21" t="str">
        <f aca="false">IF(E328&lt;&gt;"Piping","",IF(AND(ISNUMBER(AS328),ISNUMBER(M328)),PI()/4*(AS328/1000)^2*M328*INDEX(LenF,MATCH($M$7,LenU,0)),0))</f>
        <v/>
      </c>
      <c r="AG328" s="21" t="str">
        <f aca="false">IF(E328="","",N(AD328)+N(AE328)+N(AF328))</f>
        <v/>
      </c>
      <c r="AH328" s="21" t="str">
        <f aca="false">IF(ISNUMBER(I328),I328*INDEX(WtF,MATCH($I$7,WtU,0))/WaterRho,"")</f>
        <v/>
      </c>
      <c r="AI328" s="11"/>
      <c r="AJ328" s="11"/>
      <c r="AK328" s="20"/>
      <c r="AL328" s="11"/>
      <c r="AM328" s="21" t="str">
        <f aca="false">IF(AO328="","",AO328*IF(ISNUMBER(AK328),AK328,DefFills)*(1+IF(ISNUMBER(AL328),AL328,DefAllow)))</f>
        <v/>
      </c>
      <c r="AN328" s="22" t="str">
        <f aca="false">IF(G328="Given volume",IF(ISNUMBER(H328),H328*INDEX(VolF,MATCH($H$7,VolU,0)),""),IF(G328="Water weight",AH328,IF(N(AG328)=0,"",AG328)))</f>
        <v/>
      </c>
      <c r="AO328" s="22" t="str">
        <f aca="false">IF(N(AN328)=0,"",AN328*AT328*IF(ISNUMBER(AJ328),AJ328,DefCirc))</f>
        <v/>
      </c>
      <c r="AP328" s="9" t="n">
        <f aca="false">IF(ISNUMBER(T328),T328*INDEX(LenF,MATCH($T$7,LenU,0)),IF(ISNUMBER(W328),W328*INDEX(LenF,MATCH($W$7,LenU,0))/PitchRatio,0))</f>
        <v>0</v>
      </c>
      <c r="AQ328" s="9" t="n">
        <f aca="false">IF(ISNUMBER(N328),PI()/4*(N328*INDEX(LenF,MATCH($N$7,LenU,0)))^2,IF(AND(ISNUMBER(S328),ISNUMBER(W328),X328&lt;&gt;""),S328*(W328*INDEX(LenF,MATCH($W$7,LenU,0)))^2*INDEX(LayoutF,MATCH(X328,LayoutU,0)),0))</f>
        <v>0</v>
      </c>
      <c r="AR328" s="9" t="n">
        <f aca="false">IF(ISNUMBER(O328),O328*INDEX(LenF,MATCH($O$7,LenU,0)),IF(ISNUMBER(V328),V328*INDEX(LenF,MATCH($V$7,LenU,0)),0))</f>
        <v>0</v>
      </c>
      <c r="AS328" s="9" t="str">
        <f aca="false">IF(ISNUMBER(L328),L328*INDEX(LenF,MATCH($L$7,LenU,0))*1000,IF(OR(J328="",K328=""),"",IFERROR(IF(INDEX(PipeWT,MATCH(J328,NPSU,0),MATCH(K328,SchU,0))="","Sch n/a",INDEX(PipeOD,MATCH(J328,NPSU,0))-2*INDEX(PipeWT,MATCH(J328,NPSU,0),MATCH(K328,SchU,0))),"")))</f>
        <v/>
      </c>
      <c r="AT328" s="9" t="n">
        <f aca="false">IF(ISNUMBER(AI328),AI328,IFERROR(INDEX(IF(JobType="Decontamination",TypeFillDC,TypeFillCC),MATCH(E328,TypeL,0)),1))</f>
        <v>1</v>
      </c>
      <c r="AU328" s="9" t="n">
        <v>10</v>
      </c>
    </row>
    <row r="329" customFormat="false" ht="15" hidden="false" customHeight="false" outlineLevel="0" collapsed="false">
      <c r="A329" s="16" t="n">
        <v>23</v>
      </c>
      <c r="B329" s="20"/>
      <c r="C329" s="5"/>
      <c r="D329" s="5"/>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1" t="str">
        <f aca="false">IF(E329="Exchanger",IF(AND(ISNUMBER(S329),ISNUMBER(U329),ISNUMBER(V329)),S329*PI()/4*(U329*INDEX(LenF,MATCH($U$7,LenU,0)))^2*V329*INDEX(LenF,MATCH($V$7,LenU,0)),0)+IF(ISNUMBER(Y329),PI()/4*(Y329*INDEX(LenF,MATCH($Y$7,LenU,0)))^2*N(Z329)*INDEX(LenF,MATCH($Z$7,LenU,0))+IF(AA329="",0,IF(AA329="Conical",PI()/12*(Y329*INDEX(LenF,MATCH($Y$7,LenU,0)))^2*(0),INDEX(HeadK,MATCH(AA329,HeadU,0))*(Y329*INDEX(LenF,MATCH($Y$7,LenU,0)))^3)),0)+IF(ISNUMBER(Y329),PI()/4*(Y329*INDEX(LenF,MATCH($Y$7,LenU,0)))^2*N(AB329)*INDEX(LenF,MATCH($AB$7,LenU,0))+IF(AC329="",0,IF(AC329="Conical",PI()/12*(Y329*INDEX(LenF,MATCH($Y$7,LenU,0)))^2*(0),INDEX(HeadK,MATCH(AC329,HeadU,0))*(Y329*INDEX(LenF,MATCH($Y$7,LenU,0)))^3)),0),"")</f>
        <v/>
      </c>
      <c r="AE329" s="21" t="str">
        <f aca="false">IF(OR(E329="",E329="Piping"),"",IF(E329="Exchanger",AQ329*AR329+IF(P329="",0,IF(P329="Conical",PI()/12*(SQRT(4*AQ329/PI()))^2*(0),INDEX(HeadK,MATCH(P329,HeadU,0))*(SQRT(4*AQ329/PI()))^3))-IF(AND(ISNUMBER(S329),ISNUMBER(V329)),S329*PI()/4*AP329^2*V329*INDEX(LenF,MATCH($V$7,LenU,0)),0),IF(ISNUMBER(N329),PI()/4*(N329*INDEX(LenF,MATCH($N$7,LenU,0)))^2*N(O329)*INDEX(LenF,MATCH($O$7,LenU,0))+IF(P329="",0,IF(P329="Conical",PI()/12*(N329*INDEX(LenF,MATCH($N$7,LenU,0)))^2*(N(R329)*INDEX(LenF,MATCH($R$7,LenU,0))),INDEX(HeadK,MATCH(P329,HeadU,0))*(N329*INDEX(LenF,MATCH($N$7,LenU,0)))^3))+IF(Q329="",0,IF(Q329="Conical",PI()/12*(N329*INDEX(LenF,MATCH($N$7,LenU,0)))^2*(N(R329)*INDEX(LenF,MATCH($R$7,LenU,0))),INDEX(HeadK,MATCH(Q329,HeadU,0))*(N329*INDEX(LenF,MATCH($N$7,LenU,0)))^3)),0)))</f>
        <v/>
      </c>
      <c r="AF329" s="21" t="str">
        <f aca="false">IF(E329&lt;&gt;"Piping","",IF(AND(ISNUMBER(AS329),ISNUMBER(M329)),PI()/4*(AS329/1000)^2*M329*INDEX(LenF,MATCH($M$7,LenU,0)),0))</f>
        <v/>
      </c>
      <c r="AG329" s="21" t="str">
        <f aca="false">IF(E329="","",N(AD329)+N(AE329)+N(AF329))</f>
        <v/>
      </c>
      <c r="AH329" s="21" t="str">
        <f aca="false">IF(ISNUMBER(I329),I329*INDEX(WtF,MATCH($I$7,WtU,0))/WaterRho,"")</f>
        <v/>
      </c>
      <c r="AI329" s="11"/>
      <c r="AJ329" s="11"/>
      <c r="AK329" s="20"/>
      <c r="AL329" s="11"/>
      <c r="AM329" s="21" t="str">
        <f aca="false">IF(AO329="","",AO329*IF(ISNUMBER(AK329),AK329,DefFills)*(1+IF(ISNUMBER(AL329),AL329,DefAllow)))</f>
        <v/>
      </c>
      <c r="AN329" s="22" t="str">
        <f aca="false">IF(G329="Given volume",IF(ISNUMBER(H329),H329*INDEX(VolF,MATCH($H$7,VolU,0)),""),IF(G329="Water weight",AH329,IF(N(AG329)=0,"",AG329)))</f>
        <v/>
      </c>
      <c r="AO329" s="22" t="str">
        <f aca="false">IF(N(AN329)=0,"",AN329*AT329*IF(ISNUMBER(AJ329),AJ329,DefCirc))</f>
        <v/>
      </c>
      <c r="AP329" s="9" t="n">
        <f aca="false">IF(ISNUMBER(T329),T329*INDEX(LenF,MATCH($T$7,LenU,0)),IF(ISNUMBER(W329),W329*INDEX(LenF,MATCH($W$7,LenU,0))/PitchRatio,0))</f>
        <v>0</v>
      </c>
      <c r="AQ329" s="9" t="n">
        <f aca="false">IF(ISNUMBER(N329),PI()/4*(N329*INDEX(LenF,MATCH($N$7,LenU,0)))^2,IF(AND(ISNUMBER(S329),ISNUMBER(W329),X329&lt;&gt;""),S329*(W329*INDEX(LenF,MATCH($W$7,LenU,0)))^2*INDEX(LayoutF,MATCH(X329,LayoutU,0)),0))</f>
        <v>0</v>
      </c>
      <c r="AR329" s="9" t="n">
        <f aca="false">IF(ISNUMBER(O329),O329*INDEX(LenF,MATCH($O$7,LenU,0)),IF(ISNUMBER(V329),V329*INDEX(LenF,MATCH($V$7,LenU,0)),0))</f>
        <v>0</v>
      </c>
      <c r="AS329" s="9" t="str">
        <f aca="false">IF(ISNUMBER(L329),L329*INDEX(LenF,MATCH($L$7,LenU,0))*1000,IF(OR(J329="",K329=""),"",IFERROR(IF(INDEX(PipeWT,MATCH(J329,NPSU,0),MATCH(K329,SchU,0))="","Sch n/a",INDEX(PipeOD,MATCH(J329,NPSU,0))-2*INDEX(PipeWT,MATCH(J329,NPSU,0),MATCH(K329,SchU,0))),"")))</f>
        <v/>
      </c>
      <c r="AT329" s="9" t="n">
        <f aca="false">IF(ISNUMBER(AI329),AI329,IFERROR(INDEX(IF(JobType="Decontamination",TypeFillDC,TypeFillCC),MATCH(E329,TypeL,0)),1))</f>
        <v>1</v>
      </c>
      <c r="AU329" s="9" t="n">
        <v>10</v>
      </c>
    </row>
    <row r="330" customFormat="false" ht="15" hidden="false" customHeight="false" outlineLevel="0" collapsed="false">
      <c r="A330" s="16" t="n">
        <v>24</v>
      </c>
      <c r="B330" s="20"/>
      <c r="C330" s="5"/>
      <c r="D330" s="5"/>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1" t="str">
        <f aca="false">IF(E330="Exchanger",IF(AND(ISNUMBER(S330),ISNUMBER(U330),ISNUMBER(V330)),S330*PI()/4*(U330*INDEX(LenF,MATCH($U$7,LenU,0)))^2*V330*INDEX(LenF,MATCH($V$7,LenU,0)),0)+IF(ISNUMBER(Y330),PI()/4*(Y330*INDEX(LenF,MATCH($Y$7,LenU,0)))^2*N(Z330)*INDEX(LenF,MATCH($Z$7,LenU,0))+IF(AA330="",0,IF(AA330="Conical",PI()/12*(Y330*INDEX(LenF,MATCH($Y$7,LenU,0)))^2*(0),INDEX(HeadK,MATCH(AA330,HeadU,0))*(Y330*INDEX(LenF,MATCH($Y$7,LenU,0)))^3)),0)+IF(ISNUMBER(Y330),PI()/4*(Y330*INDEX(LenF,MATCH($Y$7,LenU,0)))^2*N(AB330)*INDEX(LenF,MATCH($AB$7,LenU,0))+IF(AC330="",0,IF(AC330="Conical",PI()/12*(Y330*INDEX(LenF,MATCH($Y$7,LenU,0)))^2*(0),INDEX(HeadK,MATCH(AC330,HeadU,0))*(Y330*INDEX(LenF,MATCH($Y$7,LenU,0)))^3)),0),"")</f>
        <v/>
      </c>
      <c r="AE330" s="21" t="str">
        <f aca="false">IF(OR(E330="",E330="Piping"),"",IF(E330="Exchanger",AQ330*AR330+IF(P330="",0,IF(P330="Conical",PI()/12*(SQRT(4*AQ330/PI()))^2*(0),INDEX(HeadK,MATCH(P330,HeadU,0))*(SQRT(4*AQ330/PI()))^3))-IF(AND(ISNUMBER(S330),ISNUMBER(V330)),S330*PI()/4*AP330^2*V330*INDEX(LenF,MATCH($V$7,LenU,0)),0),IF(ISNUMBER(N330),PI()/4*(N330*INDEX(LenF,MATCH($N$7,LenU,0)))^2*N(O330)*INDEX(LenF,MATCH($O$7,LenU,0))+IF(P330="",0,IF(P330="Conical",PI()/12*(N330*INDEX(LenF,MATCH($N$7,LenU,0)))^2*(N(R330)*INDEX(LenF,MATCH($R$7,LenU,0))),INDEX(HeadK,MATCH(P330,HeadU,0))*(N330*INDEX(LenF,MATCH($N$7,LenU,0)))^3))+IF(Q330="",0,IF(Q330="Conical",PI()/12*(N330*INDEX(LenF,MATCH($N$7,LenU,0)))^2*(N(R330)*INDEX(LenF,MATCH($R$7,LenU,0))),INDEX(HeadK,MATCH(Q330,HeadU,0))*(N330*INDEX(LenF,MATCH($N$7,LenU,0)))^3)),0)))</f>
        <v/>
      </c>
      <c r="AF330" s="21" t="str">
        <f aca="false">IF(E330&lt;&gt;"Piping","",IF(AND(ISNUMBER(AS330),ISNUMBER(M330)),PI()/4*(AS330/1000)^2*M330*INDEX(LenF,MATCH($M$7,LenU,0)),0))</f>
        <v/>
      </c>
      <c r="AG330" s="21" t="str">
        <f aca="false">IF(E330="","",N(AD330)+N(AE330)+N(AF330))</f>
        <v/>
      </c>
      <c r="AH330" s="21" t="str">
        <f aca="false">IF(ISNUMBER(I330),I330*INDEX(WtF,MATCH($I$7,WtU,0))/WaterRho,"")</f>
        <v/>
      </c>
      <c r="AI330" s="11"/>
      <c r="AJ330" s="11"/>
      <c r="AK330" s="20"/>
      <c r="AL330" s="11"/>
      <c r="AM330" s="21" t="str">
        <f aca="false">IF(AO330="","",AO330*IF(ISNUMBER(AK330),AK330,DefFills)*(1+IF(ISNUMBER(AL330),AL330,DefAllow)))</f>
        <v/>
      </c>
      <c r="AN330" s="22" t="str">
        <f aca="false">IF(G330="Given volume",IF(ISNUMBER(H330),H330*INDEX(VolF,MATCH($H$7,VolU,0)),""),IF(G330="Water weight",AH330,IF(N(AG330)=0,"",AG330)))</f>
        <v/>
      </c>
      <c r="AO330" s="22" t="str">
        <f aca="false">IF(N(AN330)=0,"",AN330*AT330*IF(ISNUMBER(AJ330),AJ330,DefCirc))</f>
        <v/>
      </c>
      <c r="AP330" s="9" t="n">
        <f aca="false">IF(ISNUMBER(T330),T330*INDEX(LenF,MATCH($T$7,LenU,0)),IF(ISNUMBER(W330),W330*INDEX(LenF,MATCH($W$7,LenU,0))/PitchRatio,0))</f>
        <v>0</v>
      </c>
      <c r="AQ330" s="9" t="n">
        <f aca="false">IF(ISNUMBER(N330),PI()/4*(N330*INDEX(LenF,MATCH($N$7,LenU,0)))^2,IF(AND(ISNUMBER(S330),ISNUMBER(W330),X330&lt;&gt;""),S330*(W330*INDEX(LenF,MATCH($W$7,LenU,0)))^2*INDEX(LayoutF,MATCH(X330,LayoutU,0)),0))</f>
        <v>0</v>
      </c>
      <c r="AR330" s="9" t="n">
        <f aca="false">IF(ISNUMBER(O330),O330*INDEX(LenF,MATCH($O$7,LenU,0)),IF(ISNUMBER(V330),V330*INDEX(LenF,MATCH($V$7,LenU,0)),0))</f>
        <v>0</v>
      </c>
      <c r="AS330" s="9" t="str">
        <f aca="false">IF(ISNUMBER(L330),L330*INDEX(LenF,MATCH($L$7,LenU,0))*1000,IF(OR(J330="",K330=""),"",IFERROR(IF(INDEX(PipeWT,MATCH(J330,NPSU,0),MATCH(K330,SchU,0))="","Sch n/a",INDEX(PipeOD,MATCH(J330,NPSU,0))-2*INDEX(PipeWT,MATCH(J330,NPSU,0),MATCH(K330,SchU,0))),"")))</f>
        <v/>
      </c>
      <c r="AT330" s="9" t="n">
        <f aca="false">IF(ISNUMBER(AI330),AI330,IFERROR(INDEX(IF(JobType="Decontamination",TypeFillDC,TypeFillCC),MATCH(E330,TypeL,0)),1))</f>
        <v>1</v>
      </c>
      <c r="AU330" s="9" t="n">
        <v>10</v>
      </c>
    </row>
    <row r="331" customFormat="false" ht="15" hidden="false" customHeight="false" outlineLevel="0" collapsed="false">
      <c r="A331" s="16" t="n">
        <v>25</v>
      </c>
      <c r="B331" s="20"/>
      <c r="C331" s="5"/>
      <c r="D331" s="5"/>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1" t="str">
        <f aca="false">IF(E331="Exchanger",IF(AND(ISNUMBER(S331),ISNUMBER(U331),ISNUMBER(V331)),S331*PI()/4*(U331*INDEX(LenF,MATCH($U$7,LenU,0)))^2*V331*INDEX(LenF,MATCH($V$7,LenU,0)),0)+IF(ISNUMBER(Y331),PI()/4*(Y331*INDEX(LenF,MATCH($Y$7,LenU,0)))^2*N(Z331)*INDEX(LenF,MATCH($Z$7,LenU,0))+IF(AA331="",0,IF(AA331="Conical",PI()/12*(Y331*INDEX(LenF,MATCH($Y$7,LenU,0)))^2*(0),INDEX(HeadK,MATCH(AA331,HeadU,0))*(Y331*INDEX(LenF,MATCH($Y$7,LenU,0)))^3)),0)+IF(ISNUMBER(Y331),PI()/4*(Y331*INDEX(LenF,MATCH($Y$7,LenU,0)))^2*N(AB331)*INDEX(LenF,MATCH($AB$7,LenU,0))+IF(AC331="",0,IF(AC331="Conical",PI()/12*(Y331*INDEX(LenF,MATCH($Y$7,LenU,0)))^2*(0),INDEX(HeadK,MATCH(AC331,HeadU,0))*(Y331*INDEX(LenF,MATCH($Y$7,LenU,0)))^3)),0),"")</f>
        <v/>
      </c>
      <c r="AE331" s="21" t="str">
        <f aca="false">IF(OR(E331="",E331="Piping"),"",IF(E331="Exchanger",AQ331*AR331+IF(P331="",0,IF(P331="Conical",PI()/12*(SQRT(4*AQ331/PI()))^2*(0),INDEX(HeadK,MATCH(P331,HeadU,0))*(SQRT(4*AQ331/PI()))^3))-IF(AND(ISNUMBER(S331),ISNUMBER(V331)),S331*PI()/4*AP331^2*V331*INDEX(LenF,MATCH($V$7,LenU,0)),0),IF(ISNUMBER(N331),PI()/4*(N331*INDEX(LenF,MATCH($N$7,LenU,0)))^2*N(O331)*INDEX(LenF,MATCH($O$7,LenU,0))+IF(P331="",0,IF(P331="Conical",PI()/12*(N331*INDEX(LenF,MATCH($N$7,LenU,0)))^2*(N(R331)*INDEX(LenF,MATCH($R$7,LenU,0))),INDEX(HeadK,MATCH(P331,HeadU,0))*(N331*INDEX(LenF,MATCH($N$7,LenU,0)))^3))+IF(Q331="",0,IF(Q331="Conical",PI()/12*(N331*INDEX(LenF,MATCH($N$7,LenU,0)))^2*(N(R331)*INDEX(LenF,MATCH($R$7,LenU,0))),INDEX(HeadK,MATCH(Q331,HeadU,0))*(N331*INDEX(LenF,MATCH($N$7,LenU,0)))^3)),0)))</f>
        <v/>
      </c>
      <c r="AF331" s="21" t="str">
        <f aca="false">IF(E331&lt;&gt;"Piping","",IF(AND(ISNUMBER(AS331),ISNUMBER(M331)),PI()/4*(AS331/1000)^2*M331*INDEX(LenF,MATCH($M$7,LenU,0)),0))</f>
        <v/>
      </c>
      <c r="AG331" s="21" t="str">
        <f aca="false">IF(E331="","",N(AD331)+N(AE331)+N(AF331))</f>
        <v/>
      </c>
      <c r="AH331" s="21" t="str">
        <f aca="false">IF(ISNUMBER(I331),I331*INDEX(WtF,MATCH($I$7,WtU,0))/WaterRho,"")</f>
        <v/>
      </c>
      <c r="AI331" s="11"/>
      <c r="AJ331" s="11"/>
      <c r="AK331" s="20"/>
      <c r="AL331" s="11"/>
      <c r="AM331" s="21" t="str">
        <f aca="false">IF(AO331="","",AO331*IF(ISNUMBER(AK331),AK331,DefFills)*(1+IF(ISNUMBER(AL331),AL331,DefAllow)))</f>
        <v/>
      </c>
      <c r="AN331" s="22" t="str">
        <f aca="false">IF(G331="Given volume",IF(ISNUMBER(H331),H331*INDEX(VolF,MATCH($H$7,VolU,0)),""),IF(G331="Water weight",AH331,IF(N(AG331)=0,"",AG331)))</f>
        <v/>
      </c>
      <c r="AO331" s="22" t="str">
        <f aca="false">IF(N(AN331)=0,"",AN331*AT331*IF(ISNUMBER(AJ331),AJ331,DefCirc))</f>
        <v/>
      </c>
      <c r="AP331" s="9" t="n">
        <f aca="false">IF(ISNUMBER(T331),T331*INDEX(LenF,MATCH($T$7,LenU,0)),IF(ISNUMBER(W331),W331*INDEX(LenF,MATCH($W$7,LenU,0))/PitchRatio,0))</f>
        <v>0</v>
      </c>
      <c r="AQ331" s="9" t="n">
        <f aca="false">IF(ISNUMBER(N331),PI()/4*(N331*INDEX(LenF,MATCH($N$7,LenU,0)))^2,IF(AND(ISNUMBER(S331),ISNUMBER(W331),X331&lt;&gt;""),S331*(W331*INDEX(LenF,MATCH($W$7,LenU,0)))^2*INDEX(LayoutF,MATCH(X331,LayoutU,0)),0))</f>
        <v>0</v>
      </c>
      <c r="AR331" s="9" t="n">
        <f aca="false">IF(ISNUMBER(O331),O331*INDEX(LenF,MATCH($O$7,LenU,0)),IF(ISNUMBER(V331),V331*INDEX(LenF,MATCH($V$7,LenU,0)),0))</f>
        <v>0</v>
      </c>
      <c r="AS331" s="9" t="str">
        <f aca="false">IF(ISNUMBER(L331),L331*INDEX(LenF,MATCH($L$7,LenU,0))*1000,IF(OR(J331="",K331=""),"",IFERROR(IF(INDEX(PipeWT,MATCH(J331,NPSU,0),MATCH(K331,SchU,0))="","Sch n/a",INDEX(PipeOD,MATCH(J331,NPSU,0))-2*INDEX(PipeWT,MATCH(J331,NPSU,0),MATCH(K331,SchU,0))),"")))</f>
        <v/>
      </c>
      <c r="AT331" s="9" t="n">
        <f aca="false">IF(ISNUMBER(AI331),AI331,IFERROR(INDEX(IF(JobType="Decontamination",TypeFillDC,TypeFillCC),MATCH(E331,TypeL,0)),1))</f>
        <v>1</v>
      </c>
      <c r="AU331" s="9" t="n">
        <v>10</v>
      </c>
    </row>
    <row r="332" customFormat="false" ht="15" hidden="false" customHeight="false" outlineLevel="0" collapsed="false">
      <c r="A332" s="16" t="n">
        <v>26</v>
      </c>
      <c r="B332" s="20"/>
      <c r="C332" s="5"/>
      <c r="D332" s="5"/>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1" t="str">
        <f aca="false">IF(E332="Exchanger",IF(AND(ISNUMBER(S332),ISNUMBER(U332),ISNUMBER(V332)),S332*PI()/4*(U332*INDEX(LenF,MATCH($U$7,LenU,0)))^2*V332*INDEX(LenF,MATCH($V$7,LenU,0)),0)+IF(ISNUMBER(Y332),PI()/4*(Y332*INDEX(LenF,MATCH($Y$7,LenU,0)))^2*N(Z332)*INDEX(LenF,MATCH($Z$7,LenU,0))+IF(AA332="",0,IF(AA332="Conical",PI()/12*(Y332*INDEX(LenF,MATCH($Y$7,LenU,0)))^2*(0),INDEX(HeadK,MATCH(AA332,HeadU,0))*(Y332*INDEX(LenF,MATCH($Y$7,LenU,0)))^3)),0)+IF(ISNUMBER(Y332),PI()/4*(Y332*INDEX(LenF,MATCH($Y$7,LenU,0)))^2*N(AB332)*INDEX(LenF,MATCH($AB$7,LenU,0))+IF(AC332="",0,IF(AC332="Conical",PI()/12*(Y332*INDEX(LenF,MATCH($Y$7,LenU,0)))^2*(0),INDEX(HeadK,MATCH(AC332,HeadU,0))*(Y332*INDEX(LenF,MATCH($Y$7,LenU,0)))^3)),0),"")</f>
        <v/>
      </c>
      <c r="AE332" s="21" t="str">
        <f aca="false">IF(OR(E332="",E332="Piping"),"",IF(E332="Exchanger",AQ332*AR332+IF(P332="",0,IF(P332="Conical",PI()/12*(SQRT(4*AQ332/PI()))^2*(0),INDEX(HeadK,MATCH(P332,HeadU,0))*(SQRT(4*AQ332/PI()))^3))-IF(AND(ISNUMBER(S332),ISNUMBER(V332)),S332*PI()/4*AP332^2*V332*INDEX(LenF,MATCH($V$7,LenU,0)),0),IF(ISNUMBER(N332),PI()/4*(N332*INDEX(LenF,MATCH($N$7,LenU,0)))^2*N(O332)*INDEX(LenF,MATCH($O$7,LenU,0))+IF(P332="",0,IF(P332="Conical",PI()/12*(N332*INDEX(LenF,MATCH($N$7,LenU,0)))^2*(N(R332)*INDEX(LenF,MATCH($R$7,LenU,0))),INDEX(HeadK,MATCH(P332,HeadU,0))*(N332*INDEX(LenF,MATCH($N$7,LenU,0)))^3))+IF(Q332="",0,IF(Q332="Conical",PI()/12*(N332*INDEX(LenF,MATCH($N$7,LenU,0)))^2*(N(R332)*INDEX(LenF,MATCH($R$7,LenU,0))),INDEX(HeadK,MATCH(Q332,HeadU,0))*(N332*INDEX(LenF,MATCH($N$7,LenU,0)))^3)),0)))</f>
        <v/>
      </c>
      <c r="AF332" s="21" t="str">
        <f aca="false">IF(E332&lt;&gt;"Piping","",IF(AND(ISNUMBER(AS332),ISNUMBER(M332)),PI()/4*(AS332/1000)^2*M332*INDEX(LenF,MATCH($M$7,LenU,0)),0))</f>
        <v/>
      </c>
      <c r="AG332" s="21" t="str">
        <f aca="false">IF(E332="","",N(AD332)+N(AE332)+N(AF332))</f>
        <v/>
      </c>
      <c r="AH332" s="21" t="str">
        <f aca="false">IF(ISNUMBER(I332),I332*INDEX(WtF,MATCH($I$7,WtU,0))/WaterRho,"")</f>
        <v/>
      </c>
      <c r="AI332" s="11"/>
      <c r="AJ332" s="11"/>
      <c r="AK332" s="20"/>
      <c r="AL332" s="11"/>
      <c r="AM332" s="21" t="str">
        <f aca="false">IF(AO332="","",AO332*IF(ISNUMBER(AK332),AK332,DefFills)*(1+IF(ISNUMBER(AL332),AL332,DefAllow)))</f>
        <v/>
      </c>
      <c r="AN332" s="22" t="str">
        <f aca="false">IF(G332="Given volume",IF(ISNUMBER(H332),H332*INDEX(VolF,MATCH($H$7,VolU,0)),""),IF(G332="Water weight",AH332,IF(N(AG332)=0,"",AG332)))</f>
        <v/>
      </c>
      <c r="AO332" s="22" t="str">
        <f aca="false">IF(N(AN332)=0,"",AN332*AT332*IF(ISNUMBER(AJ332),AJ332,DefCirc))</f>
        <v/>
      </c>
      <c r="AP332" s="9" t="n">
        <f aca="false">IF(ISNUMBER(T332),T332*INDEX(LenF,MATCH($T$7,LenU,0)),IF(ISNUMBER(W332),W332*INDEX(LenF,MATCH($W$7,LenU,0))/PitchRatio,0))</f>
        <v>0</v>
      </c>
      <c r="AQ332" s="9" t="n">
        <f aca="false">IF(ISNUMBER(N332),PI()/4*(N332*INDEX(LenF,MATCH($N$7,LenU,0)))^2,IF(AND(ISNUMBER(S332),ISNUMBER(W332),X332&lt;&gt;""),S332*(W332*INDEX(LenF,MATCH($W$7,LenU,0)))^2*INDEX(LayoutF,MATCH(X332,LayoutU,0)),0))</f>
        <v>0</v>
      </c>
      <c r="AR332" s="9" t="n">
        <f aca="false">IF(ISNUMBER(O332),O332*INDEX(LenF,MATCH($O$7,LenU,0)),IF(ISNUMBER(V332),V332*INDEX(LenF,MATCH($V$7,LenU,0)),0))</f>
        <v>0</v>
      </c>
      <c r="AS332" s="9" t="str">
        <f aca="false">IF(ISNUMBER(L332),L332*INDEX(LenF,MATCH($L$7,LenU,0))*1000,IF(OR(J332="",K332=""),"",IFERROR(IF(INDEX(PipeWT,MATCH(J332,NPSU,0),MATCH(K332,SchU,0))="","Sch n/a",INDEX(PipeOD,MATCH(J332,NPSU,0))-2*INDEX(PipeWT,MATCH(J332,NPSU,0),MATCH(K332,SchU,0))),"")))</f>
        <v/>
      </c>
      <c r="AT332" s="9" t="n">
        <f aca="false">IF(ISNUMBER(AI332),AI332,IFERROR(INDEX(IF(JobType="Decontamination",TypeFillDC,TypeFillCC),MATCH(E332,TypeL,0)),1))</f>
        <v>1</v>
      </c>
      <c r="AU332" s="9" t="n">
        <v>10</v>
      </c>
    </row>
    <row r="333" customFormat="false" ht="15" hidden="false" customHeight="false" outlineLevel="0" collapsed="false">
      <c r="A333" s="16" t="n">
        <v>27</v>
      </c>
      <c r="B333" s="20"/>
      <c r="C333" s="5"/>
      <c r="D333" s="5"/>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1" t="str">
        <f aca="false">IF(E333="Exchanger",IF(AND(ISNUMBER(S333),ISNUMBER(U333),ISNUMBER(V333)),S333*PI()/4*(U333*INDEX(LenF,MATCH($U$7,LenU,0)))^2*V333*INDEX(LenF,MATCH($V$7,LenU,0)),0)+IF(ISNUMBER(Y333),PI()/4*(Y333*INDEX(LenF,MATCH($Y$7,LenU,0)))^2*N(Z333)*INDEX(LenF,MATCH($Z$7,LenU,0))+IF(AA333="",0,IF(AA333="Conical",PI()/12*(Y333*INDEX(LenF,MATCH($Y$7,LenU,0)))^2*(0),INDEX(HeadK,MATCH(AA333,HeadU,0))*(Y333*INDEX(LenF,MATCH($Y$7,LenU,0)))^3)),0)+IF(ISNUMBER(Y333),PI()/4*(Y333*INDEX(LenF,MATCH($Y$7,LenU,0)))^2*N(AB333)*INDEX(LenF,MATCH($AB$7,LenU,0))+IF(AC333="",0,IF(AC333="Conical",PI()/12*(Y333*INDEX(LenF,MATCH($Y$7,LenU,0)))^2*(0),INDEX(HeadK,MATCH(AC333,HeadU,0))*(Y333*INDEX(LenF,MATCH($Y$7,LenU,0)))^3)),0),"")</f>
        <v/>
      </c>
      <c r="AE333" s="21" t="str">
        <f aca="false">IF(OR(E333="",E333="Piping"),"",IF(E333="Exchanger",AQ333*AR333+IF(P333="",0,IF(P333="Conical",PI()/12*(SQRT(4*AQ333/PI()))^2*(0),INDEX(HeadK,MATCH(P333,HeadU,0))*(SQRT(4*AQ333/PI()))^3))-IF(AND(ISNUMBER(S333),ISNUMBER(V333)),S333*PI()/4*AP333^2*V333*INDEX(LenF,MATCH($V$7,LenU,0)),0),IF(ISNUMBER(N333),PI()/4*(N333*INDEX(LenF,MATCH($N$7,LenU,0)))^2*N(O333)*INDEX(LenF,MATCH($O$7,LenU,0))+IF(P333="",0,IF(P333="Conical",PI()/12*(N333*INDEX(LenF,MATCH($N$7,LenU,0)))^2*(N(R333)*INDEX(LenF,MATCH($R$7,LenU,0))),INDEX(HeadK,MATCH(P333,HeadU,0))*(N333*INDEX(LenF,MATCH($N$7,LenU,0)))^3))+IF(Q333="",0,IF(Q333="Conical",PI()/12*(N333*INDEX(LenF,MATCH($N$7,LenU,0)))^2*(N(R333)*INDEX(LenF,MATCH($R$7,LenU,0))),INDEX(HeadK,MATCH(Q333,HeadU,0))*(N333*INDEX(LenF,MATCH($N$7,LenU,0)))^3)),0)))</f>
        <v/>
      </c>
      <c r="AF333" s="21" t="str">
        <f aca="false">IF(E333&lt;&gt;"Piping","",IF(AND(ISNUMBER(AS333),ISNUMBER(M333)),PI()/4*(AS333/1000)^2*M333*INDEX(LenF,MATCH($M$7,LenU,0)),0))</f>
        <v/>
      </c>
      <c r="AG333" s="21" t="str">
        <f aca="false">IF(E333="","",N(AD333)+N(AE333)+N(AF333))</f>
        <v/>
      </c>
      <c r="AH333" s="21" t="str">
        <f aca="false">IF(ISNUMBER(I333),I333*INDEX(WtF,MATCH($I$7,WtU,0))/WaterRho,"")</f>
        <v/>
      </c>
      <c r="AI333" s="11"/>
      <c r="AJ333" s="11"/>
      <c r="AK333" s="20"/>
      <c r="AL333" s="11"/>
      <c r="AM333" s="21" t="str">
        <f aca="false">IF(AO333="","",AO333*IF(ISNUMBER(AK333),AK333,DefFills)*(1+IF(ISNUMBER(AL333),AL333,DefAllow)))</f>
        <v/>
      </c>
      <c r="AN333" s="22" t="str">
        <f aca="false">IF(G333="Given volume",IF(ISNUMBER(H333),H333*INDEX(VolF,MATCH($H$7,VolU,0)),""),IF(G333="Water weight",AH333,IF(N(AG333)=0,"",AG333)))</f>
        <v/>
      </c>
      <c r="AO333" s="22" t="str">
        <f aca="false">IF(N(AN333)=0,"",AN333*AT333*IF(ISNUMBER(AJ333),AJ333,DefCirc))</f>
        <v/>
      </c>
      <c r="AP333" s="9" t="n">
        <f aca="false">IF(ISNUMBER(T333),T333*INDEX(LenF,MATCH($T$7,LenU,0)),IF(ISNUMBER(W333),W333*INDEX(LenF,MATCH($W$7,LenU,0))/PitchRatio,0))</f>
        <v>0</v>
      </c>
      <c r="AQ333" s="9" t="n">
        <f aca="false">IF(ISNUMBER(N333),PI()/4*(N333*INDEX(LenF,MATCH($N$7,LenU,0)))^2,IF(AND(ISNUMBER(S333),ISNUMBER(W333),X333&lt;&gt;""),S333*(W333*INDEX(LenF,MATCH($W$7,LenU,0)))^2*INDEX(LayoutF,MATCH(X333,LayoutU,0)),0))</f>
        <v>0</v>
      </c>
      <c r="AR333" s="9" t="n">
        <f aca="false">IF(ISNUMBER(O333),O333*INDEX(LenF,MATCH($O$7,LenU,0)),IF(ISNUMBER(V333),V333*INDEX(LenF,MATCH($V$7,LenU,0)),0))</f>
        <v>0</v>
      </c>
      <c r="AS333" s="9" t="str">
        <f aca="false">IF(ISNUMBER(L333),L333*INDEX(LenF,MATCH($L$7,LenU,0))*1000,IF(OR(J333="",K333=""),"",IFERROR(IF(INDEX(PipeWT,MATCH(J333,NPSU,0),MATCH(K333,SchU,0))="","Sch n/a",INDEX(PipeOD,MATCH(J333,NPSU,0))-2*INDEX(PipeWT,MATCH(J333,NPSU,0),MATCH(K333,SchU,0))),"")))</f>
        <v/>
      </c>
      <c r="AT333" s="9" t="n">
        <f aca="false">IF(ISNUMBER(AI333),AI333,IFERROR(INDEX(IF(JobType="Decontamination",TypeFillDC,TypeFillCC),MATCH(E333,TypeL,0)),1))</f>
        <v>1</v>
      </c>
      <c r="AU333" s="9" t="n">
        <v>10</v>
      </c>
    </row>
    <row r="334" customFormat="false" ht="15" hidden="false" customHeight="false" outlineLevel="0" collapsed="false">
      <c r="A334" s="16" t="n">
        <v>28</v>
      </c>
      <c r="B334" s="20"/>
      <c r="C334" s="5"/>
      <c r="D334" s="5"/>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1" t="str">
        <f aca="false">IF(E334="Exchanger",IF(AND(ISNUMBER(S334),ISNUMBER(U334),ISNUMBER(V334)),S334*PI()/4*(U334*INDEX(LenF,MATCH($U$7,LenU,0)))^2*V334*INDEX(LenF,MATCH($V$7,LenU,0)),0)+IF(ISNUMBER(Y334),PI()/4*(Y334*INDEX(LenF,MATCH($Y$7,LenU,0)))^2*N(Z334)*INDEX(LenF,MATCH($Z$7,LenU,0))+IF(AA334="",0,IF(AA334="Conical",PI()/12*(Y334*INDEX(LenF,MATCH($Y$7,LenU,0)))^2*(0),INDEX(HeadK,MATCH(AA334,HeadU,0))*(Y334*INDEX(LenF,MATCH($Y$7,LenU,0)))^3)),0)+IF(ISNUMBER(Y334),PI()/4*(Y334*INDEX(LenF,MATCH($Y$7,LenU,0)))^2*N(AB334)*INDEX(LenF,MATCH($AB$7,LenU,0))+IF(AC334="",0,IF(AC334="Conical",PI()/12*(Y334*INDEX(LenF,MATCH($Y$7,LenU,0)))^2*(0),INDEX(HeadK,MATCH(AC334,HeadU,0))*(Y334*INDEX(LenF,MATCH($Y$7,LenU,0)))^3)),0),"")</f>
        <v/>
      </c>
      <c r="AE334" s="21" t="str">
        <f aca="false">IF(OR(E334="",E334="Piping"),"",IF(E334="Exchanger",AQ334*AR334+IF(P334="",0,IF(P334="Conical",PI()/12*(SQRT(4*AQ334/PI()))^2*(0),INDEX(HeadK,MATCH(P334,HeadU,0))*(SQRT(4*AQ334/PI()))^3))-IF(AND(ISNUMBER(S334),ISNUMBER(V334)),S334*PI()/4*AP334^2*V334*INDEX(LenF,MATCH($V$7,LenU,0)),0),IF(ISNUMBER(N334),PI()/4*(N334*INDEX(LenF,MATCH($N$7,LenU,0)))^2*N(O334)*INDEX(LenF,MATCH($O$7,LenU,0))+IF(P334="",0,IF(P334="Conical",PI()/12*(N334*INDEX(LenF,MATCH($N$7,LenU,0)))^2*(N(R334)*INDEX(LenF,MATCH($R$7,LenU,0))),INDEX(HeadK,MATCH(P334,HeadU,0))*(N334*INDEX(LenF,MATCH($N$7,LenU,0)))^3))+IF(Q334="",0,IF(Q334="Conical",PI()/12*(N334*INDEX(LenF,MATCH($N$7,LenU,0)))^2*(N(R334)*INDEX(LenF,MATCH($R$7,LenU,0))),INDEX(HeadK,MATCH(Q334,HeadU,0))*(N334*INDEX(LenF,MATCH($N$7,LenU,0)))^3)),0)))</f>
        <v/>
      </c>
      <c r="AF334" s="21" t="str">
        <f aca="false">IF(E334&lt;&gt;"Piping","",IF(AND(ISNUMBER(AS334),ISNUMBER(M334)),PI()/4*(AS334/1000)^2*M334*INDEX(LenF,MATCH($M$7,LenU,0)),0))</f>
        <v/>
      </c>
      <c r="AG334" s="21" t="str">
        <f aca="false">IF(E334="","",N(AD334)+N(AE334)+N(AF334))</f>
        <v/>
      </c>
      <c r="AH334" s="21" t="str">
        <f aca="false">IF(ISNUMBER(I334),I334*INDEX(WtF,MATCH($I$7,WtU,0))/WaterRho,"")</f>
        <v/>
      </c>
      <c r="AI334" s="11"/>
      <c r="AJ334" s="11"/>
      <c r="AK334" s="20"/>
      <c r="AL334" s="11"/>
      <c r="AM334" s="21" t="str">
        <f aca="false">IF(AO334="","",AO334*IF(ISNUMBER(AK334),AK334,DefFills)*(1+IF(ISNUMBER(AL334),AL334,DefAllow)))</f>
        <v/>
      </c>
      <c r="AN334" s="22" t="str">
        <f aca="false">IF(G334="Given volume",IF(ISNUMBER(H334),H334*INDEX(VolF,MATCH($H$7,VolU,0)),""),IF(G334="Water weight",AH334,IF(N(AG334)=0,"",AG334)))</f>
        <v/>
      </c>
      <c r="AO334" s="22" t="str">
        <f aca="false">IF(N(AN334)=0,"",AN334*AT334*IF(ISNUMBER(AJ334),AJ334,DefCirc))</f>
        <v/>
      </c>
      <c r="AP334" s="9" t="n">
        <f aca="false">IF(ISNUMBER(T334),T334*INDEX(LenF,MATCH($T$7,LenU,0)),IF(ISNUMBER(W334),W334*INDEX(LenF,MATCH($W$7,LenU,0))/PitchRatio,0))</f>
        <v>0</v>
      </c>
      <c r="AQ334" s="9" t="n">
        <f aca="false">IF(ISNUMBER(N334),PI()/4*(N334*INDEX(LenF,MATCH($N$7,LenU,0)))^2,IF(AND(ISNUMBER(S334),ISNUMBER(W334),X334&lt;&gt;""),S334*(W334*INDEX(LenF,MATCH($W$7,LenU,0)))^2*INDEX(LayoutF,MATCH(X334,LayoutU,0)),0))</f>
        <v>0</v>
      </c>
      <c r="AR334" s="9" t="n">
        <f aca="false">IF(ISNUMBER(O334),O334*INDEX(LenF,MATCH($O$7,LenU,0)),IF(ISNUMBER(V334),V334*INDEX(LenF,MATCH($V$7,LenU,0)),0))</f>
        <v>0</v>
      </c>
      <c r="AS334" s="9" t="str">
        <f aca="false">IF(ISNUMBER(L334),L334*INDEX(LenF,MATCH($L$7,LenU,0))*1000,IF(OR(J334="",K334=""),"",IFERROR(IF(INDEX(PipeWT,MATCH(J334,NPSU,0),MATCH(K334,SchU,0))="","Sch n/a",INDEX(PipeOD,MATCH(J334,NPSU,0))-2*INDEX(PipeWT,MATCH(J334,NPSU,0),MATCH(K334,SchU,0))),"")))</f>
        <v/>
      </c>
      <c r="AT334" s="9" t="n">
        <f aca="false">IF(ISNUMBER(AI334),AI334,IFERROR(INDEX(IF(JobType="Decontamination",TypeFillDC,TypeFillCC),MATCH(E334,TypeL,0)),1))</f>
        <v>1</v>
      </c>
      <c r="AU334" s="9" t="n">
        <v>10</v>
      </c>
    </row>
    <row r="335" customFormat="false" ht="15" hidden="false" customHeight="false" outlineLevel="0" collapsed="false">
      <c r="A335" s="16" t="n">
        <v>29</v>
      </c>
      <c r="B335" s="20"/>
      <c r="C335" s="5"/>
      <c r="D335" s="5"/>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1" t="str">
        <f aca="false">IF(E335="Exchanger",IF(AND(ISNUMBER(S335),ISNUMBER(U335),ISNUMBER(V335)),S335*PI()/4*(U335*INDEX(LenF,MATCH($U$7,LenU,0)))^2*V335*INDEX(LenF,MATCH($V$7,LenU,0)),0)+IF(ISNUMBER(Y335),PI()/4*(Y335*INDEX(LenF,MATCH($Y$7,LenU,0)))^2*N(Z335)*INDEX(LenF,MATCH($Z$7,LenU,0))+IF(AA335="",0,IF(AA335="Conical",PI()/12*(Y335*INDEX(LenF,MATCH($Y$7,LenU,0)))^2*(0),INDEX(HeadK,MATCH(AA335,HeadU,0))*(Y335*INDEX(LenF,MATCH($Y$7,LenU,0)))^3)),0)+IF(ISNUMBER(Y335),PI()/4*(Y335*INDEX(LenF,MATCH($Y$7,LenU,0)))^2*N(AB335)*INDEX(LenF,MATCH($AB$7,LenU,0))+IF(AC335="",0,IF(AC335="Conical",PI()/12*(Y335*INDEX(LenF,MATCH($Y$7,LenU,0)))^2*(0),INDEX(HeadK,MATCH(AC335,HeadU,0))*(Y335*INDEX(LenF,MATCH($Y$7,LenU,0)))^3)),0),"")</f>
        <v/>
      </c>
      <c r="AE335" s="21" t="str">
        <f aca="false">IF(OR(E335="",E335="Piping"),"",IF(E335="Exchanger",AQ335*AR335+IF(P335="",0,IF(P335="Conical",PI()/12*(SQRT(4*AQ335/PI()))^2*(0),INDEX(HeadK,MATCH(P335,HeadU,0))*(SQRT(4*AQ335/PI()))^3))-IF(AND(ISNUMBER(S335),ISNUMBER(V335)),S335*PI()/4*AP335^2*V335*INDEX(LenF,MATCH($V$7,LenU,0)),0),IF(ISNUMBER(N335),PI()/4*(N335*INDEX(LenF,MATCH($N$7,LenU,0)))^2*N(O335)*INDEX(LenF,MATCH($O$7,LenU,0))+IF(P335="",0,IF(P335="Conical",PI()/12*(N335*INDEX(LenF,MATCH($N$7,LenU,0)))^2*(N(R335)*INDEX(LenF,MATCH($R$7,LenU,0))),INDEX(HeadK,MATCH(P335,HeadU,0))*(N335*INDEX(LenF,MATCH($N$7,LenU,0)))^3))+IF(Q335="",0,IF(Q335="Conical",PI()/12*(N335*INDEX(LenF,MATCH($N$7,LenU,0)))^2*(N(R335)*INDEX(LenF,MATCH($R$7,LenU,0))),INDEX(HeadK,MATCH(Q335,HeadU,0))*(N335*INDEX(LenF,MATCH($N$7,LenU,0)))^3)),0)))</f>
        <v/>
      </c>
      <c r="AF335" s="21" t="str">
        <f aca="false">IF(E335&lt;&gt;"Piping","",IF(AND(ISNUMBER(AS335),ISNUMBER(M335)),PI()/4*(AS335/1000)^2*M335*INDEX(LenF,MATCH($M$7,LenU,0)),0))</f>
        <v/>
      </c>
      <c r="AG335" s="21" t="str">
        <f aca="false">IF(E335="","",N(AD335)+N(AE335)+N(AF335))</f>
        <v/>
      </c>
      <c r="AH335" s="21" t="str">
        <f aca="false">IF(ISNUMBER(I335),I335*INDEX(WtF,MATCH($I$7,WtU,0))/WaterRho,"")</f>
        <v/>
      </c>
      <c r="AI335" s="11"/>
      <c r="AJ335" s="11"/>
      <c r="AK335" s="20"/>
      <c r="AL335" s="11"/>
      <c r="AM335" s="21" t="str">
        <f aca="false">IF(AO335="","",AO335*IF(ISNUMBER(AK335),AK335,DefFills)*(1+IF(ISNUMBER(AL335),AL335,DefAllow)))</f>
        <v/>
      </c>
      <c r="AN335" s="22" t="str">
        <f aca="false">IF(G335="Given volume",IF(ISNUMBER(H335),H335*INDEX(VolF,MATCH($H$7,VolU,0)),""),IF(G335="Water weight",AH335,IF(N(AG335)=0,"",AG335)))</f>
        <v/>
      </c>
      <c r="AO335" s="22" t="str">
        <f aca="false">IF(N(AN335)=0,"",AN335*AT335*IF(ISNUMBER(AJ335),AJ335,DefCirc))</f>
        <v/>
      </c>
      <c r="AP335" s="9" t="n">
        <f aca="false">IF(ISNUMBER(T335),T335*INDEX(LenF,MATCH($T$7,LenU,0)),IF(ISNUMBER(W335),W335*INDEX(LenF,MATCH($W$7,LenU,0))/PitchRatio,0))</f>
        <v>0</v>
      </c>
      <c r="AQ335" s="9" t="n">
        <f aca="false">IF(ISNUMBER(N335),PI()/4*(N335*INDEX(LenF,MATCH($N$7,LenU,0)))^2,IF(AND(ISNUMBER(S335),ISNUMBER(W335),X335&lt;&gt;""),S335*(W335*INDEX(LenF,MATCH($W$7,LenU,0)))^2*INDEX(LayoutF,MATCH(X335,LayoutU,0)),0))</f>
        <v>0</v>
      </c>
      <c r="AR335" s="9" t="n">
        <f aca="false">IF(ISNUMBER(O335),O335*INDEX(LenF,MATCH($O$7,LenU,0)),IF(ISNUMBER(V335),V335*INDEX(LenF,MATCH($V$7,LenU,0)),0))</f>
        <v>0</v>
      </c>
      <c r="AS335" s="9" t="str">
        <f aca="false">IF(ISNUMBER(L335),L335*INDEX(LenF,MATCH($L$7,LenU,0))*1000,IF(OR(J335="",K335=""),"",IFERROR(IF(INDEX(PipeWT,MATCH(J335,NPSU,0),MATCH(K335,SchU,0))="","Sch n/a",INDEX(PipeOD,MATCH(J335,NPSU,0))-2*INDEX(PipeWT,MATCH(J335,NPSU,0),MATCH(K335,SchU,0))),"")))</f>
        <v/>
      </c>
      <c r="AT335" s="9" t="n">
        <f aca="false">IF(ISNUMBER(AI335),AI335,IFERROR(INDEX(IF(JobType="Decontamination",TypeFillDC,TypeFillCC),MATCH(E335,TypeL,0)),1))</f>
        <v>1</v>
      </c>
      <c r="AU335" s="9" t="n">
        <v>10</v>
      </c>
    </row>
    <row r="336" customFormat="false" ht="15" hidden="false" customHeight="false" outlineLevel="0" collapsed="false">
      <c r="A336" s="16" t="n">
        <v>30</v>
      </c>
      <c r="B336" s="20"/>
      <c r="C336" s="5"/>
      <c r="D336" s="5"/>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1" t="str">
        <f aca="false">IF(E336="Exchanger",IF(AND(ISNUMBER(S336),ISNUMBER(U336),ISNUMBER(V336)),S336*PI()/4*(U336*INDEX(LenF,MATCH($U$7,LenU,0)))^2*V336*INDEX(LenF,MATCH($V$7,LenU,0)),0)+IF(ISNUMBER(Y336),PI()/4*(Y336*INDEX(LenF,MATCH($Y$7,LenU,0)))^2*N(Z336)*INDEX(LenF,MATCH($Z$7,LenU,0))+IF(AA336="",0,IF(AA336="Conical",PI()/12*(Y336*INDEX(LenF,MATCH($Y$7,LenU,0)))^2*(0),INDEX(HeadK,MATCH(AA336,HeadU,0))*(Y336*INDEX(LenF,MATCH($Y$7,LenU,0)))^3)),0)+IF(ISNUMBER(Y336),PI()/4*(Y336*INDEX(LenF,MATCH($Y$7,LenU,0)))^2*N(AB336)*INDEX(LenF,MATCH($AB$7,LenU,0))+IF(AC336="",0,IF(AC336="Conical",PI()/12*(Y336*INDEX(LenF,MATCH($Y$7,LenU,0)))^2*(0),INDEX(HeadK,MATCH(AC336,HeadU,0))*(Y336*INDEX(LenF,MATCH($Y$7,LenU,0)))^3)),0),"")</f>
        <v/>
      </c>
      <c r="AE336" s="21" t="str">
        <f aca="false">IF(OR(E336="",E336="Piping"),"",IF(E336="Exchanger",AQ336*AR336+IF(P336="",0,IF(P336="Conical",PI()/12*(SQRT(4*AQ336/PI()))^2*(0),INDEX(HeadK,MATCH(P336,HeadU,0))*(SQRT(4*AQ336/PI()))^3))-IF(AND(ISNUMBER(S336),ISNUMBER(V336)),S336*PI()/4*AP336^2*V336*INDEX(LenF,MATCH($V$7,LenU,0)),0),IF(ISNUMBER(N336),PI()/4*(N336*INDEX(LenF,MATCH($N$7,LenU,0)))^2*N(O336)*INDEX(LenF,MATCH($O$7,LenU,0))+IF(P336="",0,IF(P336="Conical",PI()/12*(N336*INDEX(LenF,MATCH($N$7,LenU,0)))^2*(N(R336)*INDEX(LenF,MATCH($R$7,LenU,0))),INDEX(HeadK,MATCH(P336,HeadU,0))*(N336*INDEX(LenF,MATCH($N$7,LenU,0)))^3))+IF(Q336="",0,IF(Q336="Conical",PI()/12*(N336*INDEX(LenF,MATCH($N$7,LenU,0)))^2*(N(R336)*INDEX(LenF,MATCH($R$7,LenU,0))),INDEX(HeadK,MATCH(Q336,HeadU,0))*(N336*INDEX(LenF,MATCH($N$7,LenU,0)))^3)),0)))</f>
        <v/>
      </c>
      <c r="AF336" s="21" t="str">
        <f aca="false">IF(E336&lt;&gt;"Piping","",IF(AND(ISNUMBER(AS336),ISNUMBER(M336)),PI()/4*(AS336/1000)^2*M336*INDEX(LenF,MATCH($M$7,LenU,0)),0))</f>
        <v/>
      </c>
      <c r="AG336" s="21" t="str">
        <f aca="false">IF(E336="","",N(AD336)+N(AE336)+N(AF336))</f>
        <v/>
      </c>
      <c r="AH336" s="21" t="str">
        <f aca="false">IF(ISNUMBER(I336),I336*INDEX(WtF,MATCH($I$7,WtU,0))/WaterRho,"")</f>
        <v/>
      </c>
      <c r="AI336" s="11"/>
      <c r="AJ336" s="11"/>
      <c r="AK336" s="20"/>
      <c r="AL336" s="11"/>
      <c r="AM336" s="21" t="str">
        <f aca="false">IF(AO336="","",AO336*IF(ISNUMBER(AK336),AK336,DefFills)*(1+IF(ISNUMBER(AL336),AL336,DefAllow)))</f>
        <v/>
      </c>
      <c r="AN336" s="22" t="str">
        <f aca="false">IF(G336="Given volume",IF(ISNUMBER(H336),H336*INDEX(VolF,MATCH($H$7,VolU,0)),""),IF(G336="Water weight",AH336,IF(N(AG336)=0,"",AG336)))</f>
        <v/>
      </c>
      <c r="AO336" s="22" t="str">
        <f aca="false">IF(N(AN336)=0,"",AN336*AT336*IF(ISNUMBER(AJ336),AJ336,DefCirc))</f>
        <v/>
      </c>
      <c r="AP336" s="9" t="n">
        <f aca="false">IF(ISNUMBER(T336),T336*INDEX(LenF,MATCH($T$7,LenU,0)),IF(ISNUMBER(W336),W336*INDEX(LenF,MATCH($W$7,LenU,0))/PitchRatio,0))</f>
        <v>0</v>
      </c>
      <c r="AQ336" s="9" t="n">
        <f aca="false">IF(ISNUMBER(N336),PI()/4*(N336*INDEX(LenF,MATCH($N$7,LenU,0)))^2,IF(AND(ISNUMBER(S336),ISNUMBER(W336),X336&lt;&gt;""),S336*(W336*INDEX(LenF,MATCH($W$7,LenU,0)))^2*INDEX(LayoutF,MATCH(X336,LayoutU,0)),0))</f>
        <v>0</v>
      </c>
      <c r="AR336" s="9" t="n">
        <f aca="false">IF(ISNUMBER(O336),O336*INDEX(LenF,MATCH($O$7,LenU,0)),IF(ISNUMBER(V336),V336*INDEX(LenF,MATCH($V$7,LenU,0)),0))</f>
        <v>0</v>
      </c>
      <c r="AS336" s="9" t="str">
        <f aca="false">IF(ISNUMBER(L336),L336*INDEX(LenF,MATCH($L$7,LenU,0))*1000,IF(OR(J336="",K336=""),"",IFERROR(IF(INDEX(PipeWT,MATCH(J336,NPSU,0),MATCH(K336,SchU,0))="","Sch n/a",INDEX(PipeOD,MATCH(J336,NPSU,0))-2*INDEX(PipeWT,MATCH(J336,NPSU,0),MATCH(K336,SchU,0))),"")))</f>
        <v/>
      </c>
      <c r="AT336" s="9" t="n">
        <f aca="false">IF(ISNUMBER(AI336),AI336,IFERROR(INDEX(IF(JobType="Decontamination",TypeFillDC,TypeFillCC),MATCH(E336,TypeL,0)),1))</f>
        <v>1</v>
      </c>
      <c r="AU336" s="9" t="n">
        <v>10</v>
      </c>
    </row>
    <row r="337" customFormat="false" ht="15" hidden="false" customHeight="false" outlineLevel="0" collapsed="false">
      <c r="A337" s="24" t="str">
        <f aca="false">"TOTAL – "&amp;INDEX(UnitNames,10)</f>
        <v>TOTAL – Unit 10</v>
      </c>
      <c r="B337" s="24"/>
      <c r="C337" s="24"/>
      <c r="D337" s="24"/>
      <c r="E337" s="25"/>
      <c r="F337" s="25"/>
      <c r="G337" s="25"/>
      <c r="H337" s="25"/>
      <c r="I337" s="25"/>
      <c r="J337" s="25"/>
      <c r="K337" s="25"/>
      <c r="L337" s="25"/>
      <c r="M337" s="25"/>
      <c r="N337" s="25"/>
      <c r="O337" s="25"/>
      <c r="P337" s="25"/>
      <c r="Q337" s="25"/>
      <c r="R337" s="25"/>
      <c r="S337" s="26" t="str">
        <f aca="false">COUNT(AN307:AN336)&amp;" items"</f>
        <v>0 items</v>
      </c>
      <c r="T337" s="25"/>
      <c r="U337" s="25"/>
      <c r="V337" s="25"/>
      <c r="W337" s="25"/>
      <c r="X337" s="25"/>
      <c r="Y337" s="25"/>
      <c r="Z337" s="25"/>
      <c r="AA337" s="25"/>
      <c r="AB337" s="25"/>
      <c r="AC337" s="25"/>
      <c r="AD337" s="27" t="n">
        <f aca="false">SUM(AD307:AD336)</f>
        <v>0</v>
      </c>
      <c r="AE337" s="27" t="n">
        <f aca="false">SUM(AE307:AE336)</f>
        <v>0</v>
      </c>
      <c r="AF337" s="27" t="n">
        <f aca="false">SUM(AF307:AF336)</f>
        <v>0</v>
      </c>
      <c r="AG337" s="27" t="n">
        <f aca="false">SUM(AG307:AG336)</f>
        <v>0</v>
      </c>
      <c r="AH337" s="27" t="n">
        <f aca="false">SUM(AH307:AH336)</f>
        <v>0</v>
      </c>
      <c r="AI337" s="25"/>
      <c r="AJ337" s="25"/>
      <c r="AK337" s="25"/>
      <c r="AL337" s="25"/>
      <c r="AM337" s="27" t="n">
        <f aca="false">SUM(AM307:AM336)</f>
        <v>0</v>
      </c>
      <c r="AN337" s="27" t="n">
        <f aca="false">SUM(AN307:AN336)</f>
        <v>0</v>
      </c>
      <c r="AO337" s="27" t="n">
        <f aca="false">SUM(AO307:AO336)</f>
        <v>0</v>
      </c>
    </row>
    <row r="339" customFormat="false" ht="15" hidden="false" customHeight="false" outlineLevel="0" collapsed="false">
      <c r="A339" s="18" t="str">
        <f aca="false">"UNIT 11:  "&amp;INDEX(UnitNames,11)</f>
        <v>UNIT 11:  Unit 11</v>
      </c>
      <c r="B339" s="18"/>
      <c r="C339" s="18"/>
      <c r="D339" s="18"/>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row>
    <row r="340" customFormat="false" ht="15" hidden="false" customHeight="false" outlineLevel="0" collapsed="false">
      <c r="A340" s="16" t="n">
        <v>1</v>
      </c>
      <c r="B340" s="20"/>
      <c r="C340" s="5"/>
      <c r="D340" s="5"/>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1" t="str">
        <f aca="false">IF(E340="Exchanger",IF(AND(ISNUMBER(S340),ISNUMBER(U340),ISNUMBER(V340)),S340*PI()/4*(U340*INDEX(LenF,MATCH($U$7,LenU,0)))^2*V340*INDEX(LenF,MATCH($V$7,LenU,0)),0)+IF(ISNUMBER(Y340),PI()/4*(Y340*INDEX(LenF,MATCH($Y$7,LenU,0)))^2*N(Z340)*INDEX(LenF,MATCH($Z$7,LenU,0))+IF(AA340="",0,IF(AA340="Conical",PI()/12*(Y340*INDEX(LenF,MATCH($Y$7,LenU,0)))^2*(0),INDEX(HeadK,MATCH(AA340,HeadU,0))*(Y340*INDEX(LenF,MATCH($Y$7,LenU,0)))^3)),0)+IF(ISNUMBER(Y340),PI()/4*(Y340*INDEX(LenF,MATCH($Y$7,LenU,0)))^2*N(AB340)*INDEX(LenF,MATCH($AB$7,LenU,0))+IF(AC340="",0,IF(AC340="Conical",PI()/12*(Y340*INDEX(LenF,MATCH($Y$7,LenU,0)))^2*(0),INDEX(HeadK,MATCH(AC340,HeadU,0))*(Y340*INDEX(LenF,MATCH($Y$7,LenU,0)))^3)),0),"")</f>
        <v/>
      </c>
      <c r="AE340" s="21" t="str">
        <f aca="false">IF(OR(E340="",E340="Piping"),"",IF(E340="Exchanger",AQ340*AR340+IF(P340="",0,IF(P340="Conical",PI()/12*(SQRT(4*AQ340/PI()))^2*(0),INDEX(HeadK,MATCH(P340,HeadU,0))*(SQRT(4*AQ340/PI()))^3))-IF(AND(ISNUMBER(S340),ISNUMBER(V340)),S340*PI()/4*AP340^2*V340*INDEX(LenF,MATCH($V$7,LenU,0)),0),IF(ISNUMBER(N340),PI()/4*(N340*INDEX(LenF,MATCH($N$7,LenU,0)))^2*N(O340)*INDEX(LenF,MATCH($O$7,LenU,0))+IF(P340="",0,IF(P340="Conical",PI()/12*(N340*INDEX(LenF,MATCH($N$7,LenU,0)))^2*(N(R340)*INDEX(LenF,MATCH($R$7,LenU,0))),INDEX(HeadK,MATCH(P340,HeadU,0))*(N340*INDEX(LenF,MATCH($N$7,LenU,0)))^3))+IF(Q340="",0,IF(Q340="Conical",PI()/12*(N340*INDEX(LenF,MATCH($N$7,LenU,0)))^2*(N(R340)*INDEX(LenF,MATCH($R$7,LenU,0))),INDEX(HeadK,MATCH(Q340,HeadU,0))*(N340*INDEX(LenF,MATCH($N$7,LenU,0)))^3)),0)))</f>
        <v/>
      </c>
      <c r="AF340" s="21" t="str">
        <f aca="false">IF(E340&lt;&gt;"Piping","",IF(AND(ISNUMBER(AS340),ISNUMBER(M340)),PI()/4*(AS340/1000)^2*M340*INDEX(LenF,MATCH($M$7,LenU,0)),0))</f>
        <v/>
      </c>
      <c r="AG340" s="21" t="str">
        <f aca="false">IF(E340="","",N(AD340)+N(AE340)+N(AF340))</f>
        <v/>
      </c>
      <c r="AH340" s="21" t="str">
        <f aca="false">IF(ISNUMBER(I340),I340*INDEX(WtF,MATCH($I$7,WtU,0))/WaterRho,"")</f>
        <v/>
      </c>
      <c r="AI340" s="11"/>
      <c r="AJ340" s="11"/>
      <c r="AK340" s="20"/>
      <c r="AL340" s="11"/>
      <c r="AM340" s="21" t="str">
        <f aca="false">IF(AO340="","",AO340*IF(ISNUMBER(AK340),AK340,DefFills)*(1+IF(ISNUMBER(AL340),AL340,DefAllow)))</f>
        <v/>
      </c>
      <c r="AN340" s="22" t="str">
        <f aca="false">IF(G340="Given volume",IF(ISNUMBER(H340),H340*INDEX(VolF,MATCH($H$7,VolU,0)),""),IF(G340="Water weight",AH340,IF(N(AG340)=0,"",AG340)))</f>
        <v/>
      </c>
      <c r="AO340" s="22" t="str">
        <f aca="false">IF(N(AN340)=0,"",AN340*AT340*IF(ISNUMBER(AJ340),AJ340,DefCirc))</f>
        <v/>
      </c>
      <c r="AP340" s="9" t="n">
        <f aca="false">IF(ISNUMBER(T340),T340*INDEX(LenF,MATCH($T$7,LenU,0)),IF(ISNUMBER(W340),W340*INDEX(LenF,MATCH($W$7,LenU,0))/PitchRatio,0))</f>
        <v>0</v>
      </c>
      <c r="AQ340" s="9" t="n">
        <f aca="false">IF(ISNUMBER(N340),PI()/4*(N340*INDEX(LenF,MATCH($N$7,LenU,0)))^2,IF(AND(ISNUMBER(S340),ISNUMBER(W340),X340&lt;&gt;""),S340*(W340*INDEX(LenF,MATCH($W$7,LenU,0)))^2*INDEX(LayoutF,MATCH(X340,LayoutU,0)),0))</f>
        <v>0</v>
      </c>
      <c r="AR340" s="9" t="n">
        <f aca="false">IF(ISNUMBER(O340),O340*INDEX(LenF,MATCH($O$7,LenU,0)),IF(ISNUMBER(V340),V340*INDEX(LenF,MATCH($V$7,LenU,0)),0))</f>
        <v>0</v>
      </c>
      <c r="AS340" s="9" t="str">
        <f aca="false">IF(ISNUMBER(L340),L340*INDEX(LenF,MATCH($L$7,LenU,0))*1000,IF(OR(J340="",K340=""),"",IFERROR(IF(INDEX(PipeWT,MATCH(J340,NPSU,0),MATCH(K340,SchU,0))="","Sch n/a",INDEX(PipeOD,MATCH(J340,NPSU,0))-2*INDEX(PipeWT,MATCH(J340,NPSU,0),MATCH(K340,SchU,0))),"")))</f>
        <v/>
      </c>
      <c r="AT340" s="9" t="n">
        <f aca="false">IF(ISNUMBER(AI340),AI340,IFERROR(INDEX(IF(JobType="Decontamination",TypeFillDC,TypeFillCC),MATCH(E340,TypeL,0)),1))</f>
        <v>1</v>
      </c>
      <c r="AU340" s="9" t="n">
        <v>11</v>
      </c>
    </row>
    <row r="341" customFormat="false" ht="15" hidden="false" customHeight="false" outlineLevel="0" collapsed="false">
      <c r="A341" s="16" t="n">
        <v>2</v>
      </c>
      <c r="B341" s="20"/>
      <c r="C341" s="5"/>
      <c r="D341" s="5"/>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1" t="str">
        <f aca="false">IF(E341="Exchanger",IF(AND(ISNUMBER(S341),ISNUMBER(U341),ISNUMBER(V341)),S341*PI()/4*(U341*INDEX(LenF,MATCH($U$7,LenU,0)))^2*V341*INDEX(LenF,MATCH($V$7,LenU,0)),0)+IF(ISNUMBER(Y341),PI()/4*(Y341*INDEX(LenF,MATCH($Y$7,LenU,0)))^2*N(Z341)*INDEX(LenF,MATCH($Z$7,LenU,0))+IF(AA341="",0,IF(AA341="Conical",PI()/12*(Y341*INDEX(LenF,MATCH($Y$7,LenU,0)))^2*(0),INDEX(HeadK,MATCH(AA341,HeadU,0))*(Y341*INDEX(LenF,MATCH($Y$7,LenU,0)))^3)),0)+IF(ISNUMBER(Y341),PI()/4*(Y341*INDEX(LenF,MATCH($Y$7,LenU,0)))^2*N(AB341)*INDEX(LenF,MATCH($AB$7,LenU,0))+IF(AC341="",0,IF(AC341="Conical",PI()/12*(Y341*INDEX(LenF,MATCH($Y$7,LenU,0)))^2*(0),INDEX(HeadK,MATCH(AC341,HeadU,0))*(Y341*INDEX(LenF,MATCH($Y$7,LenU,0)))^3)),0),"")</f>
        <v/>
      </c>
      <c r="AE341" s="21" t="str">
        <f aca="false">IF(OR(E341="",E341="Piping"),"",IF(E341="Exchanger",AQ341*AR341+IF(P341="",0,IF(P341="Conical",PI()/12*(SQRT(4*AQ341/PI()))^2*(0),INDEX(HeadK,MATCH(P341,HeadU,0))*(SQRT(4*AQ341/PI()))^3))-IF(AND(ISNUMBER(S341),ISNUMBER(V341)),S341*PI()/4*AP341^2*V341*INDEX(LenF,MATCH($V$7,LenU,0)),0),IF(ISNUMBER(N341),PI()/4*(N341*INDEX(LenF,MATCH($N$7,LenU,0)))^2*N(O341)*INDEX(LenF,MATCH($O$7,LenU,0))+IF(P341="",0,IF(P341="Conical",PI()/12*(N341*INDEX(LenF,MATCH($N$7,LenU,0)))^2*(N(R341)*INDEX(LenF,MATCH($R$7,LenU,0))),INDEX(HeadK,MATCH(P341,HeadU,0))*(N341*INDEX(LenF,MATCH($N$7,LenU,0)))^3))+IF(Q341="",0,IF(Q341="Conical",PI()/12*(N341*INDEX(LenF,MATCH($N$7,LenU,0)))^2*(N(R341)*INDEX(LenF,MATCH($R$7,LenU,0))),INDEX(HeadK,MATCH(Q341,HeadU,0))*(N341*INDEX(LenF,MATCH($N$7,LenU,0)))^3)),0)))</f>
        <v/>
      </c>
      <c r="AF341" s="21" t="str">
        <f aca="false">IF(E341&lt;&gt;"Piping","",IF(AND(ISNUMBER(AS341),ISNUMBER(M341)),PI()/4*(AS341/1000)^2*M341*INDEX(LenF,MATCH($M$7,LenU,0)),0))</f>
        <v/>
      </c>
      <c r="AG341" s="21" t="str">
        <f aca="false">IF(E341="","",N(AD341)+N(AE341)+N(AF341))</f>
        <v/>
      </c>
      <c r="AH341" s="21" t="str">
        <f aca="false">IF(ISNUMBER(I341),I341*INDEX(WtF,MATCH($I$7,WtU,0))/WaterRho,"")</f>
        <v/>
      </c>
      <c r="AI341" s="11"/>
      <c r="AJ341" s="11"/>
      <c r="AK341" s="20"/>
      <c r="AL341" s="11"/>
      <c r="AM341" s="21" t="str">
        <f aca="false">IF(AO341="","",AO341*IF(ISNUMBER(AK341),AK341,DefFills)*(1+IF(ISNUMBER(AL341),AL341,DefAllow)))</f>
        <v/>
      </c>
      <c r="AN341" s="22" t="str">
        <f aca="false">IF(G341="Given volume",IF(ISNUMBER(H341),H341*INDEX(VolF,MATCH($H$7,VolU,0)),""),IF(G341="Water weight",AH341,IF(N(AG341)=0,"",AG341)))</f>
        <v/>
      </c>
      <c r="AO341" s="22" t="str">
        <f aca="false">IF(N(AN341)=0,"",AN341*AT341*IF(ISNUMBER(AJ341),AJ341,DefCirc))</f>
        <v/>
      </c>
      <c r="AP341" s="9" t="n">
        <f aca="false">IF(ISNUMBER(T341),T341*INDEX(LenF,MATCH($T$7,LenU,0)),IF(ISNUMBER(W341),W341*INDEX(LenF,MATCH($W$7,LenU,0))/PitchRatio,0))</f>
        <v>0</v>
      </c>
      <c r="AQ341" s="9" t="n">
        <f aca="false">IF(ISNUMBER(N341),PI()/4*(N341*INDEX(LenF,MATCH($N$7,LenU,0)))^2,IF(AND(ISNUMBER(S341),ISNUMBER(W341),X341&lt;&gt;""),S341*(W341*INDEX(LenF,MATCH($W$7,LenU,0)))^2*INDEX(LayoutF,MATCH(X341,LayoutU,0)),0))</f>
        <v>0</v>
      </c>
      <c r="AR341" s="9" t="n">
        <f aca="false">IF(ISNUMBER(O341),O341*INDEX(LenF,MATCH($O$7,LenU,0)),IF(ISNUMBER(V341),V341*INDEX(LenF,MATCH($V$7,LenU,0)),0))</f>
        <v>0</v>
      </c>
      <c r="AS341" s="9" t="str">
        <f aca="false">IF(ISNUMBER(L341),L341*INDEX(LenF,MATCH($L$7,LenU,0))*1000,IF(OR(J341="",K341=""),"",IFERROR(IF(INDEX(PipeWT,MATCH(J341,NPSU,0),MATCH(K341,SchU,0))="","Sch n/a",INDEX(PipeOD,MATCH(J341,NPSU,0))-2*INDEX(PipeWT,MATCH(J341,NPSU,0),MATCH(K341,SchU,0))),"")))</f>
        <v/>
      </c>
      <c r="AT341" s="9" t="n">
        <f aca="false">IF(ISNUMBER(AI341),AI341,IFERROR(INDEX(IF(JobType="Decontamination",TypeFillDC,TypeFillCC),MATCH(E341,TypeL,0)),1))</f>
        <v>1</v>
      </c>
      <c r="AU341" s="9" t="n">
        <v>11</v>
      </c>
    </row>
    <row r="342" customFormat="false" ht="15" hidden="false" customHeight="false" outlineLevel="0" collapsed="false">
      <c r="A342" s="16" t="n">
        <v>3</v>
      </c>
      <c r="B342" s="20"/>
      <c r="C342" s="5"/>
      <c r="D342" s="5"/>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1" t="str">
        <f aca="false">IF(E342="Exchanger",IF(AND(ISNUMBER(S342),ISNUMBER(U342),ISNUMBER(V342)),S342*PI()/4*(U342*INDEX(LenF,MATCH($U$7,LenU,0)))^2*V342*INDEX(LenF,MATCH($V$7,LenU,0)),0)+IF(ISNUMBER(Y342),PI()/4*(Y342*INDEX(LenF,MATCH($Y$7,LenU,0)))^2*N(Z342)*INDEX(LenF,MATCH($Z$7,LenU,0))+IF(AA342="",0,IF(AA342="Conical",PI()/12*(Y342*INDEX(LenF,MATCH($Y$7,LenU,0)))^2*(0),INDEX(HeadK,MATCH(AA342,HeadU,0))*(Y342*INDEX(LenF,MATCH($Y$7,LenU,0)))^3)),0)+IF(ISNUMBER(Y342),PI()/4*(Y342*INDEX(LenF,MATCH($Y$7,LenU,0)))^2*N(AB342)*INDEX(LenF,MATCH($AB$7,LenU,0))+IF(AC342="",0,IF(AC342="Conical",PI()/12*(Y342*INDEX(LenF,MATCH($Y$7,LenU,0)))^2*(0),INDEX(HeadK,MATCH(AC342,HeadU,0))*(Y342*INDEX(LenF,MATCH($Y$7,LenU,0)))^3)),0),"")</f>
        <v/>
      </c>
      <c r="AE342" s="21" t="str">
        <f aca="false">IF(OR(E342="",E342="Piping"),"",IF(E342="Exchanger",AQ342*AR342+IF(P342="",0,IF(P342="Conical",PI()/12*(SQRT(4*AQ342/PI()))^2*(0),INDEX(HeadK,MATCH(P342,HeadU,0))*(SQRT(4*AQ342/PI()))^3))-IF(AND(ISNUMBER(S342),ISNUMBER(V342)),S342*PI()/4*AP342^2*V342*INDEX(LenF,MATCH($V$7,LenU,0)),0),IF(ISNUMBER(N342),PI()/4*(N342*INDEX(LenF,MATCH($N$7,LenU,0)))^2*N(O342)*INDEX(LenF,MATCH($O$7,LenU,0))+IF(P342="",0,IF(P342="Conical",PI()/12*(N342*INDEX(LenF,MATCH($N$7,LenU,0)))^2*(N(R342)*INDEX(LenF,MATCH($R$7,LenU,0))),INDEX(HeadK,MATCH(P342,HeadU,0))*(N342*INDEX(LenF,MATCH($N$7,LenU,0)))^3))+IF(Q342="",0,IF(Q342="Conical",PI()/12*(N342*INDEX(LenF,MATCH($N$7,LenU,0)))^2*(N(R342)*INDEX(LenF,MATCH($R$7,LenU,0))),INDEX(HeadK,MATCH(Q342,HeadU,0))*(N342*INDEX(LenF,MATCH($N$7,LenU,0)))^3)),0)))</f>
        <v/>
      </c>
      <c r="AF342" s="21" t="str">
        <f aca="false">IF(E342&lt;&gt;"Piping","",IF(AND(ISNUMBER(AS342),ISNUMBER(M342)),PI()/4*(AS342/1000)^2*M342*INDEX(LenF,MATCH($M$7,LenU,0)),0))</f>
        <v/>
      </c>
      <c r="AG342" s="21" t="str">
        <f aca="false">IF(E342="","",N(AD342)+N(AE342)+N(AF342))</f>
        <v/>
      </c>
      <c r="AH342" s="21" t="str">
        <f aca="false">IF(ISNUMBER(I342),I342*INDEX(WtF,MATCH($I$7,WtU,0))/WaterRho,"")</f>
        <v/>
      </c>
      <c r="AI342" s="11"/>
      <c r="AJ342" s="11"/>
      <c r="AK342" s="20"/>
      <c r="AL342" s="11"/>
      <c r="AM342" s="21" t="str">
        <f aca="false">IF(AO342="","",AO342*IF(ISNUMBER(AK342),AK342,DefFills)*(1+IF(ISNUMBER(AL342),AL342,DefAllow)))</f>
        <v/>
      </c>
      <c r="AN342" s="22" t="str">
        <f aca="false">IF(G342="Given volume",IF(ISNUMBER(H342),H342*INDEX(VolF,MATCH($H$7,VolU,0)),""),IF(G342="Water weight",AH342,IF(N(AG342)=0,"",AG342)))</f>
        <v/>
      </c>
      <c r="AO342" s="22" t="str">
        <f aca="false">IF(N(AN342)=0,"",AN342*AT342*IF(ISNUMBER(AJ342),AJ342,DefCirc))</f>
        <v/>
      </c>
      <c r="AP342" s="9" t="n">
        <f aca="false">IF(ISNUMBER(T342),T342*INDEX(LenF,MATCH($T$7,LenU,0)),IF(ISNUMBER(W342),W342*INDEX(LenF,MATCH($W$7,LenU,0))/PitchRatio,0))</f>
        <v>0</v>
      </c>
      <c r="AQ342" s="9" t="n">
        <f aca="false">IF(ISNUMBER(N342),PI()/4*(N342*INDEX(LenF,MATCH($N$7,LenU,0)))^2,IF(AND(ISNUMBER(S342),ISNUMBER(W342),X342&lt;&gt;""),S342*(W342*INDEX(LenF,MATCH($W$7,LenU,0)))^2*INDEX(LayoutF,MATCH(X342,LayoutU,0)),0))</f>
        <v>0</v>
      </c>
      <c r="AR342" s="9" t="n">
        <f aca="false">IF(ISNUMBER(O342),O342*INDEX(LenF,MATCH($O$7,LenU,0)),IF(ISNUMBER(V342),V342*INDEX(LenF,MATCH($V$7,LenU,0)),0))</f>
        <v>0</v>
      </c>
      <c r="AS342" s="9" t="str">
        <f aca="false">IF(ISNUMBER(L342),L342*INDEX(LenF,MATCH($L$7,LenU,0))*1000,IF(OR(J342="",K342=""),"",IFERROR(IF(INDEX(PipeWT,MATCH(J342,NPSU,0),MATCH(K342,SchU,0))="","Sch n/a",INDEX(PipeOD,MATCH(J342,NPSU,0))-2*INDEX(PipeWT,MATCH(J342,NPSU,0),MATCH(K342,SchU,0))),"")))</f>
        <v/>
      </c>
      <c r="AT342" s="9" t="n">
        <f aca="false">IF(ISNUMBER(AI342),AI342,IFERROR(INDEX(IF(JobType="Decontamination",TypeFillDC,TypeFillCC),MATCH(E342,TypeL,0)),1))</f>
        <v>1</v>
      </c>
      <c r="AU342" s="9" t="n">
        <v>11</v>
      </c>
    </row>
    <row r="343" customFormat="false" ht="15" hidden="false" customHeight="false" outlineLevel="0" collapsed="false">
      <c r="A343" s="16" t="n">
        <v>4</v>
      </c>
      <c r="B343" s="20"/>
      <c r="C343" s="5"/>
      <c r="D343" s="5"/>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1" t="str">
        <f aca="false">IF(E343="Exchanger",IF(AND(ISNUMBER(S343),ISNUMBER(U343),ISNUMBER(V343)),S343*PI()/4*(U343*INDEX(LenF,MATCH($U$7,LenU,0)))^2*V343*INDEX(LenF,MATCH($V$7,LenU,0)),0)+IF(ISNUMBER(Y343),PI()/4*(Y343*INDEX(LenF,MATCH($Y$7,LenU,0)))^2*N(Z343)*INDEX(LenF,MATCH($Z$7,LenU,0))+IF(AA343="",0,IF(AA343="Conical",PI()/12*(Y343*INDEX(LenF,MATCH($Y$7,LenU,0)))^2*(0),INDEX(HeadK,MATCH(AA343,HeadU,0))*(Y343*INDEX(LenF,MATCH($Y$7,LenU,0)))^3)),0)+IF(ISNUMBER(Y343),PI()/4*(Y343*INDEX(LenF,MATCH($Y$7,LenU,0)))^2*N(AB343)*INDEX(LenF,MATCH($AB$7,LenU,0))+IF(AC343="",0,IF(AC343="Conical",PI()/12*(Y343*INDEX(LenF,MATCH($Y$7,LenU,0)))^2*(0),INDEX(HeadK,MATCH(AC343,HeadU,0))*(Y343*INDEX(LenF,MATCH($Y$7,LenU,0)))^3)),0),"")</f>
        <v/>
      </c>
      <c r="AE343" s="21" t="str">
        <f aca="false">IF(OR(E343="",E343="Piping"),"",IF(E343="Exchanger",AQ343*AR343+IF(P343="",0,IF(P343="Conical",PI()/12*(SQRT(4*AQ343/PI()))^2*(0),INDEX(HeadK,MATCH(P343,HeadU,0))*(SQRT(4*AQ343/PI()))^3))-IF(AND(ISNUMBER(S343),ISNUMBER(V343)),S343*PI()/4*AP343^2*V343*INDEX(LenF,MATCH($V$7,LenU,0)),0),IF(ISNUMBER(N343),PI()/4*(N343*INDEX(LenF,MATCH($N$7,LenU,0)))^2*N(O343)*INDEX(LenF,MATCH($O$7,LenU,0))+IF(P343="",0,IF(P343="Conical",PI()/12*(N343*INDEX(LenF,MATCH($N$7,LenU,0)))^2*(N(R343)*INDEX(LenF,MATCH($R$7,LenU,0))),INDEX(HeadK,MATCH(P343,HeadU,0))*(N343*INDEX(LenF,MATCH($N$7,LenU,0)))^3))+IF(Q343="",0,IF(Q343="Conical",PI()/12*(N343*INDEX(LenF,MATCH($N$7,LenU,0)))^2*(N(R343)*INDEX(LenF,MATCH($R$7,LenU,0))),INDEX(HeadK,MATCH(Q343,HeadU,0))*(N343*INDEX(LenF,MATCH($N$7,LenU,0)))^3)),0)))</f>
        <v/>
      </c>
      <c r="AF343" s="21" t="str">
        <f aca="false">IF(E343&lt;&gt;"Piping","",IF(AND(ISNUMBER(AS343),ISNUMBER(M343)),PI()/4*(AS343/1000)^2*M343*INDEX(LenF,MATCH($M$7,LenU,0)),0))</f>
        <v/>
      </c>
      <c r="AG343" s="21" t="str">
        <f aca="false">IF(E343="","",N(AD343)+N(AE343)+N(AF343))</f>
        <v/>
      </c>
      <c r="AH343" s="21" t="str">
        <f aca="false">IF(ISNUMBER(I343),I343*INDEX(WtF,MATCH($I$7,WtU,0))/WaterRho,"")</f>
        <v/>
      </c>
      <c r="AI343" s="11"/>
      <c r="AJ343" s="11"/>
      <c r="AK343" s="20"/>
      <c r="AL343" s="11"/>
      <c r="AM343" s="21" t="str">
        <f aca="false">IF(AO343="","",AO343*IF(ISNUMBER(AK343),AK343,DefFills)*(1+IF(ISNUMBER(AL343),AL343,DefAllow)))</f>
        <v/>
      </c>
      <c r="AN343" s="22" t="str">
        <f aca="false">IF(G343="Given volume",IF(ISNUMBER(H343),H343*INDEX(VolF,MATCH($H$7,VolU,0)),""),IF(G343="Water weight",AH343,IF(N(AG343)=0,"",AG343)))</f>
        <v/>
      </c>
      <c r="AO343" s="22" t="str">
        <f aca="false">IF(N(AN343)=0,"",AN343*AT343*IF(ISNUMBER(AJ343),AJ343,DefCirc))</f>
        <v/>
      </c>
      <c r="AP343" s="9" t="n">
        <f aca="false">IF(ISNUMBER(T343),T343*INDEX(LenF,MATCH($T$7,LenU,0)),IF(ISNUMBER(W343),W343*INDEX(LenF,MATCH($W$7,LenU,0))/PitchRatio,0))</f>
        <v>0</v>
      </c>
      <c r="AQ343" s="9" t="n">
        <f aca="false">IF(ISNUMBER(N343),PI()/4*(N343*INDEX(LenF,MATCH($N$7,LenU,0)))^2,IF(AND(ISNUMBER(S343),ISNUMBER(W343),X343&lt;&gt;""),S343*(W343*INDEX(LenF,MATCH($W$7,LenU,0)))^2*INDEX(LayoutF,MATCH(X343,LayoutU,0)),0))</f>
        <v>0</v>
      </c>
      <c r="AR343" s="9" t="n">
        <f aca="false">IF(ISNUMBER(O343),O343*INDEX(LenF,MATCH($O$7,LenU,0)),IF(ISNUMBER(V343),V343*INDEX(LenF,MATCH($V$7,LenU,0)),0))</f>
        <v>0</v>
      </c>
      <c r="AS343" s="9" t="str">
        <f aca="false">IF(ISNUMBER(L343),L343*INDEX(LenF,MATCH($L$7,LenU,0))*1000,IF(OR(J343="",K343=""),"",IFERROR(IF(INDEX(PipeWT,MATCH(J343,NPSU,0),MATCH(K343,SchU,0))="","Sch n/a",INDEX(PipeOD,MATCH(J343,NPSU,0))-2*INDEX(PipeWT,MATCH(J343,NPSU,0),MATCH(K343,SchU,0))),"")))</f>
        <v/>
      </c>
      <c r="AT343" s="9" t="n">
        <f aca="false">IF(ISNUMBER(AI343),AI343,IFERROR(INDEX(IF(JobType="Decontamination",TypeFillDC,TypeFillCC),MATCH(E343,TypeL,0)),1))</f>
        <v>1</v>
      </c>
      <c r="AU343" s="9" t="n">
        <v>11</v>
      </c>
    </row>
    <row r="344" customFormat="false" ht="15" hidden="false" customHeight="false" outlineLevel="0" collapsed="false">
      <c r="A344" s="16" t="n">
        <v>5</v>
      </c>
      <c r="B344" s="20"/>
      <c r="C344" s="5"/>
      <c r="D344" s="5"/>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1" t="str">
        <f aca="false">IF(E344="Exchanger",IF(AND(ISNUMBER(S344),ISNUMBER(U344),ISNUMBER(V344)),S344*PI()/4*(U344*INDEX(LenF,MATCH($U$7,LenU,0)))^2*V344*INDEX(LenF,MATCH($V$7,LenU,0)),0)+IF(ISNUMBER(Y344),PI()/4*(Y344*INDEX(LenF,MATCH($Y$7,LenU,0)))^2*N(Z344)*INDEX(LenF,MATCH($Z$7,LenU,0))+IF(AA344="",0,IF(AA344="Conical",PI()/12*(Y344*INDEX(LenF,MATCH($Y$7,LenU,0)))^2*(0),INDEX(HeadK,MATCH(AA344,HeadU,0))*(Y344*INDEX(LenF,MATCH($Y$7,LenU,0)))^3)),0)+IF(ISNUMBER(Y344),PI()/4*(Y344*INDEX(LenF,MATCH($Y$7,LenU,0)))^2*N(AB344)*INDEX(LenF,MATCH($AB$7,LenU,0))+IF(AC344="",0,IF(AC344="Conical",PI()/12*(Y344*INDEX(LenF,MATCH($Y$7,LenU,0)))^2*(0),INDEX(HeadK,MATCH(AC344,HeadU,0))*(Y344*INDEX(LenF,MATCH($Y$7,LenU,0)))^3)),0),"")</f>
        <v/>
      </c>
      <c r="AE344" s="21" t="str">
        <f aca="false">IF(OR(E344="",E344="Piping"),"",IF(E344="Exchanger",AQ344*AR344+IF(P344="",0,IF(P344="Conical",PI()/12*(SQRT(4*AQ344/PI()))^2*(0),INDEX(HeadK,MATCH(P344,HeadU,0))*(SQRT(4*AQ344/PI()))^3))-IF(AND(ISNUMBER(S344),ISNUMBER(V344)),S344*PI()/4*AP344^2*V344*INDEX(LenF,MATCH($V$7,LenU,0)),0),IF(ISNUMBER(N344),PI()/4*(N344*INDEX(LenF,MATCH($N$7,LenU,0)))^2*N(O344)*INDEX(LenF,MATCH($O$7,LenU,0))+IF(P344="",0,IF(P344="Conical",PI()/12*(N344*INDEX(LenF,MATCH($N$7,LenU,0)))^2*(N(R344)*INDEX(LenF,MATCH($R$7,LenU,0))),INDEX(HeadK,MATCH(P344,HeadU,0))*(N344*INDEX(LenF,MATCH($N$7,LenU,0)))^3))+IF(Q344="",0,IF(Q344="Conical",PI()/12*(N344*INDEX(LenF,MATCH($N$7,LenU,0)))^2*(N(R344)*INDEX(LenF,MATCH($R$7,LenU,0))),INDEX(HeadK,MATCH(Q344,HeadU,0))*(N344*INDEX(LenF,MATCH($N$7,LenU,0)))^3)),0)))</f>
        <v/>
      </c>
      <c r="AF344" s="21" t="str">
        <f aca="false">IF(E344&lt;&gt;"Piping","",IF(AND(ISNUMBER(AS344),ISNUMBER(M344)),PI()/4*(AS344/1000)^2*M344*INDEX(LenF,MATCH($M$7,LenU,0)),0))</f>
        <v/>
      </c>
      <c r="AG344" s="21" t="str">
        <f aca="false">IF(E344="","",N(AD344)+N(AE344)+N(AF344))</f>
        <v/>
      </c>
      <c r="AH344" s="21" t="str">
        <f aca="false">IF(ISNUMBER(I344),I344*INDEX(WtF,MATCH($I$7,WtU,0))/WaterRho,"")</f>
        <v/>
      </c>
      <c r="AI344" s="11"/>
      <c r="AJ344" s="11"/>
      <c r="AK344" s="20"/>
      <c r="AL344" s="11"/>
      <c r="AM344" s="21" t="str">
        <f aca="false">IF(AO344="","",AO344*IF(ISNUMBER(AK344),AK344,DefFills)*(1+IF(ISNUMBER(AL344),AL344,DefAllow)))</f>
        <v/>
      </c>
      <c r="AN344" s="22" t="str">
        <f aca="false">IF(G344="Given volume",IF(ISNUMBER(H344),H344*INDEX(VolF,MATCH($H$7,VolU,0)),""),IF(G344="Water weight",AH344,IF(N(AG344)=0,"",AG344)))</f>
        <v/>
      </c>
      <c r="AO344" s="22" t="str">
        <f aca="false">IF(N(AN344)=0,"",AN344*AT344*IF(ISNUMBER(AJ344),AJ344,DefCirc))</f>
        <v/>
      </c>
      <c r="AP344" s="9" t="n">
        <f aca="false">IF(ISNUMBER(T344),T344*INDEX(LenF,MATCH($T$7,LenU,0)),IF(ISNUMBER(W344),W344*INDEX(LenF,MATCH($W$7,LenU,0))/PitchRatio,0))</f>
        <v>0</v>
      </c>
      <c r="AQ344" s="9" t="n">
        <f aca="false">IF(ISNUMBER(N344),PI()/4*(N344*INDEX(LenF,MATCH($N$7,LenU,0)))^2,IF(AND(ISNUMBER(S344),ISNUMBER(W344),X344&lt;&gt;""),S344*(W344*INDEX(LenF,MATCH($W$7,LenU,0)))^2*INDEX(LayoutF,MATCH(X344,LayoutU,0)),0))</f>
        <v>0</v>
      </c>
      <c r="AR344" s="9" t="n">
        <f aca="false">IF(ISNUMBER(O344),O344*INDEX(LenF,MATCH($O$7,LenU,0)),IF(ISNUMBER(V344),V344*INDEX(LenF,MATCH($V$7,LenU,0)),0))</f>
        <v>0</v>
      </c>
      <c r="AS344" s="9" t="str">
        <f aca="false">IF(ISNUMBER(L344),L344*INDEX(LenF,MATCH($L$7,LenU,0))*1000,IF(OR(J344="",K344=""),"",IFERROR(IF(INDEX(PipeWT,MATCH(J344,NPSU,0),MATCH(K344,SchU,0))="","Sch n/a",INDEX(PipeOD,MATCH(J344,NPSU,0))-2*INDEX(PipeWT,MATCH(J344,NPSU,0),MATCH(K344,SchU,0))),"")))</f>
        <v/>
      </c>
      <c r="AT344" s="9" t="n">
        <f aca="false">IF(ISNUMBER(AI344),AI344,IFERROR(INDEX(IF(JobType="Decontamination",TypeFillDC,TypeFillCC),MATCH(E344,TypeL,0)),1))</f>
        <v>1</v>
      </c>
      <c r="AU344" s="9" t="n">
        <v>11</v>
      </c>
    </row>
    <row r="345" customFormat="false" ht="15" hidden="false" customHeight="false" outlineLevel="0" collapsed="false">
      <c r="A345" s="16" t="n">
        <v>6</v>
      </c>
      <c r="B345" s="20"/>
      <c r="C345" s="5"/>
      <c r="D345" s="5"/>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1" t="str">
        <f aca="false">IF(E345="Exchanger",IF(AND(ISNUMBER(S345),ISNUMBER(U345),ISNUMBER(V345)),S345*PI()/4*(U345*INDEX(LenF,MATCH($U$7,LenU,0)))^2*V345*INDEX(LenF,MATCH($V$7,LenU,0)),0)+IF(ISNUMBER(Y345),PI()/4*(Y345*INDEX(LenF,MATCH($Y$7,LenU,0)))^2*N(Z345)*INDEX(LenF,MATCH($Z$7,LenU,0))+IF(AA345="",0,IF(AA345="Conical",PI()/12*(Y345*INDEX(LenF,MATCH($Y$7,LenU,0)))^2*(0),INDEX(HeadK,MATCH(AA345,HeadU,0))*(Y345*INDEX(LenF,MATCH($Y$7,LenU,0)))^3)),0)+IF(ISNUMBER(Y345),PI()/4*(Y345*INDEX(LenF,MATCH($Y$7,LenU,0)))^2*N(AB345)*INDEX(LenF,MATCH($AB$7,LenU,0))+IF(AC345="",0,IF(AC345="Conical",PI()/12*(Y345*INDEX(LenF,MATCH($Y$7,LenU,0)))^2*(0),INDEX(HeadK,MATCH(AC345,HeadU,0))*(Y345*INDEX(LenF,MATCH($Y$7,LenU,0)))^3)),0),"")</f>
        <v/>
      </c>
      <c r="AE345" s="21" t="str">
        <f aca="false">IF(OR(E345="",E345="Piping"),"",IF(E345="Exchanger",AQ345*AR345+IF(P345="",0,IF(P345="Conical",PI()/12*(SQRT(4*AQ345/PI()))^2*(0),INDEX(HeadK,MATCH(P345,HeadU,0))*(SQRT(4*AQ345/PI()))^3))-IF(AND(ISNUMBER(S345),ISNUMBER(V345)),S345*PI()/4*AP345^2*V345*INDEX(LenF,MATCH($V$7,LenU,0)),0),IF(ISNUMBER(N345),PI()/4*(N345*INDEX(LenF,MATCH($N$7,LenU,0)))^2*N(O345)*INDEX(LenF,MATCH($O$7,LenU,0))+IF(P345="",0,IF(P345="Conical",PI()/12*(N345*INDEX(LenF,MATCH($N$7,LenU,0)))^2*(N(R345)*INDEX(LenF,MATCH($R$7,LenU,0))),INDEX(HeadK,MATCH(P345,HeadU,0))*(N345*INDEX(LenF,MATCH($N$7,LenU,0)))^3))+IF(Q345="",0,IF(Q345="Conical",PI()/12*(N345*INDEX(LenF,MATCH($N$7,LenU,0)))^2*(N(R345)*INDEX(LenF,MATCH($R$7,LenU,0))),INDEX(HeadK,MATCH(Q345,HeadU,0))*(N345*INDEX(LenF,MATCH($N$7,LenU,0)))^3)),0)))</f>
        <v/>
      </c>
      <c r="AF345" s="21" t="str">
        <f aca="false">IF(E345&lt;&gt;"Piping","",IF(AND(ISNUMBER(AS345),ISNUMBER(M345)),PI()/4*(AS345/1000)^2*M345*INDEX(LenF,MATCH($M$7,LenU,0)),0))</f>
        <v/>
      </c>
      <c r="AG345" s="21" t="str">
        <f aca="false">IF(E345="","",N(AD345)+N(AE345)+N(AF345))</f>
        <v/>
      </c>
      <c r="AH345" s="21" t="str">
        <f aca="false">IF(ISNUMBER(I345),I345*INDEX(WtF,MATCH($I$7,WtU,0))/WaterRho,"")</f>
        <v/>
      </c>
      <c r="AI345" s="11"/>
      <c r="AJ345" s="11"/>
      <c r="AK345" s="20"/>
      <c r="AL345" s="11"/>
      <c r="AM345" s="21" t="str">
        <f aca="false">IF(AO345="","",AO345*IF(ISNUMBER(AK345),AK345,DefFills)*(1+IF(ISNUMBER(AL345),AL345,DefAllow)))</f>
        <v/>
      </c>
      <c r="AN345" s="22" t="str">
        <f aca="false">IF(G345="Given volume",IF(ISNUMBER(H345),H345*INDEX(VolF,MATCH($H$7,VolU,0)),""),IF(G345="Water weight",AH345,IF(N(AG345)=0,"",AG345)))</f>
        <v/>
      </c>
      <c r="AO345" s="22" t="str">
        <f aca="false">IF(N(AN345)=0,"",AN345*AT345*IF(ISNUMBER(AJ345),AJ345,DefCirc))</f>
        <v/>
      </c>
      <c r="AP345" s="9" t="n">
        <f aca="false">IF(ISNUMBER(T345),T345*INDEX(LenF,MATCH($T$7,LenU,0)),IF(ISNUMBER(W345),W345*INDEX(LenF,MATCH($W$7,LenU,0))/PitchRatio,0))</f>
        <v>0</v>
      </c>
      <c r="AQ345" s="9" t="n">
        <f aca="false">IF(ISNUMBER(N345),PI()/4*(N345*INDEX(LenF,MATCH($N$7,LenU,0)))^2,IF(AND(ISNUMBER(S345),ISNUMBER(W345),X345&lt;&gt;""),S345*(W345*INDEX(LenF,MATCH($W$7,LenU,0)))^2*INDEX(LayoutF,MATCH(X345,LayoutU,0)),0))</f>
        <v>0</v>
      </c>
      <c r="AR345" s="9" t="n">
        <f aca="false">IF(ISNUMBER(O345),O345*INDEX(LenF,MATCH($O$7,LenU,0)),IF(ISNUMBER(V345),V345*INDEX(LenF,MATCH($V$7,LenU,0)),0))</f>
        <v>0</v>
      </c>
      <c r="AS345" s="9" t="str">
        <f aca="false">IF(ISNUMBER(L345),L345*INDEX(LenF,MATCH($L$7,LenU,0))*1000,IF(OR(J345="",K345=""),"",IFERROR(IF(INDEX(PipeWT,MATCH(J345,NPSU,0),MATCH(K345,SchU,0))="","Sch n/a",INDEX(PipeOD,MATCH(J345,NPSU,0))-2*INDEX(PipeWT,MATCH(J345,NPSU,0),MATCH(K345,SchU,0))),"")))</f>
        <v/>
      </c>
      <c r="AT345" s="9" t="n">
        <f aca="false">IF(ISNUMBER(AI345),AI345,IFERROR(INDEX(IF(JobType="Decontamination",TypeFillDC,TypeFillCC),MATCH(E345,TypeL,0)),1))</f>
        <v>1</v>
      </c>
      <c r="AU345" s="9" t="n">
        <v>11</v>
      </c>
    </row>
    <row r="346" customFormat="false" ht="15" hidden="false" customHeight="false" outlineLevel="0" collapsed="false">
      <c r="A346" s="16" t="n">
        <v>7</v>
      </c>
      <c r="B346" s="20"/>
      <c r="C346" s="5"/>
      <c r="D346" s="5"/>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1" t="str">
        <f aca="false">IF(E346="Exchanger",IF(AND(ISNUMBER(S346),ISNUMBER(U346),ISNUMBER(V346)),S346*PI()/4*(U346*INDEX(LenF,MATCH($U$7,LenU,0)))^2*V346*INDEX(LenF,MATCH($V$7,LenU,0)),0)+IF(ISNUMBER(Y346),PI()/4*(Y346*INDEX(LenF,MATCH($Y$7,LenU,0)))^2*N(Z346)*INDEX(LenF,MATCH($Z$7,LenU,0))+IF(AA346="",0,IF(AA346="Conical",PI()/12*(Y346*INDEX(LenF,MATCH($Y$7,LenU,0)))^2*(0),INDEX(HeadK,MATCH(AA346,HeadU,0))*(Y346*INDEX(LenF,MATCH($Y$7,LenU,0)))^3)),0)+IF(ISNUMBER(Y346),PI()/4*(Y346*INDEX(LenF,MATCH($Y$7,LenU,0)))^2*N(AB346)*INDEX(LenF,MATCH($AB$7,LenU,0))+IF(AC346="",0,IF(AC346="Conical",PI()/12*(Y346*INDEX(LenF,MATCH($Y$7,LenU,0)))^2*(0),INDEX(HeadK,MATCH(AC346,HeadU,0))*(Y346*INDEX(LenF,MATCH($Y$7,LenU,0)))^3)),0),"")</f>
        <v/>
      </c>
      <c r="AE346" s="21" t="str">
        <f aca="false">IF(OR(E346="",E346="Piping"),"",IF(E346="Exchanger",AQ346*AR346+IF(P346="",0,IF(P346="Conical",PI()/12*(SQRT(4*AQ346/PI()))^2*(0),INDEX(HeadK,MATCH(P346,HeadU,0))*(SQRT(4*AQ346/PI()))^3))-IF(AND(ISNUMBER(S346),ISNUMBER(V346)),S346*PI()/4*AP346^2*V346*INDEX(LenF,MATCH($V$7,LenU,0)),0),IF(ISNUMBER(N346),PI()/4*(N346*INDEX(LenF,MATCH($N$7,LenU,0)))^2*N(O346)*INDEX(LenF,MATCH($O$7,LenU,0))+IF(P346="",0,IF(P346="Conical",PI()/12*(N346*INDEX(LenF,MATCH($N$7,LenU,0)))^2*(N(R346)*INDEX(LenF,MATCH($R$7,LenU,0))),INDEX(HeadK,MATCH(P346,HeadU,0))*(N346*INDEX(LenF,MATCH($N$7,LenU,0)))^3))+IF(Q346="",0,IF(Q346="Conical",PI()/12*(N346*INDEX(LenF,MATCH($N$7,LenU,0)))^2*(N(R346)*INDEX(LenF,MATCH($R$7,LenU,0))),INDEX(HeadK,MATCH(Q346,HeadU,0))*(N346*INDEX(LenF,MATCH($N$7,LenU,0)))^3)),0)))</f>
        <v/>
      </c>
      <c r="AF346" s="21" t="str">
        <f aca="false">IF(E346&lt;&gt;"Piping","",IF(AND(ISNUMBER(AS346),ISNUMBER(M346)),PI()/4*(AS346/1000)^2*M346*INDEX(LenF,MATCH($M$7,LenU,0)),0))</f>
        <v/>
      </c>
      <c r="AG346" s="21" t="str">
        <f aca="false">IF(E346="","",N(AD346)+N(AE346)+N(AF346))</f>
        <v/>
      </c>
      <c r="AH346" s="21" t="str">
        <f aca="false">IF(ISNUMBER(I346),I346*INDEX(WtF,MATCH($I$7,WtU,0))/WaterRho,"")</f>
        <v/>
      </c>
      <c r="AI346" s="11"/>
      <c r="AJ346" s="11"/>
      <c r="AK346" s="20"/>
      <c r="AL346" s="11"/>
      <c r="AM346" s="21" t="str">
        <f aca="false">IF(AO346="","",AO346*IF(ISNUMBER(AK346),AK346,DefFills)*(1+IF(ISNUMBER(AL346),AL346,DefAllow)))</f>
        <v/>
      </c>
      <c r="AN346" s="22" t="str">
        <f aca="false">IF(G346="Given volume",IF(ISNUMBER(H346),H346*INDEX(VolF,MATCH($H$7,VolU,0)),""),IF(G346="Water weight",AH346,IF(N(AG346)=0,"",AG346)))</f>
        <v/>
      </c>
      <c r="AO346" s="22" t="str">
        <f aca="false">IF(N(AN346)=0,"",AN346*AT346*IF(ISNUMBER(AJ346),AJ346,DefCirc))</f>
        <v/>
      </c>
      <c r="AP346" s="9" t="n">
        <f aca="false">IF(ISNUMBER(T346),T346*INDEX(LenF,MATCH($T$7,LenU,0)),IF(ISNUMBER(W346),W346*INDEX(LenF,MATCH($W$7,LenU,0))/PitchRatio,0))</f>
        <v>0</v>
      </c>
      <c r="AQ346" s="9" t="n">
        <f aca="false">IF(ISNUMBER(N346),PI()/4*(N346*INDEX(LenF,MATCH($N$7,LenU,0)))^2,IF(AND(ISNUMBER(S346),ISNUMBER(W346),X346&lt;&gt;""),S346*(W346*INDEX(LenF,MATCH($W$7,LenU,0)))^2*INDEX(LayoutF,MATCH(X346,LayoutU,0)),0))</f>
        <v>0</v>
      </c>
      <c r="AR346" s="9" t="n">
        <f aca="false">IF(ISNUMBER(O346),O346*INDEX(LenF,MATCH($O$7,LenU,0)),IF(ISNUMBER(V346),V346*INDEX(LenF,MATCH($V$7,LenU,0)),0))</f>
        <v>0</v>
      </c>
      <c r="AS346" s="9" t="str">
        <f aca="false">IF(ISNUMBER(L346),L346*INDEX(LenF,MATCH($L$7,LenU,0))*1000,IF(OR(J346="",K346=""),"",IFERROR(IF(INDEX(PipeWT,MATCH(J346,NPSU,0),MATCH(K346,SchU,0))="","Sch n/a",INDEX(PipeOD,MATCH(J346,NPSU,0))-2*INDEX(PipeWT,MATCH(J346,NPSU,0),MATCH(K346,SchU,0))),"")))</f>
        <v/>
      </c>
      <c r="AT346" s="9" t="n">
        <f aca="false">IF(ISNUMBER(AI346),AI346,IFERROR(INDEX(IF(JobType="Decontamination",TypeFillDC,TypeFillCC),MATCH(E346,TypeL,0)),1))</f>
        <v>1</v>
      </c>
      <c r="AU346" s="9" t="n">
        <v>11</v>
      </c>
    </row>
    <row r="347" customFormat="false" ht="15" hidden="false" customHeight="false" outlineLevel="0" collapsed="false">
      <c r="A347" s="16" t="n">
        <v>8</v>
      </c>
      <c r="B347" s="20"/>
      <c r="C347" s="5"/>
      <c r="D347" s="5"/>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1" t="str">
        <f aca="false">IF(E347="Exchanger",IF(AND(ISNUMBER(S347),ISNUMBER(U347),ISNUMBER(V347)),S347*PI()/4*(U347*INDEX(LenF,MATCH($U$7,LenU,0)))^2*V347*INDEX(LenF,MATCH($V$7,LenU,0)),0)+IF(ISNUMBER(Y347),PI()/4*(Y347*INDEX(LenF,MATCH($Y$7,LenU,0)))^2*N(Z347)*INDEX(LenF,MATCH($Z$7,LenU,0))+IF(AA347="",0,IF(AA347="Conical",PI()/12*(Y347*INDEX(LenF,MATCH($Y$7,LenU,0)))^2*(0),INDEX(HeadK,MATCH(AA347,HeadU,0))*(Y347*INDEX(LenF,MATCH($Y$7,LenU,0)))^3)),0)+IF(ISNUMBER(Y347),PI()/4*(Y347*INDEX(LenF,MATCH($Y$7,LenU,0)))^2*N(AB347)*INDEX(LenF,MATCH($AB$7,LenU,0))+IF(AC347="",0,IF(AC347="Conical",PI()/12*(Y347*INDEX(LenF,MATCH($Y$7,LenU,0)))^2*(0),INDEX(HeadK,MATCH(AC347,HeadU,0))*(Y347*INDEX(LenF,MATCH($Y$7,LenU,0)))^3)),0),"")</f>
        <v/>
      </c>
      <c r="AE347" s="21" t="str">
        <f aca="false">IF(OR(E347="",E347="Piping"),"",IF(E347="Exchanger",AQ347*AR347+IF(P347="",0,IF(P347="Conical",PI()/12*(SQRT(4*AQ347/PI()))^2*(0),INDEX(HeadK,MATCH(P347,HeadU,0))*(SQRT(4*AQ347/PI()))^3))-IF(AND(ISNUMBER(S347),ISNUMBER(V347)),S347*PI()/4*AP347^2*V347*INDEX(LenF,MATCH($V$7,LenU,0)),0),IF(ISNUMBER(N347),PI()/4*(N347*INDEX(LenF,MATCH($N$7,LenU,0)))^2*N(O347)*INDEX(LenF,MATCH($O$7,LenU,0))+IF(P347="",0,IF(P347="Conical",PI()/12*(N347*INDEX(LenF,MATCH($N$7,LenU,0)))^2*(N(R347)*INDEX(LenF,MATCH($R$7,LenU,0))),INDEX(HeadK,MATCH(P347,HeadU,0))*(N347*INDEX(LenF,MATCH($N$7,LenU,0)))^3))+IF(Q347="",0,IF(Q347="Conical",PI()/12*(N347*INDEX(LenF,MATCH($N$7,LenU,0)))^2*(N(R347)*INDEX(LenF,MATCH($R$7,LenU,0))),INDEX(HeadK,MATCH(Q347,HeadU,0))*(N347*INDEX(LenF,MATCH($N$7,LenU,0)))^3)),0)))</f>
        <v/>
      </c>
      <c r="AF347" s="21" t="str">
        <f aca="false">IF(E347&lt;&gt;"Piping","",IF(AND(ISNUMBER(AS347),ISNUMBER(M347)),PI()/4*(AS347/1000)^2*M347*INDEX(LenF,MATCH($M$7,LenU,0)),0))</f>
        <v/>
      </c>
      <c r="AG347" s="21" t="str">
        <f aca="false">IF(E347="","",N(AD347)+N(AE347)+N(AF347))</f>
        <v/>
      </c>
      <c r="AH347" s="21" t="str">
        <f aca="false">IF(ISNUMBER(I347),I347*INDEX(WtF,MATCH($I$7,WtU,0))/WaterRho,"")</f>
        <v/>
      </c>
      <c r="AI347" s="11"/>
      <c r="AJ347" s="11"/>
      <c r="AK347" s="20"/>
      <c r="AL347" s="11"/>
      <c r="AM347" s="21" t="str">
        <f aca="false">IF(AO347="","",AO347*IF(ISNUMBER(AK347),AK347,DefFills)*(1+IF(ISNUMBER(AL347),AL347,DefAllow)))</f>
        <v/>
      </c>
      <c r="AN347" s="22" t="str">
        <f aca="false">IF(G347="Given volume",IF(ISNUMBER(H347),H347*INDEX(VolF,MATCH($H$7,VolU,0)),""),IF(G347="Water weight",AH347,IF(N(AG347)=0,"",AG347)))</f>
        <v/>
      </c>
      <c r="AO347" s="22" t="str">
        <f aca="false">IF(N(AN347)=0,"",AN347*AT347*IF(ISNUMBER(AJ347),AJ347,DefCirc))</f>
        <v/>
      </c>
      <c r="AP347" s="9" t="n">
        <f aca="false">IF(ISNUMBER(T347),T347*INDEX(LenF,MATCH($T$7,LenU,0)),IF(ISNUMBER(W347),W347*INDEX(LenF,MATCH($W$7,LenU,0))/PitchRatio,0))</f>
        <v>0</v>
      </c>
      <c r="AQ347" s="9" t="n">
        <f aca="false">IF(ISNUMBER(N347),PI()/4*(N347*INDEX(LenF,MATCH($N$7,LenU,0)))^2,IF(AND(ISNUMBER(S347),ISNUMBER(W347),X347&lt;&gt;""),S347*(W347*INDEX(LenF,MATCH($W$7,LenU,0)))^2*INDEX(LayoutF,MATCH(X347,LayoutU,0)),0))</f>
        <v>0</v>
      </c>
      <c r="AR347" s="9" t="n">
        <f aca="false">IF(ISNUMBER(O347),O347*INDEX(LenF,MATCH($O$7,LenU,0)),IF(ISNUMBER(V347),V347*INDEX(LenF,MATCH($V$7,LenU,0)),0))</f>
        <v>0</v>
      </c>
      <c r="AS347" s="9" t="str">
        <f aca="false">IF(ISNUMBER(L347),L347*INDEX(LenF,MATCH($L$7,LenU,0))*1000,IF(OR(J347="",K347=""),"",IFERROR(IF(INDEX(PipeWT,MATCH(J347,NPSU,0),MATCH(K347,SchU,0))="","Sch n/a",INDEX(PipeOD,MATCH(J347,NPSU,0))-2*INDEX(PipeWT,MATCH(J347,NPSU,0),MATCH(K347,SchU,0))),"")))</f>
        <v/>
      </c>
      <c r="AT347" s="9" t="n">
        <f aca="false">IF(ISNUMBER(AI347),AI347,IFERROR(INDEX(IF(JobType="Decontamination",TypeFillDC,TypeFillCC),MATCH(E347,TypeL,0)),1))</f>
        <v>1</v>
      </c>
      <c r="AU347" s="9" t="n">
        <v>11</v>
      </c>
    </row>
    <row r="348" customFormat="false" ht="15" hidden="false" customHeight="false" outlineLevel="0" collapsed="false">
      <c r="A348" s="16" t="n">
        <v>9</v>
      </c>
      <c r="B348" s="20"/>
      <c r="C348" s="5"/>
      <c r="D348" s="5"/>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1" t="str">
        <f aca="false">IF(E348="Exchanger",IF(AND(ISNUMBER(S348),ISNUMBER(U348),ISNUMBER(V348)),S348*PI()/4*(U348*INDEX(LenF,MATCH($U$7,LenU,0)))^2*V348*INDEX(LenF,MATCH($V$7,LenU,0)),0)+IF(ISNUMBER(Y348),PI()/4*(Y348*INDEX(LenF,MATCH($Y$7,LenU,0)))^2*N(Z348)*INDEX(LenF,MATCH($Z$7,LenU,0))+IF(AA348="",0,IF(AA348="Conical",PI()/12*(Y348*INDEX(LenF,MATCH($Y$7,LenU,0)))^2*(0),INDEX(HeadK,MATCH(AA348,HeadU,0))*(Y348*INDEX(LenF,MATCH($Y$7,LenU,0)))^3)),0)+IF(ISNUMBER(Y348),PI()/4*(Y348*INDEX(LenF,MATCH($Y$7,LenU,0)))^2*N(AB348)*INDEX(LenF,MATCH($AB$7,LenU,0))+IF(AC348="",0,IF(AC348="Conical",PI()/12*(Y348*INDEX(LenF,MATCH($Y$7,LenU,0)))^2*(0),INDEX(HeadK,MATCH(AC348,HeadU,0))*(Y348*INDEX(LenF,MATCH($Y$7,LenU,0)))^3)),0),"")</f>
        <v/>
      </c>
      <c r="AE348" s="21" t="str">
        <f aca="false">IF(OR(E348="",E348="Piping"),"",IF(E348="Exchanger",AQ348*AR348+IF(P348="",0,IF(P348="Conical",PI()/12*(SQRT(4*AQ348/PI()))^2*(0),INDEX(HeadK,MATCH(P348,HeadU,0))*(SQRT(4*AQ348/PI()))^3))-IF(AND(ISNUMBER(S348),ISNUMBER(V348)),S348*PI()/4*AP348^2*V348*INDEX(LenF,MATCH($V$7,LenU,0)),0),IF(ISNUMBER(N348),PI()/4*(N348*INDEX(LenF,MATCH($N$7,LenU,0)))^2*N(O348)*INDEX(LenF,MATCH($O$7,LenU,0))+IF(P348="",0,IF(P348="Conical",PI()/12*(N348*INDEX(LenF,MATCH($N$7,LenU,0)))^2*(N(R348)*INDEX(LenF,MATCH($R$7,LenU,0))),INDEX(HeadK,MATCH(P348,HeadU,0))*(N348*INDEX(LenF,MATCH($N$7,LenU,0)))^3))+IF(Q348="",0,IF(Q348="Conical",PI()/12*(N348*INDEX(LenF,MATCH($N$7,LenU,0)))^2*(N(R348)*INDEX(LenF,MATCH($R$7,LenU,0))),INDEX(HeadK,MATCH(Q348,HeadU,0))*(N348*INDEX(LenF,MATCH($N$7,LenU,0)))^3)),0)))</f>
        <v/>
      </c>
      <c r="AF348" s="21" t="str">
        <f aca="false">IF(E348&lt;&gt;"Piping","",IF(AND(ISNUMBER(AS348),ISNUMBER(M348)),PI()/4*(AS348/1000)^2*M348*INDEX(LenF,MATCH($M$7,LenU,0)),0))</f>
        <v/>
      </c>
      <c r="AG348" s="21" t="str">
        <f aca="false">IF(E348="","",N(AD348)+N(AE348)+N(AF348))</f>
        <v/>
      </c>
      <c r="AH348" s="21" t="str">
        <f aca="false">IF(ISNUMBER(I348),I348*INDEX(WtF,MATCH($I$7,WtU,0))/WaterRho,"")</f>
        <v/>
      </c>
      <c r="AI348" s="11"/>
      <c r="AJ348" s="11"/>
      <c r="AK348" s="20"/>
      <c r="AL348" s="11"/>
      <c r="AM348" s="21" t="str">
        <f aca="false">IF(AO348="","",AO348*IF(ISNUMBER(AK348),AK348,DefFills)*(1+IF(ISNUMBER(AL348),AL348,DefAllow)))</f>
        <v/>
      </c>
      <c r="AN348" s="22" t="str">
        <f aca="false">IF(G348="Given volume",IF(ISNUMBER(H348),H348*INDEX(VolF,MATCH($H$7,VolU,0)),""),IF(G348="Water weight",AH348,IF(N(AG348)=0,"",AG348)))</f>
        <v/>
      </c>
      <c r="AO348" s="22" t="str">
        <f aca="false">IF(N(AN348)=0,"",AN348*AT348*IF(ISNUMBER(AJ348),AJ348,DefCirc))</f>
        <v/>
      </c>
      <c r="AP348" s="9" t="n">
        <f aca="false">IF(ISNUMBER(T348),T348*INDEX(LenF,MATCH($T$7,LenU,0)),IF(ISNUMBER(W348),W348*INDEX(LenF,MATCH($W$7,LenU,0))/PitchRatio,0))</f>
        <v>0</v>
      </c>
      <c r="AQ348" s="9" t="n">
        <f aca="false">IF(ISNUMBER(N348),PI()/4*(N348*INDEX(LenF,MATCH($N$7,LenU,0)))^2,IF(AND(ISNUMBER(S348),ISNUMBER(W348),X348&lt;&gt;""),S348*(W348*INDEX(LenF,MATCH($W$7,LenU,0)))^2*INDEX(LayoutF,MATCH(X348,LayoutU,0)),0))</f>
        <v>0</v>
      </c>
      <c r="AR348" s="9" t="n">
        <f aca="false">IF(ISNUMBER(O348),O348*INDEX(LenF,MATCH($O$7,LenU,0)),IF(ISNUMBER(V348),V348*INDEX(LenF,MATCH($V$7,LenU,0)),0))</f>
        <v>0</v>
      </c>
      <c r="AS348" s="9" t="str">
        <f aca="false">IF(ISNUMBER(L348),L348*INDEX(LenF,MATCH($L$7,LenU,0))*1000,IF(OR(J348="",K348=""),"",IFERROR(IF(INDEX(PipeWT,MATCH(J348,NPSU,0),MATCH(K348,SchU,0))="","Sch n/a",INDEX(PipeOD,MATCH(J348,NPSU,0))-2*INDEX(PipeWT,MATCH(J348,NPSU,0),MATCH(K348,SchU,0))),"")))</f>
        <v/>
      </c>
      <c r="AT348" s="9" t="n">
        <f aca="false">IF(ISNUMBER(AI348),AI348,IFERROR(INDEX(IF(JobType="Decontamination",TypeFillDC,TypeFillCC),MATCH(E348,TypeL,0)),1))</f>
        <v>1</v>
      </c>
      <c r="AU348" s="9" t="n">
        <v>11</v>
      </c>
    </row>
    <row r="349" customFormat="false" ht="15" hidden="false" customHeight="false" outlineLevel="0" collapsed="false">
      <c r="A349" s="16" t="n">
        <v>10</v>
      </c>
      <c r="B349" s="20"/>
      <c r="C349" s="5"/>
      <c r="D349" s="5"/>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1" t="str">
        <f aca="false">IF(E349="Exchanger",IF(AND(ISNUMBER(S349),ISNUMBER(U349),ISNUMBER(V349)),S349*PI()/4*(U349*INDEX(LenF,MATCH($U$7,LenU,0)))^2*V349*INDEX(LenF,MATCH($V$7,LenU,0)),0)+IF(ISNUMBER(Y349),PI()/4*(Y349*INDEX(LenF,MATCH($Y$7,LenU,0)))^2*N(Z349)*INDEX(LenF,MATCH($Z$7,LenU,0))+IF(AA349="",0,IF(AA349="Conical",PI()/12*(Y349*INDEX(LenF,MATCH($Y$7,LenU,0)))^2*(0),INDEX(HeadK,MATCH(AA349,HeadU,0))*(Y349*INDEX(LenF,MATCH($Y$7,LenU,0)))^3)),0)+IF(ISNUMBER(Y349),PI()/4*(Y349*INDEX(LenF,MATCH($Y$7,LenU,0)))^2*N(AB349)*INDEX(LenF,MATCH($AB$7,LenU,0))+IF(AC349="",0,IF(AC349="Conical",PI()/12*(Y349*INDEX(LenF,MATCH($Y$7,LenU,0)))^2*(0),INDEX(HeadK,MATCH(AC349,HeadU,0))*(Y349*INDEX(LenF,MATCH($Y$7,LenU,0)))^3)),0),"")</f>
        <v/>
      </c>
      <c r="AE349" s="21" t="str">
        <f aca="false">IF(OR(E349="",E349="Piping"),"",IF(E349="Exchanger",AQ349*AR349+IF(P349="",0,IF(P349="Conical",PI()/12*(SQRT(4*AQ349/PI()))^2*(0),INDEX(HeadK,MATCH(P349,HeadU,0))*(SQRT(4*AQ349/PI()))^3))-IF(AND(ISNUMBER(S349),ISNUMBER(V349)),S349*PI()/4*AP349^2*V349*INDEX(LenF,MATCH($V$7,LenU,0)),0),IF(ISNUMBER(N349),PI()/4*(N349*INDEX(LenF,MATCH($N$7,LenU,0)))^2*N(O349)*INDEX(LenF,MATCH($O$7,LenU,0))+IF(P349="",0,IF(P349="Conical",PI()/12*(N349*INDEX(LenF,MATCH($N$7,LenU,0)))^2*(N(R349)*INDEX(LenF,MATCH($R$7,LenU,0))),INDEX(HeadK,MATCH(P349,HeadU,0))*(N349*INDEX(LenF,MATCH($N$7,LenU,0)))^3))+IF(Q349="",0,IF(Q349="Conical",PI()/12*(N349*INDEX(LenF,MATCH($N$7,LenU,0)))^2*(N(R349)*INDEX(LenF,MATCH($R$7,LenU,0))),INDEX(HeadK,MATCH(Q349,HeadU,0))*(N349*INDEX(LenF,MATCH($N$7,LenU,0)))^3)),0)))</f>
        <v/>
      </c>
      <c r="AF349" s="21" t="str">
        <f aca="false">IF(E349&lt;&gt;"Piping","",IF(AND(ISNUMBER(AS349),ISNUMBER(M349)),PI()/4*(AS349/1000)^2*M349*INDEX(LenF,MATCH($M$7,LenU,0)),0))</f>
        <v/>
      </c>
      <c r="AG349" s="21" t="str">
        <f aca="false">IF(E349="","",N(AD349)+N(AE349)+N(AF349))</f>
        <v/>
      </c>
      <c r="AH349" s="21" t="str">
        <f aca="false">IF(ISNUMBER(I349),I349*INDEX(WtF,MATCH($I$7,WtU,0))/WaterRho,"")</f>
        <v/>
      </c>
      <c r="AI349" s="11"/>
      <c r="AJ349" s="11"/>
      <c r="AK349" s="20"/>
      <c r="AL349" s="11"/>
      <c r="AM349" s="21" t="str">
        <f aca="false">IF(AO349="","",AO349*IF(ISNUMBER(AK349),AK349,DefFills)*(1+IF(ISNUMBER(AL349),AL349,DefAllow)))</f>
        <v/>
      </c>
      <c r="AN349" s="22" t="str">
        <f aca="false">IF(G349="Given volume",IF(ISNUMBER(H349),H349*INDEX(VolF,MATCH($H$7,VolU,0)),""),IF(G349="Water weight",AH349,IF(N(AG349)=0,"",AG349)))</f>
        <v/>
      </c>
      <c r="AO349" s="22" t="str">
        <f aca="false">IF(N(AN349)=0,"",AN349*AT349*IF(ISNUMBER(AJ349),AJ349,DefCirc))</f>
        <v/>
      </c>
      <c r="AP349" s="9" t="n">
        <f aca="false">IF(ISNUMBER(T349),T349*INDEX(LenF,MATCH($T$7,LenU,0)),IF(ISNUMBER(W349),W349*INDEX(LenF,MATCH($W$7,LenU,0))/PitchRatio,0))</f>
        <v>0</v>
      </c>
      <c r="AQ349" s="9" t="n">
        <f aca="false">IF(ISNUMBER(N349),PI()/4*(N349*INDEX(LenF,MATCH($N$7,LenU,0)))^2,IF(AND(ISNUMBER(S349),ISNUMBER(W349),X349&lt;&gt;""),S349*(W349*INDEX(LenF,MATCH($W$7,LenU,0)))^2*INDEX(LayoutF,MATCH(X349,LayoutU,0)),0))</f>
        <v>0</v>
      </c>
      <c r="AR349" s="9" t="n">
        <f aca="false">IF(ISNUMBER(O349),O349*INDEX(LenF,MATCH($O$7,LenU,0)),IF(ISNUMBER(V349),V349*INDEX(LenF,MATCH($V$7,LenU,0)),0))</f>
        <v>0</v>
      </c>
      <c r="AS349" s="9" t="str">
        <f aca="false">IF(ISNUMBER(L349),L349*INDEX(LenF,MATCH($L$7,LenU,0))*1000,IF(OR(J349="",K349=""),"",IFERROR(IF(INDEX(PipeWT,MATCH(J349,NPSU,0),MATCH(K349,SchU,0))="","Sch n/a",INDEX(PipeOD,MATCH(J349,NPSU,0))-2*INDEX(PipeWT,MATCH(J349,NPSU,0),MATCH(K349,SchU,0))),"")))</f>
        <v/>
      </c>
      <c r="AT349" s="9" t="n">
        <f aca="false">IF(ISNUMBER(AI349),AI349,IFERROR(INDEX(IF(JobType="Decontamination",TypeFillDC,TypeFillCC),MATCH(E349,TypeL,0)),1))</f>
        <v>1</v>
      </c>
      <c r="AU349" s="9" t="n">
        <v>11</v>
      </c>
    </row>
    <row r="350" customFormat="false" ht="15" hidden="false" customHeight="false" outlineLevel="0" collapsed="false">
      <c r="A350" s="16" t="n">
        <v>11</v>
      </c>
      <c r="B350" s="20"/>
      <c r="C350" s="5"/>
      <c r="D350" s="5"/>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1" t="str">
        <f aca="false">IF(E350="Exchanger",IF(AND(ISNUMBER(S350),ISNUMBER(U350),ISNUMBER(V350)),S350*PI()/4*(U350*INDEX(LenF,MATCH($U$7,LenU,0)))^2*V350*INDEX(LenF,MATCH($V$7,LenU,0)),0)+IF(ISNUMBER(Y350),PI()/4*(Y350*INDEX(LenF,MATCH($Y$7,LenU,0)))^2*N(Z350)*INDEX(LenF,MATCH($Z$7,LenU,0))+IF(AA350="",0,IF(AA350="Conical",PI()/12*(Y350*INDEX(LenF,MATCH($Y$7,LenU,0)))^2*(0),INDEX(HeadK,MATCH(AA350,HeadU,0))*(Y350*INDEX(LenF,MATCH($Y$7,LenU,0)))^3)),0)+IF(ISNUMBER(Y350),PI()/4*(Y350*INDEX(LenF,MATCH($Y$7,LenU,0)))^2*N(AB350)*INDEX(LenF,MATCH($AB$7,LenU,0))+IF(AC350="",0,IF(AC350="Conical",PI()/12*(Y350*INDEX(LenF,MATCH($Y$7,LenU,0)))^2*(0),INDEX(HeadK,MATCH(AC350,HeadU,0))*(Y350*INDEX(LenF,MATCH($Y$7,LenU,0)))^3)),0),"")</f>
        <v/>
      </c>
      <c r="AE350" s="21" t="str">
        <f aca="false">IF(OR(E350="",E350="Piping"),"",IF(E350="Exchanger",AQ350*AR350+IF(P350="",0,IF(P350="Conical",PI()/12*(SQRT(4*AQ350/PI()))^2*(0),INDEX(HeadK,MATCH(P350,HeadU,0))*(SQRT(4*AQ350/PI()))^3))-IF(AND(ISNUMBER(S350),ISNUMBER(V350)),S350*PI()/4*AP350^2*V350*INDEX(LenF,MATCH($V$7,LenU,0)),0),IF(ISNUMBER(N350),PI()/4*(N350*INDEX(LenF,MATCH($N$7,LenU,0)))^2*N(O350)*INDEX(LenF,MATCH($O$7,LenU,0))+IF(P350="",0,IF(P350="Conical",PI()/12*(N350*INDEX(LenF,MATCH($N$7,LenU,0)))^2*(N(R350)*INDEX(LenF,MATCH($R$7,LenU,0))),INDEX(HeadK,MATCH(P350,HeadU,0))*(N350*INDEX(LenF,MATCH($N$7,LenU,0)))^3))+IF(Q350="",0,IF(Q350="Conical",PI()/12*(N350*INDEX(LenF,MATCH($N$7,LenU,0)))^2*(N(R350)*INDEX(LenF,MATCH($R$7,LenU,0))),INDEX(HeadK,MATCH(Q350,HeadU,0))*(N350*INDEX(LenF,MATCH($N$7,LenU,0)))^3)),0)))</f>
        <v/>
      </c>
      <c r="AF350" s="21" t="str">
        <f aca="false">IF(E350&lt;&gt;"Piping","",IF(AND(ISNUMBER(AS350),ISNUMBER(M350)),PI()/4*(AS350/1000)^2*M350*INDEX(LenF,MATCH($M$7,LenU,0)),0))</f>
        <v/>
      </c>
      <c r="AG350" s="21" t="str">
        <f aca="false">IF(E350="","",N(AD350)+N(AE350)+N(AF350))</f>
        <v/>
      </c>
      <c r="AH350" s="21" t="str">
        <f aca="false">IF(ISNUMBER(I350),I350*INDEX(WtF,MATCH($I$7,WtU,0))/WaterRho,"")</f>
        <v/>
      </c>
      <c r="AI350" s="11"/>
      <c r="AJ350" s="11"/>
      <c r="AK350" s="20"/>
      <c r="AL350" s="11"/>
      <c r="AM350" s="21" t="str">
        <f aca="false">IF(AO350="","",AO350*IF(ISNUMBER(AK350),AK350,DefFills)*(1+IF(ISNUMBER(AL350),AL350,DefAllow)))</f>
        <v/>
      </c>
      <c r="AN350" s="22" t="str">
        <f aca="false">IF(G350="Given volume",IF(ISNUMBER(H350),H350*INDEX(VolF,MATCH($H$7,VolU,0)),""),IF(G350="Water weight",AH350,IF(N(AG350)=0,"",AG350)))</f>
        <v/>
      </c>
      <c r="AO350" s="22" t="str">
        <f aca="false">IF(N(AN350)=0,"",AN350*AT350*IF(ISNUMBER(AJ350),AJ350,DefCirc))</f>
        <v/>
      </c>
      <c r="AP350" s="9" t="n">
        <f aca="false">IF(ISNUMBER(T350),T350*INDEX(LenF,MATCH($T$7,LenU,0)),IF(ISNUMBER(W350),W350*INDEX(LenF,MATCH($W$7,LenU,0))/PitchRatio,0))</f>
        <v>0</v>
      </c>
      <c r="AQ350" s="9" t="n">
        <f aca="false">IF(ISNUMBER(N350),PI()/4*(N350*INDEX(LenF,MATCH($N$7,LenU,0)))^2,IF(AND(ISNUMBER(S350),ISNUMBER(W350),X350&lt;&gt;""),S350*(W350*INDEX(LenF,MATCH($W$7,LenU,0)))^2*INDEX(LayoutF,MATCH(X350,LayoutU,0)),0))</f>
        <v>0</v>
      </c>
      <c r="AR350" s="9" t="n">
        <f aca="false">IF(ISNUMBER(O350),O350*INDEX(LenF,MATCH($O$7,LenU,0)),IF(ISNUMBER(V350),V350*INDEX(LenF,MATCH($V$7,LenU,0)),0))</f>
        <v>0</v>
      </c>
      <c r="AS350" s="9" t="str">
        <f aca="false">IF(ISNUMBER(L350),L350*INDEX(LenF,MATCH($L$7,LenU,0))*1000,IF(OR(J350="",K350=""),"",IFERROR(IF(INDEX(PipeWT,MATCH(J350,NPSU,0),MATCH(K350,SchU,0))="","Sch n/a",INDEX(PipeOD,MATCH(J350,NPSU,0))-2*INDEX(PipeWT,MATCH(J350,NPSU,0),MATCH(K350,SchU,0))),"")))</f>
        <v/>
      </c>
      <c r="AT350" s="9" t="n">
        <f aca="false">IF(ISNUMBER(AI350),AI350,IFERROR(INDEX(IF(JobType="Decontamination",TypeFillDC,TypeFillCC),MATCH(E350,TypeL,0)),1))</f>
        <v>1</v>
      </c>
      <c r="AU350" s="9" t="n">
        <v>11</v>
      </c>
    </row>
    <row r="351" customFormat="false" ht="15" hidden="false" customHeight="false" outlineLevel="0" collapsed="false">
      <c r="A351" s="16" t="n">
        <v>12</v>
      </c>
      <c r="B351" s="20"/>
      <c r="C351" s="5"/>
      <c r="D351" s="5"/>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1" t="str">
        <f aca="false">IF(E351="Exchanger",IF(AND(ISNUMBER(S351),ISNUMBER(U351),ISNUMBER(V351)),S351*PI()/4*(U351*INDEX(LenF,MATCH($U$7,LenU,0)))^2*V351*INDEX(LenF,MATCH($V$7,LenU,0)),0)+IF(ISNUMBER(Y351),PI()/4*(Y351*INDEX(LenF,MATCH($Y$7,LenU,0)))^2*N(Z351)*INDEX(LenF,MATCH($Z$7,LenU,0))+IF(AA351="",0,IF(AA351="Conical",PI()/12*(Y351*INDEX(LenF,MATCH($Y$7,LenU,0)))^2*(0),INDEX(HeadK,MATCH(AA351,HeadU,0))*(Y351*INDEX(LenF,MATCH($Y$7,LenU,0)))^3)),0)+IF(ISNUMBER(Y351),PI()/4*(Y351*INDEX(LenF,MATCH($Y$7,LenU,0)))^2*N(AB351)*INDEX(LenF,MATCH($AB$7,LenU,0))+IF(AC351="",0,IF(AC351="Conical",PI()/12*(Y351*INDEX(LenF,MATCH($Y$7,LenU,0)))^2*(0),INDEX(HeadK,MATCH(AC351,HeadU,0))*(Y351*INDEX(LenF,MATCH($Y$7,LenU,0)))^3)),0),"")</f>
        <v/>
      </c>
      <c r="AE351" s="21" t="str">
        <f aca="false">IF(OR(E351="",E351="Piping"),"",IF(E351="Exchanger",AQ351*AR351+IF(P351="",0,IF(P351="Conical",PI()/12*(SQRT(4*AQ351/PI()))^2*(0),INDEX(HeadK,MATCH(P351,HeadU,0))*(SQRT(4*AQ351/PI()))^3))-IF(AND(ISNUMBER(S351),ISNUMBER(V351)),S351*PI()/4*AP351^2*V351*INDEX(LenF,MATCH($V$7,LenU,0)),0),IF(ISNUMBER(N351),PI()/4*(N351*INDEX(LenF,MATCH($N$7,LenU,0)))^2*N(O351)*INDEX(LenF,MATCH($O$7,LenU,0))+IF(P351="",0,IF(P351="Conical",PI()/12*(N351*INDEX(LenF,MATCH($N$7,LenU,0)))^2*(N(R351)*INDEX(LenF,MATCH($R$7,LenU,0))),INDEX(HeadK,MATCH(P351,HeadU,0))*(N351*INDEX(LenF,MATCH($N$7,LenU,0)))^3))+IF(Q351="",0,IF(Q351="Conical",PI()/12*(N351*INDEX(LenF,MATCH($N$7,LenU,0)))^2*(N(R351)*INDEX(LenF,MATCH($R$7,LenU,0))),INDEX(HeadK,MATCH(Q351,HeadU,0))*(N351*INDEX(LenF,MATCH($N$7,LenU,0)))^3)),0)))</f>
        <v/>
      </c>
      <c r="AF351" s="21" t="str">
        <f aca="false">IF(E351&lt;&gt;"Piping","",IF(AND(ISNUMBER(AS351),ISNUMBER(M351)),PI()/4*(AS351/1000)^2*M351*INDEX(LenF,MATCH($M$7,LenU,0)),0))</f>
        <v/>
      </c>
      <c r="AG351" s="21" t="str">
        <f aca="false">IF(E351="","",N(AD351)+N(AE351)+N(AF351))</f>
        <v/>
      </c>
      <c r="AH351" s="21" t="str">
        <f aca="false">IF(ISNUMBER(I351),I351*INDEX(WtF,MATCH($I$7,WtU,0))/WaterRho,"")</f>
        <v/>
      </c>
      <c r="AI351" s="11"/>
      <c r="AJ351" s="11"/>
      <c r="AK351" s="20"/>
      <c r="AL351" s="11"/>
      <c r="AM351" s="21" t="str">
        <f aca="false">IF(AO351="","",AO351*IF(ISNUMBER(AK351),AK351,DefFills)*(1+IF(ISNUMBER(AL351),AL351,DefAllow)))</f>
        <v/>
      </c>
      <c r="AN351" s="22" t="str">
        <f aca="false">IF(G351="Given volume",IF(ISNUMBER(H351),H351*INDEX(VolF,MATCH($H$7,VolU,0)),""),IF(G351="Water weight",AH351,IF(N(AG351)=0,"",AG351)))</f>
        <v/>
      </c>
      <c r="AO351" s="22" t="str">
        <f aca="false">IF(N(AN351)=0,"",AN351*AT351*IF(ISNUMBER(AJ351),AJ351,DefCirc))</f>
        <v/>
      </c>
      <c r="AP351" s="9" t="n">
        <f aca="false">IF(ISNUMBER(T351),T351*INDEX(LenF,MATCH($T$7,LenU,0)),IF(ISNUMBER(W351),W351*INDEX(LenF,MATCH($W$7,LenU,0))/PitchRatio,0))</f>
        <v>0</v>
      </c>
      <c r="AQ351" s="9" t="n">
        <f aca="false">IF(ISNUMBER(N351),PI()/4*(N351*INDEX(LenF,MATCH($N$7,LenU,0)))^2,IF(AND(ISNUMBER(S351),ISNUMBER(W351),X351&lt;&gt;""),S351*(W351*INDEX(LenF,MATCH($W$7,LenU,0)))^2*INDEX(LayoutF,MATCH(X351,LayoutU,0)),0))</f>
        <v>0</v>
      </c>
      <c r="AR351" s="9" t="n">
        <f aca="false">IF(ISNUMBER(O351),O351*INDEX(LenF,MATCH($O$7,LenU,0)),IF(ISNUMBER(V351),V351*INDEX(LenF,MATCH($V$7,LenU,0)),0))</f>
        <v>0</v>
      </c>
      <c r="AS351" s="9" t="str">
        <f aca="false">IF(ISNUMBER(L351),L351*INDEX(LenF,MATCH($L$7,LenU,0))*1000,IF(OR(J351="",K351=""),"",IFERROR(IF(INDEX(PipeWT,MATCH(J351,NPSU,0),MATCH(K351,SchU,0))="","Sch n/a",INDEX(PipeOD,MATCH(J351,NPSU,0))-2*INDEX(PipeWT,MATCH(J351,NPSU,0),MATCH(K351,SchU,0))),"")))</f>
        <v/>
      </c>
      <c r="AT351" s="9" t="n">
        <f aca="false">IF(ISNUMBER(AI351),AI351,IFERROR(INDEX(IF(JobType="Decontamination",TypeFillDC,TypeFillCC),MATCH(E351,TypeL,0)),1))</f>
        <v>1</v>
      </c>
      <c r="AU351" s="9" t="n">
        <v>11</v>
      </c>
    </row>
    <row r="352" customFormat="false" ht="15" hidden="false" customHeight="false" outlineLevel="0" collapsed="false">
      <c r="A352" s="16" t="n">
        <v>13</v>
      </c>
      <c r="B352" s="20"/>
      <c r="C352" s="5"/>
      <c r="D352" s="5"/>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1" t="str">
        <f aca="false">IF(E352="Exchanger",IF(AND(ISNUMBER(S352),ISNUMBER(U352),ISNUMBER(V352)),S352*PI()/4*(U352*INDEX(LenF,MATCH($U$7,LenU,0)))^2*V352*INDEX(LenF,MATCH($V$7,LenU,0)),0)+IF(ISNUMBER(Y352),PI()/4*(Y352*INDEX(LenF,MATCH($Y$7,LenU,0)))^2*N(Z352)*INDEX(LenF,MATCH($Z$7,LenU,0))+IF(AA352="",0,IF(AA352="Conical",PI()/12*(Y352*INDEX(LenF,MATCH($Y$7,LenU,0)))^2*(0),INDEX(HeadK,MATCH(AA352,HeadU,0))*(Y352*INDEX(LenF,MATCH($Y$7,LenU,0)))^3)),0)+IF(ISNUMBER(Y352),PI()/4*(Y352*INDEX(LenF,MATCH($Y$7,LenU,0)))^2*N(AB352)*INDEX(LenF,MATCH($AB$7,LenU,0))+IF(AC352="",0,IF(AC352="Conical",PI()/12*(Y352*INDEX(LenF,MATCH($Y$7,LenU,0)))^2*(0),INDEX(HeadK,MATCH(AC352,HeadU,0))*(Y352*INDEX(LenF,MATCH($Y$7,LenU,0)))^3)),0),"")</f>
        <v/>
      </c>
      <c r="AE352" s="21" t="str">
        <f aca="false">IF(OR(E352="",E352="Piping"),"",IF(E352="Exchanger",AQ352*AR352+IF(P352="",0,IF(P352="Conical",PI()/12*(SQRT(4*AQ352/PI()))^2*(0),INDEX(HeadK,MATCH(P352,HeadU,0))*(SQRT(4*AQ352/PI()))^3))-IF(AND(ISNUMBER(S352),ISNUMBER(V352)),S352*PI()/4*AP352^2*V352*INDEX(LenF,MATCH($V$7,LenU,0)),0),IF(ISNUMBER(N352),PI()/4*(N352*INDEX(LenF,MATCH($N$7,LenU,0)))^2*N(O352)*INDEX(LenF,MATCH($O$7,LenU,0))+IF(P352="",0,IF(P352="Conical",PI()/12*(N352*INDEX(LenF,MATCH($N$7,LenU,0)))^2*(N(R352)*INDEX(LenF,MATCH($R$7,LenU,0))),INDEX(HeadK,MATCH(P352,HeadU,0))*(N352*INDEX(LenF,MATCH($N$7,LenU,0)))^3))+IF(Q352="",0,IF(Q352="Conical",PI()/12*(N352*INDEX(LenF,MATCH($N$7,LenU,0)))^2*(N(R352)*INDEX(LenF,MATCH($R$7,LenU,0))),INDEX(HeadK,MATCH(Q352,HeadU,0))*(N352*INDEX(LenF,MATCH($N$7,LenU,0)))^3)),0)))</f>
        <v/>
      </c>
      <c r="AF352" s="21" t="str">
        <f aca="false">IF(E352&lt;&gt;"Piping","",IF(AND(ISNUMBER(AS352),ISNUMBER(M352)),PI()/4*(AS352/1000)^2*M352*INDEX(LenF,MATCH($M$7,LenU,0)),0))</f>
        <v/>
      </c>
      <c r="AG352" s="21" t="str">
        <f aca="false">IF(E352="","",N(AD352)+N(AE352)+N(AF352))</f>
        <v/>
      </c>
      <c r="AH352" s="21" t="str">
        <f aca="false">IF(ISNUMBER(I352),I352*INDEX(WtF,MATCH($I$7,WtU,0))/WaterRho,"")</f>
        <v/>
      </c>
      <c r="AI352" s="11"/>
      <c r="AJ352" s="11"/>
      <c r="AK352" s="20"/>
      <c r="AL352" s="11"/>
      <c r="AM352" s="21" t="str">
        <f aca="false">IF(AO352="","",AO352*IF(ISNUMBER(AK352),AK352,DefFills)*(1+IF(ISNUMBER(AL352),AL352,DefAllow)))</f>
        <v/>
      </c>
      <c r="AN352" s="22" t="str">
        <f aca="false">IF(G352="Given volume",IF(ISNUMBER(H352),H352*INDEX(VolF,MATCH($H$7,VolU,0)),""),IF(G352="Water weight",AH352,IF(N(AG352)=0,"",AG352)))</f>
        <v/>
      </c>
      <c r="AO352" s="22" t="str">
        <f aca="false">IF(N(AN352)=0,"",AN352*AT352*IF(ISNUMBER(AJ352),AJ352,DefCirc))</f>
        <v/>
      </c>
      <c r="AP352" s="9" t="n">
        <f aca="false">IF(ISNUMBER(T352),T352*INDEX(LenF,MATCH($T$7,LenU,0)),IF(ISNUMBER(W352),W352*INDEX(LenF,MATCH($W$7,LenU,0))/PitchRatio,0))</f>
        <v>0</v>
      </c>
      <c r="AQ352" s="9" t="n">
        <f aca="false">IF(ISNUMBER(N352),PI()/4*(N352*INDEX(LenF,MATCH($N$7,LenU,0)))^2,IF(AND(ISNUMBER(S352),ISNUMBER(W352),X352&lt;&gt;""),S352*(W352*INDEX(LenF,MATCH($W$7,LenU,0)))^2*INDEX(LayoutF,MATCH(X352,LayoutU,0)),0))</f>
        <v>0</v>
      </c>
      <c r="AR352" s="9" t="n">
        <f aca="false">IF(ISNUMBER(O352),O352*INDEX(LenF,MATCH($O$7,LenU,0)),IF(ISNUMBER(V352),V352*INDEX(LenF,MATCH($V$7,LenU,0)),0))</f>
        <v>0</v>
      </c>
      <c r="AS352" s="9" t="str">
        <f aca="false">IF(ISNUMBER(L352),L352*INDEX(LenF,MATCH($L$7,LenU,0))*1000,IF(OR(J352="",K352=""),"",IFERROR(IF(INDEX(PipeWT,MATCH(J352,NPSU,0),MATCH(K352,SchU,0))="","Sch n/a",INDEX(PipeOD,MATCH(J352,NPSU,0))-2*INDEX(PipeWT,MATCH(J352,NPSU,0),MATCH(K352,SchU,0))),"")))</f>
        <v/>
      </c>
      <c r="AT352" s="9" t="n">
        <f aca="false">IF(ISNUMBER(AI352),AI352,IFERROR(INDEX(IF(JobType="Decontamination",TypeFillDC,TypeFillCC),MATCH(E352,TypeL,0)),1))</f>
        <v>1</v>
      </c>
      <c r="AU352" s="9" t="n">
        <v>11</v>
      </c>
    </row>
    <row r="353" customFormat="false" ht="15" hidden="false" customHeight="false" outlineLevel="0" collapsed="false">
      <c r="A353" s="16" t="n">
        <v>14</v>
      </c>
      <c r="B353" s="20"/>
      <c r="C353" s="5"/>
      <c r="D353" s="5"/>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1" t="str">
        <f aca="false">IF(E353="Exchanger",IF(AND(ISNUMBER(S353),ISNUMBER(U353),ISNUMBER(V353)),S353*PI()/4*(U353*INDEX(LenF,MATCH($U$7,LenU,0)))^2*V353*INDEX(LenF,MATCH($V$7,LenU,0)),0)+IF(ISNUMBER(Y353),PI()/4*(Y353*INDEX(LenF,MATCH($Y$7,LenU,0)))^2*N(Z353)*INDEX(LenF,MATCH($Z$7,LenU,0))+IF(AA353="",0,IF(AA353="Conical",PI()/12*(Y353*INDEX(LenF,MATCH($Y$7,LenU,0)))^2*(0),INDEX(HeadK,MATCH(AA353,HeadU,0))*(Y353*INDEX(LenF,MATCH($Y$7,LenU,0)))^3)),0)+IF(ISNUMBER(Y353),PI()/4*(Y353*INDEX(LenF,MATCH($Y$7,LenU,0)))^2*N(AB353)*INDEX(LenF,MATCH($AB$7,LenU,0))+IF(AC353="",0,IF(AC353="Conical",PI()/12*(Y353*INDEX(LenF,MATCH($Y$7,LenU,0)))^2*(0),INDEX(HeadK,MATCH(AC353,HeadU,0))*(Y353*INDEX(LenF,MATCH($Y$7,LenU,0)))^3)),0),"")</f>
        <v/>
      </c>
      <c r="AE353" s="21" t="str">
        <f aca="false">IF(OR(E353="",E353="Piping"),"",IF(E353="Exchanger",AQ353*AR353+IF(P353="",0,IF(P353="Conical",PI()/12*(SQRT(4*AQ353/PI()))^2*(0),INDEX(HeadK,MATCH(P353,HeadU,0))*(SQRT(4*AQ353/PI()))^3))-IF(AND(ISNUMBER(S353),ISNUMBER(V353)),S353*PI()/4*AP353^2*V353*INDEX(LenF,MATCH($V$7,LenU,0)),0),IF(ISNUMBER(N353),PI()/4*(N353*INDEX(LenF,MATCH($N$7,LenU,0)))^2*N(O353)*INDEX(LenF,MATCH($O$7,LenU,0))+IF(P353="",0,IF(P353="Conical",PI()/12*(N353*INDEX(LenF,MATCH($N$7,LenU,0)))^2*(N(R353)*INDEX(LenF,MATCH($R$7,LenU,0))),INDEX(HeadK,MATCH(P353,HeadU,0))*(N353*INDEX(LenF,MATCH($N$7,LenU,0)))^3))+IF(Q353="",0,IF(Q353="Conical",PI()/12*(N353*INDEX(LenF,MATCH($N$7,LenU,0)))^2*(N(R353)*INDEX(LenF,MATCH($R$7,LenU,0))),INDEX(HeadK,MATCH(Q353,HeadU,0))*(N353*INDEX(LenF,MATCH($N$7,LenU,0)))^3)),0)))</f>
        <v/>
      </c>
      <c r="AF353" s="21" t="str">
        <f aca="false">IF(E353&lt;&gt;"Piping","",IF(AND(ISNUMBER(AS353),ISNUMBER(M353)),PI()/4*(AS353/1000)^2*M353*INDEX(LenF,MATCH($M$7,LenU,0)),0))</f>
        <v/>
      </c>
      <c r="AG353" s="21" t="str">
        <f aca="false">IF(E353="","",N(AD353)+N(AE353)+N(AF353))</f>
        <v/>
      </c>
      <c r="AH353" s="21" t="str">
        <f aca="false">IF(ISNUMBER(I353),I353*INDEX(WtF,MATCH($I$7,WtU,0))/WaterRho,"")</f>
        <v/>
      </c>
      <c r="AI353" s="11"/>
      <c r="AJ353" s="11"/>
      <c r="AK353" s="20"/>
      <c r="AL353" s="11"/>
      <c r="AM353" s="21" t="str">
        <f aca="false">IF(AO353="","",AO353*IF(ISNUMBER(AK353),AK353,DefFills)*(1+IF(ISNUMBER(AL353),AL353,DefAllow)))</f>
        <v/>
      </c>
      <c r="AN353" s="22" t="str">
        <f aca="false">IF(G353="Given volume",IF(ISNUMBER(H353),H353*INDEX(VolF,MATCH($H$7,VolU,0)),""),IF(G353="Water weight",AH353,IF(N(AG353)=0,"",AG353)))</f>
        <v/>
      </c>
      <c r="AO353" s="22" t="str">
        <f aca="false">IF(N(AN353)=0,"",AN353*AT353*IF(ISNUMBER(AJ353),AJ353,DefCirc))</f>
        <v/>
      </c>
      <c r="AP353" s="9" t="n">
        <f aca="false">IF(ISNUMBER(T353),T353*INDEX(LenF,MATCH($T$7,LenU,0)),IF(ISNUMBER(W353),W353*INDEX(LenF,MATCH($W$7,LenU,0))/PitchRatio,0))</f>
        <v>0</v>
      </c>
      <c r="AQ353" s="9" t="n">
        <f aca="false">IF(ISNUMBER(N353),PI()/4*(N353*INDEX(LenF,MATCH($N$7,LenU,0)))^2,IF(AND(ISNUMBER(S353),ISNUMBER(W353),X353&lt;&gt;""),S353*(W353*INDEX(LenF,MATCH($W$7,LenU,0)))^2*INDEX(LayoutF,MATCH(X353,LayoutU,0)),0))</f>
        <v>0</v>
      </c>
      <c r="AR353" s="9" t="n">
        <f aca="false">IF(ISNUMBER(O353),O353*INDEX(LenF,MATCH($O$7,LenU,0)),IF(ISNUMBER(V353),V353*INDEX(LenF,MATCH($V$7,LenU,0)),0))</f>
        <v>0</v>
      </c>
      <c r="AS353" s="9" t="str">
        <f aca="false">IF(ISNUMBER(L353),L353*INDEX(LenF,MATCH($L$7,LenU,0))*1000,IF(OR(J353="",K353=""),"",IFERROR(IF(INDEX(PipeWT,MATCH(J353,NPSU,0),MATCH(K353,SchU,0))="","Sch n/a",INDEX(PipeOD,MATCH(J353,NPSU,0))-2*INDEX(PipeWT,MATCH(J353,NPSU,0),MATCH(K353,SchU,0))),"")))</f>
        <v/>
      </c>
      <c r="AT353" s="9" t="n">
        <f aca="false">IF(ISNUMBER(AI353),AI353,IFERROR(INDEX(IF(JobType="Decontamination",TypeFillDC,TypeFillCC),MATCH(E353,TypeL,0)),1))</f>
        <v>1</v>
      </c>
      <c r="AU353" s="9" t="n">
        <v>11</v>
      </c>
    </row>
    <row r="354" customFormat="false" ht="15" hidden="false" customHeight="false" outlineLevel="0" collapsed="false">
      <c r="A354" s="16" t="n">
        <v>15</v>
      </c>
      <c r="B354" s="20"/>
      <c r="C354" s="5"/>
      <c r="D354" s="5"/>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1" t="str">
        <f aca="false">IF(E354="Exchanger",IF(AND(ISNUMBER(S354),ISNUMBER(U354),ISNUMBER(V354)),S354*PI()/4*(U354*INDEX(LenF,MATCH($U$7,LenU,0)))^2*V354*INDEX(LenF,MATCH($V$7,LenU,0)),0)+IF(ISNUMBER(Y354),PI()/4*(Y354*INDEX(LenF,MATCH($Y$7,LenU,0)))^2*N(Z354)*INDEX(LenF,MATCH($Z$7,LenU,0))+IF(AA354="",0,IF(AA354="Conical",PI()/12*(Y354*INDEX(LenF,MATCH($Y$7,LenU,0)))^2*(0),INDEX(HeadK,MATCH(AA354,HeadU,0))*(Y354*INDEX(LenF,MATCH($Y$7,LenU,0)))^3)),0)+IF(ISNUMBER(Y354),PI()/4*(Y354*INDEX(LenF,MATCH($Y$7,LenU,0)))^2*N(AB354)*INDEX(LenF,MATCH($AB$7,LenU,0))+IF(AC354="",0,IF(AC354="Conical",PI()/12*(Y354*INDEX(LenF,MATCH($Y$7,LenU,0)))^2*(0),INDEX(HeadK,MATCH(AC354,HeadU,0))*(Y354*INDEX(LenF,MATCH($Y$7,LenU,0)))^3)),0),"")</f>
        <v/>
      </c>
      <c r="AE354" s="21" t="str">
        <f aca="false">IF(OR(E354="",E354="Piping"),"",IF(E354="Exchanger",AQ354*AR354+IF(P354="",0,IF(P354="Conical",PI()/12*(SQRT(4*AQ354/PI()))^2*(0),INDEX(HeadK,MATCH(P354,HeadU,0))*(SQRT(4*AQ354/PI()))^3))-IF(AND(ISNUMBER(S354),ISNUMBER(V354)),S354*PI()/4*AP354^2*V354*INDEX(LenF,MATCH($V$7,LenU,0)),0),IF(ISNUMBER(N354),PI()/4*(N354*INDEX(LenF,MATCH($N$7,LenU,0)))^2*N(O354)*INDEX(LenF,MATCH($O$7,LenU,0))+IF(P354="",0,IF(P354="Conical",PI()/12*(N354*INDEX(LenF,MATCH($N$7,LenU,0)))^2*(N(R354)*INDEX(LenF,MATCH($R$7,LenU,0))),INDEX(HeadK,MATCH(P354,HeadU,0))*(N354*INDEX(LenF,MATCH($N$7,LenU,0)))^3))+IF(Q354="",0,IF(Q354="Conical",PI()/12*(N354*INDEX(LenF,MATCH($N$7,LenU,0)))^2*(N(R354)*INDEX(LenF,MATCH($R$7,LenU,0))),INDEX(HeadK,MATCH(Q354,HeadU,0))*(N354*INDEX(LenF,MATCH($N$7,LenU,0)))^3)),0)))</f>
        <v/>
      </c>
      <c r="AF354" s="21" t="str">
        <f aca="false">IF(E354&lt;&gt;"Piping","",IF(AND(ISNUMBER(AS354),ISNUMBER(M354)),PI()/4*(AS354/1000)^2*M354*INDEX(LenF,MATCH($M$7,LenU,0)),0))</f>
        <v/>
      </c>
      <c r="AG354" s="21" t="str">
        <f aca="false">IF(E354="","",N(AD354)+N(AE354)+N(AF354))</f>
        <v/>
      </c>
      <c r="AH354" s="21" t="str">
        <f aca="false">IF(ISNUMBER(I354),I354*INDEX(WtF,MATCH($I$7,WtU,0))/WaterRho,"")</f>
        <v/>
      </c>
      <c r="AI354" s="11"/>
      <c r="AJ354" s="11"/>
      <c r="AK354" s="20"/>
      <c r="AL354" s="11"/>
      <c r="AM354" s="21" t="str">
        <f aca="false">IF(AO354="","",AO354*IF(ISNUMBER(AK354),AK354,DefFills)*(1+IF(ISNUMBER(AL354),AL354,DefAllow)))</f>
        <v/>
      </c>
      <c r="AN354" s="22" t="str">
        <f aca="false">IF(G354="Given volume",IF(ISNUMBER(H354),H354*INDEX(VolF,MATCH($H$7,VolU,0)),""),IF(G354="Water weight",AH354,IF(N(AG354)=0,"",AG354)))</f>
        <v/>
      </c>
      <c r="AO354" s="22" t="str">
        <f aca="false">IF(N(AN354)=0,"",AN354*AT354*IF(ISNUMBER(AJ354),AJ354,DefCirc))</f>
        <v/>
      </c>
      <c r="AP354" s="9" t="n">
        <f aca="false">IF(ISNUMBER(T354),T354*INDEX(LenF,MATCH($T$7,LenU,0)),IF(ISNUMBER(W354),W354*INDEX(LenF,MATCH($W$7,LenU,0))/PitchRatio,0))</f>
        <v>0</v>
      </c>
      <c r="AQ354" s="9" t="n">
        <f aca="false">IF(ISNUMBER(N354),PI()/4*(N354*INDEX(LenF,MATCH($N$7,LenU,0)))^2,IF(AND(ISNUMBER(S354),ISNUMBER(W354),X354&lt;&gt;""),S354*(W354*INDEX(LenF,MATCH($W$7,LenU,0)))^2*INDEX(LayoutF,MATCH(X354,LayoutU,0)),0))</f>
        <v>0</v>
      </c>
      <c r="AR354" s="9" t="n">
        <f aca="false">IF(ISNUMBER(O354),O354*INDEX(LenF,MATCH($O$7,LenU,0)),IF(ISNUMBER(V354),V354*INDEX(LenF,MATCH($V$7,LenU,0)),0))</f>
        <v>0</v>
      </c>
      <c r="AS354" s="9" t="str">
        <f aca="false">IF(ISNUMBER(L354),L354*INDEX(LenF,MATCH($L$7,LenU,0))*1000,IF(OR(J354="",K354=""),"",IFERROR(IF(INDEX(PipeWT,MATCH(J354,NPSU,0),MATCH(K354,SchU,0))="","Sch n/a",INDEX(PipeOD,MATCH(J354,NPSU,0))-2*INDEX(PipeWT,MATCH(J354,NPSU,0),MATCH(K354,SchU,0))),"")))</f>
        <v/>
      </c>
      <c r="AT354" s="9" t="n">
        <f aca="false">IF(ISNUMBER(AI354),AI354,IFERROR(INDEX(IF(JobType="Decontamination",TypeFillDC,TypeFillCC),MATCH(E354,TypeL,0)),1))</f>
        <v>1</v>
      </c>
      <c r="AU354" s="9" t="n">
        <v>11</v>
      </c>
    </row>
    <row r="355" customFormat="false" ht="15" hidden="false" customHeight="false" outlineLevel="0" collapsed="false">
      <c r="A355" s="16" t="n">
        <v>16</v>
      </c>
      <c r="B355" s="20"/>
      <c r="C355" s="5"/>
      <c r="D355" s="5"/>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1" t="str">
        <f aca="false">IF(E355="Exchanger",IF(AND(ISNUMBER(S355),ISNUMBER(U355),ISNUMBER(V355)),S355*PI()/4*(U355*INDEX(LenF,MATCH($U$7,LenU,0)))^2*V355*INDEX(LenF,MATCH($V$7,LenU,0)),0)+IF(ISNUMBER(Y355),PI()/4*(Y355*INDEX(LenF,MATCH($Y$7,LenU,0)))^2*N(Z355)*INDEX(LenF,MATCH($Z$7,LenU,0))+IF(AA355="",0,IF(AA355="Conical",PI()/12*(Y355*INDEX(LenF,MATCH($Y$7,LenU,0)))^2*(0),INDEX(HeadK,MATCH(AA355,HeadU,0))*(Y355*INDEX(LenF,MATCH($Y$7,LenU,0)))^3)),0)+IF(ISNUMBER(Y355),PI()/4*(Y355*INDEX(LenF,MATCH($Y$7,LenU,0)))^2*N(AB355)*INDEX(LenF,MATCH($AB$7,LenU,0))+IF(AC355="",0,IF(AC355="Conical",PI()/12*(Y355*INDEX(LenF,MATCH($Y$7,LenU,0)))^2*(0),INDEX(HeadK,MATCH(AC355,HeadU,0))*(Y355*INDEX(LenF,MATCH($Y$7,LenU,0)))^3)),0),"")</f>
        <v/>
      </c>
      <c r="AE355" s="21" t="str">
        <f aca="false">IF(OR(E355="",E355="Piping"),"",IF(E355="Exchanger",AQ355*AR355+IF(P355="",0,IF(P355="Conical",PI()/12*(SQRT(4*AQ355/PI()))^2*(0),INDEX(HeadK,MATCH(P355,HeadU,0))*(SQRT(4*AQ355/PI()))^3))-IF(AND(ISNUMBER(S355),ISNUMBER(V355)),S355*PI()/4*AP355^2*V355*INDEX(LenF,MATCH($V$7,LenU,0)),0),IF(ISNUMBER(N355),PI()/4*(N355*INDEX(LenF,MATCH($N$7,LenU,0)))^2*N(O355)*INDEX(LenF,MATCH($O$7,LenU,0))+IF(P355="",0,IF(P355="Conical",PI()/12*(N355*INDEX(LenF,MATCH($N$7,LenU,0)))^2*(N(R355)*INDEX(LenF,MATCH($R$7,LenU,0))),INDEX(HeadK,MATCH(P355,HeadU,0))*(N355*INDEX(LenF,MATCH($N$7,LenU,0)))^3))+IF(Q355="",0,IF(Q355="Conical",PI()/12*(N355*INDEX(LenF,MATCH($N$7,LenU,0)))^2*(N(R355)*INDEX(LenF,MATCH($R$7,LenU,0))),INDEX(HeadK,MATCH(Q355,HeadU,0))*(N355*INDEX(LenF,MATCH($N$7,LenU,0)))^3)),0)))</f>
        <v/>
      </c>
      <c r="AF355" s="21" t="str">
        <f aca="false">IF(E355&lt;&gt;"Piping","",IF(AND(ISNUMBER(AS355),ISNUMBER(M355)),PI()/4*(AS355/1000)^2*M355*INDEX(LenF,MATCH($M$7,LenU,0)),0))</f>
        <v/>
      </c>
      <c r="AG355" s="21" t="str">
        <f aca="false">IF(E355="","",N(AD355)+N(AE355)+N(AF355))</f>
        <v/>
      </c>
      <c r="AH355" s="21" t="str">
        <f aca="false">IF(ISNUMBER(I355),I355*INDEX(WtF,MATCH($I$7,WtU,0))/WaterRho,"")</f>
        <v/>
      </c>
      <c r="AI355" s="11"/>
      <c r="AJ355" s="11"/>
      <c r="AK355" s="20"/>
      <c r="AL355" s="11"/>
      <c r="AM355" s="21" t="str">
        <f aca="false">IF(AO355="","",AO355*IF(ISNUMBER(AK355),AK355,DefFills)*(1+IF(ISNUMBER(AL355),AL355,DefAllow)))</f>
        <v/>
      </c>
      <c r="AN355" s="22" t="str">
        <f aca="false">IF(G355="Given volume",IF(ISNUMBER(H355),H355*INDEX(VolF,MATCH($H$7,VolU,0)),""),IF(G355="Water weight",AH355,IF(N(AG355)=0,"",AG355)))</f>
        <v/>
      </c>
      <c r="AO355" s="22" t="str">
        <f aca="false">IF(N(AN355)=0,"",AN355*AT355*IF(ISNUMBER(AJ355),AJ355,DefCirc))</f>
        <v/>
      </c>
      <c r="AP355" s="9" t="n">
        <f aca="false">IF(ISNUMBER(T355),T355*INDEX(LenF,MATCH($T$7,LenU,0)),IF(ISNUMBER(W355),W355*INDEX(LenF,MATCH($W$7,LenU,0))/PitchRatio,0))</f>
        <v>0</v>
      </c>
      <c r="AQ355" s="9" t="n">
        <f aca="false">IF(ISNUMBER(N355),PI()/4*(N355*INDEX(LenF,MATCH($N$7,LenU,0)))^2,IF(AND(ISNUMBER(S355),ISNUMBER(W355),X355&lt;&gt;""),S355*(W355*INDEX(LenF,MATCH($W$7,LenU,0)))^2*INDEX(LayoutF,MATCH(X355,LayoutU,0)),0))</f>
        <v>0</v>
      </c>
      <c r="AR355" s="9" t="n">
        <f aca="false">IF(ISNUMBER(O355),O355*INDEX(LenF,MATCH($O$7,LenU,0)),IF(ISNUMBER(V355),V355*INDEX(LenF,MATCH($V$7,LenU,0)),0))</f>
        <v>0</v>
      </c>
      <c r="AS355" s="9" t="str">
        <f aca="false">IF(ISNUMBER(L355),L355*INDEX(LenF,MATCH($L$7,LenU,0))*1000,IF(OR(J355="",K355=""),"",IFERROR(IF(INDEX(PipeWT,MATCH(J355,NPSU,0),MATCH(K355,SchU,0))="","Sch n/a",INDEX(PipeOD,MATCH(J355,NPSU,0))-2*INDEX(PipeWT,MATCH(J355,NPSU,0),MATCH(K355,SchU,0))),"")))</f>
        <v/>
      </c>
      <c r="AT355" s="9" t="n">
        <f aca="false">IF(ISNUMBER(AI355),AI355,IFERROR(INDEX(IF(JobType="Decontamination",TypeFillDC,TypeFillCC),MATCH(E355,TypeL,0)),1))</f>
        <v>1</v>
      </c>
      <c r="AU355" s="9" t="n">
        <v>11</v>
      </c>
    </row>
    <row r="356" customFormat="false" ht="15" hidden="false" customHeight="false" outlineLevel="0" collapsed="false">
      <c r="A356" s="16" t="n">
        <v>17</v>
      </c>
      <c r="B356" s="20"/>
      <c r="C356" s="5"/>
      <c r="D356" s="5"/>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1" t="str">
        <f aca="false">IF(E356="Exchanger",IF(AND(ISNUMBER(S356),ISNUMBER(U356),ISNUMBER(V356)),S356*PI()/4*(U356*INDEX(LenF,MATCH($U$7,LenU,0)))^2*V356*INDEX(LenF,MATCH($V$7,LenU,0)),0)+IF(ISNUMBER(Y356),PI()/4*(Y356*INDEX(LenF,MATCH($Y$7,LenU,0)))^2*N(Z356)*INDEX(LenF,MATCH($Z$7,LenU,0))+IF(AA356="",0,IF(AA356="Conical",PI()/12*(Y356*INDEX(LenF,MATCH($Y$7,LenU,0)))^2*(0),INDEX(HeadK,MATCH(AA356,HeadU,0))*(Y356*INDEX(LenF,MATCH($Y$7,LenU,0)))^3)),0)+IF(ISNUMBER(Y356),PI()/4*(Y356*INDEX(LenF,MATCH($Y$7,LenU,0)))^2*N(AB356)*INDEX(LenF,MATCH($AB$7,LenU,0))+IF(AC356="",0,IF(AC356="Conical",PI()/12*(Y356*INDEX(LenF,MATCH($Y$7,LenU,0)))^2*(0),INDEX(HeadK,MATCH(AC356,HeadU,0))*(Y356*INDEX(LenF,MATCH($Y$7,LenU,0)))^3)),0),"")</f>
        <v/>
      </c>
      <c r="AE356" s="21" t="str">
        <f aca="false">IF(OR(E356="",E356="Piping"),"",IF(E356="Exchanger",AQ356*AR356+IF(P356="",0,IF(P356="Conical",PI()/12*(SQRT(4*AQ356/PI()))^2*(0),INDEX(HeadK,MATCH(P356,HeadU,0))*(SQRT(4*AQ356/PI()))^3))-IF(AND(ISNUMBER(S356),ISNUMBER(V356)),S356*PI()/4*AP356^2*V356*INDEX(LenF,MATCH($V$7,LenU,0)),0),IF(ISNUMBER(N356),PI()/4*(N356*INDEX(LenF,MATCH($N$7,LenU,0)))^2*N(O356)*INDEX(LenF,MATCH($O$7,LenU,0))+IF(P356="",0,IF(P356="Conical",PI()/12*(N356*INDEX(LenF,MATCH($N$7,LenU,0)))^2*(N(R356)*INDEX(LenF,MATCH($R$7,LenU,0))),INDEX(HeadK,MATCH(P356,HeadU,0))*(N356*INDEX(LenF,MATCH($N$7,LenU,0)))^3))+IF(Q356="",0,IF(Q356="Conical",PI()/12*(N356*INDEX(LenF,MATCH($N$7,LenU,0)))^2*(N(R356)*INDEX(LenF,MATCH($R$7,LenU,0))),INDEX(HeadK,MATCH(Q356,HeadU,0))*(N356*INDEX(LenF,MATCH($N$7,LenU,0)))^3)),0)))</f>
        <v/>
      </c>
      <c r="AF356" s="21" t="str">
        <f aca="false">IF(E356&lt;&gt;"Piping","",IF(AND(ISNUMBER(AS356),ISNUMBER(M356)),PI()/4*(AS356/1000)^2*M356*INDEX(LenF,MATCH($M$7,LenU,0)),0))</f>
        <v/>
      </c>
      <c r="AG356" s="21" t="str">
        <f aca="false">IF(E356="","",N(AD356)+N(AE356)+N(AF356))</f>
        <v/>
      </c>
      <c r="AH356" s="21" t="str">
        <f aca="false">IF(ISNUMBER(I356),I356*INDEX(WtF,MATCH($I$7,WtU,0))/WaterRho,"")</f>
        <v/>
      </c>
      <c r="AI356" s="11"/>
      <c r="AJ356" s="11"/>
      <c r="AK356" s="20"/>
      <c r="AL356" s="11"/>
      <c r="AM356" s="21" t="str">
        <f aca="false">IF(AO356="","",AO356*IF(ISNUMBER(AK356),AK356,DefFills)*(1+IF(ISNUMBER(AL356),AL356,DefAllow)))</f>
        <v/>
      </c>
      <c r="AN356" s="22" t="str">
        <f aca="false">IF(G356="Given volume",IF(ISNUMBER(H356),H356*INDEX(VolF,MATCH($H$7,VolU,0)),""),IF(G356="Water weight",AH356,IF(N(AG356)=0,"",AG356)))</f>
        <v/>
      </c>
      <c r="AO356" s="22" t="str">
        <f aca="false">IF(N(AN356)=0,"",AN356*AT356*IF(ISNUMBER(AJ356),AJ356,DefCirc))</f>
        <v/>
      </c>
      <c r="AP356" s="9" t="n">
        <f aca="false">IF(ISNUMBER(T356),T356*INDEX(LenF,MATCH($T$7,LenU,0)),IF(ISNUMBER(W356),W356*INDEX(LenF,MATCH($W$7,LenU,0))/PitchRatio,0))</f>
        <v>0</v>
      </c>
      <c r="AQ356" s="9" t="n">
        <f aca="false">IF(ISNUMBER(N356),PI()/4*(N356*INDEX(LenF,MATCH($N$7,LenU,0)))^2,IF(AND(ISNUMBER(S356),ISNUMBER(W356),X356&lt;&gt;""),S356*(W356*INDEX(LenF,MATCH($W$7,LenU,0)))^2*INDEX(LayoutF,MATCH(X356,LayoutU,0)),0))</f>
        <v>0</v>
      </c>
      <c r="AR356" s="9" t="n">
        <f aca="false">IF(ISNUMBER(O356),O356*INDEX(LenF,MATCH($O$7,LenU,0)),IF(ISNUMBER(V356),V356*INDEX(LenF,MATCH($V$7,LenU,0)),0))</f>
        <v>0</v>
      </c>
      <c r="AS356" s="9" t="str">
        <f aca="false">IF(ISNUMBER(L356),L356*INDEX(LenF,MATCH($L$7,LenU,0))*1000,IF(OR(J356="",K356=""),"",IFERROR(IF(INDEX(PipeWT,MATCH(J356,NPSU,0),MATCH(K356,SchU,0))="","Sch n/a",INDEX(PipeOD,MATCH(J356,NPSU,0))-2*INDEX(PipeWT,MATCH(J356,NPSU,0),MATCH(K356,SchU,0))),"")))</f>
        <v/>
      </c>
      <c r="AT356" s="9" t="n">
        <f aca="false">IF(ISNUMBER(AI356),AI356,IFERROR(INDEX(IF(JobType="Decontamination",TypeFillDC,TypeFillCC),MATCH(E356,TypeL,0)),1))</f>
        <v>1</v>
      </c>
      <c r="AU356" s="9" t="n">
        <v>11</v>
      </c>
    </row>
    <row r="357" customFormat="false" ht="15" hidden="false" customHeight="false" outlineLevel="0" collapsed="false">
      <c r="A357" s="16" t="n">
        <v>18</v>
      </c>
      <c r="B357" s="20"/>
      <c r="C357" s="5"/>
      <c r="D357" s="5"/>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1" t="str">
        <f aca="false">IF(E357="Exchanger",IF(AND(ISNUMBER(S357),ISNUMBER(U357),ISNUMBER(V357)),S357*PI()/4*(U357*INDEX(LenF,MATCH($U$7,LenU,0)))^2*V357*INDEX(LenF,MATCH($V$7,LenU,0)),0)+IF(ISNUMBER(Y357),PI()/4*(Y357*INDEX(LenF,MATCH($Y$7,LenU,0)))^2*N(Z357)*INDEX(LenF,MATCH($Z$7,LenU,0))+IF(AA357="",0,IF(AA357="Conical",PI()/12*(Y357*INDEX(LenF,MATCH($Y$7,LenU,0)))^2*(0),INDEX(HeadK,MATCH(AA357,HeadU,0))*(Y357*INDEX(LenF,MATCH($Y$7,LenU,0)))^3)),0)+IF(ISNUMBER(Y357),PI()/4*(Y357*INDEX(LenF,MATCH($Y$7,LenU,0)))^2*N(AB357)*INDEX(LenF,MATCH($AB$7,LenU,0))+IF(AC357="",0,IF(AC357="Conical",PI()/12*(Y357*INDEX(LenF,MATCH($Y$7,LenU,0)))^2*(0),INDEX(HeadK,MATCH(AC357,HeadU,0))*(Y357*INDEX(LenF,MATCH($Y$7,LenU,0)))^3)),0),"")</f>
        <v/>
      </c>
      <c r="AE357" s="21" t="str">
        <f aca="false">IF(OR(E357="",E357="Piping"),"",IF(E357="Exchanger",AQ357*AR357+IF(P357="",0,IF(P357="Conical",PI()/12*(SQRT(4*AQ357/PI()))^2*(0),INDEX(HeadK,MATCH(P357,HeadU,0))*(SQRT(4*AQ357/PI()))^3))-IF(AND(ISNUMBER(S357),ISNUMBER(V357)),S357*PI()/4*AP357^2*V357*INDEX(LenF,MATCH($V$7,LenU,0)),0),IF(ISNUMBER(N357),PI()/4*(N357*INDEX(LenF,MATCH($N$7,LenU,0)))^2*N(O357)*INDEX(LenF,MATCH($O$7,LenU,0))+IF(P357="",0,IF(P357="Conical",PI()/12*(N357*INDEX(LenF,MATCH($N$7,LenU,0)))^2*(N(R357)*INDEX(LenF,MATCH($R$7,LenU,0))),INDEX(HeadK,MATCH(P357,HeadU,0))*(N357*INDEX(LenF,MATCH($N$7,LenU,0)))^3))+IF(Q357="",0,IF(Q357="Conical",PI()/12*(N357*INDEX(LenF,MATCH($N$7,LenU,0)))^2*(N(R357)*INDEX(LenF,MATCH($R$7,LenU,0))),INDEX(HeadK,MATCH(Q357,HeadU,0))*(N357*INDEX(LenF,MATCH($N$7,LenU,0)))^3)),0)))</f>
        <v/>
      </c>
      <c r="AF357" s="21" t="str">
        <f aca="false">IF(E357&lt;&gt;"Piping","",IF(AND(ISNUMBER(AS357),ISNUMBER(M357)),PI()/4*(AS357/1000)^2*M357*INDEX(LenF,MATCH($M$7,LenU,0)),0))</f>
        <v/>
      </c>
      <c r="AG357" s="21" t="str">
        <f aca="false">IF(E357="","",N(AD357)+N(AE357)+N(AF357))</f>
        <v/>
      </c>
      <c r="AH357" s="21" t="str">
        <f aca="false">IF(ISNUMBER(I357),I357*INDEX(WtF,MATCH($I$7,WtU,0))/WaterRho,"")</f>
        <v/>
      </c>
      <c r="AI357" s="11"/>
      <c r="AJ357" s="11"/>
      <c r="AK357" s="20"/>
      <c r="AL357" s="11"/>
      <c r="AM357" s="21" t="str">
        <f aca="false">IF(AO357="","",AO357*IF(ISNUMBER(AK357),AK357,DefFills)*(1+IF(ISNUMBER(AL357),AL357,DefAllow)))</f>
        <v/>
      </c>
      <c r="AN357" s="22" t="str">
        <f aca="false">IF(G357="Given volume",IF(ISNUMBER(H357),H357*INDEX(VolF,MATCH($H$7,VolU,0)),""),IF(G357="Water weight",AH357,IF(N(AG357)=0,"",AG357)))</f>
        <v/>
      </c>
      <c r="AO357" s="22" t="str">
        <f aca="false">IF(N(AN357)=0,"",AN357*AT357*IF(ISNUMBER(AJ357),AJ357,DefCirc))</f>
        <v/>
      </c>
      <c r="AP357" s="9" t="n">
        <f aca="false">IF(ISNUMBER(T357),T357*INDEX(LenF,MATCH($T$7,LenU,0)),IF(ISNUMBER(W357),W357*INDEX(LenF,MATCH($W$7,LenU,0))/PitchRatio,0))</f>
        <v>0</v>
      </c>
      <c r="AQ357" s="9" t="n">
        <f aca="false">IF(ISNUMBER(N357),PI()/4*(N357*INDEX(LenF,MATCH($N$7,LenU,0)))^2,IF(AND(ISNUMBER(S357),ISNUMBER(W357),X357&lt;&gt;""),S357*(W357*INDEX(LenF,MATCH($W$7,LenU,0)))^2*INDEX(LayoutF,MATCH(X357,LayoutU,0)),0))</f>
        <v>0</v>
      </c>
      <c r="AR357" s="9" t="n">
        <f aca="false">IF(ISNUMBER(O357),O357*INDEX(LenF,MATCH($O$7,LenU,0)),IF(ISNUMBER(V357),V357*INDEX(LenF,MATCH($V$7,LenU,0)),0))</f>
        <v>0</v>
      </c>
      <c r="AS357" s="9" t="str">
        <f aca="false">IF(ISNUMBER(L357),L357*INDEX(LenF,MATCH($L$7,LenU,0))*1000,IF(OR(J357="",K357=""),"",IFERROR(IF(INDEX(PipeWT,MATCH(J357,NPSU,0),MATCH(K357,SchU,0))="","Sch n/a",INDEX(PipeOD,MATCH(J357,NPSU,0))-2*INDEX(PipeWT,MATCH(J357,NPSU,0),MATCH(K357,SchU,0))),"")))</f>
        <v/>
      </c>
      <c r="AT357" s="9" t="n">
        <f aca="false">IF(ISNUMBER(AI357),AI357,IFERROR(INDEX(IF(JobType="Decontamination",TypeFillDC,TypeFillCC),MATCH(E357,TypeL,0)),1))</f>
        <v>1</v>
      </c>
      <c r="AU357" s="9" t="n">
        <v>11</v>
      </c>
    </row>
    <row r="358" customFormat="false" ht="15" hidden="false" customHeight="false" outlineLevel="0" collapsed="false">
      <c r="A358" s="16" t="n">
        <v>19</v>
      </c>
      <c r="B358" s="20"/>
      <c r="C358" s="5"/>
      <c r="D358" s="5"/>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1" t="str">
        <f aca="false">IF(E358="Exchanger",IF(AND(ISNUMBER(S358),ISNUMBER(U358),ISNUMBER(V358)),S358*PI()/4*(U358*INDEX(LenF,MATCH($U$7,LenU,0)))^2*V358*INDEX(LenF,MATCH($V$7,LenU,0)),0)+IF(ISNUMBER(Y358),PI()/4*(Y358*INDEX(LenF,MATCH($Y$7,LenU,0)))^2*N(Z358)*INDEX(LenF,MATCH($Z$7,LenU,0))+IF(AA358="",0,IF(AA358="Conical",PI()/12*(Y358*INDEX(LenF,MATCH($Y$7,LenU,0)))^2*(0),INDEX(HeadK,MATCH(AA358,HeadU,0))*(Y358*INDEX(LenF,MATCH($Y$7,LenU,0)))^3)),0)+IF(ISNUMBER(Y358),PI()/4*(Y358*INDEX(LenF,MATCH($Y$7,LenU,0)))^2*N(AB358)*INDEX(LenF,MATCH($AB$7,LenU,0))+IF(AC358="",0,IF(AC358="Conical",PI()/12*(Y358*INDEX(LenF,MATCH($Y$7,LenU,0)))^2*(0),INDEX(HeadK,MATCH(AC358,HeadU,0))*(Y358*INDEX(LenF,MATCH($Y$7,LenU,0)))^3)),0),"")</f>
        <v/>
      </c>
      <c r="AE358" s="21" t="str">
        <f aca="false">IF(OR(E358="",E358="Piping"),"",IF(E358="Exchanger",AQ358*AR358+IF(P358="",0,IF(P358="Conical",PI()/12*(SQRT(4*AQ358/PI()))^2*(0),INDEX(HeadK,MATCH(P358,HeadU,0))*(SQRT(4*AQ358/PI()))^3))-IF(AND(ISNUMBER(S358),ISNUMBER(V358)),S358*PI()/4*AP358^2*V358*INDEX(LenF,MATCH($V$7,LenU,0)),0),IF(ISNUMBER(N358),PI()/4*(N358*INDEX(LenF,MATCH($N$7,LenU,0)))^2*N(O358)*INDEX(LenF,MATCH($O$7,LenU,0))+IF(P358="",0,IF(P358="Conical",PI()/12*(N358*INDEX(LenF,MATCH($N$7,LenU,0)))^2*(N(R358)*INDEX(LenF,MATCH($R$7,LenU,0))),INDEX(HeadK,MATCH(P358,HeadU,0))*(N358*INDEX(LenF,MATCH($N$7,LenU,0)))^3))+IF(Q358="",0,IF(Q358="Conical",PI()/12*(N358*INDEX(LenF,MATCH($N$7,LenU,0)))^2*(N(R358)*INDEX(LenF,MATCH($R$7,LenU,0))),INDEX(HeadK,MATCH(Q358,HeadU,0))*(N358*INDEX(LenF,MATCH($N$7,LenU,0)))^3)),0)))</f>
        <v/>
      </c>
      <c r="AF358" s="21" t="str">
        <f aca="false">IF(E358&lt;&gt;"Piping","",IF(AND(ISNUMBER(AS358),ISNUMBER(M358)),PI()/4*(AS358/1000)^2*M358*INDEX(LenF,MATCH($M$7,LenU,0)),0))</f>
        <v/>
      </c>
      <c r="AG358" s="21" t="str">
        <f aca="false">IF(E358="","",N(AD358)+N(AE358)+N(AF358))</f>
        <v/>
      </c>
      <c r="AH358" s="21" t="str">
        <f aca="false">IF(ISNUMBER(I358),I358*INDEX(WtF,MATCH($I$7,WtU,0))/WaterRho,"")</f>
        <v/>
      </c>
      <c r="AI358" s="11"/>
      <c r="AJ358" s="11"/>
      <c r="AK358" s="20"/>
      <c r="AL358" s="11"/>
      <c r="AM358" s="21" t="str">
        <f aca="false">IF(AO358="","",AO358*IF(ISNUMBER(AK358),AK358,DefFills)*(1+IF(ISNUMBER(AL358),AL358,DefAllow)))</f>
        <v/>
      </c>
      <c r="AN358" s="22" t="str">
        <f aca="false">IF(G358="Given volume",IF(ISNUMBER(H358),H358*INDEX(VolF,MATCH($H$7,VolU,0)),""),IF(G358="Water weight",AH358,IF(N(AG358)=0,"",AG358)))</f>
        <v/>
      </c>
      <c r="AO358" s="22" t="str">
        <f aca="false">IF(N(AN358)=0,"",AN358*AT358*IF(ISNUMBER(AJ358),AJ358,DefCirc))</f>
        <v/>
      </c>
      <c r="AP358" s="9" t="n">
        <f aca="false">IF(ISNUMBER(T358),T358*INDEX(LenF,MATCH($T$7,LenU,0)),IF(ISNUMBER(W358),W358*INDEX(LenF,MATCH($W$7,LenU,0))/PitchRatio,0))</f>
        <v>0</v>
      </c>
      <c r="AQ358" s="9" t="n">
        <f aca="false">IF(ISNUMBER(N358),PI()/4*(N358*INDEX(LenF,MATCH($N$7,LenU,0)))^2,IF(AND(ISNUMBER(S358),ISNUMBER(W358),X358&lt;&gt;""),S358*(W358*INDEX(LenF,MATCH($W$7,LenU,0)))^2*INDEX(LayoutF,MATCH(X358,LayoutU,0)),0))</f>
        <v>0</v>
      </c>
      <c r="AR358" s="9" t="n">
        <f aca="false">IF(ISNUMBER(O358),O358*INDEX(LenF,MATCH($O$7,LenU,0)),IF(ISNUMBER(V358),V358*INDEX(LenF,MATCH($V$7,LenU,0)),0))</f>
        <v>0</v>
      </c>
      <c r="AS358" s="9" t="str">
        <f aca="false">IF(ISNUMBER(L358),L358*INDEX(LenF,MATCH($L$7,LenU,0))*1000,IF(OR(J358="",K358=""),"",IFERROR(IF(INDEX(PipeWT,MATCH(J358,NPSU,0),MATCH(K358,SchU,0))="","Sch n/a",INDEX(PipeOD,MATCH(J358,NPSU,0))-2*INDEX(PipeWT,MATCH(J358,NPSU,0),MATCH(K358,SchU,0))),"")))</f>
        <v/>
      </c>
      <c r="AT358" s="9" t="n">
        <f aca="false">IF(ISNUMBER(AI358),AI358,IFERROR(INDEX(IF(JobType="Decontamination",TypeFillDC,TypeFillCC),MATCH(E358,TypeL,0)),1))</f>
        <v>1</v>
      </c>
      <c r="AU358" s="9" t="n">
        <v>11</v>
      </c>
    </row>
    <row r="359" customFormat="false" ht="15" hidden="false" customHeight="false" outlineLevel="0" collapsed="false">
      <c r="A359" s="16" t="n">
        <v>20</v>
      </c>
      <c r="B359" s="20"/>
      <c r="C359" s="5"/>
      <c r="D359" s="5"/>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1" t="str">
        <f aca="false">IF(E359="Exchanger",IF(AND(ISNUMBER(S359),ISNUMBER(U359),ISNUMBER(V359)),S359*PI()/4*(U359*INDEX(LenF,MATCH($U$7,LenU,0)))^2*V359*INDEX(LenF,MATCH($V$7,LenU,0)),0)+IF(ISNUMBER(Y359),PI()/4*(Y359*INDEX(LenF,MATCH($Y$7,LenU,0)))^2*N(Z359)*INDEX(LenF,MATCH($Z$7,LenU,0))+IF(AA359="",0,IF(AA359="Conical",PI()/12*(Y359*INDEX(LenF,MATCH($Y$7,LenU,0)))^2*(0),INDEX(HeadK,MATCH(AA359,HeadU,0))*(Y359*INDEX(LenF,MATCH($Y$7,LenU,0)))^3)),0)+IF(ISNUMBER(Y359),PI()/4*(Y359*INDEX(LenF,MATCH($Y$7,LenU,0)))^2*N(AB359)*INDEX(LenF,MATCH($AB$7,LenU,0))+IF(AC359="",0,IF(AC359="Conical",PI()/12*(Y359*INDEX(LenF,MATCH($Y$7,LenU,0)))^2*(0),INDEX(HeadK,MATCH(AC359,HeadU,0))*(Y359*INDEX(LenF,MATCH($Y$7,LenU,0)))^3)),0),"")</f>
        <v/>
      </c>
      <c r="AE359" s="21" t="str">
        <f aca="false">IF(OR(E359="",E359="Piping"),"",IF(E359="Exchanger",AQ359*AR359+IF(P359="",0,IF(P359="Conical",PI()/12*(SQRT(4*AQ359/PI()))^2*(0),INDEX(HeadK,MATCH(P359,HeadU,0))*(SQRT(4*AQ359/PI()))^3))-IF(AND(ISNUMBER(S359),ISNUMBER(V359)),S359*PI()/4*AP359^2*V359*INDEX(LenF,MATCH($V$7,LenU,0)),0),IF(ISNUMBER(N359),PI()/4*(N359*INDEX(LenF,MATCH($N$7,LenU,0)))^2*N(O359)*INDEX(LenF,MATCH($O$7,LenU,0))+IF(P359="",0,IF(P359="Conical",PI()/12*(N359*INDEX(LenF,MATCH($N$7,LenU,0)))^2*(N(R359)*INDEX(LenF,MATCH($R$7,LenU,0))),INDEX(HeadK,MATCH(P359,HeadU,0))*(N359*INDEX(LenF,MATCH($N$7,LenU,0)))^3))+IF(Q359="",0,IF(Q359="Conical",PI()/12*(N359*INDEX(LenF,MATCH($N$7,LenU,0)))^2*(N(R359)*INDEX(LenF,MATCH($R$7,LenU,0))),INDEX(HeadK,MATCH(Q359,HeadU,0))*(N359*INDEX(LenF,MATCH($N$7,LenU,0)))^3)),0)))</f>
        <v/>
      </c>
      <c r="AF359" s="21" t="str">
        <f aca="false">IF(E359&lt;&gt;"Piping","",IF(AND(ISNUMBER(AS359),ISNUMBER(M359)),PI()/4*(AS359/1000)^2*M359*INDEX(LenF,MATCH($M$7,LenU,0)),0))</f>
        <v/>
      </c>
      <c r="AG359" s="21" t="str">
        <f aca="false">IF(E359="","",N(AD359)+N(AE359)+N(AF359))</f>
        <v/>
      </c>
      <c r="AH359" s="21" t="str">
        <f aca="false">IF(ISNUMBER(I359),I359*INDEX(WtF,MATCH($I$7,WtU,0))/WaterRho,"")</f>
        <v/>
      </c>
      <c r="AI359" s="11"/>
      <c r="AJ359" s="11"/>
      <c r="AK359" s="20"/>
      <c r="AL359" s="11"/>
      <c r="AM359" s="21" t="str">
        <f aca="false">IF(AO359="","",AO359*IF(ISNUMBER(AK359),AK359,DefFills)*(1+IF(ISNUMBER(AL359),AL359,DefAllow)))</f>
        <v/>
      </c>
      <c r="AN359" s="22" t="str">
        <f aca="false">IF(G359="Given volume",IF(ISNUMBER(H359),H359*INDEX(VolF,MATCH($H$7,VolU,0)),""),IF(G359="Water weight",AH359,IF(N(AG359)=0,"",AG359)))</f>
        <v/>
      </c>
      <c r="AO359" s="22" t="str">
        <f aca="false">IF(N(AN359)=0,"",AN359*AT359*IF(ISNUMBER(AJ359),AJ359,DefCirc))</f>
        <v/>
      </c>
      <c r="AP359" s="9" t="n">
        <f aca="false">IF(ISNUMBER(T359),T359*INDEX(LenF,MATCH($T$7,LenU,0)),IF(ISNUMBER(W359),W359*INDEX(LenF,MATCH($W$7,LenU,0))/PitchRatio,0))</f>
        <v>0</v>
      </c>
      <c r="AQ359" s="9" t="n">
        <f aca="false">IF(ISNUMBER(N359),PI()/4*(N359*INDEX(LenF,MATCH($N$7,LenU,0)))^2,IF(AND(ISNUMBER(S359),ISNUMBER(W359),X359&lt;&gt;""),S359*(W359*INDEX(LenF,MATCH($W$7,LenU,0)))^2*INDEX(LayoutF,MATCH(X359,LayoutU,0)),0))</f>
        <v>0</v>
      </c>
      <c r="AR359" s="9" t="n">
        <f aca="false">IF(ISNUMBER(O359),O359*INDEX(LenF,MATCH($O$7,LenU,0)),IF(ISNUMBER(V359),V359*INDEX(LenF,MATCH($V$7,LenU,0)),0))</f>
        <v>0</v>
      </c>
      <c r="AS359" s="9" t="str">
        <f aca="false">IF(ISNUMBER(L359),L359*INDEX(LenF,MATCH($L$7,LenU,0))*1000,IF(OR(J359="",K359=""),"",IFERROR(IF(INDEX(PipeWT,MATCH(J359,NPSU,0),MATCH(K359,SchU,0))="","Sch n/a",INDEX(PipeOD,MATCH(J359,NPSU,0))-2*INDEX(PipeWT,MATCH(J359,NPSU,0),MATCH(K359,SchU,0))),"")))</f>
        <v/>
      </c>
      <c r="AT359" s="9" t="n">
        <f aca="false">IF(ISNUMBER(AI359),AI359,IFERROR(INDEX(IF(JobType="Decontamination",TypeFillDC,TypeFillCC),MATCH(E359,TypeL,0)),1))</f>
        <v>1</v>
      </c>
      <c r="AU359" s="9" t="n">
        <v>11</v>
      </c>
    </row>
    <row r="360" customFormat="false" ht="15" hidden="false" customHeight="false" outlineLevel="0" collapsed="false">
      <c r="A360" s="16" t="n">
        <v>21</v>
      </c>
      <c r="B360" s="20"/>
      <c r="C360" s="5"/>
      <c r="D360" s="5"/>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1" t="str">
        <f aca="false">IF(E360="Exchanger",IF(AND(ISNUMBER(S360),ISNUMBER(U360),ISNUMBER(V360)),S360*PI()/4*(U360*INDEX(LenF,MATCH($U$7,LenU,0)))^2*V360*INDEX(LenF,MATCH($V$7,LenU,0)),0)+IF(ISNUMBER(Y360),PI()/4*(Y360*INDEX(LenF,MATCH($Y$7,LenU,0)))^2*N(Z360)*INDEX(LenF,MATCH($Z$7,LenU,0))+IF(AA360="",0,IF(AA360="Conical",PI()/12*(Y360*INDEX(LenF,MATCH($Y$7,LenU,0)))^2*(0),INDEX(HeadK,MATCH(AA360,HeadU,0))*(Y360*INDEX(LenF,MATCH($Y$7,LenU,0)))^3)),0)+IF(ISNUMBER(Y360),PI()/4*(Y360*INDEX(LenF,MATCH($Y$7,LenU,0)))^2*N(AB360)*INDEX(LenF,MATCH($AB$7,LenU,0))+IF(AC360="",0,IF(AC360="Conical",PI()/12*(Y360*INDEX(LenF,MATCH($Y$7,LenU,0)))^2*(0),INDEX(HeadK,MATCH(AC360,HeadU,0))*(Y360*INDEX(LenF,MATCH($Y$7,LenU,0)))^3)),0),"")</f>
        <v/>
      </c>
      <c r="AE360" s="21" t="str">
        <f aca="false">IF(OR(E360="",E360="Piping"),"",IF(E360="Exchanger",AQ360*AR360+IF(P360="",0,IF(P360="Conical",PI()/12*(SQRT(4*AQ360/PI()))^2*(0),INDEX(HeadK,MATCH(P360,HeadU,0))*(SQRT(4*AQ360/PI()))^3))-IF(AND(ISNUMBER(S360),ISNUMBER(V360)),S360*PI()/4*AP360^2*V360*INDEX(LenF,MATCH($V$7,LenU,0)),0),IF(ISNUMBER(N360),PI()/4*(N360*INDEX(LenF,MATCH($N$7,LenU,0)))^2*N(O360)*INDEX(LenF,MATCH($O$7,LenU,0))+IF(P360="",0,IF(P360="Conical",PI()/12*(N360*INDEX(LenF,MATCH($N$7,LenU,0)))^2*(N(R360)*INDEX(LenF,MATCH($R$7,LenU,0))),INDEX(HeadK,MATCH(P360,HeadU,0))*(N360*INDEX(LenF,MATCH($N$7,LenU,0)))^3))+IF(Q360="",0,IF(Q360="Conical",PI()/12*(N360*INDEX(LenF,MATCH($N$7,LenU,0)))^2*(N(R360)*INDEX(LenF,MATCH($R$7,LenU,0))),INDEX(HeadK,MATCH(Q360,HeadU,0))*(N360*INDEX(LenF,MATCH($N$7,LenU,0)))^3)),0)))</f>
        <v/>
      </c>
      <c r="AF360" s="21" t="str">
        <f aca="false">IF(E360&lt;&gt;"Piping","",IF(AND(ISNUMBER(AS360),ISNUMBER(M360)),PI()/4*(AS360/1000)^2*M360*INDEX(LenF,MATCH($M$7,LenU,0)),0))</f>
        <v/>
      </c>
      <c r="AG360" s="21" t="str">
        <f aca="false">IF(E360="","",N(AD360)+N(AE360)+N(AF360))</f>
        <v/>
      </c>
      <c r="AH360" s="21" t="str">
        <f aca="false">IF(ISNUMBER(I360),I360*INDEX(WtF,MATCH($I$7,WtU,0))/WaterRho,"")</f>
        <v/>
      </c>
      <c r="AI360" s="11"/>
      <c r="AJ360" s="11"/>
      <c r="AK360" s="20"/>
      <c r="AL360" s="11"/>
      <c r="AM360" s="21" t="str">
        <f aca="false">IF(AO360="","",AO360*IF(ISNUMBER(AK360),AK360,DefFills)*(1+IF(ISNUMBER(AL360),AL360,DefAllow)))</f>
        <v/>
      </c>
      <c r="AN360" s="22" t="str">
        <f aca="false">IF(G360="Given volume",IF(ISNUMBER(H360),H360*INDEX(VolF,MATCH($H$7,VolU,0)),""),IF(G360="Water weight",AH360,IF(N(AG360)=0,"",AG360)))</f>
        <v/>
      </c>
      <c r="AO360" s="22" t="str">
        <f aca="false">IF(N(AN360)=0,"",AN360*AT360*IF(ISNUMBER(AJ360),AJ360,DefCirc))</f>
        <v/>
      </c>
      <c r="AP360" s="9" t="n">
        <f aca="false">IF(ISNUMBER(T360),T360*INDEX(LenF,MATCH($T$7,LenU,0)),IF(ISNUMBER(W360),W360*INDEX(LenF,MATCH($W$7,LenU,0))/PitchRatio,0))</f>
        <v>0</v>
      </c>
      <c r="AQ360" s="9" t="n">
        <f aca="false">IF(ISNUMBER(N360),PI()/4*(N360*INDEX(LenF,MATCH($N$7,LenU,0)))^2,IF(AND(ISNUMBER(S360),ISNUMBER(W360),X360&lt;&gt;""),S360*(W360*INDEX(LenF,MATCH($W$7,LenU,0)))^2*INDEX(LayoutF,MATCH(X360,LayoutU,0)),0))</f>
        <v>0</v>
      </c>
      <c r="AR360" s="9" t="n">
        <f aca="false">IF(ISNUMBER(O360),O360*INDEX(LenF,MATCH($O$7,LenU,0)),IF(ISNUMBER(V360),V360*INDEX(LenF,MATCH($V$7,LenU,0)),0))</f>
        <v>0</v>
      </c>
      <c r="AS360" s="9" t="str">
        <f aca="false">IF(ISNUMBER(L360),L360*INDEX(LenF,MATCH($L$7,LenU,0))*1000,IF(OR(J360="",K360=""),"",IFERROR(IF(INDEX(PipeWT,MATCH(J360,NPSU,0),MATCH(K360,SchU,0))="","Sch n/a",INDEX(PipeOD,MATCH(J360,NPSU,0))-2*INDEX(PipeWT,MATCH(J360,NPSU,0),MATCH(K360,SchU,0))),"")))</f>
        <v/>
      </c>
      <c r="AT360" s="9" t="n">
        <f aca="false">IF(ISNUMBER(AI360),AI360,IFERROR(INDEX(IF(JobType="Decontamination",TypeFillDC,TypeFillCC),MATCH(E360,TypeL,0)),1))</f>
        <v>1</v>
      </c>
      <c r="AU360" s="9" t="n">
        <v>11</v>
      </c>
    </row>
    <row r="361" customFormat="false" ht="15" hidden="false" customHeight="false" outlineLevel="0" collapsed="false">
      <c r="A361" s="16" t="n">
        <v>22</v>
      </c>
      <c r="B361" s="20"/>
      <c r="C361" s="5"/>
      <c r="D361" s="5"/>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1" t="str">
        <f aca="false">IF(E361="Exchanger",IF(AND(ISNUMBER(S361),ISNUMBER(U361),ISNUMBER(V361)),S361*PI()/4*(U361*INDEX(LenF,MATCH($U$7,LenU,0)))^2*V361*INDEX(LenF,MATCH($V$7,LenU,0)),0)+IF(ISNUMBER(Y361),PI()/4*(Y361*INDEX(LenF,MATCH($Y$7,LenU,0)))^2*N(Z361)*INDEX(LenF,MATCH($Z$7,LenU,0))+IF(AA361="",0,IF(AA361="Conical",PI()/12*(Y361*INDEX(LenF,MATCH($Y$7,LenU,0)))^2*(0),INDEX(HeadK,MATCH(AA361,HeadU,0))*(Y361*INDEX(LenF,MATCH($Y$7,LenU,0)))^3)),0)+IF(ISNUMBER(Y361),PI()/4*(Y361*INDEX(LenF,MATCH($Y$7,LenU,0)))^2*N(AB361)*INDEX(LenF,MATCH($AB$7,LenU,0))+IF(AC361="",0,IF(AC361="Conical",PI()/12*(Y361*INDEX(LenF,MATCH($Y$7,LenU,0)))^2*(0),INDEX(HeadK,MATCH(AC361,HeadU,0))*(Y361*INDEX(LenF,MATCH($Y$7,LenU,0)))^3)),0),"")</f>
        <v/>
      </c>
      <c r="AE361" s="21" t="str">
        <f aca="false">IF(OR(E361="",E361="Piping"),"",IF(E361="Exchanger",AQ361*AR361+IF(P361="",0,IF(P361="Conical",PI()/12*(SQRT(4*AQ361/PI()))^2*(0),INDEX(HeadK,MATCH(P361,HeadU,0))*(SQRT(4*AQ361/PI()))^3))-IF(AND(ISNUMBER(S361),ISNUMBER(V361)),S361*PI()/4*AP361^2*V361*INDEX(LenF,MATCH($V$7,LenU,0)),0),IF(ISNUMBER(N361),PI()/4*(N361*INDEX(LenF,MATCH($N$7,LenU,0)))^2*N(O361)*INDEX(LenF,MATCH($O$7,LenU,0))+IF(P361="",0,IF(P361="Conical",PI()/12*(N361*INDEX(LenF,MATCH($N$7,LenU,0)))^2*(N(R361)*INDEX(LenF,MATCH($R$7,LenU,0))),INDEX(HeadK,MATCH(P361,HeadU,0))*(N361*INDEX(LenF,MATCH($N$7,LenU,0)))^3))+IF(Q361="",0,IF(Q361="Conical",PI()/12*(N361*INDEX(LenF,MATCH($N$7,LenU,0)))^2*(N(R361)*INDEX(LenF,MATCH($R$7,LenU,0))),INDEX(HeadK,MATCH(Q361,HeadU,0))*(N361*INDEX(LenF,MATCH($N$7,LenU,0)))^3)),0)))</f>
        <v/>
      </c>
      <c r="AF361" s="21" t="str">
        <f aca="false">IF(E361&lt;&gt;"Piping","",IF(AND(ISNUMBER(AS361),ISNUMBER(M361)),PI()/4*(AS361/1000)^2*M361*INDEX(LenF,MATCH($M$7,LenU,0)),0))</f>
        <v/>
      </c>
      <c r="AG361" s="21" t="str">
        <f aca="false">IF(E361="","",N(AD361)+N(AE361)+N(AF361))</f>
        <v/>
      </c>
      <c r="AH361" s="21" t="str">
        <f aca="false">IF(ISNUMBER(I361),I361*INDEX(WtF,MATCH($I$7,WtU,0))/WaterRho,"")</f>
        <v/>
      </c>
      <c r="AI361" s="11"/>
      <c r="AJ361" s="11"/>
      <c r="AK361" s="20"/>
      <c r="AL361" s="11"/>
      <c r="AM361" s="21" t="str">
        <f aca="false">IF(AO361="","",AO361*IF(ISNUMBER(AK361),AK361,DefFills)*(1+IF(ISNUMBER(AL361),AL361,DefAllow)))</f>
        <v/>
      </c>
      <c r="AN361" s="22" t="str">
        <f aca="false">IF(G361="Given volume",IF(ISNUMBER(H361),H361*INDEX(VolF,MATCH($H$7,VolU,0)),""),IF(G361="Water weight",AH361,IF(N(AG361)=0,"",AG361)))</f>
        <v/>
      </c>
      <c r="AO361" s="22" t="str">
        <f aca="false">IF(N(AN361)=0,"",AN361*AT361*IF(ISNUMBER(AJ361),AJ361,DefCirc))</f>
        <v/>
      </c>
      <c r="AP361" s="9" t="n">
        <f aca="false">IF(ISNUMBER(T361),T361*INDEX(LenF,MATCH($T$7,LenU,0)),IF(ISNUMBER(W361),W361*INDEX(LenF,MATCH($W$7,LenU,0))/PitchRatio,0))</f>
        <v>0</v>
      </c>
      <c r="AQ361" s="9" t="n">
        <f aca="false">IF(ISNUMBER(N361),PI()/4*(N361*INDEX(LenF,MATCH($N$7,LenU,0)))^2,IF(AND(ISNUMBER(S361),ISNUMBER(W361),X361&lt;&gt;""),S361*(W361*INDEX(LenF,MATCH($W$7,LenU,0)))^2*INDEX(LayoutF,MATCH(X361,LayoutU,0)),0))</f>
        <v>0</v>
      </c>
      <c r="AR361" s="9" t="n">
        <f aca="false">IF(ISNUMBER(O361),O361*INDEX(LenF,MATCH($O$7,LenU,0)),IF(ISNUMBER(V361),V361*INDEX(LenF,MATCH($V$7,LenU,0)),0))</f>
        <v>0</v>
      </c>
      <c r="AS361" s="9" t="str">
        <f aca="false">IF(ISNUMBER(L361),L361*INDEX(LenF,MATCH($L$7,LenU,0))*1000,IF(OR(J361="",K361=""),"",IFERROR(IF(INDEX(PipeWT,MATCH(J361,NPSU,0),MATCH(K361,SchU,0))="","Sch n/a",INDEX(PipeOD,MATCH(J361,NPSU,0))-2*INDEX(PipeWT,MATCH(J361,NPSU,0),MATCH(K361,SchU,0))),"")))</f>
        <v/>
      </c>
      <c r="AT361" s="9" t="n">
        <f aca="false">IF(ISNUMBER(AI361),AI361,IFERROR(INDEX(IF(JobType="Decontamination",TypeFillDC,TypeFillCC),MATCH(E361,TypeL,0)),1))</f>
        <v>1</v>
      </c>
      <c r="AU361" s="9" t="n">
        <v>11</v>
      </c>
    </row>
    <row r="362" customFormat="false" ht="15" hidden="false" customHeight="false" outlineLevel="0" collapsed="false">
      <c r="A362" s="16" t="n">
        <v>23</v>
      </c>
      <c r="B362" s="20"/>
      <c r="C362" s="5"/>
      <c r="D362" s="5"/>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1" t="str">
        <f aca="false">IF(E362="Exchanger",IF(AND(ISNUMBER(S362),ISNUMBER(U362),ISNUMBER(V362)),S362*PI()/4*(U362*INDEX(LenF,MATCH($U$7,LenU,0)))^2*V362*INDEX(LenF,MATCH($V$7,LenU,0)),0)+IF(ISNUMBER(Y362),PI()/4*(Y362*INDEX(LenF,MATCH($Y$7,LenU,0)))^2*N(Z362)*INDEX(LenF,MATCH($Z$7,LenU,0))+IF(AA362="",0,IF(AA362="Conical",PI()/12*(Y362*INDEX(LenF,MATCH($Y$7,LenU,0)))^2*(0),INDEX(HeadK,MATCH(AA362,HeadU,0))*(Y362*INDEX(LenF,MATCH($Y$7,LenU,0)))^3)),0)+IF(ISNUMBER(Y362),PI()/4*(Y362*INDEX(LenF,MATCH($Y$7,LenU,0)))^2*N(AB362)*INDEX(LenF,MATCH($AB$7,LenU,0))+IF(AC362="",0,IF(AC362="Conical",PI()/12*(Y362*INDEX(LenF,MATCH($Y$7,LenU,0)))^2*(0),INDEX(HeadK,MATCH(AC362,HeadU,0))*(Y362*INDEX(LenF,MATCH($Y$7,LenU,0)))^3)),0),"")</f>
        <v/>
      </c>
      <c r="AE362" s="21" t="str">
        <f aca="false">IF(OR(E362="",E362="Piping"),"",IF(E362="Exchanger",AQ362*AR362+IF(P362="",0,IF(P362="Conical",PI()/12*(SQRT(4*AQ362/PI()))^2*(0),INDEX(HeadK,MATCH(P362,HeadU,0))*(SQRT(4*AQ362/PI()))^3))-IF(AND(ISNUMBER(S362),ISNUMBER(V362)),S362*PI()/4*AP362^2*V362*INDEX(LenF,MATCH($V$7,LenU,0)),0),IF(ISNUMBER(N362),PI()/4*(N362*INDEX(LenF,MATCH($N$7,LenU,0)))^2*N(O362)*INDEX(LenF,MATCH($O$7,LenU,0))+IF(P362="",0,IF(P362="Conical",PI()/12*(N362*INDEX(LenF,MATCH($N$7,LenU,0)))^2*(N(R362)*INDEX(LenF,MATCH($R$7,LenU,0))),INDEX(HeadK,MATCH(P362,HeadU,0))*(N362*INDEX(LenF,MATCH($N$7,LenU,0)))^3))+IF(Q362="",0,IF(Q362="Conical",PI()/12*(N362*INDEX(LenF,MATCH($N$7,LenU,0)))^2*(N(R362)*INDEX(LenF,MATCH($R$7,LenU,0))),INDEX(HeadK,MATCH(Q362,HeadU,0))*(N362*INDEX(LenF,MATCH($N$7,LenU,0)))^3)),0)))</f>
        <v/>
      </c>
      <c r="AF362" s="21" t="str">
        <f aca="false">IF(E362&lt;&gt;"Piping","",IF(AND(ISNUMBER(AS362),ISNUMBER(M362)),PI()/4*(AS362/1000)^2*M362*INDEX(LenF,MATCH($M$7,LenU,0)),0))</f>
        <v/>
      </c>
      <c r="AG362" s="21" t="str">
        <f aca="false">IF(E362="","",N(AD362)+N(AE362)+N(AF362))</f>
        <v/>
      </c>
      <c r="AH362" s="21" t="str">
        <f aca="false">IF(ISNUMBER(I362),I362*INDEX(WtF,MATCH($I$7,WtU,0))/WaterRho,"")</f>
        <v/>
      </c>
      <c r="AI362" s="11"/>
      <c r="AJ362" s="11"/>
      <c r="AK362" s="20"/>
      <c r="AL362" s="11"/>
      <c r="AM362" s="21" t="str">
        <f aca="false">IF(AO362="","",AO362*IF(ISNUMBER(AK362),AK362,DefFills)*(1+IF(ISNUMBER(AL362),AL362,DefAllow)))</f>
        <v/>
      </c>
      <c r="AN362" s="22" t="str">
        <f aca="false">IF(G362="Given volume",IF(ISNUMBER(H362),H362*INDEX(VolF,MATCH($H$7,VolU,0)),""),IF(G362="Water weight",AH362,IF(N(AG362)=0,"",AG362)))</f>
        <v/>
      </c>
      <c r="AO362" s="22" t="str">
        <f aca="false">IF(N(AN362)=0,"",AN362*AT362*IF(ISNUMBER(AJ362),AJ362,DefCirc))</f>
        <v/>
      </c>
      <c r="AP362" s="9" t="n">
        <f aca="false">IF(ISNUMBER(T362),T362*INDEX(LenF,MATCH($T$7,LenU,0)),IF(ISNUMBER(W362),W362*INDEX(LenF,MATCH($W$7,LenU,0))/PitchRatio,0))</f>
        <v>0</v>
      </c>
      <c r="AQ362" s="9" t="n">
        <f aca="false">IF(ISNUMBER(N362),PI()/4*(N362*INDEX(LenF,MATCH($N$7,LenU,0)))^2,IF(AND(ISNUMBER(S362),ISNUMBER(W362),X362&lt;&gt;""),S362*(W362*INDEX(LenF,MATCH($W$7,LenU,0)))^2*INDEX(LayoutF,MATCH(X362,LayoutU,0)),0))</f>
        <v>0</v>
      </c>
      <c r="AR362" s="9" t="n">
        <f aca="false">IF(ISNUMBER(O362),O362*INDEX(LenF,MATCH($O$7,LenU,0)),IF(ISNUMBER(V362),V362*INDEX(LenF,MATCH($V$7,LenU,0)),0))</f>
        <v>0</v>
      </c>
      <c r="AS362" s="9" t="str">
        <f aca="false">IF(ISNUMBER(L362),L362*INDEX(LenF,MATCH($L$7,LenU,0))*1000,IF(OR(J362="",K362=""),"",IFERROR(IF(INDEX(PipeWT,MATCH(J362,NPSU,0),MATCH(K362,SchU,0))="","Sch n/a",INDEX(PipeOD,MATCH(J362,NPSU,0))-2*INDEX(PipeWT,MATCH(J362,NPSU,0),MATCH(K362,SchU,0))),"")))</f>
        <v/>
      </c>
      <c r="AT362" s="9" t="n">
        <f aca="false">IF(ISNUMBER(AI362),AI362,IFERROR(INDEX(IF(JobType="Decontamination",TypeFillDC,TypeFillCC),MATCH(E362,TypeL,0)),1))</f>
        <v>1</v>
      </c>
      <c r="AU362" s="9" t="n">
        <v>11</v>
      </c>
    </row>
    <row r="363" customFormat="false" ht="15" hidden="false" customHeight="false" outlineLevel="0" collapsed="false">
      <c r="A363" s="16" t="n">
        <v>24</v>
      </c>
      <c r="B363" s="20"/>
      <c r="C363" s="5"/>
      <c r="D363" s="5"/>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1" t="str">
        <f aca="false">IF(E363="Exchanger",IF(AND(ISNUMBER(S363),ISNUMBER(U363),ISNUMBER(V363)),S363*PI()/4*(U363*INDEX(LenF,MATCH($U$7,LenU,0)))^2*V363*INDEX(LenF,MATCH($V$7,LenU,0)),0)+IF(ISNUMBER(Y363),PI()/4*(Y363*INDEX(LenF,MATCH($Y$7,LenU,0)))^2*N(Z363)*INDEX(LenF,MATCH($Z$7,LenU,0))+IF(AA363="",0,IF(AA363="Conical",PI()/12*(Y363*INDEX(LenF,MATCH($Y$7,LenU,0)))^2*(0),INDEX(HeadK,MATCH(AA363,HeadU,0))*(Y363*INDEX(LenF,MATCH($Y$7,LenU,0)))^3)),0)+IF(ISNUMBER(Y363),PI()/4*(Y363*INDEX(LenF,MATCH($Y$7,LenU,0)))^2*N(AB363)*INDEX(LenF,MATCH($AB$7,LenU,0))+IF(AC363="",0,IF(AC363="Conical",PI()/12*(Y363*INDEX(LenF,MATCH($Y$7,LenU,0)))^2*(0),INDEX(HeadK,MATCH(AC363,HeadU,0))*(Y363*INDEX(LenF,MATCH($Y$7,LenU,0)))^3)),0),"")</f>
        <v/>
      </c>
      <c r="AE363" s="21" t="str">
        <f aca="false">IF(OR(E363="",E363="Piping"),"",IF(E363="Exchanger",AQ363*AR363+IF(P363="",0,IF(P363="Conical",PI()/12*(SQRT(4*AQ363/PI()))^2*(0),INDEX(HeadK,MATCH(P363,HeadU,0))*(SQRT(4*AQ363/PI()))^3))-IF(AND(ISNUMBER(S363),ISNUMBER(V363)),S363*PI()/4*AP363^2*V363*INDEX(LenF,MATCH($V$7,LenU,0)),0),IF(ISNUMBER(N363),PI()/4*(N363*INDEX(LenF,MATCH($N$7,LenU,0)))^2*N(O363)*INDEX(LenF,MATCH($O$7,LenU,0))+IF(P363="",0,IF(P363="Conical",PI()/12*(N363*INDEX(LenF,MATCH($N$7,LenU,0)))^2*(N(R363)*INDEX(LenF,MATCH($R$7,LenU,0))),INDEX(HeadK,MATCH(P363,HeadU,0))*(N363*INDEX(LenF,MATCH($N$7,LenU,0)))^3))+IF(Q363="",0,IF(Q363="Conical",PI()/12*(N363*INDEX(LenF,MATCH($N$7,LenU,0)))^2*(N(R363)*INDEX(LenF,MATCH($R$7,LenU,0))),INDEX(HeadK,MATCH(Q363,HeadU,0))*(N363*INDEX(LenF,MATCH($N$7,LenU,0)))^3)),0)))</f>
        <v/>
      </c>
      <c r="AF363" s="21" t="str">
        <f aca="false">IF(E363&lt;&gt;"Piping","",IF(AND(ISNUMBER(AS363),ISNUMBER(M363)),PI()/4*(AS363/1000)^2*M363*INDEX(LenF,MATCH($M$7,LenU,0)),0))</f>
        <v/>
      </c>
      <c r="AG363" s="21" t="str">
        <f aca="false">IF(E363="","",N(AD363)+N(AE363)+N(AF363))</f>
        <v/>
      </c>
      <c r="AH363" s="21" t="str">
        <f aca="false">IF(ISNUMBER(I363),I363*INDEX(WtF,MATCH($I$7,WtU,0))/WaterRho,"")</f>
        <v/>
      </c>
      <c r="AI363" s="11"/>
      <c r="AJ363" s="11"/>
      <c r="AK363" s="20"/>
      <c r="AL363" s="11"/>
      <c r="AM363" s="21" t="str">
        <f aca="false">IF(AO363="","",AO363*IF(ISNUMBER(AK363),AK363,DefFills)*(1+IF(ISNUMBER(AL363),AL363,DefAllow)))</f>
        <v/>
      </c>
      <c r="AN363" s="22" t="str">
        <f aca="false">IF(G363="Given volume",IF(ISNUMBER(H363),H363*INDEX(VolF,MATCH($H$7,VolU,0)),""),IF(G363="Water weight",AH363,IF(N(AG363)=0,"",AG363)))</f>
        <v/>
      </c>
      <c r="AO363" s="22" t="str">
        <f aca="false">IF(N(AN363)=0,"",AN363*AT363*IF(ISNUMBER(AJ363),AJ363,DefCirc))</f>
        <v/>
      </c>
      <c r="AP363" s="9" t="n">
        <f aca="false">IF(ISNUMBER(T363),T363*INDEX(LenF,MATCH($T$7,LenU,0)),IF(ISNUMBER(W363),W363*INDEX(LenF,MATCH($W$7,LenU,0))/PitchRatio,0))</f>
        <v>0</v>
      </c>
      <c r="AQ363" s="9" t="n">
        <f aca="false">IF(ISNUMBER(N363),PI()/4*(N363*INDEX(LenF,MATCH($N$7,LenU,0)))^2,IF(AND(ISNUMBER(S363),ISNUMBER(W363),X363&lt;&gt;""),S363*(W363*INDEX(LenF,MATCH($W$7,LenU,0)))^2*INDEX(LayoutF,MATCH(X363,LayoutU,0)),0))</f>
        <v>0</v>
      </c>
      <c r="AR363" s="9" t="n">
        <f aca="false">IF(ISNUMBER(O363),O363*INDEX(LenF,MATCH($O$7,LenU,0)),IF(ISNUMBER(V363),V363*INDEX(LenF,MATCH($V$7,LenU,0)),0))</f>
        <v>0</v>
      </c>
      <c r="AS363" s="9" t="str">
        <f aca="false">IF(ISNUMBER(L363),L363*INDEX(LenF,MATCH($L$7,LenU,0))*1000,IF(OR(J363="",K363=""),"",IFERROR(IF(INDEX(PipeWT,MATCH(J363,NPSU,0),MATCH(K363,SchU,0))="","Sch n/a",INDEX(PipeOD,MATCH(J363,NPSU,0))-2*INDEX(PipeWT,MATCH(J363,NPSU,0),MATCH(K363,SchU,0))),"")))</f>
        <v/>
      </c>
      <c r="AT363" s="9" t="n">
        <f aca="false">IF(ISNUMBER(AI363),AI363,IFERROR(INDEX(IF(JobType="Decontamination",TypeFillDC,TypeFillCC),MATCH(E363,TypeL,0)),1))</f>
        <v>1</v>
      </c>
      <c r="AU363" s="9" t="n">
        <v>11</v>
      </c>
    </row>
    <row r="364" customFormat="false" ht="15" hidden="false" customHeight="false" outlineLevel="0" collapsed="false">
      <c r="A364" s="16" t="n">
        <v>25</v>
      </c>
      <c r="B364" s="20"/>
      <c r="C364" s="5"/>
      <c r="D364" s="5"/>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1" t="str">
        <f aca="false">IF(E364="Exchanger",IF(AND(ISNUMBER(S364),ISNUMBER(U364),ISNUMBER(V364)),S364*PI()/4*(U364*INDEX(LenF,MATCH($U$7,LenU,0)))^2*V364*INDEX(LenF,MATCH($V$7,LenU,0)),0)+IF(ISNUMBER(Y364),PI()/4*(Y364*INDEX(LenF,MATCH($Y$7,LenU,0)))^2*N(Z364)*INDEX(LenF,MATCH($Z$7,LenU,0))+IF(AA364="",0,IF(AA364="Conical",PI()/12*(Y364*INDEX(LenF,MATCH($Y$7,LenU,0)))^2*(0),INDEX(HeadK,MATCH(AA364,HeadU,0))*(Y364*INDEX(LenF,MATCH($Y$7,LenU,0)))^3)),0)+IF(ISNUMBER(Y364),PI()/4*(Y364*INDEX(LenF,MATCH($Y$7,LenU,0)))^2*N(AB364)*INDEX(LenF,MATCH($AB$7,LenU,0))+IF(AC364="",0,IF(AC364="Conical",PI()/12*(Y364*INDEX(LenF,MATCH($Y$7,LenU,0)))^2*(0),INDEX(HeadK,MATCH(AC364,HeadU,0))*(Y364*INDEX(LenF,MATCH($Y$7,LenU,0)))^3)),0),"")</f>
        <v/>
      </c>
      <c r="AE364" s="21" t="str">
        <f aca="false">IF(OR(E364="",E364="Piping"),"",IF(E364="Exchanger",AQ364*AR364+IF(P364="",0,IF(P364="Conical",PI()/12*(SQRT(4*AQ364/PI()))^2*(0),INDEX(HeadK,MATCH(P364,HeadU,0))*(SQRT(4*AQ364/PI()))^3))-IF(AND(ISNUMBER(S364),ISNUMBER(V364)),S364*PI()/4*AP364^2*V364*INDEX(LenF,MATCH($V$7,LenU,0)),0),IF(ISNUMBER(N364),PI()/4*(N364*INDEX(LenF,MATCH($N$7,LenU,0)))^2*N(O364)*INDEX(LenF,MATCH($O$7,LenU,0))+IF(P364="",0,IF(P364="Conical",PI()/12*(N364*INDEX(LenF,MATCH($N$7,LenU,0)))^2*(N(R364)*INDEX(LenF,MATCH($R$7,LenU,0))),INDEX(HeadK,MATCH(P364,HeadU,0))*(N364*INDEX(LenF,MATCH($N$7,LenU,0)))^3))+IF(Q364="",0,IF(Q364="Conical",PI()/12*(N364*INDEX(LenF,MATCH($N$7,LenU,0)))^2*(N(R364)*INDEX(LenF,MATCH($R$7,LenU,0))),INDEX(HeadK,MATCH(Q364,HeadU,0))*(N364*INDEX(LenF,MATCH($N$7,LenU,0)))^3)),0)))</f>
        <v/>
      </c>
      <c r="AF364" s="21" t="str">
        <f aca="false">IF(E364&lt;&gt;"Piping","",IF(AND(ISNUMBER(AS364),ISNUMBER(M364)),PI()/4*(AS364/1000)^2*M364*INDEX(LenF,MATCH($M$7,LenU,0)),0))</f>
        <v/>
      </c>
      <c r="AG364" s="21" t="str">
        <f aca="false">IF(E364="","",N(AD364)+N(AE364)+N(AF364))</f>
        <v/>
      </c>
      <c r="AH364" s="21" t="str">
        <f aca="false">IF(ISNUMBER(I364),I364*INDEX(WtF,MATCH($I$7,WtU,0))/WaterRho,"")</f>
        <v/>
      </c>
      <c r="AI364" s="11"/>
      <c r="AJ364" s="11"/>
      <c r="AK364" s="20"/>
      <c r="AL364" s="11"/>
      <c r="AM364" s="21" t="str">
        <f aca="false">IF(AO364="","",AO364*IF(ISNUMBER(AK364),AK364,DefFills)*(1+IF(ISNUMBER(AL364),AL364,DefAllow)))</f>
        <v/>
      </c>
      <c r="AN364" s="22" t="str">
        <f aca="false">IF(G364="Given volume",IF(ISNUMBER(H364),H364*INDEX(VolF,MATCH($H$7,VolU,0)),""),IF(G364="Water weight",AH364,IF(N(AG364)=0,"",AG364)))</f>
        <v/>
      </c>
      <c r="AO364" s="22" t="str">
        <f aca="false">IF(N(AN364)=0,"",AN364*AT364*IF(ISNUMBER(AJ364),AJ364,DefCirc))</f>
        <v/>
      </c>
      <c r="AP364" s="9" t="n">
        <f aca="false">IF(ISNUMBER(T364),T364*INDEX(LenF,MATCH($T$7,LenU,0)),IF(ISNUMBER(W364),W364*INDEX(LenF,MATCH($W$7,LenU,0))/PitchRatio,0))</f>
        <v>0</v>
      </c>
      <c r="AQ364" s="9" t="n">
        <f aca="false">IF(ISNUMBER(N364),PI()/4*(N364*INDEX(LenF,MATCH($N$7,LenU,0)))^2,IF(AND(ISNUMBER(S364),ISNUMBER(W364),X364&lt;&gt;""),S364*(W364*INDEX(LenF,MATCH($W$7,LenU,0)))^2*INDEX(LayoutF,MATCH(X364,LayoutU,0)),0))</f>
        <v>0</v>
      </c>
      <c r="AR364" s="9" t="n">
        <f aca="false">IF(ISNUMBER(O364),O364*INDEX(LenF,MATCH($O$7,LenU,0)),IF(ISNUMBER(V364),V364*INDEX(LenF,MATCH($V$7,LenU,0)),0))</f>
        <v>0</v>
      </c>
      <c r="AS364" s="9" t="str">
        <f aca="false">IF(ISNUMBER(L364),L364*INDEX(LenF,MATCH($L$7,LenU,0))*1000,IF(OR(J364="",K364=""),"",IFERROR(IF(INDEX(PipeWT,MATCH(J364,NPSU,0),MATCH(K364,SchU,0))="","Sch n/a",INDEX(PipeOD,MATCH(J364,NPSU,0))-2*INDEX(PipeWT,MATCH(J364,NPSU,0),MATCH(K364,SchU,0))),"")))</f>
        <v/>
      </c>
      <c r="AT364" s="9" t="n">
        <f aca="false">IF(ISNUMBER(AI364),AI364,IFERROR(INDEX(IF(JobType="Decontamination",TypeFillDC,TypeFillCC),MATCH(E364,TypeL,0)),1))</f>
        <v>1</v>
      </c>
      <c r="AU364" s="9" t="n">
        <v>11</v>
      </c>
    </row>
    <row r="365" customFormat="false" ht="15" hidden="false" customHeight="false" outlineLevel="0" collapsed="false">
      <c r="A365" s="16" t="n">
        <v>26</v>
      </c>
      <c r="B365" s="20"/>
      <c r="C365" s="5"/>
      <c r="D365" s="5"/>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1" t="str">
        <f aca="false">IF(E365="Exchanger",IF(AND(ISNUMBER(S365),ISNUMBER(U365),ISNUMBER(V365)),S365*PI()/4*(U365*INDEX(LenF,MATCH($U$7,LenU,0)))^2*V365*INDEX(LenF,MATCH($V$7,LenU,0)),0)+IF(ISNUMBER(Y365),PI()/4*(Y365*INDEX(LenF,MATCH($Y$7,LenU,0)))^2*N(Z365)*INDEX(LenF,MATCH($Z$7,LenU,0))+IF(AA365="",0,IF(AA365="Conical",PI()/12*(Y365*INDEX(LenF,MATCH($Y$7,LenU,0)))^2*(0),INDEX(HeadK,MATCH(AA365,HeadU,0))*(Y365*INDEX(LenF,MATCH($Y$7,LenU,0)))^3)),0)+IF(ISNUMBER(Y365),PI()/4*(Y365*INDEX(LenF,MATCH($Y$7,LenU,0)))^2*N(AB365)*INDEX(LenF,MATCH($AB$7,LenU,0))+IF(AC365="",0,IF(AC365="Conical",PI()/12*(Y365*INDEX(LenF,MATCH($Y$7,LenU,0)))^2*(0),INDEX(HeadK,MATCH(AC365,HeadU,0))*(Y365*INDEX(LenF,MATCH($Y$7,LenU,0)))^3)),0),"")</f>
        <v/>
      </c>
      <c r="AE365" s="21" t="str">
        <f aca="false">IF(OR(E365="",E365="Piping"),"",IF(E365="Exchanger",AQ365*AR365+IF(P365="",0,IF(P365="Conical",PI()/12*(SQRT(4*AQ365/PI()))^2*(0),INDEX(HeadK,MATCH(P365,HeadU,0))*(SQRT(4*AQ365/PI()))^3))-IF(AND(ISNUMBER(S365),ISNUMBER(V365)),S365*PI()/4*AP365^2*V365*INDEX(LenF,MATCH($V$7,LenU,0)),0),IF(ISNUMBER(N365),PI()/4*(N365*INDEX(LenF,MATCH($N$7,LenU,0)))^2*N(O365)*INDEX(LenF,MATCH($O$7,LenU,0))+IF(P365="",0,IF(P365="Conical",PI()/12*(N365*INDEX(LenF,MATCH($N$7,LenU,0)))^2*(N(R365)*INDEX(LenF,MATCH($R$7,LenU,0))),INDEX(HeadK,MATCH(P365,HeadU,0))*(N365*INDEX(LenF,MATCH($N$7,LenU,0)))^3))+IF(Q365="",0,IF(Q365="Conical",PI()/12*(N365*INDEX(LenF,MATCH($N$7,LenU,0)))^2*(N(R365)*INDEX(LenF,MATCH($R$7,LenU,0))),INDEX(HeadK,MATCH(Q365,HeadU,0))*(N365*INDEX(LenF,MATCH($N$7,LenU,0)))^3)),0)))</f>
        <v/>
      </c>
      <c r="AF365" s="21" t="str">
        <f aca="false">IF(E365&lt;&gt;"Piping","",IF(AND(ISNUMBER(AS365),ISNUMBER(M365)),PI()/4*(AS365/1000)^2*M365*INDEX(LenF,MATCH($M$7,LenU,0)),0))</f>
        <v/>
      </c>
      <c r="AG365" s="21" t="str">
        <f aca="false">IF(E365="","",N(AD365)+N(AE365)+N(AF365))</f>
        <v/>
      </c>
      <c r="AH365" s="21" t="str">
        <f aca="false">IF(ISNUMBER(I365),I365*INDEX(WtF,MATCH($I$7,WtU,0))/WaterRho,"")</f>
        <v/>
      </c>
      <c r="AI365" s="11"/>
      <c r="AJ365" s="11"/>
      <c r="AK365" s="20"/>
      <c r="AL365" s="11"/>
      <c r="AM365" s="21" t="str">
        <f aca="false">IF(AO365="","",AO365*IF(ISNUMBER(AK365),AK365,DefFills)*(1+IF(ISNUMBER(AL365),AL365,DefAllow)))</f>
        <v/>
      </c>
      <c r="AN365" s="22" t="str">
        <f aca="false">IF(G365="Given volume",IF(ISNUMBER(H365),H365*INDEX(VolF,MATCH($H$7,VolU,0)),""),IF(G365="Water weight",AH365,IF(N(AG365)=0,"",AG365)))</f>
        <v/>
      </c>
      <c r="AO365" s="22" t="str">
        <f aca="false">IF(N(AN365)=0,"",AN365*AT365*IF(ISNUMBER(AJ365),AJ365,DefCirc))</f>
        <v/>
      </c>
      <c r="AP365" s="9" t="n">
        <f aca="false">IF(ISNUMBER(T365),T365*INDEX(LenF,MATCH($T$7,LenU,0)),IF(ISNUMBER(W365),W365*INDEX(LenF,MATCH($W$7,LenU,0))/PitchRatio,0))</f>
        <v>0</v>
      </c>
      <c r="AQ365" s="9" t="n">
        <f aca="false">IF(ISNUMBER(N365),PI()/4*(N365*INDEX(LenF,MATCH($N$7,LenU,0)))^2,IF(AND(ISNUMBER(S365),ISNUMBER(W365),X365&lt;&gt;""),S365*(W365*INDEX(LenF,MATCH($W$7,LenU,0)))^2*INDEX(LayoutF,MATCH(X365,LayoutU,0)),0))</f>
        <v>0</v>
      </c>
      <c r="AR365" s="9" t="n">
        <f aca="false">IF(ISNUMBER(O365),O365*INDEX(LenF,MATCH($O$7,LenU,0)),IF(ISNUMBER(V365),V365*INDEX(LenF,MATCH($V$7,LenU,0)),0))</f>
        <v>0</v>
      </c>
      <c r="AS365" s="9" t="str">
        <f aca="false">IF(ISNUMBER(L365),L365*INDEX(LenF,MATCH($L$7,LenU,0))*1000,IF(OR(J365="",K365=""),"",IFERROR(IF(INDEX(PipeWT,MATCH(J365,NPSU,0),MATCH(K365,SchU,0))="","Sch n/a",INDEX(PipeOD,MATCH(J365,NPSU,0))-2*INDEX(PipeWT,MATCH(J365,NPSU,0),MATCH(K365,SchU,0))),"")))</f>
        <v/>
      </c>
      <c r="AT365" s="9" t="n">
        <f aca="false">IF(ISNUMBER(AI365),AI365,IFERROR(INDEX(IF(JobType="Decontamination",TypeFillDC,TypeFillCC),MATCH(E365,TypeL,0)),1))</f>
        <v>1</v>
      </c>
      <c r="AU365" s="9" t="n">
        <v>11</v>
      </c>
    </row>
    <row r="366" customFormat="false" ht="15" hidden="false" customHeight="false" outlineLevel="0" collapsed="false">
      <c r="A366" s="16" t="n">
        <v>27</v>
      </c>
      <c r="B366" s="20"/>
      <c r="C366" s="5"/>
      <c r="D366" s="5"/>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1" t="str">
        <f aca="false">IF(E366="Exchanger",IF(AND(ISNUMBER(S366),ISNUMBER(U366),ISNUMBER(V366)),S366*PI()/4*(U366*INDEX(LenF,MATCH($U$7,LenU,0)))^2*V366*INDEX(LenF,MATCH($V$7,LenU,0)),0)+IF(ISNUMBER(Y366),PI()/4*(Y366*INDEX(LenF,MATCH($Y$7,LenU,0)))^2*N(Z366)*INDEX(LenF,MATCH($Z$7,LenU,0))+IF(AA366="",0,IF(AA366="Conical",PI()/12*(Y366*INDEX(LenF,MATCH($Y$7,LenU,0)))^2*(0),INDEX(HeadK,MATCH(AA366,HeadU,0))*(Y366*INDEX(LenF,MATCH($Y$7,LenU,0)))^3)),0)+IF(ISNUMBER(Y366),PI()/4*(Y366*INDEX(LenF,MATCH($Y$7,LenU,0)))^2*N(AB366)*INDEX(LenF,MATCH($AB$7,LenU,0))+IF(AC366="",0,IF(AC366="Conical",PI()/12*(Y366*INDEX(LenF,MATCH($Y$7,LenU,0)))^2*(0),INDEX(HeadK,MATCH(AC366,HeadU,0))*(Y366*INDEX(LenF,MATCH($Y$7,LenU,0)))^3)),0),"")</f>
        <v/>
      </c>
      <c r="AE366" s="21" t="str">
        <f aca="false">IF(OR(E366="",E366="Piping"),"",IF(E366="Exchanger",AQ366*AR366+IF(P366="",0,IF(P366="Conical",PI()/12*(SQRT(4*AQ366/PI()))^2*(0),INDEX(HeadK,MATCH(P366,HeadU,0))*(SQRT(4*AQ366/PI()))^3))-IF(AND(ISNUMBER(S366),ISNUMBER(V366)),S366*PI()/4*AP366^2*V366*INDEX(LenF,MATCH($V$7,LenU,0)),0),IF(ISNUMBER(N366),PI()/4*(N366*INDEX(LenF,MATCH($N$7,LenU,0)))^2*N(O366)*INDEX(LenF,MATCH($O$7,LenU,0))+IF(P366="",0,IF(P366="Conical",PI()/12*(N366*INDEX(LenF,MATCH($N$7,LenU,0)))^2*(N(R366)*INDEX(LenF,MATCH($R$7,LenU,0))),INDEX(HeadK,MATCH(P366,HeadU,0))*(N366*INDEX(LenF,MATCH($N$7,LenU,0)))^3))+IF(Q366="",0,IF(Q366="Conical",PI()/12*(N366*INDEX(LenF,MATCH($N$7,LenU,0)))^2*(N(R366)*INDEX(LenF,MATCH($R$7,LenU,0))),INDEX(HeadK,MATCH(Q366,HeadU,0))*(N366*INDEX(LenF,MATCH($N$7,LenU,0)))^3)),0)))</f>
        <v/>
      </c>
      <c r="AF366" s="21" t="str">
        <f aca="false">IF(E366&lt;&gt;"Piping","",IF(AND(ISNUMBER(AS366),ISNUMBER(M366)),PI()/4*(AS366/1000)^2*M366*INDEX(LenF,MATCH($M$7,LenU,0)),0))</f>
        <v/>
      </c>
      <c r="AG366" s="21" t="str">
        <f aca="false">IF(E366="","",N(AD366)+N(AE366)+N(AF366))</f>
        <v/>
      </c>
      <c r="AH366" s="21" t="str">
        <f aca="false">IF(ISNUMBER(I366),I366*INDEX(WtF,MATCH($I$7,WtU,0))/WaterRho,"")</f>
        <v/>
      </c>
      <c r="AI366" s="11"/>
      <c r="AJ366" s="11"/>
      <c r="AK366" s="20"/>
      <c r="AL366" s="11"/>
      <c r="AM366" s="21" t="str">
        <f aca="false">IF(AO366="","",AO366*IF(ISNUMBER(AK366),AK366,DefFills)*(1+IF(ISNUMBER(AL366),AL366,DefAllow)))</f>
        <v/>
      </c>
      <c r="AN366" s="22" t="str">
        <f aca="false">IF(G366="Given volume",IF(ISNUMBER(H366),H366*INDEX(VolF,MATCH($H$7,VolU,0)),""),IF(G366="Water weight",AH366,IF(N(AG366)=0,"",AG366)))</f>
        <v/>
      </c>
      <c r="AO366" s="22" t="str">
        <f aca="false">IF(N(AN366)=0,"",AN366*AT366*IF(ISNUMBER(AJ366),AJ366,DefCirc))</f>
        <v/>
      </c>
      <c r="AP366" s="9" t="n">
        <f aca="false">IF(ISNUMBER(T366),T366*INDEX(LenF,MATCH($T$7,LenU,0)),IF(ISNUMBER(W366),W366*INDEX(LenF,MATCH($W$7,LenU,0))/PitchRatio,0))</f>
        <v>0</v>
      </c>
      <c r="AQ366" s="9" t="n">
        <f aca="false">IF(ISNUMBER(N366),PI()/4*(N366*INDEX(LenF,MATCH($N$7,LenU,0)))^2,IF(AND(ISNUMBER(S366),ISNUMBER(W366),X366&lt;&gt;""),S366*(W366*INDEX(LenF,MATCH($W$7,LenU,0)))^2*INDEX(LayoutF,MATCH(X366,LayoutU,0)),0))</f>
        <v>0</v>
      </c>
      <c r="AR366" s="9" t="n">
        <f aca="false">IF(ISNUMBER(O366),O366*INDEX(LenF,MATCH($O$7,LenU,0)),IF(ISNUMBER(V366),V366*INDEX(LenF,MATCH($V$7,LenU,0)),0))</f>
        <v>0</v>
      </c>
      <c r="AS366" s="9" t="str">
        <f aca="false">IF(ISNUMBER(L366),L366*INDEX(LenF,MATCH($L$7,LenU,0))*1000,IF(OR(J366="",K366=""),"",IFERROR(IF(INDEX(PipeWT,MATCH(J366,NPSU,0),MATCH(K366,SchU,0))="","Sch n/a",INDEX(PipeOD,MATCH(J366,NPSU,0))-2*INDEX(PipeWT,MATCH(J366,NPSU,0),MATCH(K366,SchU,0))),"")))</f>
        <v/>
      </c>
      <c r="AT366" s="9" t="n">
        <f aca="false">IF(ISNUMBER(AI366),AI366,IFERROR(INDEX(IF(JobType="Decontamination",TypeFillDC,TypeFillCC),MATCH(E366,TypeL,0)),1))</f>
        <v>1</v>
      </c>
      <c r="AU366" s="9" t="n">
        <v>11</v>
      </c>
    </row>
    <row r="367" customFormat="false" ht="15" hidden="false" customHeight="false" outlineLevel="0" collapsed="false">
      <c r="A367" s="16" t="n">
        <v>28</v>
      </c>
      <c r="B367" s="20"/>
      <c r="C367" s="5"/>
      <c r="D367" s="5"/>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1" t="str">
        <f aca="false">IF(E367="Exchanger",IF(AND(ISNUMBER(S367),ISNUMBER(U367),ISNUMBER(V367)),S367*PI()/4*(U367*INDEX(LenF,MATCH($U$7,LenU,0)))^2*V367*INDEX(LenF,MATCH($V$7,LenU,0)),0)+IF(ISNUMBER(Y367),PI()/4*(Y367*INDEX(LenF,MATCH($Y$7,LenU,0)))^2*N(Z367)*INDEX(LenF,MATCH($Z$7,LenU,0))+IF(AA367="",0,IF(AA367="Conical",PI()/12*(Y367*INDEX(LenF,MATCH($Y$7,LenU,0)))^2*(0),INDEX(HeadK,MATCH(AA367,HeadU,0))*(Y367*INDEX(LenF,MATCH($Y$7,LenU,0)))^3)),0)+IF(ISNUMBER(Y367),PI()/4*(Y367*INDEX(LenF,MATCH($Y$7,LenU,0)))^2*N(AB367)*INDEX(LenF,MATCH($AB$7,LenU,0))+IF(AC367="",0,IF(AC367="Conical",PI()/12*(Y367*INDEX(LenF,MATCH($Y$7,LenU,0)))^2*(0),INDEX(HeadK,MATCH(AC367,HeadU,0))*(Y367*INDEX(LenF,MATCH($Y$7,LenU,0)))^3)),0),"")</f>
        <v/>
      </c>
      <c r="AE367" s="21" t="str">
        <f aca="false">IF(OR(E367="",E367="Piping"),"",IF(E367="Exchanger",AQ367*AR367+IF(P367="",0,IF(P367="Conical",PI()/12*(SQRT(4*AQ367/PI()))^2*(0),INDEX(HeadK,MATCH(P367,HeadU,0))*(SQRT(4*AQ367/PI()))^3))-IF(AND(ISNUMBER(S367),ISNUMBER(V367)),S367*PI()/4*AP367^2*V367*INDEX(LenF,MATCH($V$7,LenU,0)),0),IF(ISNUMBER(N367),PI()/4*(N367*INDEX(LenF,MATCH($N$7,LenU,0)))^2*N(O367)*INDEX(LenF,MATCH($O$7,LenU,0))+IF(P367="",0,IF(P367="Conical",PI()/12*(N367*INDEX(LenF,MATCH($N$7,LenU,0)))^2*(N(R367)*INDEX(LenF,MATCH($R$7,LenU,0))),INDEX(HeadK,MATCH(P367,HeadU,0))*(N367*INDEX(LenF,MATCH($N$7,LenU,0)))^3))+IF(Q367="",0,IF(Q367="Conical",PI()/12*(N367*INDEX(LenF,MATCH($N$7,LenU,0)))^2*(N(R367)*INDEX(LenF,MATCH($R$7,LenU,0))),INDEX(HeadK,MATCH(Q367,HeadU,0))*(N367*INDEX(LenF,MATCH($N$7,LenU,0)))^3)),0)))</f>
        <v/>
      </c>
      <c r="AF367" s="21" t="str">
        <f aca="false">IF(E367&lt;&gt;"Piping","",IF(AND(ISNUMBER(AS367),ISNUMBER(M367)),PI()/4*(AS367/1000)^2*M367*INDEX(LenF,MATCH($M$7,LenU,0)),0))</f>
        <v/>
      </c>
      <c r="AG367" s="21" t="str">
        <f aca="false">IF(E367="","",N(AD367)+N(AE367)+N(AF367))</f>
        <v/>
      </c>
      <c r="AH367" s="21" t="str">
        <f aca="false">IF(ISNUMBER(I367),I367*INDEX(WtF,MATCH($I$7,WtU,0))/WaterRho,"")</f>
        <v/>
      </c>
      <c r="AI367" s="11"/>
      <c r="AJ367" s="11"/>
      <c r="AK367" s="20"/>
      <c r="AL367" s="11"/>
      <c r="AM367" s="21" t="str">
        <f aca="false">IF(AO367="","",AO367*IF(ISNUMBER(AK367),AK367,DefFills)*(1+IF(ISNUMBER(AL367),AL367,DefAllow)))</f>
        <v/>
      </c>
      <c r="AN367" s="22" t="str">
        <f aca="false">IF(G367="Given volume",IF(ISNUMBER(H367),H367*INDEX(VolF,MATCH($H$7,VolU,0)),""),IF(G367="Water weight",AH367,IF(N(AG367)=0,"",AG367)))</f>
        <v/>
      </c>
      <c r="AO367" s="22" t="str">
        <f aca="false">IF(N(AN367)=0,"",AN367*AT367*IF(ISNUMBER(AJ367),AJ367,DefCirc))</f>
        <v/>
      </c>
      <c r="AP367" s="9" t="n">
        <f aca="false">IF(ISNUMBER(T367),T367*INDEX(LenF,MATCH($T$7,LenU,0)),IF(ISNUMBER(W367),W367*INDEX(LenF,MATCH($W$7,LenU,0))/PitchRatio,0))</f>
        <v>0</v>
      </c>
      <c r="AQ367" s="9" t="n">
        <f aca="false">IF(ISNUMBER(N367),PI()/4*(N367*INDEX(LenF,MATCH($N$7,LenU,0)))^2,IF(AND(ISNUMBER(S367),ISNUMBER(W367),X367&lt;&gt;""),S367*(W367*INDEX(LenF,MATCH($W$7,LenU,0)))^2*INDEX(LayoutF,MATCH(X367,LayoutU,0)),0))</f>
        <v>0</v>
      </c>
      <c r="AR367" s="9" t="n">
        <f aca="false">IF(ISNUMBER(O367),O367*INDEX(LenF,MATCH($O$7,LenU,0)),IF(ISNUMBER(V367),V367*INDEX(LenF,MATCH($V$7,LenU,0)),0))</f>
        <v>0</v>
      </c>
      <c r="AS367" s="9" t="str">
        <f aca="false">IF(ISNUMBER(L367),L367*INDEX(LenF,MATCH($L$7,LenU,0))*1000,IF(OR(J367="",K367=""),"",IFERROR(IF(INDEX(PipeWT,MATCH(J367,NPSU,0),MATCH(K367,SchU,0))="","Sch n/a",INDEX(PipeOD,MATCH(J367,NPSU,0))-2*INDEX(PipeWT,MATCH(J367,NPSU,0),MATCH(K367,SchU,0))),"")))</f>
        <v/>
      </c>
      <c r="AT367" s="9" t="n">
        <f aca="false">IF(ISNUMBER(AI367),AI367,IFERROR(INDEX(IF(JobType="Decontamination",TypeFillDC,TypeFillCC),MATCH(E367,TypeL,0)),1))</f>
        <v>1</v>
      </c>
      <c r="AU367" s="9" t="n">
        <v>11</v>
      </c>
    </row>
    <row r="368" customFormat="false" ht="15" hidden="false" customHeight="false" outlineLevel="0" collapsed="false">
      <c r="A368" s="16" t="n">
        <v>29</v>
      </c>
      <c r="B368" s="20"/>
      <c r="C368" s="5"/>
      <c r="D368" s="5"/>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1" t="str">
        <f aca="false">IF(E368="Exchanger",IF(AND(ISNUMBER(S368),ISNUMBER(U368),ISNUMBER(V368)),S368*PI()/4*(U368*INDEX(LenF,MATCH($U$7,LenU,0)))^2*V368*INDEX(LenF,MATCH($V$7,LenU,0)),0)+IF(ISNUMBER(Y368),PI()/4*(Y368*INDEX(LenF,MATCH($Y$7,LenU,0)))^2*N(Z368)*INDEX(LenF,MATCH($Z$7,LenU,0))+IF(AA368="",0,IF(AA368="Conical",PI()/12*(Y368*INDEX(LenF,MATCH($Y$7,LenU,0)))^2*(0),INDEX(HeadK,MATCH(AA368,HeadU,0))*(Y368*INDEX(LenF,MATCH($Y$7,LenU,0)))^3)),0)+IF(ISNUMBER(Y368),PI()/4*(Y368*INDEX(LenF,MATCH($Y$7,LenU,0)))^2*N(AB368)*INDEX(LenF,MATCH($AB$7,LenU,0))+IF(AC368="",0,IF(AC368="Conical",PI()/12*(Y368*INDEX(LenF,MATCH($Y$7,LenU,0)))^2*(0),INDEX(HeadK,MATCH(AC368,HeadU,0))*(Y368*INDEX(LenF,MATCH($Y$7,LenU,0)))^3)),0),"")</f>
        <v/>
      </c>
      <c r="AE368" s="21" t="str">
        <f aca="false">IF(OR(E368="",E368="Piping"),"",IF(E368="Exchanger",AQ368*AR368+IF(P368="",0,IF(P368="Conical",PI()/12*(SQRT(4*AQ368/PI()))^2*(0),INDEX(HeadK,MATCH(P368,HeadU,0))*(SQRT(4*AQ368/PI()))^3))-IF(AND(ISNUMBER(S368),ISNUMBER(V368)),S368*PI()/4*AP368^2*V368*INDEX(LenF,MATCH($V$7,LenU,0)),0),IF(ISNUMBER(N368),PI()/4*(N368*INDEX(LenF,MATCH($N$7,LenU,0)))^2*N(O368)*INDEX(LenF,MATCH($O$7,LenU,0))+IF(P368="",0,IF(P368="Conical",PI()/12*(N368*INDEX(LenF,MATCH($N$7,LenU,0)))^2*(N(R368)*INDEX(LenF,MATCH($R$7,LenU,0))),INDEX(HeadK,MATCH(P368,HeadU,0))*(N368*INDEX(LenF,MATCH($N$7,LenU,0)))^3))+IF(Q368="",0,IF(Q368="Conical",PI()/12*(N368*INDEX(LenF,MATCH($N$7,LenU,0)))^2*(N(R368)*INDEX(LenF,MATCH($R$7,LenU,0))),INDEX(HeadK,MATCH(Q368,HeadU,0))*(N368*INDEX(LenF,MATCH($N$7,LenU,0)))^3)),0)))</f>
        <v/>
      </c>
      <c r="AF368" s="21" t="str">
        <f aca="false">IF(E368&lt;&gt;"Piping","",IF(AND(ISNUMBER(AS368),ISNUMBER(M368)),PI()/4*(AS368/1000)^2*M368*INDEX(LenF,MATCH($M$7,LenU,0)),0))</f>
        <v/>
      </c>
      <c r="AG368" s="21" t="str">
        <f aca="false">IF(E368="","",N(AD368)+N(AE368)+N(AF368))</f>
        <v/>
      </c>
      <c r="AH368" s="21" t="str">
        <f aca="false">IF(ISNUMBER(I368),I368*INDEX(WtF,MATCH($I$7,WtU,0))/WaterRho,"")</f>
        <v/>
      </c>
      <c r="AI368" s="11"/>
      <c r="AJ368" s="11"/>
      <c r="AK368" s="20"/>
      <c r="AL368" s="11"/>
      <c r="AM368" s="21" t="str">
        <f aca="false">IF(AO368="","",AO368*IF(ISNUMBER(AK368),AK368,DefFills)*(1+IF(ISNUMBER(AL368),AL368,DefAllow)))</f>
        <v/>
      </c>
      <c r="AN368" s="22" t="str">
        <f aca="false">IF(G368="Given volume",IF(ISNUMBER(H368),H368*INDEX(VolF,MATCH($H$7,VolU,0)),""),IF(G368="Water weight",AH368,IF(N(AG368)=0,"",AG368)))</f>
        <v/>
      </c>
      <c r="AO368" s="22" t="str">
        <f aca="false">IF(N(AN368)=0,"",AN368*AT368*IF(ISNUMBER(AJ368),AJ368,DefCirc))</f>
        <v/>
      </c>
      <c r="AP368" s="9" t="n">
        <f aca="false">IF(ISNUMBER(T368),T368*INDEX(LenF,MATCH($T$7,LenU,0)),IF(ISNUMBER(W368),W368*INDEX(LenF,MATCH($W$7,LenU,0))/PitchRatio,0))</f>
        <v>0</v>
      </c>
      <c r="AQ368" s="9" t="n">
        <f aca="false">IF(ISNUMBER(N368),PI()/4*(N368*INDEX(LenF,MATCH($N$7,LenU,0)))^2,IF(AND(ISNUMBER(S368),ISNUMBER(W368),X368&lt;&gt;""),S368*(W368*INDEX(LenF,MATCH($W$7,LenU,0)))^2*INDEX(LayoutF,MATCH(X368,LayoutU,0)),0))</f>
        <v>0</v>
      </c>
      <c r="AR368" s="9" t="n">
        <f aca="false">IF(ISNUMBER(O368),O368*INDEX(LenF,MATCH($O$7,LenU,0)),IF(ISNUMBER(V368),V368*INDEX(LenF,MATCH($V$7,LenU,0)),0))</f>
        <v>0</v>
      </c>
      <c r="AS368" s="9" t="str">
        <f aca="false">IF(ISNUMBER(L368),L368*INDEX(LenF,MATCH($L$7,LenU,0))*1000,IF(OR(J368="",K368=""),"",IFERROR(IF(INDEX(PipeWT,MATCH(J368,NPSU,0),MATCH(K368,SchU,0))="","Sch n/a",INDEX(PipeOD,MATCH(J368,NPSU,0))-2*INDEX(PipeWT,MATCH(J368,NPSU,0),MATCH(K368,SchU,0))),"")))</f>
        <v/>
      </c>
      <c r="AT368" s="9" t="n">
        <f aca="false">IF(ISNUMBER(AI368),AI368,IFERROR(INDEX(IF(JobType="Decontamination",TypeFillDC,TypeFillCC),MATCH(E368,TypeL,0)),1))</f>
        <v>1</v>
      </c>
      <c r="AU368" s="9" t="n">
        <v>11</v>
      </c>
    </row>
    <row r="369" customFormat="false" ht="15" hidden="false" customHeight="false" outlineLevel="0" collapsed="false">
      <c r="A369" s="16" t="n">
        <v>30</v>
      </c>
      <c r="B369" s="20"/>
      <c r="C369" s="5"/>
      <c r="D369" s="5"/>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1" t="str">
        <f aca="false">IF(E369="Exchanger",IF(AND(ISNUMBER(S369),ISNUMBER(U369),ISNUMBER(V369)),S369*PI()/4*(U369*INDEX(LenF,MATCH($U$7,LenU,0)))^2*V369*INDEX(LenF,MATCH($V$7,LenU,0)),0)+IF(ISNUMBER(Y369),PI()/4*(Y369*INDEX(LenF,MATCH($Y$7,LenU,0)))^2*N(Z369)*INDEX(LenF,MATCH($Z$7,LenU,0))+IF(AA369="",0,IF(AA369="Conical",PI()/12*(Y369*INDEX(LenF,MATCH($Y$7,LenU,0)))^2*(0),INDEX(HeadK,MATCH(AA369,HeadU,0))*(Y369*INDEX(LenF,MATCH($Y$7,LenU,0)))^3)),0)+IF(ISNUMBER(Y369),PI()/4*(Y369*INDEX(LenF,MATCH($Y$7,LenU,0)))^2*N(AB369)*INDEX(LenF,MATCH($AB$7,LenU,0))+IF(AC369="",0,IF(AC369="Conical",PI()/12*(Y369*INDEX(LenF,MATCH($Y$7,LenU,0)))^2*(0),INDEX(HeadK,MATCH(AC369,HeadU,0))*(Y369*INDEX(LenF,MATCH($Y$7,LenU,0)))^3)),0),"")</f>
        <v/>
      </c>
      <c r="AE369" s="21" t="str">
        <f aca="false">IF(OR(E369="",E369="Piping"),"",IF(E369="Exchanger",AQ369*AR369+IF(P369="",0,IF(P369="Conical",PI()/12*(SQRT(4*AQ369/PI()))^2*(0),INDEX(HeadK,MATCH(P369,HeadU,0))*(SQRT(4*AQ369/PI()))^3))-IF(AND(ISNUMBER(S369),ISNUMBER(V369)),S369*PI()/4*AP369^2*V369*INDEX(LenF,MATCH($V$7,LenU,0)),0),IF(ISNUMBER(N369),PI()/4*(N369*INDEX(LenF,MATCH($N$7,LenU,0)))^2*N(O369)*INDEX(LenF,MATCH($O$7,LenU,0))+IF(P369="",0,IF(P369="Conical",PI()/12*(N369*INDEX(LenF,MATCH($N$7,LenU,0)))^2*(N(R369)*INDEX(LenF,MATCH($R$7,LenU,0))),INDEX(HeadK,MATCH(P369,HeadU,0))*(N369*INDEX(LenF,MATCH($N$7,LenU,0)))^3))+IF(Q369="",0,IF(Q369="Conical",PI()/12*(N369*INDEX(LenF,MATCH($N$7,LenU,0)))^2*(N(R369)*INDEX(LenF,MATCH($R$7,LenU,0))),INDEX(HeadK,MATCH(Q369,HeadU,0))*(N369*INDEX(LenF,MATCH($N$7,LenU,0)))^3)),0)))</f>
        <v/>
      </c>
      <c r="AF369" s="21" t="str">
        <f aca="false">IF(E369&lt;&gt;"Piping","",IF(AND(ISNUMBER(AS369),ISNUMBER(M369)),PI()/4*(AS369/1000)^2*M369*INDEX(LenF,MATCH($M$7,LenU,0)),0))</f>
        <v/>
      </c>
      <c r="AG369" s="21" t="str">
        <f aca="false">IF(E369="","",N(AD369)+N(AE369)+N(AF369))</f>
        <v/>
      </c>
      <c r="AH369" s="21" t="str">
        <f aca="false">IF(ISNUMBER(I369),I369*INDEX(WtF,MATCH($I$7,WtU,0))/WaterRho,"")</f>
        <v/>
      </c>
      <c r="AI369" s="11"/>
      <c r="AJ369" s="11"/>
      <c r="AK369" s="20"/>
      <c r="AL369" s="11"/>
      <c r="AM369" s="21" t="str">
        <f aca="false">IF(AO369="","",AO369*IF(ISNUMBER(AK369),AK369,DefFills)*(1+IF(ISNUMBER(AL369),AL369,DefAllow)))</f>
        <v/>
      </c>
      <c r="AN369" s="22" t="str">
        <f aca="false">IF(G369="Given volume",IF(ISNUMBER(H369),H369*INDEX(VolF,MATCH($H$7,VolU,0)),""),IF(G369="Water weight",AH369,IF(N(AG369)=0,"",AG369)))</f>
        <v/>
      </c>
      <c r="AO369" s="22" t="str">
        <f aca="false">IF(N(AN369)=0,"",AN369*AT369*IF(ISNUMBER(AJ369),AJ369,DefCirc))</f>
        <v/>
      </c>
      <c r="AP369" s="9" t="n">
        <f aca="false">IF(ISNUMBER(T369),T369*INDEX(LenF,MATCH($T$7,LenU,0)),IF(ISNUMBER(W369),W369*INDEX(LenF,MATCH($W$7,LenU,0))/PitchRatio,0))</f>
        <v>0</v>
      </c>
      <c r="AQ369" s="9" t="n">
        <f aca="false">IF(ISNUMBER(N369),PI()/4*(N369*INDEX(LenF,MATCH($N$7,LenU,0)))^2,IF(AND(ISNUMBER(S369),ISNUMBER(W369),X369&lt;&gt;""),S369*(W369*INDEX(LenF,MATCH($W$7,LenU,0)))^2*INDEX(LayoutF,MATCH(X369,LayoutU,0)),0))</f>
        <v>0</v>
      </c>
      <c r="AR369" s="9" t="n">
        <f aca="false">IF(ISNUMBER(O369),O369*INDEX(LenF,MATCH($O$7,LenU,0)),IF(ISNUMBER(V369),V369*INDEX(LenF,MATCH($V$7,LenU,0)),0))</f>
        <v>0</v>
      </c>
      <c r="AS369" s="9" t="str">
        <f aca="false">IF(ISNUMBER(L369),L369*INDEX(LenF,MATCH($L$7,LenU,0))*1000,IF(OR(J369="",K369=""),"",IFERROR(IF(INDEX(PipeWT,MATCH(J369,NPSU,0),MATCH(K369,SchU,0))="","Sch n/a",INDEX(PipeOD,MATCH(J369,NPSU,0))-2*INDEX(PipeWT,MATCH(J369,NPSU,0),MATCH(K369,SchU,0))),"")))</f>
        <v/>
      </c>
      <c r="AT369" s="9" t="n">
        <f aca="false">IF(ISNUMBER(AI369),AI369,IFERROR(INDEX(IF(JobType="Decontamination",TypeFillDC,TypeFillCC),MATCH(E369,TypeL,0)),1))</f>
        <v>1</v>
      </c>
      <c r="AU369" s="9" t="n">
        <v>11</v>
      </c>
    </row>
    <row r="370" customFormat="false" ht="15" hidden="false" customHeight="false" outlineLevel="0" collapsed="false">
      <c r="A370" s="24" t="str">
        <f aca="false">"TOTAL – "&amp;INDEX(UnitNames,11)</f>
        <v>TOTAL – Unit 11</v>
      </c>
      <c r="B370" s="24"/>
      <c r="C370" s="24"/>
      <c r="D370" s="24"/>
      <c r="E370" s="25"/>
      <c r="F370" s="25"/>
      <c r="G370" s="25"/>
      <c r="H370" s="25"/>
      <c r="I370" s="25"/>
      <c r="J370" s="25"/>
      <c r="K370" s="25"/>
      <c r="L370" s="25"/>
      <c r="M370" s="25"/>
      <c r="N370" s="25"/>
      <c r="O370" s="25"/>
      <c r="P370" s="25"/>
      <c r="Q370" s="25"/>
      <c r="R370" s="25"/>
      <c r="S370" s="26" t="str">
        <f aca="false">COUNT(AN340:AN369)&amp;" items"</f>
        <v>0 items</v>
      </c>
      <c r="T370" s="25"/>
      <c r="U370" s="25"/>
      <c r="V370" s="25"/>
      <c r="W370" s="25"/>
      <c r="X370" s="25"/>
      <c r="Y370" s="25"/>
      <c r="Z370" s="25"/>
      <c r="AA370" s="25"/>
      <c r="AB370" s="25"/>
      <c r="AC370" s="25"/>
      <c r="AD370" s="27" t="n">
        <f aca="false">SUM(AD340:AD369)</f>
        <v>0</v>
      </c>
      <c r="AE370" s="27" t="n">
        <f aca="false">SUM(AE340:AE369)</f>
        <v>0</v>
      </c>
      <c r="AF370" s="27" t="n">
        <f aca="false">SUM(AF340:AF369)</f>
        <v>0</v>
      </c>
      <c r="AG370" s="27" t="n">
        <f aca="false">SUM(AG340:AG369)</f>
        <v>0</v>
      </c>
      <c r="AH370" s="27" t="n">
        <f aca="false">SUM(AH340:AH369)</f>
        <v>0</v>
      </c>
      <c r="AI370" s="25"/>
      <c r="AJ370" s="25"/>
      <c r="AK370" s="25"/>
      <c r="AL370" s="25"/>
      <c r="AM370" s="27" t="n">
        <f aca="false">SUM(AM340:AM369)</f>
        <v>0</v>
      </c>
      <c r="AN370" s="27" t="n">
        <f aca="false">SUM(AN340:AN369)</f>
        <v>0</v>
      </c>
      <c r="AO370" s="27" t="n">
        <f aca="false">SUM(AO340:AO369)</f>
        <v>0</v>
      </c>
    </row>
    <row r="372" customFormat="false" ht="15" hidden="false" customHeight="false" outlineLevel="0" collapsed="false">
      <c r="A372" s="18" t="str">
        <f aca="false">"UNIT 12:  "&amp;INDEX(UnitNames,12)</f>
        <v>UNIT 12:  Unit 12</v>
      </c>
      <c r="B372" s="18"/>
      <c r="C372" s="18"/>
      <c r="D372" s="18"/>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row>
    <row r="373" customFormat="false" ht="15" hidden="false" customHeight="false" outlineLevel="0" collapsed="false">
      <c r="A373" s="16" t="n">
        <v>1</v>
      </c>
      <c r="B373" s="20"/>
      <c r="C373" s="5"/>
      <c r="D373" s="5"/>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1" t="str">
        <f aca="false">IF(E373="Exchanger",IF(AND(ISNUMBER(S373),ISNUMBER(U373),ISNUMBER(V373)),S373*PI()/4*(U373*INDEX(LenF,MATCH($U$7,LenU,0)))^2*V373*INDEX(LenF,MATCH($V$7,LenU,0)),0)+IF(ISNUMBER(Y373),PI()/4*(Y373*INDEX(LenF,MATCH($Y$7,LenU,0)))^2*N(Z373)*INDEX(LenF,MATCH($Z$7,LenU,0))+IF(AA373="",0,IF(AA373="Conical",PI()/12*(Y373*INDEX(LenF,MATCH($Y$7,LenU,0)))^2*(0),INDEX(HeadK,MATCH(AA373,HeadU,0))*(Y373*INDEX(LenF,MATCH($Y$7,LenU,0)))^3)),0)+IF(ISNUMBER(Y373),PI()/4*(Y373*INDEX(LenF,MATCH($Y$7,LenU,0)))^2*N(AB373)*INDEX(LenF,MATCH($AB$7,LenU,0))+IF(AC373="",0,IF(AC373="Conical",PI()/12*(Y373*INDEX(LenF,MATCH($Y$7,LenU,0)))^2*(0),INDEX(HeadK,MATCH(AC373,HeadU,0))*(Y373*INDEX(LenF,MATCH($Y$7,LenU,0)))^3)),0),"")</f>
        <v/>
      </c>
      <c r="AE373" s="21" t="str">
        <f aca="false">IF(OR(E373="",E373="Piping"),"",IF(E373="Exchanger",AQ373*AR373+IF(P373="",0,IF(P373="Conical",PI()/12*(SQRT(4*AQ373/PI()))^2*(0),INDEX(HeadK,MATCH(P373,HeadU,0))*(SQRT(4*AQ373/PI()))^3))-IF(AND(ISNUMBER(S373),ISNUMBER(V373)),S373*PI()/4*AP373^2*V373*INDEX(LenF,MATCH($V$7,LenU,0)),0),IF(ISNUMBER(N373),PI()/4*(N373*INDEX(LenF,MATCH($N$7,LenU,0)))^2*N(O373)*INDEX(LenF,MATCH($O$7,LenU,0))+IF(P373="",0,IF(P373="Conical",PI()/12*(N373*INDEX(LenF,MATCH($N$7,LenU,0)))^2*(N(R373)*INDEX(LenF,MATCH($R$7,LenU,0))),INDEX(HeadK,MATCH(P373,HeadU,0))*(N373*INDEX(LenF,MATCH($N$7,LenU,0)))^3))+IF(Q373="",0,IF(Q373="Conical",PI()/12*(N373*INDEX(LenF,MATCH($N$7,LenU,0)))^2*(N(R373)*INDEX(LenF,MATCH($R$7,LenU,0))),INDEX(HeadK,MATCH(Q373,HeadU,0))*(N373*INDEX(LenF,MATCH($N$7,LenU,0)))^3)),0)))</f>
        <v/>
      </c>
      <c r="AF373" s="21" t="str">
        <f aca="false">IF(E373&lt;&gt;"Piping","",IF(AND(ISNUMBER(AS373),ISNUMBER(M373)),PI()/4*(AS373/1000)^2*M373*INDEX(LenF,MATCH($M$7,LenU,0)),0))</f>
        <v/>
      </c>
      <c r="AG373" s="21" t="str">
        <f aca="false">IF(E373="","",N(AD373)+N(AE373)+N(AF373))</f>
        <v/>
      </c>
      <c r="AH373" s="21" t="str">
        <f aca="false">IF(ISNUMBER(I373),I373*INDEX(WtF,MATCH($I$7,WtU,0))/WaterRho,"")</f>
        <v/>
      </c>
      <c r="AI373" s="11"/>
      <c r="AJ373" s="11"/>
      <c r="AK373" s="20"/>
      <c r="AL373" s="11"/>
      <c r="AM373" s="21" t="str">
        <f aca="false">IF(AO373="","",AO373*IF(ISNUMBER(AK373),AK373,DefFills)*(1+IF(ISNUMBER(AL373),AL373,DefAllow)))</f>
        <v/>
      </c>
      <c r="AN373" s="22" t="str">
        <f aca="false">IF(G373="Given volume",IF(ISNUMBER(H373),H373*INDEX(VolF,MATCH($H$7,VolU,0)),""),IF(G373="Water weight",AH373,IF(N(AG373)=0,"",AG373)))</f>
        <v/>
      </c>
      <c r="AO373" s="22" t="str">
        <f aca="false">IF(N(AN373)=0,"",AN373*AT373*IF(ISNUMBER(AJ373),AJ373,DefCirc))</f>
        <v/>
      </c>
      <c r="AP373" s="9" t="n">
        <f aca="false">IF(ISNUMBER(T373),T373*INDEX(LenF,MATCH($T$7,LenU,0)),IF(ISNUMBER(W373),W373*INDEX(LenF,MATCH($W$7,LenU,0))/PitchRatio,0))</f>
        <v>0</v>
      </c>
      <c r="AQ373" s="9" t="n">
        <f aca="false">IF(ISNUMBER(N373),PI()/4*(N373*INDEX(LenF,MATCH($N$7,LenU,0)))^2,IF(AND(ISNUMBER(S373),ISNUMBER(W373),X373&lt;&gt;""),S373*(W373*INDEX(LenF,MATCH($W$7,LenU,0)))^2*INDEX(LayoutF,MATCH(X373,LayoutU,0)),0))</f>
        <v>0</v>
      </c>
      <c r="AR373" s="9" t="n">
        <f aca="false">IF(ISNUMBER(O373),O373*INDEX(LenF,MATCH($O$7,LenU,0)),IF(ISNUMBER(V373),V373*INDEX(LenF,MATCH($V$7,LenU,0)),0))</f>
        <v>0</v>
      </c>
      <c r="AS373" s="9" t="str">
        <f aca="false">IF(ISNUMBER(L373),L373*INDEX(LenF,MATCH($L$7,LenU,0))*1000,IF(OR(J373="",K373=""),"",IFERROR(IF(INDEX(PipeWT,MATCH(J373,NPSU,0),MATCH(K373,SchU,0))="","Sch n/a",INDEX(PipeOD,MATCH(J373,NPSU,0))-2*INDEX(PipeWT,MATCH(J373,NPSU,0),MATCH(K373,SchU,0))),"")))</f>
        <v/>
      </c>
      <c r="AT373" s="9" t="n">
        <f aca="false">IF(ISNUMBER(AI373),AI373,IFERROR(INDEX(IF(JobType="Decontamination",TypeFillDC,TypeFillCC),MATCH(E373,TypeL,0)),1))</f>
        <v>1</v>
      </c>
      <c r="AU373" s="9" t="n">
        <v>12</v>
      </c>
    </row>
    <row r="374" customFormat="false" ht="15" hidden="false" customHeight="false" outlineLevel="0" collapsed="false">
      <c r="A374" s="16" t="n">
        <v>2</v>
      </c>
      <c r="B374" s="20"/>
      <c r="C374" s="5"/>
      <c r="D374" s="5"/>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1" t="str">
        <f aca="false">IF(E374="Exchanger",IF(AND(ISNUMBER(S374),ISNUMBER(U374),ISNUMBER(V374)),S374*PI()/4*(U374*INDEX(LenF,MATCH($U$7,LenU,0)))^2*V374*INDEX(LenF,MATCH($V$7,LenU,0)),0)+IF(ISNUMBER(Y374),PI()/4*(Y374*INDEX(LenF,MATCH($Y$7,LenU,0)))^2*N(Z374)*INDEX(LenF,MATCH($Z$7,LenU,0))+IF(AA374="",0,IF(AA374="Conical",PI()/12*(Y374*INDEX(LenF,MATCH($Y$7,LenU,0)))^2*(0),INDEX(HeadK,MATCH(AA374,HeadU,0))*(Y374*INDEX(LenF,MATCH($Y$7,LenU,0)))^3)),0)+IF(ISNUMBER(Y374),PI()/4*(Y374*INDEX(LenF,MATCH($Y$7,LenU,0)))^2*N(AB374)*INDEX(LenF,MATCH($AB$7,LenU,0))+IF(AC374="",0,IF(AC374="Conical",PI()/12*(Y374*INDEX(LenF,MATCH($Y$7,LenU,0)))^2*(0),INDEX(HeadK,MATCH(AC374,HeadU,0))*(Y374*INDEX(LenF,MATCH($Y$7,LenU,0)))^3)),0),"")</f>
        <v/>
      </c>
      <c r="AE374" s="21" t="str">
        <f aca="false">IF(OR(E374="",E374="Piping"),"",IF(E374="Exchanger",AQ374*AR374+IF(P374="",0,IF(P374="Conical",PI()/12*(SQRT(4*AQ374/PI()))^2*(0),INDEX(HeadK,MATCH(P374,HeadU,0))*(SQRT(4*AQ374/PI()))^3))-IF(AND(ISNUMBER(S374),ISNUMBER(V374)),S374*PI()/4*AP374^2*V374*INDEX(LenF,MATCH($V$7,LenU,0)),0),IF(ISNUMBER(N374),PI()/4*(N374*INDEX(LenF,MATCH($N$7,LenU,0)))^2*N(O374)*INDEX(LenF,MATCH($O$7,LenU,0))+IF(P374="",0,IF(P374="Conical",PI()/12*(N374*INDEX(LenF,MATCH($N$7,LenU,0)))^2*(N(R374)*INDEX(LenF,MATCH($R$7,LenU,0))),INDEX(HeadK,MATCH(P374,HeadU,0))*(N374*INDEX(LenF,MATCH($N$7,LenU,0)))^3))+IF(Q374="",0,IF(Q374="Conical",PI()/12*(N374*INDEX(LenF,MATCH($N$7,LenU,0)))^2*(N(R374)*INDEX(LenF,MATCH($R$7,LenU,0))),INDEX(HeadK,MATCH(Q374,HeadU,0))*(N374*INDEX(LenF,MATCH($N$7,LenU,0)))^3)),0)))</f>
        <v/>
      </c>
      <c r="AF374" s="21" t="str">
        <f aca="false">IF(E374&lt;&gt;"Piping","",IF(AND(ISNUMBER(AS374),ISNUMBER(M374)),PI()/4*(AS374/1000)^2*M374*INDEX(LenF,MATCH($M$7,LenU,0)),0))</f>
        <v/>
      </c>
      <c r="AG374" s="21" t="str">
        <f aca="false">IF(E374="","",N(AD374)+N(AE374)+N(AF374))</f>
        <v/>
      </c>
      <c r="AH374" s="21" t="str">
        <f aca="false">IF(ISNUMBER(I374),I374*INDEX(WtF,MATCH($I$7,WtU,0))/WaterRho,"")</f>
        <v/>
      </c>
      <c r="AI374" s="11"/>
      <c r="AJ374" s="11"/>
      <c r="AK374" s="20"/>
      <c r="AL374" s="11"/>
      <c r="AM374" s="21" t="str">
        <f aca="false">IF(AO374="","",AO374*IF(ISNUMBER(AK374),AK374,DefFills)*(1+IF(ISNUMBER(AL374),AL374,DefAllow)))</f>
        <v/>
      </c>
      <c r="AN374" s="22" t="str">
        <f aca="false">IF(G374="Given volume",IF(ISNUMBER(H374),H374*INDEX(VolF,MATCH($H$7,VolU,0)),""),IF(G374="Water weight",AH374,IF(N(AG374)=0,"",AG374)))</f>
        <v/>
      </c>
      <c r="AO374" s="22" t="str">
        <f aca="false">IF(N(AN374)=0,"",AN374*AT374*IF(ISNUMBER(AJ374),AJ374,DefCirc))</f>
        <v/>
      </c>
      <c r="AP374" s="9" t="n">
        <f aca="false">IF(ISNUMBER(T374),T374*INDEX(LenF,MATCH($T$7,LenU,0)),IF(ISNUMBER(W374),W374*INDEX(LenF,MATCH($W$7,LenU,0))/PitchRatio,0))</f>
        <v>0</v>
      </c>
      <c r="AQ374" s="9" t="n">
        <f aca="false">IF(ISNUMBER(N374),PI()/4*(N374*INDEX(LenF,MATCH($N$7,LenU,0)))^2,IF(AND(ISNUMBER(S374),ISNUMBER(W374),X374&lt;&gt;""),S374*(W374*INDEX(LenF,MATCH($W$7,LenU,0)))^2*INDEX(LayoutF,MATCH(X374,LayoutU,0)),0))</f>
        <v>0</v>
      </c>
      <c r="AR374" s="9" t="n">
        <f aca="false">IF(ISNUMBER(O374),O374*INDEX(LenF,MATCH($O$7,LenU,0)),IF(ISNUMBER(V374),V374*INDEX(LenF,MATCH($V$7,LenU,0)),0))</f>
        <v>0</v>
      </c>
      <c r="AS374" s="9" t="str">
        <f aca="false">IF(ISNUMBER(L374),L374*INDEX(LenF,MATCH($L$7,LenU,0))*1000,IF(OR(J374="",K374=""),"",IFERROR(IF(INDEX(PipeWT,MATCH(J374,NPSU,0),MATCH(K374,SchU,0))="","Sch n/a",INDEX(PipeOD,MATCH(J374,NPSU,0))-2*INDEX(PipeWT,MATCH(J374,NPSU,0),MATCH(K374,SchU,0))),"")))</f>
        <v/>
      </c>
      <c r="AT374" s="9" t="n">
        <f aca="false">IF(ISNUMBER(AI374),AI374,IFERROR(INDEX(IF(JobType="Decontamination",TypeFillDC,TypeFillCC),MATCH(E374,TypeL,0)),1))</f>
        <v>1</v>
      </c>
      <c r="AU374" s="9" t="n">
        <v>12</v>
      </c>
    </row>
    <row r="375" customFormat="false" ht="15" hidden="false" customHeight="false" outlineLevel="0" collapsed="false">
      <c r="A375" s="16" t="n">
        <v>3</v>
      </c>
      <c r="B375" s="20"/>
      <c r="C375" s="5"/>
      <c r="D375" s="5"/>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1" t="str">
        <f aca="false">IF(E375="Exchanger",IF(AND(ISNUMBER(S375),ISNUMBER(U375),ISNUMBER(V375)),S375*PI()/4*(U375*INDEX(LenF,MATCH($U$7,LenU,0)))^2*V375*INDEX(LenF,MATCH($V$7,LenU,0)),0)+IF(ISNUMBER(Y375),PI()/4*(Y375*INDEX(LenF,MATCH($Y$7,LenU,0)))^2*N(Z375)*INDEX(LenF,MATCH($Z$7,LenU,0))+IF(AA375="",0,IF(AA375="Conical",PI()/12*(Y375*INDEX(LenF,MATCH($Y$7,LenU,0)))^2*(0),INDEX(HeadK,MATCH(AA375,HeadU,0))*(Y375*INDEX(LenF,MATCH($Y$7,LenU,0)))^3)),0)+IF(ISNUMBER(Y375),PI()/4*(Y375*INDEX(LenF,MATCH($Y$7,LenU,0)))^2*N(AB375)*INDEX(LenF,MATCH($AB$7,LenU,0))+IF(AC375="",0,IF(AC375="Conical",PI()/12*(Y375*INDEX(LenF,MATCH($Y$7,LenU,0)))^2*(0),INDEX(HeadK,MATCH(AC375,HeadU,0))*(Y375*INDEX(LenF,MATCH($Y$7,LenU,0)))^3)),0),"")</f>
        <v/>
      </c>
      <c r="AE375" s="21" t="str">
        <f aca="false">IF(OR(E375="",E375="Piping"),"",IF(E375="Exchanger",AQ375*AR375+IF(P375="",0,IF(P375="Conical",PI()/12*(SQRT(4*AQ375/PI()))^2*(0),INDEX(HeadK,MATCH(P375,HeadU,0))*(SQRT(4*AQ375/PI()))^3))-IF(AND(ISNUMBER(S375),ISNUMBER(V375)),S375*PI()/4*AP375^2*V375*INDEX(LenF,MATCH($V$7,LenU,0)),0),IF(ISNUMBER(N375),PI()/4*(N375*INDEX(LenF,MATCH($N$7,LenU,0)))^2*N(O375)*INDEX(LenF,MATCH($O$7,LenU,0))+IF(P375="",0,IF(P375="Conical",PI()/12*(N375*INDEX(LenF,MATCH($N$7,LenU,0)))^2*(N(R375)*INDEX(LenF,MATCH($R$7,LenU,0))),INDEX(HeadK,MATCH(P375,HeadU,0))*(N375*INDEX(LenF,MATCH($N$7,LenU,0)))^3))+IF(Q375="",0,IF(Q375="Conical",PI()/12*(N375*INDEX(LenF,MATCH($N$7,LenU,0)))^2*(N(R375)*INDEX(LenF,MATCH($R$7,LenU,0))),INDEX(HeadK,MATCH(Q375,HeadU,0))*(N375*INDEX(LenF,MATCH($N$7,LenU,0)))^3)),0)))</f>
        <v/>
      </c>
      <c r="AF375" s="21" t="str">
        <f aca="false">IF(E375&lt;&gt;"Piping","",IF(AND(ISNUMBER(AS375),ISNUMBER(M375)),PI()/4*(AS375/1000)^2*M375*INDEX(LenF,MATCH($M$7,LenU,0)),0))</f>
        <v/>
      </c>
      <c r="AG375" s="21" t="str">
        <f aca="false">IF(E375="","",N(AD375)+N(AE375)+N(AF375))</f>
        <v/>
      </c>
      <c r="AH375" s="21" t="str">
        <f aca="false">IF(ISNUMBER(I375),I375*INDEX(WtF,MATCH($I$7,WtU,0))/WaterRho,"")</f>
        <v/>
      </c>
      <c r="AI375" s="11"/>
      <c r="AJ375" s="11"/>
      <c r="AK375" s="20"/>
      <c r="AL375" s="11"/>
      <c r="AM375" s="21" t="str">
        <f aca="false">IF(AO375="","",AO375*IF(ISNUMBER(AK375),AK375,DefFills)*(1+IF(ISNUMBER(AL375),AL375,DefAllow)))</f>
        <v/>
      </c>
      <c r="AN375" s="22" t="str">
        <f aca="false">IF(G375="Given volume",IF(ISNUMBER(H375),H375*INDEX(VolF,MATCH($H$7,VolU,0)),""),IF(G375="Water weight",AH375,IF(N(AG375)=0,"",AG375)))</f>
        <v/>
      </c>
      <c r="AO375" s="22" t="str">
        <f aca="false">IF(N(AN375)=0,"",AN375*AT375*IF(ISNUMBER(AJ375),AJ375,DefCirc))</f>
        <v/>
      </c>
      <c r="AP375" s="9" t="n">
        <f aca="false">IF(ISNUMBER(T375),T375*INDEX(LenF,MATCH($T$7,LenU,0)),IF(ISNUMBER(W375),W375*INDEX(LenF,MATCH($W$7,LenU,0))/PitchRatio,0))</f>
        <v>0</v>
      </c>
      <c r="AQ375" s="9" t="n">
        <f aca="false">IF(ISNUMBER(N375),PI()/4*(N375*INDEX(LenF,MATCH($N$7,LenU,0)))^2,IF(AND(ISNUMBER(S375),ISNUMBER(W375),X375&lt;&gt;""),S375*(W375*INDEX(LenF,MATCH($W$7,LenU,0)))^2*INDEX(LayoutF,MATCH(X375,LayoutU,0)),0))</f>
        <v>0</v>
      </c>
      <c r="AR375" s="9" t="n">
        <f aca="false">IF(ISNUMBER(O375),O375*INDEX(LenF,MATCH($O$7,LenU,0)),IF(ISNUMBER(V375),V375*INDEX(LenF,MATCH($V$7,LenU,0)),0))</f>
        <v>0</v>
      </c>
      <c r="AS375" s="9" t="str">
        <f aca="false">IF(ISNUMBER(L375),L375*INDEX(LenF,MATCH($L$7,LenU,0))*1000,IF(OR(J375="",K375=""),"",IFERROR(IF(INDEX(PipeWT,MATCH(J375,NPSU,0),MATCH(K375,SchU,0))="","Sch n/a",INDEX(PipeOD,MATCH(J375,NPSU,0))-2*INDEX(PipeWT,MATCH(J375,NPSU,0),MATCH(K375,SchU,0))),"")))</f>
        <v/>
      </c>
      <c r="AT375" s="9" t="n">
        <f aca="false">IF(ISNUMBER(AI375),AI375,IFERROR(INDEX(IF(JobType="Decontamination",TypeFillDC,TypeFillCC),MATCH(E375,TypeL,0)),1))</f>
        <v>1</v>
      </c>
      <c r="AU375" s="9" t="n">
        <v>12</v>
      </c>
    </row>
    <row r="376" customFormat="false" ht="15" hidden="false" customHeight="false" outlineLevel="0" collapsed="false">
      <c r="A376" s="16" t="n">
        <v>4</v>
      </c>
      <c r="B376" s="20"/>
      <c r="C376" s="5"/>
      <c r="D376" s="5"/>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1" t="str">
        <f aca="false">IF(E376="Exchanger",IF(AND(ISNUMBER(S376),ISNUMBER(U376),ISNUMBER(V376)),S376*PI()/4*(U376*INDEX(LenF,MATCH($U$7,LenU,0)))^2*V376*INDEX(LenF,MATCH($V$7,LenU,0)),0)+IF(ISNUMBER(Y376),PI()/4*(Y376*INDEX(LenF,MATCH($Y$7,LenU,0)))^2*N(Z376)*INDEX(LenF,MATCH($Z$7,LenU,0))+IF(AA376="",0,IF(AA376="Conical",PI()/12*(Y376*INDEX(LenF,MATCH($Y$7,LenU,0)))^2*(0),INDEX(HeadK,MATCH(AA376,HeadU,0))*(Y376*INDEX(LenF,MATCH($Y$7,LenU,0)))^3)),0)+IF(ISNUMBER(Y376),PI()/4*(Y376*INDEX(LenF,MATCH($Y$7,LenU,0)))^2*N(AB376)*INDEX(LenF,MATCH($AB$7,LenU,0))+IF(AC376="",0,IF(AC376="Conical",PI()/12*(Y376*INDEX(LenF,MATCH($Y$7,LenU,0)))^2*(0),INDEX(HeadK,MATCH(AC376,HeadU,0))*(Y376*INDEX(LenF,MATCH($Y$7,LenU,0)))^3)),0),"")</f>
        <v/>
      </c>
      <c r="AE376" s="21" t="str">
        <f aca="false">IF(OR(E376="",E376="Piping"),"",IF(E376="Exchanger",AQ376*AR376+IF(P376="",0,IF(P376="Conical",PI()/12*(SQRT(4*AQ376/PI()))^2*(0),INDEX(HeadK,MATCH(P376,HeadU,0))*(SQRT(4*AQ376/PI()))^3))-IF(AND(ISNUMBER(S376),ISNUMBER(V376)),S376*PI()/4*AP376^2*V376*INDEX(LenF,MATCH($V$7,LenU,0)),0),IF(ISNUMBER(N376),PI()/4*(N376*INDEX(LenF,MATCH($N$7,LenU,0)))^2*N(O376)*INDEX(LenF,MATCH($O$7,LenU,0))+IF(P376="",0,IF(P376="Conical",PI()/12*(N376*INDEX(LenF,MATCH($N$7,LenU,0)))^2*(N(R376)*INDEX(LenF,MATCH($R$7,LenU,0))),INDEX(HeadK,MATCH(P376,HeadU,0))*(N376*INDEX(LenF,MATCH($N$7,LenU,0)))^3))+IF(Q376="",0,IF(Q376="Conical",PI()/12*(N376*INDEX(LenF,MATCH($N$7,LenU,0)))^2*(N(R376)*INDEX(LenF,MATCH($R$7,LenU,0))),INDEX(HeadK,MATCH(Q376,HeadU,0))*(N376*INDEX(LenF,MATCH($N$7,LenU,0)))^3)),0)))</f>
        <v/>
      </c>
      <c r="AF376" s="21" t="str">
        <f aca="false">IF(E376&lt;&gt;"Piping","",IF(AND(ISNUMBER(AS376),ISNUMBER(M376)),PI()/4*(AS376/1000)^2*M376*INDEX(LenF,MATCH($M$7,LenU,0)),0))</f>
        <v/>
      </c>
      <c r="AG376" s="21" t="str">
        <f aca="false">IF(E376="","",N(AD376)+N(AE376)+N(AF376))</f>
        <v/>
      </c>
      <c r="AH376" s="21" t="str">
        <f aca="false">IF(ISNUMBER(I376),I376*INDEX(WtF,MATCH($I$7,WtU,0))/WaterRho,"")</f>
        <v/>
      </c>
      <c r="AI376" s="11"/>
      <c r="AJ376" s="11"/>
      <c r="AK376" s="20"/>
      <c r="AL376" s="11"/>
      <c r="AM376" s="21" t="str">
        <f aca="false">IF(AO376="","",AO376*IF(ISNUMBER(AK376),AK376,DefFills)*(1+IF(ISNUMBER(AL376),AL376,DefAllow)))</f>
        <v/>
      </c>
      <c r="AN376" s="22" t="str">
        <f aca="false">IF(G376="Given volume",IF(ISNUMBER(H376),H376*INDEX(VolF,MATCH($H$7,VolU,0)),""),IF(G376="Water weight",AH376,IF(N(AG376)=0,"",AG376)))</f>
        <v/>
      </c>
      <c r="AO376" s="22" t="str">
        <f aca="false">IF(N(AN376)=0,"",AN376*AT376*IF(ISNUMBER(AJ376),AJ376,DefCirc))</f>
        <v/>
      </c>
      <c r="AP376" s="9" t="n">
        <f aca="false">IF(ISNUMBER(T376),T376*INDEX(LenF,MATCH($T$7,LenU,0)),IF(ISNUMBER(W376),W376*INDEX(LenF,MATCH($W$7,LenU,0))/PitchRatio,0))</f>
        <v>0</v>
      </c>
      <c r="AQ376" s="9" t="n">
        <f aca="false">IF(ISNUMBER(N376),PI()/4*(N376*INDEX(LenF,MATCH($N$7,LenU,0)))^2,IF(AND(ISNUMBER(S376),ISNUMBER(W376),X376&lt;&gt;""),S376*(W376*INDEX(LenF,MATCH($W$7,LenU,0)))^2*INDEX(LayoutF,MATCH(X376,LayoutU,0)),0))</f>
        <v>0</v>
      </c>
      <c r="AR376" s="9" t="n">
        <f aca="false">IF(ISNUMBER(O376),O376*INDEX(LenF,MATCH($O$7,LenU,0)),IF(ISNUMBER(V376),V376*INDEX(LenF,MATCH($V$7,LenU,0)),0))</f>
        <v>0</v>
      </c>
      <c r="AS376" s="9" t="str">
        <f aca="false">IF(ISNUMBER(L376),L376*INDEX(LenF,MATCH($L$7,LenU,0))*1000,IF(OR(J376="",K376=""),"",IFERROR(IF(INDEX(PipeWT,MATCH(J376,NPSU,0),MATCH(K376,SchU,0))="","Sch n/a",INDEX(PipeOD,MATCH(J376,NPSU,0))-2*INDEX(PipeWT,MATCH(J376,NPSU,0),MATCH(K376,SchU,0))),"")))</f>
        <v/>
      </c>
      <c r="AT376" s="9" t="n">
        <f aca="false">IF(ISNUMBER(AI376),AI376,IFERROR(INDEX(IF(JobType="Decontamination",TypeFillDC,TypeFillCC),MATCH(E376,TypeL,0)),1))</f>
        <v>1</v>
      </c>
      <c r="AU376" s="9" t="n">
        <v>12</v>
      </c>
    </row>
    <row r="377" customFormat="false" ht="15" hidden="false" customHeight="false" outlineLevel="0" collapsed="false">
      <c r="A377" s="16" t="n">
        <v>5</v>
      </c>
      <c r="B377" s="20"/>
      <c r="C377" s="5"/>
      <c r="D377" s="5"/>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1" t="str">
        <f aca="false">IF(E377="Exchanger",IF(AND(ISNUMBER(S377),ISNUMBER(U377),ISNUMBER(V377)),S377*PI()/4*(U377*INDEX(LenF,MATCH($U$7,LenU,0)))^2*V377*INDEX(LenF,MATCH($V$7,LenU,0)),0)+IF(ISNUMBER(Y377),PI()/4*(Y377*INDEX(LenF,MATCH($Y$7,LenU,0)))^2*N(Z377)*INDEX(LenF,MATCH($Z$7,LenU,0))+IF(AA377="",0,IF(AA377="Conical",PI()/12*(Y377*INDEX(LenF,MATCH($Y$7,LenU,0)))^2*(0),INDEX(HeadK,MATCH(AA377,HeadU,0))*(Y377*INDEX(LenF,MATCH($Y$7,LenU,0)))^3)),0)+IF(ISNUMBER(Y377),PI()/4*(Y377*INDEX(LenF,MATCH($Y$7,LenU,0)))^2*N(AB377)*INDEX(LenF,MATCH($AB$7,LenU,0))+IF(AC377="",0,IF(AC377="Conical",PI()/12*(Y377*INDEX(LenF,MATCH($Y$7,LenU,0)))^2*(0),INDEX(HeadK,MATCH(AC377,HeadU,0))*(Y377*INDEX(LenF,MATCH($Y$7,LenU,0)))^3)),0),"")</f>
        <v/>
      </c>
      <c r="AE377" s="21" t="str">
        <f aca="false">IF(OR(E377="",E377="Piping"),"",IF(E377="Exchanger",AQ377*AR377+IF(P377="",0,IF(P377="Conical",PI()/12*(SQRT(4*AQ377/PI()))^2*(0),INDEX(HeadK,MATCH(P377,HeadU,0))*(SQRT(4*AQ377/PI()))^3))-IF(AND(ISNUMBER(S377),ISNUMBER(V377)),S377*PI()/4*AP377^2*V377*INDEX(LenF,MATCH($V$7,LenU,0)),0),IF(ISNUMBER(N377),PI()/4*(N377*INDEX(LenF,MATCH($N$7,LenU,0)))^2*N(O377)*INDEX(LenF,MATCH($O$7,LenU,0))+IF(P377="",0,IF(P377="Conical",PI()/12*(N377*INDEX(LenF,MATCH($N$7,LenU,0)))^2*(N(R377)*INDEX(LenF,MATCH($R$7,LenU,0))),INDEX(HeadK,MATCH(P377,HeadU,0))*(N377*INDEX(LenF,MATCH($N$7,LenU,0)))^3))+IF(Q377="",0,IF(Q377="Conical",PI()/12*(N377*INDEX(LenF,MATCH($N$7,LenU,0)))^2*(N(R377)*INDEX(LenF,MATCH($R$7,LenU,0))),INDEX(HeadK,MATCH(Q377,HeadU,0))*(N377*INDEX(LenF,MATCH($N$7,LenU,0)))^3)),0)))</f>
        <v/>
      </c>
      <c r="AF377" s="21" t="str">
        <f aca="false">IF(E377&lt;&gt;"Piping","",IF(AND(ISNUMBER(AS377),ISNUMBER(M377)),PI()/4*(AS377/1000)^2*M377*INDEX(LenF,MATCH($M$7,LenU,0)),0))</f>
        <v/>
      </c>
      <c r="AG377" s="21" t="str">
        <f aca="false">IF(E377="","",N(AD377)+N(AE377)+N(AF377))</f>
        <v/>
      </c>
      <c r="AH377" s="21" t="str">
        <f aca="false">IF(ISNUMBER(I377),I377*INDEX(WtF,MATCH($I$7,WtU,0))/WaterRho,"")</f>
        <v/>
      </c>
      <c r="AI377" s="11"/>
      <c r="AJ377" s="11"/>
      <c r="AK377" s="20"/>
      <c r="AL377" s="11"/>
      <c r="AM377" s="21" t="str">
        <f aca="false">IF(AO377="","",AO377*IF(ISNUMBER(AK377),AK377,DefFills)*(1+IF(ISNUMBER(AL377),AL377,DefAllow)))</f>
        <v/>
      </c>
      <c r="AN377" s="22" t="str">
        <f aca="false">IF(G377="Given volume",IF(ISNUMBER(H377),H377*INDEX(VolF,MATCH($H$7,VolU,0)),""),IF(G377="Water weight",AH377,IF(N(AG377)=0,"",AG377)))</f>
        <v/>
      </c>
      <c r="AO377" s="22" t="str">
        <f aca="false">IF(N(AN377)=0,"",AN377*AT377*IF(ISNUMBER(AJ377),AJ377,DefCirc))</f>
        <v/>
      </c>
      <c r="AP377" s="9" t="n">
        <f aca="false">IF(ISNUMBER(T377),T377*INDEX(LenF,MATCH($T$7,LenU,0)),IF(ISNUMBER(W377),W377*INDEX(LenF,MATCH($W$7,LenU,0))/PitchRatio,0))</f>
        <v>0</v>
      </c>
      <c r="AQ377" s="9" t="n">
        <f aca="false">IF(ISNUMBER(N377),PI()/4*(N377*INDEX(LenF,MATCH($N$7,LenU,0)))^2,IF(AND(ISNUMBER(S377),ISNUMBER(W377),X377&lt;&gt;""),S377*(W377*INDEX(LenF,MATCH($W$7,LenU,0)))^2*INDEX(LayoutF,MATCH(X377,LayoutU,0)),0))</f>
        <v>0</v>
      </c>
      <c r="AR377" s="9" t="n">
        <f aca="false">IF(ISNUMBER(O377),O377*INDEX(LenF,MATCH($O$7,LenU,0)),IF(ISNUMBER(V377),V377*INDEX(LenF,MATCH($V$7,LenU,0)),0))</f>
        <v>0</v>
      </c>
      <c r="AS377" s="9" t="str">
        <f aca="false">IF(ISNUMBER(L377),L377*INDEX(LenF,MATCH($L$7,LenU,0))*1000,IF(OR(J377="",K377=""),"",IFERROR(IF(INDEX(PipeWT,MATCH(J377,NPSU,0),MATCH(K377,SchU,0))="","Sch n/a",INDEX(PipeOD,MATCH(J377,NPSU,0))-2*INDEX(PipeWT,MATCH(J377,NPSU,0),MATCH(K377,SchU,0))),"")))</f>
        <v/>
      </c>
      <c r="AT377" s="9" t="n">
        <f aca="false">IF(ISNUMBER(AI377),AI377,IFERROR(INDEX(IF(JobType="Decontamination",TypeFillDC,TypeFillCC),MATCH(E377,TypeL,0)),1))</f>
        <v>1</v>
      </c>
      <c r="AU377" s="9" t="n">
        <v>12</v>
      </c>
    </row>
    <row r="378" customFormat="false" ht="15" hidden="false" customHeight="false" outlineLevel="0" collapsed="false">
      <c r="A378" s="16" t="n">
        <v>6</v>
      </c>
      <c r="B378" s="20"/>
      <c r="C378" s="5"/>
      <c r="D378" s="5"/>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1" t="str">
        <f aca="false">IF(E378="Exchanger",IF(AND(ISNUMBER(S378),ISNUMBER(U378),ISNUMBER(V378)),S378*PI()/4*(U378*INDEX(LenF,MATCH($U$7,LenU,0)))^2*V378*INDEX(LenF,MATCH($V$7,LenU,0)),0)+IF(ISNUMBER(Y378),PI()/4*(Y378*INDEX(LenF,MATCH($Y$7,LenU,0)))^2*N(Z378)*INDEX(LenF,MATCH($Z$7,LenU,0))+IF(AA378="",0,IF(AA378="Conical",PI()/12*(Y378*INDEX(LenF,MATCH($Y$7,LenU,0)))^2*(0),INDEX(HeadK,MATCH(AA378,HeadU,0))*(Y378*INDEX(LenF,MATCH($Y$7,LenU,0)))^3)),0)+IF(ISNUMBER(Y378),PI()/4*(Y378*INDEX(LenF,MATCH($Y$7,LenU,0)))^2*N(AB378)*INDEX(LenF,MATCH($AB$7,LenU,0))+IF(AC378="",0,IF(AC378="Conical",PI()/12*(Y378*INDEX(LenF,MATCH($Y$7,LenU,0)))^2*(0),INDEX(HeadK,MATCH(AC378,HeadU,0))*(Y378*INDEX(LenF,MATCH($Y$7,LenU,0)))^3)),0),"")</f>
        <v/>
      </c>
      <c r="AE378" s="21" t="str">
        <f aca="false">IF(OR(E378="",E378="Piping"),"",IF(E378="Exchanger",AQ378*AR378+IF(P378="",0,IF(P378="Conical",PI()/12*(SQRT(4*AQ378/PI()))^2*(0),INDEX(HeadK,MATCH(P378,HeadU,0))*(SQRT(4*AQ378/PI()))^3))-IF(AND(ISNUMBER(S378),ISNUMBER(V378)),S378*PI()/4*AP378^2*V378*INDEX(LenF,MATCH($V$7,LenU,0)),0),IF(ISNUMBER(N378),PI()/4*(N378*INDEX(LenF,MATCH($N$7,LenU,0)))^2*N(O378)*INDEX(LenF,MATCH($O$7,LenU,0))+IF(P378="",0,IF(P378="Conical",PI()/12*(N378*INDEX(LenF,MATCH($N$7,LenU,0)))^2*(N(R378)*INDEX(LenF,MATCH($R$7,LenU,0))),INDEX(HeadK,MATCH(P378,HeadU,0))*(N378*INDEX(LenF,MATCH($N$7,LenU,0)))^3))+IF(Q378="",0,IF(Q378="Conical",PI()/12*(N378*INDEX(LenF,MATCH($N$7,LenU,0)))^2*(N(R378)*INDEX(LenF,MATCH($R$7,LenU,0))),INDEX(HeadK,MATCH(Q378,HeadU,0))*(N378*INDEX(LenF,MATCH($N$7,LenU,0)))^3)),0)))</f>
        <v/>
      </c>
      <c r="AF378" s="21" t="str">
        <f aca="false">IF(E378&lt;&gt;"Piping","",IF(AND(ISNUMBER(AS378),ISNUMBER(M378)),PI()/4*(AS378/1000)^2*M378*INDEX(LenF,MATCH($M$7,LenU,0)),0))</f>
        <v/>
      </c>
      <c r="AG378" s="21" t="str">
        <f aca="false">IF(E378="","",N(AD378)+N(AE378)+N(AF378))</f>
        <v/>
      </c>
      <c r="AH378" s="21" t="str">
        <f aca="false">IF(ISNUMBER(I378),I378*INDEX(WtF,MATCH($I$7,WtU,0))/WaterRho,"")</f>
        <v/>
      </c>
      <c r="AI378" s="11"/>
      <c r="AJ378" s="11"/>
      <c r="AK378" s="20"/>
      <c r="AL378" s="11"/>
      <c r="AM378" s="21" t="str">
        <f aca="false">IF(AO378="","",AO378*IF(ISNUMBER(AK378),AK378,DefFills)*(1+IF(ISNUMBER(AL378),AL378,DefAllow)))</f>
        <v/>
      </c>
      <c r="AN378" s="22" t="str">
        <f aca="false">IF(G378="Given volume",IF(ISNUMBER(H378),H378*INDEX(VolF,MATCH($H$7,VolU,0)),""),IF(G378="Water weight",AH378,IF(N(AG378)=0,"",AG378)))</f>
        <v/>
      </c>
      <c r="AO378" s="22" t="str">
        <f aca="false">IF(N(AN378)=0,"",AN378*AT378*IF(ISNUMBER(AJ378),AJ378,DefCirc))</f>
        <v/>
      </c>
      <c r="AP378" s="9" t="n">
        <f aca="false">IF(ISNUMBER(T378),T378*INDEX(LenF,MATCH($T$7,LenU,0)),IF(ISNUMBER(W378),W378*INDEX(LenF,MATCH($W$7,LenU,0))/PitchRatio,0))</f>
        <v>0</v>
      </c>
      <c r="AQ378" s="9" t="n">
        <f aca="false">IF(ISNUMBER(N378),PI()/4*(N378*INDEX(LenF,MATCH($N$7,LenU,0)))^2,IF(AND(ISNUMBER(S378),ISNUMBER(W378),X378&lt;&gt;""),S378*(W378*INDEX(LenF,MATCH($W$7,LenU,0)))^2*INDEX(LayoutF,MATCH(X378,LayoutU,0)),0))</f>
        <v>0</v>
      </c>
      <c r="AR378" s="9" t="n">
        <f aca="false">IF(ISNUMBER(O378),O378*INDEX(LenF,MATCH($O$7,LenU,0)),IF(ISNUMBER(V378),V378*INDEX(LenF,MATCH($V$7,LenU,0)),0))</f>
        <v>0</v>
      </c>
      <c r="AS378" s="9" t="str">
        <f aca="false">IF(ISNUMBER(L378),L378*INDEX(LenF,MATCH($L$7,LenU,0))*1000,IF(OR(J378="",K378=""),"",IFERROR(IF(INDEX(PipeWT,MATCH(J378,NPSU,0),MATCH(K378,SchU,0))="","Sch n/a",INDEX(PipeOD,MATCH(J378,NPSU,0))-2*INDEX(PipeWT,MATCH(J378,NPSU,0),MATCH(K378,SchU,0))),"")))</f>
        <v/>
      </c>
      <c r="AT378" s="9" t="n">
        <f aca="false">IF(ISNUMBER(AI378),AI378,IFERROR(INDEX(IF(JobType="Decontamination",TypeFillDC,TypeFillCC),MATCH(E378,TypeL,0)),1))</f>
        <v>1</v>
      </c>
      <c r="AU378" s="9" t="n">
        <v>12</v>
      </c>
    </row>
    <row r="379" customFormat="false" ht="15" hidden="false" customHeight="false" outlineLevel="0" collapsed="false">
      <c r="A379" s="16" t="n">
        <v>7</v>
      </c>
      <c r="B379" s="20"/>
      <c r="C379" s="5"/>
      <c r="D379" s="5"/>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1" t="str">
        <f aca="false">IF(E379="Exchanger",IF(AND(ISNUMBER(S379),ISNUMBER(U379),ISNUMBER(V379)),S379*PI()/4*(U379*INDEX(LenF,MATCH($U$7,LenU,0)))^2*V379*INDEX(LenF,MATCH($V$7,LenU,0)),0)+IF(ISNUMBER(Y379),PI()/4*(Y379*INDEX(LenF,MATCH($Y$7,LenU,0)))^2*N(Z379)*INDEX(LenF,MATCH($Z$7,LenU,0))+IF(AA379="",0,IF(AA379="Conical",PI()/12*(Y379*INDEX(LenF,MATCH($Y$7,LenU,0)))^2*(0),INDEX(HeadK,MATCH(AA379,HeadU,0))*(Y379*INDEX(LenF,MATCH($Y$7,LenU,0)))^3)),0)+IF(ISNUMBER(Y379),PI()/4*(Y379*INDEX(LenF,MATCH($Y$7,LenU,0)))^2*N(AB379)*INDEX(LenF,MATCH($AB$7,LenU,0))+IF(AC379="",0,IF(AC379="Conical",PI()/12*(Y379*INDEX(LenF,MATCH($Y$7,LenU,0)))^2*(0),INDEX(HeadK,MATCH(AC379,HeadU,0))*(Y379*INDEX(LenF,MATCH($Y$7,LenU,0)))^3)),0),"")</f>
        <v/>
      </c>
      <c r="AE379" s="21" t="str">
        <f aca="false">IF(OR(E379="",E379="Piping"),"",IF(E379="Exchanger",AQ379*AR379+IF(P379="",0,IF(P379="Conical",PI()/12*(SQRT(4*AQ379/PI()))^2*(0),INDEX(HeadK,MATCH(P379,HeadU,0))*(SQRT(4*AQ379/PI()))^3))-IF(AND(ISNUMBER(S379),ISNUMBER(V379)),S379*PI()/4*AP379^2*V379*INDEX(LenF,MATCH($V$7,LenU,0)),0),IF(ISNUMBER(N379),PI()/4*(N379*INDEX(LenF,MATCH($N$7,LenU,0)))^2*N(O379)*INDEX(LenF,MATCH($O$7,LenU,0))+IF(P379="",0,IF(P379="Conical",PI()/12*(N379*INDEX(LenF,MATCH($N$7,LenU,0)))^2*(N(R379)*INDEX(LenF,MATCH($R$7,LenU,0))),INDEX(HeadK,MATCH(P379,HeadU,0))*(N379*INDEX(LenF,MATCH($N$7,LenU,0)))^3))+IF(Q379="",0,IF(Q379="Conical",PI()/12*(N379*INDEX(LenF,MATCH($N$7,LenU,0)))^2*(N(R379)*INDEX(LenF,MATCH($R$7,LenU,0))),INDEX(HeadK,MATCH(Q379,HeadU,0))*(N379*INDEX(LenF,MATCH($N$7,LenU,0)))^3)),0)))</f>
        <v/>
      </c>
      <c r="AF379" s="21" t="str">
        <f aca="false">IF(E379&lt;&gt;"Piping","",IF(AND(ISNUMBER(AS379),ISNUMBER(M379)),PI()/4*(AS379/1000)^2*M379*INDEX(LenF,MATCH($M$7,LenU,0)),0))</f>
        <v/>
      </c>
      <c r="AG379" s="21" t="str">
        <f aca="false">IF(E379="","",N(AD379)+N(AE379)+N(AF379))</f>
        <v/>
      </c>
      <c r="AH379" s="21" t="str">
        <f aca="false">IF(ISNUMBER(I379),I379*INDEX(WtF,MATCH($I$7,WtU,0))/WaterRho,"")</f>
        <v/>
      </c>
      <c r="AI379" s="11"/>
      <c r="AJ379" s="11"/>
      <c r="AK379" s="20"/>
      <c r="AL379" s="11"/>
      <c r="AM379" s="21" t="str">
        <f aca="false">IF(AO379="","",AO379*IF(ISNUMBER(AK379),AK379,DefFills)*(1+IF(ISNUMBER(AL379),AL379,DefAllow)))</f>
        <v/>
      </c>
      <c r="AN379" s="22" t="str">
        <f aca="false">IF(G379="Given volume",IF(ISNUMBER(H379),H379*INDEX(VolF,MATCH($H$7,VolU,0)),""),IF(G379="Water weight",AH379,IF(N(AG379)=0,"",AG379)))</f>
        <v/>
      </c>
      <c r="AO379" s="22" t="str">
        <f aca="false">IF(N(AN379)=0,"",AN379*AT379*IF(ISNUMBER(AJ379),AJ379,DefCirc))</f>
        <v/>
      </c>
      <c r="AP379" s="9" t="n">
        <f aca="false">IF(ISNUMBER(T379),T379*INDEX(LenF,MATCH($T$7,LenU,0)),IF(ISNUMBER(W379),W379*INDEX(LenF,MATCH($W$7,LenU,0))/PitchRatio,0))</f>
        <v>0</v>
      </c>
      <c r="AQ379" s="9" t="n">
        <f aca="false">IF(ISNUMBER(N379),PI()/4*(N379*INDEX(LenF,MATCH($N$7,LenU,0)))^2,IF(AND(ISNUMBER(S379),ISNUMBER(W379),X379&lt;&gt;""),S379*(W379*INDEX(LenF,MATCH($W$7,LenU,0)))^2*INDEX(LayoutF,MATCH(X379,LayoutU,0)),0))</f>
        <v>0</v>
      </c>
      <c r="AR379" s="9" t="n">
        <f aca="false">IF(ISNUMBER(O379),O379*INDEX(LenF,MATCH($O$7,LenU,0)),IF(ISNUMBER(V379),V379*INDEX(LenF,MATCH($V$7,LenU,0)),0))</f>
        <v>0</v>
      </c>
      <c r="AS379" s="9" t="str">
        <f aca="false">IF(ISNUMBER(L379),L379*INDEX(LenF,MATCH($L$7,LenU,0))*1000,IF(OR(J379="",K379=""),"",IFERROR(IF(INDEX(PipeWT,MATCH(J379,NPSU,0),MATCH(K379,SchU,0))="","Sch n/a",INDEX(PipeOD,MATCH(J379,NPSU,0))-2*INDEX(PipeWT,MATCH(J379,NPSU,0),MATCH(K379,SchU,0))),"")))</f>
        <v/>
      </c>
      <c r="AT379" s="9" t="n">
        <f aca="false">IF(ISNUMBER(AI379),AI379,IFERROR(INDEX(IF(JobType="Decontamination",TypeFillDC,TypeFillCC),MATCH(E379,TypeL,0)),1))</f>
        <v>1</v>
      </c>
      <c r="AU379" s="9" t="n">
        <v>12</v>
      </c>
    </row>
    <row r="380" customFormat="false" ht="15" hidden="false" customHeight="false" outlineLevel="0" collapsed="false">
      <c r="A380" s="16" t="n">
        <v>8</v>
      </c>
      <c r="B380" s="20"/>
      <c r="C380" s="5"/>
      <c r="D380" s="5"/>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1" t="str">
        <f aca="false">IF(E380="Exchanger",IF(AND(ISNUMBER(S380),ISNUMBER(U380),ISNUMBER(V380)),S380*PI()/4*(U380*INDEX(LenF,MATCH($U$7,LenU,0)))^2*V380*INDEX(LenF,MATCH($V$7,LenU,0)),0)+IF(ISNUMBER(Y380),PI()/4*(Y380*INDEX(LenF,MATCH($Y$7,LenU,0)))^2*N(Z380)*INDEX(LenF,MATCH($Z$7,LenU,0))+IF(AA380="",0,IF(AA380="Conical",PI()/12*(Y380*INDEX(LenF,MATCH($Y$7,LenU,0)))^2*(0),INDEX(HeadK,MATCH(AA380,HeadU,0))*(Y380*INDEX(LenF,MATCH($Y$7,LenU,0)))^3)),0)+IF(ISNUMBER(Y380),PI()/4*(Y380*INDEX(LenF,MATCH($Y$7,LenU,0)))^2*N(AB380)*INDEX(LenF,MATCH($AB$7,LenU,0))+IF(AC380="",0,IF(AC380="Conical",PI()/12*(Y380*INDEX(LenF,MATCH($Y$7,LenU,0)))^2*(0),INDEX(HeadK,MATCH(AC380,HeadU,0))*(Y380*INDEX(LenF,MATCH($Y$7,LenU,0)))^3)),0),"")</f>
        <v/>
      </c>
      <c r="AE380" s="21" t="str">
        <f aca="false">IF(OR(E380="",E380="Piping"),"",IF(E380="Exchanger",AQ380*AR380+IF(P380="",0,IF(P380="Conical",PI()/12*(SQRT(4*AQ380/PI()))^2*(0),INDEX(HeadK,MATCH(P380,HeadU,0))*(SQRT(4*AQ380/PI()))^3))-IF(AND(ISNUMBER(S380),ISNUMBER(V380)),S380*PI()/4*AP380^2*V380*INDEX(LenF,MATCH($V$7,LenU,0)),0),IF(ISNUMBER(N380),PI()/4*(N380*INDEX(LenF,MATCH($N$7,LenU,0)))^2*N(O380)*INDEX(LenF,MATCH($O$7,LenU,0))+IF(P380="",0,IF(P380="Conical",PI()/12*(N380*INDEX(LenF,MATCH($N$7,LenU,0)))^2*(N(R380)*INDEX(LenF,MATCH($R$7,LenU,0))),INDEX(HeadK,MATCH(P380,HeadU,0))*(N380*INDEX(LenF,MATCH($N$7,LenU,0)))^3))+IF(Q380="",0,IF(Q380="Conical",PI()/12*(N380*INDEX(LenF,MATCH($N$7,LenU,0)))^2*(N(R380)*INDEX(LenF,MATCH($R$7,LenU,0))),INDEX(HeadK,MATCH(Q380,HeadU,0))*(N380*INDEX(LenF,MATCH($N$7,LenU,0)))^3)),0)))</f>
        <v/>
      </c>
      <c r="AF380" s="21" t="str">
        <f aca="false">IF(E380&lt;&gt;"Piping","",IF(AND(ISNUMBER(AS380),ISNUMBER(M380)),PI()/4*(AS380/1000)^2*M380*INDEX(LenF,MATCH($M$7,LenU,0)),0))</f>
        <v/>
      </c>
      <c r="AG380" s="21" t="str">
        <f aca="false">IF(E380="","",N(AD380)+N(AE380)+N(AF380))</f>
        <v/>
      </c>
      <c r="AH380" s="21" t="str">
        <f aca="false">IF(ISNUMBER(I380),I380*INDEX(WtF,MATCH($I$7,WtU,0))/WaterRho,"")</f>
        <v/>
      </c>
      <c r="AI380" s="11"/>
      <c r="AJ380" s="11"/>
      <c r="AK380" s="20"/>
      <c r="AL380" s="11"/>
      <c r="AM380" s="21" t="str">
        <f aca="false">IF(AO380="","",AO380*IF(ISNUMBER(AK380),AK380,DefFills)*(1+IF(ISNUMBER(AL380),AL380,DefAllow)))</f>
        <v/>
      </c>
      <c r="AN380" s="22" t="str">
        <f aca="false">IF(G380="Given volume",IF(ISNUMBER(H380),H380*INDEX(VolF,MATCH($H$7,VolU,0)),""),IF(G380="Water weight",AH380,IF(N(AG380)=0,"",AG380)))</f>
        <v/>
      </c>
      <c r="AO380" s="22" t="str">
        <f aca="false">IF(N(AN380)=0,"",AN380*AT380*IF(ISNUMBER(AJ380),AJ380,DefCirc))</f>
        <v/>
      </c>
      <c r="AP380" s="9" t="n">
        <f aca="false">IF(ISNUMBER(T380),T380*INDEX(LenF,MATCH($T$7,LenU,0)),IF(ISNUMBER(W380),W380*INDEX(LenF,MATCH($W$7,LenU,0))/PitchRatio,0))</f>
        <v>0</v>
      </c>
      <c r="AQ380" s="9" t="n">
        <f aca="false">IF(ISNUMBER(N380),PI()/4*(N380*INDEX(LenF,MATCH($N$7,LenU,0)))^2,IF(AND(ISNUMBER(S380),ISNUMBER(W380),X380&lt;&gt;""),S380*(W380*INDEX(LenF,MATCH($W$7,LenU,0)))^2*INDEX(LayoutF,MATCH(X380,LayoutU,0)),0))</f>
        <v>0</v>
      </c>
      <c r="AR380" s="9" t="n">
        <f aca="false">IF(ISNUMBER(O380),O380*INDEX(LenF,MATCH($O$7,LenU,0)),IF(ISNUMBER(V380),V380*INDEX(LenF,MATCH($V$7,LenU,0)),0))</f>
        <v>0</v>
      </c>
      <c r="AS380" s="9" t="str">
        <f aca="false">IF(ISNUMBER(L380),L380*INDEX(LenF,MATCH($L$7,LenU,0))*1000,IF(OR(J380="",K380=""),"",IFERROR(IF(INDEX(PipeWT,MATCH(J380,NPSU,0),MATCH(K380,SchU,0))="","Sch n/a",INDEX(PipeOD,MATCH(J380,NPSU,0))-2*INDEX(PipeWT,MATCH(J380,NPSU,0),MATCH(K380,SchU,0))),"")))</f>
        <v/>
      </c>
      <c r="AT380" s="9" t="n">
        <f aca="false">IF(ISNUMBER(AI380),AI380,IFERROR(INDEX(IF(JobType="Decontamination",TypeFillDC,TypeFillCC),MATCH(E380,TypeL,0)),1))</f>
        <v>1</v>
      </c>
      <c r="AU380" s="9" t="n">
        <v>12</v>
      </c>
    </row>
    <row r="381" customFormat="false" ht="15" hidden="false" customHeight="false" outlineLevel="0" collapsed="false">
      <c r="A381" s="16" t="n">
        <v>9</v>
      </c>
      <c r="B381" s="20"/>
      <c r="C381" s="5"/>
      <c r="D381" s="5"/>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1" t="str">
        <f aca="false">IF(E381="Exchanger",IF(AND(ISNUMBER(S381),ISNUMBER(U381),ISNUMBER(V381)),S381*PI()/4*(U381*INDEX(LenF,MATCH($U$7,LenU,0)))^2*V381*INDEX(LenF,MATCH($V$7,LenU,0)),0)+IF(ISNUMBER(Y381),PI()/4*(Y381*INDEX(LenF,MATCH($Y$7,LenU,0)))^2*N(Z381)*INDEX(LenF,MATCH($Z$7,LenU,0))+IF(AA381="",0,IF(AA381="Conical",PI()/12*(Y381*INDEX(LenF,MATCH($Y$7,LenU,0)))^2*(0),INDEX(HeadK,MATCH(AA381,HeadU,0))*(Y381*INDEX(LenF,MATCH($Y$7,LenU,0)))^3)),0)+IF(ISNUMBER(Y381),PI()/4*(Y381*INDEX(LenF,MATCH($Y$7,LenU,0)))^2*N(AB381)*INDEX(LenF,MATCH($AB$7,LenU,0))+IF(AC381="",0,IF(AC381="Conical",PI()/12*(Y381*INDEX(LenF,MATCH($Y$7,LenU,0)))^2*(0),INDEX(HeadK,MATCH(AC381,HeadU,0))*(Y381*INDEX(LenF,MATCH($Y$7,LenU,0)))^3)),0),"")</f>
        <v/>
      </c>
      <c r="AE381" s="21" t="str">
        <f aca="false">IF(OR(E381="",E381="Piping"),"",IF(E381="Exchanger",AQ381*AR381+IF(P381="",0,IF(P381="Conical",PI()/12*(SQRT(4*AQ381/PI()))^2*(0),INDEX(HeadK,MATCH(P381,HeadU,0))*(SQRT(4*AQ381/PI()))^3))-IF(AND(ISNUMBER(S381),ISNUMBER(V381)),S381*PI()/4*AP381^2*V381*INDEX(LenF,MATCH($V$7,LenU,0)),0),IF(ISNUMBER(N381),PI()/4*(N381*INDEX(LenF,MATCH($N$7,LenU,0)))^2*N(O381)*INDEX(LenF,MATCH($O$7,LenU,0))+IF(P381="",0,IF(P381="Conical",PI()/12*(N381*INDEX(LenF,MATCH($N$7,LenU,0)))^2*(N(R381)*INDEX(LenF,MATCH($R$7,LenU,0))),INDEX(HeadK,MATCH(P381,HeadU,0))*(N381*INDEX(LenF,MATCH($N$7,LenU,0)))^3))+IF(Q381="",0,IF(Q381="Conical",PI()/12*(N381*INDEX(LenF,MATCH($N$7,LenU,0)))^2*(N(R381)*INDEX(LenF,MATCH($R$7,LenU,0))),INDEX(HeadK,MATCH(Q381,HeadU,0))*(N381*INDEX(LenF,MATCH($N$7,LenU,0)))^3)),0)))</f>
        <v/>
      </c>
      <c r="AF381" s="21" t="str">
        <f aca="false">IF(E381&lt;&gt;"Piping","",IF(AND(ISNUMBER(AS381),ISNUMBER(M381)),PI()/4*(AS381/1000)^2*M381*INDEX(LenF,MATCH($M$7,LenU,0)),0))</f>
        <v/>
      </c>
      <c r="AG381" s="21" t="str">
        <f aca="false">IF(E381="","",N(AD381)+N(AE381)+N(AF381))</f>
        <v/>
      </c>
      <c r="AH381" s="21" t="str">
        <f aca="false">IF(ISNUMBER(I381),I381*INDEX(WtF,MATCH($I$7,WtU,0))/WaterRho,"")</f>
        <v/>
      </c>
      <c r="AI381" s="11"/>
      <c r="AJ381" s="11"/>
      <c r="AK381" s="20"/>
      <c r="AL381" s="11"/>
      <c r="AM381" s="21" t="str">
        <f aca="false">IF(AO381="","",AO381*IF(ISNUMBER(AK381),AK381,DefFills)*(1+IF(ISNUMBER(AL381),AL381,DefAllow)))</f>
        <v/>
      </c>
      <c r="AN381" s="22" t="str">
        <f aca="false">IF(G381="Given volume",IF(ISNUMBER(H381),H381*INDEX(VolF,MATCH($H$7,VolU,0)),""),IF(G381="Water weight",AH381,IF(N(AG381)=0,"",AG381)))</f>
        <v/>
      </c>
      <c r="AO381" s="22" t="str">
        <f aca="false">IF(N(AN381)=0,"",AN381*AT381*IF(ISNUMBER(AJ381),AJ381,DefCirc))</f>
        <v/>
      </c>
      <c r="AP381" s="9" t="n">
        <f aca="false">IF(ISNUMBER(T381),T381*INDEX(LenF,MATCH($T$7,LenU,0)),IF(ISNUMBER(W381),W381*INDEX(LenF,MATCH($W$7,LenU,0))/PitchRatio,0))</f>
        <v>0</v>
      </c>
      <c r="AQ381" s="9" t="n">
        <f aca="false">IF(ISNUMBER(N381),PI()/4*(N381*INDEX(LenF,MATCH($N$7,LenU,0)))^2,IF(AND(ISNUMBER(S381),ISNUMBER(W381),X381&lt;&gt;""),S381*(W381*INDEX(LenF,MATCH($W$7,LenU,0)))^2*INDEX(LayoutF,MATCH(X381,LayoutU,0)),0))</f>
        <v>0</v>
      </c>
      <c r="AR381" s="9" t="n">
        <f aca="false">IF(ISNUMBER(O381),O381*INDEX(LenF,MATCH($O$7,LenU,0)),IF(ISNUMBER(V381),V381*INDEX(LenF,MATCH($V$7,LenU,0)),0))</f>
        <v>0</v>
      </c>
      <c r="AS381" s="9" t="str">
        <f aca="false">IF(ISNUMBER(L381),L381*INDEX(LenF,MATCH($L$7,LenU,0))*1000,IF(OR(J381="",K381=""),"",IFERROR(IF(INDEX(PipeWT,MATCH(J381,NPSU,0),MATCH(K381,SchU,0))="","Sch n/a",INDEX(PipeOD,MATCH(J381,NPSU,0))-2*INDEX(PipeWT,MATCH(J381,NPSU,0),MATCH(K381,SchU,0))),"")))</f>
        <v/>
      </c>
      <c r="AT381" s="9" t="n">
        <f aca="false">IF(ISNUMBER(AI381),AI381,IFERROR(INDEX(IF(JobType="Decontamination",TypeFillDC,TypeFillCC),MATCH(E381,TypeL,0)),1))</f>
        <v>1</v>
      </c>
      <c r="AU381" s="9" t="n">
        <v>12</v>
      </c>
    </row>
    <row r="382" customFormat="false" ht="15" hidden="false" customHeight="false" outlineLevel="0" collapsed="false">
      <c r="A382" s="16" t="n">
        <v>10</v>
      </c>
      <c r="B382" s="20"/>
      <c r="C382" s="5"/>
      <c r="D382" s="5"/>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1" t="str">
        <f aca="false">IF(E382="Exchanger",IF(AND(ISNUMBER(S382),ISNUMBER(U382),ISNUMBER(V382)),S382*PI()/4*(U382*INDEX(LenF,MATCH($U$7,LenU,0)))^2*V382*INDEX(LenF,MATCH($V$7,LenU,0)),0)+IF(ISNUMBER(Y382),PI()/4*(Y382*INDEX(LenF,MATCH($Y$7,LenU,0)))^2*N(Z382)*INDEX(LenF,MATCH($Z$7,LenU,0))+IF(AA382="",0,IF(AA382="Conical",PI()/12*(Y382*INDEX(LenF,MATCH($Y$7,LenU,0)))^2*(0),INDEX(HeadK,MATCH(AA382,HeadU,0))*(Y382*INDEX(LenF,MATCH($Y$7,LenU,0)))^3)),0)+IF(ISNUMBER(Y382),PI()/4*(Y382*INDEX(LenF,MATCH($Y$7,LenU,0)))^2*N(AB382)*INDEX(LenF,MATCH($AB$7,LenU,0))+IF(AC382="",0,IF(AC382="Conical",PI()/12*(Y382*INDEX(LenF,MATCH($Y$7,LenU,0)))^2*(0),INDEX(HeadK,MATCH(AC382,HeadU,0))*(Y382*INDEX(LenF,MATCH($Y$7,LenU,0)))^3)),0),"")</f>
        <v/>
      </c>
      <c r="AE382" s="21" t="str">
        <f aca="false">IF(OR(E382="",E382="Piping"),"",IF(E382="Exchanger",AQ382*AR382+IF(P382="",0,IF(P382="Conical",PI()/12*(SQRT(4*AQ382/PI()))^2*(0),INDEX(HeadK,MATCH(P382,HeadU,0))*(SQRT(4*AQ382/PI()))^3))-IF(AND(ISNUMBER(S382),ISNUMBER(V382)),S382*PI()/4*AP382^2*V382*INDEX(LenF,MATCH($V$7,LenU,0)),0),IF(ISNUMBER(N382),PI()/4*(N382*INDEX(LenF,MATCH($N$7,LenU,0)))^2*N(O382)*INDEX(LenF,MATCH($O$7,LenU,0))+IF(P382="",0,IF(P382="Conical",PI()/12*(N382*INDEX(LenF,MATCH($N$7,LenU,0)))^2*(N(R382)*INDEX(LenF,MATCH($R$7,LenU,0))),INDEX(HeadK,MATCH(P382,HeadU,0))*(N382*INDEX(LenF,MATCH($N$7,LenU,0)))^3))+IF(Q382="",0,IF(Q382="Conical",PI()/12*(N382*INDEX(LenF,MATCH($N$7,LenU,0)))^2*(N(R382)*INDEX(LenF,MATCH($R$7,LenU,0))),INDEX(HeadK,MATCH(Q382,HeadU,0))*(N382*INDEX(LenF,MATCH($N$7,LenU,0)))^3)),0)))</f>
        <v/>
      </c>
      <c r="AF382" s="21" t="str">
        <f aca="false">IF(E382&lt;&gt;"Piping","",IF(AND(ISNUMBER(AS382),ISNUMBER(M382)),PI()/4*(AS382/1000)^2*M382*INDEX(LenF,MATCH($M$7,LenU,0)),0))</f>
        <v/>
      </c>
      <c r="AG382" s="21" t="str">
        <f aca="false">IF(E382="","",N(AD382)+N(AE382)+N(AF382))</f>
        <v/>
      </c>
      <c r="AH382" s="21" t="str">
        <f aca="false">IF(ISNUMBER(I382),I382*INDEX(WtF,MATCH($I$7,WtU,0))/WaterRho,"")</f>
        <v/>
      </c>
      <c r="AI382" s="11"/>
      <c r="AJ382" s="11"/>
      <c r="AK382" s="20"/>
      <c r="AL382" s="11"/>
      <c r="AM382" s="21" t="str">
        <f aca="false">IF(AO382="","",AO382*IF(ISNUMBER(AK382),AK382,DefFills)*(1+IF(ISNUMBER(AL382),AL382,DefAllow)))</f>
        <v/>
      </c>
      <c r="AN382" s="22" t="str">
        <f aca="false">IF(G382="Given volume",IF(ISNUMBER(H382),H382*INDEX(VolF,MATCH($H$7,VolU,0)),""),IF(G382="Water weight",AH382,IF(N(AG382)=0,"",AG382)))</f>
        <v/>
      </c>
      <c r="AO382" s="22" t="str">
        <f aca="false">IF(N(AN382)=0,"",AN382*AT382*IF(ISNUMBER(AJ382),AJ382,DefCirc))</f>
        <v/>
      </c>
      <c r="AP382" s="9" t="n">
        <f aca="false">IF(ISNUMBER(T382),T382*INDEX(LenF,MATCH($T$7,LenU,0)),IF(ISNUMBER(W382),W382*INDEX(LenF,MATCH($W$7,LenU,0))/PitchRatio,0))</f>
        <v>0</v>
      </c>
      <c r="AQ382" s="9" t="n">
        <f aca="false">IF(ISNUMBER(N382),PI()/4*(N382*INDEX(LenF,MATCH($N$7,LenU,0)))^2,IF(AND(ISNUMBER(S382),ISNUMBER(W382),X382&lt;&gt;""),S382*(W382*INDEX(LenF,MATCH($W$7,LenU,0)))^2*INDEX(LayoutF,MATCH(X382,LayoutU,0)),0))</f>
        <v>0</v>
      </c>
      <c r="AR382" s="9" t="n">
        <f aca="false">IF(ISNUMBER(O382),O382*INDEX(LenF,MATCH($O$7,LenU,0)),IF(ISNUMBER(V382),V382*INDEX(LenF,MATCH($V$7,LenU,0)),0))</f>
        <v>0</v>
      </c>
      <c r="AS382" s="9" t="str">
        <f aca="false">IF(ISNUMBER(L382),L382*INDEX(LenF,MATCH($L$7,LenU,0))*1000,IF(OR(J382="",K382=""),"",IFERROR(IF(INDEX(PipeWT,MATCH(J382,NPSU,0),MATCH(K382,SchU,0))="","Sch n/a",INDEX(PipeOD,MATCH(J382,NPSU,0))-2*INDEX(PipeWT,MATCH(J382,NPSU,0),MATCH(K382,SchU,0))),"")))</f>
        <v/>
      </c>
      <c r="AT382" s="9" t="n">
        <f aca="false">IF(ISNUMBER(AI382),AI382,IFERROR(INDEX(IF(JobType="Decontamination",TypeFillDC,TypeFillCC),MATCH(E382,TypeL,0)),1))</f>
        <v>1</v>
      </c>
      <c r="AU382" s="9" t="n">
        <v>12</v>
      </c>
    </row>
    <row r="383" customFormat="false" ht="15" hidden="false" customHeight="false" outlineLevel="0" collapsed="false">
      <c r="A383" s="16" t="n">
        <v>11</v>
      </c>
      <c r="B383" s="20"/>
      <c r="C383" s="5"/>
      <c r="D383" s="5"/>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1" t="str">
        <f aca="false">IF(E383="Exchanger",IF(AND(ISNUMBER(S383),ISNUMBER(U383),ISNUMBER(V383)),S383*PI()/4*(U383*INDEX(LenF,MATCH($U$7,LenU,0)))^2*V383*INDEX(LenF,MATCH($V$7,LenU,0)),0)+IF(ISNUMBER(Y383),PI()/4*(Y383*INDEX(LenF,MATCH($Y$7,LenU,0)))^2*N(Z383)*INDEX(LenF,MATCH($Z$7,LenU,0))+IF(AA383="",0,IF(AA383="Conical",PI()/12*(Y383*INDEX(LenF,MATCH($Y$7,LenU,0)))^2*(0),INDEX(HeadK,MATCH(AA383,HeadU,0))*(Y383*INDEX(LenF,MATCH($Y$7,LenU,0)))^3)),0)+IF(ISNUMBER(Y383),PI()/4*(Y383*INDEX(LenF,MATCH($Y$7,LenU,0)))^2*N(AB383)*INDEX(LenF,MATCH($AB$7,LenU,0))+IF(AC383="",0,IF(AC383="Conical",PI()/12*(Y383*INDEX(LenF,MATCH($Y$7,LenU,0)))^2*(0),INDEX(HeadK,MATCH(AC383,HeadU,0))*(Y383*INDEX(LenF,MATCH($Y$7,LenU,0)))^3)),0),"")</f>
        <v/>
      </c>
      <c r="AE383" s="21" t="str">
        <f aca="false">IF(OR(E383="",E383="Piping"),"",IF(E383="Exchanger",AQ383*AR383+IF(P383="",0,IF(P383="Conical",PI()/12*(SQRT(4*AQ383/PI()))^2*(0),INDEX(HeadK,MATCH(P383,HeadU,0))*(SQRT(4*AQ383/PI()))^3))-IF(AND(ISNUMBER(S383),ISNUMBER(V383)),S383*PI()/4*AP383^2*V383*INDEX(LenF,MATCH($V$7,LenU,0)),0),IF(ISNUMBER(N383),PI()/4*(N383*INDEX(LenF,MATCH($N$7,LenU,0)))^2*N(O383)*INDEX(LenF,MATCH($O$7,LenU,0))+IF(P383="",0,IF(P383="Conical",PI()/12*(N383*INDEX(LenF,MATCH($N$7,LenU,0)))^2*(N(R383)*INDEX(LenF,MATCH($R$7,LenU,0))),INDEX(HeadK,MATCH(P383,HeadU,0))*(N383*INDEX(LenF,MATCH($N$7,LenU,0)))^3))+IF(Q383="",0,IF(Q383="Conical",PI()/12*(N383*INDEX(LenF,MATCH($N$7,LenU,0)))^2*(N(R383)*INDEX(LenF,MATCH($R$7,LenU,0))),INDEX(HeadK,MATCH(Q383,HeadU,0))*(N383*INDEX(LenF,MATCH($N$7,LenU,0)))^3)),0)))</f>
        <v/>
      </c>
      <c r="AF383" s="21" t="str">
        <f aca="false">IF(E383&lt;&gt;"Piping","",IF(AND(ISNUMBER(AS383),ISNUMBER(M383)),PI()/4*(AS383/1000)^2*M383*INDEX(LenF,MATCH($M$7,LenU,0)),0))</f>
        <v/>
      </c>
      <c r="AG383" s="21" t="str">
        <f aca="false">IF(E383="","",N(AD383)+N(AE383)+N(AF383))</f>
        <v/>
      </c>
      <c r="AH383" s="21" t="str">
        <f aca="false">IF(ISNUMBER(I383),I383*INDEX(WtF,MATCH($I$7,WtU,0))/WaterRho,"")</f>
        <v/>
      </c>
      <c r="AI383" s="11"/>
      <c r="AJ383" s="11"/>
      <c r="AK383" s="20"/>
      <c r="AL383" s="11"/>
      <c r="AM383" s="21" t="str">
        <f aca="false">IF(AO383="","",AO383*IF(ISNUMBER(AK383),AK383,DefFills)*(1+IF(ISNUMBER(AL383),AL383,DefAllow)))</f>
        <v/>
      </c>
      <c r="AN383" s="22" t="str">
        <f aca="false">IF(G383="Given volume",IF(ISNUMBER(H383),H383*INDEX(VolF,MATCH($H$7,VolU,0)),""),IF(G383="Water weight",AH383,IF(N(AG383)=0,"",AG383)))</f>
        <v/>
      </c>
      <c r="AO383" s="22" t="str">
        <f aca="false">IF(N(AN383)=0,"",AN383*AT383*IF(ISNUMBER(AJ383),AJ383,DefCirc))</f>
        <v/>
      </c>
      <c r="AP383" s="9" t="n">
        <f aca="false">IF(ISNUMBER(T383),T383*INDEX(LenF,MATCH($T$7,LenU,0)),IF(ISNUMBER(W383),W383*INDEX(LenF,MATCH($W$7,LenU,0))/PitchRatio,0))</f>
        <v>0</v>
      </c>
      <c r="AQ383" s="9" t="n">
        <f aca="false">IF(ISNUMBER(N383),PI()/4*(N383*INDEX(LenF,MATCH($N$7,LenU,0)))^2,IF(AND(ISNUMBER(S383),ISNUMBER(W383),X383&lt;&gt;""),S383*(W383*INDEX(LenF,MATCH($W$7,LenU,0)))^2*INDEX(LayoutF,MATCH(X383,LayoutU,0)),0))</f>
        <v>0</v>
      </c>
      <c r="AR383" s="9" t="n">
        <f aca="false">IF(ISNUMBER(O383),O383*INDEX(LenF,MATCH($O$7,LenU,0)),IF(ISNUMBER(V383),V383*INDEX(LenF,MATCH($V$7,LenU,0)),0))</f>
        <v>0</v>
      </c>
      <c r="AS383" s="9" t="str">
        <f aca="false">IF(ISNUMBER(L383),L383*INDEX(LenF,MATCH($L$7,LenU,0))*1000,IF(OR(J383="",K383=""),"",IFERROR(IF(INDEX(PipeWT,MATCH(J383,NPSU,0),MATCH(K383,SchU,0))="","Sch n/a",INDEX(PipeOD,MATCH(J383,NPSU,0))-2*INDEX(PipeWT,MATCH(J383,NPSU,0),MATCH(K383,SchU,0))),"")))</f>
        <v/>
      </c>
      <c r="AT383" s="9" t="n">
        <f aca="false">IF(ISNUMBER(AI383),AI383,IFERROR(INDEX(IF(JobType="Decontamination",TypeFillDC,TypeFillCC),MATCH(E383,TypeL,0)),1))</f>
        <v>1</v>
      </c>
      <c r="AU383" s="9" t="n">
        <v>12</v>
      </c>
    </row>
    <row r="384" customFormat="false" ht="15" hidden="false" customHeight="false" outlineLevel="0" collapsed="false">
      <c r="A384" s="16" t="n">
        <v>12</v>
      </c>
      <c r="B384" s="20"/>
      <c r="C384" s="5"/>
      <c r="D384" s="5"/>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1" t="str">
        <f aca="false">IF(E384="Exchanger",IF(AND(ISNUMBER(S384),ISNUMBER(U384),ISNUMBER(V384)),S384*PI()/4*(U384*INDEX(LenF,MATCH($U$7,LenU,0)))^2*V384*INDEX(LenF,MATCH($V$7,LenU,0)),0)+IF(ISNUMBER(Y384),PI()/4*(Y384*INDEX(LenF,MATCH($Y$7,LenU,0)))^2*N(Z384)*INDEX(LenF,MATCH($Z$7,LenU,0))+IF(AA384="",0,IF(AA384="Conical",PI()/12*(Y384*INDEX(LenF,MATCH($Y$7,LenU,0)))^2*(0),INDEX(HeadK,MATCH(AA384,HeadU,0))*(Y384*INDEX(LenF,MATCH($Y$7,LenU,0)))^3)),0)+IF(ISNUMBER(Y384),PI()/4*(Y384*INDEX(LenF,MATCH($Y$7,LenU,0)))^2*N(AB384)*INDEX(LenF,MATCH($AB$7,LenU,0))+IF(AC384="",0,IF(AC384="Conical",PI()/12*(Y384*INDEX(LenF,MATCH($Y$7,LenU,0)))^2*(0),INDEX(HeadK,MATCH(AC384,HeadU,0))*(Y384*INDEX(LenF,MATCH($Y$7,LenU,0)))^3)),0),"")</f>
        <v/>
      </c>
      <c r="AE384" s="21" t="str">
        <f aca="false">IF(OR(E384="",E384="Piping"),"",IF(E384="Exchanger",AQ384*AR384+IF(P384="",0,IF(P384="Conical",PI()/12*(SQRT(4*AQ384/PI()))^2*(0),INDEX(HeadK,MATCH(P384,HeadU,0))*(SQRT(4*AQ384/PI()))^3))-IF(AND(ISNUMBER(S384),ISNUMBER(V384)),S384*PI()/4*AP384^2*V384*INDEX(LenF,MATCH($V$7,LenU,0)),0),IF(ISNUMBER(N384),PI()/4*(N384*INDEX(LenF,MATCH($N$7,LenU,0)))^2*N(O384)*INDEX(LenF,MATCH($O$7,LenU,0))+IF(P384="",0,IF(P384="Conical",PI()/12*(N384*INDEX(LenF,MATCH($N$7,LenU,0)))^2*(N(R384)*INDEX(LenF,MATCH($R$7,LenU,0))),INDEX(HeadK,MATCH(P384,HeadU,0))*(N384*INDEX(LenF,MATCH($N$7,LenU,0)))^3))+IF(Q384="",0,IF(Q384="Conical",PI()/12*(N384*INDEX(LenF,MATCH($N$7,LenU,0)))^2*(N(R384)*INDEX(LenF,MATCH($R$7,LenU,0))),INDEX(HeadK,MATCH(Q384,HeadU,0))*(N384*INDEX(LenF,MATCH($N$7,LenU,0)))^3)),0)))</f>
        <v/>
      </c>
      <c r="AF384" s="21" t="str">
        <f aca="false">IF(E384&lt;&gt;"Piping","",IF(AND(ISNUMBER(AS384),ISNUMBER(M384)),PI()/4*(AS384/1000)^2*M384*INDEX(LenF,MATCH($M$7,LenU,0)),0))</f>
        <v/>
      </c>
      <c r="AG384" s="21" t="str">
        <f aca="false">IF(E384="","",N(AD384)+N(AE384)+N(AF384))</f>
        <v/>
      </c>
      <c r="AH384" s="21" t="str">
        <f aca="false">IF(ISNUMBER(I384),I384*INDEX(WtF,MATCH($I$7,WtU,0))/WaterRho,"")</f>
        <v/>
      </c>
      <c r="AI384" s="11"/>
      <c r="AJ384" s="11"/>
      <c r="AK384" s="20"/>
      <c r="AL384" s="11"/>
      <c r="AM384" s="21" t="str">
        <f aca="false">IF(AO384="","",AO384*IF(ISNUMBER(AK384),AK384,DefFills)*(1+IF(ISNUMBER(AL384),AL384,DefAllow)))</f>
        <v/>
      </c>
      <c r="AN384" s="22" t="str">
        <f aca="false">IF(G384="Given volume",IF(ISNUMBER(H384),H384*INDEX(VolF,MATCH($H$7,VolU,0)),""),IF(G384="Water weight",AH384,IF(N(AG384)=0,"",AG384)))</f>
        <v/>
      </c>
      <c r="AO384" s="22" t="str">
        <f aca="false">IF(N(AN384)=0,"",AN384*AT384*IF(ISNUMBER(AJ384),AJ384,DefCirc))</f>
        <v/>
      </c>
      <c r="AP384" s="9" t="n">
        <f aca="false">IF(ISNUMBER(T384),T384*INDEX(LenF,MATCH($T$7,LenU,0)),IF(ISNUMBER(W384),W384*INDEX(LenF,MATCH($W$7,LenU,0))/PitchRatio,0))</f>
        <v>0</v>
      </c>
      <c r="AQ384" s="9" t="n">
        <f aca="false">IF(ISNUMBER(N384),PI()/4*(N384*INDEX(LenF,MATCH($N$7,LenU,0)))^2,IF(AND(ISNUMBER(S384),ISNUMBER(W384),X384&lt;&gt;""),S384*(W384*INDEX(LenF,MATCH($W$7,LenU,0)))^2*INDEX(LayoutF,MATCH(X384,LayoutU,0)),0))</f>
        <v>0</v>
      </c>
      <c r="AR384" s="9" t="n">
        <f aca="false">IF(ISNUMBER(O384),O384*INDEX(LenF,MATCH($O$7,LenU,0)),IF(ISNUMBER(V384),V384*INDEX(LenF,MATCH($V$7,LenU,0)),0))</f>
        <v>0</v>
      </c>
      <c r="AS384" s="9" t="str">
        <f aca="false">IF(ISNUMBER(L384),L384*INDEX(LenF,MATCH($L$7,LenU,0))*1000,IF(OR(J384="",K384=""),"",IFERROR(IF(INDEX(PipeWT,MATCH(J384,NPSU,0),MATCH(K384,SchU,0))="","Sch n/a",INDEX(PipeOD,MATCH(J384,NPSU,0))-2*INDEX(PipeWT,MATCH(J384,NPSU,0),MATCH(K384,SchU,0))),"")))</f>
        <v/>
      </c>
      <c r="AT384" s="9" t="n">
        <f aca="false">IF(ISNUMBER(AI384),AI384,IFERROR(INDEX(IF(JobType="Decontamination",TypeFillDC,TypeFillCC),MATCH(E384,TypeL,0)),1))</f>
        <v>1</v>
      </c>
      <c r="AU384" s="9" t="n">
        <v>12</v>
      </c>
    </row>
    <row r="385" customFormat="false" ht="15" hidden="false" customHeight="false" outlineLevel="0" collapsed="false">
      <c r="A385" s="16" t="n">
        <v>13</v>
      </c>
      <c r="B385" s="20"/>
      <c r="C385" s="5"/>
      <c r="D385" s="5"/>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1" t="str">
        <f aca="false">IF(E385="Exchanger",IF(AND(ISNUMBER(S385),ISNUMBER(U385),ISNUMBER(V385)),S385*PI()/4*(U385*INDEX(LenF,MATCH($U$7,LenU,0)))^2*V385*INDEX(LenF,MATCH($V$7,LenU,0)),0)+IF(ISNUMBER(Y385),PI()/4*(Y385*INDEX(LenF,MATCH($Y$7,LenU,0)))^2*N(Z385)*INDEX(LenF,MATCH($Z$7,LenU,0))+IF(AA385="",0,IF(AA385="Conical",PI()/12*(Y385*INDEX(LenF,MATCH($Y$7,LenU,0)))^2*(0),INDEX(HeadK,MATCH(AA385,HeadU,0))*(Y385*INDEX(LenF,MATCH($Y$7,LenU,0)))^3)),0)+IF(ISNUMBER(Y385),PI()/4*(Y385*INDEX(LenF,MATCH($Y$7,LenU,0)))^2*N(AB385)*INDEX(LenF,MATCH($AB$7,LenU,0))+IF(AC385="",0,IF(AC385="Conical",PI()/12*(Y385*INDEX(LenF,MATCH($Y$7,LenU,0)))^2*(0),INDEX(HeadK,MATCH(AC385,HeadU,0))*(Y385*INDEX(LenF,MATCH($Y$7,LenU,0)))^3)),0),"")</f>
        <v/>
      </c>
      <c r="AE385" s="21" t="str">
        <f aca="false">IF(OR(E385="",E385="Piping"),"",IF(E385="Exchanger",AQ385*AR385+IF(P385="",0,IF(P385="Conical",PI()/12*(SQRT(4*AQ385/PI()))^2*(0),INDEX(HeadK,MATCH(P385,HeadU,0))*(SQRT(4*AQ385/PI()))^3))-IF(AND(ISNUMBER(S385),ISNUMBER(V385)),S385*PI()/4*AP385^2*V385*INDEX(LenF,MATCH($V$7,LenU,0)),0),IF(ISNUMBER(N385),PI()/4*(N385*INDEX(LenF,MATCH($N$7,LenU,0)))^2*N(O385)*INDEX(LenF,MATCH($O$7,LenU,0))+IF(P385="",0,IF(P385="Conical",PI()/12*(N385*INDEX(LenF,MATCH($N$7,LenU,0)))^2*(N(R385)*INDEX(LenF,MATCH($R$7,LenU,0))),INDEX(HeadK,MATCH(P385,HeadU,0))*(N385*INDEX(LenF,MATCH($N$7,LenU,0)))^3))+IF(Q385="",0,IF(Q385="Conical",PI()/12*(N385*INDEX(LenF,MATCH($N$7,LenU,0)))^2*(N(R385)*INDEX(LenF,MATCH($R$7,LenU,0))),INDEX(HeadK,MATCH(Q385,HeadU,0))*(N385*INDEX(LenF,MATCH($N$7,LenU,0)))^3)),0)))</f>
        <v/>
      </c>
      <c r="AF385" s="21" t="str">
        <f aca="false">IF(E385&lt;&gt;"Piping","",IF(AND(ISNUMBER(AS385),ISNUMBER(M385)),PI()/4*(AS385/1000)^2*M385*INDEX(LenF,MATCH($M$7,LenU,0)),0))</f>
        <v/>
      </c>
      <c r="AG385" s="21" t="str">
        <f aca="false">IF(E385="","",N(AD385)+N(AE385)+N(AF385))</f>
        <v/>
      </c>
      <c r="AH385" s="21" t="str">
        <f aca="false">IF(ISNUMBER(I385),I385*INDEX(WtF,MATCH($I$7,WtU,0))/WaterRho,"")</f>
        <v/>
      </c>
      <c r="AI385" s="11"/>
      <c r="AJ385" s="11"/>
      <c r="AK385" s="20"/>
      <c r="AL385" s="11"/>
      <c r="AM385" s="21" t="str">
        <f aca="false">IF(AO385="","",AO385*IF(ISNUMBER(AK385),AK385,DefFills)*(1+IF(ISNUMBER(AL385),AL385,DefAllow)))</f>
        <v/>
      </c>
      <c r="AN385" s="22" t="str">
        <f aca="false">IF(G385="Given volume",IF(ISNUMBER(H385),H385*INDEX(VolF,MATCH($H$7,VolU,0)),""),IF(G385="Water weight",AH385,IF(N(AG385)=0,"",AG385)))</f>
        <v/>
      </c>
      <c r="AO385" s="22" t="str">
        <f aca="false">IF(N(AN385)=0,"",AN385*AT385*IF(ISNUMBER(AJ385),AJ385,DefCirc))</f>
        <v/>
      </c>
      <c r="AP385" s="9" t="n">
        <f aca="false">IF(ISNUMBER(T385),T385*INDEX(LenF,MATCH($T$7,LenU,0)),IF(ISNUMBER(W385),W385*INDEX(LenF,MATCH($W$7,LenU,0))/PitchRatio,0))</f>
        <v>0</v>
      </c>
      <c r="AQ385" s="9" t="n">
        <f aca="false">IF(ISNUMBER(N385),PI()/4*(N385*INDEX(LenF,MATCH($N$7,LenU,0)))^2,IF(AND(ISNUMBER(S385),ISNUMBER(W385),X385&lt;&gt;""),S385*(W385*INDEX(LenF,MATCH($W$7,LenU,0)))^2*INDEX(LayoutF,MATCH(X385,LayoutU,0)),0))</f>
        <v>0</v>
      </c>
      <c r="AR385" s="9" t="n">
        <f aca="false">IF(ISNUMBER(O385),O385*INDEX(LenF,MATCH($O$7,LenU,0)),IF(ISNUMBER(V385),V385*INDEX(LenF,MATCH($V$7,LenU,0)),0))</f>
        <v>0</v>
      </c>
      <c r="AS385" s="9" t="str">
        <f aca="false">IF(ISNUMBER(L385),L385*INDEX(LenF,MATCH($L$7,LenU,0))*1000,IF(OR(J385="",K385=""),"",IFERROR(IF(INDEX(PipeWT,MATCH(J385,NPSU,0),MATCH(K385,SchU,0))="","Sch n/a",INDEX(PipeOD,MATCH(J385,NPSU,0))-2*INDEX(PipeWT,MATCH(J385,NPSU,0),MATCH(K385,SchU,0))),"")))</f>
        <v/>
      </c>
      <c r="AT385" s="9" t="n">
        <f aca="false">IF(ISNUMBER(AI385),AI385,IFERROR(INDEX(IF(JobType="Decontamination",TypeFillDC,TypeFillCC),MATCH(E385,TypeL,0)),1))</f>
        <v>1</v>
      </c>
      <c r="AU385" s="9" t="n">
        <v>12</v>
      </c>
    </row>
    <row r="386" customFormat="false" ht="15" hidden="false" customHeight="false" outlineLevel="0" collapsed="false">
      <c r="A386" s="16" t="n">
        <v>14</v>
      </c>
      <c r="B386" s="20"/>
      <c r="C386" s="5"/>
      <c r="D386" s="5"/>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1" t="str">
        <f aca="false">IF(E386="Exchanger",IF(AND(ISNUMBER(S386),ISNUMBER(U386),ISNUMBER(V386)),S386*PI()/4*(U386*INDEX(LenF,MATCH($U$7,LenU,0)))^2*V386*INDEX(LenF,MATCH($V$7,LenU,0)),0)+IF(ISNUMBER(Y386),PI()/4*(Y386*INDEX(LenF,MATCH($Y$7,LenU,0)))^2*N(Z386)*INDEX(LenF,MATCH($Z$7,LenU,0))+IF(AA386="",0,IF(AA386="Conical",PI()/12*(Y386*INDEX(LenF,MATCH($Y$7,LenU,0)))^2*(0),INDEX(HeadK,MATCH(AA386,HeadU,0))*(Y386*INDEX(LenF,MATCH($Y$7,LenU,0)))^3)),0)+IF(ISNUMBER(Y386),PI()/4*(Y386*INDEX(LenF,MATCH($Y$7,LenU,0)))^2*N(AB386)*INDEX(LenF,MATCH($AB$7,LenU,0))+IF(AC386="",0,IF(AC386="Conical",PI()/12*(Y386*INDEX(LenF,MATCH($Y$7,LenU,0)))^2*(0),INDEX(HeadK,MATCH(AC386,HeadU,0))*(Y386*INDEX(LenF,MATCH($Y$7,LenU,0)))^3)),0),"")</f>
        <v/>
      </c>
      <c r="AE386" s="21" t="str">
        <f aca="false">IF(OR(E386="",E386="Piping"),"",IF(E386="Exchanger",AQ386*AR386+IF(P386="",0,IF(P386="Conical",PI()/12*(SQRT(4*AQ386/PI()))^2*(0),INDEX(HeadK,MATCH(P386,HeadU,0))*(SQRT(4*AQ386/PI()))^3))-IF(AND(ISNUMBER(S386),ISNUMBER(V386)),S386*PI()/4*AP386^2*V386*INDEX(LenF,MATCH($V$7,LenU,0)),0),IF(ISNUMBER(N386),PI()/4*(N386*INDEX(LenF,MATCH($N$7,LenU,0)))^2*N(O386)*INDEX(LenF,MATCH($O$7,LenU,0))+IF(P386="",0,IF(P386="Conical",PI()/12*(N386*INDEX(LenF,MATCH($N$7,LenU,0)))^2*(N(R386)*INDEX(LenF,MATCH($R$7,LenU,0))),INDEX(HeadK,MATCH(P386,HeadU,0))*(N386*INDEX(LenF,MATCH($N$7,LenU,0)))^3))+IF(Q386="",0,IF(Q386="Conical",PI()/12*(N386*INDEX(LenF,MATCH($N$7,LenU,0)))^2*(N(R386)*INDEX(LenF,MATCH($R$7,LenU,0))),INDEX(HeadK,MATCH(Q386,HeadU,0))*(N386*INDEX(LenF,MATCH($N$7,LenU,0)))^3)),0)))</f>
        <v/>
      </c>
      <c r="AF386" s="21" t="str">
        <f aca="false">IF(E386&lt;&gt;"Piping","",IF(AND(ISNUMBER(AS386),ISNUMBER(M386)),PI()/4*(AS386/1000)^2*M386*INDEX(LenF,MATCH($M$7,LenU,0)),0))</f>
        <v/>
      </c>
      <c r="AG386" s="21" t="str">
        <f aca="false">IF(E386="","",N(AD386)+N(AE386)+N(AF386))</f>
        <v/>
      </c>
      <c r="AH386" s="21" t="str">
        <f aca="false">IF(ISNUMBER(I386),I386*INDEX(WtF,MATCH($I$7,WtU,0))/WaterRho,"")</f>
        <v/>
      </c>
      <c r="AI386" s="11"/>
      <c r="AJ386" s="11"/>
      <c r="AK386" s="20"/>
      <c r="AL386" s="11"/>
      <c r="AM386" s="21" t="str">
        <f aca="false">IF(AO386="","",AO386*IF(ISNUMBER(AK386),AK386,DefFills)*(1+IF(ISNUMBER(AL386),AL386,DefAllow)))</f>
        <v/>
      </c>
      <c r="AN386" s="22" t="str">
        <f aca="false">IF(G386="Given volume",IF(ISNUMBER(H386),H386*INDEX(VolF,MATCH($H$7,VolU,0)),""),IF(G386="Water weight",AH386,IF(N(AG386)=0,"",AG386)))</f>
        <v/>
      </c>
      <c r="AO386" s="22" t="str">
        <f aca="false">IF(N(AN386)=0,"",AN386*AT386*IF(ISNUMBER(AJ386),AJ386,DefCirc))</f>
        <v/>
      </c>
      <c r="AP386" s="9" t="n">
        <f aca="false">IF(ISNUMBER(T386),T386*INDEX(LenF,MATCH($T$7,LenU,0)),IF(ISNUMBER(W386),W386*INDEX(LenF,MATCH($W$7,LenU,0))/PitchRatio,0))</f>
        <v>0</v>
      </c>
      <c r="AQ386" s="9" t="n">
        <f aca="false">IF(ISNUMBER(N386),PI()/4*(N386*INDEX(LenF,MATCH($N$7,LenU,0)))^2,IF(AND(ISNUMBER(S386),ISNUMBER(W386),X386&lt;&gt;""),S386*(W386*INDEX(LenF,MATCH($W$7,LenU,0)))^2*INDEX(LayoutF,MATCH(X386,LayoutU,0)),0))</f>
        <v>0</v>
      </c>
      <c r="AR386" s="9" t="n">
        <f aca="false">IF(ISNUMBER(O386),O386*INDEX(LenF,MATCH($O$7,LenU,0)),IF(ISNUMBER(V386),V386*INDEX(LenF,MATCH($V$7,LenU,0)),0))</f>
        <v>0</v>
      </c>
      <c r="AS386" s="9" t="str">
        <f aca="false">IF(ISNUMBER(L386),L386*INDEX(LenF,MATCH($L$7,LenU,0))*1000,IF(OR(J386="",K386=""),"",IFERROR(IF(INDEX(PipeWT,MATCH(J386,NPSU,0),MATCH(K386,SchU,0))="","Sch n/a",INDEX(PipeOD,MATCH(J386,NPSU,0))-2*INDEX(PipeWT,MATCH(J386,NPSU,0),MATCH(K386,SchU,0))),"")))</f>
        <v/>
      </c>
      <c r="AT386" s="9" t="n">
        <f aca="false">IF(ISNUMBER(AI386),AI386,IFERROR(INDEX(IF(JobType="Decontamination",TypeFillDC,TypeFillCC),MATCH(E386,TypeL,0)),1))</f>
        <v>1</v>
      </c>
      <c r="AU386" s="9" t="n">
        <v>12</v>
      </c>
    </row>
    <row r="387" customFormat="false" ht="15" hidden="false" customHeight="false" outlineLevel="0" collapsed="false">
      <c r="A387" s="16" t="n">
        <v>15</v>
      </c>
      <c r="B387" s="20"/>
      <c r="C387" s="5"/>
      <c r="D387" s="5"/>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1" t="str">
        <f aca="false">IF(E387="Exchanger",IF(AND(ISNUMBER(S387),ISNUMBER(U387),ISNUMBER(V387)),S387*PI()/4*(U387*INDEX(LenF,MATCH($U$7,LenU,0)))^2*V387*INDEX(LenF,MATCH($V$7,LenU,0)),0)+IF(ISNUMBER(Y387),PI()/4*(Y387*INDEX(LenF,MATCH($Y$7,LenU,0)))^2*N(Z387)*INDEX(LenF,MATCH($Z$7,LenU,0))+IF(AA387="",0,IF(AA387="Conical",PI()/12*(Y387*INDEX(LenF,MATCH($Y$7,LenU,0)))^2*(0),INDEX(HeadK,MATCH(AA387,HeadU,0))*(Y387*INDEX(LenF,MATCH($Y$7,LenU,0)))^3)),0)+IF(ISNUMBER(Y387),PI()/4*(Y387*INDEX(LenF,MATCH($Y$7,LenU,0)))^2*N(AB387)*INDEX(LenF,MATCH($AB$7,LenU,0))+IF(AC387="",0,IF(AC387="Conical",PI()/12*(Y387*INDEX(LenF,MATCH($Y$7,LenU,0)))^2*(0),INDEX(HeadK,MATCH(AC387,HeadU,0))*(Y387*INDEX(LenF,MATCH($Y$7,LenU,0)))^3)),0),"")</f>
        <v/>
      </c>
      <c r="AE387" s="21" t="str">
        <f aca="false">IF(OR(E387="",E387="Piping"),"",IF(E387="Exchanger",AQ387*AR387+IF(P387="",0,IF(P387="Conical",PI()/12*(SQRT(4*AQ387/PI()))^2*(0),INDEX(HeadK,MATCH(P387,HeadU,0))*(SQRT(4*AQ387/PI()))^3))-IF(AND(ISNUMBER(S387),ISNUMBER(V387)),S387*PI()/4*AP387^2*V387*INDEX(LenF,MATCH($V$7,LenU,0)),0),IF(ISNUMBER(N387),PI()/4*(N387*INDEX(LenF,MATCH($N$7,LenU,0)))^2*N(O387)*INDEX(LenF,MATCH($O$7,LenU,0))+IF(P387="",0,IF(P387="Conical",PI()/12*(N387*INDEX(LenF,MATCH($N$7,LenU,0)))^2*(N(R387)*INDEX(LenF,MATCH($R$7,LenU,0))),INDEX(HeadK,MATCH(P387,HeadU,0))*(N387*INDEX(LenF,MATCH($N$7,LenU,0)))^3))+IF(Q387="",0,IF(Q387="Conical",PI()/12*(N387*INDEX(LenF,MATCH($N$7,LenU,0)))^2*(N(R387)*INDEX(LenF,MATCH($R$7,LenU,0))),INDEX(HeadK,MATCH(Q387,HeadU,0))*(N387*INDEX(LenF,MATCH($N$7,LenU,0)))^3)),0)))</f>
        <v/>
      </c>
      <c r="AF387" s="21" t="str">
        <f aca="false">IF(E387&lt;&gt;"Piping","",IF(AND(ISNUMBER(AS387),ISNUMBER(M387)),PI()/4*(AS387/1000)^2*M387*INDEX(LenF,MATCH($M$7,LenU,0)),0))</f>
        <v/>
      </c>
      <c r="AG387" s="21" t="str">
        <f aca="false">IF(E387="","",N(AD387)+N(AE387)+N(AF387))</f>
        <v/>
      </c>
      <c r="AH387" s="21" t="str">
        <f aca="false">IF(ISNUMBER(I387),I387*INDEX(WtF,MATCH($I$7,WtU,0))/WaterRho,"")</f>
        <v/>
      </c>
      <c r="AI387" s="11"/>
      <c r="AJ387" s="11"/>
      <c r="AK387" s="20"/>
      <c r="AL387" s="11"/>
      <c r="AM387" s="21" t="str">
        <f aca="false">IF(AO387="","",AO387*IF(ISNUMBER(AK387),AK387,DefFills)*(1+IF(ISNUMBER(AL387),AL387,DefAllow)))</f>
        <v/>
      </c>
      <c r="AN387" s="22" t="str">
        <f aca="false">IF(G387="Given volume",IF(ISNUMBER(H387),H387*INDEX(VolF,MATCH($H$7,VolU,0)),""),IF(G387="Water weight",AH387,IF(N(AG387)=0,"",AG387)))</f>
        <v/>
      </c>
      <c r="AO387" s="22" t="str">
        <f aca="false">IF(N(AN387)=0,"",AN387*AT387*IF(ISNUMBER(AJ387),AJ387,DefCirc))</f>
        <v/>
      </c>
      <c r="AP387" s="9" t="n">
        <f aca="false">IF(ISNUMBER(T387),T387*INDEX(LenF,MATCH($T$7,LenU,0)),IF(ISNUMBER(W387),W387*INDEX(LenF,MATCH($W$7,LenU,0))/PitchRatio,0))</f>
        <v>0</v>
      </c>
      <c r="AQ387" s="9" t="n">
        <f aca="false">IF(ISNUMBER(N387),PI()/4*(N387*INDEX(LenF,MATCH($N$7,LenU,0)))^2,IF(AND(ISNUMBER(S387),ISNUMBER(W387),X387&lt;&gt;""),S387*(W387*INDEX(LenF,MATCH($W$7,LenU,0)))^2*INDEX(LayoutF,MATCH(X387,LayoutU,0)),0))</f>
        <v>0</v>
      </c>
      <c r="AR387" s="9" t="n">
        <f aca="false">IF(ISNUMBER(O387),O387*INDEX(LenF,MATCH($O$7,LenU,0)),IF(ISNUMBER(V387),V387*INDEX(LenF,MATCH($V$7,LenU,0)),0))</f>
        <v>0</v>
      </c>
      <c r="AS387" s="9" t="str">
        <f aca="false">IF(ISNUMBER(L387),L387*INDEX(LenF,MATCH($L$7,LenU,0))*1000,IF(OR(J387="",K387=""),"",IFERROR(IF(INDEX(PipeWT,MATCH(J387,NPSU,0),MATCH(K387,SchU,0))="","Sch n/a",INDEX(PipeOD,MATCH(J387,NPSU,0))-2*INDEX(PipeWT,MATCH(J387,NPSU,0),MATCH(K387,SchU,0))),"")))</f>
        <v/>
      </c>
      <c r="AT387" s="9" t="n">
        <f aca="false">IF(ISNUMBER(AI387),AI387,IFERROR(INDEX(IF(JobType="Decontamination",TypeFillDC,TypeFillCC),MATCH(E387,TypeL,0)),1))</f>
        <v>1</v>
      </c>
      <c r="AU387" s="9" t="n">
        <v>12</v>
      </c>
    </row>
    <row r="388" customFormat="false" ht="15" hidden="false" customHeight="false" outlineLevel="0" collapsed="false">
      <c r="A388" s="16" t="n">
        <v>16</v>
      </c>
      <c r="B388" s="20"/>
      <c r="C388" s="5"/>
      <c r="D388" s="5"/>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1" t="str">
        <f aca="false">IF(E388="Exchanger",IF(AND(ISNUMBER(S388),ISNUMBER(U388),ISNUMBER(V388)),S388*PI()/4*(U388*INDEX(LenF,MATCH($U$7,LenU,0)))^2*V388*INDEX(LenF,MATCH($V$7,LenU,0)),0)+IF(ISNUMBER(Y388),PI()/4*(Y388*INDEX(LenF,MATCH($Y$7,LenU,0)))^2*N(Z388)*INDEX(LenF,MATCH($Z$7,LenU,0))+IF(AA388="",0,IF(AA388="Conical",PI()/12*(Y388*INDEX(LenF,MATCH($Y$7,LenU,0)))^2*(0),INDEX(HeadK,MATCH(AA388,HeadU,0))*(Y388*INDEX(LenF,MATCH($Y$7,LenU,0)))^3)),0)+IF(ISNUMBER(Y388),PI()/4*(Y388*INDEX(LenF,MATCH($Y$7,LenU,0)))^2*N(AB388)*INDEX(LenF,MATCH($AB$7,LenU,0))+IF(AC388="",0,IF(AC388="Conical",PI()/12*(Y388*INDEX(LenF,MATCH($Y$7,LenU,0)))^2*(0),INDEX(HeadK,MATCH(AC388,HeadU,0))*(Y388*INDEX(LenF,MATCH($Y$7,LenU,0)))^3)),0),"")</f>
        <v/>
      </c>
      <c r="AE388" s="21" t="str">
        <f aca="false">IF(OR(E388="",E388="Piping"),"",IF(E388="Exchanger",AQ388*AR388+IF(P388="",0,IF(P388="Conical",PI()/12*(SQRT(4*AQ388/PI()))^2*(0),INDEX(HeadK,MATCH(P388,HeadU,0))*(SQRT(4*AQ388/PI()))^3))-IF(AND(ISNUMBER(S388),ISNUMBER(V388)),S388*PI()/4*AP388^2*V388*INDEX(LenF,MATCH($V$7,LenU,0)),0),IF(ISNUMBER(N388),PI()/4*(N388*INDEX(LenF,MATCH($N$7,LenU,0)))^2*N(O388)*INDEX(LenF,MATCH($O$7,LenU,0))+IF(P388="",0,IF(P388="Conical",PI()/12*(N388*INDEX(LenF,MATCH($N$7,LenU,0)))^2*(N(R388)*INDEX(LenF,MATCH($R$7,LenU,0))),INDEX(HeadK,MATCH(P388,HeadU,0))*(N388*INDEX(LenF,MATCH($N$7,LenU,0)))^3))+IF(Q388="",0,IF(Q388="Conical",PI()/12*(N388*INDEX(LenF,MATCH($N$7,LenU,0)))^2*(N(R388)*INDEX(LenF,MATCH($R$7,LenU,0))),INDEX(HeadK,MATCH(Q388,HeadU,0))*(N388*INDEX(LenF,MATCH($N$7,LenU,0)))^3)),0)))</f>
        <v/>
      </c>
      <c r="AF388" s="21" t="str">
        <f aca="false">IF(E388&lt;&gt;"Piping","",IF(AND(ISNUMBER(AS388),ISNUMBER(M388)),PI()/4*(AS388/1000)^2*M388*INDEX(LenF,MATCH($M$7,LenU,0)),0))</f>
        <v/>
      </c>
      <c r="AG388" s="21" t="str">
        <f aca="false">IF(E388="","",N(AD388)+N(AE388)+N(AF388))</f>
        <v/>
      </c>
      <c r="AH388" s="21" t="str">
        <f aca="false">IF(ISNUMBER(I388),I388*INDEX(WtF,MATCH($I$7,WtU,0))/WaterRho,"")</f>
        <v/>
      </c>
      <c r="AI388" s="11"/>
      <c r="AJ388" s="11"/>
      <c r="AK388" s="20"/>
      <c r="AL388" s="11"/>
      <c r="AM388" s="21" t="str">
        <f aca="false">IF(AO388="","",AO388*IF(ISNUMBER(AK388),AK388,DefFills)*(1+IF(ISNUMBER(AL388),AL388,DefAllow)))</f>
        <v/>
      </c>
      <c r="AN388" s="22" t="str">
        <f aca="false">IF(G388="Given volume",IF(ISNUMBER(H388),H388*INDEX(VolF,MATCH($H$7,VolU,0)),""),IF(G388="Water weight",AH388,IF(N(AG388)=0,"",AG388)))</f>
        <v/>
      </c>
      <c r="AO388" s="22" t="str">
        <f aca="false">IF(N(AN388)=0,"",AN388*AT388*IF(ISNUMBER(AJ388),AJ388,DefCirc))</f>
        <v/>
      </c>
      <c r="AP388" s="9" t="n">
        <f aca="false">IF(ISNUMBER(T388),T388*INDEX(LenF,MATCH($T$7,LenU,0)),IF(ISNUMBER(W388),W388*INDEX(LenF,MATCH($W$7,LenU,0))/PitchRatio,0))</f>
        <v>0</v>
      </c>
      <c r="AQ388" s="9" t="n">
        <f aca="false">IF(ISNUMBER(N388),PI()/4*(N388*INDEX(LenF,MATCH($N$7,LenU,0)))^2,IF(AND(ISNUMBER(S388),ISNUMBER(W388),X388&lt;&gt;""),S388*(W388*INDEX(LenF,MATCH($W$7,LenU,0)))^2*INDEX(LayoutF,MATCH(X388,LayoutU,0)),0))</f>
        <v>0</v>
      </c>
      <c r="AR388" s="9" t="n">
        <f aca="false">IF(ISNUMBER(O388),O388*INDEX(LenF,MATCH($O$7,LenU,0)),IF(ISNUMBER(V388),V388*INDEX(LenF,MATCH($V$7,LenU,0)),0))</f>
        <v>0</v>
      </c>
      <c r="AS388" s="9" t="str">
        <f aca="false">IF(ISNUMBER(L388),L388*INDEX(LenF,MATCH($L$7,LenU,0))*1000,IF(OR(J388="",K388=""),"",IFERROR(IF(INDEX(PipeWT,MATCH(J388,NPSU,0),MATCH(K388,SchU,0))="","Sch n/a",INDEX(PipeOD,MATCH(J388,NPSU,0))-2*INDEX(PipeWT,MATCH(J388,NPSU,0),MATCH(K388,SchU,0))),"")))</f>
        <v/>
      </c>
      <c r="AT388" s="9" t="n">
        <f aca="false">IF(ISNUMBER(AI388),AI388,IFERROR(INDEX(IF(JobType="Decontamination",TypeFillDC,TypeFillCC),MATCH(E388,TypeL,0)),1))</f>
        <v>1</v>
      </c>
      <c r="AU388" s="9" t="n">
        <v>12</v>
      </c>
    </row>
    <row r="389" customFormat="false" ht="15" hidden="false" customHeight="false" outlineLevel="0" collapsed="false">
      <c r="A389" s="16" t="n">
        <v>17</v>
      </c>
      <c r="B389" s="20"/>
      <c r="C389" s="5"/>
      <c r="D389" s="5"/>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1" t="str">
        <f aca="false">IF(E389="Exchanger",IF(AND(ISNUMBER(S389),ISNUMBER(U389),ISNUMBER(V389)),S389*PI()/4*(U389*INDEX(LenF,MATCH($U$7,LenU,0)))^2*V389*INDEX(LenF,MATCH($V$7,LenU,0)),0)+IF(ISNUMBER(Y389),PI()/4*(Y389*INDEX(LenF,MATCH($Y$7,LenU,0)))^2*N(Z389)*INDEX(LenF,MATCH($Z$7,LenU,0))+IF(AA389="",0,IF(AA389="Conical",PI()/12*(Y389*INDEX(LenF,MATCH($Y$7,LenU,0)))^2*(0),INDEX(HeadK,MATCH(AA389,HeadU,0))*(Y389*INDEX(LenF,MATCH($Y$7,LenU,0)))^3)),0)+IF(ISNUMBER(Y389),PI()/4*(Y389*INDEX(LenF,MATCH($Y$7,LenU,0)))^2*N(AB389)*INDEX(LenF,MATCH($AB$7,LenU,0))+IF(AC389="",0,IF(AC389="Conical",PI()/12*(Y389*INDEX(LenF,MATCH($Y$7,LenU,0)))^2*(0),INDEX(HeadK,MATCH(AC389,HeadU,0))*(Y389*INDEX(LenF,MATCH($Y$7,LenU,0)))^3)),0),"")</f>
        <v/>
      </c>
      <c r="AE389" s="21" t="str">
        <f aca="false">IF(OR(E389="",E389="Piping"),"",IF(E389="Exchanger",AQ389*AR389+IF(P389="",0,IF(P389="Conical",PI()/12*(SQRT(4*AQ389/PI()))^2*(0),INDEX(HeadK,MATCH(P389,HeadU,0))*(SQRT(4*AQ389/PI()))^3))-IF(AND(ISNUMBER(S389),ISNUMBER(V389)),S389*PI()/4*AP389^2*V389*INDEX(LenF,MATCH($V$7,LenU,0)),0),IF(ISNUMBER(N389),PI()/4*(N389*INDEX(LenF,MATCH($N$7,LenU,0)))^2*N(O389)*INDEX(LenF,MATCH($O$7,LenU,0))+IF(P389="",0,IF(P389="Conical",PI()/12*(N389*INDEX(LenF,MATCH($N$7,LenU,0)))^2*(N(R389)*INDEX(LenF,MATCH($R$7,LenU,0))),INDEX(HeadK,MATCH(P389,HeadU,0))*(N389*INDEX(LenF,MATCH($N$7,LenU,0)))^3))+IF(Q389="",0,IF(Q389="Conical",PI()/12*(N389*INDEX(LenF,MATCH($N$7,LenU,0)))^2*(N(R389)*INDEX(LenF,MATCH($R$7,LenU,0))),INDEX(HeadK,MATCH(Q389,HeadU,0))*(N389*INDEX(LenF,MATCH($N$7,LenU,0)))^3)),0)))</f>
        <v/>
      </c>
      <c r="AF389" s="21" t="str">
        <f aca="false">IF(E389&lt;&gt;"Piping","",IF(AND(ISNUMBER(AS389),ISNUMBER(M389)),PI()/4*(AS389/1000)^2*M389*INDEX(LenF,MATCH($M$7,LenU,0)),0))</f>
        <v/>
      </c>
      <c r="AG389" s="21" t="str">
        <f aca="false">IF(E389="","",N(AD389)+N(AE389)+N(AF389))</f>
        <v/>
      </c>
      <c r="AH389" s="21" t="str">
        <f aca="false">IF(ISNUMBER(I389),I389*INDEX(WtF,MATCH($I$7,WtU,0))/WaterRho,"")</f>
        <v/>
      </c>
      <c r="AI389" s="11"/>
      <c r="AJ389" s="11"/>
      <c r="AK389" s="20"/>
      <c r="AL389" s="11"/>
      <c r="AM389" s="21" t="str">
        <f aca="false">IF(AO389="","",AO389*IF(ISNUMBER(AK389),AK389,DefFills)*(1+IF(ISNUMBER(AL389),AL389,DefAllow)))</f>
        <v/>
      </c>
      <c r="AN389" s="22" t="str">
        <f aca="false">IF(G389="Given volume",IF(ISNUMBER(H389),H389*INDEX(VolF,MATCH($H$7,VolU,0)),""),IF(G389="Water weight",AH389,IF(N(AG389)=0,"",AG389)))</f>
        <v/>
      </c>
      <c r="AO389" s="22" t="str">
        <f aca="false">IF(N(AN389)=0,"",AN389*AT389*IF(ISNUMBER(AJ389),AJ389,DefCirc))</f>
        <v/>
      </c>
      <c r="AP389" s="9" t="n">
        <f aca="false">IF(ISNUMBER(T389),T389*INDEX(LenF,MATCH($T$7,LenU,0)),IF(ISNUMBER(W389),W389*INDEX(LenF,MATCH($W$7,LenU,0))/PitchRatio,0))</f>
        <v>0</v>
      </c>
      <c r="AQ389" s="9" t="n">
        <f aca="false">IF(ISNUMBER(N389),PI()/4*(N389*INDEX(LenF,MATCH($N$7,LenU,0)))^2,IF(AND(ISNUMBER(S389),ISNUMBER(W389),X389&lt;&gt;""),S389*(W389*INDEX(LenF,MATCH($W$7,LenU,0)))^2*INDEX(LayoutF,MATCH(X389,LayoutU,0)),0))</f>
        <v>0</v>
      </c>
      <c r="AR389" s="9" t="n">
        <f aca="false">IF(ISNUMBER(O389),O389*INDEX(LenF,MATCH($O$7,LenU,0)),IF(ISNUMBER(V389),V389*INDEX(LenF,MATCH($V$7,LenU,0)),0))</f>
        <v>0</v>
      </c>
      <c r="AS389" s="9" t="str">
        <f aca="false">IF(ISNUMBER(L389),L389*INDEX(LenF,MATCH($L$7,LenU,0))*1000,IF(OR(J389="",K389=""),"",IFERROR(IF(INDEX(PipeWT,MATCH(J389,NPSU,0),MATCH(K389,SchU,0))="","Sch n/a",INDEX(PipeOD,MATCH(J389,NPSU,0))-2*INDEX(PipeWT,MATCH(J389,NPSU,0),MATCH(K389,SchU,0))),"")))</f>
        <v/>
      </c>
      <c r="AT389" s="9" t="n">
        <f aca="false">IF(ISNUMBER(AI389),AI389,IFERROR(INDEX(IF(JobType="Decontamination",TypeFillDC,TypeFillCC),MATCH(E389,TypeL,0)),1))</f>
        <v>1</v>
      </c>
      <c r="AU389" s="9" t="n">
        <v>12</v>
      </c>
    </row>
    <row r="390" customFormat="false" ht="15" hidden="false" customHeight="false" outlineLevel="0" collapsed="false">
      <c r="A390" s="16" t="n">
        <v>18</v>
      </c>
      <c r="B390" s="20"/>
      <c r="C390" s="5"/>
      <c r="D390" s="5"/>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1" t="str">
        <f aca="false">IF(E390="Exchanger",IF(AND(ISNUMBER(S390),ISNUMBER(U390),ISNUMBER(V390)),S390*PI()/4*(U390*INDEX(LenF,MATCH($U$7,LenU,0)))^2*V390*INDEX(LenF,MATCH($V$7,LenU,0)),0)+IF(ISNUMBER(Y390),PI()/4*(Y390*INDEX(LenF,MATCH($Y$7,LenU,0)))^2*N(Z390)*INDEX(LenF,MATCH($Z$7,LenU,0))+IF(AA390="",0,IF(AA390="Conical",PI()/12*(Y390*INDEX(LenF,MATCH($Y$7,LenU,0)))^2*(0),INDEX(HeadK,MATCH(AA390,HeadU,0))*(Y390*INDEX(LenF,MATCH($Y$7,LenU,0)))^3)),0)+IF(ISNUMBER(Y390),PI()/4*(Y390*INDEX(LenF,MATCH($Y$7,LenU,0)))^2*N(AB390)*INDEX(LenF,MATCH($AB$7,LenU,0))+IF(AC390="",0,IF(AC390="Conical",PI()/12*(Y390*INDEX(LenF,MATCH($Y$7,LenU,0)))^2*(0),INDEX(HeadK,MATCH(AC390,HeadU,0))*(Y390*INDEX(LenF,MATCH($Y$7,LenU,0)))^3)),0),"")</f>
        <v/>
      </c>
      <c r="AE390" s="21" t="str">
        <f aca="false">IF(OR(E390="",E390="Piping"),"",IF(E390="Exchanger",AQ390*AR390+IF(P390="",0,IF(P390="Conical",PI()/12*(SQRT(4*AQ390/PI()))^2*(0),INDEX(HeadK,MATCH(P390,HeadU,0))*(SQRT(4*AQ390/PI()))^3))-IF(AND(ISNUMBER(S390),ISNUMBER(V390)),S390*PI()/4*AP390^2*V390*INDEX(LenF,MATCH($V$7,LenU,0)),0),IF(ISNUMBER(N390),PI()/4*(N390*INDEX(LenF,MATCH($N$7,LenU,0)))^2*N(O390)*INDEX(LenF,MATCH($O$7,LenU,0))+IF(P390="",0,IF(P390="Conical",PI()/12*(N390*INDEX(LenF,MATCH($N$7,LenU,0)))^2*(N(R390)*INDEX(LenF,MATCH($R$7,LenU,0))),INDEX(HeadK,MATCH(P390,HeadU,0))*(N390*INDEX(LenF,MATCH($N$7,LenU,0)))^3))+IF(Q390="",0,IF(Q390="Conical",PI()/12*(N390*INDEX(LenF,MATCH($N$7,LenU,0)))^2*(N(R390)*INDEX(LenF,MATCH($R$7,LenU,0))),INDEX(HeadK,MATCH(Q390,HeadU,0))*(N390*INDEX(LenF,MATCH($N$7,LenU,0)))^3)),0)))</f>
        <v/>
      </c>
      <c r="AF390" s="21" t="str">
        <f aca="false">IF(E390&lt;&gt;"Piping","",IF(AND(ISNUMBER(AS390),ISNUMBER(M390)),PI()/4*(AS390/1000)^2*M390*INDEX(LenF,MATCH($M$7,LenU,0)),0))</f>
        <v/>
      </c>
      <c r="AG390" s="21" t="str">
        <f aca="false">IF(E390="","",N(AD390)+N(AE390)+N(AF390))</f>
        <v/>
      </c>
      <c r="AH390" s="21" t="str">
        <f aca="false">IF(ISNUMBER(I390),I390*INDEX(WtF,MATCH($I$7,WtU,0))/WaterRho,"")</f>
        <v/>
      </c>
      <c r="AI390" s="11"/>
      <c r="AJ390" s="11"/>
      <c r="AK390" s="20"/>
      <c r="AL390" s="11"/>
      <c r="AM390" s="21" t="str">
        <f aca="false">IF(AO390="","",AO390*IF(ISNUMBER(AK390),AK390,DefFills)*(1+IF(ISNUMBER(AL390),AL390,DefAllow)))</f>
        <v/>
      </c>
      <c r="AN390" s="22" t="str">
        <f aca="false">IF(G390="Given volume",IF(ISNUMBER(H390),H390*INDEX(VolF,MATCH($H$7,VolU,0)),""),IF(G390="Water weight",AH390,IF(N(AG390)=0,"",AG390)))</f>
        <v/>
      </c>
      <c r="AO390" s="22" t="str">
        <f aca="false">IF(N(AN390)=0,"",AN390*AT390*IF(ISNUMBER(AJ390),AJ390,DefCirc))</f>
        <v/>
      </c>
      <c r="AP390" s="9" t="n">
        <f aca="false">IF(ISNUMBER(T390),T390*INDEX(LenF,MATCH($T$7,LenU,0)),IF(ISNUMBER(W390),W390*INDEX(LenF,MATCH($W$7,LenU,0))/PitchRatio,0))</f>
        <v>0</v>
      </c>
      <c r="AQ390" s="9" t="n">
        <f aca="false">IF(ISNUMBER(N390),PI()/4*(N390*INDEX(LenF,MATCH($N$7,LenU,0)))^2,IF(AND(ISNUMBER(S390),ISNUMBER(W390),X390&lt;&gt;""),S390*(W390*INDEX(LenF,MATCH($W$7,LenU,0)))^2*INDEX(LayoutF,MATCH(X390,LayoutU,0)),0))</f>
        <v>0</v>
      </c>
      <c r="AR390" s="9" t="n">
        <f aca="false">IF(ISNUMBER(O390),O390*INDEX(LenF,MATCH($O$7,LenU,0)),IF(ISNUMBER(V390),V390*INDEX(LenF,MATCH($V$7,LenU,0)),0))</f>
        <v>0</v>
      </c>
      <c r="AS390" s="9" t="str">
        <f aca="false">IF(ISNUMBER(L390),L390*INDEX(LenF,MATCH($L$7,LenU,0))*1000,IF(OR(J390="",K390=""),"",IFERROR(IF(INDEX(PipeWT,MATCH(J390,NPSU,0),MATCH(K390,SchU,0))="","Sch n/a",INDEX(PipeOD,MATCH(J390,NPSU,0))-2*INDEX(PipeWT,MATCH(J390,NPSU,0),MATCH(K390,SchU,0))),"")))</f>
        <v/>
      </c>
      <c r="AT390" s="9" t="n">
        <f aca="false">IF(ISNUMBER(AI390),AI390,IFERROR(INDEX(IF(JobType="Decontamination",TypeFillDC,TypeFillCC),MATCH(E390,TypeL,0)),1))</f>
        <v>1</v>
      </c>
      <c r="AU390" s="9" t="n">
        <v>12</v>
      </c>
    </row>
    <row r="391" customFormat="false" ht="15" hidden="false" customHeight="false" outlineLevel="0" collapsed="false">
      <c r="A391" s="16" t="n">
        <v>19</v>
      </c>
      <c r="B391" s="20"/>
      <c r="C391" s="5"/>
      <c r="D391" s="5"/>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1" t="str">
        <f aca="false">IF(E391="Exchanger",IF(AND(ISNUMBER(S391),ISNUMBER(U391),ISNUMBER(V391)),S391*PI()/4*(U391*INDEX(LenF,MATCH($U$7,LenU,0)))^2*V391*INDEX(LenF,MATCH($V$7,LenU,0)),0)+IF(ISNUMBER(Y391),PI()/4*(Y391*INDEX(LenF,MATCH($Y$7,LenU,0)))^2*N(Z391)*INDEX(LenF,MATCH($Z$7,LenU,0))+IF(AA391="",0,IF(AA391="Conical",PI()/12*(Y391*INDEX(LenF,MATCH($Y$7,LenU,0)))^2*(0),INDEX(HeadK,MATCH(AA391,HeadU,0))*(Y391*INDEX(LenF,MATCH($Y$7,LenU,0)))^3)),0)+IF(ISNUMBER(Y391),PI()/4*(Y391*INDEX(LenF,MATCH($Y$7,LenU,0)))^2*N(AB391)*INDEX(LenF,MATCH($AB$7,LenU,0))+IF(AC391="",0,IF(AC391="Conical",PI()/12*(Y391*INDEX(LenF,MATCH($Y$7,LenU,0)))^2*(0),INDEX(HeadK,MATCH(AC391,HeadU,0))*(Y391*INDEX(LenF,MATCH($Y$7,LenU,0)))^3)),0),"")</f>
        <v/>
      </c>
      <c r="AE391" s="21" t="str">
        <f aca="false">IF(OR(E391="",E391="Piping"),"",IF(E391="Exchanger",AQ391*AR391+IF(P391="",0,IF(P391="Conical",PI()/12*(SQRT(4*AQ391/PI()))^2*(0),INDEX(HeadK,MATCH(P391,HeadU,0))*(SQRT(4*AQ391/PI()))^3))-IF(AND(ISNUMBER(S391),ISNUMBER(V391)),S391*PI()/4*AP391^2*V391*INDEX(LenF,MATCH($V$7,LenU,0)),0),IF(ISNUMBER(N391),PI()/4*(N391*INDEX(LenF,MATCH($N$7,LenU,0)))^2*N(O391)*INDEX(LenF,MATCH($O$7,LenU,0))+IF(P391="",0,IF(P391="Conical",PI()/12*(N391*INDEX(LenF,MATCH($N$7,LenU,0)))^2*(N(R391)*INDEX(LenF,MATCH($R$7,LenU,0))),INDEX(HeadK,MATCH(P391,HeadU,0))*(N391*INDEX(LenF,MATCH($N$7,LenU,0)))^3))+IF(Q391="",0,IF(Q391="Conical",PI()/12*(N391*INDEX(LenF,MATCH($N$7,LenU,0)))^2*(N(R391)*INDEX(LenF,MATCH($R$7,LenU,0))),INDEX(HeadK,MATCH(Q391,HeadU,0))*(N391*INDEX(LenF,MATCH($N$7,LenU,0)))^3)),0)))</f>
        <v/>
      </c>
      <c r="AF391" s="21" t="str">
        <f aca="false">IF(E391&lt;&gt;"Piping","",IF(AND(ISNUMBER(AS391),ISNUMBER(M391)),PI()/4*(AS391/1000)^2*M391*INDEX(LenF,MATCH($M$7,LenU,0)),0))</f>
        <v/>
      </c>
      <c r="AG391" s="21" t="str">
        <f aca="false">IF(E391="","",N(AD391)+N(AE391)+N(AF391))</f>
        <v/>
      </c>
      <c r="AH391" s="21" t="str">
        <f aca="false">IF(ISNUMBER(I391),I391*INDEX(WtF,MATCH($I$7,WtU,0))/WaterRho,"")</f>
        <v/>
      </c>
      <c r="AI391" s="11"/>
      <c r="AJ391" s="11"/>
      <c r="AK391" s="20"/>
      <c r="AL391" s="11"/>
      <c r="AM391" s="21" t="str">
        <f aca="false">IF(AO391="","",AO391*IF(ISNUMBER(AK391),AK391,DefFills)*(1+IF(ISNUMBER(AL391),AL391,DefAllow)))</f>
        <v/>
      </c>
      <c r="AN391" s="22" t="str">
        <f aca="false">IF(G391="Given volume",IF(ISNUMBER(H391),H391*INDEX(VolF,MATCH($H$7,VolU,0)),""),IF(G391="Water weight",AH391,IF(N(AG391)=0,"",AG391)))</f>
        <v/>
      </c>
      <c r="AO391" s="22" t="str">
        <f aca="false">IF(N(AN391)=0,"",AN391*AT391*IF(ISNUMBER(AJ391),AJ391,DefCirc))</f>
        <v/>
      </c>
      <c r="AP391" s="9" t="n">
        <f aca="false">IF(ISNUMBER(T391),T391*INDEX(LenF,MATCH($T$7,LenU,0)),IF(ISNUMBER(W391),W391*INDEX(LenF,MATCH($W$7,LenU,0))/PitchRatio,0))</f>
        <v>0</v>
      </c>
      <c r="AQ391" s="9" t="n">
        <f aca="false">IF(ISNUMBER(N391),PI()/4*(N391*INDEX(LenF,MATCH($N$7,LenU,0)))^2,IF(AND(ISNUMBER(S391),ISNUMBER(W391),X391&lt;&gt;""),S391*(W391*INDEX(LenF,MATCH($W$7,LenU,0)))^2*INDEX(LayoutF,MATCH(X391,LayoutU,0)),0))</f>
        <v>0</v>
      </c>
      <c r="AR391" s="9" t="n">
        <f aca="false">IF(ISNUMBER(O391),O391*INDEX(LenF,MATCH($O$7,LenU,0)),IF(ISNUMBER(V391),V391*INDEX(LenF,MATCH($V$7,LenU,0)),0))</f>
        <v>0</v>
      </c>
      <c r="AS391" s="9" t="str">
        <f aca="false">IF(ISNUMBER(L391),L391*INDEX(LenF,MATCH($L$7,LenU,0))*1000,IF(OR(J391="",K391=""),"",IFERROR(IF(INDEX(PipeWT,MATCH(J391,NPSU,0),MATCH(K391,SchU,0))="","Sch n/a",INDEX(PipeOD,MATCH(J391,NPSU,0))-2*INDEX(PipeWT,MATCH(J391,NPSU,0),MATCH(K391,SchU,0))),"")))</f>
        <v/>
      </c>
      <c r="AT391" s="9" t="n">
        <f aca="false">IF(ISNUMBER(AI391),AI391,IFERROR(INDEX(IF(JobType="Decontamination",TypeFillDC,TypeFillCC),MATCH(E391,TypeL,0)),1))</f>
        <v>1</v>
      </c>
      <c r="AU391" s="9" t="n">
        <v>12</v>
      </c>
    </row>
    <row r="392" customFormat="false" ht="15" hidden="false" customHeight="false" outlineLevel="0" collapsed="false">
      <c r="A392" s="16" t="n">
        <v>20</v>
      </c>
      <c r="B392" s="20"/>
      <c r="C392" s="5"/>
      <c r="D392" s="5"/>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1" t="str">
        <f aca="false">IF(E392="Exchanger",IF(AND(ISNUMBER(S392),ISNUMBER(U392),ISNUMBER(V392)),S392*PI()/4*(U392*INDEX(LenF,MATCH($U$7,LenU,0)))^2*V392*INDEX(LenF,MATCH($V$7,LenU,0)),0)+IF(ISNUMBER(Y392),PI()/4*(Y392*INDEX(LenF,MATCH($Y$7,LenU,0)))^2*N(Z392)*INDEX(LenF,MATCH($Z$7,LenU,0))+IF(AA392="",0,IF(AA392="Conical",PI()/12*(Y392*INDEX(LenF,MATCH($Y$7,LenU,0)))^2*(0),INDEX(HeadK,MATCH(AA392,HeadU,0))*(Y392*INDEX(LenF,MATCH($Y$7,LenU,0)))^3)),0)+IF(ISNUMBER(Y392),PI()/4*(Y392*INDEX(LenF,MATCH($Y$7,LenU,0)))^2*N(AB392)*INDEX(LenF,MATCH($AB$7,LenU,0))+IF(AC392="",0,IF(AC392="Conical",PI()/12*(Y392*INDEX(LenF,MATCH($Y$7,LenU,0)))^2*(0),INDEX(HeadK,MATCH(AC392,HeadU,0))*(Y392*INDEX(LenF,MATCH($Y$7,LenU,0)))^3)),0),"")</f>
        <v/>
      </c>
      <c r="AE392" s="21" t="str">
        <f aca="false">IF(OR(E392="",E392="Piping"),"",IF(E392="Exchanger",AQ392*AR392+IF(P392="",0,IF(P392="Conical",PI()/12*(SQRT(4*AQ392/PI()))^2*(0),INDEX(HeadK,MATCH(P392,HeadU,0))*(SQRT(4*AQ392/PI()))^3))-IF(AND(ISNUMBER(S392),ISNUMBER(V392)),S392*PI()/4*AP392^2*V392*INDEX(LenF,MATCH($V$7,LenU,0)),0),IF(ISNUMBER(N392),PI()/4*(N392*INDEX(LenF,MATCH($N$7,LenU,0)))^2*N(O392)*INDEX(LenF,MATCH($O$7,LenU,0))+IF(P392="",0,IF(P392="Conical",PI()/12*(N392*INDEX(LenF,MATCH($N$7,LenU,0)))^2*(N(R392)*INDEX(LenF,MATCH($R$7,LenU,0))),INDEX(HeadK,MATCH(P392,HeadU,0))*(N392*INDEX(LenF,MATCH($N$7,LenU,0)))^3))+IF(Q392="",0,IF(Q392="Conical",PI()/12*(N392*INDEX(LenF,MATCH($N$7,LenU,0)))^2*(N(R392)*INDEX(LenF,MATCH($R$7,LenU,0))),INDEX(HeadK,MATCH(Q392,HeadU,0))*(N392*INDEX(LenF,MATCH($N$7,LenU,0)))^3)),0)))</f>
        <v/>
      </c>
      <c r="AF392" s="21" t="str">
        <f aca="false">IF(E392&lt;&gt;"Piping","",IF(AND(ISNUMBER(AS392),ISNUMBER(M392)),PI()/4*(AS392/1000)^2*M392*INDEX(LenF,MATCH($M$7,LenU,0)),0))</f>
        <v/>
      </c>
      <c r="AG392" s="21" t="str">
        <f aca="false">IF(E392="","",N(AD392)+N(AE392)+N(AF392))</f>
        <v/>
      </c>
      <c r="AH392" s="21" t="str">
        <f aca="false">IF(ISNUMBER(I392),I392*INDEX(WtF,MATCH($I$7,WtU,0))/WaterRho,"")</f>
        <v/>
      </c>
      <c r="AI392" s="11"/>
      <c r="AJ392" s="11"/>
      <c r="AK392" s="20"/>
      <c r="AL392" s="11"/>
      <c r="AM392" s="21" t="str">
        <f aca="false">IF(AO392="","",AO392*IF(ISNUMBER(AK392),AK392,DefFills)*(1+IF(ISNUMBER(AL392),AL392,DefAllow)))</f>
        <v/>
      </c>
      <c r="AN392" s="22" t="str">
        <f aca="false">IF(G392="Given volume",IF(ISNUMBER(H392),H392*INDEX(VolF,MATCH($H$7,VolU,0)),""),IF(G392="Water weight",AH392,IF(N(AG392)=0,"",AG392)))</f>
        <v/>
      </c>
      <c r="AO392" s="22" t="str">
        <f aca="false">IF(N(AN392)=0,"",AN392*AT392*IF(ISNUMBER(AJ392),AJ392,DefCirc))</f>
        <v/>
      </c>
      <c r="AP392" s="9" t="n">
        <f aca="false">IF(ISNUMBER(T392),T392*INDEX(LenF,MATCH($T$7,LenU,0)),IF(ISNUMBER(W392),W392*INDEX(LenF,MATCH($W$7,LenU,0))/PitchRatio,0))</f>
        <v>0</v>
      </c>
      <c r="AQ392" s="9" t="n">
        <f aca="false">IF(ISNUMBER(N392),PI()/4*(N392*INDEX(LenF,MATCH($N$7,LenU,0)))^2,IF(AND(ISNUMBER(S392),ISNUMBER(W392),X392&lt;&gt;""),S392*(W392*INDEX(LenF,MATCH($W$7,LenU,0)))^2*INDEX(LayoutF,MATCH(X392,LayoutU,0)),0))</f>
        <v>0</v>
      </c>
      <c r="AR392" s="9" t="n">
        <f aca="false">IF(ISNUMBER(O392),O392*INDEX(LenF,MATCH($O$7,LenU,0)),IF(ISNUMBER(V392),V392*INDEX(LenF,MATCH($V$7,LenU,0)),0))</f>
        <v>0</v>
      </c>
      <c r="AS392" s="9" t="str">
        <f aca="false">IF(ISNUMBER(L392),L392*INDEX(LenF,MATCH($L$7,LenU,0))*1000,IF(OR(J392="",K392=""),"",IFERROR(IF(INDEX(PipeWT,MATCH(J392,NPSU,0),MATCH(K392,SchU,0))="","Sch n/a",INDEX(PipeOD,MATCH(J392,NPSU,0))-2*INDEX(PipeWT,MATCH(J392,NPSU,0),MATCH(K392,SchU,0))),"")))</f>
        <v/>
      </c>
      <c r="AT392" s="9" t="n">
        <f aca="false">IF(ISNUMBER(AI392),AI392,IFERROR(INDEX(IF(JobType="Decontamination",TypeFillDC,TypeFillCC),MATCH(E392,TypeL,0)),1))</f>
        <v>1</v>
      </c>
      <c r="AU392" s="9" t="n">
        <v>12</v>
      </c>
    </row>
    <row r="393" customFormat="false" ht="15" hidden="false" customHeight="false" outlineLevel="0" collapsed="false">
      <c r="A393" s="16" t="n">
        <v>21</v>
      </c>
      <c r="B393" s="20"/>
      <c r="C393" s="5"/>
      <c r="D393" s="5"/>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1" t="str">
        <f aca="false">IF(E393="Exchanger",IF(AND(ISNUMBER(S393),ISNUMBER(U393),ISNUMBER(V393)),S393*PI()/4*(U393*INDEX(LenF,MATCH($U$7,LenU,0)))^2*V393*INDEX(LenF,MATCH($V$7,LenU,0)),0)+IF(ISNUMBER(Y393),PI()/4*(Y393*INDEX(LenF,MATCH($Y$7,LenU,0)))^2*N(Z393)*INDEX(LenF,MATCH($Z$7,LenU,0))+IF(AA393="",0,IF(AA393="Conical",PI()/12*(Y393*INDEX(LenF,MATCH($Y$7,LenU,0)))^2*(0),INDEX(HeadK,MATCH(AA393,HeadU,0))*(Y393*INDEX(LenF,MATCH($Y$7,LenU,0)))^3)),0)+IF(ISNUMBER(Y393),PI()/4*(Y393*INDEX(LenF,MATCH($Y$7,LenU,0)))^2*N(AB393)*INDEX(LenF,MATCH($AB$7,LenU,0))+IF(AC393="",0,IF(AC393="Conical",PI()/12*(Y393*INDEX(LenF,MATCH($Y$7,LenU,0)))^2*(0),INDEX(HeadK,MATCH(AC393,HeadU,0))*(Y393*INDEX(LenF,MATCH($Y$7,LenU,0)))^3)),0),"")</f>
        <v/>
      </c>
      <c r="AE393" s="21" t="str">
        <f aca="false">IF(OR(E393="",E393="Piping"),"",IF(E393="Exchanger",AQ393*AR393+IF(P393="",0,IF(P393="Conical",PI()/12*(SQRT(4*AQ393/PI()))^2*(0),INDEX(HeadK,MATCH(P393,HeadU,0))*(SQRT(4*AQ393/PI()))^3))-IF(AND(ISNUMBER(S393),ISNUMBER(V393)),S393*PI()/4*AP393^2*V393*INDEX(LenF,MATCH($V$7,LenU,0)),0),IF(ISNUMBER(N393),PI()/4*(N393*INDEX(LenF,MATCH($N$7,LenU,0)))^2*N(O393)*INDEX(LenF,MATCH($O$7,LenU,0))+IF(P393="",0,IF(P393="Conical",PI()/12*(N393*INDEX(LenF,MATCH($N$7,LenU,0)))^2*(N(R393)*INDEX(LenF,MATCH($R$7,LenU,0))),INDEX(HeadK,MATCH(P393,HeadU,0))*(N393*INDEX(LenF,MATCH($N$7,LenU,0)))^3))+IF(Q393="",0,IF(Q393="Conical",PI()/12*(N393*INDEX(LenF,MATCH($N$7,LenU,0)))^2*(N(R393)*INDEX(LenF,MATCH($R$7,LenU,0))),INDEX(HeadK,MATCH(Q393,HeadU,0))*(N393*INDEX(LenF,MATCH($N$7,LenU,0)))^3)),0)))</f>
        <v/>
      </c>
      <c r="AF393" s="21" t="str">
        <f aca="false">IF(E393&lt;&gt;"Piping","",IF(AND(ISNUMBER(AS393),ISNUMBER(M393)),PI()/4*(AS393/1000)^2*M393*INDEX(LenF,MATCH($M$7,LenU,0)),0))</f>
        <v/>
      </c>
      <c r="AG393" s="21" t="str">
        <f aca="false">IF(E393="","",N(AD393)+N(AE393)+N(AF393))</f>
        <v/>
      </c>
      <c r="AH393" s="21" t="str">
        <f aca="false">IF(ISNUMBER(I393),I393*INDEX(WtF,MATCH($I$7,WtU,0))/WaterRho,"")</f>
        <v/>
      </c>
      <c r="AI393" s="11"/>
      <c r="AJ393" s="11"/>
      <c r="AK393" s="20"/>
      <c r="AL393" s="11"/>
      <c r="AM393" s="21" t="str">
        <f aca="false">IF(AO393="","",AO393*IF(ISNUMBER(AK393),AK393,DefFills)*(1+IF(ISNUMBER(AL393),AL393,DefAllow)))</f>
        <v/>
      </c>
      <c r="AN393" s="22" t="str">
        <f aca="false">IF(G393="Given volume",IF(ISNUMBER(H393),H393*INDEX(VolF,MATCH($H$7,VolU,0)),""),IF(G393="Water weight",AH393,IF(N(AG393)=0,"",AG393)))</f>
        <v/>
      </c>
      <c r="AO393" s="22" t="str">
        <f aca="false">IF(N(AN393)=0,"",AN393*AT393*IF(ISNUMBER(AJ393),AJ393,DefCirc))</f>
        <v/>
      </c>
      <c r="AP393" s="9" t="n">
        <f aca="false">IF(ISNUMBER(T393),T393*INDEX(LenF,MATCH($T$7,LenU,0)),IF(ISNUMBER(W393),W393*INDEX(LenF,MATCH($W$7,LenU,0))/PitchRatio,0))</f>
        <v>0</v>
      </c>
      <c r="AQ393" s="9" t="n">
        <f aca="false">IF(ISNUMBER(N393),PI()/4*(N393*INDEX(LenF,MATCH($N$7,LenU,0)))^2,IF(AND(ISNUMBER(S393),ISNUMBER(W393),X393&lt;&gt;""),S393*(W393*INDEX(LenF,MATCH($W$7,LenU,0)))^2*INDEX(LayoutF,MATCH(X393,LayoutU,0)),0))</f>
        <v>0</v>
      </c>
      <c r="AR393" s="9" t="n">
        <f aca="false">IF(ISNUMBER(O393),O393*INDEX(LenF,MATCH($O$7,LenU,0)),IF(ISNUMBER(V393),V393*INDEX(LenF,MATCH($V$7,LenU,0)),0))</f>
        <v>0</v>
      </c>
      <c r="AS393" s="9" t="str">
        <f aca="false">IF(ISNUMBER(L393),L393*INDEX(LenF,MATCH($L$7,LenU,0))*1000,IF(OR(J393="",K393=""),"",IFERROR(IF(INDEX(PipeWT,MATCH(J393,NPSU,0),MATCH(K393,SchU,0))="","Sch n/a",INDEX(PipeOD,MATCH(J393,NPSU,0))-2*INDEX(PipeWT,MATCH(J393,NPSU,0),MATCH(K393,SchU,0))),"")))</f>
        <v/>
      </c>
      <c r="AT393" s="9" t="n">
        <f aca="false">IF(ISNUMBER(AI393),AI393,IFERROR(INDEX(IF(JobType="Decontamination",TypeFillDC,TypeFillCC),MATCH(E393,TypeL,0)),1))</f>
        <v>1</v>
      </c>
      <c r="AU393" s="9" t="n">
        <v>12</v>
      </c>
    </row>
    <row r="394" customFormat="false" ht="15" hidden="false" customHeight="false" outlineLevel="0" collapsed="false">
      <c r="A394" s="16" t="n">
        <v>22</v>
      </c>
      <c r="B394" s="20"/>
      <c r="C394" s="5"/>
      <c r="D394" s="5"/>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1" t="str">
        <f aca="false">IF(E394="Exchanger",IF(AND(ISNUMBER(S394),ISNUMBER(U394),ISNUMBER(V394)),S394*PI()/4*(U394*INDEX(LenF,MATCH($U$7,LenU,0)))^2*V394*INDEX(LenF,MATCH($V$7,LenU,0)),0)+IF(ISNUMBER(Y394),PI()/4*(Y394*INDEX(LenF,MATCH($Y$7,LenU,0)))^2*N(Z394)*INDEX(LenF,MATCH($Z$7,LenU,0))+IF(AA394="",0,IF(AA394="Conical",PI()/12*(Y394*INDEX(LenF,MATCH($Y$7,LenU,0)))^2*(0),INDEX(HeadK,MATCH(AA394,HeadU,0))*(Y394*INDEX(LenF,MATCH($Y$7,LenU,0)))^3)),0)+IF(ISNUMBER(Y394),PI()/4*(Y394*INDEX(LenF,MATCH($Y$7,LenU,0)))^2*N(AB394)*INDEX(LenF,MATCH($AB$7,LenU,0))+IF(AC394="",0,IF(AC394="Conical",PI()/12*(Y394*INDEX(LenF,MATCH($Y$7,LenU,0)))^2*(0),INDEX(HeadK,MATCH(AC394,HeadU,0))*(Y394*INDEX(LenF,MATCH($Y$7,LenU,0)))^3)),0),"")</f>
        <v/>
      </c>
      <c r="AE394" s="21" t="str">
        <f aca="false">IF(OR(E394="",E394="Piping"),"",IF(E394="Exchanger",AQ394*AR394+IF(P394="",0,IF(P394="Conical",PI()/12*(SQRT(4*AQ394/PI()))^2*(0),INDEX(HeadK,MATCH(P394,HeadU,0))*(SQRT(4*AQ394/PI()))^3))-IF(AND(ISNUMBER(S394),ISNUMBER(V394)),S394*PI()/4*AP394^2*V394*INDEX(LenF,MATCH($V$7,LenU,0)),0),IF(ISNUMBER(N394),PI()/4*(N394*INDEX(LenF,MATCH($N$7,LenU,0)))^2*N(O394)*INDEX(LenF,MATCH($O$7,LenU,0))+IF(P394="",0,IF(P394="Conical",PI()/12*(N394*INDEX(LenF,MATCH($N$7,LenU,0)))^2*(N(R394)*INDEX(LenF,MATCH($R$7,LenU,0))),INDEX(HeadK,MATCH(P394,HeadU,0))*(N394*INDEX(LenF,MATCH($N$7,LenU,0)))^3))+IF(Q394="",0,IF(Q394="Conical",PI()/12*(N394*INDEX(LenF,MATCH($N$7,LenU,0)))^2*(N(R394)*INDEX(LenF,MATCH($R$7,LenU,0))),INDEX(HeadK,MATCH(Q394,HeadU,0))*(N394*INDEX(LenF,MATCH($N$7,LenU,0)))^3)),0)))</f>
        <v/>
      </c>
      <c r="AF394" s="21" t="str">
        <f aca="false">IF(E394&lt;&gt;"Piping","",IF(AND(ISNUMBER(AS394),ISNUMBER(M394)),PI()/4*(AS394/1000)^2*M394*INDEX(LenF,MATCH($M$7,LenU,0)),0))</f>
        <v/>
      </c>
      <c r="AG394" s="21" t="str">
        <f aca="false">IF(E394="","",N(AD394)+N(AE394)+N(AF394))</f>
        <v/>
      </c>
      <c r="AH394" s="21" t="str">
        <f aca="false">IF(ISNUMBER(I394),I394*INDEX(WtF,MATCH($I$7,WtU,0))/WaterRho,"")</f>
        <v/>
      </c>
      <c r="AI394" s="11"/>
      <c r="AJ394" s="11"/>
      <c r="AK394" s="20"/>
      <c r="AL394" s="11"/>
      <c r="AM394" s="21" t="str">
        <f aca="false">IF(AO394="","",AO394*IF(ISNUMBER(AK394),AK394,DefFills)*(1+IF(ISNUMBER(AL394),AL394,DefAllow)))</f>
        <v/>
      </c>
      <c r="AN394" s="22" t="str">
        <f aca="false">IF(G394="Given volume",IF(ISNUMBER(H394),H394*INDEX(VolF,MATCH($H$7,VolU,0)),""),IF(G394="Water weight",AH394,IF(N(AG394)=0,"",AG394)))</f>
        <v/>
      </c>
      <c r="AO394" s="22" t="str">
        <f aca="false">IF(N(AN394)=0,"",AN394*AT394*IF(ISNUMBER(AJ394),AJ394,DefCirc))</f>
        <v/>
      </c>
      <c r="AP394" s="9" t="n">
        <f aca="false">IF(ISNUMBER(T394),T394*INDEX(LenF,MATCH($T$7,LenU,0)),IF(ISNUMBER(W394),W394*INDEX(LenF,MATCH($W$7,LenU,0))/PitchRatio,0))</f>
        <v>0</v>
      </c>
      <c r="AQ394" s="9" t="n">
        <f aca="false">IF(ISNUMBER(N394),PI()/4*(N394*INDEX(LenF,MATCH($N$7,LenU,0)))^2,IF(AND(ISNUMBER(S394),ISNUMBER(W394),X394&lt;&gt;""),S394*(W394*INDEX(LenF,MATCH($W$7,LenU,0)))^2*INDEX(LayoutF,MATCH(X394,LayoutU,0)),0))</f>
        <v>0</v>
      </c>
      <c r="AR394" s="9" t="n">
        <f aca="false">IF(ISNUMBER(O394),O394*INDEX(LenF,MATCH($O$7,LenU,0)),IF(ISNUMBER(V394),V394*INDEX(LenF,MATCH($V$7,LenU,0)),0))</f>
        <v>0</v>
      </c>
      <c r="AS394" s="9" t="str">
        <f aca="false">IF(ISNUMBER(L394),L394*INDEX(LenF,MATCH($L$7,LenU,0))*1000,IF(OR(J394="",K394=""),"",IFERROR(IF(INDEX(PipeWT,MATCH(J394,NPSU,0),MATCH(K394,SchU,0))="","Sch n/a",INDEX(PipeOD,MATCH(J394,NPSU,0))-2*INDEX(PipeWT,MATCH(J394,NPSU,0),MATCH(K394,SchU,0))),"")))</f>
        <v/>
      </c>
      <c r="AT394" s="9" t="n">
        <f aca="false">IF(ISNUMBER(AI394),AI394,IFERROR(INDEX(IF(JobType="Decontamination",TypeFillDC,TypeFillCC),MATCH(E394,TypeL,0)),1))</f>
        <v>1</v>
      </c>
      <c r="AU394" s="9" t="n">
        <v>12</v>
      </c>
    </row>
    <row r="395" customFormat="false" ht="15" hidden="false" customHeight="false" outlineLevel="0" collapsed="false">
      <c r="A395" s="16" t="n">
        <v>23</v>
      </c>
      <c r="B395" s="20"/>
      <c r="C395" s="5"/>
      <c r="D395" s="5"/>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1" t="str">
        <f aca="false">IF(E395="Exchanger",IF(AND(ISNUMBER(S395),ISNUMBER(U395),ISNUMBER(V395)),S395*PI()/4*(U395*INDEX(LenF,MATCH($U$7,LenU,0)))^2*V395*INDEX(LenF,MATCH($V$7,LenU,0)),0)+IF(ISNUMBER(Y395),PI()/4*(Y395*INDEX(LenF,MATCH($Y$7,LenU,0)))^2*N(Z395)*INDEX(LenF,MATCH($Z$7,LenU,0))+IF(AA395="",0,IF(AA395="Conical",PI()/12*(Y395*INDEX(LenF,MATCH($Y$7,LenU,0)))^2*(0),INDEX(HeadK,MATCH(AA395,HeadU,0))*(Y395*INDEX(LenF,MATCH($Y$7,LenU,0)))^3)),0)+IF(ISNUMBER(Y395),PI()/4*(Y395*INDEX(LenF,MATCH($Y$7,LenU,0)))^2*N(AB395)*INDEX(LenF,MATCH($AB$7,LenU,0))+IF(AC395="",0,IF(AC395="Conical",PI()/12*(Y395*INDEX(LenF,MATCH($Y$7,LenU,0)))^2*(0),INDEX(HeadK,MATCH(AC395,HeadU,0))*(Y395*INDEX(LenF,MATCH($Y$7,LenU,0)))^3)),0),"")</f>
        <v/>
      </c>
      <c r="AE395" s="21" t="str">
        <f aca="false">IF(OR(E395="",E395="Piping"),"",IF(E395="Exchanger",AQ395*AR395+IF(P395="",0,IF(P395="Conical",PI()/12*(SQRT(4*AQ395/PI()))^2*(0),INDEX(HeadK,MATCH(P395,HeadU,0))*(SQRT(4*AQ395/PI()))^3))-IF(AND(ISNUMBER(S395),ISNUMBER(V395)),S395*PI()/4*AP395^2*V395*INDEX(LenF,MATCH($V$7,LenU,0)),0),IF(ISNUMBER(N395),PI()/4*(N395*INDEX(LenF,MATCH($N$7,LenU,0)))^2*N(O395)*INDEX(LenF,MATCH($O$7,LenU,0))+IF(P395="",0,IF(P395="Conical",PI()/12*(N395*INDEX(LenF,MATCH($N$7,LenU,0)))^2*(N(R395)*INDEX(LenF,MATCH($R$7,LenU,0))),INDEX(HeadK,MATCH(P395,HeadU,0))*(N395*INDEX(LenF,MATCH($N$7,LenU,0)))^3))+IF(Q395="",0,IF(Q395="Conical",PI()/12*(N395*INDEX(LenF,MATCH($N$7,LenU,0)))^2*(N(R395)*INDEX(LenF,MATCH($R$7,LenU,0))),INDEX(HeadK,MATCH(Q395,HeadU,0))*(N395*INDEX(LenF,MATCH($N$7,LenU,0)))^3)),0)))</f>
        <v/>
      </c>
      <c r="AF395" s="21" t="str">
        <f aca="false">IF(E395&lt;&gt;"Piping","",IF(AND(ISNUMBER(AS395),ISNUMBER(M395)),PI()/4*(AS395/1000)^2*M395*INDEX(LenF,MATCH($M$7,LenU,0)),0))</f>
        <v/>
      </c>
      <c r="AG395" s="21" t="str">
        <f aca="false">IF(E395="","",N(AD395)+N(AE395)+N(AF395))</f>
        <v/>
      </c>
      <c r="AH395" s="21" t="str">
        <f aca="false">IF(ISNUMBER(I395),I395*INDEX(WtF,MATCH($I$7,WtU,0))/WaterRho,"")</f>
        <v/>
      </c>
      <c r="AI395" s="11"/>
      <c r="AJ395" s="11"/>
      <c r="AK395" s="20"/>
      <c r="AL395" s="11"/>
      <c r="AM395" s="21" t="str">
        <f aca="false">IF(AO395="","",AO395*IF(ISNUMBER(AK395),AK395,DefFills)*(1+IF(ISNUMBER(AL395),AL395,DefAllow)))</f>
        <v/>
      </c>
      <c r="AN395" s="22" t="str">
        <f aca="false">IF(G395="Given volume",IF(ISNUMBER(H395),H395*INDEX(VolF,MATCH($H$7,VolU,0)),""),IF(G395="Water weight",AH395,IF(N(AG395)=0,"",AG395)))</f>
        <v/>
      </c>
      <c r="AO395" s="22" t="str">
        <f aca="false">IF(N(AN395)=0,"",AN395*AT395*IF(ISNUMBER(AJ395),AJ395,DefCirc))</f>
        <v/>
      </c>
      <c r="AP395" s="9" t="n">
        <f aca="false">IF(ISNUMBER(T395),T395*INDEX(LenF,MATCH($T$7,LenU,0)),IF(ISNUMBER(W395),W395*INDEX(LenF,MATCH($W$7,LenU,0))/PitchRatio,0))</f>
        <v>0</v>
      </c>
      <c r="AQ395" s="9" t="n">
        <f aca="false">IF(ISNUMBER(N395),PI()/4*(N395*INDEX(LenF,MATCH($N$7,LenU,0)))^2,IF(AND(ISNUMBER(S395),ISNUMBER(W395),X395&lt;&gt;""),S395*(W395*INDEX(LenF,MATCH($W$7,LenU,0)))^2*INDEX(LayoutF,MATCH(X395,LayoutU,0)),0))</f>
        <v>0</v>
      </c>
      <c r="AR395" s="9" t="n">
        <f aca="false">IF(ISNUMBER(O395),O395*INDEX(LenF,MATCH($O$7,LenU,0)),IF(ISNUMBER(V395),V395*INDEX(LenF,MATCH($V$7,LenU,0)),0))</f>
        <v>0</v>
      </c>
      <c r="AS395" s="9" t="str">
        <f aca="false">IF(ISNUMBER(L395),L395*INDEX(LenF,MATCH($L$7,LenU,0))*1000,IF(OR(J395="",K395=""),"",IFERROR(IF(INDEX(PipeWT,MATCH(J395,NPSU,0),MATCH(K395,SchU,0))="","Sch n/a",INDEX(PipeOD,MATCH(J395,NPSU,0))-2*INDEX(PipeWT,MATCH(J395,NPSU,0),MATCH(K395,SchU,0))),"")))</f>
        <v/>
      </c>
      <c r="AT395" s="9" t="n">
        <f aca="false">IF(ISNUMBER(AI395),AI395,IFERROR(INDEX(IF(JobType="Decontamination",TypeFillDC,TypeFillCC),MATCH(E395,TypeL,0)),1))</f>
        <v>1</v>
      </c>
      <c r="AU395" s="9" t="n">
        <v>12</v>
      </c>
    </row>
    <row r="396" customFormat="false" ht="15" hidden="false" customHeight="false" outlineLevel="0" collapsed="false">
      <c r="A396" s="16" t="n">
        <v>24</v>
      </c>
      <c r="B396" s="20"/>
      <c r="C396" s="5"/>
      <c r="D396" s="5"/>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1" t="str">
        <f aca="false">IF(E396="Exchanger",IF(AND(ISNUMBER(S396),ISNUMBER(U396),ISNUMBER(V396)),S396*PI()/4*(U396*INDEX(LenF,MATCH($U$7,LenU,0)))^2*V396*INDEX(LenF,MATCH($V$7,LenU,0)),0)+IF(ISNUMBER(Y396),PI()/4*(Y396*INDEX(LenF,MATCH($Y$7,LenU,0)))^2*N(Z396)*INDEX(LenF,MATCH($Z$7,LenU,0))+IF(AA396="",0,IF(AA396="Conical",PI()/12*(Y396*INDEX(LenF,MATCH($Y$7,LenU,0)))^2*(0),INDEX(HeadK,MATCH(AA396,HeadU,0))*(Y396*INDEX(LenF,MATCH($Y$7,LenU,0)))^3)),0)+IF(ISNUMBER(Y396),PI()/4*(Y396*INDEX(LenF,MATCH($Y$7,LenU,0)))^2*N(AB396)*INDEX(LenF,MATCH($AB$7,LenU,0))+IF(AC396="",0,IF(AC396="Conical",PI()/12*(Y396*INDEX(LenF,MATCH($Y$7,LenU,0)))^2*(0),INDEX(HeadK,MATCH(AC396,HeadU,0))*(Y396*INDEX(LenF,MATCH($Y$7,LenU,0)))^3)),0),"")</f>
        <v/>
      </c>
      <c r="AE396" s="21" t="str">
        <f aca="false">IF(OR(E396="",E396="Piping"),"",IF(E396="Exchanger",AQ396*AR396+IF(P396="",0,IF(P396="Conical",PI()/12*(SQRT(4*AQ396/PI()))^2*(0),INDEX(HeadK,MATCH(P396,HeadU,0))*(SQRT(4*AQ396/PI()))^3))-IF(AND(ISNUMBER(S396),ISNUMBER(V396)),S396*PI()/4*AP396^2*V396*INDEX(LenF,MATCH($V$7,LenU,0)),0),IF(ISNUMBER(N396),PI()/4*(N396*INDEX(LenF,MATCH($N$7,LenU,0)))^2*N(O396)*INDEX(LenF,MATCH($O$7,LenU,0))+IF(P396="",0,IF(P396="Conical",PI()/12*(N396*INDEX(LenF,MATCH($N$7,LenU,0)))^2*(N(R396)*INDEX(LenF,MATCH($R$7,LenU,0))),INDEX(HeadK,MATCH(P396,HeadU,0))*(N396*INDEX(LenF,MATCH($N$7,LenU,0)))^3))+IF(Q396="",0,IF(Q396="Conical",PI()/12*(N396*INDEX(LenF,MATCH($N$7,LenU,0)))^2*(N(R396)*INDEX(LenF,MATCH($R$7,LenU,0))),INDEX(HeadK,MATCH(Q396,HeadU,0))*(N396*INDEX(LenF,MATCH($N$7,LenU,0)))^3)),0)))</f>
        <v/>
      </c>
      <c r="AF396" s="21" t="str">
        <f aca="false">IF(E396&lt;&gt;"Piping","",IF(AND(ISNUMBER(AS396),ISNUMBER(M396)),PI()/4*(AS396/1000)^2*M396*INDEX(LenF,MATCH($M$7,LenU,0)),0))</f>
        <v/>
      </c>
      <c r="AG396" s="21" t="str">
        <f aca="false">IF(E396="","",N(AD396)+N(AE396)+N(AF396))</f>
        <v/>
      </c>
      <c r="AH396" s="21" t="str">
        <f aca="false">IF(ISNUMBER(I396),I396*INDEX(WtF,MATCH($I$7,WtU,0))/WaterRho,"")</f>
        <v/>
      </c>
      <c r="AI396" s="11"/>
      <c r="AJ396" s="11"/>
      <c r="AK396" s="20"/>
      <c r="AL396" s="11"/>
      <c r="AM396" s="21" t="str">
        <f aca="false">IF(AO396="","",AO396*IF(ISNUMBER(AK396),AK396,DefFills)*(1+IF(ISNUMBER(AL396),AL396,DefAllow)))</f>
        <v/>
      </c>
      <c r="AN396" s="22" t="str">
        <f aca="false">IF(G396="Given volume",IF(ISNUMBER(H396),H396*INDEX(VolF,MATCH($H$7,VolU,0)),""),IF(G396="Water weight",AH396,IF(N(AG396)=0,"",AG396)))</f>
        <v/>
      </c>
      <c r="AO396" s="22" t="str">
        <f aca="false">IF(N(AN396)=0,"",AN396*AT396*IF(ISNUMBER(AJ396),AJ396,DefCirc))</f>
        <v/>
      </c>
      <c r="AP396" s="9" t="n">
        <f aca="false">IF(ISNUMBER(T396),T396*INDEX(LenF,MATCH($T$7,LenU,0)),IF(ISNUMBER(W396),W396*INDEX(LenF,MATCH($W$7,LenU,0))/PitchRatio,0))</f>
        <v>0</v>
      </c>
      <c r="AQ396" s="9" t="n">
        <f aca="false">IF(ISNUMBER(N396),PI()/4*(N396*INDEX(LenF,MATCH($N$7,LenU,0)))^2,IF(AND(ISNUMBER(S396),ISNUMBER(W396),X396&lt;&gt;""),S396*(W396*INDEX(LenF,MATCH($W$7,LenU,0)))^2*INDEX(LayoutF,MATCH(X396,LayoutU,0)),0))</f>
        <v>0</v>
      </c>
      <c r="AR396" s="9" t="n">
        <f aca="false">IF(ISNUMBER(O396),O396*INDEX(LenF,MATCH($O$7,LenU,0)),IF(ISNUMBER(V396),V396*INDEX(LenF,MATCH($V$7,LenU,0)),0))</f>
        <v>0</v>
      </c>
      <c r="AS396" s="9" t="str">
        <f aca="false">IF(ISNUMBER(L396),L396*INDEX(LenF,MATCH($L$7,LenU,0))*1000,IF(OR(J396="",K396=""),"",IFERROR(IF(INDEX(PipeWT,MATCH(J396,NPSU,0),MATCH(K396,SchU,0))="","Sch n/a",INDEX(PipeOD,MATCH(J396,NPSU,0))-2*INDEX(PipeWT,MATCH(J396,NPSU,0),MATCH(K396,SchU,0))),"")))</f>
        <v/>
      </c>
      <c r="AT396" s="9" t="n">
        <f aca="false">IF(ISNUMBER(AI396),AI396,IFERROR(INDEX(IF(JobType="Decontamination",TypeFillDC,TypeFillCC),MATCH(E396,TypeL,0)),1))</f>
        <v>1</v>
      </c>
      <c r="AU396" s="9" t="n">
        <v>12</v>
      </c>
    </row>
    <row r="397" customFormat="false" ht="15" hidden="false" customHeight="false" outlineLevel="0" collapsed="false">
      <c r="A397" s="16" t="n">
        <v>25</v>
      </c>
      <c r="B397" s="20"/>
      <c r="C397" s="5"/>
      <c r="D397" s="5"/>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1" t="str">
        <f aca="false">IF(E397="Exchanger",IF(AND(ISNUMBER(S397),ISNUMBER(U397),ISNUMBER(V397)),S397*PI()/4*(U397*INDEX(LenF,MATCH($U$7,LenU,0)))^2*V397*INDEX(LenF,MATCH($V$7,LenU,0)),0)+IF(ISNUMBER(Y397),PI()/4*(Y397*INDEX(LenF,MATCH($Y$7,LenU,0)))^2*N(Z397)*INDEX(LenF,MATCH($Z$7,LenU,0))+IF(AA397="",0,IF(AA397="Conical",PI()/12*(Y397*INDEX(LenF,MATCH($Y$7,LenU,0)))^2*(0),INDEX(HeadK,MATCH(AA397,HeadU,0))*(Y397*INDEX(LenF,MATCH($Y$7,LenU,0)))^3)),0)+IF(ISNUMBER(Y397),PI()/4*(Y397*INDEX(LenF,MATCH($Y$7,LenU,0)))^2*N(AB397)*INDEX(LenF,MATCH($AB$7,LenU,0))+IF(AC397="",0,IF(AC397="Conical",PI()/12*(Y397*INDEX(LenF,MATCH($Y$7,LenU,0)))^2*(0),INDEX(HeadK,MATCH(AC397,HeadU,0))*(Y397*INDEX(LenF,MATCH($Y$7,LenU,0)))^3)),0),"")</f>
        <v/>
      </c>
      <c r="AE397" s="21" t="str">
        <f aca="false">IF(OR(E397="",E397="Piping"),"",IF(E397="Exchanger",AQ397*AR397+IF(P397="",0,IF(P397="Conical",PI()/12*(SQRT(4*AQ397/PI()))^2*(0),INDEX(HeadK,MATCH(P397,HeadU,0))*(SQRT(4*AQ397/PI()))^3))-IF(AND(ISNUMBER(S397),ISNUMBER(V397)),S397*PI()/4*AP397^2*V397*INDEX(LenF,MATCH($V$7,LenU,0)),0),IF(ISNUMBER(N397),PI()/4*(N397*INDEX(LenF,MATCH($N$7,LenU,0)))^2*N(O397)*INDEX(LenF,MATCH($O$7,LenU,0))+IF(P397="",0,IF(P397="Conical",PI()/12*(N397*INDEX(LenF,MATCH($N$7,LenU,0)))^2*(N(R397)*INDEX(LenF,MATCH($R$7,LenU,0))),INDEX(HeadK,MATCH(P397,HeadU,0))*(N397*INDEX(LenF,MATCH($N$7,LenU,0)))^3))+IF(Q397="",0,IF(Q397="Conical",PI()/12*(N397*INDEX(LenF,MATCH($N$7,LenU,0)))^2*(N(R397)*INDEX(LenF,MATCH($R$7,LenU,0))),INDEX(HeadK,MATCH(Q397,HeadU,0))*(N397*INDEX(LenF,MATCH($N$7,LenU,0)))^3)),0)))</f>
        <v/>
      </c>
      <c r="AF397" s="21" t="str">
        <f aca="false">IF(E397&lt;&gt;"Piping","",IF(AND(ISNUMBER(AS397),ISNUMBER(M397)),PI()/4*(AS397/1000)^2*M397*INDEX(LenF,MATCH($M$7,LenU,0)),0))</f>
        <v/>
      </c>
      <c r="AG397" s="21" t="str">
        <f aca="false">IF(E397="","",N(AD397)+N(AE397)+N(AF397))</f>
        <v/>
      </c>
      <c r="AH397" s="21" t="str">
        <f aca="false">IF(ISNUMBER(I397),I397*INDEX(WtF,MATCH($I$7,WtU,0))/WaterRho,"")</f>
        <v/>
      </c>
      <c r="AI397" s="11"/>
      <c r="AJ397" s="11"/>
      <c r="AK397" s="20"/>
      <c r="AL397" s="11"/>
      <c r="AM397" s="21" t="str">
        <f aca="false">IF(AO397="","",AO397*IF(ISNUMBER(AK397),AK397,DefFills)*(1+IF(ISNUMBER(AL397),AL397,DefAllow)))</f>
        <v/>
      </c>
      <c r="AN397" s="22" t="str">
        <f aca="false">IF(G397="Given volume",IF(ISNUMBER(H397),H397*INDEX(VolF,MATCH($H$7,VolU,0)),""),IF(G397="Water weight",AH397,IF(N(AG397)=0,"",AG397)))</f>
        <v/>
      </c>
      <c r="AO397" s="22" t="str">
        <f aca="false">IF(N(AN397)=0,"",AN397*AT397*IF(ISNUMBER(AJ397),AJ397,DefCirc))</f>
        <v/>
      </c>
      <c r="AP397" s="9" t="n">
        <f aca="false">IF(ISNUMBER(T397),T397*INDEX(LenF,MATCH($T$7,LenU,0)),IF(ISNUMBER(W397),W397*INDEX(LenF,MATCH($W$7,LenU,0))/PitchRatio,0))</f>
        <v>0</v>
      </c>
      <c r="AQ397" s="9" t="n">
        <f aca="false">IF(ISNUMBER(N397),PI()/4*(N397*INDEX(LenF,MATCH($N$7,LenU,0)))^2,IF(AND(ISNUMBER(S397),ISNUMBER(W397),X397&lt;&gt;""),S397*(W397*INDEX(LenF,MATCH($W$7,LenU,0)))^2*INDEX(LayoutF,MATCH(X397,LayoutU,0)),0))</f>
        <v>0</v>
      </c>
      <c r="AR397" s="9" t="n">
        <f aca="false">IF(ISNUMBER(O397),O397*INDEX(LenF,MATCH($O$7,LenU,0)),IF(ISNUMBER(V397),V397*INDEX(LenF,MATCH($V$7,LenU,0)),0))</f>
        <v>0</v>
      </c>
      <c r="AS397" s="9" t="str">
        <f aca="false">IF(ISNUMBER(L397),L397*INDEX(LenF,MATCH($L$7,LenU,0))*1000,IF(OR(J397="",K397=""),"",IFERROR(IF(INDEX(PipeWT,MATCH(J397,NPSU,0),MATCH(K397,SchU,0))="","Sch n/a",INDEX(PipeOD,MATCH(J397,NPSU,0))-2*INDEX(PipeWT,MATCH(J397,NPSU,0),MATCH(K397,SchU,0))),"")))</f>
        <v/>
      </c>
      <c r="AT397" s="9" t="n">
        <f aca="false">IF(ISNUMBER(AI397),AI397,IFERROR(INDEX(IF(JobType="Decontamination",TypeFillDC,TypeFillCC),MATCH(E397,TypeL,0)),1))</f>
        <v>1</v>
      </c>
      <c r="AU397" s="9" t="n">
        <v>12</v>
      </c>
    </row>
    <row r="398" customFormat="false" ht="15" hidden="false" customHeight="false" outlineLevel="0" collapsed="false">
      <c r="A398" s="16" t="n">
        <v>26</v>
      </c>
      <c r="B398" s="20"/>
      <c r="C398" s="5"/>
      <c r="D398" s="5"/>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1" t="str">
        <f aca="false">IF(E398="Exchanger",IF(AND(ISNUMBER(S398),ISNUMBER(U398),ISNUMBER(V398)),S398*PI()/4*(U398*INDEX(LenF,MATCH($U$7,LenU,0)))^2*V398*INDEX(LenF,MATCH($V$7,LenU,0)),0)+IF(ISNUMBER(Y398),PI()/4*(Y398*INDEX(LenF,MATCH($Y$7,LenU,0)))^2*N(Z398)*INDEX(LenF,MATCH($Z$7,LenU,0))+IF(AA398="",0,IF(AA398="Conical",PI()/12*(Y398*INDEX(LenF,MATCH($Y$7,LenU,0)))^2*(0),INDEX(HeadK,MATCH(AA398,HeadU,0))*(Y398*INDEX(LenF,MATCH($Y$7,LenU,0)))^3)),0)+IF(ISNUMBER(Y398),PI()/4*(Y398*INDEX(LenF,MATCH($Y$7,LenU,0)))^2*N(AB398)*INDEX(LenF,MATCH($AB$7,LenU,0))+IF(AC398="",0,IF(AC398="Conical",PI()/12*(Y398*INDEX(LenF,MATCH($Y$7,LenU,0)))^2*(0),INDEX(HeadK,MATCH(AC398,HeadU,0))*(Y398*INDEX(LenF,MATCH($Y$7,LenU,0)))^3)),0),"")</f>
        <v/>
      </c>
      <c r="AE398" s="21" t="str">
        <f aca="false">IF(OR(E398="",E398="Piping"),"",IF(E398="Exchanger",AQ398*AR398+IF(P398="",0,IF(P398="Conical",PI()/12*(SQRT(4*AQ398/PI()))^2*(0),INDEX(HeadK,MATCH(P398,HeadU,0))*(SQRT(4*AQ398/PI()))^3))-IF(AND(ISNUMBER(S398),ISNUMBER(V398)),S398*PI()/4*AP398^2*V398*INDEX(LenF,MATCH($V$7,LenU,0)),0),IF(ISNUMBER(N398),PI()/4*(N398*INDEX(LenF,MATCH($N$7,LenU,0)))^2*N(O398)*INDEX(LenF,MATCH($O$7,LenU,0))+IF(P398="",0,IF(P398="Conical",PI()/12*(N398*INDEX(LenF,MATCH($N$7,LenU,0)))^2*(N(R398)*INDEX(LenF,MATCH($R$7,LenU,0))),INDEX(HeadK,MATCH(P398,HeadU,0))*(N398*INDEX(LenF,MATCH($N$7,LenU,0)))^3))+IF(Q398="",0,IF(Q398="Conical",PI()/12*(N398*INDEX(LenF,MATCH($N$7,LenU,0)))^2*(N(R398)*INDEX(LenF,MATCH($R$7,LenU,0))),INDEX(HeadK,MATCH(Q398,HeadU,0))*(N398*INDEX(LenF,MATCH($N$7,LenU,0)))^3)),0)))</f>
        <v/>
      </c>
      <c r="AF398" s="21" t="str">
        <f aca="false">IF(E398&lt;&gt;"Piping","",IF(AND(ISNUMBER(AS398),ISNUMBER(M398)),PI()/4*(AS398/1000)^2*M398*INDEX(LenF,MATCH($M$7,LenU,0)),0))</f>
        <v/>
      </c>
      <c r="AG398" s="21" t="str">
        <f aca="false">IF(E398="","",N(AD398)+N(AE398)+N(AF398))</f>
        <v/>
      </c>
      <c r="AH398" s="21" t="str">
        <f aca="false">IF(ISNUMBER(I398),I398*INDEX(WtF,MATCH($I$7,WtU,0))/WaterRho,"")</f>
        <v/>
      </c>
      <c r="AI398" s="11"/>
      <c r="AJ398" s="11"/>
      <c r="AK398" s="20"/>
      <c r="AL398" s="11"/>
      <c r="AM398" s="21" t="str">
        <f aca="false">IF(AO398="","",AO398*IF(ISNUMBER(AK398),AK398,DefFills)*(1+IF(ISNUMBER(AL398),AL398,DefAllow)))</f>
        <v/>
      </c>
      <c r="AN398" s="22" t="str">
        <f aca="false">IF(G398="Given volume",IF(ISNUMBER(H398),H398*INDEX(VolF,MATCH($H$7,VolU,0)),""),IF(G398="Water weight",AH398,IF(N(AG398)=0,"",AG398)))</f>
        <v/>
      </c>
      <c r="AO398" s="22" t="str">
        <f aca="false">IF(N(AN398)=0,"",AN398*AT398*IF(ISNUMBER(AJ398),AJ398,DefCirc))</f>
        <v/>
      </c>
      <c r="AP398" s="9" t="n">
        <f aca="false">IF(ISNUMBER(T398),T398*INDEX(LenF,MATCH($T$7,LenU,0)),IF(ISNUMBER(W398),W398*INDEX(LenF,MATCH($W$7,LenU,0))/PitchRatio,0))</f>
        <v>0</v>
      </c>
      <c r="AQ398" s="9" t="n">
        <f aca="false">IF(ISNUMBER(N398),PI()/4*(N398*INDEX(LenF,MATCH($N$7,LenU,0)))^2,IF(AND(ISNUMBER(S398),ISNUMBER(W398),X398&lt;&gt;""),S398*(W398*INDEX(LenF,MATCH($W$7,LenU,0)))^2*INDEX(LayoutF,MATCH(X398,LayoutU,0)),0))</f>
        <v>0</v>
      </c>
      <c r="AR398" s="9" t="n">
        <f aca="false">IF(ISNUMBER(O398),O398*INDEX(LenF,MATCH($O$7,LenU,0)),IF(ISNUMBER(V398),V398*INDEX(LenF,MATCH($V$7,LenU,0)),0))</f>
        <v>0</v>
      </c>
      <c r="AS398" s="9" t="str">
        <f aca="false">IF(ISNUMBER(L398),L398*INDEX(LenF,MATCH($L$7,LenU,0))*1000,IF(OR(J398="",K398=""),"",IFERROR(IF(INDEX(PipeWT,MATCH(J398,NPSU,0),MATCH(K398,SchU,0))="","Sch n/a",INDEX(PipeOD,MATCH(J398,NPSU,0))-2*INDEX(PipeWT,MATCH(J398,NPSU,0),MATCH(K398,SchU,0))),"")))</f>
        <v/>
      </c>
      <c r="AT398" s="9" t="n">
        <f aca="false">IF(ISNUMBER(AI398),AI398,IFERROR(INDEX(IF(JobType="Decontamination",TypeFillDC,TypeFillCC),MATCH(E398,TypeL,0)),1))</f>
        <v>1</v>
      </c>
      <c r="AU398" s="9" t="n">
        <v>12</v>
      </c>
    </row>
    <row r="399" customFormat="false" ht="15" hidden="false" customHeight="false" outlineLevel="0" collapsed="false">
      <c r="A399" s="16" t="n">
        <v>27</v>
      </c>
      <c r="B399" s="20"/>
      <c r="C399" s="5"/>
      <c r="D399" s="5"/>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1" t="str">
        <f aca="false">IF(E399="Exchanger",IF(AND(ISNUMBER(S399),ISNUMBER(U399),ISNUMBER(V399)),S399*PI()/4*(U399*INDEX(LenF,MATCH($U$7,LenU,0)))^2*V399*INDEX(LenF,MATCH($V$7,LenU,0)),0)+IF(ISNUMBER(Y399),PI()/4*(Y399*INDEX(LenF,MATCH($Y$7,LenU,0)))^2*N(Z399)*INDEX(LenF,MATCH($Z$7,LenU,0))+IF(AA399="",0,IF(AA399="Conical",PI()/12*(Y399*INDEX(LenF,MATCH($Y$7,LenU,0)))^2*(0),INDEX(HeadK,MATCH(AA399,HeadU,0))*(Y399*INDEX(LenF,MATCH($Y$7,LenU,0)))^3)),0)+IF(ISNUMBER(Y399),PI()/4*(Y399*INDEX(LenF,MATCH($Y$7,LenU,0)))^2*N(AB399)*INDEX(LenF,MATCH($AB$7,LenU,0))+IF(AC399="",0,IF(AC399="Conical",PI()/12*(Y399*INDEX(LenF,MATCH($Y$7,LenU,0)))^2*(0),INDEX(HeadK,MATCH(AC399,HeadU,0))*(Y399*INDEX(LenF,MATCH($Y$7,LenU,0)))^3)),0),"")</f>
        <v/>
      </c>
      <c r="AE399" s="21" t="str">
        <f aca="false">IF(OR(E399="",E399="Piping"),"",IF(E399="Exchanger",AQ399*AR399+IF(P399="",0,IF(P399="Conical",PI()/12*(SQRT(4*AQ399/PI()))^2*(0),INDEX(HeadK,MATCH(P399,HeadU,0))*(SQRT(4*AQ399/PI()))^3))-IF(AND(ISNUMBER(S399),ISNUMBER(V399)),S399*PI()/4*AP399^2*V399*INDEX(LenF,MATCH($V$7,LenU,0)),0),IF(ISNUMBER(N399),PI()/4*(N399*INDEX(LenF,MATCH($N$7,LenU,0)))^2*N(O399)*INDEX(LenF,MATCH($O$7,LenU,0))+IF(P399="",0,IF(P399="Conical",PI()/12*(N399*INDEX(LenF,MATCH($N$7,LenU,0)))^2*(N(R399)*INDEX(LenF,MATCH($R$7,LenU,0))),INDEX(HeadK,MATCH(P399,HeadU,0))*(N399*INDEX(LenF,MATCH($N$7,LenU,0)))^3))+IF(Q399="",0,IF(Q399="Conical",PI()/12*(N399*INDEX(LenF,MATCH($N$7,LenU,0)))^2*(N(R399)*INDEX(LenF,MATCH($R$7,LenU,0))),INDEX(HeadK,MATCH(Q399,HeadU,0))*(N399*INDEX(LenF,MATCH($N$7,LenU,0)))^3)),0)))</f>
        <v/>
      </c>
      <c r="AF399" s="21" t="str">
        <f aca="false">IF(E399&lt;&gt;"Piping","",IF(AND(ISNUMBER(AS399),ISNUMBER(M399)),PI()/4*(AS399/1000)^2*M399*INDEX(LenF,MATCH($M$7,LenU,0)),0))</f>
        <v/>
      </c>
      <c r="AG399" s="21" t="str">
        <f aca="false">IF(E399="","",N(AD399)+N(AE399)+N(AF399))</f>
        <v/>
      </c>
      <c r="AH399" s="21" t="str">
        <f aca="false">IF(ISNUMBER(I399),I399*INDEX(WtF,MATCH($I$7,WtU,0))/WaterRho,"")</f>
        <v/>
      </c>
      <c r="AI399" s="11"/>
      <c r="AJ399" s="11"/>
      <c r="AK399" s="20"/>
      <c r="AL399" s="11"/>
      <c r="AM399" s="21" t="str">
        <f aca="false">IF(AO399="","",AO399*IF(ISNUMBER(AK399),AK399,DefFills)*(1+IF(ISNUMBER(AL399),AL399,DefAllow)))</f>
        <v/>
      </c>
      <c r="AN399" s="22" t="str">
        <f aca="false">IF(G399="Given volume",IF(ISNUMBER(H399),H399*INDEX(VolF,MATCH($H$7,VolU,0)),""),IF(G399="Water weight",AH399,IF(N(AG399)=0,"",AG399)))</f>
        <v/>
      </c>
      <c r="AO399" s="22" t="str">
        <f aca="false">IF(N(AN399)=0,"",AN399*AT399*IF(ISNUMBER(AJ399),AJ399,DefCirc))</f>
        <v/>
      </c>
      <c r="AP399" s="9" t="n">
        <f aca="false">IF(ISNUMBER(T399),T399*INDEX(LenF,MATCH($T$7,LenU,0)),IF(ISNUMBER(W399),W399*INDEX(LenF,MATCH($W$7,LenU,0))/PitchRatio,0))</f>
        <v>0</v>
      </c>
      <c r="AQ399" s="9" t="n">
        <f aca="false">IF(ISNUMBER(N399),PI()/4*(N399*INDEX(LenF,MATCH($N$7,LenU,0)))^2,IF(AND(ISNUMBER(S399),ISNUMBER(W399),X399&lt;&gt;""),S399*(W399*INDEX(LenF,MATCH($W$7,LenU,0)))^2*INDEX(LayoutF,MATCH(X399,LayoutU,0)),0))</f>
        <v>0</v>
      </c>
      <c r="AR399" s="9" t="n">
        <f aca="false">IF(ISNUMBER(O399),O399*INDEX(LenF,MATCH($O$7,LenU,0)),IF(ISNUMBER(V399),V399*INDEX(LenF,MATCH($V$7,LenU,0)),0))</f>
        <v>0</v>
      </c>
      <c r="AS399" s="9" t="str">
        <f aca="false">IF(ISNUMBER(L399),L399*INDEX(LenF,MATCH($L$7,LenU,0))*1000,IF(OR(J399="",K399=""),"",IFERROR(IF(INDEX(PipeWT,MATCH(J399,NPSU,0),MATCH(K399,SchU,0))="","Sch n/a",INDEX(PipeOD,MATCH(J399,NPSU,0))-2*INDEX(PipeWT,MATCH(J399,NPSU,0),MATCH(K399,SchU,0))),"")))</f>
        <v/>
      </c>
      <c r="AT399" s="9" t="n">
        <f aca="false">IF(ISNUMBER(AI399),AI399,IFERROR(INDEX(IF(JobType="Decontamination",TypeFillDC,TypeFillCC),MATCH(E399,TypeL,0)),1))</f>
        <v>1</v>
      </c>
      <c r="AU399" s="9" t="n">
        <v>12</v>
      </c>
    </row>
    <row r="400" customFormat="false" ht="15" hidden="false" customHeight="false" outlineLevel="0" collapsed="false">
      <c r="A400" s="16" t="n">
        <v>28</v>
      </c>
      <c r="B400" s="20"/>
      <c r="C400" s="5"/>
      <c r="D400" s="5"/>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1" t="str">
        <f aca="false">IF(E400="Exchanger",IF(AND(ISNUMBER(S400),ISNUMBER(U400),ISNUMBER(V400)),S400*PI()/4*(U400*INDEX(LenF,MATCH($U$7,LenU,0)))^2*V400*INDEX(LenF,MATCH($V$7,LenU,0)),0)+IF(ISNUMBER(Y400),PI()/4*(Y400*INDEX(LenF,MATCH($Y$7,LenU,0)))^2*N(Z400)*INDEX(LenF,MATCH($Z$7,LenU,0))+IF(AA400="",0,IF(AA400="Conical",PI()/12*(Y400*INDEX(LenF,MATCH($Y$7,LenU,0)))^2*(0),INDEX(HeadK,MATCH(AA400,HeadU,0))*(Y400*INDEX(LenF,MATCH($Y$7,LenU,0)))^3)),0)+IF(ISNUMBER(Y400),PI()/4*(Y400*INDEX(LenF,MATCH($Y$7,LenU,0)))^2*N(AB400)*INDEX(LenF,MATCH($AB$7,LenU,0))+IF(AC400="",0,IF(AC400="Conical",PI()/12*(Y400*INDEX(LenF,MATCH($Y$7,LenU,0)))^2*(0),INDEX(HeadK,MATCH(AC400,HeadU,0))*(Y400*INDEX(LenF,MATCH($Y$7,LenU,0)))^3)),0),"")</f>
        <v/>
      </c>
      <c r="AE400" s="21" t="str">
        <f aca="false">IF(OR(E400="",E400="Piping"),"",IF(E400="Exchanger",AQ400*AR400+IF(P400="",0,IF(P400="Conical",PI()/12*(SQRT(4*AQ400/PI()))^2*(0),INDEX(HeadK,MATCH(P400,HeadU,0))*(SQRT(4*AQ400/PI()))^3))-IF(AND(ISNUMBER(S400),ISNUMBER(V400)),S400*PI()/4*AP400^2*V400*INDEX(LenF,MATCH($V$7,LenU,0)),0),IF(ISNUMBER(N400),PI()/4*(N400*INDEX(LenF,MATCH($N$7,LenU,0)))^2*N(O400)*INDEX(LenF,MATCH($O$7,LenU,0))+IF(P400="",0,IF(P400="Conical",PI()/12*(N400*INDEX(LenF,MATCH($N$7,LenU,0)))^2*(N(R400)*INDEX(LenF,MATCH($R$7,LenU,0))),INDEX(HeadK,MATCH(P400,HeadU,0))*(N400*INDEX(LenF,MATCH($N$7,LenU,0)))^3))+IF(Q400="",0,IF(Q400="Conical",PI()/12*(N400*INDEX(LenF,MATCH($N$7,LenU,0)))^2*(N(R400)*INDEX(LenF,MATCH($R$7,LenU,0))),INDEX(HeadK,MATCH(Q400,HeadU,0))*(N400*INDEX(LenF,MATCH($N$7,LenU,0)))^3)),0)))</f>
        <v/>
      </c>
      <c r="AF400" s="21" t="str">
        <f aca="false">IF(E400&lt;&gt;"Piping","",IF(AND(ISNUMBER(AS400),ISNUMBER(M400)),PI()/4*(AS400/1000)^2*M400*INDEX(LenF,MATCH($M$7,LenU,0)),0))</f>
        <v/>
      </c>
      <c r="AG400" s="21" t="str">
        <f aca="false">IF(E400="","",N(AD400)+N(AE400)+N(AF400))</f>
        <v/>
      </c>
      <c r="AH400" s="21" t="str">
        <f aca="false">IF(ISNUMBER(I400),I400*INDEX(WtF,MATCH($I$7,WtU,0))/WaterRho,"")</f>
        <v/>
      </c>
      <c r="AI400" s="11"/>
      <c r="AJ400" s="11"/>
      <c r="AK400" s="20"/>
      <c r="AL400" s="11"/>
      <c r="AM400" s="21" t="str">
        <f aca="false">IF(AO400="","",AO400*IF(ISNUMBER(AK400),AK400,DefFills)*(1+IF(ISNUMBER(AL400),AL400,DefAllow)))</f>
        <v/>
      </c>
      <c r="AN400" s="22" t="str">
        <f aca="false">IF(G400="Given volume",IF(ISNUMBER(H400),H400*INDEX(VolF,MATCH($H$7,VolU,0)),""),IF(G400="Water weight",AH400,IF(N(AG400)=0,"",AG400)))</f>
        <v/>
      </c>
      <c r="AO400" s="22" t="str">
        <f aca="false">IF(N(AN400)=0,"",AN400*AT400*IF(ISNUMBER(AJ400),AJ400,DefCirc))</f>
        <v/>
      </c>
      <c r="AP400" s="9" t="n">
        <f aca="false">IF(ISNUMBER(T400),T400*INDEX(LenF,MATCH($T$7,LenU,0)),IF(ISNUMBER(W400),W400*INDEX(LenF,MATCH($W$7,LenU,0))/PitchRatio,0))</f>
        <v>0</v>
      </c>
      <c r="AQ400" s="9" t="n">
        <f aca="false">IF(ISNUMBER(N400),PI()/4*(N400*INDEX(LenF,MATCH($N$7,LenU,0)))^2,IF(AND(ISNUMBER(S400),ISNUMBER(W400),X400&lt;&gt;""),S400*(W400*INDEX(LenF,MATCH($W$7,LenU,0)))^2*INDEX(LayoutF,MATCH(X400,LayoutU,0)),0))</f>
        <v>0</v>
      </c>
      <c r="AR400" s="9" t="n">
        <f aca="false">IF(ISNUMBER(O400),O400*INDEX(LenF,MATCH($O$7,LenU,0)),IF(ISNUMBER(V400),V400*INDEX(LenF,MATCH($V$7,LenU,0)),0))</f>
        <v>0</v>
      </c>
      <c r="AS400" s="9" t="str">
        <f aca="false">IF(ISNUMBER(L400),L400*INDEX(LenF,MATCH($L$7,LenU,0))*1000,IF(OR(J400="",K400=""),"",IFERROR(IF(INDEX(PipeWT,MATCH(J400,NPSU,0),MATCH(K400,SchU,0))="","Sch n/a",INDEX(PipeOD,MATCH(J400,NPSU,0))-2*INDEX(PipeWT,MATCH(J400,NPSU,0),MATCH(K400,SchU,0))),"")))</f>
        <v/>
      </c>
      <c r="AT400" s="9" t="n">
        <f aca="false">IF(ISNUMBER(AI400),AI400,IFERROR(INDEX(IF(JobType="Decontamination",TypeFillDC,TypeFillCC),MATCH(E400,TypeL,0)),1))</f>
        <v>1</v>
      </c>
      <c r="AU400" s="9" t="n">
        <v>12</v>
      </c>
    </row>
    <row r="401" customFormat="false" ht="15" hidden="false" customHeight="false" outlineLevel="0" collapsed="false">
      <c r="A401" s="16" t="n">
        <v>29</v>
      </c>
      <c r="B401" s="20"/>
      <c r="C401" s="5"/>
      <c r="D401" s="5"/>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1" t="str">
        <f aca="false">IF(E401="Exchanger",IF(AND(ISNUMBER(S401),ISNUMBER(U401),ISNUMBER(V401)),S401*PI()/4*(U401*INDEX(LenF,MATCH($U$7,LenU,0)))^2*V401*INDEX(LenF,MATCH($V$7,LenU,0)),0)+IF(ISNUMBER(Y401),PI()/4*(Y401*INDEX(LenF,MATCH($Y$7,LenU,0)))^2*N(Z401)*INDEX(LenF,MATCH($Z$7,LenU,0))+IF(AA401="",0,IF(AA401="Conical",PI()/12*(Y401*INDEX(LenF,MATCH($Y$7,LenU,0)))^2*(0),INDEX(HeadK,MATCH(AA401,HeadU,0))*(Y401*INDEX(LenF,MATCH($Y$7,LenU,0)))^3)),0)+IF(ISNUMBER(Y401),PI()/4*(Y401*INDEX(LenF,MATCH($Y$7,LenU,0)))^2*N(AB401)*INDEX(LenF,MATCH($AB$7,LenU,0))+IF(AC401="",0,IF(AC401="Conical",PI()/12*(Y401*INDEX(LenF,MATCH($Y$7,LenU,0)))^2*(0),INDEX(HeadK,MATCH(AC401,HeadU,0))*(Y401*INDEX(LenF,MATCH($Y$7,LenU,0)))^3)),0),"")</f>
        <v/>
      </c>
      <c r="AE401" s="21" t="str">
        <f aca="false">IF(OR(E401="",E401="Piping"),"",IF(E401="Exchanger",AQ401*AR401+IF(P401="",0,IF(P401="Conical",PI()/12*(SQRT(4*AQ401/PI()))^2*(0),INDEX(HeadK,MATCH(P401,HeadU,0))*(SQRT(4*AQ401/PI()))^3))-IF(AND(ISNUMBER(S401),ISNUMBER(V401)),S401*PI()/4*AP401^2*V401*INDEX(LenF,MATCH($V$7,LenU,0)),0),IF(ISNUMBER(N401),PI()/4*(N401*INDEX(LenF,MATCH($N$7,LenU,0)))^2*N(O401)*INDEX(LenF,MATCH($O$7,LenU,0))+IF(P401="",0,IF(P401="Conical",PI()/12*(N401*INDEX(LenF,MATCH($N$7,LenU,0)))^2*(N(R401)*INDEX(LenF,MATCH($R$7,LenU,0))),INDEX(HeadK,MATCH(P401,HeadU,0))*(N401*INDEX(LenF,MATCH($N$7,LenU,0)))^3))+IF(Q401="",0,IF(Q401="Conical",PI()/12*(N401*INDEX(LenF,MATCH($N$7,LenU,0)))^2*(N(R401)*INDEX(LenF,MATCH($R$7,LenU,0))),INDEX(HeadK,MATCH(Q401,HeadU,0))*(N401*INDEX(LenF,MATCH($N$7,LenU,0)))^3)),0)))</f>
        <v/>
      </c>
      <c r="AF401" s="21" t="str">
        <f aca="false">IF(E401&lt;&gt;"Piping","",IF(AND(ISNUMBER(AS401),ISNUMBER(M401)),PI()/4*(AS401/1000)^2*M401*INDEX(LenF,MATCH($M$7,LenU,0)),0))</f>
        <v/>
      </c>
      <c r="AG401" s="21" t="str">
        <f aca="false">IF(E401="","",N(AD401)+N(AE401)+N(AF401))</f>
        <v/>
      </c>
      <c r="AH401" s="21" t="str">
        <f aca="false">IF(ISNUMBER(I401),I401*INDEX(WtF,MATCH($I$7,WtU,0))/WaterRho,"")</f>
        <v/>
      </c>
      <c r="AI401" s="11"/>
      <c r="AJ401" s="11"/>
      <c r="AK401" s="20"/>
      <c r="AL401" s="11"/>
      <c r="AM401" s="21" t="str">
        <f aca="false">IF(AO401="","",AO401*IF(ISNUMBER(AK401),AK401,DefFills)*(1+IF(ISNUMBER(AL401),AL401,DefAllow)))</f>
        <v/>
      </c>
      <c r="AN401" s="22" t="str">
        <f aca="false">IF(G401="Given volume",IF(ISNUMBER(H401),H401*INDEX(VolF,MATCH($H$7,VolU,0)),""),IF(G401="Water weight",AH401,IF(N(AG401)=0,"",AG401)))</f>
        <v/>
      </c>
      <c r="AO401" s="22" t="str">
        <f aca="false">IF(N(AN401)=0,"",AN401*AT401*IF(ISNUMBER(AJ401),AJ401,DefCirc))</f>
        <v/>
      </c>
      <c r="AP401" s="9" t="n">
        <f aca="false">IF(ISNUMBER(T401),T401*INDEX(LenF,MATCH($T$7,LenU,0)),IF(ISNUMBER(W401),W401*INDEX(LenF,MATCH($W$7,LenU,0))/PitchRatio,0))</f>
        <v>0</v>
      </c>
      <c r="AQ401" s="9" t="n">
        <f aca="false">IF(ISNUMBER(N401),PI()/4*(N401*INDEX(LenF,MATCH($N$7,LenU,0)))^2,IF(AND(ISNUMBER(S401),ISNUMBER(W401),X401&lt;&gt;""),S401*(W401*INDEX(LenF,MATCH($W$7,LenU,0)))^2*INDEX(LayoutF,MATCH(X401,LayoutU,0)),0))</f>
        <v>0</v>
      </c>
      <c r="AR401" s="9" t="n">
        <f aca="false">IF(ISNUMBER(O401),O401*INDEX(LenF,MATCH($O$7,LenU,0)),IF(ISNUMBER(V401),V401*INDEX(LenF,MATCH($V$7,LenU,0)),0))</f>
        <v>0</v>
      </c>
      <c r="AS401" s="9" t="str">
        <f aca="false">IF(ISNUMBER(L401),L401*INDEX(LenF,MATCH($L$7,LenU,0))*1000,IF(OR(J401="",K401=""),"",IFERROR(IF(INDEX(PipeWT,MATCH(J401,NPSU,0),MATCH(K401,SchU,0))="","Sch n/a",INDEX(PipeOD,MATCH(J401,NPSU,0))-2*INDEX(PipeWT,MATCH(J401,NPSU,0),MATCH(K401,SchU,0))),"")))</f>
        <v/>
      </c>
      <c r="AT401" s="9" t="n">
        <f aca="false">IF(ISNUMBER(AI401),AI401,IFERROR(INDEX(IF(JobType="Decontamination",TypeFillDC,TypeFillCC),MATCH(E401,TypeL,0)),1))</f>
        <v>1</v>
      </c>
      <c r="AU401" s="9" t="n">
        <v>12</v>
      </c>
    </row>
    <row r="402" customFormat="false" ht="15" hidden="false" customHeight="false" outlineLevel="0" collapsed="false">
      <c r="A402" s="16" t="n">
        <v>30</v>
      </c>
      <c r="B402" s="20"/>
      <c r="C402" s="5"/>
      <c r="D402" s="5"/>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1" t="str">
        <f aca="false">IF(E402="Exchanger",IF(AND(ISNUMBER(S402),ISNUMBER(U402),ISNUMBER(V402)),S402*PI()/4*(U402*INDEX(LenF,MATCH($U$7,LenU,0)))^2*V402*INDEX(LenF,MATCH($V$7,LenU,0)),0)+IF(ISNUMBER(Y402),PI()/4*(Y402*INDEX(LenF,MATCH($Y$7,LenU,0)))^2*N(Z402)*INDEX(LenF,MATCH($Z$7,LenU,0))+IF(AA402="",0,IF(AA402="Conical",PI()/12*(Y402*INDEX(LenF,MATCH($Y$7,LenU,0)))^2*(0),INDEX(HeadK,MATCH(AA402,HeadU,0))*(Y402*INDEX(LenF,MATCH($Y$7,LenU,0)))^3)),0)+IF(ISNUMBER(Y402),PI()/4*(Y402*INDEX(LenF,MATCH($Y$7,LenU,0)))^2*N(AB402)*INDEX(LenF,MATCH($AB$7,LenU,0))+IF(AC402="",0,IF(AC402="Conical",PI()/12*(Y402*INDEX(LenF,MATCH($Y$7,LenU,0)))^2*(0),INDEX(HeadK,MATCH(AC402,HeadU,0))*(Y402*INDEX(LenF,MATCH($Y$7,LenU,0)))^3)),0),"")</f>
        <v/>
      </c>
      <c r="AE402" s="21" t="str">
        <f aca="false">IF(OR(E402="",E402="Piping"),"",IF(E402="Exchanger",AQ402*AR402+IF(P402="",0,IF(P402="Conical",PI()/12*(SQRT(4*AQ402/PI()))^2*(0),INDEX(HeadK,MATCH(P402,HeadU,0))*(SQRT(4*AQ402/PI()))^3))-IF(AND(ISNUMBER(S402),ISNUMBER(V402)),S402*PI()/4*AP402^2*V402*INDEX(LenF,MATCH($V$7,LenU,0)),0),IF(ISNUMBER(N402),PI()/4*(N402*INDEX(LenF,MATCH($N$7,LenU,0)))^2*N(O402)*INDEX(LenF,MATCH($O$7,LenU,0))+IF(P402="",0,IF(P402="Conical",PI()/12*(N402*INDEX(LenF,MATCH($N$7,LenU,0)))^2*(N(R402)*INDEX(LenF,MATCH($R$7,LenU,0))),INDEX(HeadK,MATCH(P402,HeadU,0))*(N402*INDEX(LenF,MATCH($N$7,LenU,0)))^3))+IF(Q402="",0,IF(Q402="Conical",PI()/12*(N402*INDEX(LenF,MATCH($N$7,LenU,0)))^2*(N(R402)*INDEX(LenF,MATCH($R$7,LenU,0))),INDEX(HeadK,MATCH(Q402,HeadU,0))*(N402*INDEX(LenF,MATCH($N$7,LenU,0)))^3)),0)))</f>
        <v/>
      </c>
      <c r="AF402" s="21" t="str">
        <f aca="false">IF(E402&lt;&gt;"Piping","",IF(AND(ISNUMBER(AS402),ISNUMBER(M402)),PI()/4*(AS402/1000)^2*M402*INDEX(LenF,MATCH($M$7,LenU,0)),0))</f>
        <v/>
      </c>
      <c r="AG402" s="21" t="str">
        <f aca="false">IF(E402="","",N(AD402)+N(AE402)+N(AF402))</f>
        <v/>
      </c>
      <c r="AH402" s="21" t="str">
        <f aca="false">IF(ISNUMBER(I402),I402*INDEX(WtF,MATCH($I$7,WtU,0))/WaterRho,"")</f>
        <v/>
      </c>
      <c r="AI402" s="11"/>
      <c r="AJ402" s="11"/>
      <c r="AK402" s="20"/>
      <c r="AL402" s="11"/>
      <c r="AM402" s="21" t="str">
        <f aca="false">IF(AO402="","",AO402*IF(ISNUMBER(AK402),AK402,DefFills)*(1+IF(ISNUMBER(AL402),AL402,DefAllow)))</f>
        <v/>
      </c>
      <c r="AN402" s="22" t="str">
        <f aca="false">IF(G402="Given volume",IF(ISNUMBER(H402),H402*INDEX(VolF,MATCH($H$7,VolU,0)),""),IF(G402="Water weight",AH402,IF(N(AG402)=0,"",AG402)))</f>
        <v/>
      </c>
      <c r="AO402" s="22" t="str">
        <f aca="false">IF(N(AN402)=0,"",AN402*AT402*IF(ISNUMBER(AJ402),AJ402,DefCirc))</f>
        <v/>
      </c>
      <c r="AP402" s="9" t="n">
        <f aca="false">IF(ISNUMBER(T402),T402*INDEX(LenF,MATCH($T$7,LenU,0)),IF(ISNUMBER(W402),W402*INDEX(LenF,MATCH($W$7,LenU,0))/PitchRatio,0))</f>
        <v>0</v>
      </c>
      <c r="AQ402" s="9" t="n">
        <f aca="false">IF(ISNUMBER(N402),PI()/4*(N402*INDEX(LenF,MATCH($N$7,LenU,0)))^2,IF(AND(ISNUMBER(S402),ISNUMBER(W402),X402&lt;&gt;""),S402*(W402*INDEX(LenF,MATCH($W$7,LenU,0)))^2*INDEX(LayoutF,MATCH(X402,LayoutU,0)),0))</f>
        <v>0</v>
      </c>
      <c r="AR402" s="9" t="n">
        <f aca="false">IF(ISNUMBER(O402),O402*INDEX(LenF,MATCH($O$7,LenU,0)),IF(ISNUMBER(V402),V402*INDEX(LenF,MATCH($V$7,LenU,0)),0))</f>
        <v>0</v>
      </c>
      <c r="AS402" s="9" t="str">
        <f aca="false">IF(ISNUMBER(L402),L402*INDEX(LenF,MATCH($L$7,LenU,0))*1000,IF(OR(J402="",K402=""),"",IFERROR(IF(INDEX(PipeWT,MATCH(J402,NPSU,0),MATCH(K402,SchU,0))="","Sch n/a",INDEX(PipeOD,MATCH(J402,NPSU,0))-2*INDEX(PipeWT,MATCH(J402,NPSU,0),MATCH(K402,SchU,0))),"")))</f>
        <v/>
      </c>
      <c r="AT402" s="9" t="n">
        <f aca="false">IF(ISNUMBER(AI402),AI402,IFERROR(INDEX(IF(JobType="Decontamination",TypeFillDC,TypeFillCC),MATCH(E402,TypeL,0)),1))</f>
        <v>1</v>
      </c>
      <c r="AU402" s="9" t="n">
        <v>12</v>
      </c>
    </row>
    <row r="403" customFormat="false" ht="15" hidden="false" customHeight="false" outlineLevel="0" collapsed="false">
      <c r="A403" s="24" t="str">
        <f aca="false">"TOTAL – "&amp;INDEX(UnitNames,12)</f>
        <v>TOTAL – Unit 12</v>
      </c>
      <c r="B403" s="24"/>
      <c r="C403" s="24"/>
      <c r="D403" s="24"/>
      <c r="E403" s="25"/>
      <c r="F403" s="25"/>
      <c r="G403" s="25"/>
      <c r="H403" s="25"/>
      <c r="I403" s="25"/>
      <c r="J403" s="25"/>
      <c r="K403" s="25"/>
      <c r="L403" s="25"/>
      <c r="M403" s="25"/>
      <c r="N403" s="25"/>
      <c r="O403" s="25"/>
      <c r="P403" s="25"/>
      <c r="Q403" s="25"/>
      <c r="R403" s="25"/>
      <c r="S403" s="26" t="str">
        <f aca="false">COUNT(AN373:AN402)&amp;" items"</f>
        <v>0 items</v>
      </c>
      <c r="T403" s="25"/>
      <c r="U403" s="25"/>
      <c r="V403" s="25"/>
      <c r="W403" s="25"/>
      <c r="X403" s="25"/>
      <c r="Y403" s="25"/>
      <c r="Z403" s="25"/>
      <c r="AA403" s="25"/>
      <c r="AB403" s="25"/>
      <c r="AC403" s="25"/>
      <c r="AD403" s="27" t="n">
        <f aca="false">SUM(AD373:AD402)</f>
        <v>0</v>
      </c>
      <c r="AE403" s="27" t="n">
        <f aca="false">SUM(AE373:AE402)</f>
        <v>0</v>
      </c>
      <c r="AF403" s="27" t="n">
        <f aca="false">SUM(AF373:AF402)</f>
        <v>0</v>
      </c>
      <c r="AG403" s="27" t="n">
        <f aca="false">SUM(AG373:AG402)</f>
        <v>0</v>
      </c>
      <c r="AH403" s="27" t="n">
        <f aca="false">SUM(AH373:AH402)</f>
        <v>0</v>
      </c>
      <c r="AI403" s="25"/>
      <c r="AJ403" s="25"/>
      <c r="AK403" s="25"/>
      <c r="AL403" s="25"/>
      <c r="AM403" s="27" t="n">
        <f aca="false">SUM(AM373:AM402)</f>
        <v>0</v>
      </c>
      <c r="AN403" s="27" t="n">
        <f aca="false">SUM(AN373:AN402)</f>
        <v>0</v>
      </c>
      <c r="AO403" s="27" t="n">
        <f aca="false">SUM(AO373:AO402)</f>
        <v>0</v>
      </c>
    </row>
    <row r="405" customFormat="false" ht="15" hidden="false" customHeight="false" outlineLevel="0" collapsed="false">
      <c r="A405" s="28" t="s">
        <v>190</v>
      </c>
      <c r="B405" s="28"/>
      <c r="C405" s="28"/>
      <c r="D405" s="28"/>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30" t="n">
        <f aca="false">AD40+AD73+AD106+AD139+AD172+AD205+AD238+AD271+AD304+AD337+AD370+AD403</f>
        <v>1.11324521704842</v>
      </c>
      <c r="AE405" s="30" t="n">
        <f aca="false">AE40+AE73+AE106+AE139+AE172+AE205+AE238+AE271+AE304+AE337+AE370+AE403</f>
        <v>23.0911299984655</v>
      </c>
      <c r="AF405" s="30" t="n">
        <f aca="false">AF40+AF73+AF106+AF139+AF172+AF205+AF238+AF271+AF304+AF337+AF370+AF403</f>
        <v>2.23750320965139</v>
      </c>
      <c r="AG405" s="30" t="n">
        <f aca="false">AG40+AG73+AG106+AG139+AG172+AG205+AG238+AG271+AG304+AG337+AG370+AG403</f>
        <v>26.4418784251653</v>
      </c>
      <c r="AH405" s="30" t="n">
        <f aca="false">AH40+AH73+AH106+AH139+AH172+AH205+AH238+AH271+AH304+AH337+AH370+AH403</f>
        <v>0</v>
      </c>
      <c r="AI405" s="29"/>
      <c r="AJ405" s="29"/>
      <c r="AK405" s="29"/>
      <c r="AL405" s="29"/>
      <c r="AM405" s="30" t="n">
        <f aca="false">AM40+AM73+AM106+AM139+AM172+AM205+AM238+AM271+AM304+AM337+AM370+AM403</f>
        <v>256.985612894041</v>
      </c>
      <c r="AN405" s="30" t="n">
        <f aca="false">AN40+AN73+AN106+AN139+AN172+AN205+AN238+AN271+AN304+AN337+AN370+AN403</f>
        <v>53.5568784251653</v>
      </c>
      <c r="AO405" s="30" t="n">
        <f aca="false">AO40+AO73+AO106+AO139+AO172+AO205+AO238+AO271+AO304+AO337+AO370+AO403</f>
        <v>41.1176980630466</v>
      </c>
    </row>
  </sheetData>
  <mergeCells count="33">
    <mergeCell ref="A5:I5"/>
    <mergeCell ref="J5:M5"/>
    <mergeCell ref="N5:R5"/>
    <mergeCell ref="S5:X5"/>
    <mergeCell ref="Y5:AC5"/>
    <mergeCell ref="AD5:AH5"/>
    <mergeCell ref="AI5:AL5"/>
    <mergeCell ref="AM5:AO5"/>
    <mergeCell ref="A9:D9"/>
    <mergeCell ref="A40:D40"/>
    <mergeCell ref="A42:D42"/>
    <mergeCell ref="A73:D73"/>
    <mergeCell ref="A75:D75"/>
    <mergeCell ref="A106:D106"/>
    <mergeCell ref="A108:D108"/>
    <mergeCell ref="A139:D139"/>
    <mergeCell ref="A141:D141"/>
    <mergeCell ref="A172:D172"/>
    <mergeCell ref="A174:D174"/>
    <mergeCell ref="A205:D205"/>
    <mergeCell ref="A207:D207"/>
    <mergeCell ref="A238:D238"/>
    <mergeCell ref="A240:D240"/>
    <mergeCell ref="A271:D271"/>
    <mergeCell ref="A273:D273"/>
    <mergeCell ref="A304:D304"/>
    <mergeCell ref="A306:D306"/>
    <mergeCell ref="A337:D337"/>
    <mergeCell ref="A339:D339"/>
    <mergeCell ref="A370:D370"/>
    <mergeCell ref="A372:D372"/>
    <mergeCell ref="A403:D403"/>
    <mergeCell ref="A405:D405"/>
  </mergeCells>
  <conditionalFormatting sqref="F9:F405">
    <cfRule type="expression" priority="2" aboveAverage="0" equalAverage="0" bottom="0" percent="0" rank="0" text="" dxfId="0">
      <formula>AND(N($AN9)&gt;0,$F9="",$AU9&lt;&gt;"")</formula>
    </cfRule>
  </conditionalFormatting>
  <conditionalFormatting sqref="AN9:AN405">
    <cfRule type="expression" priority="3" aboveAverage="0" equalAverage="0" bottom="0" percent="0" rank="0" text="" dxfId="0">
      <formula>AND($E9&lt;&gt;"",N($AN9)=0,$AU9&lt;&gt;"")</formula>
    </cfRule>
  </conditionalFormatting>
  <dataValidations count="12">
    <dataValidation allowBlank="true" error="Enter a positive number." errorStyle="stop" errorTitle="Number" operator="greaterThanOrEqual" showDropDown="false" showErrorMessage="true" showInputMessage="false" sqref="H10:I39 L10:O39 R10:W39 Y10:Z39 AB10:AB39 AI10:AL39 H43:I72 L43:O72 R43:W72 Y43:Z72 AB43:AB72 AI43:AL72 H76:I105 L76:O105 R76:W105 Y76:Z105 AB76:AB105 AI76:AL105 H109:I138 L109:O138 R109:W138 Y109:Z138 AB109:AB138 AI109:AL138 H142:I171 L142:O171 R142:W171 Y142:Z171 AB142:AB171 AI142:AL171 H175:I204 L175:O204 R175:W204 Y175:Z204 AB175:AB204 AI175:AL204 H208:I237 L208:O237 R208:W237 Y208:Z237 AB208:AB237 AI208:AL237 H241:I270 L241:O270 R241:W270 Y241:Z270 AB241:AB270 AI241:AL270 H274:I303 L274:O303 R274:W303 Y274:Z303 AB274:AB303 AI274:AL303 H307:I336 L307:O336 R307:W336 Y307:Z336 AB307:AB336 AI307:AL336 H340:I369 L340:O369 R340:W369 Y340:Z369 AB340:AB369 AI340:AL369 H373:I402 L373:O402 R373:W402 Y373:Z402 AB373:AB402 AI373:AL402" type="decimal">
      <formula1>0</formula1>
      <formula2>0</formula2>
    </dataValidation>
    <dataValidation allowBlank="true" error="Pick a value from the drop-down list." errorStyle="stop" errorTitle="Invalid entry" operator="between" showDropDown="false" showErrorMessage="true" showInputMessage="false" sqref="H7" type="list">
      <formula1>VolU</formula1>
      <formula2>0</formula2>
    </dataValidation>
    <dataValidation allowBlank="true" error="Pick a value from the drop-down list." errorStyle="stop" errorTitle="Invalid entry" operator="between" showDropDown="false" showErrorMessage="true" showInputMessage="false" sqref="I7" type="list">
      <formula1>WtU</formula1>
      <formula2>0</formula2>
    </dataValidation>
    <dataValidation allowBlank="true" error="Pick a value from the drop-down list." errorStyle="stop" errorTitle="Invalid entry" operator="between" showDropDown="false" showErrorMessage="true" showInputMessage="false" sqref="L7:O7 R7 T7:W7 Y7:Z7 AB7" type="list">
      <formula1>LenU</formula1>
      <formula2>0</formula2>
    </dataValidation>
    <dataValidation allowBlank="true" error="Pick a value from the drop-down list." errorStyle="stop" errorTitle="Invalid entry" operator="between" showDropDown="false" showErrorMessage="true" showInputMessage="false" sqref="B10:B39 B43:B72 B76:B105 B109:B138 B142:B171 B175:B204 B208:B237 B241:B270 B274:B303 B307:B336 B340:B369 B373:B402" type="list">
      <formula1>LoopU</formula1>
      <formula2>0</formula2>
    </dataValidation>
    <dataValidation allowBlank="true" error="Pick a value from the drop-down list." errorStyle="stop" errorTitle="Invalid entry" operator="between" showDropDown="false" showErrorMessage="true" showInputMessage="false" sqref="E10:E39 E43:E72 E76:E105 E109:E138 E142:E171 E175:E204 E208:E237 E241:E270 E274:E303 E307:E336 E340:E369 E373:E402" type="list">
      <formula1>TypeU</formula1>
      <formula2>0</formula2>
    </dataValidation>
    <dataValidation allowBlank="true" error="Pick a value from the drop-down list." errorStyle="stop" errorTitle="Invalid entry" operator="between" showDropDown="false" showErrorMessage="true" showInputMessage="false" sqref="F10:F39 F43:F72 F76:F105 F109:F138 F142:F171 F175:F204 F208:F237 F241:F270 F274:F303 F307:F336 F340:F369 F373:F402" type="list">
      <formula1>RegU</formula1>
      <formula2>0</formula2>
    </dataValidation>
    <dataValidation allowBlank="true" error="Pick a value from the drop-down list." errorStyle="stop" errorTitle="Invalid entry" operator="between" showDropDown="false" showErrorMessage="true" showInputMessage="false" sqref="G10:G39 G43:G72 G76:G105 G109:G138 G142:G171 G175:G204 G208:G237 G241:G270 G274:G303 G307:G336 G340:G369 G373:G402" type="list">
      <formula1>BasisU</formula1>
      <formula2>0</formula2>
    </dataValidation>
    <dataValidation allowBlank="true" error="Pick a value from the drop-down list." errorStyle="stop" errorTitle="Invalid entry" operator="between" showDropDown="false" showErrorMessage="true" showInputMessage="false" sqref="J10:J39 J43:J72 J76:J105 J109:J138 J142:J171 J175:J204 J208:J237 J241:J270 J274:J303 J307:J336 J340:J369 J373:J402" type="list">
      <formula1>NPSU</formula1>
      <formula2>0</formula2>
    </dataValidation>
    <dataValidation allowBlank="true" error="Pick a value from the drop-down list." errorStyle="stop" errorTitle="Invalid entry" operator="between" showDropDown="false" showErrorMessage="true" showInputMessage="false" sqref="K10:K39 K43:K72 K76:K105 K109:K138 K142:K171 K175:K204 K208:K237 K241:K270 K274:K303 K307:K336 K340:K369 K373:K402" type="list">
      <formula1>SchU</formula1>
      <formula2>0</formula2>
    </dataValidation>
    <dataValidation allowBlank="true" error="Pick a value from the drop-down list." errorStyle="stop" errorTitle="Invalid entry" operator="between" showDropDown="false" showErrorMessage="true" showInputMessage="false" sqref="P10:Q39 AA10:AA39 AC10:AC39 P43:Q72 AA43:AA72 AC43:AC72 P76:Q105 AA76:AA105 AC76:AC105 P109:Q138 AA109:AA138 AC109:AC138 P142:Q171 AA142:AA171 AC142:AC171 P175:Q204 AA175:AA204 AC175:AC204 P208:Q237 AA208:AA237 AC208:AC237 P241:Q270 AA241:AA270 AC241:AC270 P274:Q303 AA274:AA303 AC274:AC303 P307:Q336 AA307:AA336 AC307:AC336 P340:Q369 AA340:AA369 AC340:AC369 P373:Q402 AA373:AA402 AC373:AC402" type="list">
      <formula1>HeadU</formula1>
      <formula2>0</formula2>
    </dataValidation>
    <dataValidation allowBlank="true" error="Pick a value from the drop-down list." errorStyle="stop" errorTitle="Invalid entry" operator="between" showDropDown="false" showErrorMessage="true" showInputMessage="false" sqref="X10:X39 X43:X72 X76:X105 X109:X138 X142:X171 X175:X204 X208:X237 X241:X270 X274:X303 X307:X336 X340:X369 X373:X402" type="list">
      <formula1>LayoutU</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30"/>
    <col collapsed="false" customWidth="true" hidden="false" outlineLevel="0" max="4" min="4" style="0" width="10"/>
    <col collapsed="false" customWidth="true" hidden="false" outlineLevel="0" max="7" min="5" style="0" width="16"/>
  </cols>
  <sheetData>
    <row r="1" customFormat="false" ht="19.7" hidden="false" customHeight="false" outlineLevel="0" collapsed="false">
      <c r="B1" s="1" t="s">
        <v>191</v>
      </c>
    </row>
    <row r="3" customFormat="false" ht="15" hidden="false" customHeight="false" outlineLevel="0" collapsed="false">
      <c r="B3" s="12" t="s">
        <v>125</v>
      </c>
      <c r="C3" s="12" t="s">
        <v>192</v>
      </c>
      <c r="D3" s="12" t="s">
        <v>193</v>
      </c>
      <c r="E3" s="12" t="s">
        <v>194</v>
      </c>
      <c r="F3" s="12" t="s">
        <v>195</v>
      </c>
      <c r="G3" s="12" t="s">
        <v>196</v>
      </c>
    </row>
    <row r="4" customFormat="false" ht="15" hidden="false" customHeight="false" outlineLevel="0" collapsed="false">
      <c r="B4" s="31" t="n">
        <v>1</v>
      </c>
      <c r="C4" s="7" t="str">
        <f aca="false">INDEX(UnitNames,1)</f>
        <v>Unit 1</v>
      </c>
      <c r="D4" s="31" t="n">
        <f aca="false">COUNT('Volume Calculation'!AN10:AN39)</f>
        <v>4</v>
      </c>
      <c r="E4" s="21" t="n">
        <f aca="false">'Volume Calculation'!AN40</f>
        <v>53.5568784251653</v>
      </c>
      <c r="F4" s="21" t="n">
        <f aca="false">'Volume Calculation'!AO40</f>
        <v>41.1176980630466</v>
      </c>
      <c r="G4" s="21" t="n">
        <f aca="false">'Volume Calculation'!AM40</f>
        <v>256.985612894041</v>
      </c>
    </row>
    <row r="5" customFormat="false" ht="15" hidden="false" customHeight="false" outlineLevel="0" collapsed="false">
      <c r="B5" s="31" t="n">
        <v>2</v>
      </c>
      <c r="C5" s="7" t="str">
        <f aca="false">INDEX(UnitNames,2)</f>
        <v>Unit 2</v>
      </c>
      <c r="D5" s="31" t="n">
        <f aca="false">COUNT('Volume Calculation'!AN43:AN72)</f>
        <v>0</v>
      </c>
      <c r="E5" s="21" t="n">
        <f aca="false">'Volume Calculation'!AN73</f>
        <v>0</v>
      </c>
      <c r="F5" s="21" t="n">
        <f aca="false">'Volume Calculation'!AO73</f>
        <v>0</v>
      </c>
      <c r="G5" s="21" t="n">
        <f aca="false">'Volume Calculation'!AM73</f>
        <v>0</v>
      </c>
    </row>
    <row r="6" customFormat="false" ht="15" hidden="false" customHeight="false" outlineLevel="0" collapsed="false">
      <c r="B6" s="31" t="n">
        <v>3</v>
      </c>
      <c r="C6" s="7" t="str">
        <f aca="false">INDEX(UnitNames,3)</f>
        <v>Unit 3</v>
      </c>
      <c r="D6" s="31" t="n">
        <f aca="false">COUNT('Volume Calculation'!AN76:AN105)</f>
        <v>0</v>
      </c>
      <c r="E6" s="21" t="n">
        <f aca="false">'Volume Calculation'!AN106</f>
        <v>0</v>
      </c>
      <c r="F6" s="21" t="n">
        <f aca="false">'Volume Calculation'!AO106</f>
        <v>0</v>
      </c>
      <c r="G6" s="21" t="n">
        <f aca="false">'Volume Calculation'!AM106</f>
        <v>0</v>
      </c>
    </row>
    <row r="7" customFormat="false" ht="15" hidden="false" customHeight="false" outlineLevel="0" collapsed="false">
      <c r="B7" s="31" t="n">
        <v>4</v>
      </c>
      <c r="C7" s="7" t="str">
        <f aca="false">INDEX(UnitNames,4)</f>
        <v>Unit 4</v>
      </c>
      <c r="D7" s="31" t="n">
        <f aca="false">COUNT('Volume Calculation'!AN109:AN138)</f>
        <v>0</v>
      </c>
      <c r="E7" s="21" t="n">
        <f aca="false">'Volume Calculation'!AN139</f>
        <v>0</v>
      </c>
      <c r="F7" s="21" t="n">
        <f aca="false">'Volume Calculation'!AO139</f>
        <v>0</v>
      </c>
      <c r="G7" s="21" t="n">
        <f aca="false">'Volume Calculation'!AM139</f>
        <v>0</v>
      </c>
    </row>
    <row r="8" customFormat="false" ht="15" hidden="false" customHeight="false" outlineLevel="0" collapsed="false">
      <c r="B8" s="31" t="n">
        <v>5</v>
      </c>
      <c r="C8" s="7" t="str">
        <f aca="false">INDEX(UnitNames,5)</f>
        <v>Unit 5</v>
      </c>
      <c r="D8" s="31" t="n">
        <f aca="false">COUNT('Volume Calculation'!AN142:AN171)</f>
        <v>0</v>
      </c>
      <c r="E8" s="21" t="n">
        <f aca="false">'Volume Calculation'!AN172</f>
        <v>0</v>
      </c>
      <c r="F8" s="21" t="n">
        <f aca="false">'Volume Calculation'!AO172</f>
        <v>0</v>
      </c>
      <c r="G8" s="21" t="n">
        <f aca="false">'Volume Calculation'!AM172</f>
        <v>0</v>
      </c>
    </row>
    <row r="9" customFormat="false" ht="15" hidden="false" customHeight="false" outlineLevel="0" collapsed="false">
      <c r="B9" s="31" t="n">
        <v>6</v>
      </c>
      <c r="C9" s="7" t="str">
        <f aca="false">INDEX(UnitNames,6)</f>
        <v>Unit 6</v>
      </c>
      <c r="D9" s="31" t="n">
        <f aca="false">COUNT('Volume Calculation'!AN175:AN204)</f>
        <v>0</v>
      </c>
      <c r="E9" s="21" t="n">
        <f aca="false">'Volume Calculation'!AN205</f>
        <v>0</v>
      </c>
      <c r="F9" s="21" t="n">
        <f aca="false">'Volume Calculation'!AO205</f>
        <v>0</v>
      </c>
      <c r="G9" s="21" t="n">
        <f aca="false">'Volume Calculation'!AM205</f>
        <v>0</v>
      </c>
    </row>
    <row r="10" customFormat="false" ht="15" hidden="false" customHeight="false" outlineLevel="0" collapsed="false">
      <c r="B10" s="31" t="n">
        <v>7</v>
      </c>
      <c r="C10" s="7" t="str">
        <f aca="false">INDEX(UnitNames,7)</f>
        <v>Unit 7</v>
      </c>
      <c r="D10" s="31" t="n">
        <f aca="false">COUNT('Volume Calculation'!AN208:AN237)</f>
        <v>0</v>
      </c>
      <c r="E10" s="21" t="n">
        <f aca="false">'Volume Calculation'!AN238</f>
        <v>0</v>
      </c>
      <c r="F10" s="21" t="n">
        <f aca="false">'Volume Calculation'!AO238</f>
        <v>0</v>
      </c>
      <c r="G10" s="21" t="n">
        <f aca="false">'Volume Calculation'!AM238</f>
        <v>0</v>
      </c>
    </row>
    <row r="11" customFormat="false" ht="15" hidden="false" customHeight="false" outlineLevel="0" collapsed="false">
      <c r="B11" s="31" t="n">
        <v>8</v>
      </c>
      <c r="C11" s="7" t="str">
        <f aca="false">INDEX(UnitNames,8)</f>
        <v>Unit 8</v>
      </c>
      <c r="D11" s="31" t="n">
        <f aca="false">COUNT('Volume Calculation'!AN241:AN270)</f>
        <v>0</v>
      </c>
      <c r="E11" s="21" t="n">
        <f aca="false">'Volume Calculation'!AN271</f>
        <v>0</v>
      </c>
      <c r="F11" s="21" t="n">
        <f aca="false">'Volume Calculation'!AO271</f>
        <v>0</v>
      </c>
      <c r="G11" s="21" t="n">
        <f aca="false">'Volume Calculation'!AM271</f>
        <v>0</v>
      </c>
    </row>
    <row r="12" customFormat="false" ht="15" hidden="false" customHeight="false" outlineLevel="0" collapsed="false">
      <c r="B12" s="31" t="n">
        <v>9</v>
      </c>
      <c r="C12" s="7" t="str">
        <f aca="false">INDEX(UnitNames,9)</f>
        <v>Unit 9</v>
      </c>
      <c r="D12" s="31" t="n">
        <f aca="false">COUNT('Volume Calculation'!AN274:AN303)</f>
        <v>0</v>
      </c>
      <c r="E12" s="21" t="n">
        <f aca="false">'Volume Calculation'!AN304</f>
        <v>0</v>
      </c>
      <c r="F12" s="21" t="n">
        <f aca="false">'Volume Calculation'!AO304</f>
        <v>0</v>
      </c>
      <c r="G12" s="21" t="n">
        <f aca="false">'Volume Calculation'!AM304</f>
        <v>0</v>
      </c>
    </row>
    <row r="13" customFormat="false" ht="15" hidden="false" customHeight="false" outlineLevel="0" collapsed="false">
      <c r="B13" s="31" t="n">
        <v>10</v>
      </c>
      <c r="C13" s="7" t="str">
        <f aca="false">INDEX(UnitNames,10)</f>
        <v>Unit 10</v>
      </c>
      <c r="D13" s="31" t="n">
        <f aca="false">COUNT('Volume Calculation'!AN307:AN336)</f>
        <v>0</v>
      </c>
      <c r="E13" s="21" t="n">
        <f aca="false">'Volume Calculation'!AN337</f>
        <v>0</v>
      </c>
      <c r="F13" s="21" t="n">
        <f aca="false">'Volume Calculation'!AO337</f>
        <v>0</v>
      </c>
      <c r="G13" s="21" t="n">
        <f aca="false">'Volume Calculation'!AM337</f>
        <v>0</v>
      </c>
    </row>
    <row r="14" customFormat="false" ht="15" hidden="false" customHeight="false" outlineLevel="0" collapsed="false">
      <c r="B14" s="31" t="n">
        <v>11</v>
      </c>
      <c r="C14" s="7" t="str">
        <f aca="false">INDEX(UnitNames,11)</f>
        <v>Unit 11</v>
      </c>
      <c r="D14" s="31" t="n">
        <f aca="false">COUNT('Volume Calculation'!AN340:AN369)</f>
        <v>0</v>
      </c>
      <c r="E14" s="21" t="n">
        <f aca="false">'Volume Calculation'!AN370</f>
        <v>0</v>
      </c>
      <c r="F14" s="21" t="n">
        <f aca="false">'Volume Calculation'!AO370</f>
        <v>0</v>
      </c>
      <c r="G14" s="21" t="n">
        <f aca="false">'Volume Calculation'!AM370</f>
        <v>0</v>
      </c>
    </row>
    <row r="15" customFormat="false" ht="15" hidden="false" customHeight="false" outlineLevel="0" collapsed="false">
      <c r="B15" s="31" t="n">
        <v>12</v>
      </c>
      <c r="C15" s="7" t="str">
        <f aca="false">INDEX(UnitNames,12)</f>
        <v>Unit 12</v>
      </c>
      <c r="D15" s="31" t="n">
        <f aca="false">COUNT('Volume Calculation'!AN373:AN402)</f>
        <v>0</v>
      </c>
      <c r="E15" s="21" t="n">
        <f aca="false">'Volume Calculation'!AN403</f>
        <v>0</v>
      </c>
      <c r="F15" s="21" t="n">
        <f aca="false">'Volume Calculation'!AO403</f>
        <v>0</v>
      </c>
      <c r="G15" s="21" t="n">
        <f aca="false">'Volume Calculation'!AM403</f>
        <v>0</v>
      </c>
    </row>
    <row r="16" customFormat="false" ht="15" hidden="false" customHeight="false" outlineLevel="0" collapsed="false">
      <c r="B16" s="32"/>
      <c r="C16" s="32" t="s">
        <v>197</v>
      </c>
      <c r="D16" s="32" t="n">
        <f aca="false">SUM(D4:D15)</f>
        <v>4</v>
      </c>
      <c r="E16" s="22" t="n">
        <f aca="false">SUM(E4:E15)</f>
        <v>53.5568784251653</v>
      </c>
      <c r="F16" s="22" t="n">
        <f aca="false">SUM(F4:F15)</f>
        <v>41.1176980630466</v>
      </c>
      <c r="G16" s="22" t="n">
        <f aca="false">SUM(G4:G15)</f>
        <v>256.985612894041</v>
      </c>
    </row>
    <row r="18" customFormat="false" ht="15" hidden="false" customHeight="false" outlineLevel="0" collapsed="false">
      <c r="B18" s="3" t="s">
        <v>198</v>
      </c>
    </row>
    <row r="19" customFormat="false" ht="15" hidden="false" customHeight="false" outlineLevel="0" collapsed="false">
      <c r="B19" s="12" t="s">
        <v>125</v>
      </c>
      <c r="C19" s="12" t="s">
        <v>126</v>
      </c>
      <c r="D19" s="12" t="s">
        <v>193</v>
      </c>
      <c r="E19" s="12" t="s">
        <v>194</v>
      </c>
      <c r="F19" s="12" t="s">
        <v>195</v>
      </c>
      <c r="G19" s="12" t="s">
        <v>196</v>
      </c>
    </row>
    <row r="20" customFormat="false" ht="15" hidden="false" customHeight="false" outlineLevel="0" collapsed="false">
      <c r="B20" s="31" t="n">
        <v>1</v>
      </c>
      <c r="C20" s="7" t="str">
        <f aca="false">INDEX(LoopU,1)</f>
        <v>Loop 1</v>
      </c>
      <c r="D20" s="31" t="n">
        <f aca="false">SUMPRODUCT((V_loop=INDEX(LoopU,1))*(V_x_unit&gt;0)*ISNUMBER(V_vol))</f>
        <v>1</v>
      </c>
      <c r="E20" s="21" t="n">
        <f aca="false">SUMIFS(V_vol,V_loop,INDEX(LoopU,1),V_x_unit,"&gt;0")</f>
        <v>27.115</v>
      </c>
      <c r="F20" s="21" t="n">
        <f aca="false">SUMIFS(V_sol,V_loop,INDEX(LoopU,1),V_x_unit,"&gt;0")</f>
        <v>31.18225</v>
      </c>
      <c r="G20" s="21" t="n">
        <f aca="false">SUMIFS(V_waste,V_loop,INDEX(LoopU,1),V_x_unit,"&gt;0")</f>
        <v>194.8890625</v>
      </c>
    </row>
    <row r="21" customFormat="false" ht="15" hidden="false" customHeight="false" outlineLevel="0" collapsed="false">
      <c r="B21" s="31" t="n">
        <v>2</v>
      </c>
      <c r="C21" s="7" t="str">
        <f aca="false">INDEX(LoopU,2)</f>
        <v>Loop 2</v>
      </c>
      <c r="D21" s="31" t="n">
        <f aca="false">SUMPRODUCT((V_loop=INDEX(LoopU,2))*(V_x_unit&gt;0)*ISNUMBER(V_vol))</f>
        <v>2</v>
      </c>
      <c r="E21" s="21" t="n">
        <f aca="false">SUMIFS(V_vol,V_loop,INDEX(LoopU,2),V_x_unit,"&gt;0")</f>
        <v>24.2043752155139</v>
      </c>
      <c r="F21" s="21" t="n">
        <f aca="false">SUMIFS(V_sol,V_loop,INDEX(LoopU,2),V_x_unit,"&gt;0")</f>
        <v>7.36231937194752</v>
      </c>
      <c r="G21" s="21" t="n">
        <f aca="false">SUMIFS(V_waste,V_loop,INDEX(LoopU,2),V_x_unit,"&gt;0")</f>
        <v>46.014496074672</v>
      </c>
    </row>
    <row r="22" customFormat="false" ht="15" hidden="false" customHeight="false" outlineLevel="0" collapsed="false">
      <c r="B22" s="31" t="n">
        <v>3</v>
      </c>
      <c r="C22" s="7" t="str">
        <f aca="false">INDEX(LoopU,3)</f>
        <v>Loop 3</v>
      </c>
      <c r="D22" s="31" t="n">
        <f aca="false">SUMPRODUCT((V_loop=INDEX(LoopU,3))*(V_x_unit&gt;0)*ISNUMBER(V_vol))</f>
        <v>0</v>
      </c>
      <c r="E22" s="21" t="n">
        <f aca="false">SUMIFS(V_vol,V_loop,INDEX(LoopU,3),V_x_unit,"&gt;0")</f>
        <v>0</v>
      </c>
      <c r="F22" s="21" t="n">
        <f aca="false">SUMIFS(V_sol,V_loop,INDEX(LoopU,3),V_x_unit,"&gt;0")</f>
        <v>0</v>
      </c>
      <c r="G22" s="21" t="n">
        <f aca="false">SUMIFS(V_waste,V_loop,INDEX(LoopU,3),V_x_unit,"&gt;0")</f>
        <v>0</v>
      </c>
    </row>
    <row r="23" customFormat="false" ht="15" hidden="false" customHeight="false" outlineLevel="0" collapsed="false">
      <c r="B23" s="31" t="n">
        <v>4</v>
      </c>
      <c r="C23" s="7" t="str">
        <f aca="false">INDEX(LoopU,4)</f>
        <v>Loop 4</v>
      </c>
      <c r="D23" s="31" t="n">
        <f aca="false">SUMPRODUCT((V_loop=INDEX(LoopU,4))*(V_x_unit&gt;0)*ISNUMBER(V_vol))</f>
        <v>0</v>
      </c>
      <c r="E23" s="21" t="n">
        <f aca="false">SUMIFS(V_vol,V_loop,INDEX(LoopU,4),V_x_unit,"&gt;0")</f>
        <v>0</v>
      </c>
      <c r="F23" s="21" t="n">
        <f aca="false">SUMIFS(V_sol,V_loop,INDEX(LoopU,4),V_x_unit,"&gt;0")</f>
        <v>0</v>
      </c>
      <c r="G23" s="21" t="n">
        <f aca="false">SUMIFS(V_waste,V_loop,INDEX(LoopU,4),V_x_unit,"&gt;0")</f>
        <v>0</v>
      </c>
    </row>
    <row r="24" customFormat="false" ht="15" hidden="false" customHeight="false" outlineLevel="0" collapsed="false">
      <c r="B24" s="31" t="n">
        <v>5</v>
      </c>
      <c r="C24" s="7" t="str">
        <f aca="false">INDEX(LoopU,5)</f>
        <v>Loop 5</v>
      </c>
      <c r="D24" s="31" t="n">
        <f aca="false">SUMPRODUCT((V_loop=INDEX(LoopU,5))*(V_x_unit&gt;0)*ISNUMBER(V_vol))</f>
        <v>0</v>
      </c>
      <c r="E24" s="21" t="n">
        <f aca="false">SUMIFS(V_vol,V_loop,INDEX(LoopU,5),V_x_unit,"&gt;0")</f>
        <v>0</v>
      </c>
      <c r="F24" s="21" t="n">
        <f aca="false">SUMIFS(V_sol,V_loop,INDEX(LoopU,5),V_x_unit,"&gt;0")</f>
        <v>0</v>
      </c>
      <c r="G24" s="21" t="n">
        <f aca="false">SUMIFS(V_waste,V_loop,INDEX(LoopU,5),V_x_unit,"&gt;0")</f>
        <v>0</v>
      </c>
    </row>
    <row r="25" customFormat="false" ht="15" hidden="false" customHeight="false" outlineLevel="0" collapsed="false">
      <c r="B25" s="31" t="n">
        <v>6</v>
      </c>
      <c r="C25" s="7" t="str">
        <f aca="false">INDEX(LoopU,6)</f>
        <v>Loop 6</v>
      </c>
      <c r="D25" s="31" t="n">
        <f aca="false">SUMPRODUCT((V_loop=INDEX(LoopU,6))*(V_x_unit&gt;0)*ISNUMBER(V_vol))</f>
        <v>0</v>
      </c>
      <c r="E25" s="21" t="n">
        <f aca="false">SUMIFS(V_vol,V_loop,INDEX(LoopU,6),V_x_unit,"&gt;0")</f>
        <v>0</v>
      </c>
      <c r="F25" s="21" t="n">
        <f aca="false">SUMIFS(V_sol,V_loop,INDEX(LoopU,6),V_x_unit,"&gt;0")</f>
        <v>0</v>
      </c>
      <c r="G25" s="21" t="n">
        <f aca="false">SUMIFS(V_waste,V_loop,INDEX(LoopU,6),V_x_unit,"&gt;0")</f>
        <v>0</v>
      </c>
    </row>
    <row r="26" customFormat="false" ht="15" hidden="false" customHeight="false" outlineLevel="0" collapsed="false">
      <c r="B26" s="31" t="n">
        <v>7</v>
      </c>
      <c r="C26" s="7" t="str">
        <f aca="false">INDEX(LoopU,7)</f>
        <v>Loop 7</v>
      </c>
      <c r="D26" s="31" t="n">
        <f aca="false">SUMPRODUCT((V_loop=INDEX(LoopU,7))*(V_x_unit&gt;0)*ISNUMBER(V_vol))</f>
        <v>0</v>
      </c>
      <c r="E26" s="21" t="n">
        <f aca="false">SUMIFS(V_vol,V_loop,INDEX(LoopU,7),V_x_unit,"&gt;0")</f>
        <v>0</v>
      </c>
      <c r="F26" s="21" t="n">
        <f aca="false">SUMIFS(V_sol,V_loop,INDEX(LoopU,7),V_x_unit,"&gt;0")</f>
        <v>0</v>
      </c>
      <c r="G26" s="21" t="n">
        <f aca="false">SUMIFS(V_waste,V_loop,INDEX(LoopU,7),V_x_unit,"&gt;0")</f>
        <v>0</v>
      </c>
    </row>
    <row r="27" customFormat="false" ht="15" hidden="false" customHeight="false" outlineLevel="0" collapsed="false">
      <c r="B27" s="31" t="n">
        <v>8</v>
      </c>
      <c r="C27" s="7" t="str">
        <f aca="false">INDEX(LoopU,8)</f>
        <v>Loop 8</v>
      </c>
      <c r="D27" s="31" t="n">
        <f aca="false">SUMPRODUCT((V_loop=INDEX(LoopU,8))*(V_x_unit&gt;0)*ISNUMBER(V_vol))</f>
        <v>0</v>
      </c>
      <c r="E27" s="21" t="n">
        <f aca="false">SUMIFS(V_vol,V_loop,INDEX(LoopU,8),V_x_unit,"&gt;0")</f>
        <v>0</v>
      </c>
      <c r="F27" s="21" t="n">
        <f aca="false">SUMIFS(V_sol,V_loop,INDEX(LoopU,8),V_x_unit,"&gt;0")</f>
        <v>0</v>
      </c>
      <c r="G27" s="21" t="n">
        <f aca="false">SUMIFS(V_waste,V_loop,INDEX(LoopU,8),V_x_unit,"&gt;0")</f>
        <v>0</v>
      </c>
    </row>
    <row r="28" customFormat="false" ht="15" hidden="false" customHeight="false" outlineLevel="0" collapsed="false">
      <c r="B28" s="31" t="n">
        <v>9</v>
      </c>
      <c r="C28" s="7" t="str">
        <f aca="false">INDEX(LoopU,9)</f>
        <v>Loop 9</v>
      </c>
      <c r="D28" s="31" t="n">
        <f aca="false">SUMPRODUCT((V_loop=INDEX(LoopU,9))*(V_x_unit&gt;0)*ISNUMBER(V_vol))</f>
        <v>0</v>
      </c>
      <c r="E28" s="21" t="n">
        <f aca="false">SUMIFS(V_vol,V_loop,INDEX(LoopU,9),V_x_unit,"&gt;0")</f>
        <v>0</v>
      </c>
      <c r="F28" s="21" t="n">
        <f aca="false">SUMIFS(V_sol,V_loop,INDEX(LoopU,9),V_x_unit,"&gt;0")</f>
        <v>0</v>
      </c>
      <c r="G28" s="21" t="n">
        <f aca="false">SUMIFS(V_waste,V_loop,INDEX(LoopU,9),V_x_unit,"&gt;0")</f>
        <v>0</v>
      </c>
    </row>
    <row r="29" customFormat="false" ht="15" hidden="false" customHeight="false" outlineLevel="0" collapsed="false">
      <c r="B29" s="31" t="n">
        <v>10</v>
      </c>
      <c r="C29" s="7" t="str">
        <f aca="false">INDEX(LoopU,10)</f>
        <v>Loop 10</v>
      </c>
      <c r="D29" s="31" t="n">
        <f aca="false">SUMPRODUCT((V_loop=INDEX(LoopU,10))*(V_x_unit&gt;0)*ISNUMBER(V_vol))</f>
        <v>0</v>
      </c>
      <c r="E29" s="21" t="n">
        <f aca="false">SUMIFS(V_vol,V_loop,INDEX(LoopU,10),V_x_unit,"&gt;0")</f>
        <v>0</v>
      </c>
      <c r="F29" s="21" t="n">
        <f aca="false">SUMIFS(V_sol,V_loop,INDEX(LoopU,10),V_x_unit,"&gt;0")</f>
        <v>0</v>
      </c>
      <c r="G29" s="21" t="n">
        <f aca="false">SUMIFS(V_waste,V_loop,INDEX(LoopU,10),V_x_unit,"&gt;0")</f>
        <v>0</v>
      </c>
    </row>
    <row r="30" customFormat="false" ht="15" hidden="false" customHeight="false" outlineLevel="0" collapsed="false">
      <c r="B30" s="31" t="n">
        <v>11</v>
      </c>
      <c r="C30" s="7" t="str">
        <f aca="false">INDEX(LoopU,11)</f>
        <v>Loop 11</v>
      </c>
      <c r="D30" s="31" t="n">
        <f aca="false">SUMPRODUCT((V_loop=INDEX(LoopU,11))*(V_x_unit&gt;0)*ISNUMBER(V_vol))</f>
        <v>0</v>
      </c>
      <c r="E30" s="21" t="n">
        <f aca="false">SUMIFS(V_vol,V_loop,INDEX(LoopU,11),V_x_unit,"&gt;0")</f>
        <v>0</v>
      </c>
      <c r="F30" s="21" t="n">
        <f aca="false">SUMIFS(V_sol,V_loop,INDEX(LoopU,11),V_x_unit,"&gt;0")</f>
        <v>0</v>
      </c>
      <c r="G30" s="21" t="n">
        <f aca="false">SUMIFS(V_waste,V_loop,INDEX(LoopU,11),V_x_unit,"&gt;0")</f>
        <v>0</v>
      </c>
    </row>
    <row r="31" customFormat="false" ht="15" hidden="false" customHeight="false" outlineLevel="0" collapsed="false">
      <c r="B31" s="31" t="n">
        <v>12</v>
      </c>
      <c r="C31" s="7" t="str">
        <f aca="false">INDEX(LoopU,12)</f>
        <v>Loop 12</v>
      </c>
      <c r="D31" s="31" t="n">
        <f aca="false">SUMPRODUCT((V_loop=INDEX(LoopU,12))*(V_x_unit&gt;0)*ISNUMBER(V_vol))</f>
        <v>0</v>
      </c>
      <c r="E31" s="21" t="n">
        <f aca="false">SUMIFS(V_vol,V_loop,INDEX(LoopU,12),V_x_unit,"&gt;0")</f>
        <v>0</v>
      </c>
      <c r="F31" s="21" t="n">
        <f aca="false">SUMIFS(V_sol,V_loop,INDEX(LoopU,12),V_x_unit,"&gt;0")</f>
        <v>0</v>
      </c>
      <c r="G31" s="21" t="n">
        <f aca="false">SUMIFS(V_waste,V_loop,INDEX(LoopU,12),V_x_unit,"&gt;0")</f>
        <v>0</v>
      </c>
    </row>
    <row r="32" customFormat="false" ht="15" hidden="false" customHeight="false" outlineLevel="0" collapsed="false">
      <c r="B32" s="31" t="n">
        <v>13</v>
      </c>
      <c r="C32" s="7" t="str">
        <f aca="false">INDEX(LoopU,13)</f>
        <v>Loop 13</v>
      </c>
      <c r="D32" s="31" t="n">
        <f aca="false">SUMPRODUCT((V_loop=INDEX(LoopU,13))*(V_x_unit&gt;0)*ISNUMBER(V_vol))</f>
        <v>0</v>
      </c>
      <c r="E32" s="21" t="n">
        <f aca="false">SUMIFS(V_vol,V_loop,INDEX(LoopU,13),V_x_unit,"&gt;0")</f>
        <v>0</v>
      </c>
      <c r="F32" s="21" t="n">
        <f aca="false">SUMIFS(V_sol,V_loop,INDEX(LoopU,13),V_x_unit,"&gt;0")</f>
        <v>0</v>
      </c>
      <c r="G32" s="21" t="n">
        <f aca="false">SUMIFS(V_waste,V_loop,INDEX(LoopU,13),V_x_unit,"&gt;0")</f>
        <v>0</v>
      </c>
    </row>
    <row r="33" customFormat="false" ht="15" hidden="false" customHeight="false" outlineLevel="0" collapsed="false">
      <c r="B33" s="31" t="n">
        <v>14</v>
      </c>
      <c r="C33" s="7" t="str">
        <f aca="false">INDEX(LoopU,14)</f>
        <v>Loop 14</v>
      </c>
      <c r="D33" s="31" t="n">
        <f aca="false">SUMPRODUCT((V_loop=INDEX(LoopU,14))*(V_x_unit&gt;0)*ISNUMBER(V_vol))</f>
        <v>0</v>
      </c>
      <c r="E33" s="21" t="n">
        <f aca="false">SUMIFS(V_vol,V_loop,INDEX(LoopU,14),V_x_unit,"&gt;0")</f>
        <v>0</v>
      </c>
      <c r="F33" s="21" t="n">
        <f aca="false">SUMIFS(V_sol,V_loop,INDEX(LoopU,14),V_x_unit,"&gt;0")</f>
        <v>0</v>
      </c>
      <c r="G33" s="21" t="n">
        <f aca="false">SUMIFS(V_waste,V_loop,INDEX(LoopU,14),V_x_unit,"&gt;0")</f>
        <v>0</v>
      </c>
    </row>
    <row r="34" customFormat="false" ht="15" hidden="false" customHeight="false" outlineLevel="0" collapsed="false">
      <c r="B34" s="31" t="n">
        <v>15</v>
      </c>
      <c r="C34" s="7" t="str">
        <f aca="false">INDEX(LoopU,15)</f>
        <v>Loop 15</v>
      </c>
      <c r="D34" s="31" t="n">
        <f aca="false">SUMPRODUCT((V_loop=INDEX(LoopU,15))*(V_x_unit&gt;0)*ISNUMBER(V_vol))</f>
        <v>0</v>
      </c>
      <c r="E34" s="21" t="n">
        <f aca="false">SUMIFS(V_vol,V_loop,INDEX(LoopU,15),V_x_unit,"&gt;0")</f>
        <v>0</v>
      </c>
      <c r="F34" s="21" t="n">
        <f aca="false">SUMIFS(V_sol,V_loop,INDEX(LoopU,15),V_x_unit,"&gt;0")</f>
        <v>0</v>
      </c>
      <c r="G34" s="21" t="n">
        <f aca="false">SUMIFS(V_waste,V_loop,INDEX(LoopU,15),V_x_unit,"&gt;0")</f>
        <v>0</v>
      </c>
    </row>
    <row r="35" customFormat="false" ht="15" hidden="false" customHeight="false" outlineLevel="0" collapsed="false">
      <c r="B35" s="31" t="n">
        <v>16</v>
      </c>
      <c r="C35" s="7" t="str">
        <f aca="false">INDEX(LoopU,16)</f>
        <v>Loop 16</v>
      </c>
      <c r="D35" s="31" t="n">
        <f aca="false">SUMPRODUCT((V_loop=INDEX(LoopU,16))*(V_x_unit&gt;0)*ISNUMBER(V_vol))</f>
        <v>0</v>
      </c>
      <c r="E35" s="21" t="n">
        <f aca="false">SUMIFS(V_vol,V_loop,INDEX(LoopU,16),V_x_unit,"&gt;0")</f>
        <v>0</v>
      </c>
      <c r="F35" s="21" t="n">
        <f aca="false">SUMIFS(V_sol,V_loop,INDEX(LoopU,16),V_x_unit,"&gt;0")</f>
        <v>0</v>
      </c>
      <c r="G35" s="21" t="n">
        <f aca="false">SUMIFS(V_waste,V_loop,INDEX(LoopU,16),V_x_unit,"&gt;0")</f>
        <v>0</v>
      </c>
    </row>
    <row r="36" customFormat="false" ht="15" hidden="false" customHeight="false" outlineLevel="0" collapsed="false">
      <c r="B36" s="31" t="n">
        <v>17</v>
      </c>
      <c r="C36" s="7" t="str">
        <f aca="false">INDEX(LoopU,17)</f>
        <v>Loop 17</v>
      </c>
      <c r="D36" s="31" t="n">
        <f aca="false">SUMPRODUCT((V_loop=INDEX(LoopU,17))*(V_x_unit&gt;0)*ISNUMBER(V_vol))</f>
        <v>0</v>
      </c>
      <c r="E36" s="21" t="n">
        <f aca="false">SUMIFS(V_vol,V_loop,INDEX(LoopU,17),V_x_unit,"&gt;0")</f>
        <v>0</v>
      </c>
      <c r="F36" s="21" t="n">
        <f aca="false">SUMIFS(V_sol,V_loop,INDEX(LoopU,17),V_x_unit,"&gt;0")</f>
        <v>0</v>
      </c>
      <c r="G36" s="21" t="n">
        <f aca="false">SUMIFS(V_waste,V_loop,INDEX(LoopU,17),V_x_unit,"&gt;0")</f>
        <v>0</v>
      </c>
    </row>
    <row r="37" customFormat="false" ht="15" hidden="false" customHeight="false" outlineLevel="0" collapsed="false">
      <c r="B37" s="31" t="n">
        <v>18</v>
      </c>
      <c r="C37" s="7" t="str">
        <f aca="false">INDEX(LoopU,18)</f>
        <v>Loop 18</v>
      </c>
      <c r="D37" s="31" t="n">
        <f aca="false">SUMPRODUCT((V_loop=INDEX(LoopU,18))*(V_x_unit&gt;0)*ISNUMBER(V_vol))</f>
        <v>0</v>
      </c>
      <c r="E37" s="21" t="n">
        <f aca="false">SUMIFS(V_vol,V_loop,INDEX(LoopU,18),V_x_unit,"&gt;0")</f>
        <v>0</v>
      </c>
      <c r="F37" s="21" t="n">
        <f aca="false">SUMIFS(V_sol,V_loop,INDEX(LoopU,18),V_x_unit,"&gt;0")</f>
        <v>0</v>
      </c>
      <c r="G37" s="21" t="n">
        <f aca="false">SUMIFS(V_waste,V_loop,INDEX(LoopU,18),V_x_unit,"&gt;0")</f>
        <v>0</v>
      </c>
    </row>
    <row r="38" customFormat="false" ht="15" hidden="false" customHeight="false" outlineLevel="0" collapsed="false">
      <c r="B38" s="31" t="n">
        <v>19</v>
      </c>
      <c r="C38" s="7" t="str">
        <f aca="false">INDEX(LoopU,19)</f>
        <v>Loop 19</v>
      </c>
      <c r="D38" s="31" t="n">
        <f aca="false">SUMPRODUCT((V_loop=INDEX(LoopU,19))*(V_x_unit&gt;0)*ISNUMBER(V_vol))</f>
        <v>0</v>
      </c>
      <c r="E38" s="21" t="n">
        <f aca="false">SUMIFS(V_vol,V_loop,INDEX(LoopU,19),V_x_unit,"&gt;0")</f>
        <v>0</v>
      </c>
      <c r="F38" s="21" t="n">
        <f aca="false">SUMIFS(V_sol,V_loop,INDEX(LoopU,19),V_x_unit,"&gt;0")</f>
        <v>0</v>
      </c>
      <c r="G38" s="21" t="n">
        <f aca="false">SUMIFS(V_waste,V_loop,INDEX(LoopU,19),V_x_unit,"&gt;0")</f>
        <v>0</v>
      </c>
    </row>
    <row r="39" customFormat="false" ht="15" hidden="false" customHeight="false" outlineLevel="0" collapsed="false">
      <c r="B39" s="31" t="n">
        <v>20</v>
      </c>
      <c r="C39" s="7" t="str">
        <f aca="false">INDEX(LoopU,20)</f>
        <v>Loop 20</v>
      </c>
      <c r="D39" s="31" t="n">
        <f aca="false">SUMPRODUCT((V_loop=INDEX(LoopU,20))*(V_x_unit&gt;0)*ISNUMBER(V_vol))</f>
        <v>0</v>
      </c>
      <c r="E39" s="21" t="n">
        <f aca="false">SUMIFS(V_vol,V_loop,INDEX(LoopU,20),V_x_unit,"&gt;0")</f>
        <v>0</v>
      </c>
      <c r="F39" s="21" t="n">
        <f aca="false">SUMIFS(V_sol,V_loop,INDEX(LoopU,20),V_x_unit,"&gt;0")</f>
        <v>0</v>
      </c>
      <c r="G39" s="21" t="n">
        <f aca="false">SUMIFS(V_waste,V_loop,INDEX(LoopU,20),V_x_unit,"&gt;0")</f>
        <v>0</v>
      </c>
    </row>
    <row r="40" customFormat="false" ht="15" hidden="false" customHeight="false" outlineLevel="0" collapsed="false">
      <c r="B40" s="31" t="n">
        <v>21</v>
      </c>
      <c r="C40" s="7" t="str">
        <f aca="false">INDEX(LoopU,21)</f>
        <v>Loop 21</v>
      </c>
      <c r="D40" s="31" t="n">
        <f aca="false">SUMPRODUCT((V_loop=INDEX(LoopU,21))*(V_x_unit&gt;0)*ISNUMBER(V_vol))</f>
        <v>0</v>
      </c>
      <c r="E40" s="21" t="n">
        <f aca="false">SUMIFS(V_vol,V_loop,INDEX(LoopU,21),V_x_unit,"&gt;0")</f>
        <v>0</v>
      </c>
      <c r="F40" s="21" t="n">
        <f aca="false">SUMIFS(V_sol,V_loop,INDEX(LoopU,21),V_x_unit,"&gt;0")</f>
        <v>0</v>
      </c>
      <c r="G40" s="21" t="n">
        <f aca="false">SUMIFS(V_waste,V_loop,INDEX(LoopU,21),V_x_unit,"&gt;0")</f>
        <v>0</v>
      </c>
    </row>
    <row r="41" customFormat="false" ht="15" hidden="false" customHeight="false" outlineLevel="0" collapsed="false">
      <c r="B41" s="31" t="n">
        <v>22</v>
      </c>
      <c r="C41" s="7" t="str">
        <f aca="false">INDEX(LoopU,22)</f>
        <v>Loop 22</v>
      </c>
      <c r="D41" s="31" t="n">
        <f aca="false">SUMPRODUCT((V_loop=INDEX(LoopU,22))*(V_x_unit&gt;0)*ISNUMBER(V_vol))</f>
        <v>0</v>
      </c>
      <c r="E41" s="21" t="n">
        <f aca="false">SUMIFS(V_vol,V_loop,INDEX(LoopU,22),V_x_unit,"&gt;0")</f>
        <v>0</v>
      </c>
      <c r="F41" s="21" t="n">
        <f aca="false">SUMIFS(V_sol,V_loop,INDEX(LoopU,22),V_x_unit,"&gt;0")</f>
        <v>0</v>
      </c>
      <c r="G41" s="21" t="n">
        <f aca="false">SUMIFS(V_waste,V_loop,INDEX(LoopU,22),V_x_unit,"&gt;0")</f>
        <v>0</v>
      </c>
    </row>
    <row r="42" customFormat="false" ht="15" hidden="false" customHeight="false" outlineLevel="0" collapsed="false">
      <c r="B42" s="31" t="n">
        <v>23</v>
      </c>
      <c r="C42" s="7" t="str">
        <f aca="false">INDEX(LoopU,23)</f>
        <v>Loop 23</v>
      </c>
      <c r="D42" s="31" t="n">
        <f aca="false">SUMPRODUCT((V_loop=INDEX(LoopU,23))*(V_x_unit&gt;0)*ISNUMBER(V_vol))</f>
        <v>0</v>
      </c>
      <c r="E42" s="21" t="n">
        <f aca="false">SUMIFS(V_vol,V_loop,INDEX(LoopU,23),V_x_unit,"&gt;0")</f>
        <v>0</v>
      </c>
      <c r="F42" s="21" t="n">
        <f aca="false">SUMIFS(V_sol,V_loop,INDEX(LoopU,23),V_x_unit,"&gt;0")</f>
        <v>0</v>
      </c>
      <c r="G42" s="21" t="n">
        <f aca="false">SUMIFS(V_waste,V_loop,INDEX(LoopU,23),V_x_unit,"&gt;0")</f>
        <v>0</v>
      </c>
    </row>
    <row r="43" customFormat="false" ht="15" hidden="false" customHeight="false" outlineLevel="0" collapsed="false">
      <c r="B43" s="31" t="n">
        <v>24</v>
      </c>
      <c r="C43" s="7" t="str">
        <f aca="false">INDEX(LoopU,24)</f>
        <v>Loop 24</v>
      </c>
      <c r="D43" s="31" t="n">
        <f aca="false">SUMPRODUCT((V_loop=INDEX(LoopU,24))*(V_x_unit&gt;0)*ISNUMBER(V_vol))</f>
        <v>0</v>
      </c>
      <c r="E43" s="21" t="n">
        <f aca="false">SUMIFS(V_vol,V_loop,INDEX(LoopU,24),V_x_unit,"&gt;0")</f>
        <v>0</v>
      </c>
      <c r="F43" s="21" t="n">
        <f aca="false">SUMIFS(V_sol,V_loop,INDEX(LoopU,24),V_x_unit,"&gt;0")</f>
        <v>0</v>
      </c>
      <c r="G43" s="21" t="n">
        <f aca="false">SUMIFS(V_waste,V_loop,INDEX(LoopU,24),V_x_unit,"&gt;0")</f>
        <v>0</v>
      </c>
    </row>
    <row r="44" customFormat="false" ht="15" hidden="false" customHeight="false" outlineLevel="0" collapsed="false">
      <c r="B44" s="31" t="n">
        <v>25</v>
      </c>
      <c r="C44" s="7" t="str">
        <f aca="false">INDEX(LoopU,25)</f>
        <v>Loop 25</v>
      </c>
      <c r="D44" s="31" t="n">
        <f aca="false">SUMPRODUCT((V_loop=INDEX(LoopU,25))*(V_x_unit&gt;0)*ISNUMBER(V_vol))</f>
        <v>0</v>
      </c>
      <c r="E44" s="21" t="n">
        <f aca="false">SUMIFS(V_vol,V_loop,INDEX(LoopU,25),V_x_unit,"&gt;0")</f>
        <v>0</v>
      </c>
      <c r="F44" s="21" t="n">
        <f aca="false">SUMIFS(V_sol,V_loop,INDEX(LoopU,25),V_x_unit,"&gt;0")</f>
        <v>0</v>
      </c>
      <c r="G44" s="21" t="n">
        <f aca="false">SUMIFS(V_waste,V_loop,INDEX(LoopU,25),V_x_unit,"&gt;0")</f>
        <v>0</v>
      </c>
    </row>
    <row r="45" customFormat="false" ht="15" hidden="false" customHeight="false" outlineLevel="0" collapsed="false">
      <c r="B45" s="31" t="n">
        <v>26</v>
      </c>
      <c r="C45" s="7" t="str">
        <f aca="false">INDEX(LoopU,26)</f>
        <v>Loop 26</v>
      </c>
      <c r="D45" s="31" t="n">
        <f aca="false">SUMPRODUCT((V_loop=INDEX(LoopU,26))*(V_x_unit&gt;0)*ISNUMBER(V_vol))</f>
        <v>0</v>
      </c>
      <c r="E45" s="21" t="n">
        <f aca="false">SUMIFS(V_vol,V_loop,INDEX(LoopU,26),V_x_unit,"&gt;0")</f>
        <v>0</v>
      </c>
      <c r="F45" s="21" t="n">
        <f aca="false">SUMIFS(V_sol,V_loop,INDEX(LoopU,26),V_x_unit,"&gt;0")</f>
        <v>0</v>
      </c>
      <c r="G45" s="21" t="n">
        <f aca="false">SUMIFS(V_waste,V_loop,INDEX(LoopU,26),V_x_unit,"&gt;0")</f>
        <v>0</v>
      </c>
    </row>
    <row r="46" customFormat="false" ht="15" hidden="false" customHeight="false" outlineLevel="0" collapsed="false">
      <c r="B46" s="31" t="n">
        <v>27</v>
      </c>
      <c r="C46" s="7" t="str">
        <f aca="false">INDEX(LoopU,27)</f>
        <v>Loop 27</v>
      </c>
      <c r="D46" s="31" t="n">
        <f aca="false">SUMPRODUCT((V_loop=INDEX(LoopU,27))*(V_x_unit&gt;0)*ISNUMBER(V_vol))</f>
        <v>0</v>
      </c>
      <c r="E46" s="21" t="n">
        <f aca="false">SUMIFS(V_vol,V_loop,INDEX(LoopU,27),V_x_unit,"&gt;0")</f>
        <v>0</v>
      </c>
      <c r="F46" s="21" t="n">
        <f aca="false">SUMIFS(V_sol,V_loop,INDEX(LoopU,27),V_x_unit,"&gt;0")</f>
        <v>0</v>
      </c>
      <c r="G46" s="21" t="n">
        <f aca="false">SUMIFS(V_waste,V_loop,INDEX(LoopU,27),V_x_unit,"&gt;0")</f>
        <v>0</v>
      </c>
    </row>
    <row r="47" customFormat="false" ht="15" hidden="false" customHeight="false" outlineLevel="0" collapsed="false">
      <c r="B47" s="31" t="n">
        <v>28</v>
      </c>
      <c r="C47" s="7" t="str">
        <f aca="false">INDEX(LoopU,28)</f>
        <v>Loop 28</v>
      </c>
      <c r="D47" s="31" t="n">
        <f aca="false">SUMPRODUCT((V_loop=INDEX(LoopU,28))*(V_x_unit&gt;0)*ISNUMBER(V_vol))</f>
        <v>0</v>
      </c>
      <c r="E47" s="21" t="n">
        <f aca="false">SUMIFS(V_vol,V_loop,INDEX(LoopU,28),V_x_unit,"&gt;0")</f>
        <v>0</v>
      </c>
      <c r="F47" s="21" t="n">
        <f aca="false">SUMIFS(V_sol,V_loop,INDEX(LoopU,28),V_x_unit,"&gt;0")</f>
        <v>0</v>
      </c>
      <c r="G47" s="21" t="n">
        <f aca="false">SUMIFS(V_waste,V_loop,INDEX(LoopU,28),V_x_unit,"&gt;0")</f>
        <v>0</v>
      </c>
    </row>
    <row r="48" customFormat="false" ht="15" hidden="false" customHeight="false" outlineLevel="0" collapsed="false">
      <c r="B48" s="31" t="n">
        <v>29</v>
      </c>
      <c r="C48" s="7" t="str">
        <f aca="false">INDEX(LoopU,29)</f>
        <v>Loop 29</v>
      </c>
      <c r="D48" s="31" t="n">
        <f aca="false">SUMPRODUCT((V_loop=INDEX(LoopU,29))*(V_x_unit&gt;0)*ISNUMBER(V_vol))</f>
        <v>0</v>
      </c>
      <c r="E48" s="21" t="n">
        <f aca="false">SUMIFS(V_vol,V_loop,INDEX(LoopU,29),V_x_unit,"&gt;0")</f>
        <v>0</v>
      </c>
      <c r="F48" s="21" t="n">
        <f aca="false">SUMIFS(V_sol,V_loop,INDEX(LoopU,29),V_x_unit,"&gt;0")</f>
        <v>0</v>
      </c>
      <c r="G48" s="21" t="n">
        <f aca="false">SUMIFS(V_waste,V_loop,INDEX(LoopU,29),V_x_unit,"&gt;0")</f>
        <v>0</v>
      </c>
    </row>
    <row r="49" customFormat="false" ht="15" hidden="false" customHeight="false" outlineLevel="0" collapsed="false">
      <c r="B49" s="31" t="n">
        <v>30</v>
      </c>
      <c r="C49" s="7" t="str">
        <f aca="false">INDEX(LoopU,30)</f>
        <v>Loop 30</v>
      </c>
      <c r="D49" s="31" t="n">
        <f aca="false">SUMPRODUCT((V_loop=INDEX(LoopU,30))*(V_x_unit&gt;0)*ISNUMBER(V_vol))</f>
        <v>0</v>
      </c>
      <c r="E49" s="21" t="n">
        <f aca="false">SUMIFS(V_vol,V_loop,INDEX(LoopU,30),V_x_unit,"&gt;0")</f>
        <v>0</v>
      </c>
      <c r="F49" s="21" t="n">
        <f aca="false">SUMIFS(V_sol,V_loop,INDEX(LoopU,30),V_x_unit,"&gt;0")</f>
        <v>0</v>
      </c>
      <c r="G49" s="21" t="n">
        <f aca="false">SUMIFS(V_waste,V_loop,INDEX(LoopU,30),V_x_unit,"&gt;0")</f>
        <v>0</v>
      </c>
    </row>
    <row r="50" customFormat="false" ht="15" hidden="false" customHeight="false" outlineLevel="0" collapsed="false">
      <c r="B50" s="31" t="n">
        <v>31</v>
      </c>
      <c r="C50" s="7" t="str">
        <f aca="false">INDEX(LoopU,31)</f>
        <v>Loop 31</v>
      </c>
      <c r="D50" s="31" t="n">
        <f aca="false">SUMPRODUCT((V_loop=INDEX(LoopU,31))*(V_x_unit&gt;0)*ISNUMBER(V_vol))</f>
        <v>0</v>
      </c>
      <c r="E50" s="21" t="n">
        <f aca="false">SUMIFS(V_vol,V_loop,INDEX(LoopU,31),V_x_unit,"&gt;0")</f>
        <v>0</v>
      </c>
      <c r="F50" s="21" t="n">
        <f aca="false">SUMIFS(V_sol,V_loop,INDEX(LoopU,31),V_x_unit,"&gt;0")</f>
        <v>0</v>
      </c>
      <c r="G50" s="21" t="n">
        <f aca="false">SUMIFS(V_waste,V_loop,INDEX(LoopU,31),V_x_unit,"&gt;0")</f>
        <v>0</v>
      </c>
    </row>
    <row r="51" customFormat="false" ht="15" hidden="false" customHeight="false" outlineLevel="0" collapsed="false">
      <c r="B51" s="31" t="n">
        <v>32</v>
      </c>
      <c r="C51" s="7" t="str">
        <f aca="false">INDEX(LoopU,32)</f>
        <v>Loop 32</v>
      </c>
      <c r="D51" s="31" t="n">
        <f aca="false">SUMPRODUCT((V_loop=INDEX(LoopU,32))*(V_x_unit&gt;0)*ISNUMBER(V_vol))</f>
        <v>0</v>
      </c>
      <c r="E51" s="21" t="n">
        <f aca="false">SUMIFS(V_vol,V_loop,INDEX(LoopU,32),V_x_unit,"&gt;0")</f>
        <v>0</v>
      </c>
      <c r="F51" s="21" t="n">
        <f aca="false">SUMIFS(V_sol,V_loop,INDEX(LoopU,32),V_x_unit,"&gt;0")</f>
        <v>0</v>
      </c>
      <c r="G51" s="21" t="n">
        <f aca="false">SUMIFS(V_waste,V_loop,INDEX(LoopU,32),V_x_unit,"&gt;0")</f>
        <v>0</v>
      </c>
    </row>
    <row r="52" customFormat="false" ht="15" hidden="false" customHeight="false" outlineLevel="0" collapsed="false">
      <c r="B52" s="31" t="n">
        <v>33</v>
      </c>
      <c r="C52" s="7" t="str">
        <f aca="false">INDEX(LoopU,33)</f>
        <v>Loop 33</v>
      </c>
      <c r="D52" s="31" t="n">
        <f aca="false">SUMPRODUCT((V_loop=INDEX(LoopU,33))*(V_x_unit&gt;0)*ISNUMBER(V_vol))</f>
        <v>0</v>
      </c>
      <c r="E52" s="21" t="n">
        <f aca="false">SUMIFS(V_vol,V_loop,INDEX(LoopU,33),V_x_unit,"&gt;0")</f>
        <v>0</v>
      </c>
      <c r="F52" s="21" t="n">
        <f aca="false">SUMIFS(V_sol,V_loop,INDEX(LoopU,33),V_x_unit,"&gt;0")</f>
        <v>0</v>
      </c>
      <c r="G52" s="21" t="n">
        <f aca="false">SUMIFS(V_waste,V_loop,INDEX(LoopU,33),V_x_unit,"&gt;0")</f>
        <v>0</v>
      </c>
    </row>
    <row r="53" customFormat="false" ht="15" hidden="false" customHeight="false" outlineLevel="0" collapsed="false">
      <c r="B53" s="31" t="n">
        <v>34</v>
      </c>
      <c r="C53" s="7" t="str">
        <f aca="false">INDEX(LoopU,34)</f>
        <v>Loop 34</v>
      </c>
      <c r="D53" s="31" t="n">
        <f aca="false">SUMPRODUCT((V_loop=INDEX(LoopU,34))*(V_x_unit&gt;0)*ISNUMBER(V_vol))</f>
        <v>0</v>
      </c>
      <c r="E53" s="21" t="n">
        <f aca="false">SUMIFS(V_vol,V_loop,INDEX(LoopU,34),V_x_unit,"&gt;0")</f>
        <v>0</v>
      </c>
      <c r="F53" s="21" t="n">
        <f aca="false">SUMIFS(V_sol,V_loop,INDEX(LoopU,34),V_x_unit,"&gt;0")</f>
        <v>0</v>
      </c>
      <c r="G53" s="21" t="n">
        <f aca="false">SUMIFS(V_waste,V_loop,INDEX(LoopU,34),V_x_unit,"&gt;0")</f>
        <v>0</v>
      </c>
    </row>
    <row r="54" customFormat="false" ht="15" hidden="false" customHeight="false" outlineLevel="0" collapsed="false">
      <c r="B54" s="31" t="n">
        <v>35</v>
      </c>
      <c r="C54" s="7" t="str">
        <f aca="false">INDEX(LoopU,35)</f>
        <v>Loop 35</v>
      </c>
      <c r="D54" s="31" t="n">
        <f aca="false">SUMPRODUCT((V_loop=INDEX(LoopU,35))*(V_x_unit&gt;0)*ISNUMBER(V_vol))</f>
        <v>0</v>
      </c>
      <c r="E54" s="21" t="n">
        <f aca="false">SUMIFS(V_vol,V_loop,INDEX(LoopU,35),V_x_unit,"&gt;0")</f>
        <v>0</v>
      </c>
      <c r="F54" s="21" t="n">
        <f aca="false">SUMIFS(V_sol,V_loop,INDEX(LoopU,35),V_x_unit,"&gt;0")</f>
        <v>0</v>
      </c>
      <c r="G54" s="21" t="n">
        <f aca="false">SUMIFS(V_waste,V_loop,INDEX(LoopU,35),V_x_unit,"&gt;0")</f>
        <v>0</v>
      </c>
    </row>
    <row r="55" customFormat="false" ht="15" hidden="false" customHeight="false" outlineLevel="0" collapsed="false">
      <c r="B55" s="31" t="n">
        <v>36</v>
      </c>
      <c r="C55" s="7" t="str">
        <f aca="false">INDEX(LoopU,36)</f>
        <v>Loop 36</v>
      </c>
      <c r="D55" s="31" t="n">
        <f aca="false">SUMPRODUCT((V_loop=INDEX(LoopU,36))*(V_x_unit&gt;0)*ISNUMBER(V_vol))</f>
        <v>0</v>
      </c>
      <c r="E55" s="21" t="n">
        <f aca="false">SUMIFS(V_vol,V_loop,INDEX(LoopU,36),V_x_unit,"&gt;0")</f>
        <v>0</v>
      </c>
      <c r="F55" s="21" t="n">
        <f aca="false">SUMIFS(V_sol,V_loop,INDEX(LoopU,36),V_x_unit,"&gt;0")</f>
        <v>0</v>
      </c>
      <c r="G55" s="21" t="n">
        <f aca="false">SUMIFS(V_waste,V_loop,INDEX(LoopU,36),V_x_unit,"&gt;0")</f>
        <v>0</v>
      </c>
    </row>
    <row r="56" customFormat="false" ht="15" hidden="false" customHeight="false" outlineLevel="0" collapsed="false">
      <c r="B56" s="31" t="n">
        <v>37</v>
      </c>
      <c r="C56" s="7" t="str">
        <f aca="false">INDEX(LoopU,37)</f>
        <v>Loop 37</v>
      </c>
      <c r="D56" s="31" t="n">
        <f aca="false">SUMPRODUCT((V_loop=INDEX(LoopU,37))*(V_x_unit&gt;0)*ISNUMBER(V_vol))</f>
        <v>0</v>
      </c>
      <c r="E56" s="21" t="n">
        <f aca="false">SUMIFS(V_vol,V_loop,INDEX(LoopU,37),V_x_unit,"&gt;0")</f>
        <v>0</v>
      </c>
      <c r="F56" s="21" t="n">
        <f aca="false">SUMIFS(V_sol,V_loop,INDEX(LoopU,37),V_x_unit,"&gt;0")</f>
        <v>0</v>
      </c>
      <c r="G56" s="21" t="n">
        <f aca="false">SUMIFS(V_waste,V_loop,INDEX(LoopU,37),V_x_unit,"&gt;0")</f>
        <v>0</v>
      </c>
    </row>
    <row r="57" customFormat="false" ht="15" hidden="false" customHeight="false" outlineLevel="0" collapsed="false">
      <c r="B57" s="31" t="n">
        <v>38</v>
      </c>
      <c r="C57" s="7" t="str">
        <f aca="false">INDEX(LoopU,38)</f>
        <v>Loop 38</v>
      </c>
      <c r="D57" s="31" t="n">
        <f aca="false">SUMPRODUCT((V_loop=INDEX(LoopU,38))*(V_x_unit&gt;0)*ISNUMBER(V_vol))</f>
        <v>0</v>
      </c>
      <c r="E57" s="21" t="n">
        <f aca="false">SUMIFS(V_vol,V_loop,INDEX(LoopU,38),V_x_unit,"&gt;0")</f>
        <v>0</v>
      </c>
      <c r="F57" s="21" t="n">
        <f aca="false">SUMIFS(V_sol,V_loop,INDEX(LoopU,38),V_x_unit,"&gt;0")</f>
        <v>0</v>
      </c>
      <c r="G57" s="21" t="n">
        <f aca="false">SUMIFS(V_waste,V_loop,INDEX(LoopU,38),V_x_unit,"&gt;0")</f>
        <v>0</v>
      </c>
    </row>
    <row r="58" customFormat="false" ht="15" hidden="false" customHeight="false" outlineLevel="0" collapsed="false">
      <c r="B58" s="31" t="n">
        <v>39</v>
      </c>
      <c r="C58" s="7" t="str">
        <f aca="false">INDEX(LoopU,39)</f>
        <v>Loop 39</v>
      </c>
      <c r="D58" s="31" t="n">
        <f aca="false">SUMPRODUCT((V_loop=INDEX(LoopU,39))*(V_x_unit&gt;0)*ISNUMBER(V_vol))</f>
        <v>0</v>
      </c>
      <c r="E58" s="21" t="n">
        <f aca="false">SUMIFS(V_vol,V_loop,INDEX(LoopU,39),V_x_unit,"&gt;0")</f>
        <v>0</v>
      </c>
      <c r="F58" s="21" t="n">
        <f aca="false">SUMIFS(V_sol,V_loop,INDEX(LoopU,39),V_x_unit,"&gt;0")</f>
        <v>0</v>
      </c>
      <c r="G58" s="21" t="n">
        <f aca="false">SUMIFS(V_waste,V_loop,INDEX(LoopU,39),V_x_unit,"&gt;0")</f>
        <v>0</v>
      </c>
    </row>
    <row r="59" customFormat="false" ht="15" hidden="false" customHeight="false" outlineLevel="0" collapsed="false">
      <c r="B59" s="31" t="n">
        <v>40</v>
      </c>
      <c r="C59" s="7" t="str">
        <f aca="false">INDEX(LoopU,40)</f>
        <v>Loop 40</v>
      </c>
      <c r="D59" s="31" t="n">
        <f aca="false">SUMPRODUCT((V_loop=INDEX(LoopU,40))*(V_x_unit&gt;0)*ISNUMBER(V_vol))</f>
        <v>0</v>
      </c>
      <c r="E59" s="21" t="n">
        <f aca="false">SUMIFS(V_vol,V_loop,INDEX(LoopU,40),V_x_unit,"&gt;0")</f>
        <v>0</v>
      </c>
      <c r="F59" s="21" t="n">
        <f aca="false">SUMIFS(V_sol,V_loop,INDEX(LoopU,40),V_x_unit,"&gt;0")</f>
        <v>0</v>
      </c>
      <c r="G59" s="21" t="n">
        <f aca="false">SUMIFS(V_waste,V_loop,INDEX(LoopU,40),V_x_unit,"&gt;0")</f>
        <v>0</v>
      </c>
    </row>
    <row r="60" customFormat="false" ht="15" hidden="false" customHeight="false" outlineLevel="0" collapsed="false">
      <c r="B60" s="31" t="s">
        <v>12</v>
      </c>
      <c r="C60" s="7" t="s">
        <v>199</v>
      </c>
      <c r="D60" s="31" t="n">
        <f aca="false">SUMPRODUCT((V_loop="")*(V_x_unit&gt;0)*ISNUMBER(V_vol))</f>
        <v>1</v>
      </c>
      <c r="E60" s="21" t="n">
        <f aca="false">SUMIFS(V_vol,V_loop,"",V_x_unit,"&gt;0")</f>
        <v>2.23750320965139</v>
      </c>
      <c r="F60" s="21" t="n">
        <f aca="false">SUMIFS(V_sol,V_loop,"",V_x_unit,"&gt;0")</f>
        <v>2.5731286910991</v>
      </c>
      <c r="G60" s="21" t="n">
        <f aca="false">SUMIFS(V_waste,V_loop,"",V_x_unit,"&gt;0")</f>
        <v>16.0820543193694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38"/>
    <col collapsed="false" customWidth="true" hidden="false" outlineLevel="0" max="5" min="4" style="0" width="14"/>
    <col collapsed="false" customWidth="true" hidden="false" outlineLevel="0" max="6" min="6" style="0" width="12"/>
    <col collapsed="false" customWidth="true" hidden="false" outlineLevel="0" max="8" min="7" style="0" width="14"/>
    <col collapsed="false" customWidth="true" hidden="false" outlineLevel="0" max="9" min="9" style="0" width="16"/>
    <col collapsed="false" customWidth="true" hidden="false" outlineLevel="0" max="10" min="10" style="0" width="30"/>
  </cols>
  <sheetData>
    <row r="1" customFormat="false" ht="19.7" hidden="false" customHeight="false" outlineLevel="0" collapsed="false">
      <c r="B1" s="1" t="s">
        <v>200</v>
      </c>
    </row>
    <row r="2" customFormat="false" ht="15" hidden="false" customHeight="false" outlineLevel="0" collapsed="false">
      <c r="B2" s="9" t="s">
        <v>201</v>
      </c>
    </row>
    <row r="4" customFormat="false" ht="22.35" hidden="false" customHeight="false" outlineLevel="0" collapsed="false">
      <c r="B4" s="12" t="s">
        <v>125</v>
      </c>
      <c r="C4" s="12" t="s">
        <v>202</v>
      </c>
      <c r="D4" s="12" t="s">
        <v>203</v>
      </c>
      <c r="E4" s="12" t="s">
        <v>204</v>
      </c>
      <c r="F4" s="12" t="s">
        <v>205</v>
      </c>
      <c r="G4" s="12" t="s">
        <v>206</v>
      </c>
    </row>
    <row r="5" customFormat="false" ht="15" hidden="false" customHeight="false" outlineLevel="0" collapsed="false">
      <c r="B5" s="16" t="n">
        <v>1</v>
      </c>
      <c r="C5" s="4" t="str">
        <f aca="false">INDEX(RegU,1)</f>
        <v>SS</v>
      </c>
      <c r="D5" s="21" t="n">
        <f aca="false">$E$12</f>
        <v>38.5445693719475</v>
      </c>
      <c r="E5" s="21" t="n">
        <f aca="false">G29</f>
        <v>2.10067903077114</v>
      </c>
      <c r="F5" s="33" t="n">
        <f aca="false">H29</f>
        <v>14415.6689451084</v>
      </c>
      <c r="G5" s="34" t="n">
        <f aca="false">I29</f>
        <v>374</v>
      </c>
    </row>
    <row r="6" customFormat="false" ht="15" hidden="false" customHeight="false" outlineLevel="0" collapsed="false">
      <c r="B6" s="16" t="n">
        <v>2</v>
      </c>
      <c r="C6" s="4" t="str">
        <f aca="false">INDEX(RegU,2)</f>
        <v>CS</v>
      </c>
      <c r="D6" s="21" t="n">
        <f aca="false">$E$33</f>
        <v>2.5731286910991</v>
      </c>
      <c r="E6" s="21" t="n">
        <f aca="false">G50</f>
        <v>0.21795450270218</v>
      </c>
      <c r="F6" s="33" t="n">
        <f aca="false">H50</f>
        <v>1349.89481904885</v>
      </c>
      <c r="G6" s="34" t="n">
        <f aca="false">I50</f>
        <v>524.612244897959</v>
      </c>
    </row>
    <row r="7" customFormat="false" ht="15" hidden="false" customHeight="false" outlineLevel="0" collapsed="false">
      <c r="B7" s="16" t="n">
        <v>3</v>
      </c>
      <c r="C7" s="4" t="str">
        <f aca="false">INDEX(RegU,3)</f>
        <v>Regime 3</v>
      </c>
      <c r="D7" s="21" t="n">
        <f aca="false">$E$54</f>
        <v>0</v>
      </c>
      <c r="E7" s="21" t="n">
        <f aca="false">G71</f>
        <v>0</v>
      </c>
      <c r="F7" s="33" t="n">
        <f aca="false">H71</f>
        <v>0</v>
      </c>
      <c r="G7" s="34" t="n">
        <f aca="false">I71</f>
        <v>0</v>
      </c>
    </row>
    <row r="8" customFormat="false" ht="15" hidden="false" customHeight="false" outlineLevel="0" collapsed="false">
      <c r="B8" s="16" t="n">
        <v>4</v>
      </c>
      <c r="C8" s="4" t="str">
        <f aca="false">INDEX(RegU,4)</f>
        <v>Regime 4</v>
      </c>
      <c r="D8" s="21" t="n">
        <f aca="false">$E$75</f>
        <v>0</v>
      </c>
      <c r="E8" s="21" t="n">
        <f aca="false">G92</f>
        <v>0</v>
      </c>
      <c r="F8" s="33" t="n">
        <f aca="false">H92</f>
        <v>0</v>
      </c>
      <c r="G8" s="34" t="n">
        <f aca="false">I92</f>
        <v>0</v>
      </c>
    </row>
    <row r="9" customFormat="false" ht="15" hidden="false" customHeight="false" outlineLevel="0" collapsed="false">
      <c r="B9" s="9" t="s">
        <v>207</v>
      </c>
    </row>
    <row r="11" customFormat="false" ht="15" hidden="false" customHeight="false" outlineLevel="0" collapsed="false">
      <c r="B11" s="35" t="str">
        <f aca="false">"REGIME 1:  "&amp;INDEX(RegU,1)</f>
        <v>REGIME 1:  SS</v>
      </c>
      <c r="C11" s="35"/>
      <c r="D11" s="35"/>
      <c r="E11" s="35"/>
      <c r="F11" s="35"/>
      <c r="G11" s="35"/>
      <c r="H11" s="35"/>
      <c r="I11" s="35"/>
      <c r="J11" s="35"/>
    </row>
    <row r="12" customFormat="false" ht="15" hidden="false" customHeight="false" outlineLevel="0" collapsed="false">
      <c r="C12" s="3" t="s">
        <v>208</v>
      </c>
      <c r="E12" s="36" t="n">
        <f aca="false">SUMIFS(V_sol,V_reg,INDEX(RegU,1),V_x_unit,"&gt;0")</f>
        <v>38.5445693719475</v>
      </c>
    </row>
    <row r="13" customFormat="false" ht="15" hidden="false" customHeight="false" outlineLevel="0" collapsed="false">
      <c r="B13" s="12" t="s">
        <v>209</v>
      </c>
      <c r="C13" s="12" t="s">
        <v>210</v>
      </c>
      <c r="D13" s="12" t="s">
        <v>211</v>
      </c>
      <c r="E13" s="12" t="s">
        <v>212</v>
      </c>
      <c r="F13" s="12" t="s">
        <v>213</v>
      </c>
      <c r="G13" s="12" t="s">
        <v>214</v>
      </c>
      <c r="H13" s="12" t="s">
        <v>215</v>
      </c>
      <c r="I13" s="12" t="s">
        <v>216</v>
      </c>
      <c r="J13" s="12" t="s">
        <v>217</v>
      </c>
    </row>
    <row r="14" customFormat="false" ht="15" hidden="false" customHeight="false" outlineLevel="0" collapsed="false">
      <c r="B14" s="16" t="n">
        <v>1</v>
      </c>
      <c r="C14" s="5" t="s">
        <v>218</v>
      </c>
      <c r="D14" s="37"/>
      <c r="E14" s="38" t="n">
        <v>0.49</v>
      </c>
      <c r="F14" s="39" t="n">
        <v>3</v>
      </c>
      <c r="G14" s="21" t="n">
        <f aca="false">IF(OR(N(D14)=0,N(E14)=0),0,$E$12*D14/E14)</f>
        <v>0</v>
      </c>
      <c r="H14" s="33" t="n">
        <f aca="false">G14*1000*N(F14)</f>
        <v>0</v>
      </c>
      <c r="I14" s="33" t="n">
        <f aca="false">IF(OR(N(D14)=0,N(E14)=0),0,D14/E14*N(F14)*1000)</f>
        <v>0</v>
      </c>
      <c r="J14" s="40"/>
    </row>
    <row r="15" customFormat="false" ht="15" hidden="false" customHeight="false" outlineLevel="0" collapsed="false">
      <c r="B15" s="16" t="n">
        <v>2</v>
      </c>
      <c r="C15" s="5" t="s">
        <v>219</v>
      </c>
      <c r="D15" s="37" t="n">
        <v>0.03</v>
      </c>
      <c r="E15" s="38" t="n">
        <v>1</v>
      </c>
      <c r="F15" s="39" t="n">
        <v>4</v>
      </c>
      <c r="G15" s="21" t="n">
        <f aca="false">IF(OR(N(D15)=0,N(E15)=0),0,$E$12*D15/E15)</f>
        <v>1.15633708115843</v>
      </c>
      <c r="H15" s="33" t="n">
        <f aca="false">G15*1000*N(F15)</f>
        <v>4625.3483246337</v>
      </c>
      <c r="I15" s="33" t="n">
        <f aca="false">IF(OR(N(D15)=0,N(E15)=0),0,D15/E15*N(F15)*1000)</f>
        <v>120</v>
      </c>
      <c r="J15" s="40"/>
    </row>
    <row r="16" customFormat="false" ht="15" hidden="false" customHeight="false" outlineLevel="0" collapsed="false">
      <c r="B16" s="16" t="n">
        <v>3</v>
      </c>
      <c r="C16" s="5" t="s">
        <v>220</v>
      </c>
      <c r="D16" s="37"/>
      <c r="E16" s="38" t="n">
        <v>1</v>
      </c>
      <c r="F16" s="39" t="n">
        <v>16</v>
      </c>
      <c r="G16" s="21" t="n">
        <f aca="false">IF(OR(N(D16)=0,N(E16)=0),0,$E$12*D16/E16)</f>
        <v>0</v>
      </c>
      <c r="H16" s="33" t="n">
        <f aca="false">G16*1000*N(F16)</f>
        <v>0</v>
      </c>
      <c r="I16" s="33" t="n">
        <f aca="false">IF(OR(N(D16)=0,N(E16)=0),0,D16/E16*N(F16)*1000)</f>
        <v>0</v>
      </c>
      <c r="J16" s="40"/>
    </row>
    <row r="17" customFormat="false" ht="15" hidden="false" customHeight="false" outlineLevel="0" collapsed="false">
      <c r="B17" s="16" t="n">
        <v>4</v>
      </c>
      <c r="C17" s="5" t="s">
        <v>221</v>
      </c>
      <c r="D17" s="37"/>
      <c r="E17" s="38" t="n">
        <v>1</v>
      </c>
      <c r="F17" s="39" t="n">
        <v>9</v>
      </c>
      <c r="G17" s="21" t="n">
        <f aca="false">IF(OR(N(D17)=0,N(E17)=0),0,$E$12*D17/E17)</f>
        <v>0</v>
      </c>
      <c r="H17" s="33" t="n">
        <f aca="false">G17*1000*N(F17)</f>
        <v>0</v>
      </c>
      <c r="I17" s="33" t="n">
        <f aca="false">IF(OR(N(D17)=0,N(E17)=0),0,D17/E17*N(F17)*1000)</f>
        <v>0</v>
      </c>
      <c r="J17" s="40"/>
    </row>
    <row r="18" customFormat="false" ht="15" hidden="false" customHeight="false" outlineLevel="0" collapsed="false">
      <c r="B18" s="16" t="n">
        <v>5</v>
      </c>
      <c r="C18" s="5" t="s">
        <v>222</v>
      </c>
      <c r="D18" s="37"/>
      <c r="E18" s="38" t="n">
        <v>1</v>
      </c>
      <c r="F18" s="39" t="n">
        <v>6</v>
      </c>
      <c r="G18" s="21" t="n">
        <f aca="false">IF(OR(N(D18)=0,N(E18)=0),0,$E$12*D18/E18)</f>
        <v>0</v>
      </c>
      <c r="H18" s="33" t="n">
        <f aca="false">G18*1000*N(F18)</f>
        <v>0</v>
      </c>
      <c r="I18" s="33" t="n">
        <f aca="false">IF(OR(N(D18)=0,N(E18)=0),0,D18/E18*N(F18)*1000)</f>
        <v>0</v>
      </c>
      <c r="J18" s="40"/>
    </row>
    <row r="19" customFormat="false" ht="15" hidden="false" customHeight="false" outlineLevel="0" collapsed="false">
      <c r="B19" s="16" t="n">
        <v>6</v>
      </c>
      <c r="C19" s="5" t="s">
        <v>223</v>
      </c>
      <c r="D19" s="37" t="n">
        <v>0.0025</v>
      </c>
      <c r="E19" s="38" t="n">
        <v>1</v>
      </c>
      <c r="F19" s="39" t="n">
        <v>12</v>
      </c>
      <c r="G19" s="21" t="n">
        <f aca="false">IF(OR(N(D19)=0,N(E19)=0),0,$E$12*D19/E19)</f>
        <v>0.0963614234298688</v>
      </c>
      <c r="H19" s="33" t="n">
        <f aca="false">G19*1000*N(F19)</f>
        <v>1156.33708115843</v>
      </c>
      <c r="I19" s="33" t="n">
        <f aca="false">IF(OR(N(D19)=0,N(E19)=0),0,D19/E19*N(F19)*1000)</f>
        <v>30</v>
      </c>
      <c r="J19" s="40"/>
    </row>
    <row r="20" customFormat="false" ht="15" hidden="false" customHeight="false" outlineLevel="0" collapsed="false">
      <c r="B20" s="16" t="n">
        <v>7</v>
      </c>
      <c r="C20" s="5" t="s">
        <v>224</v>
      </c>
      <c r="D20" s="37" t="n">
        <v>0.002</v>
      </c>
      <c r="E20" s="38" t="n">
        <v>1</v>
      </c>
      <c r="F20" s="39" t="n">
        <v>12</v>
      </c>
      <c r="G20" s="21" t="n">
        <f aca="false">IF(OR(N(D20)=0,N(E20)=0),0,$E$12*D20/E20)</f>
        <v>0.077089138743895</v>
      </c>
      <c r="H20" s="33" t="n">
        <f aca="false">G20*1000*N(F20)</f>
        <v>925.06966492674</v>
      </c>
      <c r="I20" s="33" t="n">
        <f aca="false">IF(OR(N(D20)=0,N(E20)=0),0,D20/E20*N(F20)*1000)</f>
        <v>24</v>
      </c>
      <c r="J20" s="40"/>
    </row>
    <row r="21" customFormat="false" ht="15" hidden="false" customHeight="false" outlineLevel="0" collapsed="false">
      <c r="B21" s="16" t="n">
        <v>8</v>
      </c>
      <c r="C21" s="5" t="s">
        <v>225</v>
      </c>
      <c r="D21" s="37"/>
      <c r="E21" s="38" t="n">
        <v>0.35</v>
      </c>
      <c r="F21" s="39" t="n">
        <v>4</v>
      </c>
      <c r="G21" s="21" t="n">
        <f aca="false">IF(OR(N(D21)=0,N(E21)=0),0,$E$12*D21/E21)</f>
        <v>0</v>
      </c>
      <c r="H21" s="33" t="n">
        <f aca="false">G21*1000*N(F21)</f>
        <v>0</v>
      </c>
      <c r="I21" s="33" t="n">
        <f aca="false">IF(OR(N(D21)=0,N(E21)=0),0,D21/E21*N(F21)*1000)</f>
        <v>0</v>
      </c>
      <c r="J21" s="40"/>
    </row>
    <row r="22" customFormat="false" ht="15" hidden="false" customHeight="false" outlineLevel="0" collapsed="false">
      <c r="B22" s="16" t="n">
        <v>9</v>
      </c>
      <c r="C22" s="5" t="s">
        <v>226</v>
      </c>
      <c r="D22" s="37"/>
      <c r="E22" s="38" t="n">
        <v>0.25</v>
      </c>
      <c r="F22" s="39" t="n">
        <v>6</v>
      </c>
      <c r="G22" s="21" t="n">
        <f aca="false">IF(OR(N(D22)=0,N(E22)=0),0,$E$12*D22/E22)</f>
        <v>0</v>
      </c>
      <c r="H22" s="33" t="n">
        <f aca="false">G22*1000*N(F22)</f>
        <v>0</v>
      </c>
      <c r="I22" s="33" t="n">
        <f aca="false">IF(OR(N(D22)=0,N(E22)=0),0,D22/E22*N(F22)*1000)</f>
        <v>0</v>
      </c>
      <c r="J22" s="40"/>
    </row>
    <row r="23" customFormat="false" ht="15" hidden="false" customHeight="false" outlineLevel="0" collapsed="false">
      <c r="B23" s="16" t="n">
        <v>10</v>
      </c>
      <c r="C23" s="5" t="s">
        <v>227</v>
      </c>
      <c r="D23" s="37" t="n">
        <v>0.02</v>
      </c>
      <c r="E23" s="38" t="n">
        <v>1</v>
      </c>
      <c r="F23" s="39" t="n">
        <v>10</v>
      </c>
      <c r="G23" s="21" t="n">
        <f aca="false">IF(OR(N(D23)=0,N(E23)=0),0,$E$12*D23/E23)</f>
        <v>0.77089138743895</v>
      </c>
      <c r="H23" s="33" t="n">
        <f aca="false">G23*1000*N(F23)</f>
        <v>7708.9138743895</v>
      </c>
      <c r="I23" s="33" t="n">
        <f aca="false">IF(OR(N(D23)=0,N(E23)=0),0,D23/E23*N(F23)*1000)</f>
        <v>200</v>
      </c>
      <c r="J23" s="40"/>
    </row>
    <row r="24" customFormat="false" ht="15" hidden="false" customHeight="false" outlineLevel="0" collapsed="false">
      <c r="B24" s="16" t="n">
        <v>11</v>
      </c>
      <c r="C24" s="5" t="s">
        <v>228</v>
      </c>
      <c r="D24" s="37"/>
      <c r="E24" s="38" t="n">
        <v>0.33</v>
      </c>
      <c r="F24" s="39" t="n">
        <v>2</v>
      </c>
      <c r="G24" s="21" t="n">
        <f aca="false">IF(OR(N(D24)=0,N(E24)=0),0,$E$12*D24/E24)</f>
        <v>0</v>
      </c>
      <c r="H24" s="33" t="n">
        <f aca="false">G24*1000*N(F24)</f>
        <v>0</v>
      </c>
      <c r="I24" s="33" t="n">
        <f aca="false">IF(OR(N(D24)=0,N(E24)=0),0,D24/E24*N(F24)*1000)</f>
        <v>0</v>
      </c>
      <c r="J24" s="40"/>
    </row>
    <row r="25" customFormat="false" ht="15" hidden="false" customHeight="false" outlineLevel="0" collapsed="false">
      <c r="B25" s="16" t="n">
        <v>12</v>
      </c>
      <c r="C25" s="5" t="s">
        <v>229</v>
      </c>
      <c r="D25" s="37"/>
      <c r="E25" s="38" t="n">
        <v>0.98</v>
      </c>
      <c r="F25" s="39" t="n">
        <v>8</v>
      </c>
      <c r="G25" s="21" t="n">
        <f aca="false">IF(OR(N(D25)=0,N(E25)=0),0,$E$12*D25/E25)</f>
        <v>0</v>
      </c>
      <c r="H25" s="33" t="n">
        <f aca="false">G25*1000*N(F25)</f>
        <v>0</v>
      </c>
      <c r="I25" s="33" t="n">
        <f aca="false">IF(OR(N(D25)=0,N(E25)=0),0,D25/E25*N(F25)*1000)</f>
        <v>0</v>
      </c>
      <c r="J25" s="40"/>
    </row>
    <row r="26" customFormat="false" ht="15" hidden="false" customHeight="false" outlineLevel="0" collapsed="false">
      <c r="B26" s="16" t="n">
        <v>13</v>
      </c>
      <c r="C26" s="5" t="s">
        <v>230</v>
      </c>
      <c r="D26" s="37"/>
      <c r="E26" s="38" t="n">
        <v>1</v>
      </c>
      <c r="F26" s="39" t="n">
        <v>8</v>
      </c>
      <c r="G26" s="21" t="n">
        <f aca="false">IF(OR(N(D26)=0,N(E26)=0),0,$E$12*D26/E26)</f>
        <v>0</v>
      </c>
      <c r="H26" s="33" t="n">
        <f aca="false">G26*1000*N(F26)</f>
        <v>0</v>
      </c>
      <c r="I26" s="33" t="n">
        <f aca="false">IF(OR(N(D26)=0,N(E26)=0),0,D26/E26*N(F26)*1000)</f>
        <v>0</v>
      </c>
      <c r="J26" s="40"/>
    </row>
    <row r="27" customFormat="false" ht="15" hidden="false" customHeight="false" outlineLevel="0" collapsed="false">
      <c r="B27" s="16" t="n">
        <v>14</v>
      </c>
      <c r="C27" s="5" t="s">
        <v>231</v>
      </c>
      <c r="D27" s="37"/>
      <c r="E27" s="38" t="n">
        <v>1</v>
      </c>
      <c r="F27" s="39" t="n">
        <v>6</v>
      </c>
      <c r="G27" s="21" t="n">
        <f aca="false">IF(OR(N(D27)=0,N(E27)=0),0,$E$12*D27/E27)</f>
        <v>0</v>
      </c>
      <c r="H27" s="33" t="n">
        <f aca="false">G27*1000*N(F27)</f>
        <v>0</v>
      </c>
      <c r="I27" s="33" t="n">
        <f aca="false">IF(OR(N(D27)=0,N(E27)=0),0,D27/E27*N(F27)*1000)</f>
        <v>0</v>
      </c>
      <c r="J27" s="40"/>
    </row>
    <row r="28" customFormat="false" ht="15" hidden="false" customHeight="false" outlineLevel="0" collapsed="false">
      <c r="B28" s="16" t="n">
        <v>15</v>
      </c>
      <c r="C28" s="5" t="s">
        <v>232</v>
      </c>
      <c r="D28" s="37"/>
      <c r="E28" s="38" t="n">
        <v>1</v>
      </c>
      <c r="F28" s="39" t="n">
        <v>9</v>
      </c>
      <c r="G28" s="21" t="n">
        <f aca="false">IF(OR(N(D28)=0,N(E28)=0),0,$E$12*D28/E28)</f>
        <v>0</v>
      </c>
      <c r="H28" s="33" t="n">
        <f aca="false">G28*1000*N(F28)</f>
        <v>0</v>
      </c>
      <c r="I28" s="33" t="n">
        <f aca="false">IF(OR(N(D28)=0,N(E28)=0),0,D28/E28*N(F28)*1000)</f>
        <v>0</v>
      </c>
      <c r="J28" s="40"/>
    </row>
    <row r="29" customFormat="false" ht="15" hidden="false" customHeight="false" outlineLevel="0" collapsed="false">
      <c r="C29" s="3" t="s">
        <v>197</v>
      </c>
      <c r="G29" s="22" t="n">
        <f aca="false">SUM(G14:G28)</f>
        <v>2.10067903077114</v>
      </c>
      <c r="H29" s="34" t="n">
        <f aca="false">SUM(H14:H28)</f>
        <v>14415.6689451084</v>
      </c>
      <c r="I29" s="34" t="n">
        <f aca="false">SUM(I14:I28)</f>
        <v>374</v>
      </c>
      <c r="J29" s="13" t="s">
        <v>233</v>
      </c>
    </row>
    <row r="32" customFormat="false" ht="15" hidden="false" customHeight="false" outlineLevel="0" collapsed="false">
      <c r="B32" s="35" t="str">
        <f aca="false">"REGIME 2:  "&amp;INDEX(RegU,2)</f>
        <v>REGIME 2:  CS</v>
      </c>
      <c r="C32" s="35"/>
      <c r="D32" s="35"/>
      <c r="E32" s="35"/>
      <c r="F32" s="35"/>
      <c r="G32" s="35"/>
      <c r="H32" s="35"/>
      <c r="I32" s="35"/>
      <c r="J32" s="35"/>
    </row>
    <row r="33" customFormat="false" ht="15" hidden="false" customHeight="false" outlineLevel="0" collapsed="false">
      <c r="C33" s="3" t="s">
        <v>208</v>
      </c>
      <c r="E33" s="36" t="n">
        <f aca="false">SUMIFS(V_sol,V_reg,INDEX(RegU,2),V_x_unit,"&gt;0")</f>
        <v>2.5731286910991</v>
      </c>
    </row>
    <row r="34" customFormat="false" ht="15" hidden="false" customHeight="false" outlineLevel="0" collapsed="false">
      <c r="B34" s="12" t="s">
        <v>209</v>
      </c>
      <c r="C34" s="12" t="s">
        <v>210</v>
      </c>
      <c r="D34" s="12" t="s">
        <v>211</v>
      </c>
      <c r="E34" s="12" t="s">
        <v>212</v>
      </c>
      <c r="F34" s="12" t="s">
        <v>213</v>
      </c>
      <c r="G34" s="12" t="s">
        <v>214</v>
      </c>
      <c r="H34" s="12" t="s">
        <v>215</v>
      </c>
      <c r="I34" s="12" t="s">
        <v>216</v>
      </c>
      <c r="J34" s="12" t="s">
        <v>217</v>
      </c>
    </row>
    <row r="35" customFormat="false" ht="15" hidden="false" customHeight="false" outlineLevel="0" collapsed="false">
      <c r="B35" s="16" t="n">
        <v>1</v>
      </c>
      <c r="C35" s="5" t="s">
        <v>218</v>
      </c>
      <c r="D35" s="37" t="n">
        <v>0.005</v>
      </c>
      <c r="E35" s="38" t="n">
        <v>0.49</v>
      </c>
      <c r="F35" s="39" t="n">
        <v>3</v>
      </c>
      <c r="G35" s="21" t="n">
        <f aca="false">IF(OR(N(D35)=0,N(E35)=0),0,$E$33*D35/E35)</f>
        <v>0.0262564152152969</v>
      </c>
      <c r="H35" s="33" t="n">
        <f aca="false">G35*1000*N(F35)</f>
        <v>78.7692456458908</v>
      </c>
      <c r="I35" s="33" t="n">
        <f aca="false">IF(OR(N(D35)=0,N(E35)=0),0,D35/E35*N(F35)*1000)</f>
        <v>30.6122448979592</v>
      </c>
      <c r="J35" s="40"/>
    </row>
    <row r="36" customFormat="false" ht="15" hidden="false" customHeight="false" outlineLevel="0" collapsed="false">
      <c r="B36" s="16" t="n">
        <v>2</v>
      </c>
      <c r="C36" s="5" t="s">
        <v>219</v>
      </c>
      <c r="D36" s="37" t="n">
        <v>0.04</v>
      </c>
      <c r="E36" s="38" t="n">
        <v>1</v>
      </c>
      <c r="F36" s="39" t="n">
        <v>4</v>
      </c>
      <c r="G36" s="21" t="n">
        <f aca="false">IF(OR(N(D36)=0,N(E36)=0),0,$E$33*D36/E36)</f>
        <v>0.102925147643964</v>
      </c>
      <c r="H36" s="33" t="n">
        <f aca="false">G36*1000*N(F36)</f>
        <v>411.700590575856</v>
      </c>
      <c r="I36" s="33" t="n">
        <f aca="false">IF(OR(N(D36)=0,N(E36)=0),0,D36/E36*N(F36)*1000)</f>
        <v>160</v>
      </c>
      <c r="J36" s="40"/>
    </row>
    <row r="37" customFormat="false" ht="15" hidden="false" customHeight="false" outlineLevel="0" collapsed="false">
      <c r="B37" s="16" t="n">
        <v>3</v>
      </c>
      <c r="C37" s="5" t="s">
        <v>220</v>
      </c>
      <c r="D37" s="37"/>
      <c r="E37" s="38" t="n">
        <v>1</v>
      </c>
      <c r="F37" s="39" t="n">
        <v>16</v>
      </c>
      <c r="G37" s="21" t="n">
        <f aca="false">IF(OR(N(D37)=0,N(E37)=0),0,$E$33*D37/E37)</f>
        <v>0</v>
      </c>
      <c r="H37" s="33" t="n">
        <f aca="false">G37*1000*N(F37)</f>
        <v>0</v>
      </c>
      <c r="I37" s="33" t="n">
        <f aca="false">IF(OR(N(D37)=0,N(E37)=0),0,D37/E37*N(F37)*1000)</f>
        <v>0</v>
      </c>
      <c r="J37" s="40"/>
    </row>
    <row r="38" customFormat="false" ht="15" hidden="false" customHeight="false" outlineLevel="0" collapsed="false">
      <c r="B38" s="16" t="n">
        <v>4</v>
      </c>
      <c r="C38" s="5" t="s">
        <v>221</v>
      </c>
      <c r="D38" s="37"/>
      <c r="E38" s="38" t="n">
        <v>1</v>
      </c>
      <c r="F38" s="39" t="n">
        <v>9</v>
      </c>
      <c r="G38" s="21" t="n">
        <f aca="false">IF(OR(N(D38)=0,N(E38)=0),0,$E$33*D38/E38)</f>
        <v>0</v>
      </c>
      <c r="H38" s="33" t="n">
        <f aca="false">G38*1000*N(F38)</f>
        <v>0</v>
      </c>
      <c r="I38" s="33" t="n">
        <f aca="false">IF(OR(N(D38)=0,N(E38)=0),0,D38/E38*N(F38)*1000)</f>
        <v>0</v>
      </c>
      <c r="J38" s="40"/>
    </row>
    <row r="39" customFormat="false" ht="15" hidden="false" customHeight="false" outlineLevel="0" collapsed="false">
      <c r="B39" s="16" t="n">
        <v>5</v>
      </c>
      <c r="C39" s="5" t="s">
        <v>222</v>
      </c>
      <c r="D39" s="37"/>
      <c r="E39" s="38" t="n">
        <v>1</v>
      </c>
      <c r="F39" s="39" t="n">
        <v>6</v>
      </c>
      <c r="G39" s="21" t="n">
        <f aca="false">IF(OR(N(D39)=0,N(E39)=0),0,$E$33*D39/E39)</f>
        <v>0</v>
      </c>
      <c r="H39" s="33" t="n">
        <f aca="false">G39*1000*N(F39)</f>
        <v>0</v>
      </c>
      <c r="I39" s="33" t="n">
        <f aca="false">IF(OR(N(D39)=0,N(E39)=0),0,D39/E39*N(F39)*1000)</f>
        <v>0</v>
      </c>
      <c r="J39" s="40"/>
    </row>
    <row r="40" customFormat="false" ht="15" hidden="false" customHeight="false" outlineLevel="0" collapsed="false">
      <c r="B40" s="16" t="n">
        <v>6</v>
      </c>
      <c r="C40" s="5" t="s">
        <v>223</v>
      </c>
      <c r="D40" s="37" t="n">
        <v>0.0025</v>
      </c>
      <c r="E40" s="38" t="n">
        <v>1</v>
      </c>
      <c r="F40" s="39" t="n">
        <v>12</v>
      </c>
      <c r="G40" s="21" t="n">
        <f aca="false">IF(OR(N(D40)=0,N(E40)=0),0,$E$33*D40/E40)</f>
        <v>0.00643282172774775</v>
      </c>
      <c r="H40" s="33" t="n">
        <f aca="false">G40*1000*N(F40)</f>
        <v>77.193860732973</v>
      </c>
      <c r="I40" s="33" t="n">
        <f aca="false">IF(OR(N(D40)=0,N(E40)=0),0,D40/E40*N(F40)*1000)</f>
        <v>30</v>
      </c>
      <c r="J40" s="40"/>
    </row>
    <row r="41" customFormat="false" ht="15" hidden="false" customHeight="false" outlineLevel="0" collapsed="false">
      <c r="B41" s="16" t="n">
        <v>7</v>
      </c>
      <c r="C41" s="5" t="s">
        <v>224</v>
      </c>
      <c r="D41" s="37" t="n">
        <v>0.002</v>
      </c>
      <c r="E41" s="38" t="n">
        <v>1</v>
      </c>
      <c r="F41" s="39" t="n">
        <v>12</v>
      </c>
      <c r="G41" s="21" t="n">
        <f aca="false">IF(OR(N(D41)=0,N(E41)=0),0,$E$33*D41/E41)</f>
        <v>0.0051462573821982</v>
      </c>
      <c r="H41" s="33" t="n">
        <f aca="false">G41*1000*N(F41)</f>
        <v>61.7550885863784</v>
      </c>
      <c r="I41" s="33" t="n">
        <f aca="false">IF(OR(N(D41)=0,N(E41)=0),0,D41/E41*N(F41)*1000)</f>
        <v>24</v>
      </c>
      <c r="J41" s="40"/>
    </row>
    <row r="42" customFormat="false" ht="15" hidden="false" customHeight="false" outlineLevel="0" collapsed="false">
      <c r="B42" s="16" t="n">
        <v>8</v>
      </c>
      <c r="C42" s="5" t="s">
        <v>225</v>
      </c>
      <c r="D42" s="37"/>
      <c r="E42" s="38" t="n">
        <v>0.35</v>
      </c>
      <c r="F42" s="39" t="n">
        <v>4</v>
      </c>
      <c r="G42" s="21" t="n">
        <f aca="false">IF(OR(N(D42)=0,N(E42)=0),0,$E$33*D42/E42)</f>
        <v>0</v>
      </c>
      <c r="H42" s="33" t="n">
        <f aca="false">G42*1000*N(F42)</f>
        <v>0</v>
      </c>
      <c r="I42" s="33" t="n">
        <f aca="false">IF(OR(N(D42)=0,N(E42)=0),0,D42/E42*N(F42)*1000)</f>
        <v>0</v>
      </c>
      <c r="J42" s="40"/>
    </row>
    <row r="43" customFormat="false" ht="15" hidden="false" customHeight="false" outlineLevel="0" collapsed="false">
      <c r="B43" s="16" t="n">
        <v>9</v>
      </c>
      <c r="C43" s="5" t="s">
        <v>226</v>
      </c>
      <c r="D43" s="37"/>
      <c r="E43" s="38" t="n">
        <v>0.25</v>
      </c>
      <c r="F43" s="39" t="n">
        <v>6</v>
      </c>
      <c r="G43" s="21" t="n">
        <f aca="false">IF(OR(N(D43)=0,N(E43)=0),0,$E$33*D43/E43)</f>
        <v>0</v>
      </c>
      <c r="H43" s="33" t="n">
        <f aca="false">G43*1000*N(F43)</f>
        <v>0</v>
      </c>
      <c r="I43" s="33" t="n">
        <f aca="false">IF(OR(N(D43)=0,N(E43)=0),0,D43/E43*N(F43)*1000)</f>
        <v>0</v>
      </c>
      <c r="J43" s="40"/>
    </row>
    <row r="44" customFormat="false" ht="15" hidden="false" customHeight="false" outlineLevel="0" collapsed="false">
      <c r="B44" s="16" t="n">
        <v>10</v>
      </c>
      <c r="C44" s="5" t="s">
        <v>227</v>
      </c>
      <c r="D44" s="37" t="n">
        <v>0.02</v>
      </c>
      <c r="E44" s="38" t="n">
        <v>1</v>
      </c>
      <c r="F44" s="39" t="n">
        <v>10</v>
      </c>
      <c r="G44" s="21" t="n">
        <f aca="false">IF(OR(N(D44)=0,N(E44)=0),0,$E$33*D44/E44)</f>
        <v>0.051462573821982</v>
      </c>
      <c r="H44" s="33" t="n">
        <f aca="false">G44*1000*N(F44)</f>
        <v>514.62573821982</v>
      </c>
      <c r="I44" s="33" t="n">
        <f aca="false">IF(OR(N(D44)=0,N(E44)=0),0,D44/E44*N(F44)*1000)</f>
        <v>200</v>
      </c>
      <c r="J44" s="40"/>
    </row>
    <row r="45" customFormat="false" ht="15" hidden="false" customHeight="false" outlineLevel="0" collapsed="false">
      <c r="B45" s="16" t="n">
        <v>11</v>
      </c>
      <c r="C45" s="5" t="s">
        <v>228</v>
      </c>
      <c r="D45" s="37"/>
      <c r="E45" s="38" t="n">
        <v>0.33</v>
      </c>
      <c r="F45" s="39" t="n">
        <v>2</v>
      </c>
      <c r="G45" s="21" t="n">
        <f aca="false">IF(OR(N(D45)=0,N(E45)=0),0,$E$33*D45/E45)</f>
        <v>0</v>
      </c>
      <c r="H45" s="33" t="n">
        <f aca="false">G45*1000*N(F45)</f>
        <v>0</v>
      </c>
      <c r="I45" s="33" t="n">
        <f aca="false">IF(OR(N(D45)=0,N(E45)=0),0,D45/E45*N(F45)*1000)</f>
        <v>0</v>
      </c>
      <c r="J45" s="40"/>
    </row>
    <row r="46" customFormat="false" ht="15" hidden="false" customHeight="false" outlineLevel="0" collapsed="false">
      <c r="B46" s="16" t="n">
        <v>12</v>
      </c>
      <c r="C46" s="5" t="s">
        <v>229</v>
      </c>
      <c r="D46" s="37"/>
      <c r="E46" s="38" t="n">
        <v>0.98</v>
      </c>
      <c r="F46" s="39" t="n">
        <v>8</v>
      </c>
      <c r="G46" s="21" t="n">
        <f aca="false">IF(OR(N(D46)=0,N(E46)=0),0,$E$33*D46/E46)</f>
        <v>0</v>
      </c>
      <c r="H46" s="33" t="n">
        <f aca="false">G46*1000*N(F46)</f>
        <v>0</v>
      </c>
      <c r="I46" s="33" t="n">
        <f aca="false">IF(OR(N(D46)=0,N(E46)=0),0,D46/E46*N(F46)*1000)</f>
        <v>0</v>
      </c>
      <c r="J46" s="40"/>
    </row>
    <row r="47" customFormat="false" ht="15" hidden="false" customHeight="false" outlineLevel="0" collapsed="false">
      <c r="B47" s="16" t="n">
        <v>13</v>
      </c>
      <c r="C47" s="5" t="s">
        <v>230</v>
      </c>
      <c r="D47" s="37" t="n">
        <v>0.01</v>
      </c>
      <c r="E47" s="38" t="n">
        <v>1</v>
      </c>
      <c r="F47" s="39" t="n">
        <v>8</v>
      </c>
      <c r="G47" s="21" t="n">
        <f aca="false">IF(OR(N(D47)=0,N(E47)=0),0,$E$33*D47/E47)</f>
        <v>0.025731286910991</v>
      </c>
      <c r="H47" s="33" t="n">
        <f aca="false">G47*1000*N(F47)</f>
        <v>205.850295287928</v>
      </c>
      <c r="I47" s="33" t="n">
        <f aca="false">IF(OR(N(D47)=0,N(E47)=0),0,D47/E47*N(F47)*1000)</f>
        <v>80</v>
      </c>
      <c r="J47" s="40"/>
    </row>
    <row r="48" customFormat="false" ht="15" hidden="false" customHeight="false" outlineLevel="0" collapsed="false">
      <c r="B48" s="16" t="n">
        <v>14</v>
      </c>
      <c r="C48" s="5" t="s">
        <v>231</v>
      </c>
      <c r="D48" s="37"/>
      <c r="E48" s="38" t="n">
        <v>1</v>
      </c>
      <c r="F48" s="39" t="n">
        <v>6</v>
      </c>
      <c r="G48" s="21" t="n">
        <f aca="false">IF(OR(N(D48)=0,N(E48)=0),0,$E$33*D48/E48)</f>
        <v>0</v>
      </c>
      <c r="H48" s="33" t="n">
        <f aca="false">G48*1000*N(F48)</f>
        <v>0</v>
      </c>
      <c r="I48" s="33" t="n">
        <f aca="false">IF(OR(N(D48)=0,N(E48)=0),0,D48/E48*N(F48)*1000)</f>
        <v>0</v>
      </c>
      <c r="J48" s="40"/>
    </row>
    <row r="49" customFormat="false" ht="15" hidden="false" customHeight="false" outlineLevel="0" collapsed="false">
      <c r="B49" s="16" t="n">
        <v>15</v>
      </c>
      <c r="C49" s="5" t="s">
        <v>232</v>
      </c>
      <c r="D49" s="37"/>
      <c r="E49" s="38" t="n">
        <v>1</v>
      </c>
      <c r="F49" s="39" t="n">
        <v>9</v>
      </c>
      <c r="G49" s="21" t="n">
        <f aca="false">IF(OR(N(D49)=0,N(E49)=0),0,$E$33*D49/E49)</f>
        <v>0</v>
      </c>
      <c r="H49" s="33" t="n">
        <f aca="false">G49*1000*N(F49)</f>
        <v>0</v>
      </c>
      <c r="I49" s="33" t="n">
        <f aca="false">IF(OR(N(D49)=0,N(E49)=0),0,D49/E49*N(F49)*1000)</f>
        <v>0</v>
      </c>
      <c r="J49" s="40"/>
    </row>
    <row r="50" customFormat="false" ht="15" hidden="false" customHeight="false" outlineLevel="0" collapsed="false">
      <c r="C50" s="3" t="s">
        <v>197</v>
      </c>
      <c r="G50" s="22" t="n">
        <f aca="false">SUM(G35:G49)</f>
        <v>0.21795450270218</v>
      </c>
      <c r="H50" s="34" t="n">
        <f aca="false">SUM(H35:H49)</f>
        <v>1349.89481904885</v>
      </c>
      <c r="I50" s="34" t="n">
        <f aca="false">SUM(I35:I49)</f>
        <v>524.612244897959</v>
      </c>
      <c r="J50" s="13" t="s">
        <v>233</v>
      </c>
    </row>
    <row r="53" customFormat="false" ht="15" hidden="false" customHeight="false" outlineLevel="0" collapsed="false">
      <c r="B53" s="35" t="str">
        <f aca="false">"REGIME 3:  "&amp;INDEX(RegU,3)</f>
        <v>REGIME 3:  Regime 3</v>
      </c>
      <c r="C53" s="35"/>
      <c r="D53" s="35"/>
      <c r="E53" s="35"/>
      <c r="F53" s="35"/>
      <c r="G53" s="35"/>
      <c r="H53" s="35"/>
      <c r="I53" s="35"/>
      <c r="J53" s="35"/>
    </row>
    <row r="54" customFormat="false" ht="15" hidden="false" customHeight="false" outlineLevel="0" collapsed="false">
      <c r="C54" s="3" t="s">
        <v>208</v>
      </c>
      <c r="E54" s="36" t="n">
        <f aca="false">SUMIFS(V_sol,V_reg,INDEX(RegU,3),V_x_unit,"&gt;0")</f>
        <v>0</v>
      </c>
    </row>
    <row r="55" customFormat="false" ht="15" hidden="false" customHeight="false" outlineLevel="0" collapsed="false">
      <c r="B55" s="12" t="s">
        <v>209</v>
      </c>
      <c r="C55" s="12" t="s">
        <v>210</v>
      </c>
      <c r="D55" s="12" t="s">
        <v>211</v>
      </c>
      <c r="E55" s="12" t="s">
        <v>212</v>
      </c>
      <c r="F55" s="12" t="s">
        <v>213</v>
      </c>
      <c r="G55" s="12" t="s">
        <v>214</v>
      </c>
      <c r="H55" s="12" t="s">
        <v>215</v>
      </c>
      <c r="I55" s="12" t="s">
        <v>216</v>
      </c>
      <c r="J55" s="12" t="s">
        <v>217</v>
      </c>
    </row>
    <row r="56" customFormat="false" ht="15" hidden="false" customHeight="false" outlineLevel="0" collapsed="false">
      <c r="B56" s="16" t="n">
        <v>1</v>
      </c>
      <c r="C56" s="5" t="s">
        <v>218</v>
      </c>
      <c r="D56" s="37"/>
      <c r="E56" s="38" t="n">
        <v>0.49</v>
      </c>
      <c r="F56" s="39" t="n">
        <v>3</v>
      </c>
      <c r="G56" s="21" t="n">
        <f aca="false">IF(OR(N(D56)=0,N(E56)=0),0,$E$54*D56/E56)</f>
        <v>0</v>
      </c>
      <c r="H56" s="33" t="n">
        <f aca="false">G56*1000*N(F56)</f>
        <v>0</v>
      </c>
      <c r="I56" s="33" t="n">
        <f aca="false">IF(OR(N(D56)=0,N(E56)=0),0,D56/E56*N(F56)*1000)</f>
        <v>0</v>
      </c>
      <c r="J56" s="40"/>
    </row>
    <row r="57" customFormat="false" ht="15" hidden="false" customHeight="false" outlineLevel="0" collapsed="false">
      <c r="B57" s="16" t="n">
        <v>2</v>
      </c>
      <c r="C57" s="5" t="s">
        <v>219</v>
      </c>
      <c r="D57" s="37"/>
      <c r="E57" s="38" t="n">
        <v>1</v>
      </c>
      <c r="F57" s="39" t="n">
        <v>4</v>
      </c>
      <c r="G57" s="21" t="n">
        <f aca="false">IF(OR(N(D57)=0,N(E57)=0),0,$E$54*D57/E57)</f>
        <v>0</v>
      </c>
      <c r="H57" s="33" t="n">
        <f aca="false">G57*1000*N(F57)</f>
        <v>0</v>
      </c>
      <c r="I57" s="33" t="n">
        <f aca="false">IF(OR(N(D57)=0,N(E57)=0),0,D57/E57*N(F57)*1000)</f>
        <v>0</v>
      </c>
      <c r="J57" s="40"/>
    </row>
    <row r="58" customFormat="false" ht="15" hidden="false" customHeight="false" outlineLevel="0" collapsed="false">
      <c r="B58" s="16" t="n">
        <v>3</v>
      </c>
      <c r="C58" s="5" t="s">
        <v>220</v>
      </c>
      <c r="D58" s="37"/>
      <c r="E58" s="38" t="n">
        <v>1</v>
      </c>
      <c r="F58" s="39" t="n">
        <v>16</v>
      </c>
      <c r="G58" s="21" t="n">
        <f aca="false">IF(OR(N(D58)=0,N(E58)=0),0,$E$54*D58/E58)</f>
        <v>0</v>
      </c>
      <c r="H58" s="33" t="n">
        <f aca="false">G58*1000*N(F58)</f>
        <v>0</v>
      </c>
      <c r="I58" s="33" t="n">
        <f aca="false">IF(OR(N(D58)=0,N(E58)=0),0,D58/E58*N(F58)*1000)</f>
        <v>0</v>
      </c>
      <c r="J58" s="40"/>
    </row>
    <row r="59" customFormat="false" ht="15" hidden="false" customHeight="false" outlineLevel="0" collapsed="false">
      <c r="B59" s="16" t="n">
        <v>4</v>
      </c>
      <c r="C59" s="5" t="s">
        <v>221</v>
      </c>
      <c r="D59" s="37"/>
      <c r="E59" s="38" t="n">
        <v>1</v>
      </c>
      <c r="F59" s="39" t="n">
        <v>9</v>
      </c>
      <c r="G59" s="21" t="n">
        <f aca="false">IF(OR(N(D59)=0,N(E59)=0),0,$E$54*D59/E59)</f>
        <v>0</v>
      </c>
      <c r="H59" s="33" t="n">
        <f aca="false">G59*1000*N(F59)</f>
        <v>0</v>
      </c>
      <c r="I59" s="33" t="n">
        <f aca="false">IF(OR(N(D59)=0,N(E59)=0),0,D59/E59*N(F59)*1000)</f>
        <v>0</v>
      </c>
      <c r="J59" s="40"/>
    </row>
    <row r="60" customFormat="false" ht="15" hidden="false" customHeight="false" outlineLevel="0" collapsed="false">
      <c r="B60" s="16" t="n">
        <v>5</v>
      </c>
      <c r="C60" s="5" t="s">
        <v>222</v>
      </c>
      <c r="D60" s="37"/>
      <c r="E60" s="38" t="n">
        <v>1</v>
      </c>
      <c r="F60" s="39" t="n">
        <v>6</v>
      </c>
      <c r="G60" s="21" t="n">
        <f aca="false">IF(OR(N(D60)=0,N(E60)=0),0,$E$54*D60/E60)</f>
        <v>0</v>
      </c>
      <c r="H60" s="33" t="n">
        <f aca="false">G60*1000*N(F60)</f>
        <v>0</v>
      </c>
      <c r="I60" s="33" t="n">
        <f aca="false">IF(OR(N(D60)=0,N(E60)=0),0,D60/E60*N(F60)*1000)</f>
        <v>0</v>
      </c>
      <c r="J60" s="40"/>
    </row>
    <row r="61" customFormat="false" ht="15" hidden="false" customHeight="false" outlineLevel="0" collapsed="false">
      <c r="B61" s="16" t="n">
        <v>6</v>
      </c>
      <c r="C61" s="5" t="s">
        <v>223</v>
      </c>
      <c r="D61" s="37"/>
      <c r="E61" s="38" t="n">
        <v>1</v>
      </c>
      <c r="F61" s="39" t="n">
        <v>12</v>
      </c>
      <c r="G61" s="21" t="n">
        <f aca="false">IF(OR(N(D61)=0,N(E61)=0),0,$E$54*D61/E61)</f>
        <v>0</v>
      </c>
      <c r="H61" s="33" t="n">
        <f aca="false">G61*1000*N(F61)</f>
        <v>0</v>
      </c>
      <c r="I61" s="33" t="n">
        <f aca="false">IF(OR(N(D61)=0,N(E61)=0),0,D61/E61*N(F61)*1000)</f>
        <v>0</v>
      </c>
      <c r="J61" s="40"/>
    </row>
    <row r="62" customFormat="false" ht="15" hidden="false" customHeight="false" outlineLevel="0" collapsed="false">
      <c r="B62" s="16" t="n">
        <v>7</v>
      </c>
      <c r="C62" s="5" t="s">
        <v>224</v>
      </c>
      <c r="D62" s="37"/>
      <c r="E62" s="38" t="n">
        <v>1</v>
      </c>
      <c r="F62" s="39" t="n">
        <v>12</v>
      </c>
      <c r="G62" s="21" t="n">
        <f aca="false">IF(OR(N(D62)=0,N(E62)=0),0,$E$54*D62/E62)</f>
        <v>0</v>
      </c>
      <c r="H62" s="33" t="n">
        <f aca="false">G62*1000*N(F62)</f>
        <v>0</v>
      </c>
      <c r="I62" s="33" t="n">
        <f aca="false">IF(OR(N(D62)=0,N(E62)=0),0,D62/E62*N(F62)*1000)</f>
        <v>0</v>
      </c>
      <c r="J62" s="40"/>
    </row>
    <row r="63" customFormat="false" ht="15" hidden="false" customHeight="false" outlineLevel="0" collapsed="false">
      <c r="B63" s="16" t="n">
        <v>8</v>
      </c>
      <c r="C63" s="5" t="s">
        <v>225</v>
      </c>
      <c r="D63" s="37"/>
      <c r="E63" s="38" t="n">
        <v>0.35</v>
      </c>
      <c r="F63" s="39" t="n">
        <v>4</v>
      </c>
      <c r="G63" s="21" t="n">
        <f aca="false">IF(OR(N(D63)=0,N(E63)=0),0,$E$54*D63/E63)</f>
        <v>0</v>
      </c>
      <c r="H63" s="33" t="n">
        <f aca="false">G63*1000*N(F63)</f>
        <v>0</v>
      </c>
      <c r="I63" s="33" t="n">
        <f aca="false">IF(OR(N(D63)=0,N(E63)=0),0,D63/E63*N(F63)*1000)</f>
        <v>0</v>
      </c>
      <c r="J63" s="40"/>
    </row>
    <row r="64" customFormat="false" ht="15" hidden="false" customHeight="false" outlineLevel="0" collapsed="false">
      <c r="B64" s="16" t="n">
        <v>9</v>
      </c>
      <c r="C64" s="5" t="s">
        <v>226</v>
      </c>
      <c r="D64" s="37"/>
      <c r="E64" s="38" t="n">
        <v>0.25</v>
      </c>
      <c r="F64" s="39" t="n">
        <v>6</v>
      </c>
      <c r="G64" s="21" t="n">
        <f aca="false">IF(OR(N(D64)=0,N(E64)=0),0,$E$54*D64/E64)</f>
        <v>0</v>
      </c>
      <c r="H64" s="33" t="n">
        <f aca="false">G64*1000*N(F64)</f>
        <v>0</v>
      </c>
      <c r="I64" s="33" t="n">
        <f aca="false">IF(OR(N(D64)=0,N(E64)=0),0,D64/E64*N(F64)*1000)</f>
        <v>0</v>
      </c>
      <c r="J64" s="40"/>
    </row>
    <row r="65" customFormat="false" ht="15" hidden="false" customHeight="false" outlineLevel="0" collapsed="false">
      <c r="B65" s="16" t="n">
        <v>10</v>
      </c>
      <c r="C65" s="5" t="s">
        <v>227</v>
      </c>
      <c r="D65" s="37"/>
      <c r="E65" s="38" t="n">
        <v>1</v>
      </c>
      <c r="F65" s="39" t="n">
        <v>10</v>
      </c>
      <c r="G65" s="21" t="n">
        <f aca="false">IF(OR(N(D65)=0,N(E65)=0),0,$E$54*D65/E65)</f>
        <v>0</v>
      </c>
      <c r="H65" s="33" t="n">
        <f aca="false">G65*1000*N(F65)</f>
        <v>0</v>
      </c>
      <c r="I65" s="33" t="n">
        <f aca="false">IF(OR(N(D65)=0,N(E65)=0),0,D65/E65*N(F65)*1000)</f>
        <v>0</v>
      </c>
      <c r="J65" s="40"/>
    </row>
    <row r="66" customFormat="false" ht="15" hidden="false" customHeight="false" outlineLevel="0" collapsed="false">
      <c r="B66" s="16" t="n">
        <v>11</v>
      </c>
      <c r="C66" s="5" t="s">
        <v>228</v>
      </c>
      <c r="D66" s="37"/>
      <c r="E66" s="38" t="n">
        <v>0.33</v>
      </c>
      <c r="F66" s="39" t="n">
        <v>2</v>
      </c>
      <c r="G66" s="21" t="n">
        <f aca="false">IF(OR(N(D66)=0,N(E66)=0),0,$E$54*D66/E66)</f>
        <v>0</v>
      </c>
      <c r="H66" s="33" t="n">
        <f aca="false">G66*1000*N(F66)</f>
        <v>0</v>
      </c>
      <c r="I66" s="33" t="n">
        <f aca="false">IF(OR(N(D66)=0,N(E66)=0),0,D66/E66*N(F66)*1000)</f>
        <v>0</v>
      </c>
      <c r="J66" s="40"/>
    </row>
    <row r="67" customFormat="false" ht="15" hidden="false" customHeight="false" outlineLevel="0" collapsed="false">
      <c r="B67" s="16" t="n">
        <v>12</v>
      </c>
      <c r="C67" s="5" t="s">
        <v>229</v>
      </c>
      <c r="D67" s="37"/>
      <c r="E67" s="38" t="n">
        <v>0.98</v>
      </c>
      <c r="F67" s="39" t="n">
        <v>8</v>
      </c>
      <c r="G67" s="21" t="n">
        <f aca="false">IF(OR(N(D67)=0,N(E67)=0),0,$E$54*D67/E67)</f>
        <v>0</v>
      </c>
      <c r="H67" s="33" t="n">
        <f aca="false">G67*1000*N(F67)</f>
        <v>0</v>
      </c>
      <c r="I67" s="33" t="n">
        <f aca="false">IF(OR(N(D67)=0,N(E67)=0),0,D67/E67*N(F67)*1000)</f>
        <v>0</v>
      </c>
      <c r="J67" s="40"/>
    </row>
    <row r="68" customFormat="false" ht="15" hidden="false" customHeight="false" outlineLevel="0" collapsed="false">
      <c r="B68" s="16" t="n">
        <v>13</v>
      </c>
      <c r="C68" s="5" t="s">
        <v>230</v>
      </c>
      <c r="D68" s="37"/>
      <c r="E68" s="38" t="n">
        <v>1</v>
      </c>
      <c r="F68" s="39" t="n">
        <v>8</v>
      </c>
      <c r="G68" s="21" t="n">
        <f aca="false">IF(OR(N(D68)=0,N(E68)=0),0,$E$54*D68/E68)</f>
        <v>0</v>
      </c>
      <c r="H68" s="33" t="n">
        <f aca="false">G68*1000*N(F68)</f>
        <v>0</v>
      </c>
      <c r="I68" s="33" t="n">
        <f aca="false">IF(OR(N(D68)=0,N(E68)=0),0,D68/E68*N(F68)*1000)</f>
        <v>0</v>
      </c>
      <c r="J68" s="40"/>
    </row>
    <row r="69" customFormat="false" ht="15" hidden="false" customHeight="false" outlineLevel="0" collapsed="false">
      <c r="B69" s="16" t="n">
        <v>14</v>
      </c>
      <c r="C69" s="5" t="s">
        <v>231</v>
      </c>
      <c r="D69" s="37"/>
      <c r="E69" s="38" t="n">
        <v>1</v>
      </c>
      <c r="F69" s="39" t="n">
        <v>6</v>
      </c>
      <c r="G69" s="21" t="n">
        <f aca="false">IF(OR(N(D69)=0,N(E69)=0),0,$E$54*D69/E69)</f>
        <v>0</v>
      </c>
      <c r="H69" s="33" t="n">
        <f aca="false">G69*1000*N(F69)</f>
        <v>0</v>
      </c>
      <c r="I69" s="33" t="n">
        <f aca="false">IF(OR(N(D69)=0,N(E69)=0),0,D69/E69*N(F69)*1000)</f>
        <v>0</v>
      </c>
      <c r="J69" s="40"/>
    </row>
    <row r="70" customFormat="false" ht="15" hidden="false" customHeight="false" outlineLevel="0" collapsed="false">
      <c r="B70" s="16" t="n">
        <v>15</v>
      </c>
      <c r="C70" s="5" t="s">
        <v>232</v>
      </c>
      <c r="D70" s="37"/>
      <c r="E70" s="38" t="n">
        <v>1</v>
      </c>
      <c r="F70" s="39" t="n">
        <v>9</v>
      </c>
      <c r="G70" s="21" t="n">
        <f aca="false">IF(OR(N(D70)=0,N(E70)=0),0,$E$54*D70/E70)</f>
        <v>0</v>
      </c>
      <c r="H70" s="33" t="n">
        <f aca="false">G70*1000*N(F70)</f>
        <v>0</v>
      </c>
      <c r="I70" s="33" t="n">
        <f aca="false">IF(OR(N(D70)=0,N(E70)=0),0,D70/E70*N(F70)*1000)</f>
        <v>0</v>
      </c>
      <c r="J70" s="40"/>
    </row>
    <row r="71" customFormat="false" ht="15" hidden="false" customHeight="false" outlineLevel="0" collapsed="false">
      <c r="C71" s="3" t="s">
        <v>197</v>
      </c>
      <c r="G71" s="22" t="n">
        <f aca="false">SUM(G56:G70)</f>
        <v>0</v>
      </c>
      <c r="H71" s="34" t="n">
        <f aca="false">SUM(H56:H70)</f>
        <v>0</v>
      </c>
      <c r="I71" s="34" t="n">
        <f aca="false">SUM(I56:I70)</f>
        <v>0</v>
      </c>
      <c r="J71" s="13" t="s">
        <v>233</v>
      </c>
    </row>
    <row r="74" customFormat="false" ht="15" hidden="false" customHeight="false" outlineLevel="0" collapsed="false">
      <c r="B74" s="35" t="str">
        <f aca="false">"REGIME 4:  "&amp;INDEX(RegU,4)</f>
        <v>REGIME 4:  Regime 4</v>
      </c>
      <c r="C74" s="35"/>
      <c r="D74" s="35"/>
      <c r="E74" s="35"/>
      <c r="F74" s="35"/>
      <c r="G74" s="35"/>
      <c r="H74" s="35"/>
      <c r="I74" s="35"/>
      <c r="J74" s="35"/>
    </row>
    <row r="75" customFormat="false" ht="15" hidden="false" customHeight="false" outlineLevel="0" collapsed="false">
      <c r="C75" s="3" t="s">
        <v>208</v>
      </c>
      <c r="E75" s="36" t="n">
        <f aca="false">SUMIFS(V_sol,V_reg,INDEX(RegU,4),V_x_unit,"&gt;0")</f>
        <v>0</v>
      </c>
    </row>
    <row r="76" customFormat="false" ht="15" hidden="false" customHeight="false" outlineLevel="0" collapsed="false">
      <c r="B76" s="12" t="s">
        <v>209</v>
      </c>
      <c r="C76" s="12" t="s">
        <v>210</v>
      </c>
      <c r="D76" s="12" t="s">
        <v>211</v>
      </c>
      <c r="E76" s="12" t="s">
        <v>212</v>
      </c>
      <c r="F76" s="12" t="s">
        <v>213</v>
      </c>
      <c r="G76" s="12" t="s">
        <v>214</v>
      </c>
      <c r="H76" s="12" t="s">
        <v>215</v>
      </c>
      <c r="I76" s="12" t="s">
        <v>216</v>
      </c>
      <c r="J76" s="12" t="s">
        <v>217</v>
      </c>
    </row>
    <row r="77" customFormat="false" ht="15" hidden="false" customHeight="false" outlineLevel="0" collapsed="false">
      <c r="B77" s="16" t="n">
        <v>1</v>
      </c>
      <c r="C77" s="5" t="s">
        <v>218</v>
      </c>
      <c r="D77" s="37"/>
      <c r="E77" s="38" t="n">
        <v>0.49</v>
      </c>
      <c r="F77" s="39" t="n">
        <v>3</v>
      </c>
      <c r="G77" s="21" t="n">
        <f aca="false">IF(OR(N(D77)=0,N(E77)=0),0,$E$75*D77/E77)</f>
        <v>0</v>
      </c>
      <c r="H77" s="33" t="n">
        <f aca="false">G77*1000*N(F77)</f>
        <v>0</v>
      </c>
      <c r="I77" s="33" t="n">
        <f aca="false">IF(OR(N(D77)=0,N(E77)=0),0,D77/E77*N(F77)*1000)</f>
        <v>0</v>
      </c>
      <c r="J77" s="40"/>
    </row>
    <row r="78" customFormat="false" ht="15" hidden="false" customHeight="false" outlineLevel="0" collapsed="false">
      <c r="B78" s="16" t="n">
        <v>2</v>
      </c>
      <c r="C78" s="5" t="s">
        <v>219</v>
      </c>
      <c r="D78" s="37"/>
      <c r="E78" s="38" t="n">
        <v>1</v>
      </c>
      <c r="F78" s="39" t="n">
        <v>4</v>
      </c>
      <c r="G78" s="21" t="n">
        <f aca="false">IF(OR(N(D78)=0,N(E78)=0),0,$E$75*D78/E78)</f>
        <v>0</v>
      </c>
      <c r="H78" s="33" t="n">
        <f aca="false">G78*1000*N(F78)</f>
        <v>0</v>
      </c>
      <c r="I78" s="33" t="n">
        <f aca="false">IF(OR(N(D78)=0,N(E78)=0),0,D78/E78*N(F78)*1000)</f>
        <v>0</v>
      </c>
      <c r="J78" s="40"/>
    </row>
    <row r="79" customFormat="false" ht="15" hidden="false" customHeight="false" outlineLevel="0" collapsed="false">
      <c r="B79" s="16" t="n">
        <v>3</v>
      </c>
      <c r="C79" s="5" t="s">
        <v>220</v>
      </c>
      <c r="D79" s="37"/>
      <c r="E79" s="38" t="n">
        <v>1</v>
      </c>
      <c r="F79" s="39" t="n">
        <v>16</v>
      </c>
      <c r="G79" s="21" t="n">
        <f aca="false">IF(OR(N(D79)=0,N(E79)=0),0,$E$75*D79/E79)</f>
        <v>0</v>
      </c>
      <c r="H79" s="33" t="n">
        <f aca="false">G79*1000*N(F79)</f>
        <v>0</v>
      </c>
      <c r="I79" s="33" t="n">
        <f aca="false">IF(OR(N(D79)=0,N(E79)=0),0,D79/E79*N(F79)*1000)</f>
        <v>0</v>
      </c>
      <c r="J79" s="40"/>
    </row>
    <row r="80" customFormat="false" ht="15" hidden="false" customHeight="false" outlineLevel="0" collapsed="false">
      <c r="B80" s="16" t="n">
        <v>4</v>
      </c>
      <c r="C80" s="5" t="s">
        <v>221</v>
      </c>
      <c r="D80" s="37"/>
      <c r="E80" s="38" t="n">
        <v>1</v>
      </c>
      <c r="F80" s="39" t="n">
        <v>9</v>
      </c>
      <c r="G80" s="21" t="n">
        <f aca="false">IF(OR(N(D80)=0,N(E80)=0),0,$E$75*D80/E80)</f>
        <v>0</v>
      </c>
      <c r="H80" s="33" t="n">
        <f aca="false">G80*1000*N(F80)</f>
        <v>0</v>
      </c>
      <c r="I80" s="33" t="n">
        <f aca="false">IF(OR(N(D80)=0,N(E80)=0),0,D80/E80*N(F80)*1000)</f>
        <v>0</v>
      </c>
      <c r="J80" s="40"/>
    </row>
    <row r="81" customFormat="false" ht="15" hidden="false" customHeight="false" outlineLevel="0" collapsed="false">
      <c r="B81" s="16" t="n">
        <v>5</v>
      </c>
      <c r="C81" s="5" t="s">
        <v>222</v>
      </c>
      <c r="D81" s="37"/>
      <c r="E81" s="38" t="n">
        <v>1</v>
      </c>
      <c r="F81" s="39" t="n">
        <v>6</v>
      </c>
      <c r="G81" s="21" t="n">
        <f aca="false">IF(OR(N(D81)=0,N(E81)=0),0,$E$75*D81/E81)</f>
        <v>0</v>
      </c>
      <c r="H81" s="33" t="n">
        <f aca="false">G81*1000*N(F81)</f>
        <v>0</v>
      </c>
      <c r="I81" s="33" t="n">
        <f aca="false">IF(OR(N(D81)=0,N(E81)=0),0,D81/E81*N(F81)*1000)</f>
        <v>0</v>
      </c>
      <c r="J81" s="40"/>
    </row>
    <row r="82" customFormat="false" ht="15" hidden="false" customHeight="false" outlineLevel="0" collapsed="false">
      <c r="B82" s="16" t="n">
        <v>6</v>
      </c>
      <c r="C82" s="5" t="s">
        <v>223</v>
      </c>
      <c r="D82" s="37"/>
      <c r="E82" s="38" t="n">
        <v>1</v>
      </c>
      <c r="F82" s="39" t="n">
        <v>12</v>
      </c>
      <c r="G82" s="21" t="n">
        <f aca="false">IF(OR(N(D82)=0,N(E82)=0),0,$E$75*D82/E82)</f>
        <v>0</v>
      </c>
      <c r="H82" s="33" t="n">
        <f aca="false">G82*1000*N(F82)</f>
        <v>0</v>
      </c>
      <c r="I82" s="33" t="n">
        <f aca="false">IF(OR(N(D82)=0,N(E82)=0),0,D82/E82*N(F82)*1000)</f>
        <v>0</v>
      </c>
      <c r="J82" s="40"/>
    </row>
    <row r="83" customFormat="false" ht="15" hidden="false" customHeight="false" outlineLevel="0" collapsed="false">
      <c r="B83" s="16" t="n">
        <v>7</v>
      </c>
      <c r="C83" s="5" t="s">
        <v>224</v>
      </c>
      <c r="D83" s="37"/>
      <c r="E83" s="38" t="n">
        <v>1</v>
      </c>
      <c r="F83" s="39" t="n">
        <v>12</v>
      </c>
      <c r="G83" s="21" t="n">
        <f aca="false">IF(OR(N(D83)=0,N(E83)=0),0,$E$75*D83/E83)</f>
        <v>0</v>
      </c>
      <c r="H83" s="33" t="n">
        <f aca="false">G83*1000*N(F83)</f>
        <v>0</v>
      </c>
      <c r="I83" s="33" t="n">
        <f aca="false">IF(OR(N(D83)=0,N(E83)=0),0,D83/E83*N(F83)*1000)</f>
        <v>0</v>
      </c>
      <c r="J83" s="40"/>
    </row>
    <row r="84" customFormat="false" ht="15" hidden="false" customHeight="false" outlineLevel="0" collapsed="false">
      <c r="B84" s="16" t="n">
        <v>8</v>
      </c>
      <c r="C84" s="5" t="s">
        <v>225</v>
      </c>
      <c r="D84" s="37"/>
      <c r="E84" s="38" t="n">
        <v>0.35</v>
      </c>
      <c r="F84" s="39" t="n">
        <v>4</v>
      </c>
      <c r="G84" s="21" t="n">
        <f aca="false">IF(OR(N(D84)=0,N(E84)=0),0,$E$75*D84/E84)</f>
        <v>0</v>
      </c>
      <c r="H84" s="33" t="n">
        <f aca="false">G84*1000*N(F84)</f>
        <v>0</v>
      </c>
      <c r="I84" s="33" t="n">
        <f aca="false">IF(OR(N(D84)=0,N(E84)=0),0,D84/E84*N(F84)*1000)</f>
        <v>0</v>
      </c>
      <c r="J84" s="40"/>
    </row>
    <row r="85" customFormat="false" ht="15" hidden="false" customHeight="false" outlineLevel="0" collapsed="false">
      <c r="B85" s="16" t="n">
        <v>9</v>
      </c>
      <c r="C85" s="5" t="s">
        <v>226</v>
      </c>
      <c r="D85" s="37"/>
      <c r="E85" s="38" t="n">
        <v>0.25</v>
      </c>
      <c r="F85" s="39" t="n">
        <v>6</v>
      </c>
      <c r="G85" s="21" t="n">
        <f aca="false">IF(OR(N(D85)=0,N(E85)=0),0,$E$75*D85/E85)</f>
        <v>0</v>
      </c>
      <c r="H85" s="33" t="n">
        <f aca="false">G85*1000*N(F85)</f>
        <v>0</v>
      </c>
      <c r="I85" s="33" t="n">
        <f aca="false">IF(OR(N(D85)=0,N(E85)=0),0,D85/E85*N(F85)*1000)</f>
        <v>0</v>
      </c>
      <c r="J85" s="40"/>
    </row>
    <row r="86" customFormat="false" ht="15" hidden="false" customHeight="false" outlineLevel="0" collapsed="false">
      <c r="B86" s="16" t="n">
        <v>10</v>
      </c>
      <c r="C86" s="5" t="s">
        <v>227</v>
      </c>
      <c r="D86" s="37"/>
      <c r="E86" s="38" t="n">
        <v>1</v>
      </c>
      <c r="F86" s="39" t="n">
        <v>10</v>
      </c>
      <c r="G86" s="21" t="n">
        <f aca="false">IF(OR(N(D86)=0,N(E86)=0),0,$E$75*D86/E86)</f>
        <v>0</v>
      </c>
      <c r="H86" s="33" t="n">
        <f aca="false">G86*1000*N(F86)</f>
        <v>0</v>
      </c>
      <c r="I86" s="33" t="n">
        <f aca="false">IF(OR(N(D86)=0,N(E86)=0),0,D86/E86*N(F86)*1000)</f>
        <v>0</v>
      </c>
      <c r="J86" s="40"/>
    </row>
    <row r="87" customFormat="false" ht="15" hidden="false" customHeight="false" outlineLevel="0" collapsed="false">
      <c r="B87" s="16" t="n">
        <v>11</v>
      </c>
      <c r="C87" s="5" t="s">
        <v>228</v>
      </c>
      <c r="D87" s="37"/>
      <c r="E87" s="38" t="n">
        <v>0.33</v>
      </c>
      <c r="F87" s="39" t="n">
        <v>2</v>
      </c>
      <c r="G87" s="21" t="n">
        <f aca="false">IF(OR(N(D87)=0,N(E87)=0),0,$E$75*D87/E87)</f>
        <v>0</v>
      </c>
      <c r="H87" s="33" t="n">
        <f aca="false">G87*1000*N(F87)</f>
        <v>0</v>
      </c>
      <c r="I87" s="33" t="n">
        <f aca="false">IF(OR(N(D87)=0,N(E87)=0),0,D87/E87*N(F87)*1000)</f>
        <v>0</v>
      </c>
      <c r="J87" s="40"/>
    </row>
    <row r="88" customFormat="false" ht="15" hidden="false" customHeight="false" outlineLevel="0" collapsed="false">
      <c r="B88" s="16" t="n">
        <v>12</v>
      </c>
      <c r="C88" s="5" t="s">
        <v>229</v>
      </c>
      <c r="D88" s="37"/>
      <c r="E88" s="38" t="n">
        <v>0.98</v>
      </c>
      <c r="F88" s="39" t="n">
        <v>8</v>
      </c>
      <c r="G88" s="21" t="n">
        <f aca="false">IF(OR(N(D88)=0,N(E88)=0),0,$E$75*D88/E88)</f>
        <v>0</v>
      </c>
      <c r="H88" s="33" t="n">
        <f aca="false">G88*1000*N(F88)</f>
        <v>0</v>
      </c>
      <c r="I88" s="33" t="n">
        <f aca="false">IF(OR(N(D88)=0,N(E88)=0),0,D88/E88*N(F88)*1000)</f>
        <v>0</v>
      </c>
      <c r="J88" s="40"/>
    </row>
    <row r="89" customFormat="false" ht="15" hidden="false" customHeight="false" outlineLevel="0" collapsed="false">
      <c r="B89" s="16" t="n">
        <v>13</v>
      </c>
      <c r="C89" s="5" t="s">
        <v>230</v>
      </c>
      <c r="D89" s="37"/>
      <c r="E89" s="38" t="n">
        <v>1</v>
      </c>
      <c r="F89" s="39" t="n">
        <v>8</v>
      </c>
      <c r="G89" s="21" t="n">
        <f aca="false">IF(OR(N(D89)=0,N(E89)=0),0,$E$75*D89/E89)</f>
        <v>0</v>
      </c>
      <c r="H89" s="33" t="n">
        <f aca="false">G89*1000*N(F89)</f>
        <v>0</v>
      </c>
      <c r="I89" s="33" t="n">
        <f aca="false">IF(OR(N(D89)=0,N(E89)=0),0,D89/E89*N(F89)*1000)</f>
        <v>0</v>
      </c>
      <c r="J89" s="40"/>
    </row>
    <row r="90" customFormat="false" ht="15" hidden="false" customHeight="false" outlineLevel="0" collapsed="false">
      <c r="B90" s="16" t="n">
        <v>14</v>
      </c>
      <c r="C90" s="5" t="s">
        <v>231</v>
      </c>
      <c r="D90" s="37"/>
      <c r="E90" s="38" t="n">
        <v>1</v>
      </c>
      <c r="F90" s="39" t="n">
        <v>6</v>
      </c>
      <c r="G90" s="21" t="n">
        <f aca="false">IF(OR(N(D90)=0,N(E90)=0),0,$E$75*D90/E90)</f>
        <v>0</v>
      </c>
      <c r="H90" s="33" t="n">
        <f aca="false">G90*1000*N(F90)</f>
        <v>0</v>
      </c>
      <c r="I90" s="33" t="n">
        <f aca="false">IF(OR(N(D90)=0,N(E90)=0),0,D90/E90*N(F90)*1000)</f>
        <v>0</v>
      </c>
      <c r="J90" s="40"/>
    </row>
    <row r="91" customFormat="false" ht="15" hidden="false" customHeight="false" outlineLevel="0" collapsed="false">
      <c r="B91" s="16" t="n">
        <v>15</v>
      </c>
      <c r="C91" s="5" t="s">
        <v>232</v>
      </c>
      <c r="D91" s="37"/>
      <c r="E91" s="38" t="n">
        <v>1</v>
      </c>
      <c r="F91" s="39" t="n">
        <v>9</v>
      </c>
      <c r="G91" s="21" t="n">
        <f aca="false">IF(OR(N(D91)=0,N(E91)=0),0,$E$75*D91/E91)</f>
        <v>0</v>
      </c>
      <c r="H91" s="33" t="n">
        <f aca="false">G91*1000*N(F91)</f>
        <v>0</v>
      </c>
      <c r="I91" s="33" t="n">
        <f aca="false">IF(OR(N(D91)=0,N(E91)=0),0,D91/E91*N(F91)*1000)</f>
        <v>0</v>
      </c>
      <c r="J91" s="40"/>
    </row>
    <row r="92" customFormat="false" ht="15" hidden="false" customHeight="false" outlineLevel="0" collapsed="false">
      <c r="C92" s="3" t="s">
        <v>197</v>
      </c>
      <c r="G92" s="22" t="n">
        <f aca="false">SUM(G77:G91)</f>
        <v>0</v>
      </c>
      <c r="H92" s="34" t="n">
        <f aca="false">SUM(H77:H91)</f>
        <v>0</v>
      </c>
      <c r="I92" s="34" t="n">
        <f aca="false">SUM(I77:I91)</f>
        <v>0</v>
      </c>
      <c r="J92" s="13" t="s">
        <v>233</v>
      </c>
    </row>
  </sheetData>
  <mergeCells count="4">
    <mergeCell ref="B11:J11"/>
    <mergeCell ref="B32:J32"/>
    <mergeCell ref="B53:J53"/>
    <mergeCell ref="B74:J74"/>
  </mergeCells>
  <dataValidations count="1">
    <dataValidation allowBlank="true" error="Enter a positive number." errorStyle="stop" errorTitle="Number" operator="greaterThanOrEqual" showDropDown="false" showErrorMessage="true" showInputMessage="false" sqref="D14:D28 D35:D49 D56:D70 D77:D9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3" t="s">
        <v>234</v>
      </c>
    </row>
    <row r="3" customFormat="false" ht="15" hidden="false" customHeight="false" outlineLevel="0" collapsed="false">
      <c r="A3" s="3" t="s">
        <v>235</v>
      </c>
      <c r="D3" s="3" t="s">
        <v>236</v>
      </c>
      <c r="G3" s="3" t="s">
        <v>237</v>
      </c>
      <c r="J3" s="3" t="s">
        <v>238</v>
      </c>
      <c r="M3" s="3" t="s">
        <v>239</v>
      </c>
      <c r="P3" s="3" t="s">
        <v>240</v>
      </c>
      <c r="R3" s="3" t="s">
        <v>241</v>
      </c>
      <c r="T3" s="3" t="s">
        <v>242</v>
      </c>
    </row>
    <row r="4" customFormat="false" ht="15" hidden="false" customHeight="false" outlineLevel="0" collapsed="false">
      <c r="A4" s="0" t="s">
        <v>173</v>
      </c>
      <c r="B4" s="0" t="n">
        <v>0.001</v>
      </c>
      <c r="D4" s="0" t="s">
        <v>171</v>
      </c>
      <c r="E4" s="0" t="n">
        <v>1</v>
      </c>
      <c r="G4" s="0" t="s">
        <v>172</v>
      </c>
      <c r="H4" s="0" t="n">
        <v>1</v>
      </c>
      <c r="J4" s="0" t="s">
        <v>243</v>
      </c>
      <c r="K4" s="0" t="s">
        <v>244</v>
      </c>
      <c r="M4" s="0" t="s">
        <v>184</v>
      </c>
      <c r="N4" s="0" t="n">
        <f aca="false">SQRT(3)/2</f>
        <v>0.866025403784439</v>
      </c>
      <c r="P4" s="0" t="s">
        <v>245</v>
      </c>
      <c r="R4" s="0" t="s">
        <v>26</v>
      </c>
      <c r="T4" s="0" t="s">
        <v>7</v>
      </c>
    </row>
    <row r="5" customFormat="false" ht="15" hidden="false" customHeight="false" outlineLevel="0" collapsed="false">
      <c r="A5" s="0" t="s">
        <v>246</v>
      </c>
      <c r="B5" s="0" t="n">
        <v>0.01</v>
      </c>
      <c r="D5" s="0" t="s">
        <v>247</v>
      </c>
      <c r="E5" s="0" t="n">
        <v>0.001</v>
      </c>
      <c r="G5" s="0" t="s">
        <v>248</v>
      </c>
      <c r="H5" s="0" t="n">
        <v>1000</v>
      </c>
      <c r="J5" s="0" t="s">
        <v>185</v>
      </c>
      <c r="K5" s="0" t="s">
        <v>244</v>
      </c>
      <c r="M5" s="0" t="s">
        <v>249</v>
      </c>
      <c r="N5" s="0" t="n">
        <f aca="false">SQRT(3)/2</f>
        <v>0.866025403784439</v>
      </c>
      <c r="P5" s="0" t="s">
        <v>132</v>
      </c>
      <c r="R5" s="0" t="s">
        <v>28</v>
      </c>
      <c r="T5" s="0" t="s">
        <v>24</v>
      </c>
    </row>
    <row r="6" customFormat="false" ht="15" hidden="false" customHeight="false" outlineLevel="0" collapsed="false">
      <c r="A6" s="0" t="s">
        <v>174</v>
      </c>
      <c r="B6" s="0" t="n">
        <v>1</v>
      </c>
      <c r="D6" s="0" t="s">
        <v>250</v>
      </c>
      <c r="E6" s="0" t="n">
        <v>0.003785411784</v>
      </c>
      <c r="G6" s="0" t="s">
        <v>251</v>
      </c>
      <c r="H6" s="0" t="n">
        <v>0.45359237</v>
      </c>
      <c r="J6" s="0" t="s">
        <v>181</v>
      </c>
      <c r="K6" s="0" t="n">
        <f aca="false">PI()/24</f>
        <v>0.130899693899575</v>
      </c>
      <c r="M6" s="0" t="s">
        <v>252</v>
      </c>
      <c r="N6" s="0" t="n">
        <v>1</v>
      </c>
      <c r="P6" s="0" t="s">
        <v>131</v>
      </c>
      <c r="R6" s="0" t="s">
        <v>29</v>
      </c>
    </row>
    <row r="7" customFormat="false" ht="15" hidden="false" customHeight="false" outlineLevel="0" collapsed="false">
      <c r="A7" s="0" t="s">
        <v>253</v>
      </c>
      <c r="B7" s="0" t="n">
        <v>0.0254</v>
      </c>
      <c r="D7" s="0" t="s">
        <v>254</v>
      </c>
      <c r="E7" s="0" t="n">
        <v>0.00454609</v>
      </c>
      <c r="J7" s="0" t="s">
        <v>255</v>
      </c>
      <c r="K7" s="0" t="n">
        <f aca="false">PI()/12</f>
        <v>0.261799387799149</v>
      </c>
      <c r="M7" s="0" t="s">
        <v>256</v>
      </c>
      <c r="N7" s="0" t="n">
        <v>1</v>
      </c>
      <c r="R7" s="0" t="s">
        <v>31</v>
      </c>
    </row>
    <row r="8" customFormat="false" ht="15" hidden="false" customHeight="false" outlineLevel="0" collapsed="false">
      <c r="A8" s="0" t="s">
        <v>257</v>
      </c>
      <c r="B8" s="0" t="n">
        <v>0.3048</v>
      </c>
      <c r="D8" s="0" t="s">
        <v>258</v>
      </c>
      <c r="E8" s="0" t="n">
        <v>0.158987294928</v>
      </c>
      <c r="J8" s="0" t="s">
        <v>259</v>
      </c>
      <c r="K8" s="0" t="s">
        <v>260</v>
      </c>
      <c r="R8" s="0" t="s">
        <v>33</v>
      </c>
    </row>
    <row r="9" customFormat="false" ht="15" hidden="false" customHeight="false" outlineLevel="0" collapsed="false">
      <c r="D9" s="0" t="s">
        <v>261</v>
      </c>
      <c r="E9" s="0" t="n">
        <v>0.028316846592</v>
      </c>
      <c r="J9" s="0" t="s">
        <v>262</v>
      </c>
      <c r="K9" s="0" t="s">
        <v>244</v>
      </c>
      <c r="R9" s="0" t="s">
        <v>34</v>
      </c>
    </row>
    <row r="10" customFormat="false" ht="15" hidden="false" customHeight="false" outlineLevel="0" collapsed="false">
      <c r="R10" s="0" t="s">
        <v>36</v>
      </c>
    </row>
    <row r="14" customFormat="false" ht="15" hidden="false" customHeight="false" outlineLevel="0" collapsed="false">
      <c r="A14" s="3" t="s">
        <v>263</v>
      </c>
    </row>
    <row r="15" customFormat="false" ht="15" hidden="false" customHeight="false" outlineLevel="0" collapsed="false">
      <c r="A15" s="0" t="s">
        <v>133</v>
      </c>
      <c r="B15" s="0" t="s">
        <v>264</v>
      </c>
      <c r="C15" s="0" t="s">
        <v>265</v>
      </c>
      <c r="D15" s="0" t="s">
        <v>266</v>
      </c>
      <c r="E15" s="0" t="s">
        <v>267</v>
      </c>
      <c r="F15" s="0" t="s">
        <v>268</v>
      </c>
      <c r="G15" s="0" t="s">
        <v>269</v>
      </c>
      <c r="H15" s="0" t="s">
        <v>189</v>
      </c>
      <c r="I15" s="0" t="s">
        <v>270</v>
      </c>
      <c r="J15" s="0" t="s">
        <v>271</v>
      </c>
      <c r="K15" s="0" t="s">
        <v>272</v>
      </c>
      <c r="L15" s="0" t="s">
        <v>273</v>
      </c>
      <c r="M15" s="0" t="s">
        <v>274</v>
      </c>
      <c r="N15" s="0" t="s">
        <v>275</v>
      </c>
      <c r="O15" s="0" t="s">
        <v>276</v>
      </c>
      <c r="P15" s="0" t="s">
        <v>277</v>
      </c>
      <c r="Q15" s="0" t="s">
        <v>278</v>
      </c>
      <c r="R15" s="0" t="s">
        <v>279</v>
      </c>
      <c r="S15" s="0" t="s">
        <v>280</v>
      </c>
    </row>
    <row r="16" customFormat="false" ht="15" hidden="false" customHeight="false" outlineLevel="0" collapsed="false">
      <c r="A16" s="0" t="s">
        <v>281</v>
      </c>
      <c r="B16" s="0" t="n">
        <v>21.3</v>
      </c>
      <c r="C16" s="0" t="n">
        <v>1.65</v>
      </c>
      <c r="D16" s="0" t="n">
        <v>2.11</v>
      </c>
      <c r="H16" s="0" t="n">
        <v>2.77</v>
      </c>
      <c r="I16" s="0" t="n">
        <v>2.77</v>
      </c>
      <c r="J16" s="0" t="n">
        <v>2.77</v>
      </c>
      <c r="L16" s="0" t="n">
        <v>3.73</v>
      </c>
      <c r="M16" s="0" t="n">
        <v>3.73</v>
      </c>
      <c r="N16" s="0" t="n">
        <v>3.73</v>
      </c>
      <c r="R16" s="0" t="n">
        <v>4.78</v>
      </c>
      <c r="S16" s="0" t="n">
        <v>7.47</v>
      </c>
    </row>
    <row r="17" customFormat="false" ht="15" hidden="false" customHeight="false" outlineLevel="0" collapsed="false">
      <c r="A17" s="0" t="s">
        <v>282</v>
      </c>
      <c r="B17" s="0" t="n">
        <v>26.7</v>
      </c>
      <c r="C17" s="0" t="n">
        <v>1.65</v>
      </c>
      <c r="D17" s="0" t="n">
        <v>2.11</v>
      </c>
      <c r="H17" s="0" t="n">
        <v>2.87</v>
      </c>
      <c r="I17" s="0" t="n">
        <v>2.87</v>
      </c>
      <c r="J17" s="0" t="n">
        <v>2.87</v>
      </c>
      <c r="L17" s="0" t="n">
        <v>3.91</v>
      </c>
      <c r="M17" s="0" t="n">
        <v>3.91</v>
      </c>
      <c r="N17" s="0" t="n">
        <v>3.91</v>
      </c>
      <c r="R17" s="0" t="n">
        <v>5.56</v>
      </c>
      <c r="S17" s="0" t="n">
        <v>7.82</v>
      </c>
    </row>
    <row r="18" customFormat="false" ht="15" hidden="false" customHeight="false" outlineLevel="0" collapsed="false">
      <c r="A18" s="0" t="s">
        <v>283</v>
      </c>
      <c r="B18" s="0" t="n">
        <v>33.4</v>
      </c>
      <c r="C18" s="0" t="n">
        <v>1.65</v>
      </c>
      <c r="D18" s="0" t="n">
        <v>2.77</v>
      </c>
      <c r="H18" s="0" t="n">
        <v>3.38</v>
      </c>
      <c r="I18" s="0" t="n">
        <v>3.38</v>
      </c>
      <c r="J18" s="0" t="n">
        <v>3.38</v>
      </c>
      <c r="L18" s="0" t="n">
        <v>4.55</v>
      </c>
      <c r="M18" s="0" t="n">
        <v>4.55</v>
      </c>
      <c r="N18" s="0" t="n">
        <v>4.55</v>
      </c>
      <c r="R18" s="0" t="n">
        <v>6.35</v>
      </c>
      <c r="S18" s="0" t="n">
        <v>9.09</v>
      </c>
    </row>
    <row r="19" customFormat="false" ht="15" hidden="false" customHeight="false" outlineLevel="0" collapsed="false">
      <c r="A19" s="0" t="s">
        <v>284</v>
      </c>
      <c r="B19" s="0" t="n">
        <v>42.2</v>
      </c>
      <c r="C19" s="0" t="n">
        <v>1.65</v>
      </c>
      <c r="D19" s="0" t="n">
        <v>2.77</v>
      </c>
      <c r="H19" s="0" t="n">
        <v>3.56</v>
      </c>
      <c r="I19" s="0" t="n">
        <v>3.56</v>
      </c>
      <c r="J19" s="0" t="n">
        <v>3.56</v>
      </c>
      <c r="L19" s="0" t="n">
        <v>4.85</v>
      </c>
      <c r="M19" s="0" t="n">
        <v>4.85</v>
      </c>
      <c r="N19" s="0" t="n">
        <v>4.85</v>
      </c>
      <c r="R19" s="0" t="n">
        <v>6.35</v>
      </c>
      <c r="S19" s="0" t="n">
        <v>9.7</v>
      </c>
    </row>
    <row r="20" customFormat="false" ht="15" hidden="false" customHeight="false" outlineLevel="0" collapsed="false">
      <c r="A20" s="0" t="s">
        <v>285</v>
      </c>
      <c r="B20" s="0" t="n">
        <v>48.3</v>
      </c>
      <c r="C20" s="0" t="n">
        <v>1.65</v>
      </c>
      <c r="D20" s="0" t="n">
        <v>2.77</v>
      </c>
      <c r="H20" s="0" t="n">
        <v>3.68</v>
      </c>
      <c r="I20" s="0" t="n">
        <v>3.68</v>
      </c>
      <c r="J20" s="0" t="n">
        <v>3.68</v>
      </c>
      <c r="L20" s="0" t="n">
        <v>5.08</v>
      </c>
      <c r="M20" s="0" t="n">
        <v>5.08</v>
      </c>
      <c r="N20" s="0" t="n">
        <v>5.08</v>
      </c>
      <c r="R20" s="0" t="n">
        <v>7.14</v>
      </c>
      <c r="S20" s="0" t="n">
        <v>10.15</v>
      </c>
    </row>
    <row r="21" customFormat="false" ht="15" hidden="false" customHeight="false" outlineLevel="0" collapsed="false">
      <c r="A21" s="0" t="s">
        <v>286</v>
      </c>
      <c r="B21" s="0" t="n">
        <v>60.3</v>
      </c>
      <c r="C21" s="0" t="n">
        <v>1.65</v>
      </c>
      <c r="D21" s="0" t="n">
        <v>2.77</v>
      </c>
      <c r="H21" s="0" t="n">
        <v>3.91</v>
      </c>
      <c r="I21" s="0" t="n">
        <v>3.91</v>
      </c>
      <c r="J21" s="0" t="n">
        <v>3.91</v>
      </c>
      <c r="L21" s="0" t="n">
        <v>5.54</v>
      </c>
      <c r="M21" s="0" t="n">
        <v>5.54</v>
      </c>
      <c r="N21" s="0" t="n">
        <v>5.54</v>
      </c>
      <c r="R21" s="0" t="n">
        <v>8.74</v>
      </c>
      <c r="S21" s="0" t="n">
        <v>11.07</v>
      </c>
    </row>
    <row r="22" customFormat="false" ht="15" hidden="false" customHeight="false" outlineLevel="0" collapsed="false">
      <c r="A22" s="0" t="s">
        <v>287</v>
      </c>
      <c r="B22" s="0" t="n">
        <v>73</v>
      </c>
      <c r="C22" s="0" t="n">
        <v>2.11</v>
      </c>
      <c r="D22" s="0" t="n">
        <v>3.05</v>
      </c>
      <c r="H22" s="0" t="n">
        <v>5.16</v>
      </c>
      <c r="I22" s="0" t="n">
        <v>5.16</v>
      </c>
      <c r="J22" s="0" t="n">
        <v>5.16</v>
      </c>
      <c r="L22" s="0" t="n">
        <v>7.01</v>
      </c>
      <c r="M22" s="0" t="n">
        <v>7.01</v>
      </c>
      <c r="N22" s="0" t="n">
        <v>7.01</v>
      </c>
      <c r="R22" s="0" t="n">
        <v>9.53</v>
      </c>
      <c r="S22" s="0" t="n">
        <v>14.02</v>
      </c>
    </row>
    <row r="23" customFormat="false" ht="15" hidden="false" customHeight="false" outlineLevel="0" collapsed="false">
      <c r="A23" s="0" t="s">
        <v>288</v>
      </c>
      <c r="B23" s="0" t="n">
        <v>88.9</v>
      </c>
      <c r="C23" s="0" t="n">
        <v>2.11</v>
      </c>
      <c r="D23" s="0" t="n">
        <v>3.05</v>
      </c>
      <c r="H23" s="0" t="n">
        <v>5.49</v>
      </c>
      <c r="I23" s="0" t="n">
        <v>5.49</v>
      </c>
      <c r="J23" s="0" t="n">
        <v>5.49</v>
      </c>
      <c r="L23" s="0" t="n">
        <v>7.62</v>
      </c>
      <c r="M23" s="0" t="n">
        <v>7.62</v>
      </c>
      <c r="N23" s="0" t="n">
        <v>7.62</v>
      </c>
      <c r="R23" s="0" t="n">
        <v>11.13</v>
      </c>
      <c r="S23" s="0" t="n">
        <v>15.24</v>
      </c>
    </row>
    <row r="24" customFormat="false" ht="15" hidden="false" customHeight="false" outlineLevel="0" collapsed="false">
      <c r="A24" s="0" t="s">
        <v>289</v>
      </c>
      <c r="B24" s="0" t="n">
        <v>114.3</v>
      </c>
      <c r="C24" s="0" t="n">
        <v>2.11</v>
      </c>
      <c r="D24" s="0" t="n">
        <v>3.05</v>
      </c>
      <c r="H24" s="0" t="n">
        <v>6.02</v>
      </c>
      <c r="I24" s="0" t="n">
        <v>6.02</v>
      </c>
      <c r="J24" s="0" t="n">
        <v>6.02</v>
      </c>
      <c r="L24" s="0" t="n">
        <v>8.56</v>
      </c>
      <c r="M24" s="0" t="n">
        <v>8.56</v>
      </c>
      <c r="N24" s="0" t="n">
        <v>8.56</v>
      </c>
      <c r="P24" s="0" t="n">
        <v>11.13</v>
      </c>
      <c r="R24" s="0" t="n">
        <v>13.49</v>
      </c>
      <c r="S24" s="0" t="n">
        <v>17.12</v>
      </c>
    </row>
    <row r="25" customFormat="false" ht="15" hidden="false" customHeight="false" outlineLevel="0" collapsed="false">
      <c r="A25" s="0" t="s">
        <v>290</v>
      </c>
      <c r="B25" s="0" t="n">
        <v>141.3</v>
      </c>
      <c r="C25" s="0" t="n">
        <v>2.77</v>
      </c>
      <c r="D25" s="0" t="n">
        <v>3.4</v>
      </c>
      <c r="H25" s="0" t="n">
        <v>6.55</v>
      </c>
      <c r="I25" s="0" t="n">
        <v>6.55</v>
      </c>
      <c r="J25" s="0" t="n">
        <v>6.55</v>
      </c>
      <c r="L25" s="0" t="n">
        <v>9.53</v>
      </c>
      <c r="M25" s="0" t="n">
        <v>9.53</v>
      </c>
      <c r="N25" s="0" t="n">
        <v>9.53</v>
      </c>
      <c r="P25" s="0" t="n">
        <v>12.7</v>
      </c>
      <c r="R25" s="0" t="n">
        <v>15.88</v>
      </c>
      <c r="S25" s="0" t="n">
        <v>19.05</v>
      </c>
    </row>
    <row r="26" customFormat="false" ht="15" hidden="false" customHeight="false" outlineLevel="0" collapsed="false">
      <c r="A26" s="0" t="s">
        <v>188</v>
      </c>
      <c r="B26" s="0" t="n">
        <v>168.3</v>
      </c>
      <c r="C26" s="0" t="n">
        <v>2.77</v>
      </c>
      <c r="D26" s="0" t="n">
        <v>3.4</v>
      </c>
      <c r="H26" s="0" t="n">
        <v>7.11</v>
      </c>
      <c r="I26" s="0" t="n">
        <v>7.11</v>
      </c>
      <c r="J26" s="0" t="n">
        <v>7.11</v>
      </c>
      <c r="L26" s="0" t="n">
        <v>10.97</v>
      </c>
      <c r="M26" s="0" t="n">
        <v>10.97</v>
      </c>
      <c r="N26" s="0" t="n">
        <v>10.97</v>
      </c>
      <c r="P26" s="0" t="n">
        <v>14.27</v>
      </c>
      <c r="R26" s="0" t="n">
        <v>18.26</v>
      </c>
      <c r="S26" s="0" t="n">
        <v>21.95</v>
      </c>
    </row>
    <row r="27" customFormat="false" ht="15" hidden="false" customHeight="false" outlineLevel="0" collapsed="false">
      <c r="A27" s="0" t="s">
        <v>291</v>
      </c>
      <c r="B27" s="0" t="n">
        <v>219.1</v>
      </c>
      <c r="C27" s="0" t="n">
        <v>2.77</v>
      </c>
      <c r="D27" s="0" t="n">
        <v>3.76</v>
      </c>
      <c r="F27" s="0" t="n">
        <v>6.35</v>
      </c>
      <c r="G27" s="0" t="n">
        <v>7.04</v>
      </c>
      <c r="H27" s="0" t="n">
        <v>8.18</v>
      </c>
      <c r="I27" s="0" t="n">
        <v>8.18</v>
      </c>
      <c r="J27" s="0" t="n">
        <v>8.18</v>
      </c>
      <c r="K27" s="0" t="n">
        <v>10.31</v>
      </c>
      <c r="L27" s="0" t="n">
        <v>12.7</v>
      </c>
      <c r="M27" s="0" t="n">
        <v>12.7</v>
      </c>
      <c r="N27" s="0" t="n">
        <v>12.7</v>
      </c>
      <c r="O27" s="0" t="n">
        <v>15.09</v>
      </c>
      <c r="P27" s="0" t="n">
        <v>18.26</v>
      </c>
      <c r="Q27" s="0" t="n">
        <v>20.62</v>
      </c>
      <c r="R27" s="0" t="n">
        <v>23.01</v>
      </c>
      <c r="S27" s="0" t="n">
        <v>22.23</v>
      </c>
    </row>
    <row r="28" customFormat="false" ht="15" hidden="false" customHeight="false" outlineLevel="0" collapsed="false">
      <c r="A28" s="0" t="s">
        <v>292</v>
      </c>
      <c r="B28" s="0" t="n">
        <v>273</v>
      </c>
      <c r="C28" s="0" t="n">
        <v>3.4</v>
      </c>
      <c r="D28" s="0" t="n">
        <v>4.19</v>
      </c>
      <c r="F28" s="0" t="n">
        <v>6.35</v>
      </c>
      <c r="G28" s="0" t="n">
        <v>7.8</v>
      </c>
      <c r="H28" s="0" t="n">
        <v>9.27</v>
      </c>
      <c r="I28" s="0" t="n">
        <v>9.27</v>
      </c>
      <c r="J28" s="0" t="n">
        <v>9.27</v>
      </c>
      <c r="K28" s="0" t="n">
        <v>12.7</v>
      </c>
      <c r="L28" s="0" t="n">
        <v>15.09</v>
      </c>
      <c r="M28" s="0" t="n">
        <v>12.7</v>
      </c>
      <c r="N28" s="0" t="n">
        <v>12.7</v>
      </c>
      <c r="O28" s="0" t="n">
        <v>18.26</v>
      </c>
      <c r="P28" s="0" t="n">
        <v>21.44</v>
      </c>
      <c r="Q28" s="0" t="n">
        <v>25.4</v>
      </c>
      <c r="R28" s="0" t="n">
        <v>28.58</v>
      </c>
      <c r="S28" s="0" t="n">
        <v>25.4</v>
      </c>
    </row>
    <row r="29" customFormat="false" ht="15" hidden="false" customHeight="false" outlineLevel="0" collapsed="false">
      <c r="A29" s="0" t="s">
        <v>293</v>
      </c>
      <c r="B29" s="0" t="n">
        <v>323.8</v>
      </c>
      <c r="C29" s="0" t="n">
        <v>3.96</v>
      </c>
      <c r="D29" s="0" t="n">
        <v>4.57</v>
      </c>
      <c r="F29" s="0" t="n">
        <v>6.35</v>
      </c>
      <c r="G29" s="0" t="n">
        <v>8.38</v>
      </c>
      <c r="H29" s="0" t="n">
        <v>10.31</v>
      </c>
      <c r="I29" s="0" t="n">
        <v>9.53</v>
      </c>
      <c r="J29" s="0" t="n">
        <v>9.53</v>
      </c>
      <c r="K29" s="0" t="n">
        <v>14.27</v>
      </c>
      <c r="L29" s="0" t="n">
        <v>17.48</v>
      </c>
      <c r="M29" s="0" t="n">
        <v>12.7</v>
      </c>
      <c r="N29" s="0" t="n">
        <v>12.7</v>
      </c>
      <c r="O29" s="0" t="n">
        <v>21.44</v>
      </c>
      <c r="P29" s="0" t="n">
        <v>25.4</v>
      </c>
      <c r="Q29" s="0" t="n">
        <v>28.58</v>
      </c>
      <c r="R29" s="0" t="n">
        <v>33.32</v>
      </c>
      <c r="S29" s="0" t="n">
        <v>25.4</v>
      </c>
    </row>
    <row r="30" customFormat="false" ht="15" hidden="false" customHeight="false" outlineLevel="0" collapsed="false">
      <c r="A30" s="0" t="s">
        <v>294</v>
      </c>
      <c r="B30" s="0" t="n">
        <v>355.6</v>
      </c>
      <c r="C30" s="0" t="n">
        <v>3.96</v>
      </c>
      <c r="D30" s="0" t="n">
        <v>4.78</v>
      </c>
      <c r="E30" s="0" t="n">
        <v>6.35</v>
      </c>
      <c r="F30" s="0" t="n">
        <v>7.92</v>
      </c>
      <c r="G30" s="0" t="n">
        <v>9.53</v>
      </c>
      <c r="H30" s="0" t="n">
        <v>11.13</v>
      </c>
      <c r="I30" s="0" t="n">
        <v>9.53</v>
      </c>
      <c r="K30" s="0" t="n">
        <v>15.09</v>
      </c>
      <c r="L30" s="0" t="n">
        <v>19.05</v>
      </c>
      <c r="M30" s="0" t="n">
        <v>12.7</v>
      </c>
      <c r="O30" s="0" t="n">
        <v>23.83</v>
      </c>
      <c r="P30" s="0" t="n">
        <v>27.79</v>
      </c>
      <c r="Q30" s="0" t="n">
        <v>31.75</v>
      </c>
      <c r="R30" s="0" t="n">
        <v>35.71</v>
      </c>
    </row>
    <row r="31" customFormat="false" ht="15" hidden="false" customHeight="false" outlineLevel="0" collapsed="false">
      <c r="A31" s="0" t="s">
        <v>295</v>
      </c>
      <c r="B31" s="0" t="n">
        <v>406.4</v>
      </c>
      <c r="C31" s="0" t="n">
        <v>4.19</v>
      </c>
      <c r="D31" s="0" t="n">
        <v>4.78</v>
      </c>
      <c r="E31" s="0" t="n">
        <v>6.35</v>
      </c>
      <c r="F31" s="0" t="n">
        <v>7.92</v>
      </c>
      <c r="G31" s="0" t="n">
        <v>9.53</v>
      </c>
      <c r="H31" s="0" t="n">
        <v>12.7</v>
      </c>
      <c r="I31" s="0" t="n">
        <v>9.53</v>
      </c>
      <c r="K31" s="0" t="n">
        <v>16.66</v>
      </c>
      <c r="L31" s="0" t="n">
        <v>21.44</v>
      </c>
      <c r="M31" s="0" t="n">
        <v>12.7</v>
      </c>
      <c r="O31" s="0" t="n">
        <v>26.19</v>
      </c>
      <c r="P31" s="0" t="n">
        <v>30.96</v>
      </c>
      <c r="Q31" s="0" t="n">
        <v>36.53</v>
      </c>
      <c r="R31" s="0" t="n">
        <v>40.49</v>
      </c>
    </row>
    <row r="32" customFormat="false" ht="15" hidden="false" customHeight="false" outlineLevel="0" collapsed="false">
      <c r="A32" s="0" t="s">
        <v>296</v>
      </c>
      <c r="B32" s="0" t="n">
        <v>457</v>
      </c>
      <c r="C32" s="0" t="n">
        <v>4.19</v>
      </c>
      <c r="D32" s="0" t="n">
        <v>4.78</v>
      </c>
      <c r="E32" s="0" t="n">
        <v>6.35</v>
      </c>
      <c r="F32" s="0" t="n">
        <v>7.92</v>
      </c>
      <c r="G32" s="0" t="n">
        <v>11.13</v>
      </c>
      <c r="H32" s="0" t="n">
        <v>14.27</v>
      </c>
      <c r="I32" s="0" t="n">
        <v>9.53</v>
      </c>
      <c r="K32" s="0" t="n">
        <v>19.05</v>
      </c>
      <c r="L32" s="0" t="n">
        <v>23.83</v>
      </c>
      <c r="M32" s="0" t="n">
        <v>12.7</v>
      </c>
      <c r="O32" s="0" t="n">
        <v>29.36</v>
      </c>
      <c r="P32" s="0" t="n">
        <v>34.93</v>
      </c>
      <c r="Q32" s="0" t="n">
        <v>39.67</v>
      </c>
      <c r="R32" s="0" t="n">
        <v>45.24</v>
      </c>
    </row>
    <row r="33" customFormat="false" ht="15" hidden="false" customHeight="false" outlineLevel="0" collapsed="false">
      <c r="A33" s="0" t="s">
        <v>297</v>
      </c>
      <c r="B33" s="0" t="n">
        <v>508</v>
      </c>
      <c r="C33" s="0" t="n">
        <v>4.78</v>
      </c>
      <c r="D33" s="0" t="n">
        <v>5.54</v>
      </c>
      <c r="E33" s="0" t="n">
        <v>6.35</v>
      </c>
      <c r="F33" s="0" t="n">
        <v>9.53</v>
      </c>
      <c r="G33" s="0" t="n">
        <v>12.7</v>
      </c>
      <c r="H33" s="0" t="n">
        <v>15.09</v>
      </c>
      <c r="I33" s="0" t="n">
        <v>9.53</v>
      </c>
      <c r="K33" s="0" t="n">
        <v>20.62</v>
      </c>
      <c r="L33" s="0" t="n">
        <v>26.19</v>
      </c>
      <c r="M33" s="0" t="n">
        <v>12.7</v>
      </c>
      <c r="O33" s="0" t="n">
        <v>32.54</v>
      </c>
      <c r="P33" s="0" t="n">
        <v>38.1</v>
      </c>
      <c r="Q33" s="0" t="n">
        <v>44.45</v>
      </c>
      <c r="R33" s="0" t="n">
        <v>50.01</v>
      </c>
    </row>
    <row r="34" customFormat="false" ht="15" hidden="false" customHeight="false" outlineLevel="0" collapsed="false">
      <c r="A34" s="0" t="s">
        <v>298</v>
      </c>
      <c r="B34" s="0" t="n">
        <v>610</v>
      </c>
      <c r="C34" s="0" t="n">
        <v>5.54</v>
      </c>
      <c r="D34" s="0" t="n">
        <v>6.35</v>
      </c>
      <c r="E34" s="0" t="n">
        <v>6.35</v>
      </c>
      <c r="F34" s="0" t="n">
        <v>9.53</v>
      </c>
      <c r="G34" s="0" t="n">
        <v>14.27</v>
      </c>
      <c r="H34" s="0" t="n">
        <v>17.48</v>
      </c>
      <c r="I34" s="0" t="n">
        <v>9.53</v>
      </c>
      <c r="K34" s="0" t="n">
        <v>24.61</v>
      </c>
      <c r="L34" s="0" t="n">
        <v>30.96</v>
      </c>
      <c r="M34" s="0" t="n">
        <v>12.7</v>
      </c>
      <c r="O34" s="0" t="n">
        <v>38.89</v>
      </c>
      <c r="P34" s="0" t="n">
        <v>46.02</v>
      </c>
      <c r="Q34" s="0" t="n">
        <v>52.37</v>
      </c>
      <c r="R34" s="0" t="n">
        <v>59.54</v>
      </c>
    </row>
    <row r="35" customFormat="false" ht="15" hidden="false" customHeight="false" outlineLevel="0" collapsed="false">
      <c r="A35" s="0" t="s">
        <v>299</v>
      </c>
      <c r="B35" s="0" t="n">
        <v>762</v>
      </c>
      <c r="C35" s="0" t="n">
        <v>6.35</v>
      </c>
      <c r="D35" s="0" t="n">
        <v>7.92</v>
      </c>
      <c r="E35" s="0" t="n">
        <v>7.92</v>
      </c>
      <c r="F35" s="0" t="n">
        <v>12.7</v>
      </c>
      <c r="G35" s="0" t="n">
        <v>15.88</v>
      </c>
      <c r="I35" s="0" t="n">
        <v>9.53</v>
      </c>
      <c r="M35" s="0" t="n">
        <v>12.7</v>
      </c>
    </row>
    <row r="36" customFormat="false" ht="15" hidden="false" customHeight="false" outlineLevel="0" collapsed="false">
      <c r="A36" s="0" t="s">
        <v>300</v>
      </c>
      <c r="B36" s="0" t="n">
        <v>914</v>
      </c>
      <c r="E36" s="0" t="n">
        <v>7.92</v>
      </c>
      <c r="F36" s="0" t="n">
        <v>12.7</v>
      </c>
      <c r="G36" s="0" t="n">
        <v>15.88</v>
      </c>
      <c r="H36" s="0" t="n">
        <v>19.05</v>
      </c>
      <c r="I36" s="0" t="n">
        <v>9.53</v>
      </c>
      <c r="M36" s="0" t="n">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2026-10-05T10:45:07Z</dcterms:created>
  <dc:creator>openpyxl</dc:creator>
  <dc:description/>
  <dc:language>en-US</dc:language>
  <cp:lastModifiedBy/>
  <dcterms:modified xsi:type="dcterms:W3CDTF">2026-10-05T10:45:21Z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
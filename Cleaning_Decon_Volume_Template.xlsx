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ettings" sheetId="1" state="visible" r:id="rId3"/>
    <sheet name="Volume Calculation" sheetId="2" state="visible" r:id="rId4"/>
    <sheet name="Summary" sheetId="3" state="visible" r:id="rId5"/>
    <sheet name="Lookup" sheetId="4" state="visible" r:id="rId6"/>
  </sheets>
  <definedNames>
    <definedName function="false" hidden="false" localSheetId="1" name="_xlnm.Print_Area" vbProcedure="false">'Volume Calculation'!$A$1:$J$1573</definedName>
    <definedName function="false" hidden="false" localSheetId="1" name="_xlnm.Print_Titles" vbProcedure="false">'Volume Calculation'!$6:$6</definedName>
    <definedName function="false" hidden="false" name="BasisU" vbProcedure="false">Lookup!$Q$5:$Q$6</definedName>
    <definedName function="false" hidden="false" name="CCMethPct" vbProcedure="false">Settings!$C$40:$C$41</definedName>
    <definedName function="false" hidden="false" name="CCMethU" vbProcedure="false">Settings!$B$40:$B$41</definedName>
    <definedName function="false" hidden="false" name="CC_HX" vbProcedure="false">Settings!$C$31</definedName>
    <definedName function="false" hidden="false" name="CC_PIPE" vbProcedure="false">Settings!$C$32</definedName>
    <definedName function="false" hidden="false" name="DecChem" vbProcedure="false">Settings!$F$31:$F$36</definedName>
    <definedName function="false" hidden="false" name="DecFill" vbProcedure="false">Settings!$E$31:$E$36</definedName>
    <definedName function="false" hidden="false" name="DecMeth" vbProcedure="false">Settings!$D$31:$D$36</definedName>
    <definedName function="false" hidden="false" name="DecTypeU" vbProcedure="false">Settings!$B$31:$B$36</definedName>
    <definedName function="false" hidden="false" name="DrumL" vbProcedure="false">Settings!$C$26</definedName>
    <definedName function="false" hidden="false" name="EqTypeU" vbProcedure="false">Settings!$B$33:$B$36</definedName>
    <definedName function="false" hidden="false" name="HeadK" vbProcedure="false">Lookup!$K$5:$K$10</definedName>
    <definedName function="false" hidden="false" name="HeadU" vbProcedure="false">Lookup!$J$5:$J$10</definedName>
    <definedName function="false" hidden="false" name="IBCL" vbProcedure="false">Settings!$C$27</definedName>
    <definedName function="false" hidden="false" name="JobType" vbProcedure="false">Settings!$C$21</definedName>
    <definedName function="false" hidden="false" name="JobU" vbProcedure="false">Lookup!$S$5:$S$6</definedName>
    <definedName function="false" hidden="false" name="LayoutF" vbProcedure="false">Lookup!$O$5:$O$8</definedName>
    <definedName function="false" hidden="false" name="LayoutU" vbProcedure="false">Lookup!$N$5:$N$8</definedName>
    <definedName function="false" hidden="false" name="LenF" vbProcedure="false">Lookup!$B$5:$B$9</definedName>
    <definedName function="false" hidden="false" name="LenU" vbProcedure="false">Lookup!$A$5:$A$9</definedName>
    <definedName function="false" hidden="false" name="NPSU" vbProcedure="false">Lookup!$A$16:$A$36</definedName>
    <definedName function="false" hidden="false" name="PipeOD" vbProcedure="false">Lookup!$B$16:$B$36</definedName>
    <definedName function="false" hidden="false" name="PipeWT" vbProcedure="false">Lookup!$C$16:$S$36</definedName>
    <definedName function="false" hidden="false" name="PitchRatio" vbProcedure="false">Settings!$C$25</definedName>
    <definedName function="false" hidden="false" name="ProjClient" vbProcedure="false">Settings!$C$5</definedName>
    <definedName function="false" hidden="false" name="ProjNo" vbProcedure="false">Settings!$C$7</definedName>
    <definedName function="false" hidden="false" name="ProjPlant" vbProcedure="false">Settings!$C$6</definedName>
    <definedName function="false" hidden="false" name="SchU" vbProcedure="false">Lookup!$C$15:$S$15</definedName>
    <definedName function="false" hidden="false" name="StepConc" vbProcedure="false">Settings!$C$45:$C$52</definedName>
    <definedName function="false" hidden="false" name="StepFills" vbProcedure="false">Settings!$D$45:$D$52</definedName>
    <definedName function="false" hidden="false" name="StepName" vbProcedure="false">Settings!$B$45:$B$52</definedName>
    <definedName function="false" hidden="false" name="TrainName1" vbProcedure="false">Settings!$C$14</definedName>
    <definedName function="false" hidden="false" name="TrainName2" vbProcedure="false">Settings!$C$15</definedName>
    <definedName function="false" hidden="false" name="TrainName3" vbProcedure="false">Settings!$C$16</definedName>
    <definedName function="false" hidden="false" name="TrainName4" vbProcedure="false">Settings!$C$17</definedName>
    <definedName function="false" hidden="false" name="TrainName5" vbProcedure="false">Settings!$C$18</definedName>
    <definedName function="false" hidden="false" name="VolF" vbProcedure="false">Lookup!$E$5:$E$10</definedName>
    <definedName function="false" hidden="false" name="VolU" vbProcedure="false">Lookup!$D$5:$D$10</definedName>
    <definedName function="false" hidden="false" name="WaterRho" vbProcedure="false">Settings!$C$24</definedName>
    <definedName function="false" hidden="false" name="WtF" vbProcedure="false">Lookup!$H$5:$H$7</definedName>
    <definedName function="false" hidden="false" name="WtU" vbProcedure="false">Lookup!$G$5:$G$7</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<sst xmlns="http://schemas.openxmlformats.org/spreadsheetml/2006/main" count="4130" uniqueCount="353">
  <si>
    <t xml:space="preserve">Chemical Cleaning / Decontamination – Volume Estimate Template</t>
  </si>
  <si>
    <t xml:space="preserve">Fill in the yellow cells on this sheet first, then the 'Volume Calculation' sheet. The 'Summary' sheet is the proposal output.</t>
  </si>
  <si>
    <t xml:space="preserve">PROJECT INFORMATION</t>
  </si>
  <si>
    <t xml:space="preserve">Client</t>
  </si>
  <si>
    <t xml:space="preserve">Plant / Unit</t>
  </si>
  <si>
    <t xml:space="preserve">Proposal / Project No.</t>
  </si>
  <si>
    <t xml:space="preserve">Location</t>
  </si>
  <si>
    <t xml:space="preserve">Prepared by</t>
  </si>
  <si>
    <t xml:space="preserve">Date</t>
  </si>
  <si>
    <t xml:space="preserve">Revision</t>
  </si>
  <si>
    <t xml:space="preserve">TRAIN / UNIT NAMES  (shown as column headings)</t>
  </si>
  <si>
    <t xml:space="preserve">Train 1 name</t>
  </si>
  <si>
    <t xml:space="preserve">Train 1</t>
  </si>
  <si>
    <t xml:space="preserve">Train 2 name</t>
  </si>
  <si>
    <t xml:space="preserve">Train 2</t>
  </si>
  <si>
    <t xml:space="preserve">Train 3 name</t>
  </si>
  <si>
    <t xml:space="preserve">Train 3</t>
  </si>
  <si>
    <t xml:space="preserve">Train 4 name</t>
  </si>
  <si>
    <t xml:space="preserve">Train 4</t>
  </si>
  <si>
    <t xml:space="preserve">Train 5 name</t>
  </si>
  <si>
    <t xml:space="preserve">Train 5</t>
  </si>
  <si>
    <t xml:space="preserve">JOB TYPE  (drives the whole calculation)</t>
  </si>
  <si>
    <t xml:space="preserve">Job type</t>
  </si>
  <si>
    <t xml:space="preserve">Chemical Cleaning</t>
  </si>
  <si>
    <t xml:space="preserve">GENERAL PARAMETERS</t>
  </si>
  <si>
    <t xml:space="preserve">Water density for water-weight → volume</t>
  </si>
  <si>
    <t xml:space="preserve">kg/m³</t>
  </si>
  <si>
    <t xml:space="preserve">Volume = water weight ÷ this density</t>
  </si>
  <si>
    <t xml:space="preserve">Tube pitch ratio (pitch ÷ tube OD)</t>
  </si>
  <si>
    <t xml:space="preserve">–</t>
  </si>
  <si>
    <t xml:space="preserve">Used to estimate tube OD when only the pitch is given (TEMA typical 1.25)</t>
  </si>
  <si>
    <t xml:space="preserve">Drum size</t>
  </si>
  <si>
    <t xml:space="preserve">L</t>
  </si>
  <si>
    <t xml:space="preserve">Chemical containers – used for the drum count on the Summary</t>
  </si>
  <si>
    <t xml:space="preserve">IBC / tote size</t>
  </si>
  <si>
    <t xml:space="preserve">Chemical containers – used for the IBC count on the Summary</t>
  </si>
  <si>
    <t xml:space="preserve">METHODOLOGY – % of equipment volume considered and chemical dosage (edit per project)</t>
  </si>
  <si>
    <t xml:space="preserve">Equipment</t>
  </si>
  <si>
    <t xml:space="preserve">Chemical cleaning – fill %</t>
  </si>
  <si>
    <t xml:space="preserve">Decontamination – method</t>
  </si>
  <si>
    <t xml:space="preserve">Decon – fill %</t>
  </si>
  <si>
    <t xml:space="preserve">Decon – chemical % vol</t>
  </si>
  <si>
    <t xml:space="preserve">Remarks</t>
  </si>
  <si>
    <t xml:space="preserve">Exchanger</t>
  </si>
  <si>
    <t xml:space="preserve">Vapour phase – complete volume (same as column)</t>
  </si>
  <si>
    <t xml:space="preserve">CC: full volume, tube side + shell side</t>
  </si>
  <si>
    <t xml:space="preserve">Piping</t>
  </si>
  <si>
    <t xml:space="preserve">CC: full volume</t>
  </si>
  <si>
    <t xml:space="preserve">Column</t>
  </si>
  <si>
    <t xml:space="preserve">per item ▼</t>
  </si>
  <si>
    <t xml:space="preserve">Vapour phase – column filled for complete volume</t>
  </si>
  <si>
    <t xml:space="preserve">CC: Full fill or 20% + gamma jet – chosen per item</t>
  </si>
  <si>
    <t xml:space="preserve">Vessel – Vertical</t>
  </si>
  <si>
    <t xml:space="preserve">Boil-out – water fill, steam injected at bottom (rumbling)</t>
  </si>
  <si>
    <t xml:space="preserve">Vessel – Horizontal</t>
  </si>
  <si>
    <t xml:space="preserve">Tank</t>
  </si>
  <si>
    <t xml:space="preserve">Gamma-jet circulation (heating up to 80 °C if required)</t>
  </si>
  <si>
    <t xml:space="preserve">⚠ TO CONFIRM: decon fill % and chemical % for tanks (set equal to boil-out)</t>
  </si>
  <si>
    <t xml:space="preserve">CHEMICAL CLEANING – method options for vessels / columns / tanks (chosen per item)</t>
  </si>
  <si>
    <t xml:space="preserve">Method</t>
  </si>
  <si>
    <t xml:space="preserve">% of volume considered</t>
  </si>
  <si>
    <t xml:space="preserve">Full fill</t>
  </si>
  <si>
    <t xml:space="preserve">Equipment completely filled with cleaning solution</t>
  </si>
  <si>
    <t xml:space="preserve">20% + gamma jet circulation</t>
  </si>
  <si>
    <t xml:space="preserve">Large equipment: 20% of volume circulated through gamma jetting nozzle</t>
  </si>
  <si>
    <t xml:space="preserve">CHEMICAL CLEANING – chemical steps (applied to the total considered volume)</t>
  </si>
  <si>
    <t xml:space="preserve">Step / chemical</t>
  </si>
  <si>
    <t xml:space="preserve">Concentration % vol</t>
  </si>
  <si>
    <t xml:space="preserve">No. of fills / batches</t>
  </si>
  <si>
    <t xml:space="preserve">EXAMPLE – Alkaline degreasing</t>
  </si>
  <si>
    <t xml:space="preserve">Example row – replace with the project's chemical programme</t>
  </si>
  <si>
    <t xml:space="preserve">LEGEND:  yellow = input (blue text) · green = calculated · drop-downs are provided for units, head types, layout, basis and methods.</t>
  </si>
  <si>
    <t xml:space="preserve">All equipment volumes are calculated in m³. Each input row on 'Volume Calculation' has its own unit drop-down (mm, cm, m, in, ft / kg, t, lb / m³, L, gal …).</t>
  </si>
  <si>
    <t xml:space="preserve">Head volumes exclude the straight flange; torispherical = ASME F&amp;D approximation. Internals (trays, packing, demisters) are not deducted.</t>
  </si>
  <si>
    <t xml:space="preserve">VOLUME CALCULATION – Exchangers, Vessels / Columns / Tanks, Piping</t>
  </si>
  <si>
    <t xml:space="preserve">Enter data per train in the yellow cells (blank = not applicable). Pick the unit of each row in column C. Green rows are calculated in m³.  Tip: copy a Train column to the next train when trains are identical.</t>
  </si>
  <si>
    <t xml:space="preserve">#</t>
  </si>
  <si>
    <t xml:space="preserve">Parameter</t>
  </si>
  <si>
    <t xml:space="preserve">Unit</t>
  </si>
  <si>
    <t xml:space="preserve">Total (all trains)</t>
  </si>
  <si>
    <t xml:space="preserve">Notes / source</t>
  </si>
  <si>
    <t xml:space="preserve">A.  HEAT EXCHANGERS  –  tube side &amp; shell side  (20 items)</t>
  </si>
  <si>
    <t xml:space="preserve">HEAT EXCHANGER 1</t>
  </si>
  <si>
    <t xml:space="preserve">Tag No.</t>
  </si>
  <si>
    <t xml:space="preserve">EXAMPLE E-101</t>
  </si>
  <si>
    <t xml:space="preserve">Example data in Train 1 of item 1 – overwrite or delete</t>
  </si>
  <si>
    <t xml:space="preserve">Service / description</t>
  </si>
  <si>
    <t xml:space="preserve">TEMA type (e.g. AES, BEU) – reference</t>
  </si>
  <si>
    <t xml:space="preserve">TUBE SIDE – from data sheet</t>
  </si>
  <si>
    <t xml:space="preserve">Number of tubes (U-tube: no. of tube holes)</t>
  </si>
  <si>
    <t xml:space="preserve">nos</t>
  </si>
  <si>
    <t xml:space="preserve">Tube OD</t>
  </si>
  <si>
    <t xml:space="preserve">mm</t>
  </si>
  <si>
    <t xml:space="preserve">Leave blank if not given – estimated from tube pitch ÷ pitch ratio</t>
  </si>
  <si>
    <t xml:space="preserve">Tube ID</t>
  </si>
  <si>
    <t xml:space="preserve">Tube length (straight length per tube)</t>
  </si>
  <si>
    <t xml:space="preserve">Tube pitch</t>
  </si>
  <si>
    <t xml:space="preserve">Used when tube OD and/or shell ID are not given</t>
  </si>
  <si>
    <t xml:space="preserve">Tube layout</t>
  </si>
  <si>
    <t xml:space="preserve">Triangular (30°)</t>
  </si>
  <si>
    <t xml:space="preserve">Front channel / bonnet ID</t>
  </si>
  <si>
    <t xml:space="preserve">Front channel cylindrical length</t>
  </si>
  <si>
    <t xml:space="preserve">Front head / cover type</t>
  </si>
  <si>
    <t xml:space="preserve">Flat</t>
  </si>
  <si>
    <t xml:space="preserve">Rear channel / bonnet ID (blank for U-tube)</t>
  </si>
  <si>
    <t xml:space="preserve">Rear channel cylindrical length</t>
  </si>
  <si>
    <t xml:space="preserve">Rear head / cover type</t>
  </si>
  <si>
    <t xml:space="preserve">2:1 Ellipsoidal</t>
  </si>
  <si>
    <t xml:space="preserve">Channel / bonnet volume – if given on data sheet</t>
  </si>
  <si>
    <t xml:space="preserve">m³</t>
  </si>
  <si>
    <t xml:space="preserve">If filled, overrides the channel dimensions above</t>
  </si>
  <si>
    <t xml:space="preserve">Tube side water weight – if given</t>
  </si>
  <si>
    <t xml:space="preserve">kg</t>
  </si>
  <si>
    <t xml:space="preserve">SHELL SIDE – from data sheet</t>
  </si>
  <si>
    <t xml:space="preserve">Shell ID</t>
  </si>
  <si>
    <t xml:space="preserve">If blank: area estimated as no. of tubes × pitch² × layout factor</t>
  </si>
  <si>
    <t xml:space="preserve">Shell length (tubesheet to tubesheet / cover)</t>
  </si>
  <si>
    <t xml:space="preserve">If blank, tube length is used</t>
  </si>
  <si>
    <t xml:space="preserve">Shell cover / head type (e.g. U-tube or floating head cover)</t>
  </si>
  <si>
    <t xml:space="preserve">Shell side water weight – if given</t>
  </si>
  <si>
    <t xml:space="preserve">VOLUME BASIS – choose per item</t>
  </si>
  <si>
    <t xml:space="preserve">Tube side basis</t>
  </si>
  <si>
    <t xml:space="preserve">Dimensions</t>
  </si>
  <si>
    <t xml:space="preserve">Shell side basis</t>
  </si>
  <si>
    <t xml:space="preserve">CALCULATION</t>
  </si>
  <si>
    <t xml:space="preserve">Tube OD used</t>
  </si>
  <si>
    <t xml:space="preserve">Given OD, or pitch ÷ pitch ratio (Settings) when OD is blank</t>
  </si>
  <si>
    <t xml:space="preserve">Tubes internal volume  (N × π/4 × ID² × L)</t>
  </si>
  <si>
    <t xml:space="preserve">Channel / bonnet volume (front + rear)</t>
  </si>
  <si>
    <t xml:space="preserve">Given volume, else cylinder + head for front and rear</t>
  </si>
  <si>
    <t xml:space="preserve">Tube side volume – from dimensions</t>
  </si>
  <si>
    <t xml:space="preserve">Tube side volume – from water weight</t>
  </si>
  <si>
    <t xml:space="preserve">TUBE SIDE VOLUME (selected basis)</t>
  </si>
  <si>
    <t xml:space="preserve">HX_TS</t>
  </si>
  <si>
    <t xml:space="preserve">Shell cross-section area used</t>
  </si>
  <si>
    <t xml:space="preserve">m²</t>
  </si>
  <si>
    <t xml:space="preserve">From shell ID; else no. of tubes × pitch² × layout factor (bundle area estimate)</t>
  </si>
  <si>
    <t xml:space="preserve">Shell gross volume (incl. shell cover)</t>
  </si>
  <si>
    <t xml:space="preserve">Tube bundle displacement  (N × π/4 × OD² × L)</t>
  </si>
  <si>
    <t xml:space="preserve">Shell side volume – from dimensions</t>
  </si>
  <si>
    <t xml:space="preserve">Negative value = check shell / tube data</t>
  </si>
  <si>
    <t xml:space="preserve">Shell side volume – from water weight</t>
  </si>
  <si>
    <t xml:space="preserve">SHELL SIDE VOLUME (selected basis)</t>
  </si>
  <si>
    <t xml:space="preserve">HX_SS</t>
  </si>
  <si>
    <t xml:space="preserve">EXCHANGER TOTAL VOLUME (tube side + shell side)</t>
  </si>
  <si>
    <t xml:space="preserve">HX_TOT</t>
  </si>
  <si>
    <t xml:space="preserve">%</t>
  </si>
  <si>
    <t xml:space="preserve">From Settings – methodology table</t>
  </si>
  <si>
    <t xml:space="preserve">CONSIDERED VOLUME for job</t>
  </si>
  <si>
    <t xml:space="preserve">HX_CONS</t>
  </si>
  <si>
    <t xml:space="preserve">Decontamination chemical required</t>
  </si>
  <si>
    <t xml:space="preserve">Decon only. Chemical-cleaning chemicals are calculated per step on the Summary</t>
  </si>
  <si>
    <t xml:space="preserve">HX_CHEM</t>
  </si>
  <si>
    <t xml:space="preserve">HEAT EXCHANGER 2</t>
  </si>
  <si>
    <t xml:space="preserve">HEAT EXCHANGER 3</t>
  </si>
  <si>
    <t xml:space="preserve">HEAT EXCHANGER 4</t>
  </si>
  <si>
    <t xml:space="preserve">HEAT EXCHANGER 5</t>
  </si>
  <si>
    <t xml:space="preserve">HEAT EXCHANGER 6</t>
  </si>
  <si>
    <t xml:space="preserve">HEAT EXCHANGER 7</t>
  </si>
  <si>
    <t xml:space="preserve">HEAT EXCHANGER 8</t>
  </si>
  <si>
    <t xml:space="preserve">HEAT EXCHANGER 9</t>
  </si>
  <si>
    <t xml:space="preserve">HEAT EXCHANGER 10</t>
  </si>
  <si>
    <t xml:space="preserve">HEAT EXCHANGER 11</t>
  </si>
  <si>
    <t xml:space="preserve">HEAT EXCHANGER 12</t>
  </si>
  <si>
    <t xml:space="preserve">HEAT EXCHANGER 13</t>
  </si>
  <si>
    <t xml:space="preserve">HEAT EXCHANGER 14</t>
  </si>
  <si>
    <t xml:space="preserve">HEAT EXCHANGER 15</t>
  </si>
  <si>
    <t xml:space="preserve">HEAT EXCHANGER 16</t>
  </si>
  <si>
    <t xml:space="preserve">HEAT EXCHANGER 17</t>
  </si>
  <si>
    <t xml:space="preserve">HEAT EXCHANGER 18</t>
  </si>
  <si>
    <t xml:space="preserve">HEAT EXCHANGER 19</t>
  </si>
  <si>
    <t xml:space="preserve">HEAT EXCHANGER 20</t>
  </si>
  <si>
    <t xml:space="preserve">B.  VESSELS / COLUMNS / TANKS  (20 items)</t>
  </si>
  <si>
    <t xml:space="preserve">VESSEL / COLUMN / TANK 1</t>
  </si>
  <si>
    <t xml:space="preserve">EXAMPLE V-101</t>
  </si>
  <si>
    <t xml:space="preserve">Equipment type</t>
  </si>
  <si>
    <t xml:space="preserve">Decides the decontamination method (Settings)</t>
  </si>
  <si>
    <t xml:space="preserve">DIMENSIONS – from data sheet</t>
  </si>
  <si>
    <t xml:space="preserve">Inside diameter</t>
  </si>
  <si>
    <t xml:space="preserve">Shell length T/T (straight side)</t>
  </si>
  <si>
    <t xml:space="preserve">Head 1 type (top / left)</t>
  </si>
  <si>
    <t xml:space="preserve">Head 1 cone height (conical head only)</t>
  </si>
  <si>
    <t xml:space="preserve">Head 2 type (bottom / right)</t>
  </si>
  <si>
    <t xml:space="preserve">Head 2 cone height (conical head only)</t>
  </si>
  <si>
    <t xml:space="preserve">Water weight – if given</t>
  </si>
  <si>
    <t xml:space="preserve">SELECTIONS – choose per item</t>
  </si>
  <si>
    <t xml:space="preserve">Volume basis</t>
  </si>
  <si>
    <t xml:space="preserve">Chemical cleaning method</t>
  </si>
  <si>
    <t xml:space="preserve">Large equipment: '20% + gamma jet circulation'</t>
  </si>
  <si>
    <t xml:space="preserve">Shell volume  (π/4 × D² × L)</t>
  </si>
  <si>
    <t xml:space="preserve">Head 1 volume</t>
  </si>
  <si>
    <t xml:space="preserve">Head 2 volume</t>
  </si>
  <si>
    <t xml:space="preserve">Volume – from dimensions</t>
  </si>
  <si>
    <t xml:space="preserve">Volume – from water weight</t>
  </si>
  <si>
    <t xml:space="preserve">EQUIPMENT VOLUME (selected basis)</t>
  </si>
  <si>
    <t xml:space="preserve">V_SEL</t>
  </si>
  <si>
    <t xml:space="preserve">Method applied</t>
  </si>
  <si>
    <t xml:space="preserve">From Settings – methodology / CC method tables</t>
  </si>
  <si>
    <t xml:space="preserve">V_CONS</t>
  </si>
  <si>
    <t xml:space="preserve">Decon only: column 1% (vapour), vessels 2% (boil-out), tanks per Settings</t>
  </si>
  <si>
    <t xml:space="preserve">V_CHEM</t>
  </si>
  <si>
    <t xml:space="preserve">VESSEL / COLUMN / TANK 2</t>
  </si>
  <si>
    <t xml:space="preserve">VESSEL / COLUMN / TANK 3</t>
  </si>
  <si>
    <t xml:space="preserve">VESSEL / COLUMN / TANK 4</t>
  </si>
  <si>
    <t xml:space="preserve">VESSEL / COLUMN / TANK 5</t>
  </si>
  <si>
    <t xml:space="preserve">VESSEL / COLUMN / TANK 6</t>
  </si>
  <si>
    <t xml:space="preserve">VESSEL / COLUMN / TANK 7</t>
  </si>
  <si>
    <t xml:space="preserve">VESSEL / COLUMN / TANK 8</t>
  </si>
  <si>
    <t xml:space="preserve">VESSEL / COLUMN / TANK 9</t>
  </si>
  <si>
    <t xml:space="preserve">VESSEL / COLUMN / TANK 10</t>
  </si>
  <si>
    <t xml:space="preserve">VESSEL / COLUMN / TANK 11</t>
  </si>
  <si>
    <t xml:space="preserve">VESSEL / COLUMN / TANK 12</t>
  </si>
  <si>
    <t xml:space="preserve">VESSEL / COLUMN / TANK 13</t>
  </si>
  <si>
    <t xml:space="preserve">VESSEL / COLUMN / TANK 14</t>
  </si>
  <si>
    <t xml:space="preserve">VESSEL / COLUMN / TANK 15</t>
  </si>
  <si>
    <t xml:space="preserve">VESSEL / COLUMN / TANK 16</t>
  </si>
  <si>
    <t xml:space="preserve">VESSEL / COLUMN / TANK 17</t>
  </si>
  <si>
    <t xml:space="preserve">VESSEL / COLUMN / TANK 18</t>
  </si>
  <si>
    <t xml:space="preserve">VESSEL / COLUMN / TANK 19</t>
  </si>
  <si>
    <t xml:space="preserve">VESSEL / COLUMN / TANK 20</t>
  </si>
  <si>
    <t xml:space="preserve">C.  PIPING FROM ISOMETRICS  (10 lines)</t>
  </si>
  <si>
    <t xml:space="preserve">PIPING LINE 1</t>
  </si>
  <si>
    <t xml:space="preserve">Line No. (from isometric)</t>
  </si>
  <si>
    <t xml:space="preserve">EXAMPLE 6"-P-1001</t>
  </si>
  <si>
    <t xml:space="preserve">Example data in Train 1 of line 1 – overwrite or delete</t>
  </si>
  <si>
    <t xml:space="preserve">Nominal pipe size (NPS)</t>
  </si>
  <si>
    <t xml:space="preserve">6" (DN 150)</t>
  </si>
  <si>
    <t xml:space="preserve">Schedule / wall</t>
  </si>
  <si>
    <t xml:space="preserve">Sch 40</t>
  </si>
  <si>
    <t xml:space="preserve">Inside diameter – if given (overrides NPS / schedule)</t>
  </si>
  <si>
    <t xml:space="preserve">Total line length (from isometric)</t>
  </si>
  <si>
    <t xml:space="preserve">m</t>
  </si>
  <si>
    <t xml:space="preserve">Inside diameter used</t>
  </si>
  <si>
    <t xml:space="preserve">Given ID, else OD − 2 × wall (Lookup sheet)</t>
  </si>
  <si>
    <t xml:space="preserve">LINE VOLUME  (π/4 × ID² × length)</t>
  </si>
  <si>
    <t xml:space="preserve">P_VOL</t>
  </si>
  <si>
    <t xml:space="preserve">P_CONS</t>
  </si>
  <si>
    <t xml:space="preserve">P_CHEM</t>
  </si>
  <si>
    <t xml:space="preserve">PIPING LINE 2</t>
  </si>
  <si>
    <t xml:space="preserve">PIPING LINE 3</t>
  </si>
  <si>
    <t xml:space="preserve">PIPING LINE 4</t>
  </si>
  <si>
    <t xml:space="preserve">PIPING LINE 5</t>
  </si>
  <si>
    <t xml:space="preserve">PIPING LINE 6</t>
  </si>
  <si>
    <t xml:space="preserve">PIPING LINE 7</t>
  </si>
  <si>
    <t xml:space="preserve">PIPING LINE 8</t>
  </si>
  <si>
    <t xml:space="preserve">PIPING LINE 9</t>
  </si>
  <si>
    <t xml:space="preserve">PIPING LINE 10</t>
  </si>
  <si>
    <t xml:space="preserve">1.  EQUIPMENT VOLUMES (full volume, selected basis)</t>
  </si>
  <si>
    <t xml:space="preserve">Item</t>
  </si>
  <si>
    <t xml:space="preserve">Total</t>
  </si>
  <si>
    <t xml:space="preserve">Heat exchangers – tube side</t>
  </si>
  <si>
    <t xml:space="preserve">Heat exchangers – shell side</t>
  </si>
  <si>
    <t xml:space="preserve">Vessels – vertical</t>
  </si>
  <si>
    <t xml:space="preserve">Vessels – horizontal</t>
  </si>
  <si>
    <t xml:space="preserve">Columns</t>
  </si>
  <si>
    <t xml:space="preserve">Tanks</t>
  </si>
  <si>
    <t xml:space="preserve">Vessels with no equipment type selected</t>
  </si>
  <si>
    <t xml:space="preserve">TOTAL SYSTEM VOLUME</t>
  </si>
  <si>
    <t xml:space="preserve">US gal</t>
  </si>
  <si>
    <t xml:space="preserve">2.  CONSIDERED VOLUME FOR THE SELECTED JOB TYPE  (% per Settings / per-item method)</t>
  </si>
  <si>
    <t xml:space="preserve">Heat exchangers (tube + shell side)</t>
  </si>
  <si>
    <t xml:space="preserve">TOTAL CONSIDERED VOLUME (water / solution)</t>
  </si>
  <si>
    <t xml:space="preserve">TOTAL CONSIDERED VOLUME</t>
  </si>
  <si>
    <t xml:space="preserve">3A.  CHEMICAL CLEANING – chemical per step  (= total considered volume × concentration × fills)</t>
  </si>
  <si>
    <t xml:space="preserve">TOTAL CHEMICAL – chemical cleaning</t>
  </si>
  <si>
    <t xml:space="preserve">3B.  DECONTAMINATION – chemical  (= considered volume × chemical % per equipment type)</t>
  </si>
  <si>
    <t xml:space="preserve">Heat exchangers</t>
  </si>
  <si>
    <t xml:space="preserve">TOTAL CHEMICAL – decontamination</t>
  </si>
  <si>
    <t xml:space="preserve">4.  CHEMICAL PACKAGING  (selected job type)</t>
  </si>
  <si>
    <t xml:space="preserve">Total chemical required</t>
  </si>
  <si>
    <t xml:space="preserve">Notes:</t>
  </si>
  <si>
    <t xml:space="preserve">• Volumes per item come from the basis chosen on 'Volume Calculation' (dimensions or water weight).</t>
  </si>
  <si>
    <t xml:space="preserve">• Chemical cleaning: exchangers and piping full volume; vessels / columns / tanks per item (Full fill or 20% + gamma jet circulation).</t>
  </si>
  <si>
    <t xml:space="preserve">• Decontamination: columns, exchangers, piping – vapour phase, complete volume, 1% chemical; vessels – boil-out 30% water + 2% chemical with steam injection; tanks – gamma-jet circulation (heating up to 80 °C if required) – % per Settings (to confirm).</t>
  </si>
  <si>
    <t xml:space="preserve">• Internals, nozzles, hoses and temporary circuit volumes are not included – add allowances separately if required.</t>
  </si>
  <si>
    <t xml:space="preserve">Lookup tables used by the template (edit with care)</t>
  </si>
  <si>
    <t xml:space="preserve">Length units</t>
  </si>
  <si>
    <t xml:space="preserve">Volume units</t>
  </si>
  <si>
    <t xml:space="preserve">Weight units</t>
  </si>
  <si>
    <t xml:space="preserve">Head types</t>
  </si>
  <si>
    <t xml:space="preserve">× to m</t>
  </si>
  <si>
    <t xml:space="preserve">× to m³</t>
  </si>
  <si>
    <t xml:space="preserve">× to kg</t>
  </si>
  <si>
    <t xml:space="preserve">Head type</t>
  </si>
  <si>
    <t xml:space="preserve">k (V = k·D³)</t>
  </si>
  <si>
    <t xml:space="preserve">Formula</t>
  </si>
  <si>
    <t xml:space="preserve">Layout</t>
  </si>
  <si>
    <t xml:space="preserve">Area factor (× pitch²)</t>
  </si>
  <si>
    <t xml:space="preserve">Basis</t>
  </si>
  <si>
    <t xml:space="preserve">None / Open</t>
  </si>
  <si>
    <t xml:space="preserve">0</t>
  </si>
  <si>
    <t xml:space="preserve">No head volume</t>
  </si>
  <si>
    <t xml:space="preserve">cm</t>
  </si>
  <si>
    <t xml:space="preserve">t</t>
  </si>
  <si>
    <t xml:space="preserve">Flat cover / blind – no extra volume</t>
  </si>
  <si>
    <t xml:space="preserve">Rotated triangular (60°)</t>
  </si>
  <si>
    <t xml:space="preserve">Water weight</t>
  </si>
  <si>
    <t xml:space="preserve">Decontamination</t>
  </si>
  <si>
    <t xml:space="preserve">lb</t>
  </si>
  <si>
    <t xml:space="preserve">V = π/24 × D³</t>
  </si>
  <si>
    <t xml:space="preserve">Square (90°)</t>
  </si>
  <si>
    <t xml:space="preserve">in</t>
  </si>
  <si>
    <t xml:space="preserve">Imp gal</t>
  </si>
  <si>
    <t xml:space="preserve">Hemispherical</t>
  </si>
  <si>
    <t xml:space="preserve">V = π/12 × D³</t>
  </si>
  <si>
    <t xml:space="preserve">Rotated square (45°)</t>
  </si>
  <si>
    <t xml:space="preserve">ft</t>
  </si>
  <si>
    <t xml:space="preserve">bbl</t>
  </si>
  <si>
    <t xml:space="preserve">Torispherical (F&amp;D)</t>
  </si>
  <si>
    <t xml:space="preserve">0.0809</t>
  </si>
  <si>
    <t xml:space="preserve">ASME flanged &amp; dished, V ≈ 0.0809 × D³</t>
  </si>
  <si>
    <t xml:space="preserve">ft³</t>
  </si>
  <si>
    <t xml:space="preserve">Conical</t>
  </si>
  <si>
    <t xml:space="preserve">V = π/12 × D² × cone height (enter cone height)</t>
  </si>
  <si>
    <t xml:space="preserve">Pipe wall thickness (mm) – ASME B36.10M / B36.19M.  Verify against the project piping class; blank = schedule not standard for that size.</t>
  </si>
  <si>
    <t xml:space="preserve">NPS</t>
  </si>
  <si>
    <t xml:space="preserve">OD (mm)</t>
  </si>
  <si>
    <t xml:space="preserve">Sch 5S</t>
  </si>
  <si>
    <t xml:space="preserve">Sch 10S</t>
  </si>
  <si>
    <t xml:space="preserve">Sch 10</t>
  </si>
  <si>
    <t xml:space="preserve">Sch 20</t>
  </si>
  <si>
    <t xml:space="preserve">Sch 30</t>
  </si>
  <si>
    <t xml:space="preserve">STD</t>
  </si>
  <si>
    <t xml:space="preserve">Sch 40S</t>
  </si>
  <si>
    <t xml:space="preserve">Sch 60</t>
  </si>
  <si>
    <t xml:space="preserve">Sch 80</t>
  </si>
  <si>
    <t xml:space="preserve">XS</t>
  </si>
  <si>
    <t xml:space="preserve">Sch 80S</t>
  </si>
  <si>
    <t xml:space="preserve">Sch 100</t>
  </si>
  <si>
    <t xml:space="preserve">Sch 120</t>
  </si>
  <si>
    <t xml:space="preserve">Sch 140</t>
  </si>
  <si>
    <t xml:space="preserve">Sch 160</t>
  </si>
  <si>
    <t xml:space="preserve">XXS</t>
  </si>
  <si>
    <t xml:space="preserve">1/2" (DN 15)</t>
  </si>
  <si>
    <t xml:space="preserve">3/4" (DN 20)</t>
  </si>
  <si>
    <t xml:space="preserve">1" (DN 25)</t>
  </si>
  <si>
    <t xml:space="preserve">1-1/4" (DN 32)</t>
  </si>
  <si>
    <t xml:space="preserve">1-1/2" (DN 40)</t>
  </si>
  <si>
    <t xml:space="preserve">2" (DN 50)</t>
  </si>
  <si>
    <t xml:space="preserve">2-1/2" (DN 65)</t>
  </si>
  <si>
    <t xml:space="preserve">3" (DN 80)</t>
  </si>
  <si>
    <t xml:space="preserve">4" (DN 100)</t>
  </si>
  <si>
    <t xml:space="preserve">5" (DN 125)</t>
  </si>
  <si>
    <t xml:space="preserve">8" (DN 200)</t>
  </si>
  <si>
    <t xml:space="preserve">10" (DN 250)</t>
  </si>
  <si>
    <t xml:space="preserve">12" (DN 300)</t>
  </si>
  <si>
    <t xml:space="preserve">14" (DN 350)</t>
  </si>
  <si>
    <t xml:space="preserve">16" (DN 400)</t>
  </si>
  <si>
    <t xml:space="preserve">18" (DN 450)</t>
  </si>
  <si>
    <t xml:space="preserve">20" (DN 500)</t>
  </si>
  <si>
    <t xml:space="preserve">24" (DN 600)</t>
  </si>
  <si>
    <t xml:space="preserve">30" (DN 750)</t>
  </si>
  <si>
    <t xml:space="preserve">36" (DN 900)</t>
  </si>
</sst>
</file>

<file path=xl/styles.xml><?xml version="1.0" encoding="utf-8"?>
<styleSheet xmlns="http://schemas.openxmlformats.org/spreadsheetml/2006/main">
  <numFmts count="9">
    <numFmt numFmtId="164" formatCode="General"/>
    <numFmt numFmtId="165" formatCode="dd\-mmm\-yyyy"/>
    <numFmt numFmtId="166" formatCode="0.0%"/>
    <numFmt numFmtId="167" formatCode="#,##0.00;\-#,##0.00;\-"/>
    <numFmt numFmtId="168" formatCode="#,##0.000;\-#,##0.000;\-"/>
    <numFmt numFmtId="169" formatCode="#,##0.0000;\-#,##0.0000;\-"/>
    <numFmt numFmtId="170" formatCode="0%;\-0%;\-"/>
    <numFmt numFmtId="171" formatCode="#,##0;\-#,##0;\-"/>
    <numFmt numFmtId="172" formatCode="@"/>
  </numFmts>
  <fonts count="19">
    <font>
      <sz val="11"/>
      <color theme="1"/>
      <name val="Calibri"/>
      <family val="2"/>
      <charset val="1"/>
    </font>
    <font>
      <sz val="10"/>
      <name val="Arial"/>
      <family val="0"/>
    </font>
    <font>
      <sz val="10"/>
      <name val="Arial"/>
      <family val="0"/>
    </font>
    <font>
      <sz val="10"/>
      <name val="Arial"/>
      <family val="0"/>
    </font>
    <font>
      <b val="true"/>
      <sz val="16"/>
      <color rgb="FF1F3864"/>
      <name val="Arial"/>
      <family val="0"/>
      <charset val="1"/>
    </font>
    <font>
      <i val="true"/>
      <sz val="10"/>
      <color rgb="FF595959"/>
      <name val="Arial"/>
      <family val="0"/>
      <charset val="1"/>
    </font>
    <font>
      <b val="true"/>
      <sz val="11"/>
      <color rgb="FF1F3864"/>
      <name val="Arial"/>
      <family val="0"/>
      <charset val="1"/>
    </font>
    <font>
      <b val="true"/>
      <sz val="10"/>
      <name val="Arial"/>
      <family val="0"/>
      <charset val="1"/>
    </font>
    <font>
      <sz val="10"/>
      <color rgb="FF0000FF"/>
      <name val="Arial"/>
      <family val="0"/>
      <charset val="1"/>
    </font>
    <font>
      <b val="true"/>
      <sz val="12"/>
      <color rgb="FF0000FF"/>
      <name val="Arial"/>
      <family val="0"/>
      <charset val="1"/>
    </font>
    <font>
      <sz val="10"/>
      <name val="Arial"/>
      <family val="0"/>
      <charset val="1"/>
    </font>
    <font>
      <sz val="9"/>
      <color rgb="FF808080"/>
      <name val="Arial"/>
      <family val="0"/>
      <charset val="1"/>
    </font>
    <font>
      <b val="true"/>
      <sz val="10"/>
      <color rgb="FFFFFFFF"/>
      <name val="Arial"/>
      <family val="0"/>
      <charset val="1"/>
    </font>
    <font>
      <sz val="9"/>
      <color rgb="FF595959"/>
      <name val="Arial"/>
      <family val="0"/>
      <charset val="1"/>
    </font>
    <font>
      <sz val="9"/>
      <color rgb="FFC00000"/>
      <name val="Arial"/>
      <family val="0"/>
      <charset val="1"/>
    </font>
    <font>
      <b val="true"/>
      <sz val="11"/>
      <color rgb="FFC00000"/>
      <name val="Arial"/>
      <family val="0"/>
      <charset val="1"/>
    </font>
    <font>
      <b val="true"/>
      <sz val="12"/>
      <color rgb="FFFFFFFF"/>
      <name val="Arial"/>
      <family val="0"/>
      <charset val="1"/>
    </font>
    <font>
      <b val="true"/>
      <sz val="9"/>
      <color rgb="FF595959"/>
      <name val="Arial"/>
      <family val="0"/>
      <charset val="1"/>
    </font>
    <font>
      <sz val="8"/>
      <name val="Arial"/>
      <family val="0"/>
      <charset val="1"/>
    </font>
  </fonts>
  <fills count="10">
    <fill>
      <patternFill patternType="none"/>
    </fill>
    <fill>
      <patternFill patternType="gray125"/>
    </fill>
    <fill>
      <patternFill patternType="solid">
        <fgColor rgb="FFFFF2CC"/>
        <bgColor rgb="FFF2F2F2"/>
      </patternFill>
    </fill>
    <fill>
      <patternFill patternType="solid">
        <fgColor rgb="FFFFFF00"/>
        <bgColor rgb="FFFFFF00"/>
      </patternFill>
    </fill>
    <fill>
      <patternFill patternType="solid">
        <fgColor rgb="FF1F3864"/>
        <bgColor rgb="FF333333"/>
      </patternFill>
    </fill>
    <fill>
      <patternFill patternType="solid">
        <fgColor rgb="FFD9E1F2"/>
        <bgColor rgb="FFE2EFDA"/>
      </patternFill>
    </fill>
    <fill>
      <patternFill patternType="solid">
        <fgColor rgb="FFF2F2F2"/>
        <bgColor rgb="FFE2EFDA"/>
      </patternFill>
    </fill>
    <fill>
      <patternFill patternType="solid">
        <fgColor rgb="FFE2EFDA"/>
        <bgColor rgb="FFF2F2F2"/>
      </patternFill>
    </fill>
    <fill>
      <patternFill patternType="solid">
        <fgColor rgb="FFC6E0B4"/>
        <bgColor rgb="FFE2EFDA"/>
      </patternFill>
    </fill>
    <fill>
      <patternFill patternType="solid">
        <fgColor rgb="FF44546A"/>
        <bgColor rgb="FF595959"/>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left" vertical="center" textRotation="0" wrapText="false" indent="0" shrinkToFit="false"/>
      <protection locked="true" hidden="false"/>
    </xf>
    <xf numFmtId="164" fontId="8" fillId="2" borderId="1" xfId="0" applyFont="true" applyBorder="true" applyAlignment="true" applyProtection="false">
      <alignment horizontal="left" vertical="center" textRotation="0" wrapText="false" indent="0" shrinkToFit="false"/>
      <protection locked="true" hidden="false"/>
    </xf>
    <xf numFmtId="165" fontId="8" fillId="2" borderId="1" xfId="0" applyFont="true" applyBorder="true" applyAlignment="true" applyProtection="false">
      <alignment horizontal="left" vertical="center" textRotation="0" wrapText="false" indent="0" shrinkToFit="false"/>
      <protection locked="true" hidden="false"/>
    </xf>
    <xf numFmtId="164" fontId="9" fillId="3" borderId="1" xfId="0" applyFont="true" applyBorder="true" applyAlignment="true" applyProtection="false">
      <alignment horizontal="center" vertical="center" textRotation="0" wrapText="true" indent="0" shrinkToFit="false"/>
      <protection locked="true" hidden="false"/>
    </xf>
    <xf numFmtId="164" fontId="8" fillId="2" borderId="1" xfId="0" applyFont="true" applyBorder="true" applyAlignment="true" applyProtection="false">
      <alignment horizontal="center" vertical="center" textRotation="0" wrapText="true" indent="0" shrinkToFit="false"/>
      <protection locked="true" hidden="false"/>
    </xf>
    <xf numFmtId="164" fontId="10" fillId="0" borderId="1" xfId="0" applyFont="true" applyBorder="true" applyAlignment="true" applyProtection="false">
      <alignment horizontal="left" vertical="center"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2" fillId="4" borderId="1" xfId="0" applyFont="true" applyBorder="true" applyAlignment="true" applyProtection="false">
      <alignment horizontal="center" vertical="center" textRotation="0" wrapText="true" indent="0" shrinkToFit="false"/>
      <protection locked="true" hidden="false"/>
    </xf>
    <xf numFmtId="166" fontId="8" fillId="2" borderId="1" xfId="0" applyFont="true" applyBorder="true" applyAlignment="true" applyProtection="false">
      <alignment horizontal="center" vertical="center" textRotation="0" wrapText="true" indent="0" shrinkToFit="false"/>
      <protection locked="true" hidden="false"/>
    </xf>
    <xf numFmtId="164" fontId="8" fillId="2" borderId="1" xfId="0" applyFont="true" applyBorder="true" applyAlignment="true" applyProtection="false">
      <alignment horizontal="left" vertical="center" textRotation="0" wrapText="true" indent="0" shrinkToFit="false"/>
      <protection locked="true" hidden="false"/>
    </xf>
    <xf numFmtId="164" fontId="13" fillId="0" borderId="1" xfId="0" applyFont="true" applyBorder="true" applyAlignment="true" applyProtection="false">
      <alignment horizontal="left" vertical="center" textRotation="0" wrapText="true" indent="0" shrinkToFit="false"/>
      <protection locked="true" hidden="false"/>
    </xf>
    <xf numFmtId="164" fontId="11" fillId="0" borderId="1" xfId="0" applyFont="true" applyBorder="true" applyAlignment="true" applyProtection="false">
      <alignment horizontal="center" vertical="center" textRotation="0" wrapText="true" indent="0" shrinkToFit="false"/>
      <protection locked="true" hidden="false"/>
    </xf>
    <xf numFmtId="164" fontId="14" fillId="0" borderId="1" xfId="0" applyFont="true" applyBorder="true" applyAlignment="true" applyProtection="false">
      <alignment horizontal="left" vertical="center" textRotation="0" wrapText="true" indent="0" shrinkToFit="false"/>
      <protection locked="true" hidden="false"/>
    </xf>
    <xf numFmtId="164" fontId="13" fillId="2" borderId="1" xfId="0" applyFont="true" applyBorder="true" applyAlignment="true" applyProtection="false">
      <alignment horizontal="left" vertical="center" textRotation="0" wrapText="tru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4" fontId="16" fillId="4" borderId="0" xfId="0" applyFont="true" applyBorder="true" applyAlignment="true" applyProtection="false">
      <alignment horizontal="left" vertical="center" textRotation="0" wrapText="false" indent="0" shrinkToFit="false"/>
      <protection locked="true" hidden="false"/>
    </xf>
    <xf numFmtId="164" fontId="6" fillId="5" borderId="1" xfId="0" applyFont="true" applyBorder="true" applyAlignment="true" applyProtection="false">
      <alignment horizontal="center" vertical="center" textRotation="0" wrapText="true" indent="0" shrinkToFit="false"/>
      <protection locked="true" hidden="false"/>
    </xf>
    <xf numFmtId="164" fontId="6" fillId="5" borderId="1" xfId="0" applyFont="true" applyBorder="true" applyAlignment="false" applyProtection="false">
      <alignment horizontal="general" vertical="bottom" textRotation="0" wrapText="false" indent="0" shrinkToFit="false"/>
      <protection locked="true" hidden="false"/>
    </xf>
    <xf numFmtId="164" fontId="0" fillId="5" borderId="1" xfId="0" applyFont="false" applyBorder="true" applyAlignment="false" applyProtection="false">
      <alignment horizontal="general" vertical="bottom" textRotation="0" wrapText="false" indent="0" shrinkToFit="false"/>
      <protection locked="true" hidden="false"/>
    </xf>
    <xf numFmtId="164" fontId="10" fillId="0" borderId="1" xfId="0" applyFont="true" applyBorder="true" applyAlignment="false" applyProtection="false">
      <alignment horizontal="general" vertical="bottom" textRotation="0" wrapText="false" indent="0" shrinkToFit="false"/>
      <protection locked="true" hidden="false"/>
    </xf>
    <xf numFmtId="164" fontId="11" fillId="0" borderId="1" xfId="0" applyFont="true" applyBorder="true" applyAlignment="true" applyProtection="false">
      <alignment horizontal="left" vertical="center" textRotation="0" wrapText="true" indent="0" shrinkToFit="false"/>
      <protection locked="true" hidden="false"/>
    </xf>
    <xf numFmtId="164" fontId="17" fillId="6" borderId="0" xfId="0" applyFont="true" applyBorder="false" applyAlignment="false" applyProtection="false">
      <alignment horizontal="general" vertical="bottom" textRotation="0" wrapText="false" indent="0" shrinkToFit="false"/>
      <protection locked="true" hidden="false"/>
    </xf>
    <xf numFmtId="164" fontId="0" fillId="6" borderId="0" xfId="0" applyFont="false" applyBorder="false" applyAlignment="false" applyProtection="false">
      <alignment horizontal="general" vertical="bottom" textRotation="0" wrapText="false" indent="0" shrinkToFit="false"/>
      <protection locked="true" hidden="false"/>
    </xf>
    <xf numFmtId="167" fontId="10" fillId="7" borderId="1" xfId="0" applyFont="true" applyBorder="true" applyAlignment="true" applyProtection="false">
      <alignment horizontal="center" vertical="center" textRotation="0" wrapText="true" indent="0" shrinkToFit="false"/>
      <protection locked="true" hidden="false"/>
    </xf>
    <xf numFmtId="167" fontId="7" fillId="7" borderId="1" xfId="0" applyFont="true" applyBorder="true" applyAlignment="true" applyProtection="false">
      <alignment horizontal="center" vertical="center" textRotation="0" wrapText="true" indent="0" shrinkToFit="false"/>
      <protection locked="true" hidden="false"/>
    </xf>
    <xf numFmtId="168" fontId="10" fillId="7" borderId="1" xfId="0" applyFont="true" applyBorder="true" applyAlignment="true" applyProtection="false">
      <alignment horizontal="center" vertical="center" textRotation="0" wrapText="true" indent="0" shrinkToFit="false"/>
      <protection locked="true" hidden="false"/>
    </xf>
    <xf numFmtId="168" fontId="7" fillId="7" borderId="1" xfId="0" applyFont="true" applyBorder="true" applyAlignment="true" applyProtection="false">
      <alignment horizontal="center" vertical="center" textRotation="0" wrapText="true" indent="0" shrinkToFit="false"/>
      <protection locked="true" hidden="false"/>
    </xf>
    <xf numFmtId="168" fontId="7" fillId="8" borderId="1" xfId="0" applyFont="true" applyBorder="true" applyAlignment="true" applyProtection="false">
      <alignment horizontal="center" vertical="center" textRotation="0" wrapText="tru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9" fontId="10" fillId="7" borderId="1" xfId="0" applyFont="true" applyBorder="true" applyAlignment="true" applyProtection="false">
      <alignment horizontal="center" vertical="center" textRotation="0" wrapText="true" indent="0" shrinkToFit="false"/>
      <protection locked="true" hidden="false"/>
    </xf>
    <xf numFmtId="169" fontId="7" fillId="7" borderId="1" xfId="0" applyFont="true" applyBorder="true" applyAlignment="true" applyProtection="false">
      <alignment horizontal="center" vertical="center" textRotation="0" wrapText="true" indent="0" shrinkToFit="false"/>
      <protection locked="true" hidden="false"/>
    </xf>
    <xf numFmtId="170" fontId="10" fillId="7" borderId="1" xfId="0" applyFont="true" applyBorder="true" applyAlignment="true" applyProtection="false">
      <alignment horizontal="center" vertical="center" textRotation="0" wrapText="true" indent="0" shrinkToFit="false"/>
      <protection locked="true" hidden="false"/>
    </xf>
    <xf numFmtId="170" fontId="7" fillId="7" borderId="1" xfId="0" applyFont="true" applyBorder="true" applyAlignment="true" applyProtection="false">
      <alignment horizontal="center" vertical="center" textRotation="0" wrapText="true" indent="0" shrinkToFit="false"/>
      <protection locked="true" hidden="false"/>
    </xf>
    <xf numFmtId="171" fontId="10" fillId="7" borderId="1" xfId="0" applyFont="true" applyBorder="true" applyAlignment="true" applyProtection="false">
      <alignment horizontal="center" vertical="center" textRotation="0" wrapText="true" indent="0" shrinkToFit="false"/>
      <protection locked="true" hidden="false"/>
    </xf>
    <xf numFmtId="171" fontId="7" fillId="7" borderId="1" xfId="0" applyFont="true" applyBorder="true" applyAlignment="true" applyProtection="false">
      <alignment horizontal="center" vertical="center" textRotation="0" wrapText="true" indent="0" shrinkToFit="false"/>
      <protection locked="true" hidden="false"/>
    </xf>
    <xf numFmtId="172" fontId="18" fillId="7" borderId="1" xfId="0" applyFont="true" applyBorder="true" applyAlignment="true" applyProtection="false">
      <alignment horizontal="center" vertical="center" textRotation="0" wrapText="true" indent="0" shrinkToFit="false"/>
      <protection locked="true" hidden="false"/>
    </xf>
    <xf numFmtId="172" fontId="7" fillId="7" borderId="1" xfId="0" applyFont="true" applyBorder="true" applyAlignment="true" applyProtection="false">
      <alignment horizontal="center" vertical="center" textRotation="0" wrapText="true" indent="0" shrinkToFit="false"/>
      <protection locked="true" hidden="false"/>
    </xf>
    <xf numFmtId="164" fontId="16" fillId="4" borderId="0" xfId="0" applyFont="true" applyBorder="true" applyAlignment="false" applyProtection="false">
      <alignment horizontal="general" vertical="bottom" textRotation="0" wrapText="false" indent="0" shrinkToFit="false"/>
      <protection locked="true" hidden="false"/>
    </xf>
    <xf numFmtId="164" fontId="12" fillId="9" borderId="1" xfId="0" applyFont="true" applyBorder="true" applyAlignment="true" applyProtection="false">
      <alignment horizontal="center" vertical="center" textRotation="0" wrapText="true" indent="0" shrinkToFit="false"/>
      <protection locked="true" hidden="false"/>
    </xf>
    <xf numFmtId="171" fontId="7" fillId="8" borderId="1" xfId="0" applyFont="true" applyBorder="true" applyAlignment="true" applyProtection="false">
      <alignment horizontal="center" vertical="center"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ont>
        <b val="1"/>
        <color rgb="FFC00000"/>
      </font>
    </dxf>
    <dxf>
      <fill>
        <patternFill>
          <bgColor rgb="FFF4B084"/>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F2F2F2"/>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6E0B4"/>
      <rgbColor rgb="FFE2EFDA"/>
      <rgbColor rgb="FFFFFF99"/>
      <rgbColor rgb="FF99CCFF"/>
      <rgbColor rgb="FFFF99CC"/>
      <rgbColor rgb="FFCC99FF"/>
      <rgbColor rgb="FFF4B084"/>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44546A"/>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G56"/>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34"/>
    <col collapsed="false" customWidth="true" hidden="false" outlineLevel="0" max="3" min="3" style="0" width="26"/>
    <col collapsed="false" customWidth="true" hidden="false" outlineLevel="0" max="4" min="4" style="0" width="44"/>
    <col collapsed="false" customWidth="true" hidden="false" outlineLevel="0" max="5" min="5" style="0" width="14"/>
    <col collapsed="false" customWidth="true" hidden="false" outlineLevel="0" max="6" min="6" style="0" width="16"/>
    <col collapsed="false" customWidth="true" hidden="false" outlineLevel="0" max="7" min="7" style="0" width="56"/>
  </cols>
  <sheetData>
    <row r="1" customFormat="false" ht="19.7" hidden="false" customHeight="false" outlineLevel="0" collapsed="false">
      <c r="B1" s="1" t="s">
        <v>0</v>
      </c>
    </row>
    <row r="2" customFormat="false" ht="15" hidden="false" customHeight="false" outlineLevel="0" collapsed="false">
      <c r="B2" s="2" t="s">
        <v>1</v>
      </c>
    </row>
    <row r="4" customFormat="false" ht="15" hidden="false" customHeight="false" outlineLevel="0" collapsed="false">
      <c r="B4" s="3" t="s">
        <v>2</v>
      </c>
    </row>
    <row r="5" customFormat="false" ht="15" hidden="false" customHeight="false" outlineLevel="0" collapsed="false">
      <c r="B5" s="4" t="s">
        <v>3</v>
      </c>
      <c r="C5" s="5"/>
      <c r="D5" s="5"/>
    </row>
    <row r="6" customFormat="false" ht="15" hidden="false" customHeight="false" outlineLevel="0" collapsed="false">
      <c r="B6" s="4" t="s">
        <v>4</v>
      </c>
      <c r="C6" s="5"/>
      <c r="D6" s="5"/>
    </row>
    <row r="7" customFormat="false" ht="15" hidden="false" customHeight="false" outlineLevel="0" collapsed="false">
      <c r="B7" s="4" t="s">
        <v>5</v>
      </c>
      <c r="C7" s="5"/>
      <c r="D7" s="5"/>
    </row>
    <row r="8" customFormat="false" ht="15" hidden="false" customHeight="false" outlineLevel="0" collapsed="false">
      <c r="B8" s="4" t="s">
        <v>6</v>
      </c>
      <c r="C8" s="5"/>
      <c r="D8" s="5"/>
    </row>
    <row r="9" customFormat="false" ht="15" hidden="false" customHeight="false" outlineLevel="0" collapsed="false">
      <c r="B9" s="4" t="s">
        <v>7</v>
      </c>
      <c r="C9" s="5"/>
      <c r="D9" s="5"/>
    </row>
    <row r="10" customFormat="false" ht="15" hidden="false" customHeight="false" outlineLevel="0" collapsed="false">
      <c r="B10" s="4" t="s">
        <v>8</v>
      </c>
      <c r="C10" s="6"/>
      <c r="D10" s="6"/>
    </row>
    <row r="11" customFormat="false" ht="15" hidden="false" customHeight="false" outlineLevel="0" collapsed="false">
      <c r="B11" s="4" t="s">
        <v>9</v>
      </c>
      <c r="C11" s="5"/>
      <c r="D11" s="5"/>
    </row>
    <row r="13" customFormat="false" ht="15" hidden="false" customHeight="false" outlineLevel="0" collapsed="false">
      <c r="B13" s="3" t="s">
        <v>10</v>
      </c>
    </row>
    <row r="14" customFormat="false" ht="15" hidden="false" customHeight="false" outlineLevel="0" collapsed="false">
      <c r="B14" s="4" t="s">
        <v>11</v>
      </c>
      <c r="C14" s="5" t="s">
        <v>12</v>
      </c>
    </row>
    <row r="15" customFormat="false" ht="15" hidden="false" customHeight="false" outlineLevel="0" collapsed="false">
      <c r="B15" s="4" t="s">
        <v>13</v>
      </c>
      <c r="C15" s="5" t="s">
        <v>14</v>
      </c>
    </row>
    <row r="16" customFormat="false" ht="15" hidden="false" customHeight="false" outlineLevel="0" collapsed="false">
      <c r="B16" s="4" t="s">
        <v>15</v>
      </c>
      <c r="C16" s="5" t="s">
        <v>16</v>
      </c>
    </row>
    <row r="17" customFormat="false" ht="15" hidden="false" customHeight="false" outlineLevel="0" collapsed="false">
      <c r="B17" s="4" t="s">
        <v>17</v>
      </c>
      <c r="C17" s="5" t="s">
        <v>18</v>
      </c>
    </row>
    <row r="18" customFormat="false" ht="15" hidden="false" customHeight="false" outlineLevel="0" collapsed="false">
      <c r="B18" s="4" t="s">
        <v>19</v>
      </c>
      <c r="C18" s="5" t="s">
        <v>20</v>
      </c>
    </row>
    <row r="20" customFormat="false" ht="15" hidden="false" customHeight="false" outlineLevel="0" collapsed="false">
      <c r="B20" s="3" t="s">
        <v>21</v>
      </c>
    </row>
    <row r="21" customFormat="false" ht="15" hidden="false" customHeight="false" outlineLevel="0" collapsed="false">
      <c r="B21" s="4" t="s">
        <v>22</v>
      </c>
      <c r="C21" s="7" t="s">
        <v>23</v>
      </c>
    </row>
    <row r="23" customFormat="false" ht="15" hidden="false" customHeight="false" outlineLevel="0" collapsed="false">
      <c r="B23" s="3" t="s">
        <v>24</v>
      </c>
    </row>
    <row r="24" customFormat="false" ht="15" hidden="false" customHeight="false" outlineLevel="0" collapsed="false">
      <c r="B24" s="4" t="s">
        <v>25</v>
      </c>
      <c r="C24" s="8" t="n">
        <v>1000</v>
      </c>
      <c r="D24" s="9" t="s">
        <v>26</v>
      </c>
      <c r="G24" s="10" t="s">
        <v>27</v>
      </c>
    </row>
    <row r="25" customFormat="false" ht="15" hidden="false" customHeight="false" outlineLevel="0" collapsed="false">
      <c r="B25" s="4" t="s">
        <v>28</v>
      </c>
      <c r="C25" s="8" t="n">
        <v>1.25</v>
      </c>
      <c r="D25" s="9" t="s">
        <v>29</v>
      </c>
      <c r="G25" s="10" t="s">
        <v>30</v>
      </c>
    </row>
    <row r="26" customFormat="false" ht="15" hidden="false" customHeight="false" outlineLevel="0" collapsed="false">
      <c r="B26" s="4" t="s">
        <v>31</v>
      </c>
      <c r="C26" s="8" t="n">
        <v>200</v>
      </c>
      <c r="D26" s="9" t="s">
        <v>32</v>
      </c>
      <c r="G26" s="10" t="s">
        <v>33</v>
      </c>
    </row>
    <row r="27" customFormat="false" ht="15" hidden="false" customHeight="false" outlineLevel="0" collapsed="false">
      <c r="B27" s="4" t="s">
        <v>34</v>
      </c>
      <c r="C27" s="8" t="n">
        <v>1000</v>
      </c>
      <c r="D27" s="9" t="s">
        <v>32</v>
      </c>
      <c r="G27" s="10" t="s">
        <v>35</v>
      </c>
    </row>
    <row r="29" customFormat="false" ht="15" hidden="false" customHeight="false" outlineLevel="0" collapsed="false">
      <c r="B29" s="3" t="s">
        <v>36</v>
      </c>
    </row>
    <row r="30" customFormat="false" ht="30" hidden="false" customHeight="true" outlineLevel="0" collapsed="false">
      <c r="B30" s="11" t="s">
        <v>37</v>
      </c>
      <c r="C30" s="11" t="s">
        <v>38</v>
      </c>
      <c r="D30" s="11" t="s">
        <v>39</v>
      </c>
      <c r="E30" s="11" t="s">
        <v>40</v>
      </c>
      <c r="F30" s="11" t="s">
        <v>41</v>
      </c>
      <c r="G30" s="11" t="s">
        <v>42</v>
      </c>
    </row>
    <row r="31" customFormat="false" ht="27.75" hidden="false" customHeight="true" outlineLevel="0" collapsed="false">
      <c r="B31" s="4" t="s">
        <v>43</v>
      </c>
      <c r="C31" s="12" t="n">
        <v>1</v>
      </c>
      <c r="D31" s="13" t="s">
        <v>44</v>
      </c>
      <c r="E31" s="12" t="n">
        <v>1</v>
      </c>
      <c r="F31" s="12" t="n">
        <v>0.01</v>
      </c>
      <c r="G31" s="14" t="s">
        <v>45</v>
      </c>
    </row>
    <row r="32" customFormat="false" ht="27.75" hidden="false" customHeight="true" outlineLevel="0" collapsed="false">
      <c r="B32" s="4" t="s">
        <v>46</v>
      </c>
      <c r="C32" s="12" t="n">
        <v>1</v>
      </c>
      <c r="D32" s="13" t="s">
        <v>44</v>
      </c>
      <c r="E32" s="12" t="n">
        <v>1</v>
      </c>
      <c r="F32" s="12" t="n">
        <v>0.01</v>
      </c>
      <c r="G32" s="14" t="s">
        <v>47</v>
      </c>
    </row>
    <row r="33" customFormat="false" ht="27.75" hidden="false" customHeight="true" outlineLevel="0" collapsed="false">
      <c r="B33" s="4" t="s">
        <v>48</v>
      </c>
      <c r="C33" s="15" t="s">
        <v>49</v>
      </c>
      <c r="D33" s="13" t="s">
        <v>50</v>
      </c>
      <c r="E33" s="12" t="n">
        <v>1</v>
      </c>
      <c r="F33" s="12" t="n">
        <v>0.01</v>
      </c>
      <c r="G33" s="14" t="s">
        <v>51</v>
      </c>
    </row>
    <row r="34" customFormat="false" ht="27.75" hidden="false" customHeight="true" outlineLevel="0" collapsed="false">
      <c r="B34" s="4" t="s">
        <v>52</v>
      </c>
      <c r="C34" s="15" t="s">
        <v>49</v>
      </c>
      <c r="D34" s="13" t="s">
        <v>53</v>
      </c>
      <c r="E34" s="12" t="n">
        <v>0.3</v>
      </c>
      <c r="F34" s="12" t="n">
        <v>0.02</v>
      </c>
      <c r="G34" s="14" t="s">
        <v>51</v>
      </c>
    </row>
    <row r="35" customFormat="false" ht="27.75" hidden="false" customHeight="true" outlineLevel="0" collapsed="false">
      <c r="B35" s="4" t="s">
        <v>54</v>
      </c>
      <c r="C35" s="15" t="s">
        <v>49</v>
      </c>
      <c r="D35" s="13" t="s">
        <v>53</v>
      </c>
      <c r="E35" s="12" t="n">
        <v>0.3</v>
      </c>
      <c r="F35" s="12" t="n">
        <v>0.02</v>
      </c>
      <c r="G35" s="14" t="s">
        <v>51</v>
      </c>
    </row>
    <row r="36" customFormat="false" ht="27.75" hidden="false" customHeight="true" outlineLevel="0" collapsed="false">
      <c r="B36" s="4" t="s">
        <v>55</v>
      </c>
      <c r="C36" s="15" t="s">
        <v>49</v>
      </c>
      <c r="D36" s="13" t="s">
        <v>56</v>
      </c>
      <c r="E36" s="12" t="n">
        <v>0.3</v>
      </c>
      <c r="F36" s="12" t="n">
        <v>0.02</v>
      </c>
      <c r="G36" s="16" t="s">
        <v>57</v>
      </c>
    </row>
    <row r="38" customFormat="false" ht="15" hidden="false" customHeight="false" outlineLevel="0" collapsed="false">
      <c r="B38" s="3" t="s">
        <v>58</v>
      </c>
    </row>
    <row r="39" customFormat="false" ht="15" hidden="false" customHeight="false" outlineLevel="0" collapsed="false">
      <c r="B39" s="11" t="s">
        <v>59</v>
      </c>
      <c r="C39" s="11" t="s">
        <v>60</v>
      </c>
      <c r="D39" s="11" t="s">
        <v>42</v>
      </c>
    </row>
    <row r="40" customFormat="false" ht="15" hidden="false" customHeight="false" outlineLevel="0" collapsed="false">
      <c r="B40" s="4" t="s">
        <v>61</v>
      </c>
      <c r="C40" s="12" t="n">
        <v>1</v>
      </c>
      <c r="D40" s="14" t="s">
        <v>62</v>
      </c>
    </row>
    <row r="41" customFormat="false" ht="15" hidden="false" customHeight="false" outlineLevel="0" collapsed="false">
      <c r="B41" s="4" t="s">
        <v>63</v>
      </c>
      <c r="C41" s="12" t="n">
        <v>0.2</v>
      </c>
      <c r="D41" s="14" t="s">
        <v>64</v>
      </c>
    </row>
    <row r="43" customFormat="false" ht="15" hidden="false" customHeight="false" outlineLevel="0" collapsed="false">
      <c r="B43" s="3" t="s">
        <v>65</v>
      </c>
    </row>
    <row r="44" customFormat="false" ht="15" hidden="false" customHeight="false" outlineLevel="0" collapsed="false">
      <c r="B44" s="11" t="s">
        <v>66</v>
      </c>
      <c r="C44" s="11" t="s">
        <v>67</v>
      </c>
      <c r="D44" s="11" t="s">
        <v>68</v>
      </c>
      <c r="G44" s="11" t="s">
        <v>42</v>
      </c>
    </row>
    <row r="45" customFormat="false" ht="15" hidden="false" customHeight="false" outlineLevel="0" collapsed="false">
      <c r="B45" s="5" t="s">
        <v>69</v>
      </c>
      <c r="C45" s="12" t="n">
        <v>0.02</v>
      </c>
      <c r="D45" s="8" t="n">
        <v>1</v>
      </c>
      <c r="G45" s="17" t="s">
        <v>70</v>
      </c>
    </row>
    <row r="46" customFormat="false" ht="15" hidden="false" customHeight="false" outlineLevel="0" collapsed="false">
      <c r="B46" s="5"/>
      <c r="C46" s="12"/>
      <c r="D46" s="8"/>
      <c r="G46" s="17"/>
    </row>
    <row r="47" customFormat="false" ht="15" hidden="false" customHeight="false" outlineLevel="0" collapsed="false">
      <c r="B47" s="5"/>
      <c r="C47" s="12"/>
      <c r="D47" s="8"/>
      <c r="G47" s="17"/>
    </row>
    <row r="48" customFormat="false" ht="15" hidden="false" customHeight="false" outlineLevel="0" collapsed="false">
      <c r="B48" s="5"/>
      <c r="C48" s="12"/>
      <c r="D48" s="8"/>
      <c r="G48" s="17"/>
    </row>
    <row r="49" customFormat="false" ht="15" hidden="false" customHeight="false" outlineLevel="0" collapsed="false">
      <c r="B49" s="5"/>
      <c r="C49" s="12"/>
      <c r="D49" s="8"/>
      <c r="G49" s="17"/>
    </row>
    <row r="50" customFormat="false" ht="15" hidden="false" customHeight="false" outlineLevel="0" collapsed="false">
      <c r="B50" s="5"/>
      <c r="C50" s="12"/>
      <c r="D50" s="8"/>
      <c r="G50" s="17"/>
    </row>
    <row r="51" customFormat="false" ht="15" hidden="false" customHeight="false" outlineLevel="0" collapsed="false">
      <c r="B51" s="5"/>
      <c r="C51" s="12"/>
      <c r="D51" s="8"/>
      <c r="G51" s="17"/>
    </row>
    <row r="52" customFormat="false" ht="15" hidden="false" customHeight="false" outlineLevel="0" collapsed="false">
      <c r="B52" s="5"/>
      <c r="C52" s="12"/>
      <c r="D52" s="8"/>
      <c r="G52" s="17"/>
    </row>
    <row r="54" customFormat="false" ht="15" hidden="false" customHeight="false" outlineLevel="0" collapsed="false">
      <c r="B54" s="10" t="s">
        <v>71</v>
      </c>
    </row>
    <row r="55" customFormat="false" ht="15" hidden="false" customHeight="false" outlineLevel="0" collapsed="false">
      <c r="B55" s="10" t="s">
        <v>72</v>
      </c>
    </row>
    <row r="56" customFormat="false" ht="15" hidden="false" customHeight="false" outlineLevel="0" collapsed="false">
      <c r="B56" s="10" t="s">
        <v>73</v>
      </c>
    </row>
  </sheetData>
  <mergeCells count="7">
    <mergeCell ref="C5:D5"/>
    <mergeCell ref="C6:D6"/>
    <mergeCell ref="C7:D7"/>
    <mergeCell ref="C8:D8"/>
    <mergeCell ref="C9:D9"/>
    <mergeCell ref="C10:D10"/>
    <mergeCell ref="C11:D11"/>
  </mergeCells>
  <dataValidations count="1">
    <dataValidation allowBlank="false" errorStyle="stop" operator="between" showDropDown="false" showErrorMessage="false" showInputMessage="false" sqref="C21" type="list">
      <formula1>JobU</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P157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6" topLeftCell="D7" activePane="bottomRight" state="frozen"/>
      <selection pane="topLeft" activeCell="A1" activeCellId="0" sqref="A1"/>
      <selection pane="topRight" activeCell="D1" activeCellId="0" sqref="D1"/>
      <selection pane="bottomLeft" activeCell="A7" activeCellId="0" sqref="A7"/>
      <selection pane="bottomRight" activeCell="A1" activeCellId="0" sqref="A1"/>
    </sheetView>
  </sheetViews>
  <sheetFormatPr defaultColWidth="8.5390625" defaultRowHeight="15" zeroHeight="false" outlineLevelRow="0" outlineLevelCol="0"/>
  <cols>
    <col collapsed="false" customWidth="true" hidden="false" outlineLevel="0" max="1" min="1" style="0" width="5"/>
    <col collapsed="false" customWidth="true" hidden="false" outlineLevel="0" max="2" min="2" style="0" width="50"/>
    <col collapsed="false" customWidth="true" hidden="false" outlineLevel="0" max="3" min="3" style="0" width="9"/>
    <col collapsed="false" customWidth="true" hidden="false" outlineLevel="0" max="9" min="4" style="0" width="17"/>
    <col collapsed="false" customWidth="true" hidden="false" outlineLevel="0" max="10" min="10" style="0" width="58"/>
    <col collapsed="false" customWidth="true" hidden="true" outlineLevel="0" max="11" min="11" style="0" width="9"/>
    <col collapsed="false" customWidth="true" hidden="true" outlineLevel="0" max="16" min="12" style="0" width="14"/>
  </cols>
  <sheetData>
    <row r="1" customFormat="false" ht="19.7" hidden="false" customHeight="false" outlineLevel="0" collapsed="false">
      <c r="B1" s="1" t="s">
        <v>74</v>
      </c>
    </row>
    <row r="2" customFormat="false" ht="15" hidden="false" customHeight="false" outlineLevel="0" collapsed="false">
      <c r="B2" s="2" t="str">
        <f aca="false">"Client: "&amp;ProjClient&amp;"   ·   Plant: "&amp;ProjPlant&amp;"   ·   Proposal: "&amp;ProjNo</f>
        <v>Client:    ·   Plant:    ·   Proposal: </v>
      </c>
    </row>
    <row r="3" customFormat="false" ht="15" hidden="false" customHeight="false" outlineLevel="0" collapsed="false">
      <c r="B3" s="18" t="str">
        <f aca="false">"JOB TYPE: "&amp;UPPER(JobType)&amp;"   (change on the Settings sheet)"</f>
        <v>JOB TYPE: CHEMICAL CLEANING   (change on the Settings sheet)</v>
      </c>
    </row>
    <row r="4" customFormat="false" ht="15" hidden="false" customHeight="false" outlineLevel="0" collapsed="false">
      <c r="B4" s="10" t="s">
        <v>75</v>
      </c>
    </row>
    <row r="6" customFormat="false" ht="24" hidden="false" customHeight="true" outlineLevel="0" collapsed="false">
      <c r="A6" s="11" t="s">
        <v>76</v>
      </c>
      <c r="B6" s="11" t="s">
        <v>77</v>
      </c>
      <c r="C6" s="11" t="s">
        <v>78</v>
      </c>
      <c r="D6" s="11" t="str">
        <f aca="false">TrainName1</f>
        <v>Train 1</v>
      </c>
      <c r="E6" s="11" t="str">
        <f aca="false">TrainName2</f>
        <v>Train 2</v>
      </c>
      <c r="F6" s="11" t="str">
        <f aca="false">TrainName3</f>
        <v>Train 3</v>
      </c>
      <c r="G6" s="11" t="str">
        <f aca="false">TrainName4</f>
        <v>Train 4</v>
      </c>
      <c r="H6" s="11" t="str">
        <f aca="false">TrainName5</f>
        <v>Train 5</v>
      </c>
      <c r="I6" s="11" t="s">
        <v>79</v>
      </c>
      <c r="J6" s="11" t="s">
        <v>80</v>
      </c>
    </row>
    <row r="8" customFormat="false" ht="21.75" hidden="false" customHeight="true" outlineLevel="0" collapsed="false">
      <c r="A8" s="19" t="s">
        <v>81</v>
      </c>
      <c r="B8" s="19"/>
      <c r="C8" s="19"/>
      <c r="D8" s="19"/>
      <c r="E8" s="19"/>
      <c r="F8" s="19"/>
      <c r="G8" s="19"/>
      <c r="H8" s="19"/>
      <c r="I8" s="19"/>
      <c r="J8" s="19"/>
    </row>
    <row r="9" customFormat="false" ht="15" hidden="false" customHeight="false" outlineLevel="0" collapsed="false">
      <c r="A9" s="20" t="n">
        <v>1</v>
      </c>
      <c r="B9" s="21" t="s">
        <v>82</v>
      </c>
      <c r="C9" s="22"/>
      <c r="D9" s="22"/>
      <c r="E9" s="22"/>
      <c r="F9" s="22"/>
      <c r="G9" s="22"/>
      <c r="H9" s="22"/>
      <c r="I9" s="22"/>
      <c r="J9" s="22"/>
    </row>
    <row r="10" customFormat="false" ht="15" hidden="false" customHeight="false" outlineLevel="0" collapsed="false">
      <c r="B10" s="9" t="s">
        <v>83</v>
      </c>
      <c r="C10" s="15" t="s">
        <v>29</v>
      </c>
      <c r="D10" s="8" t="s">
        <v>84</v>
      </c>
      <c r="E10" s="8"/>
      <c r="F10" s="8"/>
      <c r="G10" s="8"/>
      <c r="H10" s="8"/>
      <c r="I10" s="23"/>
      <c r="J10" s="24" t="s">
        <v>85</v>
      </c>
    </row>
    <row r="11" customFormat="false" ht="15" hidden="false" customHeight="false" outlineLevel="0" collapsed="false">
      <c r="B11" s="9" t="s">
        <v>86</v>
      </c>
      <c r="C11" s="15" t="s">
        <v>29</v>
      </c>
      <c r="D11" s="8"/>
      <c r="E11" s="8"/>
      <c r="F11" s="8"/>
      <c r="G11" s="8"/>
      <c r="H11" s="8"/>
      <c r="I11" s="23"/>
      <c r="J11" s="24"/>
    </row>
    <row r="12" customFormat="false" ht="15" hidden="false" customHeight="false" outlineLevel="0" collapsed="false">
      <c r="B12" s="9" t="s">
        <v>87</v>
      </c>
      <c r="C12" s="15" t="s">
        <v>29</v>
      </c>
      <c r="D12" s="8"/>
      <c r="E12" s="8"/>
      <c r="F12" s="8"/>
      <c r="G12" s="8"/>
      <c r="H12" s="8"/>
      <c r="I12" s="23"/>
      <c r="J12" s="24"/>
    </row>
    <row r="13" customFormat="false" ht="15" hidden="false" customHeight="false" outlineLevel="0" collapsed="false">
      <c r="B13" s="25" t="s">
        <v>88</v>
      </c>
      <c r="C13" s="26"/>
      <c r="D13" s="26"/>
      <c r="E13" s="26"/>
      <c r="F13" s="26"/>
      <c r="G13" s="26"/>
      <c r="H13" s="26"/>
      <c r="I13" s="26"/>
      <c r="J13" s="26"/>
    </row>
    <row r="14" customFormat="false" ht="15" hidden="false" customHeight="false" outlineLevel="0" collapsed="false">
      <c r="B14" s="9" t="s">
        <v>89</v>
      </c>
      <c r="C14" s="15" t="s">
        <v>90</v>
      </c>
      <c r="D14" s="8" t="n">
        <v>500</v>
      </c>
      <c r="E14" s="8"/>
      <c r="F14" s="8"/>
      <c r="G14" s="8"/>
      <c r="H14" s="8"/>
      <c r="I14" s="23"/>
      <c r="J14" s="24"/>
    </row>
    <row r="15" customFormat="false" ht="15" hidden="false" customHeight="false" outlineLevel="0" collapsed="false">
      <c r="B15" s="9" t="s">
        <v>91</v>
      </c>
      <c r="C15" s="8" t="s">
        <v>92</v>
      </c>
      <c r="D15" s="8" t="n">
        <v>19.05</v>
      </c>
      <c r="E15" s="8"/>
      <c r="F15" s="8"/>
      <c r="G15" s="8"/>
      <c r="H15" s="8"/>
      <c r="I15" s="23"/>
      <c r="J15" s="24" t="s">
        <v>93</v>
      </c>
    </row>
    <row r="16" customFormat="false" ht="15" hidden="false" customHeight="false" outlineLevel="0" collapsed="false">
      <c r="B16" s="9" t="s">
        <v>94</v>
      </c>
      <c r="C16" s="8" t="s">
        <v>92</v>
      </c>
      <c r="D16" s="8" t="n">
        <v>15.75</v>
      </c>
      <c r="E16" s="8"/>
      <c r="F16" s="8"/>
      <c r="G16" s="8"/>
      <c r="H16" s="8"/>
      <c r="I16" s="23"/>
      <c r="J16" s="24"/>
    </row>
    <row r="17" customFormat="false" ht="15" hidden="false" customHeight="false" outlineLevel="0" collapsed="false">
      <c r="B17" s="9" t="s">
        <v>95</v>
      </c>
      <c r="C17" s="8" t="s">
        <v>92</v>
      </c>
      <c r="D17" s="8" t="n">
        <v>6096</v>
      </c>
      <c r="E17" s="8"/>
      <c r="F17" s="8"/>
      <c r="G17" s="8"/>
      <c r="H17" s="8"/>
      <c r="I17" s="23"/>
      <c r="J17" s="24"/>
    </row>
    <row r="18" customFormat="false" ht="15" hidden="false" customHeight="false" outlineLevel="0" collapsed="false">
      <c r="B18" s="9" t="s">
        <v>96</v>
      </c>
      <c r="C18" s="8" t="s">
        <v>92</v>
      </c>
      <c r="D18" s="8" t="n">
        <v>23.81</v>
      </c>
      <c r="E18" s="8"/>
      <c r="F18" s="8"/>
      <c r="G18" s="8"/>
      <c r="H18" s="8"/>
      <c r="I18" s="23"/>
      <c r="J18" s="24" t="s">
        <v>97</v>
      </c>
    </row>
    <row r="19" customFormat="false" ht="15" hidden="false" customHeight="false" outlineLevel="0" collapsed="false">
      <c r="B19" s="9" t="s">
        <v>98</v>
      </c>
      <c r="C19" s="15" t="s">
        <v>29</v>
      </c>
      <c r="D19" s="8" t="s">
        <v>99</v>
      </c>
      <c r="E19" s="8" t="s">
        <v>99</v>
      </c>
      <c r="F19" s="8" t="s">
        <v>99</v>
      </c>
      <c r="G19" s="8" t="s">
        <v>99</v>
      </c>
      <c r="H19" s="8" t="s">
        <v>99</v>
      </c>
      <c r="I19" s="23"/>
      <c r="J19" s="24"/>
    </row>
    <row r="20" customFormat="false" ht="15" hidden="false" customHeight="false" outlineLevel="0" collapsed="false">
      <c r="B20" s="9" t="s">
        <v>100</v>
      </c>
      <c r="C20" s="8" t="s">
        <v>92</v>
      </c>
      <c r="D20" s="8" t="n">
        <v>800</v>
      </c>
      <c r="E20" s="8"/>
      <c r="F20" s="8"/>
      <c r="G20" s="8"/>
      <c r="H20" s="8"/>
      <c r="I20" s="23"/>
      <c r="J20" s="24"/>
    </row>
    <row r="21" customFormat="false" ht="15" hidden="false" customHeight="false" outlineLevel="0" collapsed="false">
      <c r="B21" s="9" t="s">
        <v>101</v>
      </c>
      <c r="C21" s="8" t="s">
        <v>92</v>
      </c>
      <c r="D21" s="8" t="n">
        <v>600</v>
      </c>
      <c r="E21" s="8"/>
      <c r="F21" s="8"/>
      <c r="G21" s="8"/>
      <c r="H21" s="8"/>
      <c r="I21" s="23"/>
      <c r="J21" s="24"/>
    </row>
    <row r="22" customFormat="false" ht="15" hidden="false" customHeight="false" outlineLevel="0" collapsed="false">
      <c r="B22" s="9" t="s">
        <v>102</v>
      </c>
      <c r="C22" s="15" t="s">
        <v>29</v>
      </c>
      <c r="D22" s="8" t="s">
        <v>103</v>
      </c>
      <c r="E22" s="8"/>
      <c r="F22" s="8"/>
      <c r="G22" s="8"/>
      <c r="H22" s="8"/>
      <c r="I22" s="23"/>
      <c r="J22" s="24"/>
    </row>
    <row r="23" customFormat="false" ht="15" hidden="false" customHeight="false" outlineLevel="0" collapsed="false">
      <c r="B23" s="9" t="s">
        <v>104</v>
      </c>
      <c r="C23" s="8" t="s">
        <v>92</v>
      </c>
      <c r="D23" s="8" t="n">
        <v>800</v>
      </c>
      <c r="E23" s="8"/>
      <c r="F23" s="8"/>
      <c r="G23" s="8"/>
      <c r="H23" s="8"/>
      <c r="I23" s="23"/>
      <c r="J23" s="24"/>
    </row>
    <row r="24" customFormat="false" ht="15" hidden="false" customHeight="false" outlineLevel="0" collapsed="false">
      <c r="B24" s="9" t="s">
        <v>105</v>
      </c>
      <c r="C24" s="8" t="s">
        <v>92</v>
      </c>
      <c r="D24" s="8" t="n">
        <v>300</v>
      </c>
      <c r="E24" s="8"/>
      <c r="F24" s="8"/>
      <c r="G24" s="8"/>
      <c r="H24" s="8"/>
      <c r="I24" s="23"/>
      <c r="J24" s="24"/>
    </row>
    <row r="25" customFormat="false" ht="15" hidden="false" customHeight="false" outlineLevel="0" collapsed="false">
      <c r="B25" s="9" t="s">
        <v>106</v>
      </c>
      <c r="C25" s="15" t="s">
        <v>29</v>
      </c>
      <c r="D25" s="8" t="s">
        <v>107</v>
      </c>
      <c r="E25" s="8"/>
      <c r="F25" s="8"/>
      <c r="G25" s="8"/>
      <c r="H25" s="8"/>
      <c r="I25" s="23"/>
      <c r="J25" s="24"/>
    </row>
    <row r="26" customFormat="false" ht="15" hidden="false" customHeight="false" outlineLevel="0" collapsed="false">
      <c r="B26" s="9" t="s">
        <v>108</v>
      </c>
      <c r="C26" s="8" t="s">
        <v>109</v>
      </c>
      <c r="D26" s="8"/>
      <c r="E26" s="8"/>
      <c r="F26" s="8"/>
      <c r="G26" s="8"/>
      <c r="H26" s="8"/>
      <c r="I26" s="23"/>
      <c r="J26" s="24" t="s">
        <v>110</v>
      </c>
    </row>
    <row r="27" customFormat="false" ht="15" hidden="false" customHeight="false" outlineLevel="0" collapsed="false">
      <c r="B27" s="9" t="s">
        <v>111</v>
      </c>
      <c r="C27" s="8" t="s">
        <v>112</v>
      </c>
      <c r="D27" s="8"/>
      <c r="E27" s="8"/>
      <c r="F27" s="8"/>
      <c r="G27" s="8"/>
      <c r="H27" s="8"/>
      <c r="I27" s="23"/>
      <c r="J27" s="24"/>
    </row>
    <row r="28" customFormat="false" ht="15" hidden="false" customHeight="false" outlineLevel="0" collapsed="false">
      <c r="B28" s="25" t="s">
        <v>113</v>
      </c>
      <c r="C28" s="26"/>
      <c r="D28" s="26"/>
      <c r="E28" s="26"/>
      <c r="F28" s="26"/>
      <c r="G28" s="26"/>
      <c r="H28" s="26"/>
      <c r="I28" s="26"/>
      <c r="J28" s="26"/>
    </row>
    <row r="29" customFormat="false" ht="15" hidden="false" customHeight="false" outlineLevel="0" collapsed="false">
      <c r="B29" s="9" t="s">
        <v>114</v>
      </c>
      <c r="C29" s="8" t="s">
        <v>92</v>
      </c>
      <c r="D29" s="8" t="n">
        <v>800</v>
      </c>
      <c r="E29" s="8"/>
      <c r="F29" s="8"/>
      <c r="G29" s="8"/>
      <c r="H29" s="8"/>
      <c r="I29" s="23"/>
      <c r="J29" s="24" t="s">
        <v>115</v>
      </c>
    </row>
    <row r="30" customFormat="false" ht="15" hidden="false" customHeight="false" outlineLevel="0" collapsed="false">
      <c r="B30" s="9" t="s">
        <v>116</v>
      </c>
      <c r="C30" s="8" t="s">
        <v>92</v>
      </c>
      <c r="D30" s="8" t="n">
        <v>6000</v>
      </c>
      <c r="E30" s="8"/>
      <c r="F30" s="8"/>
      <c r="G30" s="8"/>
      <c r="H30" s="8"/>
      <c r="I30" s="23"/>
      <c r="J30" s="24" t="s">
        <v>117</v>
      </c>
    </row>
    <row r="31" customFormat="false" ht="15" hidden="false" customHeight="false" outlineLevel="0" collapsed="false">
      <c r="B31" s="9" t="s">
        <v>118</v>
      </c>
      <c r="C31" s="15" t="s">
        <v>29</v>
      </c>
      <c r="D31" s="8"/>
      <c r="E31" s="8"/>
      <c r="F31" s="8"/>
      <c r="G31" s="8"/>
      <c r="H31" s="8"/>
      <c r="I31" s="23"/>
      <c r="J31" s="24"/>
    </row>
    <row r="32" customFormat="false" ht="15" hidden="false" customHeight="false" outlineLevel="0" collapsed="false">
      <c r="B32" s="9" t="s">
        <v>119</v>
      </c>
      <c r="C32" s="8" t="s">
        <v>112</v>
      </c>
      <c r="D32" s="8"/>
      <c r="E32" s="8"/>
      <c r="F32" s="8"/>
      <c r="G32" s="8"/>
      <c r="H32" s="8"/>
      <c r="I32" s="23"/>
      <c r="J32" s="24"/>
    </row>
    <row r="33" customFormat="false" ht="15" hidden="false" customHeight="false" outlineLevel="0" collapsed="false">
      <c r="B33" s="25" t="s">
        <v>120</v>
      </c>
      <c r="C33" s="26"/>
      <c r="D33" s="26"/>
      <c r="E33" s="26"/>
      <c r="F33" s="26"/>
      <c r="G33" s="26"/>
      <c r="H33" s="26"/>
      <c r="I33" s="26"/>
      <c r="J33" s="26"/>
    </row>
    <row r="34" customFormat="false" ht="15" hidden="false" customHeight="false" outlineLevel="0" collapsed="false">
      <c r="B34" s="9" t="s">
        <v>121</v>
      </c>
      <c r="C34" s="15" t="s">
        <v>29</v>
      </c>
      <c r="D34" s="8" t="s">
        <v>122</v>
      </c>
      <c r="E34" s="8" t="s">
        <v>122</v>
      </c>
      <c r="F34" s="8" t="s">
        <v>122</v>
      </c>
      <c r="G34" s="8" t="s">
        <v>122</v>
      </c>
      <c r="H34" s="8" t="s">
        <v>122</v>
      </c>
      <c r="I34" s="23"/>
      <c r="J34" s="24"/>
    </row>
    <row r="35" customFormat="false" ht="15" hidden="false" customHeight="false" outlineLevel="0" collapsed="false">
      <c r="B35" s="9" t="s">
        <v>123</v>
      </c>
      <c r="C35" s="15" t="s">
        <v>29</v>
      </c>
      <c r="D35" s="8" t="s">
        <v>122</v>
      </c>
      <c r="E35" s="8" t="s">
        <v>122</v>
      </c>
      <c r="F35" s="8" t="s">
        <v>122</v>
      </c>
      <c r="G35" s="8" t="s">
        <v>122</v>
      </c>
      <c r="H35" s="8" t="s">
        <v>122</v>
      </c>
      <c r="I35" s="23"/>
      <c r="J35" s="24"/>
    </row>
    <row r="36" customFormat="false" ht="15" hidden="false" customHeight="false" outlineLevel="0" collapsed="false">
      <c r="B36" s="25" t="s">
        <v>124</v>
      </c>
      <c r="C36" s="26"/>
      <c r="D36" s="26"/>
      <c r="E36" s="26"/>
      <c r="F36" s="26"/>
      <c r="G36" s="26"/>
      <c r="H36" s="26"/>
      <c r="I36" s="26"/>
      <c r="J36" s="26"/>
    </row>
    <row r="37" customFormat="false" ht="15" hidden="false" customHeight="false" outlineLevel="0" collapsed="false">
      <c r="B37" s="9" t="s">
        <v>125</v>
      </c>
      <c r="C37" s="15" t="s">
        <v>92</v>
      </c>
      <c r="D37" s="27" t="n">
        <f aca="false">IF(ISNUMBER(D15),D15*INDEX(LenF,MATCH($C$15,LenU,0))*1000,IF(ISNUMBER(D18),D18*INDEX(LenF,MATCH($C$18,LenU,0))/PitchRatio*1000,""))</f>
        <v>19.05</v>
      </c>
      <c r="E37" s="27" t="str">
        <f aca="false">IF(ISNUMBER(E15),E15*INDEX(LenF,MATCH($C$15,LenU,0))*1000,IF(ISNUMBER(E18),E18*INDEX(LenF,MATCH($C$18,LenU,0))/PitchRatio*1000,""))</f>
        <v/>
      </c>
      <c r="F37" s="27" t="str">
        <f aca="false">IF(ISNUMBER(F15),F15*INDEX(LenF,MATCH($C$15,LenU,0))*1000,IF(ISNUMBER(F18),F18*INDEX(LenF,MATCH($C$18,LenU,0))/PitchRatio*1000,""))</f>
        <v/>
      </c>
      <c r="G37" s="27" t="str">
        <f aca="false">IF(ISNUMBER(G15),G15*INDEX(LenF,MATCH($C$15,LenU,0))*1000,IF(ISNUMBER(G18),G18*INDEX(LenF,MATCH($C$18,LenU,0))/PitchRatio*1000,""))</f>
        <v/>
      </c>
      <c r="H37" s="27" t="str">
        <f aca="false">IF(ISNUMBER(H15),H15*INDEX(LenF,MATCH($C$15,LenU,0))*1000,IF(ISNUMBER(H18),H18*INDEX(LenF,MATCH($C$18,LenU,0))/PitchRatio*1000,""))</f>
        <v/>
      </c>
      <c r="I37" s="28"/>
      <c r="J37" s="24" t="s">
        <v>126</v>
      </c>
    </row>
    <row r="38" customFormat="false" ht="15" hidden="false" customHeight="false" outlineLevel="0" collapsed="false">
      <c r="B38" s="9" t="s">
        <v>127</v>
      </c>
      <c r="C38" s="15" t="s">
        <v>109</v>
      </c>
      <c r="D38" s="29" t="n">
        <f aca="false">IF(AND(ISNUMBER(D14),ISNUMBER(D16),ISNUMBER(D17)),D14*PI()/4*(D16*INDEX(LenF,MATCH($C$16,LenU,0)))^2*D17*INDEX(LenF,MATCH($C$17,LenU,0)),"")</f>
        <v>0.593835231654912</v>
      </c>
      <c r="E38" s="29" t="str">
        <f aca="false">IF(AND(ISNUMBER(E14),ISNUMBER(E16),ISNUMBER(E17)),E14*PI()/4*(E16*INDEX(LenF,MATCH($C$16,LenU,0)))^2*E17*INDEX(LenF,MATCH($C$17,LenU,0)),"")</f>
        <v/>
      </c>
      <c r="F38" s="29" t="str">
        <f aca="false">IF(AND(ISNUMBER(F14),ISNUMBER(F16),ISNUMBER(F17)),F14*PI()/4*(F16*INDEX(LenF,MATCH($C$16,LenU,0)))^2*F17*INDEX(LenF,MATCH($C$17,LenU,0)),"")</f>
        <v/>
      </c>
      <c r="G38" s="29" t="str">
        <f aca="false">IF(AND(ISNUMBER(G14),ISNUMBER(G16),ISNUMBER(G17)),G14*PI()/4*(G16*INDEX(LenF,MATCH($C$16,LenU,0)))^2*G17*INDEX(LenF,MATCH($C$17,LenU,0)),"")</f>
        <v/>
      </c>
      <c r="H38" s="29" t="str">
        <f aca="false">IF(AND(ISNUMBER(H14),ISNUMBER(H16),ISNUMBER(H17)),H14*PI()/4*(H16*INDEX(LenF,MATCH($C$16,LenU,0)))^2*H17*INDEX(LenF,MATCH($C$17,LenU,0)),"")</f>
        <v/>
      </c>
      <c r="I38" s="30" t="n">
        <f aca="false">IF(COUNT(D38:H38)=0,"",SUM(D38:H38))</f>
        <v>0.593835231654912</v>
      </c>
      <c r="J38" s="24"/>
    </row>
    <row r="39" customFormat="false" ht="15" hidden="false" customHeight="false" outlineLevel="0" collapsed="false">
      <c r="B39" s="9" t="s">
        <v>128</v>
      </c>
      <c r="C39" s="15" t="s">
        <v>109</v>
      </c>
      <c r="D39" s="29" t="n">
        <f aca="false">IF(ISNUMBER(D26),D26*INDEX(VolF,MATCH($C$26,VolU,0)),IF(ISNUMBER(D20),PI()/4*(D20*INDEX(LenF,MATCH($C$20,LenU,0)))^2*N(D21)*INDEX(LenF,MATCH($C$21,LenU,0))+IF(D22="",0,IF(D22="Conical",PI()/12*(D20*INDEX(LenF,MATCH($C$20,LenU,0)))^2*(0),INDEX(HeadK,MATCH(D22,HeadU,0))*(D20*INDEX(LenF,MATCH($C$20,LenU,0)))^3)),0)+IF(ISNUMBER(D23),PI()/4*(D23*INDEX(LenF,MATCH($C$23,LenU,0)))^2*N(D24)*INDEX(LenF,MATCH($C$24,LenU,0))+IF(D25="",0,IF(D25="Conical",PI()/12*(D23*INDEX(LenF,MATCH($C$23,LenU,0)))^2*(0),INDEX(HeadK,MATCH(D25,HeadU,0))*(D23*INDEX(LenF,MATCH($C$23,LenU,0)))^3)),0))</f>
        <v>0.519409985393513</v>
      </c>
      <c r="E39" s="29" t="n">
        <f aca="false">IF(ISNUMBER(E26),E26*INDEX(VolF,MATCH($C$26,VolU,0)),IF(ISNUMBER(E20),PI()/4*(E20*INDEX(LenF,MATCH($C$20,LenU,0)))^2*N(E21)*INDEX(LenF,MATCH($C$21,LenU,0))+IF(E22="",0,IF(E22="Conical",PI()/12*(E20*INDEX(LenF,MATCH($C$20,LenU,0)))^2*(0),INDEX(HeadK,MATCH(E22,HeadU,0))*(E20*INDEX(LenF,MATCH($C$20,LenU,0)))^3)),0)+IF(ISNUMBER(E23),PI()/4*(E23*INDEX(LenF,MATCH($C$23,LenU,0)))^2*N(E24)*INDEX(LenF,MATCH($C$24,LenU,0))+IF(E25="",0,IF(E25="Conical",PI()/12*(E23*INDEX(LenF,MATCH($C$23,LenU,0)))^2*(0),INDEX(HeadK,MATCH(E25,HeadU,0))*(E23*INDEX(LenF,MATCH($C$23,LenU,0)))^3)),0))</f>
        <v>0</v>
      </c>
      <c r="F39" s="29" t="n">
        <f aca="false">IF(ISNUMBER(F26),F26*INDEX(VolF,MATCH($C$26,VolU,0)),IF(ISNUMBER(F20),PI()/4*(F20*INDEX(LenF,MATCH($C$20,LenU,0)))^2*N(F21)*INDEX(LenF,MATCH($C$21,LenU,0))+IF(F22="",0,IF(F22="Conical",PI()/12*(F20*INDEX(LenF,MATCH($C$20,LenU,0)))^2*(0),INDEX(HeadK,MATCH(F22,HeadU,0))*(F20*INDEX(LenF,MATCH($C$20,LenU,0)))^3)),0)+IF(ISNUMBER(F23),PI()/4*(F23*INDEX(LenF,MATCH($C$23,LenU,0)))^2*N(F24)*INDEX(LenF,MATCH($C$24,LenU,0))+IF(F25="",0,IF(F25="Conical",PI()/12*(F23*INDEX(LenF,MATCH($C$23,LenU,0)))^2*(0),INDEX(HeadK,MATCH(F25,HeadU,0))*(F23*INDEX(LenF,MATCH($C$23,LenU,0)))^3)),0))</f>
        <v>0</v>
      </c>
      <c r="G39" s="29" t="n">
        <f aca="false">IF(ISNUMBER(G26),G26*INDEX(VolF,MATCH($C$26,VolU,0)),IF(ISNUMBER(G20),PI()/4*(G20*INDEX(LenF,MATCH($C$20,LenU,0)))^2*N(G21)*INDEX(LenF,MATCH($C$21,LenU,0))+IF(G22="",0,IF(G22="Conical",PI()/12*(G20*INDEX(LenF,MATCH($C$20,LenU,0)))^2*(0),INDEX(HeadK,MATCH(G22,HeadU,0))*(G20*INDEX(LenF,MATCH($C$20,LenU,0)))^3)),0)+IF(ISNUMBER(G23),PI()/4*(G23*INDEX(LenF,MATCH($C$23,LenU,0)))^2*N(G24)*INDEX(LenF,MATCH($C$24,LenU,0))+IF(G25="",0,IF(G25="Conical",PI()/12*(G23*INDEX(LenF,MATCH($C$23,LenU,0)))^2*(0),INDEX(HeadK,MATCH(G25,HeadU,0))*(G23*INDEX(LenF,MATCH($C$23,LenU,0)))^3)),0))</f>
        <v>0</v>
      </c>
      <c r="H39" s="29" t="n">
        <f aca="false">IF(ISNUMBER(H26),H26*INDEX(VolF,MATCH($C$26,VolU,0)),IF(ISNUMBER(H20),PI()/4*(H20*INDEX(LenF,MATCH($C$20,LenU,0)))^2*N(H21)*INDEX(LenF,MATCH($C$21,LenU,0))+IF(H22="",0,IF(H22="Conical",PI()/12*(H20*INDEX(LenF,MATCH($C$20,LenU,0)))^2*(0),INDEX(HeadK,MATCH(H22,HeadU,0))*(H20*INDEX(LenF,MATCH($C$20,LenU,0)))^3)),0)+IF(ISNUMBER(H23),PI()/4*(H23*INDEX(LenF,MATCH($C$23,LenU,0)))^2*N(H24)*INDEX(LenF,MATCH($C$24,LenU,0))+IF(H25="",0,IF(H25="Conical",PI()/12*(H23*INDEX(LenF,MATCH($C$23,LenU,0)))^2*(0),INDEX(HeadK,MATCH(H25,HeadU,0))*(H23*INDEX(LenF,MATCH($C$23,LenU,0)))^3)),0))</f>
        <v>0</v>
      </c>
      <c r="I39" s="30" t="n">
        <f aca="false">IF(COUNT(D39:H39)=0,"",SUM(D39:H39))</f>
        <v>0.519409985393513</v>
      </c>
      <c r="J39" s="24" t="s">
        <v>129</v>
      </c>
    </row>
    <row r="40" customFormat="false" ht="15" hidden="false" customHeight="false" outlineLevel="0" collapsed="false">
      <c r="B40" s="9" t="s">
        <v>130</v>
      </c>
      <c r="C40" s="15" t="s">
        <v>109</v>
      </c>
      <c r="D40" s="29" t="n">
        <f aca="false">IF(D38="","",D38+D39)</f>
        <v>1.11324521704842</v>
      </c>
      <c r="E40" s="29" t="str">
        <f aca="false">IF(E38="","",E38+E39)</f>
        <v/>
      </c>
      <c r="F40" s="29" t="str">
        <f aca="false">IF(F38="","",F38+F39)</f>
        <v/>
      </c>
      <c r="G40" s="29" t="str">
        <f aca="false">IF(G38="","",G38+G39)</f>
        <v/>
      </c>
      <c r="H40" s="29" t="str">
        <f aca="false">IF(H38="","",H38+H39)</f>
        <v/>
      </c>
      <c r="I40" s="30" t="n">
        <f aca="false">IF(COUNT(D40:H40)=0,"",SUM(D40:H40))</f>
        <v>1.11324521704842</v>
      </c>
      <c r="J40" s="24"/>
    </row>
    <row r="41" customFormat="false" ht="15" hidden="false" customHeight="false" outlineLevel="0" collapsed="false">
      <c r="B41" s="9" t="s">
        <v>131</v>
      </c>
      <c r="C41" s="15" t="s">
        <v>109</v>
      </c>
      <c r="D41" s="29" t="str">
        <f aca="false">IF(ISNUMBER(D27),D27*INDEX(WtF,MATCH($C$27,WtU,0))/WaterRho,"")</f>
        <v/>
      </c>
      <c r="E41" s="29" t="str">
        <f aca="false">IF(ISNUMBER(E27),E27*INDEX(WtF,MATCH($C$27,WtU,0))/WaterRho,"")</f>
        <v/>
      </c>
      <c r="F41" s="29" t="str">
        <f aca="false">IF(ISNUMBER(F27),F27*INDEX(WtF,MATCH($C$27,WtU,0))/WaterRho,"")</f>
        <v/>
      </c>
      <c r="G41" s="29" t="str">
        <f aca="false">IF(ISNUMBER(G27),G27*INDEX(WtF,MATCH($C$27,WtU,0))/WaterRho,"")</f>
        <v/>
      </c>
      <c r="H41" s="29" t="str">
        <f aca="false">IF(ISNUMBER(H27),H27*INDEX(WtF,MATCH($C$27,WtU,0))/WaterRho,"")</f>
        <v/>
      </c>
      <c r="I41" s="30" t="str">
        <f aca="false">IF(COUNT(D41:H41)=0,"",SUM(D41:H41))</f>
        <v/>
      </c>
      <c r="J41" s="24"/>
    </row>
    <row r="42" customFormat="false" ht="15" hidden="false" customHeight="false" outlineLevel="0" collapsed="false">
      <c r="B42" s="4" t="s">
        <v>132</v>
      </c>
      <c r="C42" s="15" t="s">
        <v>109</v>
      </c>
      <c r="D42" s="31" t="n">
        <f aca="false">IF(D34="Water weight",D41,D40)</f>
        <v>1.11324521704842</v>
      </c>
      <c r="E42" s="31" t="str">
        <f aca="false">IF(E34="Water weight",E41,E40)</f>
        <v/>
      </c>
      <c r="F42" s="31" t="str">
        <f aca="false">IF(F34="Water weight",F41,F40)</f>
        <v/>
      </c>
      <c r="G42" s="31" t="str">
        <f aca="false">IF(G34="Water weight",G41,G40)</f>
        <v/>
      </c>
      <c r="H42" s="31" t="str">
        <f aca="false">IF(H34="Water weight",H41,H40)</f>
        <v/>
      </c>
      <c r="I42" s="31" t="n">
        <f aca="false">IF(COUNT(D42:H42)=0,"",SUM(D42:H42))</f>
        <v>1.11324521704842</v>
      </c>
      <c r="J42" s="24"/>
      <c r="K42" s="32" t="s">
        <v>133</v>
      </c>
    </row>
    <row r="43" customFormat="false" ht="15" hidden="false" customHeight="false" outlineLevel="0" collapsed="false">
      <c r="B43" s="9" t="s">
        <v>134</v>
      </c>
      <c r="C43" s="15" t="s">
        <v>135</v>
      </c>
      <c r="D43" s="33" t="n">
        <f aca="false">IF(ISNUMBER(D29),PI()/4*(D29*INDEX(LenF,MATCH($C$29,LenU,0)))^2,IF(AND(ISNUMBER(D14),ISNUMBER(D18),D19&lt;&gt;""),D14*(D18*INDEX(LenF,MATCH($C$18,LenU,0)))^2*INDEX(LayoutF,MATCH(D19,LayoutU,0)),""))</f>
        <v>0.502654824574367</v>
      </c>
      <c r="E43" s="33" t="str">
        <f aca="false">IF(ISNUMBER(E29),PI()/4*(E29*INDEX(LenF,MATCH($C$29,LenU,0)))^2,IF(AND(ISNUMBER(E14),ISNUMBER(E18),E19&lt;&gt;""),E14*(E18*INDEX(LenF,MATCH($C$18,LenU,0)))^2*INDEX(LayoutF,MATCH(E19,LayoutU,0)),""))</f>
        <v/>
      </c>
      <c r="F43" s="33" t="str">
        <f aca="false">IF(ISNUMBER(F29),PI()/4*(F29*INDEX(LenF,MATCH($C$29,LenU,0)))^2,IF(AND(ISNUMBER(F14),ISNUMBER(F18),F19&lt;&gt;""),F14*(F18*INDEX(LenF,MATCH($C$18,LenU,0)))^2*INDEX(LayoutF,MATCH(F19,LayoutU,0)),""))</f>
        <v/>
      </c>
      <c r="G43" s="33" t="str">
        <f aca="false">IF(ISNUMBER(G29),PI()/4*(G29*INDEX(LenF,MATCH($C$29,LenU,0)))^2,IF(AND(ISNUMBER(G14),ISNUMBER(G18),G19&lt;&gt;""),G14*(G18*INDEX(LenF,MATCH($C$18,LenU,0)))^2*INDEX(LayoutF,MATCH(G19,LayoutU,0)),""))</f>
        <v/>
      </c>
      <c r="H43" s="33" t="str">
        <f aca="false">IF(ISNUMBER(H29),PI()/4*(H29*INDEX(LenF,MATCH($C$29,LenU,0)))^2,IF(AND(ISNUMBER(H14),ISNUMBER(H18),H19&lt;&gt;""),H14*(H18*INDEX(LenF,MATCH($C$18,LenU,0)))^2*INDEX(LayoutF,MATCH(H19,LayoutU,0)),""))</f>
        <v/>
      </c>
      <c r="I43" s="34"/>
      <c r="J43" s="24" t="s">
        <v>136</v>
      </c>
    </row>
    <row r="44" customFormat="false" ht="15" hidden="false" customHeight="false" outlineLevel="0" collapsed="false">
      <c r="B44" s="9" t="s">
        <v>137</v>
      </c>
      <c r="C44" s="15" t="s">
        <v>109</v>
      </c>
      <c r="D44" s="29" t="n">
        <f aca="false">IF(OR(D43="",AND(NOT(ISNUMBER(D30)),NOT(ISNUMBER(D17)))),"",D43*IF(ISNUMBER(D30),D30*INDEX(LenF,MATCH($C$30,LenU,0)),D17*INDEX(LenF,MATCH($C$17,LenU,0)))+IF(D31="",0,IF(D31="Conical",PI()/12*(SQRT(4*D43/PI()))^2*(0),INDEX(HeadK,MATCH(D31,HeadU,0))*(SQRT(4*D43/PI()))^3)))</f>
        <v>3.0159289474462</v>
      </c>
      <c r="E44" s="29" t="str">
        <f aca="false">IF(OR(E43="",AND(NOT(ISNUMBER(E30)),NOT(ISNUMBER(E17)))),"",E43*IF(ISNUMBER(E30),E30*INDEX(LenF,MATCH($C$30,LenU,0)),E17*INDEX(LenF,MATCH($C$17,LenU,0)))+IF(E31="",0,IF(E31="Conical",PI()/12*(SQRT(4*E43/PI()))^2*(0),INDEX(HeadK,MATCH(E31,HeadU,0))*(SQRT(4*E43/PI()))^3)))</f>
        <v/>
      </c>
      <c r="F44" s="29" t="str">
        <f aca="false">IF(OR(F43="",AND(NOT(ISNUMBER(F30)),NOT(ISNUMBER(F17)))),"",F43*IF(ISNUMBER(F30),F30*INDEX(LenF,MATCH($C$30,LenU,0)),F17*INDEX(LenF,MATCH($C$17,LenU,0)))+IF(F31="",0,IF(F31="Conical",PI()/12*(SQRT(4*F43/PI()))^2*(0),INDEX(HeadK,MATCH(F31,HeadU,0))*(SQRT(4*F43/PI()))^3)))</f>
        <v/>
      </c>
      <c r="G44" s="29" t="str">
        <f aca="false">IF(OR(G43="",AND(NOT(ISNUMBER(G30)),NOT(ISNUMBER(G17)))),"",G43*IF(ISNUMBER(G30),G30*INDEX(LenF,MATCH($C$30,LenU,0)),G17*INDEX(LenF,MATCH($C$17,LenU,0)))+IF(G31="",0,IF(G31="Conical",PI()/12*(SQRT(4*G43/PI()))^2*(0),INDEX(HeadK,MATCH(G31,HeadU,0))*(SQRT(4*G43/PI()))^3)))</f>
        <v/>
      </c>
      <c r="H44" s="29" t="str">
        <f aca="false">IF(OR(H43="",AND(NOT(ISNUMBER(H30)),NOT(ISNUMBER(H17)))),"",H43*IF(ISNUMBER(H30),H30*INDEX(LenF,MATCH($C$30,LenU,0)),H17*INDEX(LenF,MATCH($C$17,LenU,0)))+IF(H31="",0,IF(H31="Conical",PI()/12*(SQRT(4*H43/PI()))^2*(0),INDEX(HeadK,MATCH(H31,HeadU,0))*(SQRT(4*H43/PI()))^3)))</f>
        <v/>
      </c>
      <c r="I44" s="30" t="n">
        <f aca="false">IF(COUNT(D44:H44)=0,"",SUM(D44:H44))</f>
        <v>3.0159289474462</v>
      </c>
      <c r="J44" s="24"/>
    </row>
    <row r="45" customFormat="false" ht="15" hidden="false" customHeight="false" outlineLevel="0" collapsed="false">
      <c r="B45" s="9" t="s">
        <v>138</v>
      </c>
      <c r="C45" s="15" t="s">
        <v>109</v>
      </c>
      <c r="D45" s="29" t="n">
        <f aca="false">IF(AND(ISNUMBER(D14),ISNUMBER(D37),ISNUMBER(D17)),D14*PI()/4*(D37/1000)^2*D17*INDEX(LenF,MATCH($C$17,LenU,0)),"")</f>
        <v>0.86874997291266</v>
      </c>
      <c r="E45" s="29" t="str">
        <f aca="false">IF(AND(ISNUMBER(E14),ISNUMBER(E37),ISNUMBER(E17)),E14*PI()/4*(E37/1000)^2*E17*INDEX(LenF,MATCH($C$17,LenU,0)),"")</f>
        <v/>
      </c>
      <c r="F45" s="29" t="str">
        <f aca="false">IF(AND(ISNUMBER(F14),ISNUMBER(F37),ISNUMBER(F17)),F14*PI()/4*(F37/1000)^2*F17*INDEX(LenF,MATCH($C$17,LenU,0)),"")</f>
        <v/>
      </c>
      <c r="G45" s="29" t="str">
        <f aca="false">IF(AND(ISNUMBER(G14),ISNUMBER(G37),ISNUMBER(G17)),G14*PI()/4*(G37/1000)^2*G17*INDEX(LenF,MATCH($C$17,LenU,0)),"")</f>
        <v/>
      </c>
      <c r="H45" s="29" t="str">
        <f aca="false">IF(AND(ISNUMBER(H14),ISNUMBER(H37),ISNUMBER(H17)),H14*PI()/4*(H37/1000)^2*H17*INDEX(LenF,MATCH($C$17,LenU,0)),"")</f>
        <v/>
      </c>
      <c r="I45" s="30" t="n">
        <f aca="false">IF(COUNT(D45:H45)=0,"",SUM(D45:H45))</f>
        <v>0.86874997291266</v>
      </c>
      <c r="J45" s="24"/>
    </row>
    <row r="46" customFormat="false" ht="15" hidden="false" customHeight="false" outlineLevel="0" collapsed="false">
      <c r="B46" s="9" t="s">
        <v>139</v>
      </c>
      <c r="C46" s="15" t="s">
        <v>109</v>
      </c>
      <c r="D46" s="29" t="n">
        <f aca="false">IF(OR(D44="",D45=""),"",D44-D45)</f>
        <v>2.14717897453354</v>
      </c>
      <c r="E46" s="29" t="str">
        <f aca="false">IF(OR(E44="",E45=""),"",E44-E45)</f>
        <v/>
      </c>
      <c r="F46" s="29" t="str">
        <f aca="false">IF(OR(F44="",F45=""),"",F44-F45)</f>
        <v/>
      </c>
      <c r="G46" s="29" t="str">
        <f aca="false">IF(OR(G44="",G45=""),"",G44-G45)</f>
        <v/>
      </c>
      <c r="H46" s="29" t="str">
        <f aca="false">IF(OR(H44="",H45=""),"",H44-H45)</f>
        <v/>
      </c>
      <c r="I46" s="30" t="n">
        <f aca="false">IF(COUNT(D46:H46)=0,"",SUM(D46:H46))</f>
        <v>2.14717897453354</v>
      </c>
      <c r="J46" s="24" t="s">
        <v>140</v>
      </c>
    </row>
    <row r="47" customFormat="false" ht="15" hidden="false" customHeight="false" outlineLevel="0" collapsed="false">
      <c r="B47" s="9" t="s">
        <v>141</v>
      </c>
      <c r="C47" s="15" t="s">
        <v>109</v>
      </c>
      <c r="D47" s="29" t="str">
        <f aca="false">IF(ISNUMBER(D32),D32*INDEX(WtF,MATCH($C$32,WtU,0))/WaterRho,"")</f>
        <v/>
      </c>
      <c r="E47" s="29" t="str">
        <f aca="false">IF(ISNUMBER(E32),E32*INDEX(WtF,MATCH($C$32,WtU,0))/WaterRho,"")</f>
        <v/>
      </c>
      <c r="F47" s="29" t="str">
        <f aca="false">IF(ISNUMBER(F32),F32*INDEX(WtF,MATCH($C$32,WtU,0))/WaterRho,"")</f>
        <v/>
      </c>
      <c r="G47" s="29" t="str">
        <f aca="false">IF(ISNUMBER(G32),G32*INDEX(WtF,MATCH($C$32,WtU,0))/WaterRho,"")</f>
        <v/>
      </c>
      <c r="H47" s="29" t="str">
        <f aca="false">IF(ISNUMBER(H32),H32*INDEX(WtF,MATCH($C$32,WtU,0))/WaterRho,"")</f>
        <v/>
      </c>
      <c r="I47" s="30" t="str">
        <f aca="false">IF(COUNT(D47:H47)=0,"",SUM(D47:H47))</f>
        <v/>
      </c>
      <c r="J47" s="24"/>
    </row>
    <row r="48" customFormat="false" ht="15" hidden="false" customHeight="false" outlineLevel="0" collapsed="false">
      <c r="B48" s="4" t="s">
        <v>142</v>
      </c>
      <c r="C48" s="15" t="s">
        <v>109</v>
      </c>
      <c r="D48" s="31" t="n">
        <f aca="false">IF(D35="Water weight",D47,D46)</f>
        <v>2.14717897453354</v>
      </c>
      <c r="E48" s="31" t="str">
        <f aca="false">IF(E35="Water weight",E47,E46)</f>
        <v/>
      </c>
      <c r="F48" s="31" t="str">
        <f aca="false">IF(F35="Water weight",F47,F46)</f>
        <v/>
      </c>
      <c r="G48" s="31" t="str">
        <f aca="false">IF(G35="Water weight",G47,G46)</f>
        <v/>
      </c>
      <c r="H48" s="31" t="str">
        <f aca="false">IF(H35="Water weight",H47,H46)</f>
        <v/>
      </c>
      <c r="I48" s="31" t="n">
        <f aca="false">IF(COUNT(D48:H48)=0,"",SUM(D48:H48))</f>
        <v>2.14717897453354</v>
      </c>
      <c r="J48" s="24"/>
      <c r="K48" s="32" t="s">
        <v>143</v>
      </c>
    </row>
    <row r="49" customFormat="false" ht="15" hidden="false" customHeight="false" outlineLevel="0" collapsed="false">
      <c r="B49" s="4" t="s">
        <v>144</v>
      </c>
      <c r="C49" s="15" t="s">
        <v>109</v>
      </c>
      <c r="D49" s="31" t="n">
        <f aca="false">IF(AND(D42="",D48=""),"",N(D42)+N(D48))</f>
        <v>3.26042419158197</v>
      </c>
      <c r="E49" s="31" t="str">
        <f aca="false">IF(AND(E42="",E48=""),"",N(E42)+N(E48))</f>
        <v/>
      </c>
      <c r="F49" s="31" t="str">
        <f aca="false">IF(AND(F42="",F48=""),"",N(F42)+N(F48))</f>
        <v/>
      </c>
      <c r="G49" s="31" t="str">
        <f aca="false">IF(AND(G42="",G48=""),"",N(G42)+N(G48))</f>
        <v/>
      </c>
      <c r="H49" s="31" t="str">
        <f aca="false">IF(AND(H42="",H48=""),"",N(H42)+N(H48))</f>
        <v/>
      </c>
      <c r="I49" s="31" t="n">
        <f aca="false">IF(COUNT(D49:H49)=0,"",SUM(D49:H49))</f>
        <v>3.26042419158197</v>
      </c>
      <c r="J49" s="24"/>
      <c r="K49" s="32" t="s">
        <v>145</v>
      </c>
    </row>
    <row r="50" customFormat="false" ht="15" hidden="false" customHeight="false" outlineLevel="0" collapsed="false">
      <c r="B50" s="9" t="s">
        <v>60</v>
      </c>
      <c r="C50" s="15" t="s">
        <v>146</v>
      </c>
      <c r="D50" s="35" t="n">
        <f aca="false">IF(D49="","",IF(JobType="Chemical Cleaning",CC_HX,INDEX(DecFill,MATCH("Exchanger",DecTypeU,0))))</f>
        <v>1</v>
      </c>
      <c r="E50" s="35" t="str">
        <f aca="false">IF(E49="","",IF(JobType="Chemical Cleaning",CC_HX,INDEX(DecFill,MATCH("Exchanger",DecTypeU,0))))</f>
        <v/>
      </c>
      <c r="F50" s="35" t="str">
        <f aca="false">IF(F49="","",IF(JobType="Chemical Cleaning",CC_HX,INDEX(DecFill,MATCH("Exchanger",DecTypeU,0))))</f>
        <v/>
      </c>
      <c r="G50" s="35" t="str">
        <f aca="false">IF(G49="","",IF(JobType="Chemical Cleaning",CC_HX,INDEX(DecFill,MATCH("Exchanger",DecTypeU,0))))</f>
        <v/>
      </c>
      <c r="H50" s="35" t="str">
        <f aca="false">IF(H49="","",IF(JobType="Chemical Cleaning",CC_HX,INDEX(DecFill,MATCH("Exchanger",DecTypeU,0))))</f>
        <v/>
      </c>
      <c r="I50" s="36"/>
      <c r="J50" s="24" t="s">
        <v>147</v>
      </c>
    </row>
    <row r="51" customFormat="false" ht="15" hidden="false" customHeight="false" outlineLevel="0" collapsed="false">
      <c r="B51" s="4" t="s">
        <v>148</v>
      </c>
      <c r="C51" s="15" t="s">
        <v>109</v>
      </c>
      <c r="D51" s="31" t="n">
        <f aca="false">IF(OR(D49="",D50=""),"",D49*D50)</f>
        <v>3.26042419158197</v>
      </c>
      <c r="E51" s="31" t="str">
        <f aca="false">IF(OR(E49="",E50=""),"",E49*E50)</f>
        <v/>
      </c>
      <c r="F51" s="31" t="str">
        <f aca="false">IF(OR(F49="",F50=""),"",F49*F50)</f>
        <v/>
      </c>
      <c r="G51" s="31" t="str">
        <f aca="false">IF(OR(G49="",G50=""),"",G49*G50)</f>
        <v/>
      </c>
      <c r="H51" s="31" t="str">
        <f aca="false">IF(OR(H49="",H50=""),"",H49*H50)</f>
        <v/>
      </c>
      <c r="I51" s="31" t="n">
        <f aca="false">IF(COUNT(D51:H51)=0,"",SUM(D51:H51))</f>
        <v>3.26042419158197</v>
      </c>
      <c r="J51" s="24"/>
      <c r="K51" s="32" t="s">
        <v>149</v>
      </c>
    </row>
    <row r="52" customFormat="false" ht="15" hidden="false" customHeight="false" outlineLevel="0" collapsed="false">
      <c r="B52" s="9" t="s">
        <v>150</v>
      </c>
      <c r="C52" s="15" t="s">
        <v>32</v>
      </c>
      <c r="D52" s="37" t="str">
        <f aca="false">IF(OR(JobType&lt;&gt;"Decontamination",D51=""),"",D51*INDEX(DecChem,MATCH("Exchanger",DecTypeU,0))*1000)</f>
        <v/>
      </c>
      <c r="E52" s="37" t="str">
        <f aca="false">IF(OR(JobType&lt;&gt;"Decontamination",E51=""),"",E51*INDEX(DecChem,MATCH("Exchanger",DecTypeU,0))*1000)</f>
        <v/>
      </c>
      <c r="F52" s="37" t="str">
        <f aca="false">IF(OR(JobType&lt;&gt;"Decontamination",F51=""),"",F51*INDEX(DecChem,MATCH("Exchanger",DecTypeU,0))*1000)</f>
        <v/>
      </c>
      <c r="G52" s="37" t="str">
        <f aca="false">IF(OR(JobType&lt;&gt;"Decontamination",G51=""),"",G51*INDEX(DecChem,MATCH("Exchanger",DecTypeU,0))*1000)</f>
        <v/>
      </c>
      <c r="H52" s="37" t="str">
        <f aca="false">IF(OR(JobType&lt;&gt;"Decontamination",H51=""),"",H51*INDEX(DecChem,MATCH("Exchanger",DecTypeU,0))*1000)</f>
        <v/>
      </c>
      <c r="I52" s="38" t="str">
        <f aca="false">IF(COUNT(D52:H52)=0,"",SUM(D52:H52))</f>
        <v/>
      </c>
      <c r="J52" s="24" t="s">
        <v>151</v>
      </c>
      <c r="K52" s="32" t="s">
        <v>152</v>
      </c>
    </row>
    <row r="54" customFormat="false" ht="15" hidden="false" customHeight="false" outlineLevel="0" collapsed="false">
      <c r="A54" s="20" t="n">
        <v>2</v>
      </c>
      <c r="B54" s="21" t="s">
        <v>153</v>
      </c>
      <c r="C54" s="22"/>
      <c r="D54" s="22"/>
      <c r="E54" s="22"/>
      <c r="F54" s="22"/>
      <c r="G54" s="22"/>
      <c r="H54" s="22"/>
      <c r="I54" s="22"/>
      <c r="J54" s="22"/>
    </row>
    <row r="55" customFormat="false" ht="15" hidden="false" customHeight="false" outlineLevel="0" collapsed="false">
      <c r="B55" s="9" t="s">
        <v>83</v>
      </c>
      <c r="C55" s="15" t="s">
        <v>29</v>
      </c>
      <c r="D55" s="8"/>
      <c r="E55" s="8"/>
      <c r="F55" s="8"/>
      <c r="G55" s="8"/>
      <c r="H55" s="8"/>
      <c r="I55" s="23"/>
      <c r="J55" s="24"/>
    </row>
    <row r="56" customFormat="false" ht="15" hidden="false" customHeight="false" outlineLevel="0" collapsed="false">
      <c r="B56" s="9" t="s">
        <v>86</v>
      </c>
      <c r="C56" s="15" t="s">
        <v>29</v>
      </c>
      <c r="D56" s="8"/>
      <c r="E56" s="8"/>
      <c r="F56" s="8"/>
      <c r="G56" s="8"/>
      <c r="H56" s="8"/>
      <c r="I56" s="23"/>
      <c r="J56" s="24"/>
    </row>
    <row r="57" customFormat="false" ht="15" hidden="false" customHeight="false" outlineLevel="0" collapsed="false">
      <c r="B57" s="9" t="s">
        <v>87</v>
      </c>
      <c r="C57" s="15" t="s">
        <v>29</v>
      </c>
      <c r="D57" s="8"/>
      <c r="E57" s="8"/>
      <c r="F57" s="8"/>
      <c r="G57" s="8"/>
      <c r="H57" s="8"/>
      <c r="I57" s="23"/>
      <c r="J57" s="24"/>
    </row>
    <row r="58" customFormat="false" ht="15" hidden="false" customHeight="false" outlineLevel="0" collapsed="false">
      <c r="B58" s="25" t="s">
        <v>88</v>
      </c>
      <c r="C58" s="26"/>
      <c r="D58" s="26"/>
      <c r="E58" s="26"/>
      <c r="F58" s="26"/>
      <c r="G58" s="26"/>
      <c r="H58" s="26"/>
      <c r="I58" s="26"/>
      <c r="J58" s="26"/>
    </row>
    <row r="59" customFormat="false" ht="15" hidden="false" customHeight="false" outlineLevel="0" collapsed="false">
      <c r="B59" s="9" t="s">
        <v>89</v>
      </c>
      <c r="C59" s="15" t="s">
        <v>90</v>
      </c>
      <c r="D59" s="8"/>
      <c r="E59" s="8"/>
      <c r="F59" s="8"/>
      <c r="G59" s="8"/>
      <c r="H59" s="8"/>
      <c r="I59" s="23"/>
      <c r="J59" s="24"/>
    </row>
    <row r="60" customFormat="false" ht="15" hidden="false" customHeight="false" outlineLevel="0" collapsed="false">
      <c r="B60" s="9" t="s">
        <v>91</v>
      </c>
      <c r="C60" s="8" t="s">
        <v>92</v>
      </c>
      <c r="D60" s="8"/>
      <c r="E60" s="8"/>
      <c r="F60" s="8"/>
      <c r="G60" s="8"/>
      <c r="H60" s="8"/>
      <c r="I60" s="23"/>
      <c r="J60" s="24" t="s">
        <v>93</v>
      </c>
    </row>
    <row r="61" customFormat="false" ht="15" hidden="false" customHeight="false" outlineLevel="0" collapsed="false">
      <c r="B61" s="9" t="s">
        <v>94</v>
      </c>
      <c r="C61" s="8" t="s">
        <v>92</v>
      </c>
      <c r="D61" s="8"/>
      <c r="E61" s="8"/>
      <c r="F61" s="8"/>
      <c r="G61" s="8"/>
      <c r="H61" s="8"/>
      <c r="I61" s="23"/>
      <c r="J61" s="24"/>
    </row>
    <row r="62" customFormat="false" ht="15" hidden="false" customHeight="false" outlineLevel="0" collapsed="false">
      <c r="B62" s="9" t="s">
        <v>95</v>
      </c>
      <c r="C62" s="8" t="s">
        <v>92</v>
      </c>
      <c r="D62" s="8"/>
      <c r="E62" s="8"/>
      <c r="F62" s="8"/>
      <c r="G62" s="8"/>
      <c r="H62" s="8"/>
      <c r="I62" s="23"/>
      <c r="J62" s="24"/>
    </row>
    <row r="63" customFormat="false" ht="15" hidden="false" customHeight="false" outlineLevel="0" collapsed="false">
      <c r="B63" s="9" t="s">
        <v>96</v>
      </c>
      <c r="C63" s="8" t="s">
        <v>92</v>
      </c>
      <c r="D63" s="8"/>
      <c r="E63" s="8"/>
      <c r="F63" s="8"/>
      <c r="G63" s="8"/>
      <c r="H63" s="8"/>
      <c r="I63" s="23"/>
      <c r="J63" s="24" t="s">
        <v>97</v>
      </c>
    </row>
    <row r="64" customFormat="false" ht="15" hidden="false" customHeight="false" outlineLevel="0" collapsed="false">
      <c r="B64" s="9" t="s">
        <v>98</v>
      </c>
      <c r="C64" s="15" t="s">
        <v>29</v>
      </c>
      <c r="D64" s="8" t="s">
        <v>99</v>
      </c>
      <c r="E64" s="8" t="s">
        <v>99</v>
      </c>
      <c r="F64" s="8" t="s">
        <v>99</v>
      </c>
      <c r="G64" s="8" t="s">
        <v>99</v>
      </c>
      <c r="H64" s="8" t="s">
        <v>99</v>
      </c>
      <c r="I64" s="23"/>
      <c r="J64" s="24"/>
    </row>
    <row r="65" customFormat="false" ht="15" hidden="false" customHeight="false" outlineLevel="0" collapsed="false">
      <c r="B65" s="9" t="s">
        <v>100</v>
      </c>
      <c r="C65" s="8" t="s">
        <v>92</v>
      </c>
      <c r="D65" s="8"/>
      <c r="E65" s="8"/>
      <c r="F65" s="8"/>
      <c r="G65" s="8"/>
      <c r="H65" s="8"/>
      <c r="I65" s="23"/>
      <c r="J65" s="24"/>
    </row>
    <row r="66" customFormat="false" ht="15" hidden="false" customHeight="false" outlineLevel="0" collapsed="false">
      <c r="B66" s="9" t="s">
        <v>101</v>
      </c>
      <c r="C66" s="8" t="s">
        <v>92</v>
      </c>
      <c r="D66" s="8"/>
      <c r="E66" s="8"/>
      <c r="F66" s="8"/>
      <c r="G66" s="8"/>
      <c r="H66" s="8"/>
      <c r="I66" s="23"/>
      <c r="J66" s="24"/>
    </row>
    <row r="67" customFormat="false" ht="15" hidden="false" customHeight="false" outlineLevel="0" collapsed="false">
      <c r="B67" s="9" t="s">
        <v>102</v>
      </c>
      <c r="C67" s="15" t="s">
        <v>29</v>
      </c>
      <c r="D67" s="8"/>
      <c r="E67" s="8"/>
      <c r="F67" s="8"/>
      <c r="G67" s="8"/>
      <c r="H67" s="8"/>
      <c r="I67" s="23"/>
      <c r="J67" s="24"/>
    </row>
    <row r="68" customFormat="false" ht="15" hidden="false" customHeight="false" outlineLevel="0" collapsed="false">
      <c r="B68" s="9" t="s">
        <v>104</v>
      </c>
      <c r="C68" s="8" t="s">
        <v>92</v>
      </c>
      <c r="D68" s="8"/>
      <c r="E68" s="8"/>
      <c r="F68" s="8"/>
      <c r="G68" s="8"/>
      <c r="H68" s="8"/>
      <c r="I68" s="23"/>
      <c r="J68" s="24"/>
    </row>
    <row r="69" customFormat="false" ht="15" hidden="false" customHeight="false" outlineLevel="0" collapsed="false">
      <c r="B69" s="9" t="s">
        <v>105</v>
      </c>
      <c r="C69" s="8" t="s">
        <v>92</v>
      </c>
      <c r="D69" s="8"/>
      <c r="E69" s="8"/>
      <c r="F69" s="8"/>
      <c r="G69" s="8"/>
      <c r="H69" s="8"/>
      <c r="I69" s="23"/>
      <c r="J69" s="24"/>
    </row>
    <row r="70" customFormat="false" ht="15" hidden="false" customHeight="false" outlineLevel="0" collapsed="false">
      <c r="B70" s="9" t="s">
        <v>106</v>
      </c>
      <c r="C70" s="15" t="s">
        <v>29</v>
      </c>
      <c r="D70" s="8"/>
      <c r="E70" s="8"/>
      <c r="F70" s="8"/>
      <c r="G70" s="8"/>
      <c r="H70" s="8"/>
      <c r="I70" s="23"/>
      <c r="J70" s="24"/>
    </row>
    <row r="71" customFormat="false" ht="15" hidden="false" customHeight="false" outlineLevel="0" collapsed="false">
      <c r="B71" s="9" t="s">
        <v>108</v>
      </c>
      <c r="C71" s="8" t="s">
        <v>109</v>
      </c>
      <c r="D71" s="8"/>
      <c r="E71" s="8"/>
      <c r="F71" s="8"/>
      <c r="G71" s="8"/>
      <c r="H71" s="8"/>
      <c r="I71" s="23"/>
      <c r="J71" s="24" t="s">
        <v>110</v>
      </c>
    </row>
    <row r="72" customFormat="false" ht="15" hidden="false" customHeight="false" outlineLevel="0" collapsed="false">
      <c r="B72" s="9" t="s">
        <v>111</v>
      </c>
      <c r="C72" s="8" t="s">
        <v>112</v>
      </c>
      <c r="D72" s="8"/>
      <c r="E72" s="8"/>
      <c r="F72" s="8"/>
      <c r="G72" s="8"/>
      <c r="H72" s="8"/>
      <c r="I72" s="23"/>
      <c r="J72" s="24"/>
    </row>
    <row r="73" customFormat="false" ht="15" hidden="false" customHeight="false" outlineLevel="0" collapsed="false">
      <c r="B73" s="25" t="s">
        <v>113</v>
      </c>
      <c r="C73" s="26"/>
      <c r="D73" s="26"/>
      <c r="E73" s="26"/>
      <c r="F73" s="26"/>
      <c r="G73" s="26"/>
      <c r="H73" s="26"/>
      <c r="I73" s="26"/>
      <c r="J73" s="26"/>
    </row>
    <row r="74" customFormat="false" ht="15" hidden="false" customHeight="false" outlineLevel="0" collapsed="false">
      <c r="B74" s="9" t="s">
        <v>114</v>
      </c>
      <c r="C74" s="8" t="s">
        <v>92</v>
      </c>
      <c r="D74" s="8"/>
      <c r="E74" s="8"/>
      <c r="F74" s="8"/>
      <c r="G74" s="8"/>
      <c r="H74" s="8"/>
      <c r="I74" s="23"/>
      <c r="J74" s="24" t="s">
        <v>115</v>
      </c>
    </row>
    <row r="75" customFormat="false" ht="15" hidden="false" customHeight="false" outlineLevel="0" collapsed="false">
      <c r="B75" s="9" t="s">
        <v>116</v>
      </c>
      <c r="C75" s="8" t="s">
        <v>92</v>
      </c>
      <c r="D75" s="8"/>
      <c r="E75" s="8"/>
      <c r="F75" s="8"/>
      <c r="G75" s="8"/>
      <c r="H75" s="8"/>
      <c r="I75" s="23"/>
      <c r="J75" s="24" t="s">
        <v>117</v>
      </c>
    </row>
    <row r="76" customFormat="false" ht="15" hidden="false" customHeight="false" outlineLevel="0" collapsed="false">
      <c r="B76" s="9" t="s">
        <v>118</v>
      </c>
      <c r="C76" s="15" t="s">
        <v>29</v>
      </c>
      <c r="D76" s="8"/>
      <c r="E76" s="8"/>
      <c r="F76" s="8"/>
      <c r="G76" s="8"/>
      <c r="H76" s="8"/>
      <c r="I76" s="23"/>
      <c r="J76" s="24"/>
    </row>
    <row r="77" customFormat="false" ht="15" hidden="false" customHeight="false" outlineLevel="0" collapsed="false">
      <c r="B77" s="9" t="s">
        <v>119</v>
      </c>
      <c r="C77" s="8" t="s">
        <v>112</v>
      </c>
      <c r="D77" s="8"/>
      <c r="E77" s="8"/>
      <c r="F77" s="8"/>
      <c r="G77" s="8"/>
      <c r="H77" s="8"/>
      <c r="I77" s="23"/>
      <c r="J77" s="24"/>
    </row>
    <row r="78" customFormat="false" ht="15" hidden="false" customHeight="false" outlineLevel="0" collapsed="false">
      <c r="B78" s="25" t="s">
        <v>120</v>
      </c>
      <c r="C78" s="26"/>
      <c r="D78" s="26"/>
      <c r="E78" s="26"/>
      <c r="F78" s="26"/>
      <c r="G78" s="26"/>
      <c r="H78" s="26"/>
      <c r="I78" s="26"/>
      <c r="J78" s="26"/>
    </row>
    <row r="79" customFormat="false" ht="15" hidden="false" customHeight="false" outlineLevel="0" collapsed="false">
      <c r="B79" s="9" t="s">
        <v>121</v>
      </c>
      <c r="C79" s="15" t="s">
        <v>29</v>
      </c>
      <c r="D79" s="8" t="s">
        <v>122</v>
      </c>
      <c r="E79" s="8" t="s">
        <v>122</v>
      </c>
      <c r="F79" s="8" t="s">
        <v>122</v>
      </c>
      <c r="G79" s="8" t="s">
        <v>122</v>
      </c>
      <c r="H79" s="8" t="s">
        <v>122</v>
      </c>
      <c r="I79" s="23"/>
      <c r="J79" s="24"/>
    </row>
    <row r="80" customFormat="false" ht="15" hidden="false" customHeight="false" outlineLevel="0" collapsed="false">
      <c r="B80" s="9" t="s">
        <v>123</v>
      </c>
      <c r="C80" s="15" t="s">
        <v>29</v>
      </c>
      <c r="D80" s="8" t="s">
        <v>122</v>
      </c>
      <c r="E80" s="8" t="s">
        <v>122</v>
      </c>
      <c r="F80" s="8" t="s">
        <v>122</v>
      </c>
      <c r="G80" s="8" t="s">
        <v>122</v>
      </c>
      <c r="H80" s="8" t="s">
        <v>122</v>
      </c>
      <c r="I80" s="23"/>
      <c r="J80" s="24"/>
    </row>
    <row r="81" customFormat="false" ht="15" hidden="false" customHeight="false" outlineLevel="0" collapsed="false">
      <c r="B81" s="25" t="s">
        <v>124</v>
      </c>
      <c r="C81" s="26"/>
      <c r="D81" s="26"/>
      <c r="E81" s="26"/>
      <c r="F81" s="26"/>
      <c r="G81" s="26"/>
      <c r="H81" s="26"/>
      <c r="I81" s="26"/>
      <c r="J81" s="26"/>
    </row>
    <row r="82" customFormat="false" ht="15" hidden="false" customHeight="false" outlineLevel="0" collapsed="false">
      <c r="B82" s="9" t="s">
        <v>125</v>
      </c>
      <c r="C82" s="15" t="s">
        <v>92</v>
      </c>
      <c r="D82" s="27" t="str">
        <f aca="false">IF(ISNUMBER(D60),D60*INDEX(LenF,MATCH($C$60,LenU,0))*1000,IF(ISNUMBER(D63),D63*INDEX(LenF,MATCH($C$63,LenU,0))/PitchRatio*1000,""))</f>
        <v/>
      </c>
      <c r="E82" s="27" t="str">
        <f aca="false">IF(ISNUMBER(E60),E60*INDEX(LenF,MATCH($C$60,LenU,0))*1000,IF(ISNUMBER(E63),E63*INDEX(LenF,MATCH($C$63,LenU,0))/PitchRatio*1000,""))</f>
        <v/>
      </c>
      <c r="F82" s="27" t="str">
        <f aca="false">IF(ISNUMBER(F60),F60*INDEX(LenF,MATCH($C$60,LenU,0))*1000,IF(ISNUMBER(F63),F63*INDEX(LenF,MATCH($C$63,LenU,0))/PitchRatio*1000,""))</f>
        <v/>
      </c>
      <c r="G82" s="27" t="str">
        <f aca="false">IF(ISNUMBER(G60),G60*INDEX(LenF,MATCH($C$60,LenU,0))*1000,IF(ISNUMBER(G63),G63*INDEX(LenF,MATCH($C$63,LenU,0))/PitchRatio*1000,""))</f>
        <v/>
      </c>
      <c r="H82" s="27" t="str">
        <f aca="false">IF(ISNUMBER(H60),H60*INDEX(LenF,MATCH($C$60,LenU,0))*1000,IF(ISNUMBER(H63),H63*INDEX(LenF,MATCH($C$63,LenU,0))/PitchRatio*1000,""))</f>
        <v/>
      </c>
      <c r="I82" s="28"/>
      <c r="J82" s="24" t="s">
        <v>126</v>
      </c>
    </row>
    <row r="83" customFormat="false" ht="15" hidden="false" customHeight="false" outlineLevel="0" collapsed="false">
      <c r="B83" s="9" t="s">
        <v>127</v>
      </c>
      <c r="C83" s="15" t="s">
        <v>109</v>
      </c>
      <c r="D83" s="29" t="str">
        <f aca="false">IF(AND(ISNUMBER(D59),ISNUMBER(D61),ISNUMBER(D62)),D59*PI()/4*(D61*INDEX(LenF,MATCH($C$61,LenU,0)))^2*D62*INDEX(LenF,MATCH($C$62,LenU,0)),"")</f>
        <v/>
      </c>
      <c r="E83" s="29" t="str">
        <f aca="false">IF(AND(ISNUMBER(E59),ISNUMBER(E61),ISNUMBER(E62)),E59*PI()/4*(E61*INDEX(LenF,MATCH($C$61,LenU,0)))^2*E62*INDEX(LenF,MATCH($C$62,LenU,0)),"")</f>
        <v/>
      </c>
      <c r="F83" s="29" t="str">
        <f aca="false">IF(AND(ISNUMBER(F59),ISNUMBER(F61),ISNUMBER(F62)),F59*PI()/4*(F61*INDEX(LenF,MATCH($C$61,LenU,0)))^2*F62*INDEX(LenF,MATCH($C$62,LenU,0)),"")</f>
        <v/>
      </c>
      <c r="G83" s="29" t="str">
        <f aca="false">IF(AND(ISNUMBER(G59),ISNUMBER(G61),ISNUMBER(G62)),G59*PI()/4*(G61*INDEX(LenF,MATCH($C$61,LenU,0)))^2*G62*INDEX(LenF,MATCH($C$62,LenU,0)),"")</f>
        <v/>
      </c>
      <c r="H83" s="29" t="str">
        <f aca="false">IF(AND(ISNUMBER(H59),ISNUMBER(H61),ISNUMBER(H62)),H59*PI()/4*(H61*INDEX(LenF,MATCH($C$61,LenU,0)))^2*H62*INDEX(LenF,MATCH($C$62,LenU,0)),"")</f>
        <v/>
      </c>
      <c r="I83" s="30" t="str">
        <f aca="false">IF(COUNT(D83:H83)=0,"",SUM(D83:H83))</f>
        <v/>
      </c>
      <c r="J83" s="24"/>
    </row>
    <row r="84" customFormat="false" ht="15" hidden="false" customHeight="false" outlineLevel="0" collapsed="false">
      <c r="B84" s="9" t="s">
        <v>128</v>
      </c>
      <c r="C84" s="15" t="s">
        <v>109</v>
      </c>
      <c r="D84" s="29" t="n">
        <f aca="false">IF(ISNUMBER(D71),D71*INDEX(VolF,MATCH($C$71,VolU,0)),IF(ISNUMBER(D65),PI()/4*(D65*INDEX(LenF,MATCH($C$65,LenU,0)))^2*N(D66)*INDEX(LenF,MATCH($C$66,LenU,0))+IF(D67="",0,IF(D67="Conical",PI()/12*(D65*INDEX(LenF,MATCH($C$65,LenU,0)))^2*(0),INDEX(HeadK,MATCH(D67,HeadU,0))*(D65*INDEX(LenF,MATCH($C$65,LenU,0)))^3)),0)+IF(ISNUMBER(D68),PI()/4*(D68*INDEX(LenF,MATCH($C$68,LenU,0)))^2*N(D69)*INDEX(LenF,MATCH($C$69,LenU,0))+IF(D70="",0,IF(D70="Conical",PI()/12*(D68*INDEX(LenF,MATCH($C$68,LenU,0)))^2*(0),INDEX(HeadK,MATCH(D70,HeadU,0))*(D68*INDEX(LenF,MATCH($C$68,LenU,0)))^3)),0))</f>
        <v>0</v>
      </c>
      <c r="E84" s="29" t="n">
        <f aca="false">IF(ISNUMBER(E71),E71*INDEX(VolF,MATCH($C$71,VolU,0)),IF(ISNUMBER(E65),PI()/4*(E65*INDEX(LenF,MATCH($C$65,LenU,0)))^2*N(E66)*INDEX(LenF,MATCH($C$66,LenU,0))+IF(E67="",0,IF(E67="Conical",PI()/12*(E65*INDEX(LenF,MATCH($C$65,LenU,0)))^2*(0),INDEX(HeadK,MATCH(E67,HeadU,0))*(E65*INDEX(LenF,MATCH($C$65,LenU,0)))^3)),0)+IF(ISNUMBER(E68),PI()/4*(E68*INDEX(LenF,MATCH($C$68,LenU,0)))^2*N(E69)*INDEX(LenF,MATCH($C$69,LenU,0))+IF(E70="",0,IF(E70="Conical",PI()/12*(E68*INDEX(LenF,MATCH($C$68,LenU,0)))^2*(0),INDEX(HeadK,MATCH(E70,HeadU,0))*(E68*INDEX(LenF,MATCH($C$68,LenU,0)))^3)),0))</f>
        <v>0</v>
      </c>
      <c r="F84" s="29" t="n">
        <f aca="false">IF(ISNUMBER(F71),F71*INDEX(VolF,MATCH($C$71,VolU,0)),IF(ISNUMBER(F65),PI()/4*(F65*INDEX(LenF,MATCH($C$65,LenU,0)))^2*N(F66)*INDEX(LenF,MATCH($C$66,LenU,0))+IF(F67="",0,IF(F67="Conical",PI()/12*(F65*INDEX(LenF,MATCH($C$65,LenU,0)))^2*(0),INDEX(HeadK,MATCH(F67,HeadU,0))*(F65*INDEX(LenF,MATCH($C$65,LenU,0)))^3)),0)+IF(ISNUMBER(F68),PI()/4*(F68*INDEX(LenF,MATCH($C$68,LenU,0)))^2*N(F69)*INDEX(LenF,MATCH($C$69,LenU,0))+IF(F70="",0,IF(F70="Conical",PI()/12*(F68*INDEX(LenF,MATCH($C$68,LenU,0)))^2*(0),INDEX(HeadK,MATCH(F70,HeadU,0))*(F68*INDEX(LenF,MATCH($C$68,LenU,0)))^3)),0))</f>
        <v>0</v>
      </c>
      <c r="G84" s="29" t="n">
        <f aca="false">IF(ISNUMBER(G71),G71*INDEX(VolF,MATCH($C$71,VolU,0)),IF(ISNUMBER(G65),PI()/4*(G65*INDEX(LenF,MATCH($C$65,LenU,0)))^2*N(G66)*INDEX(LenF,MATCH($C$66,LenU,0))+IF(G67="",0,IF(G67="Conical",PI()/12*(G65*INDEX(LenF,MATCH($C$65,LenU,0)))^2*(0),INDEX(HeadK,MATCH(G67,HeadU,0))*(G65*INDEX(LenF,MATCH($C$65,LenU,0)))^3)),0)+IF(ISNUMBER(G68),PI()/4*(G68*INDEX(LenF,MATCH($C$68,LenU,0)))^2*N(G69)*INDEX(LenF,MATCH($C$69,LenU,0))+IF(G70="",0,IF(G70="Conical",PI()/12*(G68*INDEX(LenF,MATCH($C$68,LenU,0)))^2*(0),INDEX(HeadK,MATCH(G70,HeadU,0))*(G68*INDEX(LenF,MATCH($C$68,LenU,0)))^3)),0))</f>
        <v>0</v>
      </c>
      <c r="H84" s="29" t="n">
        <f aca="false">IF(ISNUMBER(H71),H71*INDEX(VolF,MATCH($C$71,VolU,0)),IF(ISNUMBER(H65),PI()/4*(H65*INDEX(LenF,MATCH($C$65,LenU,0)))^2*N(H66)*INDEX(LenF,MATCH($C$66,LenU,0))+IF(H67="",0,IF(H67="Conical",PI()/12*(H65*INDEX(LenF,MATCH($C$65,LenU,0)))^2*(0),INDEX(HeadK,MATCH(H67,HeadU,0))*(H65*INDEX(LenF,MATCH($C$65,LenU,0)))^3)),0)+IF(ISNUMBER(H68),PI()/4*(H68*INDEX(LenF,MATCH($C$68,LenU,0)))^2*N(H69)*INDEX(LenF,MATCH($C$69,LenU,0))+IF(H70="",0,IF(H70="Conical",PI()/12*(H68*INDEX(LenF,MATCH($C$68,LenU,0)))^2*(0),INDEX(HeadK,MATCH(H70,HeadU,0))*(H68*INDEX(LenF,MATCH($C$68,LenU,0)))^3)),0))</f>
        <v>0</v>
      </c>
      <c r="I84" s="30" t="n">
        <f aca="false">IF(COUNT(D84:H84)=0,"",SUM(D84:H84))</f>
        <v>0</v>
      </c>
      <c r="J84" s="24" t="s">
        <v>129</v>
      </c>
    </row>
    <row r="85" customFormat="false" ht="15" hidden="false" customHeight="false" outlineLevel="0" collapsed="false">
      <c r="B85" s="9" t="s">
        <v>130</v>
      </c>
      <c r="C85" s="15" t="s">
        <v>109</v>
      </c>
      <c r="D85" s="29" t="str">
        <f aca="false">IF(D83="","",D83+D84)</f>
        <v/>
      </c>
      <c r="E85" s="29" t="str">
        <f aca="false">IF(E83="","",E83+E84)</f>
        <v/>
      </c>
      <c r="F85" s="29" t="str">
        <f aca="false">IF(F83="","",F83+F84)</f>
        <v/>
      </c>
      <c r="G85" s="29" t="str">
        <f aca="false">IF(G83="","",G83+G84)</f>
        <v/>
      </c>
      <c r="H85" s="29" t="str">
        <f aca="false">IF(H83="","",H83+H84)</f>
        <v/>
      </c>
      <c r="I85" s="30" t="str">
        <f aca="false">IF(COUNT(D85:H85)=0,"",SUM(D85:H85))</f>
        <v/>
      </c>
      <c r="J85" s="24"/>
    </row>
    <row r="86" customFormat="false" ht="15" hidden="false" customHeight="false" outlineLevel="0" collapsed="false">
      <c r="B86" s="9" t="s">
        <v>131</v>
      </c>
      <c r="C86" s="15" t="s">
        <v>109</v>
      </c>
      <c r="D86" s="29" t="str">
        <f aca="false">IF(ISNUMBER(D72),D72*INDEX(WtF,MATCH($C$72,WtU,0))/WaterRho,"")</f>
        <v/>
      </c>
      <c r="E86" s="29" t="str">
        <f aca="false">IF(ISNUMBER(E72),E72*INDEX(WtF,MATCH($C$72,WtU,0))/WaterRho,"")</f>
        <v/>
      </c>
      <c r="F86" s="29" t="str">
        <f aca="false">IF(ISNUMBER(F72),F72*INDEX(WtF,MATCH($C$72,WtU,0))/WaterRho,"")</f>
        <v/>
      </c>
      <c r="G86" s="29" t="str">
        <f aca="false">IF(ISNUMBER(G72),G72*INDEX(WtF,MATCH($C$72,WtU,0))/WaterRho,"")</f>
        <v/>
      </c>
      <c r="H86" s="29" t="str">
        <f aca="false">IF(ISNUMBER(H72),H72*INDEX(WtF,MATCH($C$72,WtU,0))/WaterRho,"")</f>
        <v/>
      </c>
      <c r="I86" s="30" t="str">
        <f aca="false">IF(COUNT(D86:H86)=0,"",SUM(D86:H86))</f>
        <v/>
      </c>
      <c r="J86" s="24"/>
    </row>
    <row r="87" customFormat="false" ht="15" hidden="false" customHeight="false" outlineLevel="0" collapsed="false">
      <c r="B87" s="4" t="s">
        <v>132</v>
      </c>
      <c r="C87" s="15" t="s">
        <v>109</v>
      </c>
      <c r="D87" s="31" t="str">
        <f aca="false">IF(D79="Water weight",D86,D85)</f>
        <v/>
      </c>
      <c r="E87" s="31" t="str">
        <f aca="false">IF(E79="Water weight",E86,E85)</f>
        <v/>
      </c>
      <c r="F87" s="31" t="str">
        <f aca="false">IF(F79="Water weight",F86,F85)</f>
        <v/>
      </c>
      <c r="G87" s="31" t="str">
        <f aca="false">IF(G79="Water weight",G86,G85)</f>
        <v/>
      </c>
      <c r="H87" s="31" t="str">
        <f aca="false">IF(H79="Water weight",H86,H85)</f>
        <v/>
      </c>
      <c r="I87" s="31" t="str">
        <f aca="false">IF(COUNT(D87:H87)=0,"",SUM(D87:H87))</f>
        <v/>
      </c>
      <c r="J87" s="24"/>
      <c r="K87" s="32" t="s">
        <v>133</v>
      </c>
    </row>
    <row r="88" customFormat="false" ht="15" hidden="false" customHeight="false" outlineLevel="0" collapsed="false">
      <c r="B88" s="9" t="s">
        <v>134</v>
      </c>
      <c r="C88" s="15" t="s">
        <v>135</v>
      </c>
      <c r="D88" s="33" t="str">
        <f aca="false">IF(ISNUMBER(D74),PI()/4*(D74*INDEX(LenF,MATCH($C$74,LenU,0)))^2,IF(AND(ISNUMBER(D59),ISNUMBER(D63),D64&lt;&gt;""),D59*(D63*INDEX(LenF,MATCH($C$63,LenU,0)))^2*INDEX(LayoutF,MATCH(D64,LayoutU,0)),""))</f>
        <v/>
      </c>
      <c r="E88" s="33" t="str">
        <f aca="false">IF(ISNUMBER(E74),PI()/4*(E74*INDEX(LenF,MATCH($C$74,LenU,0)))^2,IF(AND(ISNUMBER(E59),ISNUMBER(E63),E64&lt;&gt;""),E59*(E63*INDEX(LenF,MATCH($C$63,LenU,0)))^2*INDEX(LayoutF,MATCH(E64,LayoutU,0)),""))</f>
        <v/>
      </c>
      <c r="F88" s="33" t="str">
        <f aca="false">IF(ISNUMBER(F74),PI()/4*(F74*INDEX(LenF,MATCH($C$74,LenU,0)))^2,IF(AND(ISNUMBER(F59),ISNUMBER(F63),F64&lt;&gt;""),F59*(F63*INDEX(LenF,MATCH($C$63,LenU,0)))^2*INDEX(LayoutF,MATCH(F64,LayoutU,0)),""))</f>
        <v/>
      </c>
      <c r="G88" s="33" t="str">
        <f aca="false">IF(ISNUMBER(G74),PI()/4*(G74*INDEX(LenF,MATCH($C$74,LenU,0)))^2,IF(AND(ISNUMBER(G59),ISNUMBER(G63),G64&lt;&gt;""),G59*(G63*INDEX(LenF,MATCH($C$63,LenU,0)))^2*INDEX(LayoutF,MATCH(G64,LayoutU,0)),""))</f>
        <v/>
      </c>
      <c r="H88" s="33" t="str">
        <f aca="false">IF(ISNUMBER(H74),PI()/4*(H74*INDEX(LenF,MATCH($C$74,LenU,0)))^2,IF(AND(ISNUMBER(H59),ISNUMBER(H63),H64&lt;&gt;""),H59*(H63*INDEX(LenF,MATCH($C$63,LenU,0)))^2*INDEX(LayoutF,MATCH(H64,LayoutU,0)),""))</f>
        <v/>
      </c>
      <c r="I88" s="34"/>
      <c r="J88" s="24" t="s">
        <v>136</v>
      </c>
    </row>
    <row r="89" customFormat="false" ht="15" hidden="false" customHeight="false" outlineLevel="0" collapsed="false">
      <c r="B89" s="9" t="s">
        <v>137</v>
      </c>
      <c r="C89" s="15" t="s">
        <v>109</v>
      </c>
      <c r="D89" s="29" t="str">
        <f aca="false">IF(OR(D88="",AND(NOT(ISNUMBER(D75)),NOT(ISNUMBER(D62)))),"",D88*IF(ISNUMBER(D75),D75*INDEX(LenF,MATCH($C$75,LenU,0)),D62*INDEX(LenF,MATCH($C$62,LenU,0)))+IF(D76="",0,IF(D76="Conical",PI()/12*(SQRT(4*D88/PI()))^2*(0),INDEX(HeadK,MATCH(D76,HeadU,0))*(SQRT(4*D88/PI()))^3)))</f>
        <v/>
      </c>
      <c r="E89" s="29" t="str">
        <f aca="false">IF(OR(E88="",AND(NOT(ISNUMBER(E75)),NOT(ISNUMBER(E62)))),"",E88*IF(ISNUMBER(E75),E75*INDEX(LenF,MATCH($C$75,LenU,0)),E62*INDEX(LenF,MATCH($C$62,LenU,0)))+IF(E76="",0,IF(E76="Conical",PI()/12*(SQRT(4*E88/PI()))^2*(0),INDEX(HeadK,MATCH(E76,HeadU,0))*(SQRT(4*E88/PI()))^3)))</f>
        <v/>
      </c>
      <c r="F89" s="29" t="str">
        <f aca="false">IF(OR(F88="",AND(NOT(ISNUMBER(F75)),NOT(ISNUMBER(F62)))),"",F88*IF(ISNUMBER(F75),F75*INDEX(LenF,MATCH($C$75,LenU,0)),F62*INDEX(LenF,MATCH($C$62,LenU,0)))+IF(F76="",0,IF(F76="Conical",PI()/12*(SQRT(4*F88/PI()))^2*(0),INDEX(HeadK,MATCH(F76,HeadU,0))*(SQRT(4*F88/PI()))^3)))</f>
        <v/>
      </c>
      <c r="G89" s="29" t="str">
        <f aca="false">IF(OR(G88="",AND(NOT(ISNUMBER(G75)),NOT(ISNUMBER(G62)))),"",G88*IF(ISNUMBER(G75),G75*INDEX(LenF,MATCH($C$75,LenU,0)),G62*INDEX(LenF,MATCH($C$62,LenU,0)))+IF(G76="",0,IF(G76="Conical",PI()/12*(SQRT(4*G88/PI()))^2*(0),INDEX(HeadK,MATCH(G76,HeadU,0))*(SQRT(4*G88/PI()))^3)))</f>
        <v/>
      </c>
      <c r="H89" s="29" t="str">
        <f aca="false">IF(OR(H88="",AND(NOT(ISNUMBER(H75)),NOT(ISNUMBER(H62)))),"",H88*IF(ISNUMBER(H75),H75*INDEX(LenF,MATCH($C$75,LenU,0)),H62*INDEX(LenF,MATCH($C$62,LenU,0)))+IF(H76="",0,IF(H76="Conical",PI()/12*(SQRT(4*H88/PI()))^2*(0),INDEX(HeadK,MATCH(H76,HeadU,0))*(SQRT(4*H88/PI()))^3)))</f>
        <v/>
      </c>
      <c r="I89" s="30" t="str">
        <f aca="false">IF(COUNT(D89:H89)=0,"",SUM(D89:H89))</f>
        <v/>
      </c>
      <c r="J89" s="24"/>
    </row>
    <row r="90" customFormat="false" ht="15" hidden="false" customHeight="false" outlineLevel="0" collapsed="false">
      <c r="B90" s="9" t="s">
        <v>138</v>
      </c>
      <c r="C90" s="15" t="s">
        <v>109</v>
      </c>
      <c r="D90" s="29" t="str">
        <f aca="false">IF(AND(ISNUMBER(D59),ISNUMBER(D82),ISNUMBER(D62)),D59*PI()/4*(D82/1000)^2*D62*INDEX(LenF,MATCH($C$62,LenU,0)),"")</f>
        <v/>
      </c>
      <c r="E90" s="29" t="str">
        <f aca="false">IF(AND(ISNUMBER(E59),ISNUMBER(E82),ISNUMBER(E62)),E59*PI()/4*(E82/1000)^2*E62*INDEX(LenF,MATCH($C$62,LenU,0)),"")</f>
        <v/>
      </c>
      <c r="F90" s="29" t="str">
        <f aca="false">IF(AND(ISNUMBER(F59),ISNUMBER(F82),ISNUMBER(F62)),F59*PI()/4*(F82/1000)^2*F62*INDEX(LenF,MATCH($C$62,LenU,0)),"")</f>
        <v/>
      </c>
      <c r="G90" s="29" t="str">
        <f aca="false">IF(AND(ISNUMBER(G59),ISNUMBER(G82),ISNUMBER(G62)),G59*PI()/4*(G82/1000)^2*G62*INDEX(LenF,MATCH($C$62,LenU,0)),"")</f>
        <v/>
      </c>
      <c r="H90" s="29" t="str">
        <f aca="false">IF(AND(ISNUMBER(H59),ISNUMBER(H82),ISNUMBER(H62)),H59*PI()/4*(H82/1000)^2*H62*INDEX(LenF,MATCH($C$62,LenU,0)),"")</f>
        <v/>
      </c>
      <c r="I90" s="30" t="str">
        <f aca="false">IF(COUNT(D90:H90)=0,"",SUM(D90:H90))</f>
        <v/>
      </c>
      <c r="J90" s="24"/>
    </row>
    <row r="91" customFormat="false" ht="15" hidden="false" customHeight="false" outlineLevel="0" collapsed="false">
      <c r="B91" s="9" t="s">
        <v>139</v>
      </c>
      <c r="C91" s="15" t="s">
        <v>109</v>
      </c>
      <c r="D91" s="29" t="str">
        <f aca="false">IF(OR(D89="",D90=""),"",D89-D90)</f>
        <v/>
      </c>
      <c r="E91" s="29" t="str">
        <f aca="false">IF(OR(E89="",E90=""),"",E89-E90)</f>
        <v/>
      </c>
      <c r="F91" s="29" t="str">
        <f aca="false">IF(OR(F89="",F90=""),"",F89-F90)</f>
        <v/>
      </c>
      <c r="G91" s="29" t="str">
        <f aca="false">IF(OR(G89="",G90=""),"",G89-G90)</f>
        <v/>
      </c>
      <c r="H91" s="29" t="str">
        <f aca="false">IF(OR(H89="",H90=""),"",H89-H90)</f>
        <v/>
      </c>
      <c r="I91" s="30" t="str">
        <f aca="false">IF(COUNT(D91:H91)=0,"",SUM(D91:H91))</f>
        <v/>
      </c>
      <c r="J91" s="24" t="s">
        <v>140</v>
      </c>
    </row>
    <row r="92" customFormat="false" ht="15" hidden="false" customHeight="false" outlineLevel="0" collapsed="false">
      <c r="B92" s="9" t="s">
        <v>141</v>
      </c>
      <c r="C92" s="15" t="s">
        <v>109</v>
      </c>
      <c r="D92" s="29" t="str">
        <f aca="false">IF(ISNUMBER(D77),D77*INDEX(WtF,MATCH($C$77,WtU,0))/WaterRho,"")</f>
        <v/>
      </c>
      <c r="E92" s="29" t="str">
        <f aca="false">IF(ISNUMBER(E77),E77*INDEX(WtF,MATCH($C$77,WtU,0))/WaterRho,"")</f>
        <v/>
      </c>
      <c r="F92" s="29" t="str">
        <f aca="false">IF(ISNUMBER(F77),F77*INDEX(WtF,MATCH($C$77,WtU,0))/WaterRho,"")</f>
        <v/>
      </c>
      <c r="G92" s="29" t="str">
        <f aca="false">IF(ISNUMBER(G77),G77*INDEX(WtF,MATCH($C$77,WtU,0))/WaterRho,"")</f>
        <v/>
      </c>
      <c r="H92" s="29" t="str">
        <f aca="false">IF(ISNUMBER(H77),H77*INDEX(WtF,MATCH($C$77,WtU,0))/WaterRho,"")</f>
        <v/>
      </c>
      <c r="I92" s="30" t="str">
        <f aca="false">IF(COUNT(D92:H92)=0,"",SUM(D92:H92))</f>
        <v/>
      </c>
      <c r="J92" s="24"/>
    </row>
    <row r="93" customFormat="false" ht="15" hidden="false" customHeight="false" outlineLevel="0" collapsed="false">
      <c r="B93" s="4" t="s">
        <v>142</v>
      </c>
      <c r="C93" s="15" t="s">
        <v>109</v>
      </c>
      <c r="D93" s="31" t="str">
        <f aca="false">IF(D80="Water weight",D92,D91)</f>
        <v/>
      </c>
      <c r="E93" s="31" t="str">
        <f aca="false">IF(E80="Water weight",E92,E91)</f>
        <v/>
      </c>
      <c r="F93" s="31" t="str">
        <f aca="false">IF(F80="Water weight",F92,F91)</f>
        <v/>
      </c>
      <c r="G93" s="31" t="str">
        <f aca="false">IF(G80="Water weight",G92,G91)</f>
        <v/>
      </c>
      <c r="H93" s="31" t="str">
        <f aca="false">IF(H80="Water weight",H92,H91)</f>
        <v/>
      </c>
      <c r="I93" s="31" t="str">
        <f aca="false">IF(COUNT(D93:H93)=0,"",SUM(D93:H93))</f>
        <v/>
      </c>
      <c r="J93" s="24"/>
      <c r="K93" s="32" t="s">
        <v>143</v>
      </c>
    </row>
    <row r="94" customFormat="false" ht="15" hidden="false" customHeight="false" outlineLevel="0" collapsed="false">
      <c r="B94" s="4" t="s">
        <v>144</v>
      </c>
      <c r="C94" s="15" t="s">
        <v>109</v>
      </c>
      <c r="D94" s="31" t="str">
        <f aca="false">IF(AND(D87="",D93=""),"",N(D87)+N(D93))</f>
        <v/>
      </c>
      <c r="E94" s="31" t="str">
        <f aca="false">IF(AND(E87="",E93=""),"",N(E87)+N(E93))</f>
        <v/>
      </c>
      <c r="F94" s="31" t="str">
        <f aca="false">IF(AND(F87="",F93=""),"",N(F87)+N(F93))</f>
        <v/>
      </c>
      <c r="G94" s="31" t="str">
        <f aca="false">IF(AND(G87="",G93=""),"",N(G87)+N(G93))</f>
        <v/>
      </c>
      <c r="H94" s="31" t="str">
        <f aca="false">IF(AND(H87="",H93=""),"",N(H87)+N(H93))</f>
        <v/>
      </c>
      <c r="I94" s="31" t="str">
        <f aca="false">IF(COUNT(D94:H94)=0,"",SUM(D94:H94))</f>
        <v/>
      </c>
      <c r="J94" s="24"/>
      <c r="K94" s="32" t="s">
        <v>145</v>
      </c>
    </row>
    <row r="95" customFormat="false" ht="15" hidden="false" customHeight="false" outlineLevel="0" collapsed="false">
      <c r="B95" s="9" t="s">
        <v>60</v>
      </c>
      <c r="C95" s="15" t="s">
        <v>146</v>
      </c>
      <c r="D95" s="35" t="str">
        <f aca="false">IF(D94="","",IF(JobType="Chemical Cleaning",CC_HX,INDEX(DecFill,MATCH("Exchanger",DecTypeU,0))))</f>
        <v/>
      </c>
      <c r="E95" s="35" t="str">
        <f aca="false">IF(E94="","",IF(JobType="Chemical Cleaning",CC_HX,INDEX(DecFill,MATCH("Exchanger",DecTypeU,0))))</f>
        <v/>
      </c>
      <c r="F95" s="35" t="str">
        <f aca="false">IF(F94="","",IF(JobType="Chemical Cleaning",CC_HX,INDEX(DecFill,MATCH("Exchanger",DecTypeU,0))))</f>
        <v/>
      </c>
      <c r="G95" s="35" t="str">
        <f aca="false">IF(G94="","",IF(JobType="Chemical Cleaning",CC_HX,INDEX(DecFill,MATCH("Exchanger",DecTypeU,0))))</f>
        <v/>
      </c>
      <c r="H95" s="35" t="str">
        <f aca="false">IF(H94="","",IF(JobType="Chemical Cleaning",CC_HX,INDEX(DecFill,MATCH("Exchanger",DecTypeU,0))))</f>
        <v/>
      </c>
      <c r="I95" s="36"/>
      <c r="J95" s="24" t="s">
        <v>147</v>
      </c>
    </row>
    <row r="96" customFormat="false" ht="15" hidden="false" customHeight="false" outlineLevel="0" collapsed="false">
      <c r="B96" s="4" t="s">
        <v>148</v>
      </c>
      <c r="C96" s="15" t="s">
        <v>109</v>
      </c>
      <c r="D96" s="31" t="str">
        <f aca="false">IF(OR(D94="",D95=""),"",D94*D95)</f>
        <v/>
      </c>
      <c r="E96" s="31" t="str">
        <f aca="false">IF(OR(E94="",E95=""),"",E94*E95)</f>
        <v/>
      </c>
      <c r="F96" s="31" t="str">
        <f aca="false">IF(OR(F94="",F95=""),"",F94*F95)</f>
        <v/>
      </c>
      <c r="G96" s="31" t="str">
        <f aca="false">IF(OR(G94="",G95=""),"",G94*G95)</f>
        <v/>
      </c>
      <c r="H96" s="31" t="str">
        <f aca="false">IF(OR(H94="",H95=""),"",H94*H95)</f>
        <v/>
      </c>
      <c r="I96" s="31" t="str">
        <f aca="false">IF(COUNT(D96:H96)=0,"",SUM(D96:H96))</f>
        <v/>
      </c>
      <c r="J96" s="24"/>
      <c r="K96" s="32" t="s">
        <v>149</v>
      </c>
    </row>
    <row r="97" customFormat="false" ht="15" hidden="false" customHeight="false" outlineLevel="0" collapsed="false">
      <c r="B97" s="9" t="s">
        <v>150</v>
      </c>
      <c r="C97" s="15" t="s">
        <v>32</v>
      </c>
      <c r="D97" s="37" t="str">
        <f aca="false">IF(OR(JobType&lt;&gt;"Decontamination",D96=""),"",D96*INDEX(DecChem,MATCH("Exchanger",DecTypeU,0))*1000)</f>
        <v/>
      </c>
      <c r="E97" s="37" t="str">
        <f aca="false">IF(OR(JobType&lt;&gt;"Decontamination",E96=""),"",E96*INDEX(DecChem,MATCH("Exchanger",DecTypeU,0))*1000)</f>
        <v/>
      </c>
      <c r="F97" s="37" t="str">
        <f aca="false">IF(OR(JobType&lt;&gt;"Decontamination",F96=""),"",F96*INDEX(DecChem,MATCH("Exchanger",DecTypeU,0))*1000)</f>
        <v/>
      </c>
      <c r="G97" s="37" t="str">
        <f aca="false">IF(OR(JobType&lt;&gt;"Decontamination",G96=""),"",G96*INDEX(DecChem,MATCH("Exchanger",DecTypeU,0))*1000)</f>
        <v/>
      </c>
      <c r="H97" s="37" t="str">
        <f aca="false">IF(OR(JobType&lt;&gt;"Decontamination",H96=""),"",H96*INDEX(DecChem,MATCH("Exchanger",DecTypeU,0))*1000)</f>
        <v/>
      </c>
      <c r="I97" s="38" t="str">
        <f aca="false">IF(COUNT(D97:H97)=0,"",SUM(D97:H97))</f>
        <v/>
      </c>
      <c r="J97" s="24" t="s">
        <v>151</v>
      </c>
      <c r="K97" s="32" t="s">
        <v>152</v>
      </c>
    </row>
    <row r="99" customFormat="false" ht="15" hidden="false" customHeight="false" outlineLevel="0" collapsed="false">
      <c r="A99" s="20" t="n">
        <v>3</v>
      </c>
      <c r="B99" s="21" t="s">
        <v>154</v>
      </c>
      <c r="C99" s="22"/>
      <c r="D99" s="22"/>
      <c r="E99" s="22"/>
      <c r="F99" s="22"/>
      <c r="G99" s="22"/>
      <c r="H99" s="22"/>
      <c r="I99" s="22"/>
      <c r="J99" s="22"/>
    </row>
    <row r="100" customFormat="false" ht="15" hidden="false" customHeight="false" outlineLevel="0" collapsed="false">
      <c r="B100" s="9" t="s">
        <v>83</v>
      </c>
      <c r="C100" s="15" t="s">
        <v>29</v>
      </c>
      <c r="D100" s="8"/>
      <c r="E100" s="8"/>
      <c r="F100" s="8"/>
      <c r="G100" s="8"/>
      <c r="H100" s="8"/>
      <c r="I100" s="23"/>
      <c r="J100" s="24"/>
    </row>
    <row r="101" customFormat="false" ht="15" hidden="false" customHeight="false" outlineLevel="0" collapsed="false">
      <c r="B101" s="9" t="s">
        <v>86</v>
      </c>
      <c r="C101" s="15" t="s">
        <v>29</v>
      </c>
      <c r="D101" s="8"/>
      <c r="E101" s="8"/>
      <c r="F101" s="8"/>
      <c r="G101" s="8"/>
      <c r="H101" s="8"/>
      <c r="I101" s="23"/>
      <c r="J101" s="24"/>
    </row>
    <row r="102" customFormat="false" ht="15" hidden="false" customHeight="false" outlineLevel="0" collapsed="false">
      <c r="B102" s="9" t="s">
        <v>87</v>
      </c>
      <c r="C102" s="15" t="s">
        <v>29</v>
      </c>
      <c r="D102" s="8"/>
      <c r="E102" s="8"/>
      <c r="F102" s="8"/>
      <c r="G102" s="8"/>
      <c r="H102" s="8"/>
      <c r="I102" s="23"/>
      <c r="J102" s="24"/>
    </row>
    <row r="103" customFormat="false" ht="15" hidden="false" customHeight="false" outlineLevel="0" collapsed="false">
      <c r="B103" s="25" t="s">
        <v>88</v>
      </c>
      <c r="C103" s="26"/>
      <c r="D103" s="26"/>
      <c r="E103" s="26"/>
      <c r="F103" s="26"/>
      <c r="G103" s="26"/>
      <c r="H103" s="26"/>
      <c r="I103" s="26"/>
      <c r="J103" s="26"/>
    </row>
    <row r="104" customFormat="false" ht="15" hidden="false" customHeight="false" outlineLevel="0" collapsed="false">
      <c r="B104" s="9" t="s">
        <v>89</v>
      </c>
      <c r="C104" s="15" t="s">
        <v>90</v>
      </c>
      <c r="D104" s="8"/>
      <c r="E104" s="8"/>
      <c r="F104" s="8"/>
      <c r="G104" s="8"/>
      <c r="H104" s="8"/>
      <c r="I104" s="23"/>
      <c r="J104" s="24"/>
    </row>
    <row r="105" customFormat="false" ht="15" hidden="false" customHeight="false" outlineLevel="0" collapsed="false">
      <c r="B105" s="9" t="s">
        <v>91</v>
      </c>
      <c r="C105" s="8" t="s">
        <v>92</v>
      </c>
      <c r="D105" s="8"/>
      <c r="E105" s="8"/>
      <c r="F105" s="8"/>
      <c r="G105" s="8"/>
      <c r="H105" s="8"/>
      <c r="I105" s="23"/>
      <c r="J105" s="24" t="s">
        <v>93</v>
      </c>
    </row>
    <row r="106" customFormat="false" ht="15" hidden="false" customHeight="false" outlineLevel="0" collapsed="false">
      <c r="B106" s="9" t="s">
        <v>94</v>
      </c>
      <c r="C106" s="8" t="s">
        <v>92</v>
      </c>
      <c r="D106" s="8"/>
      <c r="E106" s="8"/>
      <c r="F106" s="8"/>
      <c r="G106" s="8"/>
      <c r="H106" s="8"/>
      <c r="I106" s="23"/>
      <c r="J106" s="24"/>
    </row>
    <row r="107" customFormat="false" ht="15" hidden="false" customHeight="false" outlineLevel="0" collapsed="false">
      <c r="B107" s="9" t="s">
        <v>95</v>
      </c>
      <c r="C107" s="8" t="s">
        <v>92</v>
      </c>
      <c r="D107" s="8"/>
      <c r="E107" s="8"/>
      <c r="F107" s="8"/>
      <c r="G107" s="8"/>
      <c r="H107" s="8"/>
      <c r="I107" s="23"/>
      <c r="J107" s="24"/>
    </row>
    <row r="108" customFormat="false" ht="15" hidden="false" customHeight="false" outlineLevel="0" collapsed="false">
      <c r="B108" s="9" t="s">
        <v>96</v>
      </c>
      <c r="C108" s="8" t="s">
        <v>92</v>
      </c>
      <c r="D108" s="8"/>
      <c r="E108" s="8"/>
      <c r="F108" s="8"/>
      <c r="G108" s="8"/>
      <c r="H108" s="8"/>
      <c r="I108" s="23"/>
      <c r="J108" s="24" t="s">
        <v>97</v>
      </c>
    </row>
    <row r="109" customFormat="false" ht="15" hidden="false" customHeight="false" outlineLevel="0" collapsed="false">
      <c r="B109" s="9" t="s">
        <v>98</v>
      </c>
      <c r="C109" s="15" t="s">
        <v>29</v>
      </c>
      <c r="D109" s="8" t="s">
        <v>99</v>
      </c>
      <c r="E109" s="8" t="s">
        <v>99</v>
      </c>
      <c r="F109" s="8" t="s">
        <v>99</v>
      </c>
      <c r="G109" s="8" t="s">
        <v>99</v>
      </c>
      <c r="H109" s="8" t="s">
        <v>99</v>
      </c>
      <c r="I109" s="23"/>
      <c r="J109" s="24"/>
    </row>
    <row r="110" customFormat="false" ht="15" hidden="false" customHeight="false" outlineLevel="0" collapsed="false">
      <c r="B110" s="9" t="s">
        <v>100</v>
      </c>
      <c r="C110" s="8" t="s">
        <v>92</v>
      </c>
      <c r="D110" s="8"/>
      <c r="E110" s="8"/>
      <c r="F110" s="8"/>
      <c r="G110" s="8"/>
      <c r="H110" s="8"/>
      <c r="I110" s="23"/>
      <c r="J110" s="24"/>
    </row>
    <row r="111" customFormat="false" ht="15" hidden="false" customHeight="false" outlineLevel="0" collapsed="false">
      <c r="B111" s="9" t="s">
        <v>101</v>
      </c>
      <c r="C111" s="8" t="s">
        <v>92</v>
      </c>
      <c r="D111" s="8"/>
      <c r="E111" s="8"/>
      <c r="F111" s="8"/>
      <c r="G111" s="8"/>
      <c r="H111" s="8"/>
      <c r="I111" s="23"/>
      <c r="J111" s="24"/>
    </row>
    <row r="112" customFormat="false" ht="15" hidden="false" customHeight="false" outlineLevel="0" collapsed="false">
      <c r="B112" s="9" t="s">
        <v>102</v>
      </c>
      <c r="C112" s="15" t="s">
        <v>29</v>
      </c>
      <c r="D112" s="8"/>
      <c r="E112" s="8"/>
      <c r="F112" s="8"/>
      <c r="G112" s="8"/>
      <c r="H112" s="8"/>
      <c r="I112" s="23"/>
      <c r="J112" s="24"/>
    </row>
    <row r="113" customFormat="false" ht="15" hidden="false" customHeight="false" outlineLevel="0" collapsed="false">
      <c r="B113" s="9" t="s">
        <v>104</v>
      </c>
      <c r="C113" s="8" t="s">
        <v>92</v>
      </c>
      <c r="D113" s="8"/>
      <c r="E113" s="8"/>
      <c r="F113" s="8"/>
      <c r="G113" s="8"/>
      <c r="H113" s="8"/>
      <c r="I113" s="23"/>
      <c r="J113" s="24"/>
    </row>
    <row r="114" customFormat="false" ht="15" hidden="false" customHeight="false" outlineLevel="0" collapsed="false">
      <c r="B114" s="9" t="s">
        <v>105</v>
      </c>
      <c r="C114" s="8" t="s">
        <v>92</v>
      </c>
      <c r="D114" s="8"/>
      <c r="E114" s="8"/>
      <c r="F114" s="8"/>
      <c r="G114" s="8"/>
      <c r="H114" s="8"/>
      <c r="I114" s="23"/>
      <c r="J114" s="24"/>
    </row>
    <row r="115" customFormat="false" ht="15" hidden="false" customHeight="false" outlineLevel="0" collapsed="false">
      <c r="B115" s="9" t="s">
        <v>106</v>
      </c>
      <c r="C115" s="15" t="s">
        <v>29</v>
      </c>
      <c r="D115" s="8"/>
      <c r="E115" s="8"/>
      <c r="F115" s="8"/>
      <c r="G115" s="8"/>
      <c r="H115" s="8"/>
      <c r="I115" s="23"/>
      <c r="J115" s="24"/>
    </row>
    <row r="116" customFormat="false" ht="15" hidden="false" customHeight="false" outlineLevel="0" collapsed="false">
      <c r="B116" s="9" t="s">
        <v>108</v>
      </c>
      <c r="C116" s="8" t="s">
        <v>109</v>
      </c>
      <c r="D116" s="8"/>
      <c r="E116" s="8"/>
      <c r="F116" s="8"/>
      <c r="G116" s="8"/>
      <c r="H116" s="8"/>
      <c r="I116" s="23"/>
      <c r="J116" s="24" t="s">
        <v>110</v>
      </c>
    </row>
    <row r="117" customFormat="false" ht="15" hidden="false" customHeight="false" outlineLevel="0" collapsed="false">
      <c r="B117" s="9" t="s">
        <v>111</v>
      </c>
      <c r="C117" s="8" t="s">
        <v>112</v>
      </c>
      <c r="D117" s="8"/>
      <c r="E117" s="8"/>
      <c r="F117" s="8"/>
      <c r="G117" s="8"/>
      <c r="H117" s="8"/>
      <c r="I117" s="23"/>
      <c r="J117" s="24"/>
    </row>
    <row r="118" customFormat="false" ht="15" hidden="false" customHeight="false" outlineLevel="0" collapsed="false">
      <c r="B118" s="25" t="s">
        <v>113</v>
      </c>
      <c r="C118" s="26"/>
      <c r="D118" s="26"/>
      <c r="E118" s="26"/>
      <c r="F118" s="26"/>
      <c r="G118" s="26"/>
      <c r="H118" s="26"/>
      <c r="I118" s="26"/>
      <c r="J118" s="26"/>
    </row>
    <row r="119" customFormat="false" ht="15" hidden="false" customHeight="false" outlineLevel="0" collapsed="false">
      <c r="B119" s="9" t="s">
        <v>114</v>
      </c>
      <c r="C119" s="8" t="s">
        <v>92</v>
      </c>
      <c r="D119" s="8"/>
      <c r="E119" s="8"/>
      <c r="F119" s="8"/>
      <c r="G119" s="8"/>
      <c r="H119" s="8"/>
      <c r="I119" s="23"/>
      <c r="J119" s="24" t="s">
        <v>115</v>
      </c>
    </row>
    <row r="120" customFormat="false" ht="15" hidden="false" customHeight="false" outlineLevel="0" collapsed="false">
      <c r="B120" s="9" t="s">
        <v>116</v>
      </c>
      <c r="C120" s="8" t="s">
        <v>92</v>
      </c>
      <c r="D120" s="8"/>
      <c r="E120" s="8"/>
      <c r="F120" s="8"/>
      <c r="G120" s="8"/>
      <c r="H120" s="8"/>
      <c r="I120" s="23"/>
      <c r="J120" s="24" t="s">
        <v>117</v>
      </c>
    </row>
    <row r="121" customFormat="false" ht="15" hidden="false" customHeight="false" outlineLevel="0" collapsed="false">
      <c r="B121" s="9" t="s">
        <v>118</v>
      </c>
      <c r="C121" s="15" t="s">
        <v>29</v>
      </c>
      <c r="D121" s="8"/>
      <c r="E121" s="8"/>
      <c r="F121" s="8"/>
      <c r="G121" s="8"/>
      <c r="H121" s="8"/>
      <c r="I121" s="23"/>
      <c r="J121" s="24"/>
    </row>
    <row r="122" customFormat="false" ht="15" hidden="false" customHeight="false" outlineLevel="0" collapsed="false">
      <c r="B122" s="9" t="s">
        <v>119</v>
      </c>
      <c r="C122" s="8" t="s">
        <v>112</v>
      </c>
      <c r="D122" s="8"/>
      <c r="E122" s="8"/>
      <c r="F122" s="8"/>
      <c r="G122" s="8"/>
      <c r="H122" s="8"/>
      <c r="I122" s="23"/>
      <c r="J122" s="24"/>
    </row>
    <row r="123" customFormat="false" ht="15" hidden="false" customHeight="false" outlineLevel="0" collapsed="false">
      <c r="B123" s="25" t="s">
        <v>120</v>
      </c>
      <c r="C123" s="26"/>
      <c r="D123" s="26"/>
      <c r="E123" s="26"/>
      <c r="F123" s="26"/>
      <c r="G123" s="26"/>
      <c r="H123" s="26"/>
      <c r="I123" s="26"/>
      <c r="J123" s="26"/>
    </row>
    <row r="124" customFormat="false" ht="15" hidden="false" customHeight="false" outlineLevel="0" collapsed="false">
      <c r="B124" s="9" t="s">
        <v>121</v>
      </c>
      <c r="C124" s="15" t="s">
        <v>29</v>
      </c>
      <c r="D124" s="8" t="s">
        <v>122</v>
      </c>
      <c r="E124" s="8" t="s">
        <v>122</v>
      </c>
      <c r="F124" s="8" t="s">
        <v>122</v>
      </c>
      <c r="G124" s="8" t="s">
        <v>122</v>
      </c>
      <c r="H124" s="8" t="s">
        <v>122</v>
      </c>
      <c r="I124" s="23"/>
      <c r="J124" s="24"/>
    </row>
    <row r="125" customFormat="false" ht="15" hidden="false" customHeight="false" outlineLevel="0" collapsed="false">
      <c r="B125" s="9" t="s">
        <v>123</v>
      </c>
      <c r="C125" s="15" t="s">
        <v>29</v>
      </c>
      <c r="D125" s="8" t="s">
        <v>122</v>
      </c>
      <c r="E125" s="8" t="s">
        <v>122</v>
      </c>
      <c r="F125" s="8" t="s">
        <v>122</v>
      </c>
      <c r="G125" s="8" t="s">
        <v>122</v>
      </c>
      <c r="H125" s="8" t="s">
        <v>122</v>
      </c>
      <c r="I125" s="23"/>
      <c r="J125" s="24"/>
    </row>
    <row r="126" customFormat="false" ht="15" hidden="false" customHeight="false" outlineLevel="0" collapsed="false">
      <c r="B126" s="25" t="s">
        <v>124</v>
      </c>
      <c r="C126" s="26"/>
      <c r="D126" s="26"/>
      <c r="E126" s="26"/>
      <c r="F126" s="26"/>
      <c r="G126" s="26"/>
      <c r="H126" s="26"/>
      <c r="I126" s="26"/>
      <c r="J126" s="26"/>
    </row>
    <row r="127" customFormat="false" ht="15" hidden="false" customHeight="false" outlineLevel="0" collapsed="false">
      <c r="B127" s="9" t="s">
        <v>125</v>
      </c>
      <c r="C127" s="15" t="s">
        <v>92</v>
      </c>
      <c r="D127" s="27" t="str">
        <f aca="false">IF(ISNUMBER(D105),D105*INDEX(LenF,MATCH($C$105,LenU,0))*1000,IF(ISNUMBER(D108),D108*INDEX(LenF,MATCH($C$108,LenU,0))/PitchRatio*1000,""))</f>
        <v/>
      </c>
      <c r="E127" s="27" t="str">
        <f aca="false">IF(ISNUMBER(E105),E105*INDEX(LenF,MATCH($C$105,LenU,0))*1000,IF(ISNUMBER(E108),E108*INDEX(LenF,MATCH($C$108,LenU,0))/PitchRatio*1000,""))</f>
        <v/>
      </c>
      <c r="F127" s="27" t="str">
        <f aca="false">IF(ISNUMBER(F105),F105*INDEX(LenF,MATCH($C$105,LenU,0))*1000,IF(ISNUMBER(F108),F108*INDEX(LenF,MATCH($C$108,LenU,0))/PitchRatio*1000,""))</f>
        <v/>
      </c>
      <c r="G127" s="27" t="str">
        <f aca="false">IF(ISNUMBER(G105),G105*INDEX(LenF,MATCH($C$105,LenU,0))*1000,IF(ISNUMBER(G108),G108*INDEX(LenF,MATCH($C$108,LenU,0))/PitchRatio*1000,""))</f>
        <v/>
      </c>
      <c r="H127" s="27" t="str">
        <f aca="false">IF(ISNUMBER(H105),H105*INDEX(LenF,MATCH($C$105,LenU,0))*1000,IF(ISNUMBER(H108),H108*INDEX(LenF,MATCH($C$108,LenU,0))/PitchRatio*1000,""))</f>
        <v/>
      </c>
      <c r="I127" s="28"/>
      <c r="J127" s="24" t="s">
        <v>126</v>
      </c>
    </row>
    <row r="128" customFormat="false" ht="15" hidden="false" customHeight="false" outlineLevel="0" collapsed="false">
      <c r="B128" s="9" t="s">
        <v>127</v>
      </c>
      <c r="C128" s="15" t="s">
        <v>109</v>
      </c>
      <c r="D128" s="29" t="str">
        <f aca="false">IF(AND(ISNUMBER(D104),ISNUMBER(D106),ISNUMBER(D107)),D104*PI()/4*(D106*INDEX(LenF,MATCH($C$106,LenU,0)))^2*D107*INDEX(LenF,MATCH($C$107,LenU,0)),"")</f>
        <v/>
      </c>
      <c r="E128" s="29" t="str">
        <f aca="false">IF(AND(ISNUMBER(E104),ISNUMBER(E106),ISNUMBER(E107)),E104*PI()/4*(E106*INDEX(LenF,MATCH($C$106,LenU,0)))^2*E107*INDEX(LenF,MATCH($C$107,LenU,0)),"")</f>
        <v/>
      </c>
      <c r="F128" s="29" t="str">
        <f aca="false">IF(AND(ISNUMBER(F104),ISNUMBER(F106),ISNUMBER(F107)),F104*PI()/4*(F106*INDEX(LenF,MATCH($C$106,LenU,0)))^2*F107*INDEX(LenF,MATCH($C$107,LenU,0)),"")</f>
        <v/>
      </c>
      <c r="G128" s="29" t="str">
        <f aca="false">IF(AND(ISNUMBER(G104),ISNUMBER(G106),ISNUMBER(G107)),G104*PI()/4*(G106*INDEX(LenF,MATCH($C$106,LenU,0)))^2*G107*INDEX(LenF,MATCH($C$107,LenU,0)),"")</f>
        <v/>
      </c>
      <c r="H128" s="29" t="str">
        <f aca="false">IF(AND(ISNUMBER(H104),ISNUMBER(H106),ISNUMBER(H107)),H104*PI()/4*(H106*INDEX(LenF,MATCH($C$106,LenU,0)))^2*H107*INDEX(LenF,MATCH($C$107,LenU,0)),"")</f>
        <v/>
      </c>
      <c r="I128" s="30" t="str">
        <f aca="false">IF(COUNT(D128:H128)=0,"",SUM(D128:H128))</f>
        <v/>
      </c>
      <c r="J128" s="24"/>
    </row>
    <row r="129" customFormat="false" ht="15" hidden="false" customHeight="false" outlineLevel="0" collapsed="false">
      <c r="B129" s="9" t="s">
        <v>128</v>
      </c>
      <c r="C129" s="15" t="s">
        <v>109</v>
      </c>
      <c r="D129" s="29" t="n">
        <f aca="false">IF(ISNUMBER(D116),D116*INDEX(VolF,MATCH($C$116,VolU,0)),IF(ISNUMBER(D110),PI()/4*(D110*INDEX(LenF,MATCH($C$110,LenU,0)))^2*N(D111)*INDEX(LenF,MATCH($C$111,LenU,0))+IF(D112="",0,IF(D112="Conical",PI()/12*(D110*INDEX(LenF,MATCH($C$110,LenU,0)))^2*(0),INDEX(HeadK,MATCH(D112,HeadU,0))*(D110*INDEX(LenF,MATCH($C$110,LenU,0)))^3)),0)+IF(ISNUMBER(D113),PI()/4*(D113*INDEX(LenF,MATCH($C$113,LenU,0)))^2*N(D114)*INDEX(LenF,MATCH($C$114,LenU,0))+IF(D115="",0,IF(D115="Conical",PI()/12*(D113*INDEX(LenF,MATCH($C$113,LenU,0)))^2*(0),INDEX(HeadK,MATCH(D115,HeadU,0))*(D113*INDEX(LenF,MATCH($C$113,LenU,0)))^3)),0))</f>
        <v>0</v>
      </c>
      <c r="E129" s="29" t="n">
        <f aca="false">IF(ISNUMBER(E116),E116*INDEX(VolF,MATCH($C$116,VolU,0)),IF(ISNUMBER(E110),PI()/4*(E110*INDEX(LenF,MATCH($C$110,LenU,0)))^2*N(E111)*INDEX(LenF,MATCH($C$111,LenU,0))+IF(E112="",0,IF(E112="Conical",PI()/12*(E110*INDEX(LenF,MATCH($C$110,LenU,0)))^2*(0),INDEX(HeadK,MATCH(E112,HeadU,0))*(E110*INDEX(LenF,MATCH($C$110,LenU,0)))^3)),0)+IF(ISNUMBER(E113),PI()/4*(E113*INDEX(LenF,MATCH($C$113,LenU,0)))^2*N(E114)*INDEX(LenF,MATCH($C$114,LenU,0))+IF(E115="",0,IF(E115="Conical",PI()/12*(E113*INDEX(LenF,MATCH($C$113,LenU,0)))^2*(0),INDEX(HeadK,MATCH(E115,HeadU,0))*(E113*INDEX(LenF,MATCH($C$113,LenU,0)))^3)),0))</f>
        <v>0</v>
      </c>
      <c r="F129" s="29" t="n">
        <f aca="false">IF(ISNUMBER(F116),F116*INDEX(VolF,MATCH($C$116,VolU,0)),IF(ISNUMBER(F110),PI()/4*(F110*INDEX(LenF,MATCH($C$110,LenU,0)))^2*N(F111)*INDEX(LenF,MATCH($C$111,LenU,0))+IF(F112="",0,IF(F112="Conical",PI()/12*(F110*INDEX(LenF,MATCH($C$110,LenU,0)))^2*(0),INDEX(HeadK,MATCH(F112,HeadU,0))*(F110*INDEX(LenF,MATCH($C$110,LenU,0)))^3)),0)+IF(ISNUMBER(F113),PI()/4*(F113*INDEX(LenF,MATCH($C$113,LenU,0)))^2*N(F114)*INDEX(LenF,MATCH($C$114,LenU,0))+IF(F115="",0,IF(F115="Conical",PI()/12*(F113*INDEX(LenF,MATCH($C$113,LenU,0)))^2*(0),INDEX(HeadK,MATCH(F115,HeadU,0))*(F113*INDEX(LenF,MATCH($C$113,LenU,0)))^3)),0))</f>
        <v>0</v>
      </c>
      <c r="G129" s="29" t="n">
        <f aca="false">IF(ISNUMBER(G116),G116*INDEX(VolF,MATCH($C$116,VolU,0)),IF(ISNUMBER(G110),PI()/4*(G110*INDEX(LenF,MATCH($C$110,LenU,0)))^2*N(G111)*INDEX(LenF,MATCH($C$111,LenU,0))+IF(G112="",0,IF(G112="Conical",PI()/12*(G110*INDEX(LenF,MATCH($C$110,LenU,0)))^2*(0),INDEX(HeadK,MATCH(G112,HeadU,0))*(G110*INDEX(LenF,MATCH($C$110,LenU,0)))^3)),0)+IF(ISNUMBER(G113),PI()/4*(G113*INDEX(LenF,MATCH($C$113,LenU,0)))^2*N(G114)*INDEX(LenF,MATCH($C$114,LenU,0))+IF(G115="",0,IF(G115="Conical",PI()/12*(G113*INDEX(LenF,MATCH($C$113,LenU,0)))^2*(0),INDEX(HeadK,MATCH(G115,HeadU,0))*(G113*INDEX(LenF,MATCH($C$113,LenU,0)))^3)),0))</f>
        <v>0</v>
      </c>
      <c r="H129" s="29" t="n">
        <f aca="false">IF(ISNUMBER(H116),H116*INDEX(VolF,MATCH($C$116,VolU,0)),IF(ISNUMBER(H110),PI()/4*(H110*INDEX(LenF,MATCH($C$110,LenU,0)))^2*N(H111)*INDEX(LenF,MATCH($C$111,LenU,0))+IF(H112="",0,IF(H112="Conical",PI()/12*(H110*INDEX(LenF,MATCH($C$110,LenU,0)))^2*(0),INDEX(HeadK,MATCH(H112,HeadU,0))*(H110*INDEX(LenF,MATCH($C$110,LenU,0)))^3)),0)+IF(ISNUMBER(H113),PI()/4*(H113*INDEX(LenF,MATCH($C$113,LenU,0)))^2*N(H114)*INDEX(LenF,MATCH($C$114,LenU,0))+IF(H115="",0,IF(H115="Conical",PI()/12*(H113*INDEX(LenF,MATCH($C$113,LenU,0)))^2*(0),INDEX(HeadK,MATCH(H115,HeadU,0))*(H113*INDEX(LenF,MATCH($C$113,LenU,0)))^3)),0))</f>
        <v>0</v>
      </c>
      <c r="I129" s="30" t="n">
        <f aca="false">IF(COUNT(D129:H129)=0,"",SUM(D129:H129))</f>
        <v>0</v>
      </c>
      <c r="J129" s="24" t="s">
        <v>129</v>
      </c>
    </row>
    <row r="130" customFormat="false" ht="15" hidden="false" customHeight="false" outlineLevel="0" collapsed="false">
      <c r="B130" s="9" t="s">
        <v>130</v>
      </c>
      <c r="C130" s="15" t="s">
        <v>109</v>
      </c>
      <c r="D130" s="29" t="str">
        <f aca="false">IF(D128="","",D128+D129)</f>
        <v/>
      </c>
      <c r="E130" s="29" t="str">
        <f aca="false">IF(E128="","",E128+E129)</f>
        <v/>
      </c>
      <c r="F130" s="29" t="str">
        <f aca="false">IF(F128="","",F128+F129)</f>
        <v/>
      </c>
      <c r="G130" s="29" t="str">
        <f aca="false">IF(G128="","",G128+G129)</f>
        <v/>
      </c>
      <c r="H130" s="29" t="str">
        <f aca="false">IF(H128="","",H128+H129)</f>
        <v/>
      </c>
      <c r="I130" s="30" t="str">
        <f aca="false">IF(COUNT(D130:H130)=0,"",SUM(D130:H130))</f>
        <v/>
      </c>
      <c r="J130" s="24"/>
    </row>
    <row r="131" customFormat="false" ht="15" hidden="false" customHeight="false" outlineLevel="0" collapsed="false">
      <c r="B131" s="9" t="s">
        <v>131</v>
      </c>
      <c r="C131" s="15" t="s">
        <v>109</v>
      </c>
      <c r="D131" s="29" t="str">
        <f aca="false">IF(ISNUMBER(D117),D117*INDEX(WtF,MATCH($C$117,WtU,0))/WaterRho,"")</f>
        <v/>
      </c>
      <c r="E131" s="29" t="str">
        <f aca="false">IF(ISNUMBER(E117),E117*INDEX(WtF,MATCH($C$117,WtU,0))/WaterRho,"")</f>
        <v/>
      </c>
      <c r="F131" s="29" t="str">
        <f aca="false">IF(ISNUMBER(F117),F117*INDEX(WtF,MATCH($C$117,WtU,0))/WaterRho,"")</f>
        <v/>
      </c>
      <c r="G131" s="29" t="str">
        <f aca="false">IF(ISNUMBER(G117),G117*INDEX(WtF,MATCH($C$117,WtU,0))/WaterRho,"")</f>
        <v/>
      </c>
      <c r="H131" s="29" t="str">
        <f aca="false">IF(ISNUMBER(H117),H117*INDEX(WtF,MATCH($C$117,WtU,0))/WaterRho,"")</f>
        <v/>
      </c>
      <c r="I131" s="30" t="str">
        <f aca="false">IF(COUNT(D131:H131)=0,"",SUM(D131:H131))</f>
        <v/>
      </c>
      <c r="J131" s="24"/>
    </row>
    <row r="132" customFormat="false" ht="15" hidden="false" customHeight="false" outlineLevel="0" collapsed="false">
      <c r="B132" s="4" t="s">
        <v>132</v>
      </c>
      <c r="C132" s="15" t="s">
        <v>109</v>
      </c>
      <c r="D132" s="31" t="str">
        <f aca="false">IF(D124="Water weight",D131,D130)</f>
        <v/>
      </c>
      <c r="E132" s="31" t="str">
        <f aca="false">IF(E124="Water weight",E131,E130)</f>
        <v/>
      </c>
      <c r="F132" s="31" t="str">
        <f aca="false">IF(F124="Water weight",F131,F130)</f>
        <v/>
      </c>
      <c r="G132" s="31" t="str">
        <f aca="false">IF(G124="Water weight",G131,G130)</f>
        <v/>
      </c>
      <c r="H132" s="31" t="str">
        <f aca="false">IF(H124="Water weight",H131,H130)</f>
        <v/>
      </c>
      <c r="I132" s="31" t="str">
        <f aca="false">IF(COUNT(D132:H132)=0,"",SUM(D132:H132))</f>
        <v/>
      </c>
      <c r="J132" s="24"/>
      <c r="K132" s="32" t="s">
        <v>133</v>
      </c>
    </row>
    <row r="133" customFormat="false" ht="15" hidden="false" customHeight="false" outlineLevel="0" collapsed="false">
      <c r="B133" s="9" t="s">
        <v>134</v>
      </c>
      <c r="C133" s="15" t="s">
        <v>135</v>
      </c>
      <c r="D133" s="33" t="str">
        <f aca="false">IF(ISNUMBER(D119),PI()/4*(D119*INDEX(LenF,MATCH($C$119,LenU,0)))^2,IF(AND(ISNUMBER(D104),ISNUMBER(D108),D109&lt;&gt;""),D104*(D108*INDEX(LenF,MATCH($C$108,LenU,0)))^2*INDEX(LayoutF,MATCH(D109,LayoutU,0)),""))</f>
        <v/>
      </c>
      <c r="E133" s="33" t="str">
        <f aca="false">IF(ISNUMBER(E119),PI()/4*(E119*INDEX(LenF,MATCH($C$119,LenU,0)))^2,IF(AND(ISNUMBER(E104),ISNUMBER(E108),E109&lt;&gt;""),E104*(E108*INDEX(LenF,MATCH($C$108,LenU,0)))^2*INDEX(LayoutF,MATCH(E109,LayoutU,0)),""))</f>
        <v/>
      </c>
      <c r="F133" s="33" t="str">
        <f aca="false">IF(ISNUMBER(F119),PI()/4*(F119*INDEX(LenF,MATCH($C$119,LenU,0)))^2,IF(AND(ISNUMBER(F104),ISNUMBER(F108),F109&lt;&gt;""),F104*(F108*INDEX(LenF,MATCH($C$108,LenU,0)))^2*INDEX(LayoutF,MATCH(F109,LayoutU,0)),""))</f>
        <v/>
      </c>
      <c r="G133" s="33" t="str">
        <f aca="false">IF(ISNUMBER(G119),PI()/4*(G119*INDEX(LenF,MATCH($C$119,LenU,0)))^2,IF(AND(ISNUMBER(G104),ISNUMBER(G108),G109&lt;&gt;""),G104*(G108*INDEX(LenF,MATCH($C$108,LenU,0)))^2*INDEX(LayoutF,MATCH(G109,LayoutU,0)),""))</f>
        <v/>
      </c>
      <c r="H133" s="33" t="str">
        <f aca="false">IF(ISNUMBER(H119),PI()/4*(H119*INDEX(LenF,MATCH($C$119,LenU,0)))^2,IF(AND(ISNUMBER(H104),ISNUMBER(H108),H109&lt;&gt;""),H104*(H108*INDEX(LenF,MATCH($C$108,LenU,0)))^2*INDEX(LayoutF,MATCH(H109,LayoutU,0)),""))</f>
        <v/>
      </c>
      <c r="I133" s="34"/>
      <c r="J133" s="24" t="s">
        <v>136</v>
      </c>
    </row>
    <row r="134" customFormat="false" ht="15" hidden="false" customHeight="false" outlineLevel="0" collapsed="false">
      <c r="B134" s="9" t="s">
        <v>137</v>
      </c>
      <c r="C134" s="15" t="s">
        <v>109</v>
      </c>
      <c r="D134" s="29" t="str">
        <f aca="false">IF(OR(D133="",AND(NOT(ISNUMBER(D120)),NOT(ISNUMBER(D107)))),"",D133*IF(ISNUMBER(D120),D120*INDEX(LenF,MATCH($C$120,LenU,0)),D107*INDEX(LenF,MATCH($C$107,LenU,0)))+IF(D121="",0,IF(D121="Conical",PI()/12*(SQRT(4*D133/PI()))^2*(0),INDEX(HeadK,MATCH(D121,HeadU,0))*(SQRT(4*D133/PI()))^3)))</f>
        <v/>
      </c>
      <c r="E134" s="29" t="str">
        <f aca="false">IF(OR(E133="",AND(NOT(ISNUMBER(E120)),NOT(ISNUMBER(E107)))),"",E133*IF(ISNUMBER(E120),E120*INDEX(LenF,MATCH($C$120,LenU,0)),E107*INDEX(LenF,MATCH($C$107,LenU,0)))+IF(E121="",0,IF(E121="Conical",PI()/12*(SQRT(4*E133/PI()))^2*(0),INDEX(HeadK,MATCH(E121,HeadU,0))*(SQRT(4*E133/PI()))^3)))</f>
        <v/>
      </c>
      <c r="F134" s="29" t="str">
        <f aca="false">IF(OR(F133="",AND(NOT(ISNUMBER(F120)),NOT(ISNUMBER(F107)))),"",F133*IF(ISNUMBER(F120),F120*INDEX(LenF,MATCH($C$120,LenU,0)),F107*INDEX(LenF,MATCH($C$107,LenU,0)))+IF(F121="",0,IF(F121="Conical",PI()/12*(SQRT(4*F133/PI()))^2*(0),INDEX(HeadK,MATCH(F121,HeadU,0))*(SQRT(4*F133/PI()))^3)))</f>
        <v/>
      </c>
      <c r="G134" s="29" t="str">
        <f aca="false">IF(OR(G133="",AND(NOT(ISNUMBER(G120)),NOT(ISNUMBER(G107)))),"",G133*IF(ISNUMBER(G120),G120*INDEX(LenF,MATCH($C$120,LenU,0)),G107*INDEX(LenF,MATCH($C$107,LenU,0)))+IF(G121="",0,IF(G121="Conical",PI()/12*(SQRT(4*G133/PI()))^2*(0),INDEX(HeadK,MATCH(G121,HeadU,0))*(SQRT(4*G133/PI()))^3)))</f>
        <v/>
      </c>
      <c r="H134" s="29" t="str">
        <f aca="false">IF(OR(H133="",AND(NOT(ISNUMBER(H120)),NOT(ISNUMBER(H107)))),"",H133*IF(ISNUMBER(H120),H120*INDEX(LenF,MATCH($C$120,LenU,0)),H107*INDEX(LenF,MATCH($C$107,LenU,0)))+IF(H121="",0,IF(H121="Conical",PI()/12*(SQRT(4*H133/PI()))^2*(0),INDEX(HeadK,MATCH(H121,HeadU,0))*(SQRT(4*H133/PI()))^3)))</f>
        <v/>
      </c>
      <c r="I134" s="30" t="str">
        <f aca="false">IF(COUNT(D134:H134)=0,"",SUM(D134:H134))</f>
        <v/>
      </c>
      <c r="J134" s="24"/>
    </row>
    <row r="135" customFormat="false" ht="15" hidden="false" customHeight="false" outlineLevel="0" collapsed="false">
      <c r="B135" s="9" t="s">
        <v>138</v>
      </c>
      <c r="C135" s="15" t="s">
        <v>109</v>
      </c>
      <c r="D135" s="29" t="str">
        <f aca="false">IF(AND(ISNUMBER(D104),ISNUMBER(D127),ISNUMBER(D107)),D104*PI()/4*(D127/1000)^2*D107*INDEX(LenF,MATCH($C$107,LenU,0)),"")</f>
        <v/>
      </c>
      <c r="E135" s="29" t="str">
        <f aca="false">IF(AND(ISNUMBER(E104),ISNUMBER(E127),ISNUMBER(E107)),E104*PI()/4*(E127/1000)^2*E107*INDEX(LenF,MATCH($C$107,LenU,0)),"")</f>
        <v/>
      </c>
      <c r="F135" s="29" t="str">
        <f aca="false">IF(AND(ISNUMBER(F104),ISNUMBER(F127),ISNUMBER(F107)),F104*PI()/4*(F127/1000)^2*F107*INDEX(LenF,MATCH($C$107,LenU,0)),"")</f>
        <v/>
      </c>
      <c r="G135" s="29" t="str">
        <f aca="false">IF(AND(ISNUMBER(G104),ISNUMBER(G127),ISNUMBER(G107)),G104*PI()/4*(G127/1000)^2*G107*INDEX(LenF,MATCH($C$107,LenU,0)),"")</f>
        <v/>
      </c>
      <c r="H135" s="29" t="str">
        <f aca="false">IF(AND(ISNUMBER(H104),ISNUMBER(H127),ISNUMBER(H107)),H104*PI()/4*(H127/1000)^2*H107*INDEX(LenF,MATCH($C$107,LenU,0)),"")</f>
        <v/>
      </c>
      <c r="I135" s="30" t="str">
        <f aca="false">IF(COUNT(D135:H135)=0,"",SUM(D135:H135))</f>
        <v/>
      </c>
      <c r="J135" s="24"/>
    </row>
    <row r="136" customFormat="false" ht="15" hidden="false" customHeight="false" outlineLevel="0" collapsed="false">
      <c r="B136" s="9" t="s">
        <v>139</v>
      </c>
      <c r="C136" s="15" t="s">
        <v>109</v>
      </c>
      <c r="D136" s="29" t="str">
        <f aca="false">IF(OR(D134="",D135=""),"",D134-D135)</f>
        <v/>
      </c>
      <c r="E136" s="29" t="str">
        <f aca="false">IF(OR(E134="",E135=""),"",E134-E135)</f>
        <v/>
      </c>
      <c r="F136" s="29" t="str">
        <f aca="false">IF(OR(F134="",F135=""),"",F134-F135)</f>
        <v/>
      </c>
      <c r="G136" s="29" t="str">
        <f aca="false">IF(OR(G134="",G135=""),"",G134-G135)</f>
        <v/>
      </c>
      <c r="H136" s="29" t="str">
        <f aca="false">IF(OR(H134="",H135=""),"",H134-H135)</f>
        <v/>
      </c>
      <c r="I136" s="30" t="str">
        <f aca="false">IF(COUNT(D136:H136)=0,"",SUM(D136:H136))</f>
        <v/>
      </c>
      <c r="J136" s="24" t="s">
        <v>140</v>
      </c>
    </row>
    <row r="137" customFormat="false" ht="15" hidden="false" customHeight="false" outlineLevel="0" collapsed="false">
      <c r="B137" s="9" t="s">
        <v>141</v>
      </c>
      <c r="C137" s="15" t="s">
        <v>109</v>
      </c>
      <c r="D137" s="29" t="str">
        <f aca="false">IF(ISNUMBER(D122),D122*INDEX(WtF,MATCH($C$122,WtU,0))/WaterRho,"")</f>
        <v/>
      </c>
      <c r="E137" s="29" t="str">
        <f aca="false">IF(ISNUMBER(E122),E122*INDEX(WtF,MATCH($C$122,WtU,0))/WaterRho,"")</f>
        <v/>
      </c>
      <c r="F137" s="29" t="str">
        <f aca="false">IF(ISNUMBER(F122),F122*INDEX(WtF,MATCH($C$122,WtU,0))/WaterRho,"")</f>
        <v/>
      </c>
      <c r="G137" s="29" t="str">
        <f aca="false">IF(ISNUMBER(G122),G122*INDEX(WtF,MATCH($C$122,WtU,0))/WaterRho,"")</f>
        <v/>
      </c>
      <c r="H137" s="29" t="str">
        <f aca="false">IF(ISNUMBER(H122),H122*INDEX(WtF,MATCH($C$122,WtU,0))/WaterRho,"")</f>
        <v/>
      </c>
      <c r="I137" s="30" t="str">
        <f aca="false">IF(COUNT(D137:H137)=0,"",SUM(D137:H137))</f>
        <v/>
      </c>
      <c r="J137" s="24"/>
    </row>
    <row r="138" customFormat="false" ht="15" hidden="false" customHeight="false" outlineLevel="0" collapsed="false">
      <c r="B138" s="4" t="s">
        <v>142</v>
      </c>
      <c r="C138" s="15" t="s">
        <v>109</v>
      </c>
      <c r="D138" s="31" t="str">
        <f aca="false">IF(D125="Water weight",D137,D136)</f>
        <v/>
      </c>
      <c r="E138" s="31" t="str">
        <f aca="false">IF(E125="Water weight",E137,E136)</f>
        <v/>
      </c>
      <c r="F138" s="31" t="str">
        <f aca="false">IF(F125="Water weight",F137,F136)</f>
        <v/>
      </c>
      <c r="G138" s="31" t="str">
        <f aca="false">IF(G125="Water weight",G137,G136)</f>
        <v/>
      </c>
      <c r="H138" s="31" t="str">
        <f aca="false">IF(H125="Water weight",H137,H136)</f>
        <v/>
      </c>
      <c r="I138" s="31" t="str">
        <f aca="false">IF(COUNT(D138:H138)=0,"",SUM(D138:H138))</f>
        <v/>
      </c>
      <c r="J138" s="24"/>
      <c r="K138" s="32" t="s">
        <v>143</v>
      </c>
    </row>
    <row r="139" customFormat="false" ht="15" hidden="false" customHeight="false" outlineLevel="0" collapsed="false">
      <c r="B139" s="4" t="s">
        <v>144</v>
      </c>
      <c r="C139" s="15" t="s">
        <v>109</v>
      </c>
      <c r="D139" s="31" t="str">
        <f aca="false">IF(AND(D132="",D138=""),"",N(D132)+N(D138))</f>
        <v/>
      </c>
      <c r="E139" s="31" t="str">
        <f aca="false">IF(AND(E132="",E138=""),"",N(E132)+N(E138))</f>
        <v/>
      </c>
      <c r="F139" s="31" t="str">
        <f aca="false">IF(AND(F132="",F138=""),"",N(F132)+N(F138))</f>
        <v/>
      </c>
      <c r="G139" s="31" t="str">
        <f aca="false">IF(AND(G132="",G138=""),"",N(G132)+N(G138))</f>
        <v/>
      </c>
      <c r="H139" s="31" t="str">
        <f aca="false">IF(AND(H132="",H138=""),"",N(H132)+N(H138))</f>
        <v/>
      </c>
      <c r="I139" s="31" t="str">
        <f aca="false">IF(COUNT(D139:H139)=0,"",SUM(D139:H139))</f>
        <v/>
      </c>
      <c r="J139" s="24"/>
      <c r="K139" s="32" t="s">
        <v>145</v>
      </c>
    </row>
    <row r="140" customFormat="false" ht="15" hidden="false" customHeight="false" outlineLevel="0" collapsed="false">
      <c r="B140" s="9" t="s">
        <v>60</v>
      </c>
      <c r="C140" s="15" t="s">
        <v>146</v>
      </c>
      <c r="D140" s="35" t="str">
        <f aca="false">IF(D139="","",IF(JobType="Chemical Cleaning",CC_HX,INDEX(DecFill,MATCH("Exchanger",DecTypeU,0))))</f>
        <v/>
      </c>
      <c r="E140" s="35" t="str">
        <f aca="false">IF(E139="","",IF(JobType="Chemical Cleaning",CC_HX,INDEX(DecFill,MATCH("Exchanger",DecTypeU,0))))</f>
        <v/>
      </c>
      <c r="F140" s="35" t="str">
        <f aca="false">IF(F139="","",IF(JobType="Chemical Cleaning",CC_HX,INDEX(DecFill,MATCH("Exchanger",DecTypeU,0))))</f>
        <v/>
      </c>
      <c r="G140" s="35" t="str">
        <f aca="false">IF(G139="","",IF(JobType="Chemical Cleaning",CC_HX,INDEX(DecFill,MATCH("Exchanger",DecTypeU,0))))</f>
        <v/>
      </c>
      <c r="H140" s="35" t="str">
        <f aca="false">IF(H139="","",IF(JobType="Chemical Cleaning",CC_HX,INDEX(DecFill,MATCH("Exchanger",DecTypeU,0))))</f>
        <v/>
      </c>
      <c r="I140" s="36"/>
      <c r="J140" s="24" t="s">
        <v>147</v>
      </c>
    </row>
    <row r="141" customFormat="false" ht="15" hidden="false" customHeight="false" outlineLevel="0" collapsed="false">
      <c r="B141" s="4" t="s">
        <v>148</v>
      </c>
      <c r="C141" s="15" t="s">
        <v>109</v>
      </c>
      <c r="D141" s="31" t="str">
        <f aca="false">IF(OR(D139="",D140=""),"",D139*D140)</f>
        <v/>
      </c>
      <c r="E141" s="31" t="str">
        <f aca="false">IF(OR(E139="",E140=""),"",E139*E140)</f>
        <v/>
      </c>
      <c r="F141" s="31" t="str">
        <f aca="false">IF(OR(F139="",F140=""),"",F139*F140)</f>
        <v/>
      </c>
      <c r="G141" s="31" t="str">
        <f aca="false">IF(OR(G139="",G140=""),"",G139*G140)</f>
        <v/>
      </c>
      <c r="H141" s="31" t="str">
        <f aca="false">IF(OR(H139="",H140=""),"",H139*H140)</f>
        <v/>
      </c>
      <c r="I141" s="31" t="str">
        <f aca="false">IF(COUNT(D141:H141)=0,"",SUM(D141:H141))</f>
        <v/>
      </c>
      <c r="J141" s="24"/>
      <c r="K141" s="32" t="s">
        <v>149</v>
      </c>
    </row>
    <row r="142" customFormat="false" ht="15" hidden="false" customHeight="false" outlineLevel="0" collapsed="false">
      <c r="B142" s="9" t="s">
        <v>150</v>
      </c>
      <c r="C142" s="15" t="s">
        <v>32</v>
      </c>
      <c r="D142" s="37" t="str">
        <f aca="false">IF(OR(JobType&lt;&gt;"Decontamination",D141=""),"",D141*INDEX(DecChem,MATCH("Exchanger",DecTypeU,0))*1000)</f>
        <v/>
      </c>
      <c r="E142" s="37" t="str">
        <f aca="false">IF(OR(JobType&lt;&gt;"Decontamination",E141=""),"",E141*INDEX(DecChem,MATCH("Exchanger",DecTypeU,0))*1000)</f>
        <v/>
      </c>
      <c r="F142" s="37" t="str">
        <f aca="false">IF(OR(JobType&lt;&gt;"Decontamination",F141=""),"",F141*INDEX(DecChem,MATCH("Exchanger",DecTypeU,0))*1000)</f>
        <v/>
      </c>
      <c r="G142" s="37" t="str">
        <f aca="false">IF(OR(JobType&lt;&gt;"Decontamination",G141=""),"",G141*INDEX(DecChem,MATCH("Exchanger",DecTypeU,0))*1000)</f>
        <v/>
      </c>
      <c r="H142" s="37" t="str">
        <f aca="false">IF(OR(JobType&lt;&gt;"Decontamination",H141=""),"",H141*INDEX(DecChem,MATCH("Exchanger",DecTypeU,0))*1000)</f>
        <v/>
      </c>
      <c r="I142" s="38" t="str">
        <f aca="false">IF(COUNT(D142:H142)=0,"",SUM(D142:H142))</f>
        <v/>
      </c>
      <c r="J142" s="24" t="s">
        <v>151</v>
      </c>
      <c r="K142" s="32" t="s">
        <v>152</v>
      </c>
    </row>
    <row r="144" customFormat="false" ht="15" hidden="false" customHeight="false" outlineLevel="0" collapsed="false">
      <c r="A144" s="20" t="n">
        <v>4</v>
      </c>
      <c r="B144" s="21" t="s">
        <v>155</v>
      </c>
      <c r="C144" s="22"/>
      <c r="D144" s="22"/>
      <c r="E144" s="22"/>
      <c r="F144" s="22"/>
      <c r="G144" s="22"/>
      <c r="H144" s="22"/>
      <c r="I144" s="22"/>
      <c r="J144" s="22"/>
    </row>
    <row r="145" customFormat="false" ht="15" hidden="false" customHeight="false" outlineLevel="0" collapsed="false">
      <c r="B145" s="9" t="s">
        <v>83</v>
      </c>
      <c r="C145" s="15" t="s">
        <v>29</v>
      </c>
      <c r="D145" s="8"/>
      <c r="E145" s="8"/>
      <c r="F145" s="8"/>
      <c r="G145" s="8"/>
      <c r="H145" s="8"/>
      <c r="I145" s="23"/>
      <c r="J145" s="24"/>
    </row>
    <row r="146" customFormat="false" ht="15" hidden="false" customHeight="false" outlineLevel="0" collapsed="false">
      <c r="B146" s="9" t="s">
        <v>86</v>
      </c>
      <c r="C146" s="15" t="s">
        <v>29</v>
      </c>
      <c r="D146" s="8"/>
      <c r="E146" s="8"/>
      <c r="F146" s="8"/>
      <c r="G146" s="8"/>
      <c r="H146" s="8"/>
      <c r="I146" s="23"/>
      <c r="J146" s="24"/>
    </row>
    <row r="147" customFormat="false" ht="15" hidden="false" customHeight="false" outlineLevel="0" collapsed="false">
      <c r="B147" s="9" t="s">
        <v>87</v>
      </c>
      <c r="C147" s="15" t="s">
        <v>29</v>
      </c>
      <c r="D147" s="8"/>
      <c r="E147" s="8"/>
      <c r="F147" s="8"/>
      <c r="G147" s="8"/>
      <c r="H147" s="8"/>
      <c r="I147" s="23"/>
      <c r="J147" s="24"/>
    </row>
    <row r="148" customFormat="false" ht="15" hidden="false" customHeight="false" outlineLevel="0" collapsed="false">
      <c r="B148" s="25" t="s">
        <v>88</v>
      </c>
      <c r="C148" s="26"/>
      <c r="D148" s="26"/>
      <c r="E148" s="26"/>
      <c r="F148" s="26"/>
      <c r="G148" s="26"/>
      <c r="H148" s="26"/>
      <c r="I148" s="26"/>
      <c r="J148" s="26"/>
    </row>
    <row r="149" customFormat="false" ht="15" hidden="false" customHeight="false" outlineLevel="0" collapsed="false">
      <c r="B149" s="9" t="s">
        <v>89</v>
      </c>
      <c r="C149" s="15" t="s">
        <v>90</v>
      </c>
      <c r="D149" s="8"/>
      <c r="E149" s="8"/>
      <c r="F149" s="8"/>
      <c r="G149" s="8"/>
      <c r="H149" s="8"/>
      <c r="I149" s="23"/>
      <c r="J149" s="24"/>
    </row>
    <row r="150" customFormat="false" ht="15" hidden="false" customHeight="false" outlineLevel="0" collapsed="false">
      <c r="B150" s="9" t="s">
        <v>91</v>
      </c>
      <c r="C150" s="8" t="s">
        <v>92</v>
      </c>
      <c r="D150" s="8"/>
      <c r="E150" s="8"/>
      <c r="F150" s="8"/>
      <c r="G150" s="8"/>
      <c r="H150" s="8"/>
      <c r="I150" s="23"/>
      <c r="J150" s="24" t="s">
        <v>93</v>
      </c>
    </row>
    <row r="151" customFormat="false" ht="15" hidden="false" customHeight="false" outlineLevel="0" collapsed="false">
      <c r="B151" s="9" t="s">
        <v>94</v>
      </c>
      <c r="C151" s="8" t="s">
        <v>92</v>
      </c>
      <c r="D151" s="8"/>
      <c r="E151" s="8"/>
      <c r="F151" s="8"/>
      <c r="G151" s="8"/>
      <c r="H151" s="8"/>
      <c r="I151" s="23"/>
      <c r="J151" s="24"/>
    </row>
    <row r="152" customFormat="false" ht="15" hidden="false" customHeight="false" outlineLevel="0" collapsed="false">
      <c r="B152" s="9" t="s">
        <v>95</v>
      </c>
      <c r="C152" s="8" t="s">
        <v>92</v>
      </c>
      <c r="D152" s="8"/>
      <c r="E152" s="8"/>
      <c r="F152" s="8"/>
      <c r="G152" s="8"/>
      <c r="H152" s="8"/>
      <c r="I152" s="23"/>
      <c r="J152" s="24"/>
    </row>
    <row r="153" customFormat="false" ht="15" hidden="false" customHeight="false" outlineLevel="0" collapsed="false">
      <c r="B153" s="9" t="s">
        <v>96</v>
      </c>
      <c r="C153" s="8" t="s">
        <v>92</v>
      </c>
      <c r="D153" s="8"/>
      <c r="E153" s="8"/>
      <c r="F153" s="8"/>
      <c r="G153" s="8"/>
      <c r="H153" s="8"/>
      <c r="I153" s="23"/>
      <c r="J153" s="24" t="s">
        <v>97</v>
      </c>
    </row>
    <row r="154" customFormat="false" ht="15" hidden="false" customHeight="false" outlineLevel="0" collapsed="false">
      <c r="B154" s="9" t="s">
        <v>98</v>
      </c>
      <c r="C154" s="15" t="s">
        <v>29</v>
      </c>
      <c r="D154" s="8" t="s">
        <v>99</v>
      </c>
      <c r="E154" s="8" t="s">
        <v>99</v>
      </c>
      <c r="F154" s="8" t="s">
        <v>99</v>
      </c>
      <c r="G154" s="8" t="s">
        <v>99</v>
      </c>
      <c r="H154" s="8" t="s">
        <v>99</v>
      </c>
      <c r="I154" s="23"/>
      <c r="J154" s="24"/>
    </row>
    <row r="155" customFormat="false" ht="15" hidden="false" customHeight="false" outlineLevel="0" collapsed="false">
      <c r="B155" s="9" t="s">
        <v>100</v>
      </c>
      <c r="C155" s="8" t="s">
        <v>92</v>
      </c>
      <c r="D155" s="8"/>
      <c r="E155" s="8"/>
      <c r="F155" s="8"/>
      <c r="G155" s="8"/>
      <c r="H155" s="8"/>
      <c r="I155" s="23"/>
      <c r="J155" s="24"/>
    </row>
    <row r="156" customFormat="false" ht="15" hidden="false" customHeight="false" outlineLevel="0" collapsed="false">
      <c r="B156" s="9" t="s">
        <v>101</v>
      </c>
      <c r="C156" s="8" t="s">
        <v>92</v>
      </c>
      <c r="D156" s="8"/>
      <c r="E156" s="8"/>
      <c r="F156" s="8"/>
      <c r="G156" s="8"/>
      <c r="H156" s="8"/>
      <c r="I156" s="23"/>
      <c r="J156" s="24"/>
    </row>
    <row r="157" customFormat="false" ht="15" hidden="false" customHeight="false" outlineLevel="0" collapsed="false">
      <c r="B157" s="9" t="s">
        <v>102</v>
      </c>
      <c r="C157" s="15" t="s">
        <v>29</v>
      </c>
      <c r="D157" s="8"/>
      <c r="E157" s="8"/>
      <c r="F157" s="8"/>
      <c r="G157" s="8"/>
      <c r="H157" s="8"/>
      <c r="I157" s="23"/>
      <c r="J157" s="24"/>
    </row>
    <row r="158" customFormat="false" ht="15" hidden="false" customHeight="false" outlineLevel="0" collapsed="false">
      <c r="B158" s="9" t="s">
        <v>104</v>
      </c>
      <c r="C158" s="8" t="s">
        <v>92</v>
      </c>
      <c r="D158" s="8"/>
      <c r="E158" s="8"/>
      <c r="F158" s="8"/>
      <c r="G158" s="8"/>
      <c r="H158" s="8"/>
      <c r="I158" s="23"/>
      <c r="J158" s="24"/>
    </row>
    <row r="159" customFormat="false" ht="15" hidden="false" customHeight="false" outlineLevel="0" collapsed="false">
      <c r="B159" s="9" t="s">
        <v>105</v>
      </c>
      <c r="C159" s="8" t="s">
        <v>92</v>
      </c>
      <c r="D159" s="8"/>
      <c r="E159" s="8"/>
      <c r="F159" s="8"/>
      <c r="G159" s="8"/>
      <c r="H159" s="8"/>
      <c r="I159" s="23"/>
      <c r="J159" s="24"/>
    </row>
    <row r="160" customFormat="false" ht="15" hidden="false" customHeight="false" outlineLevel="0" collapsed="false">
      <c r="B160" s="9" t="s">
        <v>106</v>
      </c>
      <c r="C160" s="15" t="s">
        <v>29</v>
      </c>
      <c r="D160" s="8"/>
      <c r="E160" s="8"/>
      <c r="F160" s="8"/>
      <c r="G160" s="8"/>
      <c r="H160" s="8"/>
      <c r="I160" s="23"/>
      <c r="J160" s="24"/>
    </row>
    <row r="161" customFormat="false" ht="15" hidden="false" customHeight="false" outlineLevel="0" collapsed="false">
      <c r="B161" s="9" t="s">
        <v>108</v>
      </c>
      <c r="C161" s="8" t="s">
        <v>109</v>
      </c>
      <c r="D161" s="8"/>
      <c r="E161" s="8"/>
      <c r="F161" s="8"/>
      <c r="G161" s="8"/>
      <c r="H161" s="8"/>
      <c r="I161" s="23"/>
      <c r="J161" s="24" t="s">
        <v>110</v>
      </c>
    </row>
    <row r="162" customFormat="false" ht="15" hidden="false" customHeight="false" outlineLevel="0" collapsed="false">
      <c r="B162" s="9" t="s">
        <v>111</v>
      </c>
      <c r="C162" s="8" t="s">
        <v>112</v>
      </c>
      <c r="D162" s="8"/>
      <c r="E162" s="8"/>
      <c r="F162" s="8"/>
      <c r="G162" s="8"/>
      <c r="H162" s="8"/>
      <c r="I162" s="23"/>
      <c r="J162" s="24"/>
    </row>
    <row r="163" customFormat="false" ht="15" hidden="false" customHeight="false" outlineLevel="0" collapsed="false">
      <c r="B163" s="25" t="s">
        <v>113</v>
      </c>
      <c r="C163" s="26"/>
      <c r="D163" s="26"/>
      <c r="E163" s="26"/>
      <c r="F163" s="26"/>
      <c r="G163" s="26"/>
      <c r="H163" s="26"/>
      <c r="I163" s="26"/>
      <c r="J163" s="26"/>
    </row>
    <row r="164" customFormat="false" ht="15" hidden="false" customHeight="false" outlineLevel="0" collapsed="false">
      <c r="B164" s="9" t="s">
        <v>114</v>
      </c>
      <c r="C164" s="8" t="s">
        <v>92</v>
      </c>
      <c r="D164" s="8"/>
      <c r="E164" s="8"/>
      <c r="F164" s="8"/>
      <c r="G164" s="8"/>
      <c r="H164" s="8"/>
      <c r="I164" s="23"/>
      <c r="J164" s="24" t="s">
        <v>115</v>
      </c>
    </row>
    <row r="165" customFormat="false" ht="15" hidden="false" customHeight="false" outlineLevel="0" collapsed="false">
      <c r="B165" s="9" t="s">
        <v>116</v>
      </c>
      <c r="C165" s="8" t="s">
        <v>92</v>
      </c>
      <c r="D165" s="8"/>
      <c r="E165" s="8"/>
      <c r="F165" s="8"/>
      <c r="G165" s="8"/>
      <c r="H165" s="8"/>
      <c r="I165" s="23"/>
      <c r="J165" s="24" t="s">
        <v>117</v>
      </c>
    </row>
    <row r="166" customFormat="false" ht="15" hidden="false" customHeight="false" outlineLevel="0" collapsed="false">
      <c r="B166" s="9" t="s">
        <v>118</v>
      </c>
      <c r="C166" s="15" t="s">
        <v>29</v>
      </c>
      <c r="D166" s="8"/>
      <c r="E166" s="8"/>
      <c r="F166" s="8"/>
      <c r="G166" s="8"/>
      <c r="H166" s="8"/>
      <c r="I166" s="23"/>
      <c r="J166" s="24"/>
    </row>
    <row r="167" customFormat="false" ht="15" hidden="false" customHeight="false" outlineLevel="0" collapsed="false">
      <c r="B167" s="9" t="s">
        <v>119</v>
      </c>
      <c r="C167" s="8" t="s">
        <v>112</v>
      </c>
      <c r="D167" s="8"/>
      <c r="E167" s="8"/>
      <c r="F167" s="8"/>
      <c r="G167" s="8"/>
      <c r="H167" s="8"/>
      <c r="I167" s="23"/>
      <c r="J167" s="24"/>
    </row>
    <row r="168" customFormat="false" ht="15" hidden="false" customHeight="false" outlineLevel="0" collapsed="false">
      <c r="B168" s="25" t="s">
        <v>120</v>
      </c>
      <c r="C168" s="26"/>
      <c r="D168" s="26"/>
      <c r="E168" s="26"/>
      <c r="F168" s="26"/>
      <c r="G168" s="26"/>
      <c r="H168" s="26"/>
      <c r="I168" s="26"/>
      <c r="J168" s="26"/>
    </row>
    <row r="169" customFormat="false" ht="15" hidden="false" customHeight="false" outlineLevel="0" collapsed="false">
      <c r="B169" s="9" t="s">
        <v>121</v>
      </c>
      <c r="C169" s="15" t="s">
        <v>29</v>
      </c>
      <c r="D169" s="8" t="s">
        <v>122</v>
      </c>
      <c r="E169" s="8" t="s">
        <v>122</v>
      </c>
      <c r="F169" s="8" t="s">
        <v>122</v>
      </c>
      <c r="G169" s="8" t="s">
        <v>122</v>
      </c>
      <c r="H169" s="8" t="s">
        <v>122</v>
      </c>
      <c r="I169" s="23"/>
      <c r="J169" s="24"/>
    </row>
    <row r="170" customFormat="false" ht="15" hidden="false" customHeight="false" outlineLevel="0" collapsed="false">
      <c r="B170" s="9" t="s">
        <v>123</v>
      </c>
      <c r="C170" s="15" t="s">
        <v>29</v>
      </c>
      <c r="D170" s="8" t="s">
        <v>122</v>
      </c>
      <c r="E170" s="8" t="s">
        <v>122</v>
      </c>
      <c r="F170" s="8" t="s">
        <v>122</v>
      </c>
      <c r="G170" s="8" t="s">
        <v>122</v>
      </c>
      <c r="H170" s="8" t="s">
        <v>122</v>
      </c>
      <c r="I170" s="23"/>
      <c r="J170" s="24"/>
    </row>
    <row r="171" customFormat="false" ht="15" hidden="false" customHeight="false" outlineLevel="0" collapsed="false">
      <c r="B171" s="25" t="s">
        <v>124</v>
      </c>
      <c r="C171" s="26"/>
      <c r="D171" s="26"/>
      <c r="E171" s="26"/>
      <c r="F171" s="26"/>
      <c r="G171" s="26"/>
      <c r="H171" s="26"/>
      <c r="I171" s="26"/>
      <c r="J171" s="26"/>
    </row>
    <row r="172" customFormat="false" ht="15" hidden="false" customHeight="false" outlineLevel="0" collapsed="false">
      <c r="B172" s="9" t="s">
        <v>125</v>
      </c>
      <c r="C172" s="15" t="s">
        <v>92</v>
      </c>
      <c r="D172" s="27" t="str">
        <f aca="false">IF(ISNUMBER(D150),D150*INDEX(LenF,MATCH($C$150,LenU,0))*1000,IF(ISNUMBER(D153),D153*INDEX(LenF,MATCH($C$153,LenU,0))/PitchRatio*1000,""))</f>
        <v/>
      </c>
      <c r="E172" s="27" t="str">
        <f aca="false">IF(ISNUMBER(E150),E150*INDEX(LenF,MATCH($C$150,LenU,0))*1000,IF(ISNUMBER(E153),E153*INDEX(LenF,MATCH($C$153,LenU,0))/PitchRatio*1000,""))</f>
        <v/>
      </c>
      <c r="F172" s="27" t="str">
        <f aca="false">IF(ISNUMBER(F150),F150*INDEX(LenF,MATCH($C$150,LenU,0))*1000,IF(ISNUMBER(F153),F153*INDEX(LenF,MATCH($C$153,LenU,0))/PitchRatio*1000,""))</f>
        <v/>
      </c>
      <c r="G172" s="27" t="str">
        <f aca="false">IF(ISNUMBER(G150),G150*INDEX(LenF,MATCH($C$150,LenU,0))*1000,IF(ISNUMBER(G153),G153*INDEX(LenF,MATCH($C$153,LenU,0))/PitchRatio*1000,""))</f>
        <v/>
      </c>
      <c r="H172" s="27" t="str">
        <f aca="false">IF(ISNUMBER(H150),H150*INDEX(LenF,MATCH($C$150,LenU,0))*1000,IF(ISNUMBER(H153),H153*INDEX(LenF,MATCH($C$153,LenU,0))/PitchRatio*1000,""))</f>
        <v/>
      </c>
      <c r="I172" s="28"/>
      <c r="J172" s="24" t="s">
        <v>126</v>
      </c>
    </row>
    <row r="173" customFormat="false" ht="15" hidden="false" customHeight="false" outlineLevel="0" collapsed="false">
      <c r="B173" s="9" t="s">
        <v>127</v>
      </c>
      <c r="C173" s="15" t="s">
        <v>109</v>
      </c>
      <c r="D173" s="29" t="str">
        <f aca="false">IF(AND(ISNUMBER(D149),ISNUMBER(D151),ISNUMBER(D152)),D149*PI()/4*(D151*INDEX(LenF,MATCH($C$151,LenU,0)))^2*D152*INDEX(LenF,MATCH($C$152,LenU,0)),"")</f>
        <v/>
      </c>
      <c r="E173" s="29" t="str">
        <f aca="false">IF(AND(ISNUMBER(E149),ISNUMBER(E151),ISNUMBER(E152)),E149*PI()/4*(E151*INDEX(LenF,MATCH($C$151,LenU,0)))^2*E152*INDEX(LenF,MATCH($C$152,LenU,0)),"")</f>
        <v/>
      </c>
      <c r="F173" s="29" t="str">
        <f aca="false">IF(AND(ISNUMBER(F149),ISNUMBER(F151),ISNUMBER(F152)),F149*PI()/4*(F151*INDEX(LenF,MATCH($C$151,LenU,0)))^2*F152*INDEX(LenF,MATCH($C$152,LenU,0)),"")</f>
        <v/>
      </c>
      <c r="G173" s="29" t="str">
        <f aca="false">IF(AND(ISNUMBER(G149),ISNUMBER(G151),ISNUMBER(G152)),G149*PI()/4*(G151*INDEX(LenF,MATCH($C$151,LenU,0)))^2*G152*INDEX(LenF,MATCH($C$152,LenU,0)),"")</f>
        <v/>
      </c>
      <c r="H173" s="29" t="str">
        <f aca="false">IF(AND(ISNUMBER(H149),ISNUMBER(H151),ISNUMBER(H152)),H149*PI()/4*(H151*INDEX(LenF,MATCH($C$151,LenU,0)))^2*H152*INDEX(LenF,MATCH($C$152,LenU,0)),"")</f>
        <v/>
      </c>
      <c r="I173" s="30" t="str">
        <f aca="false">IF(COUNT(D173:H173)=0,"",SUM(D173:H173))</f>
        <v/>
      </c>
      <c r="J173" s="24"/>
    </row>
    <row r="174" customFormat="false" ht="15" hidden="false" customHeight="false" outlineLevel="0" collapsed="false">
      <c r="B174" s="9" t="s">
        <v>128</v>
      </c>
      <c r="C174" s="15" t="s">
        <v>109</v>
      </c>
      <c r="D174" s="29" t="n">
        <f aca="false">IF(ISNUMBER(D161),D161*INDEX(VolF,MATCH($C$161,VolU,0)),IF(ISNUMBER(D155),PI()/4*(D155*INDEX(LenF,MATCH($C$155,LenU,0)))^2*N(D156)*INDEX(LenF,MATCH($C$156,LenU,0))+IF(D157="",0,IF(D157="Conical",PI()/12*(D155*INDEX(LenF,MATCH($C$155,LenU,0)))^2*(0),INDEX(HeadK,MATCH(D157,HeadU,0))*(D155*INDEX(LenF,MATCH($C$155,LenU,0)))^3)),0)+IF(ISNUMBER(D158),PI()/4*(D158*INDEX(LenF,MATCH($C$158,LenU,0)))^2*N(D159)*INDEX(LenF,MATCH($C$159,LenU,0))+IF(D160="",0,IF(D160="Conical",PI()/12*(D158*INDEX(LenF,MATCH($C$158,LenU,0)))^2*(0),INDEX(HeadK,MATCH(D160,HeadU,0))*(D158*INDEX(LenF,MATCH($C$158,LenU,0)))^3)),0))</f>
        <v>0</v>
      </c>
      <c r="E174" s="29" t="n">
        <f aca="false">IF(ISNUMBER(E161),E161*INDEX(VolF,MATCH($C$161,VolU,0)),IF(ISNUMBER(E155),PI()/4*(E155*INDEX(LenF,MATCH($C$155,LenU,0)))^2*N(E156)*INDEX(LenF,MATCH($C$156,LenU,0))+IF(E157="",0,IF(E157="Conical",PI()/12*(E155*INDEX(LenF,MATCH($C$155,LenU,0)))^2*(0),INDEX(HeadK,MATCH(E157,HeadU,0))*(E155*INDEX(LenF,MATCH($C$155,LenU,0)))^3)),0)+IF(ISNUMBER(E158),PI()/4*(E158*INDEX(LenF,MATCH($C$158,LenU,0)))^2*N(E159)*INDEX(LenF,MATCH($C$159,LenU,0))+IF(E160="",0,IF(E160="Conical",PI()/12*(E158*INDEX(LenF,MATCH($C$158,LenU,0)))^2*(0),INDEX(HeadK,MATCH(E160,HeadU,0))*(E158*INDEX(LenF,MATCH($C$158,LenU,0)))^3)),0))</f>
        <v>0</v>
      </c>
      <c r="F174" s="29" t="n">
        <f aca="false">IF(ISNUMBER(F161),F161*INDEX(VolF,MATCH($C$161,VolU,0)),IF(ISNUMBER(F155),PI()/4*(F155*INDEX(LenF,MATCH($C$155,LenU,0)))^2*N(F156)*INDEX(LenF,MATCH($C$156,LenU,0))+IF(F157="",0,IF(F157="Conical",PI()/12*(F155*INDEX(LenF,MATCH($C$155,LenU,0)))^2*(0),INDEX(HeadK,MATCH(F157,HeadU,0))*(F155*INDEX(LenF,MATCH($C$155,LenU,0)))^3)),0)+IF(ISNUMBER(F158),PI()/4*(F158*INDEX(LenF,MATCH($C$158,LenU,0)))^2*N(F159)*INDEX(LenF,MATCH($C$159,LenU,0))+IF(F160="",0,IF(F160="Conical",PI()/12*(F158*INDEX(LenF,MATCH($C$158,LenU,0)))^2*(0),INDEX(HeadK,MATCH(F160,HeadU,0))*(F158*INDEX(LenF,MATCH($C$158,LenU,0)))^3)),0))</f>
        <v>0</v>
      </c>
      <c r="G174" s="29" t="n">
        <f aca="false">IF(ISNUMBER(G161),G161*INDEX(VolF,MATCH($C$161,VolU,0)),IF(ISNUMBER(G155),PI()/4*(G155*INDEX(LenF,MATCH($C$155,LenU,0)))^2*N(G156)*INDEX(LenF,MATCH($C$156,LenU,0))+IF(G157="",0,IF(G157="Conical",PI()/12*(G155*INDEX(LenF,MATCH($C$155,LenU,0)))^2*(0),INDEX(HeadK,MATCH(G157,HeadU,0))*(G155*INDEX(LenF,MATCH($C$155,LenU,0)))^3)),0)+IF(ISNUMBER(G158),PI()/4*(G158*INDEX(LenF,MATCH($C$158,LenU,0)))^2*N(G159)*INDEX(LenF,MATCH($C$159,LenU,0))+IF(G160="",0,IF(G160="Conical",PI()/12*(G158*INDEX(LenF,MATCH($C$158,LenU,0)))^2*(0),INDEX(HeadK,MATCH(G160,HeadU,0))*(G158*INDEX(LenF,MATCH($C$158,LenU,0)))^3)),0))</f>
        <v>0</v>
      </c>
      <c r="H174" s="29" t="n">
        <f aca="false">IF(ISNUMBER(H161),H161*INDEX(VolF,MATCH($C$161,VolU,0)),IF(ISNUMBER(H155),PI()/4*(H155*INDEX(LenF,MATCH($C$155,LenU,0)))^2*N(H156)*INDEX(LenF,MATCH($C$156,LenU,0))+IF(H157="",0,IF(H157="Conical",PI()/12*(H155*INDEX(LenF,MATCH($C$155,LenU,0)))^2*(0),INDEX(HeadK,MATCH(H157,HeadU,0))*(H155*INDEX(LenF,MATCH($C$155,LenU,0)))^3)),0)+IF(ISNUMBER(H158),PI()/4*(H158*INDEX(LenF,MATCH($C$158,LenU,0)))^2*N(H159)*INDEX(LenF,MATCH($C$159,LenU,0))+IF(H160="",0,IF(H160="Conical",PI()/12*(H158*INDEX(LenF,MATCH($C$158,LenU,0)))^2*(0),INDEX(HeadK,MATCH(H160,HeadU,0))*(H158*INDEX(LenF,MATCH($C$158,LenU,0)))^3)),0))</f>
        <v>0</v>
      </c>
      <c r="I174" s="30" t="n">
        <f aca="false">IF(COUNT(D174:H174)=0,"",SUM(D174:H174))</f>
        <v>0</v>
      </c>
      <c r="J174" s="24" t="s">
        <v>129</v>
      </c>
    </row>
    <row r="175" customFormat="false" ht="15" hidden="false" customHeight="false" outlineLevel="0" collapsed="false">
      <c r="B175" s="9" t="s">
        <v>130</v>
      </c>
      <c r="C175" s="15" t="s">
        <v>109</v>
      </c>
      <c r="D175" s="29" t="str">
        <f aca="false">IF(D173="","",D173+D174)</f>
        <v/>
      </c>
      <c r="E175" s="29" t="str">
        <f aca="false">IF(E173="","",E173+E174)</f>
        <v/>
      </c>
      <c r="F175" s="29" t="str">
        <f aca="false">IF(F173="","",F173+F174)</f>
        <v/>
      </c>
      <c r="G175" s="29" t="str">
        <f aca="false">IF(G173="","",G173+G174)</f>
        <v/>
      </c>
      <c r="H175" s="29" t="str">
        <f aca="false">IF(H173="","",H173+H174)</f>
        <v/>
      </c>
      <c r="I175" s="30" t="str">
        <f aca="false">IF(COUNT(D175:H175)=0,"",SUM(D175:H175))</f>
        <v/>
      </c>
      <c r="J175" s="24"/>
    </row>
    <row r="176" customFormat="false" ht="15" hidden="false" customHeight="false" outlineLevel="0" collapsed="false">
      <c r="B176" s="9" t="s">
        <v>131</v>
      </c>
      <c r="C176" s="15" t="s">
        <v>109</v>
      </c>
      <c r="D176" s="29" t="str">
        <f aca="false">IF(ISNUMBER(D162),D162*INDEX(WtF,MATCH($C$162,WtU,0))/WaterRho,"")</f>
        <v/>
      </c>
      <c r="E176" s="29" t="str">
        <f aca="false">IF(ISNUMBER(E162),E162*INDEX(WtF,MATCH($C$162,WtU,0))/WaterRho,"")</f>
        <v/>
      </c>
      <c r="F176" s="29" t="str">
        <f aca="false">IF(ISNUMBER(F162),F162*INDEX(WtF,MATCH($C$162,WtU,0))/WaterRho,"")</f>
        <v/>
      </c>
      <c r="G176" s="29" t="str">
        <f aca="false">IF(ISNUMBER(G162),G162*INDEX(WtF,MATCH($C$162,WtU,0))/WaterRho,"")</f>
        <v/>
      </c>
      <c r="H176" s="29" t="str">
        <f aca="false">IF(ISNUMBER(H162),H162*INDEX(WtF,MATCH($C$162,WtU,0))/WaterRho,"")</f>
        <v/>
      </c>
      <c r="I176" s="30" t="str">
        <f aca="false">IF(COUNT(D176:H176)=0,"",SUM(D176:H176))</f>
        <v/>
      </c>
      <c r="J176" s="24"/>
    </row>
    <row r="177" customFormat="false" ht="15" hidden="false" customHeight="false" outlineLevel="0" collapsed="false">
      <c r="B177" s="4" t="s">
        <v>132</v>
      </c>
      <c r="C177" s="15" t="s">
        <v>109</v>
      </c>
      <c r="D177" s="31" t="str">
        <f aca="false">IF(D169="Water weight",D176,D175)</f>
        <v/>
      </c>
      <c r="E177" s="31" t="str">
        <f aca="false">IF(E169="Water weight",E176,E175)</f>
        <v/>
      </c>
      <c r="F177" s="31" t="str">
        <f aca="false">IF(F169="Water weight",F176,F175)</f>
        <v/>
      </c>
      <c r="G177" s="31" t="str">
        <f aca="false">IF(G169="Water weight",G176,G175)</f>
        <v/>
      </c>
      <c r="H177" s="31" t="str">
        <f aca="false">IF(H169="Water weight",H176,H175)</f>
        <v/>
      </c>
      <c r="I177" s="31" t="str">
        <f aca="false">IF(COUNT(D177:H177)=0,"",SUM(D177:H177))</f>
        <v/>
      </c>
      <c r="J177" s="24"/>
      <c r="K177" s="32" t="s">
        <v>133</v>
      </c>
    </row>
    <row r="178" customFormat="false" ht="15" hidden="false" customHeight="false" outlineLevel="0" collapsed="false">
      <c r="B178" s="9" t="s">
        <v>134</v>
      </c>
      <c r="C178" s="15" t="s">
        <v>135</v>
      </c>
      <c r="D178" s="33" t="str">
        <f aca="false">IF(ISNUMBER(D164),PI()/4*(D164*INDEX(LenF,MATCH($C$164,LenU,0)))^2,IF(AND(ISNUMBER(D149),ISNUMBER(D153),D154&lt;&gt;""),D149*(D153*INDEX(LenF,MATCH($C$153,LenU,0)))^2*INDEX(LayoutF,MATCH(D154,LayoutU,0)),""))</f>
        <v/>
      </c>
      <c r="E178" s="33" t="str">
        <f aca="false">IF(ISNUMBER(E164),PI()/4*(E164*INDEX(LenF,MATCH($C$164,LenU,0)))^2,IF(AND(ISNUMBER(E149),ISNUMBER(E153),E154&lt;&gt;""),E149*(E153*INDEX(LenF,MATCH($C$153,LenU,0)))^2*INDEX(LayoutF,MATCH(E154,LayoutU,0)),""))</f>
        <v/>
      </c>
      <c r="F178" s="33" t="str">
        <f aca="false">IF(ISNUMBER(F164),PI()/4*(F164*INDEX(LenF,MATCH($C$164,LenU,0)))^2,IF(AND(ISNUMBER(F149),ISNUMBER(F153),F154&lt;&gt;""),F149*(F153*INDEX(LenF,MATCH($C$153,LenU,0)))^2*INDEX(LayoutF,MATCH(F154,LayoutU,0)),""))</f>
        <v/>
      </c>
      <c r="G178" s="33" t="str">
        <f aca="false">IF(ISNUMBER(G164),PI()/4*(G164*INDEX(LenF,MATCH($C$164,LenU,0)))^2,IF(AND(ISNUMBER(G149),ISNUMBER(G153),G154&lt;&gt;""),G149*(G153*INDEX(LenF,MATCH($C$153,LenU,0)))^2*INDEX(LayoutF,MATCH(G154,LayoutU,0)),""))</f>
        <v/>
      </c>
      <c r="H178" s="33" t="str">
        <f aca="false">IF(ISNUMBER(H164),PI()/4*(H164*INDEX(LenF,MATCH($C$164,LenU,0)))^2,IF(AND(ISNUMBER(H149),ISNUMBER(H153),H154&lt;&gt;""),H149*(H153*INDEX(LenF,MATCH($C$153,LenU,0)))^2*INDEX(LayoutF,MATCH(H154,LayoutU,0)),""))</f>
        <v/>
      </c>
      <c r="I178" s="34"/>
      <c r="J178" s="24" t="s">
        <v>136</v>
      </c>
    </row>
    <row r="179" customFormat="false" ht="15" hidden="false" customHeight="false" outlineLevel="0" collapsed="false">
      <c r="B179" s="9" t="s">
        <v>137</v>
      </c>
      <c r="C179" s="15" t="s">
        <v>109</v>
      </c>
      <c r="D179" s="29" t="str">
        <f aca="false">IF(OR(D178="",AND(NOT(ISNUMBER(D165)),NOT(ISNUMBER(D152)))),"",D178*IF(ISNUMBER(D165),D165*INDEX(LenF,MATCH($C$165,LenU,0)),D152*INDEX(LenF,MATCH($C$152,LenU,0)))+IF(D166="",0,IF(D166="Conical",PI()/12*(SQRT(4*D178/PI()))^2*(0),INDEX(HeadK,MATCH(D166,HeadU,0))*(SQRT(4*D178/PI()))^3)))</f>
        <v/>
      </c>
      <c r="E179" s="29" t="str">
        <f aca="false">IF(OR(E178="",AND(NOT(ISNUMBER(E165)),NOT(ISNUMBER(E152)))),"",E178*IF(ISNUMBER(E165),E165*INDEX(LenF,MATCH($C$165,LenU,0)),E152*INDEX(LenF,MATCH($C$152,LenU,0)))+IF(E166="",0,IF(E166="Conical",PI()/12*(SQRT(4*E178/PI()))^2*(0),INDEX(HeadK,MATCH(E166,HeadU,0))*(SQRT(4*E178/PI()))^3)))</f>
        <v/>
      </c>
      <c r="F179" s="29" t="str">
        <f aca="false">IF(OR(F178="",AND(NOT(ISNUMBER(F165)),NOT(ISNUMBER(F152)))),"",F178*IF(ISNUMBER(F165),F165*INDEX(LenF,MATCH($C$165,LenU,0)),F152*INDEX(LenF,MATCH($C$152,LenU,0)))+IF(F166="",0,IF(F166="Conical",PI()/12*(SQRT(4*F178/PI()))^2*(0),INDEX(HeadK,MATCH(F166,HeadU,0))*(SQRT(4*F178/PI()))^3)))</f>
        <v/>
      </c>
      <c r="G179" s="29" t="str">
        <f aca="false">IF(OR(G178="",AND(NOT(ISNUMBER(G165)),NOT(ISNUMBER(G152)))),"",G178*IF(ISNUMBER(G165),G165*INDEX(LenF,MATCH($C$165,LenU,0)),G152*INDEX(LenF,MATCH($C$152,LenU,0)))+IF(G166="",0,IF(G166="Conical",PI()/12*(SQRT(4*G178/PI()))^2*(0),INDEX(HeadK,MATCH(G166,HeadU,0))*(SQRT(4*G178/PI()))^3)))</f>
        <v/>
      </c>
      <c r="H179" s="29" t="str">
        <f aca="false">IF(OR(H178="",AND(NOT(ISNUMBER(H165)),NOT(ISNUMBER(H152)))),"",H178*IF(ISNUMBER(H165),H165*INDEX(LenF,MATCH($C$165,LenU,0)),H152*INDEX(LenF,MATCH($C$152,LenU,0)))+IF(H166="",0,IF(H166="Conical",PI()/12*(SQRT(4*H178/PI()))^2*(0),INDEX(HeadK,MATCH(H166,HeadU,0))*(SQRT(4*H178/PI()))^3)))</f>
        <v/>
      </c>
      <c r="I179" s="30" t="str">
        <f aca="false">IF(COUNT(D179:H179)=0,"",SUM(D179:H179))</f>
        <v/>
      </c>
      <c r="J179" s="24"/>
    </row>
    <row r="180" customFormat="false" ht="15" hidden="false" customHeight="false" outlineLevel="0" collapsed="false">
      <c r="B180" s="9" t="s">
        <v>138</v>
      </c>
      <c r="C180" s="15" t="s">
        <v>109</v>
      </c>
      <c r="D180" s="29" t="str">
        <f aca="false">IF(AND(ISNUMBER(D149),ISNUMBER(D172),ISNUMBER(D152)),D149*PI()/4*(D172/1000)^2*D152*INDEX(LenF,MATCH($C$152,LenU,0)),"")</f>
        <v/>
      </c>
      <c r="E180" s="29" t="str">
        <f aca="false">IF(AND(ISNUMBER(E149),ISNUMBER(E172),ISNUMBER(E152)),E149*PI()/4*(E172/1000)^2*E152*INDEX(LenF,MATCH($C$152,LenU,0)),"")</f>
        <v/>
      </c>
      <c r="F180" s="29" t="str">
        <f aca="false">IF(AND(ISNUMBER(F149),ISNUMBER(F172),ISNUMBER(F152)),F149*PI()/4*(F172/1000)^2*F152*INDEX(LenF,MATCH($C$152,LenU,0)),"")</f>
        <v/>
      </c>
      <c r="G180" s="29" t="str">
        <f aca="false">IF(AND(ISNUMBER(G149),ISNUMBER(G172),ISNUMBER(G152)),G149*PI()/4*(G172/1000)^2*G152*INDEX(LenF,MATCH($C$152,LenU,0)),"")</f>
        <v/>
      </c>
      <c r="H180" s="29" t="str">
        <f aca="false">IF(AND(ISNUMBER(H149),ISNUMBER(H172),ISNUMBER(H152)),H149*PI()/4*(H172/1000)^2*H152*INDEX(LenF,MATCH($C$152,LenU,0)),"")</f>
        <v/>
      </c>
      <c r="I180" s="30" t="str">
        <f aca="false">IF(COUNT(D180:H180)=0,"",SUM(D180:H180))</f>
        <v/>
      </c>
      <c r="J180" s="24"/>
    </row>
    <row r="181" customFormat="false" ht="15" hidden="false" customHeight="false" outlineLevel="0" collapsed="false">
      <c r="B181" s="9" t="s">
        <v>139</v>
      </c>
      <c r="C181" s="15" t="s">
        <v>109</v>
      </c>
      <c r="D181" s="29" t="str">
        <f aca="false">IF(OR(D179="",D180=""),"",D179-D180)</f>
        <v/>
      </c>
      <c r="E181" s="29" t="str">
        <f aca="false">IF(OR(E179="",E180=""),"",E179-E180)</f>
        <v/>
      </c>
      <c r="F181" s="29" t="str">
        <f aca="false">IF(OR(F179="",F180=""),"",F179-F180)</f>
        <v/>
      </c>
      <c r="G181" s="29" t="str">
        <f aca="false">IF(OR(G179="",G180=""),"",G179-G180)</f>
        <v/>
      </c>
      <c r="H181" s="29" t="str">
        <f aca="false">IF(OR(H179="",H180=""),"",H179-H180)</f>
        <v/>
      </c>
      <c r="I181" s="30" t="str">
        <f aca="false">IF(COUNT(D181:H181)=0,"",SUM(D181:H181))</f>
        <v/>
      </c>
      <c r="J181" s="24" t="s">
        <v>140</v>
      </c>
    </row>
    <row r="182" customFormat="false" ht="15" hidden="false" customHeight="false" outlineLevel="0" collapsed="false">
      <c r="B182" s="9" t="s">
        <v>141</v>
      </c>
      <c r="C182" s="15" t="s">
        <v>109</v>
      </c>
      <c r="D182" s="29" t="str">
        <f aca="false">IF(ISNUMBER(D167),D167*INDEX(WtF,MATCH($C$167,WtU,0))/WaterRho,"")</f>
        <v/>
      </c>
      <c r="E182" s="29" t="str">
        <f aca="false">IF(ISNUMBER(E167),E167*INDEX(WtF,MATCH($C$167,WtU,0))/WaterRho,"")</f>
        <v/>
      </c>
      <c r="F182" s="29" t="str">
        <f aca="false">IF(ISNUMBER(F167),F167*INDEX(WtF,MATCH($C$167,WtU,0))/WaterRho,"")</f>
        <v/>
      </c>
      <c r="G182" s="29" t="str">
        <f aca="false">IF(ISNUMBER(G167),G167*INDEX(WtF,MATCH($C$167,WtU,0))/WaterRho,"")</f>
        <v/>
      </c>
      <c r="H182" s="29" t="str">
        <f aca="false">IF(ISNUMBER(H167),H167*INDEX(WtF,MATCH($C$167,WtU,0))/WaterRho,"")</f>
        <v/>
      </c>
      <c r="I182" s="30" t="str">
        <f aca="false">IF(COUNT(D182:H182)=0,"",SUM(D182:H182))</f>
        <v/>
      </c>
      <c r="J182" s="24"/>
    </row>
    <row r="183" customFormat="false" ht="15" hidden="false" customHeight="false" outlineLevel="0" collapsed="false">
      <c r="B183" s="4" t="s">
        <v>142</v>
      </c>
      <c r="C183" s="15" t="s">
        <v>109</v>
      </c>
      <c r="D183" s="31" t="str">
        <f aca="false">IF(D170="Water weight",D182,D181)</f>
        <v/>
      </c>
      <c r="E183" s="31" t="str">
        <f aca="false">IF(E170="Water weight",E182,E181)</f>
        <v/>
      </c>
      <c r="F183" s="31" t="str">
        <f aca="false">IF(F170="Water weight",F182,F181)</f>
        <v/>
      </c>
      <c r="G183" s="31" t="str">
        <f aca="false">IF(G170="Water weight",G182,G181)</f>
        <v/>
      </c>
      <c r="H183" s="31" t="str">
        <f aca="false">IF(H170="Water weight",H182,H181)</f>
        <v/>
      </c>
      <c r="I183" s="31" t="str">
        <f aca="false">IF(COUNT(D183:H183)=0,"",SUM(D183:H183))</f>
        <v/>
      </c>
      <c r="J183" s="24"/>
      <c r="K183" s="32" t="s">
        <v>143</v>
      </c>
    </row>
    <row r="184" customFormat="false" ht="15" hidden="false" customHeight="false" outlineLevel="0" collapsed="false">
      <c r="B184" s="4" t="s">
        <v>144</v>
      </c>
      <c r="C184" s="15" t="s">
        <v>109</v>
      </c>
      <c r="D184" s="31" t="str">
        <f aca="false">IF(AND(D177="",D183=""),"",N(D177)+N(D183))</f>
        <v/>
      </c>
      <c r="E184" s="31" t="str">
        <f aca="false">IF(AND(E177="",E183=""),"",N(E177)+N(E183))</f>
        <v/>
      </c>
      <c r="F184" s="31" t="str">
        <f aca="false">IF(AND(F177="",F183=""),"",N(F177)+N(F183))</f>
        <v/>
      </c>
      <c r="G184" s="31" t="str">
        <f aca="false">IF(AND(G177="",G183=""),"",N(G177)+N(G183))</f>
        <v/>
      </c>
      <c r="H184" s="31" t="str">
        <f aca="false">IF(AND(H177="",H183=""),"",N(H177)+N(H183))</f>
        <v/>
      </c>
      <c r="I184" s="31" t="str">
        <f aca="false">IF(COUNT(D184:H184)=0,"",SUM(D184:H184))</f>
        <v/>
      </c>
      <c r="J184" s="24"/>
      <c r="K184" s="32" t="s">
        <v>145</v>
      </c>
    </row>
    <row r="185" customFormat="false" ht="15" hidden="false" customHeight="false" outlineLevel="0" collapsed="false">
      <c r="B185" s="9" t="s">
        <v>60</v>
      </c>
      <c r="C185" s="15" t="s">
        <v>146</v>
      </c>
      <c r="D185" s="35" t="str">
        <f aca="false">IF(D184="","",IF(JobType="Chemical Cleaning",CC_HX,INDEX(DecFill,MATCH("Exchanger",DecTypeU,0))))</f>
        <v/>
      </c>
      <c r="E185" s="35" t="str">
        <f aca="false">IF(E184="","",IF(JobType="Chemical Cleaning",CC_HX,INDEX(DecFill,MATCH("Exchanger",DecTypeU,0))))</f>
        <v/>
      </c>
      <c r="F185" s="35" t="str">
        <f aca="false">IF(F184="","",IF(JobType="Chemical Cleaning",CC_HX,INDEX(DecFill,MATCH("Exchanger",DecTypeU,0))))</f>
        <v/>
      </c>
      <c r="G185" s="35" t="str">
        <f aca="false">IF(G184="","",IF(JobType="Chemical Cleaning",CC_HX,INDEX(DecFill,MATCH("Exchanger",DecTypeU,0))))</f>
        <v/>
      </c>
      <c r="H185" s="35" t="str">
        <f aca="false">IF(H184="","",IF(JobType="Chemical Cleaning",CC_HX,INDEX(DecFill,MATCH("Exchanger",DecTypeU,0))))</f>
        <v/>
      </c>
      <c r="I185" s="36"/>
      <c r="J185" s="24" t="s">
        <v>147</v>
      </c>
    </row>
    <row r="186" customFormat="false" ht="15" hidden="false" customHeight="false" outlineLevel="0" collapsed="false">
      <c r="B186" s="4" t="s">
        <v>148</v>
      </c>
      <c r="C186" s="15" t="s">
        <v>109</v>
      </c>
      <c r="D186" s="31" t="str">
        <f aca="false">IF(OR(D184="",D185=""),"",D184*D185)</f>
        <v/>
      </c>
      <c r="E186" s="31" t="str">
        <f aca="false">IF(OR(E184="",E185=""),"",E184*E185)</f>
        <v/>
      </c>
      <c r="F186" s="31" t="str">
        <f aca="false">IF(OR(F184="",F185=""),"",F184*F185)</f>
        <v/>
      </c>
      <c r="G186" s="31" t="str">
        <f aca="false">IF(OR(G184="",G185=""),"",G184*G185)</f>
        <v/>
      </c>
      <c r="H186" s="31" t="str">
        <f aca="false">IF(OR(H184="",H185=""),"",H184*H185)</f>
        <v/>
      </c>
      <c r="I186" s="31" t="str">
        <f aca="false">IF(COUNT(D186:H186)=0,"",SUM(D186:H186))</f>
        <v/>
      </c>
      <c r="J186" s="24"/>
      <c r="K186" s="32" t="s">
        <v>149</v>
      </c>
    </row>
    <row r="187" customFormat="false" ht="15" hidden="false" customHeight="false" outlineLevel="0" collapsed="false">
      <c r="B187" s="9" t="s">
        <v>150</v>
      </c>
      <c r="C187" s="15" t="s">
        <v>32</v>
      </c>
      <c r="D187" s="37" t="str">
        <f aca="false">IF(OR(JobType&lt;&gt;"Decontamination",D186=""),"",D186*INDEX(DecChem,MATCH("Exchanger",DecTypeU,0))*1000)</f>
        <v/>
      </c>
      <c r="E187" s="37" t="str">
        <f aca="false">IF(OR(JobType&lt;&gt;"Decontamination",E186=""),"",E186*INDEX(DecChem,MATCH("Exchanger",DecTypeU,0))*1000)</f>
        <v/>
      </c>
      <c r="F187" s="37" t="str">
        <f aca="false">IF(OR(JobType&lt;&gt;"Decontamination",F186=""),"",F186*INDEX(DecChem,MATCH("Exchanger",DecTypeU,0))*1000)</f>
        <v/>
      </c>
      <c r="G187" s="37" t="str">
        <f aca="false">IF(OR(JobType&lt;&gt;"Decontamination",G186=""),"",G186*INDEX(DecChem,MATCH("Exchanger",DecTypeU,0))*1000)</f>
        <v/>
      </c>
      <c r="H187" s="37" t="str">
        <f aca="false">IF(OR(JobType&lt;&gt;"Decontamination",H186=""),"",H186*INDEX(DecChem,MATCH("Exchanger",DecTypeU,0))*1000)</f>
        <v/>
      </c>
      <c r="I187" s="38" t="str">
        <f aca="false">IF(COUNT(D187:H187)=0,"",SUM(D187:H187))</f>
        <v/>
      </c>
      <c r="J187" s="24" t="s">
        <v>151</v>
      </c>
      <c r="K187" s="32" t="s">
        <v>152</v>
      </c>
    </row>
    <row r="189" customFormat="false" ht="15" hidden="false" customHeight="false" outlineLevel="0" collapsed="false">
      <c r="A189" s="20" t="n">
        <v>5</v>
      </c>
      <c r="B189" s="21" t="s">
        <v>156</v>
      </c>
      <c r="C189" s="22"/>
      <c r="D189" s="22"/>
      <c r="E189" s="22"/>
      <c r="F189" s="22"/>
      <c r="G189" s="22"/>
      <c r="H189" s="22"/>
      <c r="I189" s="22"/>
      <c r="J189" s="22"/>
    </row>
    <row r="190" customFormat="false" ht="15" hidden="false" customHeight="false" outlineLevel="0" collapsed="false">
      <c r="B190" s="9" t="s">
        <v>83</v>
      </c>
      <c r="C190" s="15" t="s">
        <v>29</v>
      </c>
      <c r="D190" s="8"/>
      <c r="E190" s="8"/>
      <c r="F190" s="8"/>
      <c r="G190" s="8"/>
      <c r="H190" s="8"/>
      <c r="I190" s="23"/>
      <c r="J190" s="24"/>
    </row>
    <row r="191" customFormat="false" ht="15" hidden="false" customHeight="false" outlineLevel="0" collapsed="false">
      <c r="B191" s="9" t="s">
        <v>86</v>
      </c>
      <c r="C191" s="15" t="s">
        <v>29</v>
      </c>
      <c r="D191" s="8"/>
      <c r="E191" s="8"/>
      <c r="F191" s="8"/>
      <c r="G191" s="8"/>
      <c r="H191" s="8"/>
      <c r="I191" s="23"/>
      <c r="J191" s="24"/>
    </row>
    <row r="192" customFormat="false" ht="15" hidden="false" customHeight="false" outlineLevel="0" collapsed="false">
      <c r="B192" s="9" t="s">
        <v>87</v>
      </c>
      <c r="C192" s="15" t="s">
        <v>29</v>
      </c>
      <c r="D192" s="8"/>
      <c r="E192" s="8"/>
      <c r="F192" s="8"/>
      <c r="G192" s="8"/>
      <c r="H192" s="8"/>
      <c r="I192" s="23"/>
      <c r="J192" s="24"/>
    </row>
    <row r="193" customFormat="false" ht="15" hidden="false" customHeight="false" outlineLevel="0" collapsed="false">
      <c r="B193" s="25" t="s">
        <v>88</v>
      </c>
      <c r="C193" s="26"/>
      <c r="D193" s="26"/>
      <c r="E193" s="26"/>
      <c r="F193" s="26"/>
      <c r="G193" s="26"/>
      <c r="H193" s="26"/>
      <c r="I193" s="26"/>
      <c r="J193" s="26"/>
    </row>
    <row r="194" customFormat="false" ht="15" hidden="false" customHeight="false" outlineLevel="0" collapsed="false">
      <c r="B194" s="9" t="s">
        <v>89</v>
      </c>
      <c r="C194" s="15" t="s">
        <v>90</v>
      </c>
      <c r="D194" s="8"/>
      <c r="E194" s="8"/>
      <c r="F194" s="8"/>
      <c r="G194" s="8"/>
      <c r="H194" s="8"/>
      <c r="I194" s="23"/>
      <c r="J194" s="24"/>
    </row>
    <row r="195" customFormat="false" ht="15" hidden="false" customHeight="false" outlineLevel="0" collapsed="false">
      <c r="B195" s="9" t="s">
        <v>91</v>
      </c>
      <c r="C195" s="8" t="s">
        <v>92</v>
      </c>
      <c r="D195" s="8"/>
      <c r="E195" s="8"/>
      <c r="F195" s="8"/>
      <c r="G195" s="8"/>
      <c r="H195" s="8"/>
      <c r="I195" s="23"/>
      <c r="J195" s="24" t="s">
        <v>93</v>
      </c>
    </row>
    <row r="196" customFormat="false" ht="15" hidden="false" customHeight="false" outlineLevel="0" collapsed="false">
      <c r="B196" s="9" t="s">
        <v>94</v>
      </c>
      <c r="C196" s="8" t="s">
        <v>92</v>
      </c>
      <c r="D196" s="8"/>
      <c r="E196" s="8"/>
      <c r="F196" s="8"/>
      <c r="G196" s="8"/>
      <c r="H196" s="8"/>
      <c r="I196" s="23"/>
      <c r="J196" s="24"/>
    </row>
    <row r="197" customFormat="false" ht="15" hidden="false" customHeight="false" outlineLevel="0" collapsed="false">
      <c r="B197" s="9" t="s">
        <v>95</v>
      </c>
      <c r="C197" s="8" t="s">
        <v>92</v>
      </c>
      <c r="D197" s="8"/>
      <c r="E197" s="8"/>
      <c r="F197" s="8"/>
      <c r="G197" s="8"/>
      <c r="H197" s="8"/>
      <c r="I197" s="23"/>
      <c r="J197" s="24"/>
    </row>
    <row r="198" customFormat="false" ht="15" hidden="false" customHeight="false" outlineLevel="0" collapsed="false">
      <c r="B198" s="9" t="s">
        <v>96</v>
      </c>
      <c r="C198" s="8" t="s">
        <v>92</v>
      </c>
      <c r="D198" s="8"/>
      <c r="E198" s="8"/>
      <c r="F198" s="8"/>
      <c r="G198" s="8"/>
      <c r="H198" s="8"/>
      <c r="I198" s="23"/>
      <c r="J198" s="24" t="s">
        <v>97</v>
      </c>
    </row>
    <row r="199" customFormat="false" ht="15" hidden="false" customHeight="false" outlineLevel="0" collapsed="false">
      <c r="B199" s="9" t="s">
        <v>98</v>
      </c>
      <c r="C199" s="15" t="s">
        <v>29</v>
      </c>
      <c r="D199" s="8" t="s">
        <v>99</v>
      </c>
      <c r="E199" s="8" t="s">
        <v>99</v>
      </c>
      <c r="F199" s="8" t="s">
        <v>99</v>
      </c>
      <c r="G199" s="8" t="s">
        <v>99</v>
      </c>
      <c r="H199" s="8" t="s">
        <v>99</v>
      </c>
      <c r="I199" s="23"/>
      <c r="J199" s="24"/>
    </row>
    <row r="200" customFormat="false" ht="15" hidden="false" customHeight="false" outlineLevel="0" collapsed="false">
      <c r="B200" s="9" t="s">
        <v>100</v>
      </c>
      <c r="C200" s="8" t="s">
        <v>92</v>
      </c>
      <c r="D200" s="8"/>
      <c r="E200" s="8"/>
      <c r="F200" s="8"/>
      <c r="G200" s="8"/>
      <c r="H200" s="8"/>
      <c r="I200" s="23"/>
      <c r="J200" s="24"/>
    </row>
    <row r="201" customFormat="false" ht="15" hidden="false" customHeight="false" outlineLevel="0" collapsed="false">
      <c r="B201" s="9" t="s">
        <v>101</v>
      </c>
      <c r="C201" s="8" t="s">
        <v>92</v>
      </c>
      <c r="D201" s="8"/>
      <c r="E201" s="8"/>
      <c r="F201" s="8"/>
      <c r="G201" s="8"/>
      <c r="H201" s="8"/>
      <c r="I201" s="23"/>
      <c r="J201" s="24"/>
    </row>
    <row r="202" customFormat="false" ht="15" hidden="false" customHeight="false" outlineLevel="0" collapsed="false">
      <c r="B202" s="9" t="s">
        <v>102</v>
      </c>
      <c r="C202" s="15" t="s">
        <v>29</v>
      </c>
      <c r="D202" s="8"/>
      <c r="E202" s="8"/>
      <c r="F202" s="8"/>
      <c r="G202" s="8"/>
      <c r="H202" s="8"/>
      <c r="I202" s="23"/>
      <c r="J202" s="24"/>
    </row>
    <row r="203" customFormat="false" ht="15" hidden="false" customHeight="false" outlineLevel="0" collapsed="false">
      <c r="B203" s="9" t="s">
        <v>104</v>
      </c>
      <c r="C203" s="8" t="s">
        <v>92</v>
      </c>
      <c r="D203" s="8"/>
      <c r="E203" s="8"/>
      <c r="F203" s="8"/>
      <c r="G203" s="8"/>
      <c r="H203" s="8"/>
      <c r="I203" s="23"/>
      <c r="J203" s="24"/>
    </row>
    <row r="204" customFormat="false" ht="15" hidden="false" customHeight="false" outlineLevel="0" collapsed="false">
      <c r="B204" s="9" t="s">
        <v>105</v>
      </c>
      <c r="C204" s="8" t="s">
        <v>92</v>
      </c>
      <c r="D204" s="8"/>
      <c r="E204" s="8"/>
      <c r="F204" s="8"/>
      <c r="G204" s="8"/>
      <c r="H204" s="8"/>
      <c r="I204" s="23"/>
      <c r="J204" s="24"/>
    </row>
    <row r="205" customFormat="false" ht="15" hidden="false" customHeight="false" outlineLevel="0" collapsed="false">
      <c r="B205" s="9" t="s">
        <v>106</v>
      </c>
      <c r="C205" s="15" t="s">
        <v>29</v>
      </c>
      <c r="D205" s="8"/>
      <c r="E205" s="8"/>
      <c r="F205" s="8"/>
      <c r="G205" s="8"/>
      <c r="H205" s="8"/>
      <c r="I205" s="23"/>
      <c r="J205" s="24"/>
    </row>
    <row r="206" customFormat="false" ht="15" hidden="false" customHeight="false" outlineLevel="0" collapsed="false">
      <c r="B206" s="9" t="s">
        <v>108</v>
      </c>
      <c r="C206" s="8" t="s">
        <v>109</v>
      </c>
      <c r="D206" s="8"/>
      <c r="E206" s="8"/>
      <c r="F206" s="8"/>
      <c r="G206" s="8"/>
      <c r="H206" s="8"/>
      <c r="I206" s="23"/>
      <c r="J206" s="24" t="s">
        <v>110</v>
      </c>
    </row>
    <row r="207" customFormat="false" ht="15" hidden="false" customHeight="false" outlineLevel="0" collapsed="false">
      <c r="B207" s="9" t="s">
        <v>111</v>
      </c>
      <c r="C207" s="8" t="s">
        <v>112</v>
      </c>
      <c r="D207" s="8"/>
      <c r="E207" s="8"/>
      <c r="F207" s="8"/>
      <c r="G207" s="8"/>
      <c r="H207" s="8"/>
      <c r="I207" s="23"/>
      <c r="J207" s="24"/>
    </row>
    <row r="208" customFormat="false" ht="15" hidden="false" customHeight="false" outlineLevel="0" collapsed="false">
      <c r="B208" s="25" t="s">
        <v>113</v>
      </c>
      <c r="C208" s="26"/>
      <c r="D208" s="26"/>
      <c r="E208" s="26"/>
      <c r="F208" s="26"/>
      <c r="G208" s="26"/>
      <c r="H208" s="26"/>
      <c r="I208" s="26"/>
      <c r="J208" s="26"/>
    </row>
    <row r="209" customFormat="false" ht="15" hidden="false" customHeight="false" outlineLevel="0" collapsed="false">
      <c r="B209" s="9" t="s">
        <v>114</v>
      </c>
      <c r="C209" s="8" t="s">
        <v>92</v>
      </c>
      <c r="D209" s="8"/>
      <c r="E209" s="8"/>
      <c r="F209" s="8"/>
      <c r="G209" s="8"/>
      <c r="H209" s="8"/>
      <c r="I209" s="23"/>
      <c r="J209" s="24" t="s">
        <v>115</v>
      </c>
    </row>
    <row r="210" customFormat="false" ht="15" hidden="false" customHeight="false" outlineLevel="0" collapsed="false">
      <c r="B210" s="9" t="s">
        <v>116</v>
      </c>
      <c r="C210" s="8" t="s">
        <v>92</v>
      </c>
      <c r="D210" s="8"/>
      <c r="E210" s="8"/>
      <c r="F210" s="8"/>
      <c r="G210" s="8"/>
      <c r="H210" s="8"/>
      <c r="I210" s="23"/>
      <c r="J210" s="24" t="s">
        <v>117</v>
      </c>
    </row>
    <row r="211" customFormat="false" ht="15" hidden="false" customHeight="false" outlineLevel="0" collapsed="false">
      <c r="B211" s="9" t="s">
        <v>118</v>
      </c>
      <c r="C211" s="15" t="s">
        <v>29</v>
      </c>
      <c r="D211" s="8"/>
      <c r="E211" s="8"/>
      <c r="F211" s="8"/>
      <c r="G211" s="8"/>
      <c r="H211" s="8"/>
      <c r="I211" s="23"/>
      <c r="J211" s="24"/>
    </row>
    <row r="212" customFormat="false" ht="15" hidden="false" customHeight="false" outlineLevel="0" collapsed="false">
      <c r="B212" s="9" t="s">
        <v>119</v>
      </c>
      <c r="C212" s="8" t="s">
        <v>112</v>
      </c>
      <c r="D212" s="8"/>
      <c r="E212" s="8"/>
      <c r="F212" s="8"/>
      <c r="G212" s="8"/>
      <c r="H212" s="8"/>
      <c r="I212" s="23"/>
      <c r="J212" s="24"/>
    </row>
    <row r="213" customFormat="false" ht="15" hidden="false" customHeight="false" outlineLevel="0" collapsed="false">
      <c r="B213" s="25" t="s">
        <v>120</v>
      </c>
      <c r="C213" s="26"/>
      <c r="D213" s="26"/>
      <c r="E213" s="26"/>
      <c r="F213" s="26"/>
      <c r="G213" s="26"/>
      <c r="H213" s="26"/>
      <c r="I213" s="26"/>
      <c r="J213" s="26"/>
    </row>
    <row r="214" customFormat="false" ht="15" hidden="false" customHeight="false" outlineLevel="0" collapsed="false">
      <c r="B214" s="9" t="s">
        <v>121</v>
      </c>
      <c r="C214" s="15" t="s">
        <v>29</v>
      </c>
      <c r="D214" s="8" t="s">
        <v>122</v>
      </c>
      <c r="E214" s="8" t="s">
        <v>122</v>
      </c>
      <c r="F214" s="8" t="s">
        <v>122</v>
      </c>
      <c r="G214" s="8" t="s">
        <v>122</v>
      </c>
      <c r="H214" s="8" t="s">
        <v>122</v>
      </c>
      <c r="I214" s="23"/>
      <c r="J214" s="24"/>
    </row>
    <row r="215" customFormat="false" ht="15" hidden="false" customHeight="false" outlineLevel="0" collapsed="false">
      <c r="B215" s="9" t="s">
        <v>123</v>
      </c>
      <c r="C215" s="15" t="s">
        <v>29</v>
      </c>
      <c r="D215" s="8" t="s">
        <v>122</v>
      </c>
      <c r="E215" s="8" t="s">
        <v>122</v>
      </c>
      <c r="F215" s="8" t="s">
        <v>122</v>
      </c>
      <c r="G215" s="8" t="s">
        <v>122</v>
      </c>
      <c r="H215" s="8" t="s">
        <v>122</v>
      </c>
      <c r="I215" s="23"/>
      <c r="J215" s="24"/>
    </row>
    <row r="216" customFormat="false" ht="15" hidden="false" customHeight="false" outlineLevel="0" collapsed="false">
      <c r="B216" s="25" t="s">
        <v>124</v>
      </c>
      <c r="C216" s="26"/>
      <c r="D216" s="26"/>
      <c r="E216" s="26"/>
      <c r="F216" s="26"/>
      <c r="G216" s="26"/>
      <c r="H216" s="26"/>
      <c r="I216" s="26"/>
      <c r="J216" s="26"/>
    </row>
    <row r="217" customFormat="false" ht="15" hidden="false" customHeight="false" outlineLevel="0" collapsed="false">
      <c r="B217" s="9" t="s">
        <v>125</v>
      </c>
      <c r="C217" s="15" t="s">
        <v>92</v>
      </c>
      <c r="D217" s="27" t="str">
        <f aca="false">IF(ISNUMBER(D195),D195*INDEX(LenF,MATCH($C$195,LenU,0))*1000,IF(ISNUMBER(D198),D198*INDEX(LenF,MATCH($C$198,LenU,0))/PitchRatio*1000,""))</f>
        <v/>
      </c>
      <c r="E217" s="27" t="str">
        <f aca="false">IF(ISNUMBER(E195),E195*INDEX(LenF,MATCH($C$195,LenU,0))*1000,IF(ISNUMBER(E198),E198*INDEX(LenF,MATCH($C$198,LenU,0))/PitchRatio*1000,""))</f>
        <v/>
      </c>
      <c r="F217" s="27" t="str">
        <f aca="false">IF(ISNUMBER(F195),F195*INDEX(LenF,MATCH($C$195,LenU,0))*1000,IF(ISNUMBER(F198),F198*INDEX(LenF,MATCH($C$198,LenU,0))/PitchRatio*1000,""))</f>
        <v/>
      </c>
      <c r="G217" s="27" t="str">
        <f aca="false">IF(ISNUMBER(G195),G195*INDEX(LenF,MATCH($C$195,LenU,0))*1000,IF(ISNUMBER(G198),G198*INDEX(LenF,MATCH($C$198,LenU,0))/PitchRatio*1000,""))</f>
        <v/>
      </c>
      <c r="H217" s="27" t="str">
        <f aca="false">IF(ISNUMBER(H195),H195*INDEX(LenF,MATCH($C$195,LenU,0))*1000,IF(ISNUMBER(H198),H198*INDEX(LenF,MATCH($C$198,LenU,0))/PitchRatio*1000,""))</f>
        <v/>
      </c>
      <c r="I217" s="28"/>
      <c r="J217" s="24" t="s">
        <v>126</v>
      </c>
    </row>
    <row r="218" customFormat="false" ht="15" hidden="false" customHeight="false" outlineLevel="0" collapsed="false">
      <c r="B218" s="9" t="s">
        <v>127</v>
      </c>
      <c r="C218" s="15" t="s">
        <v>109</v>
      </c>
      <c r="D218" s="29" t="str">
        <f aca="false">IF(AND(ISNUMBER(D194),ISNUMBER(D196),ISNUMBER(D197)),D194*PI()/4*(D196*INDEX(LenF,MATCH($C$196,LenU,0)))^2*D197*INDEX(LenF,MATCH($C$197,LenU,0)),"")</f>
        <v/>
      </c>
      <c r="E218" s="29" t="str">
        <f aca="false">IF(AND(ISNUMBER(E194),ISNUMBER(E196),ISNUMBER(E197)),E194*PI()/4*(E196*INDEX(LenF,MATCH($C$196,LenU,0)))^2*E197*INDEX(LenF,MATCH($C$197,LenU,0)),"")</f>
        <v/>
      </c>
      <c r="F218" s="29" t="str">
        <f aca="false">IF(AND(ISNUMBER(F194),ISNUMBER(F196),ISNUMBER(F197)),F194*PI()/4*(F196*INDEX(LenF,MATCH($C$196,LenU,0)))^2*F197*INDEX(LenF,MATCH($C$197,LenU,0)),"")</f>
        <v/>
      </c>
      <c r="G218" s="29" t="str">
        <f aca="false">IF(AND(ISNUMBER(G194),ISNUMBER(G196),ISNUMBER(G197)),G194*PI()/4*(G196*INDEX(LenF,MATCH($C$196,LenU,0)))^2*G197*INDEX(LenF,MATCH($C$197,LenU,0)),"")</f>
        <v/>
      </c>
      <c r="H218" s="29" t="str">
        <f aca="false">IF(AND(ISNUMBER(H194),ISNUMBER(H196),ISNUMBER(H197)),H194*PI()/4*(H196*INDEX(LenF,MATCH($C$196,LenU,0)))^2*H197*INDEX(LenF,MATCH($C$197,LenU,0)),"")</f>
        <v/>
      </c>
      <c r="I218" s="30" t="str">
        <f aca="false">IF(COUNT(D218:H218)=0,"",SUM(D218:H218))</f>
        <v/>
      </c>
      <c r="J218" s="24"/>
    </row>
    <row r="219" customFormat="false" ht="15" hidden="false" customHeight="false" outlineLevel="0" collapsed="false">
      <c r="B219" s="9" t="s">
        <v>128</v>
      </c>
      <c r="C219" s="15" t="s">
        <v>109</v>
      </c>
      <c r="D219" s="29" t="n">
        <f aca="false">IF(ISNUMBER(D206),D206*INDEX(VolF,MATCH($C$206,VolU,0)),IF(ISNUMBER(D200),PI()/4*(D200*INDEX(LenF,MATCH($C$200,LenU,0)))^2*N(D201)*INDEX(LenF,MATCH($C$201,LenU,0))+IF(D202="",0,IF(D202="Conical",PI()/12*(D200*INDEX(LenF,MATCH($C$200,LenU,0)))^2*(0),INDEX(HeadK,MATCH(D202,HeadU,0))*(D200*INDEX(LenF,MATCH($C$200,LenU,0)))^3)),0)+IF(ISNUMBER(D203),PI()/4*(D203*INDEX(LenF,MATCH($C$203,LenU,0)))^2*N(D204)*INDEX(LenF,MATCH($C$204,LenU,0))+IF(D205="",0,IF(D205="Conical",PI()/12*(D203*INDEX(LenF,MATCH($C$203,LenU,0)))^2*(0),INDEX(HeadK,MATCH(D205,HeadU,0))*(D203*INDEX(LenF,MATCH($C$203,LenU,0)))^3)),0))</f>
        <v>0</v>
      </c>
      <c r="E219" s="29" t="n">
        <f aca="false">IF(ISNUMBER(E206),E206*INDEX(VolF,MATCH($C$206,VolU,0)),IF(ISNUMBER(E200),PI()/4*(E200*INDEX(LenF,MATCH($C$200,LenU,0)))^2*N(E201)*INDEX(LenF,MATCH($C$201,LenU,0))+IF(E202="",0,IF(E202="Conical",PI()/12*(E200*INDEX(LenF,MATCH($C$200,LenU,0)))^2*(0),INDEX(HeadK,MATCH(E202,HeadU,0))*(E200*INDEX(LenF,MATCH($C$200,LenU,0)))^3)),0)+IF(ISNUMBER(E203),PI()/4*(E203*INDEX(LenF,MATCH($C$203,LenU,0)))^2*N(E204)*INDEX(LenF,MATCH($C$204,LenU,0))+IF(E205="",0,IF(E205="Conical",PI()/12*(E203*INDEX(LenF,MATCH($C$203,LenU,0)))^2*(0),INDEX(HeadK,MATCH(E205,HeadU,0))*(E203*INDEX(LenF,MATCH($C$203,LenU,0)))^3)),0))</f>
        <v>0</v>
      </c>
      <c r="F219" s="29" t="n">
        <f aca="false">IF(ISNUMBER(F206),F206*INDEX(VolF,MATCH($C$206,VolU,0)),IF(ISNUMBER(F200),PI()/4*(F200*INDEX(LenF,MATCH($C$200,LenU,0)))^2*N(F201)*INDEX(LenF,MATCH($C$201,LenU,0))+IF(F202="",0,IF(F202="Conical",PI()/12*(F200*INDEX(LenF,MATCH($C$200,LenU,0)))^2*(0),INDEX(HeadK,MATCH(F202,HeadU,0))*(F200*INDEX(LenF,MATCH($C$200,LenU,0)))^3)),0)+IF(ISNUMBER(F203),PI()/4*(F203*INDEX(LenF,MATCH($C$203,LenU,0)))^2*N(F204)*INDEX(LenF,MATCH($C$204,LenU,0))+IF(F205="",0,IF(F205="Conical",PI()/12*(F203*INDEX(LenF,MATCH($C$203,LenU,0)))^2*(0),INDEX(HeadK,MATCH(F205,HeadU,0))*(F203*INDEX(LenF,MATCH($C$203,LenU,0)))^3)),0))</f>
        <v>0</v>
      </c>
      <c r="G219" s="29" t="n">
        <f aca="false">IF(ISNUMBER(G206),G206*INDEX(VolF,MATCH($C$206,VolU,0)),IF(ISNUMBER(G200),PI()/4*(G200*INDEX(LenF,MATCH($C$200,LenU,0)))^2*N(G201)*INDEX(LenF,MATCH($C$201,LenU,0))+IF(G202="",0,IF(G202="Conical",PI()/12*(G200*INDEX(LenF,MATCH($C$200,LenU,0)))^2*(0),INDEX(HeadK,MATCH(G202,HeadU,0))*(G200*INDEX(LenF,MATCH($C$200,LenU,0)))^3)),0)+IF(ISNUMBER(G203),PI()/4*(G203*INDEX(LenF,MATCH($C$203,LenU,0)))^2*N(G204)*INDEX(LenF,MATCH($C$204,LenU,0))+IF(G205="",0,IF(G205="Conical",PI()/12*(G203*INDEX(LenF,MATCH($C$203,LenU,0)))^2*(0),INDEX(HeadK,MATCH(G205,HeadU,0))*(G203*INDEX(LenF,MATCH($C$203,LenU,0)))^3)),0))</f>
        <v>0</v>
      </c>
      <c r="H219" s="29" t="n">
        <f aca="false">IF(ISNUMBER(H206),H206*INDEX(VolF,MATCH($C$206,VolU,0)),IF(ISNUMBER(H200),PI()/4*(H200*INDEX(LenF,MATCH($C$200,LenU,0)))^2*N(H201)*INDEX(LenF,MATCH($C$201,LenU,0))+IF(H202="",0,IF(H202="Conical",PI()/12*(H200*INDEX(LenF,MATCH($C$200,LenU,0)))^2*(0),INDEX(HeadK,MATCH(H202,HeadU,0))*(H200*INDEX(LenF,MATCH($C$200,LenU,0)))^3)),0)+IF(ISNUMBER(H203),PI()/4*(H203*INDEX(LenF,MATCH($C$203,LenU,0)))^2*N(H204)*INDEX(LenF,MATCH($C$204,LenU,0))+IF(H205="",0,IF(H205="Conical",PI()/12*(H203*INDEX(LenF,MATCH($C$203,LenU,0)))^2*(0),INDEX(HeadK,MATCH(H205,HeadU,0))*(H203*INDEX(LenF,MATCH($C$203,LenU,0)))^3)),0))</f>
        <v>0</v>
      </c>
      <c r="I219" s="30" t="n">
        <f aca="false">IF(COUNT(D219:H219)=0,"",SUM(D219:H219))</f>
        <v>0</v>
      </c>
      <c r="J219" s="24" t="s">
        <v>129</v>
      </c>
    </row>
    <row r="220" customFormat="false" ht="15" hidden="false" customHeight="false" outlineLevel="0" collapsed="false">
      <c r="B220" s="9" t="s">
        <v>130</v>
      </c>
      <c r="C220" s="15" t="s">
        <v>109</v>
      </c>
      <c r="D220" s="29" t="str">
        <f aca="false">IF(D218="","",D218+D219)</f>
        <v/>
      </c>
      <c r="E220" s="29" t="str">
        <f aca="false">IF(E218="","",E218+E219)</f>
        <v/>
      </c>
      <c r="F220" s="29" t="str">
        <f aca="false">IF(F218="","",F218+F219)</f>
        <v/>
      </c>
      <c r="G220" s="29" t="str">
        <f aca="false">IF(G218="","",G218+G219)</f>
        <v/>
      </c>
      <c r="H220" s="29" t="str">
        <f aca="false">IF(H218="","",H218+H219)</f>
        <v/>
      </c>
      <c r="I220" s="30" t="str">
        <f aca="false">IF(COUNT(D220:H220)=0,"",SUM(D220:H220))</f>
        <v/>
      </c>
      <c r="J220" s="24"/>
    </row>
    <row r="221" customFormat="false" ht="15" hidden="false" customHeight="false" outlineLevel="0" collapsed="false">
      <c r="B221" s="9" t="s">
        <v>131</v>
      </c>
      <c r="C221" s="15" t="s">
        <v>109</v>
      </c>
      <c r="D221" s="29" t="str">
        <f aca="false">IF(ISNUMBER(D207),D207*INDEX(WtF,MATCH($C$207,WtU,0))/WaterRho,"")</f>
        <v/>
      </c>
      <c r="E221" s="29" t="str">
        <f aca="false">IF(ISNUMBER(E207),E207*INDEX(WtF,MATCH($C$207,WtU,0))/WaterRho,"")</f>
        <v/>
      </c>
      <c r="F221" s="29" t="str">
        <f aca="false">IF(ISNUMBER(F207),F207*INDEX(WtF,MATCH($C$207,WtU,0))/WaterRho,"")</f>
        <v/>
      </c>
      <c r="G221" s="29" t="str">
        <f aca="false">IF(ISNUMBER(G207),G207*INDEX(WtF,MATCH($C$207,WtU,0))/WaterRho,"")</f>
        <v/>
      </c>
      <c r="H221" s="29" t="str">
        <f aca="false">IF(ISNUMBER(H207),H207*INDEX(WtF,MATCH($C$207,WtU,0))/WaterRho,"")</f>
        <v/>
      </c>
      <c r="I221" s="30" t="str">
        <f aca="false">IF(COUNT(D221:H221)=0,"",SUM(D221:H221))</f>
        <v/>
      </c>
      <c r="J221" s="24"/>
    </row>
    <row r="222" customFormat="false" ht="15" hidden="false" customHeight="false" outlineLevel="0" collapsed="false">
      <c r="B222" s="4" t="s">
        <v>132</v>
      </c>
      <c r="C222" s="15" t="s">
        <v>109</v>
      </c>
      <c r="D222" s="31" t="str">
        <f aca="false">IF(D214="Water weight",D221,D220)</f>
        <v/>
      </c>
      <c r="E222" s="31" t="str">
        <f aca="false">IF(E214="Water weight",E221,E220)</f>
        <v/>
      </c>
      <c r="F222" s="31" t="str">
        <f aca="false">IF(F214="Water weight",F221,F220)</f>
        <v/>
      </c>
      <c r="G222" s="31" t="str">
        <f aca="false">IF(G214="Water weight",G221,G220)</f>
        <v/>
      </c>
      <c r="H222" s="31" t="str">
        <f aca="false">IF(H214="Water weight",H221,H220)</f>
        <v/>
      </c>
      <c r="I222" s="31" t="str">
        <f aca="false">IF(COUNT(D222:H222)=0,"",SUM(D222:H222))</f>
        <v/>
      </c>
      <c r="J222" s="24"/>
      <c r="K222" s="32" t="s">
        <v>133</v>
      </c>
    </row>
    <row r="223" customFormat="false" ht="15" hidden="false" customHeight="false" outlineLevel="0" collapsed="false">
      <c r="B223" s="9" t="s">
        <v>134</v>
      </c>
      <c r="C223" s="15" t="s">
        <v>135</v>
      </c>
      <c r="D223" s="33" t="str">
        <f aca="false">IF(ISNUMBER(D209),PI()/4*(D209*INDEX(LenF,MATCH($C$209,LenU,0)))^2,IF(AND(ISNUMBER(D194),ISNUMBER(D198),D199&lt;&gt;""),D194*(D198*INDEX(LenF,MATCH($C$198,LenU,0)))^2*INDEX(LayoutF,MATCH(D199,LayoutU,0)),""))</f>
        <v/>
      </c>
      <c r="E223" s="33" t="str">
        <f aca="false">IF(ISNUMBER(E209),PI()/4*(E209*INDEX(LenF,MATCH($C$209,LenU,0)))^2,IF(AND(ISNUMBER(E194),ISNUMBER(E198),E199&lt;&gt;""),E194*(E198*INDEX(LenF,MATCH($C$198,LenU,0)))^2*INDEX(LayoutF,MATCH(E199,LayoutU,0)),""))</f>
        <v/>
      </c>
      <c r="F223" s="33" t="str">
        <f aca="false">IF(ISNUMBER(F209),PI()/4*(F209*INDEX(LenF,MATCH($C$209,LenU,0)))^2,IF(AND(ISNUMBER(F194),ISNUMBER(F198),F199&lt;&gt;""),F194*(F198*INDEX(LenF,MATCH($C$198,LenU,0)))^2*INDEX(LayoutF,MATCH(F199,LayoutU,0)),""))</f>
        <v/>
      </c>
      <c r="G223" s="33" t="str">
        <f aca="false">IF(ISNUMBER(G209),PI()/4*(G209*INDEX(LenF,MATCH($C$209,LenU,0)))^2,IF(AND(ISNUMBER(G194),ISNUMBER(G198),G199&lt;&gt;""),G194*(G198*INDEX(LenF,MATCH($C$198,LenU,0)))^2*INDEX(LayoutF,MATCH(G199,LayoutU,0)),""))</f>
        <v/>
      </c>
      <c r="H223" s="33" t="str">
        <f aca="false">IF(ISNUMBER(H209),PI()/4*(H209*INDEX(LenF,MATCH($C$209,LenU,0)))^2,IF(AND(ISNUMBER(H194),ISNUMBER(H198),H199&lt;&gt;""),H194*(H198*INDEX(LenF,MATCH($C$198,LenU,0)))^2*INDEX(LayoutF,MATCH(H199,LayoutU,0)),""))</f>
        <v/>
      </c>
      <c r="I223" s="34"/>
      <c r="J223" s="24" t="s">
        <v>136</v>
      </c>
    </row>
    <row r="224" customFormat="false" ht="15" hidden="false" customHeight="false" outlineLevel="0" collapsed="false">
      <c r="B224" s="9" t="s">
        <v>137</v>
      </c>
      <c r="C224" s="15" t="s">
        <v>109</v>
      </c>
      <c r="D224" s="29" t="str">
        <f aca="false">IF(OR(D223="",AND(NOT(ISNUMBER(D210)),NOT(ISNUMBER(D197)))),"",D223*IF(ISNUMBER(D210),D210*INDEX(LenF,MATCH($C$210,LenU,0)),D197*INDEX(LenF,MATCH($C$197,LenU,0)))+IF(D211="",0,IF(D211="Conical",PI()/12*(SQRT(4*D223/PI()))^2*(0),INDEX(HeadK,MATCH(D211,HeadU,0))*(SQRT(4*D223/PI()))^3)))</f>
        <v/>
      </c>
      <c r="E224" s="29" t="str">
        <f aca="false">IF(OR(E223="",AND(NOT(ISNUMBER(E210)),NOT(ISNUMBER(E197)))),"",E223*IF(ISNUMBER(E210),E210*INDEX(LenF,MATCH($C$210,LenU,0)),E197*INDEX(LenF,MATCH($C$197,LenU,0)))+IF(E211="",0,IF(E211="Conical",PI()/12*(SQRT(4*E223/PI()))^2*(0),INDEX(HeadK,MATCH(E211,HeadU,0))*(SQRT(4*E223/PI()))^3)))</f>
        <v/>
      </c>
      <c r="F224" s="29" t="str">
        <f aca="false">IF(OR(F223="",AND(NOT(ISNUMBER(F210)),NOT(ISNUMBER(F197)))),"",F223*IF(ISNUMBER(F210),F210*INDEX(LenF,MATCH($C$210,LenU,0)),F197*INDEX(LenF,MATCH($C$197,LenU,0)))+IF(F211="",0,IF(F211="Conical",PI()/12*(SQRT(4*F223/PI()))^2*(0),INDEX(HeadK,MATCH(F211,HeadU,0))*(SQRT(4*F223/PI()))^3)))</f>
        <v/>
      </c>
      <c r="G224" s="29" t="str">
        <f aca="false">IF(OR(G223="",AND(NOT(ISNUMBER(G210)),NOT(ISNUMBER(G197)))),"",G223*IF(ISNUMBER(G210),G210*INDEX(LenF,MATCH($C$210,LenU,0)),G197*INDEX(LenF,MATCH($C$197,LenU,0)))+IF(G211="",0,IF(G211="Conical",PI()/12*(SQRT(4*G223/PI()))^2*(0),INDEX(HeadK,MATCH(G211,HeadU,0))*(SQRT(4*G223/PI()))^3)))</f>
        <v/>
      </c>
      <c r="H224" s="29" t="str">
        <f aca="false">IF(OR(H223="",AND(NOT(ISNUMBER(H210)),NOT(ISNUMBER(H197)))),"",H223*IF(ISNUMBER(H210),H210*INDEX(LenF,MATCH($C$210,LenU,0)),H197*INDEX(LenF,MATCH($C$197,LenU,0)))+IF(H211="",0,IF(H211="Conical",PI()/12*(SQRT(4*H223/PI()))^2*(0),INDEX(HeadK,MATCH(H211,HeadU,0))*(SQRT(4*H223/PI()))^3)))</f>
        <v/>
      </c>
      <c r="I224" s="30" t="str">
        <f aca="false">IF(COUNT(D224:H224)=0,"",SUM(D224:H224))</f>
        <v/>
      </c>
      <c r="J224" s="24"/>
    </row>
    <row r="225" customFormat="false" ht="15" hidden="false" customHeight="false" outlineLevel="0" collapsed="false">
      <c r="B225" s="9" t="s">
        <v>138</v>
      </c>
      <c r="C225" s="15" t="s">
        <v>109</v>
      </c>
      <c r="D225" s="29" t="str">
        <f aca="false">IF(AND(ISNUMBER(D194),ISNUMBER(D217),ISNUMBER(D197)),D194*PI()/4*(D217/1000)^2*D197*INDEX(LenF,MATCH($C$197,LenU,0)),"")</f>
        <v/>
      </c>
      <c r="E225" s="29" t="str">
        <f aca="false">IF(AND(ISNUMBER(E194),ISNUMBER(E217),ISNUMBER(E197)),E194*PI()/4*(E217/1000)^2*E197*INDEX(LenF,MATCH($C$197,LenU,0)),"")</f>
        <v/>
      </c>
      <c r="F225" s="29" t="str">
        <f aca="false">IF(AND(ISNUMBER(F194),ISNUMBER(F217),ISNUMBER(F197)),F194*PI()/4*(F217/1000)^2*F197*INDEX(LenF,MATCH($C$197,LenU,0)),"")</f>
        <v/>
      </c>
      <c r="G225" s="29" t="str">
        <f aca="false">IF(AND(ISNUMBER(G194),ISNUMBER(G217),ISNUMBER(G197)),G194*PI()/4*(G217/1000)^2*G197*INDEX(LenF,MATCH($C$197,LenU,0)),"")</f>
        <v/>
      </c>
      <c r="H225" s="29" t="str">
        <f aca="false">IF(AND(ISNUMBER(H194),ISNUMBER(H217),ISNUMBER(H197)),H194*PI()/4*(H217/1000)^2*H197*INDEX(LenF,MATCH($C$197,LenU,0)),"")</f>
        <v/>
      </c>
      <c r="I225" s="30" t="str">
        <f aca="false">IF(COUNT(D225:H225)=0,"",SUM(D225:H225))</f>
        <v/>
      </c>
      <c r="J225" s="24"/>
    </row>
    <row r="226" customFormat="false" ht="15" hidden="false" customHeight="false" outlineLevel="0" collapsed="false">
      <c r="B226" s="9" t="s">
        <v>139</v>
      </c>
      <c r="C226" s="15" t="s">
        <v>109</v>
      </c>
      <c r="D226" s="29" t="str">
        <f aca="false">IF(OR(D224="",D225=""),"",D224-D225)</f>
        <v/>
      </c>
      <c r="E226" s="29" t="str">
        <f aca="false">IF(OR(E224="",E225=""),"",E224-E225)</f>
        <v/>
      </c>
      <c r="F226" s="29" t="str">
        <f aca="false">IF(OR(F224="",F225=""),"",F224-F225)</f>
        <v/>
      </c>
      <c r="G226" s="29" t="str">
        <f aca="false">IF(OR(G224="",G225=""),"",G224-G225)</f>
        <v/>
      </c>
      <c r="H226" s="29" t="str">
        <f aca="false">IF(OR(H224="",H225=""),"",H224-H225)</f>
        <v/>
      </c>
      <c r="I226" s="30" t="str">
        <f aca="false">IF(COUNT(D226:H226)=0,"",SUM(D226:H226))</f>
        <v/>
      </c>
      <c r="J226" s="24" t="s">
        <v>140</v>
      </c>
    </row>
    <row r="227" customFormat="false" ht="15" hidden="false" customHeight="false" outlineLevel="0" collapsed="false">
      <c r="B227" s="9" t="s">
        <v>141</v>
      </c>
      <c r="C227" s="15" t="s">
        <v>109</v>
      </c>
      <c r="D227" s="29" t="str">
        <f aca="false">IF(ISNUMBER(D212),D212*INDEX(WtF,MATCH($C$212,WtU,0))/WaterRho,"")</f>
        <v/>
      </c>
      <c r="E227" s="29" t="str">
        <f aca="false">IF(ISNUMBER(E212),E212*INDEX(WtF,MATCH($C$212,WtU,0))/WaterRho,"")</f>
        <v/>
      </c>
      <c r="F227" s="29" t="str">
        <f aca="false">IF(ISNUMBER(F212),F212*INDEX(WtF,MATCH($C$212,WtU,0))/WaterRho,"")</f>
        <v/>
      </c>
      <c r="G227" s="29" t="str">
        <f aca="false">IF(ISNUMBER(G212),G212*INDEX(WtF,MATCH($C$212,WtU,0))/WaterRho,"")</f>
        <v/>
      </c>
      <c r="H227" s="29" t="str">
        <f aca="false">IF(ISNUMBER(H212),H212*INDEX(WtF,MATCH($C$212,WtU,0))/WaterRho,"")</f>
        <v/>
      </c>
      <c r="I227" s="30" t="str">
        <f aca="false">IF(COUNT(D227:H227)=0,"",SUM(D227:H227))</f>
        <v/>
      </c>
      <c r="J227" s="24"/>
    </row>
    <row r="228" customFormat="false" ht="15" hidden="false" customHeight="false" outlineLevel="0" collapsed="false">
      <c r="B228" s="4" t="s">
        <v>142</v>
      </c>
      <c r="C228" s="15" t="s">
        <v>109</v>
      </c>
      <c r="D228" s="31" t="str">
        <f aca="false">IF(D215="Water weight",D227,D226)</f>
        <v/>
      </c>
      <c r="E228" s="31" t="str">
        <f aca="false">IF(E215="Water weight",E227,E226)</f>
        <v/>
      </c>
      <c r="F228" s="31" t="str">
        <f aca="false">IF(F215="Water weight",F227,F226)</f>
        <v/>
      </c>
      <c r="G228" s="31" t="str">
        <f aca="false">IF(G215="Water weight",G227,G226)</f>
        <v/>
      </c>
      <c r="H228" s="31" t="str">
        <f aca="false">IF(H215="Water weight",H227,H226)</f>
        <v/>
      </c>
      <c r="I228" s="31" t="str">
        <f aca="false">IF(COUNT(D228:H228)=0,"",SUM(D228:H228))</f>
        <v/>
      </c>
      <c r="J228" s="24"/>
      <c r="K228" s="32" t="s">
        <v>143</v>
      </c>
    </row>
    <row r="229" customFormat="false" ht="15" hidden="false" customHeight="false" outlineLevel="0" collapsed="false">
      <c r="B229" s="4" t="s">
        <v>144</v>
      </c>
      <c r="C229" s="15" t="s">
        <v>109</v>
      </c>
      <c r="D229" s="31" t="str">
        <f aca="false">IF(AND(D222="",D228=""),"",N(D222)+N(D228))</f>
        <v/>
      </c>
      <c r="E229" s="31" t="str">
        <f aca="false">IF(AND(E222="",E228=""),"",N(E222)+N(E228))</f>
        <v/>
      </c>
      <c r="F229" s="31" t="str">
        <f aca="false">IF(AND(F222="",F228=""),"",N(F222)+N(F228))</f>
        <v/>
      </c>
      <c r="G229" s="31" t="str">
        <f aca="false">IF(AND(G222="",G228=""),"",N(G222)+N(G228))</f>
        <v/>
      </c>
      <c r="H229" s="31" t="str">
        <f aca="false">IF(AND(H222="",H228=""),"",N(H222)+N(H228))</f>
        <v/>
      </c>
      <c r="I229" s="31" t="str">
        <f aca="false">IF(COUNT(D229:H229)=0,"",SUM(D229:H229))</f>
        <v/>
      </c>
      <c r="J229" s="24"/>
      <c r="K229" s="32" t="s">
        <v>145</v>
      </c>
    </row>
    <row r="230" customFormat="false" ht="15" hidden="false" customHeight="false" outlineLevel="0" collapsed="false">
      <c r="B230" s="9" t="s">
        <v>60</v>
      </c>
      <c r="C230" s="15" t="s">
        <v>146</v>
      </c>
      <c r="D230" s="35" t="str">
        <f aca="false">IF(D229="","",IF(JobType="Chemical Cleaning",CC_HX,INDEX(DecFill,MATCH("Exchanger",DecTypeU,0))))</f>
        <v/>
      </c>
      <c r="E230" s="35" t="str">
        <f aca="false">IF(E229="","",IF(JobType="Chemical Cleaning",CC_HX,INDEX(DecFill,MATCH("Exchanger",DecTypeU,0))))</f>
        <v/>
      </c>
      <c r="F230" s="35" t="str">
        <f aca="false">IF(F229="","",IF(JobType="Chemical Cleaning",CC_HX,INDEX(DecFill,MATCH("Exchanger",DecTypeU,0))))</f>
        <v/>
      </c>
      <c r="G230" s="35" t="str">
        <f aca="false">IF(G229="","",IF(JobType="Chemical Cleaning",CC_HX,INDEX(DecFill,MATCH("Exchanger",DecTypeU,0))))</f>
        <v/>
      </c>
      <c r="H230" s="35" t="str">
        <f aca="false">IF(H229="","",IF(JobType="Chemical Cleaning",CC_HX,INDEX(DecFill,MATCH("Exchanger",DecTypeU,0))))</f>
        <v/>
      </c>
      <c r="I230" s="36"/>
      <c r="J230" s="24" t="s">
        <v>147</v>
      </c>
    </row>
    <row r="231" customFormat="false" ht="15" hidden="false" customHeight="false" outlineLevel="0" collapsed="false">
      <c r="B231" s="4" t="s">
        <v>148</v>
      </c>
      <c r="C231" s="15" t="s">
        <v>109</v>
      </c>
      <c r="D231" s="31" t="str">
        <f aca="false">IF(OR(D229="",D230=""),"",D229*D230)</f>
        <v/>
      </c>
      <c r="E231" s="31" t="str">
        <f aca="false">IF(OR(E229="",E230=""),"",E229*E230)</f>
        <v/>
      </c>
      <c r="F231" s="31" t="str">
        <f aca="false">IF(OR(F229="",F230=""),"",F229*F230)</f>
        <v/>
      </c>
      <c r="G231" s="31" t="str">
        <f aca="false">IF(OR(G229="",G230=""),"",G229*G230)</f>
        <v/>
      </c>
      <c r="H231" s="31" t="str">
        <f aca="false">IF(OR(H229="",H230=""),"",H229*H230)</f>
        <v/>
      </c>
      <c r="I231" s="31" t="str">
        <f aca="false">IF(COUNT(D231:H231)=0,"",SUM(D231:H231))</f>
        <v/>
      </c>
      <c r="J231" s="24"/>
      <c r="K231" s="32" t="s">
        <v>149</v>
      </c>
    </row>
    <row r="232" customFormat="false" ht="15" hidden="false" customHeight="false" outlineLevel="0" collapsed="false">
      <c r="B232" s="9" t="s">
        <v>150</v>
      </c>
      <c r="C232" s="15" t="s">
        <v>32</v>
      </c>
      <c r="D232" s="37" t="str">
        <f aca="false">IF(OR(JobType&lt;&gt;"Decontamination",D231=""),"",D231*INDEX(DecChem,MATCH("Exchanger",DecTypeU,0))*1000)</f>
        <v/>
      </c>
      <c r="E232" s="37" t="str">
        <f aca="false">IF(OR(JobType&lt;&gt;"Decontamination",E231=""),"",E231*INDEX(DecChem,MATCH("Exchanger",DecTypeU,0))*1000)</f>
        <v/>
      </c>
      <c r="F232" s="37" t="str">
        <f aca="false">IF(OR(JobType&lt;&gt;"Decontamination",F231=""),"",F231*INDEX(DecChem,MATCH("Exchanger",DecTypeU,0))*1000)</f>
        <v/>
      </c>
      <c r="G232" s="37" t="str">
        <f aca="false">IF(OR(JobType&lt;&gt;"Decontamination",G231=""),"",G231*INDEX(DecChem,MATCH("Exchanger",DecTypeU,0))*1000)</f>
        <v/>
      </c>
      <c r="H232" s="37" t="str">
        <f aca="false">IF(OR(JobType&lt;&gt;"Decontamination",H231=""),"",H231*INDEX(DecChem,MATCH("Exchanger",DecTypeU,0))*1000)</f>
        <v/>
      </c>
      <c r="I232" s="38" t="str">
        <f aca="false">IF(COUNT(D232:H232)=0,"",SUM(D232:H232))</f>
        <v/>
      </c>
      <c r="J232" s="24" t="s">
        <v>151</v>
      </c>
      <c r="K232" s="32" t="s">
        <v>152</v>
      </c>
    </row>
    <row r="234" customFormat="false" ht="15" hidden="false" customHeight="false" outlineLevel="0" collapsed="false">
      <c r="A234" s="20" t="n">
        <v>6</v>
      </c>
      <c r="B234" s="21" t="s">
        <v>157</v>
      </c>
      <c r="C234" s="22"/>
      <c r="D234" s="22"/>
      <c r="E234" s="22"/>
      <c r="F234" s="22"/>
      <c r="G234" s="22"/>
      <c r="H234" s="22"/>
      <c r="I234" s="22"/>
      <c r="J234" s="22"/>
    </row>
    <row r="235" customFormat="false" ht="15" hidden="false" customHeight="false" outlineLevel="0" collapsed="false">
      <c r="B235" s="9" t="s">
        <v>83</v>
      </c>
      <c r="C235" s="15" t="s">
        <v>29</v>
      </c>
      <c r="D235" s="8"/>
      <c r="E235" s="8"/>
      <c r="F235" s="8"/>
      <c r="G235" s="8"/>
      <c r="H235" s="8"/>
      <c r="I235" s="23"/>
      <c r="J235" s="24"/>
    </row>
    <row r="236" customFormat="false" ht="15" hidden="false" customHeight="false" outlineLevel="0" collapsed="false">
      <c r="B236" s="9" t="s">
        <v>86</v>
      </c>
      <c r="C236" s="15" t="s">
        <v>29</v>
      </c>
      <c r="D236" s="8"/>
      <c r="E236" s="8"/>
      <c r="F236" s="8"/>
      <c r="G236" s="8"/>
      <c r="H236" s="8"/>
      <c r="I236" s="23"/>
      <c r="J236" s="24"/>
    </row>
    <row r="237" customFormat="false" ht="15" hidden="false" customHeight="false" outlineLevel="0" collapsed="false">
      <c r="B237" s="9" t="s">
        <v>87</v>
      </c>
      <c r="C237" s="15" t="s">
        <v>29</v>
      </c>
      <c r="D237" s="8"/>
      <c r="E237" s="8"/>
      <c r="F237" s="8"/>
      <c r="G237" s="8"/>
      <c r="H237" s="8"/>
      <c r="I237" s="23"/>
      <c r="J237" s="24"/>
    </row>
    <row r="238" customFormat="false" ht="15" hidden="false" customHeight="false" outlineLevel="0" collapsed="false">
      <c r="B238" s="25" t="s">
        <v>88</v>
      </c>
      <c r="C238" s="26"/>
      <c r="D238" s="26"/>
      <c r="E238" s="26"/>
      <c r="F238" s="26"/>
      <c r="G238" s="26"/>
      <c r="H238" s="26"/>
      <c r="I238" s="26"/>
      <c r="J238" s="26"/>
    </row>
    <row r="239" customFormat="false" ht="15" hidden="false" customHeight="false" outlineLevel="0" collapsed="false">
      <c r="B239" s="9" t="s">
        <v>89</v>
      </c>
      <c r="C239" s="15" t="s">
        <v>90</v>
      </c>
      <c r="D239" s="8"/>
      <c r="E239" s="8"/>
      <c r="F239" s="8"/>
      <c r="G239" s="8"/>
      <c r="H239" s="8"/>
      <c r="I239" s="23"/>
      <c r="J239" s="24"/>
    </row>
    <row r="240" customFormat="false" ht="15" hidden="false" customHeight="false" outlineLevel="0" collapsed="false">
      <c r="B240" s="9" t="s">
        <v>91</v>
      </c>
      <c r="C240" s="8" t="s">
        <v>92</v>
      </c>
      <c r="D240" s="8"/>
      <c r="E240" s="8"/>
      <c r="F240" s="8"/>
      <c r="G240" s="8"/>
      <c r="H240" s="8"/>
      <c r="I240" s="23"/>
      <c r="J240" s="24" t="s">
        <v>93</v>
      </c>
    </row>
    <row r="241" customFormat="false" ht="15" hidden="false" customHeight="false" outlineLevel="0" collapsed="false">
      <c r="B241" s="9" t="s">
        <v>94</v>
      </c>
      <c r="C241" s="8" t="s">
        <v>92</v>
      </c>
      <c r="D241" s="8"/>
      <c r="E241" s="8"/>
      <c r="F241" s="8"/>
      <c r="G241" s="8"/>
      <c r="H241" s="8"/>
      <c r="I241" s="23"/>
      <c r="J241" s="24"/>
    </row>
    <row r="242" customFormat="false" ht="15" hidden="false" customHeight="false" outlineLevel="0" collapsed="false">
      <c r="B242" s="9" t="s">
        <v>95</v>
      </c>
      <c r="C242" s="8" t="s">
        <v>92</v>
      </c>
      <c r="D242" s="8"/>
      <c r="E242" s="8"/>
      <c r="F242" s="8"/>
      <c r="G242" s="8"/>
      <c r="H242" s="8"/>
      <c r="I242" s="23"/>
      <c r="J242" s="24"/>
    </row>
    <row r="243" customFormat="false" ht="15" hidden="false" customHeight="false" outlineLevel="0" collapsed="false">
      <c r="B243" s="9" t="s">
        <v>96</v>
      </c>
      <c r="C243" s="8" t="s">
        <v>92</v>
      </c>
      <c r="D243" s="8"/>
      <c r="E243" s="8"/>
      <c r="F243" s="8"/>
      <c r="G243" s="8"/>
      <c r="H243" s="8"/>
      <c r="I243" s="23"/>
      <c r="J243" s="24" t="s">
        <v>97</v>
      </c>
    </row>
    <row r="244" customFormat="false" ht="15" hidden="false" customHeight="false" outlineLevel="0" collapsed="false">
      <c r="B244" s="9" t="s">
        <v>98</v>
      </c>
      <c r="C244" s="15" t="s">
        <v>29</v>
      </c>
      <c r="D244" s="8" t="s">
        <v>99</v>
      </c>
      <c r="E244" s="8" t="s">
        <v>99</v>
      </c>
      <c r="F244" s="8" t="s">
        <v>99</v>
      </c>
      <c r="G244" s="8" t="s">
        <v>99</v>
      </c>
      <c r="H244" s="8" t="s">
        <v>99</v>
      </c>
      <c r="I244" s="23"/>
      <c r="J244" s="24"/>
    </row>
    <row r="245" customFormat="false" ht="15" hidden="false" customHeight="false" outlineLevel="0" collapsed="false">
      <c r="B245" s="9" t="s">
        <v>100</v>
      </c>
      <c r="C245" s="8" t="s">
        <v>92</v>
      </c>
      <c r="D245" s="8"/>
      <c r="E245" s="8"/>
      <c r="F245" s="8"/>
      <c r="G245" s="8"/>
      <c r="H245" s="8"/>
      <c r="I245" s="23"/>
      <c r="J245" s="24"/>
    </row>
    <row r="246" customFormat="false" ht="15" hidden="false" customHeight="false" outlineLevel="0" collapsed="false">
      <c r="B246" s="9" t="s">
        <v>101</v>
      </c>
      <c r="C246" s="8" t="s">
        <v>92</v>
      </c>
      <c r="D246" s="8"/>
      <c r="E246" s="8"/>
      <c r="F246" s="8"/>
      <c r="G246" s="8"/>
      <c r="H246" s="8"/>
      <c r="I246" s="23"/>
      <c r="J246" s="24"/>
    </row>
    <row r="247" customFormat="false" ht="15" hidden="false" customHeight="false" outlineLevel="0" collapsed="false">
      <c r="B247" s="9" t="s">
        <v>102</v>
      </c>
      <c r="C247" s="15" t="s">
        <v>29</v>
      </c>
      <c r="D247" s="8"/>
      <c r="E247" s="8"/>
      <c r="F247" s="8"/>
      <c r="G247" s="8"/>
      <c r="H247" s="8"/>
      <c r="I247" s="23"/>
      <c r="J247" s="24"/>
    </row>
    <row r="248" customFormat="false" ht="15" hidden="false" customHeight="false" outlineLevel="0" collapsed="false">
      <c r="B248" s="9" t="s">
        <v>104</v>
      </c>
      <c r="C248" s="8" t="s">
        <v>92</v>
      </c>
      <c r="D248" s="8"/>
      <c r="E248" s="8"/>
      <c r="F248" s="8"/>
      <c r="G248" s="8"/>
      <c r="H248" s="8"/>
      <c r="I248" s="23"/>
      <c r="J248" s="24"/>
    </row>
    <row r="249" customFormat="false" ht="15" hidden="false" customHeight="false" outlineLevel="0" collapsed="false">
      <c r="B249" s="9" t="s">
        <v>105</v>
      </c>
      <c r="C249" s="8" t="s">
        <v>92</v>
      </c>
      <c r="D249" s="8"/>
      <c r="E249" s="8"/>
      <c r="F249" s="8"/>
      <c r="G249" s="8"/>
      <c r="H249" s="8"/>
      <c r="I249" s="23"/>
      <c r="J249" s="24"/>
    </row>
    <row r="250" customFormat="false" ht="15" hidden="false" customHeight="false" outlineLevel="0" collapsed="false">
      <c r="B250" s="9" t="s">
        <v>106</v>
      </c>
      <c r="C250" s="15" t="s">
        <v>29</v>
      </c>
      <c r="D250" s="8"/>
      <c r="E250" s="8"/>
      <c r="F250" s="8"/>
      <c r="G250" s="8"/>
      <c r="H250" s="8"/>
      <c r="I250" s="23"/>
      <c r="J250" s="24"/>
    </row>
    <row r="251" customFormat="false" ht="15" hidden="false" customHeight="false" outlineLevel="0" collapsed="false">
      <c r="B251" s="9" t="s">
        <v>108</v>
      </c>
      <c r="C251" s="8" t="s">
        <v>109</v>
      </c>
      <c r="D251" s="8"/>
      <c r="E251" s="8"/>
      <c r="F251" s="8"/>
      <c r="G251" s="8"/>
      <c r="H251" s="8"/>
      <c r="I251" s="23"/>
      <c r="J251" s="24" t="s">
        <v>110</v>
      </c>
    </row>
    <row r="252" customFormat="false" ht="15" hidden="false" customHeight="false" outlineLevel="0" collapsed="false">
      <c r="B252" s="9" t="s">
        <v>111</v>
      </c>
      <c r="C252" s="8" t="s">
        <v>112</v>
      </c>
      <c r="D252" s="8"/>
      <c r="E252" s="8"/>
      <c r="F252" s="8"/>
      <c r="G252" s="8"/>
      <c r="H252" s="8"/>
      <c r="I252" s="23"/>
      <c r="J252" s="24"/>
    </row>
    <row r="253" customFormat="false" ht="15" hidden="false" customHeight="false" outlineLevel="0" collapsed="false">
      <c r="B253" s="25" t="s">
        <v>113</v>
      </c>
      <c r="C253" s="26"/>
      <c r="D253" s="26"/>
      <c r="E253" s="26"/>
      <c r="F253" s="26"/>
      <c r="G253" s="26"/>
      <c r="H253" s="26"/>
      <c r="I253" s="26"/>
      <c r="J253" s="26"/>
    </row>
    <row r="254" customFormat="false" ht="15" hidden="false" customHeight="false" outlineLevel="0" collapsed="false">
      <c r="B254" s="9" t="s">
        <v>114</v>
      </c>
      <c r="C254" s="8" t="s">
        <v>92</v>
      </c>
      <c r="D254" s="8"/>
      <c r="E254" s="8"/>
      <c r="F254" s="8"/>
      <c r="G254" s="8"/>
      <c r="H254" s="8"/>
      <c r="I254" s="23"/>
      <c r="J254" s="24" t="s">
        <v>115</v>
      </c>
    </row>
    <row r="255" customFormat="false" ht="15" hidden="false" customHeight="false" outlineLevel="0" collapsed="false">
      <c r="B255" s="9" t="s">
        <v>116</v>
      </c>
      <c r="C255" s="8" t="s">
        <v>92</v>
      </c>
      <c r="D255" s="8"/>
      <c r="E255" s="8"/>
      <c r="F255" s="8"/>
      <c r="G255" s="8"/>
      <c r="H255" s="8"/>
      <c r="I255" s="23"/>
      <c r="J255" s="24" t="s">
        <v>117</v>
      </c>
    </row>
    <row r="256" customFormat="false" ht="15" hidden="false" customHeight="false" outlineLevel="0" collapsed="false">
      <c r="B256" s="9" t="s">
        <v>118</v>
      </c>
      <c r="C256" s="15" t="s">
        <v>29</v>
      </c>
      <c r="D256" s="8"/>
      <c r="E256" s="8"/>
      <c r="F256" s="8"/>
      <c r="G256" s="8"/>
      <c r="H256" s="8"/>
      <c r="I256" s="23"/>
      <c r="J256" s="24"/>
    </row>
    <row r="257" customFormat="false" ht="15" hidden="false" customHeight="false" outlineLevel="0" collapsed="false">
      <c r="B257" s="9" t="s">
        <v>119</v>
      </c>
      <c r="C257" s="8" t="s">
        <v>112</v>
      </c>
      <c r="D257" s="8"/>
      <c r="E257" s="8"/>
      <c r="F257" s="8"/>
      <c r="G257" s="8"/>
      <c r="H257" s="8"/>
      <c r="I257" s="23"/>
      <c r="J257" s="24"/>
    </row>
    <row r="258" customFormat="false" ht="15" hidden="false" customHeight="false" outlineLevel="0" collapsed="false">
      <c r="B258" s="25" t="s">
        <v>120</v>
      </c>
      <c r="C258" s="26"/>
      <c r="D258" s="26"/>
      <c r="E258" s="26"/>
      <c r="F258" s="26"/>
      <c r="G258" s="26"/>
      <c r="H258" s="26"/>
      <c r="I258" s="26"/>
      <c r="J258" s="26"/>
    </row>
    <row r="259" customFormat="false" ht="15" hidden="false" customHeight="false" outlineLevel="0" collapsed="false">
      <c r="B259" s="9" t="s">
        <v>121</v>
      </c>
      <c r="C259" s="15" t="s">
        <v>29</v>
      </c>
      <c r="D259" s="8" t="s">
        <v>122</v>
      </c>
      <c r="E259" s="8" t="s">
        <v>122</v>
      </c>
      <c r="F259" s="8" t="s">
        <v>122</v>
      </c>
      <c r="G259" s="8" t="s">
        <v>122</v>
      </c>
      <c r="H259" s="8" t="s">
        <v>122</v>
      </c>
      <c r="I259" s="23"/>
      <c r="J259" s="24"/>
    </row>
    <row r="260" customFormat="false" ht="15" hidden="false" customHeight="false" outlineLevel="0" collapsed="false">
      <c r="B260" s="9" t="s">
        <v>123</v>
      </c>
      <c r="C260" s="15" t="s">
        <v>29</v>
      </c>
      <c r="D260" s="8" t="s">
        <v>122</v>
      </c>
      <c r="E260" s="8" t="s">
        <v>122</v>
      </c>
      <c r="F260" s="8" t="s">
        <v>122</v>
      </c>
      <c r="G260" s="8" t="s">
        <v>122</v>
      </c>
      <c r="H260" s="8" t="s">
        <v>122</v>
      </c>
      <c r="I260" s="23"/>
      <c r="J260" s="24"/>
    </row>
    <row r="261" customFormat="false" ht="15" hidden="false" customHeight="false" outlineLevel="0" collapsed="false">
      <c r="B261" s="25" t="s">
        <v>124</v>
      </c>
      <c r="C261" s="26"/>
      <c r="D261" s="26"/>
      <c r="E261" s="26"/>
      <c r="F261" s="26"/>
      <c r="G261" s="26"/>
      <c r="H261" s="26"/>
      <c r="I261" s="26"/>
      <c r="J261" s="26"/>
    </row>
    <row r="262" customFormat="false" ht="15" hidden="false" customHeight="false" outlineLevel="0" collapsed="false">
      <c r="B262" s="9" t="s">
        <v>125</v>
      </c>
      <c r="C262" s="15" t="s">
        <v>92</v>
      </c>
      <c r="D262" s="27" t="str">
        <f aca="false">IF(ISNUMBER(D240),D240*INDEX(LenF,MATCH($C$240,LenU,0))*1000,IF(ISNUMBER(D243),D243*INDEX(LenF,MATCH($C$243,LenU,0))/PitchRatio*1000,""))</f>
        <v/>
      </c>
      <c r="E262" s="27" t="str">
        <f aca="false">IF(ISNUMBER(E240),E240*INDEX(LenF,MATCH($C$240,LenU,0))*1000,IF(ISNUMBER(E243),E243*INDEX(LenF,MATCH($C$243,LenU,0))/PitchRatio*1000,""))</f>
        <v/>
      </c>
      <c r="F262" s="27" t="str">
        <f aca="false">IF(ISNUMBER(F240),F240*INDEX(LenF,MATCH($C$240,LenU,0))*1000,IF(ISNUMBER(F243),F243*INDEX(LenF,MATCH($C$243,LenU,0))/PitchRatio*1000,""))</f>
        <v/>
      </c>
      <c r="G262" s="27" t="str">
        <f aca="false">IF(ISNUMBER(G240),G240*INDEX(LenF,MATCH($C$240,LenU,0))*1000,IF(ISNUMBER(G243),G243*INDEX(LenF,MATCH($C$243,LenU,0))/PitchRatio*1000,""))</f>
        <v/>
      </c>
      <c r="H262" s="27" t="str">
        <f aca="false">IF(ISNUMBER(H240),H240*INDEX(LenF,MATCH($C$240,LenU,0))*1000,IF(ISNUMBER(H243),H243*INDEX(LenF,MATCH($C$243,LenU,0))/PitchRatio*1000,""))</f>
        <v/>
      </c>
      <c r="I262" s="28"/>
      <c r="J262" s="24" t="s">
        <v>126</v>
      </c>
    </row>
    <row r="263" customFormat="false" ht="15" hidden="false" customHeight="false" outlineLevel="0" collapsed="false">
      <c r="B263" s="9" t="s">
        <v>127</v>
      </c>
      <c r="C263" s="15" t="s">
        <v>109</v>
      </c>
      <c r="D263" s="29" t="str">
        <f aca="false">IF(AND(ISNUMBER(D239),ISNUMBER(D241),ISNUMBER(D242)),D239*PI()/4*(D241*INDEX(LenF,MATCH($C$241,LenU,0)))^2*D242*INDEX(LenF,MATCH($C$242,LenU,0)),"")</f>
        <v/>
      </c>
      <c r="E263" s="29" t="str">
        <f aca="false">IF(AND(ISNUMBER(E239),ISNUMBER(E241),ISNUMBER(E242)),E239*PI()/4*(E241*INDEX(LenF,MATCH($C$241,LenU,0)))^2*E242*INDEX(LenF,MATCH($C$242,LenU,0)),"")</f>
        <v/>
      </c>
      <c r="F263" s="29" t="str">
        <f aca="false">IF(AND(ISNUMBER(F239),ISNUMBER(F241),ISNUMBER(F242)),F239*PI()/4*(F241*INDEX(LenF,MATCH($C$241,LenU,0)))^2*F242*INDEX(LenF,MATCH($C$242,LenU,0)),"")</f>
        <v/>
      </c>
      <c r="G263" s="29" t="str">
        <f aca="false">IF(AND(ISNUMBER(G239),ISNUMBER(G241),ISNUMBER(G242)),G239*PI()/4*(G241*INDEX(LenF,MATCH($C$241,LenU,0)))^2*G242*INDEX(LenF,MATCH($C$242,LenU,0)),"")</f>
        <v/>
      </c>
      <c r="H263" s="29" t="str">
        <f aca="false">IF(AND(ISNUMBER(H239),ISNUMBER(H241),ISNUMBER(H242)),H239*PI()/4*(H241*INDEX(LenF,MATCH($C$241,LenU,0)))^2*H242*INDEX(LenF,MATCH($C$242,LenU,0)),"")</f>
        <v/>
      </c>
      <c r="I263" s="30" t="str">
        <f aca="false">IF(COUNT(D263:H263)=0,"",SUM(D263:H263))</f>
        <v/>
      </c>
      <c r="J263" s="24"/>
    </row>
    <row r="264" customFormat="false" ht="15" hidden="false" customHeight="false" outlineLevel="0" collapsed="false">
      <c r="B264" s="9" t="s">
        <v>128</v>
      </c>
      <c r="C264" s="15" t="s">
        <v>109</v>
      </c>
      <c r="D264" s="29" t="n">
        <f aca="false">IF(ISNUMBER(D251),D251*INDEX(VolF,MATCH($C$251,VolU,0)),IF(ISNUMBER(D245),PI()/4*(D245*INDEX(LenF,MATCH($C$245,LenU,0)))^2*N(D246)*INDEX(LenF,MATCH($C$246,LenU,0))+IF(D247="",0,IF(D247="Conical",PI()/12*(D245*INDEX(LenF,MATCH($C$245,LenU,0)))^2*(0),INDEX(HeadK,MATCH(D247,HeadU,0))*(D245*INDEX(LenF,MATCH($C$245,LenU,0)))^3)),0)+IF(ISNUMBER(D248),PI()/4*(D248*INDEX(LenF,MATCH($C$248,LenU,0)))^2*N(D249)*INDEX(LenF,MATCH($C$249,LenU,0))+IF(D250="",0,IF(D250="Conical",PI()/12*(D248*INDEX(LenF,MATCH($C$248,LenU,0)))^2*(0),INDEX(HeadK,MATCH(D250,HeadU,0))*(D248*INDEX(LenF,MATCH($C$248,LenU,0)))^3)),0))</f>
        <v>0</v>
      </c>
      <c r="E264" s="29" t="n">
        <f aca="false">IF(ISNUMBER(E251),E251*INDEX(VolF,MATCH($C$251,VolU,0)),IF(ISNUMBER(E245),PI()/4*(E245*INDEX(LenF,MATCH($C$245,LenU,0)))^2*N(E246)*INDEX(LenF,MATCH($C$246,LenU,0))+IF(E247="",0,IF(E247="Conical",PI()/12*(E245*INDEX(LenF,MATCH($C$245,LenU,0)))^2*(0),INDEX(HeadK,MATCH(E247,HeadU,0))*(E245*INDEX(LenF,MATCH($C$245,LenU,0)))^3)),0)+IF(ISNUMBER(E248),PI()/4*(E248*INDEX(LenF,MATCH($C$248,LenU,0)))^2*N(E249)*INDEX(LenF,MATCH($C$249,LenU,0))+IF(E250="",0,IF(E250="Conical",PI()/12*(E248*INDEX(LenF,MATCH($C$248,LenU,0)))^2*(0),INDEX(HeadK,MATCH(E250,HeadU,0))*(E248*INDEX(LenF,MATCH($C$248,LenU,0)))^3)),0))</f>
        <v>0</v>
      </c>
      <c r="F264" s="29" t="n">
        <f aca="false">IF(ISNUMBER(F251),F251*INDEX(VolF,MATCH($C$251,VolU,0)),IF(ISNUMBER(F245),PI()/4*(F245*INDEX(LenF,MATCH($C$245,LenU,0)))^2*N(F246)*INDEX(LenF,MATCH($C$246,LenU,0))+IF(F247="",0,IF(F247="Conical",PI()/12*(F245*INDEX(LenF,MATCH($C$245,LenU,0)))^2*(0),INDEX(HeadK,MATCH(F247,HeadU,0))*(F245*INDEX(LenF,MATCH($C$245,LenU,0)))^3)),0)+IF(ISNUMBER(F248),PI()/4*(F248*INDEX(LenF,MATCH($C$248,LenU,0)))^2*N(F249)*INDEX(LenF,MATCH($C$249,LenU,0))+IF(F250="",0,IF(F250="Conical",PI()/12*(F248*INDEX(LenF,MATCH($C$248,LenU,0)))^2*(0),INDEX(HeadK,MATCH(F250,HeadU,0))*(F248*INDEX(LenF,MATCH($C$248,LenU,0)))^3)),0))</f>
        <v>0</v>
      </c>
      <c r="G264" s="29" t="n">
        <f aca="false">IF(ISNUMBER(G251),G251*INDEX(VolF,MATCH($C$251,VolU,0)),IF(ISNUMBER(G245),PI()/4*(G245*INDEX(LenF,MATCH($C$245,LenU,0)))^2*N(G246)*INDEX(LenF,MATCH($C$246,LenU,0))+IF(G247="",0,IF(G247="Conical",PI()/12*(G245*INDEX(LenF,MATCH($C$245,LenU,0)))^2*(0),INDEX(HeadK,MATCH(G247,HeadU,0))*(G245*INDEX(LenF,MATCH($C$245,LenU,0)))^3)),0)+IF(ISNUMBER(G248),PI()/4*(G248*INDEX(LenF,MATCH($C$248,LenU,0)))^2*N(G249)*INDEX(LenF,MATCH($C$249,LenU,0))+IF(G250="",0,IF(G250="Conical",PI()/12*(G248*INDEX(LenF,MATCH($C$248,LenU,0)))^2*(0),INDEX(HeadK,MATCH(G250,HeadU,0))*(G248*INDEX(LenF,MATCH($C$248,LenU,0)))^3)),0))</f>
        <v>0</v>
      </c>
      <c r="H264" s="29" t="n">
        <f aca="false">IF(ISNUMBER(H251),H251*INDEX(VolF,MATCH($C$251,VolU,0)),IF(ISNUMBER(H245),PI()/4*(H245*INDEX(LenF,MATCH($C$245,LenU,0)))^2*N(H246)*INDEX(LenF,MATCH($C$246,LenU,0))+IF(H247="",0,IF(H247="Conical",PI()/12*(H245*INDEX(LenF,MATCH($C$245,LenU,0)))^2*(0),INDEX(HeadK,MATCH(H247,HeadU,0))*(H245*INDEX(LenF,MATCH($C$245,LenU,0)))^3)),0)+IF(ISNUMBER(H248),PI()/4*(H248*INDEX(LenF,MATCH($C$248,LenU,0)))^2*N(H249)*INDEX(LenF,MATCH($C$249,LenU,0))+IF(H250="",0,IF(H250="Conical",PI()/12*(H248*INDEX(LenF,MATCH($C$248,LenU,0)))^2*(0),INDEX(HeadK,MATCH(H250,HeadU,0))*(H248*INDEX(LenF,MATCH($C$248,LenU,0)))^3)),0))</f>
        <v>0</v>
      </c>
      <c r="I264" s="30" t="n">
        <f aca="false">IF(COUNT(D264:H264)=0,"",SUM(D264:H264))</f>
        <v>0</v>
      </c>
      <c r="J264" s="24" t="s">
        <v>129</v>
      </c>
    </row>
    <row r="265" customFormat="false" ht="15" hidden="false" customHeight="false" outlineLevel="0" collapsed="false">
      <c r="B265" s="9" t="s">
        <v>130</v>
      </c>
      <c r="C265" s="15" t="s">
        <v>109</v>
      </c>
      <c r="D265" s="29" t="str">
        <f aca="false">IF(D263="","",D263+D264)</f>
        <v/>
      </c>
      <c r="E265" s="29" t="str">
        <f aca="false">IF(E263="","",E263+E264)</f>
        <v/>
      </c>
      <c r="F265" s="29" t="str">
        <f aca="false">IF(F263="","",F263+F264)</f>
        <v/>
      </c>
      <c r="G265" s="29" t="str">
        <f aca="false">IF(G263="","",G263+G264)</f>
        <v/>
      </c>
      <c r="H265" s="29" t="str">
        <f aca="false">IF(H263="","",H263+H264)</f>
        <v/>
      </c>
      <c r="I265" s="30" t="str">
        <f aca="false">IF(COUNT(D265:H265)=0,"",SUM(D265:H265))</f>
        <v/>
      </c>
      <c r="J265" s="24"/>
    </row>
    <row r="266" customFormat="false" ht="15" hidden="false" customHeight="false" outlineLevel="0" collapsed="false">
      <c r="B266" s="9" t="s">
        <v>131</v>
      </c>
      <c r="C266" s="15" t="s">
        <v>109</v>
      </c>
      <c r="D266" s="29" t="str">
        <f aca="false">IF(ISNUMBER(D252),D252*INDEX(WtF,MATCH($C$252,WtU,0))/WaterRho,"")</f>
        <v/>
      </c>
      <c r="E266" s="29" t="str">
        <f aca="false">IF(ISNUMBER(E252),E252*INDEX(WtF,MATCH($C$252,WtU,0))/WaterRho,"")</f>
        <v/>
      </c>
      <c r="F266" s="29" t="str">
        <f aca="false">IF(ISNUMBER(F252),F252*INDEX(WtF,MATCH($C$252,WtU,0))/WaterRho,"")</f>
        <v/>
      </c>
      <c r="G266" s="29" t="str">
        <f aca="false">IF(ISNUMBER(G252),G252*INDEX(WtF,MATCH($C$252,WtU,0))/WaterRho,"")</f>
        <v/>
      </c>
      <c r="H266" s="29" t="str">
        <f aca="false">IF(ISNUMBER(H252),H252*INDEX(WtF,MATCH($C$252,WtU,0))/WaterRho,"")</f>
        <v/>
      </c>
      <c r="I266" s="30" t="str">
        <f aca="false">IF(COUNT(D266:H266)=0,"",SUM(D266:H266))</f>
        <v/>
      </c>
      <c r="J266" s="24"/>
    </row>
    <row r="267" customFormat="false" ht="15" hidden="false" customHeight="false" outlineLevel="0" collapsed="false">
      <c r="B267" s="4" t="s">
        <v>132</v>
      </c>
      <c r="C267" s="15" t="s">
        <v>109</v>
      </c>
      <c r="D267" s="31" t="str">
        <f aca="false">IF(D259="Water weight",D266,D265)</f>
        <v/>
      </c>
      <c r="E267" s="31" t="str">
        <f aca="false">IF(E259="Water weight",E266,E265)</f>
        <v/>
      </c>
      <c r="F267" s="31" t="str">
        <f aca="false">IF(F259="Water weight",F266,F265)</f>
        <v/>
      </c>
      <c r="G267" s="31" t="str">
        <f aca="false">IF(G259="Water weight",G266,G265)</f>
        <v/>
      </c>
      <c r="H267" s="31" t="str">
        <f aca="false">IF(H259="Water weight",H266,H265)</f>
        <v/>
      </c>
      <c r="I267" s="31" t="str">
        <f aca="false">IF(COUNT(D267:H267)=0,"",SUM(D267:H267))</f>
        <v/>
      </c>
      <c r="J267" s="24"/>
      <c r="K267" s="32" t="s">
        <v>133</v>
      </c>
    </row>
    <row r="268" customFormat="false" ht="15" hidden="false" customHeight="false" outlineLevel="0" collapsed="false">
      <c r="B268" s="9" t="s">
        <v>134</v>
      </c>
      <c r="C268" s="15" t="s">
        <v>135</v>
      </c>
      <c r="D268" s="33" t="str">
        <f aca="false">IF(ISNUMBER(D254),PI()/4*(D254*INDEX(LenF,MATCH($C$254,LenU,0)))^2,IF(AND(ISNUMBER(D239),ISNUMBER(D243),D244&lt;&gt;""),D239*(D243*INDEX(LenF,MATCH($C$243,LenU,0)))^2*INDEX(LayoutF,MATCH(D244,LayoutU,0)),""))</f>
        <v/>
      </c>
      <c r="E268" s="33" t="str">
        <f aca="false">IF(ISNUMBER(E254),PI()/4*(E254*INDEX(LenF,MATCH($C$254,LenU,0)))^2,IF(AND(ISNUMBER(E239),ISNUMBER(E243),E244&lt;&gt;""),E239*(E243*INDEX(LenF,MATCH($C$243,LenU,0)))^2*INDEX(LayoutF,MATCH(E244,LayoutU,0)),""))</f>
        <v/>
      </c>
      <c r="F268" s="33" t="str">
        <f aca="false">IF(ISNUMBER(F254),PI()/4*(F254*INDEX(LenF,MATCH($C$254,LenU,0)))^2,IF(AND(ISNUMBER(F239),ISNUMBER(F243),F244&lt;&gt;""),F239*(F243*INDEX(LenF,MATCH($C$243,LenU,0)))^2*INDEX(LayoutF,MATCH(F244,LayoutU,0)),""))</f>
        <v/>
      </c>
      <c r="G268" s="33" t="str">
        <f aca="false">IF(ISNUMBER(G254),PI()/4*(G254*INDEX(LenF,MATCH($C$254,LenU,0)))^2,IF(AND(ISNUMBER(G239),ISNUMBER(G243),G244&lt;&gt;""),G239*(G243*INDEX(LenF,MATCH($C$243,LenU,0)))^2*INDEX(LayoutF,MATCH(G244,LayoutU,0)),""))</f>
        <v/>
      </c>
      <c r="H268" s="33" t="str">
        <f aca="false">IF(ISNUMBER(H254),PI()/4*(H254*INDEX(LenF,MATCH($C$254,LenU,0)))^2,IF(AND(ISNUMBER(H239),ISNUMBER(H243),H244&lt;&gt;""),H239*(H243*INDEX(LenF,MATCH($C$243,LenU,0)))^2*INDEX(LayoutF,MATCH(H244,LayoutU,0)),""))</f>
        <v/>
      </c>
      <c r="I268" s="34"/>
      <c r="J268" s="24" t="s">
        <v>136</v>
      </c>
    </row>
    <row r="269" customFormat="false" ht="15" hidden="false" customHeight="false" outlineLevel="0" collapsed="false">
      <c r="B269" s="9" t="s">
        <v>137</v>
      </c>
      <c r="C269" s="15" t="s">
        <v>109</v>
      </c>
      <c r="D269" s="29" t="str">
        <f aca="false">IF(OR(D268="",AND(NOT(ISNUMBER(D255)),NOT(ISNUMBER(D242)))),"",D268*IF(ISNUMBER(D255),D255*INDEX(LenF,MATCH($C$255,LenU,0)),D242*INDEX(LenF,MATCH($C$242,LenU,0)))+IF(D256="",0,IF(D256="Conical",PI()/12*(SQRT(4*D268/PI()))^2*(0),INDEX(HeadK,MATCH(D256,HeadU,0))*(SQRT(4*D268/PI()))^3)))</f>
        <v/>
      </c>
      <c r="E269" s="29" t="str">
        <f aca="false">IF(OR(E268="",AND(NOT(ISNUMBER(E255)),NOT(ISNUMBER(E242)))),"",E268*IF(ISNUMBER(E255),E255*INDEX(LenF,MATCH($C$255,LenU,0)),E242*INDEX(LenF,MATCH($C$242,LenU,0)))+IF(E256="",0,IF(E256="Conical",PI()/12*(SQRT(4*E268/PI()))^2*(0),INDEX(HeadK,MATCH(E256,HeadU,0))*(SQRT(4*E268/PI()))^3)))</f>
        <v/>
      </c>
      <c r="F269" s="29" t="str">
        <f aca="false">IF(OR(F268="",AND(NOT(ISNUMBER(F255)),NOT(ISNUMBER(F242)))),"",F268*IF(ISNUMBER(F255),F255*INDEX(LenF,MATCH($C$255,LenU,0)),F242*INDEX(LenF,MATCH($C$242,LenU,0)))+IF(F256="",0,IF(F256="Conical",PI()/12*(SQRT(4*F268/PI()))^2*(0),INDEX(HeadK,MATCH(F256,HeadU,0))*(SQRT(4*F268/PI()))^3)))</f>
        <v/>
      </c>
      <c r="G269" s="29" t="str">
        <f aca="false">IF(OR(G268="",AND(NOT(ISNUMBER(G255)),NOT(ISNUMBER(G242)))),"",G268*IF(ISNUMBER(G255),G255*INDEX(LenF,MATCH($C$255,LenU,0)),G242*INDEX(LenF,MATCH($C$242,LenU,0)))+IF(G256="",0,IF(G256="Conical",PI()/12*(SQRT(4*G268/PI()))^2*(0),INDEX(HeadK,MATCH(G256,HeadU,0))*(SQRT(4*G268/PI()))^3)))</f>
        <v/>
      </c>
      <c r="H269" s="29" t="str">
        <f aca="false">IF(OR(H268="",AND(NOT(ISNUMBER(H255)),NOT(ISNUMBER(H242)))),"",H268*IF(ISNUMBER(H255),H255*INDEX(LenF,MATCH($C$255,LenU,0)),H242*INDEX(LenF,MATCH($C$242,LenU,0)))+IF(H256="",0,IF(H256="Conical",PI()/12*(SQRT(4*H268/PI()))^2*(0),INDEX(HeadK,MATCH(H256,HeadU,0))*(SQRT(4*H268/PI()))^3)))</f>
        <v/>
      </c>
      <c r="I269" s="30" t="str">
        <f aca="false">IF(COUNT(D269:H269)=0,"",SUM(D269:H269))</f>
        <v/>
      </c>
      <c r="J269" s="24"/>
    </row>
    <row r="270" customFormat="false" ht="15" hidden="false" customHeight="false" outlineLevel="0" collapsed="false">
      <c r="B270" s="9" t="s">
        <v>138</v>
      </c>
      <c r="C270" s="15" t="s">
        <v>109</v>
      </c>
      <c r="D270" s="29" t="str">
        <f aca="false">IF(AND(ISNUMBER(D239),ISNUMBER(D262),ISNUMBER(D242)),D239*PI()/4*(D262/1000)^2*D242*INDEX(LenF,MATCH($C$242,LenU,0)),"")</f>
        <v/>
      </c>
      <c r="E270" s="29" t="str">
        <f aca="false">IF(AND(ISNUMBER(E239),ISNUMBER(E262),ISNUMBER(E242)),E239*PI()/4*(E262/1000)^2*E242*INDEX(LenF,MATCH($C$242,LenU,0)),"")</f>
        <v/>
      </c>
      <c r="F270" s="29" t="str">
        <f aca="false">IF(AND(ISNUMBER(F239),ISNUMBER(F262),ISNUMBER(F242)),F239*PI()/4*(F262/1000)^2*F242*INDEX(LenF,MATCH($C$242,LenU,0)),"")</f>
        <v/>
      </c>
      <c r="G270" s="29" t="str">
        <f aca="false">IF(AND(ISNUMBER(G239),ISNUMBER(G262),ISNUMBER(G242)),G239*PI()/4*(G262/1000)^2*G242*INDEX(LenF,MATCH($C$242,LenU,0)),"")</f>
        <v/>
      </c>
      <c r="H270" s="29" t="str">
        <f aca="false">IF(AND(ISNUMBER(H239),ISNUMBER(H262),ISNUMBER(H242)),H239*PI()/4*(H262/1000)^2*H242*INDEX(LenF,MATCH($C$242,LenU,0)),"")</f>
        <v/>
      </c>
      <c r="I270" s="30" t="str">
        <f aca="false">IF(COUNT(D270:H270)=0,"",SUM(D270:H270))</f>
        <v/>
      </c>
      <c r="J270" s="24"/>
    </row>
    <row r="271" customFormat="false" ht="15" hidden="false" customHeight="false" outlineLevel="0" collapsed="false">
      <c r="B271" s="9" t="s">
        <v>139</v>
      </c>
      <c r="C271" s="15" t="s">
        <v>109</v>
      </c>
      <c r="D271" s="29" t="str">
        <f aca="false">IF(OR(D269="",D270=""),"",D269-D270)</f>
        <v/>
      </c>
      <c r="E271" s="29" t="str">
        <f aca="false">IF(OR(E269="",E270=""),"",E269-E270)</f>
        <v/>
      </c>
      <c r="F271" s="29" t="str">
        <f aca="false">IF(OR(F269="",F270=""),"",F269-F270)</f>
        <v/>
      </c>
      <c r="G271" s="29" t="str">
        <f aca="false">IF(OR(G269="",G270=""),"",G269-G270)</f>
        <v/>
      </c>
      <c r="H271" s="29" t="str">
        <f aca="false">IF(OR(H269="",H270=""),"",H269-H270)</f>
        <v/>
      </c>
      <c r="I271" s="30" t="str">
        <f aca="false">IF(COUNT(D271:H271)=0,"",SUM(D271:H271))</f>
        <v/>
      </c>
      <c r="J271" s="24" t="s">
        <v>140</v>
      </c>
    </row>
    <row r="272" customFormat="false" ht="15" hidden="false" customHeight="false" outlineLevel="0" collapsed="false">
      <c r="B272" s="9" t="s">
        <v>141</v>
      </c>
      <c r="C272" s="15" t="s">
        <v>109</v>
      </c>
      <c r="D272" s="29" t="str">
        <f aca="false">IF(ISNUMBER(D257),D257*INDEX(WtF,MATCH($C$257,WtU,0))/WaterRho,"")</f>
        <v/>
      </c>
      <c r="E272" s="29" t="str">
        <f aca="false">IF(ISNUMBER(E257),E257*INDEX(WtF,MATCH($C$257,WtU,0))/WaterRho,"")</f>
        <v/>
      </c>
      <c r="F272" s="29" t="str">
        <f aca="false">IF(ISNUMBER(F257),F257*INDEX(WtF,MATCH($C$257,WtU,0))/WaterRho,"")</f>
        <v/>
      </c>
      <c r="G272" s="29" t="str">
        <f aca="false">IF(ISNUMBER(G257),G257*INDEX(WtF,MATCH($C$257,WtU,0))/WaterRho,"")</f>
        <v/>
      </c>
      <c r="H272" s="29" t="str">
        <f aca="false">IF(ISNUMBER(H257),H257*INDEX(WtF,MATCH($C$257,WtU,0))/WaterRho,"")</f>
        <v/>
      </c>
      <c r="I272" s="30" t="str">
        <f aca="false">IF(COUNT(D272:H272)=0,"",SUM(D272:H272))</f>
        <v/>
      </c>
      <c r="J272" s="24"/>
    </row>
    <row r="273" customFormat="false" ht="15" hidden="false" customHeight="false" outlineLevel="0" collapsed="false">
      <c r="B273" s="4" t="s">
        <v>142</v>
      </c>
      <c r="C273" s="15" t="s">
        <v>109</v>
      </c>
      <c r="D273" s="31" t="str">
        <f aca="false">IF(D260="Water weight",D272,D271)</f>
        <v/>
      </c>
      <c r="E273" s="31" t="str">
        <f aca="false">IF(E260="Water weight",E272,E271)</f>
        <v/>
      </c>
      <c r="F273" s="31" t="str">
        <f aca="false">IF(F260="Water weight",F272,F271)</f>
        <v/>
      </c>
      <c r="G273" s="31" t="str">
        <f aca="false">IF(G260="Water weight",G272,G271)</f>
        <v/>
      </c>
      <c r="H273" s="31" t="str">
        <f aca="false">IF(H260="Water weight",H272,H271)</f>
        <v/>
      </c>
      <c r="I273" s="31" t="str">
        <f aca="false">IF(COUNT(D273:H273)=0,"",SUM(D273:H273))</f>
        <v/>
      </c>
      <c r="J273" s="24"/>
      <c r="K273" s="32" t="s">
        <v>143</v>
      </c>
    </row>
    <row r="274" customFormat="false" ht="15" hidden="false" customHeight="false" outlineLevel="0" collapsed="false">
      <c r="B274" s="4" t="s">
        <v>144</v>
      </c>
      <c r="C274" s="15" t="s">
        <v>109</v>
      </c>
      <c r="D274" s="31" t="str">
        <f aca="false">IF(AND(D267="",D273=""),"",N(D267)+N(D273))</f>
        <v/>
      </c>
      <c r="E274" s="31" t="str">
        <f aca="false">IF(AND(E267="",E273=""),"",N(E267)+N(E273))</f>
        <v/>
      </c>
      <c r="F274" s="31" t="str">
        <f aca="false">IF(AND(F267="",F273=""),"",N(F267)+N(F273))</f>
        <v/>
      </c>
      <c r="G274" s="31" t="str">
        <f aca="false">IF(AND(G267="",G273=""),"",N(G267)+N(G273))</f>
        <v/>
      </c>
      <c r="H274" s="31" t="str">
        <f aca="false">IF(AND(H267="",H273=""),"",N(H267)+N(H273))</f>
        <v/>
      </c>
      <c r="I274" s="31" t="str">
        <f aca="false">IF(COUNT(D274:H274)=0,"",SUM(D274:H274))</f>
        <v/>
      </c>
      <c r="J274" s="24"/>
      <c r="K274" s="32" t="s">
        <v>145</v>
      </c>
    </row>
    <row r="275" customFormat="false" ht="15" hidden="false" customHeight="false" outlineLevel="0" collapsed="false">
      <c r="B275" s="9" t="s">
        <v>60</v>
      </c>
      <c r="C275" s="15" t="s">
        <v>146</v>
      </c>
      <c r="D275" s="35" t="str">
        <f aca="false">IF(D274="","",IF(JobType="Chemical Cleaning",CC_HX,INDEX(DecFill,MATCH("Exchanger",DecTypeU,0))))</f>
        <v/>
      </c>
      <c r="E275" s="35" t="str">
        <f aca="false">IF(E274="","",IF(JobType="Chemical Cleaning",CC_HX,INDEX(DecFill,MATCH("Exchanger",DecTypeU,0))))</f>
        <v/>
      </c>
      <c r="F275" s="35" t="str">
        <f aca="false">IF(F274="","",IF(JobType="Chemical Cleaning",CC_HX,INDEX(DecFill,MATCH("Exchanger",DecTypeU,0))))</f>
        <v/>
      </c>
      <c r="G275" s="35" t="str">
        <f aca="false">IF(G274="","",IF(JobType="Chemical Cleaning",CC_HX,INDEX(DecFill,MATCH("Exchanger",DecTypeU,0))))</f>
        <v/>
      </c>
      <c r="H275" s="35" t="str">
        <f aca="false">IF(H274="","",IF(JobType="Chemical Cleaning",CC_HX,INDEX(DecFill,MATCH("Exchanger",DecTypeU,0))))</f>
        <v/>
      </c>
      <c r="I275" s="36"/>
      <c r="J275" s="24" t="s">
        <v>147</v>
      </c>
    </row>
    <row r="276" customFormat="false" ht="15" hidden="false" customHeight="false" outlineLevel="0" collapsed="false">
      <c r="B276" s="4" t="s">
        <v>148</v>
      </c>
      <c r="C276" s="15" t="s">
        <v>109</v>
      </c>
      <c r="D276" s="31" t="str">
        <f aca="false">IF(OR(D274="",D275=""),"",D274*D275)</f>
        <v/>
      </c>
      <c r="E276" s="31" t="str">
        <f aca="false">IF(OR(E274="",E275=""),"",E274*E275)</f>
        <v/>
      </c>
      <c r="F276" s="31" t="str">
        <f aca="false">IF(OR(F274="",F275=""),"",F274*F275)</f>
        <v/>
      </c>
      <c r="G276" s="31" t="str">
        <f aca="false">IF(OR(G274="",G275=""),"",G274*G275)</f>
        <v/>
      </c>
      <c r="H276" s="31" t="str">
        <f aca="false">IF(OR(H274="",H275=""),"",H274*H275)</f>
        <v/>
      </c>
      <c r="I276" s="31" t="str">
        <f aca="false">IF(COUNT(D276:H276)=0,"",SUM(D276:H276))</f>
        <v/>
      </c>
      <c r="J276" s="24"/>
      <c r="K276" s="32" t="s">
        <v>149</v>
      </c>
    </row>
    <row r="277" customFormat="false" ht="15" hidden="false" customHeight="false" outlineLevel="0" collapsed="false">
      <c r="B277" s="9" t="s">
        <v>150</v>
      </c>
      <c r="C277" s="15" t="s">
        <v>32</v>
      </c>
      <c r="D277" s="37" t="str">
        <f aca="false">IF(OR(JobType&lt;&gt;"Decontamination",D276=""),"",D276*INDEX(DecChem,MATCH("Exchanger",DecTypeU,0))*1000)</f>
        <v/>
      </c>
      <c r="E277" s="37" t="str">
        <f aca="false">IF(OR(JobType&lt;&gt;"Decontamination",E276=""),"",E276*INDEX(DecChem,MATCH("Exchanger",DecTypeU,0))*1000)</f>
        <v/>
      </c>
      <c r="F277" s="37" t="str">
        <f aca="false">IF(OR(JobType&lt;&gt;"Decontamination",F276=""),"",F276*INDEX(DecChem,MATCH("Exchanger",DecTypeU,0))*1000)</f>
        <v/>
      </c>
      <c r="G277" s="37" t="str">
        <f aca="false">IF(OR(JobType&lt;&gt;"Decontamination",G276=""),"",G276*INDEX(DecChem,MATCH("Exchanger",DecTypeU,0))*1000)</f>
        <v/>
      </c>
      <c r="H277" s="37" t="str">
        <f aca="false">IF(OR(JobType&lt;&gt;"Decontamination",H276=""),"",H276*INDEX(DecChem,MATCH("Exchanger",DecTypeU,0))*1000)</f>
        <v/>
      </c>
      <c r="I277" s="38" t="str">
        <f aca="false">IF(COUNT(D277:H277)=0,"",SUM(D277:H277))</f>
        <v/>
      </c>
      <c r="J277" s="24" t="s">
        <v>151</v>
      </c>
      <c r="K277" s="32" t="s">
        <v>152</v>
      </c>
    </row>
    <row r="279" customFormat="false" ht="15" hidden="false" customHeight="false" outlineLevel="0" collapsed="false">
      <c r="A279" s="20" t="n">
        <v>7</v>
      </c>
      <c r="B279" s="21" t="s">
        <v>158</v>
      </c>
      <c r="C279" s="22"/>
      <c r="D279" s="22"/>
      <c r="E279" s="22"/>
      <c r="F279" s="22"/>
      <c r="G279" s="22"/>
      <c r="H279" s="22"/>
      <c r="I279" s="22"/>
      <c r="J279" s="22"/>
    </row>
    <row r="280" customFormat="false" ht="15" hidden="false" customHeight="false" outlineLevel="0" collapsed="false">
      <c r="B280" s="9" t="s">
        <v>83</v>
      </c>
      <c r="C280" s="15" t="s">
        <v>29</v>
      </c>
      <c r="D280" s="8"/>
      <c r="E280" s="8"/>
      <c r="F280" s="8"/>
      <c r="G280" s="8"/>
      <c r="H280" s="8"/>
      <c r="I280" s="23"/>
      <c r="J280" s="24"/>
    </row>
    <row r="281" customFormat="false" ht="15" hidden="false" customHeight="false" outlineLevel="0" collapsed="false">
      <c r="B281" s="9" t="s">
        <v>86</v>
      </c>
      <c r="C281" s="15" t="s">
        <v>29</v>
      </c>
      <c r="D281" s="8"/>
      <c r="E281" s="8"/>
      <c r="F281" s="8"/>
      <c r="G281" s="8"/>
      <c r="H281" s="8"/>
      <c r="I281" s="23"/>
      <c r="J281" s="24"/>
    </row>
    <row r="282" customFormat="false" ht="15" hidden="false" customHeight="false" outlineLevel="0" collapsed="false">
      <c r="B282" s="9" t="s">
        <v>87</v>
      </c>
      <c r="C282" s="15" t="s">
        <v>29</v>
      </c>
      <c r="D282" s="8"/>
      <c r="E282" s="8"/>
      <c r="F282" s="8"/>
      <c r="G282" s="8"/>
      <c r="H282" s="8"/>
      <c r="I282" s="23"/>
      <c r="J282" s="24"/>
    </row>
    <row r="283" customFormat="false" ht="15" hidden="false" customHeight="false" outlineLevel="0" collapsed="false">
      <c r="B283" s="25" t="s">
        <v>88</v>
      </c>
      <c r="C283" s="26"/>
      <c r="D283" s="26"/>
      <c r="E283" s="26"/>
      <c r="F283" s="26"/>
      <c r="G283" s="26"/>
      <c r="H283" s="26"/>
      <c r="I283" s="26"/>
      <c r="J283" s="26"/>
    </row>
    <row r="284" customFormat="false" ht="15" hidden="false" customHeight="false" outlineLevel="0" collapsed="false">
      <c r="B284" s="9" t="s">
        <v>89</v>
      </c>
      <c r="C284" s="15" t="s">
        <v>90</v>
      </c>
      <c r="D284" s="8"/>
      <c r="E284" s="8"/>
      <c r="F284" s="8"/>
      <c r="G284" s="8"/>
      <c r="H284" s="8"/>
      <c r="I284" s="23"/>
      <c r="J284" s="24"/>
    </row>
    <row r="285" customFormat="false" ht="15" hidden="false" customHeight="false" outlineLevel="0" collapsed="false">
      <c r="B285" s="9" t="s">
        <v>91</v>
      </c>
      <c r="C285" s="8" t="s">
        <v>92</v>
      </c>
      <c r="D285" s="8"/>
      <c r="E285" s="8"/>
      <c r="F285" s="8"/>
      <c r="G285" s="8"/>
      <c r="H285" s="8"/>
      <c r="I285" s="23"/>
      <c r="J285" s="24" t="s">
        <v>93</v>
      </c>
    </row>
    <row r="286" customFormat="false" ht="15" hidden="false" customHeight="false" outlineLevel="0" collapsed="false">
      <c r="B286" s="9" t="s">
        <v>94</v>
      </c>
      <c r="C286" s="8" t="s">
        <v>92</v>
      </c>
      <c r="D286" s="8"/>
      <c r="E286" s="8"/>
      <c r="F286" s="8"/>
      <c r="G286" s="8"/>
      <c r="H286" s="8"/>
      <c r="I286" s="23"/>
      <c r="J286" s="24"/>
    </row>
    <row r="287" customFormat="false" ht="15" hidden="false" customHeight="false" outlineLevel="0" collapsed="false">
      <c r="B287" s="9" t="s">
        <v>95</v>
      </c>
      <c r="C287" s="8" t="s">
        <v>92</v>
      </c>
      <c r="D287" s="8"/>
      <c r="E287" s="8"/>
      <c r="F287" s="8"/>
      <c r="G287" s="8"/>
      <c r="H287" s="8"/>
      <c r="I287" s="23"/>
      <c r="J287" s="24"/>
    </row>
    <row r="288" customFormat="false" ht="15" hidden="false" customHeight="false" outlineLevel="0" collapsed="false">
      <c r="B288" s="9" t="s">
        <v>96</v>
      </c>
      <c r="C288" s="8" t="s">
        <v>92</v>
      </c>
      <c r="D288" s="8"/>
      <c r="E288" s="8"/>
      <c r="F288" s="8"/>
      <c r="G288" s="8"/>
      <c r="H288" s="8"/>
      <c r="I288" s="23"/>
      <c r="J288" s="24" t="s">
        <v>97</v>
      </c>
    </row>
    <row r="289" customFormat="false" ht="15" hidden="false" customHeight="false" outlineLevel="0" collapsed="false">
      <c r="B289" s="9" t="s">
        <v>98</v>
      </c>
      <c r="C289" s="15" t="s">
        <v>29</v>
      </c>
      <c r="D289" s="8" t="s">
        <v>99</v>
      </c>
      <c r="E289" s="8" t="s">
        <v>99</v>
      </c>
      <c r="F289" s="8" t="s">
        <v>99</v>
      </c>
      <c r="G289" s="8" t="s">
        <v>99</v>
      </c>
      <c r="H289" s="8" t="s">
        <v>99</v>
      </c>
      <c r="I289" s="23"/>
      <c r="J289" s="24"/>
    </row>
    <row r="290" customFormat="false" ht="15" hidden="false" customHeight="false" outlineLevel="0" collapsed="false">
      <c r="B290" s="9" t="s">
        <v>100</v>
      </c>
      <c r="C290" s="8" t="s">
        <v>92</v>
      </c>
      <c r="D290" s="8"/>
      <c r="E290" s="8"/>
      <c r="F290" s="8"/>
      <c r="G290" s="8"/>
      <c r="H290" s="8"/>
      <c r="I290" s="23"/>
      <c r="J290" s="24"/>
    </row>
    <row r="291" customFormat="false" ht="15" hidden="false" customHeight="false" outlineLevel="0" collapsed="false">
      <c r="B291" s="9" t="s">
        <v>101</v>
      </c>
      <c r="C291" s="8" t="s">
        <v>92</v>
      </c>
      <c r="D291" s="8"/>
      <c r="E291" s="8"/>
      <c r="F291" s="8"/>
      <c r="G291" s="8"/>
      <c r="H291" s="8"/>
      <c r="I291" s="23"/>
      <c r="J291" s="24"/>
    </row>
    <row r="292" customFormat="false" ht="15" hidden="false" customHeight="false" outlineLevel="0" collapsed="false">
      <c r="B292" s="9" t="s">
        <v>102</v>
      </c>
      <c r="C292" s="15" t="s">
        <v>29</v>
      </c>
      <c r="D292" s="8"/>
      <c r="E292" s="8"/>
      <c r="F292" s="8"/>
      <c r="G292" s="8"/>
      <c r="H292" s="8"/>
      <c r="I292" s="23"/>
      <c r="J292" s="24"/>
    </row>
    <row r="293" customFormat="false" ht="15" hidden="false" customHeight="false" outlineLevel="0" collapsed="false">
      <c r="B293" s="9" t="s">
        <v>104</v>
      </c>
      <c r="C293" s="8" t="s">
        <v>92</v>
      </c>
      <c r="D293" s="8"/>
      <c r="E293" s="8"/>
      <c r="F293" s="8"/>
      <c r="G293" s="8"/>
      <c r="H293" s="8"/>
      <c r="I293" s="23"/>
      <c r="J293" s="24"/>
    </row>
    <row r="294" customFormat="false" ht="15" hidden="false" customHeight="false" outlineLevel="0" collapsed="false">
      <c r="B294" s="9" t="s">
        <v>105</v>
      </c>
      <c r="C294" s="8" t="s">
        <v>92</v>
      </c>
      <c r="D294" s="8"/>
      <c r="E294" s="8"/>
      <c r="F294" s="8"/>
      <c r="G294" s="8"/>
      <c r="H294" s="8"/>
      <c r="I294" s="23"/>
      <c r="J294" s="24"/>
    </row>
    <row r="295" customFormat="false" ht="15" hidden="false" customHeight="false" outlineLevel="0" collapsed="false">
      <c r="B295" s="9" t="s">
        <v>106</v>
      </c>
      <c r="C295" s="15" t="s">
        <v>29</v>
      </c>
      <c r="D295" s="8"/>
      <c r="E295" s="8"/>
      <c r="F295" s="8"/>
      <c r="G295" s="8"/>
      <c r="H295" s="8"/>
      <c r="I295" s="23"/>
      <c r="J295" s="24"/>
    </row>
    <row r="296" customFormat="false" ht="15" hidden="false" customHeight="false" outlineLevel="0" collapsed="false">
      <c r="B296" s="9" t="s">
        <v>108</v>
      </c>
      <c r="C296" s="8" t="s">
        <v>109</v>
      </c>
      <c r="D296" s="8"/>
      <c r="E296" s="8"/>
      <c r="F296" s="8"/>
      <c r="G296" s="8"/>
      <c r="H296" s="8"/>
      <c r="I296" s="23"/>
      <c r="J296" s="24" t="s">
        <v>110</v>
      </c>
    </row>
    <row r="297" customFormat="false" ht="15" hidden="false" customHeight="false" outlineLevel="0" collapsed="false">
      <c r="B297" s="9" t="s">
        <v>111</v>
      </c>
      <c r="C297" s="8" t="s">
        <v>112</v>
      </c>
      <c r="D297" s="8"/>
      <c r="E297" s="8"/>
      <c r="F297" s="8"/>
      <c r="G297" s="8"/>
      <c r="H297" s="8"/>
      <c r="I297" s="23"/>
      <c r="J297" s="24"/>
    </row>
    <row r="298" customFormat="false" ht="15" hidden="false" customHeight="false" outlineLevel="0" collapsed="false">
      <c r="B298" s="25" t="s">
        <v>113</v>
      </c>
      <c r="C298" s="26"/>
      <c r="D298" s="26"/>
      <c r="E298" s="26"/>
      <c r="F298" s="26"/>
      <c r="G298" s="26"/>
      <c r="H298" s="26"/>
      <c r="I298" s="26"/>
      <c r="J298" s="26"/>
    </row>
    <row r="299" customFormat="false" ht="15" hidden="false" customHeight="false" outlineLevel="0" collapsed="false">
      <c r="B299" s="9" t="s">
        <v>114</v>
      </c>
      <c r="C299" s="8" t="s">
        <v>92</v>
      </c>
      <c r="D299" s="8"/>
      <c r="E299" s="8"/>
      <c r="F299" s="8"/>
      <c r="G299" s="8"/>
      <c r="H299" s="8"/>
      <c r="I299" s="23"/>
      <c r="J299" s="24" t="s">
        <v>115</v>
      </c>
    </row>
    <row r="300" customFormat="false" ht="15" hidden="false" customHeight="false" outlineLevel="0" collapsed="false">
      <c r="B300" s="9" t="s">
        <v>116</v>
      </c>
      <c r="C300" s="8" t="s">
        <v>92</v>
      </c>
      <c r="D300" s="8"/>
      <c r="E300" s="8"/>
      <c r="F300" s="8"/>
      <c r="G300" s="8"/>
      <c r="H300" s="8"/>
      <c r="I300" s="23"/>
      <c r="J300" s="24" t="s">
        <v>117</v>
      </c>
    </row>
    <row r="301" customFormat="false" ht="15" hidden="false" customHeight="false" outlineLevel="0" collapsed="false">
      <c r="B301" s="9" t="s">
        <v>118</v>
      </c>
      <c r="C301" s="15" t="s">
        <v>29</v>
      </c>
      <c r="D301" s="8"/>
      <c r="E301" s="8"/>
      <c r="F301" s="8"/>
      <c r="G301" s="8"/>
      <c r="H301" s="8"/>
      <c r="I301" s="23"/>
      <c r="J301" s="24"/>
    </row>
    <row r="302" customFormat="false" ht="15" hidden="false" customHeight="false" outlineLevel="0" collapsed="false">
      <c r="B302" s="9" t="s">
        <v>119</v>
      </c>
      <c r="C302" s="8" t="s">
        <v>112</v>
      </c>
      <c r="D302" s="8"/>
      <c r="E302" s="8"/>
      <c r="F302" s="8"/>
      <c r="G302" s="8"/>
      <c r="H302" s="8"/>
      <c r="I302" s="23"/>
      <c r="J302" s="24"/>
    </row>
    <row r="303" customFormat="false" ht="15" hidden="false" customHeight="false" outlineLevel="0" collapsed="false">
      <c r="B303" s="25" t="s">
        <v>120</v>
      </c>
      <c r="C303" s="26"/>
      <c r="D303" s="26"/>
      <c r="E303" s="26"/>
      <c r="F303" s="26"/>
      <c r="G303" s="26"/>
      <c r="H303" s="26"/>
      <c r="I303" s="26"/>
      <c r="J303" s="26"/>
    </row>
    <row r="304" customFormat="false" ht="15" hidden="false" customHeight="false" outlineLevel="0" collapsed="false">
      <c r="B304" s="9" t="s">
        <v>121</v>
      </c>
      <c r="C304" s="15" t="s">
        <v>29</v>
      </c>
      <c r="D304" s="8" t="s">
        <v>122</v>
      </c>
      <c r="E304" s="8" t="s">
        <v>122</v>
      </c>
      <c r="F304" s="8" t="s">
        <v>122</v>
      </c>
      <c r="G304" s="8" t="s">
        <v>122</v>
      </c>
      <c r="H304" s="8" t="s">
        <v>122</v>
      </c>
      <c r="I304" s="23"/>
      <c r="J304" s="24"/>
    </row>
    <row r="305" customFormat="false" ht="15" hidden="false" customHeight="false" outlineLevel="0" collapsed="false">
      <c r="B305" s="9" t="s">
        <v>123</v>
      </c>
      <c r="C305" s="15" t="s">
        <v>29</v>
      </c>
      <c r="D305" s="8" t="s">
        <v>122</v>
      </c>
      <c r="E305" s="8" t="s">
        <v>122</v>
      </c>
      <c r="F305" s="8" t="s">
        <v>122</v>
      </c>
      <c r="G305" s="8" t="s">
        <v>122</v>
      </c>
      <c r="H305" s="8" t="s">
        <v>122</v>
      </c>
      <c r="I305" s="23"/>
      <c r="J305" s="24"/>
    </row>
    <row r="306" customFormat="false" ht="15" hidden="false" customHeight="false" outlineLevel="0" collapsed="false">
      <c r="B306" s="25" t="s">
        <v>124</v>
      </c>
      <c r="C306" s="26"/>
      <c r="D306" s="26"/>
      <c r="E306" s="26"/>
      <c r="F306" s="26"/>
      <c r="G306" s="26"/>
      <c r="H306" s="26"/>
      <c r="I306" s="26"/>
      <c r="J306" s="26"/>
    </row>
    <row r="307" customFormat="false" ht="15" hidden="false" customHeight="false" outlineLevel="0" collapsed="false">
      <c r="B307" s="9" t="s">
        <v>125</v>
      </c>
      <c r="C307" s="15" t="s">
        <v>92</v>
      </c>
      <c r="D307" s="27" t="str">
        <f aca="false">IF(ISNUMBER(D285),D285*INDEX(LenF,MATCH($C$285,LenU,0))*1000,IF(ISNUMBER(D288),D288*INDEX(LenF,MATCH($C$288,LenU,0))/PitchRatio*1000,""))</f>
        <v/>
      </c>
      <c r="E307" s="27" t="str">
        <f aca="false">IF(ISNUMBER(E285),E285*INDEX(LenF,MATCH($C$285,LenU,0))*1000,IF(ISNUMBER(E288),E288*INDEX(LenF,MATCH($C$288,LenU,0))/PitchRatio*1000,""))</f>
        <v/>
      </c>
      <c r="F307" s="27" t="str">
        <f aca="false">IF(ISNUMBER(F285),F285*INDEX(LenF,MATCH($C$285,LenU,0))*1000,IF(ISNUMBER(F288),F288*INDEX(LenF,MATCH($C$288,LenU,0))/PitchRatio*1000,""))</f>
        <v/>
      </c>
      <c r="G307" s="27" t="str">
        <f aca="false">IF(ISNUMBER(G285),G285*INDEX(LenF,MATCH($C$285,LenU,0))*1000,IF(ISNUMBER(G288),G288*INDEX(LenF,MATCH($C$288,LenU,0))/PitchRatio*1000,""))</f>
        <v/>
      </c>
      <c r="H307" s="27" t="str">
        <f aca="false">IF(ISNUMBER(H285),H285*INDEX(LenF,MATCH($C$285,LenU,0))*1000,IF(ISNUMBER(H288),H288*INDEX(LenF,MATCH($C$288,LenU,0))/PitchRatio*1000,""))</f>
        <v/>
      </c>
      <c r="I307" s="28"/>
      <c r="J307" s="24" t="s">
        <v>126</v>
      </c>
    </row>
    <row r="308" customFormat="false" ht="15" hidden="false" customHeight="false" outlineLevel="0" collapsed="false">
      <c r="B308" s="9" t="s">
        <v>127</v>
      </c>
      <c r="C308" s="15" t="s">
        <v>109</v>
      </c>
      <c r="D308" s="29" t="str">
        <f aca="false">IF(AND(ISNUMBER(D284),ISNUMBER(D286),ISNUMBER(D287)),D284*PI()/4*(D286*INDEX(LenF,MATCH($C$286,LenU,0)))^2*D287*INDEX(LenF,MATCH($C$287,LenU,0)),"")</f>
        <v/>
      </c>
      <c r="E308" s="29" t="str">
        <f aca="false">IF(AND(ISNUMBER(E284),ISNUMBER(E286),ISNUMBER(E287)),E284*PI()/4*(E286*INDEX(LenF,MATCH($C$286,LenU,0)))^2*E287*INDEX(LenF,MATCH($C$287,LenU,0)),"")</f>
        <v/>
      </c>
      <c r="F308" s="29" t="str">
        <f aca="false">IF(AND(ISNUMBER(F284),ISNUMBER(F286),ISNUMBER(F287)),F284*PI()/4*(F286*INDEX(LenF,MATCH($C$286,LenU,0)))^2*F287*INDEX(LenF,MATCH($C$287,LenU,0)),"")</f>
        <v/>
      </c>
      <c r="G308" s="29" t="str">
        <f aca="false">IF(AND(ISNUMBER(G284),ISNUMBER(G286),ISNUMBER(G287)),G284*PI()/4*(G286*INDEX(LenF,MATCH($C$286,LenU,0)))^2*G287*INDEX(LenF,MATCH($C$287,LenU,0)),"")</f>
        <v/>
      </c>
      <c r="H308" s="29" t="str">
        <f aca="false">IF(AND(ISNUMBER(H284),ISNUMBER(H286),ISNUMBER(H287)),H284*PI()/4*(H286*INDEX(LenF,MATCH($C$286,LenU,0)))^2*H287*INDEX(LenF,MATCH($C$287,LenU,0)),"")</f>
        <v/>
      </c>
      <c r="I308" s="30" t="str">
        <f aca="false">IF(COUNT(D308:H308)=0,"",SUM(D308:H308))</f>
        <v/>
      </c>
      <c r="J308" s="24"/>
    </row>
    <row r="309" customFormat="false" ht="15" hidden="false" customHeight="false" outlineLevel="0" collapsed="false">
      <c r="B309" s="9" t="s">
        <v>128</v>
      </c>
      <c r="C309" s="15" t="s">
        <v>109</v>
      </c>
      <c r="D309" s="29" t="n">
        <f aca="false">IF(ISNUMBER(D296),D296*INDEX(VolF,MATCH($C$296,VolU,0)),IF(ISNUMBER(D290),PI()/4*(D290*INDEX(LenF,MATCH($C$290,LenU,0)))^2*N(D291)*INDEX(LenF,MATCH($C$291,LenU,0))+IF(D292="",0,IF(D292="Conical",PI()/12*(D290*INDEX(LenF,MATCH($C$290,LenU,0)))^2*(0),INDEX(HeadK,MATCH(D292,HeadU,0))*(D290*INDEX(LenF,MATCH($C$290,LenU,0)))^3)),0)+IF(ISNUMBER(D293),PI()/4*(D293*INDEX(LenF,MATCH($C$293,LenU,0)))^2*N(D294)*INDEX(LenF,MATCH($C$294,LenU,0))+IF(D295="",0,IF(D295="Conical",PI()/12*(D293*INDEX(LenF,MATCH($C$293,LenU,0)))^2*(0),INDEX(HeadK,MATCH(D295,HeadU,0))*(D293*INDEX(LenF,MATCH($C$293,LenU,0)))^3)),0))</f>
        <v>0</v>
      </c>
      <c r="E309" s="29" t="n">
        <f aca="false">IF(ISNUMBER(E296),E296*INDEX(VolF,MATCH($C$296,VolU,0)),IF(ISNUMBER(E290),PI()/4*(E290*INDEX(LenF,MATCH($C$290,LenU,0)))^2*N(E291)*INDEX(LenF,MATCH($C$291,LenU,0))+IF(E292="",0,IF(E292="Conical",PI()/12*(E290*INDEX(LenF,MATCH($C$290,LenU,0)))^2*(0),INDEX(HeadK,MATCH(E292,HeadU,0))*(E290*INDEX(LenF,MATCH($C$290,LenU,0)))^3)),0)+IF(ISNUMBER(E293),PI()/4*(E293*INDEX(LenF,MATCH($C$293,LenU,0)))^2*N(E294)*INDEX(LenF,MATCH($C$294,LenU,0))+IF(E295="",0,IF(E295="Conical",PI()/12*(E293*INDEX(LenF,MATCH($C$293,LenU,0)))^2*(0),INDEX(HeadK,MATCH(E295,HeadU,0))*(E293*INDEX(LenF,MATCH($C$293,LenU,0)))^3)),0))</f>
        <v>0</v>
      </c>
      <c r="F309" s="29" t="n">
        <f aca="false">IF(ISNUMBER(F296),F296*INDEX(VolF,MATCH($C$296,VolU,0)),IF(ISNUMBER(F290),PI()/4*(F290*INDEX(LenF,MATCH($C$290,LenU,0)))^2*N(F291)*INDEX(LenF,MATCH($C$291,LenU,0))+IF(F292="",0,IF(F292="Conical",PI()/12*(F290*INDEX(LenF,MATCH($C$290,LenU,0)))^2*(0),INDEX(HeadK,MATCH(F292,HeadU,0))*(F290*INDEX(LenF,MATCH($C$290,LenU,0)))^3)),0)+IF(ISNUMBER(F293),PI()/4*(F293*INDEX(LenF,MATCH($C$293,LenU,0)))^2*N(F294)*INDEX(LenF,MATCH($C$294,LenU,0))+IF(F295="",0,IF(F295="Conical",PI()/12*(F293*INDEX(LenF,MATCH($C$293,LenU,0)))^2*(0),INDEX(HeadK,MATCH(F295,HeadU,0))*(F293*INDEX(LenF,MATCH($C$293,LenU,0)))^3)),0))</f>
        <v>0</v>
      </c>
      <c r="G309" s="29" t="n">
        <f aca="false">IF(ISNUMBER(G296),G296*INDEX(VolF,MATCH($C$296,VolU,0)),IF(ISNUMBER(G290),PI()/4*(G290*INDEX(LenF,MATCH($C$290,LenU,0)))^2*N(G291)*INDEX(LenF,MATCH($C$291,LenU,0))+IF(G292="",0,IF(G292="Conical",PI()/12*(G290*INDEX(LenF,MATCH($C$290,LenU,0)))^2*(0),INDEX(HeadK,MATCH(G292,HeadU,0))*(G290*INDEX(LenF,MATCH($C$290,LenU,0)))^3)),0)+IF(ISNUMBER(G293),PI()/4*(G293*INDEX(LenF,MATCH($C$293,LenU,0)))^2*N(G294)*INDEX(LenF,MATCH($C$294,LenU,0))+IF(G295="",0,IF(G295="Conical",PI()/12*(G293*INDEX(LenF,MATCH($C$293,LenU,0)))^2*(0),INDEX(HeadK,MATCH(G295,HeadU,0))*(G293*INDEX(LenF,MATCH($C$293,LenU,0)))^3)),0))</f>
        <v>0</v>
      </c>
      <c r="H309" s="29" t="n">
        <f aca="false">IF(ISNUMBER(H296),H296*INDEX(VolF,MATCH($C$296,VolU,0)),IF(ISNUMBER(H290),PI()/4*(H290*INDEX(LenF,MATCH($C$290,LenU,0)))^2*N(H291)*INDEX(LenF,MATCH($C$291,LenU,0))+IF(H292="",0,IF(H292="Conical",PI()/12*(H290*INDEX(LenF,MATCH($C$290,LenU,0)))^2*(0),INDEX(HeadK,MATCH(H292,HeadU,0))*(H290*INDEX(LenF,MATCH($C$290,LenU,0)))^3)),0)+IF(ISNUMBER(H293),PI()/4*(H293*INDEX(LenF,MATCH($C$293,LenU,0)))^2*N(H294)*INDEX(LenF,MATCH($C$294,LenU,0))+IF(H295="",0,IF(H295="Conical",PI()/12*(H293*INDEX(LenF,MATCH($C$293,LenU,0)))^2*(0),INDEX(HeadK,MATCH(H295,HeadU,0))*(H293*INDEX(LenF,MATCH($C$293,LenU,0)))^3)),0))</f>
        <v>0</v>
      </c>
      <c r="I309" s="30" t="n">
        <f aca="false">IF(COUNT(D309:H309)=0,"",SUM(D309:H309))</f>
        <v>0</v>
      </c>
      <c r="J309" s="24" t="s">
        <v>129</v>
      </c>
    </row>
    <row r="310" customFormat="false" ht="15" hidden="false" customHeight="false" outlineLevel="0" collapsed="false">
      <c r="B310" s="9" t="s">
        <v>130</v>
      </c>
      <c r="C310" s="15" t="s">
        <v>109</v>
      </c>
      <c r="D310" s="29" t="str">
        <f aca="false">IF(D308="","",D308+D309)</f>
        <v/>
      </c>
      <c r="E310" s="29" t="str">
        <f aca="false">IF(E308="","",E308+E309)</f>
        <v/>
      </c>
      <c r="F310" s="29" t="str">
        <f aca="false">IF(F308="","",F308+F309)</f>
        <v/>
      </c>
      <c r="G310" s="29" t="str">
        <f aca="false">IF(G308="","",G308+G309)</f>
        <v/>
      </c>
      <c r="H310" s="29" t="str">
        <f aca="false">IF(H308="","",H308+H309)</f>
        <v/>
      </c>
      <c r="I310" s="30" t="str">
        <f aca="false">IF(COUNT(D310:H310)=0,"",SUM(D310:H310))</f>
        <v/>
      </c>
      <c r="J310" s="24"/>
    </row>
    <row r="311" customFormat="false" ht="15" hidden="false" customHeight="false" outlineLevel="0" collapsed="false">
      <c r="B311" s="9" t="s">
        <v>131</v>
      </c>
      <c r="C311" s="15" t="s">
        <v>109</v>
      </c>
      <c r="D311" s="29" t="str">
        <f aca="false">IF(ISNUMBER(D297),D297*INDEX(WtF,MATCH($C$297,WtU,0))/WaterRho,"")</f>
        <v/>
      </c>
      <c r="E311" s="29" t="str">
        <f aca="false">IF(ISNUMBER(E297),E297*INDEX(WtF,MATCH($C$297,WtU,0))/WaterRho,"")</f>
        <v/>
      </c>
      <c r="F311" s="29" t="str">
        <f aca="false">IF(ISNUMBER(F297),F297*INDEX(WtF,MATCH($C$297,WtU,0))/WaterRho,"")</f>
        <v/>
      </c>
      <c r="G311" s="29" t="str">
        <f aca="false">IF(ISNUMBER(G297),G297*INDEX(WtF,MATCH($C$297,WtU,0))/WaterRho,"")</f>
        <v/>
      </c>
      <c r="H311" s="29" t="str">
        <f aca="false">IF(ISNUMBER(H297),H297*INDEX(WtF,MATCH($C$297,WtU,0))/WaterRho,"")</f>
        <v/>
      </c>
      <c r="I311" s="30" t="str">
        <f aca="false">IF(COUNT(D311:H311)=0,"",SUM(D311:H311))</f>
        <v/>
      </c>
      <c r="J311" s="24"/>
    </row>
    <row r="312" customFormat="false" ht="15" hidden="false" customHeight="false" outlineLevel="0" collapsed="false">
      <c r="B312" s="4" t="s">
        <v>132</v>
      </c>
      <c r="C312" s="15" t="s">
        <v>109</v>
      </c>
      <c r="D312" s="31" t="str">
        <f aca="false">IF(D304="Water weight",D311,D310)</f>
        <v/>
      </c>
      <c r="E312" s="31" t="str">
        <f aca="false">IF(E304="Water weight",E311,E310)</f>
        <v/>
      </c>
      <c r="F312" s="31" t="str">
        <f aca="false">IF(F304="Water weight",F311,F310)</f>
        <v/>
      </c>
      <c r="G312" s="31" t="str">
        <f aca="false">IF(G304="Water weight",G311,G310)</f>
        <v/>
      </c>
      <c r="H312" s="31" t="str">
        <f aca="false">IF(H304="Water weight",H311,H310)</f>
        <v/>
      </c>
      <c r="I312" s="31" t="str">
        <f aca="false">IF(COUNT(D312:H312)=0,"",SUM(D312:H312))</f>
        <v/>
      </c>
      <c r="J312" s="24"/>
      <c r="K312" s="32" t="s">
        <v>133</v>
      </c>
    </row>
    <row r="313" customFormat="false" ht="15" hidden="false" customHeight="false" outlineLevel="0" collapsed="false">
      <c r="B313" s="9" t="s">
        <v>134</v>
      </c>
      <c r="C313" s="15" t="s">
        <v>135</v>
      </c>
      <c r="D313" s="33" t="str">
        <f aca="false">IF(ISNUMBER(D299),PI()/4*(D299*INDEX(LenF,MATCH($C$299,LenU,0)))^2,IF(AND(ISNUMBER(D284),ISNUMBER(D288),D289&lt;&gt;""),D284*(D288*INDEX(LenF,MATCH($C$288,LenU,0)))^2*INDEX(LayoutF,MATCH(D289,LayoutU,0)),""))</f>
        <v/>
      </c>
      <c r="E313" s="33" t="str">
        <f aca="false">IF(ISNUMBER(E299),PI()/4*(E299*INDEX(LenF,MATCH($C$299,LenU,0)))^2,IF(AND(ISNUMBER(E284),ISNUMBER(E288),E289&lt;&gt;""),E284*(E288*INDEX(LenF,MATCH($C$288,LenU,0)))^2*INDEX(LayoutF,MATCH(E289,LayoutU,0)),""))</f>
        <v/>
      </c>
      <c r="F313" s="33" t="str">
        <f aca="false">IF(ISNUMBER(F299),PI()/4*(F299*INDEX(LenF,MATCH($C$299,LenU,0)))^2,IF(AND(ISNUMBER(F284),ISNUMBER(F288),F289&lt;&gt;""),F284*(F288*INDEX(LenF,MATCH($C$288,LenU,0)))^2*INDEX(LayoutF,MATCH(F289,LayoutU,0)),""))</f>
        <v/>
      </c>
      <c r="G313" s="33" t="str">
        <f aca="false">IF(ISNUMBER(G299),PI()/4*(G299*INDEX(LenF,MATCH($C$299,LenU,0)))^2,IF(AND(ISNUMBER(G284),ISNUMBER(G288),G289&lt;&gt;""),G284*(G288*INDEX(LenF,MATCH($C$288,LenU,0)))^2*INDEX(LayoutF,MATCH(G289,LayoutU,0)),""))</f>
        <v/>
      </c>
      <c r="H313" s="33" t="str">
        <f aca="false">IF(ISNUMBER(H299),PI()/4*(H299*INDEX(LenF,MATCH($C$299,LenU,0)))^2,IF(AND(ISNUMBER(H284),ISNUMBER(H288),H289&lt;&gt;""),H284*(H288*INDEX(LenF,MATCH($C$288,LenU,0)))^2*INDEX(LayoutF,MATCH(H289,LayoutU,0)),""))</f>
        <v/>
      </c>
      <c r="I313" s="34"/>
      <c r="J313" s="24" t="s">
        <v>136</v>
      </c>
    </row>
    <row r="314" customFormat="false" ht="15" hidden="false" customHeight="false" outlineLevel="0" collapsed="false">
      <c r="B314" s="9" t="s">
        <v>137</v>
      </c>
      <c r="C314" s="15" t="s">
        <v>109</v>
      </c>
      <c r="D314" s="29" t="str">
        <f aca="false">IF(OR(D313="",AND(NOT(ISNUMBER(D300)),NOT(ISNUMBER(D287)))),"",D313*IF(ISNUMBER(D300),D300*INDEX(LenF,MATCH($C$300,LenU,0)),D287*INDEX(LenF,MATCH($C$287,LenU,0)))+IF(D301="",0,IF(D301="Conical",PI()/12*(SQRT(4*D313/PI()))^2*(0),INDEX(HeadK,MATCH(D301,HeadU,0))*(SQRT(4*D313/PI()))^3)))</f>
        <v/>
      </c>
      <c r="E314" s="29" t="str">
        <f aca="false">IF(OR(E313="",AND(NOT(ISNUMBER(E300)),NOT(ISNUMBER(E287)))),"",E313*IF(ISNUMBER(E300),E300*INDEX(LenF,MATCH($C$300,LenU,0)),E287*INDEX(LenF,MATCH($C$287,LenU,0)))+IF(E301="",0,IF(E301="Conical",PI()/12*(SQRT(4*E313/PI()))^2*(0),INDEX(HeadK,MATCH(E301,HeadU,0))*(SQRT(4*E313/PI()))^3)))</f>
        <v/>
      </c>
      <c r="F314" s="29" t="str">
        <f aca="false">IF(OR(F313="",AND(NOT(ISNUMBER(F300)),NOT(ISNUMBER(F287)))),"",F313*IF(ISNUMBER(F300),F300*INDEX(LenF,MATCH($C$300,LenU,0)),F287*INDEX(LenF,MATCH($C$287,LenU,0)))+IF(F301="",0,IF(F301="Conical",PI()/12*(SQRT(4*F313/PI()))^2*(0),INDEX(HeadK,MATCH(F301,HeadU,0))*(SQRT(4*F313/PI()))^3)))</f>
        <v/>
      </c>
      <c r="G314" s="29" t="str">
        <f aca="false">IF(OR(G313="",AND(NOT(ISNUMBER(G300)),NOT(ISNUMBER(G287)))),"",G313*IF(ISNUMBER(G300),G300*INDEX(LenF,MATCH($C$300,LenU,0)),G287*INDEX(LenF,MATCH($C$287,LenU,0)))+IF(G301="",0,IF(G301="Conical",PI()/12*(SQRT(4*G313/PI()))^2*(0),INDEX(HeadK,MATCH(G301,HeadU,0))*(SQRT(4*G313/PI()))^3)))</f>
        <v/>
      </c>
      <c r="H314" s="29" t="str">
        <f aca="false">IF(OR(H313="",AND(NOT(ISNUMBER(H300)),NOT(ISNUMBER(H287)))),"",H313*IF(ISNUMBER(H300),H300*INDEX(LenF,MATCH($C$300,LenU,0)),H287*INDEX(LenF,MATCH($C$287,LenU,0)))+IF(H301="",0,IF(H301="Conical",PI()/12*(SQRT(4*H313/PI()))^2*(0),INDEX(HeadK,MATCH(H301,HeadU,0))*(SQRT(4*H313/PI()))^3)))</f>
        <v/>
      </c>
      <c r="I314" s="30" t="str">
        <f aca="false">IF(COUNT(D314:H314)=0,"",SUM(D314:H314))</f>
        <v/>
      </c>
      <c r="J314" s="24"/>
    </row>
    <row r="315" customFormat="false" ht="15" hidden="false" customHeight="false" outlineLevel="0" collapsed="false">
      <c r="B315" s="9" t="s">
        <v>138</v>
      </c>
      <c r="C315" s="15" t="s">
        <v>109</v>
      </c>
      <c r="D315" s="29" t="str">
        <f aca="false">IF(AND(ISNUMBER(D284),ISNUMBER(D307),ISNUMBER(D287)),D284*PI()/4*(D307/1000)^2*D287*INDEX(LenF,MATCH($C$287,LenU,0)),"")</f>
        <v/>
      </c>
      <c r="E315" s="29" t="str">
        <f aca="false">IF(AND(ISNUMBER(E284),ISNUMBER(E307),ISNUMBER(E287)),E284*PI()/4*(E307/1000)^2*E287*INDEX(LenF,MATCH($C$287,LenU,0)),"")</f>
        <v/>
      </c>
      <c r="F315" s="29" t="str">
        <f aca="false">IF(AND(ISNUMBER(F284),ISNUMBER(F307),ISNUMBER(F287)),F284*PI()/4*(F307/1000)^2*F287*INDEX(LenF,MATCH($C$287,LenU,0)),"")</f>
        <v/>
      </c>
      <c r="G315" s="29" t="str">
        <f aca="false">IF(AND(ISNUMBER(G284),ISNUMBER(G307),ISNUMBER(G287)),G284*PI()/4*(G307/1000)^2*G287*INDEX(LenF,MATCH($C$287,LenU,0)),"")</f>
        <v/>
      </c>
      <c r="H315" s="29" t="str">
        <f aca="false">IF(AND(ISNUMBER(H284),ISNUMBER(H307),ISNUMBER(H287)),H284*PI()/4*(H307/1000)^2*H287*INDEX(LenF,MATCH($C$287,LenU,0)),"")</f>
        <v/>
      </c>
      <c r="I315" s="30" t="str">
        <f aca="false">IF(COUNT(D315:H315)=0,"",SUM(D315:H315))</f>
        <v/>
      </c>
      <c r="J315" s="24"/>
    </row>
    <row r="316" customFormat="false" ht="15" hidden="false" customHeight="false" outlineLevel="0" collapsed="false">
      <c r="B316" s="9" t="s">
        <v>139</v>
      </c>
      <c r="C316" s="15" t="s">
        <v>109</v>
      </c>
      <c r="D316" s="29" t="str">
        <f aca="false">IF(OR(D314="",D315=""),"",D314-D315)</f>
        <v/>
      </c>
      <c r="E316" s="29" t="str">
        <f aca="false">IF(OR(E314="",E315=""),"",E314-E315)</f>
        <v/>
      </c>
      <c r="F316" s="29" t="str">
        <f aca="false">IF(OR(F314="",F315=""),"",F314-F315)</f>
        <v/>
      </c>
      <c r="G316" s="29" t="str">
        <f aca="false">IF(OR(G314="",G315=""),"",G314-G315)</f>
        <v/>
      </c>
      <c r="H316" s="29" t="str">
        <f aca="false">IF(OR(H314="",H315=""),"",H314-H315)</f>
        <v/>
      </c>
      <c r="I316" s="30" t="str">
        <f aca="false">IF(COUNT(D316:H316)=0,"",SUM(D316:H316))</f>
        <v/>
      </c>
      <c r="J316" s="24" t="s">
        <v>140</v>
      </c>
    </row>
    <row r="317" customFormat="false" ht="15" hidden="false" customHeight="false" outlineLevel="0" collapsed="false">
      <c r="B317" s="9" t="s">
        <v>141</v>
      </c>
      <c r="C317" s="15" t="s">
        <v>109</v>
      </c>
      <c r="D317" s="29" t="str">
        <f aca="false">IF(ISNUMBER(D302),D302*INDEX(WtF,MATCH($C$302,WtU,0))/WaterRho,"")</f>
        <v/>
      </c>
      <c r="E317" s="29" t="str">
        <f aca="false">IF(ISNUMBER(E302),E302*INDEX(WtF,MATCH($C$302,WtU,0))/WaterRho,"")</f>
        <v/>
      </c>
      <c r="F317" s="29" t="str">
        <f aca="false">IF(ISNUMBER(F302),F302*INDEX(WtF,MATCH($C$302,WtU,0))/WaterRho,"")</f>
        <v/>
      </c>
      <c r="G317" s="29" t="str">
        <f aca="false">IF(ISNUMBER(G302),G302*INDEX(WtF,MATCH($C$302,WtU,0))/WaterRho,"")</f>
        <v/>
      </c>
      <c r="H317" s="29" t="str">
        <f aca="false">IF(ISNUMBER(H302),H302*INDEX(WtF,MATCH($C$302,WtU,0))/WaterRho,"")</f>
        <v/>
      </c>
      <c r="I317" s="30" t="str">
        <f aca="false">IF(COUNT(D317:H317)=0,"",SUM(D317:H317))</f>
        <v/>
      </c>
      <c r="J317" s="24"/>
    </row>
    <row r="318" customFormat="false" ht="15" hidden="false" customHeight="false" outlineLevel="0" collapsed="false">
      <c r="B318" s="4" t="s">
        <v>142</v>
      </c>
      <c r="C318" s="15" t="s">
        <v>109</v>
      </c>
      <c r="D318" s="31" t="str">
        <f aca="false">IF(D305="Water weight",D317,D316)</f>
        <v/>
      </c>
      <c r="E318" s="31" t="str">
        <f aca="false">IF(E305="Water weight",E317,E316)</f>
        <v/>
      </c>
      <c r="F318" s="31" t="str">
        <f aca="false">IF(F305="Water weight",F317,F316)</f>
        <v/>
      </c>
      <c r="G318" s="31" t="str">
        <f aca="false">IF(G305="Water weight",G317,G316)</f>
        <v/>
      </c>
      <c r="H318" s="31" t="str">
        <f aca="false">IF(H305="Water weight",H317,H316)</f>
        <v/>
      </c>
      <c r="I318" s="31" t="str">
        <f aca="false">IF(COUNT(D318:H318)=0,"",SUM(D318:H318))</f>
        <v/>
      </c>
      <c r="J318" s="24"/>
      <c r="K318" s="32" t="s">
        <v>143</v>
      </c>
    </row>
    <row r="319" customFormat="false" ht="15" hidden="false" customHeight="false" outlineLevel="0" collapsed="false">
      <c r="B319" s="4" t="s">
        <v>144</v>
      </c>
      <c r="C319" s="15" t="s">
        <v>109</v>
      </c>
      <c r="D319" s="31" t="str">
        <f aca="false">IF(AND(D312="",D318=""),"",N(D312)+N(D318))</f>
        <v/>
      </c>
      <c r="E319" s="31" t="str">
        <f aca="false">IF(AND(E312="",E318=""),"",N(E312)+N(E318))</f>
        <v/>
      </c>
      <c r="F319" s="31" t="str">
        <f aca="false">IF(AND(F312="",F318=""),"",N(F312)+N(F318))</f>
        <v/>
      </c>
      <c r="G319" s="31" t="str">
        <f aca="false">IF(AND(G312="",G318=""),"",N(G312)+N(G318))</f>
        <v/>
      </c>
      <c r="H319" s="31" t="str">
        <f aca="false">IF(AND(H312="",H318=""),"",N(H312)+N(H318))</f>
        <v/>
      </c>
      <c r="I319" s="31" t="str">
        <f aca="false">IF(COUNT(D319:H319)=0,"",SUM(D319:H319))</f>
        <v/>
      </c>
      <c r="J319" s="24"/>
      <c r="K319" s="32" t="s">
        <v>145</v>
      </c>
    </row>
    <row r="320" customFormat="false" ht="15" hidden="false" customHeight="false" outlineLevel="0" collapsed="false">
      <c r="B320" s="9" t="s">
        <v>60</v>
      </c>
      <c r="C320" s="15" t="s">
        <v>146</v>
      </c>
      <c r="D320" s="35" t="str">
        <f aca="false">IF(D319="","",IF(JobType="Chemical Cleaning",CC_HX,INDEX(DecFill,MATCH("Exchanger",DecTypeU,0))))</f>
        <v/>
      </c>
      <c r="E320" s="35" t="str">
        <f aca="false">IF(E319="","",IF(JobType="Chemical Cleaning",CC_HX,INDEX(DecFill,MATCH("Exchanger",DecTypeU,0))))</f>
        <v/>
      </c>
      <c r="F320" s="35" t="str">
        <f aca="false">IF(F319="","",IF(JobType="Chemical Cleaning",CC_HX,INDEX(DecFill,MATCH("Exchanger",DecTypeU,0))))</f>
        <v/>
      </c>
      <c r="G320" s="35" t="str">
        <f aca="false">IF(G319="","",IF(JobType="Chemical Cleaning",CC_HX,INDEX(DecFill,MATCH("Exchanger",DecTypeU,0))))</f>
        <v/>
      </c>
      <c r="H320" s="35" t="str">
        <f aca="false">IF(H319="","",IF(JobType="Chemical Cleaning",CC_HX,INDEX(DecFill,MATCH("Exchanger",DecTypeU,0))))</f>
        <v/>
      </c>
      <c r="I320" s="36"/>
      <c r="J320" s="24" t="s">
        <v>147</v>
      </c>
    </row>
    <row r="321" customFormat="false" ht="15" hidden="false" customHeight="false" outlineLevel="0" collapsed="false">
      <c r="B321" s="4" t="s">
        <v>148</v>
      </c>
      <c r="C321" s="15" t="s">
        <v>109</v>
      </c>
      <c r="D321" s="31" t="str">
        <f aca="false">IF(OR(D319="",D320=""),"",D319*D320)</f>
        <v/>
      </c>
      <c r="E321" s="31" t="str">
        <f aca="false">IF(OR(E319="",E320=""),"",E319*E320)</f>
        <v/>
      </c>
      <c r="F321" s="31" t="str">
        <f aca="false">IF(OR(F319="",F320=""),"",F319*F320)</f>
        <v/>
      </c>
      <c r="G321" s="31" t="str">
        <f aca="false">IF(OR(G319="",G320=""),"",G319*G320)</f>
        <v/>
      </c>
      <c r="H321" s="31" t="str">
        <f aca="false">IF(OR(H319="",H320=""),"",H319*H320)</f>
        <v/>
      </c>
      <c r="I321" s="31" t="str">
        <f aca="false">IF(COUNT(D321:H321)=0,"",SUM(D321:H321))</f>
        <v/>
      </c>
      <c r="J321" s="24"/>
      <c r="K321" s="32" t="s">
        <v>149</v>
      </c>
    </row>
    <row r="322" customFormat="false" ht="15" hidden="false" customHeight="false" outlineLevel="0" collapsed="false">
      <c r="B322" s="9" t="s">
        <v>150</v>
      </c>
      <c r="C322" s="15" t="s">
        <v>32</v>
      </c>
      <c r="D322" s="37" t="str">
        <f aca="false">IF(OR(JobType&lt;&gt;"Decontamination",D321=""),"",D321*INDEX(DecChem,MATCH("Exchanger",DecTypeU,0))*1000)</f>
        <v/>
      </c>
      <c r="E322" s="37" t="str">
        <f aca="false">IF(OR(JobType&lt;&gt;"Decontamination",E321=""),"",E321*INDEX(DecChem,MATCH("Exchanger",DecTypeU,0))*1000)</f>
        <v/>
      </c>
      <c r="F322" s="37" t="str">
        <f aca="false">IF(OR(JobType&lt;&gt;"Decontamination",F321=""),"",F321*INDEX(DecChem,MATCH("Exchanger",DecTypeU,0))*1000)</f>
        <v/>
      </c>
      <c r="G322" s="37" t="str">
        <f aca="false">IF(OR(JobType&lt;&gt;"Decontamination",G321=""),"",G321*INDEX(DecChem,MATCH("Exchanger",DecTypeU,0))*1000)</f>
        <v/>
      </c>
      <c r="H322" s="37" t="str">
        <f aca="false">IF(OR(JobType&lt;&gt;"Decontamination",H321=""),"",H321*INDEX(DecChem,MATCH("Exchanger",DecTypeU,0))*1000)</f>
        <v/>
      </c>
      <c r="I322" s="38" t="str">
        <f aca="false">IF(COUNT(D322:H322)=0,"",SUM(D322:H322))</f>
        <v/>
      </c>
      <c r="J322" s="24" t="s">
        <v>151</v>
      </c>
      <c r="K322" s="32" t="s">
        <v>152</v>
      </c>
    </row>
    <row r="324" customFormat="false" ht="15" hidden="false" customHeight="false" outlineLevel="0" collapsed="false">
      <c r="A324" s="20" t="n">
        <v>8</v>
      </c>
      <c r="B324" s="21" t="s">
        <v>159</v>
      </c>
      <c r="C324" s="22"/>
      <c r="D324" s="22"/>
      <c r="E324" s="22"/>
      <c r="F324" s="22"/>
      <c r="G324" s="22"/>
      <c r="H324" s="22"/>
      <c r="I324" s="22"/>
      <c r="J324" s="22"/>
    </row>
    <row r="325" customFormat="false" ht="15" hidden="false" customHeight="false" outlineLevel="0" collapsed="false">
      <c r="B325" s="9" t="s">
        <v>83</v>
      </c>
      <c r="C325" s="15" t="s">
        <v>29</v>
      </c>
      <c r="D325" s="8"/>
      <c r="E325" s="8"/>
      <c r="F325" s="8"/>
      <c r="G325" s="8"/>
      <c r="H325" s="8"/>
      <c r="I325" s="23"/>
      <c r="J325" s="24"/>
    </row>
    <row r="326" customFormat="false" ht="15" hidden="false" customHeight="false" outlineLevel="0" collapsed="false">
      <c r="B326" s="9" t="s">
        <v>86</v>
      </c>
      <c r="C326" s="15" t="s">
        <v>29</v>
      </c>
      <c r="D326" s="8"/>
      <c r="E326" s="8"/>
      <c r="F326" s="8"/>
      <c r="G326" s="8"/>
      <c r="H326" s="8"/>
      <c r="I326" s="23"/>
      <c r="J326" s="24"/>
    </row>
    <row r="327" customFormat="false" ht="15" hidden="false" customHeight="false" outlineLevel="0" collapsed="false">
      <c r="B327" s="9" t="s">
        <v>87</v>
      </c>
      <c r="C327" s="15" t="s">
        <v>29</v>
      </c>
      <c r="D327" s="8"/>
      <c r="E327" s="8"/>
      <c r="F327" s="8"/>
      <c r="G327" s="8"/>
      <c r="H327" s="8"/>
      <c r="I327" s="23"/>
      <c r="J327" s="24"/>
    </row>
    <row r="328" customFormat="false" ht="15" hidden="false" customHeight="false" outlineLevel="0" collapsed="false">
      <c r="B328" s="25" t="s">
        <v>88</v>
      </c>
      <c r="C328" s="26"/>
      <c r="D328" s="26"/>
      <c r="E328" s="26"/>
      <c r="F328" s="26"/>
      <c r="G328" s="26"/>
      <c r="H328" s="26"/>
      <c r="I328" s="26"/>
      <c r="J328" s="26"/>
    </row>
    <row r="329" customFormat="false" ht="15" hidden="false" customHeight="false" outlineLevel="0" collapsed="false">
      <c r="B329" s="9" t="s">
        <v>89</v>
      </c>
      <c r="C329" s="15" t="s">
        <v>90</v>
      </c>
      <c r="D329" s="8"/>
      <c r="E329" s="8"/>
      <c r="F329" s="8"/>
      <c r="G329" s="8"/>
      <c r="H329" s="8"/>
      <c r="I329" s="23"/>
      <c r="J329" s="24"/>
    </row>
    <row r="330" customFormat="false" ht="15" hidden="false" customHeight="false" outlineLevel="0" collapsed="false">
      <c r="B330" s="9" t="s">
        <v>91</v>
      </c>
      <c r="C330" s="8" t="s">
        <v>92</v>
      </c>
      <c r="D330" s="8"/>
      <c r="E330" s="8"/>
      <c r="F330" s="8"/>
      <c r="G330" s="8"/>
      <c r="H330" s="8"/>
      <c r="I330" s="23"/>
      <c r="J330" s="24" t="s">
        <v>93</v>
      </c>
    </row>
    <row r="331" customFormat="false" ht="15" hidden="false" customHeight="false" outlineLevel="0" collapsed="false">
      <c r="B331" s="9" t="s">
        <v>94</v>
      </c>
      <c r="C331" s="8" t="s">
        <v>92</v>
      </c>
      <c r="D331" s="8"/>
      <c r="E331" s="8"/>
      <c r="F331" s="8"/>
      <c r="G331" s="8"/>
      <c r="H331" s="8"/>
      <c r="I331" s="23"/>
      <c r="J331" s="24"/>
    </row>
    <row r="332" customFormat="false" ht="15" hidden="false" customHeight="false" outlineLevel="0" collapsed="false">
      <c r="B332" s="9" t="s">
        <v>95</v>
      </c>
      <c r="C332" s="8" t="s">
        <v>92</v>
      </c>
      <c r="D332" s="8"/>
      <c r="E332" s="8"/>
      <c r="F332" s="8"/>
      <c r="G332" s="8"/>
      <c r="H332" s="8"/>
      <c r="I332" s="23"/>
      <c r="J332" s="24"/>
    </row>
    <row r="333" customFormat="false" ht="15" hidden="false" customHeight="false" outlineLevel="0" collapsed="false">
      <c r="B333" s="9" t="s">
        <v>96</v>
      </c>
      <c r="C333" s="8" t="s">
        <v>92</v>
      </c>
      <c r="D333" s="8"/>
      <c r="E333" s="8"/>
      <c r="F333" s="8"/>
      <c r="G333" s="8"/>
      <c r="H333" s="8"/>
      <c r="I333" s="23"/>
      <c r="J333" s="24" t="s">
        <v>97</v>
      </c>
    </row>
    <row r="334" customFormat="false" ht="15" hidden="false" customHeight="false" outlineLevel="0" collapsed="false">
      <c r="B334" s="9" t="s">
        <v>98</v>
      </c>
      <c r="C334" s="15" t="s">
        <v>29</v>
      </c>
      <c r="D334" s="8" t="s">
        <v>99</v>
      </c>
      <c r="E334" s="8" t="s">
        <v>99</v>
      </c>
      <c r="F334" s="8" t="s">
        <v>99</v>
      </c>
      <c r="G334" s="8" t="s">
        <v>99</v>
      </c>
      <c r="H334" s="8" t="s">
        <v>99</v>
      </c>
      <c r="I334" s="23"/>
      <c r="J334" s="24"/>
    </row>
    <row r="335" customFormat="false" ht="15" hidden="false" customHeight="false" outlineLevel="0" collapsed="false">
      <c r="B335" s="9" t="s">
        <v>100</v>
      </c>
      <c r="C335" s="8" t="s">
        <v>92</v>
      </c>
      <c r="D335" s="8"/>
      <c r="E335" s="8"/>
      <c r="F335" s="8"/>
      <c r="G335" s="8"/>
      <c r="H335" s="8"/>
      <c r="I335" s="23"/>
      <c r="J335" s="24"/>
    </row>
    <row r="336" customFormat="false" ht="15" hidden="false" customHeight="false" outlineLevel="0" collapsed="false">
      <c r="B336" s="9" t="s">
        <v>101</v>
      </c>
      <c r="C336" s="8" t="s">
        <v>92</v>
      </c>
      <c r="D336" s="8"/>
      <c r="E336" s="8"/>
      <c r="F336" s="8"/>
      <c r="G336" s="8"/>
      <c r="H336" s="8"/>
      <c r="I336" s="23"/>
      <c r="J336" s="24"/>
    </row>
    <row r="337" customFormat="false" ht="15" hidden="false" customHeight="false" outlineLevel="0" collapsed="false">
      <c r="B337" s="9" t="s">
        <v>102</v>
      </c>
      <c r="C337" s="15" t="s">
        <v>29</v>
      </c>
      <c r="D337" s="8"/>
      <c r="E337" s="8"/>
      <c r="F337" s="8"/>
      <c r="G337" s="8"/>
      <c r="H337" s="8"/>
      <c r="I337" s="23"/>
      <c r="J337" s="24"/>
    </row>
    <row r="338" customFormat="false" ht="15" hidden="false" customHeight="false" outlineLevel="0" collapsed="false">
      <c r="B338" s="9" t="s">
        <v>104</v>
      </c>
      <c r="C338" s="8" t="s">
        <v>92</v>
      </c>
      <c r="D338" s="8"/>
      <c r="E338" s="8"/>
      <c r="F338" s="8"/>
      <c r="G338" s="8"/>
      <c r="H338" s="8"/>
      <c r="I338" s="23"/>
      <c r="J338" s="24"/>
    </row>
    <row r="339" customFormat="false" ht="15" hidden="false" customHeight="false" outlineLevel="0" collapsed="false">
      <c r="B339" s="9" t="s">
        <v>105</v>
      </c>
      <c r="C339" s="8" t="s">
        <v>92</v>
      </c>
      <c r="D339" s="8"/>
      <c r="E339" s="8"/>
      <c r="F339" s="8"/>
      <c r="G339" s="8"/>
      <c r="H339" s="8"/>
      <c r="I339" s="23"/>
      <c r="J339" s="24"/>
    </row>
    <row r="340" customFormat="false" ht="15" hidden="false" customHeight="false" outlineLevel="0" collapsed="false">
      <c r="B340" s="9" t="s">
        <v>106</v>
      </c>
      <c r="C340" s="15" t="s">
        <v>29</v>
      </c>
      <c r="D340" s="8"/>
      <c r="E340" s="8"/>
      <c r="F340" s="8"/>
      <c r="G340" s="8"/>
      <c r="H340" s="8"/>
      <c r="I340" s="23"/>
      <c r="J340" s="24"/>
    </row>
    <row r="341" customFormat="false" ht="15" hidden="false" customHeight="false" outlineLevel="0" collapsed="false">
      <c r="B341" s="9" t="s">
        <v>108</v>
      </c>
      <c r="C341" s="8" t="s">
        <v>109</v>
      </c>
      <c r="D341" s="8"/>
      <c r="E341" s="8"/>
      <c r="F341" s="8"/>
      <c r="G341" s="8"/>
      <c r="H341" s="8"/>
      <c r="I341" s="23"/>
      <c r="J341" s="24" t="s">
        <v>110</v>
      </c>
    </row>
    <row r="342" customFormat="false" ht="15" hidden="false" customHeight="false" outlineLevel="0" collapsed="false">
      <c r="B342" s="9" t="s">
        <v>111</v>
      </c>
      <c r="C342" s="8" t="s">
        <v>112</v>
      </c>
      <c r="D342" s="8"/>
      <c r="E342" s="8"/>
      <c r="F342" s="8"/>
      <c r="G342" s="8"/>
      <c r="H342" s="8"/>
      <c r="I342" s="23"/>
      <c r="J342" s="24"/>
    </row>
    <row r="343" customFormat="false" ht="15" hidden="false" customHeight="false" outlineLevel="0" collapsed="false">
      <c r="B343" s="25" t="s">
        <v>113</v>
      </c>
      <c r="C343" s="26"/>
      <c r="D343" s="26"/>
      <c r="E343" s="26"/>
      <c r="F343" s="26"/>
      <c r="G343" s="26"/>
      <c r="H343" s="26"/>
      <c r="I343" s="26"/>
      <c r="J343" s="26"/>
    </row>
    <row r="344" customFormat="false" ht="15" hidden="false" customHeight="false" outlineLevel="0" collapsed="false">
      <c r="B344" s="9" t="s">
        <v>114</v>
      </c>
      <c r="C344" s="8" t="s">
        <v>92</v>
      </c>
      <c r="D344" s="8"/>
      <c r="E344" s="8"/>
      <c r="F344" s="8"/>
      <c r="G344" s="8"/>
      <c r="H344" s="8"/>
      <c r="I344" s="23"/>
      <c r="J344" s="24" t="s">
        <v>115</v>
      </c>
    </row>
    <row r="345" customFormat="false" ht="15" hidden="false" customHeight="false" outlineLevel="0" collapsed="false">
      <c r="B345" s="9" t="s">
        <v>116</v>
      </c>
      <c r="C345" s="8" t="s">
        <v>92</v>
      </c>
      <c r="D345" s="8"/>
      <c r="E345" s="8"/>
      <c r="F345" s="8"/>
      <c r="G345" s="8"/>
      <c r="H345" s="8"/>
      <c r="I345" s="23"/>
      <c r="J345" s="24" t="s">
        <v>117</v>
      </c>
    </row>
    <row r="346" customFormat="false" ht="15" hidden="false" customHeight="false" outlineLevel="0" collapsed="false">
      <c r="B346" s="9" t="s">
        <v>118</v>
      </c>
      <c r="C346" s="15" t="s">
        <v>29</v>
      </c>
      <c r="D346" s="8"/>
      <c r="E346" s="8"/>
      <c r="F346" s="8"/>
      <c r="G346" s="8"/>
      <c r="H346" s="8"/>
      <c r="I346" s="23"/>
      <c r="J346" s="24"/>
    </row>
    <row r="347" customFormat="false" ht="15" hidden="false" customHeight="false" outlineLevel="0" collapsed="false">
      <c r="B347" s="9" t="s">
        <v>119</v>
      </c>
      <c r="C347" s="8" t="s">
        <v>112</v>
      </c>
      <c r="D347" s="8"/>
      <c r="E347" s="8"/>
      <c r="F347" s="8"/>
      <c r="G347" s="8"/>
      <c r="H347" s="8"/>
      <c r="I347" s="23"/>
      <c r="J347" s="24"/>
    </row>
    <row r="348" customFormat="false" ht="15" hidden="false" customHeight="false" outlineLevel="0" collapsed="false">
      <c r="B348" s="25" t="s">
        <v>120</v>
      </c>
      <c r="C348" s="26"/>
      <c r="D348" s="26"/>
      <c r="E348" s="26"/>
      <c r="F348" s="26"/>
      <c r="G348" s="26"/>
      <c r="H348" s="26"/>
      <c r="I348" s="26"/>
      <c r="J348" s="26"/>
    </row>
    <row r="349" customFormat="false" ht="15" hidden="false" customHeight="false" outlineLevel="0" collapsed="false">
      <c r="B349" s="9" t="s">
        <v>121</v>
      </c>
      <c r="C349" s="15" t="s">
        <v>29</v>
      </c>
      <c r="D349" s="8" t="s">
        <v>122</v>
      </c>
      <c r="E349" s="8" t="s">
        <v>122</v>
      </c>
      <c r="F349" s="8" t="s">
        <v>122</v>
      </c>
      <c r="G349" s="8" t="s">
        <v>122</v>
      </c>
      <c r="H349" s="8" t="s">
        <v>122</v>
      </c>
      <c r="I349" s="23"/>
      <c r="J349" s="24"/>
    </row>
    <row r="350" customFormat="false" ht="15" hidden="false" customHeight="false" outlineLevel="0" collapsed="false">
      <c r="B350" s="9" t="s">
        <v>123</v>
      </c>
      <c r="C350" s="15" t="s">
        <v>29</v>
      </c>
      <c r="D350" s="8" t="s">
        <v>122</v>
      </c>
      <c r="E350" s="8" t="s">
        <v>122</v>
      </c>
      <c r="F350" s="8" t="s">
        <v>122</v>
      </c>
      <c r="G350" s="8" t="s">
        <v>122</v>
      </c>
      <c r="H350" s="8" t="s">
        <v>122</v>
      </c>
      <c r="I350" s="23"/>
      <c r="J350" s="24"/>
    </row>
    <row r="351" customFormat="false" ht="15" hidden="false" customHeight="false" outlineLevel="0" collapsed="false">
      <c r="B351" s="25" t="s">
        <v>124</v>
      </c>
      <c r="C351" s="26"/>
      <c r="D351" s="26"/>
      <c r="E351" s="26"/>
      <c r="F351" s="26"/>
      <c r="G351" s="26"/>
      <c r="H351" s="26"/>
      <c r="I351" s="26"/>
      <c r="J351" s="26"/>
    </row>
    <row r="352" customFormat="false" ht="15" hidden="false" customHeight="false" outlineLevel="0" collapsed="false">
      <c r="B352" s="9" t="s">
        <v>125</v>
      </c>
      <c r="C352" s="15" t="s">
        <v>92</v>
      </c>
      <c r="D352" s="27" t="str">
        <f aca="false">IF(ISNUMBER(D330),D330*INDEX(LenF,MATCH($C$330,LenU,0))*1000,IF(ISNUMBER(D333),D333*INDEX(LenF,MATCH($C$333,LenU,0))/PitchRatio*1000,""))</f>
        <v/>
      </c>
      <c r="E352" s="27" t="str">
        <f aca="false">IF(ISNUMBER(E330),E330*INDEX(LenF,MATCH($C$330,LenU,0))*1000,IF(ISNUMBER(E333),E333*INDEX(LenF,MATCH($C$333,LenU,0))/PitchRatio*1000,""))</f>
        <v/>
      </c>
      <c r="F352" s="27" t="str">
        <f aca="false">IF(ISNUMBER(F330),F330*INDEX(LenF,MATCH($C$330,LenU,0))*1000,IF(ISNUMBER(F333),F333*INDEX(LenF,MATCH($C$333,LenU,0))/PitchRatio*1000,""))</f>
        <v/>
      </c>
      <c r="G352" s="27" t="str">
        <f aca="false">IF(ISNUMBER(G330),G330*INDEX(LenF,MATCH($C$330,LenU,0))*1000,IF(ISNUMBER(G333),G333*INDEX(LenF,MATCH($C$333,LenU,0))/PitchRatio*1000,""))</f>
        <v/>
      </c>
      <c r="H352" s="27" t="str">
        <f aca="false">IF(ISNUMBER(H330),H330*INDEX(LenF,MATCH($C$330,LenU,0))*1000,IF(ISNUMBER(H333),H333*INDEX(LenF,MATCH($C$333,LenU,0))/PitchRatio*1000,""))</f>
        <v/>
      </c>
      <c r="I352" s="28"/>
      <c r="J352" s="24" t="s">
        <v>126</v>
      </c>
    </row>
    <row r="353" customFormat="false" ht="15" hidden="false" customHeight="false" outlineLevel="0" collapsed="false">
      <c r="B353" s="9" t="s">
        <v>127</v>
      </c>
      <c r="C353" s="15" t="s">
        <v>109</v>
      </c>
      <c r="D353" s="29" t="str">
        <f aca="false">IF(AND(ISNUMBER(D329),ISNUMBER(D331),ISNUMBER(D332)),D329*PI()/4*(D331*INDEX(LenF,MATCH($C$331,LenU,0)))^2*D332*INDEX(LenF,MATCH($C$332,LenU,0)),"")</f>
        <v/>
      </c>
      <c r="E353" s="29" t="str">
        <f aca="false">IF(AND(ISNUMBER(E329),ISNUMBER(E331),ISNUMBER(E332)),E329*PI()/4*(E331*INDEX(LenF,MATCH($C$331,LenU,0)))^2*E332*INDEX(LenF,MATCH($C$332,LenU,0)),"")</f>
        <v/>
      </c>
      <c r="F353" s="29" t="str">
        <f aca="false">IF(AND(ISNUMBER(F329),ISNUMBER(F331),ISNUMBER(F332)),F329*PI()/4*(F331*INDEX(LenF,MATCH($C$331,LenU,0)))^2*F332*INDEX(LenF,MATCH($C$332,LenU,0)),"")</f>
        <v/>
      </c>
      <c r="G353" s="29" t="str">
        <f aca="false">IF(AND(ISNUMBER(G329),ISNUMBER(G331),ISNUMBER(G332)),G329*PI()/4*(G331*INDEX(LenF,MATCH($C$331,LenU,0)))^2*G332*INDEX(LenF,MATCH($C$332,LenU,0)),"")</f>
        <v/>
      </c>
      <c r="H353" s="29" t="str">
        <f aca="false">IF(AND(ISNUMBER(H329),ISNUMBER(H331),ISNUMBER(H332)),H329*PI()/4*(H331*INDEX(LenF,MATCH($C$331,LenU,0)))^2*H332*INDEX(LenF,MATCH($C$332,LenU,0)),"")</f>
        <v/>
      </c>
      <c r="I353" s="30" t="str">
        <f aca="false">IF(COUNT(D353:H353)=0,"",SUM(D353:H353))</f>
        <v/>
      </c>
      <c r="J353" s="24"/>
    </row>
    <row r="354" customFormat="false" ht="15" hidden="false" customHeight="false" outlineLevel="0" collapsed="false">
      <c r="B354" s="9" t="s">
        <v>128</v>
      </c>
      <c r="C354" s="15" t="s">
        <v>109</v>
      </c>
      <c r="D354" s="29" t="n">
        <f aca="false">IF(ISNUMBER(D341),D341*INDEX(VolF,MATCH($C$341,VolU,0)),IF(ISNUMBER(D335),PI()/4*(D335*INDEX(LenF,MATCH($C$335,LenU,0)))^2*N(D336)*INDEX(LenF,MATCH($C$336,LenU,0))+IF(D337="",0,IF(D337="Conical",PI()/12*(D335*INDEX(LenF,MATCH($C$335,LenU,0)))^2*(0),INDEX(HeadK,MATCH(D337,HeadU,0))*(D335*INDEX(LenF,MATCH($C$335,LenU,0)))^3)),0)+IF(ISNUMBER(D338),PI()/4*(D338*INDEX(LenF,MATCH($C$338,LenU,0)))^2*N(D339)*INDEX(LenF,MATCH($C$339,LenU,0))+IF(D340="",0,IF(D340="Conical",PI()/12*(D338*INDEX(LenF,MATCH($C$338,LenU,0)))^2*(0),INDEX(HeadK,MATCH(D340,HeadU,0))*(D338*INDEX(LenF,MATCH($C$338,LenU,0)))^3)),0))</f>
        <v>0</v>
      </c>
      <c r="E354" s="29" t="n">
        <f aca="false">IF(ISNUMBER(E341),E341*INDEX(VolF,MATCH($C$341,VolU,0)),IF(ISNUMBER(E335),PI()/4*(E335*INDEX(LenF,MATCH($C$335,LenU,0)))^2*N(E336)*INDEX(LenF,MATCH($C$336,LenU,0))+IF(E337="",0,IF(E337="Conical",PI()/12*(E335*INDEX(LenF,MATCH($C$335,LenU,0)))^2*(0),INDEX(HeadK,MATCH(E337,HeadU,0))*(E335*INDEX(LenF,MATCH($C$335,LenU,0)))^3)),0)+IF(ISNUMBER(E338),PI()/4*(E338*INDEX(LenF,MATCH($C$338,LenU,0)))^2*N(E339)*INDEX(LenF,MATCH($C$339,LenU,0))+IF(E340="",0,IF(E340="Conical",PI()/12*(E338*INDEX(LenF,MATCH($C$338,LenU,0)))^2*(0),INDEX(HeadK,MATCH(E340,HeadU,0))*(E338*INDEX(LenF,MATCH($C$338,LenU,0)))^3)),0))</f>
        <v>0</v>
      </c>
      <c r="F354" s="29" t="n">
        <f aca="false">IF(ISNUMBER(F341),F341*INDEX(VolF,MATCH($C$341,VolU,0)),IF(ISNUMBER(F335),PI()/4*(F335*INDEX(LenF,MATCH($C$335,LenU,0)))^2*N(F336)*INDEX(LenF,MATCH($C$336,LenU,0))+IF(F337="",0,IF(F337="Conical",PI()/12*(F335*INDEX(LenF,MATCH($C$335,LenU,0)))^2*(0),INDEX(HeadK,MATCH(F337,HeadU,0))*(F335*INDEX(LenF,MATCH($C$335,LenU,0)))^3)),0)+IF(ISNUMBER(F338),PI()/4*(F338*INDEX(LenF,MATCH($C$338,LenU,0)))^2*N(F339)*INDEX(LenF,MATCH($C$339,LenU,0))+IF(F340="",0,IF(F340="Conical",PI()/12*(F338*INDEX(LenF,MATCH($C$338,LenU,0)))^2*(0),INDEX(HeadK,MATCH(F340,HeadU,0))*(F338*INDEX(LenF,MATCH($C$338,LenU,0)))^3)),0))</f>
        <v>0</v>
      </c>
      <c r="G354" s="29" t="n">
        <f aca="false">IF(ISNUMBER(G341),G341*INDEX(VolF,MATCH($C$341,VolU,0)),IF(ISNUMBER(G335),PI()/4*(G335*INDEX(LenF,MATCH($C$335,LenU,0)))^2*N(G336)*INDEX(LenF,MATCH($C$336,LenU,0))+IF(G337="",0,IF(G337="Conical",PI()/12*(G335*INDEX(LenF,MATCH($C$335,LenU,0)))^2*(0),INDEX(HeadK,MATCH(G337,HeadU,0))*(G335*INDEX(LenF,MATCH($C$335,LenU,0)))^3)),0)+IF(ISNUMBER(G338),PI()/4*(G338*INDEX(LenF,MATCH($C$338,LenU,0)))^2*N(G339)*INDEX(LenF,MATCH($C$339,LenU,0))+IF(G340="",0,IF(G340="Conical",PI()/12*(G338*INDEX(LenF,MATCH($C$338,LenU,0)))^2*(0),INDEX(HeadK,MATCH(G340,HeadU,0))*(G338*INDEX(LenF,MATCH($C$338,LenU,0)))^3)),0))</f>
        <v>0</v>
      </c>
      <c r="H354" s="29" t="n">
        <f aca="false">IF(ISNUMBER(H341),H341*INDEX(VolF,MATCH($C$341,VolU,0)),IF(ISNUMBER(H335),PI()/4*(H335*INDEX(LenF,MATCH($C$335,LenU,0)))^2*N(H336)*INDEX(LenF,MATCH($C$336,LenU,0))+IF(H337="",0,IF(H337="Conical",PI()/12*(H335*INDEX(LenF,MATCH($C$335,LenU,0)))^2*(0),INDEX(HeadK,MATCH(H337,HeadU,0))*(H335*INDEX(LenF,MATCH($C$335,LenU,0)))^3)),0)+IF(ISNUMBER(H338),PI()/4*(H338*INDEX(LenF,MATCH($C$338,LenU,0)))^2*N(H339)*INDEX(LenF,MATCH($C$339,LenU,0))+IF(H340="",0,IF(H340="Conical",PI()/12*(H338*INDEX(LenF,MATCH($C$338,LenU,0)))^2*(0),INDEX(HeadK,MATCH(H340,HeadU,0))*(H338*INDEX(LenF,MATCH($C$338,LenU,0)))^3)),0))</f>
        <v>0</v>
      </c>
      <c r="I354" s="30" t="n">
        <f aca="false">IF(COUNT(D354:H354)=0,"",SUM(D354:H354))</f>
        <v>0</v>
      </c>
      <c r="J354" s="24" t="s">
        <v>129</v>
      </c>
    </row>
    <row r="355" customFormat="false" ht="15" hidden="false" customHeight="false" outlineLevel="0" collapsed="false">
      <c r="B355" s="9" t="s">
        <v>130</v>
      </c>
      <c r="C355" s="15" t="s">
        <v>109</v>
      </c>
      <c r="D355" s="29" t="str">
        <f aca="false">IF(D353="","",D353+D354)</f>
        <v/>
      </c>
      <c r="E355" s="29" t="str">
        <f aca="false">IF(E353="","",E353+E354)</f>
        <v/>
      </c>
      <c r="F355" s="29" t="str">
        <f aca="false">IF(F353="","",F353+F354)</f>
        <v/>
      </c>
      <c r="G355" s="29" t="str">
        <f aca="false">IF(G353="","",G353+G354)</f>
        <v/>
      </c>
      <c r="H355" s="29" t="str">
        <f aca="false">IF(H353="","",H353+H354)</f>
        <v/>
      </c>
      <c r="I355" s="30" t="str">
        <f aca="false">IF(COUNT(D355:H355)=0,"",SUM(D355:H355))</f>
        <v/>
      </c>
      <c r="J355" s="24"/>
    </row>
    <row r="356" customFormat="false" ht="15" hidden="false" customHeight="false" outlineLevel="0" collapsed="false">
      <c r="B356" s="9" t="s">
        <v>131</v>
      </c>
      <c r="C356" s="15" t="s">
        <v>109</v>
      </c>
      <c r="D356" s="29" t="str">
        <f aca="false">IF(ISNUMBER(D342),D342*INDEX(WtF,MATCH($C$342,WtU,0))/WaterRho,"")</f>
        <v/>
      </c>
      <c r="E356" s="29" t="str">
        <f aca="false">IF(ISNUMBER(E342),E342*INDEX(WtF,MATCH($C$342,WtU,0))/WaterRho,"")</f>
        <v/>
      </c>
      <c r="F356" s="29" t="str">
        <f aca="false">IF(ISNUMBER(F342),F342*INDEX(WtF,MATCH($C$342,WtU,0))/WaterRho,"")</f>
        <v/>
      </c>
      <c r="G356" s="29" t="str">
        <f aca="false">IF(ISNUMBER(G342),G342*INDEX(WtF,MATCH($C$342,WtU,0))/WaterRho,"")</f>
        <v/>
      </c>
      <c r="H356" s="29" t="str">
        <f aca="false">IF(ISNUMBER(H342),H342*INDEX(WtF,MATCH($C$342,WtU,0))/WaterRho,"")</f>
        <v/>
      </c>
      <c r="I356" s="30" t="str">
        <f aca="false">IF(COUNT(D356:H356)=0,"",SUM(D356:H356))</f>
        <v/>
      </c>
      <c r="J356" s="24"/>
    </row>
    <row r="357" customFormat="false" ht="15" hidden="false" customHeight="false" outlineLevel="0" collapsed="false">
      <c r="B357" s="4" t="s">
        <v>132</v>
      </c>
      <c r="C357" s="15" t="s">
        <v>109</v>
      </c>
      <c r="D357" s="31" t="str">
        <f aca="false">IF(D349="Water weight",D356,D355)</f>
        <v/>
      </c>
      <c r="E357" s="31" t="str">
        <f aca="false">IF(E349="Water weight",E356,E355)</f>
        <v/>
      </c>
      <c r="F357" s="31" t="str">
        <f aca="false">IF(F349="Water weight",F356,F355)</f>
        <v/>
      </c>
      <c r="G357" s="31" t="str">
        <f aca="false">IF(G349="Water weight",G356,G355)</f>
        <v/>
      </c>
      <c r="H357" s="31" t="str">
        <f aca="false">IF(H349="Water weight",H356,H355)</f>
        <v/>
      </c>
      <c r="I357" s="31" t="str">
        <f aca="false">IF(COUNT(D357:H357)=0,"",SUM(D357:H357))</f>
        <v/>
      </c>
      <c r="J357" s="24"/>
      <c r="K357" s="32" t="s">
        <v>133</v>
      </c>
    </row>
    <row r="358" customFormat="false" ht="15" hidden="false" customHeight="false" outlineLevel="0" collapsed="false">
      <c r="B358" s="9" t="s">
        <v>134</v>
      </c>
      <c r="C358" s="15" t="s">
        <v>135</v>
      </c>
      <c r="D358" s="33" t="str">
        <f aca="false">IF(ISNUMBER(D344),PI()/4*(D344*INDEX(LenF,MATCH($C$344,LenU,0)))^2,IF(AND(ISNUMBER(D329),ISNUMBER(D333),D334&lt;&gt;""),D329*(D333*INDEX(LenF,MATCH($C$333,LenU,0)))^2*INDEX(LayoutF,MATCH(D334,LayoutU,0)),""))</f>
        <v/>
      </c>
      <c r="E358" s="33" t="str">
        <f aca="false">IF(ISNUMBER(E344),PI()/4*(E344*INDEX(LenF,MATCH($C$344,LenU,0)))^2,IF(AND(ISNUMBER(E329),ISNUMBER(E333),E334&lt;&gt;""),E329*(E333*INDEX(LenF,MATCH($C$333,LenU,0)))^2*INDEX(LayoutF,MATCH(E334,LayoutU,0)),""))</f>
        <v/>
      </c>
      <c r="F358" s="33" t="str">
        <f aca="false">IF(ISNUMBER(F344),PI()/4*(F344*INDEX(LenF,MATCH($C$344,LenU,0)))^2,IF(AND(ISNUMBER(F329),ISNUMBER(F333),F334&lt;&gt;""),F329*(F333*INDEX(LenF,MATCH($C$333,LenU,0)))^2*INDEX(LayoutF,MATCH(F334,LayoutU,0)),""))</f>
        <v/>
      </c>
      <c r="G358" s="33" t="str">
        <f aca="false">IF(ISNUMBER(G344),PI()/4*(G344*INDEX(LenF,MATCH($C$344,LenU,0)))^2,IF(AND(ISNUMBER(G329),ISNUMBER(G333),G334&lt;&gt;""),G329*(G333*INDEX(LenF,MATCH($C$333,LenU,0)))^2*INDEX(LayoutF,MATCH(G334,LayoutU,0)),""))</f>
        <v/>
      </c>
      <c r="H358" s="33" t="str">
        <f aca="false">IF(ISNUMBER(H344),PI()/4*(H344*INDEX(LenF,MATCH($C$344,LenU,0)))^2,IF(AND(ISNUMBER(H329),ISNUMBER(H333),H334&lt;&gt;""),H329*(H333*INDEX(LenF,MATCH($C$333,LenU,0)))^2*INDEX(LayoutF,MATCH(H334,LayoutU,0)),""))</f>
        <v/>
      </c>
      <c r="I358" s="34"/>
      <c r="J358" s="24" t="s">
        <v>136</v>
      </c>
    </row>
    <row r="359" customFormat="false" ht="15" hidden="false" customHeight="false" outlineLevel="0" collapsed="false">
      <c r="B359" s="9" t="s">
        <v>137</v>
      </c>
      <c r="C359" s="15" t="s">
        <v>109</v>
      </c>
      <c r="D359" s="29" t="str">
        <f aca="false">IF(OR(D358="",AND(NOT(ISNUMBER(D345)),NOT(ISNUMBER(D332)))),"",D358*IF(ISNUMBER(D345),D345*INDEX(LenF,MATCH($C$345,LenU,0)),D332*INDEX(LenF,MATCH($C$332,LenU,0)))+IF(D346="",0,IF(D346="Conical",PI()/12*(SQRT(4*D358/PI()))^2*(0),INDEX(HeadK,MATCH(D346,HeadU,0))*(SQRT(4*D358/PI()))^3)))</f>
        <v/>
      </c>
      <c r="E359" s="29" t="str">
        <f aca="false">IF(OR(E358="",AND(NOT(ISNUMBER(E345)),NOT(ISNUMBER(E332)))),"",E358*IF(ISNUMBER(E345),E345*INDEX(LenF,MATCH($C$345,LenU,0)),E332*INDEX(LenF,MATCH($C$332,LenU,0)))+IF(E346="",0,IF(E346="Conical",PI()/12*(SQRT(4*E358/PI()))^2*(0),INDEX(HeadK,MATCH(E346,HeadU,0))*(SQRT(4*E358/PI()))^3)))</f>
        <v/>
      </c>
      <c r="F359" s="29" t="str">
        <f aca="false">IF(OR(F358="",AND(NOT(ISNUMBER(F345)),NOT(ISNUMBER(F332)))),"",F358*IF(ISNUMBER(F345),F345*INDEX(LenF,MATCH($C$345,LenU,0)),F332*INDEX(LenF,MATCH($C$332,LenU,0)))+IF(F346="",0,IF(F346="Conical",PI()/12*(SQRT(4*F358/PI()))^2*(0),INDEX(HeadK,MATCH(F346,HeadU,0))*(SQRT(4*F358/PI()))^3)))</f>
        <v/>
      </c>
      <c r="G359" s="29" t="str">
        <f aca="false">IF(OR(G358="",AND(NOT(ISNUMBER(G345)),NOT(ISNUMBER(G332)))),"",G358*IF(ISNUMBER(G345),G345*INDEX(LenF,MATCH($C$345,LenU,0)),G332*INDEX(LenF,MATCH($C$332,LenU,0)))+IF(G346="",0,IF(G346="Conical",PI()/12*(SQRT(4*G358/PI()))^2*(0),INDEX(HeadK,MATCH(G346,HeadU,0))*(SQRT(4*G358/PI()))^3)))</f>
        <v/>
      </c>
      <c r="H359" s="29" t="str">
        <f aca="false">IF(OR(H358="",AND(NOT(ISNUMBER(H345)),NOT(ISNUMBER(H332)))),"",H358*IF(ISNUMBER(H345),H345*INDEX(LenF,MATCH($C$345,LenU,0)),H332*INDEX(LenF,MATCH($C$332,LenU,0)))+IF(H346="",0,IF(H346="Conical",PI()/12*(SQRT(4*H358/PI()))^2*(0),INDEX(HeadK,MATCH(H346,HeadU,0))*(SQRT(4*H358/PI()))^3)))</f>
        <v/>
      </c>
      <c r="I359" s="30" t="str">
        <f aca="false">IF(COUNT(D359:H359)=0,"",SUM(D359:H359))</f>
        <v/>
      </c>
      <c r="J359" s="24"/>
    </row>
    <row r="360" customFormat="false" ht="15" hidden="false" customHeight="false" outlineLevel="0" collapsed="false">
      <c r="B360" s="9" t="s">
        <v>138</v>
      </c>
      <c r="C360" s="15" t="s">
        <v>109</v>
      </c>
      <c r="D360" s="29" t="str">
        <f aca="false">IF(AND(ISNUMBER(D329),ISNUMBER(D352),ISNUMBER(D332)),D329*PI()/4*(D352/1000)^2*D332*INDEX(LenF,MATCH($C$332,LenU,0)),"")</f>
        <v/>
      </c>
      <c r="E360" s="29" t="str">
        <f aca="false">IF(AND(ISNUMBER(E329),ISNUMBER(E352),ISNUMBER(E332)),E329*PI()/4*(E352/1000)^2*E332*INDEX(LenF,MATCH($C$332,LenU,0)),"")</f>
        <v/>
      </c>
      <c r="F360" s="29" t="str">
        <f aca="false">IF(AND(ISNUMBER(F329),ISNUMBER(F352),ISNUMBER(F332)),F329*PI()/4*(F352/1000)^2*F332*INDEX(LenF,MATCH($C$332,LenU,0)),"")</f>
        <v/>
      </c>
      <c r="G360" s="29" t="str">
        <f aca="false">IF(AND(ISNUMBER(G329),ISNUMBER(G352),ISNUMBER(G332)),G329*PI()/4*(G352/1000)^2*G332*INDEX(LenF,MATCH($C$332,LenU,0)),"")</f>
        <v/>
      </c>
      <c r="H360" s="29" t="str">
        <f aca="false">IF(AND(ISNUMBER(H329),ISNUMBER(H352),ISNUMBER(H332)),H329*PI()/4*(H352/1000)^2*H332*INDEX(LenF,MATCH($C$332,LenU,0)),"")</f>
        <v/>
      </c>
      <c r="I360" s="30" t="str">
        <f aca="false">IF(COUNT(D360:H360)=0,"",SUM(D360:H360))</f>
        <v/>
      </c>
      <c r="J360" s="24"/>
    </row>
    <row r="361" customFormat="false" ht="15" hidden="false" customHeight="false" outlineLevel="0" collapsed="false">
      <c r="B361" s="9" t="s">
        <v>139</v>
      </c>
      <c r="C361" s="15" t="s">
        <v>109</v>
      </c>
      <c r="D361" s="29" t="str">
        <f aca="false">IF(OR(D359="",D360=""),"",D359-D360)</f>
        <v/>
      </c>
      <c r="E361" s="29" t="str">
        <f aca="false">IF(OR(E359="",E360=""),"",E359-E360)</f>
        <v/>
      </c>
      <c r="F361" s="29" t="str">
        <f aca="false">IF(OR(F359="",F360=""),"",F359-F360)</f>
        <v/>
      </c>
      <c r="G361" s="29" t="str">
        <f aca="false">IF(OR(G359="",G360=""),"",G359-G360)</f>
        <v/>
      </c>
      <c r="H361" s="29" t="str">
        <f aca="false">IF(OR(H359="",H360=""),"",H359-H360)</f>
        <v/>
      </c>
      <c r="I361" s="30" t="str">
        <f aca="false">IF(COUNT(D361:H361)=0,"",SUM(D361:H361))</f>
        <v/>
      </c>
      <c r="J361" s="24" t="s">
        <v>140</v>
      </c>
    </row>
    <row r="362" customFormat="false" ht="15" hidden="false" customHeight="false" outlineLevel="0" collapsed="false">
      <c r="B362" s="9" t="s">
        <v>141</v>
      </c>
      <c r="C362" s="15" t="s">
        <v>109</v>
      </c>
      <c r="D362" s="29" t="str">
        <f aca="false">IF(ISNUMBER(D347),D347*INDEX(WtF,MATCH($C$347,WtU,0))/WaterRho,"")</f>
        <v/>
      </c>
      <c r="E362" s="29" t="str">
        <f aca="false">IF(ISNUMBER(E347),E347*INDEX(WtF,MATCH($C$347,WtU,0))/WaterRho,"")</f>
        <v/>
      </c>
      <c r="F362" s="29" t="str">
        <f aca="false">IF(ISNUMBER(F347),F347*INDEX(WtF,MATCH($C$347,WtU,0))/WaterRho,"")</f>
        <v/>
      </c>
      <c r="G362" s="29" t="str">
        <f aca="false">IF(ISNUMBER(G347),G347*INDEX(WtF,MATCH($C$347,WtU,0))/WaterRho,"")</f>
        <v/>
      </c>
      <c r="H362" s="29" t="str">
        <f aca="false">IF(ISNUMBER(H347),H347*INDEX(WtF,MATCH($C$347,WtU,0))/WaterRho,"")</f>
        <v/>
      </c>
      <c r="I362" s="30" t="str">
        <f aca="false">IF(COUNT(D362:H362)=0,"",SUM(D362:H362))</f>
        <v/>
      </c>
      <c r="J362" s="24"/>
    </row>
    <row r="363" customFormat="false" ht="15" hidden="false" customHeight="false" outlineLevel="0" collapsed="false">
      <c r="B363" s="4" t="s">
        <v>142</v>
      </c>
      <c r="C363" s="15" t="s">
        <v>109</v>
      </c>
      <c r="D363" s="31" t="str">
        <f aca="false">IF(D350="Water weight",D362,D361)</f>
        <v/>
      </c>
      <c r="E363" s="31" t="str">
        <f aca="false">IF(E350="Water weight",E362,E361)</f>
        <v/>
      </c>
      <c r="F363" s="31" t="str">
        <f aca="false">IF(F350="Water weight",F362,F361)</f>
        <v/>
      </c>
      <c r="G363" s="31" t="str">
        <f aca="false">IF(G350="Water weight",G362,G361)</f>
        <v/>
      </c>
      <c r="H363" s="31" t="str">
        <f aca="false">IF(H350="Water weight",H362,H361)</f>
        <v/>
      </c>
      <c r="I363" s="31" t="str">
        <f aca="false">IF(COUNT(D363:H363)=0,"",SUM(D363:H363))</f>
        <v/>
      </c>
      <c r="J363" s="24"/>
      <c r="K363" s="32" t="s">
        <v>143</v>
      </c>
    </row>
    <row r="364" customFormat="false" ht="15" hidden="false" customHeight="false" outlineLevel="0" collapsed="false">
      <c r="B364" s="4" t="s">
        <v>144</v>
      </c>
      <c r="C364" s="15" t="s">
        <v>109</v>
      </c>
      <c r="D364" s="31" t="str">
        <f aca="false">IF(AND(D357="",D363=""),"",N(D357)+N(D363))</f>
        <v/>
      </c>
      <c r="E364" s="31" t="str">
        <f aca="false">IF(AND(E357="",E363=""),"",N(E357)+N(E363))</f>
        <v/>
      </c>
      <c r="F364" s="31" t="str">
        <f aca="false">IF(AND(F357="",F363=""),"",N(F357)+N(F363))</f>
        <v/>
      </c>
      <c r="G364" s="31" t="str">
        <f aca="false">IF(AND(G357="",G363=""),"",N(G357)+N(G363))</f>
        <v/>
      </c>
      <c r="H364" s="31" t="str">
        <f aca="false">IF(AND(H357="",H363=""),"",N(H357)+N(H363))</f>
        <v/>
      </c>
      <c r="I364" s="31" t="str">
        <f aca="false">IF(COUNT(D364:H364)=0,"",SUM(D364:H364))</f>
        <v/>
      </c>
      <c r="J364" s="24"/>
      <c r="K364" s="32" t="s">
        <v>145</v>
      </c>
    </row>
    <row r="365" customFormat="false" ht="15" hidden="false" customHeight="false" outlineLevel="0" collapsed="false">
      <c r="B365" s="9" t="s">
        <v>60</v>
      </c>
      <c r="C365" s="15" t="s">
        <v>146</v>
      </c>
      <c r="D365" s="35" t="str">
        <f aca="false">IF(D364="","",IF(JobType="Chemical Cleaning",CC_HX,INDEX(DecFill,MATCH("Exchanger",DecTypeU,0))))</f>
        <v/>
      </c>
      <c r="E365" s="35" t="str">
        <f aca="false">IF(E364="","",IF(JobType="Chemical Cleaning",CC_HX,INDEX(DecFill,MATCH("Exchanger",DecTypeU,0))))</f>
        <v/>
      </c>
      <c r="F365" s="35" t="str">
        <f aca="false">IF(F364="","",IF(JobType="Chemical Cleaning",CC_HX,INDEX(DecFill,MATCH("Exchanger",DecTypeU,0))))</f>
        <v/>
      </c>
      <c r="G365" s="35" t="str">
        <f aca="false">IF(G364="","",IF(JobType="Chemical Cleaning",CC_HX,INDEX(DecFill,MATCH("Exchanger",DecTypeU,0))))</f>
        <v/>
      </c>
      <c r="H365" s="35" t="str">
        <f aca="false">IF(H364="","",IF(JobType="Chemical Cleaning",CC_HX,INDEX(DecFill,MATCH("Exchanger",DecTypeU,0))))</f>
        <v/>
      </c>
      <c r="I365" s="36"/>
      <c r="J365" s="24" t="s">
        <v>147</v>
      </c>
    </row>
    <row r="366" customFormat="false" ht="15" hidden="false" customHeight="false" outlineLevel="0" collapsed="false">
      <c r="B366" s="4" t="s">
        <v>148</v>
      </c>
      <c r="C366" s="15" t="s">
        <v>109</v>
      </c>
      <c r="D366" s="31" t="str">
        <f aca="false">IF(OR(D364="",D365=""),"",D364*D365)</f>
        <v/>
      </c>
      <c r="E366" s="31" t="str">
        <f aca="false">IF(OR(E364="",E365=""),"",E364*E365)</f>
        <v/>
      </c>
      <c r="F366" s="31" t="str">
        <f aca="false">IF(OR(F364="",F365=""),"",F364*F365)</f>
        <v/>
      </c>
      <c r="G366" s="31" t="str">
        <f aca="false">IF(OR(G364="",G365=""),"",G364*G365)</f>
        <v/>
      </c>
      <c r="H366" s="31" t="str">
        <f aca="false">IF(OR(H364="",H365=""),"",H364*H365)</f>
        <v/>
      </c>
      <c r="I366" s="31" t="str">
        <f aca="false">IF(COUNT(D366:H366)=0,"",SUM(D366:H366))</f>
        <v/>
      </c>
      <c r="J366" s="24"/>
      <c r="K366" s="32" t="s">
        <v>149</v>
      </c>
    </row>
    <row r="367" customFormat="false" ht="15" hidden="false" customHeight="false" outlineLevel="0" collapsed="false">
      <c r="B367" s="9" t="s">
        <v>150</v>
      </c>
      <c r="C367" s="15" t="s">
        <v>32</v>
      </c>
      <c r="D367" s="37" t="str">
        <f aca="false">IF(OR(JobType&lt;&gt;"Decontamination",D366=""),"",D366*INDEX(DecChem,MATCH("Exchanger",DecTypeU,0))*1000)</f>
        <v/>
      </c>
      <c r="E367" s="37" t="str">
        <f aca="false">IF(OR(JobType&lt;&gt;"Decontamination",E366=""),"",E366*INDEX(DecChem,MATCH("Exchanger",DecTypeU,0))*1000)</f>
        <v/>
      </c>
      <c r="F367" s="37" t="str">
        <f aca="false">IF(OR(JobType&lt;&gt;"Decontamination",F366=""),"",F366*INDEX(DecChem,MATCH("Exchanger",DecTypeU,0))*1000)</f>
        <v/>
      </c>
      <c r="G367" s="37" t="str">
        <f aca="false">IF(OR(JobType&lt;&gt;"Decontamination",G366=""),"",G366*INDEX(DecChem,MATCH("Exchanger",DecTypeU,0))*1000)</f>
        <v/>
      </c>
      <c r="H367" s="37" t="str">
        <f aca="false">IF(OR(JobType&lt;&gt;"Decontamination",H366=""),"",H366*INDEX(DecChem,MATCH("Exchanger",DecTypeU,0))*1000)</f>
        <v/>
      </c>
      <c r="I367" s="38" t="str">
        <f aca="false">IF(COUNT(D367:H367)=0,"",SUM(D367:H367))</f>
        <v/>
      </c>
      <c r="J367" s="24" t="s">
        <v>151</v>
      </c>
      <c r="K367" s="32" t="s">
        <v>152</v>
      </c>
    </row>
    <row r="369" customFormat="false" ht="15" hidden="false" customHeight="false" outlineLevel="0" collapsed="false">
      <c r="A369" s="20" t="n">
        <v>9</v>
      </c>
      <c r="B369" s="21" t="s">
        <v>160</v>
      </c>
      <c r="C369" s="22"/>
      <c r="D369" s="22"/>
      <c r="E369" s="22"/>
      <c r="F369" s="22"/>
      <c r="G369" s="22"/>
      <c r="H369" s="22"/>
      <c r="I369" s="22"/>
      <c r="J369" s="22"/>
    </row>
    <row r="370" customFormat="false" ht="15" hidden="false" customHeight="false" outlineLevel="0" collapsed="false">
      <c r="B370" s="9" t="s">
        <v>83</v>
      </c>
      <c r="C370" s="15" t="s">
        <v>29</v>
      </c>
      <c r="D370" s="8"/>
      <c r="E370" s="8"/>
      <c r="F370" s="8"/>
      <c r="G370" s="8"/>
      <c r="H370" s="8"/>
      <c r="I370" s="23"/>
      <c r="J370" s="24"/>
    </row>
    <row r="371" customFormat="false" ht="15" hidden="false" customHeight="false" outlineLevel="0" collapsed="false">
      <c r="B371" s="9" t="s">
        <v>86</v>
      </c>
      <c r="C371" s="15" t="s">
        <v>29</v>
      </c>
      <c r="D371" s="8"/>
      <c r="E371" s="8"/>
      <c r="F371" s="8"/>
      <c r="G371" s="8"/>
      <c r="H371" s="8"/>
      <c r="I371" s="23"/>
      <c r="J371" s="24"/>
    </row>
    <row r="372" customFormat="false" ht="15" hidden="false" customHeight="false" outlineLevel="0" collapsed="false">
      <c r="B372" s="9" t="s">
        <v>87</v>
      </c>
      <c r="C372" s="15" t="s">
        <v>29</v>
      </c>
      <c r="D372" s="8"/>
      <c r="E372" s="8"/>
      <c r="F372" s="8"/>
      <c r="G372" s="8"/>
      <c r="H372" s="8"/>
      <c r="I372" s="23"/>
      <c r="J372" s="24"/>
    </row>
    <row r="373" customFormat="false" ht="15" hidden="false" customHeight="false" outlineLevel="0" collapsed="false">
      <c r="B373" s="25" t="s">
        <v>88</v>
      </c>
      <c r="C373" s="26"/>
      <c r="D373" s="26"/>
      <c r="E373" s="26"/>
      <c r="F373" s="26"/>
      <c r="G373" s="26"/>
      <c r="H373" s="26"/>
      <c r="I373" s="26"/>
      <c r="J373" s="26"/>
    </row>
    <row r="374" customFormat="false" ht="15" hidden="false" customHeight="false" outlineLevel="0" collapsed="false">
      <c r="B374" s="9" t="s">
        <v>89</v>
      </c>
      <c r="C374" s="15" t="s">
        <v>90</v>
      </c>
      <c r="D374" s="8"/>
      <c r="E374" s="8"/>
      <c r="F374" s="8"/>
      <c r="G374" s="8"/>
      <c r="H374" s="8"/>
      <c r="I374" s="23"/>
      <c r="J374" s="24"/>
    </row>
    <row r="375" customFormat="false" ht="15" hidden="false" customHeight="false" outlineLevel="0" collapsed="false">
      <c r="B375" s="9" t="s">
        <v>91</v>
      </c>
      <c r="C375" s="8" t="s">
        <v>92</v>
      </c>
      <c r="D375" s="8"/>
      <c r="E375" s="8"/>
      <c r="F375" s="8"/>
      <c r="G375" s="8"/>
      <c r="H375" s="8"/>
      <c r="I375" s="23"/>
      <c r="J375" s="24" t="s">
        <v>93</v>
      </c>
    </row>
    <row r="376" customFormat="false" ht="15" hidden="false" customHeight="false" outlineLevel="0" collapsed="false">
      <c r="B376" s="9" t="s">
        <v>94</v>
      </c>
      <c r="C376" s="8" t="s">
        <v>92</v>
      </c>
      <c r="D376" s="8"/>
      <c r="E376" s="8"/>
      <c r="F376" s="8"/>
      <c r="G376" s="8"/>
      <c r="H376" s="8"/>
      <c r="I376" s="23"/>
      <c r="J376" s="24"/>
    </row>
    <row r="377" customFormat="false" ht="15" hidden="false" customHeight="false" outlineLevel="0" collapsed="false">
      <c r="B377" s="9" t="s">
        <v>95</v>
      </c>
      <c r="C377" s="8" t="s">
        <v>92</v>
      </c>
      <c r="D377" s="8"/>
      <c r="E377" s="8"/>
      <c r="F377" s="8"/>
      <c r="G377" s="8"/>
      <c r="H377" s="8"/>
      <c r="I377" s="23"/>
      <c r="J377" s="24"/>
    </row>
    <row r="378" customFormat="false" ht="15" hidden="false" customHeight="false" outlineLevel="0" collapsed="false">
      <c r="B378" s="9" t="s">
        <v>96</v>
      </c>
      <c r="C378" s="8" t="s">
        <v>92</v>
      </c>
      <c r="D378" s="8"/>
      <c r="E378" s="8"/>
      <c r="F378" s="8"/>
      <c r="G378" s="8"/>
      <c r="H378" s="8"/>
      <c r="I378" s="23"/>
      <c r="J378" s="24" t="s">
        <v>97</v>
      </c>
    </row>
    <row r="379" customFormat="false" ht="15" hidden="false" customHeight="false" outlineLevel="0" collapsed="false">
      <c r="B379" s="9" t="s">
        <v>98</v>
      </c>
      <c r="C379" s="15" t="s">
        <v>29</v>
      </c>
      <c r="D379" s="8" t="s">
        <v>99</v>
      </c>
      <c r="E379" s="8" t="s">
        <v>99</v>
      </c>
      <c r="F379" s="8" t="s">
        <v>99</v>
      </c>
      <c r="G379" s="8" t="s">
        <v>99</v>
      </c>
      <c r="H379" s="8" t="s">
        <v>99</v>
      </c>
      <c r="I379" s="23"/>
      <c r="J379" s="24"/>
    </row>
    <row r="380" customFormat="false" ht="15" hidden="false" customHeight="false" outlineLevel="0" collapsed="false">
      <c r="B380" s="9" t="s">
        <v>100</v>
      </c>
      <c r="C380" s="8" t="s">
        <v>92</v>
      </c>
      <c r="D380" s="8"/>
      <c r="E380" s="8"/>
      <c r="F380" s="8"/>
      <c r="G380" s="8"/>
      <c r="H380" s="8"/>
      <c r="I380" s="23"/>
      <c r="J380" s="24"/>
    </row>
    <row r="381" customFormat="false" ht="15" hidden="false" customHeight="false" outlineLevel="0" collapsed="false">
      <c r="B381" s="9" t="s">
        <v>101</v>
      </c>
      <c r="C381" s="8" t="s">
        <v>92</v>
      </c>
      <c r="D381" s="8"/>
      <c r="E381" s="8"/>
      <c r="F381" s="8"/>
      <c r="G381" s="8"/>
      <c r="H381" s="8"/>
      <c r="I381" s="23"/>
      <c r="J381" s="24"/>
    </row>
    <row r="382" customFormat="false" ht="15" hidden="false" customHeight="false" outlineLevel="0" collapsed="false">
      <c r="B382" s="9" t="s">
        <v>102</v>
      </c>
      <c r="C382" s="15" t="s">
        <v>29</v>
      </c>
      <c r="D382" s="8"/>
      <c r="E382" s="8"/>
      <c r="F382" s="8"/>
      <c r="G382" s="8"/>
      <c r="H382" s="8"/>
      <c r="I382" s="23"/>
      <c r="J382" s="24"/>
    </row>
    <row r="383" customFormat="false" ht="15" hidden="false" customHeight="false" outlineLevel="0" collapsed="false">
      <c r="B383" s="9" t="s">
        <v>104</v>
      </c>
      <c r="C383" s="8" t="s">
        <v>92</v>
      </c>
      <c r="D383" s="8"/>
      <c r="E383" s="8"/>
      <c r="F383" s="8"/>
      <c r="G383" s="8"/>
      <c r="H383" s="8"/>
      <c r="I383" s="23"/>
      <c r="J383" s="24"/>
    </row>
    <row r="384" customFormat="false" ht="15" hidden="false" customHeight="false" outlineLevel="0" collapsed="false">
      <c r="B384" s="9" t="s">
        <v>105</v>
      </c>
      <c r="C384" s="8" t="s">
        <v>92</v>
      </c>
      <c r="D384" s="8"/>
      <c r="E384" s="8"/>
      <c r="F384" s="8"/>
      <c r="G384" s="8"/>
      <c r="H384" s="8"/>
      <c r="I384" s="23"/>
      <c r="J384" s="24"/>
    </row>
    <row r="385" customFormat="false" ht="15" hidden="false" customHeight="false" outlineLevel="0" collapsed="false">
      <c r="B385" s="9" t="s">
        <v>106</v>
      </c>
      <c r="C385" s="15" t="s">
        <v>29</v>
      </c>
      <c r="D385" s="8"/>
      <c r="E385" s="8"/>
      <c r="F385" s="8"/>
      <c r="G385" s="8"/>
      <c r="H385" s="8"/>
      <c r="I385" s="23"/>
      <c r="J385" s="24"/>
    </row>
    <row r="386" customFormat="false" ht="15" hidden="false" customHeight="false" outlineLevel="0" collapsed="false">
      <c r="B386" s="9" t="s">
        <v>108</v>
      </c>
      <c r="C386" s="8" t="s">
        <v>109</v>
      </c>
      <c r="D386" s="8"/>
      <c r="E386" s="8"/>
      <c r="F386" s="8"/>
      <c r="G386" s="8"/>
      <c r="H386" s="8"/>
      <c r="I386" s="23"/>
      <c r="J386" s="24" t="s">
        <v>110</v>
      </c>
    </row>
    <row r="387" customFormat="false" ht="15" hidden="false" customHeight="false" outlineLevel="0" collapsed="false">
      <c r="B387" s="9" t="s">
        <v>111</v>
      </c>
      <c r="C387" s="8" t="s">
        <v>112</v>
      </c>
      <c r="D387" s="8"/>
      <c r="E387" s="8"/>
      <c r="F387" s="8"/>
      <c r="G387" s="8"/>
      <c r="H387" s="8"/>
      <c r="I387" s="23"/>
      <c r="J387" s="24"/>
    </row>
    <row r="388" customFormat="false" ht="15" hidden="false" customHeight="false" outlineLevel="0" collapsed="false">
      <c r="B388" s="25" t="s">
        <v>113</v>
      </c>
      <c r="C388" s="26"/>
      <c r="D388" s="26"/>
      <c r="E388" s="26"/>
      <c r="F388" s="26"/>
      <c r="G388" s="26"/>
      <c r="H388" s="26"/>
      <c r="I388" s="26"/>
      <c r="J388" s="26"/>
    </row>
    <row r="389" customFormat="false" ht="15" hidden="false" customHeight="false" outlineLevel="0" collapsed="false">
      <c r="B389" s="9" t="s">
        <v>114</v>
      </c>
      <c r="C389" s="8" t="s">
        <v>92</v>
      </c>
      <c r="D389" s="8"/>
      <c r="E389" s="8"/>
      <c r="F389" s="8"/>
      <c r="G389" s="8"/>
      <c r="H389" s="8"/>
      <c r="I389" s="23"/>
      <c r="J389" s="24" t="s">
        <v>115</v>
      </c>
    </row>
    <row r="390" customFormat="false" ht="15" hidden="false" customHeight="false" outlineLevel="0" collapsed="false">
      <c r="B390" s="9" t="s">
        <v>116</v>
      </c>
      <c r="C390" s="8" t="s">
        <v>92</v>
      </c>
      <c r="D390" s="8"/>
      <c r="E390" s="8"/>
      <c r="F390" s="8"/>
      <c r="G390" s="8"/>
      <c r="H390" s="8"/>
      <c r="I390" s="23"/>
      <c r="J390" s="24" t="s">
        <v>117</v>
      </c>
    </row>
    <row r="391" customFormat="false" ht="15" hidden="false" customHeight="false" outlineLevel="0" collapsed="false">
      <c r="B391" s="9" t="s">
        <v>118</v>
      </c>
      <c r="C391" s="15" t="s">
        <v>29</v>
      </c>
      <c r="D391" s="8"/>
      <c r="E391" s="8"/>
      <c r="F391" s="8"/>
      <c r="G391" s="8"/>
      <c r="H391" s="8"/>
      <c r="I391" s="23"/>
      <c r="J391" s="24"/>
    </row>
    <row r="392" customFormat="false" ht="15" hidden="false" customHeight="false" outlineLevel="0" collapsed="false">
      <c r="B392" s="9" t="s">
        <v>119</v>
      </c>
      <c r="C392" s="8" t="s">
        <v>112</v>
      </c>
      <c r="D392" s="8"/>
      <c r="E392" s="8"/>
      <c r="F392" s="8"/>
      <c r="G392" s="8"/>
      <c r="H392" s="8"/>
      <c r="I392" s="23"/>
      <c r="J392" s="24"/>
    </row>
    <row r="393" customFormat="false" ht="15" hidden="false" customHeight="false" outlineLevel="0" collapsed="false">
      <c r="B393" s="25" t="s">
        <v>120</v>
      </c>
      <c r="C393" s="26"/>
      <c r="D393" s="26"/>
      <c r="E393" s="26"/>
      <c r="F393" s="26"/>
      <c r="G393" s="26"/>
      <c r="H393" s="26"/>
      <c r="I393" s="26"/>
      <c r="J393" s="26"/>
    </row>
    <row r="394" customFormat="false" ht="15" hidden="false" customHeight="false" outlineLevel="0" collapsed="false">
      <c r="B394" s="9" t="s">
        <v>121</v>
      </c>
      <c r="C394" s="15" t="s">
        <v>29</v>
      </c>
      <c r="D394" s="8" t="s">
        <v>122</v>
      </c>
      <c r="E394" s="8" t="s">
        <v>122</v>
      </c>
      <c r="F394" s="8" t="s">
        <v>122</v>
      </c>
      <c r="G394" s="8" t="s">
        <v>122</v>
      </c>
      <c r="H394" s="8" t="s">
        <v>122</v>
      </c>
      <c r="I394" s="23"/>
      <c r="J394" s="24"/>
    </row>
    <row r="395" customFormat="false" ht="15" hidden="false" customHeight="false" outlineLevel="0" collapsed="false">
      <c r="B395" s="9" t="s">
        <v>123</v>
      </c>
      <c r="C395" s="15" t="s">
        <v>29</v>
      </c>
      <c r="D395" s="8" t="s">
        <v>122</v>
      </c>
      <c r="E395" s="8" t="s">
        <v>122</v>
      </c>
      <c r="F395" s="8" t="s">
        <v>122</v>
      </c>
      <c r="G395" s="8" t="s">
        <v>122</v>
      </c>
      <c r="H395" s="8" t="s">
        <v>122</v>
      </c>
      <c r="I395" s="23"/>
      <c r="J395" s="24"/>
    </row>
    <row r="396" customFormat="false" ht="15" hidden="false" customHeight="false" outlineLevel="0" collapsed="false">
      <c r="B396" s="25" t="s">
        <v>124</v>
      </c>
      <c r="C396" s="26"/>
      <c r="D396" s="26"/>
      <c r="E396" s="26"/>
      <c r="F396" s="26"/>
      <c r="G396" s="26"/>
      <c r="H396" s="26"/>
      <c r="I396" s="26"/>
      <c r="J396" s="26"/>
    </row>
    <row r="397" customFormat="false" ht="15" hidden="false" customHeight="false" outlineLevel="0" collapsed="false">
      <c r="B397" s="9" t="s">
        <v>125</v>
      </c>
      <c r="C397" s="15" t="s">
        <v>92</v>
      </c>
      <c r="D397" s="27" t="str">
        <f aca="false">IF(ISNUMBER(D375),D375*INDEX(LenF,MATCH($C$375,LenU,0))*1000,IF(ISNUMBER(D378),D378*INDEX(LenF,MATCH($C$378,LenU,0))/PitchRatio*1000,""))</f>
        <v/>
      </c>
      <c r="E397" s="27" t="str">
        <f aca="false">IF(ISNUMBER(E375),E375*INDEX(LenF,MATCH($C$375,LenU,0))*1000,IF(ISNUMBER(E378),E378*INDEX(LenF,MATCH($C$378,LenU,0))/PitchRatio*1000,""))</f>
        <v/>
      </c>
      <c r="F397" s="27" t="str">
        <f aca="false">IF(ISNUMBER(F375),F375*INDEX(LenF,MATCH($C$375,LenU,0))*1000,IF(ISNUMBER(F378),F378*INDEX(LenF,MATCH($C$378,LenU,0))/PitchRatio*1000,""))</f>
        <v/>
      </c>
      <c r="G397" s="27" t="str">
        <f aca="false">IF(ISNUMBER(G375),G375*INDEX(LenF,MATCH($C$375,LenU,0))*1000,IF(ISNUMBER(G378),G378*INDEX(LenF,MATCH($C$378,LenU,0))/PitchRatio*1000,""))</f>
        <v/>
      </c>
      <c r="H397" s="27" t="str">
        <f aca="false">IF(ISNUMBER(H375),H375*INDEX(LenF,MATCH($C$375,LenU,0))*1000,IF(ISNUMBER(H378),H378*INDEX(LenF,MATCH($C$378,LenU,0))/PitchRatio*1000,""))</f>
        <v/>
      </c>
      <c r="I397" s="28"/>
      <c r="J397" s="24" t="s">
        <v>126</v>
      </c>
    </row>
    <row r="398" customFormat="false" ht="15" hidden="false" customHeight="false" outlineLevel="0" collapsed="false">
      <c r="B398" s="9" t="s">
        <v>127</v>
      </c>
      <c r="C398" s="15" t="s">
        <v>109</v>
      </c>
      <c r="D398" s="29" t="str">
        <f aca="false">IF(AND(ISNUMBER(D374),ISNUMBER(D376),ISNUMBER(D377)),D374*PI()/4*(D376*INDEX(LenF,MATCH($C$376,LenU,0)))^2*D377*INDEX(LenF,MATCH($C$377,LenU,0)),"")</f>
        <v/>
      </c>
      <c r="E398" s="29" t="str">
        <f aca="false">IF(AND(ISNUMBER(E374),ISNUMBER(E376),ISNUMBER(E377)),E374*PI()/4*(E376*INDEX(LenF,MATCH($C$376,LenU,0)))^2*E377*INDEX(LenF,MATCH($C$377,LenU,0)),"")</f>
        <v/>
      </c>
      <c r="F398" s="29" t="str">
        <f aca="false">IF(AND(ISNUMBER(F374),ISNUMBER(F376),ISNUMBER(F377)),F374*PI()/4*(F376*INDEX(LenF,MATCH($C$376,LenU,0)))^2*F377*INDEX(LenF,MATCH($C$377,LenU,0)),"")</f>
        <v/>
      </c>
      <c r="G398" s="29" t="str">
        <f aca="false">IF(AND(ISNUMBER(G374),ISNUMBER(G376),ISNUMBER(G377)),G374*PI()/4*(G376*INDEX(LenF,MATCH($C$376,LenU,0)))^2*G377*INDEX(LenF,MATCH($C$377,LenU,0)),"")</f>
        <v/>
      </c>
      <c r="H398" s="29" t="str">
        <f aca="false">IF(AND(ISNUMBER(H374),ISNUMBER(H376),ISNUMBER(H377)),H374*PI()/4*(H376*INDEX(LenF,MATCH($C$376,LenU,0)))^2*H377*INDEX(LenF,MATCH($C$377,LenU,0)),"")</f>
        <v/>
      </c>
      <c r="I398" s="30" t="str">
        <f aca="false">IF(COUNT(D398:H398)=0,"",SUM(D398:H398))</f>
        <v/>
      </c>
      <c r="J398" s="24"/>
    </row>
    <row r="399" customFormat="false" ht="15" hidden="false" customHeight="false" outlineLevel="0" collapsed="false">
      <c r="B399" s="9" t="s">
        <v>128</v>
      </c>
      <c r="C399" s="15" t="s">
        <v>109</v>
      </c>
      <c r="D399" s="29" t="n">
        <f aca="false">IF(ISNUMBER(D386),D386*INDEX(VolF,MATCH($C$386,VolU,0)),IF(ISNUMBER(D380),PI()/4*(D380*INDEX(LenF,MATCH($C$380,LenU,0)))^2*N(D381)*INDEX(LenF,MATCH($C$381,LenU,0))+IF(D382="",0,IF(D382="Conical",PI()/12*(D380*INDEX(LenF,MATCH($C$380,LenU,0)))^2*(0),INDEX(HeadK,MATCH(D382,HeadU,0))*(D380*INDEX(LenF,MATCH($C$380,LenU,0)))^3)),0)+IF(ISNUMBER(D383),PI()/4*(D383*INDEX(LenF,MATCH($C$383,LenU,0)))^2*N(D384)*INDEX(LenF,MATCH($C$384,LenU,0))+IF(D385="",0,IF(D385="Conical",PI()/12*(D383*INDEX(LenF,MATCH($C$383,LenU,0)))^2*(0),INDEX(HeadK,MATCH(D385,HeadU,0))*(D383*INDEX(LenF,MATCH($C$383,LenU,0)))^3)),0))</f>
        <v>0</v>
      </c>
      <c r="E399" s="29" t="n">
        <f aca="false">IF(ISNUMBER(E386),E386*INDEX(VolF,MATCH($C$386,VolU,0)),IF(ISNUMBER(E380),PI()/4*(E380*INDEX(LenF,MATCH($C$380,LenU,0)))^2*N(E381)*INDEX(LenF,MATCH($C$381,LenU,0))+IF(E382="",0,IF(E382="Conical",PI()/12*(E380*INDEX(LenF,MATCH($C$380,LenU,0)))^2*(0),INDEX(HeadK,MATCH(E382,HeadU,0))*(E380*INDEX(LenF,MATCH($C$380,LenU,0)))^3)),0)+IF(ISNUMBER(E383),PI()/4*(E383*INDEX(LenF,MATCH($C$383,LenU,0)))^2*N(E384)*INDEX(LenF,MATCH($C$384,LenU,0))+IF(E385="",0,IF(E385="Conical",PI()/12*(E383*INDEX(LenF,MATCH($C$383,LenU,0)))^2*(0),INDEX(HeadK,MATCH(E385,HeadU,0))*(E383*INDEX(LenF,MATCH($C$383,LenU,0)))^3)),0))</f>
        <v>0</v>
      </c>
      <c r="F399" s="29" t="n">
        <f aca="false">IF(ISNUMBER(F386),F386*INDEX(VolF,MATCH($C$386,VolU,0)),IF(ISNUMBER(F380),PI()/4*(F380*INDEX(LenF,MATCH($C$380,LenU,0)))^2*N(F381)*INDEX(LenF,MATCH($C$381,LenU,0))+IF(F382="",0,IF(F382="Conical",PI()/12*(F380*INDEX(LenF,MATCH($C$380,LenU,0)))^2*(0),INDEX(HeadK,MATCH(F382,HeadU,0))*(F380*INDEX(LenF,MATCH($C$380,LenU,0)))^3)),0)+IF(ISNUMBER(F383),PI()/4*(F383*INDEX(LenF,MATCH($C$383,LenU,0)))^2*N(F384)*INDEX(LenF,MATCH($C$384,LenU,0))+IF(F385="",0,IF(F385="Conical",PI()/12*(F383*INDEX(LenF,MATCH($C$383,LenU,0)))^2*(0),INDEX(HeadK,MATCH(F385,HeadU,0))*(F383*INDEX(LenF,MATCH($C$383,LenU,0)))^3)),0))</f>
        <v>0</v>
      </c>
      <c r="G399" s="29" t="n">
        <f aca="false">IF(ISNUMBER(G386),G386*INDEX(VolF,MATCH($C$386,VolU,0)),IF(ISNUMBER(G380),PI()/4*(G380*INDEX(LenF,MATCH($C$380,LenU,0)))^2*N(G381)*INDEX(LenF,MATCH($C$381,LenU,0))+IF(G382="",0,IF(G382="Conical",PI()/12*(G380*INDEX(LenF,MATCH($C$380,LenU,0)))^2*(0),INDEX(HeadK,MATCH(G382,HeadU,0))*(G380*INDEX(LenF,MATCH($C$380,LenU,0)))^3)),0)+IF(ISNUMBER(G383),PI()/4*(G383*INDEX(LenF,MATCH($C$383,LenU,0)))^2*N(G384)*INDEX(LenF,MATCH($C$384,LenU,0))+IF(G385="",0,IF(G385="Conical",PI()/12*(G383*INDEX(LenF,MATCH($C$383,LenU,0)))^2*(0),INDEX(HeadK,MATCH(G385,HeadU,0))*(G383*INDEX(LenF,MATCH($C$383,LenU,0)))^3)),0))</f>
        <v>0</v>
      </c>
      <c r="H399" s="29" t="n">
        <f aca="false">IF(ISNUMBER(H386),H386*INDEX(VolF,MATCH($C$386,VolU,0)),IF(ISNUMBER(H380),PI()/4*(H380*INDEX(LenF,MATCH($C$380,LenU,0)))^2*N(H381)*INDEX(LenF,MATCH($C$381,LenU,0))+IF(H382="",0,IF(H382="Conical",PI()/12*(H380*INDEX(LenF,MATCH($C$380,LenU,0)))^2*(0),INDEX(HeadK,MATCH(H382,HeadU,0))*(H380*INDEX(LenF,MATCH($C$380,LenU,0)))^3)),0)+IF(ISNUMBER(H383),PI()/4*(H383*INDEX(LenF,MATCH($C$383,LenU,0)))^2*N(H384)*INDEX(LenF,MATCH($C$384,LenU,0))+IF(H385="",0,IF(H385="Conical",PI()/12*(H383*INDEX(LenF,MATCH($C$383,LenU,0)))^2*(0),INDEX(HeadK,MATCH(H385,HeadU,0))*(H383*INDEX(LenF,MATCH($C$383,LenU,0)))^3)),0))</f>
        <v>0</v>
      </c>
      <c r="I399" s="30" t="n">
        <f aca="false">IF(COUNT(D399:H399)=0,"",SUM(D399:H399))</f>
        <v>0</v>
      </c>
      <c r="J399" s="24" t="s">
        <v>129</v>
      </c>
    </row>
    <row r="400" customFormat="false" ht="15" hidden="false" customHeight="false" outlineLevel="0" collapsed="false">
      <c r="B400" s="9" t="s">
        <v>130</v>
      </c>
      <c r="C400" s="15" t="s">
        <v>109</v>
      </c>
      <c r="D400" s="29" t="str">
        <f aca="false">IF(D398="","",D398+D399)</f>
        <v/>
      </c>
      <c r="E400" s="29" t="str">
        <f aca="false">IF(E398="","",E398+E399)</f>
        <v/>
      </c>
      <c r="F400" s="29" t="str">
        <f aca="false">IF(F398="","",F398+F399)</f>
        <v/>
      </c>
      <c r="G400" s="29" t="str">
        <f aca="false">IF(G398="","",G398+G399)</f>
        <v/>
      </c>
      <c r="H400" s="29" t="str">
        <f aca="false">IF(H398="","",H398+H399)</f>
        <v/>
      </c>
      <c r="I400" s="30" t="str">
        <f aca="false">IF(COUNT(D400:H400)=0,"",SUM(D400:H400))</f>
        <v/>
      </c>
      <c r="J400" s="24"/>
    </row>
    <row r="401" customFormat="false" ht="15" hidden="false" customHeight="false" outlineLevel="0" collapsed="false">
      <c r="B401" s="9" t="s">
        <v>131</v>
      </c>
      <c r="C401" s="15" t="s">
        <v>109</v>
      </c>
      <c r="D401" s="29" t="str">
        <f aca="false">IF(ISNUMBER(D387),D387*INDEX(WtF,MATCH($C$387,WtU,0))/WaterRho,"")</f>
        <v/>
      </c>
      <c r="E401" s="29" t="str">
        <f aca="false">IF(ISNUMBER(E387),E387*INDEX(WtF,MATCH($C$387,WtU,0))/WaterRho,"")</f>
        <v/>
      </c>
      <c r="F401" s="29" t="str">
        <f aca="false">IF(ISNUMBER(F387),F387*INDEX(WtF,MATCH($C$387,WtU,0))/WaterRho,"")</f>
        <v/>
      </c>
      <c r="G401" s="29" t="str">
        <f aca="false">IF(ISNUMBER(G387),G387*INDEX(WtF,MATCH($C$387,WtU,0))/WaterRho,"")</f>
        <v/>
      </c>
      <c r="H401" s="29" t="str">
        <f aca="false">IF(ISNUMBER(H387),H387*INDEX(WtF,MATCH($C$387,WtU,0))/WaterRho,"")</f>
        <v/>
      </c>
      <c r="I401" s="30" t="str">
        <f aca="false">IF(COUNT(D401:H401)=0,"",SUM(D401:H401))</f>
        <v/>
      </c>
      <c r="J401" s="24"/>
    </row>
    <row r="402" customFormat="false" ht="15" hidden="false" customHeight="false" outlineLevel="0" collapsed="false">
      <c r="B402" s="4" t="s">
        <v>132</v>
      </c>
      <c r="C402" s="15" t="s">
        <v>109</v>
      </c>
      <c r="D402" s="31" t="str">
        <f aca="false">IF(D394="Water weight",D401,D400)</f>
        <v/>
      </c>
      <c r="E402" s="31" t="str">
        <f aca="false">IF(E394="Water weight",E401,E400)</f>
        <v/>
      </c>
      <c r="F402" s="31" t="str">
        <f aca="false">IF(F394="Water weight",F401,F400)</f>
        <v/>
      </c>
      <c r="G402" s="31" t="str">
        <f aca="false">IF(G394="Water weight",G401,G400)</f>
        <v/>
      </c>
      <c r="H402" s="31" t="str">
        <f aca="false">IF(H394="Water weight",H401,H400)</f>
        <v/>
      </c>
      <c r="I402" s="31" t="str">
        <f aca="false">IF(COUNT(D402:H402)=0,"",SUM(D402:H402))</f>
        <v/>
      </c>
      <c r="J402" s="24"/>
      <c r="K402" s="32" t="s">
        <v>133</v>
      </c>
    </row>
    <row r="403" customFormat="false" ht="15" hidden="false" customHeight="false" outlineLevel="0" collapsed="false">
      <c r="B403" s="9" t="s">
        <v>134</v>
      </c>
      <c r="C403" s="15" t="s">
        <v>135</v>
      </c>
      <c r="D403" s="33" t="str">
        <f aca="false">IF(ISNUMBER(D389),PI()/4*(D389*INDEX(LenF,MATCH($C$389,LenU,0)))^2,IF(AND(ISNUMBER(D374),ISNUMBER(D378),D379&lt;&gt;""),D374*(D378*INDEX(LenF,MATCH($C$378,LenU,0)))^2*INDEX(LayoutF,MATCH(D379,LayoutU,0)),""))</f>
        <v/>
      </c>
      <c r="E403" s="33" t="str">
        <f aca="false">IF(ISNUMBER(E389),PI()/4*(E389*INDEX(LenF,MATCH($C$389,LenU,0)))^2,IF(AND(ISNUMBER(E374),ISNUMBER(E378),E379&lt;&gt;""),E374*(E378*INDEX(LenF,MATCH($C$378,LenU,0)))^2*INDEX(LayoutF,MATCH(E379,LayoutU,0)),""))</f>
        <v/>
      </c>
      <c r="F403" s="33" t="str">
        <f aca="false">IF(ISNUMBER(F389),PI()/4*(F389*INDEX(LenF,MATCH($C$389,LenU,0)))^2,IF(AND(ISNUMBER(F374),ISNUMBER(F378),F379&lt;&gt;""),F374*(F378*INDEX(LenF,MATCH($C$378,LenU,0)))^2*INDEX(LayoutF,MATCH(F379,LayoutU,0)),""))</f>
        <v/>
      </c>
      <c r="G403" s="33" t="str">
        <f aca="false">IF(ISNUMBER(G389),PI()/4*(G389*INDEX(LenF,MATCH($C$389,LenU,0)))^2,IF(AND(ISNUMBER(G374),ISNUMBER(G378),G379&lt;&gt;""),G374*(G378*INDEX(LenF,MATCH($C$378,LenU,0)))^2*INDEX(LayoutF,MATCH(G379,LayoutU,0)),""))</f>
        <v/>
      </c>
      <c r="H403" s="33" t="str">
        <f aca="false">IF(ISNUMBER(H389),PI()/4*(H389*INDEX(LenF,MATCH($C$389,LenU,0)))^2,IF(AND(ISNUMBER(H374),ISNUMBER(H378),H379&lt;&gt;""),H374*(H378*INDEX(LenF,MATCH($C$378,LenU,0)))^2*INDEX(LayoutF,MATCH(H379,LayoutU,0)),""))</f>
        <v/>
      </c>
      <c r="I403" s="34"/>
      <c r="J403" s="24" t="s">
        <v>136</v>
      </c>
    </row>
    <row r="404" customFormat="false" ht="15" hidden="false" customHeight="false" outlineLevel="0" collapsed="false">
      <c r="B404" s="9" t="s">
        <v>137</v>
      </c>
      <c r="C404" s="15" t="s">
        <v>109</v>
      </c>
      <c r="D404" s="29" t="str">
        <f aca="false">IF(OR(D403="",AND(NOT(ISNUMBER(D390)),NOT(ISNUMBER(D377)))),"",D403*IF(ISNUMBER(D390),D390*INDEX(LenF,MATCH($C$390,LenU,0)),D377*INDEX(LenF,MATCH($C$377,LenU,0)))+IF(D391="",0,IF(D391="Conical",PI()/12*(SQRT(4*D403/PI()))^2*(0),INDEX(HeadK,MATCH(D391,HeadU,0))*(SQRT(4*D403/PI()))^3)))</f>
        <v/>
      </c>
      <c r="E404" s="29" t="str">
        <f aca="false">IF(OR(E403="",AND(NOT(ISNUMBER(E390)),NOT(ISNUMBER(E377)))),"",E403*IF(ISNUMBER(E390),E390*INDEX(LenF,MATCH($C$390,LenU,0)),E377*INDEX(LenF,MATCH($C$377,LenU,0)))+IF(E391="",0,IF(E391="Conical",PI()/12*(SQRT(4*E403/PI()))^2*(0),INDEX(HeadK,MATCH(E391,HeadU,0))*(SQRT(4*E403/PI()))^3)))</f>
        <v/>
      </c>
      <c r="F404" s="29" t="str">
        <f aca="false">IF(OR(F403="",AND(NOT(ISNUMBER(F390)),NOT(ISNUMBER(F377)))),"",F403*IF(ISNUMBER(F390),F390*INDEX(LenF,MATCH($C$390,LenU,0)),F377*INDEX(LenF,MATCH($C$377,LenU,0)))+IF(F391="",0,IF(F391="Conical",PI()/12*(SQRT(4*F403/PI()))^2*(0),INDEX(HeadK,MATCH(F391,HeadU,0))*(SQRT(4*F403/PI()))^3)))</f>
        <v/>
      </c>
      <c r="G404" s="29" t="str">
        <f aca="false">IF(OR(G403="",AND(NOT(ISNUMBER(G390)),NOT(ISNUMBER(G377)))),"",G403*IF(ISNUMBER(G390),G390*INDEX(LenF,MATCH($C$390,LenU,0)),G377*INDEX(LenF,MATCH($C$377,LenU,0)))+IF(G391="",0,IF(G391="Conical",PI()/12*(SQRT(4*G403/PI()))^2*(0),INDEX(HeadK,MATCH(G391,HeadU,0))*(SQRT(4*G403/PI()))^3)))</f>
        <v/>
      </c>
      <c r="H404" s="29" t="str">
        <f aca="false">IF(OR(H403="",AND(NOT(ISNUMBER(H390)),NOT(ISNUMBER(H377)))),"",H403*IF(ISNUMBER(H390),H390*INDEX(LenF,MATCH($C$390,LenU,0)),H377*INDEX(LenF,MATCH($C$377,LenU,0)))+IF(H391="",0,IF(H391="Conical",PI()/12*(SQRT(4*H403/PI()))^2*(0),INDEX(HeadK,MATCH(H391,HeadU,0))*(SQRT(4*H403/PI()))^3)))</f>
        <v/>
      </c>
      <c r="I404" s="30" t="str">
        <f aca="false">IF(COUNT(D404:H404)=0,"",SUM(D404:H404))</f>
        <v/>
      </c>
      <c r="J404" s="24"/>
    </row>
    <row r="405" customFormat="false" ht="15" hidden="false" customHeight="false" outlineLevel="0" collapsed="false">
      <c r="B405" s="9" t="s">
        <v>138</v>
      </c>
      <c r="C405" s="15" t="s">
        <v>109</v>
      </c>
      <c r="D405" s="29" t="str">
        <f aca="false">IF(AND(ISNUMBER(D374),ISNUMBER(D397),ISNUMBER(D377)),D374*PI()/4*(D397/1000)^2*D377*INDEX(LenF,MATCH($C$377,LenU,0)),"")</f>
        <v/>
      </c>
      <c r="E405" s="29" t="str">
        <f aca="false">IF(AND(ISNUMBER(E374),ISNUMBER(E397),ISNUMBER(E377)),E374*PI()/4*(E397/1000)^2*E377*INDEX(LenF,MATCH($C$377,LenU,0)),"")</f>
        <v/>
      </c>
      <c r="F405" s="29" t="str">
        <f aca="false">IF(AND(ISNUMBER(F374),ISNUMBER(F397),ISNUMBER(F377)),F374*PI()/4*(F397/1000)^2*F377*INDEX(LenF,MATCH($C$377,LenU,0)),"")</f>
        <v/>
      </c>
      <c r="G405" s="29" t="str">
        <f aca="false">IF(AND(ISNUMBER(G374),ISNUMBER(G397),ISNUMBER(G377)),G374*PI()/4*(G397/1000)^2*G377*INDEX(LenF,MATCH($C$377,LenU,0)),"")</f>
        <v/>
      </c>
      <c r="H405" s="29" t="str">
        <f aca="false">IF(AND(ISNUMBER(H374),ISNUMBER(H397),ISNUMBER(H377)),H374*PI()/4*(H397/1000)^2*H377*INDEX(LenF,MATCH($C$377,LenU,0)),"")</f>
        <v/>
      </c>
      <c r="I405" s="30" t="str">
        <f aca="false">IF(COUNT(D405:H405)=0,"",SUM(D405:H405))</f>
        <v/>
      </c>
      <c r="J405" s="24"/>
    </row>
    <row r="406" customFormat="false" ht="15" hidden="false" customHeight="false" outlineLevel="0" collapsed="false">
      <c r="B406" s="9" t="s">
        <v>139</v>
      </c>
      <c r="C406" s="15" t="s">
        <v>109</v>
      </c>
      <c r="D406" s="29" t="str">
        <f aca="false">IF(OR(D404="",D405=""),"",D404-D405)</f>
        <v/>
      </c>
      <c r="E406" s="29" t="str">
        <f aca="false">IF(OR(E404="",E405=""),"",E404-E405)</f>
        <v/>
      </c>
      <c r="F406" s="29" t="str">
        <f aca="false">IF(OR(F404="",F405=""),"",F404-F405)</f>
        <v/>
      </c>
      <c r="G406" s="29" t="str">
        <f aca="false">IF(OR(G404="",G405=""),"",G404-G405)</f>
        <v/>
      </c>
      <c r="H406" s="29" t="str">
        <f aca="false">IF(OR(H404="",H405=""),"",H404-H405)</f>
        <v/>
      </c>
      <c r="I406" s="30" t="str">
        <f aca="false">IF(COUNT(D406:H406)=0,"",SUM(D406:H406))</f>
        <v/>
      </c>
      <c r="J406" s="24" t="s">
        <v>140</v>
      </c>
    </row>
    <row r="407" customFormat="false" ht="15" hidden="false" customHeight="false" outlineLevel="0" collapsed="false">
      <c r="B407" s="9" t="s">
        <v>141</v>
      </c>
      <c r="C407" s="15" t="s">
        <v>109</v>
      </c>
      <c r="D407" s="29" t="str">
        <f aca="false">IF(ISNUMBER(D392),D392*INDEX(WtF,MATCH($C$392,WtU,0))/WaterRho,"")</f>
        <v/>
      </c>
      <c r="E407" s="29" t="str">
        <f aca="false">IF(ISNUMBER(E392),E392*INDEX(WtF,MATCH($C$392,WtU,0))/WaterRho,"")</f>
        <v/>
      </c>
      <c r="F407" s="29" t="str">
        <f aca="false">IF(ISNUMBER(F392),F392*INDEX(WtF,MATCH($C$392,WtU,0))/WaterRho,"")</f>
        <v/>
      </c>
      <c r="G407" s="29" t="str">
        <f aca="false">IF(ISNUMBER(G392),G392*INDEX(WtF,MATCH($C$392,WtU,0))/WaterRho,"")</f>
        <v/>
      </c>
      <c r="H407" s="29" t="str">
        <f aca="false">IF(ISNUMBER(H392),H392*INDEX(WtF,MATCH($C$392,WtU,0))/WaterRho,"")</f>
        <v/>
      </c>
      <c r="I407" s="30" t="str">
        <f aca="false">IF(COUNT(D407:H407)=0,"",SUM(D407:H407))</f>
        <v/>
      </c>
      <c r="J407" s="24"/>
    </row>
    <row r="408" customFormat="false" ht="15" hidden="false" customHeight="false" outlineLevel="0" collapsed="false">
      <c r="B408" s="4" t="s">
        <v>142</v>
      </c>
      <c r="C408" s="15" t="s">
        <v>109</v>
      </c>
      <c r="D408" s="31" t="str">
        <f aca="false">IF(D395="Water weight",D407,D406)</f>
        <v/>
      </c>
      <c r="E408" s="31" t="str">
        <f aca="false">IF(E395="Water weight",E407,E406)</f>
        <v/>
      </c>
      <c r="F408" s="31" t="str">
        <f aca="false">IF(F395="Water weight",F407,F406)</f>
        <v/>
      </c>
      <c r="G408" s="31" t="str">
        <f aca="false">IF(G395="Water weight",G407,G406)</f>
        <v/>
      </c>
      <c r="H408" s="31" t="str">
        <f aca="false">IF(H395="Water weight",H407,H406)</f>
        <v/>
      </c>
      <c r="I408" s="31" t="str">
        <f aca="false">IF(COUNT(D408:H408)=0,"",SUM(D408:H408))</f>
        <v/>
      </c>
      <c r="J408" s="24"/>
      <c r="K408" s="32" t="s">
        <v>143</v>
      </c>
    </row>
    <row r="409" customFormat="false" ht="15" hidden="false" customHeight="false" outlineLevel="0" collapsed="false">
      <c r="B409" s="4" t="s">
        <v>144</v>
      </c>
      <c r="C409" s="15" t="s">
        <v>109</v>
      </c>
      <c r="D409" s="31" t="str">
        <f aca="false">IF(AND(D402="",D408=""),"",N(D402)+N(D408))</f>
        <v/>
      </c>
      <c r="E409" s="31" t="str">
        <f aca="false">IF(AND(E402="",E408=""),"",N(E402)+N(E408))</f>
        <v/>
      </c>
      <c r="F409" s="31" t="str">
        <f aca="false">IF(AND(F402="",F408=""),"",N(F402)+N(F408))</f>
        <v/>
      </c>
      <c r="G409" s="31" t="str">
        <f aca="false">IF(AND(G402="",G408=""),"",N(G402)+N(G408))</f>
        <v/>
      </c>
      <c r="H409" s="31" t="str">
        <f aca="false">IF(AND(H402="",H408=""),"",N(H402)+N(H408))</f>
        <v/>
      </c>
      <c r="I409" s="31" t="str">
        <f aca="false">IF(COUNT(D409:H409)=0,"",SUM(D409:H409))</f>
        <v/>
      </c>
      <c r="J409" s="24"/>
      <c r="K409" s="32" t="s">
        <v>145</v>
      </c>
    </row>
    <row r="410" customFormat="false" ht="15" hidden="false" customHeight="false" outlineLevel="0" collapsed="false">
      <c r="B410" s="9" t="s">
        <v>60</v>
      </c>
      <c r="C410" s="15" t="s">
        <v>146</v>
      </c>
      <c r="D410" s="35" t="str">
        <f aca="false">IF(D409="","",IF(JobType="Chemical Cleaning",CC_HX,INDEX(DecFill,MATCH("Exchanger",DecTypeU,0))))</f>
        <v/>
      </c>
      <c r="E410" s="35" t="str">
        <f aca="false">IF(E409="","",IF(JobType="Chemical Cleaning",CC_HX,INDEX(DecFill,MATCH("Exchanger",DecTypeU,0))))</f>
        <v/>
      </c>
      <c r="F410" s="35" t="str">
        <f aca="false">IF(F409="","",IF(JobType="Chemical Cleaning",CC_HX,INDEX(DecFill,MATCH("Exchanger",DecTypeU,0))))</f>
        <v/>
      </c>
      <c r="G410" s="35" t="str">
        <f aca="false">IF(G409="","",IF(JobType="Chemical Cleaning",CC_HX,INDEX(DecFill,MATCH("Exchanger",DecTypeU,0))))</f>
        <v/>
      </c>
      <c r="H410" s="35" t="str">
        <f aca="false">IF(H409="","",IF(JobType="Chemical Cleaning",CC_HX,INDEX(DecFill,MATCH("Exchanger",DecTypeU,0))))</f>
        <v/>
      </c>
      <c r="I410" s="36"/>
      <c r="J410" s="24" t="s">
        <v>147</v>
      </c>
    </row>
    <row r="411" customFormat="false" ht="15" hidden="false" customHeight="false" outlineLevel="0" collapsed="false">
      <c r="B411" s="4" t="s">
        <v>148</v>
      </c>
      <c r="C411" s="15" t="s">
        <v>109</v>
      </c>
      <c r="D411" s="31" t="str">
        <f aca="false">IF(OR(D409="",D410=""),"",D409*D410)</f>
        <v/>
      </c>
      <c r="E411" s="31" t="str">
        <f aca="false">IF(OR(E409="",E410=""),"",E409*E410)</f>
        <v/>
      </c>
      <c r="F411" s="31" t="str">
        <f aca="false">IF(OR(F409="",F410=""),"",F409*F410)</f>
        <v/>
      </c>
      <c r="G411" s="31" t="str">
        <f aca="false">IF(OR(G409="",G410=""),"",G409*G410)</f>
        <v/>
      </c>
      <c r="H411" s="31" t="str">
        <f aca="false">IF(OR(H409="",H410=""),"",H409*H410)</f>
        <v/>
      </c>
      <c r="I411" s="31" t="str">
        <f aca="false">IF(COUNT(D411:H411)=0,"",SUM(D411:H411))</f>
        <v/>
      </c>
      <c r="J411" s="24"/>
      <c r="K411" s="32" t="s">
        <v>149</v>
      </c>
    </row>
    <row r="412" customFormat="false" ht="15" hidden="false" customHeight="false" outlineLevel="0" collapsed="false">
      <c r="B412" s="9" t="s">
        <v>150</v>
      </c>
      <c r="C412" s="15" t="s">
        <v>32</v>
      </c>
      <c r="D412" s="37" t="str">
        <f aca="false">IF(OR(JobType&lt;&gt;"Decontamination",D411=""),"",D411*INDEX(DecChem,MATCH("Exchanger",DecTypeU,0))*1000)</f>
        <v/>
      </c>
      <c r="E412" s="37" t="str">
        <f aca="false">IF(OR(JobType&lt;&gt;"Decontamination",E411=""),"",E411*INDEX(DecChem,MATCH("Exchanger",DecTypeU,0))*1000)</f>
        <v/>
      </c>
      <c r="F412" s="37" t="str">
        <f aca="false">IF(OR(JobType&lt;&gt;"Decontamination",F411=""),"",F411*INDEX(DecChem,MATCH("Exchanger",DecTypeU,0))*1000)</f>
        <v/>
      </c>
      <c r="G412" s="37" t="str">
        <f aca="false">IF(OR(JobType&lt;&gt;"Decontamination",G411=""),"",G411*INDEX(DecChem,MATCH("Exchanger",DecTypeU,0))*1000)</f>
        <v/>
      </c>
      <c r="H412" s="37" t="str">
        <f aca="false">IF(OR(JobType&lt;&gt;"Decontamination",H411=""),"",H411*INDEX(DecChem,MATCH("Exchanger",DecTypeU,0))*1000)</f>
        <v/>
      </c>
      <c r="I412" s="38" t="str">
        <f aca="false">IF(COUNT(D412:H412)=0,"",SUM(D412:H412))</f>
        <v/>
      </c>
      <c r="J412" s="24" t="s">
        <v>151</v>
      </c>
      <c r="K412" s="32" t="s">
        <v>152</v>
      </c>
    </row>
    <row r="414" customFormat="false" ht="15" hidden="false" customHeight="false" outlineLevel="0" collapsed="false">
      <c r="A414" s="20" t="n">
        <v>10</v>
      </c>
      <c r="B414" s="21" t="s">
        <v>161</v>
      </c>
      <c r="C414" s="22"/>
      <c r="D414" s="22"/>
      <c r="E414" s="22"/>
      <c r="F414" s="22"/>
      <c r="G414" s="22"/>
      <c r="H414" s="22"/>
      <c r="I414" s="22"/>
      <c r="J414" s="22"/>
    </row>
    <row r="415" customFormat="false" ht="15" hidden="false" customHeight="false" outlineLevel="0" collapsed="false">
      <c r="B415" s="9" t="s">
        <v>83</v>
      </c>
      <c r="C415" s="15" t="s">
        <v>29</v>
      </c>
      <c r="D415" s="8"/>
      <c r="E415" s="8"/>
      <c r="F415" s="8"/>
      <c r="G415" s="8"/>
      <c r="H415" s="8"/>
      <c r="I415" s="23"/>
      <c r="J415" s="24"/>
    </row>
    <row r="416" customFormat="false" ht="15" hidden="false" customHeight="false" outlineLevel="0" collapsed="false">
      <c r="B416" s="9" t="s">
        <v>86</v>
      </c>
      <c r="C416" s="15" t="s">
        <v>29</v>
      </c>
      <c r="D416" s="8"/>
      <c r="E416" s="8"/>
      <c r="F416" s="8"/>
      <c r="G416" s="8"/>
      <c r="H416" s="8"/>
      <c r="I416" s="23"/>
      <c r="J416" s="24"/>
    </row>
    <row r="417" customFormat="false" ht="15" hidden="false" customHeight="false" outlineLevel="0" collapsed="false">
      <c r="B417" s="9" t="s">
        <v>87</v>
      </c>
      <c r="C417" s="15" t="s">
        <v>29</v>
      </c>
      <c r="D417" s="8"/>
      <c r="E417" s="8"/>
      <c r="F417" s="8"/>
      <c r="G417" s="8"/>
      <c r="H417" s="8"/>
      <c r="I417" s="23"/>
      <c r="J417" s="24"/>
    </row>
    <row r="418" customFormat="false" ht="15" hidden="false" customHeight="false" outlineLevel="0" collapsed="false">
      <c r="B418" s="25" t="s">
        <v>88</v>
      </c>
      <c r="C418" s="26"/>
      <c r="D418" s="26"/>
      <c r="E418" s="26"/>
      <c r="F418" s="26"/>
      <c r="G418" s="26"/>
      <c r="H418" s="26"/>
      <c r="I418" s="26"/>
      <c r="J418" s="26"/>
    </row>
    <row r="419" customFormat="false" ht="15" hidden="false" customHeight="false" outlineLevel="0" collapsed="false">
      <c r="B419" s="9" t="s">
        <v>89</v>
      </c>
      <c r="C419" s="15" t="s">
        <v>90</v>
      </c>
      <c r="D419" s="8"/>
      <c r="E419" s="8"/>
      <c r="F419" s="8"/>
      <c r="G419" s="8"/>
      <c r="H419" s="8"/>
      <c r="I419" s="23"/>
      <c r="J419" s="24"/>
    </row>
    <row r="420" customFormat="false" ht="15" hidden="false" customHeight="false" outlineLevel="0" collapsed="false">
      <c r="B420" s="9" t="s">
        <v>91</v>
      </c>
      <c r="C420" s="8" t="s">
        <v>92</v>
      </c>
      <c r="D420" s="8"/>
      <c r="E420" s="8"/>
      <c r="F420" s="8"/>
      <c r="G420" s="8"/>
      <c r="H420" s="8"/>
      <c r="I420" s="23"/>
      <c r="J420" s="24" t="s">
        <v>93</v>
      </c>
    </row>
    <row r="421" customFormat="false" ht="15" hidden="false" customHeight="false" outlineLevel="0" collapsed="false">
      <c r="B421" s="9" t="s">
        <v>94</v>
      </c>
      <c r="C421" s="8" t="s">
        <v>92</v>
      </c>
      <c r="D421" s="8"/>
      <c r="E421" s="8"/>
      <c r="F421" s="8"/>
      <c r="G421" s="8"/>
      <c r="H421" s="8"/>
      <c r="I421" s="23"/>
      <c r="J421" s="24"/>
    </row>
    <row r="422" customFormat="false" ht="15" hidden="false" customHeight="false" outlineLevel="0" collapsed="false">
      <c r="B422" s="9" t="s">
        <v>95</v>
      </c>
      <c r="C422" s="8" t="s">
        <v>92</v>
      </c>
      <c r="D422" s="8"/>
      <c r="E422" s="8"/>
      <c r="F422" s="8"/>
      <c r="G422" s="8"/>
      <c r="H422" s="8"/>
      <c r="I422" s="23"/>
      <c r="J422" s="24"/>
    </row>
    <row r="423" customFormat="false" ht="15" hidden="false" customHeight="false" outlineLevel="0" collapsed="false">
      <c r="B423" s="9" t="s">
        <v>96</v>
      </c>
      <c r="C423" s="8" t="s">
        <v>92</v>
      </c>
      <c r="D423" s="8"/>
      <c r="E423" s="8"/>
      <c r="F423" s="8"/>
      <c r="G423" s="8"/>
      <c r="H423" s="8"/>
      <c r="I423" s="23"/>
      <c r="J423" s="24" t="s">
        <v>97</v>
      </c>
    </row>
    <row r="424" customFormat="false" ht="15" hidden="false" customHeight="false" outlineLevel="0" collapsed="false">
      <c r="B424" s="9" t="s">
        <v>98</v>
      </c>
      <c r="C424" s="15" t="s">
        <v>29</v>
      </c>
      <c r="D424" s="8" t="s">
        <v>99</v>
      </c>
      <c r="E424" s="8" t="s">
        <v>99</v>
      </c>
      <c r="F424" s="8" t="s">
        <v>99</v>
      </c>
      <c r="G424" s="8" t="s">
        <v>99</v>
      </c>
      <c r="H424" s="8" t="s">
        <v>99</v>
      </c>
      <c r="I424" s="23"/>
      <c r="J424" s="24"/>
    </row>
    <row r="425" customFormat="false" ht="15" hidden="false" customHeight="false" outlineLevel="0" collapsed="false">
      <c r="B425" s="9" t="s">
        <v>100</v>
      </c>
      <c r="C425" s="8" t="s">
        <v>92</v>
      </c>
      <c r="D425" s="8"/>
      <c r="E425" s="8"/>
      <c r="F425" s="8"/>
      <c r="G425" s="8"/>
      <c r="H425" s="8"/>
      <c r="I425" s="23"/>
      <c r="J425" s="24"/>
    </row>
    <row r="426" customFormat="false" ht="15" hidden="false" customHeight="false" outlineLevel="0" collapsed="false">
      <c r="B426" s="9" t="s">
        <v>101</v>
      </c>
      <c r="C426" s="8" t="s">
        <v>92</v>
      </c>
      <c r="D426" s="8"/>
      <c r="E426" s="8"/>
      <c r="F426" s="8"/>
      <c r="G426" s="8"/>
      <c r="H426" s="8"/>
      <c r="I426" s="23"/>
      <c r="J426" s="24"/>
    </row>
    <row r="427" customFormat="false" ht="15" hidden="false" customHeight="false" outlineLevel="0" collapsed="false">
      <c r="B427" s="9" t="s">
        <v>102</v>
      </c>
      <c r="C427" s="15" t="s">
        <v>29</v>
      </c>
      <c r="D427" s="8"/>
      <c r="E427" s="8"/>
      <c r="F427" s="8"/>
      <c r="G427" s="8"/>
      <c r="H427" s="8"/>
      <c r="I427" s="23"/>
      <c r="J427" s="24"/>
    </row>
    <row r="428" customFormat="false" ht="15" hidden="false" customHeight="false" outlineLevel="0" collapsed="false">
      <c r="B428" s="9" t="s">
        <v>104</v>
      </c>
      <c r="C428" s="8" t="s">
        <v>92</v>
      </c>
      <c r="D428" s="8"/>
      <c r="E428" s="8"/>
      <c r="F428" s="8"/>
      <c r="G428" s="8"/>
      <c r="H428" s="8"/>
      <c r="I428" s="23"/>
      <c r="J428" s="24"/>
    </row>
    <row r="429" customFormat="false" ht="15" hidden="false" customHeight="false" outlineLevel="0" collapsed="false">
      <c r="B429" s="9" t="s">
        <v>105</v>
      </c>
      <c r="C429" s="8" t="s">
        <v>92</v>
      </c>
      <c r="D429" s="8"/>
      <c r="E429" s="8"/>
      <c r="F429" s="8"/>
      <c r="G429" s="8"/>
      <c r="H429" s="8"/>
      <c r="I429" s="23"/>
      <c r="J429" s="24"/>
    </row>
    <row r="430" customFormat="false" ht="15" hidden="false" customHeight="false" outlineLevel="0" collapsed="false">
      <c r="B430" s="9" t="s">
        <v>106</v>
      </c>
      <c r="C430" s="15" t="s">
        <v>29</v>
      </c>
      <c r="D430" s="8"/>
      <c r="E430" s="8"/>
      <c r="F430" s="8"/>
      <c r="G430" s="8"/>
      <c r="H430" s="8"/>
      <c r="I430" s="23"/>
      <c r="J430" s="24"/>
    </row>
    <row r="431" customFormat="false" ht="15" hidden="false" customHeight="false" outlineLevel="0" collapsed="false">
      <c r="B431" s="9" t="s">
        <v>108</v>
      </c>
      <c r="C431" s="8" t="s">
        <v>109</v>
      </c>
      <c r="D431" s="8"/>
      <c r="E431" s="8"/>
      <c r="F431" s="8"/>
      <c r="G431" s="8"/>
      <c r="H431" s="8"/>
      <c r="I431" s="23"/>
      <c r="J431" s="24" t="s">
        <v>110</v>
      </c>
    </row>
    <row r="432" customFormat="false" ht="15" hidden="false" customHeight="false" outlineLevel="0" collapsed="false">
      <c r="B432" s="9" t="s">
        <v>111</v>
      </c>
      <c r="C432" s="8" t="s">
        <v>112</v>
      </c>
      <c r="D432" s="8"/>
      <c r="E432" s="8"/>
      <c r="F432" s="8"/>
      <c r="G432" s="8"/>
      <c r="H432" s="8"/>
      <c r="I432" s="23"/>
      <c r="J432" s="24"/>
    </row>
    <row r="433" customFormat="false" ht="15" hidden="false" customHeight="false" outlineLevel="0" collapsed="false">
      <c r="B433" s="25" t="s">
        <v>113</v>
      </c>
      <c r="C433" s="26"/>
      <c r="D433" s="26"/>
      <c r="E433" s="26"/>
      <c r="F433" s="26"/>
      <c r="G433" s="26"/>
      <c r="H433" s="26"/>
      <c r="I433" s="26"/>
      <c r="J433" s="26"/>
    </row>
    <row r="434" customFormat="false" ht="15" hidden="false" customHeight="false" outlineLevel="0" collapsed="false">
      <c r="B434" s="9" t="s">
        <v>114</v>
      </c>
      <c r="C434" s="8" t="s">
        <v>92</v>
      </c>
      <c r="D434" s="8"/>
      <c r="E434" s="8"/>
      <c r="F434" s="8"/>
      <c r="G434" s="8"/>
      <c r="H434" s="8"/>
      <c r="I434" s="23"/>
      <c r="J434" s="24" t="s">
        <v>115</v>
      </c>
    </row>
    <row r="435" customFormat="false" ht="15" hidden="false" customHeight="false" outlineLevel="0" collapsed="false">
      <c r="B435" s="9" t="s">
        <v>116</v>
      </c>
      <c r="C435" s="8" t="s">
        <v>92</v>
      </c>
      <c r="D435" s="8"/>
      <c r="E435" s="8"/>
      <c r="F435" s="8"/>
      <c r="G435" s="8"/>
      <c r="H435" s="8"/>
      <c r="I435" s="23"/>
      <c r="J435" s="24" t="s">
        <v>117</v>
      </c>
    </row>
    <row r="436" customFormat="false" ht="15" hidden="false" customHeight="false" outlineLevel="0" collapsed="false">
      <c r="B436" s="9" t="s">
        <v>118</v>
      </c>
      <c r="C436" s="15" t="s">
        <v>29</v>
      </c>
      <c r="D436" s="8"/>
      <c r="E436" s="8"/>
      <c r="F436" s="8"/>
      <c r="G436" s="8"/>
      <c r="H436" s="8"/>
      <c r="I436" s="23"/>
      <c r="J436" s="24"/>
    </row>
    <row r="437" customFormat="false" ht="15" hidden="false" customHeight="false" outlineLevel="0" collapsed="false">
      <c r="B437" s="9" t="s">
        <v>119</v>
      </c>
      <c r="C437" s="8" t="s">
        <v>112</v>
      </c>
      <c r="D437" s="8"/>
      <c r="E437" s="8"/>
      <c r="F437" s="8"/>
      <c r="G437" s="8"/>
      <c r="H437" s="8"/>
      <c r="I437" s="23"/>
      <c r="J437" s="24"/>
    </row>
    <row r="438" customFormat="false" ht="15" hidden="false" customHeight="false" outlineLevel="0" collapsed="false">
      <c r="B438" s="25" t="s">
        <v>120</v>
      </c>
      <c r="C438" s="26"/>
      <c r="D438" s="26"/>
      <c r="E438" s="26"/>
      <c r="F438" s="26"/>
      <c r="G438" s="26"/>
      <c r="H438" s="26"/>
      <c r="I438" s="26"/>
      <c r="J438" s="26"/>
    </row>
    <row r="439" customFormat="false" ht="15" hidden="false" customHeight="false" outlineLevel="0" collapsed="false">
      <c r="B439" s="9" t="s">
        <v>121</v>
      </c>
      <c r="C439" s="15" t="s">
        <v>29</v>
      </c>
      <c r="D439" s="8" t="s">
        <v>122</v>
      </c>
      <c r="E439" s="8" t="s">
        <v>122</v>
      </c>
      <c r="F439" s="8" t="s">
        <v>122</v>
      </c>
      <c r="G439" s="8" t="s">
        <v>122</v>
      </c>
      <c r="H439" s="8" t="s">
        <v>122</v>
      </c>
      <c r="I439" s="23"/>
      <c r="J439" s="24"/>
    </row>
    <row r="440" customFormat="false" ht="15" hidden="false" customHeight="false" outlineLevel="0" collapsed="false">
      <c r="B440" s="9" t="s">
        <v>123</v>
      </c>
      <c r="C440" s="15" t="s">
        <v>29</v>
      </c>
      <c r="D440" s="8" t="s">
        <v>122</v>
      </c>
      <c r="E440" s="8" t="s">
        <v>122</v>
      </c>
      <c r="F440" s="8" t="s">
        <v>122</v>
      </c>
      <c r="G440" s="8" t="s">
        <v>122</v>
      </c>
      <c r="H440" s="8" t="s">
        <v>122</v>
      </c>
      <c r="I440" s="23"/>
      <c r="J440" s="24"/>
    </row>
    <row r="441" customFormat="false" ht="15" hidden="false" customHeight="false" outlineLevel="0" collapsed="false">
      <c r="B441" s="25" t="s">
        <v>124</v>
      </c>
      <c r="C441" s="26"/>
      <c r="D441" s="26"/>
      <c r="E441" s="26"/>
      <c r="F441" s="26"/>
      <c r="G441" s="26"/>
      <c r="H441" s="26"/>
      <c r="I441" s="26"/>
      <c r="J441" s="26"/>
    </row>
    <row r="442" customFormat="false" ht="15" hidden="false" customHeight="false" outlineLevel="0" collapsed="false">
      <c r="B442" s="9" t="s">
        <v>125</v>
      </c>
      <c r="C442" s="15" t="s">
        <v>92</v>
      </c>
      <c r="D442" s="27" t="str">
        <f aca="false">IF(ISNUMBER(D420),D420*INDEX(LenF,MATCH($C$420,LenU,0))*1000,IF(ISNUMBER(D423),D423*INDEX(LenF,MATCH($C$423,LenU,0))/PitchRatio*1000,""))</f>
        <v/>
      </c>
      <c r="E442" s="27" t="str">
        <f aca="false">IF(ISNUMBER(E420),E420*INDEX(LenF,MATCH($C$420,LenU,0))*1000,IF(ISNUMBER(E423),E423*INDEX(LenF,MATCH($C$423,LenU,0))/PitchRatio*1000,""))</f>
        <v/>
      </c>
      <c r="F442" s="27" t="str">
        <f aca="false">IF(ISNUMBER(F420),F420*INDEX(LenF,MATCH($C$420,LenU,0))*1000,IF(ISNUMBER(F423),F423*INDEX(LenF,MATCH($C$423,LenU,0))/PitchRatio*1000,""))</f>
        <v/>
      </c>
      <c r="G442" s="27" t="str">
        <f aca="false">IF(ISNUMBER(G420),G420*INDEX(LenF,MATCH($C$420,LenU,0))*1000,IF(ISNUMBER(G423),G423*INDEX(LenF,MATCH($C$423,LenU,0))/PitchRatio*1000,""))</f>
        <v/>
      </c>
      <c r="H442" s="27" t="str">
        <f aca="false">IF(ISNUMBER(H420),H420*INDEX(LenF,MATCH($C$420,LenU,0))*1000,IF(ISNUMBER(H423),H423*INDEX(LenF,MATCH($C$423,LenU,0))/PitchRatio*1000,""))</f>
        <v/>
      </c>
      <c r="I442" s="28"/>
      <c r="J442" s="24" t="s">
        <v>126</v>
      </c>
    </row>
    <row r="443" customFormat="false" ht="15" hidden="false" customHeight="false" outlineLevel="0" collapsed="false">
      <c r="B443" s="9" t="s">
        <v>127</v>
      </c>
      <c r="C443" s="15" t="s">
        <v>109</v>
      </c>
      <c r="D443" s="29" t="str">
        <f aca="false">IF(AND(ISNUMBER(D419),ISNUMBER(D421),ISNUMBER(D422)),D419*PI()/4*(D421*INDEX(LenF,MATCH($C$421,LenU,0)))^2*D422*INDEX(LenF,MATCH($C$422,LenU,0)),"")</f>
        <v/>
      </c>
      <c r="E443" s="29" t="str">
        <f aca="false">IF(AND(ISNUMBER(E419),ISNUMBER(E421),ISNUMBER(E422)),E419*PI()/4*(E421*INDEX(LenF,MATCH($C$421,LenU,0)))^2*E422*INDEX(LenF,MATCH($C$422,LenU,0)),"")</f>
        <v/>
      </c>
      <c r="F443" s="29" t="str">
        <f aca="false">IF(AND(ISNUMBER(F419),ISNUMBER(F421),ISNUMBER(F422)),F419*PI()/4*(F421*INDEX(LenF,MATCH($C$421,LenU,0)))^2*F422*INDEX(LenF,MATCH($C$422,LenU,0)),"")</f>
        <v/>
      </c>
      <c r="G443" s="29" t="str">
        <f aca="false">IF(AND(ISNUMBER(G419),ISNUMBER(G421),ISNUMBER(G422)),G419*PI()/4*(G421*INDEX(LenF,MATCH($C$421,LenU,0)))^2*G422*INDEX(LenF,MATCH($C$422,LenU,0)),"")</f>
        <v/>
      </c>
      <c r="H443" s="29" t="str">
        <f aca="false">IF(AND(ISNUMBER(H419),ISNUMBER(H421),ISNUMBER(H422)),H419*PI()/4*(H421*INDEX(LenF,MATCH($C$421,LenU,0)))^2*H422*INDEX(LenF,MATCH($C$422,LenU,0)),"")</f>
        <v/>
      </c>
      <c r="I443" s="30" t="str">
        <f aca="false">IF(COUNT(D443:H443)=0,"",SUM(D443:H443))</f>
        <v/>
      </c>
      <c r="J443" s="24"/>
    </row>
    <row r="444" customFormat="false" ht="15" hidden="false" customHeight="false" outlineLevel="0" collapsed="false">
      <c r="B444" s="9" t="s">
        <v>128</v>
      </c>
      <c r="C444" s="15" t="s">
        <v>109</v>
      </c>
      <c r="D444" s="29" t="n">
        <f aca="false">IF(ISNUMBER(D431),D431*INDEX(VolF,MATCH($C$431,VolU,0)),IF(ISNUMBER(D425),PI()/4*(D425*INDEX(LenF,MATCH($C$425,LenU,0)))^2*N(D426)*INDEX(LenF,MATCH($C$426,LenU,0))+IF(D427="",0,IF(D427="Conical",PI()/12*(D425*INDEX(LenF,MATCH($C$425,LenU,0)))^2*(0),INDEX(HeadK,MATCH(D427,HeadU,0))*(D425*INDEX(LenF,MATCH($C$425,LenU,0)))^3)),0)+IF(ISNUMBER(D428),PI()/4*(D428*INDEX(LenF,MATCH($C$428,LenU,0)))^2*N(D429)*INDEX(LenF,MATCH($C$429,LenU,0))+IF(D430="",0,IF(D430="Conical",PI()/12*(D428*INDEX(LenF,MATCH($C$428,LenU,0)))^2*(0),INDEX(HeadK,MATCH(D430,HeadU,0))*(D428*INDEX(LenF,MATCH($C$428,LenU,0)))^3)),0))</f>
        <v>0</v>
      </c>
      <c r="E444" s="29" t="n">
        <f aca="false">IF(ISNUMBER(E431),E431*INDEX(VolF,MATCH($C$431,VolU,0)),IF(ISNUMBER(E425),PI()/4*(E425*INDEX(LenF,MATCH($C$425,LenU,0)))^2*N(E426)*INDEX(LenF,MATCH($C$426,LenU,0))+IF(E427="",0,IF(E427="Conical",PI()/12*(E425*INDEX(LenF,MATCH($C$425,LenU,0)))^2*(0),INDEX(HeadK,MATCH(E427,HeadU,0))*(E425*INDEX(LenF,MATCH($C$425,LenU,0)))^3)),0)+IF(ISNUMBER(E428),PI()/4*(E428*INDEX(LenF,MATCH($C$428,LenU,0)))^2*N(E429)*INDEX(LenF,MATCH($C$429,LenU,0))+IF(E430="",0,IF(E430="Conical",PI()/12*(E428*INDEX(LenF,MATCH($C$428,LenU,0)))^2*(0),INDEX(HeadK,MATCH(E430,HeadU,0))*(E428*INDEX(LenF,MATCH($C$428,LenU,0)))^3)),0))</f>
        <v>0</v>
      </c>
      <c r="F444" s="29" t="n">
        <f aca="false">IF(ISNUMBER(F431),F431*INDEX(VolF,MATCH($C$431,VolU,0)),IF(ISNUMBER(F425),PI()/4*(F425*INDEX(LenF,MATCH($C$425,LenU,0)))^2*N(F426)*INDEX(LenF,MATCH($C$426,LenU,0))+IF(F427="",0,IF(F427="Conical",PI()/12*(F425*INDEX(LenF,MATCH($C$425,LenU,0)))^2*(0),INDEX(HeadK,MATCH(F427,HeadU,0))*(F425*INDEX(LenF,MATCH($C$425,LenU,0)))^3)),0)+IF(ISNUMBER(F428),PI()/4*(F428*INDEX(LenF,MATCH($C$428,LenU,0)))^2*N(F429)*INDEX(LenF,MATCH($C$429,LenU,0))+IF(F430="",0,IF(F430="Conical",PI()/12*(F428*INDEX(LenF,MATCH($C$428,LenU,0)))^2*(0),INDEX(HeadK,MATCH(F430,HeadU,0))*(F428*INDEX(LenF,MATCH($C$428,LenU,0)))^3)),0))</f>
        <v>0</v>
      </c>
      <c r="G444" s="29" t="n">
        <f aca="false">IF(ISNUMBER(G431),G431*INDEX(VolF,MATCH($C$431,VolU,0)),IF(ISNUMBER(G425),PI()/4*(G425*INDEX(LenF,MATCH($C$425,LenU,0)))^2*N(G426)*INDEX(LenF,MATCH($C$426,LenU,0))+IF(G427="",0,IF(G427="Conical",PI()/12*(G425*INDEX(LenF,MATCH($C$425,LenU,0)))^2*(0),INDEX(HeadK,MATCH(G427,HeadU,0))*(G425*INDEX(LenF,MATCH($C$425,LenU,0)))^3)),0)+IF(ISNUMBER(G428),PI()/4*(G428*INDEX(LenF,MATCH($C$428,LenU,0)))^2*N(G429)*INDEX(LenF,MATCH($C$429,LenU,0))+IF(G430="",0,IF(G430="Conical",PI()/12*(G428*INDEX(LenF,MATCH($C$428,LenU,0)))^2*(0),INDEX(HeadK,MATCH(G430,HeadU,0))*(G428*INDEX(LenF,MATCH($C$428,LenU,0)))^3)),0))</f>
        <v>0</v>
      </c>
      <c r="H444" s="29" t="n">
        <f aca="false">IF(ISNUMBER(H431),H431*INDEX(VolF,MATCH($C$431,VolU,0)),IF(ISNUMBER(H425),PI()/4*(H425*INDEX(LenF,MATCH($C$425,LenU,0)))^2*N(H426)*INDEX(LenF,MATCH($C$426,LenU,0))+IF(H427="",0,IF(H427="Conical",PI()/12*(H425*INDEX(LenF,MATCH($C$425,LenU,0)))^2*(0),INDEX(HeadK,MATCH(H427,HeadU,0))*(H425*INDEX(LenF,MATCH($C$425,LenU,0)))^3)),0)+IF(ISNUMBER(H428),PI()/4*(H428*INDEX(LenF,MATCH($C$428,LenU,0)))^2*N(H429)*INDEX(LenF,MATCH($C$429,LenU,0))+IF(H430="",0,IF(H430="Conical",PI()/12*(H428*INDEX(LenF,MATCH($C$428,LenU,0)))^2*(0),INDEX(HeadK,MATCH(H430,HeadU,0))*(H428*INDEX(LenF,MATCH($C$428,LenU,0)))^3)),0))</f>
        <v>0</v>
      </c>
      <c r="I444" s="30" t="n">
        <f aca="false">IF(COUNT(D444:H444)=0,"",SUM(D444:H444))</f>
        <v>0</v>
      </c>
      <c r="J444" s="24" t="s">
        <v>129</v>
      </c>
    </row>
    <row r="445" customFormat="false" ht="15" hidden="false" customHeight="false" outlineLevel="0" collapsed="false">
      <c r="B445" s="9" t="s">
        <v>130</v>
      </c>
      <c r="C445" s="15" t="s">
        <v>109</v>
      </c>
      <c r="D445" s="29" t="str">
        <f aca="false">IF(D443="","",D443+D444)</f>
        <v/>
      </c>
      <c r="E445" s="29" t="str">
        <f aca="false">IF(E443="","",E443+E444)</f>
        <v/>
      </c>
      <c r="F445" s="29" t="str">
        <f aca="false">IF(F443="","",F443+F444)</f>
        <v/>
      </c>
      <c r="G445" s="29" t="str">
        <f aca="false">IF(G443="","",G443+G444)</f>
        <v/>
      </c>
      <c r="H445" s="29" t="str">
        <f aca="false">IF(H443="","",H443+H444)</f>
        <v/>
      </c>
      <c r="I445" s="30" t="str">
        <f aca="false">IF(COUNT(D445:H445)=0,"",SUM(D445:H445))</f>
        <v/>
      </c>
      <c r="J445" s="24"/>
    </row>
    <row r="446" customFormat="false" ht="15" hidden="false" customHeight="false" outlineLevel="0" collapsed="false">
      <c r="B446" s="9" t="s">
        <v>131</v>
      </c>
      <c r="C446" s="15" t="s">
        <v>109</v>
      </c>
      <c r="D446" s="29" t="str">
        <f aca="false">IF(ISNUMBER(D432),D432*INDEX(WtF,MATCH($C$432,WtU,0))/WaterRho,"")</f>
        <v/>
      </c>
      <c r="E446" s="29" t="str">
        <f aca="false">IF(ISNUMBER(E432),E432*INDEX(WtF,MATCH($C$432,WtU,0))/WaterRho,"")</f>
        <v/>
      </c>
      <c r="F446" s="29" t="str">
        <f aca="false">IF(ISNUMBER(F432),F432*INDEX(WtF,MATCH($C$432,WtU,0))/WaterRho,"")</f>
        <v/>
      </c>
      <c r="G446" s="29" t="str">
        <f aca="false">IF(ISNUMBER(G432),G432*INDEX(WtF,MATCH($C$432,WtU,0))/WaterRho,"")</f>
        <v/>
      </c>
      <c r="H446" s="29" t="str">
        <f aca="false">IF(ISNUMBER(H432),H432*INDEX(WtF,MATCH($C$432,WtU,0))/WaterRho,"")</f>
        <v/>
      </c>
      <c r="I446" s="30" t="str">
        <f aca="false">IF(COUNT(D446:H446)=0,"",SUM(D446:H446))</f>
        <v/>
      </c>
      <c r="J446" s="24"/>
    </row>
    <row r="447" customFormat="false" ht="15" hidden="false" customHeight="false" outlineLevel="0" collapsed="false">
      <c r="B447" s="4" t="s">
        <v>132</v>
      </c>
      <c r="C447" s="15" t="s">
        <v>109</v>
      </c>
      <c r="D447" s="31" t="str">
        <f aca="false">IF(D439="Water weight",D446,D445)</f>
        <v/>
      </c>
      <c r="E447" s="31" t="str">
        <f aca="false">IF(E439="Water weight",E446,E445)</f>
        <v/>
      </c>
      <c r="F447" s="31" t="str">
        <f aca="false">IF(F439="Water weight",F446,F445)</f>
        <v/>
      </c>
      <c r="G447" s="31" t="str">
        <f aca="false">IF(G439="Water weight",G446,G445)</f>
        <v/>
      </c>
      <c r="H447" s="31" t="str">
        <f aca="false">IF(H439="Water weight",H446,H445)</f>
        <v/>
      </c>
      <c r="I447" s="31" t="str">
        <f aca="false">IF(COUNT(D447:H447)=0,"",SUM(D447:H447))</f>
        <v/>
      </c>
      <c r="J447" s="24"/>
      <c r="K447" s="32" t="s">
        <v>133</v>
      </c>
    </row>
    <row r="448" customFormat="false" ht="15" hidden="false" customHeight="false" outlineLevel="0" collapsed="false">
      <c r="B448" s="9" t="s">
        <v>134</v>
      </c>
      <c r="C448" s="15" t="s">
        <v>135</v>
      </c>
      <c r="D448" s="33" t="str">
        <f aca="false">IF(ISNUMBER(D434),PI()/4*(D434*INDEX(LenF,MATCH($C$434,LenU,0)))^2,IF(AND(ISNUMBER(D419),ISNUMBER(D423),D424&lt;&gt;""),D419*(D423*INDEX(LenF,MATCH($C$423,LenU,0)))^2*INDEX(LayoutF,MATCH(D424,LayoutU,0)),""))</f>
        <v/>
      </c>
      <c r="E448" s="33" t="str">
        <f aca="false">IF(ISNUMBER(E434),PI()/4*(E434*INDEX(LenF,MATCH($C$434,LenU,0)))^2,IF(AND(ISNUMBER(E419),ISNUMBER(E423),E424&lt;&gt;""),E419*(E423*INDEX(LenF,MATCH($C$423,LenU,0)))^2*INDEX(LayoutF,MATCH(E424,LayoutU,0)),""))</f>
        <v/>
      </c>
      <c r="F448" s="33" t="str">
        <f aca="false">IF(ISNUMBER(F434),PI()/4*(F434*INDEX(LenF,MATCH($C$434,LenU,0)))^2,IF(AND(ISNUMBER(F419),ISNUMBER(F423),F424&lt;&gt;""),F419*(F423*INDEX(LenF,MATCH($C$423,LenU,0)))^2*INDEX(LayoutF,MATCH(F424,LayoutU,0)),""))</f>
        <v/>
      </c>
      <c r="G448" s="33" t="str">
        <f aca="false">IF(ISNUMBER(G434),PI()/4*(G434*INDEX(LenF,MATCH($C$434,LenU,0)))^2,IF(AND(ISNUMBER(G419),ISNUMBER(G423),G424&lt;&gt;""),G419*(G423*INDEX(LenF,MATCH($C$423,LenU,0)))^2*INDEX(LayoutF,MATCH(G424,LayoutU,0)),""))</f>
        <v/>
      </c>
      <c r="H448" s="33" t="str">
        <f aca="false">IF(ISNUMBER(H434),PI()/4*(H434*INDEX(LenF,MATCH($C$434,LenU,0)))^2,IF(AND(ISNUMBER(H419),ISNUMBER(H423),H424&lt;&gt;""),H419*(H423*INDEX(LenF,MATCH($C$423,LenU,0)))^2*INDEX(LayoutF,MATCH(H424,LayoutU,0)),""))</f>
        <v/>
      </c>
      <c r="I448" s="34"/>
      <c r="J448" s="24" t="s">
        <v>136</v>
      </c>
    </row>
    <row r="449" customFormat="false" ht="15" hidden="false" customHeight="false" outlineLevel="0" collapsed="false">
      <c r="B449" s="9" t="s">
        <v>137</v>
      </c>
      <c r="C449" s="15" t="s">
        <v>109</v>
      </c>
      <c r="D449" s="29" t="str">
        <f aca="false">IF(OR(D448="",AND(NOT(ISNUMBER(D435)),NOT(ISNUMBER(D422)))),"",D448*IF(ISNUMBER(D435),D435*INDEX(LenF,MATCH($C$435,LenU,0)),D422*INDEX(LenF,MATCH($C$422,LenU,0)))+IF(D436="",0,IF(D436="Conical",PI()/12*(SQRT(4*D448/PI()))^2*(0),INDEX(HeadK,MATCH(D436,HeadU,0))*(SQRT(4*D448/PI()))^3)))</f>
        <v/>
      </c>
      <c r="E449" s="29" t="str">
        <f aca="false">IF(OR(E448="",AND(NOT(ISNUMBER(E435)),NOT(ISNUMBER(E422)))),"",E448*IF(ISNUMBER(E435),E435*INDEX(LenF,MATCH($C$435,LenU,0)),E422*INDEX(LenF,MATCH($C$422,LenU,0)))+IF(E436="",0,IF(E436="Conical",PI()/12*(SQRT(4*E448/PI()))^2*(0),INDEX(HeadK,MATCH(E436,HeadU,0))*(SQRT(4*E448/PI()))^3)))</f>
        <v/>
      </c>
      <c r="F449" s="29" t="str">
        <f aca="false">IF(OR(F448="",AND(NOT(ISNUMBER(F435)),NOT(ISNUMBER(F422)))),"",F448*IF(ISNUMBER(F435),F435*INDEX(LenF,MATCH($C$435,LenU,0)),F422*INDEX(LenF,MATCH($C$422,LenU,0)))+IF(F436="",0,IF(F436="Conical",PI()/12*(SQRT(4*F448/PI()))^2*(0),INDEX(HeadK,MATCH(F436,HeadU,0))*(SQRT(4*F448/PI()))^3)))</f>
        <v/>
      </c>
      <c r="G449" s="29" t="str">
        <f aca="false">IF(OR(G448="",AND(NOT(ISNUMBER(G435)),NOT(ISNUMBER(G422)))),"",G448*IF(ISNUMBER(G435),G435*INDEX(LenF,MATCH($C$435,LenU,0)),G422*INDEX(LenF,MATCH($C$422,LenU,0)))+IF(G436="",0,IF(G436="Conical",PI()/12*(SQRT(4*G448/PI()))^2*(0),INDEX(HeadK,MATCH(G436,HeadU,0))*(SQRT(4*G448/PI()))^3)))</f>
        <v/>
      </c>
      <c r="H449" s="29" t="str">
        <f aca="false">IF(OR(H448="",AND(NOT(ISNUMBER(H435)),NOT(ISNUMBER(H422)))),"",H448*IF(ISNUMBER(H435),H435*INDEX(LenF,MATCH($C$435,LenU,0)),H422*INDEX(LenF,MATCH($C$422,LenU,0)))+IF(H436="",0,IF(H436="Conical",PI()/12*(SQRT(4*H448/PI()))^2*(0),INDEX(HeadK,MATCH(H436,HeadU,0))*(SQRT(4*H448/PI()))^3)))</f>
        <v/>
      </c>
      <c r="I449" s="30" t="str">
        <f aca="false">IF(COUNT(D449:H449)=0,"",SUM(D449:H449))</f>
        <v/>
      </c>
      <c r="J449" s="24"/>
    </row>
    <row r="450" customFormat="false" ht="15" hidden="false" customHeight="false" outlineLevel="0" collapsed="false">
      <c r="B450" s="9" t="s">
        <v>138</v>
      </c>
      <c r="C450" s="15" t="s">
        <v>109</v>
      </c>
      <c r="D450" s="29" t="str">
        <f aca="false">IF(AND(ISNUMBER(D419),ISNUMBER(D442),ISNUMBER(D422)),D419*PI()/4*(D442/1000)^2*D422*INDEX(LenF,MATCH($C$422,LenU,0)),"")</f>
        <v/>
      </c>
      <c r="E450" s="29" t="str">
        <f aca="false">IF(AND(ISNUMBER(E419),ISNUMBER(E442),ISNUMBER(E422)),E419*PI()/4*(E442/1000)^2*E422*INDEX(LenF,MATCH($C$422,LenU,0)),"")</f>
        <v/>
      </c>
      <c r="F450" s="29" t="str">
        <f aca="false">IF(AND(ISNUMBER(F419),ISNUMBER(F442),ISNUMBER(F422)),F419*PI()/4*(F442/1000)^2*F422*INDEX(LenF,MATCH($C$422,LenU,0)),"")</f>
        <v/>
      </c>
      <c r="G450" s="29" t="str">
        <f aca="false">IF(AND(ISNUMBER(G419),ISNUMBER(G442),ISNUMBER(G422)),G419*PI()/4*(G442/1000)^2*G422*INDEX(LenF,MATCH($C$422,LenU,0)),"")</f>
        <v/>
      </c>
      <c r="H450" s="29" t="str">
        <f aca="false">IF(AND(ISNUMBER(H419),ISNUMBER(H442),ISNUMBER(H422)),H419*PI()/4*(H442/1000)^2*H422*INDEX(LenF,MATCH($C$422,LenU,0)),"")</f>
        <v/>
      </c>
      <c r="I450" s="30" t="str">
        <f aca="false">IF(COUNT(D450:H450)=0,"",SUM(D450:H450))</f>
        <v/>
      </c>
      <c r="J450" s="24"/>
    </row>
    <row r="451" customFormat="false" ht="15" hidden="false" customHeight="false" outlineLevel="0" collapsed="false">
      <c r="B451" s="9" t="s">
        <v>139</v>
      </c>
      <c r="C451" s="15" t="s">
        <v>109</v>
      </c>
      <c r="D451" s="29" t="str">
        <f aca="false">IF(OR(D449="",D450=""),"",D449-D450)</f>
        <v/>
      </c>
      <c r="E451" s="29" t="str">
        <f aca="false">IF(OR(E449="",E450=""),"",E449-E450)</f>
        <v/>
      </c>
      <c r="F451" s="29" t="str">
        <f aca="false">IF(OR(F449="",F450=""),"",F449-F450)</f>
        <v/>
      </c>
      <c r="G451" s="29" t="str">
        <f aca="false">IF(OR(G449="",G450=""),"",G449-G450)</f>
        <v/>
      </c>
      <c r="H451" s="29" t="str">
        <f aca="false">IF(OR(H449="",H450=""),"",H449-H450)</f>
        <v/>
      </c>
      <c r="I451" s="30" t="str">
        <f aca="false">IF(COUNT(D451:H451)=0,"",SUM(D451:H451))</f>
        <v/>
      </c>
      <c r="J451" s="24" t="s">
        <v>140</v>
      </c>
    </row>
    <row r="452" customFormat="false" ht="15" hidden="false" customHeight="false" outlineLevel="0" collapsed="false">
      <c r="B452" s="9" t="s">
        <v>141</v>
      </c>
      <c r="C452" s="15" t="s">
        <v>109</v>
      </c>
      <c r="D452" s="29" t="str">
        <f aca="false">IF(ISNUMBER(D437),D437*INDEX(WtF,MATCH($C$437,WtU,0))/WaterRho,"")</f>
        <v/>
      </c>
      <c r="E452" s="29" t="str">
        <f aca="false">IF(ISNUMBER(E437),E437*INDEX(WtF,MATCH($C$437,WtU,0))/WaterRho,"")</f>
        <v/>
      </c>
      <c r="F452" s="29" t="str">
        <f aca="false">IF(ISNUMBER(F437),F437*INDEX(WtF,MATCH($C$437,WtU,0))/WaterRho,"")</f>
        <v/>
      </c>
      <c r="G452" s="29" t="str">
        <f aca="false">IF(ISNUMBER(G437),G437*INDEX(WtF,MATCH($C$437,WtU,0))/WaterRho,"")</f>
        <v/>
      </c>
      <c r="H452" s="29" t="str">
        <f aca="false">IF(ISNUMBER(H437),H437*INDEX(WtF,MATCH($C$437,WtU,0))/WaterRho,"")</f>
        <v/>
      </c>
      <c r="I452" s="30" t="str">
        <f aca="false">IF(COUNT(D452:H452)=0,"",SUM(D452:H452))</f>
        <v/>
      </c>
      <c r="J452" s="24"/>
    </row>
    <row r="453" customFormat="false" ht="15" hidden="false" customHeight="false" outlineLevel="0" collapsed="false">
      <c r="B453" s="4" t="s">
        <v>142</v>
      </c>
      <c r="C453" s="15" t="s">
        <v>109</v>
      </c>
      <c r="D453" s="31" t="str">
        <f aca="false">IF(D440="Water weight",D452,D451)</f>
        <v/>
      </c>
      <c r="E453" s="31" t="str">
        <f aca="false">IF(E440="Water weight",E452,E451)</f>
        <v/>
      </c>
      <c r="F453" s="31" t="str">
        <f aca="false">IF(F440="Water weight",F452,F451)</f>
        <v/>
      </c>
      <c r="G453" s="31" t="str">
        <f aca="false">IF(G440="Water weight",G452,G451)</f>
        <v/>
      </c>
      <c r="H453" s="31" t="str">
        <f aca="false">IF(H440="Water weight",H452,H451)</f>
        <v/>
      </c>
      <c r="I453" s="31" t="str">
        <f aca="false">IF(COUNT(D453:H453)=0,"",SUM(D453:H453))</f>
        <v/>
      </c>
      <c r="J453" s="24"/>
      <c r="K453" s="32" t="s">
        <v>143</v>
      </c>
    </row>
    <row r="454" customFormat="false" ht="15" hidden="false" customHeight="false" outlineLevel="0" collapsed="false">
      <c r="B454" s="4" t="s">
        <v>144</v>
      </c>
      <c r="C454" s="15" t="s">
        <v>109</v>
      </c>
      <c r="D454" s="31" t="str">
        <f aca="false">IF(AND(D447="",D453=""),"",N(D447)+N(D453))</f>
        <v/>
      </c>
      <c r="E454" s="31" t="str">
        <f aca="false">IF(AND(E447="",E453=""),"",N(E447)+N(E453))</f>
        <v/>
      </c>
      <c r="F454" s="31" t="str">
        <f aca="false">IF(AND(F447="",F453=""),"",N(F447)+N(F453))</f>
        <v/>
      </c>
      <c r="G454" s="31" t="str">
        <f aca="false">IF(AND(G447="",G453=""),"",N(G447)+N(G453))</f>
        <v/>
      </c>
      <c r="H454" s="31" t="str">
        <f aca="false">IF(AND(H447="",H453=""),"",N(H447)+N(H453))</f>
        <v/>
      </c>
      <c r="I454" s="31" t="str">
        <f aca="false">IF(COUNT(D454:H454)=0,"",SUM(D454:H454))</f>
        <v/>
      </c>
      <c r="J454" s="24"/>
      <c r="K454" s="32" t="s">
        <v>145</v>
      </c>
    </row>
    <row r="455" customFormat="false" ht="15" hidden="false" customHeight="false" outlineLevel="0" collapsed="false">
      <c r="B455" s="9" t="s">
        <v>60</v>
      </c>
      <c r="C455" s="15" t="s">
        <v>146</v>
      </c>
      <c r="D455" s="35" t="str">
        <f aca="false">IF(D454="","",IF(JobType="Chemical Cleaning",CC_HX,INDEX(DecFill,MATCH("Exchanger",DecTypeU,0))))</f>
        <v/>
      </c>
      <c r="E455" s="35" t="str">
        <f aca="false">IF(E454="","",IF(JobType="Chemical Cleaning",CC_HX,INDEX(DecFill,MATCH("Exchanger",DecTypeU,0))))</f>
        <v/>
      </c>
      <c r="F455" s="35" t="str">
        <f aca="false">IF(F454="","",IF(JobType="Chemical Cleaning",CC_HX,INDEX(DecFill,MATCH("Exchanger",DecTypeU,0))))</f>
        <v/>
      </c>
      <c r="G455" s="35" t="str">
        <f aca="false">IF(G454="","",IF(JobType="Chemical Cleaning",CC_HX,INDEX(DecFill,MATCH("Exchanger",DecTypeU,0))))</f>
        <v/>
      </c>
      <c r="H455" s="35" t="str">
        <f aca="false">IF(H454="","",IF(JobType="Chemical Cleaning",CC_HX,INDEX(DecFill,MATCH("Exchanger",DecTypeU,0))))</f>
        <v/>
      </c>
      <c r="I455" s="36"/>
      <c r="J455" s="24" t="s">
        <v>147</v>
      </c>
    </row>
    <row r="456" customFormat="false" ht="15" hidden="false" customHeight="false" outlineLevel="0" collapsed="false">
      <c r="B456" s="4" t="s">
        <v>148</v>
      </c>
      <c r="C456" s="15" t="s">
        <v>109</v>
      </c>
      <c r="D456" s="31" t="str">
        <f aca="false">IF(OR(D454="",D455=""),"",D454*D455)</f>
        <v/>
      </c>
      <c r="E456" s="31" t="str">
        <f aca="false">IF(OR(E454="",E455=""),"",E454*E455)</f>
        <v/>
      </c>
      <c r="F456" s="31" t="str">
        <f aca="false">IF(OR(F454="",F455=""),"",F454*F455)</f>
        <v/>
      </c>
      <c r="G456" s="31" t="str">
        <f aca="false">IF(OR(G454="",G455=""),"",G454*G455)</f>
        <v/>
      </c>
      <c r="H456" s="31" t="str">
        <f aca="false">IF(OR(H454="",H455=""),"",H454*H455)</f>
        <v/>
      </c>
      <c r="I456" s="31" t="str">
        <f aca="false">IF(COUNT(D456:H456)=0,"",SUM(D456:H456))</f>
        <v/>
      </c>
      <c r="J456" s="24"/>
      <c r="K456" s="32" t="s">
        <v>149</v>
      </c>
    </row>
    <row r="457" customFormat="false" ht="15" hidden="false" customHeight="false" outlineLevel="0" collapsed="false">
      <c r="B457" s="9" t="s">
        <v>150</v>
      </c>
      <c r="C457" s="15" t="s">
        <v>32</v>
      </c>
      <c r="D457" s="37" t="str">
        <f aca="false">IF(OR(JobType&lt;&gt;"Decontamination",D456=""),"",D456*INDEX(DecChem,MATCH("Exchanger",DecTypeU,0))*1000)</f>
        <v/>
      </c>
      <c r="E457" s="37" t="str">
        <f aca="false">IF(OR(JobType&lt;&gt;"Decontamination",E456=""),"",E456*INDEX(DecChem,MATCH("Exchanger",DecTypeU,0))*1000)</f>
        <v/>
      </c>
      <c r="F457" s="37" t="str">
        <f aca="false">IF(OR(JobType&lt;&gt;"Decontamination",F456=""),"",F456*INDEX(DecChem,MATCH("Exchanger",DecTypeU,0))*1000)</f>
        <v/>
      </c>
      <c r="G457" s="37" t="str">
        <f aca="false">IF(OR(JobType&lt;&gt;"Decontamination",G456=""),"",G456*INDEX(DecChem,MATCH("Exchanger",DecTypeU,0))*1000)</f>
        <v/>
      </c>
      <c r="H457" s="37" t="str">
        <f aca="false">IF(OR(JobType&lt;&gt;"Decontamination",H456=""),"",H456*INDEX(DecChem,MATCH("Exchanger",DecTypeU,0))*1000)</f>
        <v/>
      </c>
      <c r="I457" s="38" t="str">
        <f aca="false">IF(COUNT(D457:H457)=0,"",SUM(D457:H457))</f>
        <v/>
      </c>
      <c r="J457" s="24" t="s">
        <v>151</v>
      </c>
      <c r="K457" s="32" t="s">
        <v>152</v>
      </c>
    </row>
    <row r="459" customFormat="false" ht="15" hidden="false" customHeight="false" outlineLevel="0" collapsed="false">
      <c r="A459" s="20" t="n">
        <v>11</v>
      </c>
      <c r="B459" s="21" t="s">
        <v>162</v>
      </c>
      <c r="C459" s="22"/>
      <c r="D459" s="22"/>
      <c r="E459" s="22"/>
      <c r="F459" s="22"/>
      <c r="G459" s="22"/>
      <c r="H459" s="22"/>
      <c r="I459" s="22"/>
      <c r="J459" s="22"/>
    </row>
    <row r="460" customFormat="false" ht="15" hidden="false" customHeight="false" outlineLevel="0" collapsed="false">
      <c r="B460" s="9" t="s">
        <v>83</v>
      </c>
      <c r="C460" s="15" t="s">
        <v>29</v>
      </c>
      <c r="D460" s="8"/>
      <c r="E460" s="8"/>
      <c r="F460" s="8"/>
      <c r="G460" s="8"/>
      <c r="H460" s="8"/>
      <c r="I460" s="23"/>
      <c r="J460" s="24"/>
    </row>
    <row r="461" customFormat="false" ht="15" hidden="false" customHeight="false" outlineLevel="0" collapsed="false">
      <c r="B461" s="9" t="s">
        <v>86</v>
      </c>
      <c r="C461" s="15" t="s">
        <v>29</v>
      </c>
      <c r="D461" s="8"/>
      <c r="E461" s="8"/>
      <c r="F461" s="8"/>
      <c r="G461" s="8"/>
      <c r="H461" s="8"/>
      <c r="I461" s="23"/>
      <c r="J461" s="24"/>
    </row>
    <row r="462" customFormat="false" ht="15" hidden="false" customHeight="false" outlineLevel="0" collapsed="false">
      <c r="B462" s="9" t="s">
        <v>87</v>
      </c>
      <c r="C462" s="15" t="s">
        <v>29</v>
      </c>
      <c r="D462" s="8"/>
      <c r="E462" s="8"/>
      <c r="F462" s="8"/>
      <c r="G462" s="8"/>
      <c r="H462" s="8"/>
      <c r="I462" s="23"/>
      <c r="J462" s="24"/>
    </row>
    <row r="463" customFormat="false" ht="15" hidden="false" customHeight="false" outlineLevel="0" collapsed="false">
      <c r="B463" s="25" t="s">
        <v>88</v>
      </c>
      <c r="C463" s="26"/>
      <c r="D463" s="26"/>
      <c r="E463" s="26"/>
      <c r="F463" s="26"/>
      <c r="G463" s="26"/>
      <c r="H463" s="26"/>
      <c r="I463" s="26"/>
      <c r="J463" s="26"/>
    </row>
    <row r="464" customFormat="false" ht="15" hidden="false" customHeight="false" outlineLevel="0" collapsed="false">
      <c r="B464" s="9" t="s">
        <v>89</v>
      </c>
      <c r="C464" s="15" t="s">
        <v>90</v>
      </c>
      <c r="D464" s="8"/>
      <c r="E464" s="8"/>
      <c r="F464" s="8"/>
      <c r="G464" s="8"/>
      <c r="H464" s="8"/>
      <c r="I464" s="23"/>
      <c r="J464" s="24"/>
    </row>
    <row r="465" customFormat="false" ht="15" hidden="false" customHeight="false" outlineLevel="0" collapsed="false">
      <c r="B465" s="9" t="s">
        <v>91</v>
      </c>
      <c r="C465" s="8" t="s">
        <v>92</v>
      </c>
      <c r="D465" s="8"/>
      <c r="E465" s="8"/>
      <c r="F465" s="8"/>
      <c r="G465" s="8"/>
      <c r="H465" s="8"/>
      <c r="I465" s="23"/>
      <c r="J465" s="24" t="s">
        <v>93</v>
      </c>
    </row>
    <row r="466" customFormat="false" ht="15" hidden="false" customHeight="false" outlineLevel="0" collapsed="false">
      <c r="B466" s="9" t="s">
        <v>94</v>
      </c>
      <c r="C466" s="8" t="s">
        <v>92</v>
      </c>
      <c r="D466" s="8"/>
      <c r="E466" s="8"/>
      <c r="F466" s="8"/>
      <c r="G466" s="8"/>
      <c r="H466" s="8"/>
      <c r="I466" s="23"/>
      <c r="J466" s="24"/>
    </row>
    <row r="467" customFormat="false" ht="15" hidden="false" customHeight="false" outlineLevel="0" collapsed="false">
      <c r="B467" s="9" t="s">
        <v>95</v>
      </c>
      <c r="C467" s="8" t="s">
        <v>92</v>
      </c>
      <c r="D467" s="8"/>
      <c r="E467" s="8"/>
      <c r="F467" s="8"/>
      <c r="G467" s="8"/>
      <c r="H467" s="8"/>
      <c r="I467" s="23"/>
      <c r="J467" s="24"/>
    </row>
    <row r="468" customFormat="false" ht="15" hidden="false" customHeight="false" outlineLevel="0" collapsed="false">
      <c r="B468" s="9" t="s">
        <v>96</v>
      </c>
      <c r="C468" s="8" t="s">
        <v>92</v>
      </c>
      <c r="D468" s="8"/>
      <c r="E468" s="8"/>
      <c r="F468" s="8"/>
      <c r="G468" s="8"/>
      <c r="H468" s="8"/>
      <c r="I468" s="23"/>
      <c r="J468" s="24" t="s">
        <v>97</v>
      </c>
    </row>
    <row r="469" customFormat="false" ht="15" hidden="false" customHeight="false" outlineLevel="0" collapsed="false">
      <c r="B469" s="9" t="s">
        <v>98</v>
      </c>
      <c r="C469" s="15" t="s">
        <v>29</v>
      </c>
      <c r="D469" s="8" t="s">
        <v>99</v>
      </c>
      <c r="E469" s="8" t="s">
        <v>99</v>
      </c>
      <c r="F469" s="8" t="s">
        <v>99</v>
      </c>
      <c r="G469" s="8" t="s">
        <v>99</v>
      </c>
      <c r="H469" s="8" t="s">
        <v>99</v>
      </c>
      <c r="I469" s="23"/>
      <c r="J469" s="24"/>
    </row>
    <row r="470" customFormat="false" ht="15" hidden="false" customHeight="false" outlineLevel="0" collapsed="false">
      <c r="B470" s="9" t="s">
        <v>100</v>
      </c>
      <c r="C470" s="8" t="s">
        <v>92</v>
      </c>
      <c r="D470" s="8"/>
      <c r="E470" s="8"/>
      <c r="F470" s="8"/>
      <c r="G470" s="8"/>
      <c r="H470" s="8"/>
      <c r="I470" s="23"/>
      <c r="J470" s="24"/>
    </row>
    <row r="471" customFormat="false" ht="15" hidden="false" customHeight="false" outlineLevel="0" collapsed="false">
      <c r="B471" s="9" t="s">
        <v>101</v>
      </c>
      <c r="C471" s="8" t="s">
        <v>92</v>
      </c>
      <c r="D471" s="8"/>
      <c r="E471" s="8"/>
      <c r="F471" s="8"/>
      <c r="G471" s="8"/>
      <c r="H471" s="8"/>
      <c r="I471" s="23"/>
      <c r="J471" s="24"/>
    </row>
    <row r="472" customFormat="false" ht="15" hidden="false" customHeight="false" outlineLevel="0" collapsed="false">
      <c r="B472" s="9" t="s">
        <v>102</v>
      </c>
      <c r="C472" s="15" t="s">
        <v>29</v>
      </c>
      <c r="D472" s="8"/>
      <c r="E472" s="8"/>
      <c r="F472" s="8"/>
      <c r="G472" s="8"/>
      <c r="H472" s="8"/>
      <c r="I472" s="23"/>
      <c r="J472" s="24"/>
    </row>
    <row r="473" customFormat="false" ht="15" hidden="false" customHeight="false" outlineLevel="0" collapsed="false">
      <c r="B473" s="9" t="s">
        <v>104</v>
      </c>
      <c r="C473" s="8" t="s">
        <v>92</v>
      </c>
      <c r="D473" s="8"/>
      <c r="E473" s="8"/>
      <c r="F473" s="8"/>
      <c r="G473" s="8"/>
      <c r="H473" s="8"/>
      <c r="I473" s="23"/>
      <c r="J473" s="24"/>
    </row>
    <row r="474" customFormat="false" ht="15" hidden="false" customHeight="false" outlineLevel="0" collapsed="false">
      <c r="B474" s="9" t="s">
        <v>105</v>
      </c>
      <c r="C474" s="8" t="s">
        <v>92</v>
      </c>
      <c r="D474" s="8"/>
      <c r="E474" s="8"/>
      <c r="F474" s="8"/>
      <c r="G474" s="8"/>
      <c r="H474" s="8"/>
      <c r="I474" s="23"/>
      <c r="J474" s="24"/>
    </row>
    <row r="475" customFormat="false" ht="15" hidden="false" customHeight="false" outlineLevel="0" collapsed="false">
      <c r="B475" s="9" t="s">
        <v>106</v>
      </c>
      <c r="C475" s="15" t="s">
        <v>29</v>
      </c>
      <c r="D475" s="8"/>
      <c r="E475" s="8"/>
      <c r="F475" s="8"/>
      <c r="G475" s="8"/>
      <c r="H475" s="8"/>
      <c r="I475" s="23"/>
      <c r="J475" s="24"/>
    </row>
    <row r="476" customFormat="false" ht="15" hidden="false" customHeight="false" outlineLevel="0" collapsed="false">
      <c r="B476" s="9" t="s">
        <v>108</v>
      </c>
      <c r="C476" s="8" t="s">
        <v>109</v>
      </c>
      <c r="D476" s="8"/>
      <c r="E476" s="8"/>
      <c r="F476" s="8"/>
      <c r="G476" s="8"/>
      <c r="H476" s="8"/>
      <c r="I476" s="23"/>
      <c r="J476" s="24" t="s">
        <v>110</v>
      </c>
    </row>
    <row r="477" customFormat="false" ht="15" hidden="false" customHeight="false" outlineLevel="0" collapsed="false">
      <c r="B477" s="9" t="s">
        <v>111</v>
      </c>
      <c r="C477" s="8" t="s">
        <v>112</v>
      </c>
      <c r="D477" s="8"/>
      <c r="E477" s="8"/>
      <c r="F477" s="8"/>
      <c r="G477" s="8"/>
      <c r="H477" s="8"/>
      <c r="I477" s="23"/>
      <c r="J477" s="24"/>
    </row>
    <row r="478" customFormat="false" ht="15" hidden="false" customHeight="false" outlineLevel="0" collapsed="false">
      <c r="B478" s="25" t="s">
        <v>113</v>
      </c>
      <c r="C478" s="26"/>
      <c r="D478" s="26"/>
      <c r="E478" s="26"/>
      <c r="F478" s="26"/>
      <c r="G478" s="26"/>
      <c r="H478" s="26"/>
      <c r="I478" s="26"/>
      <c r="J478" s="26"/>
    </row>
    <row r="479" customFormat="false" ht="15" hidden="false" customHeight="false" outlineLevel="0" collapsed="false">
      <c r="B479" s="9" t="s">
        <v>114</v>
      </c>
      <c r="C479" s="8" t="s">
        <v>92</v>
      </c>
      <c r="D479" s="8"/>
      <c r="E479" s="8"/>
      <c r="F479" s="8"/>
      <c r="G479" s="8"/>
      <c r="H479" s="8"/>
      <c r="I479" s="23"/>
      <c r="J479" s="24" t="s">
        <v>115</v>
      </c>
    </row>
    <row r="480" customFormat="false" ht="15" hidden="false" customHeight="false" outlineLevel="0" collapsed="false">
      <c r="B480" s="9" t="s">
        <v>116</v>
      </c>
      <c r="C480" s="8" t="s">
        <v>92</v>
      </c>
      <c r="D480" s="8"/>
      <c r="E480" s="8"/>
      <c r="F480" s="8"/>
      <c r="G480" s="8"/>
      <c r="H480" s="8"/>
      <c r="I480" s="23"/>
      <c r="J480" s="24" t="s">
        <v>117</v>
      </c>
    </row>
    <row r="481" customFormat="false" ht="15" hidden="false" customHeight="false" outlineLevel="0" collapsed="false">
      <c r="B481" s="9" t="s">
        <v>118</v>
      </c>
      <c r="C481" s="15" t="s">
        <v>29</v>
      </c>
      <c r="D481" s="8"/>
      <c r="E481" s="8"/>
      <c r="F481" s="8"/>
      <c r="G481" s="8"/>
      <c r="H481" s="8"/>
      <c r="I481" s="23"/>
      <c r="J481" s="24"/>
    </row>
    <row r="482" customFormat="false" ht="15" hidden="false" customHeight="false" outlineLevel="0" collapsed="false">
      <c r="B482" s="9" t="s">
        <v>119</v>
      </c>
      <c r="C482" s="8" t="s">
        <v>112</v>
      </c>
      <c r="D482" s="8"/>
      <c r="E482" s="8"/>
      <c r="F482" s="8"/>
      <c r="G482" s="8"/>
      <c r="H482" s="8"/>
      <c r="I482" s="23"/>
      <c r="J482" s="24"/>
    </row>
    <row r="483" customFormat="false" ht="15" hidden="false" customHeight="false" outlineLevel="0" collapsed="false">
      <c r="B483" s="25" t="s">
        <v>120</v>
      </c>
      <c r="C483" s="26"/>
      <c r="D483" s="26"/>
      <c r="E483" s="26"/>
      <c r="F483" s="26"/>
      <c r="G483" s="26"/>
      <c r="H483" s="26"/>
      <c r="I483" s="26"/>
      <c r="J483" s="26"/>
    </row>
    <row r="484" customFormat="false" ht="15" hidden="false" customHeight="false" outlineLevel="0" collapsed="false">
      <c r="B484" s="9" t="s">
        <v>121</v>
      </c>
      <c r="C484" s="15" t="s">
        <v>29</v>
      </c>
      <c r="D484" s="8" t="s">
        <v>122</v>
      </c>
      <c r="E484" s="8" t="s">
        <v>122</v>
      </c>
      <c r="F484" s="8" t="s">
        <v>122</v>
      </c>
      <c r="G484" s="8" t="s">
        <v>122</v>
      </c>
      <c r="H484" s="8" t="s">
        <v>122</v>
      </c>
      <c r="I484" s="23"/>
      <c r="J484" s="24"/>
    </row>
    <row r="485" customFormat="false" ht="15" hidden="false" customHeight="false" outlineLevel="0" collapsed="false">
      <c r="B485" s="9" t="s">
        <v>123</v>
      </c>
      <c r="C485" s="15" t="s">
        <v>29</v>
      </c>
      <c r="D485" s="8" t="s">
        <v>122</v>
      </c>
      <c r="E485" s="8" t="s">
        <v>122</v>
      </c>
      <c r="F485" s="8" t="s">
        <v>122</v>
      </c>
      <c r="G485" s="8" t="s">
        <v>122</v>
      </c>
      <c r="H485" s="8" t="s">
        <v>122</v>
      </c>
      <c r="I485" s="23"/>
      <c r="J485" s="24"/>
    </row>
    <row r="486" customFormat="false" ht="15" hidden="false" customHeight="false" outlineLevel="0" collapsed="false">
      <c r="B486" s="25" t="s">
        <v>124</v>
      </c>
      <c r="C486" s="26"/>
      <c r="D486" s="26"/>
      <c r="E486" s="26"/>
      <c r="F486" s="26"/>
      <c r="G486" s="26"/>
      <c r="H486" s="26"/>
      <c r="I486" s="26"/>
      <c r="J486" s="26"/>
    </row>
    <row r="487" customFormat="false" ht="15" hidden="false" customHeight="false" outlineLevel="0" collapsed="false">
      <c r="B487" s="9" t="s">
        <v>125</v>
      </c>
      <c r="C487" s="15" t="s">
        <v>92</v>
      </c>
      <c r="D487" s="27" t="str">
        <f aca="false">IF(ISNUMBER(D465),D465*INDEX(LenF,MATCH($C$465,LenU,0))*1000,IF(ISNUMBER(D468),D468*INDEX(LenF,MATCH($C$468,LenU,0))/PitchRatio*1000,""))</f>
        <v/>
      </c>
      <c r="E487" s="27" t="str">
        <f aca="false">IF(ISNUMBER(E465),E465*INDEX(LenF,MATCH($C$465,LenU,0))*1000,IF(ISNUMBER(E468),E468*INDEX(LenF,MATCH($C$468,LenU,0))/PitchRatio*1000,""))</f>
        <v/>
      </c>
      <c r="F487" s="27" t="str">
        <f aca="false">IF(ISNUMBER(F465),F465*INDEX(LenF,MATCH($C$465,LenU,0))*1000,IF(ISNUMBER(F468),F468*INDEX(LenF,MATCH($C$468,LenU,0))/PitchRatio*1000,""))</f>
        <v/>
      </c>
      <c r="G487" s="27" t="str">
        <f aca="false">IF(ISNUMBER(G465),G465*INDEX(LenF,MATCH($C$465,LenU,0))*1000,IF(ISNUMBER(G468),G468*INDEX(LenF,MATCH($C$468,LenU,0))/PitchRatio*1000,""))</f>
        <v/>
      </c>
      <c r="H487" s="27" t="str">
        <f aca="false">IF(ISNUMBER(H465),H465*INDEX(LenF,MATCH($C$465,LenU,0))*1000,IF(ISNUMBER(H468),H468*INDEX(LenF,MATCH($C$468,LenU,0))/PitchRatio*1000,""))</f>
        <v/>
      </c>
      <c r="I487" s="28"/>
      <c r="J487" s="24" t="s">
        <v>126</v>
      </c>
    </row>
    <row r="488" customFormat="false" ht="15" hidden="false" customHeight="false" outlineLevel="0" collapsed="false">
      <c r="B488" s="9" t="s">
        <v>127</v>
      </c>
      <c r="C488" s="15" t="s">
        <v>109</v>
      </c>
      <c r="D488" s="29" t="str">
        <f aca="false">IF(AND(ISNUMBER(D464),ISNUMBER(D466),ISNUMBER(D467)),D464*PI()/4*(D466*INDEX(LenF,MATCH($C$466,LenU,0)))^2*D467*INDEX(LenF,MATCH($C$467,LenU,0)),"")</f>
        <v/>
      </c>
      <c r="E488" s="29" t="str">
        <f aca="false">IF(AND(ISNUMBER(E464),ISNUMBER(E466),ISNUMBER(E467)),E464*PI()/4*(E466*INDEX(LenF,MATCH($C$466,LenU,0)))^2*E467*INDEX(LenF,MATCH($C$467,LenU,0)),"")</f>
        <v/>
      </c>
      <c r="F488" s="29" t="str">
        <f aca="false">IF(AND(ISNUMBER(F464),ISNUMBER(F466),ISNUMBER(F467)),F464*PI()/4*(F466*INDEX(LenF,MATCH($C$466,LenU,0)))^2*F467*INDEX(LenF,MATCH($C$467,LenU,0)),"")</f>
        <v/>
      </c>
      <c r="G488" s="29" t="str">
        <f aca="false">IF(AND(ISNUMBER(G464),ISNUMBER(G466),ISNUMBER(G467)),G464*PI()/4*(G466*INDEX(LenF,MATCH($C$466,LenU,0)))^2*G467*INDEX(LenF,MATCH($C$467,LenU,0)),"")</f>
        <v/>
      </c>
      <c r="H488" s="29" t="str">
        <f aca="false">IF(AND(ISNUMBER(H464),ISNUMBER(H466),ISNUMBER(H467)),H464*PI()/4*(H466*INDEX(LenF,MATCH($C$466,LenU,0)))^2*H467*INDEX(LenF,MATCH($C$467,LenU,0)),"")</f>
        <v/>
      </c>
      <c r="I488" s="30" t="str">
        <f aca="false">IF(COUNT(D488:H488)=0,"",SUM(D488:H488))</f>
        <v/>
      </c>
      <c r="J488" s="24"/>
    </row>
    <row r="489" customFormat="false" ht="15" hidden="false" customHeight="false" outlineLevel="0" collapsed="false">
      <c r="B489" s="9" t="s">
        <v>128</v>
      </c>
      <c r="C489" s="15" t="s">
        <v>109</v>
      </c>
      <c r="D489" s="29" t="n">
        <f aca="false">IF(ISNUMBER(D476),D476*INDEX(VolF,MATCH($C$476,VolU,0)),IF(ISNUMBER(D470),PI()/4*(D470*INDEX(LenF,MATCH($C$470,LenU,0)))^2*N(D471)*INDEX(LenF,MATCH($C$471,LenU,0))+IF(D472="",0,IF(D472="Conical",PI()/12*(D470*INDEX(LenF,MATCH($C$470,LenU,0)))^2*(0),INDEX(HeadK,MATCH(D472,HeadU,0))*(D470*INDEX(LenF,MATCH($C$470,LenU,0)))^3)),0)+IF(ISNUMBER(D473),PI()/4*(D473*INDEX(LenF,MATCH($C$473,LenU,0)))^2*N(D474)*INDEX(LenF,MATCH($C$474,LenU,0))+IF(D475="",0,IF(D475="Conical",PI()/12*(D473*INDEX(LenF,MATCH($C$473,LenU,0)))^2*(0),INDEX(HeadK,MATCH(D475,HeadU,0))*(D473*INDEX(LenF,MATCH($C$473,LenU,0)))^3)),0))</f>
        <v>0</v>
      </c>
      <c r="E489" s="29" t="n">
        <f aca="false">IF(ISNUMBER(E476),E476*INDEX(VolF,MATCH($C$476,VolU,0)),IF(ISNUMBER(E470),PI()/4*(E470*INDEX(LenF,MATCH($C$470,LenU,0)))^2*N(E471)*INDEX(LenF,MATCH($C$471,LenU,0))+IF(E472="",0,IF(E472="Conical",PI()/12*(E470*INDEX(LenF,MATCH($C$470,LenU,0)))^2*(0),INDEX(HeadK,MATCH(E472,HeadU,0))*(E470*INDEX(LenF,MATCH($C$470,LenU,0)))^3)),0)+IF(ISNUMBER(E473),PI()/4*(E473*INDEX(LenF,MATCH($C$473,LenU,0)))^2*N(E474)*INDEX(LenF,MATCH($C$474,LenU,0))+IF(E475="",0,IF(E475="Conical",PI()/12*(E473*INDEX(LenF,MATCH($C$473,LenU,0)))^2*(0),INDEX(HeadK,MATCH(E475,HeadU,0))*(E473*INDEX(LenF,MATCH($C$473,LenU,0)))^3)),0))</f>
        <v>0</v>
      </c>
      <c r="F489" s="29" t="n">
        <f aca="false">IF(ISNUMBER(F476),F476*INDEX(VolF,MATCH($C$476,VolU,0)),IF(ISNUMBER(F470),PI()/4*(F470*INDEX(LenF,MATCH($C$470,LenU,0)))^2*N(F471)*INDEX(LenF,MATCH($C$471,LenU,0))+IF(F472="",0,IF(F472="Conical",PI()/12*(F470*INDEX(LenF,MATCH($C$470,LenU,0)))^2*(0),INDEX(HeadK,MATCH(F472,HeadU,0))*(F470*INDEX(LenF,MATCH($C$470,LenU,0)))^3)),0)+IF(ISNUMBER(F473),PI()/4*(F473*INDEX(LenF,MATCH($C$473,LenU,0)))^2*N(F474)*INDEX(LenF,MATCH($C$474,LenU,0))+IF(F475="",0,IF(F475="Conical",PI()/12*(F473*INDEX(LenF,MATCH($C$473,LenU,0)))^2*(0),INDEX(HeadK,MATCH(F475,HeadU,0))*(F473*INDEX(LenF,MATCH($C$473,LenU,0)))^3)),0))</f>
        <v>0</v>
      </c>
      <c r="G489" s="29" t="n">
        <f aca="false">IF(ISNUMBER(G476),G476*INDEX(VolF,MATCH($C$476,VolU,0)),IF(ISNUMBER(G470),PI()/4*(G470*INDEX(LenF,MATCH($C$470,LenU,0)))^2*N(G471)*INDEX(LenF,MATCH($C$471,LenU,0))+IF(G472="",0,IF(G472="Conical",PI()/12*(G470*INDEX(LenF,MATCH($C$470,LenU,0)))^2*(0),INDEX(HeadK,MATCH(G472,HeadU,0))*(G470*INDEX(LenF,MATCH($C$470,LenU,0)))^3)),0)+IF(ISNUMBER(G473),PI()/4*(G473*INDEX(LenF,MATCH($C$473,LenU,0)))^2*N(G474)*INDEX(LenF,MATCH($C$474,LenU,0))+IF(G475="",0,IF(G475="Conical",PI()/12*(G473*INDEX(LenF,MATCH($C$473,LenU,0)))^2*(0),INDEX(HeadK,MATCH(G475,HeadU,0))*(G473*INDEX(LenF,MATCH($C$473,LenU,0)))^3)),0))</f>
        <v>0</v>
      </c>
      <c r="H489" s="29" t="n">
        <f aca="false">IF(ISNUMBER(H476),H476*INDEX(VolF,MATCH($C$476,VolU,0)),IF(ISNUMBER(H470),PI()/4*(H470*INDEX(LenF,MATCH($C$470,LenU,0)))^2*N(H471)*INDEX(LenF,MATCH($C$471,LenU,0))+IF(H472="",0,IF(H472="Conical",PI()/12*(H470*INDEX(LenF,MATCH($C$470,LenU,0)))^2*(0),INDEX(HeadK,MATCH(H472,HeadU,0))*(H470*INDEX(LenF,MATCH($C$470,LenU,0)))^3)),0)+IF(ISNUMBER(H473),PI()/4*(H473*INDEX(LenF,MATCH($C$473,LenU,0)))^2*N(H474)*INDEX(LenF,MATCH($C$474,LenU,0))+IF(H475="",0,IF(H475="Conical",PI()/12*(H473*INDEX(LenF,MATCH($C$473,LenU,0)))^2*(0),INDEX(HeadK,MATCH(H475,HeadU,0))*(H473*INDEX(LenF,MATCH($C$473,LenU,0)))^3)),0))</f>
        <v>0</v>
      </c>
      <c r="I489" s="30" t="n">
        <f aca="false">IF(COUNT(D489:H489)=0,"",SUM(D489:H489))</f>
        <v>0</v>
      </c>
      <c r="J489" s="24" t="s">
        <v>129</v>
      </c>
    </row>
    <row r="490" customFormat="false" ht="15" hidden="false" customHeight="false" outlineLevel="0" collapsed="false">
      <c r="B490" s="9" t="s">
        <v>130</v>
      </c>
      <c r="C490" s="15" t="s">
        <v>109</v>
      </c>
      <c r="D490" s="29" t="str">
        <f aca="false">IF(D488="","",D488+D489)</f>
        <v/>
      </c>
      <c r="E490" s="29" t="str">
        <f aca="false">IF(E488="","",E488+E489)</f>
        <v/>
      </c>
      <c r="F490" s="29" t="str">
        <f aca="false">IF(F488="","",F488+F489)</f>
        <v/>
      </c>
      <c r="G490" s="29" t="str">
        <f aca="false">IF(G488="","",G488+G489)</f>
        <v/>
      </c>
      <c r="H490" s="29" t="str">
        <f aca="false">IF(H488="","",H488+H489)</f>
        <v/>
      </c>
      <c r="I490" s="30" t="str">
        <f aca="false">IF(COUNT(D490:H490)=0,"",SUM(D490:H490))</f>
        <v/>
      </c>
      <c r="J490" s="24"/>
    </row>
    <row r="491" customFormat="false" ht="15" hidden="false" customHeight="false" outlineLevel="0" collapsed="false">
      <c r="B491" s="9" t="s">
        <v>131</v>
      </c>
      <c r="C491" s="15" t="s">
        <v>109</v>
      </c>
      <c r="D491" s="29" t="str">
        <f aca="false">IF(ISNUMBER(D477),D477*INDEX(WtF,MATCH($C$477,WtU,0))/WaterRho,"")</f>
        <v/>
      </c>
      <c r="E491" s="29" t="str">
        <f aca="false">IF(ISNUMBER(E477),E477*INDEX(WtF,MATCH($C$477,WtU,0))/WaterRho,"")</f>
        <v/>
      </c>
      <c r="F491" s="29" t="str">
        <f aca="false">IF(ISNUMBER(F477),F477*INDEX(WtF,MATCH($C$477,WtU,0))/WaterRho,"")</f>
        <v/>
      </c>
      <c r="G491" s="29" t="str">
        <f aca="false">IF(ISNUMBER(G477),G477*INDEX(WtF,MATCH($C$477,WtU,0))/WaterRho,"")</f>
        <v/>
      </c>
      <c r="H491" s="29" t="str">
        <f aca="false">IF(ISNUMBER(H477),H477*INDEX(WtF,MATCH($C$477,WtU,0))/WaterRho,"")</f>
        <v/>
      </c>
      <c r="I491" s="30" t="str">
        <f aca="false">IF(COUNT(D491:H491)=0,"",SUM(D491:H491))</f>
        <v/>
      </c>
      <c r="J491" s="24"/>
    </row>
    <row r="492" customFormat="false" ht="15" hidden="false" customHeight="false" outlineLevel="0" collapsed="false">
      <c r="B492" s="4" t="s">
        <v>132</v>
      </c>
      <c r="C492" s="15" t="s">
        <v>109</v>
      </c>
      <c r="D492" s="31" t="str">
        <f aca="false">IF(D484="Water weight",D491,D490)</f>
        <v/>
      </c>
      <c r="E492" s="31" t="str">
        <f aca="false">IF(E484="Water weight",E491,E490)</f>
        <v/>
      </c>
      <c r="F492" s="31" t="str">
        <f aca="false">IF(F484="Water weight",F491,F490)</f>
        <v/>
      </c>
      <c r="G492" s="31" t="str">
        <f aca="false">IF(G484="Water weight",G491,G490)</f>
        <v/>
      </c>
      <c r="H492" s="31" t="str">
        <f aca="false">IF(H484="Water weight",H491,H490)</f>
        <v/>
      </c>
      <c r="I492" s="31" t="str">
        <f aca="false">IF(COUNT(D492:H492)=0,"",SUM(D492:H492))</f>
        <v/>
      </c>
      <c r="J492" s="24"/>
      <c r="K492" s="32" t="s">
        <v>133</v>
      </c>
    </row>
    <row r="493" customFormat="false" ht="15" hidden="false" customHeight="false" outlineLevel="0" collapsed="false">
      <c r="B493" s="9" t="s">
        <v>134</v>
      </c>
      <c r="C493" s="15" t="s">
        <v>135</v>
      </c>
      <c r="D493" s="33" t="str">
        <f aca="false">IF(ISNUMBER(D479),PI()/4*(D479*INDEX(LenF,MATCH($C$479,LenU,0)))^2,IF(AND(ISNUMBER(D464),ISNUMBER(D468),D469&lt;&gt;""),D464*(D468*INDEX(LenF,MATCH($C$468,LenU,0)))^2*INDEX(LayoutF,MATCH(D469,LayoutU,0)),""))</f>
        <v/>
      </c>
      <c r="E493" s="33" t="str">
        <f aca="false">IF(ISNUMBER(E479),PI()/4*(E479*INDEX(LenF,MATCH($C$479,LenU,0)))^2,IF(AND(ISNUMBER(E464),ISNUMBER(E468),E469&lt;&gt;""),E464*(E468*INDEX(LenF,MATCH($C$468,LenU,0)))^2*INDEX(LayoutF,MATCH(E469,LayoutU,0)),""))</f>
        <v/>
      </c>
      <c r="F493" s="33" t="str">
        <f aca="false">IF(ISNUMBER(F479),PI()/4*(F479*INDEX(LenF,MATCH($C$479,LenU,0)))^2,IF(AND(ISNUMBER(F464),ISNUMBER(F468),F469&lt;&gt;""),F464*(F468*INDEX(LenF,MATCH($C$468,LenU,0)))^2*INDEX(LayoutF,MATCH(F469,LayoutU,0)),""))</f>
        <v/>
      </c>
      <c r="G493" s="33" t="str">
        <f aca="false">IF(ISNUMBER(G479),PI()/4*(G479*INDEX(LenF,MATCH($C$479,LenU,0)))^2,IF(AND(ISNUMBER(G464),ISNUMBER(G468),G469&lt;&gt;""),G464*(G468*INDEX(LenF,MATCH($C$468,LenU,0)))^2*INDEX(LayoutF,MATCH(G469,LayoutU,0)),""))</f>
        <v/>
      </c>
      <c r="H493" s="33" t="str">
        <f aca="false">IF(ISNUMBER(H479),PI()/4*(H479*INDEX(LenF,MATCH($C$479,LenU,0)))^2,IF(AND(ISNUMBER(H464),ISNUMBER(H468),H469&lt;&gt;""),H464*(H468*INDEX(LenF,MATCH($C$468,LenU,0)))^2*INDEX(LayoutF,MATCH(H469,LayoutU,0)),""))</f>
        <v/>
      </c>
      <c r="I493" s="34"/>
      <c r="J493" s="24" t="s">
        <v>136</v>
      </c>
    </row>
    <row r="494" customFormat="false" ht="15" hidden="false" customHeight="false" outlineLevel="0" collapsed="false">
      <c r="B494" s="9" t="s">
        <v>137</v>
      </c>
      <c r="C494" s="15" t="s">
        <v>109</v>
      </c>
      <c r="D494" s="29" t="str">
        <f aca="false">IF(OR(D493="",AND(NOT(ISNUMBER(D480)),NOT(ISNUMBER(D467)))),"",D493*IF(ISNUMBER(D480),D480*INDEX(LenF,MATCH($C$480,LenU,0)),D467*INDEX(LenF,MATCH($C$467,LenU,0)))+IF(D481="",0,IF(D481="Conical",PI()/12*(SQRT(4*D493/PI()))^2*(0),INDEX(HeadK,MATCH(D481,HeadU,0))*(SQRT(4*D493/PI()))^3)))</f>
        <v/>
      </c>
      <c r="E494" s="29" t="str">
        <f aca="false">IF(OR(E493="",AND(NOT(ISNUMBER(E480)),NOT(ISNUMBER(E467)))),"",E493*IF(ISNUMBER(E480),E480*INDEX(LenF,MATCH($C$480,LenU,0)),E467*INDEX(LenF,MATCH($C$467,LenU,0)))+IF(E481="",0,IF(E481="Conical",PI()/12*(SQRT(4*E493/PI()))^2*(0),INDEX(HeadK,MATCH(E481,HeadU,0))*(SQRT(4*E493/PI()))^3)))</f>
        <v/>
      </c>
      <c r="F494" s="29" t="str">
        <f aca="false">IF(OR(F493="",AND(NOT(ISNUMBER(F480)),NOT(ISNUMBER(F467)))),"",F493*IF(ISNUMBER(F480),F480*INDEX(LenF,MATCH($C$480,LenU,0)),F467*INDEX(LenF,MATCH($C$467,LenU,0)))+IF(F481="",0,IF(F481="Conical",PI()/12*(SQRT(4*F493/PI()))^2*(0),INDEX(HeadK,MATCH(F481,HeadU,0))*(SQRT(4*F493/PI()))^3)))</f>
        <v/>
      </c>
      <c r="G494" s="29" t="str">
        <f aca="false">IF(OR(G493="",AND(NOT(ISNUMBER(G480)),NOT(ISNUMBER(G467)))),"",G493*IF(ISNUMBER(G480),G480*INDEX(LenF,MATCH($C$480,LenU,0)),G467*INDEX(LenF,MATCH($C$467,LenU,0)))+IF(G481="",0,IF(G481="Conical",PI()/12*(SQRT(4*G493/PI()))^2*(0),INDEX(HeadK,MATCH(G481,HeadU,0))*(SQRT(4*G493/PI()))^3)))</f>
        <v/>
      </c>
      <c r="H494" s="29" t="str">
        <f aca="false">IF(OR(H493="",AND(NOT(ISNUMBER(H480)),NOT(ISNUMBER(H467)))),"",H493*IF(ISNUMBER(H480),H480*INDEX(LenF,MATCH($C$480,LenU,0)),H467*INDEX(LenF,MATCH($C$467,LenU,0)))+IF(H481="",0,IF(H481="Conical",PI()/12*(SQRT(4*H493/PI()))^2*(0),INDEX(HeadK,MATCH(H481,HeadU,0))*(SQRT(4*H493/PI()))^3)))</f>
        <v/>
      </c>
      <c r="I494" s="30" t="str">
        <f aca="false">IF(COUNT(D494:H494)=0,"",SUM(D494:H494))</f>
        <v/>
      </c>
      <c r="J494" s="24"/>
    </row>
    <row r="495" customFormat="false" ht="15" hidden="false" customHeight="false" outlineLevel="0" collapsed="false">
      <c r="B495" s="9" t="s">
        <v>138</v>
      </c>
      <c r="C495" s="15" t="s">
        <v>109</v>
      </c>
      <c r="D495" s="29" t="str">
        <f aca="false">IF(AND(ISNUMBER(D464),ISNUMBER(D487),ISNUMBER(D467)),D464*PI()/4*(D487/1000)^2*D467*INDEX(LenF,MATCH($C$467,LenU,0)),"")</f>
        <v/>
      </c>
      <c r="E495" s="29" t="str">
        <f aca="false">IF(AND(ISNUMBER(E464),ISNUMBER(E487),ISNUMBER(E467)),E464*PI()/4*(E487/1000)^2*E467*INDEX(LenF,MATCH($C$467,LenU,0)),"")</f>
        <v/>
      </c>
      <c r="F495" s="29" t="str">
        <f aca="false">IF(AND(ISNUMBER(F464),ISNUMBER(F487),ISNUMBER(F467)),F464*PI()/4*(F487/1000)^2*F467*INDEX(LenF,MATCH($C$467,LenU,0)),"")</f>
        <v/>
      </c>
      <c r="G495" s="29" t="str">
        <f aca="false">IF(AND(ISNUMBER(G464),ISNUMBER(G487),ISNUMBER(G467)),G464*PI()/4*(G487/1000)^2*G467*INDEX(LenF,MATCH($C$467,LenU,0)),"")</f>
        <v/>
      </c>
      <c r="H495" s="29" t="str">
        <f aca="false">IF(AND(ISNUMBER(H464),ISNUMBER(H487),ISNUMBER(H467)),H464*PI()/4*(H487/1000)^2*H467*INDEX(LenF,MATCH($C$467,LenU,0)),"")</f>
        <v/>
      </c>
      <c r="I495" s="30" t="str">
        <f aca="false">IF(COUNT(D495:H495)=0,"",SUM(D495:H495))</f>
        <v/>
      </c>
      <c r="J495" s="24"/>
    </row>
    <row r="496" customFormat="false" ht="15" hidden="false" customHeight="false" outlineLevel="0" collapsed="false">
      <c r="B496" s="9" t="s">
        <v>139</v>
      </c>
      <c r="C496" s="15" t="s">
        <v>109</v>
      </c>
      <c r="D496" s="29" t="str">
        <f aca="false">IF(OR(D494="",D495=""),"",D494-D495)</f>
        <v/>
      </c>
      <c r="E496" s="29" t="str">
        <f aca="false">IF(OR(E494="",E495=""),"",E494-E495)</f>
        <v/>
      </c>
      <c r="F496" s="29" t="str">
        <f aca="false">IF(OR(F494="",F495=""),"",F494-F495)</f>
        <v/>
      </c>
      <c r="G496" s="29" t="str">
        <f aca="false">IF(OR(G494="",G495=""),"",G494-G495)</f>
        <v/>
      </c>
      <c r="H496" s="29" t="str">
        <f aca="false">IF(OR(H494="",H495=""),"",H494-H495)</f>
        <v/>
      </c>
      <c r="I496" s="30" t="str">
        <f aca="false">IF(COUNT(D496:H496)=0,"",SUM(D496:H496))</f>
        <v/>
      </c>
      <c r="J496" s="24" t="s">
        <v>140</v>
      </c>
    </row>
    <row r="497" customFormat="false" ht="15" hidden="false" customHeight="false" outlineLevel="0" collapsed="false">
      <c r="B497" s="9" t="s">
        <v>141</v>
      </c>
      <c r="C497" s="15" t="s">
        <v>109</v>
      </c>
      <c r="D497" s="29" t="str">
        <f aca="false">IF(ISNUMBER(D482),D482*INDEX(WtF,MATCH($C$482,WtU,0))/WaterRho,"")</f>
        <v/>
      </c>
      <c r="E497" s="29" t="str">
        <f aca="false">IF(ISNUMBER(E482),E482*INDEX(WtF,MATCH($C$482,WtU,0))/WaterRho,"")</f>
        <v/>
      </c>
      <c r="F497" s="29" t="str">
        <f aca="false">IF(ISNUMBER(F482),F482*INDEX(WtF,MATCH($C$482,WtU,0))/WaterRho,"")</f>
        <v/>
      </c>
      <c r="G497" s="29" t="str">
        <f aca="false">IF(ISNUMBER(G482),G482*INDEX(WtF,MATCH($C$482,WtU,0))/WaterRho,"")</f>
        <v/>
      </c>
      <c r="H497" s="29" t="str">
        <f aca="false">IF(ISNUMBER(H482),H482*INDEX(WtF,MATCH($C$482,WtU,0))/WaterRho,"")</f>
        <v/>
      </c>
      <c r="I497" s="30" t="str">
        <f aca="false">IF(COUNT(D497:H497)=0,"",SUM(D497:H497))</f>
        <v/>
      </c>
      <c r="J497" s="24"/>
    </row>
    <row r="498" customFormat="false" ht="15" hidden="false" customHeight="false" outlineLevel="0" collapsed="false">
      <c r="B498" s="4" t="s">
        <v>142</v>
      </c>
      <c r="C498" s="15" t="s">
        <v>109</v>
      </c>
      <c r="D498" s="31" t="str">
        <f aca="false">IF(D485="Water weight",D497,D496)</f>
        <v/>
      </c>
      <c r="E498" s="31" t="str">
        <f aca="false">IF(E485="Water weight",E497,E496)</f>
        <v/>
      </c>
      <c r="F498" s="31" t="str">
        <f aca="false">IF(F485="Water weight",F497,F496)</f>
        <v/>
      </c>
      <c r="G498" s="31" t="str">
        <f aca="false">IF(G485="Water weight",G497,G496)</f>
        <v/>
      </c>
      <c r="H498" s="31" t="str">
        <f aca="false">IF(H485="Water weight",H497,H496)</f>
        <v/>
      </c>
      <c r="I498" s="31" t="str">
        <f aca="false">IF(COUNT(D498:H498)=0,"",SUM(D498:H498))</f>
        <v/>
      </c>
      <c r="J498" s="24"/>
      <c r="K498" s="32" t="s">
        <v>143</v>
      </c>
    </row>
    <row r="499" customFormat="false" ht="15" hidden="false" customHeight="false" outlineLevel="0" collapsed="false">
      <c r="B499" s="4" t="s">
        <v>144</v>
      </c>
      <c r="C499" s="15" t="s">
        <v>109</v>
      </c>
      <c r="D499" s="31" t="str">
        <f aca="false">IF(AND(D492="",D498=""),"",N(D492)+N(D498))</f>
        <v/>
      </c>
      <c r="E499" s="31" t="str">
        <f aca="false">IF(AND(E492="",E498=""),"",N(E492)+N(E498))</f>
        <v/>
      </c>
      <c r="F499" s="31" t="str">
        <f aca="false">IF(AND(F492="",F498=""),"",N(F492)+N(F498))</f>
        <v/>
      </c>
      <c r="G499" s="31" t="str">
        <f aca="false">IF(AND(G492="",G498=""),"",N(G492)+N(G498))</f>
        <v/>
      </c>
      <c r="H499" s="31" t="str">
        <f aca="false">IF(AND(H492="",H498=""),"",N(H492)+N(H498))</f>
        <v/>
      </c>
      <c r="I499" s="31" t="str">
        <f aca="false">IF(COUNT(D499:H499)=0,"",SUM(D499:H499))</f>
        <v/>
      </c>
      <c r="J499" s="24"/>
      <c r="K499" s="32" t="s">
        <v>145</v>
      </c>
    </row>
    <row r="500" customFormat="false" ht="15" hidden="false" customHeight="false" outlineLevel="0" collapsed="false">
      <c r="B500" s="9" t="s">
        <v>60</v>
      </c>
      <c r="C500" s="15" t="s">
        <v>146</v>
      </c>
      <c r="D500" s="35" t="str">
        <f aca="false">IF(D499="","",IF(JobType="Chemical Cleaning",CC_HX,INDEX(DecFill,MATCH("Exchanger",DecTypeU,0))))</f>
        <v/>
      </c>
      <c r="E500" s="35" t="str">
        <f aca="false">IF(E499="","",IF(JobType="Chemical Cleaning",CC_HX,INDEX(DecFill,MATCH("Exchanger",DecTypeU,0))))</f>
        <v/>
      </c>
      <c r="F500" s="35" t="str">
        <f aca="false">IF(F499="","",IF(JobType="Chemical Cleaning",CC_HX,INDEX(DecFill,MATCH("Exchanger",DecTypeU,0))))</f>
        <v/>
      </c>
      <c r="G500" s="35" t="str">
        <f aca="false">IF(G499="","",IF(JobType="Chemical Cleaning",CC_HX,INDEX(DecFill,MATCH("Exchanger",DecTypeU,0))))</f>
        <v/>
      </c>
      <c r="H500" s="35" t="str">
        <f aca="false">IF(H499="","",IF(JobType="Chemical Cleaning",CC_HX,INDEX(DecFill,MATCH("Exchanger",DecTypeU,0))))</f>
        <v/>
      </c>
      <c r="I500" s="36"/>
      <c r="J500" s="24" t="s">
        <v>147</v>
      </c>
    </row>
    <row r="501" customFormat="false" ht="15" hidden="false" customHeight="false" outlineLevel="0" collapsed="false">
      <c r="B501" s="4" t="s">
        <v>148</v>
      </c>
      <c r="C501" s="15" t="s">
        <v>109</v>
      </c>
      <c r="D501" s="31" t="str">
        <f aca="false">IF(OR(D499="",D500=""),"",D499*D500)</f>
        <v/>
      </c>
      <c r="E501" s="31" t="str">
        <f aca="false">IF(OR(E499="",E500=""),"",E499*E500)</f>
        <v/>
      </c>
      <c r="F501" s="31" t="str">
        <f aca="false">IF(OR(F499="",F500=""),"",F499*F500)</f>
        <v/>
      </c>
      <c r="G501" s="31" t="str">
        <f aca="false">IF(OR(G499="",G500=""),"",G499*G500)</f>
        <v/>
      </c>
      <c r="H501" s="31" t="str">
        <f aca="false">IF(OR(H499="",H500=""),"",H499*H500)</f>
        <v/>
      </c>
      <c r="I501" s="31" t="str">
        <f aca="false">IF(COUNT(D501:H501)=0,"",SUM(D501:H501))</f>
        <v/>
      </c>
      <c r="J501" s="24"/>
      <c r="K501" s="32" t="s">
        <v>149</v>
      </c>
    </row>
    <row r="502" customFormat="false" ht="15" hidden="false" customHeight="false" outlineLevel="0" collapsed="false">
      <c r="B502" s="9" t="s">
        <v>150</v>
      </c>
      <c r="C502" s="15" t="s">
        <v>32</v>
      </c>
      <c r="D502" s="37" t="str">
        <f aca="false">IF(OR(JobType&lt;&gt;"Decontamination",D501=""),"",D501*INDEX(DecChem,MATCH("Exchanger",DecTypeU,0))*1000)</f>
        <v/>
      </c>
      <c r="E502" s="37" t="str">
        <f aca="false">IF(OR(JobType&lt;&gt;"Decontamination",E501=""),"",E501*INDEX(DecChem,MATCH("Exchanger",DecTypeU,0))*1000)</f>
        <v/>
      </c>
      <c r="F502" s="37" t="str">
        <f aca="false">IF(OR(JobType&lt;&gt;"Decontamination",F501=""),"",F501*INDEX(DecChem,MATCH("Exchanger",DecTypeU,0))*1000)</f>
        <v/>
      </c>
      <c r="G502" s="37" t="str">
        <f aca="false">IF(OR(JobType&lt;&gt;"Decontamination",G501=""),"",G501*INDEX(DecChem,MATCH("Exchanger",DecTypeU,0))*1000)</f>
        <v/>
      </c>
      <c r="H502" s="37" t="str">
        <f aca="false">IF(OR(JobType&lt;&gt;"Decontamination",H501=""),"",H501*INDEX(DecChem,MATCH("Exchanger",DecTypeU,0))*1000)</f>
        <v/>
      </c>
      <c r="I502" s="38" t="str">
        <f aca="false">IF(COUNT(D502:H502)=0,"",SUM(D502:H502))</f>
        <v/>
      </c>
      <c r="J502" s="24" t="s">
        <v>151</v>
      </c>
      <c r="K502" s="32" t="s">
        <v>152</v>
      </c>
    </row>
    <row r="504" customFormat="false" ht="15" hidden="false" customHeight="false" outlineLevel="0" collapsed="false">
      <c r="A504" s="20" t="n">
        <v>12</v>
      </c>
      <c r="B504" s="21" t="s">
        <v>163</v>
      </c>
      <c r="C504" s="22"/>
      <c r="D504" s="22"/>
      <c r="E504" s="22"/>
      <c r="F504" s="22"/>
      <c r="G504" s="22"/>
      <c r="H504" s="22"/>
      <c r="I504" s="22"/>
      <c r="J504" s="22"/>
    </row>
    <row r="505" customFormat="false" ht="15" hidden="false" customHeight="false" outlineLevel="0" collapsed="false">
      <c r="B505" s="9" t="s">
        <v>83</v>
      </c>
      <c r="C505" s="15" t="s">
        <v>29</v>
      </c>
      <c r="D505" s="8"/>
      <c r="E505" s="8"/>
      <c r="F505" s="8"/>
      <c r="G505" s="8"/>
      <c r="H505" s="8"/>
      <c r="I505" s="23"/>
      <c r="J505" s="24"/>
    </row>
    <row r="506" customFormat="false" ht="15" hidden="false" customHeight="false" outlineLevel="0" collapsed="false">
      <c r="B506" s="9" t="s">
        <v>86</v>
      </c>
      <c r="C506" s="15" t="s">
        <v>29</v>
      </c>
      <c r="D506" s="8"/>
      <c r="E506" s="8"/>
      <c r="F506" s="8"/>
      <c r="G506" s="8"/>
      <c r="H506" s="8"/>
      <c r="I506" s="23"/>
      <c r="J506" s="24"/>
    </row>
    <row r="507" customFormat="false" ht="15" hidden="false" customHeight="false" outlineLevel="0" collapsed="false">
      <c r="B507" s="9" t="s">
        <v>87</v>
      </c>
      <c r="C507" s="15" t="s">
        <v>29</v>
      </c>
      <c r="D507" s="8"/>
      <c r="E507" s="8"/>
      <c r="F507" s="8"/>
      <c r="G507" s="8"/>
      <c r="H507" s="8"/>
      <c r="I507" s="23"/>
      <c r="J507" s="24"/>
    </row>
    <row r="508" customFormat="false" ht="15" hidden="false" customHeight="false" outlineLevel="0" collapsed="false">
      <c r="B508" s="25" t="s">
        <v>88</v>
      </c>
      <c r="C508" s="26"/>
      <c r="D508" s="26"/>
      <c r="E508" s="26"/>
      <c r="F508" s="26"/>
      <c r="G508" s="26"/>
      <c r="H508" s="26"/>
      <c r="I508" s="26"/>
      <c r="J508" s="26"/>
    </row>
    <row r="509" customFormat="false" ht="15" hidden="false" customHeight="false" outlineLevel="0" collapsed="false">
      <c r="B509" s="9" t="s">
        <v>89</v>
      </c>
      <c r="C509" s="15" t="s">
        <v>90</v>
      </c>
      <c r="D509" s="8"/>
      <c r="E509" s="8"/>
      <c r="F509" s="8"/>
      <c r="G509" s="8"/>
      <c r="H509" s="8"/>
      <c r="I509" s="23"/>
      <c r="J509" s="24"/>
    </row>
    <row r="510" customFormat="false" ht="15" hidden="false" customHeight="false" outlineLevel="0" collapsed="false">
      <c r="B510" s="9" t="s">
        <v>91</v>
      </c>
      <c r="C510" s="8" t="s">
        <v>92</v>
      </c>
      <c r="D510" s="8"/>
      <c r="E510" s="8"/>
      <c r="F510" s="8"/>
      <c r="G510" s="8"/>
      <c r="H510" s="8"/>
      <c r="I510" s="23"/>
      <c r="J510" s="24" t="s">
        <v>93</v>
      </c>
    </row>
    <row r="511" customFormat="false" ht="15" hidden="false" customHeight="false" outlineLevel="0" collapsed="false">
      <c r="B511" s="9" t="s">
        <v>94</v>
      </c>
      <c r="C511" s="8" t="s">
        <v>92</v>
      </c>
      <c r="D511" s="8"/>
      <c r="E511" s="8"/>
      <c r="F511" s="8"/>
      <c r="G511" s="8"/>
      <c r="H511" s="8"/>
      <c r="I511" s="23"/>
      <c r="J511" s="24"/>
    </row>
    <row r="512" customFormat="false" ht="15" hidden="false" customHeight="false" outlineLevel="0" collapsed="false">
      <c r="B512" s="9" t="s">
        <v>95</v>
      </c>
      <c r="C512" s="8" t="s">
        <v>92</v>
      </c>
      <c r="D512" s="8"/>
      <c r="E512" s="8"/>
      <c r="F512" s="8"/>
      <c r="G512" s="8"/>
      <c r="H512" s="8"/>
      <c r="I512" s="23"/>
      <c r="J512" s="24"/>
    </row>
    <row r="513" customFormat="false" ht="15" hidden="false" customHeight="false" outlineLevel="0" collapsed="false">
      <c r="B513" s="9" t="s">
        <v>96</v>
      </c>
      <c r="C513" s="8" t="s">
        <v>92</v>
      </c>
      <c r="D513" s="8"/>
      <c r="E513" s="8"/>
      <c r="F513" s="8"/>
      <c r="G513" s="8"/>
      <c r="H513" s="8"/>
      <c r="I513" s="23"/>
      <c r="J513" s="24" t="s">
        <v>97</v>
      </c>
    </row>
    <row r="514" customFormat="false" ht="15" hidden="false" customHeight="false" outlineLevel="0" collapsed="false">
      <c r="B514" s="9" t="s">
        <v>98</v>
      </c>
      <c r="C514" s="15" t="s">
        <v>29</v>
      </c>
      <c r="D514" s="8" t="s">
        <v>99</v>
      </c>
      <c r="E514" s="8" t="s">
        <v>99</v>
      </c>
      <c r="F514" s="8" t="s">
        <v>99</v>
      </c>
      <c r="G514" s="8" t="s">
        <v>99</v>
      </c>
      <c r="H514" s="8" t="s">
        <v>99</v>
      </c>
      <c r="I514" s="23"/>
      <c r="J514" s="24"/>
    </row>
    <row r="515" customFormat="false" ht="15" hidden="false" customHeight="false" outlineLevel="0" collapsed="false">
      <c r="B515" s="9" t="s">
        <v>100</v>
      </c>
      <c r="C515" s="8" t="s">
        <v>92</v>
      </c>
      <c r="D515" s="8"/>
      <c r="E515" s="8"/>
      <c r="F515" s="8"/>
      <c r="G515" s="8"/>
      <c r="H515" s="8"/>
      <c r="I515" s="23"/>
      <c r="J515" s="24"/>
    </row>
    <row r="516" customFormat="false" ht="15" hidden="false" customHeight="false" outlineLevel="0" collapsed="false">
      <c r="B516" s="9" t="s">
        <v>101</v>
      </c>
      <c r="C516" s="8" t="s">
        <v>92</v>
      </c>
      <c r="D516" s="8"/>
      <c r="E516" s="8"/>
      <c r="F516" s="8"/>
      <c r="G516" s="8"/>
      <c r="H516" s="8"/>
      <c r="I516" s="23"/>
      <c r="J516" s="24"/>
    </row>
    <row r="517" customFormat="false" ht="15" hidden="false" customHeight="false" outlineLevel="0" collapsed="false">
      <c r="B517" s="9" t="s">
        <v>102</v>
      </c>
      <c r="C517" s="15" t="s">
        <v>29</v>
      </c>
      <c r="D517" s="8"/>
      <c r="E517" s="8"/>
      <c r="F517" s="8"/>
      <c r="G517" s="8"/>
      <c r="H517" s="8"/>
      <c r="I517" s="23"/>
      <c r="J517" s="24"/>
    </row>
    <row r="518" customFormat="false" ht="15" hidden="false" customHeight="false" outlineLevel="0" collapsed="false">
      <c r="B518" s="9" t="s">
        <v>104</v>
      </c>
      <c r="C518" s="8" t="s">
        <v>92</v>
      </c>
      <c r="D518" s="8"/>
      <c r="E518" s="8"/>
      <c r="F518" s="8"/>
      <c r="G518" s="8"/>
      <c r="H518" s="8"/>
      <c r="I518" s="23"/>
      <c r="J518" s="24"/>
    </row>
    <row r="519" customFormat="false" ht="15" hidden="false" customHeight="false" outlineLevel="0" collapsed="false">
      <c r="B519" s="9" t="s">
        <v>105</v>
      </c>
      <c r="C519" s="8" t="s">
        <v>92</v>
      </c>
      <c r="D519" s="8"/>
      <c r="E519" s="8"/>
      <c r="F519" s="8"/>
      <c r="G519" s="8"/>
      <c r="H519" s="8"/>
      <c r="I519" s="23"/>
      <c r="J519" s="24"/>
    </row>
    <row r="520" customFormat="false" ht="15" hidden="false" customHeight="false" outlineLevel="0" collapsed="false">
      <c r="B520" s="9" t="s">
        <v>106</v>
      </c>
      <c r="C520" s="15" t="s">
        <v>29</v>
      </c>
      <c r="D520" s="8"/>
      <c r="E520" s="8"/>
      <c r="F520" s="8"/>
      <c r="G520" s="8"/>
      <c r="H520" s="8"/>
      <c r="I520" s="23"/>
      <c r="J520" s="24"/>
    </row>
    <row r="521" customFormat="false" ht="15" hidden="false" customHeight="false" outlineLevel="0" collapsed="false">
      <c r="B521" s="9" t="s">
        <v>108</v>
      </c>
      <c r="C521" s="8" t="s">
        <v>109</v>
      </c>
      <c r="D521" s="8"/>
      <c r="E521" s="8"/>
      <c r="F521" s="8"/>
      <c r="G521" s="8"/>
      <c r="H521" s="8"/>
      <c r="I521" s="23"/>
      <c r="J521" s="24" t="s">
        <v>110</v>
      </c>
    </row>
    <row r="522" customFormat="false" ht="15" hidden="false" customHeight="false" outlineLevel="0" collapsed="false">
      <c r="B522" s="9" t="s">
        <v>111</v>
      </c>
      <c r="C522" s="8" t="s">
        <v>112</v>
      </c>
      <c r="D522" s="8"/>
      <c r="E522" s="8"/>
      <c r="F522" s="8"/>
      <c r="G522" s="8"/>
      <c r="H522" s="8"/>
      <c r="I522" s="23"/>
      <c r="J522" s="24"/>
    </row>
    <row r="523" customFormat="false" ht="15" hidden="false" customHeight="false" outlineLevel="0" collapsed="false">
      <c r="B523" s="25" t="s">
        <v>113</v>
      </c>
      <c r="C523" s="26"/>
      <c r="D523" s="26"/>
      <c r="E523" s="26"/>
      <c r="F523" s="26"/>
      <c r="G523" s="26"/>
      <c r="H523" s="26"/>
      <c r="I523" s="26"/>
      <c r="J523" s="26"/>
    </row>
    <row r="524" customFormat="false" ht="15" hidden="false" customHeight="false" outlineLevel="0" collapsed="false">
      <c r="B524" s="9" t="s">
        <v>114</v>
      </c>
      <c r="C524" s="8" t="s">
        <v>92</v>
      </c>
      <c r="D524" s="8"/>
      <c r="E524" s="8"/>
      <c r="F524" s="8"/>
      <c r="G524" s="8"/>
      <c r="H524" s="8"/>
      <c r="I524" s="23"/>
      <c r="J524" s="24" t="s">
        <v>115</v>
      </c>
    </row>
    <row r="525" customFormat="false" ht="15" hidden="false" customHeight="false" outlineLevel="0" collapsed="false">
      <c r="B525" s="9" t="s">
        <v>116</v>
      </c>
      <c r="C525" s="8" t="s">
        <v>92</v>
      </c>
      <c r="D525" s="8"/>
      <c r="E525" s="8"/>
      <c r="F525" s="8"/>
      <c r="G525" s="8"/>
      <c r="H525" s="8"/>
      <c r="I525" s="23"/>
      <c r="J525" s="24" t="s">
        <v>117</v>
      </c>
    </row>
    <row r="526" customFormat="false" ht="15" hidden="false" customHeight="false" outlineLevel="0" collapsed="false">
      <c r="B526" s="9" t="s">
        <v>118</v>
      </c>
      <c r="C526" s="15" t="s">
        <v>29</v>
      </c>
      <c r="D526" s="8"/>
      <c r="E526" s="8"/>
      <c r="F526" s="8"/>
      <c r="G526" s="8"/>
      <c r="H526" s="8"/>
      <c r="I526" s="23"/>
      <c r="J526" s="24"/>
    </row>
    <row r="527" customFormat="false" ht="15" hidden="false" customHeight="false" outlineLevel="0" collapsed="false">
      <c r="B527" s="9" t="s">
        <v>119</v>
      </c>
      <c r="C527" s="8" t="s">
        <v>112</v>
      </c>
      <c r="D527" s="8"/>
      <c r="E527" s="8"/>
      <c r="F527" s="8"/>
      <c r="G527" s="8"/>
      <c r="H527" s="8"/>
      <c r="I527" s="23"/>
      <c r="J527" s="24"/>
    </row>
    <row r="528" customFormat="false" ht="15" hidden="false" customHeight="false" outlineLevel="0" collapsed="false">
      <c r="B528" s="25" t="s">
        <v>120</v>
      </c>
      <c r="C528" s="26"/>
      <c r="D528" s="26"/>
      <c r="E528" s="26"/>
      <c r="F528" s="26"/>
      <c r="G528" s="26"/>
      <c r="H528" s="26"/>
      <c r="I528" s="26"/>
      <c r="J528" s="26"/>
    </row>
    <row r="529" customFormat="false" ht="15" hidden="false" customHeight="false" outlineLevel="0" collapsed="false">
      <c r="B529" s="9" t="s">
        <v>121</v>
      </c>
      <c r="C529" s="15" t="s">
        <v>29</v>
      </c>
      <c r="D529" s="8" t="s">
        <v>122</v>
      </c>
      <c r="E529" s="8" t="s">
        <v>122</v>
      </c>
      <c r="F529" s="8" t="s">
        <v>122</v>
      </c>
      <c r="G529" s="8" t="s">
        <v>122</v>
      </c>
      <c r="H529" s="8" t="s">
        <v>122</v>
      </c>
      <c r="I529" s="23"/>
      <c r="J529" s="24"/>
    </row>
    <row r="530" customFormat="false" ht="15" hidden="false" customHeight="false" outlineLevel="0" collapsed="false">
      <c r="B530" s="9" t="s">
        <v>123</v>
      </c>
      <c r="C530" s="15" t="s">
        <v>29</v>
      </c>
      <c r="D530" s="8" t="s">
        <v>122</v>
      </c>
      <c r="E530" s="8" t="s">
        <v>122</v>
      </c>
      <c r="F530" s="8" t="s">
        <v>122</v>
      </c>
      <c r="G530" s="8" t="s">
        <v>122</v>
      </c>
      <c r="H530" s="8" t="s">
        <v>122</v>
      </c>
      <c r="I530" s="23"/>
      <c r="J530" s="24"/>
    </row>
    <row r="531" customFormat="false" ht="15" hidden="false" customHeight="false" outlineLevel="0" collapsed="false">
      <c r="B531" s="25" t="s">
        <v>124</v>
      </c>
      <c r="C531" s="26"/>
      <c r="D531" s="26"/>
      <c r="E531" s="26"/>
      <c r="F531" s="26"/>
      <c r="G531" s="26"/>
      <c r="H531" s="26"/>
      <c r="I531" s="26"/>
      <c r="J531" s="26"/>
    </row>
    <row r="532" customFormat="false" ht="15" hidden="false" customHeight="false" outlineLevel="0" collapsed="false">
      <c r="B532" s="9" t="s">
        <v>125</v>
      </c>
      <c r="C532" s="15" t="s">
        <v>92</v>
      </c>
      <c r="D532" s="27" t="str">
        <f aca="false">IF(ISNUMBER(D510),D510*INDEX(LenF,MATCH($C$510,LenU,0))*1000,IF(ISNUMBER(D513),D513*INDEX(LenF,MATCH($C$513,LenU,0))/PitchRatio*1000,""))</f>
        <v/>
      </c>
      <c r="E532" s="27" t="str">
        <f aca="false">IF(ISNUMBER(E510),E510*INDEX(LenF,MATCH($C$510,LenU,0))*1000,IF(ISNUMBER(E513),E513*INDEX(LenF,MATCH($C$513,LenU,0))/PitchRatio*1000,""))</f>
        <v/>
      </c>
      <c r="F532" s="27" t="str">
        <f aca="false">IF(ISNUMBER(F510),F510*INDEX(LenF,MATCH($C$510,LenU,0))*1000,IF(ISNUMBER(F513),F513*INDEX(LenF,MATCH($C$513,LenU,0))/PitchRatio*1000,""))</f>
        <v/>
      </c>
      <c r="G532" s="27" t="str">
        <f aca="false">IF(ISNUMBER(G510),G510*INDEX(LenF,MATCH($C$510,LenU,0))*1000,IF(ISNUMBER(G513),G513*INDEX(LenF,MATCH($C$513,LenU,0))/PitchRatio*1000,""))</f>
        <v/>
      </c>
      <c r="H532" s="27" t="str">
        <f aca="false">IF(ISNUMBER(H510),H510*INDEX(LenF,MATCH($C$510,LenU,0))*1000,IF(ISNUMBER(H513),H513*INDEX(LenF,MATCH($C$513,LenU,0))/PitchRatio*1000,""))</f>
        <v/>
      </c>
      <c r="I532" s="28"/>
      <c r="J532" s="24" t="s">
        <v>126</v>
      </c>
    </row>
    <row r="533" customFormat="false" ht="15" hidden="false" customHeight="false" outlineLevel="0" collapsed="false">
      <c r="B533" s="9" t="s">
        <v>127</v>
      </c>
      <c r="C533" s="15" t="s">
        <v>109</v>
      </c>
      <c r="D533" s="29" t="str">
        <f aca="false">IF(AND(ISNUMBER(D509),ISNUMBER(D511),ISNUMBER(D512)),D509*PI()/4*(D511*INDEX(LenF,MATCH($C$511,LenU,0)))^2*D512*INDEX(LenF,MATCH($C$512,LenU,0)),"")</f>
        <v/>
      </c>
      <c r="E533" s="29" t="str">
        <f aca="false">IF(AND(ISNUMBER(E509),ISNUMBER(E511),ISNUMBER(E512)),E509*PI()/4*(E511*INDEX(LenF,MATCH($C$511,LenU,0)))^2*E512*INDEX(LenF,MATCH($C$512,LenU,0)),"")</f>
        <v/>
      </c>
      <c r="F533" s="29" t="str">
        <f aca="false">IF(AND(ISNUMBER(F509),ISNUMBER(F511),ISNUMBER(F512)),F509*PI()/4*(F511*INDEX(LenF,MATCH($C$511,LenU,0)))^2*F512*INDEX(LenF,MATCH($C$512,LenU,0)),"")</f>
        <v/>
      </c>
      <c r="G533" s="29" t="str">
        <f aca="false">IF(AND(ISNUMBER(G509),ISNUMBER(G511),ISNUMBER(G512)),G509*PI()/4*(G511*INDEX(LenF,MATCH($C$511,LenU,0)))^2*G512*INDEX(LenF,MATCH($C$512,LenU,0)),"")</f>
        <v/>
      </c>
      <c r="H533" s="29" t="str">
        <f aca="false">IF(AND(ISNUMBER(H509),ISNUMBER(H511),ISNUMBER(H512)),H509*PI()/4*(H511*INDEX(LenF,MATCH($C$511,LenU,0)))^2*H512*INDEX(LenF,MATCH($C$512,LenU,0)),"")</f>
        <v/>
      </c>
      <c r="I533" s="30" t="str">
        <f aca="false">IF(COUNT(D533:H533)=0,"",SUM(D533:H533))</f>
        <v/>
      </c>
      <c r="J533" s="24"/>
    </row>
    <row r="534" customFormat="false" ht="15" hidden="false" customHeight="false" outlineLevel="0" collapsed="false">
      <c r="B534" s="9" t="s">
        <v>128</v>
      </c>
      <c r="C534" s="15" t="s">
        <v>109</v>
      </c>
      <c r="D534" s="29" t="n">
        <f aca="false">IF(ISNUMBER(D521),D521*INDEX(VolF,MATCH($C$521,VolU,0)),IF(ISNUMBER(D515),PI()/4*(D515*INDEX(LenF,MATCH($C$515,LenU,0)))^2*N(D516)*INDEX(LenF,MATCH($C$516,LenU,0))+IF(D517="",0,IF(D517="Conical",PI()/12*(D515*INDEX(LenF,MATCH($C$515,LenU,0)))^2*(0),INDEX(HeadK,MATCH(D517,HeadU,0))*(D515*INDEX(LenF,MATCH($C$515,LenU,0)))^3)),0)+IF(ISNUMBER(D518),PI()/4*(D518*INDEX(LenF,MATCH($C$518,LenU,0)))^2*N(D519)*INDEX(LenF,MATCH($C$519,LenU,0))+IF(D520="",0,IF(D520="Conical",PI()/12*(D518*INDEX(LenF,MATCH($C$518,LenU,0)))^2*(0),INDEX(HeadK,MATCH(D520,HeadU,0))*(D518*INDEX(LenF,MATCH($C$518,LenU,0)))^3)),0))</f>
        <v>0</v>
      </c>
      <c r="E534" s="29" t="n">
        <f aca="false">IF(ISNUMBER(E521),E521*INDEX(VolF,MATCH($C$521,VolU,0)),IF(ISNUMBER(E515),PI()/4*(E515*INDEX(LenF,MATCH($C$515,LenU,0)))^2*N(E516)*INDEX(LenF,MATCH($C$516,LenU,0))+IF(E517="",0,IF(E517="Conical",PI()/12*(E515*INDEX(LenF,MATCH($C$515,LenU,0)))^2*(0),INDEX(HeadK,MATCH(E517,HeadU,0))*(E515*INDEX(LenF,MATCH($C$515,LenU,0)))^3)),0)+IF(ISNUMBER(E518),PI()/4*(E518*INDEX(LenF,MATCH($C$518,LenU,0)))^2*N(E519)*INDEX(LenF,MATCH($C$519,LenU,0))+IF(E520="",0,IF(E520="Conical",PI()/12*(E518*INDEX(LenF,MATCH($C$518,LenU,0)))^2*(0),INDEX(HeadK,MATCH(E520,HeadU,0))*(E518*INDEX(LenF,MATCH($C$518,LenU,0)))^3)),0))</f>
        <v>0</v>
      </c>
      <c r="F534" s="29" t="n">
        <f aca="false">IF(ISNUMBER(F521),F521*INDEX(VolF,MATCH($C$521,VolU,0)),IF(ISNUMBER(F515),PI()/4*(F515*INDEX(LenF,MATCH($C$515,LenU,0)))^2*N(F516)*INDEX(LenF,MATCH($C$516,LenU,0))+IF(F517="",0,IF(F517="Conical",PI()/12*(F515*INDEX(LenF,MATCH($C$515,LenU,0)))^2*(0),INDEX(HeadK,MATCH(F517,HeadU,0))*(F515*INDEX(LenF,MATCH($C$515,LenU,0)))^3)),0)+IF(ISNUMBER(F518),PI()/4*(F518*INDEX(LenF,MATCH($C$518,LenU,0)))^2*N(F519)*INDEX(LenF,MATCH($C$519,LenU,0))+IF(F520="",0,IF(F520="Conical",PI()/12*(F518*INDEX(LenF,MATCH($C$518,LenU,0)))^2*(0),INDEX(HeadK,MATCH(F520,HeadU,0))*(F518*INDEX(LenF,MATCH($C$518,LenU,0)))^3)),0))</f>
        <v>0</v>
      </c>
      <c r="G534" s="29" t="n">
        <f aca="false">IF(ISNUMBER(G521),G521*INDEX(VolF,MATCH($C$521,VolU,0)),IF(ISNUMBER(G515),PI()/4*(G515*INDEX(LenF,MATCH($C$515,LenU,0)))^2*N(G516)*INDEX(LenF,MATCH($C$516,LenU,0))+IF(G517="",0,IF(G517="Conical",PI()/12*(G515*INDEX(LenF,MATCH($C$515,LenU,0)))^2*(0),INDEX(HeadK,MATCH(G517,HeadU,0))*(G515*INDEX(LenF,MATCH($C$515,LenU,0)))^3)),0)+IF(ISNUMBER(G518),PI()/4*(G518*INDEX(LenF,MATCH($C$518,LenU,0)))^2*N(G519)*INDEX(LenF,MATCH($C$519,LenU,0))+IF(G520="",0,IF(G520="Conical",PI()/12*(G518*INDEX(LenF,MATCH($C$518,LenU,0)))^2*(0),INDEX(HeadK,MATCH(G520,HeadU,0))*(G518*INDEX(LenF,MATCH($C$518,LenU,0)))^3)),0))</f>
        <v>0</v>
      </c>
      <c r="H534" s="29" t="n">
        <f aca="false">IF(ISNUMBER(H521),H521*INDEX(VolF,MATCH($C$521,VolU,0)),IF(ISNUMBER(H515),PI()/4*(H515*INDEX(LenF,MATCH($C$515,LenU,0)))^2*N(H516)*INDEX(LenF,MATCH($C$516,LenU,0))+IF(H517="",0,IF(H517="Conical",PI()/12*(H515*INDEX(LenF,MATCH($C$515,LenU,0)))^2*(0),INDEX(HeadK,MATCH(H517,HeadU,0))*(H515*INDEX(LenF,MATCH($C$515,LenU,0)))^3)),0)+IF(ISNUMBER(H518),PI()/4*(H518*INDEX(LenF,MATCH($C$518,LenU,0)))^2*N(H519)*INDEX(LenF,MATCH($C$519,LenU,0))+IF(H520="",0,IF(H520="Conical",PI()/12*(H518*INDEX(LenF,MATCH($C$518,LenU,0)))^2*(0),INDEX(HeadK,MATCH(H520,HeadU,0))*(H518*INDEX(LenF,MATCH($C$518,LenU,0)))^3)),0))</f>
        <v>0</v>
      </c>
      <c r="I534" s="30" t="n">
        <f aca="false">IF(COUNT(D534:H534)=0,"",SUM(D534:H534))</f>
        <v>0</v>
      </c>
      <c r="J534" s="24" t="s">
        <v>129</v>
      </c>
    </row>
    <row r="535" customFormat="false" ht="15" hidden="false" customHeight="false" outlineLevel="0" collapsed="false">
      <c r="B535" s="9" t="s">
        <v>130</v>
      </c>
      <c r="C535" s="15" t="s">
        <v>109</v>
      </c>
      <c r="D535" s="29" t="str">
        <f aca="false">IF(D533="","",D533+D534)</f>
        <v/>
      </c>
      <c r="E535" s="29" t="str">
        <f aca="false">IF(E533="","",E533+E534)</f>
        <v/>
      </c>
      <c r="F535" s="29" t="str">
        <f aca="false">IF(F533="","",F533+F534)</f>
        <v/>
      </c>
      <c r="G535" s="29" t="str">
        <f aca="false">IF(G533="","",G533+G534)</f>
        <v/>
      </c>
      <c r="H535" s="29" t="str">
        <f aca="false">IF(H533="","",H533+H534)</f>
        <v/>
      </c>
      <c r="I535" s="30" t="str">
        <f aca="false">IF(COUNT(D535:H535)=0,"",SUM(D535:H535))</f>
        <v/>
      </c>
      <c r="J535" s="24"/>
    </row>
    <row r="536" customFormat="false" ht="15" hidden="false" customHeight="false" outlineLevel="0" collapsed="false">
      <c r="B536" s="9" t="s">
        <v>131</v>
      </c>
      <c r="C536" s="15" t="s">
        <v>109</v>
      </c>
      <c r="D536" s="29" t="str">
        <f aca="false">IF(ISNUMBER(D522),D522*INDEX(WtF,MATCH($C$522,WtU,0))/WaterRho,"")</f>
        <v/>
      </c>
      <c r="E536" s="29" t="str">
        <f aca="false">IF(ISNUMBER(E522),E522*INDEX(WtF,MATCH($C$522,WtU,0))/WaterRho,"")</f>
        <v/>
      </c>
      <c r="F536" s="29" t="str">
        <f aca="false">IF(ISNUMBER(F522),F522*INDEX(WtF,MATCH($C$522,WtU,0))/WaterRho,"")</f>
        <v/>
      </c>
      <c r="G536" s="29" t="str">
        <f aca="false">IF(ISNUMBER(G522),G522*INDEX(WtF,MATCH($C$522,WtU,0))/WaterRho,"")</f>
        <v/>
      </c>
      <c r="H536" s="29" t="str">
        <f aca="false">IF(ISNUMBER(H522),H522*INDEX(WtF,MATCH($C$522,WtU,0))/WaterRho,"")</f>
        <v/>
      </c>
      <c r="I536" s="30" t="str">
        <f aca="false">IF(COUNT(D536:H536)=0,"",SUM(D536:H536))</f>
        <v/>
      </c>
      <c r="J536" s="24"/>
    </row>
    <row r="537" customFormat="false" ht="15" hidden="false" customHeight="false" outlineLevel="0" collapsed="false">
      <c r="B537" s="4" t="s">
        <v>132</v>
      </c>
      <c r="C537" s="15" t="s">
        <v>109</v>
      </c>
      <c r="D537" s="31" t="str">
        <f aca="false">IF(D529="Water weight",D536,D535)</f>
        <v/>
      </c>
      <c r="E537" s="31" t="str">
        <f aca="false">IF(E529="Water weight",E536,E535)</f>
        <v/>
      </c>
      <c r="F537" s="31" t="str">
        <f aca="false">IF(F529="Water weight",F536,F535)</f>
        <v/>
      </c>
      <c r="G537" s="31" t="str">
        <f aca="false">IF(G529="Water weight",G536,G535)</f>
        <v/>
      </c>
      <c r="H537" s="31" t="str">
        <f aca="false">IF(H529="Water weight",H536,H535)</f>
        <v/>
      </c>
      <c r="I537" s="31" t="str">
        <f aca="false">IF(COUNT(D537:H537)=0,"",SUM(D537:H537))</f>
        <v/>
      </c>
      <c r="J537" s="24"/>
      <c r="K537" s="32" t="s">
        <v>133</v>
      </c>
    </row>
    <row r="538" customFormat="false" ht="15" hidden="false" customHeight="false" outlineLevel="0" collapsed="false">
      <c r="B538" s="9" t="s">
        <v>134</v>
      </c>
      <c r="C538" s="15" t="s">
        <v>135</v>
      </c>
      <c r="D538" s="33" t="str">
        <f aca="false">IF(ISNUMBER(D524),PI()/4*(D524*INDEX(LenF,MATCH($C$524,LenU,0)))^2,IF(AND(ISNUMBER(D509),ISNUMBER(D513),D514&lt;&gt;""),D509*(D513*INDEX(LenF,MATCH($C$513,LenU,0)))^2*INDEX(LayoutF,MATCH(D514,LayoutU,0)),""))</f>
        <v/>
      </c>
      <c r="E538" s="33" t="str">
        <f aca="false">IF(ISNUMBER(E524),PI()/4*(E524*INDEX(LenF,MATCH($C$524,LenU,0)))^2,IF(AND(ISNUMBER(E509),ISNUMBER(E513),E514&lt;&gt;""),E509*(E513*INDEX(LenF,MATCH($C$513,LenU,0)))^2*INDEX(LayoutF,MATCH(E514,LayoutU,0)),""))</f>
        <v/>
      </c>
      <c r="F538" s="33" t="str">
        <f aca="false">IF(ISNUMBER(F524),PI()/4*(F524*INDEX(LenF,MATCH($C$524,LenU,0)))^2,IF(AND(ISNUMBER(F509),ISNUMBER(F513),F514&lt;&gt;""),F509*(F513*INDEX(LenF,MATCH($C$513,LenU,0)))^2*INDEX(LayoutF,MATCH(F514,LayoutU,0)),""))</f>
        <v/>
      </c>
      <c r="G538" s="33" t="str">
        <f aca="false">IF(ISNUMBER(G524),PI()/4*(G524*INDEX(LenF,MATCH($C$524,LenU,0)))^2,IF(AND(ISNUMBER(G509),ISNUMBER(G513),G514&lt;&gt;""),G509*(G513*INDEX(LenF,MATCH($C$513,LenU,0)))^2*INDEX(LayoutF,MATCH(G514,LayoutU,0)),""))</f>
        <v/>
      </c>
      <c r="H538" s="33" t="str">
        <f aca="false">IF(ISNUMBER(H524),PI()/4*(H524*INDEX(LenF,MATCH($C$524,LenU,0)))^2,IF(AND(ISNUMBER(H509),ISNUMBER(H513),H514&lt;&gt;""),H509*(H513*INDEX(LenF,MATCH($C$513,LenU,0)))^2*INDEX(LayoutF,MATCH(H514,LayoutU,0)),""))</f>
        <v/>
      </c>
      <c r="I538" s="34"/>
      <c r="J538" s="24" t="s">
        <v>136</v>
      </c>
    </row>
    <row r="539" customFormat="false" ht="15" hidden="false" customHeight="false" outlineLevel="0" collapsed="false">
      <c r="B539" s="9" t="s">
        <v>137</v>
      </c>
      <c r="C539" s="15" t="s">
        <v>109</v>
      </c>
      <c r="D539" s="29" t="str">
        <f aca="false">IF(OR(D538="",AND(NOT(ISNUMBER(D525)),NOT(ISNUMBER(D512)))),"",D538*IF(ISNUMBER(D525),D525*INDEX(LenF,MATCH($C$525,LenU,0)),D512*INDEX(LenF,MATCH($C$512,LenU,0)))+IF(D526="",0,IF(D526="Conical",PI()/12*(SQRT(4*D538/PI()))^2*(0),INDEX(HeadK,MATCH(D526,HeadU,0))*(SQRT(4*D538/PI()))^3)))</f>
        <v/>
      </c>
      <c r="E539" s="29" t="str">
        <f aca="false">IF(OR(E538="",AND(NOT(ISNUMBER(E525)),NOT(ISNUMBER(E512)))),"",E538*IF(ISNUMBER(E525),E525*INDEX(LenF,MATCH($C$525,LenU,0)),E512*INDEX(LenF,MATCH($C$512,LenU,0)))+IF(E526="",0,IF(E526="Conical",PI()/12*(SQRT(4*E538/PI()))^2*(0),INDEX(HeadK,MATCH(E526,HeadU,0))*(SQRT(4*E538/PI()))^3)))</f>
        <v/>
      </c>
      <c r="F539" s="29" t="str">
        <f aca="false">IF(OR(F538="",AND(NOT(ISNUMBER(F525)),NOT(ISNUMBER(F512)))),"",F538*IF(ISNUMBER(F525),F525*INDEX(LenF,MATCH($C$525,LenU,0)),F512*INDEX(LenF,MATCH($C$512,LenU,0)))+IF(F526="",0,IF(F526="Conical",PI()/12*(SQRT(4*F538/PI()))^2*(0),INDEX(HeadK,MATCH(F526,HeadU,0))*(SQRT(4*F538/PI()))^3)))</f>
        <v/>
      </c>
      <c r="G539" s="29" t="str">
        <f aca="false">IF(OR(G538="",AND(NOT(ISNUMBER(G525)),NOT(ISNUMBER(G512)))),"",G538*IF(ISNUMBER(G525),G525*INDEX(LenF,MATCH($C$525,LenU,0)),G512*INDEX(LenF,MATCH($C$512,LenU,0)))+IF(G526="",0,IF(G526="Conical",PI()/12*(SQRT(4*G538/PI()))^2*(0),INDEX(HeadK,MATCH(G526,HeadU,0))*(SQRT(4*G538/PI()))^3)))</f>
        <v/>
      </c>
      <c r="H539" s="29" t="str">
        <f aca="false">IF(OR(H538="",AND(NOT(ISNUMBER(H525)),NOT(ISNUMBER(H512)))),"",H538*IF(ISNUMBER(H525),H525*INDEX(LenF,MATCH($C$525,LenU,0)),H512*INDEX(LenF,MATCH($C$512,LenU,0)))+IF(H526="",0,IF(H526="Conical",PI()/12*(SQRT(4*H538/PI()))^2*(0),INDEX(HeadK,MATCH(H526,HeadU,0))*(SQRT(4*H538/PI()))^3)))</f>
        <v/>
      </c>
      <c r="I539" s="30" t="str">
        <f aca="false">IF(COUNT(D539:H539)=0,"",SUM(D539:H539))</f>
        <v/>
      </c>
      <c r="J539" s="24"/>
    </row>
    <row r="540" customFormat="false" ht="15" hidden="false" customHeight="false" outlineLevel="0" collapsed="false">
      <c r="B540" s="9" t="s">
        <v>138</v>
      </c>
      <c r="C540" s="15" t="s">
        <v>109</v>
      </c>
      <c r="D540" s="29" t="str">
        <f aca="false">IF(AND(ISNUMBER(D509),ISNUMBER(D532),ISNUMBER(D512)),D509*PI()/4*(D532/1000)^2*D512*INDEX(LenF,MATCH($C$512,LenU,0)),"")</f>
        <v/>
      </c>
      <c r="E540" s="29" t="str">
        <f aca="false">IF(AND(ISNUMBER(E509),ISNUMBER(E532),ISNUMBER(E512)),E509*PI()/4*(E532/1000)^2*E512*INDEX(LenF,MATCH($C$512,LenU,0)),"")</f>
        <v/>
      </c>
      <c r="F540" s="29" t="str">
        <f aca="false">IF(AND(ISNUMBER(F509),ISNUMBER(F532),ISNUMBER(F512)),F509*PI()/4*(F532/1000)^2*F512*INDEX(LenF,MATCH($C$512,LenU,0)),"")</f>
        <v/>
      </c>
      <c r="G540" s="29" t="str">
        <f aca="false">IF(AND(ISNUMBER(G509),ISNUMBER(G532),ISNUMBER(G512)),G509*PI()/4*(G532/1000)^2*G512*INDEX(LenF,MATCH($C$512,LenU,0)),"")</f>
        <v/>
      </c>
      <c r="H540" s="29" t="str">
        <f aca="false">IF(AND(ISNUMBER(H509),ISNUMBER(H532),ISNUMBER(H512)),H509*PI()/4*(H532/1000)^2*H512*INDEX(LenF,MATCH($C$512,LenU,0)),"")</f>
        <v/>
      </c>
      <c r="I540" s="30" t="str">
        <f aca="false">IF(COUNT(D540:H540)=0,"",SUM(D540:H540))</f>
        <v/>
      </c>
      <c r="J540" s="24"/>
    </row>
    <row r="541" customFormat="false" ht="15" hidden="false" customHeight="false" outlineLevel="0" collapsed="false">
      <c r="B541" s="9" t="s">
        <v>139</v>
      </c>
      <c r="C541" s="15" t="s">
        <v>109</v>
      </c>
      <c r="D541" s="29" t="str">
        <f aca="false">IF(OR(D539="",D540=""),"",D539-D540)</f>
        <v/>
      </c>
      <c r="E541" s="29" t="str">
        <f aca="false">IF(OR(E539="",E540=""),"",E539-E540)</f>
        <v/>
      </c>
      <c r="F541" s="29" t="str">
        <f aca="false">IF(OR(F539="",F540=""),"",F539-F540)</f>
        <v/>
      </c>
      <c r="G541" s="29" t="str">
        <f aca="false">IF(OR(G539="",G540=""),"",G539-G540)</f>
        <v/>
      </c>
      <c r="H541" s="29" t="str">
        <f aca="false">IF(OR(H539="",H540=""),"",H539-H540)</f>
        <v/>
      </c>
      <c r="I541" s="30" t="str">
        <f aca="false">IF(COUNT(D541:H541)=0,"",SUM(D541:H541))</f>
        <v/>
      </c>
      <c r="J541" s="24" t="s">
        <v>140</v>
      </c>
    </row>
    <row r="542" customFormat="false" ht="15" hidden="false" customHeight="false" outlineLevel="0" collapsed="false">
      <c r="B542" s="9" t="s">
        <v>141</v>
      </c>
      <c r="C542" s="15" t="s">
        <v>109</v>
      </c>
      <c r="D542" s="29" t="str">
        <f aca="false">IF(ISNUMBER(D527),D527*INDEX(WtF,MATCH($C$527,WtU,0))/WaterRho,"")</f>
        <v/>
      </c>
      <c r="E542" s="29" t="str">
        <f aca="false">IF(ISNUMBER(E527),E527*INDEX(WtF,MATCH($C$527,WtU,0))/WaterRho,"")</f>
        <v/>
      </c>
      <c r="F542" s="29" t="str">
        <f aca="false">IF(ISNUMBER(F527),F527*INDEX(WtF,MATCH($C$527,WtU,0))/WaterRho,"")</f>
        <v/>
      </c>
      <c r="G542" s="29" t="str">
        <f aca="false">IF(ISNUMBER(G527),G527*INDEX(WtF,MATCH($C$527,WtU,0))/WaterRho,"")</f>
        <v/>
      </c>
      <c r="H542" s="29" t="str">
        <f aca="false">IF(ISNUMBER(H527),H527*INDEX(WtF,MATCH($C$527,WtU,0))/WaterRho,"")</f>
        <v/>
      </c>
      <c r="I542" s="30" t="str">
        <f aca="false">IF(COUNT(D542:H542)=0,"",SUM(D542:H542))</f>
        <v/>
      </c>
      <c r="J542" s="24"/>
    </row>
    <row r="543" customFormat="false" ht="15" hidden="false" customHeight="false" outlineLevel="0" collapsed="false">
      <c r="B543" s="4" t="s">
        <v>142</v>
      </c>
      <c r="C543" s="15" t="s">
        <v>109</v>
      </c>
      <c r="D543" s="31" t="str">
        <f aca="false">IF(D530="Water weight",D542,D541)</f>
        <v/>
      </c>
      <c r="E543" s="31" t="str">
        <f aca="false">IF(E530="Water weight",E542,E541)</f>
        <v/>
      </c>
      <c r="F543" s="31" t="str">
        <f aca="false">IF(F530="Water weight",F542,F541)</f>
        <v/>
      </c>
      <c r="G543" s="31" t="str">
        <f aca="false">IF(G530="Water weight",G542,G541)</f>
        <v/>
      </c>
      <c r="H543" s="31" t="str">
        <f aca="false">IF(H530="Water weight",H542,H541)</f>
        <v/>
      </c>
      <c r="I543" s="31" t="str">
        <f aca="false">IF(COUNT(D543:H543)=0,"",SUM(D543:H543))</f>
        <v/>
      </c>
      <c r="J543" s="24"/>
      <c r="K543" s="32" t="s">
        <v>143</v>
      </c>
    </row>
    <row r="544" customFormat="false" ht="15" hidden="false" customHeight="false" outlineLevel="0" collapsed="false">
      <c r="B544" s="4" t="s">
        <v>144</v>
      </c>
      <c r="C544" s="15" t="s">
        <v>109</v>
      </c>
      <c r="D544" s="31" t="str">
        <f aca="false">IF(AND(D537="",D543=""),"",N(D537)+N(D543))</f>
        <v/>
      </c>
      <c r="E544" s="31" t="str">
        <f aca="false">IF(AND(E537="",E543=""),"",N(E537)+N(E543))</f>
        <v/>
      </c>
      <c r="F544" s="31" t="str">
        <f aca="false">IF(AND(F537="",F543=""),"",N(F537)+N(F543))</f>
        <v/>
      </c>
      <c r="G544" s="31" t="str">
        <f aca="false">IF(AND(G537="",G543=""),"",N(G537)+N(G543))</f>
        <v/>
      </c>
      <c r="H544" s="31" t="str">
        <f aca="false">IF(AND(H537="",H543=""),"",N(H537)+N(H543))</f>
        <v/>
      </c>
      <c r="I544" s="31" t="str">
        <f aca="false">IF(COUNT(D544:H544)=0,"",SUM(D544:H544))</f>
        <v/>
      </c>
      <c r="J544" s="24"/>
      <c r="K544" s="32" t="s">
        <v>145</v>
      </c>
    </row>
    <row r="545" customFormat="false" ht="15" hidden="false" customHeight="false" outlineLevel="0" collapsed="false">
      <c r="B545" s="9" t="s">
        <v>60</v>
      </c>
      <c r="C545" s="15" t="s">
        <v>146</v>
      </c>
      <c r="D545" s="35" t="str">
        <f aca="false">IF(D544="","",IF(JobType="Chemical Cleaning",CC_HX,INDEX(DecFill,MATCH("Exchanger",DecTypeU,0))))</f>
        <v/>
      </c>
      <c r="E545" s="35" t="str">
        <f aca="false">IF(E544="","",IF(JobType="Chemical Cleaning",CC_HX,INDEX(DecFill,MATCH("Exchanger",DecTypeU,0))))</f>
        <v/>
      </c>
      <c r="F545" s="35" t="str">
        <f aca="false">IF(F544="","",IF(JobType="Chemical Cleaning",CC_HX,INDEX(DecFill,MATCH("Exchanger",DecTypeU,0))))</f>
        <v/>
      </c>
      <c r="G545" s="35" t="str">
        <f aca="false">IF(G544="","",IF(JobType="Chemical Cleaning",CC_HX,INDEX(DecFill,MATCH("Exchanger",DecTypeU,0))))</f>
        <v/>
      </c>
      <c r="H545" s="35" t="str">
        <f aca="false">IF(H544="","",IF(JobType="Chemical Cleaning",CC_HX,INDEX(DecFill,MATCH("Exchanger",DecTypeU,0))))</f>
        <v/>
      </c>
      <c r="I545" s="36"/>
      <c r="J545" s="24" t="s">
        <v>147</v>
      </c>
    </row>
    <row r="546" customFormat="false" ht="15" hidden="false" customHeight="false" outlineLevel="0" collapsed="false">
      <c r="B546" s="4" t="s">
        <v>148</v>
      </c>
      <c r="C546" s="15" t="s">
        <v>109</v>
      </c>
      <c r="D546" s="31" t="str">
        <f aca="false">IF(OR(D544="",D545=""),"",D544*D545)</f>
        <v/>
      </c>
      <c r="E546" s="31" t="str">
        <f aca="false">IF(OR(E544="",E545=""),"",E544*E545)</f>
        <v/>
      </c>
      <c r="F546" s="31" t="str">
        <f aca="false">IF(OR(F544="",F545=""),"",F544*F545)</f>
        <v/>
      </c>
      <c r="G546" s="31" t="str">
        <f aca="false">IF(OR(G544="",G545=""),"",G544*G545)</f>
        <v/>
      </c>
      <c r="H546" s="31" t="str">
        <f aca="false">IF(OR(H544="",H545=""),"",H544*H545)</f>
        <v/>
      </c>
      <c r="I546" s="31" t="str">
        <f aca="false">IF(COUNT(D546:H546)=0,"",SUM(D546:H546))</f>
        <v/>
      </c>
      <c r="J546" s="24"/>
      <c r="K546" s="32" t="s">
        <v>149</v>
      </c>
    </row>
    <row r="547" customFormat="false" ht="15" hidden="false" customHeight="false" outlineLevel="0" collapsed="false">
      <c r="B547" s="9" t="s">
        <v>150</v>
      </c>
      <c r="C547" s="15" t="s">
        <v>32</v>
      </c>
      <c r="D547" s="37" t="str">
        <f aca="false">IF(OR(JobType&lt;&gt;"Decontamination",D546=""),"",D546*INDEX(DecChem,MATCH("Exchanger",DecTypeU,0))*1000)</f>
        <v/>
      </c>
      <c r="E547" s="37" t="str">
        <f aca="false">IF(OR(JobType&lt;&gt;"Decontamination",E546=""),"",E546*INDEX(DecChem,MATCH("Exchanger",DecTypeU,0))*1000)</f>
        <v/>
      </c>
      <c r="F547" s="37" t="str">
        <f aca="false">IF(OR(JobType&lt;&gt;"Decontamination",F546=""),"",F546*INDEX(DecChem,MATCH("Exchanger",DecTypeU,0))*1000)</f>
        <v/>
      </c>
      <c r="G547" s="37" t="str">
        <f aca="false">IF(OR(JobType&lt;&gt;"Decontamination",G546=""),"",G546*INDEX(DecChem,MATCH("Exchanger",DecTypeU,0))*1000)</f>
        <v/>
      </c>
      <c r="H547" s="37" t="str">
        <f aca="false">IF(OR(JobType&lt;&gt;"Decontamination",H546=""),"",H546*INDEX(DecChem,MATCH("Exchanger",DecTypeU,0))*1000)</f>
        <v/>
      </c>
      <c r="I547" s="38" t="str">
        <f aca="false">IF(COUNT(D547:H547)=0,"",SUM(D547:H547))</f>
        <v/>
      </c>
      <c r="J547" s="24" t="s">
        <v>151</v>
      </c>
      <c r="K547" s="32" t="s">
        <v>152</v>
      </c>
    </row>
    <row r="549" customFormat="false" ht="15" hidden="false" customHeight="false" outlineLevel="0" collapsed="false">
      <c r="A549" s="20" t="n">
        <v>13</v>
      </c>
      <c r="B549" s="21" t="s">
        <v>164</v>
      </c>
      <c r="C549" s="22"/>
      <c r="D549" s="22"/>
      <c r="E549" s="22"/>
      <c r="F549" s="22"/>
      <c r="G549" s="22"/>
      <c r="H549" s="22"/>
      <c r="I549" s="22"/>
      <c r="J549" s="22"/>
    </row>
    <row r="550" customFormat="false" ht="15" hidden="false" customHeight="false" outlineLevel="0" collapsed="false">
      <c r="B550" s="9" t="s">
        <v>83</v>
      </c>
      <c r="C550" s="15" t="s">
        <v>29</v>
      </c>
      <c r="D550" s="8"/>
      <c r="E550" s="8"/>
      <c r="F550" s="8"/>
      <c r="G550" s="8"/>
      <c r="H550" s="8"/>
      <c r="I550" s="23"/>
      <c r="J550" s="24"/>
    </row>
    <row r="551" customFormat="false" ht="15" hidden="false" customHeight="false" outlineLevel="0" collapsed="false">
      <c r="B551" s="9" t="s">
        <v>86</v>
      </c>
      <c r="C551" s="15" t="s">
        <v>29</v>
      </c>
      <c r="D551" s="8"/>
      <c r="E551" s="8"/>
      <c r="F551" s="8"/>
      <c r="G551" s="8"/>
      <c r="H551" s="8"/>
      <c r="I551" s="23"/>
      <c r="J551" s="24"/>
    </row>
    <row r="552" customFormat="false" ht="15" hidden="false" customHeight="false" outlineLevel="0" collapsed="false">
      <c r="B552" s="9" t="s">
        <v>87</v>
      </c>
      <c r="C552" s="15" t="s">
        <v>29</v>
      </c>
      <c r="D552" s="8"/>
      <c r="E552" s="8"/>
      <c r="F552" s="8"/>
      <c r="G552" s="8"/>
      <c r="H552" s="8"/>
      <c r="I552" s="23"/>
      <c r="J552" s="24"/>
    </row>
    <row r="553" customFormat="false" ht="15" hidden="false" customHeight="false" outlineLevel="0" collapsed="false">
      <c r="B553" s="25" t="s">
        <v>88</v>
      </c>
      <c r="C553" s="26"/>
      <c r="D553" s="26"/>
      <c r="E553" s="26"/>
      <c r="F553" s="26"/>
      <c r="G553" s="26"/>
      <c r="H553" s="26"/>
      <c r="I553" s="26"/>
      <c r="J553" s="26"/>
    </row>
    <row r="554" customFormat="false" ht="15" hidden="false" customHeight="false" outlineLevel="0" collapsed="false">
      <c r="B554" s="9" t="s">
        <v>89</v>
      </c>
      <c r="C554" s="15" t="s">
        <v>90</v>
      </c>
      <c r="D554" s="8"/>
      <c r="E554" s="8"/>
      <c r="F554" s="8"/>
      <c r="G554" s="8"/>
      <c r="H554" s="8"/>
      <c r="I554" s="23"/>
      <c r="J554" s="24"/>
    </row>
    <row r="555" customFormat="false" ht="15" hidden="false" customHeight="false" outlineLevel="0" collapsed="false">
      <c r="B555" s="9" t="s">
        <v>91</v>
      </c>
      <c r="C555" s="8" t="s">
        <v>92</v>
      </c>
      <c r="D555" s="8"/>
      <c r="E555" s="8"/>
      <c r="F555" s="8"/>
      <c r="G555" s="8"/>
      <c r="H555" s="8"/>
      <c r="I555" s="23"/>
      <c r="J555" s="24" t="s">
        <v>93</v>
      </c>
    </row>
    <row r="556" customFormat="false" ht="15" hidden="false" customHeight="false" outlineLevel="0" collapsed="false">
      <c r="B556" s="9" t="s">
        <v>94</v>
      </c>
      <c r="C556" s="8" t="s">
        <v>92</v>
      </c>
      <c r="D556" s="8"/>
      <c r="E556" s="8"/>
      <c r="F556" s="8"/>
      <c r="G556" s="8"/>
      <c r="H556" s="8"/>
      <c r="I556" s="23"/>
      <c r="J556" s="24"/>
    </row>
    <row r="557" customFormat="false" ht="15" hidden="false" customHeight="false" outlineLevel="0" collapsed="false">
      <c r="B557" s="9" t="s">
        <v>95</v>
      </c>
      <c r="C557" s="8" t="s">
        <v>92</v>
      </c>
      <c r="D557" s="8"/>
      <c r="E557" s="8"/>
      <c r="F557" s="8"/>
      <c r="G557" s="8"/>
      <c r="H557" s="8"/>
      <c r="I557" s="23"/>
      <c r="J557" s="24"/>
    </row>
    <row r="558" customFormat="false" ht="15" hidden="false" customHeight="false" outlineLevel="0" collapsed="false">
      <c r="B558" s="9" t="s">
        <v>96</v>
      </c>
      <c r="C558" s="8" t="s">
        <v>92</v>
      </c>
      <c r="D558" s="8"/>
      <c r="E558" s="8"/>
      <c r="F558" s="8"/>
      <c r="G558" s="8"/>
      <c r="H558" s="8"/>
      <c r="I558" s="23"/>
      <c r="J558" s="24" t="s">
        <v>97</v>
      </c>
    </row>
    <row r="559" customFormat="false" ht="15" hidden="false" customHeight="false" outlineLevel="0" collapsed="false">
      <c r="B559" s="9" t="s">
        <v>98</v>
      </c>
      <c r="C559" s="15" t="s">
        <v>29</v>
      </c>
      <c r="D559" s="8" t="s">
        <v>99</v>
      </c>
      <c r="E559" s="8" t="s">
        <v>99</v>
      </c>
      <c r="F559" s="8" t="s">
        <v>99</v>
      </c>
      <c r="G559" s="8" t="s">
        <v>99</v>
      </c>
      <c r="H559" s="8" t="s">
        <v>99</v>
      </c>
      <c r="I559" s="23"/>
      <c r="J559" s="24"/>
    </row>
    <row r="560" customFormat="false" ht="15" hidden="false" customHeight="false" outlineLevel="0" collapsed="false">
      <c r="B560" s="9" t="s">
        <v>100</v>
      </c>
      <c r="C560" s="8" t="s">
        <v>92</v>
      </c>
      <c r="D560" s="8"/>
      <c r="E560" s="8"/>
      <c r="F560" s="8"/>
      <c r="G560" s="8"/>
      <c r="H560" s="8"/>
      <c r="I560" s="23"/>
      <c r="J560" s="24"/>
    </row>
    <row r="561" customFormat="false" ht="15" hidden="false" customHeight="false" outlineLevel="0" collapsed="false">
      <c r="B561" s="9" t="s">
        <v>101</v>
      </c>
      <c r="C561" s="8" t="s">
        <v>92</v>
      </c>
      <c r="D561" s="8"/>
      <c r="E561" s="8"/>
      <c r="F561" s="8"/>
      <c r="G561" s="8"/>
      <c r="H561" s="8"/>
      <c r="I561" s="23"/>
      <c r="J561" s="24"/>
    </row>
    <row r="562" customFormat="false" ht="15" hidden="false" customHeight="false" outlineLevel="0" collapsed="false">
      <c r="B562" s="9" t="s">
        <v>102</v>
      </c>
      <c r="C562" s="15" t="s">
        <v>29</v>
      </c>
      <c r="D562" s="8"/>
      <c r="E562" s="8"/>
      <c r="F562" s="8"/>
      <c r="G562" s="8"/>
      <c r="H562" s="8"/>
      <c r="I562" s="23"/>
      <c r="J562" s="24"/>
    </row>
    <row r="563" customFormat="false" ht="15" hidden="false" customHeight="false" outlineLevel="0" collapsed="false">
      <c r="B563" s="9" t="s">
        <v>104</v>
      </c>
      <c r="C563" s="8" t="s">
        <v>92</v>
      </c>
      <c r="D563" s="8"/>
      <c r="E563" s="8"/>
      <c r="F563" s="8"/>
      <c r="G563" s="8"/>
      <c r="H563" s="8"/>
      <c r="I563" s="23"/>
      <c r="J563" s="24"/>
    </row>
    <row r="564" customFormat="false" ht="15" hidden="false" customHeight="false" outlineLevel="0" collapsed="false">
      <c r="B564" s="9" t="s">
        <v>105</v>
      </c>
      <c r="C564" s="8" t="s">
        <v>92</v>
      </c>
      <c r="D564" s="8"/>
      <c r="E564" s="8"/>
      <c r="F564" s="8"/>
      <c r="G564" s="8"/>
      <c r="H564" s="8"/>
      <c r="I564" s="23"/>
      <c r="J564" s="24"/>
    </row>
    <row r="565" customFormat="false" ht="15" hidden="false" customHeight="false" outlineLevel="0" collapsed="false">
      <c r="B565" s="9" t="s">
        <v>106</v>
      </c>
      <c r="C565" s="15" t="s">
        <v>29</v>
      </c>
      <c r="D565" s="8"/>
      <c r="E565" s="8"/>
      <c r="F565" s="8"/>
      <c r="G565" s="8"/>
      <c r="H565" s="8"/>
      <c r="I565" s="23"/>
      <c r="J565" s="24"/>
    </row>
    <row r="566" customFormat="false" ht="15" hidden="false" customHeight="false" outlineLevel="0" collapsed="false">
      <c r="B566" s="9" t="s">
        <v>108</v>
      </c>
      <c r="C566" s="8" t="s">
        <v>109</v>
      </c>
      <c r="D566" s="8"/>
      <c r="E566" s="8"/>
      <c r="F566" s="8"/>
      <c r="G566" s="8"/>
      <c r="H566" s="8"/>
      <c r="I566" s="23"/>
      <c r="J566" s="24" t="s">
        <v>110</v>
      </c>
    </row>
    <row r="567" customFormat="false" ht="15" hidden="false" customHeight="false" outlineLevel="0" collapsed="false">
      <c r="B567" s="9" t="s">
        <v>111</v>
      </c>
      <c r="C567" s="8" t="s">
        <v>112</v>
      </c>
      <c r="D567" s="8"/>
      <c r="E567" s="8"/>
      <c r="F567" s="8"/>
      <c r="G567" s="8"/>
      <c r="H567" s="8"/>
      <c r="I567" s="23"/>
      <c r="J567" s="24"/>
    </row>
    <row r="568" customFormat="false" ht="15" hidden="false" customHeight="false" outlineLevel="0" collapsed="false">
      <c r="B568" s="25" t="s">
        <v>113</v>
      </c>
      <c r="C568" s="26"/>
      <c r="D568" s="26"/>
      <c r="E568" s="26"/>
      <c r="F568" s="26"/>
      <c r="G568" s="26"/>
      <c r="H568" s="26"/>
      <c r="I568" s="26"/>
      <c r="J568" s="26"/>
    </row>
    <row r="569" customFormat="false" ht="15" hidden="false" customHeight="false" outlineLevel="0" collapsed="false">
      <c r="B569" s="9" t="s">
        <v>114</v>
      </c>
      <c r="C569" s="8" t="s">
        <v>92</v>
      </c>
      <c r="D569" s="8"/>
      <c r="E569" s="8"/>
      <c r="F569" s="8"/>
      <c r="G569" s="8"/>
      <c r="H569" s="8"/>
      <c r="I569" s="23"/>
      <c r="J569" s="24" t="s">
        <v>115</v>
      </c>
    </row>
    <row r="570" customFormat="false" ht="15" hidden="false" customHeight="false" outlineLevel="0" collapsed="false">
      <c r="B570" s="9" t="s">
        <v>116</v>
      </c>
      <c r="C570" s="8" t="s">
        <v>92</v>
      </c>
      <c r="D570" s="8"/>
      <c r="E570" s="8"/>
      <c r="F570" s="8"/>
      <c r="G570" s="8"/>
      <c r="H570" s="8"/>
      <c r="I570" s="23"/>
      <c r="J570" s="24" t="s">
        <v>117</v>
      </c>
    </row>
    <row r="571" customFormat="false" ht="15" hidden="false" customHeight="false" outlineLevel="0" collapsed="false">
      <c r="B571" s="9" t="s">
        <v>118</v>
      </c>
      <c r="C571" s="15" t="s">
        <v>29</v>
      </c>
      <c r="D571" s="8"/>
      <c r="E571" s="8"/>
      <c r="F571" s="8"/>
      <c r="G571" s="8"/>
      <c r="H571" s="8"/>
      <c r="I571" s="23"/>
      <c r="J571" s="24"/>
    </row>
    <row r="572" customFormat="false" ht="15" hidden="false" customHeight="false" outlineLevel="0" collapsed="false">
      <c r="B572" s="9" t="s">
        <v>119</v>
      </c>
      <c r="C572" s="8" t="s">
        <v>112</v>
      </c>
      <c r="D572" s="8"/>
      <c r="E572" s="8"/>
      <c r="F572" s="8"/>
      <c r="G572" s="8"/>
      <c r="H572" s="8"/>
      <c r="I572" s="23"/>
      <c r="J572" s="24"/>
    </row>
    <row r="573" customFormat="false" ht="15" hidden="false" customHeight="false" outlineLevel="0" collapsed="false">
      <c r="B573" s="25" t="s">
        <v>120</v>
      </c>
      <c r="C573" s="26"/>
      <c r="D573" s="26"/>
      <c r="E573" s="26"/>
      <c r="F573" s="26"/>
      <c r="G573" s="26"/>
      <c r="H573" s="26"/>
      <c r="I573" s="26"/>
      <c r="J573" s="26"/>
    </row>
    <row r="574" customFormat="false" ht="15" hidden="false" customHeight="false" outlineLevel="0" collapsed="false">
      <c r="B574" s="9" t="s">
        <v>121</v>
      </c>
      <c r="C574" s="15" t="s">
        <v>29</v>
      </c>
      <c r="D574" s="8" t="s">
        <v>122</v>
      </c>
      <c r="E574" s="8" t="s">
        <v>122</v>
      </c>
      <c r="F574" s="8" t="s">
        <v>122</v>
      </c>
      <c r="G574" s="8" t="s">
        <v>122</v>
      </c>
      <c r="H574" s="8" t="s">
        <v>122</v>
      </c>
      <c r="I574" s="23"/>
      <c r="J574" s="24"/>
    </row>
    <row r="575" customFormat="false" ht="15" hidden="false" customHeight="false" outlineLevel="0" collapsed="false">
      <c r="B575" s="9" t="s">
        <v>123</v>
      </c>
      <c r="C575" s="15" t="s">
        <v>29</v>
      </c>
      <c r="D575" s="8" t="s">
        <v>122</v>
      </c>
      <c r="E575" s="8" t="s">
        <v>122</v>
      </c>
      <c r="F575" s="8" t="s">
        <v>122</v>
      </c>
      <c r="G575" s="8" t="s">
        <v>122</v>
      </c>
      <c r="H575" s="8" t="s">
        <v>122</v>
      </c>
      <c r="I575" s="23"/>
      <c r="J575" s="24"/>
    </row>
    <row r="576" customFormat="false" ht="15" hidden="false" customHeight="false" outlineLevel="0" collapsed="false">
      <c r="B576" s="25" t="s">
        <v>124</v>
      </c>
      <c r="C576" s="26"/>
      <c r="D576" s="26"/>
      <c r="E576" s="26"/>
      <c r="F576" s="26"/>
      <c r="G576" s="26"/>
      <c r="H576" s="26"/>
      <c r="I576" s="26"/>
      <c r="J576" s="26"/>
    </row>
    <row r="577" customFormat="false" ht="15" hidden="false" customHeight="false" outlineLevel="0" collapsed="false">
      <c r="B577" s="9" t="s">
        <v>125</v>
      </c>
      <c r="C577" s="15" t="s">
        <v>92</v>
      </c>
      <c r="D577" s="27" t="str">
        <f aca="false">IF(ISNUMBER(D555),D555*INDEX(LenF,MATCH($C$555,LenU,0))*1000,IF(ISNUMBER(D558),D558*INDEX(LenF,MATCH($C$558,LenU,0))/PitchRatio*1000,""))</f>
        <v/>
      </c>
      <c r="E577" s="27" t="str">
        <f aca="false">IF(ISNUMBER(E555),E555*INDEX(LenF,MATCH($C$555,LenU,0))*1000,IF(ISNUMBER(E558),E558*INDEX(LenF,MATCH($C$558,LenU,0))/PitchRatio*1000,""))</f>
        <v/>
      </c>
      <c r="F577" s="27" t="str">
        <f aca="false">IF(ISNUMBER(F555),F555*INDEX(LenF,MATCH($C$555,LenU,0))*1000,IF(ISNUMBER(F558),F558*INDEX(LenF,MATCH($C$558,LenU,0))/PitchRatio*1000,""))</f>
        <v/>
      </c>
      <c r="G577" s="27" t="str">
        <f aca="false">IF(ISNUMBER(G555),G555*INDEX(LenF,MATCH($C$555,LenU,0))*1000,IF(ISNUMBER(G558),G558*INDEX(LenF,MATCH($C$558,LenU,0))/PitchRatio*1000,""))</f>
        <v/>
      </c>
      <c r="H577" s="27" t="str">
        <f aca="false">IF(ISNUMBER(H555),H555*INDEX(LenF,MATCH($C$555,LenU,0))*1000,IF(ISNUMBER(H558),H558*INDEX(LenF,MATCH($C$558,LenU,0))/PitchRatio*1000,""))</f>
        <v/>
      </c>
      <c r="I577" s="28"/>
      <c r="J577" s="24" t="s">
        <v>126</v>
      </c>
    </row>
    <row r="578" customFormat="false" ht="15" hidden="false" customHeight="false" outlineLevel="0" collapsed="false">
      <c r="B578" s="9" t="s">
        <v>127</v>
      </c>
      <c r="C578" s="15" t="s">
        <v>109</v>
      </c>
      <c r="D578" s="29" t="str">
        <f aca="false">IF(AND(ISNUMBER(D554),ISNUMBER(D556),ISNUMBER(D557)),D554*PI()/4*(D556*INDEX(LenF,MATCH($C$556,LenU,0)))^2*D557*INDEX(LenF,MATCH($C$557,LenU,0)),"")</f>
        <v/>
      </c>
      <c r="E578" s="29" t="str">
        <f aca="false">IF(AND(ISNUMBER(E554),ISNUMBER(E556),ISNUMBER(E557)),E554*PI()/4*(E556*INDEX(LenF,MATCH($C$556,LenU,0)))^2*E557*INDEX(LenF,MATCH($C$557,LenU,0)),"")</f>
        <v/>
      </c>
      <c r="F578" s="29" t="str">
        <f aca="false">IF(AND(ISNUMBER(F554),ISNUMBER(F556),ISNUMBER(F557)),F554*PI()/4*(F556*INDEX(LenF,MATCH($C$556,LenU,0)))^2*F557*INDEX(LenF,MATCH($C$557,LenU,0)),"")</f>
        <v/>
      </c>
      <c r="G578" s="29" t="str">
        <f aca="false">IF(AND(ISNUMBER(G554),ISNUMBER(G556),ISNUMBER(G557)),G554*PI()/4*(G556*INDEX(LenF,MATCH($C$556,LenU,0)))^2*G557*INDEX(LenF,MATCH($C$557,LenU,0)),"")</f>
        <v/>
      </c>
      <c r="H578" s="29" t="str">
        <f aca="false">IF(AND(ISNUMBER(H554),ISNUMBER(H556),ISNUMBER(H557)),H554*PI()/4*(H556*INDEX(LenF,MATCH($C$556,LenU,0)))^2*H557*INDEX(LenF,MATCH($C$557,LenU,0)),"")</f>
        <v/>
      </c>
      <c r="I578" s="30" t="str">
        <f aca="false">IF(COUNT(D578:H578)=0,"",SUM(D578:H578))</f>
        <v/>
      </c>
      <c r="J578" s="24"/>
    </row>
    <row r="579" customFormat="false" ht="15" hidden="false" customHeight="false" outlineLevel="0" collapsed="false">
      <c r="B579" s="9" t="s">
        <v>128</v>
      </c>
      <c r="C579" s="15" t="s">
        <v>109</v>
      </c>
      <c r="D579" s="29" t="n">
        <f aca="false">IF(ISNUMBER(D566),D566*INDEX(VolF,MATCH($C$566,VolU,0)),IF(ISNUMBER(D560),PI()/4*(D560*INDEX(LenF,MATCH($C$560,LenU,0)))^2*N(D561)*INDEX(LenF,MATCH($C$561,LenU,0))+IF(D562="",0,IF(D562="Conical",PI()/12*(D560*INDEX(LenF,MATCH($C$560,LenU,0)))^2*(0),INDEX(HeadK,MATCH(D562,HeadU,0))*(D560*INDEX(LenF,MATCH($C$560,LenU,0)))^3)),0)+IF(ISNUMBER(D563),PI()/4*(D563*INDEX(LenF,MATCH($C$563,LenU,0)))^2*N(D564)*INDEX(LenF,MATCH($C$564,LenU,0))+IF(D565="",0,IF(D565="Conical",PI()/12*(D563*INDEX(LenF,MATCH($C$563,LenU,0)))^2*(0),INDEX(HeadK,MATCH(D565,HeadU,0))*(D563*INDEX(LenF,MATCH($C$563,LenU,0)))^3)),0))</f>
        <v>0</v>
      </c>
      <c r="E579" s="29" t="n">
        <f aca="false">IF(ISNUMBER(E566),E566*INDEX(VolF,MATCH($C$566,VolU,0)),IF(ISNUMBER(E560),PI()/4*(E560*INDEX(LenF,MATCH($C$560,LenU,0)))^2*N(E561)*INDEX(LenF,MATCH($C$561,LenU,0))+IF(E562="",0,IF(E562="Conical",PI()/12*(E560*INDEX(LenF,MATCH($C$560,LenU,0)))^2*(0),INDEX(HeadK,MATCH(E562,HeadU,0))*(E560*INDEX(LenF,MATCH($C$560,LenU,0)))^3)),0)+IF(ISNUMBER(E563),PI()/4*(E563*INDEX(LenF,MATCH($C$563,LenU,0)))^2*N(E564)*INDEX(LenF,MATCH($C$564,LenU,0))+IF(E565="",0,IF(E565="Conical",PI()/12*(E563*INDEX(LenF,MATCH($C$563,LenU,0)))^2*(0),INDEX(HeadK,MATCH(E565,HeadU,0))*(E563*INDEX(LenF,MATCH($C$563,LenU,0)))^3)),0))</f>
        <v>0</v>
      </c>
      <c r="F579" s="29" t="n">
        <f aca="false">IF(ISNUMBER(F566),F566*INDEX(VolF,MATCH($C$566,VolU,0)),IF(ISNUMBER(F560),PI()/4*(F560*INDEX(LenF,MATCH($C$560,LenU,0)))^2*N(F561)*INDEX(LenF,MATCH($C$561,LenU,0))+IF(F562="",0,IF(F562="Conical",PI()/12*(F560*INDEX(LenF,MATCH($C$560,LenU,0)))^2*(0),INDEX(HeadK,MATCH(F562,HeadU,0))*(F560*INDEX(LenF,MATCH($C$560,LenU,0)))^3)),0)+IF(ISNUMBER(F563),PI()/4*(F563*INDEX(LenF,MATCH($C$563,LenU,0)))^2*N(F564)*INDEX(LenF,MATCH($C$564,LenU,0))+IF(F565="",0,IF(F565="Conical",PI()/12*(F563*INDEX(LenF,MATCH($C$563,LenU,0)))^2*(0),INDEX(HeadK,MATCH(F565,HeadU,0))*(F563*INDEX(LenF,MATCH($C$563,LenU,0)))^3)),0))</f>
        <v>0</v>
      </c>
      <c r="G579" s="29" t="n">
        <f aca="false">IF(ISNUMBER(G566),G566*INDEX(VolF,MATCH($C$566,VolU,0)),IF(ISNUMBER(G560),PI()/4*(G560*INDEX(LenF,MATCH($C$560,LenU,0)))^2*N(G561)*INDEX(LenF,MATCH($C$561,LenU,0))+IF(G562="",0,IF(G562="Conical",PI()/12*(G560*INDEX(LenF,MATCH($C$560,LenU,0)))^2*(0),INDEX(HeadK,MATCH(G562,HeadU,0))*(G560*INDEX(LenF,MATCH($C$560,LenU,0)))^3)),0)+IF(ISNUMBER(G563),PI()/4*(G563*INDEX(LenF,MATCH($C$563,LenU,0)))^2*N(G564)*INDEX(LenF,MATCH($C$564,LenU,0))+IF(G565="",0,IF(G565="Conical",PI()/12*(G563*INDEX(LenF,MATCH($C$563,LenU,0)))^2*(0),INDEX(HeadK,MATCH(G565,HeadU,0))*(G563*INDEX(LenF,MATCH($C$563,LenU,0)))^3)),0))</f>
        <v>0</v>
      </c>
      <c r="H579" s="29" t="n">
        <f aca="false">IF(ISNUMBER(H566),H566*INDEX(VolF,MATCH($C$566,VolU,0)),IF(ISNUMBER(H560),PI()/4*(H560*INDEX(LenF,MATCH($C$560,LenU,0)))^2*N(H561)*INDEX(LenF,MATCH($C$561,LenU,0))+IF(H562="",0,IF(H562="Conical",PI()/12*(H560*INDEX(LenF,MATCH($C$560,LenU,0)))^2*(0),INDEX(HeadK,MATCH(H562,HeadU,0))*(H560*INDEX(LenF,MATCH($C$560,LenU,0)))^3)),0)+IF(ISNUMBER(H563),PI()/4*(H563*INDEX(LenF,MATCH($C$563,LenU,0)))^2*N(H564)*INDEX(LenF,MATCH($C$564,LenU,0))+IF(H565="",0,IF(H565="Conical",PI()/12*(H563*INDEX(LenF,MATCH($C$563,LenU,0)))^2*(0),INDEX(HeadK,MATCH(H565,HeadU,0))*(H563*INDEX(LenF,MATCH($C$563,LenU,0)))^3)),0))</f>
        <v>0</v>
      </c>
      <c r="I579" s="30" t="n">
        <f aca="false">IF(COUNT(D579:H579)=0,"",SUM(D579:H579))</f>
        <v>0</v>
      </c>
      <c r="J579" s="24" t="s">
        <v>129</v>
      </c>
    </row>
    <row r="580" customFormat="false" ht="15" hidden="false" customHeight="false" outlineLevel="0" collapsed="false">
      <c r="B580" s="9" t="s">
        <v>130</v>
      </c>
      <c r="C580" s="15" t="s">
        <v>109</v>
      </c>
      <c r="D580" s="29" t="str">
        <f aca="false">IF(D578="","",D578+D579)</f>
        <v/>
      </c>
      <c r="E580" s="29" t="str">
        <f aca="false">IF(E578="","",E578+E579)</f>
        <v/>
      </c>
      <c r="F580" s="29" t="str">
        <f aca="false">IF(F578="","",F578+F579)</f>
        <v/>
      </c>
      <c r="G580" s="29" t="str">
        <f aca="false">IF(G578="","",G578+G579)</f>
        <v/>
      </c>
      <c r="H580" s="29" t="str">
        <f aca="false">IF(H578="","",H578+H579)</f>
        <v/>
      </c>
      <c r="I580" s="30" t="str">
        <f aca="false">IF(COUNT(D580:H580)=0,"",SUM(D580:H580))</f>
        <v/>
      </c>
      <c r="J580" s="24"/>
    </row>
    <row r="581" customFormat="false" ht="15" hidden="false" customHeight="false" outlineLevel="0" collapsed="false">
      <c r="B581" s="9" t="s">
        <v>131</v>
      </c>
      <c r="C581" s="15" t="s">
        <v>109</v>
      </c>
      <c r="D581" s="29" t="str">
        <f aca="false">IF(ISNUMBER(D567),D567*INDEX(WtF,MATCH($C$567,WtU,0))/WaterRho,"")</f>
        <v/>
      </c>
      <c r="E581" s="29" t="str">
        <f aca="false">IF(ISNUMBER(E567),E567*INDEX(WtF,MATCH($C$567,WtU,0))/WaterRho,"")</f>
        <v/>
      </c>
      <c r="F581" s="29" t="str">
        <f aca="false">IF(ISNUMBER(F567),F567*INDEX(WtF,MATCH($C$567,WtU,0))/WaterRho,"")</f>
        <v/>
      </c>
      <c r="G581" s="29" t="str">
        <f aca="false">IF(ISNUMBER(G567),G567*INDEX(WtF,MATCH($C$567,WtU,0))/WaterRho,"")</f>
        <v/>
      </c>
      <c r="H581" s="29" t="str">
        <f aca="false">IF(ISNUMBER(H567),H567*INDEX(WtF,MATCH($C$567,WtU,0))/WaterRho,"")</f>
        <v/>
      </c>
      <c r="I581" s="30" t="str">
        <f aca="false">IF(COUNT(D581:H581)=0,"",SUM(D581:H581))</f>
        <v/>
      </c>
      <c r="J581" s="24"/>
    </row>
    <row r="582" customFormat="false" ht="15" hidden="false" customHeight="false" outlineLevel="0" collapsed="false">
      <c r="B582" s="4" t="s">
        <v>132</v>
      </c>
      <c r="C582" s="15" t="s">
        <v>109</v>
      </c>
      <c r="D582" s="31" t="str">
        <f aca="false">IF(D574="Water weight",D581,D580)</f>
        <v/>
      </c>
      <c r="E582" s="31" t="str">
        <f aca="false">IF(E574="Water weight",E581,E580)</f>
        <v/>
      </c>
      <c r="F582" s="31" t="str">
        <f aca="false">IF(F574="Water weight",F581,F580)</f>
        <v/>
      </c>
      <c r="G582" s="31" t="str">
        <f aca="false">IF(G574="Water weight",G581,G580)</f>
        <v/>
      </c>
      <c r="H582" s="31" t="str">
        <f aca="false">IF(H574="Water weight",H581,H580)</f>
        <v/>
      </c>
      <c r="I582" s="31" t="str">
        <f aca="false">IF(COUNT(D582:H582)=0,"",SUM(D582:H582))</f>
        <v/>
      </c>
      <c r="J582" s="24"/>
      <c r="K582" s="32" t="s">
        <v>133</v>
      </c>
    </row>
    <row r="583" customFormat="false" ht="15" hidden="false" customHeight="false" outlineLevel="0" collapsed="false">
      <c r="B583" s="9" t="s">
        <v>134</v>
      </c>
      <c r="C583" s="15" t="s">
        <v>135</v>
      </c>
      <c r="D583" s="33" t="str">
        <f aca="false">IF(ISNUMBER(D569),PI()/4*(D569*INDEX(LenF,MATCH($C$569,LenU,0)))^2,IF(AND(ISNUMBER(D554),ISNUMBER(D558),D559&lt;&gt;""),D554*(D558*INDEX(LenF,MATCH($C$558,LenU,0)))^2*INDEX(LayoutF,MATCH(D559,LayoutU,0)),""))</f>
        <v/>
      </c>
      <c r="E583" s="33" t="str">
        <f aca="false">IF(ISNUMBER(E569),PI()/4*(E569*INDEX(LenF,MATCH($C$569,LenU,0)))^2,IF(AND(ISNUMBER(E554),ISNUMBER(E558),E559&lt;&gt;""),E554*(E558*INDEX(LenF,MATCH($C$558,LenU,0)))^2*INDEX(LayoutF,MATCH(E559,LayoutU,0)),""))</f>
        <v/>
      </c>
      <c r="F583" s="33" t="str">
        <f aca="false">IF(ISNUMBER(F569),PI()/4*(F569*INDEX(LenF,MATCH($C$569,LenU,0)))^2,IF(AND(ISNUMBER(F554),ISNUMBER(F558),F559&lt;&gt;""),F554*(F558*INDEX(LenF,MATCH($C$558,LenU,0)))^2*INDEX(LayoutF,MATCH(F559,LayoutU,0)),""))</f>
        <v/>
      </c>
      <c r="G583" s="33" t="str">
        <f aca="false">IF(ISNUMBER(G569),PI()/4*(G569*INDEX(LenF,MATCH($C$569,LenU,0)))^2,IF(AND(ISNUMBER(G554),ISNUMBER(G558),G559&lt;&gt;""),G554*(G558*INDEX(LenF,MATCH($C$558,LenU,0)))^2*INDEX(LayoutF,MATCH(G559,LayoutU,0)),""))</f>
        <v/>
      </c>
      <c r="H583" s="33" t="str">
        <f aca="false">IF(ISNUMBER(H569),PI()/4*(H569*INDEX(LenF,MATCH($C$569,LenU,0)))^2,IF(AND(ISNUMBER(H554),ISNUMBER(H558),H559&lt;&gt;""),H554*(H558*INDEX(LenF,MATCH($C$558,LenU,0)))^2*INDEX(LayoutF,MATCH(H559,LayoutU,0)),""))</f>
        <v/>
      </c>
      <c r="I583" s="34"/>
      <c r="J583" s="24" t="s">
        <v>136</v>
      </c>
    </row>
    <row r="584" customFormat="false" ht="15" hidden="false" customHeight="false" outlineLevel="0" collapsed="false">
      <c r="B584" s="9" t="s">
        <v>137</v>
      </c>
      <c r="C584" s="15" t="s">
        <v>109</v>
      </c>
      <c r="D584" s="29" t="str">
        <f aca="false">IF(OR(D583="",AND(NOT(ISNUMBER(D570)),NOT(ISNUMBER(D557)))),"",D583*IF(ISNUMBER(D570),D570*INDEX(LenF,MATCH($C$570,LenU,0)),D557*INDEX(LenF,MATCH($C$557,LenU,0)))+IF(D571="",0,IF(D571="Conical",PI()/12*(SQRT(4*D583/PI()))^2*(0),INDEX(HeadK,MATCH(D571,HeadU,0))*(SQRT(4*D583/PI()))^3)))</f>
        <v/>
      </c>
      <c r="E584" s="29" t="str">
        <f aca="false">IF(OR(E583="",AND(NOT(ISNUMBER(E570)),NOT(ISNUMBER(E557)))),"",E583*IF(ISNUMBER(E570),E570*INDEX(LenF,MATCH($C$570,LenU,0)),E557*INDEX(LenF,MATCH($C$557,LenU,0)))+IF(E571="",0,IF(E571="Conical",PI()/12*(SQRT(4*E583/PI()))^2*(0),INDEX(HeadK,MATCH(E571,HeadU,0))*(SQRT(4*E583/PI()))^3)))</f>
        <v/>
      </c>
      <c r="F584" s="29" t="str">
        <f aca="false">IF(OR(F583="",AND(NOT(ISNUMBER(F570)),NOT(ISNUMBER(F557)))),"",F583*IF(ISNUMBER(F570),F570*INDEX(LenF,MATCH($C$570,LenU,0)),F557*INDEX(LenF,MATCH($C$557,LenU,0)))+IF(F571="",0,IF(F571="Conical",PI()/12*(SQRT(4*F583/PI()))^2*(0),INDEX(HeadK,MATCH(F571,HeadU,0))*(SQRT(4*F583/PI()))^3)))</f>
        <v/>
      </c>
      <c r="G584" s="29" t="str">
        <f aca="false">IF(OR(G583="",AND(NOT(ISNUMBER(G570)),NOT(ISNUMBER(G557)))),"",G583*IF(ISNUMBER(G570),G570*INDEX(LenF,MATCH($C$570,LenU,0)),G557*INDEX(LenF,MATCH($C$557,LenU,0)))+IF(G571="",0,IF(G571="Conical",PI()/12*(SQRT(4*G583/PI()))^2*(0),INDEX(HeadK,MATCH(G571,HeadU,0))*(SQRT(4*G583/PI()))^3)))</f>
        <v/>
      </c>
      <c r="H584" s="29" t="str">
        <f aca="false">IF(OR(H583="",AND(NOT(ISNUMBER(H570)),NOT(ISNUMBER(H557)))),"",H583*IF(ISNUMBER(H570),H570*INDEX(LenF,MATCH($C$570,LenU,0)),H557*INDEX(LenF,MATCH($C$557,LenU,0)))+IF(H571="",0,IF(H571="Conical",PI()/12*(SQRT(4*H583/PI()))^2*(0),INDEX(HeadK,MATCH(H571,HeadU,0))*(SQRT(4*H583/PI()))^3)))</f>
        <v/>
      </c>
      <c r="I584" s="30" t="str">
        <f aca="false">IF(COUNT(D584:H584)=0,"",SUM(D584:H584))</f>
        <v/>
      </c>
      <c r="J584" s="24"/>
    </row>
    <row r="585" customFormat="false" ht="15" hidden="false" customHeight="false" outlineLevel="0" collapsed="false">
      <c r="B585" s="9" t="s">
        <v>138</v>
      </c>
      <c r="C585" s="15" t="s">
        <v>109</v>
      </c>
      <c r="D585" s="29" t="str">
        <f aca="false">IF(AND(ISNUMBER(D554),ISNUMBER(D577),ISNUMBER(D557)),D554*PI()/4*(D577/1000)^2*D557*INDEX(LenF,MATCH($C$557,LenU,0)),"")</f>
        <v/>
      </c>
      <c r="E585" s="29" t="str">
        <f aca="false">IF(AND(ISNUMBER(E554),ISNUMBER(E577),ISNUMBER(E557)),E554*PI()/4*(E577/1000)^2*E557*INDEX(LenF,MATCH($C$557,LenU,0)),"")</f>
        <v/>
      </c>
      <c r="F585" s="29" t="str">
        <f aca="false">IF(AND(ISNUMBER(F554),ISNUMBER(F577),ISNUMBER(F557)),F554*PI()/4*(F577/1000)^2*F557*INDEX(LenF,MATCH($C$557,LenU,0)),"")</f>
        <v/>
      </c>
      <c r="G585" s="29" t="str">
        <f aca="false">IF(AND(ISNUMBER(G554),ISNUMBER(G577),ISNUMBER(G557)),G554*PI()/4*(G577/1000)^2*G557*INDEX(LenF,MATCH($C$557,LenU,0)),"")</f>
        <v/>
      </c>
      <c r="H585" s="29" t="str">
        <f aca="false">IF(AND(ISNUMBER(H554),ISNUMBER(H577),ISNUMBER(H557)),H554*PI()/4*(H577/1000)^2*H557*INDEX(LenF,MATCH($C$557,LenU,0)),"")</f>
        <v/>
      </c>
      <c r="I585" s="30" t="str">
        <f aca="false">IF(COUNT(D585:H585)=0,"",SUM(D585:H585))</f>
        <v/>
      </c>
      <c r="J585" s="24"/>
    </row>
    <row r="586" customFormat="false" ht="15" hidden="false" customHeight="false" outlineLevel="0" collapsed="false">
      <c r="B586" s="9" t="s">
        <v>139</v>
      </c>
      <c r="C586" s="15" t="s">
        <v>109</v>
      </c>
      <c r="D586" s="29" t="str">
        <f aca="false">IF(OR(D584="",D585=""),"",D584-D585)</f>
        <v/>
      </c>
      <c r="E586" s="29" t="str">
        <f aca="false">IF(OR(E584="",E585=""),"",E584-E585)</f>
        <v/>
      </c>
      <c r="F586" s="29" t="str">
        <f aca="false">IF(OR(F584="",F585=""),"",F584-F585)</f>
        <v/>
      </c>
      <c r="G586" s="29" t="str">
        <f aca="false">IF(OR(G584="",G585=""),"",G584-G585)</f>
        <v/>
      </c>
      <c r="H586" s="29" t="str">
        <f aca="false">IF(OR(H584="",H585=""),"",H584-H585)</f>
        <v/>
      </c>
      <c r="I586" s="30" t="str">
        <f aca="false">IF(COUNT(D586:H586)=0,"",SUM(D586:H586))</f>
        <v/>
      </c>
      <c r="J586" s="24" t="s">
        <v>140</v>
      </c>
    </row>
    <row r="587" customFormat="false" ht="15" hidden="false" customHeight="false" outlineLevel="0" collapsed="false">
      <c r="B587" s="9" t="s">
        <v>141</v>
      </c>
      <c r="C587" s="15" t="s">
        <v>109</v>
      </c>
      <c r="D587" s="29" t="str">
        <f aca="false">IF(ISNUMBER(D572),D572*INDEX(WtF,MATCH($C$572,WtU,0))/WaterRho,"")</f>
        <v/>
      </c>
      <c r="E587" s="29" t="str">
        <f aca="false">IF(ISNUMBER(E572),E572*INDEX(WtF,MATCH($C$572,WtU,0))/WaterRho,"")</f>
        <v/>
      </c>
      <c r="F587" s="29" t="str">
        <f aca="false">IF(ISNUMBER(F572),F572*INDEX(WtF,MATCH($C$572,WtU,0))/WaterRho,"")</f>
        <v/>
      </c>
      <c r="G587" s="29" t="str">
        <f aca="false">IF(ISNUMBER(G572),G572*INDEX(WtF,MATCH($C$572,WtU,0))/WaterRho,"")</f>
        <v/>
      </c>
      <c r="H587" s="29" t="str">
        <f aca="false">IF(ISNUMBER(H572),H572*INDEX(WtF,MATCH($C$572,WtU,0))/WaterRho,"")</f>
        <v/>
      </c>
      <c r="I587" s="30" t="str">
        <f aca="false">IF(COUNT(D587:H587)=0,"",SUM(D587:H587))</f>
        <v/>
      </c>
      <c r="J587" s="24"/>
    </row>
    <row r="588" customFormat="false" ht="15" hidden="false" customHeight="false" outlineLevel="0" collapsed="false">
      <c r="B588" s="4" t="s">
        <v>142</v>
      </c>
      <c r="C588" s="15" t="s">
        <v>109</v>
      </c>
      <c r="D588" s="31" t="str">
        <f aca="false">IF(D575="Water weight",D587,D586)</f>
        <v/>
      </c>
      <c r="E588" s="31" t="str">
        <f aca="false">IF(E575="Water weight",E587,E586)</f>
        <v/>
      </c>
      <c r="F588" s="31" t="str">
        <f aca="false">IF(F575="Water weight",F587,F586)</f>
        <v/>
      </c>
      <c r="G588" s="31" t="str">
        <f aca="false">IF(G575="Water weight",G587,G586)</f>
        <v/>
      </c>
      <c r="H588" s="31" t="str">
        <f aca="false">IF(H575="Water weight",H587,H586)</f>
        <v/>
      </c>
      <c r="I588" s="31" t="str">
        <f aca="false">IF(COUNT(D588:H588)=0,"",SUM(D588:H588))</f>
        <v/>
      </c>
      <c r="J588" s="24"/>
      <c r="K588" s="32" t="s">
        <v>143</v>
      </c>
    </row>
    <row r="589" customFormat="false" ht="15" hidden="false" customHeight="false" outlineLevel="0" collapsed="false">
      <c r="B589" s="4" t="s">
        <v>144</v>
      </c>
      <c r="C589" s="15" t="s">
        <v>109</v>
      </c>
      <c r="D589" s="31" t="str">
        <f aca="false">IF(AND(D582="",D588=""),"",N(D582)+N(D588))</f>
        <v/>
      </c>
      <c r="E589" s="31" t="str">
        <f aca="false">IF(AND(E582="",E588=""),"",N(E582)+N(E588))</f>
        <v/>
      </c>
      <c r="F589" s="31" t="str">
        <f aca="false">IF(AND(F582="",F588=""),"",N(F582)+N(F588))</f>
        <v/>
      </c>
      <c r="G589" s="31" t="str">
        <f aca="false">IF(AND(G582="",G588=""),"",N(G582)+N(G588))</f>
        <v/>
      </c>
      <c r="H589" s="31" t="str">
        <f aca="false">IF(AND(H582="",H588=""),"",N(H582)+N(H588))</f>
        <v/>
      </c>
      <c r="I589" s="31" t="str">
        <f aca="false">IF(COUNT(D589:H589)=0,"",SUM(D589:H589))</f>
        <v/>
      </c>
      <c r="J589" s="24"/>
      <c r="K589" s="32" t="s">
        <v>145</v>
      </c>
    </row>
    <row r="590" customFormat="false" ht="15" hidden="false" customHeight="false" outlineLevel="0" collapsed="false">
      <c r="B590" s="9" t="s">
        <v>60</v>
      </c>
      <c r="C590" s="15" t="s">
        <v>146</v>
      </c>
      <c r="D590" s="35" t="str">
        <f aca="false">IF(D589="","",IF(JobType="Chemical Cleaning",CC_HX,INDEX(DecFill,MATCH("Exchanger",DecTypeU,0))))</f>
        <v/>
      </c>
      <c r="E590" s="35" t="str">
        <f aca="false">IF(E589="","",IF(JobType="Chemical Cleaning",CC_HX,INDEX(DecFill,MATCH("Exchanger",DecTypeU,0))))</f>
        <v/>
      </c>
      <c r="F590" s="35" t="str">
        <f aca="false">IF(F589="","",IF(JobType="Chemical Cleaning",CC_HX,INDEX(DecFill,MATCH("Exchanger",DecTypeU,0))))</f>
        <v/>
      </c>
      <c r="G590" s="35" t="str">
        <f aca="false">IF(G589="","",IF(JobType="Chemical Cleaning",CC_HX,INDEX(DecFill,MATCH("Exchanger",DecTypeU,0))))</f>
        <v/>
      </c>
      <c r="H590" s="35" t="str">
        <f aca="false">IF(H589="","",IF(JobType="Chemical Cleaning",CC_HX,INDEX(DecFill,MATCH("Exchanger",DecTypeU,0))))</f>
        <v/>
      </c>
      <c r="I590" s="36"/>
      <c r="J590" s="24" t="s">
        <v>147</v>
      </c>
    </row>
    <row r="591" customFormat="false" ht="15" hidden="false" customHeight="false" outlineLevel="0" collapsed="false">
      <c r="B591" s="4" t="s">
        <v>148</v>
      </c>
      <c r="C591" s="15" t="s">
        <v>109</v>
      </c>
      <c r="D591" s="31" t="str">
        <f aca="false">IF(OR(D589="",D590=""),"",D589*D590)</f>
        <v/>
      </c>
      <c r="E591" s="31" t="str">
        <f aca="false">IF(OR(E589="",E590=""),"",E589*E590)</f>
        <v/>
      </c>
      <c r="F591" s="31" t="str">
        <f aca="false">IF(OR(F589="",F590=""),"",F589*F590)</f>
        <v/>
      </c>
      <c r="G591" s="31" t="str">
        <f aca="false">IF(OR(G589="",G590=""),"",G589*G590)</f>
        <v/>
      </c>
      <c r="H591" s="31" t="str">
        <f aca="false">IF(OR(H589="",H590=""),"",H589*H590)</f>
        <v/>
      </c>
      <c r="I591" s="31" t="str">
        <f aca="false">IF(COUNT(D591:H591)=0,"",SUM(D591:H591))</f>
        <v/>
      </c>
      <c r="J591" s="24"/>
      <c r="K591" s="32" t="s">
        <v>149</v>
      </c>
    </row>
    <row r="592" customFormat="false" ht="15" hidden="false" customHeight="false" outlineLevel="0" collapsed="false">
      <c r="B592" s="9" t="s">
        <v>150</v>
      </c>
      <c r="C592" s="15" t="s">
        <v>32</v>
      </c>
      <c r="D592" s="37" t="str">
        <f aca="false">IF(OR(JobType&lt;&gt;"Decontamination",D591=""),"",D591*INDEX(DecChem,MATCH("Exchanger",DecTypeU,0))*1000)</f>
        <v/>
      </c>
      <c r="E592" s="37" t="str">
        <f aca="false">IF(OR(JobType&lt;&gt;"Decontamination",E591=""),"",E591*INDEX(DecChem,MATCH("Exchanger",DecTypeU,0))*1000)</f>
        <v/>
      </c>
      <c r="F592" s="37" t="str">
        <f aca="false">IF(OR(JobType&lt;&gt;"Decontamination",F591=""),"",F591*INDEX(DecChem,MATCH("Exchanger",DecTypeU,0))*1000)</f>
        <v/>
      </c>
      <c r="G592" s="37" t="str">
        <f aca="false">IF(OR(JobType&lt;&gt;"Decontamination",G591=""),"",G591*INDEX(DecChem,MATCH("Exchanger",DecTypeU,0))*1000)</f>
        <v/>
      </c>
      <c r="H592" s="37" t="str">
        <f aca="false">IF(OR(JobType&lt;&gt;"Decontamination",H591=""),"",H591*INDEX(DecChem,MATCH("Exchanger",DecTypeU,0))*1000)</f>
        <v/>
      </c>
      <c r="I592" s="38" t="str">
        <f aca="false">IF(COUNT(D592:H592)=0,"",SUM(D592:H592))</f>
        <v/>
      </c>
      <c r="J592" s="24" t="s">
        <v>151</v>
      </c>
      <c r="K592" s="32" t="s">
        <v>152</v>
      </c>
    </row>
    <row r="594" customFormat="false" ht="15" hidden="false" customHeight="false" outlineLevel="0" collapsed="false">
      <c r="A594" s="20" t="n">
        <v>14</v>
      </c>
      <c r="B594" s="21" t="s">
        <v>165</v>
      </c>
      <c r="C594" s="22"/>
      <c r="D594" s="22"/>
      <c r="E594" s="22"/>
      <c r="F594" s="22"/>
      <c r="G594" s="22"/>
      <c r="H594" s="22"/>
      <c r="I594" s="22"/>
      <c r="J594" s="22"/>
    </row>
    <row r="595" customFormat="false" ht="15" hidden="false" customHeight="false" outlineLevel="0" collapsed="false">
      <c r="B595" s="9" t="s">
        <v>83</v>
      </c>
      <c r="C595" s="15" t="s">
        <v>29</v>
      </c>
      <c r="D595" s="8"/>
      <c r="E595" s="8"/>
      <c r="F595" s="8"/>
      <c r="G595" s="8"/>
      <c r="H595" s="8"/>
      <c r="I595" s="23"/>
      <c r="J595" s="24"/>
    </row>
    <row r="596" customFormat="false" ht="15" hidden="false" customHeight="false" outlineLevel="0" collapsed="false">
      <c r="B596" s="9" t="s">
        <v>86</v>
      </c>
      <c r="C596" s="15" t="s">
        <v>29</v>
      </c>
      <c r="D596" s="8"/>
      <c r="E596" s="8"/>
      <c r="F596" s="8"/>
      <c r="G596" s="8"/>
      <c r="H596" s="8"/>
      <c r="I596" s="23"/>
      <c r="J596" s="24"/>
    </row>
    <row r="597" customFormat="false" ht="15" hidden="false" customHeight="false" outlineLevel="0" collapsed="false">
      <c r="B597" s="9" t="s">
        <v>87</v>
      </c>
      <c r="C597" s="15" t="s">
        <v>29</v>
      </c>
      <c r="D597" s="8"/>
      <c r="E597" s="8"/>
      <c r="F597" s="8"/>
      <c r="G597" s="8"/>
      <c r="H597" s="8"/>
      <c r="I597" s="23"/>
      <c r="J597" s="24"/>
    </row>
    <row r="598" customFormat="false" ht="15" hidden="false" customHeight="false" outlineLevel="0" collapsed="false">
      <c r="B598" s="25" t="s">
        <v>88</v>
      </c>
      <c r="C598" s="26"/>
      <c r="D598" s="26"/>
      <c r="E598" s="26"/>
      <c r="F598" s="26"/>
      <c r="G598" s="26"/>
      <c r="H598" s="26"/>
      <c r="I598" s="26"/>
      <c r="J598" s="26"/>
    </row>
    <row r="599" customFormat="false" ht="15" hidden="false" customHeight="false" outlineLevel="0" collapsed="false">
      <c r="B599" s="9" t="s">
        <v>89</v>
      </c>
      <c r="C599" s="15" t="s">
        <v>90</v>
      </c>
      <c r="D599" s="8"/>
      <c r="E599" s="8"/>
      <c r="F599" s="8"/>
      <c r="G599" s="8"/>
      <c r="H599" s="8"/>
      <c r="I599" s="23"/>
      <c r="J599" s="24"/>
    </row>
    <row r="600" customFormat="false" ht="15" hidden="false" customHeight="false" outlineLevel="0" collapsed="false">
      <c r="B600" s="9" t="s">
        <v>91</v>
      </c>
      <c r="C600" s="8" t="s">
        <v>92</v>
      </c>
      <c r="D600" s="8"/>
      <c r="E600" s="8"/>
      <c r="F600" s="8"/>
      <c r="G600" s="8"/>
      <c r="H600" s="8"/>
      <c r="I600" s="23"/>
      <c r="J600" s="24" t="s">
        <v>93</v>
      </c>
    </row>
    <row r="601" customFormat="false" ht="15" hidden="false" customHeight="false" outlineLevel="0" collapsed="false">
      <c r="B601" s="9" t="s">
        <v>94</v>
      </c>
      <c r="C601" s="8" t="s">
        <v>92</v>
      </c>
      <c r="D601" s="8"/>
      <c r="E601" s="8"/>
      <c r="F601" s="8"/>
      <c r="G601" s="8"/>
      <c r="H601" s="8"/>
      <c r="I601" s="23"/>
      <c r="J601" s="24"/>
    </row>
    <row r="602" customFormat="false" ht="15" hidden="false" customHeight="false" outlineLevel="0" collapsed="false">
      <c r="B602" s="9" t="s">
        <v>95</v>
      </c>
      <c r="C602" s="8" t="s">
        <v>92</v>
      </c>
      <c r="D602" s="8"/>
      <c r="E602" s="8"/>
      <c r="F602" s="8"/>
      <c r="G602" s="8"/>
      <c r="H602" s="8"/>
      <c r="I602" s="23"/>
      <c r="J602" s="24"/>
    </row>
    <row r="603" customFormat="false" ht="15" hidden="false" customHeight="false" outlineLevel="0" collapsed="false">
      <c r="B603" s="9" t="s">
        <v>96</v>
      </c>
      <c r="C603" s="8" t="s">
        <v>92</v>
      </c>
      <c r="D603" s="8"/>
      <c r="E603" s="8"/>
      <c r="F603" s="8"/>
      <c r="G603" s="8"/>
      <c r="H603" s="8"/>
      <c r="I603" s="23"/>
      <c r="J603" s="24" t="s">
        <v>97</v>
      </c>
    </row>
    <row r="604" customFormat="false" ht="15" hidden="false" customHeight="false" outlineLevel="0" collapsed="false">
      <c r="B604" s="9" t="s">
        <v>98</v>
      </c>
      <c r="C604" s="15" t="s">
        <v>29</v>
      </c>
      <c r="D604" s="8" t="s">
        <v>99</v>
      </c>
      <c r="E604" s="8" t="s">
        <v>99</v>
      </c>
      <c r="F604" s="8" t="s">
        <v>99</v>
      </c>
      <c r="G604" s="8" t="s">
        <v>99</v>
      </c>
      <c r="H604" s="8" t="s">
        <v>99</v>
      </c>
      <c r="I604" s="23"/>
      <c r="J604" s="24"/>
    </row>
    <row r="605" customFormat="false" ht="15" hidden="false" customHeight="false" outlineLevel="0" collapsed="false">
      <c r="B605" s="9" t="s">
        <v>100</v>
      </c>
      <c r="C605" s="8" t="s">
        <v>92</v>
      </c>
      <c r="D605" s="8"/>
      <c r="E605" s="8"/>
      <c r="F605" s="8"/>
      <c r="G605" s="8"/>
      <c r="H605" s="8"/>
      <c r="I605" s="23"/>
      <c r="J605" s="24"/>
    </row>
    <row r="606" customFormat="false" ht="15" hidden="false" customHeight="false" outlineLevel="0" collapsed="false">
      <c r="B606" s="9" t="s">
        <v>101</v>
      </c>
      <c r="C606" s="8" t="s">
        <v>92</v>
      </c>
      <c r="D606" s="8"/>
      <c r="E606" s="8"/>
      <c r="F606" s="8"/>
      <c r="G606" s="8"/>
      <c r="H606" s="8"/>
      <c r="I606" s="23"/>
      <c r="J606" s="24"/>
    </row>
    <row r="607" customFormat="false" ht="15" hidden="false" customHeight="false" outlineLevel="0" collapsed="false">
      <c r="B607" s="9" t="s">
        <v>102</v>
      </c>
      <c r="C607" s="15" t="s">
        <v>29</v>
      </c>
      <c r="D607" s="8"/>
      <c r="E607" s="8"/>
      <c r="F607" s="8"/>
      <c r="G607" s="8"/>
      <c r="H607" s="8"/>
      <c r="I607" s="23"/>
      <c r="J607" s="24"/>
    </row>
    <row r="608" customFormat="false" ht="15" hidden="false" customHeight="false" outlineLevel="0" collapsed="false">
      <c r="B608" s="9" t="s">
        <v>104</v>
      </c>
      <c r="C608" s="8" t="s">
        <v>92</v>
      </c>
      <c r="D608" s="8"/>
      <c r="E608" s="8"/>
      <c r="F608" s="8"/>
      <c r="G608" s="8"/>
      <c r="H608" s="8"/>
      <c r="I608" s="23"/>
      <c r="J608" s="24"/>
    </row>
    <row r="609" customFormat="false" ht="15" hidden="false" customHeight="false" outlineLevel="0" collapsed="false">
      <c r="B609" s="9" t="s">
        <v>105</v>
      </c>
      <c r="C609" s="8" t="s">
        <v>92</v>
      </c>
      <c r="D609" s="8"/>
      <c r="E609" s="8"/>
      <c r="F609" s="8"/>
      <c r="G609" s="8"/>
      <c r="H609" s="8"/>
      <c r="I609" s="23"/>
      <c r="J609" s="24"/>
    </row>
    <row r="610" customFormat="false" ht="15" hidden="false" customHeight="false" outlineLevel="0" collapsed="false">
      <c r="B610" s="9" t="s">
        <v>106</v>
      </c>
      <c r="C610" s="15" t="s">
        <v>29</v>
      </c>
      <c r="D610" s="8"/>
      <c r="E610" s="8"/>
      <c r="F610" s="8"/>
      <c r="G610" s="8"/>
      <c r="H610" s="8"/>
      <c r="I610" s="23"/>
      <c r="J610" s="24"/>
    </row>
    <row r="611" customFormat="false" ht="15" hidden="false" customHeight="false" outlineLevel="0" collapsed="false">
      <c r="B611" s="9" t="s">
        <v>108</v>
      </c>
      <c r="C611" s="8" t="s">
        <v>109</v>
      </c>
      <c r="D611" s="8"/>
      <c r="E611" s="8"/>
      <c r="F611" s="8"/>
      <c r="G611" s="8"/>
      <c r="H611" s="8"/>
      <c r="I611" s="23"/>
      <c r="J611" s="24" t="s">
        <v>110</v>
      </c>
    </row>
    <row r="612" customFormat="false" ht="15" hidden="false" customHeight="false" outlineLevel="0" collapsed="false">
      <c r="B612" s="9" t="s">
        <v>111</v>
      </c>
      <c r="C612" s="8" t="s">
        <v>112</v>
      </c>
      <c r="D612" s="8"/>
      <c r="E612" s="8"/>
      <c r="F612" s="8"/>
      <c r="G612" s="8"/>
      <c r="H612" s="8"/>
      <c r="I612" s="23"/>
      <c r="J612" s="24"/>
    </row>
    <row r="613" customFormat="false" ht="15" hidden="false" customHeight="false" outlineLevel="0" collapsed="false">
      <c r="B613" s="25" t="s">
        <v>113</v>
      </c>
      <c r="C613" s="26"/>
      <c r="D613" s="26"/>
      <c r="E613" s="26"/>
      <c r="F613" s="26"/>
      <c r="G613" s="26"/>
      <c r="H613" s="26"/>
      <c r="I613" s="26"/>
      <c r="J613" s="26"/>
    </row>
    <row r="614" customFormat="false" ht="15" hidden="false" customHeight="false" outlineLevel="0" collapsed="false">
      <c r="B614" s="9" t="s">
        <v>114</v>
      </c>
      <c r="C614" s="8" t="s">
        <v>92</v>
      </c>
      <c r="D614" s="8"/>
      <c r="E614" s="8"/>
      <c r="F614" s="8"/>
      <c r="G614" s="8"/>
      <c r="H614" s="8"/>
      <c r="I614" s="23"/>
      <c r="J614" s="24" t="s">
        <v>115</v>
      </c>
    </row>
    <row r="615" customFormat="false" ht="15" hidden="false" customHeight="false" outlineLevel="0" collapsed="false">
      <c r="B615" s="9" t="s">
        <v>116</v>
      </c>
      <c r="C615" s="8" t="s">
        <v>92</v>
      </c>
      <c r="D615" s="8"/>
      <c r="E615" s="8"/>
      <c r="F615" s="8"/>
      <c r="G615" s="8"/>
      <c r="H615" s="8"/>
      <c r="I615" s="23"/>
      <c r="J615" s="24" t="s">
        <v>117</v>
      </c>
    </row>
    <row r="616" customFormat="false" ht="15" hidden="false" customHeight="false" outlineLevel="0" collapsed="false">
      <c r="B616" s="9" t="s">
        <v>118</v>
      </c>
      <c r="C616" s="15" t="s">
        <v>29</v>
      </c>
      <c r="D616" s="8"/>
      <c r="E616" s="8"/>
      <c r="F616" s="8"/>
      <c r="G616" s="8"/>
      <c r="H616" s="8"/>
      <c r="I616" s="23"/>
      <c r="J616" s="24"/>
    </row>
    <row r="617" customFormat="false" ht="15" hidden="false" customHeight="false" outlineLevel="0" collapsed="false">
      <c r="B617" s="9" t="s">
        <v>119</v>
      </c>
      <c r="C617" s="8" t="s">
        <v>112</v>
      </c>
      <c r="D617" s="8"/>
      <c r="E617" s="8"/>
      <c r="F617" s="8"/>
      <c r="G617" s="8"/>
      <c r="H617" s="8"/>
      <c r="I617" s="23"/>
      <c r="J617" s="24"/>
    </row>
    <row r="618" customFormat="false" ht="15" hidden="false" customHeight="false" outlineLevel="0" collapsed="false">
      <c r="B618" s="25" t="s">
        <v>120</v>
      </c>
      <c r="C618" s="26"/>
      <c r="D618" s="26"/>
      <c r="E618" s="26"/>
      <c r="F618" s="26"/>
      <c r="G618" s="26"/>
      <c r="H618" s="26"/>
      <c r="I618" s="26"/>
      <c r="J618" s="26"/>
    </row>
    <row r="619" customFormat="false" ht="15" hidden="false" customHeight="false" outlineLevel="0" collapsed="false">
      <c r="B619" s="9" t="s">
        <v>121</v>
      </c>
      <c r="C619" s="15" t="s">
        <v>29</v>
      </c>
      <c r="D619" s="8" t="s">
        <v>122</v>
      </c>
      <c r="E619" s="8" t="s">
        <v>122</v>
      </c>
      <c r="F619" s="8" t="s">
        <v>122</v>
      </c>
      <c r="G619" s="8" t="s">
        <v>122</v>
      </c>
      <c r="H619" s="8" t="s">
        <v>122</v>
      </c>
      <c r="I619" s="23"/>
      <c r="J619" s="24"/>
    </row>
    <row r="620" customFormat="false" ht="15" hidden="false" customHeight="false" outlineLevel="0" collapsed="false">
      <c r="B620" s="9" t="s">
        <v>123</v>
      </c>
      <c r="C620" s="15" t="s">
        <v>29</v>
      </c>
      <c r="D620" s="8" t="s">
        <v>122</v>
      </c>
      <c r="E620" s="8" t="s">
        <v>122</v>
      </c>
      <c r="F620" s="8" t="s">
        <v>122</v>
      </c>
      <c r="G620" s="8" t="s">
        <v>122</v>
      </c>
      <c r="H620" s="8" t="s">
        <v>122</v>
      </c>
      <c r="I620" s="23"/>
      <c r="J620" s="24"/>
    </row>
    <row r="621" customFormat="false" ht="15" hidden="false" customHeight="false" outlineLevel="0" collapsed="false">
      <c r="B621" s="25" t="s">
        <v>124</v>
      </c>
      <c r="C621" s="26"/>
      <c r="D621" s="26"/>
      <c r="E621" s="26"/>
      <c r="F621" s="26"/>
      <c r="G621" s="26"/>
      <c r="H621" s="26"/>
      <c r="I621" s="26"/>
      <c r="J621" s="26"/>
    </row>
    <row r="622" customFormat="false" ht="15" hidden="false" customHeight="false" outlineLevel="0" collapsed="false">
      <c r="B622" s="9" t="s">
        <v>125</v>
      </c>
      <c r="C622" s="15" t="s">
        <v>92</v>
      </c>
      <c r="D622" s="27" t="str">
        <f aca="false">IF(ISNUMBER(D600),D600*INDEX(LenF,MATCH($C$600,LenU,0))*1000,IF(ISNUMBER(D603),D603*INDEX(LenF,MATCH($C$603,LenU,0))/PitchRatio*1000,""))</f>
        <v/>
      </c>
      <c r="E622" s="27" t="str">
        <f aca="false">IF(ISNUMBER(E600),E600*INDEX(LenF,MATCH($C$600,LenU,0))*1000,IF(ISNUMBER(E603),E603*INDEX(LenF,MATCH($C$603,LenU,0))/PitchRatio*1000,""))</f>
        <v/>
      </c>
      <c r="F622" s="27" t="str">
        <f aca="false">IF(ISNUMBER(F600),F600*INDEX(LenF,MATCH($C$600,LenU,0))*1000,IF(ISNUMBER(F603),F603*INDEX(LenF,MATCH($C$603,LenU,0))/PitchRatio*1000,""))</f>
        <v/>
      </c>
      <c r="G622" s="27" t="str">
        <f aca="false">IF(ISNUMBER(G600),G600*INDEX(LenF,MATCH($C$600,LenU,0))*1000,IF(ISNUMBER(G603),G603*INDEX(LenF,MATCH($C$603,LenU,0))/PitchRatio*1000,""))</f>
        <v/>
      </c>
      <c r="H622" s="27" t="str">
        <f aca="false">IF(ISNUMBER(H600),H600*INDEX(LenF,MATCH($C$600,LenU,0))*1000,IF(ISNUMBER(H603),H603*INDEX(LenF,MATCH($C$603,LenU,0))/PitchRatio*1000,""))</f>
        <v/>
      </c>
      <c r="I622" s="28"/>
      <c r="J622" s="24" t="s">
        <v>126</v>
      </c>
    </row>
    <row r="623" customFormat="false" ht="15" hidden="false" customHeight="false" outlineLevel="0" collapsed="false">
      <c r="B623" s="9" t="s">
        <v>127</v>
      </c>
      <c r="C623" s="15" t="s">
        <v>109</v>
      </c>
      <c r="D623" s="29" t="str">
        <f aca="false">IF(AND(ISNUMBER(D599),ISNUMBER(D601),ISNUMBER(D602)),D599*PI()/4*(D601*INDEX(LenF,MATCH($C$601,LenU,0)))^2*D602*INDEX(LenF,MATCH($C$602,LenU,0)),"")</f>
        <v/>
      </c>
      <c r="E623" s="29" t="str">
        <f aca="false">IF(AND(ISNUMBER(E599),ISNUMBER(E601),ISNUMBER(E602)),E599*PI()/4*(E601*INDEX(LenF,MATCH($C$601,LenU,0)))^2*E602*INDEX(LenF,MATCH($C$602,LenU,0)),"")</f>
        <v/>
      </c>
      <c r="F623" s="29" t="str">
        <f aca="false">IF(AND(ISNUMBER(F599),ISNUMBER(F601),ISNUMBER(F602)),F599*PI()/4*(F601*INDEX(LenF,MATCH($C$601,LenU,0)))^2*F602*INDEX(LenF,MATCH($C$602,LenU,0)),"")</f>
        <v/>
      </c>
      <c r="G623" s="29" t="str">
        <f aca="false">IF(AND(ISNUMBER(G599),ISNUMBER(G601),ISNUMBER(G602)),G599*PI()/4*(G601*INDEX(LenF,MATCH($C$601,LenU,0)))^2*G602*INDEX(LenF,MATCH($C$602,LenU,0)),"")</f>
        <v/>
      </c>
      <c r="H623" s="29" t="str">
        <f aca="false">IF(AND(ISNUMBER(H599),ISNUMBER(H601),ISNUMBER(H602)),H599*PI()/4*(H601*INDEX(LenF,MATCH($C$601,LenU,0)))^2*H602*INDEX(LenF,MATCH($C$602,LenU,0)),"")</f>
        <v/>
      </c>
      <c r="I623" s="30" t="str">
        <f aca="false">IF(COUNT(D623:H623)=0,"",SUM(D623:H623))</f>
        <v/>
      </c>
      <c r="J623" s="24"/>
    </row>
    <row r="624" customFormat="false" ht="15" hidden="false" customHeight="false" outlineLevel="0" collapsed="false">
      <c r="B624" s="9" t="s">
        <v>128</v>
      </c>
      <c r="C624" s="15" t="s">
        <v>109</v>
      </c>
      <c r="D624" s="29" t="n">
        <f aca="false">IF(ISNUMBER(D611),D611*INDEX(VolF,MATCH($C$611,VolU,0)),IF(ISNUMBER(D605),PI()/4*(D605*INDEX(LenF,MATCH($C$605,LenU,0)))^2*N(D606)*INDEX(LenF,MATCH($C$606,LenU,0))+IF(D607="",0,IF(D607="Conical",PI()/12*(D605*INDEX(LenF,MATCH($C$605,LenU,0)))^2*(0),INDEX(HeadK,MATCH(D607,HeadU,0))*(D605*INDEX(LenF,MATCH($C$605,LenU,0)))^3)),0)+IF(ISNUMBER(D608),PI()/4*(D608*INDEX(LenF,MATCH($C$608,LenU,0)))^2*N(D609)*INDEX(LenF,MATCH($C$609,LenU,0))+IF(D610="",0,IF(D610="Conical",PI()/12*(D608*INDEX(LenF,MATCH($C$608,LenU,0)))^2*(0),INDEX(HeadK,MATCH(D610,HeadU,0))*(D608*INDEX(LenF,MATCH($C$608,LenU,0)))^3)),0))</f>
        <v>0</v>
      </c>
      <c r="E624" s="29" t="n">
        <f aca="false">IF(ISNUMBER(E611),E611*INDEX(VolF,MATCH($C$611,VolU,0)),IF(ISNUMBER(E605),PI()/4*(E605*INDEX(LenF,MATCH($C$605,LenU,0)))^2*N(E606)*INDEX(LenF,MATCH($C$606,LenU,0))+IF(E607="",0,IF(E607="Conical",PI()/12*(E605*INDEX(LenF,MATCH($C$605,LenU,0)))^2*(0),INDEX(HeadK,MATCH(E607,HeadU,0))*(E605*INDEX(LenF,MATCH($C$605,LenU,0)))^3)),0)+IF(ISNUMBER(E608),PI()/4*(E608*INDEX(LenF,MATCH($C$608,LenU,0)))^2*N(E609)*INDEX(LenF,MATCH($C$609,LenU,0))+IF(E610="",0,IF(E610="Conical",PI()/12*(E608*INDEX(LenF,MATCH($C$608,LenU,0)))^2*(0),INDEX(HeadK,MATCH(E610,HeadU,0))*(E608*INDEX(LenF,MATCH($C$608,LenU,0)))^3)),0))</f>
        <v>0</v>
      </c>
      <c r="F624" s="29" t="n">
        <f aca="false">IF(ISNUMBER(F611),F611*INDEX(VolF,MATCH($C$611,VolU,0)),IF(ISNUMBER(F605),PI()/4*(F605*INDEX(LenF,MATCH($C$605,LenU,0)))^2*N(F606)*INDEX(LenF,MATCH($C$606,LenU,0))+IF(F607="",0,IF(F607="Conical",PI()/12*(F605*INDEX(LenF,MATCH($C$605,LenU,0)))^2*(0),INDEX(HeadK,MATCH(F607,HeadU,0))*(F605*INDEX(LenF,MATCH($C$605,LenU,0)))^3)),0)+IF(ISNUMBER(F608),PI()/4*(F608*INDEX(LenF,MATCH($C$608,LenU,0)))^2*N(F609)*INDEX(LenF,MATCH($C$609,LenU,0))+IF(F610="",0,IF(F610="Conical",PI()/12*(F608*INDEX(LenF,MATCH($C$608,LenU,0)))^2*(0),INDEX(HeadK,MATCH(F610,HeadU,0))*(F608*INDEX(LenF,MATCH($C$608,LenU,0)))^3)),0))</f>
        <v>0</v>
      </c>
      <c r="G624" s="29" t="n">
        <f aca="false">IF(ISNUMBER(G611),G611*INDEX(VolF,MATCH($C$611,VolU,0)),IF(ISNUMBER(G605),PI()/4*(G605*INDEX(LenF,MATCH($C$605,LenU,0)))^2*N(G606)*INDEX(LenF,MATCH($C$606,LenU,0))+IF(G607="",0,IF(G607="Conical",PI()/12*(G605*INDEX(LenF,MATCH($C$605,LenU,0)))^2*(0),INDEX(HeadK,MATCH(G607,HeadU,0))*(G605*INDEX(LenF,MATCH($C$605,LenU,0)))^3)),0)+IF(ISNUMBER(G608),PI()/4*(G608*INDEX(LenF,MATCH($C$608,LenU,0)))^2*N(G609)*INDEX(LenF,MATCH($C$609,LenU,0))+IF(G610="",0,IF(G610="Conical",PI()/12*(G608*INDEX(LenF,MATCH($C$608,LenU,0)))^2*(0),INDEX(HeadK,MATCH(G610,HeadU,0))*(G608*INDEX(LenF,MATCH($C$608,LenU,0)))^3)),0))</f>
        <v>0</v>
      </c>
      <c r="H624" s="29" t="n">
        <f aca="false">IF(ISNUMBER(H611),H611*INDEX(VolF,MATCH($C$611,VolU,0)),IF(ISNUMBER(H605),PI()/4*(H605*INDEX(LenF,MATCH($C$605,LenU,0)))^2*N(H606)*INDEX(LenF,MATCH($C$606,LenU,0))+IF(H607="",0,IF(H607="Conical",PI()/12*(H605*INDEX(LenF,MATCH($C$605,LenU,0)))^2*(0),INDEX(HeadK,MATCH(H607,HeadU,0))*(H605*INDEX(LenF,MATCH($C$605,LenU,0)))^3)),0)+IF(ISNUMBER(H608),PI()/4*(H608*INDEX(LenF,MATCH($C$608,LenU,0)))^2*N(H609)*INDEX(LenF,MATCH($C$609,LenU,0))+IF(H610="",0,IF(H610="Conical",PI()/12*(H608*INDEX(LenF,MATCH($C$608,LenU,0)))^2*(0),INDEX(HeadK,MATCH(H610,HeadU,0))*(H608*INDEX(LenF,MATCH($C$608,LenU,0)))^3)),0))</f>
        <v>0</v>
      </c>
      <c r="I624" s="30" t="n">
        <f aca="false">IF(COUNT(D624:H624)=0,"",SUM(D624:H624))</f>
        <v>0</v>
      </c>
      <c r="J624" s="24" t="s">
        <v>129</v>
      </c>
    </row>
    <row r="625" customFormat="false" ht="15" hidden="false" customHeight="false" outlineLevel="0" collapsed="false">
      <c r="B625" s="9" t="s">
        <v>130</v>
      </c>
      <c r="C625" s="15" t="s">
        <v>109</v>
      </c>
      <c r="D625" s="29" t="str">
        <f aca="false">IF(D623="","",D623+D624)</f>
        <v/>
      </c>
      <c r="E625" s="29" t="str">
        <f aca="false">IF(E623="","",E623+E624)</f>
        <v/>
      </c>
      <c r="F625" s="29" t="str">
        <f aca="false">IF(F623="","",F623+F624)</f>
        <v/>
      </c>
      <c r="G625" s="29" t="str">
        <f aca="false">IF(G623="","",G623+G624)</f>
        <v/>
      </c>
      <c r="H625" s="29" t="str">
        <f aca="false">IF(H623="","",H623+H624)</f>
        <v/>
      </c>
      <c r="I625" s="30" t="str">
        <f aca="false">IF(COUNT(D625:H625)=0,"",SUM(D625:H625))</f>
        <v/>
      </c>
      <c r="J625" s="24"/>
    </row>
    <row r="626" customFormat="false" ht="15" hidden="false" customHeight="false" outlineLevel="0" collapsed="false">
      <c r="B626" s="9" t="s">
        <v>131</v>
      </c>
      <c r="C626" s="15" t="s">
        <v>109</v>
      </c>
      <c r="D626" s="29" t="str">
        <f aca="false">IF(ISNUMBER(D612),D612*INDEX(WtF,MATCH($C$612,WtU,0))/WaterRho,"")</f>
        <v/>
      </c>
      <c r="E626" s="29" t="str">
        <f aca="false">IF(ISNUMBER(E612),E612*INDEX(WtF,MATCH($C$612,WtU,0))/WaterRho,"")</f>
        <v/>
      </c>
      <c r="F626" s="29" t="str">
        <f aca="false">IF(ISNUMBER(F612),F612*INDEX(WtF,MATCH($C$612,WtU,0))/WaterRho,"")</f>
        <v/>
      </c>
      <c r="G626" s="29" t="str">
        <f aca="false">IF(ISNUMBER(G612),G612*INDEX(WtF,MATCH($C$612,WtU,0))/WaterRho,"")</f>
        <v/>
      </c>
      <c r="H626" s="29" t="str">
        <f aca="false">IF(ISNUMBER(H612),H612*INDEX(WtF,MATCH($C$612,WtU,0))/WaterRho,"")</f>
        <v/>
      </c>
      <c r="I626" s="30" t="str">
        <f aca="false">IF(COUNT(D626:H626)=0,"",SUM(D626:H626))</f>
        <v/>
      </c>
      <c r="J626" s="24"/>
    </row>
    <row r="627" customFormat="false" ht="15" hidden="false" customHeight="false" outlineLevel="0" collapsed="false">
      <c r="B627" s="4" t="s">
        <v>132</v>
      </c>
      <c r="C627" s="15" t="s">
        <v>109</v>
      </c>
      <c r="D627" s="31" t="str">
        <f aca="false">IF(D619="Water weight",D626,D625)</f>
        <v/>
      </c>
      <c r="E627" s="31" t="str">
        <f aca="false">IF(E619="Water weight",E626,E625)</f>
        <v/>
      </c>
      <c r="F627" s="31" t="str">
        <f aca="false">IF(F619="Water weight",F626,F625)</f>
        <v/>
      </c>
      <c r="G627" s="31" t="str">
        <f aca="false">IF(G619="Water weight",G626,G625)</f>
        <v/>
      </c>
      <c r="H627" s="31" t="str">
        <f aca="false">IF(H619="Water weight",H626,H625)</f>
        <v/>
      </c>
      <c r="I627" s="31" t="str">
        <f aca="false">IF(COUNT(D627:H627)=0,"",SUM(D627:H627))</f>
        <v/>
      </c>
      <c r="J627" s="24"/>
      <c r="K627" s="32" t="s">
        <v>133</v>
      </c>
    </row>
    <row r="628" customFormat="false" ht="15" hidden="false" customHeight="false" outlineLevel="0" collapsed="false">
      <c r="B628" s="9" t="s">
        <v>134</v>
      </c>
      <c r="C628" s="15" t="s">
        <v>135</v>
      </c>
      <c r="D628" s="33" t="str">
        <f aca="false">IF(ISNUMBER(D614),PI()/4*(D614*INDEX(LenF,MATCH($C$614,LenU,0)))^2,IF(AND(ISNUMBER(D599),ISNUMBER(D603),D604&lt;&gt;""),D599*(D603*INDEX(LenF,MATCH($C$603,LenU,0)))^2*INDEX(LayoutF,MATCH(D604,LayoutU,0)),""))</f>
        <v/>
      </c>
      <c r="E628" s="33" t="str">
        <f aca="false">IF(ISNUMBER(E614),PI()/4*(E614*INDEX(LenF,MATCH($C$614,LenU,0)))^2,IF(AND(ISNUMBER(E599),ISNUMBER(E603),E604&lt;&gt;""),E599*(E603*INDEX(LenF,MATCH($C$603,LenU,0)))^2*INDEX(LayoutF,MATCH(E604,LayoutU,0)),""))</f>
        <v/>
      </c>
      <c r="F628" s="33" t="str">
        <f aca="false">IF(ISNUMBER(F614),PI()/4*(F614*INDEX(LenF,MATCH($C$614,LenU,0)))^2,IF(AND(ISNUMBER(F599),ISNUMBER(F603),F604&lt;&gt;""),F599*(F603*INDEX(LenF,MATCH($C$603,LenU,0)))^2*INDEX(LayoutF,MATCH(F604,LayoutU,0)),""))</f>
        <v/>
      </c>
      <c r="G628" s="33" t="str">
        <f aca="false">IF(ISNUMBER(G614),PI()/4*(G614*INDEX(LenF,MATCH($C$614,LenU,0)))^2,IF(AND(ISNUMBER(G599),ISNUMBER(G603),G604&lt;&gt;""),G599*(G603*INDEX(LenF,MATCH($C$603,LenU,0)))^2*INDEX(LayoutF,MATCH(G604,LayoutU,0)),""))</f>
        <v/>
      </c>
      <c r="H628" s="33" t="str">
        <f aca="false">IF(ISNUMBER(H614),PI()/4*(H614*INDEX(LenF,MATCH($C$614,LenU,0)))^2,IF(AND(ISNUMBER(H599),ISNUMBER(H603),H604&lt;&gt;""),H599*(H603*INDEX(LenF,MATCH($C$603,LenU,0)))^2*INDEX(LayoutF,MATCH(H604,LayoutU,0)),""))</f>
        <v/>
      </c>
      <c r="I628" s="34"/>
      <c r="J628" s="24" t="s">
        <v>136</v>
      </c>
    </row>
    <row r="629" customFormat="false" ht="15" hidden="false" customHeight="false" outlineLevel="0" collapsed="false">
      <c r="B629" s="9" t="s">
        <v>137</v>
      </c>
      <c r="C629" s="15" t="s">
        <v>109</v>
      </c>
      <c r="D629" s="29" t="str">
        <f aca="false">IF(OR(D628="",AND(NOT(ISNUMBER(D615)),NOT(ISNUMBER(D602)))),"",D628*IF(ISNUMBER(D615),D615*INDEX(LenF,MATCH($C$615,LenU,0)),D602*INDEX(LenF,MATCH($C$602,LenU,0)))+IF(D616="",0,IF(D616="Conical",PI()/12*(SQRT(4*D628/PI()))^2*(0),INDEX(HeadK,MATCH(D616,HeadU,0))*(SQRT(4*D628/PI()))^3)))</f>
        <v/>
      </c>
      <c r="E629" s="29" t="str">
        <f aca="false">IF(OR(E628="",AND(NOT(ISNUMBER(E615)),NOT(ISNUMBER(E602)))),"",E628*IF(ISNUMBER(E615),E615*INDEX(LenF,MATCH($C$615,LenU,0)),E602*INDEX(LenF,MATCH($C$602,LenU,0)))+IF(E616="",0,IF(E616="Conical",PI()/12*(SQRT(4*E628/PI()))^2*(0),INDEX(HeadK,MATCH(E616,HeadU,0))*(SQRT(4*E628/PI()))^3)))</f>
        <v/>
      </c>
      <c r="F629" s="29" t="str">
        <f aca="false">IF(OR(F628="",AND(NOT(ISNUMBER(F615)),NOT(ISNUMBER(F602)))),"",F628*IF(ISNUMBER(F615),F615*INDEX(LenF,MATCH($C$615,LenU,0)),F602*INDEX(LenF,MATCH($C$602,LenU,0)))+IF(F616="",0,IF(F616="Conical",PI()/12*(SQRT(4*F628/PI()))^2*(0),INDEX(HeadK,MATCH(F616,HeadU,0))*(SQRT(4*F628/PI()))^3)))</f>
        <v/>
      </c>
      <c r="G629" s="29" t="str">
        <f aca="false">IF(OR(G628="",AND(NOT(ISNUMBER(G615)),NOT(ISNUMBER(G602)))),"",G628*IF(ISNUMBER(G615),G615*INDEX(LenF,MATCH($C$615,LenU,0)),G602*INDEX(LenF,MATCH($C$602,LenU,0)))+IF(G616="",0,IF(G616="Conical",PI()/12*(SQRT(4*G628/PI()))^2*(0),INDEX(HeadK,MATCH(G616,HeadU,0))*(SQRT(4*G628/PI()))^3)))</f>
        <v/>
      </c>
      <c r="H629" s="29" t="str">
        <f aca="false">IF(OR(H628="",AND(NOT(ISNUMBER(H615)),NOT(ISNUMBER(H602)))),"",H628*IF(ISNUMBER(H615),H615*INDEX(LenF,MATCH($C$615,LenU,0)),H602*INDEX(LenF,MATCH($C$602,LenU,0)))+IF(H616="",0,IF(H616="Conical",PI()/12*(SQRT(4*H628/PI()))^2*(0),INDEX(HeadK,MATCH(H616,HeadU,0))*(SQRT(4*H628/PI()))^3)))</f>
        <v/>
      </c>
      <c r="I629" s="30" t="str">
        <f aca="false">IF(COUNT(D629:H629)=0,"",SUM(D629:H629))</f>
        <v/>
      </c>
      <c r="J629" s="24"/>
    </row>
    <row r="630" customFormat="false" ht="15" hidden="false" customHeight="false" outlineLevel="0" collapsed="false">
      <c r="B630" s="9" t="s">
        <v>138</v>
      </c>
      <c r="C630" s="15" t="s">
        <v>109</v>
      </c>
      <c r="D630" s="29" t="str">
        <f aca="false">IF(AND(ISNUMBER(D599),ISNUMBER(D622),ISNUMBER(D602)),D599*PI()/4*(D622/1000)^2*D602*INDEX(LenF,MATCH($C$602,LenU,0)),"")</f>
        <v/>
      </c>
      <c r="E630" s="29" t="str">
        <f aca="false">IF(AND(ISNUMBER(E599),ISNUMBER(E622),ISNUMBER(E602)),E599*PI()/4*(E622/1000)^2*E602*INDEX(LenF,MATCH($C$602,LenU,0)),"")</f>
        <v/>
      </c>
      <c r="F630" s="29" t="str">
        <f aca="false">IF(AND(ISNUMBER(F599),ISNUMBER(F622),ISNUMBER(F602)),F599*PI()/4*(F622/1000)^2*F602*INDEX(LenF,MATCH($C$602,LenU,0)),"")</f>
        <v/>
      </c>
      <c r="G630" s="29" t="str">
        <f aca="false">IF(AND(ISNUMBER(G599),ISNUMBER(G622),ISNUMBER(G602)),G599*PI()/4*(G622/1000)^2*G602*INDEX(LenF,MATCH($C$602,LenU,0)),"")</f>
        <v/>
      </c>
      <c r="H630" s="29" t="str">
        <f aca="false">IF(AND(ISNUMBER(H599),ISNUMBER(H622),ISNUMBER(H602)),H599*PI()/4*(H622/1000)^2*H602*INDEX(LenF,MATCH($C$602,LenU,0)),"")</f>
        <v/>
      </c>
      <c r="I630" s="30" t="str">
        <f aca="false">IF(COUNT(D630:H630)=0,"",SUM(D630:H630))</f>
        <v/>
      </c>
      <c r="J630" s="24"/>
    </row>
    <row r="631" customFormat="false" ht="15" hidden="false" customHeight="false" outlineLevel="0" collapsed="false">
      <c r="B631" s="9" t="s">
        <v>139</v>
      </c>
      <c r="C631" s="15" t="s">
        <v>109</v>
      </c>
      <c r="D631" s="29" t="str">
        <f aca="false">IF(OR(D629="",D630=""),"",D629-D630)</f>
        <v/>
      </c>
      <c r="E631" s="29" t="str">
        <f aca="false">IF(OR(E629="",E630=""),"",E629-E630)</f>
        <v/>
      </c>
      <c r="F631" s="29" t="str">
        <f aca="false">IF(OR(F629="",F630=""),"",F629-F630)</f>
        <v/>
      </c>
      <c r="G631" s="29" t="str">
        <f aca="false">IF(OR(G629="",G630=""),"",G629-G630)</f>
        <v/>
      </c>
      <c r="H631" s="29" t="str">
        <f aca="false">IF(OR(H629="",H630=""),"",H629-H630)</f>
        <v/>
      </c>
      <c r="I631" s="30" t="str">
        <f aca="false">IF(COUNT(D631:H631)=0,"",SUM(D631:H631))</f>
        <v/>
      </c>
      <c r="J631" s="24" t="s">
        <v>140</v>
      </c>
    </row>
    <row r="632" customFormat="false" ht="15" hidden="false" customHeight="false" outlineLevel="0" collapsed="false">
      <c r="B632" s="9" t="s">
        <v>141</v>
      </c>
      <c r="C632" s="15" t="s">
        <v>109</v>
      </c>
      <c r="D632" s="29" t="str">
        <f aca="false">IF(ISNUMBER(D617),D617*INDEX(WtF,MATCH($C$617,WtU,0))/WaterRho,"")</f>
        <v/>
      </c>
      <c r="E632" s="29" t="str">
        <f aca="false">IF(ISNUMBER(E617),E617*INDEX(WtF,MATCH($C$617,WtU,0))/WaterRho,"")</f>
        <v/>
      </c>
      <c r="F632" s="29" t="str">
        <f aca="false">IF(ISNUMBER(F617),F617*INDEX(WtF,MATCH($C$617,WtU,0))/WaterRho,"")</f>
        <v/>
      </c>
      <c r="G632" s="29" t="str">
        <f aca="false">IF(ISNUMBER(G617),G617*INDEX(WtF,MATCH($C$617,WtU,0))/WaterRho,"")</f>
        <v/>
      </c>
      <c r="H632" s="29" t="str">
        <f aca="false">IF(ISNUMBER(H617),H617*INDEX(WtF,MATCH($C$617,WtU,0))/WaterRho,"")</f>
        <v/>
      </c>
      <c r="I632" s="30" t="str">
        <f aca="false">IF(COUNT(D632:H632)=0,"",SUM(D632:H632))</f>
        <v/>
      </c>
      <c r="J632" s="24"/>
    </row>
    <row r="633" customFormat="false" ht="15" hidden="false" customHeight="false" outlineLevel="0" collapsed="false">
      <c r="B633" s="4" t="s">
        <v>142</v>
      </c>
      <c r="C633" s="15" t="s">
        <v>109</v>
      </c>
      <c r="D633" s="31" t="str">
        <f aca="false">IF(D620="Water weight",D632,D631)</f>
        <v/>
      </c>
      <c r="E633" s="31" t="str">
        <f aca="false">IF(E620="Water weight",E632,E631)</f>
        <v/>
      </c>
      <c r="F633" s="31" t="str">
        <f aca="false">IF(F620="Water weight",F632,F631)</f>
        <v/>
      </c>
      <c r="G633" s="31" t="str">
        <f aca="false">IF(G620="Water weight",G632,G631)</f>
        <v/>
      </c>
      <c r="H633" s="31" t="str">
        <f aca="false">IF(H620="Water weight",H632,H631)</f>
        <v/>
      </c>
      <c r="I633" s="31" t="str">
        <f aca="false">IF(COUNT(D633:H633)=0,"",SUM(D633:H633))</f>
        <v/>
      </c>
      <c r="J633" s="24"/>
      <c r="K633" s="32" t="s">
        <v>143</v>
      </c>
    </row>
    <row r="634" customFormat="false" ht="15" hidden="false" customHeight="false" outlineLevel="0" collapsed="false">
      <c r="B634" s="4" t="s">
        <v>144</v>
      </c>
      <c r="C634" s="15" t="s">
        <v>109</v>
      </c>
      <c r="D634" s="31" t="str">
        <f aca="false">IF(AND(D627="",D633=""),"",N(D627)+N(D633))</f>
        <v/>
      </c>
      <c r="E634" s="31" t="str">
        <f aca="false">IF(AND(E627="",E633=""),"",N(E627)+N(E633))</f>
        <v/>
      </c>
      <c r="F634" s="31" t="str">
        <f aca="false">IF(AND(F627="",F633=""),"",N(F627)+N(F633))</f>
        <v/>
      </c>
      <c r="G634" s="31" t="str">
        <f aca="false">IF(AND(G627="",G633=""),"",N(G627)+N(G633))</f>
        <v/>
      </c>
      <c r="H634" s="31" t="str">
        <f aca="false">IF(AND(H627="",H633=""),"",N(H627)+N(H633))</f>
        <v/>
      </c>
      <c r="I634" s="31" t="str">
        <f aca="false">IF(COUNT(D634:H634)=0,"",SUM(D634:H634))</f>
        <v/>
      </c>
      <c r="J634" s="24"/>
      <c r="K634" s="32" t="s">
        <v>145</v>
      </c>
    </row>
    <row r="635" customFormat="false" ht="15" hidden="false" customHeight="false" outlineLevel="0" collapsed="false">
      <c r="B635" s="9" t="s">
        <v>60</v>
      </c>
      <c r="C635" s="15" t="s">
        <v>146</v>
      </c>
      <c r="D635" s="35" t="str">
        <f aca="false">IF(D634="","",IF(JobType="Chemical Cleaning",CC_HX,INDEX(DecFill,MATCH("Exchanger",DecTypeU,0))))</f>
        <v/>
      </c>
      <c r="E635" s="35" t="str">
        <f aca="false">IF(E634="","",IF(JobType="Chemical Cleaning",CC_HX,INDEX(DecFill,MATCH("Exchanger",DecTypeU,0))))</f>
        <v/>
      </c>
      <c r="F635" s="35" t="str">
        <f aca="false">IF(F634="","",IF(JobType="Chemical Cleaning",CC_HX,INDEX(DecFill,MATCH("Exchanger",DecTypeU,0))))</f>
        <v/>
      </c>
      <c r="G635" s="35" t="str">
        <f aca="false">IF(G634="","",IF(JobType="Chemical Cleaning",CC_HX,INDEX(DecFill,MATCH("Exchanger",DecTypeU,0))))</f>
        <v/>
      </c>
      <c r="H635" s="35" t="str">
        <f aca="false">IF(H634="","",IF(JobType="Chemical Cleaning",CC_HX,INDEX(DecFill,MATCH("Exchanger",DecTypeU,0))))</f>
        <v/>
      </c>
      <c r="I635" s="36"/>
      <c r="J635" s="24" t="s">
        <v>147</v>
      </c>
    </row>
    <row r="636" customFormat="false" ht="15" hidden="false" customHeight="false" outlineLevel="0" collapsed="false">
      <c r="B636" s="4" t="s">
        <v>148</v>
      </c>
      <c r="C636" s="15" t="s">
        <v>109</v>
      </c>
      <c r="D636" s="31" t="str">
        <f aca="false">IF(OR(D634="",D635=""),"",D634*D635)</f>
        <v/>
      </c>
      <c r="E636" s="31" t="str">
        <f aca="false">IF(OR(E634="",E635=""),"",E634*E635)</f>
        <v/>
      </c>
      <c r="F636" s="31" t="str">
        <f aca="false">IF(OR(F634="",F635=""),"",F634*F635)</f>
        <v/>
      </c>
      <c r="G636" s="31" t="str">
        <f aca="false">IF(OR(G634="",G635=""),"",G634*G635)</f>
        <v/>
      </c>
      <c r="H636" s="31" t="str">
        <f aca="false">IF(OR(H634="",H635=""),"",H634*H635)</f>
        <v/>
      </c>
      <c r="I636" s="31" t="str">
        <f aca="false">IF(COUNT(D636:H636)=0,"",SUM(D636:H636))</f>
        <v/>
      </c>
      <c r="J636" s="24"/>
      <c r="K636" s="32" t="s">
        <v>149</v>
      </c>
    </row>
    <row r="637" customFormat="false" ht="15" hidden="false" customHeight="false" outlineLevel="0" collapsed="false">
      <c r="B637" s="9" t="s">
        <v>150</v>
      </c>
      <c r="C637" s="15" t="s">
        <v>32</v>
      </c>
      <c r="D637" s="37" t="str">
        <f aca="false">IF(OR(JobType&lt;&gt;"Decontamination",D636=""),"",D636*INDEX(DecChem,MATCH("Exchanger",DecTypeU,0))*1000)</f>
        <v/>
      </c>
      <c r="E637" s="37" t="str">
        <f aca="false">IF(OR(JobType&lt;&gt;"Decontamination",E636=""),"",E636*INDEX(DecChem,MATCH("Exchanger",DecTypeU,0))*1000)</f>
        <v/>
      </c>
      <c r="F637" s="37" t="str">
        <f aca="false">IF(OR(JobType&lt;&gt;"Decontamination",F636=""),"",F636*INDEX(DecChem,MATCH("Exchanger",DecTypeU,0))*1000)</f>
        <v/>
      </c>
      <c r="G637" s="37" t="str">
        <f aca="false">IF(OR(JobType&lt;&gt;"Decontamination",G636=""),"",G636*INDEX(DecChem,MATCH("Exchanger",DecTypeU,0))*1000)</f>
        <v/>
      </c>
      <c r="H637" s="37" t="str">
        <f aca="false">IF(OR(JobType&lt;&gt;"Decontamination",H636=""),"",H636*INDEX(DecChem,MATCH("Exchanger",DecTypeU,0))*1000)</f>
        <v/>
      </c>
      <c r="I637" s="38" t="str">
        <f aca="false">IF(COUNT(D637:H637)=0,"",SUM(D637:H637))</f>
        <v/>
      </c>
      <c r="J637" s="24" t="s">
        <v>151</v>
      </c>
      <c r="K637" s="32" t="s">
        <v>152</v>
      </c>
    </row>
    <row r="639" customFormat="false" ht="15" hidden="false" customHeight="false" outlineLevel="0" collapsed="false">
      <c r="A639" s="20" t="n">
        <v>15</v>
      </c>
      <c r="B639" s="21" t="s">
        <v>166</v>
      </c>
      <c r="C639" s="22"/>
      <c r="D639" s="22"/>
      <c r="E639" s="22"/>
      <c r="F639" s="22"/>
      <c r="G639" s="22"/>
      <c r="H639" s="22"/>
      <c r="I639" s="22"/>
      <c r="J639" s="22"/>
    </row>
    <row r="640" customFormat="false" ht="15" hidden="false" customHeight="false" outlineLevel="0" collapsed="false">
      <c r="B640" s="9" t="s">
        <v>83</v>
      </c>
      <c r="C640" s="15" t="s">
        <v>29</v>
      </c>
      <c r="D640" s="8"/>
      <c r="E640" s="8"/>
      <c r="F640" s="8"/>
      <c r="G640" s="8"/>
      <c r="H640" s="8"/>
      <c r="I640" s="23"/>
      <c r="J640" s="24"/>
    </row>
    <row r="641" customFormat="false" ht="15" hidden="false" customHeight="false" outlineLevel="0" collapsed="false">
      <c r="B641" s="9" t="s">
        <v>86</v>
      </c>
      <c r="C641" s="15" t="s">
        <v>29</v>
      </c>
      <c r="D641" s="8"/>
      <c r="E641" s="8"/>
      <c r="F641" s="8"/>
      <c r="G641" s="8"/>
      <c r="H641" s="8"/>
      <c r="I641" s="23"/>
      <c r="J641" s="24"/>
    </row>
    <row r="642" customFormat="false" ht="15" hidden="false" customHeight="false" outlineLevel="0" collapsed="false">
      <c r="B642" s="9" t="s">
        <v>87</v>
      </c>
      <c r="C642" s="15" t="s">
        <v>29</v>
      </c>
      <c r="D642" s="8"/>
      <c r="E642" s="8"/>
      <c r="F642" s="8"/>
      <c r="G642" s="8"/>
      <c r="H642" s="8"/>
      <c r="I642" s="23"/>
      <c r="J642" s="24"/>
    </row>
    <row r="643" customFormat="false" ht="15" hidden="false" customHeight="false" outlineLevel="0" collapsed="false">
      <c r="B643" s="25" t="s">
        <v>88</v>
      </c>
      <c r="C643" s="26"/>
      <c r="D643" s="26"/>
      <c r="E643" s="26"/>
      <c r="F643" s="26"/>
      <c r="G643" s="26"/>
      <c r="H643" s="26"/>
      <c r="I643" s="26"/>
      <c r="J643" s="26"/>
    </row>
    <row r="644" customFormat="false" ht="15" hidden="false" customHeight="false" outlineLevel="0" collapsed="false">
      <c r="B644" s="9" t="s">
        <v>89</v>
      </c>
      <c r="C644" s="15" t="s">
        <v>90</v>
      </c>
      <c r="D644" s="8"/>
      <c r="E644" s="8"/>
      <c r="F644" s="8"/>
      <c r="G644" s="8"/>
      <c r="H644" s="8"/>
      <c r="I644" s="23"/>
      <c r="J644" s="24"/>
    </row>
    <row r="645" customFormat="false" ht="15" hidden="false" customHeight="false" outlineLevel="0" collapsed="false">
      <c r="B645" s="9" t="s">
        <v>91</v>
      </c>
      <c r="C645" s="8" t="s">
        <v>92</v>
      </c>
      <c r="D645" s="8"/>
      <c r="E645" s="8"/>
      <c r="F645" s="8"/>
      <c r="G645" s="8"/>
      <c r="H645" s="8"/>
      <c r="I645" s="23"/>
      <c r="J645" s="24" t="s">
        <v>93</v>
      </c>
    </row>
    <row r="646" customFormat="false" ht="15" hidden="false" customHeight="false" outlineLevel="0" collapsed="false">
      <c r="B646" s="9" t="s">
        <v>94</v>
      </c>
      <c r="C646" s="8" t="s">
        <v>92</v>
      </c>
      <c r="D646" s="8"/>
      <c r="E646" s="8"/>
      <c r="F646" s="8"/>
      <c r="G646" s="8"/>
      <c r="H646" s="8"/>
      <c r="I646" s="23"/>
      <c r="J646" s="24"/>
    </row>
    <row r="647" customFormat="false" ht="15" hidden="false" customHeight="false" outlineLevel="0" collapsed="false">
      <c r="B647" s="9" t="s">
        <v>95</v>
      </c>
      <c r="C647" s="8" t="s">
        <v>92</v>
      </c>
      <c r="D647" s="8"/>
      <c r="E647" s="8"/>
      <c r="F647" s="8"/>
      <c r="G647" s="8"/>
      <c r="H647" s="8"/>
      <c r="I647" s="23"/>
      <c r="J647" s="24"/>
    </row>
    <row r="648" customFormat="false" ht="15" hidden="false" customHeight="false" outlineLevel="0" collapsed="false">
      <c r="B648" s="9" t="s">
        <v>96</v>
      </c>
      <c r="C648" s="8" t="s">
        <v>92</v>
      </c>
      <c r="D648" s="8"/>
      <c r="E648" s="8"/>
      <c r="F648" s="8"/>
      <c r="G648" s="8"/>
      <c r="H648" s="8"/>
      <c r="I648" s="23"/>
      <c r="J648" s="24" t="s">
        <v>97</v>
      </c>
    </row>
    <row r="649" customFormat="false" ht="15" hidden="false" customHeight="false" outlineLevel="0" collapsed="false">
      <c r="B649" s="9" t="s">
        <v>98</v>
      </c>
      <c r="C649" s="15" t="s">
        <v>29</v>
      </c>
      <c r="D649" s="8" t="s">
        <v>99</v>
      </c>
      <c r="E649" s="8" t="s">
        <v>99</v>
      </c>
      <c r="F649" s="8" t="s">
        <v>99</v>
      </c>
      <c r="G649" s="8" t="s">
        <v>99</v>
      </c>
      <c r="H649" s="8" t="s">
        <v>99</v>
      </c>
      <c r="I649" s="23"/>
      <c r="J649" s="24"/>
    </row>
    <row r="650" customFormat="false" ht="15" hidden="false" customHeight="false" outlineLevel="0" collapsed="false">
      <c r="B650" s="9" t="s">
        <v>100</v>
      </c>
      <c r="C650" s="8" t="s">
        <v>92</v>
      </c>
      <c r="D650" s="8"/>
      <c r="E650" s="8"/>
      <c r="F650" s="8"/>
      <c r="G650" s="8"/>
      <c r="H650" s="8"/>
      <c r="I650" s="23"/>
      <c r="J650" s="24"/>
    </row>
    <row r="651" customFormat="false" ht="15" hidden="false" customHeight="false" outlineLevel="0" collapsed="false">
      <c r="B651" s="9" t="s">
        <v>101</v>
      </c>
      <c r="C651" s="8" t="s">
        <v>92</v>
      </c>
      <c r="D651" s="8"/>
      <c r="E651" s="8"/>
      <c r="F651" s="8"/>
      <c r="G651" s="8"/>
      <c r="H651" s="8"/>
      <c r="I651" s="23"/>
      <c r="J651" s="24"/>
    </row>
    <row r="652" customFormat="false" ht="15" hidden="false" customHeight="false" outlineLevel="0" collapsed="false">
      <c r="B652" s="9" t="s">
        <v>102</v>
      </c>
      <c r="C652" s="15" t="s">
        <v>29</v>
      </c>
      <c r="D652" s="8"/>
      <c r="E652" s="8"/>
      <c r="F652" s="8"/>
      <c r="G652" s="8"/>
      <c r="H652" s="8"/>
      <c r="I652" s="23"/>
      <c r="J652" s="24"/>
    </row>
    <row r="653" customFormat="false" ht="15" hidden="false" customHeight="false" outlineLevel="0" collapsed="false">
      <c r="B653" s="9" t="s">
        <v>104</v>
      </c>
      <c r="C653" s="8" t="s">
        <v>92</v>
      </c>
      <c r="D653" s="8"/>
      <c r="E653" s="8"/>
      <c r="F653" s="8"/>
      <c r="G653" s="8"/>
      <c r="H653" s="8"/>
      <c r="I653" s="23"/>
      <c r="J653" s="24"/>
    </row>
    <row r="654" customFormat="false" ht="15" hidden="false" customHeight="false" outlineLevel="0" collapsed="false">
      <c r="B654" s="9" t="s">
        <v>105</v>
      </c>
      <c r="C654" s="8" t="s">
        <v>92</v>
      </c>
      <c r="D654" s="8"/>
      <c r="E654" s="8"/>
      <c r="F654" s="8"/>
      <c r="G654" s="8"/>
      <c r="H654" s="8"/>
      <c r="I654" s="23"/>
      <c r="J654" s="24"/>
    </row>
    <row r="655" customFormat="false" ht="15" hidden="false" customHeight="false" outlineLevel="0" collapsed="false">
      <c r="B655" s="9" t="s">
        <v>106</v>
      </c>
      <c r="C655" s="15" t="s">
        <v>29</v>
      </c>
      <c r="D655" s="8"/>
      <c r="E655" s="8"/>
      <c r="F655" s="8"/>
      <c r="G655" s="8"/>
      <c r="H655" s="8"/>
      <c r="I655" s="23"/>
      <c r="J655" s="24"/>
    </row>
    <row r="656" customFormat="false" ht="15" hidden="false" customHeight="false" outlineLevel="0" collapsed="false">
      <c r="B656" s="9" t="s">
        <v>108</v>
      </c>
      <c r="C656" s="8" t="s">
        <v>109</v>
      </c>
      <c r="D656" s="8"/>
      <c r="E656" s="8"/>
      <c r="F656" s="8"/>
      <c r="G656" s="8"/>
      <c r="H656" s="8"/>
      <c r="I656" s="23"/>
      <c r="J656" s="24" t="s">
        <v>110</v>
      </c>
    </row>
    <row r="657" customFormat="false" ht="15" hidden="false" customHeight="false" outlineLevel="0" collapsed="false">
      <c r="B657" s="9" t="s">
        <v>111</v>
      </c>
      <c r="C657" s="8" t="s">
        <v>112</v>
      </c>
      <c r="D657" s="8"/>
      <c r="E657" s="8"/>
      <c r="F657" s="8"/>
      <c r="G657" s="8"/>
      <c r="H657" s="8"/>
      <c r="I657" s="23"/>
      <c r="J657" s="24"/>
    </row>
    <row r="658" customFormat="false" ht="15" hidden="false" customHeight="false" outlineLevel="0" collapsed="false">
      <c r="B658" s="25" t="s">
        <v>113</v>
      </c>
      <c r="C658" s="26"/>
      <c r="D658" s="26"/>
      <c r="E658" s="26"/>
      <c r="F658" s="26"/>
      <c r="G658" s="26"/>
      <c r="H658" s="26"/>
      <c r="I658" s="26"/>
      <c r="J658" s="26"/>
    </row>
    <row r="659" customFormat="false" ht="15" hidden="false" customHeight="false" outlineLevel="0" collapsed="false">
      <c r="B659" s="9" t="s">
        <v>114</v>
      </c>
      <c r="C659" s="8" t="s">
        <v>92</v>
      </c>
      <c r="D659" s="8"/>
      <c r="E659" s="8"/>
      <c r="F659" s="8"/>
      <c r="G659" s="8"/>
      <c r="H659" s="8"/>
      <c r="I659" s="23"/>
      <c r="J659" s="24" t="s">
        <v>115</v>
      </c>
    </row>
    <row r="660" customFormat="false" ht="15" hidden="false" customHeight="false" outlineLevel="0" collapsed="false">
      <c r="B660" s="9" t="s">
        <v>116</v>
      </c>
      <c r="C660" s="8" t="s">
        <v>92</v>
      </c>
      <c r="D660" s="8"/>
      <c r="E660" s="8"/>
      <c r="F660" s="8"/>
      <c r="G660" s="8"/>
      <c r="H660" s="8"/>
      <c r="I660" s="23"/>
      <c r="J660" s="24" t="s">
        <v>117</v>
      </c>
    </row>
    <row r="661" customFormat="false" ht="15" hidden="false" customHeight="false" outlineLevel="0" collapsed="false">
      <c r="B661" s="9" t="s">
        <v>118</v>
      </c>
      <c r="C661" s="15" t="s">
        <v>29</v>
      </c>
      <c r="D661" s="8"/>
      <c r="E661" s="8"/>
      <c r="F661" s="8"/>
      <c r="G661" s="8"/>
      <c r="H661" s="8"/>
      <c r="I661" s="23"/>
      <c r="J661" s="24"/>
    </row>
    <row r="662" customFormat="false" ht="15" hidden="false" customHeight="false" outlineLevel="0" collapsed="false">
      <c r="B662" s="9" t="s">
        <v>119</v>
      </c>
      <c r="C662" s="8" t="s">
        <v>112</v>
      </c>
      <c r="D662" s="8"/>
      <c r="E662" s="8"/>
      <c r="F662" s="8"/>
      <c r="G662" s="8"/>
      <c r="H662" s="8"/>
      <c r="I662" s="23"/>
      <c r="J662" s="24"/>
    </row>
    <row r="663" customFormat="false" ht="15" hidden="false" customHeight="false" outlineLevel="0" collapsed="false">
      <c r="B663" s="25" t="s">
        <v>120</v>
      </c>
      <c r="C663" s="26"/>
      <c r="D663" s="26"/>
      <c r="E663" s="26"/>
      <c r="F663" s="26"/>
      <c r="G663" s="26"/>
      <c r="H663" s="26"/>
      <c r="I663" s="26"/>
      <c r="J663" s="26"/>
    </row>
    <row r="664" customFormat="false" ht="15" hidden="false" customHeight="false" outlineLevel="0" collapsed="false">
      <c r="B664" s="9" t="s">
        <v>121</v>
      </c>
      <c r="C664" s="15" t="s">
        <v>29</v>
      </c>
      <c r="D664" s="8" t="s">
        <v>122</v>
      </c>
      <c r="E664" s="8" t="s">
        <v>122</v>
      </c>
      <c r="F664" s="8" t="s">
        <v>122</v>
      </c>
      <c r="G664" s="8" t="s">
        <v>122</v>
      </c>
      <c r="H664" s="8" t="s">
        <v>122</v>
      </c>
      <c r="I664" s="23"/>
      <c r="J664" s="24"/>
    </row>
    <row r="665" customFormat="false" ht="15" hidden="false" customHeight="false" outlineLevel="0" collapsed="false">
      <c r="B665" s="9" t="s">
        <v>123</v>
      </c>
      <c r="C665" s="15" t="s">
        <v>29</v>
      </c>
      <c r="D665" s="8" t="s">
        <v>122</v>
      </c>
      <c r="E665" s="8" t="s">
        <v>122</v>
      </c>
      <c r="F665" s="8" t="s">
        <v>122</v>
      </c>
      <c r="G665" s="8" t="s">
        <v>122</v>
      </c>
      <c r="H665" s="8" t="s">
        <v>122</v>
      </c>
      <c r="I665" s="23"/>
      <c r="J665" s="24"/>
    </row>
    <row r="666" customFormat="false" ht="15" hidden="false" customHeight="false" outlineLevel="0" collapsed="false">
      <c r="B666" s="25" t="s">
        <v>124</v>
      </c>
      <c r="C666" s="26"/>
      <c r="D666" s="26"/>
      <c r="E666" s="26"/>
      <c r="F666" s="26"/>
      <c r="G666" s="26"/>
      <c r="H666" s="26"/>
      <c r="I666" s="26"/>
      <c r="J666" s="26"/>
    </row>
    <row r="667" customFormat="false" ht="15" hidden="false" customHeight="false" outlineLevel="0" collapsed="false">
      <c r="B667" s="9" t="s">
        <v>125</v>
      </c>
      <c r="C667" s="15" t="s">
        <v>92</v>
      </c>
      <c r="D667" s="27" t="str">
        <f aca="false">IF(ISNUMBER(D645),D645*INDEX(LenF,MATCH($C$645,LenU,0))*1000,IF(ISNUMBER(D648),D648*INDEX(LenF,MATCH($C$648,LenU,0))/PitchRatio*1000,""))</f>
        <v/>
      </c>
      <c r="E667" s="27" t="str">
        <f aca="false">IF(ISNUMBER(E645),E645*INDEX(LenF,MATCH($C$645,LenU,0))*1000,IF(ISNUMBER(E648),E648*INDEX(LenF,MATCH($C$648,LenU,0))/PitchRatio*1000,""))</f>
        <v/>
      </c>
      <c r="F667" s="27" t="str">
        <f aca="false">IF(ISNUMBER(F645),F645*INDEX(LenF,MATCH($C$645,LenU,0))*1000,IF(ISNUMBER(F648),F648*INDEX(LenF,MATCH($C$648,LenU,0))/PitchRatio*1000,""))</f>
        <v/>
      </c>
      <c r="G667" s="27" t="str">
        <f aca="false">IF(ISNUMBER(G645),G645*INDEX(LenF,MATCH($C$645,LenU,0))*1000,IF(ISNUMBER(G648),G648*INDEX(LenF,MATCH($C$648,LenU,0))/PitchRatio*1000,""))</f>
        <v/>
      </c>
      <c r="H667" s="27" t="str">
        <f aca="false">IF(ISNUMBER(H645),H645*INDEX(LenF,MATCH($C$645,LenU,0))*1000,IF(ISNUMBER(H648),H648*INDEX(LenF,MATCH($C$648,LenU,0))/PitchRatio*1000,""))</f>
        <v/>
      </c>
      <c r="I667" s="28"/>
      <c r="J667" s="24" t="s">
        <v>126</v>
      </c>
    </row>
    <row r="668" customFormat="false" ht="15" hidden="false" customHeight="false" outlineLevel="0" collapsed="false">
      <c r="B668" s="9" t="s">
        <v>127</v>
      </c>
      <c r="C668" s="15" t="s">
        <v>109</v>
      </c>
      <c r="D668" s="29" t="str">
        <f aca="false">IF(AND(ISNUMBER(D644),ISNUMBER(D646),ISNUMBER(D647)),D644*PI()/4*(D646*INDEX(LenF,MATCH($C$646,LenU,0)))^2*D647*INDEX(LenF,MATCH($C$647,LenU,0)),"")</f>
        <v/>
      </c>
      <c r="E668" s="29" t="str">
        <f aca="false">IF(AND(ISNUMBER(E644),ISNUMBER(E646),ISNUMBER(E647)),E644*PI()/4*(E646*INDEX(LenF,MATCH($C$646,LenU,0)))^2*E647*INDEX(LenF,MATCH($C$647,LenU,0)),"")</f>
        <v/>
      </c>
      <c r="F668" s="29" t="str">
        <f aca="false">IF(AND(ISNUMBER(F644),ISNUMBER(F646),ISNUMBER(F647)),F644*PI()/4*(F646*INDEX(LenF,MATCH($C$646,LenU,0)))^2*F647*INDEX(LenF,MATCH($C$647,LenU,0)),"")</f>
        <v/>
      </c>
      <c r="G668" s="29" t="str">
        <f aca="false">IF(AND(ISNUMBER(G644),ISNUMBER(G646),ISNUMBER(G647)),G644*PI()/4*(G646*INDEX(LenF,MATCH($C$646,LenU,0)))^2*G647*INDEX(LenF,MATCH($C$647,LenU,0)),"")</f>
        <v/>
      </c>
      <c r="H668" s="29" t="str">
        <f aca="false">IF(AND(ISNUMBER(H644),ISNUMBER(H646),ISNUMBER(H647)),H644*PI()/4*(H646*INDEX(LenF,MATCH($C$646,LenU,0)))^2*H647*INDEX(LenF,MATCH($C$647,LenU,0)),"")</f>
        <v/>
      </c>
      <c r="I668" s="30" t="str">
        <f aca="false">IF(COUNT(D668:H668)=0,"",SUM(D668:H668))</f>
        <v/>
      </c>
      <c r="J668" s="24"/>
    </row>
    <row r="669" customFormat="false" ht="15" hidden="false" customHeight="false" outlineLevel="0" collapsed="false">
      <c r="B669" s="9" t="s">
        <v>128</v>
      </c>
      <c r="C669" s="15" t="s">
        <v>109</v>
      </c>
      <c r="D669" s="29" t="n">
        <f aca="false">IF(ISNUMBER(D656),D656*INDEX(VolF,MATCH($C$656,VolU,0)),IF(ISNUMBER(D650),PI()/4*(D650*INDEX(LenF,MATCH($C$650,LenU,0)))^2*N(D651)*INDEX(LenF,MATCH($C$651,LenU,0))+IF(D652="",0,IF(D652="Conical",PI()/12*(D650*INDEX(LenF,MATCH($C$650,LenU,0)))^2*(0),INDEX(HeadK,MATCH(D652,HeadU,0))*(D650*INDEX(LenF,MATCH($C$650,LenU,0)))^3)),0)+IF(ISNUMBER(D653),PI()/4*(D653*INDEX(LenF,MATCH($C$653,LenU,0)))^2*N(D654)*INDEX(LenF,MATCH($C$654,LenU,0))+IF(D655="",0,IF(D655="Conical",PI()/12*(D653*INDEX(LenF,MATCH($C$653,LenU,0)))^2*(0),INDEX(HeadK,MATCH(D655,HeadU,0))*(D653*INDEX(LenF,MATCH($C$653,LenU,0)))^3)),0))</f>
        <v>0</v>
      </c>
      <c r="E669" s="29" t="n">
        <f aca="false">IF(ISNUMBER(E656),E656*INDEX(VolF,MATCH($C$656,VolU,0)),IF(ISNUMBER(E650),PI()/4*(E650*INDEX(LenF,MATCH($C$650,LenU,0)))^2*N(E651)*INDEX(LenF,MATCH($C$651,LenU,0))+IF(E652="",0,IF(E652="Conical",PI()/12*(E650*INDEX(LenF,MATCH($C$650,LenU,0)))^2*(0),INDEX(HeadK,MATCH(E652,HeadU,0))*(E650*INDEX(LenF,MATCH($C$650,LenU,0)))^3)),0)+IF(ISNUMBER(E653),PI()/4*(E653*INDEX(LenF,MATCH($C$653,LenU,0)))^2*N(E654)*INDEX(LenF,MATCH($C$654,LenU,0))+IF(E655="",0,IF(E655="Conical",PI()/12*(E653*INDEX(LenF,MATCH($C$653,LenU,0)))^2*(0),INDEX(HeadK,MATCH(E655,HeadU,0))*(E653*INDEX(LenF,MATCH($C$653,LenU,0)))^3)),0))</f>
        <v>0</v>
      </c>
      <c r="F669" s="29" t="n">
        <f aca="false">IF(ISNUMBER(F656),F656*INDEX(VolF,MATCH($C$656,VolU,0)),IF(ISNUMBER(F650),PI()/4*(F650*INDEX(LenF,MATCH($C$650,LenU,0)))^2*N(F651)*INDEX(LenF,MATCH($C$651,LenU,0))+IF(F652="",0,IF(F652="Conical",PI()/12*(F650*INDEX(LenF,MATCH($C$650,LenU,0)))^2*(0),INDEX(HeadK,MATCH(F652,HeadU,0))*(F650*INDEX(LenF,MATCH($C$650,LenU,0)))^3)),0)+IF(ISNUMBER(F653),PI()/4*(F653*INDEX(LenF,MATCH($C$653,LenU,0)))^2*N(F654)*INDEX(LenF,MATCH($C$654,LenU,0))+IF(F655="",0,IF(F655="Conical",PI()/12*(F653*INDEX(LenF,MATCH($C$653,LenU,0)))^2*(0),INDEX(HeadK,MATCH(F655,HeadU,0))*(F653*INDEX(LenF,MATCH($C$653,LenU,0)))^3)),0))</f>
        <v>0</v>
      </c>
      <c r="G669" s="29" t="n">
        <f aca="false">IF(ISNUMBER(G656),G656*INDEX(VolF,MATCH($C$656,VolU,0)),IF(ISNUMBER(G650),PI()/4*(G650*INDEX(LenF,MATCH($C$650,LenU,0)))^2*N(G651)*INDEX(LenF,MATCH($C$651,LenU,0))+IF(G652="",0,IF(G652="Conical",PI()/12*(G650*INDEX(LenF,MATCH($C$650,LenU,0)))^2*(0),INDEX(HeadK,MATCH(G652,HeadU,0))*(G650*INDEX(LenF,MATCH($C$650,LenU,0)))^3)),0)+IF(ISNUMBER(G653),PI()/4*(G653*INDEX(LenF,MATCH($C$653,LenU,0)))^2*N(G654)*INDEX(LenF,MATCH($C$654,LenU,0))+IF(G655="",0,IF(G655="Conical",PI()/12*(G653*INDEX(LenF,MATCH($C$653,LenU,0)))^2*(0),INDEX(HeadK,MATCH(G655,HeadU,0))*(G653*INDEX(LenF,MATCH($C$653,LenU,0)))^3)),0))</f>
        <v>0</v>
      </c>
      <c r="H669" s="29" t="n">
        <f aca="false">IF(ISNUMBER(H656),H656*INDEX(VolF,MATCH($C$656,VolU,0)),IF(ISNUMBER(H650),PI()/4*(H650*INDEX(LenF,MATCH($C$650,LenU,0)))^2*N(H651)*INDEX(LenF,MATCH($C$651,LenU,0))+IF(H652="",0,IF(H652="Conical",PI()/12*(H650*INDEX(LenF,MATCH($C$650,LenU,0)))^2*(0),INDEX(HeadK,MATCH(H652,HeadU,0))*(H650*INDEX(LenF,MATCH($C$650,LenU,0)))^3)),0)+IF(ISNUMBER(H653),PI()/4*(H653*INDEX(LenF,MATCH($C$653,LenU,0)))^2*N(H654)*INDEX(LenF,MATCH($C$654,LenU,0))+IF(H655="",0,IF(H655="Conical",PI()/12*(H653*INDEX(LenF,MATCH($C$653,LenU,0)))^2*(0),INDEX(HeadK,MATCH(H655,HeadU,0))*(H653*INDEX(LenF,MATCH($C$653,LenU,0)))^3)),0))</f>
        <v>0</v>
      </c>
      <c r="I669" s="30" t="n">
        <f aca="false">IF(COUNT(D669:H669)=0,"",SUM(D669:H669))</f>
        <v>0</v>
      </c>
      <c r="J669" s="24" t="s">
        <v>129</v>
      </c>
    </row>
    <row r="670" customFormat="false" ht="15" hidden="false" customHeight="false" outlineLevel="0" collapsed="false">
      <c r="B670" s="9" t="s">
        <v>130</v>
      </c>
      <c r="C670" s="15" t="s">
        <v>109</v>
      </c>
      <c r="D670" s="29" t="str">
        <f aca="false">IF(D668="","",D668+D669)</f>
        <v/>
      </c>
      <c r="E670" s="29" t="str">
        <f aca="false">IF(E668="","",E668+E669)</f>
        <v/>
      </c>
      <c r="F670" s="29" t="str">
        <f aca="false">IF(F668="","",F668+F669)</f>
        <v/>
      </c>
      <c r="G670" s="29" t="str">
        <f aca="false">IF(G668="","",G668+G669)</f>
        <v/>
      </c>
      <c r="H670" s="29" t="str">
        <f aca="false">IF(H668="","",H668+H669)</f>
        <v/>
      </c>
      <c r="I670" s="30" t="str">
        <f aca="false">IF(COUNT(D670:H670)=0,"",SUM(D670:H670))</f>
        <v/>
      </c>
      <c r="J670" s="24"/>
    </row>
    <row r="671" customFormat="false" ht="15" hidden="false" customHeight="false" outlineLevel="0" collapsed="false">
      <c r="B671" s="9" t="s">
        <v>131</v>
      </c>
      <c r="C671" s="15" t="s">
        <v>109</v>
      </c>
      <c r="D671" s="29" t="str">
        <f aca="false">IF(ISNUMBER(D657),D657*INDEX(WtF,MATCH($C$657,WtU,0))/WaterRho,"")</f>
        <v/>
      </c>
      <c r="E671" s="29" t="str">
        <f aca="false">IF(ISNUMBER(E657),E657*INDEX(WtF,MATCH($C$657,WtU,0))/WaterRho,"")</f>
        <v/>
      </c>
      <c r="F671" s="29" t="str">
        <f aca="false">IF(ISNUMBER(F657),F657*INDEX(WtF,MATCH($C$657,WtU,0))/WaterRho,"")</f>
        <v/>
      </c>
      <c r="G671" s="29" t="str">
        <f aca="false">IF(ISNUMBER(G657),G657*INDEX(WtF,MATCH($C$657,WtU,0))/WaterRho,"")</f>
        <v/>
      </c>
      <c r="H671" s="29" t="str">
        <f aca="false">IF(ISNUMBER(H657),H657*INDEX(WtF,MATCH($C$657,WtU,0))/WaterRho,"")</f>
        <v/>
      </c>
      <c r="I671" s="30" t="str">
        <f aca="false">IF(COUNT(D671:H671)=0,"",SUM(D671:H671))</f>
        <v/>
      </c>
      <c r="J671" s="24"/>
    </row>
    <row r="672" customFormat="false" ht="15" hidden="false" customHeight="false" outlineLevel="0" collapsed="false">
      <c r="B672" s="4" t="s">
        <v>132</v>
      </c>
      <c r="C672" s="15" t="s">
        <v>109</v>
      </c>
      <c r="D672" s="31" t="str">
        <f aca="false">IF(D664="Water weight",D671,D670)</f>
        <v/>
      </c>
      <c r="E672" s="31" t="str">
        <f aca="false">IF(E664="Water weight",E671,E670)</f>
        <v/>
      </c>
      <c r="F672" s="31" t="str">
        <f aca="false">IF(F664="Water weight",F671,F670)</f>
        <v/>
      </c>
      <c r="G672" s="31" t="str">
        <f aca="false">IF(G664="Water weight",G671,G670)</f>
        <v/>
      </c>
      <c r="H672" s="31" t="str">
        <f aca="false">IF(H664="Water weight",H671,H670)</f>
        <v/>
      </c>
      <c r="I672" s="31" t="str">
        <f aca="false">IF(COUNT(D672:H672)=0,"",SUM(D672:H672))</f>
        <v/>
      </c>
      <c r="J672" s="24"/>
      <c r="K672" s="32" t="s">
        <v>133</v>
      </c>
    </row>
    <row r="673" customFormat="false" ht="15" hidden="false" customHeight="false" outlineLevel="0" collapsed="false">
      <c r="B673" s="9" t="s">
        <v>134</v>
      </c>
      <c r="C673" s="15" t="s">
        <v>135</v>
      </c>
      <c r="D673" s="33" t="str">
        <f aca="false">IF(ISNUMBER(D659),PI()/4*(D659*INDEX(LenF,MATCH($C$659,LenU,0)))^2,IF(AND(ISNUMBER(D644),ISNUMBER(D648),D649&lt;&gt;""),D644*(D648*INDEX(LenF,MATCH($C$648,LenU,0)))^2*INDEX(LayoutF,MATCH(D649,LayoutU,0)),""))</f>
        <v/>
      </c>
      <c r="E673" s="33" t="str">
        <f aca="false">IF(ISNUMBER(E659),PI()/4*(E659*INDEX(LenF,MATCH($C$659,LenU,0)))^2,IF(AND(ISNUMBER(E644),ISNUMBER(E648),E649&lt;&gt;""),E644*(E648*INDEX(LenF,MATCH($C$648,LenU,0)))^2*INDEX(LayoutF,MATCH(E649,LayoutU,0)),""))</f>
        <v/>
      </c>
      <c r="F673" s="33" t="str">
        <f aca="false">IF(ISNUMBER(F659),PI()/4*(F659*INDEX(LenF,MATCH($C$659,LenU,0)))^2,IF(AND(ISNUMBER(F644),ISNUMBER(F648),F649&lt;&gt;""),F644*(F648*INDEX(LenF,MATCH($C$648,LenU,0)))^2*INDEX(LayoutF,MATCH(F649,LayoutU,0)),""))</f>
        <v/>
      </c>
      <c r="G673" s="33" t="str">
        <f aca="false">IF(ISNUMBER(G659),PI()/4*(G659*INDEX(LenF,MATCH($C$659,LenU,0)))^2,IF(AND(ISNUMBER(G644),ISNUMBER(G648),G649&lt;&gt;""),G644*(G648*INDEX(LenF,MATCH($C$648,LenU,0)))^2*INDEX(LayoutF,MATCH(G649,LayoutU,0)),""))</f>
        <v/>
      </c>
      <c r="H673" s="33" t="str">
        <f aca="false">IF(ISNUMBER(H659),PI()/4*(H659*INDEX(LenF,MATCH($C$659,LenU,0)))^2,IF(AND(ISNUMBER(H644),ISNUMBER(H648),H649&lt;&gt;""),H644*(H648*INDEX(LenF,MATCH($C$648,LenU,0)))^2*INDEX(LayoutF,MATCH(H649,LayoutU,0)),""))</f>
        <v/>
      </c>
      <c r="I673" s="34"/>
      <c r="J673" s="24" t="s">
        <v>136</v>
      </c>
    </row>
    <row r="674" customFormat="false" ht="15" hidden="false" customHeight="false" outlineLevel="0" collapsed="false">
      <c r="B674" s="9" t="s">
        <v>137</v>
      </c>
      <c r="C674" s="15" t="s">
        <v>109</v>
      </c>
      <c r="D674" s="29" t="str">
        <f aca="false">IF(OR(D673="",AND(NOT(ISNUMBER(D660)),NOT(ISNUMBER(D647)))),"",D673*IF(ISNUMBER(D660),D660*INDEX(LenF,MATCH($C$660,LenU,0)),D647*INDEX(LenF,MATCH($C$647,LenU,0)))+IF(D661="",0,IF(D661="Conical",PI()/12*(SQRT(4*D673/PI()))^2*(0),INDEX(HeadK,MATCH(D661,HeadU,0))*(SQRT(4*D673/PI()))^3)))</f>
        <v/>
      </c>
      <c r="E674" s="29" t="str">
        <f aca="false">IF(OR(E673="",AND(NOT(ISNUMBER(E660)),NOT(ISNUMBER(E647)))),"",E673*IF(ISNUMBER(E660),E660*INDEX(LenF,MATCH($C$660,LenU,0)),E647*INDEX(LenF,MATCH($C$647,LenU,0)))+IF(E661="",0,IF(E661="Conical",PI()/12*(SQRT(4*E673/PI()))^2*(0),INDEX(HeadK,MATCH(E661,HeadU,0))*(SQRT(4*E673/PI()))^3)))</f>
        <v/>
      </c>
      <c r="F674" s="29" t="str">
        <f aca="false">IF(OR(F673="",AND(NOT(ISNUMBER(F660)),NOT(ISNUMBER(F647)))),"",F673*IF(ISNUMBER(F660),F660*INDEX(LenF,MATCH($C$660,LenU,0)),F647*INDEX(LenF,MATCH($C$647,LenU,0)))+IF(F661="",0,IF(F661="Conical",PI()/12*(SQRT(4*F673/PI()))^2*(0),INDEX(HeadK,MATCH(F661,HeadU,0))*(SQRT(4*F673/PI()))^3)))</f>
        <v/>
      </c>
      <c r="G674" s="29" t="str">
        <f aca="false">IF(OR(G673="",AND(NOT(ISNUMBER(G660)),NOT(ISNUMBER(G647)))),"",G673*IF(ISNUMBER(G660),G660*INDEX(LenF,MATCH($C$660,LenU,0)),G647*INDEX(LenF,MATCH($C$647,LenU,0)))+IF(G661="",0,IF(G661="Conical",PI()/12*(SQRT(4*G673/PI()))^2*(0),INDEX(HeadK,MATCH(G661,HeadU,0))*(SQRT(4*G673/PI()))^3)))</f>
        <v/>
      </c>
      <c r="H674" s="29" t="str">
        <f aca="false">IF(OR(H673="",AND(NOT(ISNUMBER(H660)),NOT(ISNUMBER(H647)))),"",H673*IF(ISNUMBER(H660),H660*INDEX(LenF,MATCH($C$660,LenU,0)),H647*INDEX(LenF,MATCH($C$647,LenU,0)))+IF(H661="",0,IF(H661="Conical",PI()/12*(SQRT(4*H673/PI()))^2*(0),INDEX(HeadK,MATCH(H661,HeadU,0))*(SQRT(4*H673/PI()))^3)))</f>
        <v/>
      </c>
      <c r="I674" s="30" t="str">
        <f aca="false">IF(COUNT(D674:H674)=0,"",SUM(D674:H674))</f>
        <v/>
      </c>
      <c r="J674" s="24"/>
    </row>
    <row r="675" customFormat="false" ht="15" hidden="false" customHeight="false" outlineLevel="0" collapsed="false">
      <c r="B675" s="9" t="s">
        <v>138</v>
      </c>
      <c r="C675" s="15" t="s">
        <v>109</v>
      </c>
      <c r="D675" s="29" t="str">
        <f aca="false">IF(AND(ISNUMBER(D644),ISNUMBER(D667),ISNUMBER(D647)),D644*PI()/4*(D667/1000)^2*D647*INDEX(LenF,MATCH($C$647,LenU,0)),"")</f>
        <v/>
      </c>
      <c r="E675" s="29" t="str">
        <f aca="false">IF(AND(ISNUMBER(E644),ISNUMBER(E667),ISNUMBER(E647)),E644*PI()/4*(E667/1000)^2*E647*INDEX(LenF,MATCH($C$647,LenU,0)),"")</f>
        <v/>
      </c>
      <c r="F675" s="29" t="str">
        <f aca="false">IF(AND(ISNUMBER(F644),ISNUMBER(F667),ISNUMBER(F647)),F644*PI()/4*(F667/1000)^2*F647*INDEX(LenF,MATCH($C$647,LenU,0)),"")</f>
        <v/>
      </c>
      <c r="G675" s="29" t="str">
        <f aca="false">IF(AND(ISNUMBER(G644),ISNUMBER(G667),ISNUMBER(G647)),G644*PI()/4*(G667/1000)^2*G647*INDEX(LenF,MATCH($C$647,LenU,0)),"")</f>
        <v/>
      </c>
      <c r="H675" s="29" t="str">
        <f aca="false">IF(AND(ISNUMBER(H644),ISNUMBER(H667),ISNUMBER(H647)),H644*PI()/4*(H667/1000)^2*H647*INDEX(LenF,MATCH($C$647,LenU,0)),"")</f>
        <v/>
      </c>
      <c r="I675" s="30" t="str">
        <f aca="false">IF(COUNT(D675:H675)=0,"",SUM(D675:H675))</f>
        <v/>
      </c>
      <c r="J675" s="24"/>
    </row>
    <row r="676" customFormat="false" ht="15" hidden="false" customHeight="false" outlineLevel="0" collapsed="false">
      <c r="B676" s="9" t="s">
        <v>139</v>
      </c>
      <c r="C676" s="15" t="s">
        <v>109</v>
      </c>
      <c r="D676" s="29" t="str">
        <f aca="false">IF(OR(D674="",D675=""),"",D674-D675)</f>
        <v/>
      </c>
      <c r="E676" s="29" t="str">
        <f aca="false">IF(OR(E674="",E675=""),"",E674-E675)</f>
        <v/>
      </c>
      <c r="F676" s="29" t="str">
        <f aca="false">IF(OR(F674="",F675=""),"",F674-F675)</f>
        <v/>
      </c>
      <c r="G676" s="29" t="str">
        <f aca="false">IF(OR(G674="",G675=""),"",G674-G675)</f>
        <v/>
      </c>
      <c r="H676" s="29" t="str">
        <f aca="false">IF(OR(H674="",H675=""),"",H674-H675)</f>
        <v/>
      </c>
      <c r="I676" s="30" t="str">
        <f aca="false">IF(COUNT(D676:H676)=0,"",SUM(D676:H676))</f>
        <v/>
      </c>
      <c r="J676" s="24" t="s">
        <v>140</v>
      </c>
    </row>
    <row r="677" customFormat="false" ht="15" hidden="false" customHeight="false" outlineLevel="0" collapsed="false">
      <c r="B677" s="9" t="s">
        <v>141</v>
      </c>
      <c r="C677" s="15" t="s">
        <v>109</v>
      </c>
      <c r="D677" s="29" t="str">
        <f aca="false">IF(ISNUMBER(D662),D662*INDEX(WtF,MATCH($C$662,WtU,0))/WaterRho,"")</f>
        <v/>
      </c>
      <c r="E677" s="29" t="str">
        <f aca="false">IF(ISNUMBER(E662),E662*INDEX(WtF,MATCH($C$662,WtU,0))/WaterRho,"")</f>
        <v/>
      </c>
      <c r="F677" s="29" t="str">
        <f aca="false">IF(ISNUMBER(F662),F662*INDEX(WtF,MATCH($C$662,WtU,0))/WaterRho,"")</f>
        <v/>
      </c>
      <c r="G677" s="29" t="str">
        <f aca="false">IF(ISNUMBER(G662),G662*INDEX(WtF,MATCH($C$662,WtU,0))/WaterRho,"")</f>
        <v/>
      </c>
      <c r="H677" s="29" t="str">
        <f aca="false">IF(ISNUMBER(H662),H662*INDEX(WtF,MATCH($C$662,WtU,0))/WaterRho,"")</f>
        <v/>
      </c>
      <c r="I677" s="30" t="str">
        <f aca="false">IF(COUNT(D677:H677)=0,"",SUM(D677:H677))</f>
        <v/>
      </c>
      <c r="J677" s="24"/>
    </row>
    <row r="678" customFormat="false" ht="15" hidden="false" customHeight="false" outlineLevel="0" collapsed="false">
      <c r="B678" s="4" t="s">
        <v>142</v>
      </c>
      <c r="C678" s="15" t="s">
        <v>109</v>
      </c>
      <c r="D678" s="31" t="str">
        <f aca="false">IF(D665="Water weight",D677,D676)</f>
        <v/>
      </c>
      <c r="E678" s="31" t="str">
        <f aca="false">IF(E665="Water weight",E677,E676)</f>
        <v/>
      </c>
      <c r="F678" s="31" t="str">
        <f aca="false">IF(F665="Water weight",F677,F676)</f>
        <v/>
      </c>
      <c r="G678" s="31" t="str">
        <f aca="false">IF(G665="Water weight",G677,G676)</f>
        <v/>
      </c>
      <c r="H678" s="31" t="str">
        <f aca="false">IF(H665="Water weight",H677,H676)</f>
        <v/>
      </c>
      <c r="I678" s="31" t="str">
        <f aca="false">IF(COUNT(D678:H678)=0,"",SUM(D678:H678))</f>
        <v/>
      </c>
      <c r="J678" s="24"/>
      <c r="K678" s="32" t="s">
        <v>143</v>
      </c>
    </row>
    <row r="679" customFormat="false" ht="15" hidden="false" customHeight="false" outlineLevel="0" collapsed="false">
      <c r="B679" s="4" t="s">
        <v>144</v>
      </c>
      <c r="C679" s="15" t="s">
        <v>109</v>
      </c>
      <c r="D679" s="31" t="str">
        <f aca="false">IF(AND(D672="",D678=""),"",N(D672)+N(D678))</f>
        <v/>
      </c>
      <c r="E679" s="31" t="str">
        <f aca="false">IF(AND(E672="",E678=""),"",N(E672)+N(E678))</f>
        <v/>
      </c>
      <c r="F679" s="31" t="str">
        <f aca="false">IF(AND(F672="",F678=""),"",N(F672)+N(F678))</f>
        <v/>
      </c>
      <c r="G679" s="31" t="str">
        <f aca="false">IF(AND(G672="",G678=""),"",N(G672)+N(G678))</f>
        <v/>
      </c>
      <c r="H679" s="31" t="str">
        <f aca="false">IF(AND(H672="",H678=""),"",N(H672)+N(H678))</f>
        <v/>
      </c>
      <c r="I679" s="31" t="str">
        <f aca="false">IF(COUNT(D679:H679)=0,"",SUM(D679:H679))</f>
        <v/>
      </c>
      <c r="J679" s="24"/>
      <c r="K679" s="32" t="s">
        <v>145</v>
      </c>
    </row>
    <row r="680" customFormat="false" ht="15" hidden="false" customHeight="false" outlineLevel="0" collapsed="false">
      <c r="B680" s="9" t="s">
        <v>60</v>
      </c>
      <c r="C680" s="15" t="s">
        <v>146</v>
      </c>
      <c r="D680" s="35" t="str">
        <f aca="false">IF(D679="","",IF(JobType="Chemical Cleaning",CC_HX,INDEX(DecFill,MATCH("Exchanger",DecTypeU,0))))</f>
        <v/>
      </c>
      <c r="E680" s="35" t="str">
        <f aca="false">IF(E679="","",IF(JobType="Chemical Cleaning",CC_HX,INDEX(DecFill,MATCH("Exchanger",DecTypeU,0))))</f>
        <v/>
      </c>
      <c r="F680" s="35" t="str">
        <f aca="false">IF(F679="","",IF(JobType="Chemical Cleaning",CC_HX,INDEX(DecFill,MATCH("Exchanger",DecTypeU,0))))</f>
        <v/>
      </c>
      <c r="G680" s="35" t="str">
        <f aca="false">IF(G679="","",IF(JobType="Chemical Cleaning",CC_HX,INDEX(DecFill,MATCH("Exchanger",DecTypeU,0))))</f>
        <v/>
      </c>
      <c r="H680" s="35" t="str">
        <f aca="false">IF(H679="","",IF(JobType="Chemical Cleaning",CC_HX,INDEX(DecFill,MATCH("Exchanger",DecTypeU,0))))</f>
        <v/>
      </c>
      <c r="I680" s="36"/>
      <c r="J680" s="24" t="s">
        <v>147</v>
      </c>
    </row>
    <row r="681" customFormat="false" ht="15" hidden="false" customHeight="false" outlineLevel="0" collapsed="false">
      <c r="B681" s="4" t="s">
        <v>148</v>
      </c>
      <c r="C681" s="15" t="s">
        <v>109</v>
      </c>
      <c r="D681" s="31" t="str">
        <f aca="false">IF(OR(D679="",D680=""),"",D679*D680)</f>
        <v/>
      </c>
      <c r="E681" s="31" t="str">
        <f aca="false">IF(OR(E679="",E680=""),"",E679*E680)</f>
        <v/>
      </c>
      <c r="F681" s="31" t="str">
        <f aca="false">IF(OR(F679="",F680=""),"",F679*F680)</f>
        <v/>
      </c>
      <c r="G681" s="31" t="str">
        <f aca="false">IF(OR(G679="",G680=""),"",G679*G680)</f>
        <v/>
      </c>
      <c r="H681" s="31" t="str">
        <f aca="false">IF(OR(H679="",H680=""),"",H679*H680)</f>
        <v/>
      </c>
      <c r="I681" s="31" t="str">
        <f aca="false">IF(COUNT(D681:H681)=0,"",SUM(D681:H681))</f>
        <v/>
      </c>
      <c r="J681" s="24"/>
      <c r="K681" s="32" t="s">
        <v>149</v>
      </c>
    </row>
    <row r="682" customFormat="false" ht="15" hidden="false" customHeight="false" outlineLevel="0" collapsed="false">
      <c r="B682" s="9" t="s">
        <v>150</v>
      </c>
      <c r="C682" s="15" t="s">
        <v>32</v>
      </c>
      <c r="D682" s="37" t="str">
        <f aca="false">IF(OR(JobType&lt;&gt;"Decontamination",D681=""),"",D681*INDEX(DecChem,MATCH("Exchanger",DecTypeU,0))*1000)</f>
        <v/>
      </c>
      <c r="E682" s="37" t="str">
        <f aca="false">IF(OR(JobType&lt;&gt;"Decontamination",E681=""),"",E681*INDEX(DecChem,MATCH("Exchanger",DecTypeU,0))*1000)</f>
        <v/>
      </c>
      <c r="F682" s="37" t="str">
        <f aca="false">IF(OR(JobType&lt;&gt;"Decontamination",F681=""),"",F681*INDEX(DecChem,MATCH("Exchanger",DecTypeU,0))*1000)</f>
        <v/>
      </c>
      <c r="G682" s="37" t="str">
        <f aca="false">IF(OR(JobType&lt;&gt;"Decontamination",G681=""),"",G681*INDEX(DecChem,MATCH("Exchanger",DecTypeU,0))*1000)</f>
        <v/>
      </c>
      <c r="H682" s="37" t="str">
        <f aca="false">IF(OR(JobType&lt;&gt;"Decontamination",H681=""),"",H681*INDEX(DecChem,MATCH("Exchanger",DecTypeU,0))*1000)</f>
        <v/>
      </c>
      <c r="I682" s="38" t="str">
        <f aca="false">IF(COUNT(D682:H682)=0,"",SUM(D682:H682))</f>
        <v/>
      </c>
      <c r="J682" s="24" t="s">
        <v>151</v>
      </c>
      <c r="K682" s="32" t="s">
        <v>152</v>
      </c>
    </row>
    <row r="684" customFormat="false" ht="15" hidden="false" customHeight="false" outlineLevel="0" collapsed="false">
      <c r="A684" s="20" t="n">
        <v>16</v>
      </c>
      <c r="B684" s="21" t="s">
        <v>167</v>
      </c>
      <c r="C684" s="22"/>
      <c r="D684" s="22"/>
      <c r="E684" s="22"/>
      <c r="F684" s="22"/>
      <c r="G684" s="22"/>
      <c r="H684" s="22"/>
      <c r="I684" s="22"/>
      <c r="J684" s="22"/>
    </row>
    <row r="685" customFormat="false" ht="15" hidden="false" customHeight="false" outlineLevel="0" collapsed="false">
      <c r="B685" s="9" t="s">
        <v>83</v>
      </c>
      <c r="C685" s="15" t="s">
        <v>29</v>
      </c>
      <c r="D685" s="8"/>
      <c r="E685" s="8"/>
      <c r="F685" s="8"/>
      <c r="G685" s="8"/>
      <c r="H685" s="8"/>
      <c r="I685" s="23"/>
      <c r="J685" s="24"/>
    </row>
    <row r="686" customFormat="false" ht="15" hidden="false" customHeight="false" outlineLevel="0" collapsed="false">
      <c r="B686" s="9" t="s">
        <v>86</v>
      </c>
      <c r="C686" s="15" t="s">
        <v>29</v>
      </c>
      <c r="D686" s="8"/>
      <c r="E686" s="8"/>
      <c r="F686" s="8"/>
      <c r="G686" s="8"/>
      <c r="H686" s="8"/>
      <c r="I686" s="23"/>
      <c r="J686" s="24"/>
    </row>
    <row r="687" customFormat="false" ht="15" hidden="false" customHeight="false" outlineLevel="0" collapsed="false">
      <c r="B687" s="9" t="s">
        <v>87</v>
      </c>
      <c r="C687" s="15" t="s">
        <v>29</v>
      </c>
      <c r="D687" s="8"/>
      <c r="E687" s="8"/>
      <c r="F687" s="8"/>
      <c r="G687" s="8"/>
      <c r="H687" s="8"/>
      <c r="I687" s="23"/>
      <c r="J687" s="24"/>
    </row>
    <row r="688" customFormat="false" ht="15" hidden="false" customHeight="false" outlineLevel="0" collapsed="false">
      <c r="B688" s="25" t="s">
        <v>88</v>
      </c>
      <c r="C688" s="26"/>
      <c r="D688" s="26"/>
      <c r="E688" s="26"/>
      <c r="F688" s="26"/>
      <c r="G688" s="26"/>
      <c r="H688" s="26"/>
      <c r="I688" s="26"/>
      <c r="J688" s="26"/>
    </row>
    <row r="689" customFormat="false" ht="15" hidden="false" customHeight="false" outlineLevel="0" collapsed="false">
      <c r="B689" s="9" t="s">
        <v>89</v>
      </c>
      <c r="C689" s="15" t="s">
        <v>90</v>
      </c>
      <c r="D689" s="8"/>
      <c r="E689" s="8"/>
      <c r="F689" s="8"/>
      <c r="G689" s="8"/>
      <c r="H689" s="8"/>
      <c r="I689" s="23"/>
      <c r="J689" s="24"/>
    </row>
    <row r="690" customFormat="false" ht="15" hidden="false" customHeight="false" outlineLevel="0" collapsed="false">
      <c r="B690" s="9" t="s">
        <v>91</v>
      </c>
      <c r="C690" s="8" t="s">
        <v>92</v>
      </c>
      <c r="D690" s="8"/>
      <c r="E690" s="8"/>
      <c r="F690" s="8"/>
      <c r="G690" s="8"/>
      <c r="H690" s="8"/>
      <c r="I690" s="23"/>
      <c r="J690" s="24" t="s">
        <v>93</v>
      </c>
    </row>
    <row r="691" customFormat="false" ht="15" hidden="false" customHeight="false" outlineLevel="0" collapsed="false">
      <c r="B691" s="9" t="s">
        <v>94</v>
      </c>
      <c r="C691" s="8" t="s">
        <v>92</v>
      </c>
      <c r="D691" s="8"/>
      <c r="E691" s="8"/>
      <c r="F691" s="8"/>
      <c r="G691" s="8"/>
      <c r="H691" s="8"/>
      <c r="I691" s="23"/>
      <c r="J691" s="24"/>
    </row>
    <row r="692" customFormat="false" ht="15" hidden="false" customHeight="false" outlineLevel="0" collapsed="false">
      <c r="B692" s="9" t="s">
        <v>95</v>
      </c>
      <c r="C692" s="8" t="s">
        <v>92</v>
      </c>
      <c r="D692" s="8"/>
      <c r="E692" s="8"/>
      <c r="F692" s="8"/>
      <c r="G692" s="8"/>
      <c r="H692" s="8"/>
      <c r="I692" s="23"/>
      <c r="J692" s="24"/>
    </row>
    <row r="693" customFormat="false" ht="15" hidden="false" customHeight="false" outlineLevel="0" collapsed="false">
      <c r="B693" s="9" t="s">
        <v>96</v>
      </c>
      <c r="C693" s="8" t="s">
        <v>92</v>
      </c>
      <c r="D693" s="8"/>
      <c r="E693" s="8"/>
      <c r="F693" s="8"/>
      <c r="G693" s="8"/>
      <c r="H693" s="8"/>
      <c r="I693" s="23"/>
      <c r="J693" s="24" t="s">
        <v>97</v>
      </c>
    </row>
    <row r="694" customFormat="false" ht="15" hidden="false" customHeight="false" outlineLevel="0" collapsed="false">
      <c r="B694" s="9" t="s">
        <v>98</v>
      </c>
      <c r="C694" s="15" t="s">
        <v>29</v>
      </c>
      <c r="D694" s="8" t="s">
        <v>99</v>
      </c>
      <c r="E694" s="8" t="s">
        <v>99</v>
      </c>
      <c r="F694" s="8" t="s">
        <v>99</v>
      </c>
      <c r="G694" s="8" t="s">
        <v>99</v>
      </c>
      <c r="H694" s="8" t="s">
        <v>99</v>
      </c>
      <c r="I694" s="23"/>
      <c r="J694" s="24"/>
    </row>
    <row r="695" customFormat="false" ht="15" hidden="false" customHeight="false" outlineLevel="0" collapsed="false">
      <c r="B695" s="9" t="s">
        <v>100</v>
      </c>
      <c r="C695" s="8" t="s">
        <v>92</v>
      </c>
      <c r="D695" s="8"/>
      <c r="E695" s="8"/>
      <c r="F695" s="8"/>
      <c r="G695" s="8"/>
      <c r="H695" s="8"/>
      <c r="I695" s="23"/>
      <c r="J695" s="24"/>
    </row>
    <row r="696" customFormat="false" ht="15" hidden="false" customHeight="false" outlineLevel="0" collapsed="false">
      <c r="B696" s="9" t="s">
        <v>101</v>
      </c>
      <c r="C696" s="8" t="s">
        <v>92</v>
      </c>
      <c r="D696" s="8"/>
      <c r="E696" s="8"/>
      <c r="F696" s="8"/>
      <c r="G696" s="8"/>
      <c r="H696" s="8"/>
      <c r="I696" s="23"/>
      <c r="J696" s="24"/>
    </row>
    <row r="697" customFormat="false" ht="15" hidden="false" customHeight="false" outlineLevel="0" collapsed="false">
      <c r="B697" s="9" t="s">
        <v>102</v>
      </c>
      <c r="C697" s="15" t="s">
        <v>29</v>
      </c>
      <c r="D697" s="8"/>
      <c r="E697" s="8"/>
      <c r="F697" s="8"/>
      <c r="G697" s="8"/>
      <c r="H697" s="8"/>
      <c r="I697" s="23"/>
      <c r="J697" s="24"/>
    </row>
    <row r="698" customFormat="false" ht="15" hidden="false" customHeight="false" outlineLevel="0" collapsed="false">
      <c r="B698" s="9" t="s">
        <v>104</v>
      </c>
      <c r="C698" s="8" t="s">
        <v>92</v>
      </c>
      <c r="D698" s="8"/>
      <c r="E698" s="8"/>
      <c r="F698" s="8"/>
      <c r="G698" s="8"/>
      <c r="H698" s="8"/>
      <c r="I698" s="23"/>
      <c r="J698" s="24"/>
    </row>
    <row r="699" customFormat="false" ht="15" hidden="false" customHeight="false" outlineLevel="0" collapsed="false">
      <c r="B699" s="9" t="s">
        <v>105</v>
      </c>
      <c r="C699" s="8" t="s">
        <v>92</v>
      </c>
      <c r="D699" s="8"/>
      <c r="E699" s="8"/>
      <c r="F699" s="8"/>
      <c r="G699" s="8"/>
      <c r="H699" s="8"/>
      <c r="I699" s="23"/>
      <c r="J699" s="24"/>
    </row>
    <row r="700" customFormat="false" ht="15" hidden="false" customHeight="false" outlineLevel="0" collapsed="false">
      <c r="B700" s="9" t="s">
        <v>106</v>
      </c>
      <c r="C700" s="15" t="s">
        <v>29</v>
      </c>
      <c r="D700" s="8"/>
      <c r="E700" s="8"/>
      <c r="F700" s="8"/>
      <c r="G700" s="8"/>
      <c r="H700" s="8"/>
      <c r="I700" s="23"/>
      <c r="J700" s="24"/>
    </row>
    <row r="701" customFormat="false" ht="15" hidden="false" customHeight="false" outlineLevel="0" collapsed="false">
      <c r="B701" s="9" t="s">
        <v>108</v>
      </c>
      <c r="C701" s="8" t="s">
        <v>109</v>
      </c>
      <c r="D701" s="8"/>
      <c r="E701" s="8"/>
      <c r="F701" s="8"/>
      <c r="G701" s="8"/>
      <c r="H701" s="8"/>
      <c r="I701" s="23"/>
      <c r="J701" s="24" t="s">
        <v>110</v>
      </c>
    </row>
    <row r="702" customFormat="false" ht="15" hidden="false" customHeight="false" outlineLevel="0" collapsed="false">
      <c r="B702" s="9" t="s">
        <v>111</v>
      </c>
      <c r="C702" s="8" t="s">
        <v>112</v>
      </c>
      <c r="D702" s="8"/>
      <c r="E702" s="8"/>
      <c r="F702" s="8"/>
      <c r="G702" s="8"/>
      <c r="H702" s="8"/>
      <c r="I702" s="23"/>
      <c r="J702" s="24"/>
    </row>
    <row r="703" customFormat="false" ht="15" hidden="false" customHeight="false" outlineLevel="0" collapsed="false">
      <c r="B703" s="25" t="s">
        <v>113</v>
      </c>
      <c r="C703" s="26"/>
      <c r="D703" s="26"/>
      <c r="E703" s="26"/>
      <c r="F703" s="26"/>
      <c r="G703" s="26"/>
      <c r="H703" s="26"/>
      <c r="I703" s="26"/>
      <c r="J703" s="26"/>
    </row>
    <row r="704" customFormat="false" ht="15" hidden="false" customHeight="false" outlineLevel="0" collapsed="false">
      <c r="B704" s="9" t="s">
        <v>114</v>
      </c>
      <c r="C704" s="8" t="s">
        <v>92</v>
      </c>
      <c r="D704" s="8"/>
      <c r="E704" s="8"/>
      <c r="F704" s="8"/>
      <c r="G704" s="8"/>
      <c r="H704" s="8"/>
      <c r="I704" s="23"/>
      <c r="J704" s="24" t="s">
        <v>115</v>
      </c>
    </row>
    <row r="705" customFormat="false" ht="15" hidden="false" customHeight="false" outlineLevel="0" collapsed="false">
      <c r="B705" s="9" t="s">
        <v>116</v>
      </c>
      <c r="C705" s="8" t="s">
        <v>92</v>
      </c>
      <c r="D705" s="8"/>
      <c r="E705" s="8"/>
      <c r="F705" s="8"/>
      <c r="G705" s="8"/>
      <c r="H705" s="8"/>
      <c r="I705" s="23"/>
      <c r="J705" s="24" t="s">
        <v>117</v>
      </c>
    </row>
    <row r="706" customFormat="false" ht="15" hidden="false" customHeight="false" outlineLevel="0" collapsed="false">
      <c r="B706" s="9" t="s">
        <v>118</v>
      </c>
      <c r="C706" s="15" t="s">
        <v>29</v>
      </c>
      <c r="D706" s="8"/>
      <c r="E706" s="8"/>
      <c r="F706" s="8"/>
      <c r="G706" s="8"/>
      <c r="H706" s="8"/>
      <c r="I706" s="23"/>
      <c r="J706" s="24"/>
    </row>
    <row r="707" customFormat="false" ht="15" hidden="false" customHeight="false" outlineLevel="0" collapsed="false">
      <c r="B707" s="9" t="s">
        <v>119</v>
      </c>
      <c r="C707" s="8" t="s">
        <v>112</v>
      </c>
      <c r="D707" s="8"/>
      <c r="E707" s="8"/>
      <c r="F707" s="8"/>
      <c r="G707" s="8"/>
      <c r="H707" s="8"/>
      <c r="I707" s="23"/>
      <c r="J707" s="24"/>
    </row>
    <row r="708" customFormat="false" ht="15" hidden="false" customHeight="false" outlineLevel="0" collapsed="false">
      <c r="B708" s="25" t="s">
        <v>120</v>
      </c>
      <c r="C708" s="26"/>
      <c r="D708" s="26"/>
      <c r="E708" s="26"/>
      <c r="F708" s="26"/>
      <c r="G708" s="26"/>
      <c r="H708" s="26"/>
      <c r="I708" s="26"/>
      <c r="J708" s="26"/>
    </row>
    <row r="709" customFormat="false" ht="15" hidden="false" customHeight="false" outlineLevel="0" collapsed="false">
      <c r="B709" s="9" t="s">
        <v>121</v>
      </c>
      <c r="C709" s="15" t="s">
        <v>29</v>
      </c>
      <c r="D709" s="8" t="s">
        <v>122</v>
      </c>
      <c r="E709" s="8" t="s">
        <v>122</v>
      </c>
      <c r="F709" s="8" t="s">
        <v>122</v>
      </c>
      <c r="G709" s="8" t="s">
        <v>122</v>
      </c>
      <c r="H709" s="8" t="s">
        <v>122</v>
      </c>
      <c r="I709" s="23"/>
      <c r="J709" s="24"/>
    </row>
    <row r="710" customFormat="false" ht="15" hidden="false" customHeight="false" outlineLevel="0" collapsed="false">
      <c r="B710" s="9" t="s">
        <v>123</v>
      </c>
      <c r="C710" s="15" t="s">
        <v>29</v>
      </c>
      <c r="D710" s="8" t="s">
        <v>122</v>
      </c>
      <c r="E710" s="8" t="s">
        <v>122</v>
      </c>
      <c r="F710" s="8" t="s">
        <v>122</v>
      </c>
      <c r="G710" s="8" t="s">
        <v>122</v>
      </c>
      <c r="H710" s="8" t="s">
        <v>122</v>
      </c>
      <c r="I710" s="23"/>
      <c r="J710" s="24"/>
    </row>
    <row r="711" customFormat="false" ht="15" hidden="false" customHeight="false" outlineLevel="0" collapsed="false">
      <c r="B711" s="25" t="s">
        <v>124</v>
      </c>
      <c r="C711" s="26"/>
      <c r="D711" s="26"/>
      <c r="E711" s="26"/>
      <c r="F711" s="26"/>
      <c r="G711" s="26"/>
      <c r="H711" s="26"/>
      <c r="I711" s="26"/>
      <c r="J711" s="26"/>
    </row>
    <row r="712" customFormat="false" ht="15" hidden="false" customHeight="false" outlineLevel="0" collapsed="false">
      <c r="B712" s="9" t="s">
        <v>125</v>
      </c>
      <c r="C712" s="15" t="s">
        <v>92</v>
      </c>
      <c r="D712" s="27" t="str">
        <f aca="false">IF(ISNUMBER(D690),D690*INDEX(LenF,MATCH($C$690,LenU,0))*1000,IF(ISNUMBER(D693),D693*INDEX(LenF,MATCH($C$693,LenU,0))/PitchRatio*1000,""))</f>
        <v/>
      </c>
      <c r="E712" s="27" t="str">
        <f aca="false">IF(ISNUMBER(E690),E690*INDEX(LenF,MATCH($C$690,LenU,0))*1000,IF(ISNUMBER(E693),E693*INDEX(LenF,MATCH($C$693,LenU,0))/PitchRatio*1000,""))</f>
        <v/>
      </c>
      <c r="F712" s="27" t="str">
        <f aca="false">IF(ISNUMBER(F690),F690*INDEX(LenF,MATCH($C$690,LenU,0))*1000,IF(ISNUMBER(F693),F693*INDEX(LenF,MATCH($C$693,LenU,0))/PitchRatio*1000,""))</f>
        <v/>
      </c>
      <c r="G712" s="27" t="str">
        <f aca="false">IF(ISNUMBER(G690),G690*INDEX(LenF,MATCH($C$690,LenU,0))*1000,IF(ISNUMBER(G693),G693*INDEX(LenF,MATCH($C$693,LenU,0))/PitchRatio*1000,""))</f>
        <v/>
      </c>
      <c r="H712" s="27" t="str">
        <f aca="false">IF(ISNUMBER(H690),H690*INDEX(LenF,MATCH($C$690,LenU,0))*1000,IF(ISNUMBER(H693),H693*INDEX(LenF,MATCH($C$693,LenU,0))/PitchRatio*1000,""))</f>
        <v/>
      </c>
      <c r="I712" s="28"/>
      <c r="J712" s="24" t="s">
        <v>126</v>
      </c>
    </row>
    <row r="713" customFormat="false" ht="15" hidden="false" customHeight="false" outlineLevel="0" collapsed="false">
      <c r="B713" s="9" t="s">
        <v>127</v>
      </c>
      <c r="C713" s="15" t="s">
        <v>109</v>
      </c>
      <c r="D713" s="29" t="str">
        <f aca="false">IF(AND(ISNUMBER(D689),ISNUMBER(D691),ISNUMBER(D692)),D689*PI()/4*(D691*INDEX(LenF,MATCH($C$691,LenU,0)))^2*D692*INDEX(LenF,MATCH($C$692,LenU,0)),"")</f>
        <v/>
      </c>
      <c r="E713" s="29" t="str">
        <f aca="false">IF(AND(ISNUMBER(E689),ISNUMBER(E691),ISNUMBER(E692)),E689*PI()/4*(E691*INDEX(LenF,MATCH($C$691,LenU,0)))^2*E692*INDEX(LenF,MATCH($C$692,LenU,0)),"")</f>
        <v/>
      </c>
      <c r="F713" s="29" t="str">
        <f aca="false">IF(AND(ISNUMBER(F689),ISNUMBER(F691),ISNUMBER(F692)),F689*PI()/4*(F691*INDEX(LenF,MATCH($C$691,LenU,0)))^2*F692*INDEX(LenF,MATCH($C$692,LenU,0)),"")</f>
        <v/>
      </c>
      <c r="G713" s="29" t="str">
        <f aca="false">IF(AND(ISNUMBER(G689),ISNUMBER(G691),ISNUMBER(G692)),G689*PI()/4*(G691*INDEX(LenF,MATCH($C$691,LenU,0)))^2*G692*INDEX(LenF,MATCH($C$692,LenU,0)),"")</f>
        <v/>
      </c>
      <c r="H713" s="29" t="str">
        <f aca="false">IF(AND(ISNUMBER(H689),ISNUMBER(H691),ISNUMBER(H692)),H689*PI()/4*(H691*INDEX(LenF,MATCH($C$691,LenU,0)))^2*H692*INDEX(LenF,MATCH($C$692,LenU,0)),"")</f>
        <v/>
      </c>
      <c r="I713" s="30" t="str">
        <f aca="false">IF(COUNT(D713:H713)=0,"",SUM(D713:H713))</f>
        <v/>
      </c>
      <c r="J713" s="24"/>
    </row>
    <row r="714" customFormat="false" ht="15" hidden="false" customHeight="false" outlineLevel="0" collapsed="false">
      <c r="B714" s="9" t="s">
        <v>128</v>
      </c>
      <c r="C714" s="15" t="s">
        <v>109</v>
      </c>
      <c r="D714" s="29" t="n">
        <f aca="false">IF(ISNUMBER(D701),D701*INDEX(VolF,MATCH($C$701,VolU,0)),IF(ISNUMBER(D695),PI()/4*(D695*INDEX(LenF,MATCH($C$695,LenU,0)))^2*N(D696)*INDEX(LenF,MATCH($C$696,LenU,0))+IF(D697="",0,IF(D697="Conical",PI()/12*(D695*INDEX(LenF,MATCH($C$695,LenU,0)))^2*(0),INDEX(HeadK,MATCH(D697,HeadU,0))*(D695*INDEX(LenF,MATCH($C$695,LenU,0)))^3)),0)+IF(ISNUMBER(D698),PI()/4*(D698*INDEX(LenF,MATCH($C$698,LenU,0)))^2*N(D699)*INDEX(LenF,MATCH($C$699,LenU,0))+IF(D700="",0,IF(D700="Conical",PI()/12*(D698*INDEX(LenF,MATCH($C$698,LenU,0)))^2*(0),INDEX(HeadK,MATCH(D700,HeadU,0))*(D698*INDEX(LenF,MATCH($C$698,LenU,0)))^3)),0))</f>
        <v>0</v>
      </c>
      <c r="E714" s="29" t="n">
        <f aca="false">IF(ISNUMBER(E701),E701*INDEX(VolF,MATCH($C$701,VolU,0)),IF(ISNUMBER(E695),PI()/4*(E695*INDEX(LenF,MATCH($C$695,LenU,0)))^2*N(E696)*INDEX(LenF,MATCH($C$696,LenU,0))+IF(E697="",0,IF(E697="Conical",PI()/12*(E695*INDEX(LenF,MATCH($C$695,LenU,0)))^2*(0),INDEX(HeadK,MATCH(E697,HeadU,0))*(E695*INDEX(LenF,MATCH($C$695,LenU,0)))^3)),0)+IF(ISNUMBER(E698),PI()/4*(E698*INDEX(LenF,MATCH($C$698,LenU,0)))^2*N(E699)*INDEX(LenF,MATCH($C$699,LenU,0))+IF(E700="",0,IF(E700="Conical",PI()/12*(E698*INDEX(LenF,MATCH($C$698,LenU,0)))^2*(0),INDEX(HeadK,MATCH(E700,HeadU,0))*(E698*INDEX(LenF,MATCH($C$698,LenU,0)))^3)),0))</f>
        <v>0</v>
      </c>
      <c r="F714" s="29" t="n">
        <f aca="false">IF(ISNUMBER(F701),F701*INDEX(VolF,MATCH($C$701,VolU,0)),IF(ISNUMBER(F695),PI()/4*(F695*INDEX(LenF,MATCH($C$695,LenU,0)))^2*N(F696)*INDEX(LenF,MATCH($C$696,LenU,0))+IF(F697="",0,IF(F697="Conical",PI()/12*(F695*INDEX(LenF,MATCH($C$695,LenU,0)))^2*(0),INDEX(HeadK,MATCH(F697,HeadU,0))*(F695*INDEX(LenF,MATCH($C$695,LenU,0)))^3)),0)+IF(ISNUMBER(F698),PI()/4*(F698*INDEX(LenF,MATCH($C$698,LenU,0)))^2*N(F699)*INDEX(LenF,MATCH($C$699,LenU,0))+IF(F700="",0,IF(F700="Conical",PI()/12*(F698*INDEX(LenF,MATCH($C$698,LenU,0)))^2*(0),INDEX(HeadK,MATCH(F700,HeadU,0))*(F698*INDEX(LenF,MATCH($C$698,LenU,0)))^3)),0))</f>
        <v>0</v>
      </c>
      <c r="G714" s="29" t="n">
        <f aca="false">IF(ISNUMBER(G701),G701*INDEX(VolF,MATCH($C$701,VolU,0)),IF(ISNUMBER(G695),PI()/4*(G695*INDEX(LenF,MATCH($C$695,LenU,0)))^2*N(G696)*INDEX(LenF,MATCH($C$696,LenU,0))+IF(G697="",0,IF(G697="Conical",PI()/12*(G695*INDEX(LenF,MATCH($C$695,LenU,0)))^2*(0),INDEX(HeadK,MATCH(G697,HeadU,0))*(G695*INDEX(LenF,MATCH($C$695,LenU,0)))^3)),0)+IF(ISNUMBER(G698),PI()/4*(G698*INDEX(LenF,MATCH($C$698,LenU,0)))^2*N(G699)*INDEX(LenF,MATCH($C$699,LenU,0))+IF(G700="",0,IF(G700="Conical",PI()/12*(G698*INDEX(LenF,MATCH($C$698,LenU,0)))^2*(0),INDEX(HeadK,MATCH(G700,HeadU,0))*(G698*INDEX(LenF,MATCH($C$698,LenU,0)))^3)),0))</f>
        <v>0</v>
      </c>
      <c r="H714" s="29" t="n">
        <f aca="false">IF(ISNUMBER(H701),H701*INDEX(VolF,MATCH($C$701,VolU,0)),IF(ISNUMBER(H695),PI()/4*(H695*INDEX(LenF,MATCH($C$695,LenU,0)))^2*N(H696)*INDEX(LenF,MATCH($C$696,LenU,0))+IF(H697="",0,IF(H697="Conical",PI()/12*(H695*INDEX(LenF,MATCH($C$695,LenU,0)))^2*(0),INDEX(HeadK,MATCH(H697,HeadU,0))*(H695*INDEX(LenF,MATCH($C$695,LenU,0)))^3)),0)+IF(ISNUMBER(H698),PI()/4*(H698*INDEX(LenF,MATCH($C$698,LenU,0)))^2*N(H699)*INDEX(LenF,MATCH($C$699,LenU,0))+IF(H700="",0,IF(H700="Conical",PI()/12*(H698*INDEX(LenF,MATCH($C$698,LenU,0)))^2*(0),INDEX(HeadK,MATCH(H700,HeadU,0))*(H698*INDEX(LenF,MATCH($C$698,LenU,0)))^3)),0))</f>
        <v>0</v>
      </c>
      <c r="I714" s="30" t="n">
        <f aca="false">IF(COUNT(D714:H714)=0,"",SUM(D714:H714))</f>
        <v>0</v>
      </c>
      <c r="J714" s="24" t="s">
        <v>129</v>
      </c>
    </row>
    <row r="715" customFormat="false" ht="15" hidden="false" customHeight="false" outlineLevel="0" collapsed="false">
      <c r="B715" s="9" t="s">
        <v>130</v>
      </c>
      <c r="C715" s="15" t="s">
        <v>109</v>
      </c>
      <c r="D715" s="29" t="str">
        <f aca="false">IF(D713="","",D713+D714)</f>
        <v/>
      </c>
      <c r="E715" s="29" t="str">
        <f aca="false">IF(E713="","",E713+E714)</f>
        <v/>
      </c>
      <c r="F715" s="29" t="str">
        <f aca="false">IF(F713="","",F713+F714)</f>
        <v/>
      </c>
      <c r="G715" s="29" t="str">
        <f aca="false">IF(G713="","",G713+G714)</f>
        <v/>
      </c>
      <c r="H715" s="29" t="str">
        <f aca="false">IF(H713="","",H713+H714)</f>
        <v/>
      </c>
      <c r="I715" s="30" t="str">
        <f aca="false">IF(COUNT(D715:H715)=0,"",SUM(D715:H715))</f>
        <v/>
      </c>
      <c r="J715" s="24"/>
    </row>
    <row r="716" customFormat="false" ht="15" hidden="false" customHeight="false" outlineLevel="0" collapsed="false">
      <c r="B716" s="9" t="s">
        <v>131</v>
      </c>
      <c r="C716" s="15" t="s">
        <v>109</v>
      </c>
      <c r="D716" s="29" t="str">
        <f aca="false">IF(ISNUMBER(D702),D702*INDEX(WtF,MATCH($C$702,WtU,0))/WaterRho,"")</f>
        <v/>
      </c>
      <c r="E716" s="29" t="str">
        <f aca="false">IF(ISNUMBER(E702),E702*INDEX(WtF,MATCH($C$702,WtU,0))/WaterRho,"")</f>
        <v/>
      </c>
      <c r="F716" s="29" t="str">
        <f aca="false">IF(ISNUMBER(F702),F702*INDEX(WtF,MATCH($C$702,WtU,0))/WaterRho,"")</f>
        <v/>
      </c>
      <c r="G716" s="29" t="str">
        <f aca="false">IF(ISNUMBER(G702),G702*INDEX(WtF,MATCH($C$702,WtU,0))/WaterRho,"")</f>
        <v/>
      </c>
      <c r="H716" s="29" t="str">
        <f aca="false">IF(ISNUMBER(H702),H702*INDEX(WtF,MATCH($C$702,WtU,0))/WaterRho,"")</f>
        <v/>
      </c>
      <c r="I716" s="30" t="str">
        <f aca="false">IF(COUNT(D716:H716)=0,"",SUM(D716:H716))</f>
        <v/>
      </c>
      <c r="J716" s="24"/>
    </row>
    <row r="717" customFormat="false" ht="15" hidden="false" customHeight="false" outlineLevel="0" collapsed="false">
      <c r="B717" s="4" t="s">
        <v>132</v>
      </c>
      <c r="C717" s="15" t="s">
        <v>109</v>
      </c>
      <c r="D717" s="31" t="str">
        <f aca="false">IF(D709="Water weight",D716,D715)</f>
        <v/>
      </c>
      <c r="E717" s="31" t="str">
        <f aca="false">IF(E709="Water weight",E716,E715)</f>
        <v/>
      </c>
      <c r="F717" s="31" t="str">
        <f aca="false">IF(F709="Water weight",F716,F715)</f>
        <v/>
      </c>
      <c r="G717" s="31" t="str">
        <f aca="false">IF(G709="Water weight",G716,G715)</f>
        <v/>
      </c>
      <c r="H717" s="31" t="str">
        <f aca="false">IF(H709="Water weight",H716,H715)</f>
        <v/>
      </c>
      <c r="I717" s="31" t="str">
        <f aca="false">IF(COUNT(D717:H717)=0,"",SUM(D717:H717))</f>
        <v/>
      </c>
      <c r="J717" s="24"/>
      <c r="K717" s="32" t="s">
        <v>133</v>
      </c>
    </row>
    <row r="718" customFormat="false" ht="15" hidden="false" customHeight="false" outlineLevel="0" collapsed="false">
      <c r="B718" s="9" t="s">
        <v>134</v>
      </c>
      <c r="C718" s="15" t="s">
        <v>135</v>
      </c>
      <c r="D718" s="33" t="str">
        <f aca="false">IF(ISNUMBER(D704),PI()/4*(D704*INDEX(LenF,MATCH($C$704,LenU,0)))^2,IF(AND(ISNUMBER(D689),ISNUMBER(D693),D694&lt;&gt;""),D689*(D693*INDEX(LenF,MATCH($C$693,LenU,0)))^2*INDEX(LayoutF,MATCH(D694,LayoutU,0)),""))</f>
        <v/>
      </c>
      <c r="E718" s="33" t="str">
        <f aca="false">IF(ISNUMBER(E704),PI()/4*(E704*INDEX(LenF,MATCH($C$704,LenU,0)))^2,IF(AND(ISNUMBER(E689),ISNUMBER(E693),E694&lt;&gt;""),E689*(E693*INDEX(LenF,MATCH($C$693,LenU,0)))^2*INDEX(LayoutF,MATCH(E694,LayoutU,0)),""))</f>
        <v/>
      </c>
      <c r="F718" s="33" t="str">
        <f aca="false">IF(ISNUMBER(F704),PI()/4*(F704*INDEX(LenF,MATCH($C$704,LenU,0)))^2,IF(AND(ISNUMBER(F689),ISNUMBER(F693),F694&lt;&gt;""),F689*(F693*INDEX(LenF,MATCH($C$693,LenU,0)))^2*INDEX(LayoutF,MATCH(F694,LayoutU,0)),""))</f>
        <v/>
      </c>
      <c r="G718" s="33" t="str">
        <f aca="false">IF(ISNUMBER(G704),PI()/4*(G704*INDEX(LenF,MATCH($C$704,LenU,0)))^2,IF(AND(ISNUMBER(G689),ISNUMBER(G693),G694&lt;&gt;""),G689*(G693*INDEX(LenF,MATCH($C$693,LenU,0)))^2*INDEX(LayoutF,MATCH(G694,LayoutU,0)),""))</f>
        <v/>
      </c>
      <c r="H718" s="33" t="str">
        <f aca="false">IF(ISNUMBER(H704),PI()/4*(H704*INDEX(LenF,MATCH($C$704,LenU,0)))^2,IF(AND(ISNUMBER(H689),ISNUMBER(H693),H694&lt;&gt;""),H689*(H693*INDEX(LenF,MATCH($C$693,LenU,0)))^2*INDEX(LayoutF,MATCH(H694,LayoutU,0)),""))</f>
        <v/>
      </c>
      <c r="I718" s="34"/>
      <c r="J718" s="24" t="s">
        <v>136</v>
      </c>
    </row>
    <row r="719" customFormat="false" ht="15" hidden="false" customHeight="false" outlineLevel="0" collapsed="false">
      <c r="B719" s="9" t="s">
        <v>137</v>
      </c>
      <c r="C719" s="15" t="s">
        <v>109</v>
      </c>
      <c r="D719" s="29" t="str">
        <f aca="false">IF(OR(D718="",AND(NOT(ISNUMBER(D705)),NOT(ISNUMBER(D692)))),"",D718*IF(ISNUMBER(D705),D705*INDEX(LenF,MATCH($C$705,LenU,0)),D692*INDEX(LenF,MATCH($C$692,LenU,0)))+IF(D706="",0,IF(D706="Conical",PI()/12*(SQRT(4*D718/PI()))^2*(0),INDEX(HeadK,MATCH(D706,HeadU,0))*(SQRT(4*D718/PI()))^3)))</f>
        <v/>
      </c>
      <c r="E719" s="29" t="str">
        <f aca="false">IF(OR(E718="",AND(NOT(ISNUMBER(E705)),NOT(ISNUMBER(E692)))),"",E718*IF(ISNUMBER(E705),E705*INDEX(LenF,MATCH($C$705,LenU,0)),E692*INDEX(LenF,MATCH($C$692,LenU,0)))+IF(E706="",0,IF(E706="Conical",PI()/12*(SQRT(4*E718/PI()))^2*(0),INDEX(HeadK,MATCH(E706,HeadU,0))*(SQRT(4*E718/PI()))^3)))</f>
        <v/>
      </c>
      <c r="F719" s="29" t="str">
        <f aca="false">IF(OR(F718="",AND(NOT(ISNUMBER(F705)),NOT(ISNUMBER(F692)))),"",F718*IF(ISNUMBER(F705),F705*INDEX(LenF,MATCH($C$705,LenU,0)),F692*INDEX(LenF,MATCH($C$692,LenU,0)))+IF(F706="",0,IF(F706="Conical",PI()/12*(SQRT(4*F718/PI()))^2*(0),INDEX(HeadK,MATCH(F706,HeadU,0))*(SQRT(4*F718/PI()))^3)))</f>
        <v/>
      </c>
      <c r="G719" s="29" t="str">
        <f aca="false">IF(OR(G718="",AND(NOT(ISNUMBER(G705)),NOT(ISNUMBER(G692)))),"",G718*IF(ISNUMBER(G705),G705*INDEX(LenF,MATCH($C$705,LenU,0)),G692*INDEX(LenF,MATCH($C$692,LenU,0)))+IF(G706="",0,IF(G706="Conical",PI()/12*(SQRT(4*G718/PI()))^2*(0),INDEX(HeadK,MATCH(G706,HeadU,0))*(SQRT(4*G718/PI()))^3)))</f>
        <v/>
      </c>
      <c r="H719" s="29" t="str">
        <f aca="false">IF(OR(H718="",AND(NOT(ISNUMBER(H705)),NOT(ISNUMBER(H692)))),"",H718*IF(ISNUMBER(H705),H705*INDEX(LenF,MATCH($C$705,LenU,0)),H692*INDEX(LenF,MATCH($C$692,LenU,0)))+IF(H706="",0,IF(H706="Conical",PI()/12*(SQRT(4*H718/PI()))^2*(0),INDEX(HeadK,MATCH(H706,HeadU,0))*(SQRT(4*H718/PI()))^3)))</f>
        <v/>
      </c>
      <c r="I719" s="30" t="str">
        <f aca="false">IF(COUNT(D719:H719)=0,"",SUM(D719:H719))</f>
        <v/>
      </c>
      <c r="J719" s="24"/>
    </row>
    <row r="720" customFormat="false" ht="15" hidden="false" customHeight="false" outlineLevel="0" collapsed="false">
      <c r="B720" s="9" t="s">
        <v>138</v>
      </c>
      <c r="C720" s="15" t="s">
        <v>109</v>
      </c>
      <c r="D720" s="29" t="str">
        <f aca="false">IF(AND(ISNUMBER(D689),ISNUMBER(D712),ISNUMBER(D692)),D689*PI()/4*(D712/1000)^2*D692*INDEX(LenF,MATCH($C$692,LenU,0)),"")</f>
        <v/>
      </c>
      <c r="E720" s="29" t="str">
        <f aca="false">IF(AND(ISNUMBER(E689),ISNUMBER(E712),ISNUMBER(E692)),E689*PI()/4*(E712/1000)^2*E692*INDEX(LenF,MATCH($C$692,LenU,0)),"")</f>
        <v/>
      </c>
      <c r="F720" s="29" t="str">
        <f aca="false">IF(AND(ISNUMBER(F689),ISNUMBER(F712),ISNUMBER(F692)),F689*PI()/4*(F712/1000)^2*F692*INDEX(LenF,MATCH($C$692,LenU,0)),"")</f>
        <v/>
      </c>
      <c r="G720" s="29" t="str">
        <f aca="false">IF(AND(ISNUMBER(G689),ISNUMBER(G712),ISNUMBER(G692)),G689*PI()/4*(G712/1000)^2*G692*INDEX(LenF,MATCH($C$692,LenU,0)),"")</f>
        <v/>
      </c>
      <c r="H720" s="29" t="str">
        <f aca="false">IF(AND(ISNUMBER(H689),ISNUMBER(H712),ISNUMBER(H692)),H689*PI()/4*(H712/1000)^2*H692*INDEX(LenF,MATCH($C$692,LenU,0)),"")</f>
        <v/>
      </c>
      <c r="I720" s="30" t="str">
        <f aca="false">IF(COUNT(D720:H720)=0,"",SUM(D720:H720))</f>
        <v/>
      </c>
      <c r="J720" s="24"/>
    </row>
    <row r="721" customFormat="false" ht="15" hidden="false" customHeight="false" outlineLevel="0" collapsed="false">
      <c r="B721" s="9" t="s">
        <v>139</v>
      </c>
      <c r="C721" s="15" t="s">
        <v>109</v>
      </c>
      <c r="D721" s="29" t="str">
        <f aca="false">IF(OR(D719="",D720=""),"",D719-D720)</f>
        <v/>
      </c>
      <c r="E721" s="29" t="str">
        <f aca="false">IF(OR(E719="",E720=""),"",E719-E720)</f>
        <v/>
      </c>
      <c r="F721" s="29" t="str">
        <f aca="false">IF(OR(F719="",F720=""),"",F719-F720)</f>
        <v/>
      </c>
      <c r="G721" s="29" t="str">
        <f aca="false">IF(OR(G719="",G720=""),"",G719-G720)</f>
        <v/>
      </c>
      <c r="H721" s="29" t="str">
        <f aca="false">IF(OR(H719="",H720=""),"",H719-H720)</f>
        <v/>
      </c>
      <c r="I721" s="30" t="str">
        <f aca="false">IF(COUNT(D721:H721)=0,"",SUM(D721:H721))</f>
        <v/>
      </c>
      <c r="J721" s="24" t="s">
        <v>140</v>
      </c>
    </row>
    <row r="722" customFormat="false" ht="15" hidden="false" customHeight="false" outlineLevel="0" collapsed="false">
      <c r="B722" s="9" t="s">
        <v>141</v>
      </c>
      <c r="C722" s="15" t="s">
        <v>109</v>
      </c>
      <c r="D722" s="29" t="str">
        <f aca="false">IF(ISNUMBER(D707),D707*INDEX(WtF,MATCH($C$707,WtU,0))/WaterRho,"")</f>
        <v/>
      </c>
      <c r="E722" s="29" t="str">
        <f aca="false">IF(ISNUMBER(E707),E707*INDEX(WtF,MATCH($C$707,WtU,0))/WaterRho,"")</f>
        <v/>
      </c>
      <c r="F722" s="29" t="str">
        <f aca="false">IF(ISNUMBER(F707),F707*INDEX(WtF,MATCH($C$707,WtU,0))/WaterRho,"")</f>
        <v/>
      </c>
      <c r="G722" s="29" t="str">
        <f aca="false">IF(ISNUMBER(G707),G707*INDEX(WtF,MATCH($C$707,WtU,0))/WaterRho,"")</f>
        <v/>
      </c>
      <c r="H722" s="29" t="str">
        <f aca="false">IF(ISNUMBER(H707),H707*INDEX(WtF,MATCH($C$707,WtU,0))/WaterRho,"")</f>
        <v/>
      </c>
      <c r="I722" s="30" t="str">
        <f aca="false">IF(COUNT(D722:H722)=0,"",SUM(D722:H722))</f>
        <v/>
      </c>
      <c r="J722" s="24"/>
    </row>
    <row r="723" customFormat="false" ht="15" hidden="false" customHeight="false" outlineLevel="0" collapsed="false">
      <c r="B723" s="4" t="s">
        <v>142</v>
      </c>
      <c r="C723" s="15" t="s">
        <v>109</v>
      </c>
      <c r="D723" s="31" t="str">
        <f aca="false">IF(D710="Water weight",D722,D721)</f>
        <v/>
      </c>
      <c r="E723" s="31" t="str">
        <f aca="false">IF(E710="Water weight",E722,E721)</f>
        <v/>
      </c>
      <c r="F723" s="31" t="str">
        <f aca="false">IF(F710="Water weight",F722,F721)</f>
        <v/>
      </c>
      <c r="G723" s="31" t="str">
        <f aca="false">IF(G710="Water weight",G722,G721)</f>
        <v/>
      </c>
      <c r="H723" s="31" t="str">
        <f aca="false">IF(H710="Water weight",H722,H721)</f>
        <v/>
      </c>
      <c r="I723" s="31" t="str">
        <f aca="false">IF(COUNT(D723:H723)=0,"",SUM(D723:H723))</f>
        <v/>
      </c>
      <c r="J723" s="24"/>
      <c r="K723" s="32" t="s">
        <v>143</v>
      </c>
    </row>
    <row r="724" customFormat="false" ht="15" hidden="false" customHeight="false" outlineLevel="0" collapsed="false">
      <c r="B724" s="4" t="s">
        <v>144</v>
      </c>
      <c r="C724" s="15" t="s">
        <v>109</v>
      </c>
      <c r="D724" s="31" t="str">
        <f aca="false">IF(AND(D717="",D723=""),"",N(D717)+N(D723))</f>
        <v/>
      </c>
      <c r="E724" s="31" t="str">
        <f aca="false">IF(AND(E717="",E723=""),"",N(E717)+N(E723))</f>
        <v/>
      </c>
      <c r="F724" s="31" t="str">
        <f aca="false">IF(AND(F717="",F723=""),"",N(F717)+N(F723))</f>
        <v/>
      </c>
      <c r="G724" s="31" t="str">
        <f aca="false">IF(AND(G717="",G723=""),"",N(G717)+N(G723))</f>
        <v/>
      </c>
      <c r="H724" s="31" t="str">
        <f aca="false">IF(AND(H717="",H723=""),"",N(H717)+N(H723))</f>
        <v/>
      </c>
      <c r="I724" s="31" t="str">
        <f aca="false">IF(COUNT(D724:H724)=0,"",SUM(D724:H724))</f>
        <v/>
      </c>
      <c r="J724" s="24"/>
      <c r="K724" s="32" t="s">
        <v>145</v>
      </c>
    </row>
    <row r="725" customFormat="false" ht="15" hidden="false" customHeight="false" outlineLevel="0" collapsed="false">
      <c r="B725" s="9" t="s">
        <v>60</v>
      </c>
      <c r="C725" s="15" t="s">
        <v>146</v>
      </c>
      <c r="D725" s="35" t="str">
        <f aca="false">IF(D724="","",IF(JobType="Chemical Cleaning",CC_HX,INDEX(DecFill,MATCH("Exchanger",DecTypeU,0))))</f>
        <v/>
      </c>
      <c r="E725" s="35" t="str">
        <f aca="false">IF(E724="","",IF(JobType="Chemical Cleaning",CC_HX,INDEX(DecFill,MATCH("Exchanger",DecTypeU,0))))</f>
        <v/>
      </c>
      <c r="F725" s="35" t="str">
        <f aca="false">IF(F724="","",IF(JobType="Chemical Cleaning",CC_HX,INDEX(DecFill,MATCH("Exchanger",DecTypeU,0))))</f>
        <v/>
      </c>
      <c r="G725" s="35" t="str">
        <f aca="false">IF(G724="","",IF(JobType="Chemical Cleaning",CC_HX,INDEX(DecFill,MATCH("Exchanger",DecTypeU,0))))</f>
        <v/>
      </c>
      <c r="H725" s="35" t="str">
        <f aca="false">IF(H724="","",IF(JobType="Chemical Cleaning",CC_HX,INDEX(DecFill,MATCH("Exchanger",DecTypeU,0))))</f>
        <v/>
      </c>
      <c r="I725" s="36"/>
      <c r="J725" s="24" t="s">
        <v>147</v>
      </c>
    </row>
    <row r="726" customFormat="false" ht="15" hidden="false" customHeight="false" outlineLevel="0" collapsed="false">
      <c r="B726" s="4" t="s">
        <v>148</v>
      </c>
      <c r="C726" s="15" t="s">
        <v>109</v>
      </c>
      <c r="D726" s="31" t="str">
        <f aca="false">IF(OR(D724="",D725=""),"",D724*D725)</f>
        <v/>
      </c>
      <c r="E726" s="31" t="str">
        <f aca="false">IF(OR(E724="",E725=""),"",E724*E725)</f>
        <v/>
      </c>
      <c r="F726" s="31" t="str">
        <f aca="false">IF(OR(F724="",F725=""),"",F724*F725)</f>
        <v/>
      </c>
      <c r="G726" s="31" t="str">
        <f aca="false">IF(OR(G724="",G725=""),"",G724*G725)</f>
        <v/>
      </c>
      <c r="H726" s="31" t="str">
        <f aca="false">IF(OR(H724="",H725=""),"",H724*H725)</f>
        <v/>
      </c>
      <c r="I726" s="31" t="str">
        <f aca="false">IF(COUNT(D726:H726)=0,"",SUM(D726:H726))</f>
        <v/>
      </c>
      <c r="J726" s="24"/>
      <c r="K726" s="32" t="s">
        <v>149</v>
      </c>
    </row>
    <row r="727" customFormat="false" ht="15" hidden="false" customHeight="false" outlineLevel="0" collapsed="false">
      <c r="B727" s="9" t="s">
        <v>150</v>
      </c>
      <c r="C727" s="15" t="s">
        <v>32</v>
      </c>
      <c r="D727" s="37" t="str">
        <f aca="false">IF(OR(JobType&lt;&gt;"Decontamination",D726=""),"",D726*INDEX(DecChem,MATCH("Exchanger",DecTypeU,0))*1000)</f>
        <v/>
      </c>
      <c r="E727" s="37" t="str">
        <f aca="false">IF(OR(JobType&lt;&gt;"Decontamination",E726=""),"",E726*INDEX(DecChem,MATCH("Exchanger",DecTypeU,0))*1000)</f>
        <v/>
      </c>
      <c r="F727" s="37" t="str">
        <f aca="false">IF(OR(JobType&lt;&gt;"Decontamination",F726=""),"",F726*INDEX(DecChem,MATCH("Exchanger",DecTypeU,0))*1000)</f>
        <v/>
      </c>
      <c r="G727" s="37" t="str">
        <f aca="false">IF(OR(JobType&lt;&gt;"Decontamination",G726=""),"",G726*INDEX(DecChem,MATCH("Exchanger",DecTypeU,0))*1000)</f>
        <v/>
      </c>
      <c r="H727" s="37" t="str">
        <f aca="false">IF(OR(JobType&lt;&gt;"Decontamination",H726=""),"",H726*INDEX(DecChem,MATCH("Exchanger",DecTypeU,0))*1000)</f>
        <v/>
      </c>
      <c r="I727" s="38" t="str">
        <f aca="false">IF(COUNT(D727:H727)=0,"",SUM(D727:H727))</f>
        <v/>
      </c>
      <c r="J727" s="24" t="s">
        <v>151</v>
      </c>
      <c r="K727" s="32" t="s">
        <v>152</v>
      </c>
    </row>
    <row r="729" customFormat="false" ht="15" hidden="false" customHeight="false" outlineLevel="0" collapsed="false">
      <c r="A729" s="20" t="n">
        <v>17</v>
      </c>
      <c r="B729" s="21" t="s">
        <v>168</v>
      </c>
      <c r="C729" s="22"/>
      <c r="D729" s="22"/>
      <c r="E729" s="22"/>
      <c r="F729" s="22"/>
      <c r="G729" s="22"/>
      <c r="H729" s="22"/>
      <c r="I729" s="22"/>
      <c r="J729" s="22"/>
    </row>
    <row r="730" customFormat="false" ht="15" hidden="false" customHeight="false" outlineLevel="0" collapsed="false">
      <c r="B730" s="9" t="s">
        <v>83</v>
      </c>
      <c r="C730" s="15" t="s">
        <v>29</v>
      </c>
      <c r="D730" s="8"/>
      <c r="E730" s="8"/>
      <c r="F730" s="8"/>
      <c r="G730" s="8"/>
      <c r="H730" s="8"/>
      <c r="I730" s="23"/>
      <c r="J730" s="24"/>
    </row>
    <row r="731" customFormat="false" ht="15" hidden="false" customHeight="false" outlineLevel="0" collapsed="false">
      <c r="B731" s="9" t="s">
        <v>86</v>
      </c>
      <c r="C731" s="15" t="s">
        <v>29</v>
      </c>
      <c r="D731" s="8"/>
      <c r="E731" s="8"/>
      <c r="F731" s="8"/>
      <c r="G731" s="8"/>
      <c r="H731" s="8"/>
      <c r="I731" s="23"/>
      <c r="J731" s="24"/>
    </row>
    <row r="732" customFormat="false" ht="15" hidden="false" customHeight="false" outlineLevel="0" collapsed="false">
      <c r="B732" s="9" t="s">
        <v>87</v>
      </c>
      <c r="C732" s="15" t="s">
        <v>29</v>
      </c>
      <c r="D732" s="8"/>
      <c r="E732" s="8"/>
      <c r="F732" s="8"/>
      <c r="G732" s="8"/>
      <c r="H732" s="8"/>
      <c r="I732" s="23"/>
      <c r="J732" s="24"/>
    </row>
    <row r="733" customFormat="false" ht="15" hidden="false" customHeight="false" outlineLevel="0" collapsed="false">
      <c r="B733" s="25" t="s">
        <v>88</v>
      </c>
      <c r="C733" s="26"/>
      <c r="D733" s="26"/>
      <c r="E733" s="26"/>
      <c r="F733" s="26"/>
      <c r="G733" s="26"/>
      <c r="H733" s="26"/>
      <c r="I733" s="26"/>
      <c r="J733" s="26"/>
    </row>
    <row r="734" customFormat="false" ht="15" hidden="false" customHeight="false" outlineLevel="0" collapsed="false">
      <c r="B734" s="9" t="s">
        <v>89</v>
      </c>
      <c r="C734" s="15" t="s">
        <v>90</v>
      </c>
      <c r="D734" s="8"/>
      <c r="E734" s="8"/>
      <c r="F734" s="8"/>
      <c r="G734" s="8"/>
      <c r="H734" s="8"/>
      <c r="I734" s="23"/>
      <c r="J734" s="24"/>
    </row>
    <row r="735" customFormat="false" ht="15" hidden="false" customHeight="false" outlineLevel="0" collapsed="false">
      <c r="B735" s="9" t="s">
        <v>91</v>
      </c>
      <c r="C735" s="8" t="s">
        <v>92</v>
      </c>
      <c r="D735" s="8"/>
      <c r="E735" s="8"/>
      <c r="F735" s="8"/>
      <c r="G735" s="8"/>
      <c r="H735" s="8"/>
      <c r="I735" s="23"/>
      <c r="J735" s="24" t="s">
        <v>93</v>
      </c>
    </row>
    <row r="736" customFormat="false" ht="15" hidden="false" customHeight="false" outlineLevel="0" collapsed="false">
      <c r="B736" s="9" t="s">
        <v>94</v>
      </c>
      <c r="C736" s="8" t="s">
        <v>92</v>
      </c>
      <c r="D736" s="8"/>
      <c r="E736" s="8"/>
      <c r="F736" s="8"/>
      <c r="G736" s="8"/>
      <c r="H736" s="8"/>
      <c r="I736" s="23"/>
      <c r="J736" s="24"/>
    </row>
    <row r="737" customFormat="false" ht="15" hidden="false" customHeight="false" outlineLevel="0" collapsed="false">
      <c r="B737" s="9" t="s">
        <v>95</v>
      </c>
      <c r="C737" s="8" t="s">
        <v>92</v>
      </c>
      <c r="D737" s="8"/>
      <c r="E737" s="8"/>
      <c r="F737" s="8"/>
      <c r="G737" s="8"/>
      <c r="H737" s="8"/>
      <c r="I737" s="23"/>
      <c r="J737" s="24"/>
    </row>
    <row r="738" customFormat="false" ht="15" hidden="false" customHeight="false" outlineLevel="0" collapsed="false">
      <c r="B738" s="9" t="s">
        <v>96</v>
      </c>
      <c r="C738" s="8" t="s">
        <v>92</v>
      </c>
      <c r="D738" s="8"/>
      <c r="E738" s="8"/>
      <c r="F738" s="8"/>
      <c r="G738" s="8"/>
      <c r="H738" s="8"/>
      <c r="I738" s="23"/>
      <c r="J738" s="24" t="s">
        <v>97</v>
      </c>
    </row>
    <row r="739" customFormat="false" ht="15" hidden="false" customHeight="false" outlineLevel="0" collapsed="false">
      <c r="B739" s="9" t="s">
        <v>98</v>
      </c>
      <c r="C739" s="15" t="s">
        <v>29</v>
      </c>
      <c r="D739" s="8" t="s">
        <v>99</v>
      </c>
      <c r="E739" s="8" t="s">
        <v>99</v>
      </c>
      <c r="F739" s="8" t="s">
        <v>99</v>
      </c>
      <c r="G739" s="8" t="s">
        <v>99</v>
      </c>
      <c r="H739" s="8" t="s">
        <v>99</v>
      </c>
      <c r="I739" s="23"/>
      <c r="J739" s="24"/>
    </row>
    <row r="740" customFormat="false" ht="15" hidden="false" customHeight="false" outlineLevel="0" collapsed="false">
      <c r="B740" s="9" t="s">
        <v>100</v>
      </c>
      <c r="C740" s="8" t="s">
        <v>92</v>
      </c>
      <c r="D740" s="8"/>
      <c r="E740" s="8"/>
      <c r="F740" s="8"/>
      <c r="G740" s="8"/>
      <c r="H740" s="8"/>
      <c r="I740" s="23"/>
      <c r="J740" s="24"/>
    </row>
    <row r="741" customFormat="false" ht="15" hidden="false" customHeight="false" outlineLevel="0" collapsed="false">
      <c r="B741" s="9" t="s">
        <v>101</v>
      </c>
      <c r="C741" s="8" t="s">
        <v>92</v>
      </c>
      <c r="D741" s="8"/>
      <c r="E741" s="8"/>
      <c r="F741" s="8"/>
      <c r="G741" s="8"/>
      <c r="H741" s="8"/>
      <c r="I741" s="23"/>
      <c r="J741" s="24"/>
    </row>
    <row r="742" customFormat="false" ht="15" hidden="false" customHeight="false" outlineLevel="0" collapsed="false">
      <c r="B742" s="9" t="s">
        <v>102</v>
      </c>
      <c r="C742" s="15" t="s">
        <v>29</v>
      </c>
      <c r="D742" s="8"/>
      <c r="E742" s="8"/>
      <c r="F742" s="8"/>
      <c r="G742" s="8"/>
      <c r="H742" s="8"/>
      <c r="I742" s="23"/>
      <c r="J742" s="24"/>
    </row>
    <row r="743" customFormat="false" ht="15" hidden="false" customHeight="false" outlineLevel="0" collapsed="false">
      <c r="B743" s="9" t="s">
        <v>104</v>
      </c>
      <c r="C743" s="8" t="s">
        <v>92</v>
      </c>
      <c r="D743" s="8"/>
      <c r="E743" s="8"/>
      <c r="F743" s="8"/>
      <c r="G743" s="8"/>
      <c r="H743" s="8"/>
      <c r="I743" s="23"/>
      <c r="J743" s="24"/>
    </row>
    <row r="744" customFormat="false" ht="15" hidden="false" customHeight="false" outlineLevel="0" collapsed="false">
      <c r="B744" s="9" t="s">
        <v>105</v>
      </c>
      <c r="C744" s="8" t="s">
        <v>92</v>
      </c>
      <c r="D744" s="8"/>
      <c r="E744" s="8"/>
      <c r="F744" s="8"/>
      <c r="G744" s="8"/>
      <c r="H744" s="8"/>
      <c r="I744" s="23"/>
      <c r="J744" s="24"/>
    </row>
    <row r="745" customFormat="false" ht="15" hidden="false" customHeight="false" outlineLevel="0" collapsed="false">
      <c r="B745" s="9" t="s">
        <v>106</v>
      </c>
      <c r="C745" s="15" t="s">
        <v>29</v>
      </c>
      <c r="D745" s="8"/>
      <c r="E745" s="8"/>
      <c r="F745" s="8"/>
      <c r="G745" s="8"/>
      <c r="H745" s="8"/>
      <c r="I745" s="23"/>
      <c r="J745" s="24"/>
    </row>
    <row r="746" customFormat="false" ht="15" hidden="false" customHeight="false" outlineLevel="0" collapsed="false">
      <c r="B746" s="9" t="s">
        <v>108</v>
      </c>
      <c r="C746" s="8" t="s">
        <v>109</v>
      </c>
      <c r="D746" s="8"/>
      <c r="E746" s="8"/>
      <c r="F746" s="8"/>
      <c r="G746" s="8"/>
      <c r="H746" s="8"/>
      <c r="I746" s="23"/>
      <c r="J746" s="24" t="s">
        <v>110</v>
      </c>
    </row>
    <row r="747" customFormat="false" ht="15" hidden="false" customHeight="false" outlineLevel="0" collapsed="false">
      <c r="B747" s="9" t="s">
        <v>111</v>
      </c>
      <c r="C747" s="8" t="s">
        <v>112</v>
      </c>
      <c r="D747" s="8"/>
      <c r="E747" s="8"/>
      <c r="F747" s="8"/>
      <c r="G747" s="8"/>
      <c r="H747" s="8"/>
      <c r="I747" s="23"/>
      <c r="J747" s="24"/>
    </row>
    <row r="748" customFormat="false" ht="15" hidden="false" customHeight="false" outlineLevel="0" collapsed="false">
      <c r="B748" s="25" t="s">
        <v>113</v>
      </c>
      <c r="C748" s="26"/>
      <c r="D748" s="26"/>
      <c r="E748" s="26"/>
      <c r="F748" s="26"/>
      <c r="G748" s="26"/>
      <c r="H748" s="26"/>
      <c r="I748" s="26"/>
      <c r="J748" s="26"/>
    </row>
    <row r="749" customFormat="false" ht="15" hidden="false" customHeight="false" outlineLevel="0" collapsed="false">
      <c r="B749" s="9" t="s">
        <v>114</v>
      </c>
      <c r="C749" s="8" t="s">
        <v>92</v>
      </c>
      <c r="D749" s="8"/>
      <c r="E749" s="8"/>
      <c r="F749" s="8"/>
      <c r="G749" s="8"/>
      <c r="H749" s="8"/>
      <c r="I749" s="23"/>
      <c r="J749" s="24" t="s">
        <v>115</v>
      </c>
    </row>
    <row r="750" customFormat="false" ht="15" hidden="false" customHeight="false" outlineLevel="0" collapsed="false">
      <c r="B750" s="9" t="s">
        <v>116</v>
      </c>
      <c r="C750" s="8" t="s">
        <v>92</v>
      </c>
      <c r="D750" s="8"/>
      <c r="E750" s="8"/>
      <c r="F750" s="8"/>
      <c r="G750" s="8"/>
      <c r="H750" s="8"/>
      <c r="I750" s="23"/>
      <c r="J750" s="24" t="s">
        <v>117</v>
      </c>
    </row>
    <row r="751" customFormat="false" ht="15" hidden="false" customHeight="false" outlineLevel="0" collapsed="false">
      <c r="B751" s="9" t="s">
        <v>118</v>
      </c>
      <c r="C751" s="15" t="s">
        <v>29</v>
      </c>
      <c r="D751" s="8"/>
      <c r="E751" s="8"/>
      <c r="F751" s="8"/>
      <c r="G751" s="8"/>
      <c r="H751" s="8"/>
      <c r="I751" s="23"/>
      <c r="J751" s="24"/>
    </row>
    <row r="752" customFormat="false" ht="15" hidden="false" customHeight="false" outlineLevel="0" collapsed="false">
      <c r="B752" s="9" t="s">
        <v>119</v>
      </c>
      <c r="C752" s="8" t="s">
        <v>112</v>
      </c>
      <c r="D752" s="8"/>
      <c r="E752" s="8"/>
      <c r="F752" s="8"/>
      <c r="G752" s="8"/>
      <c r="H752" s="8"/>
      <c r="I752" s="23"/>
      <c r="J752" s="24"/>
    </row>
    <row r="753" customFormat="false" ht="15" hidden="false" customHeight="false" outlineLevel="0" collapsed="false">
      <c r="B753" s="25" t="s">
        <v>120</v>
      </c>
      <c r="C753" s="26"/>
      <c r="D753" s="26"/>
      <c r="E753" s="26"/>
      <c r="F753" s="26"/>
      <c r="G753" s="26"/>
      <c r="H753" s="26"/>
      <c r="I753" s="26"/>
      <c r="J753" s="26"/>
    </row>
    <row r="754" customFormat="false" ht="15" hidden="false" customHeight="false" outlineLevel="0" collapsed="false">
      <c r="B754" s="9" t="s">
        <v>121</v>
      </c>
      <c r="C754" s="15" t="s">
        <v>29</v>
      </c>
      <c r="D754" s="8" t="s">
        <v>122</v>
      </c>
      <c r="E754" s="8" t="s">
        <v>122</v>
      </c>
      <c r="F754" s="8" t="s">
        <v>122</v>
      </c>
      <c r="G754" s="8" t="s">
        <v>122</v>
      </c>
      <c r="H754" s="8" t="s">
        <v>122</v>
      </c>
      <c r="I754" s="23"/>
      <c r="J754" s="24"/>
    </row>
    <row r="755" customFormat="false" ht="15" hidden="false" customHeight="false" outlineLevel="0" collapsed="false">
      <c r="B755" s="9" t="s">
        <v>123</v>
      </c>
      <c r="C755" s="15" t="s">
        <v>29</v>
      </c>
      <c r="D755" s="8" t="s">
        <v>122</v>
      </c>
      <c r="E755" s="8" t="s">
        <v>122</v>
      </c>
      <c r="F755" s="8" t="s">
        <v>122</v>
      </c>
      <c r="G755" s="8" t="s">
        <v>122</v>
      </c>
      <c r="H755" s="8" t="s">
        <v>122</v>
      </c>
      <c r="I755" s="23"/>
      <c r="J755" s="24"/>
    </row>
    <row r="756" customFormat="false" ht="15" hidden="false" customHeight="false" outlineLevel="0" collapsed="false">
      <c r="B756" s="25" t="s">
        <v>124</v>
      </c>
      <c r="C756" s="26"/>
      <c r="D756" s="26"/>
      <c r="E756" s="26"/>
      <c r="F756" s="26"/>
      <c r="G756" s="26"/>
      <c r="H756" s="26"/>
      <c r="I756" s="26"/>
      <c r="J756" s="26"/>
    </row>
    <row r="757" customFormat="false" ht="15" hidden="false" customHeight="false" outlineLevel="0" collapsed="false">
      <c r="B757" s="9" t="s">
        <v>125</v>
      </c>
      <c r="C757" s="15" t="s">
        <v>92</v>
      </c>
      <c r="D757" s="27" t="str">
        <f aca="false">IF(ISNUMBER(D735),D735*INDEX(LenF,MATCH($C$735,LenU,0))*1000,IF(ISNUMBER(D738),D738*INDEX(LenF,MATCH($C$738,LenU,0))/PitchRatio*1000,""))</f>
        <v/>
      </c>
      <c r="E757" s="27" t="str">
        <f aca="false">IF(ISNUMBER(E735),E735*INDEX(LenF,MATCH($C$735,LenU,0))*1000,IF(ISNUMBER(E738),E738*INDEX(LenF,MATCH($C$738,LenU,0))/PitchRatio*1000,""))</f>
        <v/>
      </c>
      <c r="F757" s="27" t="str">
        <f aca="false">IF(ISNUMBER(F735),F735*INDEX(LenF,MATCH($C$735,LenU,0))*1000,IF(ISNUMBER(F738),F738*INDEX(LenF,MATCH($C$738,LenU,0))/PitchRatio*1000,""))</f>
        <v/>
      </c>
      <c r="G757" s="27" t="str">
        <f aca="false">IF(ISNUMBER(G735),G735*INDEX(LenF,MATCH($C$735,LenU,0))*1000,IF(ISNUMBER(G738),G738*INDEX(LenF,MATCH($C$738,LenU,0))/PitchRatio*1000,""))</f>
        <v/>
      </c>
      <c r="H757" s="27" t="str">
        <f aca="false">IF(ISNUMBER(H735),H735*INDEX(LenF,MATCH($C$735,LenU,0))*1000,IF(ISNUMBER(H738),H738*INDEX(LenF,MATCH($C$738,LenU,0))/PitchRatio*1000,""))</f>
        <v/>
      </c>
      <c r="I757" s="28"/>
      <c r="J757" s="24" t="s">
        <v>126</v>
      </c>
    </row>
    <row r="758" customFormat="false" ht="15" hidden="false" customHeight="false" outlineLevel="0" collapsed="false">
      <c r="B758" s="9" t="s">
        <v>127</v>
      </c>
      <c r="C758" s="15" t="s">
        <v>109</v>
      </c>
      <c r="D758" s="29" t="str">
        <f aca="false">IF(AND(ISNUMBER(D734),ISNUMBER(D736),ISNUMBER(D737)),D734*PI()/4*(D736*INDEX(LenF,MATCH($C$736,LenU,0)))^2*D737*INDEX(LenF,MATCH($C$737,LenU,0)),"")</f>
        <v/>
      </c>
      <c r="E758" s="29" t="str">
        <f aca="false">IF(AND(ISNUMBER(E734),ISNUMBER(E736),ISNUMBER(E737)),E734*PI()/4*(E736*INDEX(LenF,MATCH($C$736,LenU,0)))^2*E737*INDEX(LenF,MATCH($C$737,LenU,0)),"")</f>
        <v/>
      </c>
      <c r="F758" s="29" t="str">
        <f aca="false">IF(AND(ISNUMBER(F734),ISNUMBER(F736),ISNUMBER(F737)),F734*PI()/4*(F736*INDEX(LenF,MATCH($C$736,LenU,0)))^2*F737*INDEX(LenF,MATCH($C$737,LenU,0)),"")</f>
        <v/>
      </c>
      <c r="G758" s="29" t="str">
        <f aca="false">IF(AND(ISNUMBER(G734),ISNUMBER(G736),ISNUMBER(G737)),G734*PI()/4*(G736*INDEX(LenF,MATCH($C$736,LenU,0)))^2*G737*INDEX(LenF,MATCH($C$737,LenU,0)),"")</f>
        <v/>
      </c>
      <c r="H758" s="29" t="str">
        <f aca="false">IF(AND(ISNUMBER(H734),ISNUMBER(H736),ISNUMBER(H737)),H734*PI()/4*(H736*INDEX(LenF,MATCH($C$736,LenU,0)))^2*H737*INDEX(LenF,MATCH($C$737,LenU,0)),"")</f>
        <v/>
      </c>
      <c r="I758" s="30" t="str">
        <f aca="false">IF(COUNT(D758:H758)=0,"",SUM(D758:H758))</f>
        <v/>
      </c>
      <c r="J758" s="24"/>
    </row>
    <row r="759" customFormat="false" ht="15" hidden="false" customHeight="false" outlineLevel="0" collapsed="false">
      <c r="B759" s="9" t="s">
        <v>128</v>
      </c>
      <c r="C759" s="15" t="s">
        <v>109</v>
      </c>
      <c r="D759" s="29" t="n">
        <f aca="false">IF(ISNUMBER(D746),D746*INDEX(VolF,MATCH($C$746,VolU,0)),IF(ISNUMBER(D740),PI()/4*(D740*INDEX(LenF,MATCH($C$740,LenU,0)))^2*N(D741)*INDEX(LenF,MATCH($C$741,LenU,0))+IF(D742="",0,IF(D742="Conical",PI()/12*(D740*INDEX(LenF,MATCH($C$740,LenU,0)))^2*(0),INDEX(HeadK,MATCH(D742,HeadU,0))*(D740*INDEX(LenF,MATCH($C$740,LenU,0)))^3)),0)+IF(ISNUMBER(D743),PI()/4*(D743*INDEX(LenF,MATCH($C$743,LenU,0)))^2*N(D744)*INDEX(LenF,MATCH($C$744,LenU,0))+IF(D745="",0,IF(D745="Conical",PI()/12*(D743*INDEX(LenF,MATCH($C$743,LenU,0)))^2*(0),INDEX(HeadK,MATCH(D745,HeadU,0))*(D743*INDEX(LenF,MATCH($C$743,LenU,0)))^3)),0))</f>
        <v>0</v>
      </c>
      <c r="E759" s="29" t="n">
        <f aca="false">IF(ISNUMBER(E746),E746*INDEX(VolF,MATCH($C$746,VolU,0)),IF(ISNUMBER(E740),PI()/4*(E740*INDEX(LenF,MATCH($C$740,LenU,0)))^2*N(E741)*INDEX(LenF,MATCH($C$741,LenU,0))+IF(E742="",0,IF(E742="Conical",PI()/12*(E740*INDEX(LenF,MATCH($C$740,LenU,0)))^2*(0),INDEX(HeadK,MATCH(E742,HeadU,0))*(E740*INDEX(LenF,MATCH($C$740,LenU,0)))^3)),0)+IF(ISNUMBER(E743),PI()/4*(E743*INDEX(LenF,MATCH($C$743,LenU,0)))^2*N(E744)*INDEX(LenF,MATCH($C$744,LenU,0))+IF(E745="",0,IF(E745="Conical",PI()/12*(E743*INDEX(LenF,MATCH($C$743,LenU,0)))^2*(0),INDEX(HeadK,MATCH(E745,HeadU,0))*(E743*INDEX(LenF,MATCH($C$743,LenU,0)))^3)),0))</f>
        <v>0</v>
      </c>
      <c r="F759" s="29" t="n">
        <f aca="false">IF(ISNUMBER(F746),F746*INDEX(VolF,MATCH($C$746,VolU,0)),IF(ISNUMBER(F740),PI()/4*(F740*INDEX(LenF,MATCH($C$740,LenU,0)))^2*N(F741)*INDEX(LenF,MATCH($C$741,LenU,0))+IF(F742="",0,IF(F742="Conical",PI()/12*(F740*INDEX(LenF,MATCH($C$740,LenU,0)))^2*(0),INDEX(HeadK,MATCH(F742,HeadU,0))*(F740*INDEX(LenF,MATCH($C$740,LenU,0)))^3)),0)+IF(ISNUMBER(F743),PI()/4*(F743*INDEX(LenF,MATCH($C$743,LenU,0)))^2*N(F744)*INDEX(LenF,MATCH($C$744,LenU,0))+IF(F745="",0,IF(F745="Conical",PI()/12*(F743*INDEX(LenF,MATCH($C$743,LenU,0)))^2*(0),INDEX(HeadK,MATCH(F745,HeadU,0))*(F743*INDEX(LenF,MATCH($C$743,LenU,0)))^3)),0))</f>
        <v>0</v>
      </c>
      <c r="G759" s="29" t="n">
        <f aca="false">IF(ISNUMBER(G746),G746*INDEX(VolF,MATCH($C$746,VolU,0)),IF(ISNUMBER(G740),PI()/4*(G740*INDEX(LenF,MATCH($C$740,LenU,0)))^2*N(G741)*INDEX(LenF,MATCH($C$741,LenU,0))+IF(G742="",0,IF(G742="Conical",PI()/12*(G740*INDEX(LenF,MATCH($C$740,LenU,0)))^2*(0),INDEX(HeadK,MATCH(G742,HeadU,0))*(G740*INDEX(LenF,MATCH($C$740,LenU,0)))^3)),0)+IF(ISNUMBER(G743),PI()/4*(G743*INDEX(LenF,MATCH($C$743,LenU,0)))^2*N(G744)*INDEX(LenF,MATCH($C$744,LenU,0))+IF(G745="",0,IF(G745="Conical",PI()/12*(G743*INDEX(LenF,MATCH($C$743,LenU,0)))^2*(0),INDEX(HeadK,MATCH(G745,HeadU,0))*(G743*INDEX(LenF,MATCH($C$743,LenU,0)))^3)),0))</f>
        <v>0</v>
      </c>
      <c r="H759" s="29" t="n">
        <f aca="false">IF(ISNUMBER(H746),H746*INDEX(VolF,MATCH($C$746,VolU,0)),IF(ISNUMBER(H740),PI()/4*(H740*INDEX(LenF,MATCH($C$740,LenU,0)))^2*N(H741)*INDEX(LenF,MATCH($C$741,LenU,0))+IF(H742="",0,IF(H742="Conical",PI()/12*(H740*INDEX(LenF,MATCH($C$740,LenU,0)))^2*(0),INDEX(HeadK,MATCH(H742,HeadU,0))*(H740*INDEX(LenF,MATCH($C$740,LenU,0)))^3)),0)+IF(ISNUMBER(H743),PI()/4*(H743*INDEX(LenF,MATCH($C$743,LenU,0)))^2*N(H744)*INDEX(LenF,MATCH($C$744,LenU,0))+IF(H745="",0,IF(H745="Conical",PI()/12*(H743*INDEX(LenF,MATCH($C$743,LenU,0)))^2*(0),INDEX(HeadK,MATCH(H745,HeadU,0))*(H743*INDEX(LenF,MATCH($C$743,LenU,0)))^3)),0))</f>
        <v>0</v>
      </c>
      <c r="I759" s="30" t="n">
        <f aca="false">IF(COUNT(D759:H759)=0,"",SUM(D759:H759))</f>
        <v>0</v>
      </c>
      <c r="J759" s="24" t="s">
        <v>129</v>
      </c>
    </row>
    <row r="760" customFormat="false" ht="15" hidden="false" customHeight="false" outlineLevel="0" collapsed="false">
      <c r="B760" s="9" t="s">
        <v>130</v>
      </c>
      <c r="C760" s="15" t="s">
        <v>109</v>
      </c>
      <c r="D760" s="29" t="str">
        <f aca="false">IF(D758="","",D758+D759)</f>
        <v/>
      </c>
      <c r="E760" s="29" t="str">
        <f aca="false">IF(E758="","",E758+E759)</f>
        <v/>
      </c>
      <c r="F760" s="29" t="str">
        <f aca="false">IF(F758="","",F758+F759)</f>
        <v/>
      </c>
      <c r="G760" s="29" t="str">
        <f aca="false">IF(G758="","",G758+G759)</f>
        <v/>
      </c>
      <c r="H760" s="29" t="str">
        <f aca="false">IF(H758="","",H758+H759)</f>
        <v/>
      </c>
      <c r="I760" s="30" t="str">
        <f aca="false">IF(COUNT(D760:H760)=0,"",SUM(D760:H760))</f>
        <v/>
      </c>
      <c r="J760" s="24"/>
    </row>
    <row r="761" customFormat="false" ht="15" hidden="false" customHeight="false" outlineLevel="0" collapsed="false">
      <c r="B761" s="9" t="s">
        <v>131</v>
      </c>
      <c r="C761" s="15" t="s">
        <v>109</v>
      </c>
      <c r="D761" s="29" t="str">
        <f aca="false">IF(ISNUMBER(D747),D747*INDEX(WtF,MATCH($C$747,WtU,0))/WaterRho,"")</f>
        <v/>
      </c>
      <c r="E761" s="29" t="str">
        <f aca="false">IF(ISNUMBER(E747),E747*INDEX(WtF,MATCH($C$747,WtU,0))/WaterRho,"")</f>
        <v/>
      </c>
      <c r="F761" s="29" t="str">
        <f aca="false">IF(ISNUMBER(F747),F747*INDEX(WtF,MATCH($C$747,WtU,0))/WaterRho,"")</f>
        <v/>
      </c>
      <c r="G761" s="29" t="str">
        <f aca="false">IF(ISNUMBER(G747),G747*INDEX(WtF,MATCH($C$747,WtU,0))/WaterRho,"")</f>
        <v/>
      </c>
      <c r="H761" s="29" t="str">
        <f aca="false">IF(ISNUMBER(H747),H747*INDEX(WtF,MATCH($C$747,WtU,0))/WaterRho,"")</f>
        <v/>
      </c>
      <c r="I761" s="30" t="str">
        <f aca="false">IF(COUNT(D761:H761)=0,"",SUM(D761:H761))</f>
        <v/>
      </c>
      <c r="J761" s="24"/>
    </row>
    <row r="762" customFormat="false" ht="15" hidden="false" customHeight="false" outlineLevel="0" collapsed="false">
      <c r="B762" s="4" t="s">
        <v>132</v>
      </c>
      <c r="C762" s="15" t="s">
        <v>109</v>
      </c>
      <c r="D762" s="31" t="str">
        <f aca="false">IF(D754="Water weight",D761,D760)</f>
        <v/>
      </c>
      <c r="E762" s="31" t="str">
        <f aca="false">IF(E754="Water weight",E761,E760)</f>
        <v/>
      </c>
      <c r="F762" s="31" t="str">
        <f aca="false">IF(F754="Water weight",F761,F760)</f>
        <v/>
      </c>
      <c r="G762" s="31" t="str">
        <f aca="false">IF(G754="Water weight",G761,G760)</f>
        <v/>
      </c>
      <c r="H762" s="31" t="str">
        <f aca="false">IF(H754="Water weight",H761,H760)</f>
        <v/>
      </c>
      <c r="I762" s="31" t="str">
        <f aca="false">IF(COUNT(D762:H762)=0,"",SUM(D762:H762))</f>
        <v/>
      </c>
      <c r="J762" s="24"/>
      <c r="K762" s="32" t="s">
        <v>133</v>
      </c>
    </row>
    <row r="763" customFormat="false" ht="15" hidden="false" customHeight="false" outlineLevel="0" collapsed="false">
      <c r="B763" s="9" t="s">
        <v>134</v>
      </c>
      <c r="C763" s="15" t="s">
        <v>135</v>
      </c>
      <c r="D763" s="33" t="str">
        <f aca="false">IF(ISNUMBER(D749),PI()/4*(D749*INDEX(LenF,MATCH($C$749,LenU,0)))^2,IF(AND(ISNUMBER(D734),ISNUMBER(D738),D739&lt;&gt;""),D734*(D738*INDEX(LenF,MATCH($C$738,LenU,0)))^2*INDEX(LayoutF,MATCH(D739,LayoutU,0)),""))</f>
        <v/>
      </c>
      <c r="E763" s="33" t="str">
        <f aca="false">IF(ISNUMBER(E749),PI()/4*(E749*INDEX(LenF,MATCH($C$749,LenU,0)))^2,IF(AND(ISNUMBER(E734),ISNUMBER(E738),E739&lt;&gt;""),E734*(E738*INDEX(LenF,MATCH($C$738,LenU,0)))^2*INDEX(LayoutF,MATCH(E739,LayoutU,0)),""))</f>
        <v/>
      </c>
      <c r="F763" s="33" t="str">
        <f aca="false">IF(ISNUMBER(F749),PI()/4*(F749*INDEX(LenF,MATCH($C$749,LenU,0)))^2,IF(AND(ISNUMBER(F734),ISNUMBER(F738),F739&lt;&gt;""),F734*(F738*INDEX(LenF,MATCH($C$738,LenU,0)))^2*INDEX(LayoutF,MATCH(F739,LayoutU,0)),""))</f>
        <v/>
      </c>
      <c r="G763" s="33" t="str">
        <f aca="false">IF(ISNUMBER(G749),PI()/4*(G749*INDEX(LenF,MATCH($C$749,LenU,0)))^2,IF(AND(ISNUMBER(G734),ISNUMBER(G738),G739&lt;&gt;""),G734*(G738*INDEX(LenF,MATCH($C$738,LenU,0)))^2*INDEX(LayoutF,MATCH(G739,LayoutU,0)),""))</f>
        <v/>
      </c>
      <c r="H763" s="33" t="str">
        <f aca="false">IF(ISNUMBER(H749),PI()/4*(H749*INDEX(LenF,MATCH($C$749,LenU,0)))^2,IF(AND(ISNUMBER(H734),ISNUMBER(H738),H739&lt;&gt;""),H734*(H738*INDEX(LenF,MATCH($C$738,LenU,0)))^2*INDEX(LayoutF,MATCH(H739,LayoutU,0)),""))</f>
        <v/>
      </c>
      <c r="I763" s="34"/>
      <c r="J763" s="24" t="s">
        <v>136</v>
      </c>
    </row>
    <row r="764" customFormat="false" ht="15" hidden="false" customHeight="false" outlineLevel="0" collapsed="false">
      <c r="B764" s="9" t="s">
        <v>137</v>
      </c>
      <c r="C764" s="15" t="s">
        <v>109</v>
      </c>
      <c r="D764" s="29" t="str">
        <f aca="false">IF(OR(D763="",AND(NOT(ISNUMBER(D750)),NOT(ISNUMBER(D737)))),"",D763*IF(ISNUMBER(D750),D750*INDEX(LenF,MATCH($C$750,LenU,0)),D737*INDEX(LenF,MATCH($C$737,LenU,0)))+IF(D751="",0,IF(D751="Conical",PI()/12*(SQRT(4*D763/PI()))^2*(0),INDEX(HeadK,MATCH(D751,HeadU,0))*(SQRT(4*D763/PI()))^3)))</f>
        <v/>
      </c>
      <c r="E764" s="29" t="str">
        <f aca="false">IF(OR(E763="",AND(NOT(ISNUMBER(E750)),NOT(ISNUMBER(E737)))),"",E763*IF(ISNUMBER(E750),E750*INDEX(LenF,MATCH($C$750,LenU,0)),E737*INDEX(LenF,MATCH($C$737,LenU,0)))+IF(E751="",0,IF(E751="Conical",PI()/12*(SQRT(4*E763/PI()))^2*(0),INDEX(HeadK,MATCH(E751,HeadU,0))*(SQRT(4*E763/PI()))^3)))</f>
        <v/>
      </c>
      <c r="F764" s="29" t="str">
        <f aca="false">IF(OR(F763="",AND(NOT(ISNUMBER(F750)),NOT(ISNUMBER(F737)))),"",F763*IF(ISNUMBER(F750),F750*INDEX(LenF,MATCH($C$750,LenU,0)),F737*INDEX(LenF,MATCH($C$737,LenU,0)))+IF(F751="",0,IF(F751="Conical",PI()/12*(SQRT(4*F763/PI()))^2*(0),INDEX(HeadK,MATCH(F751,HeadU,0))*(SQRT(4*F763/PI()))^3)))</f>
        <v/>
      </c>
      <c r="G764" s="29" t="str">
        <f aca="false">IF(OR(G763="",AND(NOT(ISNUMBER(G750)),NOT(ISNUMBER(G737)))),"",G763*IF(ISNUMBER(G750),G750*INDEX(LenF,MATCH($C$750,LenU,0)),G737*INDEX(LenF,MATCH($C$737,LenU,0)))+IF(G751="",0,IF(G751="Conical",PI()/12*(SQRT(4*G763/PI()))^2*(0),INDEX(HeadK,MATCH(G751,HeadU,0))*(SQRT(4*G763/PI()))^3)))</f>
        <v/>
      </c>
      <c r="H764" s="29" t="str">
        <f aca="false">IF(OR(H763="",AND(NOT(ISNUMBER(H750)),NOT(ISNUMBER(H737)))),"",H763*IF(ISNUMBER(H750),H750*INDEX(LenF,MATCH($C$750,LenU,0)),H737*INDEX(LenF,MATCH($C$737,LenU,0)))+IF(H751="",0,IF(H751="Conical",PI()/12*(SQRT(4*H763/PI()))^2*(0),INDEX(HeadK,MATCH(H751,HeadU,0))*(SQRT(4*H763/PI()))^3)))</f>
        <v/>
      </c>
      <c r="I764" s="30" t="str">
        <f aca="false">IF(COUNT(D764:H764)=0,"",SUM(D764:H764))</f>
        <v/>
      </c>
      <c r="J764" s="24"/>
    </row>
    <row r="765" customFormat="false" ht="15" hidden="false" customHeight="false" outlineLevel="0" collapsed="false">
      <c r="B765" s="9" t="s">
        <v>138</v>
      </c>
      <c r="C765" s="15" t="s">
        <v>109</v>
      </c>
      <c r="D765" s="29" t="str">
        <f aca="false">IF(AND(ISNUMBER(D734),ISNUMBER(D757),ISNUMBER(D737)),D734*PI()/4*(D757/1000)^2*D737*INDEX(LenF,MATCH($C$737,LenU,0)),"")</f>
        <v/>
      </c>
      <c r="E765" s="29" t="str">
        <f aca="false">IF(AND(ISNUMBER(E734),ISNUMBER(E757),ISNUMBER(E737)),E734*PI()/4*(E757/1000)^2*E737*INDEX(LenF,MATCH($C$737,LenU,0)),"")</f>
        <v/>
      </c>
      <c r="F765" s="29" t="str">
        <f aca="false">IF(AND(ISNUMBER(F734),ISNUMBER(F757),ISNUMBER(F737)),F734*PI()/4*(F757/1000)^2*F737*INDEX(LenF,MATCH($C$737,LenU,0)),"")</f>
        <v/>
      </c>
      <c r="G765" s="29" t="str">
        <f aca="false">IF(AND(ISNUMBER(G734),ISNUMBER(G757),ISNUMBER(G737)),G734*PI()/4*(G757/1000)^2*G737*INDEX(LenF,MATCH($C$737,LenU,0)),"")</f>
        <v/>
      </c>
      <c r="H765" s="29" t="str">
        <f aca="false">IF(AND(ISNUMBER(H734),ISNUMBER(H757),ISNUMBER(H737)),H734*PI()/4*(H757/1000)^2*H737*INDEX(LenF,MATCH($C$737,LenU,0)),"")</f>
        <v/>
      </c>
      <c r="I765" s="30" t="str">
        <f aca="false">IF(COUNT(D765:H765)=0,"",SUM(D765:H765))</f>
        <v/>
      </c>
      <c r="J765" s="24"/>
    </row>
    <row r="766" customFormat="false" ht="15" hidden="false" customHeight="false" outlineLevel="0" collapsed="false">
      <c r="B766" s="9" t="s">
        <v>139</v>
      </c>
      <c r="C766" s="15" t="s">
        <v>109</v>
      </c>
      <c r="D766" s="29" t="str">
        <f aca="false">IF(OR(D764="",D765=""),"",D764-D765)</f>
        <v/>
      </c>
      <c r="E766" s="29" t="str">
        <f aca="false">IF(OR(E764="",E765=""),"",E764-E765)</f>
        <v/>
      </c>
      <c r="F766" s="29" t="str">
        <f aca="false">IF(OR(F764="",F765=""),"",F764-F765)</f>
        <v/>
      </c>
      <c r="G766" s="29" t="str">
        <f aca="false">IF(OR(G764="",G765=""),"",G764-G765)</f>
        <v/>
      </c>
      <c r="H766" s="29" t="str">
        <f aca="false">IF(OR(H764="",H765=""),"",H764-H765)</f>
        <v/>
      </c>
      <c r="I766" s="30" t="str">
        <f aca="false">IF(COUNT(D766:H766)=0,"",SUM(D766:H766))</f>
        <v/>
      </c>
      <c r="J766" s="24" t="s">
        <v>140</v>
      </c>
    </row>
    <row r="767" customFormat="false" ht="15" hidden="false" customHeight="false" outlineLevel="0" collapsed="false">
      <c r="B767" s="9" t="s">
        <v>141</v>
      </c>
      <c r="C767" s="15" t="s">
        <v>109</v>
      </c>
      <c r="D767" s="29" t="str">
        <f aca="false">IF(ISNUMBER(D752),D752*INDEX(WtF,MATCH($C$752,WtU,0))/WaterRho,"")</f>
        <v/>
      </c>
      <c r="E767" s="29" t="str">
        <f aca="false">IF(ISNUMBER(E752),E752*INDEX(WtF,MATCH($C$752,WtU,0))/WaterRho,"")</f>
        <v/>
      </c>
      <c r="F767" s="29" t="str">
        <f aca="false">IF(ISNUMBER(F752),F752*INDEX(WtF,MATCH($C$752,WtU,0))/WaterRho,"")</f>
        <v/>
      </c>
      <c r="G767" s="29" t="str">
        <f aca="false">IF(ISNUMBER(G752),G752*INDEX(WtF,MATCH($C$752,WtU,0))/WaterRho,"")</f>
        <v/>
      </c>
      <c r="H767" s="29" t="str">
        <f aca="false">IF(ISNUMBER(H752),H752*INDEX(WtF,MATCH($C$752,WtU,0))/WaterRho,"")</f>
        <v/>
      </c>
      <c r="I767" s="30" t="str">
        <f aca="false">IF(COUNT(D767:H767)=0,"",SUM(D767:H767))</f>
        <v/>
      </c>
      <c r="J767" s="24"/>
    </row>
    <row r="768" customFormat="false" ht="15" hidden="false" customHeight="false" outlineLevel="0" collapsed="false">
      <c r="B768" s="4" t="s">
        <v>142</v>
      </c>
      <c r="C768" s="15" t="s">
        <v>109</v>
      </c>
      <c r="D768" s="31" t="str">
        <f aca="false">IF(D755="Water weight",D767,D766)</f>
        <v/>
      </c>
      <c r="E768" s="31" t="str">
        <f aca="false">IF(E755="Water weight",E767,E766)</f>
        <v/>
      </c>
      <c r="F768" s="31" t="str">
        <f aca="false">IF(F755="Water weight",F767,F766)</f>
        <v/>
      </c>
      <c r="G768" s="31" t="str">
        <f aca="false">IF(G755="Water weight",G767,G766)</f>
        <v/>
      </c>
      <c r="H768" s="31" t="str">
        <f aca="false">IF(H755="Water weight",H767,H766)</f>
        <v/>
      </c>
      <c r="I768" s="31" t="str">
        <f aca="false">IF(COUNT(D768:H768)=0,"",SUM(D768:H768))</f>
        <v/>
      </c>
      <c r="J768" s="24"/>
      <c r="K768" s="32" t="s">
        <v>143</v>
      </c>
    </row>
    <row r="769" customFormat="false" ht="15" hidden="false" customHeight="false" outlineLevel="0" collapsed="false">
      <c r="B769" s="4" t="s">
        <v>144</v>
      </c>
      <c r="C769" s="15" t="s">
        <v>109</v>
      </c>
      <c r="D769" s="31" t="str">
        <f aca="false">IF(AND(D762="",D768=""),"",N(D762)+N(D768))</f>
        <v/>
      </c>
      <c r="E769" s="31" t="str">
        <f aca="false">IF(AND(E762="",E768=""),"",N(E762)+N(E768))</f>
        <v/>
      </c>
      <c r="F769" s="31" t="str">
        <f aca="false">IF(AND(F762="",F768=""),"",N(F762)+N(F768))</f>
        <v/>
      </c>
      <c r="G769" s="31" t="str">
        <f aca="false">IF(AND(G762="",G768=""),"",N(G762)+N(G768))</f>
        <v/>
      </c>
      <c r="H769" s="31" t="str">
        <f aca="false">IF(AND(H762="",H768=""),"",N(H762)+N(H768))</f>
        <v/>
      </c>
      <c r="I769" s="31" t="str">
        <f aca="false">IF(COUNT(D769:H769)=0,"",SUM(D769:H769))</f>
        <v/>
      </c>
      <c r="J769" s="24"/>
      <c r="K769" s="32" t="s">
        <v>145</v>
      </c>
    </row>
    <row r="770" customFormat="false" ht="15" hidden="false" customHeight="false" outlineLevel="0" collapsed="false">
      <c r="B770" s="9" t="s">
        <v>60</v>
      </c>
      <c r="C770" s="15" t="s">
        <v>146</v>
      </c>
      <c r="D770" s="35" t="str">
        <f aca="false">IF(D769="","",IF(JobType="Chemical Cleaning",CC_HX,INDEX(DecFill,MATCH("Exchanger",DecTypeU,0))))</f>
        <v/>
      </c>
      <c r="E770" s="35" t="str">
        <f aca="false">IF(E769="","",IF(JobType="Chemical Cleaning",CC_HX,INDEX(DecFill,MATCH("Exchanger",DecTypeU,0))))</f>
        <v/>
      </c>
      <c r="F770" s="35" t="str">
        <f aca="false">IF(F769="","",IF(JobType="Chemical Cleaning",CC_HX,INDEX(DecFill,MATCH("Exchanger",DecTypeU,0))))</f>
        <v/>
      </c>
      <c r="G770" s="35" t="str">
        <f aca="false">IF(G769="","",IF(JobType="Chemical Cleaning",CC_HX,INDEX(DecFill,MATCH("Exchanger",DecTypeU,0))))</f>
        <v/>
      </c>
      <c r="H770" s="35" t="str">
        <f aca="false">IF(H769="","",IF(JobType="Chemical Cleaning",CC_HX,INDEX(DecFill,MATCH("Exchanger",DecTypeU,0))))</f>
        <v/>
      </c>
      <c r="I770" s="36"/>
      <c r="J770" s="24" t="s">
        <v>147</v>
      </c>
    </row>
    <row r="771" customFormat="false" ht="15" hidden="false" customHeight="false" outlineLevel="0" collapsed="false">
      <c r="B771" s="4" t="s">
        <v>148</v>
      </c>
      <c r="C771" s="15" t="s">
        <v>109</v>
      </c>
      <c r="D771" s="31" t="str">
        <f aca="false">IF(OR(D769="",D770=""),"",D769*D770)</f>
        <v/>
      </c>
      <c r="E771" s="31" t="str">
        <f aca="false">IF(OR(E769="",E770=""),"",E769*E770)</f>
        <v/>
      </c>
      <c r="F771" s="31" t="str">
        <f aca="false">IF(OR(F769="",F770=""),"",F769*F770)</f>
        <v/>
      </c>
      <c r="G771" s="31" t="str">
        <f aca="false">IF(OR(G769="",G770=""),"",G769*G770)</f>
        <v/>
      </c>
      <c r="H771" s="31" t="str">
        <f aca="false">IF(OR(H769="",H770=""),"",H769*H770)</f>
        <v/>
      </c>
      <c r="I771" s="31" t="str">
        <f aca="false">IF(COUNT(D771:H771)=0,"",SUM(D771:H771))</f>
        <v/>
      </c>
      <c r="J771" s="24"/>
      <c r="K771" s="32" t="s">
        <v>149</v>
      </c>
    </row>
    <row r="772" customFormat="false" ht="15" hidden="false" customHeight="false" outlineLevel="0" collapsed="false">
      <c r="B772" s="9" t="s">
        <v>150</v>
      </c>
      <c r="C772" s="15" t="s">
        <v>32</v>
      </c>
      <c r="D772" s="37" t="str">
        <f aca="false">IF(OR(JobType&lt;&gt;"Decontamination",D771=""),"",D771*INDEX(DecChem,MATCH("Exchanger",DecTypeU,0))*1000)</f>
        <v/>
      </c>
      <c r="E772" s="37" t="str">
        <f aca="false">IF(OR(JobType&lt;&gt;"Decontamination",E771=""),"",E771*INDEX(DecChem,MATCH("Exchanger",DecTypeU,0))*1000)</f>
        <v/>
      </c>
      <c r="F772" s="37" t="str">
        <f aca="false">IF(OR(JobType&lt;&gt;"Decontamination",F771=""),"",F771*INDEX(DecChem,MATCH("Exchanger",DecTypeU,0))*1000)</f>
        <v/>
      </c>
      <c r="G772" s="37" t="str">
        <f aca="false">IF(OR(JobType&lt;&gt;"Decontamination",G771=""),"",G771*INDEX(DecChem,MATCH("Exchanger",DecTypeU,0))*1000)</f>
        <v/>
      </c>
      <c r="H772" s="37" t="str">
        <f aca="false">IF(OR(JobType&lt;&gt;"Decontamination",H771=""),"",H771*INDEX(DecChem,MATCH("Exchanger",DecTypeU,0))*1000)</f>
        <v/>
      </c>
      <c r="I772" s="38" t="str">
        <f aca="false">IF(COUNT(D772:H772)=0,"",SUM(D772:H772))</f>
        <v/>
      </c>
      <c r="J772" s="24" t="s">
        <v>151</v>
      </c>
      <c r="K772" s="32" t="s">
        <v>152</v>
      </c>
    </row>
    <row r="774" customFormat="false" ht="15" hidden="false" customHeight="false" outlineLevel="0" collapsed="false">
      <c r="A774" s="20" t="n">
        <v>18</v>
      </c>
      <c r="B774" s="21" t="s">
        <v>169</v>
      </c>
      <c r="C774" s="22"/>
      <c r="D774" s="22"/>
      <c r="E774" s="22"/>
      <c r="F774" s="22"/>
      <c r="G774" s="22"/>
      <c r="H774" s="22"/>
      <c r="I774" s="22"/>
      <c r="J774" s="22"/>
    </row>
    <row r="775" customFormat="false" ht="15" hidden="false" customHeight="false" outlineLevel="0" collapsed="false">
      <c r="B775" s="9" t="s">
        <v>83</v>
      </c>
      <c r="C775" s="15" t="s">
        <v>29</v>
      </c>
      <c r="D775" s="8"/>
      <c r="E775" s="8"/>
      <c r="F775" s="8"/>
      <c r="G775" s="8"/>
      <c r="H775" s="8"/>
      <c r="I775" s="23"/>
      <c r="J775" s="24"/>
    </row>
    <row r="776" customFormat="false" ht="15" hidden="false" customHeight="false" outlineLevel="0" collapsed="false">
      <c r="B776" s="9" t="s">
        <v>86</v>
      </c>
      <c r="C776" s="15" t="s">
        <v>29</v>
      </c>
      <c r="D776" s="8"/>
      <c r="E776" s="8"/>
      <c r="F776" s="8"/>
      <c r="G776" s="8"/>
      <c r="H776" s="8"/>
      <c r="I776" s="23"/>
      <c r="J776" s="24"/>
    </row>
    <row r="777" customFormat="false" ht="15" hidden="false" customHeight="false" outlineLevel="0" collapsed="false">
      <c r="B777" s="9" t="s">
        <v>87</v>
      </c>
      <c r="C777" s="15" t="s">
        <v>29</v>
      </c>
      <c r="D777" s="8"/>
      <c r="E777" s="8"/>
      <c r="F777" s="8"/>
      <c r="G777" s="8"/>
      <c r="H777" s="8"/>
      <c r="I777" s="23"/>
      <c r="J777" s="24"/>
    </row>
    <row r="778" customFormat="false" ht="15" hidden="false" customHeight="false" outlineLevel="0" collapsed="false">
      <c r="B778" s="25" t="s">
        <v>88</v>
      </c>
      <c r="C778" s="26"/>
      <c r="D778" s="26"/>
      <c r="E778" s="26"/>
      <c r="F778" s="26"/>
      <c r="G778" s="26"/>
      <c r="H778" s="26"/>
      <c r="I778" s="26"/>
      <c r="J778" s="26"/>
    </row>
    <row r="779" customFormat="false" ht="15" hidden="false" customHeight="false" outlineLevel="0" collapsed="false">
      <c r="B779" s="9" t="s">
        <v>89</v>
      </c>
      <c r="C779" s="15" t="s">
        <v>90</v>
      </c>
      <c r="D779" s="8"/>
      <c r="E779" s="8"/>
      <c r="F779" s="8"/>
      <c r="G779" s="8"/>
      <c r="H779" s="8"/>
      <c r="I779" s="23"/>
      <c r="J779" s="24"/>
    </row>
    <row r="780" customFormat="false" ht="15" hidden="false" customHeight="false" outlineLevel="0" collapsed="false">
      <c r="B780" s="9" t="s">
        <v>91</v>
      </c>
      <c r="C780" s="8" t="s">
        <v>92</v>
      </c>
      <c r="D780" s="8"/>
      <c r="E780" s="8"/>
      <c r="F780" s="8"/>
      <c r="G780" s="8"/>
      <c r="H780" s="8"/>
      <c r="I780" s="23"/>
      <c r="J780" s="24" t="s">
        <v>93</v>
      </c>
    </row>
    <row r="781" customFormat="false" ht="15" hidden="false" customHeight="false" outlineLevel="0" collapsed="false">
      <c r="B781" s="9" t="s">
        <v>94</v>
      </c>
      <c r="C781" s="8" t="s">
        <v>92</v>
      </c>
      <c r="D781" s="8"/>
      <c r="E781" s="8"/>
      <c r="F781" s="8"/>
      <c r="G781" s="8"/>
      <c r="H781" s="8"/>
      <c r="I781" s="23"/>
      <c r="J781" s="24"/>
    </row>
    <row r="782" customFormat="false" ht="15" hidden="false" customHeight="false" outlineLevel="0" collapsed="false">
      <c r="B782" s="9" t="s">
        <v>95</v>
      </c>
      <c r="C782" s="8" t="s">
        <v>92</v>
      </c>
      <c r="D782" s="8"/>
      <c r="E782" s="8"/>
      <c r="F782" s="8"/>
      <c r="G782" s="8"/>
      <c r="H782" s="8"/>
      <c r="I782" s="23"/>
      <c r="J782" s="24"/>
    </row>
    <row r="783" customFormat="false" ht="15" hidden="false" customHeight="false" outlineLevel="0" collapsed="false">
      <c r="B783" s="9" t="s">
        <v>96</v>
      </c>
      <c r="C783" s="8" t="s">
        <v>92</v>
      </c>
      <c r="D783" s="8"/>
      <c r="E783" s="8"/>
      <c r="F783" s="8"/>
      <c r="G783" s="8"/>
      <c r="H783" s="8"/>
      <c r="I783" s="23"/>
      <c r="J783" s="24" t="s">
        <v>97</v>
      </c>
    </row>
    <row r="784" customFormat="false" ht="15" hidden="false" customHeight="false" outlineLevel="0" collapsed="false">
      <c r="B784" s="9" t="s">
        <v>98</v>
      </c>
      <c r="C784" s="15" t="s">
        <v>29</v>
      </c>
      <c r="D784" s="8" t="s">
        <v>99</v>
      </c>
      <c r="E784" s="8" t="s">
        <v>99</v>
      </c>
      <c r="F784" s="8" t="s">
        <v>99</v>
      </c>
      <c r="G784" s="8" t="s">
        <v>99</v>
      </c>
      <c r="H784" s="8" t="s">
        <v>99</v>
      </c>
      <c r="I784" s="23"/>
      <c r="J784" s="24"/>
    </row>
    <row r="785" customFormat="false" ht="15" hidden="false" customHeight="false" outlineLevel="0" collapsed="false">
      <c r="B785" s="9" t="s">
        <v>100</v>
      </c>
      <c r="C785" s="8" t="s">
        <v>92</v>
      </c>
      <c r="D785" s="8"/>
      <c r="E785" s="8"/>
      <c r="F785" s="8"/>
      <c r="G785" s="8"/>
      <c r="H785" s="8"/>
      <c r="I785" s="23"/>
      <c r="J785" s="24"/>
    </row>
    <row r="786" customFormat="false" ht="15" hidden="false" customHeight="false" outlineLevel="0" collapsed="false">
      <c r="B786" s="9" t="s">
        <v>101</v>
      </c>
      <c r="C786" s="8" t="s">
        <v>92</v>
      </c>
      <c r="D786" s="8"/>
      <c r="E786" s="8"/>
      <c r="F786" s="8"/>
      <c r="G786" s="8"/>
      <c r="H786" s="8"/>
      <c r="I786" s="23"/>
      <c r="J786" s="24"/>
    </row>
    <row r="787" customFormat="false" ht="15" hidden="false" customHeight="false" outlineLevel="0" collapsed="false">
      <c r="B787" s="9" t="s">
        <v>102</v>
      </c>
      <c r="C787" s="15" t="s">
        <v>29</v>
      </c>
      <c r="D787" s="8"/>
      <c r="E787" s="8"/>
      <c r="F787" s="8"/>
      <c r="G787" s="8"/>
      <c r="H787" s="8"/>
      <c r="I787" s="23"/>
      <c r="J787" s="24"/>
    </row>
    <row r="788" customFormat="false" ht="15" hidden="false" customHeight="false" outlineLevel="0" collapsed="false">
      <c r="B788" s="9" t="s">
        <v>104</v>
      </c>
      <c r="C788" s="8" t="s">
        <v>92</v>
      </c>
      <c r="D788" s="8"/>
      <c r="E788" s="8"/>
      <c r="F788" s="8"/>
      <c r="G788" s="8"/>
      <c r="H788" s="8"/>
      <c r="I788" s="23"/>
      <c r="J788" s="24"/>
    </row>
    <row r="789" customFormat="false" ht="15" hidden="false" customHeight="false" outlineLevel="0" collapsed="false">
      <c r="B789" s="9" t="s">
        <v>105</v>
      </c>
      <c r="C789" s="8" t="s">
        <v>92</v>
      </c>
      <c r="D789" s="8"/>
      <c r="E789" s="8"/>
      <c r="F789" s="8"/>
      <c r="G789" s="8"/>
      <c r="H789" s="8"/>
      <c r="I789" s="23"/>
      <c r="J789" s="24"/>
    </row>
    <row r="790" customFormat="false" ht="15" hidden="false" customHeight="false" outlineLevel="0" collapsed="false">
      <c r="B790" s="9" t="s">
        <v>106</v>
      </c>
      <c r="C790" s="15" t="s">
        <v>29</v>
      </c>
      <c r="D790" s="8"/>
      <c r="E790" s="8"/>
      <c r="F790" s="8"/>
      <c r="G790" s="8"/>
      <c r="H790" s="8"/>
      <c r="I790" s="23"/>
      <c r="J790" s="24"/>
    </row>
    <row r="791" customFormat="false" ht="15" hidden="false" customHeight="false" outlineLevel="0" collapsed="false">
      <c r="B791" s="9" t="s">
        <v>108</v>
      </c>
      <c r="C791" s="8" t="s">
        <v>109</v>
      </c>
      <c r="D791" s="8"/>
      <c r="E791" s="8"/>
      <c r="F791" s="8"/>
      <c r="G791" s="8"/>
      <c r="H791" s="8"/>
      <c r="I791" s="23"/>
      <c r="J791" s="24" t="s">
        <v>110</v>
      </c>
    </row>
    <row r="792" customFormat="false" ht="15" hidden="false" customHeight="false" outlineLevel="0" collapsed="false">
      <c r="B792" s="9" t="s">
        <v>111</v>
      </c>
      <c r="C792" s="8" t="s">
        <v>112</v>
      </c>
      <c r="D792" s="8"/>
      <c r="E792" s="8"/>
      <c r="F792" s="8"/>
      <c r="G792" s="8"/>
      <c r="H792" s="8"/>
      <c r="I792" s="23"/>
      <c r="J792" s="24"/>
    </row>
    <row r="793" customFormat="false" ht="15" hidden="false" customHeight="false" outlineLevel="0" collapsed="false">
      <c r="B793" s="25" t="s">
        <v>113</v>
      </c>
      <c r="C793" s="26"/>
      <c r="D793" s="26"/>
      <c r="E793" s="26"/>
      <c r="F793" s="26"/>
      <c r="G793" s="26"/>
      <c r="H793" s="26"/>
      <c r="I793" s="26"/>
      <c r="J793" s="26"/>
    </row>
    <row r="794" customFormat="false" ht="15" hidden="false" customHeight="false" outlineLevel="0" collapsed="false">
      <c r="B794" s="9" t="s">
        <v>114</v>
      </c>
      <c r="C794" s="8" t="s">
        <v>92</v>
      </c>
      <c r="D794" s="8"/>
      <c r="E794" s="8"/>
      <c r="F794" s="8"/>
      <c r="G794" s="8"/>
      <c r="H794" s="8"/>
      <c r="I794" s="23"/>
      <c r="J794" s="24" t="s">
        <v>115</v>
      </c>
    </row>
    <row r="795" customFormat="false" ht="15" hidden="false" customHeight="false" outlineLevel="0" collapsed="false">
      <c r="B795" s="9" t="s">
        <v>116</v>
      </c>
      <c r="C795" s="8" t="s">
        <v>92</v>
      </c>
      <c r="D795" s="8"/>
      <c r="E795" s="8"/>
      <c r="F795" s="8"/>
      <c r="G795" s="8"/>
      <c r="H795" s="8"/>
      <c r="I795" s="23"/>
      <c r="J795" s="24" t="s">
        <v>117</v>
      </c>
    </row>
    <row r="796" customFormat="false" ht="15" hidden="false" customHeight="false" outlineLevel="0" collapsed="false">
      <c r="B796" s="9" t="s">
        <v>118</v>
      </c>
      <c r="C796" s="15" t="s">
        <v>29</v>
      </c>
      <c r="D796" s="8"/>
      <c r="E796" s="8"/>
      <c r="F796" s="8"/>
      <c r="G796" s="8"/>
      <c r="H796" s="8"/>
      <c r="I796" s="23"/>
      <c r="J796" s="24"/>
    </row>
    <row r="797" customFormat="false" ht="15" hidden="false" customHeight="false" outlineLevel="0" collapsed="false">
      <c r="B797" s="9" t="s">
        <v>119</v>
      </c>
      <c r="C797" s="8" t="s">
        <v>112</v>
      </c>
      <c r="D797" s="8"/>
      <c r="E797" s="8"/>
      <c r="F797" s="8"/>
      <c r="G797" s="8"/>
      <c r="H797" s="8"/>
      <c r="I797" s="23"/>
      <c r="J797" s="24"/>
    </row>
    <row r="798" customFormat="false" ht="15" hidden="false" customHeight="false" outlineLevel="0" collapsed="false">
      <c r="B798" s="25" t="s">
        <v>120</v>
      </c>
      <c r="C798" s="26"/>
      <c r="D798" s="26"/>
      <c r="E798" s="26"/>
      <c r="F798" s="26"/>
      <c r="G798" s="26"/>
      <c r="H798" s="26"/>
      <c r="I798" s="26"/>
      <c r="J798" s="26"/>
    </row>
    <row r="799" customFormat="false" ht="15" hidden="false" customHeight="false" outlineLevel="0" collapsed="false">
      <c r="B799" s="9" t="s">
        <v>121</v>
      </c>
      <c r="C799" s="15" t="s">
        <v>29</v>
      </c>
      <c r="D799" s="8" t="s">
        <v>122</v>
      </c>
      <c r="E799" s="8" t="s">
        <v>122</v>
      </c>
      <c r="F799" s="8" t="s">
        <v>122</v>
      </c>
      <c r="G799" s="8" t="s">
        <v>122</v>
      </c>
      <c r="H799" s="8" t="s">
        <v>122</v>
      </c>
      <c r="I799" s="23"/>
      <c r="J799" s="24"/>
    </row>
    <row r="800" customFormat="false" ht="15" hidden="false" customHeight="false" outlineLevel="0" collapsed="false">
      <c r="B800" s="9" t="s">
        <v>123</v>
      </c>
      <c r="C800" s="15" t="s">
        <v>29</v>
      </c>
      <c r="D800" s="8" t="s">
        <v>122</v>
      </c>
      <c r="E800" s="8" t="s">
        <v>122</v>
      </c>
      <c r="F800" s="8" t="s">
        <v>122</v>
      </c>
      <c r="G800" s="8" t="s">
        <v>122</v>
      </c>
      <c r="H800" s="8" t="s">
        <v>122</v>
      </c>
      <c r="I800" s="23"/>
      <c r="J800" s="24"/>
    </row>
    <row r="801" customFormat="false" ht="15" hidden="false" customHeight="false" outlineLevel="0" collapsed="false">
      <c r="B801" s="25" t="s">
        <v>124</v>
      </c>
      <c r="C801" s="26"/>
      <c r="D801" s="26"/>
      <c r="E801" s="26"/>
      <c r="F801" s="26"/>
      <c r="G801" s="26"/>
      <c r="H801" s="26"/>
      <c r="I801" s="26"/>
      <c r="J801" s="26"/>
    </row>
    <row r="802" customFormat="false" ht="15" hidden="false" customHeight="false" outlineLevel="0" collapsed="false">
      <c r="B802" s="9" t="s">
        <v>125</v>
      </c>
      <c r="C802" s="15" t="s">
        <v>92</v>
      </c>
      <c r="D802" s="27" t="str">
        <f aca="false">IF(ISNUMBER(D780),D780*INDEX(LenF,MATCH($C$780,LenU,0))*1000,IF(ISNUMBER(D783),D783*INDEX(LenF,MATCH($C$783,LenU,0))/PitchRatio*1000,""))</f>
        <v/>
      </c>
      <c r="E802" s="27" t="str">
        <f aca="false">IF(ISNUMBER(E780),E780*INDEX(LenF,MATCH($C$780,LenU,0))*1000,IF(ISNUMBER(E783),E783*INDEX(LenF,MATCH($C$783,LenU,0))/PitchRatio*1000,""))</f>
        <v/>
      </c>
      <c r="F802" s="27" t="str">
        <f aca="false">IF(ISNUMBER(F780),F780*INDEX(LenF,MATCH($C$780,LenU,0))*1000,IF(ISNUMBER(F783),F783*INDEX(LenF,MATCH($C$783,LenU,0))/PitchRatio*1000,""))</f>
        <v/>
      </c>
      <c r="G802" s="27" t="str">
        <f aca="false">IF(ISNUMBER(G780),G780*INDEX(LenF,MATCH($C$780,LenU,0))*1000,IF(ISNUMBER(G783),G783*INDEX(LenF,MATCH($C$783,LenU,0))/PitchRatio*1000,""))</f>
        <v/>
      </c>
      <c r="H802" s="27" t="str">
        <f aca="false">IF(ISNUMBER(H780),H780*INDEX(LenF,MATCH($C$780,LenU,0))*1000,IF(ISNUMBER(H783),H783*INDEX(LenF,MATCH($C$783,LenU,0))/PitchRatio*1000,""))</f>
        <v/>
      </c>
      <c r="I802" s="28"/>
      <c r="J802" s="24" t="s">
        <v>126</v>
      </c>
    </row>
    <row r="803" customFormat="false" ht="15" hidden="false" customHeight="false" outlineLevel="0" collapsed="false">
      <c r="B803" s="9" t="s">
        <v>127</v>
      </c>
      <c r="C803" s="15" t="s">
        <v>109</v>
      </c>
      <c r="D803" s="29" t="str">
        <f aca="false">IF(AND(ISNUMBER(D779),ISNUMBER(D781),ISNUMBER(D782)),D779*PI()/4*(D781*INDEX(LenF,MATCH($C$781,LenU,0)))^2*D782*INDEX(LenF,MATCH($C$782,LenU,0)),"")</f>
        <v/>
      </c>
      <c r="E803" s="29" t="str">
        <f aca="false">IF(AND(ISNUMBER(E779),ISNUMBER(E781),ISNUMBER(E782)),E779*PI()/4*(E781*INDEX(LenF,MATCH($C$781,LenU,0)))^2*E782*INDEX(LenF,MATCH($C$782,LenU,0)),"")</f>
        <v/>
      </c>
      <c r="F803" s="29" t="str">
        <f aca="false">IF(AND(ISNUMBER(F779),ISNUMBER(F781),ISNUMBER(F782)),F779*PI()/4*(F781*INDEX(LenF,MATCH($C$781,LenU,0)))^2*F782*INDEX(LenF,MATCH($C$782,LenU,0)),"")</f>
        <v/>
      </c>
      <c r="G803" s="29" t="str">
        <f aca="false">IF(AND(ISNUMBER(G779),ISNUMBER(G781),ISNUMBER(G782)),G779*PI()/4*(G781*INDEX(LenF,MATCH($C$781,LenU,0)))^2*G782*INDEX(LenF,MATCH($C$782,LenU,0)),"")</f>
        <v/>
      </c>
      <c r="H803" s="29" t="str">
        <f aca="false">IF(AND(ISNUMBER(H779),ISNUMBER(H781),ISNUMBER(H782)),H779*PI()/4*(H781*INDEX(LenF,MATCH($C$781,LenU,0)))^2*H782*INDEX(LenF,MATCH($C$782,LenU,0)),"")</f>
        <v/>
      </c>
      <c r="I803" s="30" t="str">
        <f aca="false">IF(COUNT(D803:H803)=0,"",SUM(D803:H803))</f>
        <v/>
      </c>
      <c r="J803" s="24"/>
    </row>
    <row r="804" customFormat="false" ht="15" hidden="false" customHeight="false" outlineLevel="0" collapsed="false">
      <c r="B804" s="9" t="s">
        <v>128</v>
      </c>
      <c r="C804" s="15" t="s">
        <v>109</v>
      </c>
      <c r="D804" s="29" t="n">
        <f aca="false">IF(ISNUMBER(D791),D791*INDEX(VolF,MATCH($C$791,VolU,0)),IF(ISNUMBER(D785),PI()/4*(D785*INDEX(LenF,MATCH($C$785,LenU,0)))^2*N(D786)*INDEX(LenF,MATCH($C$786,LenU,0))+IF(D787="",0,IF(D787="Conical",PI()/12*(D785*INDEX(LenF,MATCH($C$785,LenU,0)))^2*(0),INDEX(HeadK,MATCH(D787,HeadU,0))*(D785*INDEX(LenF,MATCH($C$785,LenU,0)))^3)),0)+IF(ISNUMBER(D788),PI()/4*(D788*INDEX(LenF,MATCH($C$788,LenU,0)))^2*N(D789)*INDEX(LenF,MATCH($C$789,LenU,0))+IF(D790="",0,IF(D790="Conical",PI()/12*(D788*INDEX(LenF,MATCH($C$788,LenU,0)))^2*(0),INDEX(HeadK,MATCH(D790,HeadU,0))*(D788*INDEX(LenF,MATCH($C$788,LenU,0)))^3)),0))</f>
        <v>0</v>
      </c>
      <c r="E804" s="29" t="n">
        <f aca="false">IF(ISNUMBER(E791),E791*INDEX(VolF,MATCH($C$791,VolU,0)),IF(ISNUMBER(E785),PI()/4*(E785*INDEX(LenF,MATCH($C$785,LenU,0)))^2*N(E786)*INDEX(LenF,MATCH($C$786,LenU,0))+IF(E787="",0,IF(E787="Conical",PI()/12*(E785*INDEX(LenF,MATCH($C$785,LenU,0)))^2*(0),INDEX(HeadK,MATCH(E787,HeadU,0))*(E785*INDEX(LenF,MATCH($C$785,LenU,0)))^3)),0)+IF(ISNUMBER(E788),PI()/4*(E788*INDEX(LenF,MATCH($C$788,LenU,0)))^2*N(E789)*INDEX(LenF,MATCH($C$789,LenU,0))+IF(E790="",0,IF(E790="Conical",PI()/12*(E788*INDEX(LenF,MATCH($C$788,LenU,0)))^2*(0),INDEX(HeadK,MATCH(E790,HeadU,0))*(E788*INDEX(LenF,MATCH($C$788,LenU,0)))^3)),0))</f>
        <v>0</v>
      </c>
      <c r="F804" s="29" t="n">
        <f aca="false">IF(ISNUMBER(F791),F791*INDEX(VolF,MATCH($C$791,VolU,0)),IF(ISNUMBER(F785),PI()/4*(F785*INDEX(LenF,MATCH($C$785,LenU,0)))^2*N(F786)*INDEX(LenF,MATCH($C$786,LenU,0))+IF(F787="",0,IF(F787="Conical",PI()/12*(F785*INDEX(LenF,MATCH($C$785,LenU,0)))^2*(0),INDEX(HeadK,MATCH(F787,HeadU,0))*(F785*INDEX(LenF,MATCH($C$785,LenU,0)))^3)),0)+IF(ISNUMBER(F788),PI()/4*(F788*INDEX(LenF,MATCH($C$788,LenU,0)))^2*N(F789)*INDEX(LenF,MATCH($C$789,LenU,0))+IF(F790="",0,IF(F790="Conical",PI()/12*(F788*INDEX(LenF,MATCH($C$788,LenU,0)))^2*(0),INDEX(HeadK,MATCH(F790,HeadU,0))*(F788*INDEX(LenF,MATCH($C$788,LenU,0)))^3)),0))</f>
        <v>0</v>
      </c>
      <c r="G804" s="29" t="n">
        <f aca="false">IF(ISNUMBER(G791),G791*INDEX(VolF,MATCH($C$791,VolU,0)),IF(ISNUMBER(G785),PI()/4*(G785*INDEX(LenF,MATCH($C$785,LenU,0)))^2*N(G786)*INDEX(LenF,MATCH($C$786,LenU,0))+IF(G787="",0,IF(G787="Conical",PI()/12*(G785*INDEX(LenF,MATCH($C$785,LenU,0)))^2*(0),INDEX(HeadK,MATCH(G787,HeadU,0))*(G785*INDEX(LenF,MATCH($C$785,LenU,0)))^3)),0)+IF(ISNUMBER(G788),PI()/4*(G788*INDEX(LenF,MATCH($C$788,LenU,0)))^2*N(G789)*INDEX(LenF,MATCH($C$789,LenU,0))+IF(G790="",0,IF(G790="Conical",PI()/12*(G788*INDEX(LenF,MATCH($C$788,LenU,0)))^2*(0),INDEX(HeadK,MATCH(G790,HeadU,0))*(G788*INDEX(LenF,MATCH($C$788,LenU,0)))^3)),0))</f>
        <v>0</v>
      </c>
      <c r="H804" s="29" t="n">
        <f aca="false">IF(ISNUMBER(H791),H791*INDEX(VolF,MATCH($C$791,VolU,0)),IF(ISNUMBER(H785),PI()/4*(H785*INDEX(LenF,MATCH($C$785,LenU,0)))^2*N(H786)*INDEX(LenF,MATCH($C$786,LenU,0))+IF(H787="",0,IF(H787="Conical",PI()/12*(H785*INDEX(LenF,MATCH($C$785,LenU,0)))^2*(0),INDEX(HeadK,MATCH(H787,HeadU,0))*(H785*INDEX(LenF,MATCH($C$785,LenU,0)))^3)),0)+IF(ISNUMBER(H788),PI()/4*(H788*INDEX(LenF,MATCH($C$788,LenU,0)))^2*N(H789)*INDEX(LenF,MATCH($C$789,LenU,0))+IF(H790="",0,IF(H790="Conical",PI()/12*(H788*INDEX(LenF,MATCH($C$788,LenU,0)))^2*(0),INDEX(HeadK,MATCH(H790,HeadU,0))*(H788*INDEX(LenF,MATCH($C$788,LenU,0)))^3)),0))</f>
        <v>0</v>
      </c>
      <c r="I804" s="30" t="n">
        <f aca="false">IF(COUNT(D804:H804)=0,"",SUM(D804:H804))</f>
        <v>0</v>
      </c>
      <c r="J804" s="24" t="s">
        <v>129</v>
      </c>
    </row>
    <row r="805" customFormat="false" ht="15" hidden="false" customHeight="false" outlineLevel="0" collapsed="false">
      <c r="B805" s="9" t="s">
        <v>130</v>
      </c>
      <c r="C805" s="15" t="s">
        <v>109</v>
      </c>
      <c r="D805" s="29" t="str">
        <f aca="false">IF(D803="","",D803+D804)</f>
        <v/>
      </c>
      <c r="E805" s="29" t="str">
        <f aca="false">IF(E803="","",E803+E804)</f>
        <v/>
      </c>
      <c r="F805" s="29" t="str">
        <f aca="false">IF(F803="","",F803+F804)</f>
        <v/>
      </c>
      <c r="G805" s="29" t="str">
        <f aca="false">IF(G803="","",G803+G804)</f>
        <v/>
      </c>
      <c r="H805" s="29" t="str">
        <f aca="false">IF(H803="","",H803+H804)</f>
        <v/>
      </c>
      <c r="I805" s="30" t="str">
        <f aca="false">IF(COUNT(D805:H805)=0,"",SUM(D805:H805))</f>
        <v/>
      </c>
      <c r="J805" s="24"/>
    </row>
    <row r="806" customFormat="false" ht="15" hidden="false" customHeight="false" outlineLevel="0" collapsed="false">
      <c r="B806" s="9" t="s">
        <v>131</v>
      </c>
      <c r="C806" s="15" t="s">
        <v>109</v>
      </c>
      <c r="D806" s="29" t="str">
        <f aca="false">IF(ISNUMBER(D792),D792*INDEX(WtF,MATCH($C$792,WtU,0))/WaterRho,"")</f>
        <v/>
      </c>
      <c r="E806" s="29" t="str">
        <f aca="false">IF(ISNUMBER(E792),E792*INDEX(WtF,MATCH($C$792,WtU,0))/WaterRho,"")</f>
        <v/>
      </c>
      <c r="F806" s="29" t="str">
        <f aca="false">IF(ISNUMBER(F792),F792*INDEX(WtF,MATCH($C$792,WtU,0))/WaterRho,"")</f>
        <v/>
      </c>
      <c r="G806" s="29" t="str">
        <f aca="false">IF(ISNUMBER(G792),G792*INDEX(WtF,MATCH($C$792,WtU,0))/WaterRho,"")</f>
        <v/>
      </c>
      <c r="H806" s="29" t="str">
        <f aca="false">IF(ISNUMBER(H792),H792*INDEX(WtF,MATCH($C$792,WtU,0))/WaterRho,"")</f>
        <v/>
      </c>
      <c r="I806" s="30" t="str">
        <f aca="false">IF(COUNT(D806:H806)=0,"",SUM(D806:H806))</f>
        <v/>
      </c>
      <c r="J806" s="24"/>
    </row>
    <row r="807" customFormat="false" ht="15" hidden="false" customHeight="false" outlineLevel="0" collapsed="false">
      <c r="B807" s="4" t="s">
        <v>132</v>
      </c>
      <c r="C807" s="15" t="s">
        <v>109</v>
      </c>
      <c r="D807" s="31" t="str">
        <f aca="false">IF(D799="Water weight",D806,D805)</f>
        <v/>
      </c>
      <c r="E807" s="31" t="str">
        <f aca="false">IF(E799="Water weight",E806,E805)</f>
        <v/>
      </c>
      <c r="F807" s="31" t="str">
        <f aca="false">IF(F799="Water weight",F806,F805)</f>
        <v/>
      </c>
      <c r="G807" s="31" t="str">
        <f aca="false">IF(G799="Water weight",G806,G805)</f>
        <v/>
      </c>
      <c r="H807" s="31" t="str">
        <f aca="false">IF(H799="Water weight",H806,H805)</f>
        <v/>
      </c>
      <c r="I807" s="31" t="str">
        <f aca="false">IF(COUNT(D807:H807)=0,"",SUM(D807:H807))</f>
        <v/>
      </c>
      <c r="J807" s="24"/>
      <c r="K807" s="32" t="s">
        <v>133</v>
      </c>
    </row>
    <row r="808" customFormat="false" ht="15" hidden="false" customHeight="false" outlineLevel="0" collapsed="false">
      <c r="B808" s="9" t="s">
        <v>134</v>
      </c>
      <c r="C808" s="15" t="s">
        <v>135</v>
      </c>
      <c r="D808" s="33" t="str">
        <f aca="false">IF(ISNUMBER(D794),PI()/4*(D794*INDEX(LenF,MATCH($C$794,LenU,0)))^2,IF(AND(ISNUMBER(D779),ISNUMBER(D783),D784&lt;&gt;""),D779*(D783*INDEX(LenF,MATCH($C$783,LenU,0)))^2*INDEX(LayoutF,MATCH(D784,LayoutU,0)),""))</f>
        <v/>
      </c>
      <c r="E808" s="33" t="str">
        <f aca="false">IF(ISNUMBER(E794),PI()/4*(E794*INDEX(LenF,MATCH($C$794,LenU,0)))^2,IF(AND(ISNUMBER(E779),ISNUMBER(E783),E784&lt;&gt;""),E779*(E783*INDEX(LenF,MATCH($C$783,LenU,0)))^2*INDEX(LayoutF,MATCH(E784,LayoutU,0)),""))</f>
        <v/>
      </c>
      <c r="F808" s="33" t="str">
        <f aca="false">IF(ISNUMBER(F794),PI()/4*(F794*INDEX(LenF,MATCH($C$794,LenU,0)))^2,IF(AND(ISNUMBER(F779),ISNUMBER(F783),F784&lt;&gt;""),F779*(F783*INDEX(LenF,MATCH($C$783,LenU,0)))^2*INDEX(LayoutF,MATCH(F784,LayoutU,0)),""))</f>
        <v/>
      </c>
      <c r="G808" s="33" t="str">
        <f aca="false">IF(ISNUMBER(G794),PI()/4*(G794*INDEX(LenF,MATCH($C$794,LenU,0)))^2,IF(AND(ISNUMBER(G779),ISNUMBER(G783),G784&lt;&gt;""),G779*(G783*INDEX(LenF,MATCH($C$783,LenU,0)))^2*INDEX(LayoutF,MATCH(G784,LayoutU,0)),""))</f>
        <v/>
      </c>
      <c r="H808" s="33" t="str">
        <f aca="false">IF(ISNUMBER(H794),PI()/4*(H794*INDEX(LenF,MATCH($C$794,LenU,0)))^2,IF(AND(ISNUMBER(H779),ISNUMBER(H783),H784&lt;&gt;""),H779*(H783*INDEX(LenF,MATCH($C$783,LenU,0)))^2*INDEX(LayoutF,MATCH(H784,LayoutU,0)),""))</f>
        <v/>
      </c>
      <c r="I808" s="34"/>
      <c r="J808" s="24" t="s">
        <v>136</v>
      </c>
    </row>
    <row r="809" customFormat="false" ht="15" hidden="false" customHeight="false" outlineLevel="0" collapsed="false">
      <c r="B809" s="9" t="s">
        <v>137</v>
      </c>
      <c r="C809" s="15" t="s">
        <v>109</v>
      </c>
      <c r="D809" s="29" t="str">
        <f aca="false">IF(OR(D808="",AND(NOT(ISNUMBER(D795)),NOT(ISNUMBER(D782)))),"",D808*IF(ISNUMBER(D795),D795*INDEX(LenF,MATCH($C$795,LenU,0)),D782*INDEX(LenF,MATCH($C$782,LenU,0)))+IF(D796="",0,IF(D796="Conical",PI()/12*(SQRT(4*D808/PI()))^2*(0),INDEX(HeadK,MATCH(D796,HeadU,0))*(SQRT(4*D808/PI()))^3)))</f>
        <v/>
      </c>
      <c r="E809" s="29" t="str">
        <f aca="false">IF(OR(E808="",AND(NOT(ISNUMBER(E795)),NOT(ISNUMBER(E782)))),"",E808*IF(ISNUMBER(E795),E795*INDEX(LenF,MATCH($C$795,LenU,0)),E782*INDEX(LenF,MATCH($C$782,LenU,0)))+IF(E796="",0,IF(E796="Conical",PI()/12*(SQRT(4*E808/PI()))^2*(0),INDEX(HeadK,MATCH(E796,HeadU,0))*(SQRT(4*E808/PI()))^3)))</f>
        <v/>
      </c>
      <c r="F809" s="29" t="str">
        <f aca="false">IF(OR(F808="",AND(NOT(ISNUMBER(F795)),NOT(ISNUMBER(F782)))),"",F808*IF(ISNUMBER(F795),F795*INDEX(LenF,MATCH($C$795,LenU,0)),F782*INDEX(LenF,MATCH($C$782,LenU,0)))+IF(F796="",0,IF(F796="Conical",PI()/12*(SQRT(4*F808/PI()))^2*(0),INDEX(HeadK,MATCH(F796,HeadU,0))*(SQRT(4*F808/PI()))^3)))</f>
        <v/>
      </c>
      <c r="G809" s="29" t="str">
        <f aca="false">IF(OR(G808="",AND(NOT(ISNUMBER(G795)),NOT(ISNUMBER(G782)))),"",G808*IF(ISNUMBER(G795),G795*INDEX(LenF,MATCH($C$795,LenU,0)),G782*INDEX(LenF,MATCH($C$782,LenU,0)))+IF(G796="",0,IF(G796="Conical",PI()/12*(SQRT(4*G808/PI()))^2*(0),INDEX(HeadK,MATCH(G796,HeadU,0))*(SQRT(4*G808/PI()))^3)))</f>
        <v/>
      </c>
      <c r="H809" s="29" t="str">
        <f aca="false">IF(OR(H808="",AND(NOT(ISNUMBER(H795)),NOT(ISNUMBER(H782)))),"",H808*IF(ISNUMBER(H795),H795*INDEX(LenF,MATCH($C$795,LenU,0)),H782*INDEX(LenF,MATCH($C$782,LenU,0)))+IF(H796="",0,IF(H796="Conical",PI()/12*(SQRT(4*H808/PI()))^2*(0),INDEX(HeadK,MATCH(H796,HeadU,0))*(SQRT(4*H808/PI()))^3)))</f>
        <v/>
      </c>
      <c r="I809" s="30" t="str">
        <f aca="false">IF(COUNT(D809:H809)=0,"",SUM(D809:H809))</f>
        <v/>
      </c>
      <c r="J809" s="24"/>
    </row>
    <row r="810" customFormat="false" ht="15" hidden="false" customHeight="false" outlineLevel="0" collapsed="false">
      <c r="B810" s="9" t="s">
        <v>138</v>
      </c>
      <c r="C810" s="15" t="s">
        <v>109</v>
      </c>
      <c r="D810" s="29" t="str">
        <f aca="false">IF(AND(ISNUMBER(D779),ISNUMBER(D802),ISNUMBER(D782)),D779*PI()/4*(D802/1000)^2*D782*INDEX(LenF,MATCH($C$782,LenU,0)),"")</f>
        <v/>
      </c>
      <c r="E810" s="29" t="str">
        <f aca="false">IF(AND(ISNUMBER(E779),ISNUMBER(E802),ISNUMBER(E782)),E779*PI()/4*(E802/1000)^2*E782*INDEX(LenF,MATCH($C$782,LenU,0)),"")</f>
        <v/>
      </c>
      <c r="F810" s="29" t="str">
        <f aca="false">IF(AND(ISNUMBER(F779),ISNUMBER(F802),ISNUMBER(F782)),F779*PI()/4*(F802/1000)^2*F782*INDEX(LenF,MATCH($C$782,LenU,0)),"")</f>
        <v/>
      </c>
      <c r="G810" s="29" t="str">
        <f aca="false">IF(AND(ISNUMBER(G779),ISNUMBER(G802),ISNUMBER(G782)),G779*PI()/4*(G802/1000)^2*G782*INDEX(LenF,MATCH($C$782,LenU,0)),"")</f>
        <v/>
      </c>
      <c r="H810" s="29" t="str">
        <f aca="false">IF(AND(ISNUMBER(H779),ISNUMBER(H802),ISNUMBER(H782)),H779*PI()/4*(H802/1000)^2*H782*INDEX(LenF,MATCH($C$782,LenU,0)),"")</f>
        <v/>
      </c>
      <c r="I810" s="30" t="str">
        <f aca="false">IF(COUNT(D810:H810)=0,"",SUM(D810:H810))</f>
        <v/>
      </c>
      <c r="J810" s="24"/>
    </row>
    <row r="811" customFormat="false" ht="15" hidden="false" customHeight="false" outlineLevel="0" collapsed="false">
      <c r="B811" s="9" t="s">
        <v>139</v>
      </c>
      <c r="C811" s="15" t="s">
        <v>109</v>
      </c>
      <c r="D811" s="29" t="str">
        <f aca="false">IF(OR(D809="",D810=""),"",D809-D810)</f>
        <v/>
      </c>
      <c r="E811" s="29" t="str">
        <f aca="false">IF(OR(E809="",E810=""),"",E809-E810)</f>
        <v/>
      </c>
      <c r="F811" s="29" t="str">
        <f aca="false">IF(OR(F809="",F810=""),"",F809-F810)</f>
        <v/>
      </c>
      <c r="G811" s="29" t="str">
        <f aca="false">IF(OR(G809="",G810=""),"",G809-G810)</f>
        <v/>
      </c>
      <c r="H811" s="29" t="str">
        <f aca="false">IF(OR(H809="",H810=""),"",H809-H810)</f>
        <v/>
      </c>
      <c r="I811" s="30" t="str">
        <f aca="false">IF(COUNT(D811:H811)=0,"",SUM(D811:H811))</f>
        <v/>
      </c>
      <c r="J811" s="24" t="s">
        <v>140</v>
      </c>
    </row>
    <row r="812" customFormat="false" ht="15" hidden="false" customHeight="false" outlineLevel="0" collapsed="false">
      <c r="B812" s="9" t="s">
        <v>141</v>
      </c>
      <c r="C812" s="15" t="s">
        <v>109</v>
      </c>
      <c r="D812" s="29" t="str">
        <f aca="false">IF(ISNUMBER(D797),D797*INDEX(WtF,MATCH($C$797,WtU,0))/WaterRho,"")</f>
        <v/>
      </c>
      <c r="E812" s="29" t="str">
        <f aca="false">IF(ISNUMBER(E797),E797*INDEX(WtF,MATCH($C$797,WtU,0))/WaterRho,"")</f>
        <v/>
      </c>
      <c r="F812" s="29" t="str">
        <f aca="false">IF(ISNUMBER(F797),F797*INDEX(WtF,MATCH($C$797,WtU,0))/WaterRho,"")</f>
        <v/>
      </c>
      <c r="G812" s="29" t="str">
        <f aca="false">IF(ISNUMBER(G797),G797*INDEX(WtF,MATCH($C$797,WtU,0))/WaterRho,"")</f>
        <v/>
      </c>
      <c r="H812" s="29" t="str">
        <f aca="false">IF(ISNUMBER(H797),H797*INDEX(WtF,MATCH($C$797,WtU,0))/WaterRho,"")</f>
        <v/>
      </c>
      <c r="I812" s="30" t="str">
        <f aca="false">IF(COUNT(D812:H812)=0,"",SUM(D812:H812))</f>
        <v/>
      </c>
      <c r="J812" s="24"/>
    </row>
    <row r="813" customFormat="false" ht="15" hidden="false" customHeight="false" outlineLevel="0" collapsed="false">
      <c r="B813" s="4" t="s">
        <v>142</v>
      </c>
      <c r="C813" s="15" t="s">
        <v>109</v>
      </c>
      <c r="D813" s="31" t="str">
        <f aca="false">IF(D800="Water weight",D812,D811)</f>
        <v/>
      </c>
      <c r="E813" s="31" t="str">
        <f aca="false">IF(E800="Water weight",E812,E811)</f>
        <v/>
      </c>
      <c r="F813" s="31" t="str">
        <f aca="false">IF(F800="Water weight",F812,F811)</f>
        <v/>
      </c>
      <c r="G813" s="31" t="str">
        <f aca="false">IF(G800="Water weight",G812,G811)</f>
        <v/>
      </c>
      <c r="H813" s="31" t="str">
        <f aca="false">IF(H800="Water weight",H812,H811)</f>
        <v/>
      </c>
      <c r="I813" s="31" t="str">
        <f aca="false">IF(COUNT(D813:H813)=0,"",SUM(D813:H813))</f>
        <v/>
      </c>
      <c r="J813" s="24"/>
      <c r="K813" s="32" t="s">
        <v>143</v>
      </c>
    </row>
    <row r="814" customFormat="false" ht="15" hidden="false" customHeight="false" outlineLevel="0" collapsed="false">
      <c r="B814" s="4" t="s">
        <v>144</v>
      </c>
      <c r="C814" s="15" t="s">
        <v>109</v>
      </c>
      <c r="D814" s="31" t="str">
        <f aca="false">IF(AND(D807="",D813=""),"",N(D807)+N(D813))</f>
        <v/>
      </c>
      <c r="E814" s="31" t="str">
        <f aca="false">IF(AND(E807="",E813=""),"",N(E807)+N(E813))</f>
        <v/>
      </c>
      <c r="F814" s="31" t="str">
        <f aca="false">IF(AND(F807="",F813=""),"",N(F807)+N(F813))</f>
        <v/>
      </c>
      <c r="G814" s="31" t="str">
        <f aca="false">IF(AND(G807="",G813=""),"",N(G807)+N(G813))</f>
        <v/>
      </c>
      <c r="H814" s="31" t="str">
        <f aca="false">IF(AND(H807="",H813=""),"",N(H807)+N(H813))</f>
        <v/>
      </c>
      <c r="I814" s="31" t="str">
        <f aca="false">IF(COUNT(D814:H814)=0,"",SUM(D814:H814))</f>
        <v/>
      </c>
      <c r="J814" s="24"/>
      <c r="K814" s="32" t="s">
        <v>145</v>
      </c>
    </row>
    <row r="815" customFormat="false" ht="15" hidden="false" customHeight="false" outlineLevel="0" collapsed="false">
      <c r="B815" s="9" t="s">
        <v>60</v>
      </c>
      <c r="C815" s="15" t="s">
        <v>146</v>
      </c>
      <c r="D815" s="35" t="str">
        <f aca="false">IF(D814="","",IF(JobType="Chemical Cleaning",CC_HX,INDEX(DecFill,MATCH("Exchanger",DecTypeU,0))))</f>
        <v/>
      </c>
      <c r="E815" s="35" t="str">
        <f aca="false">IF(E814="","",IF(JobType="Chemical Cleaning",CC_HX,INDEX(DecFill,MATCH("Exchanger",DecTypeU,0))))</f>
        <v/>
      </c>
      <c r="F815" s="35" t="str">
        <f aca="false">IF(F814="","",IF(JobType="Chemical Cleaning",CC_HX,INDEX(DecFill,MATCH("Exchanger",DecTypeU,0))))</f>
        <v/>
      </c>
      <c r="G815" s="35" t="str">
        <f aca="false">IF(G814="","",IF(JobType="Chemical Cleaning",CC_HX,INDEX(DecFill,MATCH("Exchanger",DecTypeU,0))))</f>
        <v/>
      </c>
      <c r="H815" s="35" t="str">
        <f aca="false">IF(H814="","",IF(JobType="Chemical Cleaning",CC_HX,INDEX(DecFill,MATCH("Exchanger",DecTypeU,0))))</f>
        <v/>
      </c>
      <c r="I815" s="36"/>
      <c r="J815" s="24" t="s">
        <v>147</v>
      </c>
    </row>
    <row r="816" customFormat="false" ht="15" hidden="false" customHeight="false" outlineLevel="0" collapsed="false">
      <c r="B816" s="4" t="s">
        <v>148</v>
      </c>
      <c r="C816" s="15" t="s">
        <v>109</v>
      </c>
      <c r="D816" s="31" t="str">
        <f aca="false">IF(OR(D814="",D815=""),"",D814*D815)</f>
        <v/>
      </c>
      <c r="E816" s="31" t="str">
        <f aca="false">IF(OR(E814="",E815=""),"",E814*E815)</f>
        <v/>
      </c>
      <c r="F816" s="31" t="str">
        <f aca="false">IF(OR(F814="",F815=""),"",F814*F815)</f>
        <v/>
      </c>
      <c r="G816" s="31" t="str">
        <f aca="false">IF(OR(G814="",G815=""),"",G814*G815)</f>
        <v/>
      </c>
      <c r="H816" s="31" t="str">
        <f aca="false">IF(OR(H814="",H815=""),"",H814*H815)</f>
        <v/>
      </c>
      <c r="I816" s="31" t="str">
        <f aca="false">IF(COUNT(D816:H816)=0,"",SUM(D816:H816))</f>
        <v/>
      </c>
      <c r="J816" s="24"/>
      <c r="K816" s="32" t="s">
        <v>149</v>
      </c>
    </row>
    <row r="817" customFormat="false" ht="15" hidden="false" customHeight="false" outlineLevel="0" collapsed="false">
      <c r="B817" s="9" t="s">
        <v>150</v>
      </c>
      <c r="C817" s="15" t="s">
        <v>32</v>
      </c>
      <c r="D817" s="37" t="str">
        <f aca="false">IF(OR(JobType&lt;&gt;"Decontamination",D816=""),"",D816*INDEX(DecChem,MATCH("Exchanger",DecTypeU,0))*1000)</f>
        <v/>
      </c>
      <c r="E817" s="37" t="str">
        <f aca="false">IF(OR(JobType&lt;&gt;"Decontamination",E816=""),"",E816*INDEX(DecChem,MATCH("Exchanger",DecTypeU,0))*1000)</f>
        <v/>
      </c>
      <c r="F817" s="37" t="str">
        <f aca="false">IF(OR(JobType&lt;&gt;"Decontamination",F816=""),"",F816*INDEX(DecChem,MATCH("Exchanger",DecTypeU,0))*1000)</f>
        <v/>
      </c>
      <c r="G817" s="37" t="str">
        <f aca="false">IF(OR(JobType&lt;&gt;"Decontamination",G816=""),"",G816*INDEX(DecChem,MATCH("Exchanger",DecTypeU,0))*1000)</f>
        <v/>
      </c>
      <c r="H817" s="37" t="str">
        <f aca="false">IF(OR(JobType&lt;&gt;"Decontamination",H816=""),"",H816*INDEX(DecChem,MATCH("Exchanger",DecTypeU,0))*1000)</f>
        <v/>
      </c>
      <c r="I817" s="38" t="str">
        <f aca="false">IF(COUNT(D817:H817)=0,"",SUM(D817:H817))</f>
        <v/>
      </c>
      <c r="J817" s="24" t="s">
        <v>151</v>
      </c>
      <c r="K817" s="32" t="s">
        <v>152</v>
      </c>
    </row>
    <row r="819" customFormat="false" ht="15" hidden="false" customHeight="false" outlineLevel="0" collapsed="false">
      <c r="A819" s="20" t="n">
        <v>19</v>
      </c>
      <c r="B819" s="21" t="s">
        <v>170</v>
      </c>
      <c r="C819" s="22"/>
      <c r="D819" s="22"/>
      <c r="E819" s="22"/>
      <c r="F819" s="22"/>
      <c r="G819" s="22"/>
      <c r="H819" s="22"/>
      <c r="I819" s="22"/>
      <c r="J819" s="22"/>
    </row>
    <row r="820" customFormat="false" ht="15" hidden="false" customHeight="false" outlineLevel="0" collapsed="false">
      <c r="B820" s="9" t="s">
        <v>83</v>
      </c>
      <c r="C820" s="15" t="s">
        <v>29</v>
      </c>
      <c r="D820" s="8"/>
      <c r="E820" s="8"/>
      <c r="F820" s="8"/>
      <c r="G820" s="8"/>
      <c r="H820" s="8"/>
      <c r="I820" s="23"/>
      <c r="J820" s="24"/>
    </row>
    <row r="821" customFormat="false" ht="15" hidden="false" customHeight="false" outlineLevel="0" collapsed="false">
      <c r="B821" s="9" t="s">
        <v>86</v>
      </c>
      <c r="C821" s="15" t="s">
        <v>29</v>
      </c>
      <c r="D821" s="8"/>
      <c r="E821" s="8"/>
      <c r="F821" s="8"/>
      <c r="G821" s="8"/>
      <c r="H821" s="8"/>
      <c r="I821" s="23"/>
      <c r="J821" s="24"/>
    </row>
    <row r="822" customFormat="false" ht="15" hidden="false" customHeight="false" outlineLevel="0" collapsed="false">
      <c r="B822" s="9" t="s">
        <v>87</v>
      </c>
      <c r="C822" s="15" t="s">
        <v>29</v>
      </c>
      <c r="D822" s="8"/>
      <c r="E822" s="8"/>
      <c r="F822" s="8"/>
      <c r="G822" s="8"/>
      <c r="H822" s="8"/>
      <c r="I822" s="23"/>
      <c r="J822" s="24"/>
    </row>
    <row r="823" customFormat="false" ht="15" hidden="false" customHeight="false" outlineLevel="0" collapsed="false">
      <c r="B823" s="25" t="s">
        <v>88</v>
      </c>
      <c r="C823" s="26"/>
      <c r="D823" s="26"/>
      <c r="E823" s="26"/>
      <c r="F823" s="26"/>
      <c r="G823" s="26"/>
      <c r="H823" s="26"/>
      <c r="I823" s="26"/>
      <c r="J823" s="26"/>
    </row>
    <row r="824" customFormat="false" ht="15" hidden="false" customHeight="false" outlineLevel="0" collapsed="false">
      <c r="B824" s="9" t="s">
        <v>89</v>
      </c>
      <c r="C824" s="15" t="s">
        <v>90</v>
      </c>
      <c r="D824" s="8"/>
      <c r="E824" s="8"/>
      <c r="F824" s="8"/>
      <c r="G824" s="8"/>
      <c r="H824" s="8"/>
      <c r="I824" s="23"/>
      <c r="J824" s="24"/>
    </row>
    <row r="825" customFormat="false" ht="15" hidden="false" customHeight="false" outlineLevel="0" collapsed="false">
      <c r="B825" s="9" t="s">
        <v>91</v>
      </c>
      <c r="C825" s="8" t="s">
        <v>92</v>
      </c>
      <c r="D825" s="8"/>
      <c r="E825" s="8"/>
      <c r="F825" s="8"/>
      <c r="G825" s="8"/>
      <c r="H825" s="8"/>
      <c r="I825" s="23"/>
      <c r="J825" s="24" t="s">
        <v>93</v>
      </c>
    </row>
    <row r="826" customFormat="false" ht="15" hidden="false" customHeight="false" outlineLevel="0" collapsed="false">
      <c r="B826" s="9" t="s">
        <v>94</v>
      </c>
      <c r="C826" s="8" t="s">
        <v>92</v>
      </c>
      <c r="D826" s="8"/>
      <c r="E826" s="8"/>
      <c r="F826" s="8"/>
      <c r="G826" s="8"/>
      <c r="H826" s="8"/>
      <c r="I826" s="23"/>
      <c r="J826" s="24"/>
    </row>
    <row r="827" customFormat="false" ht="15" hidden="false" customHeight="false" outlineLevel="0" collapsed="false">
      <c r="B827" s="9" t="s">
        <v>95</v>
      </c>
      <c r="C827" s="8" t="s">
        <v>92</v>
      </c>
      <c r="D827" s="8"/>
      <c r="E827" s="8"/>
      <c r="F827" s="8"/>
      <c r="G827" s="8"/>
      <c r="H827" s="8"/>
      <c r="I827" s="23"/>
      <c r="J827" s="24"/>
    </row>
    <row r="828" customFormat="false" ht="15" hidden="false" customHeight="false" outlineLevel="0" collapsed="false">
      <c r="B828" s="9" t="s">
        <v>96</v>
      </c>
      <c r="C828" s="8" t="s">
        <v>92</v>
      </c>
      <c r="D828" s="8"/>
      <c r="E828" s="8"/>
      <c r="F828" s="8"/>
      <c r="G828" s="8"/>
      <c r="H828" s="8"/>
      <c r="I828" s="23"/>
      <c r="J828" s="24" t="s">
        <v>97</v>
      </c>
    </row>
    <row r="829" customFormat="false" ht="15" hidden="false" customHeight="false" outlineLevel="0" collapsed="false">
      <c r="B829" s="9" t="s">
        <v>98</v>
      </c>
      <c r="C829" s="15" t="s">
        <v>29</v>
      </c>
      <c r="D829" s="8" t="s">
        <v>99</v>
      </c>
      <c r="E829" s="8" t="s">
        <v>99</v>
      </c>
      <c r="F829" s="8" t="s">
        <v>99</v>
      </c>
      <c r="G829" s="8" t="s">
        <v>99</v>
      </c>
      <c r="H829" s="8" t="s">
        <v>99</v>
      </c>
      <c r="I829" s="23"/>
      <c r="J829" s="24"/>
    </row>
    <row r="830" customFormat="false" ht="15" hidden="false" customHeight="false" outlineLevel="0" collapsed="false">
      <c r="B830" s="9" t="s">
        <v>100</v>
      </c>
      <c r="C830" s="8" t="s">
        <v>92</v>
      </c>
      <c r="D830" s="8"/>
      <c r="E830" s="8"/>
      <c r="F830" s="8"/>
      <c r="G830" s="8"/>
      <c r="H830" s="8"/>
      <c r="I830" s="23"/>
      <c r="J830" s="24"/>
    </row>
    <row r="831" customFormat="false" ht="15" hidden="false" customHeight="false" outlineLevel="0" collapsed="false">
      <c r="B831" s="9" t="s">
        <v>101</v>
      </c>
      <c r="C831" s="8" t="s">
        <v>92</v>
      </c>
      <c r="D831" s="8"/>
      <c r="E831" s="8"/>
      <c r="F831" s="8"/>
      <c r="G831" s="8"/>
      <c r="H831" s="8"/>
      <c r="I831" s="23"/>
      <c r="J831" s="24"/>
    </row>
    <row r="832" customFormat="false" ht="15" hidden="false" customHeight="false" outlineLevel="0" collapsed="false">
      <c r="B832" s="9" t="s">
        <v>102</v>
      </c>
      <c r="C832" s="15" t="s">
        <v>29</v>
      </c>
      <c r="D832" s="8"/>
      <c r="E832" s="8"/>
      <c r="F832" s="8"/>
      <c r="G832" s="8"/>
      <c r="H832" s="8"/>
      <c r="I832" s="23"/>
      <c r="J832" s="24"/>
    </row>
    <row r="833" customFormat="false" ht="15" hidden="false" customHeight="false" outlineLevel="0" collapsed="false">
      <c r="B833" s="9" t="s">
        <v>104</v>
      </c>
      <c r="C833" s="8" t="s">
        <v>92</v>
      </c>
      <c r="D833" s="8"/>
      <c r="E833" s="8"/>
      <c r="F833" s="8"/>
      <c r="G833" s="8"/>
      <c r="H833" s="8"/>
      <c r="I833" s="23"/>
      <c r="J833" s="24"/>
    </row>
    <row r="834" customFormat="false" ht="15" hidden="false" customHeight="false" outlineLevel="0" collapsed="false">
      <c r="B834" s="9" t="s">
        <v>105</v>
      </c>
      <c r="C834" s="8" t="s">
        <v>92</v>
      </c>
      <c r="D834" s="8"/>
      <c r="E834" s="8"/>
      <c r="F834" s="8"/>
      <c r="G834" s="8"/>
      <c r="H834" s="8"/>
      <c r="I834" s="23"/>
      <c r="J834" s="24"/>
    </row>
    <row r="835" customFormat="false" ht="15" hidden="false" customHeight="false" outlineLevel="0" collapsed="false">
      <c r="B835" s="9" t="s">
        <v>106</v>
      </c>
      <c r="C835" s="15" t="s">
        <v>29</v>
      </c>
      <c r="D835" s="8"/>
      <c r="E835" s="8"/>
      <c r="F835" s="8"/>
      <c r="G835" s="8"/>
      <c r="H835" s="8"/>
      <c r="I835" s="23"/>
      <c r="J835" s="24"/>
    </row>
    <row r="836" customFormat="false" ht="15" hidden="false" customHeight="false" outlineLevel="0" collapsed="false">
      <c r="B836" s="9" t="s">
        <v>108</v>
      </c>
      <c r="C836" s="8" t="s">
        <v>109</v>
      </c>
      <c r="D836" s="8"/>
      <c r="E836" s="8"/>
      <c r="F836" s="8"/>
      <c r="G836" s="8"/>
      <c r="H836" s="8"/>
      <c r="I836" s="23"/>
      <c r="J836" s="24" t="s">
        <v>110</v>
      </c>
    </row>
    <row r="837" customFormat="false" ht="15" hidden="false" customHeight="false" outlineLevel="0" collapsed="false">
      <c r="B837" s="9" t="s">
        <v>111</v>
      </c>
      <c r="C837" s="8" t="s">
        <v>112</v>
      </c>
      <c r="D837" s="8"/>
      <c r="E837" s="8"/>
      <c r="F837" s="8"/>
      <c r="G837" s="8"/>
      <c r="H837" s="8"/>
      <c r="I837" s="23"/>
      <c r="J837" s="24"/>
    </row>
    <row r="838" customFormat="false" ht="15" hidden="false" customHeight="false" outlineLevel="0" collapsed="false">
      <c r="B838" s="25" t="s">
        <v>113</v>
      </c>
      <c r="C838" s="26"/>
      <c r="D838" s="26"/>
      <c r="E838" s="26"/>
      <c r="F838" s="26"/>
      <c r="G838" s="26"/>
      <c r="H838" s="26"/>
      <c r="I838" s="26"/>
      <c r="J838" s="26"/>
    </row>
    <row r="839" customFormat="false" ht="15" hidden="false" customHeight="false" outlineLevel="0" collapsed="false">
      <c r="B839" s="9" t="s">
        <v>114</v>
      </c>
      <c r="C839" s="8" t="s">
        <v>92</v>
      </c>
      <c r="D839" s="8"/>
      <c r="E839" s="8"/>
      <c r="F839" s="8"/>
      <c r="G839" s="8"/>
      <c r="H839" s="8"/>
      <c r="I839" s="23"/>
      <c r="J839" s="24" t="s">
        <v>115</v>
      </c>
    </row>
    <row r="840" customFormat="false" ht="15" hidden="false" customHeight="false" outlineLevel="0" collapsed="false">
      <c r="B840" s="9" t="s">
        <v>116</v>
      </c>
      <c r="C840" s="8" t="s">
        <v>92</v>
      </c>
      <c r="D840" s="8"/>
      <c r="E840" s="8"/>
      <c r="F840" s="8"/>
      <c r="G840" s="8"/>
      <c r="H840" s="8"/>
      <c r="I840" s="23"/>
      <c r="J840" s="24" t="s">
        <v>117</v>
      </c>
    </row>
    <row r="841" customFormat="false" ht="15" hidden="false" customHeight="false" outlineLevel="0" collapsed="false">
      <c r="B841" s="9" t="s">
        <v>118</v>
      </c>
      <c r="C841" s="15" t="s">
        <v>29</v>
      </c>
      <c r="D841" s="8"/>
      <c r="E841" s="8"/>
      <c r="F841" s="8"/>
      <c r="G841" s="8"/>
      <c r="H841" s="8"/>
      <c r="I841" s="23"/>
      <c r="J841" s="24"/>
    </row>
    <row r="842" customFormat="false" ht="15" hidden="false" customHeight="false" outlineLevel="0" collapsed="false">
      <c r="B842" s="9" t="s">
        <v>119</v>
      </c>
      <c r="C842" s="8" t="s">
        <v>112</v>
      </c>
      <c r="D842" s="8"/>
      <c r="E842" s="8"/>
      <c r="F842" s="8"/>
      <c r="G842" s="8"/>
      <c r="H842" s="8"/>
      <c r="I842" s="23"/>
      <c r="J842" s="24"/>
    </row>
    <row r="843" customFormat="false" ht="15" hidden="false" customHeight="false" outlineLevel="0" collapsed="false">
      <c r="B843" s="25" t="s">
        <v>120</v>
      </c>
      <c r="C843" s="26"/>
      <c r="D843" s="26"/>
      <c r="E843" s="26"/>
      <c r="F843" s="26"/>
      <c r="G843" s="26"/>
      <c r="H843" s="26"/>
      <c r="I843" s="26"/>
      <c r="J843" s="26"/>
    </row>
    <row r="844" customFormat="false" ht="15" hidden="false" customHeight="false" outlineLevel="0" collapsed="false">
      <c r="B844" s="9" t="s">
        <v>121</v>
      </c>
      <c r="C844" s="15" t="s">
        <v>29</v>
      </c>
      <c r="D844" s="8" t="s">
        <v>122</v>
      </c>
      <c r="E844" s="8" t="s">
        <v>122</v>
      </c>
      <c r="F844" s="8" t="s">
        <v>122</v>
      </c>
      <c r="G844" s="8" t="s">
        <v>122</v>
      </c>
      <c r="H844" s="8" t="s">
        <v>122</v>
      </c>
      <c r="I844" s="23"/>
      <c r="J844" s="24"/>
    </row>
    <row r="845" customFormat="false" ht="15" hidden="false" customHeight="false" outlineLevel="0" collapsed="false">
      <c r="B845" s="9" t="s">
        <v>123</v>
      </c>
      <c r="C845" s="15" t="s">
        <v>29</v>
      </c>
      <c r="D845" s="8" t="s">
        <v>122</v>
      </c>
      <c r="E845" s="8" t="s">
        <v>122</v>
      </c>
      <c r="F845" s="8" t="s">
        <v>122</v>
      </c>
      <c r="G845" s="8" t="s">
        <v>122</v>
      </c>
      <c r="H845" s="8" t="s">
        <v>122</v>
      </c>
      <c r="I845" s="23"/>
      <c r="J845" s="24"/>
    </row>
    <row r="846" customFormat="false" ht="15" hidden="false" customHeight="false" outlineLevel="0" collapsed="false">
      <c r="B846" s="25" t="s">
        <v>124</v>
      </c>
      <c r="C846" s="26"/>
      <c r="D846" s="26"/>
      <c r="E846" s="26"/>
      <c r="F846" s="26"/>
      <c r="G846" s="26"/>
      <c r="H846" s="26"/>
      <c r="I846" s="26"/>
      <c r="J846" s="26"/>
    </row>
    <row r="847" customFormat="false" ht="15" hidden="false" customHeight="false" outlineLevel="0" collapsed="false">
      <c r="B847" s="9" t="s">
        <v>125</v>
      </c>
      <c r="C847" s="15" t="s">
        <v>92</v>
      </c>
      <c r="D847" s="27" t="str">
        <f aca="false">IF(ISNUMBER(D825),D825*INDEX(LenF,MATCH($C$825,LenU,0))*1000,IF(ISNUMBER(D828),D828*INDEX(LenF,MATCH($C$828,LenU,0))/PitchRatio*1000,""))</f>
        <v/>
      </c>
      <c r="E847" s="27" t="str">
        <f aca="false">IF(ISNUMBER(E825),E825*INDEX(LenF,MATCH($C$825,LenU,0))*1000,IF(ISNUMBER(E828),E828*INDEX(LenF,MATCH($C$828,LenU,0))/PitchRatio*1000,""))</f>
        <v/>
      </c>
      <c r="F847" s="27" t="str">
        <f aca="false">IF(ISNUMBER(F825),F825*INDEX(LenF,MATCH($C$825,LenU,0))*1000,IF(ISNUMBER(F828),F828*INDEX(LenF,MATCH($C$828,LenU,0))/PitchRatio*1000,""))</f>
        <v/>
      </c>
      <c r="G847" s="27" t="str">
        <f aca="false">IF(ISNUMBER(G825),G825*INDEX(LenF,MATCH($C$825,LenU,0))*1000,IF(ISNUMBER(G828),G828*INDEX(LenF,MATCH($C$828,LenU,0))/PitchRatio*1000,""))</f>
        <v/>
      </c>
      <c r="H847" s="27" t="str">
        <f aca="false">IF(ISNUMBER(H825),H825*INDEX(LenF,MATCH($C$825,LenU,0))*1000,IF(ISNUMBER(H828),H828*INDEX(LenF,MATCH($C$828,LenU,0))/PitchRatio*1000,""))</f>
        <v/>
      </c>
      <c r="I847" s="28"/>
      <c r="J847" s="24" t="s">
        <v>126</v>
      </c>
    </row>
    <row r="848" customFormat="false" ht="15" hidden="false" customHeight="false" outlineLevel="0" collapsed="false">
      <c r="B848" s="9" t="s">
        <v>127</v>
      </c>
      <c r="C848" s="15" t="s">
        <v>109</v>
      </c>
      <c r="D848" s="29" t="str">
        <f aca="false">IF(AND(ISNUMBER(D824),ISNUMBER(D826),ISNUMBER(D827)),D824*PI()/4*(D826*INDEX(LenF,MATCH($C$826,LenU,0)))^2*D827*INDEX(LenF,MATCH($C$827,LenU,0)),"")</f>
        <v/>
      </c>
      <c r="E848" s="29" t="str">
        <f aca="false">IF(AND(ISNUMBER(E824),ISNUMBER(E826),ISNUMBER(E827)),E824*PI()/4*(E826*INDEX(LenF,MATCH($C$826,LenU,0)))^2*E827*INDEX(LenF,MATCH($C$827,LenU,0)),"")</f>
        <v/>
      </c>
      <c r="F848" s="29" t="str">
        <f aca="false">IF(AND(ISNUMBER(F824),ISNUMBER(F826),ISNUMBER(F827)),F824*PI()/4*(F826*INDEX(LenF,MATCH($C$826,LenU,0)))^2*F827*INDEX(LenF,MATCH($C$827,LenU,0)),"")</f>
        <v/>
      </c>
      <c r="G848" s="29" t="str">
        <f aca="false">IF(AND(ISNUMBER(G824),ISNUMBER(G826),ISNUMBER(G827)),G824*PI()/4*(G826*INDEX(LenF,MATCH($C$826,LenU,0)))^2*G827*INDEX(LenF,MATCH($C$827,LenU,0)),"")</f>
        <v/>
      </c>
      <c r="H848" s="29" t="str">
        <f aca="false">IF(AND(ISNUMBER(H824),ISNUMBER(H826),ISNUMBER(H827)),H824*PI()/4*(H826*INDEX(LenF,MATCH($C$826,LenU,0)))^2*H827*INDEX(LenF,MATCH($C$827,LenU,0)),"")</f>
        <v/>
      </c>
      <c r="I848" s="30" t="str">
        <f aca="false">IF(COUNT(D848:H848)=0,"",SUM(D848:H848))</f>
        <v/>
      </c>
      <c r="J848" s="24"/>
    </row>
    <row r="849" customFormat="false" ht="15" hidden="false" customHeight="false" outlineLevel="0" collapsed="false">
      <c r="B849" s="9" t="s">
        <v>128</v>
      </c>
      <c r="C849" s="15" t="s">
        <v>109</v>
      </c>
      <c r="D849" s="29" t="n">
        <f aca="false">IF(ISNUMBER(D836),D836*INDEX(VolF,MATCH($C$836,VolU,0)),IF(ISNUMBER(D830),PI()/4*(D830*INDEX(LenF,MATCH($C$830,LenU,0)))^2*N(D831)*INDEX(LenF,MATCH($C$831,LenU,0))+IF(D832="",0,IF(D832="Conical",PI()/12*(D830*INDEX(LenF,MATCH($C$830,LenU,0)))^2*(0),INDEX(HeadK,MATCH(D832,HeadU,0))*(D830*INDEX(LenF,MATCH($C$830,LenU,0)))^3)),0)+IF(ISNUMBER(D833),PI()/4*(D833*INDEX(LenF,MATCH($C$833,LenU,0)))^2*N(D834)*INDEX(LenF,MATCH($C$834,LenU,0))+IF(D835="",0,IF(D835="Conical",PI()/12*(D833*INDEX(LenF,MATCH($C$833,LenU,0)))^2*(0),INDEX(HeadK,MATCH(D835,HeadU,0))*(D833*INDEX(LenF,MATCH($C$833,LenU,0)))^3)),0))</f>
        <v>0</v>
      </c>
      <c r="E849" s="29" t="n">
        <f aca="false">IF(ISNUMBER(E836),E836*INDEX(VolF,MATCH($C$836,VolU,0)),IF(ISNUMBER(E830),PI()/4*(E830*INDEX(LenF,MATCH($C$830,LenU,0)))^2*N(E831)*INDEX(LenF,MATCH($C$831,LenU,0))+IF(E832="",0,IF(E832="Conical",PI()/12*(E830*INDEX(LenF,MATCH($C$830,LenU,0)))^2*(0),INDEX(HeadK,MATCH(E832,HeadU,0))*(E830*INDEX(LenF,MATCH($C$830,LenU,0)))^3)),0)+IF(ISNUMBER(E833),PI()/4*(E833*INDEX(LenF,MATCH($C$833,LenU,0)))^2*N(E834)*INDEX(LenF,MATCH($C$834,LenU,0))+IF(E835="",0,IF(E835="Conical",PI()/12*(E833*INDEX(LenF,MATCH($C$833,LenU,0)))^2*(0),INDEX(HeadK,MATCH(E835,HeadU,0))*(E833*INDEX(LenF,MATCH($C$833,LenU,0)))^3)),0))</f>
        <v>0</v>
      </c>
      <c r="F849" s="29" t="n">
        <f aca="false">IF(ISNUMBER(F836),F836*INDEX(VolF,MATCH($C$836,VolU,0)),IF(ISNUMBER(F830),PI()/4*(F830*INDEX(LenF,MATCH($C$830,LenU,0)))^2*N(F831)*INDEX(LenF,MATCH($C$831,LenU,0))+IF(F832="",0,IF(F832="Conical",PI()/12*(F830*INDEX(LenF,MATCH($C$830,LenU,0)))^2*(0),INDEX(HeadK,MATCH(F832,HeadU,0))*(F830*INDEX(LenF,MATCH($C$830,LenU,0)))^3)),0)+IF(ISNUMBER(F833),PI()/4*(F833*INDEX(LenF,MATCH($C$833,LenU,0)))^2*N(F834)*INDEX(LenF,MATCH($C$834,LenU,0))+IF(F835="",0,IF(F835="Conical",PI()/12*(F833*INDEX(LenF,MATCH($C$833,LenU,0)))^2*(0),INDEX(HeadK,MATCH(F835,HeadU,0))*(F833*INDEX(LenF,MATCH($C$833,LenU,0)))^3)),0))</f>
        <v>0</v>
      </c>
      <c r="G849" s="29" t="n">
        <f aca="false">IF(ISNUMBER(G836),G836*INDEX(VolF,MATCH($C$836,VolU,0)),IF(ISNUMBER(G830),PI()/4*(G830*INDEX(LenF,MATCH($C$830,LenU,0)))^2*N(G831)*INDEX(LenF,MATCH($C$831,LenU,0))+IF(G832="",0,IF(G832="Conical",PI()/12*(G830*INDEX(LenF,MATCH($C$830,LenU,0)))^2*(0),INDEX(HeadK,MATCH(G832,HeadU,0))*(G830*INDEX(LenF,MATCH($C$830,LenU,0)))^3)),0)+IF(ISNUMBER(G833),PI()/4*(G833*INDEX(LenF,MATCH($C$833,LenU,0)))^2*N(G834)*INDEX(LenF,MATCH($C$834,LenU,0))+IF(G835="",0,IF(G835="Conical",PI()/12*(G833*INDEX(LenF,MATCH($C$833,LenU,0)))^2*(0),INDEX(HeadK,MATCH(G835,HeadU,0))*(G833*INDEX(LenF,MATCH($C$833,LenU,0)))^3)),0))</f>
        <v>0</v>
      </c>
      <c r="H849" s="29" t="n">
        <f aca="false">IF(ISNUMBER(H836),H836*INDEX(VolF,MATCH($C$836,VolU,0)),IF(ISNUMBER(H830),PI()/4*(H830*INDEX(LenF,MATCH($C$830,LenU,0)))^2*N(H831)*INDEX(LenF,MATCH($C$831,LenU,0))+IF(H832="",0,IF(H832="Conical",PI()/12*(H830*INDEX(LenF,MATCH($C$830,LenU,0)))^2*(0),INDEX(HeadK,MATCH(H832,HeadU,0))*(H830*INDEX(LenF,MATCH($C$830,LenU,0)))^3)),0)+IF(ISNUMBER(H833),PI()/4*(H833*INDEX(LenF,MATCH($C$833,LenU,0)))^2*N(H834)*INDEX(LenF,MATCH($C$834,LenU,0))+IF(H835="",0,IF(H835="Conical",PI()/12*(H833*INDEX(LenF,MATCH($C$833,LenU,0)))^2*(0),INDEX(HeadK,MATCH(H835,HeadU,0))*(H833*INDEX(LenF,MATCH($C$833,LenU,0)))^3)),0))</f>
        <v>0</v>
      </c>
      <c r="I849" s="30" t="n">
        <f aca="false">IF(COUNT(D849:H849)=0,"",SUM(D849:H849))</f>
        <v>0</v>
      </c>
      <c r="J849" s="24" t="s">
        <v>129</v>
      </c>
    </row>
    <row r="850" customFormat="false" ht="15" hidden="false" customHeight="false" outlineLevel="0" collapsed="false">
      <c r="B850" s="9" t="s">
        <v>130</v>
      </c>
      <c r="C850" s="15" t="s">
        <v>109</v>
      </c>
      <c r="D850" s="29" t="str">
        <f aca="false">IF(D848="","",D848+D849)</f>
        <v/>
      </c>
      <c r="E850" s="29" t="str">
        <f aca="false">IF(E848="","",E848+E849)</f>
        <v/>
      </c>
      <c r="F850" s="29" t="str">
        <f aca="false">IF(F848="","",F848+F849)</f>
        <v/>
      </c>
      <c r="G850" s="29" t="str">
        <f aca="false">IF(G848="","",G848+G849)</f>
        <v/>
      </c>
      <c r="H850" s="29" t="str">
        <f aca="false">IF(H848="","",H848+H849)</f>
        <v/>
      </c>
      <c r="I850" s="30" t="str">
        <f aca="false">IF(COUNT(D850:H850)=0,"",SUM(D850:H850))</f>
        <v/>
      </c>
      <c r="J850" s="24"/>
    </row>
    <row r="851" customFormat="false" ht="15" hidden="false" customHeight="false" outlineLevel="0" collapsed="false">
      <c r="B851" s="9" t="s">
        <v>131</v>
      </c>
      <c r="C851" s="15" t="s">
        <v>109</v>
      </c>
      <c r="D851" s="29" t="str">
        <f aca="false">IF(ISNUMBER(D837),D837*INDEX(WtF,MATCH($C$837,WtU,0))/WaterRho,"")</f>
        <v/>
      </c>
      <c r="E851" s="29" t="str">
        <f aca="false">IF(ISNUMBER(E837),E837*INDEX(WtF,MATCH($C$837,WtU,0))/WaterRho,"")</f>
        <v/>
      </c>
      <c r="F851" s="29" t="str">
        <f aca="false">IF(ISNUMBER(F837),F837*INDEX(WtF,MATCH($C$837,WtU,0))/WaterRho,"")</f>
        <v/>
      </c>
      <c r="G851" s="29" t="str">
        <f aca="false">IF(ISNUMBER(G837),G837*INDEX(WtF,MATCH($C$837,WtU,0))/WaterRho,"")</f>
        <v/>
      </c>
      <c r="H851" s="29" t="str">
        <f aca="false">IF(ISNUMBER(H837),H837*INDEX(WtF,MATCH($C$837,WtU,0))/WaterRho,"")</f>
        <v/>
      </c>
      <c r="I851" s="30" t="str">
        <f aca="false">IF(COUNT(D851:H851)=0,"",SUM(D851:H851))</f>
        <v/>
      </c>
      <c r="J851" s="24"/>
    </row>
    <row r="852" customFormat="false" ht="15" hidden="false" customHeight="false" outlineLevel="0" collapsed="false">
      <c r="B852" s="4" t="s">
        <v>132</v>
      </c>
      <c r="C852" s="15" t="s">
        <v>109</v>
      </c>
      <c r="D852" s="31" t="str">
        <f aca="false">IF(D844="Water weight",D851,D850)</f>
        <v/>
      </c>
      <c r="E852" s="31" t="str">
        <f aca="false">IF(E844="Water weight",E851,E850)</f>
        <v/>
      </c>
      <c r="F852" s="31" t="str">
        <f aca="false">IF(F844="Water weight",F851,F850)</f>
        <v/>
      </c>
      <c r="G852" s="31" t="str">
        <f aca="false">IF(G844="Water weight",G851,G850)</f>
        <v/>
      </c>
      <c r="H852" s="31" t="str">
        <f aca="false">IF(H844="Water weight",H851,H850)</f>
        <v/>
      </c>
      <c r="I852" s="31" t="str">
        <f aca="false">IF(COUNT(D852:H852)=0,"",SUM(D852:H852))</f>
        <v/>
      </c>
      <c r="J852" s="24"/>
      <c r="K852" s="32" t="s">
        <v>133</v>
      </c>
    </row>
    <row r="853" customFormat="false" ht="15" hidden="false" customHeight="false" outlineLevel="0" collapsed="false">
      <c r="B853" s="9" t="s">
        <v>134</v>
      </c>
      <c r="C853" s="15" t="s">
        <v>135</v>
      </c>
      <c r="D853" s="33" t="str">
        <f aca="false">IF(ISNUMBER(D839),PI()/4*(D839*INDEX(LenF,MATCH($C$839,LenU,0)))^2,IF(AND(ISNUMBER(D824),ISNUMBER(D828),D829&lt;&gt;""),D824*(D828*INDEX(LenF,MATCH($C$828,LenU,0)))^2*INDEX(LayoutF,MATCH(D829,LayoutU,0)),""))</f>
        <v/>
      </c>
      <c r="E853" s="33" t="str">
        <f aca="false">IF(ISNUMBER(E839),PI()/4*(E839*INDEX(LenF,MATCH($C$839,LenU,0)))^2,IF(AND(ISNUMBER(E824),ISNUMBER(E828),E829&lt;&gt;""),E824*(E828*INDEX(LenF,MATCH($C$828,LenU,0)))^2*INDEX(LayoutF,MATCH(E829,LayoutU,0)),""))</f>
        <v/>
      </c>
      <c r="F853" s="33" t="str">
        <f aca="false">IF(ISNUMBER(F839),PI()/4*(F839*INDEX(LenF,MATCH($C$839,LenU,0)))^2,IF(AND(ISNUMBER(F824),ISNUMBER(F828),F829&lt;&gt;""),F824*(F828*INDEX(LenF,MATCH($C$828,LenU,0)))^2*INDEX(LayoutF,MATCH(F829,LayoutU,0)),""))</f>
        <v/>
      </c>
      <c r="G853" s="33" t="str">
        <f aca="false">IF(ISNUMBER(G839),PI()/4*(G839*INDEX(LenF,MATCH($C$839,LenU,0)))^2,IF(AND(ISNUMBER(G824),ISNUMBER(G828),G829&lt;&gt;""),G824*(G828*INDEX(LenF,MATCH($C$828,LenU,0)))^2*INDEX(LayoutF,MATCH(G829,LayoutU,0)),""))</f>
        <v/>
      </c>
      <c r="H853" s="33" t="str">
        <f aca="false">IF(ISNUMBER(H839),PI()/4*(H839*INDEX(LenF,MATCH($C$839,LenU,0)))^2,IF(AND(ISNUMBER(H824),ISNUMBER(H828),H829&lt;&gt;""),H824*(H828*INDEX(LenF,MATCH($C$828,LenU,0)))^2*INDEX(LayoutF,MATCH(H829,LayoutU,0)),""))</f>
        <v/>
      </c>
      <c r="I853" s="34"/>
      <c r="J853" s="24" t="s">
        <v>136</v>
      </c>
    </row>
    <row r="854" customFormat="false" ht="15" hidden="false" customHeight="false" outlineLevel="0" collapsed="false">
      <c r="B854" s="9" t="s">
        <v>137</v>
      </c>
      <c r="C854" s="15" t="s">
        <v>109</v>
      </c>
      <c r="D854" s="29" t="str">
        <f aca="false">IF(OR(D853="",AND(NOT(ISNUMBER(D840)),NOT(ISNUMBER(D827)))),"",D853*IF(ISNUMBER(D840),D840*INDEX(LenF,MATCH($C$840,LenU,0)),D827*INDEX(LenF,MATCH($C$827,LenU,0)))+IF(D841="",0,IF(D841="Conical",PI()/12*(SQRT(4*D853/PI()))^2*(0),INDEX(HeadK,MATCH(D841,HeadU,0))*(SQRT(4*D853/PI()))^3)))</f>
        <v/>
      </c>
      <c r="E854" s="29" t="str">
        <f aca="false">IF(OR(E853="",AND(NOT(ISNUMBER(E840)),NOT(ISNUMBER(E827)))),"",E853*IF(ISNUMBER(E840),E840*INDEX(LenF,MATCH($C$840,LenU,0)),E827*INDEX(LenF,MATCH($C$827,LenU,0)))+IF(E841="",0,IF(E841="Conical",PI()/12*(SQRT(4*E853/PI()))^2*(0),INDEX(HeadK,MATCH(E841,HeadU,0))*(SQRT(4*E853/PI()))^3)))</f>
        <v/>
      </c>
      <c r="F854" s="29" t="str">
        <f aca="false">IF(OR(F853="",AND(NOT(ISNUMBER(F840)),NOT(ISNUMBER(F827)))),"",F853*IF(ISNUMBER(F840),F840*INDEX(LenF,MATCH($C$840,LenU,0)),F827*INDEX(LenF,MATCH($C$827,LenU,0)))+IF(F841="",0,IF(F841="Conical",PI()/12*(SQRT(4*F853/PI()))^2*(0),INDEX(HeadK,MATCH(F841,HeadU,0))*(SQRT(4*F853/PI()))^3)))</f>
        <v/>
      </c>
      <c r="G854" s="29" t="str">
        <f aca="false">IF(OR(G853="",AND(NOT(ISNUMBER(G840)),NOT(ISNUMBER(G827)))),"",G853*IF(ISNUMBER(G840),G840*INDEX(LenF,MATCH($C$840,LenU,0)),G827*INDEX(LenF,MATCH($C$827,LenU,0)))+IF(G841="",0,IF(G841="Conical",PI()/12*(SQRT(4*G853/PI()))^2*(0),INDEX(HeadK,MATCH(G841,HeadU,0))*(SQRT(4*G853/PI()))^3)))</f>
        <v/>
      </c>
      <c r="H854" s="29" t="str">
        <f aca="false">IF(OR(H853="",AND(NOT(ISNUMBER(H840)),NOT(ISNUMBER(H827)))),"",H853*IF(ISNUMBER(H840),H840*INDEX(LenF,MATCH($C$840,LenU,0)),H827*INDEX(LenF,MATCH($C$827,LenU,0)))+IF(H841="",0,IF(H841="Conical",PI()/12*(SQRT(4*H853/PI()))^2*(0),INDEX(HeadK,MATCH(H841,HeadU,0))*(SQRT(4*H853/PI()))^3)))</f>
        <v/>
      </c>
      <c r="I854" s="30" t="str">
        <f aca="false">IF(COUNT(D854:H854)=0,"",SUM(D854:H854))</f>
        <v/>
      </c>
      <c r="J854" s="24"/>
    </row>
    <row r="855" customFormat="false" ht="15" hidden="false" customHeight="false" outlineLevel="0" collapsed="false">
      <c r="B855" s="9" t="s">
        <v>138</v>
      </c>
      <c r="C855" s="15" t="s">
        <v>109</v>
      </c>
      <c r="D855" s="29" t="str">
        <f aca="false">IF(AND(ISNUMBER(D824),ISNUMBER(D847),ISNUMBER(D827)),D824*PI()/4*(D847/1000)^2*D827*INDEX(LenF,MATCH($C$827,LenU,0)),"")</f>
        <v/>
      </c>
      <c r="E855" s="29" t="str">
        <f aca="false">IF(AND(ISNUMBER(E824),ISNUMBER(E847),ISNUMBER(E827)),E824*PI()/4*(E847/1000)^2*E827*INDEX(LenF,MATCH($C$827,LenU,0)),"")</f>
        <v/>
      </c>
      <c r="F855" s="29" t="str">
        <f aca="false">IF(AND(ISNUMBER(F824),ISNUMBER(F847),ISNUMBER(F827)),F824*PI()/4*(F847/1000)^2*F827*INDEX(LenF,MATCH($C$827,LenU,0)),"")</f>
        <v/>
      </c>
      <c r="G855" s="29" t="str">
        <f aca="false">IF(AND(ISNUMBER(G824),ISNUMBER(G847),ISNUMBER(G827)),G824*PI()/4*(G847/1000)^2*G827*INDEX(LenF,MATCH($C$827,LenU,0)),"")</f>
        <v/>
      </c>
      <c r="H855" s="29" t="str">
        <f aca="false">IF(AND(ISNUMBER(H824),ISNUMBER(H847),ISNUMBER(H827)),H824*PI()/4*(H847/1000)^2*H827*INDEX(LenF,MATCH($C$827,LenU,0)),"")</f>
        <v/>
      </c>
      <c r="I855" s="30" t="str">
        <f aca="false">IF(COUNT(D855:H855)=0,"",SUM(D855:H855))</f>
        <v/>
      </c>
      <c r="J855" s="24"/>
    </row>
    <row r="856" customFormat="false" ht="15" hidden="false" customHeight="false" outlineLevel="0" collapsed="false">
      <c r="B856" s="9" t="s">
        <v>139</v>
      </c>
      <c r="C856" s="15" t="s">
        <v>109</v>
      </c>
      <c r="D856" s="29" t="str">
        <f aca="false">IF(OR(D854="",D855=""),"",D854-D855)</f>
        <v/>
      </c>
      <c r="E856" s="29" t="str">
        <f aca="false">IF(OR(E854="",E855=""),"",E854-E855)</f>
        <v/>
      </c>
      <c r="F856" s="29" t="str">
        <f aca="false">IF(OR(F854="",F855=""),"",F854-F855)</f>
        <v/>
      </c>
      <c r="G856" s="29" t="str">
        <f aca="false">IF(OR(G854="",G855=""),"",G854-G855)</f>
        <v/>
      </c>
      <c r="H856" s="29" t="str">
        <f aca="false">IF(OR(H854="",H855=""),"",H854-H855)</f>
        <v/>
      </c>
      <c r="I856" s="30" t="str">
        <f aca="false">IF(COUNT(D856:H856)=0,"",SUM(D856:H856))</f>
        <v/>
      </c>
      <c r="J856" s="24" t="s">
        <v>140</v>
      </c>
    </row>
    <row r="857" customFormat="false" ht="15" hidden="false" customHeight="false" outlineLevel="0" collapsed="false">
      <c r="B857" s="9" t="s">
        <v>141</v>
      </c>
      <c r="C857" s="15" t="s">
        <v>109</v>
      </c>
      <c r="D857" s="29" t="str">
        <f aca="false">IF(ISNUMBER(D842),D842*INDEX(WtF,MATCH($C$842,WtU,0))/WaterRho,"")</f>
        <v/>
      </c>
      <c r="E857" s="29" t="str">
        <f aca="false">IF(ISNUMBER(E842),E842*INDEX(WtF,MATCH($C$842,WtU,0))/WaterRho,"")</f>
        <v/>
      </c>
      <c r="F857" s="29" t="str">
        <f aca="false">IF(ISNUMBER(F842),F842*INDEX(WtF,MATCH($C$842,WtU,0))/WaterRho,"")</f>
        <v/>
      </c>
      <c r="G857" s="29" t="str">
        <f aca="false">IF(ISNUMBER(G842),G842*INDEX(WtF,MATCH($C$842,WtU,0))/WaterRho,"")</f>
        <v/>
      </c>
      <c r="H857" s="29" t="str">
        <f aca="false">IF(ISNUMBER(H842),H842*INDEX(WtF,MATCH($C$842,WtU,0))/WaterRho,"")</f>
        <v/>
      </c>
      <c r="I857" s="30" t="str">
        <f aca="false">IF(COUNT(D857:H857)=0,"",SUM(D857:H857))</f>
        <v/>
      </c>
      <c r="J857" s="24"/>
    </row>
    <row r="858" customFormat="false" ht="15" hidden="false" customHeight="false" outlineLevel="0" collapsed="false">
      <c r="B858" s="4" t="s">
        <v>142</v>
      </c>
      <c r="C858" s="15" t="s">
        <v>109</v>
      </c>
      <c r="D858" s="31" t="str">
        <f aca="false">IF(D845="Water weight",D857,D856)</f>
        <v/>
      </c>
      <c r="E858" s="31" t="str">
        <f aca="false">IF(E845="Water weight",E857,E856)</f>
        <v/>
      </c>
      <c r="F858" s="31" t="str">
        <f aca="false">IF(F845="Water weight",F857,F856)</f>
        <v/>
      </c>
      <c r="G858" s="31" t="str">
        <f aca="false">IF(G845="Water weight",G857,G856)</f>
        <v/>
      </c>
      <c r="H858" s="31" t="str">
        <f aca="false">IF(H845="Water weight",H857,H856)</f>
        <v/>
      </c>
      <c r="I858" s="31" t="str">
        <f aca="false">IF(COUNT(D858:H858)=0,"",SUM(D858:H858))</f>
        <v/>
      </c>
      <c r="J858" s="24"/>
      <c r="K858" s="32" t="s">
        <v>143</v>
      </c>
    </row>
    <row r="859" customFormat="false" ht="15" hidden="false" customHeight="false" outlineLevel="0" collapsed="false">
      <c r="B859" s="4" t="s">
        <v>144</v>
      </c>
      <c r="C859" s="15" t="s">
        <v>109</v>
      </c>
      <c r="D859" s="31" t="str">
        <f aca="false">IF(AND(D852="",D858=""),"",N(D852)+N(D858))</f>
        <v/>
      </c>
      <c r="E859" s="31" t="str">
        <f aca="false">IF(AND(E852="",E858=""),"",N(E852)+N(E858))</f>
        <v/>
      </c>
      <c r="F859" s="31" t="str">
        <f aca="false">IF(AND(F852="",F858=""),"",N(F852)+N(F858))</f>
        <v/>
      </c>
      <c r="G859" s="31" t="str">
        <f aca="false">IF(AND(G852="",G858=""),"",N(G852)+N(G858))</f>
        <v/>
      </c>
      <c r="H859" s="31" t="str">
        <f aca="false">IF(AND(H852="",H858=""),"",N(H852)+N(H858))</f>
        <v/>
      </c>
      <c r="I859" s="31" t="str">
        <f aca="false">IF(COUNT(D859:H859)=0,"",SUM(D859:H859))</f>
        <v/>
      </c>
      <c r="J859" s="24"/>
      <c r="K859" s="32" t="s">
        <v>145</v>
      </c>
    </row>
    <row r="860" customFormat="false" ht="15" hidden="false" customHeight="false" outlineLevel="0" collapsed="false">
      <c r="B860" s="9" t="s">
        <v>60</v>
      </c>
      <c r="C860" s="15" t="s">
        <v>146</v>
      </c>
      <c r="D860" s="35" t="str">
        <f aca="false">IF(D859="","",IF(JobType="Chemical Cleaning",CC_HX,INDEX(DecFill,MATCH("Exchanger",DecTypeU,0))))</f>
        <v/>
      </c>
      <c r="E860" s="35" t="str">
        <f aca="false">IF(E859="","",IF(JobType="Chemical Cleaning",CC_HX,INDEX(DecFill,MATCH("Exchanger",DecTypeU,0))))</f>
        <v/>
      </c>
      <c r="F860" s="35" t="str">
        <f aca="false">IF(F859="","",IF(JobType="Chemical Cleaning",CC_HX,INDEX(DecFill,MATCH("Exchanger",DecTypeU,0))))</f>
        <v/>
      </c>
      <c r="G860" s="35" t="str">
        <f aca="false">IF(G859="","",IF(JobType="Chemical Cleaning",CC_HX,INDEX(DecFill,MATCH("Exchanger",DecTypeU,0))))</f>
        <v/>
      </c>
      <c r="H860" s="35" t="str">
        <f aca="false">IF(H859="","",IF(JobType="Chemical Cleaning",CC_HX,INDEX(DecFill,MATCH("Exchanger",DecTypeU,0))))</f>
        <v/>
      </c>
      <c r="I860" s="36"/>
      <c r="J860" s="24" t="s">
        <v>147</v>
      </c>
    </row>
    <row r="861" customFormat="false" ht="15" hidden="false" customHeight="false" outlineLevel="0" collapsed="false">
      <c r="B861" s="4" t="s">
        <v>148</v>
      </c>
      <c r="C861" s="15" t="s">
        <v>109</v>
      </c>
      <c r="D861" s="31" t="str">
        <f aca="false">IF(OR(D859="",D860=""),"",D859*D860)</f>
        <v/>
      </c>
      <c r="E861" s="31" t="str">
        <f aca="false">IF(OR(E859="",E860=""),"",E859*E860)</f>
        <v/>
      </c>
      <c r="F861" s="31" t="str">
        <f aca="false">IF(OR(F859="",F860=""),"",F859*F860)</f>
        <v/>
      </c>
      <c r="G861" s="31" t="str">
        <f aca="false">IF(OR(G859="",G860=""),"",G859*G860)</f>
        <v/>
      </c>
      <c r="H861" s="31" t="str">
        <f aca="false">IF(OR(H859="",H860=""),"",H859*H860)</f>
        <v/>
      </c>
      <c r="I861" s="31" t="str">
        <f aca="false">IF(COUNT(D861:H861)=0,"",SUM(D861:H861))</f>
        <v/>
      </c>
      <c r="J861" s="24"/>
      <c r="K861" s="32" t="s">
        <v>149</v>
      </c>
    </row>
    <row r="862" customFormat="false" ht="15" hidden="false" customHeight="false" outlineLevel="0" collapsed="false">
      <c r="B862" s="9" t="s">
        <v>150</v>
      </c>
      <c r="C862" s="15" t="s">
        <v>32</v>
      </c>
      <c r="D862" s="37" t="str">
        <f aca="false">IF(OR(JobType&lt;&gt;"Decontamination",D861=""),"",D861*INDEX(DecChem,MATCH("Exchanger",DecTypeU,0))*1000)</f>
        <v/>
      </c>
      <c r="E862" s="37" t="str">
        <f aca="false">IF(OR(JobType&lt;&gt;"Decontamination",E861=""),"",E861*INDEX(DecChem,MATCH("Exchanger",DecTypeU,0))*1000)</f>
        <v/>
      </c>
      <c r="F862" s="37" t="str">
        <f aca="false">IF(OR(JobType&lt;&gt;"Decontamination",F861=""),"",F861*INDEX(DecChem,MATCH("Exchanger",DecTypeU,0))*1000)</f>
        <v/>
      </c>
      <c r="G862" s="37" t="str">
        <f aca="false">IF(OR(JobType&lt;&gt;"Decontamination",G861=""),"",G861*INDEX(DecChem,MATCH("Exchanger",DecTypeU,0))*1000)</f>
        <v/>
      </c>
      <c r="H862" s="37" t="str">
        <f aca="false">IF(OR(JobType&lt;&gt;"Decontamination",H861=""),"",H861*INDEX(DecChem,MATCH("Exchanger",DecTypeU,0))*1000)</f>
        <v/>
      </c>
      <c r="I862" s="38" t="str">
        <f aca="false">IF(COUNT(D862:H862)=0,"",SUM(D862:H862))</f>
        <v/>
      </c>
      <c r="J862" s="24" t="s">
        <v>151</v>
      </c>
      <c r="K862" s="32" t="s">
        <v>152</v>
      </c>
    </row>
    <row r="864" customFormat="false" ht="15" hidden="false" customHeight="false" outlineLevel="0" collapsed="false">
      <c r="A864" s="20" t="n">
        <v>20</v>
      </c>
      <c r="B864" s="21" t="s">
        <v>171</v>
      </c>
      <c r="C864" s="22"/>
      <c r="D864" s="22"/>
      <c r="E864" s="22"/>
      <c r="F864" s="22"/>
      <c r="G864" s="22"/>
      <c r="H864" s="22"/>
      <c r="I864" s="22"/>
      <c r="J864" s="22"/>
    </row>
    <row r="865" customFormat="false" ht="15" hidden="false" customHeight="false" outlineLevel="0" collapsed="false">
      <c r="B865" s="9" t="s">
        <v>83</v>
      </c>
      <c r="C865" s="15" t="s">
        <v>29</v>
      </c>
      <c r="D865" s="8"/>
      <c r="E865" s="8"/>
      <c r="F865" s="8"/>
      <c r="G865" s="8"/>
      <c r="H865" s="8"/>
      <c r="I865" s="23"/>
      <c r="J865" s="24"/>
    </row>
    <row r="866" customFormat="false" ht="15" hidden="false" customHeight="false" outlineLevel="0" collapsed="false">
      <c r="B866" s="9" t="s">
        <v>86</v>
      </c>
      <c r="C866" s="15" t="s">
        <v>29</v>
      </c>
      <c r="D866" s="8"/>
      <c r="E866" s="8"/>
      <c r="F866" s="8"/>
      <c r="G866" s="8"/>
      <c r="H866" s="8"/>
      <c r="I866" s="23"/>
      <c r="J866" s="24"/>
    </row>
    <row r="867" customFormat="false" ht="15" hidden="false" customHeight="false" outlineLevel="0" collapsed="false">
      <c r="B867" s="9" t="s">
        <v>87</v>
      </c>
      <c r="C867" s="15" t="s">
        <v>29</v>
      </c>
      <c r="D867" s="8"/>
      <c r="E867" s="8"/>
      <c r="F867" s="8"/>
      <c r="G867" s="8"/>
      <c r="H867" s="8"/>
      <c r="I867" s="23"/>
      <c r="J867" s="24"/>
    </row>
    <row r="868" customFormat="false" ht="15" hidden="false" customHeight="false" outlineLevel="0" collapsed="false">
      <c r="B868" s="25" t="s">
        <v>88</v>
      </c>
      <c r="C868" s="26"/>
      <c r="D868" s="26"/>
      <c r="E868" s="26"/>
      <c r="F868" s="26"/>
      <c r="G868" s="26"/>
      <c r="H868" s="26"/>
      <c r="I868" s="26"/>
      <c r="J868" s="26"/>
    </row>
    <row r="869" customFormat="false" ht="15" hidden="false" customHeight="false" outlineLevel="0" collapsed="false">
      <c r="B869" s="9" t="s">
        <v>89</v>
      </c>
      <c r="C869" s="15" t="s">
        <v>90</v>
      </c>
      <c r="D869" s="8"/>
      <c r="E869" s="8"/>
      <c r="F869" s="8"/>
      <c r="G869" s="8"/>
      <c r="H869" s="8"/>
      <c r="I869" s="23"/>
      <c r="J869" s="24"/>
    </row>
    <row r="870" customFormat="false" ht="15" hidden="false" customHeight="false" outlineLevel="0" collapsed="false">
      <c r="B870" s="9" t="s">
        <v>91</v>
      </c>
      <c r="C870" s="8" t="s">
        <v>92</v>
      </c>
      <c r="D870" s="8"/>
      <c r="E870" s="8"/>
      <c r="F870" s="8"/>
      <c r="G870" s="8"/>
      <c r="H870" s="8"/>
      <c r="I870" s="23"/>
      <c r="J870" s="24" t="s">
        <v>93</v>
      </c>
    </row>
    <row r="871" customFormat="false" ht="15" hidden="false" customHeight="false" outlineLevel="0" collapsed="false">
      <c r="B871" s="9" t="s">
        <v>94</v>
      </c>
      <c r="C871" s="8" t="s">
        <v>92</v>
      </c>
      <c r="D871" s="8"/>
      <c r="E871" s="8"/>
      <c r="F871" s="8"/>
      <c r="G871" s="8"/>
      <c r="H871" s="8"/>
      <c r="I871" s="23"/>
      <c r="J871" s="24"/>
    </row>
    <row r="872" customFormat="false" ht="15" hidden="false" customHeight="false" outlineLevel="0" collapsed="false">
      <c r="B872" s="9" t="s">
        <v>95</v>
      </c>
      <c r="C872" s="8" t="s">
        <v>92</v>
      </c>
      <c r="D872" s="8"/>
      <c r="E872" s="8"/>
      <c r="F872" s="8"/>
      <c r="G872" s="8"/>
      <c r="H872" s="8"/>
      <c r="I872" s="23"/>
      <c r="J872" s="24"/>
    </row>
    <row r="873" customFormat="false" ht="15" hidden="false" customHeight="false" outlineLevel="0" collapsed="false">
      <c r="B873" s="9" t="s">
        <v>96</v>
      </c>
      <c r="C873" s="8" t="s">
        <v>92</v>
      </c>
      <c r="D873" s="8"/>
      <c r="E873" s="8"/>
      <c r="F873" s="8"/>
      <c r="G873" s="8"/>
      <c r="H873" s="8"/>
      <c r="I873" s="23"/>
      <c r="J873" s="24" t="s">
        <v>97</v>
      </c>
    </row>
    <row r="874" customFormat="false" ht="15" hidden="false" customHeight="false" outlineLevel="0" collapsed="false">
      <c r="B874" s="9" t="s">
        <v>98</v>
      </c>
      <c r="C874" s="15" t="s">
        <v>29</v>
      </c>
      <c r="D874" s="8" t="s">
        <v>99</v>
      </c>
      <c r="E874" s="8" t="s">
        <v>99</v>
      </c>
      <c r="F874" s="8" t="s">
        <v>99</v>
      </c>
      <c r="G874" s="8" t="s">
        <v>99</v>
      </c>
      <c r="H874" s="8" t="s">
        <v>99</v>
      </c>
      <c r="I874" s="23"/>
      <c r="J874" s="24"/>
    </row>
    <row r="875" customFormat="false" ht="15" hidden="false" customHeight="false" outlineLevel="0" collapsed="false">
      <c r="B875" s="9" t="s">
        <v>100</v>
      </c>
      <c r="C875" s="8" t="s">
        <v>92</v>
      </c>
      <c r="D875" s="8"/>
      <c r="E875" s="8"/>
      <c r="F875" s="8"/>
      <c r="G875" s="8"/>
      <c r="H875" s="8"/>
      <c r="I875" s="23"/>
      <c r="J875" s="24"/>
    </row>
    <row r="876" customFormat="false" ht="15" hidden="false" customHeight="false" outlineLevel="0" collapsed="false">
      <c r="B876" s="9" t="s">
        <v>101</v>
      </c>
      <c r="C876" s="8" t="s">
        <v>92</v>
      </c>
      <c r="D876" s="8"/>
      <c r="E876" s="8"/>
      <c r="F876" s="8"/>
      <c r="G876" s="8"/>
      <c r="H876" s="8"/>
      <c r="I876" s="23"/>
      <c r="J876" s="24"/>
    </row>
    <row r="877" customFormat="false" ht="15" hidden="false" customHeight="false" outlineLevel="0" collapsed="false">
      <c r="B877" s="9" t="s">
        <v>102</v>
      </c>
      <c r="C877" s="15" t="s">
        <v>29</v>
      </c>
      <c r="D877" s="8"/>
      <c r="E877" s="8"/>
      <c r="F877" s="8"/>
      <c r="G877" s="8"/>
      <c r="H877" s="8"/>
      <c r="I877" s="23"/>
      <c r="J877" s="24"/>
    </row>
    <row r="878" customFormat="false" ht="15" hidden="false" customHeight="false" outlineLevel="0" collapsed="false">
      <c r="B878" s="9" t="s">
        <v>104</v>
      </c>
      <c r="C878" s="8" t="s">
        <v>92</v>
      </c>
      <c r="D878" s="8"/>
      <c r="E878" s="8"/>
      <c r="F878" s="8"/>
      <c r="G878" s="8"/>
      <c r="H878" s="8"/>
      <c r="I878" s="23"/>
      <c r="J878" s="24"/>
    </row>
    <row r="879" customFormat="false" ht="15" hidden="false" customHeight="false" outlineLevel="0" collapsed="false">
      <c r="B879" s="9" t="s">
        <v>105</v>
      </c>
      <c r="C879" s="8" t="s">
        <v>92</v>
      </c>
      <c r="D879" s="8"/>
      <c r="E879" s="8"/>
      <c r="F879" s="8"/>
      <c r="G879" s="8"/>
      <c r="H879" s="8"/>
      <c r="I879" s="23"/>
      <c r="J879" s="24"/>
    </row>
    <row r="880" customFormat="false" ht="15" hidden="false" customHeight="false" outlineLevel="0" collapsed="false">
      <c r="B880" s="9" t="s">
        <v>106</v>
      </c>
      <c r="C880" s="15" t="s">
        <v>29</v>
      </c>
      <c r="D880" s="8"/>
      <c r="E880" s="8"/>
      <c r="F880" s="8"/>
      <c r="G880" s="8"/>
      <c r="H880" s="8"/>
      <c r="I880" s="23"/>
      <c r="J880" s="24"/>
    </row>
    <row r="881" customFormat="false" ht="15" hidden="false" customHeight="false" outlineLevel="0" collapsed="false">
      <c r="B881" s="9" t="s">
        <v>108</v>
      </c>
      <c r="C881" s="8" t="s">
        <v>109</v>
      </c>
      <c r="D881" s="8"/>
      <c r="E881" s="8"/>
      <c r="F881" s="8"/>
      <c r="G881" s="8"/>
      <c r="H881" s="8"/>
      <c r="I881" s="23"/>
      <c r="J881" s="24" t="s">
        <v>110</v>
      </c>
    </row>
    <row r="882" customFormat="false" ht="15" hidden="false" customHeight="false" outlineLevel="0" collapsed="false">
      <c r="B882" s="9" t="s">
        <v>111</v>
      </c>
      <c r="C882" s="8" t="s">
        <v>112</v>
      </c>
      <c r="D882" s="8"/>
      <c r="E882" s="8"/>
      <c r="F882" s="8"/>
      <c r="G882" s="8"/>
      <c r="H882" s="8"/>
      <c r="I882" s="23"/>
      <c r="J882" s="24"/>
    </row>
    <row r="883" customFormat="false" ht="15" hidden="false" customHeight="false" outlineLevel="0" collapsed="false">
      <c r="B883" s="25" t="s">
        <v>113</v>
      </c>
      <c r="C883" s="26"/>
      <c r="D883" s="26"/>
      <c r="E883" s="26"/>
      <c r="F883" s="26"/>
      <c r="G883" s="26"/>
      <c r="H883" s="26"/>
      <c r="I883" s="26"/>
      <c r="J883" s="26"/>
    </row>
    <row r="884" customFormat="false" ht="15" hidden="false" customHeight="false" outlineLevel="0" collapsed="false">
      <c r="B884" s="9" t="s">
        <v>114</v>
      </c>
      <c r="C884" s="8" t="s">
        <v>92</v>
      </c>
      <c r="D884" s="8"/>
      <c r="E884" s="8"/>
      <c r="F884" s="8"/>
      <c r="G884" s="8"/>
      <c r="H884" s="8"/>
      <c r="I884" s="23"/>
      <c r="J884" s="24" t="s">
        <v>115</v>
      </c>
    </row>
    <row r="885" customFormat="false" ht="15" hidden="false" customHeight="false" outlineLevel="0" collapsed="false">
      <c r="B885" s="9" t="s">
        <v>116</v>
      </c>
      <c r="C885" s="8" t="s">
        <v>92</v>
      </c>
      <c r="D885" s="8"/>
      <c r="E885" s="8"/>
      <c r="F885" s="8"/>
      <c r="G885" s="8"/>
      <c r="H885" s="8"/>
      <c r="I885" s="23"/>
      <c r="J885" s="24" t="s">
        <v>117</v>
      </c>
    </row>
    <row r="886" customFormat="false" ht="15" hidden="false" customHeight="false" outlineLevel="0" collapsed="false">
      <c r="B886" s="9" t="s">
        <v>118</v>
      </c>
      <c r="C886" s="15" t="s">
        <v>29</v>
      </c>
      <c r="D886" s="8"/>
      <c r="E886" s="8"/>
      <c r="F886" s="8"/>
      <c r="G886" s="8"/>
      <c r="H886" s="8"/>
      <c r="I886" s="23"/>
      <c r="J886" s="24"/>
    </row>
    <row r="887" customFormat="false" ht="15" hidden="false" customHeight="false" outlineLevel="0" collapsed="false">
      <c r="B887" s="9" t="s">
        <v>119</v>
      </c>
      <c r="C887" s="8" t="s">
        <v>112</v>
      </c>
      <c r="D887" s="8"/>
      <c r="E887" s="8"/>
      <c r="F887" s="8"/>
      <c r="G887" s="8"/>
      <c r="H887" s="8"/>
      <c r="I887" s="23"/>
      <c r="J887" s="24"/>
    </row>
    <row r="888" customFormat="false" ht="15" hidden="false" customHeight="false" outlineLevel="0" collapsed="false">
      <c r="B888" s="25" t="s">
        <v>120</v>
      </c>
      <c r="C888" s="26"/>
      <c r="D888" s="26"/>
      <c r="E888" s="26"/>
      <c r="F888" s="26"/>
      <c r="G888" s="26"/>
      <c r="H888" s="26"/>
      <c r="I888" s="26"/>
      <c r="J888" s="26"/>
    </row>
    <row r="889" customFormat="false" ht="15" hidden="false" customHeight="false" outlineLevel="0" collapsed="false">
      <c r="B889" s="9" t="s">
        <v>121</v>
      </c>
      <c r="C889" s="15" t="s">
        <v>29</v>
      </c>
      <c r="D889" s="8" t="s">
        <v>122</v>
      </c>
      <c r="E889" s="8" t="s">
        <v>122</v>
      </c>
      <c r="F889" s="8" t="s">
        <v>122</v>
      </c>
      <c r="G889" s="8" t="s">
        <v>122</v>
      </c>
      <c r="H889" s="8" t="s">
        <v>122</v>
      </c>
      <c r="I889" s="23"/>
      <c r="J889" s="24"/>
    </row>
    <row r="890" customFormat="false" ht="15" hidden="false" customHeight="false" outlineLevel="0" collapsed="false">
      <c r="B890" s="9" t="s">
        <v>123</v>
      </c>
      <c r="C890" s="15" t="s">
        <v>29</v>
      </c>
      <c r="D890" s="8" t="s">
        <v>122</v>
      </c>
      <c r="E890" s="8" t="s">
        <v>122</v>
      </c>
      <c r="F890" s="8" t="s">
        <v>122</v>
      </c>
      <c r="G890" s="8" t="s">
        <v>122</v>
      </c>
      <c r="H890" s="8" t="s">
        <v>122</v>
      </c>
      <c r="I890" s="23"/>
      <c r="J890" s="24"/>
    </row>
    <row r="891" customFormat="false" ht="15" hidden="false" customHeight="false" outlineLevel="0" collapsed="false">
      <c r="B891" s="25" t="s">
        <v>124</v>
      </c>
      <c r="C891" s="26"/>
      <c r="D891" s="26"/>
      <c r="E891" s="26"/>
      <c r="F891" s="26"/>
      <c r="G891" s="26"/>
      <c r="H891" s="26"/>
      <c r="I891" s="26"/>
      <c r="J891" s="26"/>
    </row>
    <row r="892" customFormat="false" ht="15" hidden="false" customHeight="false" outlineLevel="0" collapsed="false">
      <c r="B892" s="9" t="s">
        <v>125</v>
      </c>
      <c r="C892" s="15" t="s">
        <v>92</v>
      </c>
      <c r="D892" s="27" t="str">
        <f aca="false">IF(ISNUMBER(D870),D870*INDEX(LenF,MATCH($C$870,LenU,0))*1000,IF(ISNUMBER(D873),D873*INDEX(LenF,MATCH($C$873,LenU,0))/PitchRatio*1000,""))</f>
        <v/>
      </c>
      <c r="E892" s="27" t="str">
        <f aca="false">IF(ISNUMBER(E870),E870*INDEX(LenF,MATCH($C$870,LenU,0))*1000,IF(ISNUMBER(E873),E873*INDEX(LenF,MATCH($C$873,LenU,0))/PitchRatio*1000,""))</f>
        <v/>
      </c>
      <c r="F892" s="27" t="str">
        <f aca="false">IF(ISNUMBER(F870),F870*INDEX(LenF,MATCH($C$870,LenU,0))*1000,IF(ISNUMBER(F873),F873*INDEX(LenF,MATCH($C$873,LenU,0))/PitchRatio*1000,""))</f>
        <v/>
      </c>
      <c r="G892" s="27" t="str">
        <f aca="false">IF(ISNUMBER(G870),G870*INDEX(LenF,MATCH($C$870,LenU,0))*1000,IF(ISNUMBER(G873),G873*INDEX(LenF,MATCH($C$873,LenU,0))/PitchRatio*1000,""))</f>
        <v/>
      </c>
      <c r="H892" s="27" t="str">
        <f aca="false">IF(ISNUMBER(H870),H870*INDEX(LenF,MATCH($C$870,LenU,0))*1000,IF(ISNUMBER(H873),H873*INDEX(LenF,MATCH($C$873,LenU,0))/PitchRatio*1000,""))</f>
        <v/>
      </c>
      <c r="I892" s="28"/>
      <c r="J892" s="24" t="s">
        <v>126</v>
      </c>
    </row>
    <row r="893" customFormat="false" ht="15" hidden="false" customHeight="false" outlineLevel="0" collapsed="false">
      <c r="B893" s="9" t="s">
        <v>127</v>
      </c>
      <c r="C893" s="15" t="s">
        <v>109</v>
      </c>
      <c r="D893" s="29" t="str">
        <f aca="false">IF(AND(ISNUMBER(D869),ISNUMBER(D871),ISNUMBER(D872)),D869*PI()/4*(D871*INDEX(LenF,MATCH($C$871,LenU,0)))^2*D872*INDEX(LenF,MATCH($C$872,LenU,0)),"")</f>
        <v/>
      </c>
      <c r="E893" s="29" t="str">
        <f aca="false">IF(AND(ISNUMBER(E869),ISNUMBER(E871),ISNUMBER(E872)),E869*PI()/4*(E871*INDEX(LenF,MATCH($C$871,LenU,0)))^2*E872*INDEX(LenF,MATCH($C$872,LenU,0)),"")</f>
        <v/>
      </c>
      <c r="F893" s="29" t="str">
        <f aca="false">IF(AND(ISNUMBER(F869),ISNUMBER(F871),ISNUMBER(F872)),F869*PI()/4*(F871*INDEX(LenF,MATCH($C$871,LenU,0)))^2*F872*INDEX(LenF,MATCH($C$872,LenU,0)),"")</f>
        <v/>
      </c>
      <c r="G893" s="29" t="str">
        <f aca="false">IF(AND(ISNUMBER(G869),ISNUMBER(G871),ISNUMBER(G872)),G869*PI()/4*(G871*INDEX(LenF,MATCH($C$871,LenU,0)))^2*G872*INDEX(LenF,MATCH($C$872,LenU,0)),"")</f>
        <v/>
      </c>
      <c r="H893" s="29" t="str">
        <f aca="false">IF(AND(ISNUMBER(H869),ISNUMBER(H871),ISNUMBER(H872)),H869*PI()/4*(H871*INDEX(LenF,MATCH($C$871,LenU,0)))^2*H872*INDEX(LenF,MATCH($C$872,LenU,0)),"")</f>
        <v/>
      </c>
      <c r="I893" s="30" t="str">
        <f aca="false">IF(COUNT(D893:H893)=0,"",SUM(D893:H893))</f>
        <v/>
      </c>
      <c r="J893" s="24"/>
    </row>
    <row r="894" customFormat="false" ht="15" hidden="false" customHeight="false" outlineLevel="0" collapsed="false">
      <c r="B894" s="9" t="s">
        <v>128</v>
      </c>
      <c r="C894" s="15" t="s">
        <v>109</v>
      </c>
      <c r="D894" s="29" t="n">
        <f aca="false">IF(ISNUMBER(D881),D881*INDEX(VolF,MATCH($C$881,VolU,0)),IF(ISNUMBER(D875),PI()/4*(D875*INDEX(LenF,MATCH($C$875,LenU,0)))^2*N(D876)*INDEX(LenF,MATCH($C$876,LenU,0))+IF(D877="",0,IF(D877="Conical",PI()/12*(D875*INDEX(LenF,MATCH($C$875,LenU,0)))^2*(0),INDEX(HeadK,MATCH(D877,HeadU,0))*(D875*INDEX(LenF,MATCH($C$875,LenU,0)))^3)),0)+IF(ISNUMBER(D878),PI()/4*(D878*INDEX(LenF,MATCH($C$878,LenU,0)))^2*N(D879)*INDEX(LenF,MATCH($C$879,LenU,0))+IF(D880="",0,IF(D880="Conical",PI()/12*(D878*INDEX(LenF,MATCH($C$878,LenU,0)))^2*(0),INDEX(HeadK,MATCH(D880,HeadU,0))*(D878*INDEX(LenF,MATCH($C$878,LenU,0)))^3)),0))</f>
        <v>0</v>
      </c>
      <c r="E894" s="29" t="n">
        <f aca="false">IF(ISNUMBER(E881),E881*INDEX(VolF,MATCH($C$881,VolU,0)),IF(ISNUMBER(E875),PI()/4*(E875*INDEX(LenF,MATCH($C$875,LenU,0)))^2*N(E876)*INDEX(LenF,MATCH($C$876,LenU,0))+IF(E877="",0,IF(E877="Conical",PI()/12*(E875*INDEX(LenF,MATCH($C$875,LenU,0)))^2*(0),INDEX(HeadK,MATCH(E877,HeadU,0))*(E875*INDEX(LenF,MATCH($C$875,LenU,0)))^3)),0)+IF(ISNUMBER(E878),PI()/4*(E878*INDEX(LenF,MATCH($C$878,LenU,0)))^2*N(E879)*INDEX(LenF,MATCH($C$879,LenU,0))+IF(E880="",0,IF(E880="Conical",PI()/12*(E878*INDEX(LenF,MATCH($C$878,LenU,0)))^2*(0),INDEX(HeadK,MATCH(E880,HeadU,0))*(E878*INDEX(LenF,MATCH($C$878,LenU,0)))^3)),0))</f>
        <v>0</v>
      </c>
      <c r="F894" s="29" t="n">
        <f aca="false">IF(ISNUMBER(F881),F881*INDEX(VolF,MATCH($C$881,VolU,0)),IF(ISNUMBER(F875),PI()/4*(F875*INDEX(LenF,MATCH($C$875,LenU,0)))^2*N(F876)*INDEX(LenF,MATCH($C$876,LenU,0))+IF(F877="",0,IF(F877="Conical",PI()/12*(F875*INDEX(LenF,MATCH($C$875,LenU,0)))^2*(0),INDEX(HeadK,MATCH(F877,HeadU,0))*(F875*INDEX(LenF,MATCH($C$875,LenU,0)))^3)),0)+IF(ISNUMBER(F878),PI()/4*(F878*INDEX(LenF,MATCH($C$878,LenU,0)))^2*N(F879)*INDEX(LenF,MATCH($C$879,LenU,0))+IF(F880="",0,IF(F880="Conical",PI()/12*(F878*INDEX(LenF,MATCH($C$878,LenU,0)))^2*(0),INDEX(HeadK,MATCH(F880,HeadU,0))*(F878*INDEX(LenF,MATCH($C$878,LenU,0)))^3)),0))</f>
        <v>0</v>
      </c>
      <c r="G894" s="29" t="n">
        <f aca="false">IF(ISNUMBER(G881),G881*INDEX(VolF,MATCH($C$881,VolU,0)),IF(ISNUMBER(G875),PI()/4*(G875*INDEX(LenF,MATCH($C$875,LenU,0)))^2*N(G876)*INDEX(LenF,MATCH($C$876,LenU,0))+IF(G877="",0,IF(G877="Conical",PI()/12*(G875*INDEX(LenF,MATCH($C$875,LenU,0)))^2*(0),INDEX(HeadK,MATCH(G877,HeadU,0))*(G875*INDEX(LenF,MATCH($C$875,LenU,0)))^3)),0)+IF(ISNUMBER(G878),PI()/4*(G878*INDEX(LenF,MATCH($C$878,LenU,0)))^2*N(G879)*INDEX(LenF,MATCH($C$879,LenU,0))+IF(G880="",0,IF(G880="Conical",PI()/12*(G878*INDEX(LenF,MATCH($C$878,LenU,0)))^2*(0),INDEX(HeadK,MATCH(G880,HeadU,0))*(G878*INDEX(LenF,MATCH($C$878,LenU,0)))^3)),0))</f>
        <v>0</v>
      </c>
      <c r="H894" s="29" t="n">
        <f aca="false">IF(ISNUMBER(H881),H881*INDEX(VolF,MATCH($C$881,VolU,0)),IF(ISNUMBER(H875),PI()/4*(H875*INDEX(LenF,MATCH($C$875,LenU,0)))^2*N(H876)*INDEX(LenF,MATCH($C$876,LenU,0))+IF(H877="",0,IF(H877="Conical",PI()/12*(H875*INDEX(LenF,MATCH($C$875,LenU,0)))^2*(0),INDEX(HeadK,MATCH(H877,HeadU,0))*(H875*INDEX(LenF,MATCH($C$875,LenU,0)))^3)),0)+IF(ISNUMBER(H878),PI()/4*(H878*INDEX(LenF,MATCH($C$878,LenU,0)))^2*N(H879)*INDEX(LenF,MATCH($C$879,LenU,0))+IF(H880="",0,IF(H880="Conical",PI()/12*(H878*INDEX(LenF,MATCH($C$878,LenU,0)))^2*(0),INDEX(HeadK,MATCH(H880,HeadU,0))*(H878*INDEX(LenF,MATCH($C$878,LenU,0)))^3)),0))</f>
        <v>0</v>
      </c>
      <c r="I894" s="30" t="n">
        <f aca="false">IF(COUNT(D894:H894)=0,"",SUM(D894:H894))</f>
        <v>0</v>
      </c>
      <c r="J894" s="24" t="s">
        <v>129</v>
      </c>
    </row>
    <row r="895" customFormat="false" ht="15" hidden="false" customHeight="false" outlineLevel="0" collapsed="false">
      <c r="B895" s="9" t="s">
        <v>130</v>
      </c>
      <c r="C895" s="15" t="s">
        <v>109</v>
      </c>
      <c r="D895" s="29" t="str">
        <f aca="false">IF(D893="","",D893+D894)</f>
        <v/>
      </c>
      <c r="E895" s="29" t="str">
        <f aca="false">IF(E893="","",E893+E894)</f>
        <v/>
      </c>
      <c r="F895" s="29" t="str">
        <f aca="false">IF(F893="","",F893+F894)</f>
        <v/>
      </c>
      <c r="G895" s="29" t="str">
        <f aca="false">IF(G893="","",G893+G894)</f>
        <v/>
      </c>
      <c r="H895" s="29" t="str">
        <f aca="false">IF(H893="","",H893+H894)</f>
        <v/>
      </c>
      <c r="I895" s="30" t="str">
        <f aca="false">IF(COUNT(D895:H895)=0,"",SUM(D895:H895))</f>
        <v/>
      </c>
      <c r="J895" s="24"/>
    </row>
    <row r="896" customFormat="false" ht="15" hidden="false" customHeight="false" outlineLevel="0" collapsed="false">
      <c r="B896" s="9" t="s">
        <v>131</v>
      </c>
      <c r="C896" s="15" t="s">
        <v>109</v>
      </c>
      <c r="D896" s="29" t="str">
        <f aca="false">IF(ISNUMBER(D882),D882*INDEX(WtF,MATCH($C$882,WtU,0))/WaterRho,"")</f>
        <v/>
      </c>
      <c r="E896" s="29" t="str">
        <f aca="false">IF(ISNUMBER(E882),E882*INDEX(WtF,MATCH($C$882,WtU,0))/WaterRho,"")</f>
        <v/>
      </c>
      <c r="F896" s="29" t="str">
        <f aca="false">IF(ISNUMBER(F882),F882*INDEX(WtF,MATCH($C$882,WtU,0))/WaterRho,"")</f>
        <v/>
      </c>
      <c r="G896" s="29" t="str">
        <f aca="false">IF(ISNUMBER(G882),G882*INDEX(WtF,MATCH($C$882,WtU,0))/WaterRho,"")</f>
        <v/>
      </c>
      <c r="H896" s="29" t="str">
        <f aca="false">IF(ISNUMBER(H882),H882*INDEX(WtF,MATCH($C$882,WtU,0))/WaterRho,"")</f>
        <v/>
      </c>
      <c r="I896" s="30" t="str">
        <f aca="false">IF(COUNT(D896:H896)=0,"",SUM(D896:H896))</f>
        <v/>
      </c>
      <c r="J896" s="24"/>
    </row>
    <row r="897" customFormat="false" ht="15" hidden="false" customHeight="false" outlineLevel="0" collapsed="false">
      <c r="B897" s="4" t="s">
        <v>132</v>
      </c>
      <c r="C897" s="15" t="s">
        <v>109</v>
      </c>
      <c r="D897" s="31" t="str">
        <f aca="false">IF(D889="Water weight",D896,D895)</f>
        <v/>
      </c>
      <c r="E897" s="31" t="str">
        <f aca="false">IF(E889="Water weight",E896,E895)</f>
        <v/>
      </c>
      <c r="F897" s="31" t="str">
        <f aca="false">IF(F889="Water weight",F896,F895)</f>
        <v/>
      </c>
      <c r="G897" s="31" t="str">
        <f aca="false">IF(G889="Water weight",G896,G895)</f>
        <v/>
      </c>
      <c r="H897" s="31" t="str">
        <f aca="false">IF(H889="Water weight",H896,H895)</f>
        <v/>
      </c>
      <c r="I897" s="31" t="str">
        <f aca="false">IF(COUNT(D897:H897)=0,"",SUM(D897:H897))</f>
        <v/>
      </c>
      <c r="J897" s="24"/>
      <c r="K897" s="32" t="s">
        <v>133</v>
      </c>
    </row>
    <row r="898" customFormat="false" ht="15" hidden="false" customHeight="false" outlineLevel="0" collapsed="false">
      <c r="B898" s="9" t="s">
        <v>134</v>
      </c>
      <c r="C898" s="15" t="s">
        <v>135</v>
      </c>
      <c r="D898" s="33" t="str">
        <f aca="false">IF(ISNUMBER(D884),PI()/4*(D884*INDEX(LenF,MATCH($C$884,LenU,0)))^2,IF(AND(ISNUMBER(D869),ISNUMBER(D873),D874&lt;&gt;""),D869*(D873*INDEX(LenF,MATCH($C$873,LenU,0)))^2*INDEX(LayoutF,MATCH(D874,LayoutU,0)),""))</f>
        <v/>
      </c>
      <c r="E898" s="33" t="str">
        <f aca="false">IF(ISNUMBER(E884),PI()/4*(E884*INDEX(LenF,MATCH($C$884,LenU,0)))^2,IF(AND(ISNUMBER(E869),ISNUMBER(E873),E874&lt;&gt;""),E869*(E873*INDEX(LenF,MATCH($C$873,LenU,0)))^2*INDEX(LayoutF,MATCH(E874,LayoutU,0)),""))</f>
        <v/>
      </c>
      <c r="F898" s="33" t="str">
        <f aca="false">IF(ISNUMBER(F884),PI()/4*(F884*INDEX(LenF,MATCH($C$884,LenU,0)))^2,IF(AND(ISNUMBER(F869),ISNUMBER(F873),F874&lt;&gt;""),F869*(F873*INDEX(LenF,MATCH($C$873,LenU,0)))^2*INDEX(LayoutF,MATCH(F874,LayoutU,0)),""))</f>
        <v/>
      </c>
      <c r="G898" s="33" t="str">
        <f aca="false">IF(ISNUMBER(G884),PI()/4*(G884*INDEX(LenF,MATCH($C$884,LenU,0)))^2,IF(AND(ISNUMBER(G869),ISNUMBER(G873),G874&lt;&gt;""),G869*(G873*INDEX(LenF,MATCH($C$873,LenU,0)))^2*INDEX(LayoutF,MATCH(G874,LayoutU,0)),""))</f>
        <v/>
      </c>
      <c r="H898" s="33" t="str">
        <f aca="false">IF(ISNUMBER(H884),PI()/4*(H884*INDEX(LenF,MATCH($C$884,LenU,0)))^2,IF(AND(ISNUMBER(H869),ISNUMBER(H873),H874&lt;&gt;""),H869*(H873*INDEX(LenF,MATCH($C$873,LenU,0)))^2*INDEX(LayoutF,MATCH(H874,LayoutU,0)),""))</f>
        <v/>
      </c>
      <c r="I898" s="34"/>
      <c r="J898" s="24" t="s">
        <v>136</v>
      </c>
    </row>
    <row r="899" customFormat="false" ht="15" hidden="false" customHeight="false" outlineLevel="0" collapsed="false">
      <c r="B899" s="9" t="s">
        <v>137</v>
      </c>
      <c r="C899" s="15" t="s">
        <v>109</v>
      </c>
      <c r="D899" s="29" t="str">
        <f aca="false">IF(OR(D898="",AND(NOT(ISNUMBER(D885)),NOT(ISNUMBER(D872)))),"",D898*IF(ISNUMBER(D885),D885*INDEX(LenF,MATCH($C$885,LenU,0)),D872*INDEX(LenF,MATCH($C$872,LenU,0)))+IF(D886="",0,IF(D886="Conical",PI()/12*(SQRT(4*D898/PI()))^2*(0),INDEX(HeadK,MATCH(D886,HeadU,0))*(SQRT(4*D898/PI()))^3)))</f>
        <v/>
      </c>
      <c r="E899" s="29" t="str">
        <f aca="false">IF(OR(E898="",AND(NOT(ISNUMBER(E885)),NOT(ISNUMBER(E872)))),"",E898*IF(ISNUMBER(E885),E885*INDEX(LenF,MATCH($C$885,LenU,0)),E872*INDEX(LenF,MATCH($C$872,LenU,0)))+IF(E886="",0,IF(E886="Conical",PI()/12*(SQRT(4*E898/PI()))^2*(0),INDEX(HeadK,MATCH(E886,HeadU,0))*(SQRT(4*E898/PI()))^3)))</f>
        <v/>
      </c>
      <c r="F899" s="29" t="str">
        <f aca="false">IF(OR(F898="",AND(NOT(ISNUMBER(F885)),NOT(ISNUMBER(F872)))),"",F898*IF(ISNUMBER(F885),F885*INDEX(LenF,MATCH($C$885,LenU,0)),F872*INDEX(LenF,MATCH($C$872,LenU,0)))+IF(F886="",0,IF(F886="Conical",PI()/12*(SQRT(4*F898/PI()))^2*(0),INDEX(HeadK,MATCH(F886,HeadU,0))*(SQRT(4*F898/PI()))^3)))</f>
        <v/>
      </c>
      <c r="G899" s="29" t="str">
        <f aca="false">IF(OR(G898="",AND(NOT(ISNUMBER(G885)),NOT(ISNUMBER(G872)))),"",G898*IF(ISNUMBER(G885),G885*INDEX(LenF,MATCH($C$885,LenU,0)),G872*INDEX(LenF,MATCH($C$872,LenU,0)))+IF(G886="",0,IF(G886="Conical",PI()/12*(SQRT(4*G898/PI()))^2*(0),INDEX(HeadK,MATCH(G886,HeadU,0))*(SQRT(4*G898/PI()))^3)))</f>
        <v/>
      </c>
      <c r="H899" s="29" t="str">
        <f aca="false">IF(OR(H898="",AND(NOT(ISNUMBER(H885)),NOT(ISNUMBER(H872)))),"",H898*IF(ISNUMBER(H885),H885*INDEX(LenF,MATCH($C$885,LenU,0)),H872*INDEX(LenF,MATCH($C$872,LenU,0)))+IF(H886="",0,IF(H886="Conical",PI()/12*(SQRT(4*H898/PI()))^2*(0),INDEX(HeadK,MATCH(H886,HeadU,0))*(SQRT(4*H898/PI()))^3)))</f>
        <v/>
      </c>
      <c r="I899" s="30" t="str">
        <f aca="false">IF(COUNT(D899:H899)=0,"",SUM(D899:H899))</f>
        <v/>
      </c>
      <c r="J899" s="24"/>
    </row>
    <row r="900" customFormat="false" ht="15" hidden="false" customHeight="false" outlineLevel="0" collapsed="false">
      <c r="B900" s="9" t="s">
        <v>138</v>
      </c>
      <c r="C900" s="15" t="s">
        <v>109</v>
      </c>
      <c r="D900" s="29" t="str">
        <f aca="false">IF(AND(ISNUMBER(D869),ISNUMBER(D892),ISNUMBER(D872)),D869*PI()/4*(D892/1000)^2*D872*INDEX(LenF,MATCH($C$872,LenU,0)),"")</f>
        <v/>
      </c>
      <c r="E900" s="29" t="str">
        <f aca="false">IF(AND(ISNUMBER(E869),ISNUMBER(E892),ISNUMBER(E872)),E869*PI()/4*(E892/1000)^2*E872*INDEX(LenF,MATCH($C$872,LenU,0)),"")</f>
        <v/>
      </c>
      <c r="F900" s="29" t="str">
        <f aca="false">IF(AND(ISNUMBER(F869),ISNUMBER(F892),ISNUMBER(F872)),F869*PI()/4*(F892/1000)^2*F872*INDEX(LenF,MATCH($C$872,LenU,0)),"")</f>
        <v/>
      </c>
      <c r="G900" s="29" t="str">
        <f aca="false">IF(AND(ISNUMBER(G869),ISNUMBER(G892),ISNUMBER(G872)),G869*PI()/4*(G892/1000)^2*G872*INDEX(LenF,MATCH($C$872,LenU,0)),"")</f>
        <v/>
      </c>
      <c r="H900" s="29" t="str">
        <f aca="false">IF(AND(ISNUMBER(H869),ISNUMBER(H892),ISNUMBER(H872)),H869*PI()/4*(H892/1000)^2*H872*INDEX(LenF,MATCH($C$872,LenU,0)),"")</f>
        <v/>
      </c>
      <c r="I900" s="30" t="str">
        <f aca="false">IF(COUNT(D900:H900)=0,"",SUM(D900:H900))</f>
        <v/>
      </c>
      <c r="J900" s="24"/>
    </row>
    <row r="901" customFormat="false" ht="15" hidden="false" customHeight="false" outlineLevel="0" collapsed="false">
      <c r="B901" s="9" t="s">
        <v>139</v>
      </c>
      <c r="C901" s="15" t="s">
        <v>109</v>
      </c>
      <c r="D901" s="29" t="str">
        <f aca="false">IF(OR(D899="",D900=""),"",D899-D900)</f>
        <v/>
      </c>
      <c r="E901" s="29" t="str">
        <f aca="false">IF(OR(E899="",E900=""),"",E899-E900)</f>
        <v/>
      </c>
      <c r="F901" s="29" t="str">
        <f aca="false">IF(OR(F899="",F900=""),"",F899-F900)</f>
        <v/>
      </c>
      <c r="G901" s="29" t="str">
        <f aca="false">IF(OR(G899="",G900=""),"",G899-G900)</f>
        <v/>
      </c>
      <c r="H901" s="29" t="str">
        <f aca="false">IF(OR(H899="",H900=""),"",H899-H900)</f>
        <v/>
      </c>
      <c r="I901" s="30" t="str">
        <f aca="false">IF(COUNT(D901:H901)=0,"",SUM(D901:H901))</f>
        <v/>
      </c>
      <c r="J901" s="24" t="s">
        <v>140</v>
      </c>
    </row>
    <row r="902" customFormat="false" ht="15" hidden="false" customHeight="false" outlineLevel="0" collapsed="false">
      <c r="B902" s="9" t="s">
        <v>141</v>
      </c>
      <c r="C902" s="15" t="s">
        <v>109</v>
      </c>
      <c r="D902" s="29" t="str">
        <f aca="false">IF(ISNUMBER(D887),D887*INDEX(WtF,MATCH($C$887,WtU,0))/WaterRho,"")</f>
        <v/>
      </c>
      <c r="E902" s="29" t="str">
        <f aca="false">IF(ISNUMBER(E887),E887*INDEX(WtF,MATCH($C$887,WtU,0))/WaterRho,"")</f>
        <v/>
      </c>
      <c r="F902" s="29" t="str">
        <f aca="false">IF(ISNUMBER(F887),F887*INDEX(WtF,MATCH($C$887,WtU,0))/WaterRho,"")</f>
        <v/>
      </c>
      <c r="G902" s="29" t="str">
        <f aca="false">IF(ISNUMBER(G887),G887*INDEX(WtF,MATCH($C$887,WtU,0))/WaterRho,"")</f>
        <v/>
      </c>
      <c r="H902" s="29" t="str">
        <f aca="false">IF(ISNUMBER(H887),H887*INDEX(WtF,MATCH($C$887,WtU,0))/WaterRho,"")</f>
        <v/>
      </c>
      <c r="I902" s="30" t="str">
        <f aca="false">IF(COUNT(D902:H902)=0,"",SUM(D902:H902))</f>
        <v/>
      </c>
      <c r="J902" s="24"/>
    </row>
    <row r="903" customFormat="false" ht="15" hidden="false" customHeight="false" outlineLevel="0" collapsed="false">
      <c r="B903" s="4" t="s">
        <v>142</v>
      </c>
      <c r="C903" s="15" t="s">
        <v>109</v>
      </c>
      <c r="D903" s="31" t="str">
        <f aca="false">IF(D890="Water weight",D902,D901)</f>
        <v/>
      </c>
      <c r="E903" s="31" t="str">
        <f aca="false">IF(E890="Water weight",E902,E901)</f>
        <v/>
      </c>
      <c r="F903" s="31" t="str">
        <f aca="false">IF(F890="Water weight",F902,F901)</f>
        <v/>
      </c>
      <c r="G903" s="31" t="str">
        <f aca="false">IF(G890="Water weight",G902,G901)</f>
        <v/>
      </c>
      <c r="H903" s="31" t="str">
        <f aca="false">IF(H890="Water weight",H902,H901)</f>
        <v/>
      </c>
      <c r="I903" s="31" t="str">
        <f aca="false">IF(COUNT(D903:H903)=0,"",SUM(D903:H903))</f>
        <v/>
      </c>
      <c r="J903" s="24"/>
      <c r="K903" s="32" t="s">
        <v>143</v>
      </c>
    </row>
    <row r="904" customFormat="false" ht="15" hidden="false" customHeight="false" outlineLevel="0" collapsed="false">
      <c r="B904" s="4" t="s">
        <v>144</v>
      </c>
      <c r="C904" s="15" t="s">
        <v>109</v>
      </c>
      <c r="D904" s="31" t="str">
        <f aca="false">IF(AND(D897="",D903=""),"",N(D897)+N(D903))</f>
        <v/>
      </c>
      <c r="E904" s="31" t="str">
        <f aca="false">IF(AND(E897="",E903=""),"",N(E897)+N(E903))</f>
        <v/>
      </c>
      <c r="F904" s="31" t="str">
        <f aca="false">IF(AND(F897="",F903=""),"",N(F897)+N(F903))</f>
        <v/>
      </c>
      <c r="G904" s="31" t="str">
        <f aca="false">IF(AND(G897="",G903=""),"",N(G897)+N(G903))</f>
        <v/>
      </c>
      <c r="H904" s="31" t="str">
        <f aca="false">IF(AND(H897="",H903=""),"",N(H897)+N(H903))</f>
        <v/>
      </c>
      <c r="I904" s="31" t="str">
        <f aca="false">IF(COUNT(D904:H904)=0,"",SUM(D904:H904))</f>
        <v/>
      </c>
      <c r="J904" s="24"/>
      <c r="K904" s="32" t="s">
        <v>145</v>
      </c>
    </row>
    <row r="905" customFormat="false" ht="15" hidden="false" customHeight="false" outlineLevel="0" collapsed="false">
      <c r="B905" s="9" t="s">
        <v>60</v>
      </c>
      <c r="C905" s="15" t="s">
        <v>146</v>
      </c>
      <c r="D905" s="35" t="str">
        <f aca="false">IF(D904="","",IF(JobType="Chemical Cleaning",CC_HX,INDEX(DecFill,MATCH("Exchanger",DecTypeU,0))))</f>
        <v/>
      </c>
      <c r="E905" s="35" t="str">
        <f aca="false">IF(E904="","",IF(JobType="Chemical Cleaning",CC_HX,INDEX(DecFill,MATCH("Exchanger",DecTypeU,0))))</f>
        <v/>
      </c>
      <c r="F905" s="35" t="str">
        <f aca="false">IF(F904="","",IF(JobType="Chemical Cleaning",CC_HX,INDEX(DecFill,MATCH("Exchanger",DecTypeU,0))))</f>
        <v/>
      </c>
      <c r="G905" s="35" t="str">
        <f aca="false">IF(G904="","",IF(JobType="Chemical Cleaning",CC_HX,INDEX(DecFill,MATCH("Exchanger",DecTypeU,0))))</f>
        <v/>
      </c>
      <c r="H905" s="35" t="str">
        <f aca="false">IF(H904="","",IF(JobType="Chemical Cleaning",CC_HX,INDEX(DecFill,MATCH("Exchanger",DecTypeU,0))))</f>
        <v/>
      </c>
      <c r="I905" s="36"/>
      <c r="J905" s="24" t="s">
        <v>147</v>
      </c>
    </row>
    <row r="906" customFormat="false" ht="15" hidden="false" customHeight="false" outlineLevel="0" collapsed="false">
      <c r="B906" s="4" t="s">
        <v>148</v>
      </c>
      <c r="C906" s="15" t="s">
        <v>109</v>
      </c>
      <c r="D906" s="31" t="str">
        <f aca="false">IF(OR(D904="",D905=""),"",D904*D905)</f>
        <v/>
      </c>
      <c r="E906" s="31" t="str">
        <f aca="false">IF(OR(E904="",E905=""),"",E904*E905)</f>
        <v/>
      </c>
      <c r="F906" s="31" t="str">
        <f aca="false">IF(OR(F904="",F905=""),"",F904*F905)</f>
        <v/>
      </c>
      <c r="G906" s="31" t="str">
        <f aca="false">IF(OR(G904="",G905=""),"",G904*G905)</f>
        <v/>
      </c>
      <c r="H906" s="31" t="str">
        <f aca="false">IF(OR(H904="",H905=""),"",H904*H905)</f>
        <v/>
      </c>
      <c r="I906" s="31" t="str">
        <f aca="false">IF(COUNT(D906:H906)=0,"",SUM(D906:H906))</f>
        <v/>
      </c>
      <c r="J906" s="24"/>
      <c r="K906" s="32" t="s">
        <v>149</v>
      </c>
    </row>
    <row r="907" customFormat="false" ht="15" hidden="false" customHeight="false" outlineLevel="0" collapsed="false">
      <c r="B907" s="9" t="s">
        <v>150</v>
      </c>
      <c r="C907" s="15" t="s">
        <v>32</v>
      </c>
      <c r="D907" s="37" t="str">
        <f aca="false">IF(OR(JobType&lt;&gt;"Decontamination",D906=""),"",D906*INDEX(DecChem,MATCH("Exchanger",DecTypeU,0))*1000)</f>
        <v/>
      </c>
      <c r="E907" s="37" t="str">
        <f aca="false">IF(OR(JobType&lt;&gt;"Decontamination",E906=""),"",E906*INDEX(DecChem,MATCH("Exchanger",DecTypeU,0))*1000)</f>
        <v/>
      </c>
      <c r="F907" s="37" t="str">
        <f aca="false">IF(OR(JobType&lt;&gt;"Decontamination",F906=""),"",F906*INDEX(DecChem,MATCH("Exchanger",DecTypeU,0))*1000)</f>
        <v/>
      </c>
      <c r="G907" s="37" t="str">
        <f aca="false">IF(OR(JobType&lt;&gt;"Decontamination",G906=""),"",G906*INDEX(DecChem,MATCH("Exchanger",DecTypeU,0))*1000)</f>
        <v/>
      </c>
      <c r="H907" s="37" t="str">
        <f aca="false">IF(OR(JobType&lt;&gt;"Decontamination",H906=""),"",H906*INDEX(DecChem,MATCH("Exchanger",DecTypeU,0))*1000)</f>
        <v/>
      </c>
      <c r="I907" s="38" t="str">
        <f aca="false">IF(COUNT(D907:H907)=0,"",SUM(D907:H907))</f>
        <v/>
      </c>
      <c r="J907" s="24" t="s">
        <v>151</v>
      </c>
      <c r="K907" s="32" t="s">
        <v>152</v>
      </c>
    </row>
    <row r="910" customFormat="false" ht="21.75" hidden="false" customHeight="true" outlineLevel="0" collapsed="false">
      <c r="A910" s="19" t="s">
        <v>172</v>
      </c>
      <c r="B910" s="19"/>
      <c r="C910" s="19"/>
      <c r="D910" s="19"/>
      <c r="E910" s="19"/>
      <c r="F910" s="19"/>
      <c r="G910" s="19"/>
      <c r="H910" s="19"/>
      <c r="I910" s="19"/>
      <c r="J910" s="19"/>
    </row>
    <row r="911" customFormat="false" ht="15" hidden="false" customHeight="false" outlineLevel="0" collapsed="false">
      <c r="A911" s="20" t="n">
        <v>1</v>
      </c>
      <c r="B911" s="21" t="s">
        <v>173</v>
      </c>
      <c r="C911" s="22"/>
      <c r="D911" s="22"/>
      <c r="E911" s="22"/>
      <c r="F911" s="22"/>
      <c r="G911" s="22"/>
      <c r="H911" s="22"/>
      <c r="I911" s="22"/>
      <c r="J911" s="22"/>
    </row>
    <row r="912" customFormat="false" ht="15" hidden="false" customHeight="false" outlineLevel="0" collapsed="false">
      <c r="B912" s="9" t="s">
        <v>83</v>
      </c>
      <c r="C912" s="15" t="s">
        <v>29</v>
      </c>
      <c r="D912" s="8" t="s">
        <v>174</v>
      </c>
      <c r="E912" s="8"/>
      <c r="F912" s="8"/>
      <c r="G912" s="8"/>
      <c r="H912" s="8"/>
      <c r="I912" s="23"/>
      <c r="J912" s="24" t="s">
        <v>85</v>
      </c>
    </row>
    <row r="913" customFormat="false" ht="15" hidden="false" customHeight="false" outlineLevel="0" collapsed="false">
      <c r="B913" s="9" t="s">
        <v>86</v>
      </c>
      <c r="C913" s="15" t="s">
        <v>29</v>
      </c>
      <c r="D913" s="8"/>
      <c r="E913" s="8"/>
      <c r="F913" s="8"/>
      <c r="G913" s="8"/>
      <c r="H913" s="8"/>
      <c r="I913" s="23"/>
      <c r="J913" s="24"/>
    </row>
    <row r="914" customFormat="false" ht="15" hidden="false" customHeight="false" outlineLevel="0" collapsed="false">
      <c r="B914" s="9" t="s">
        <v>175</v>
      </c>
      <c r="C914" s="15" t="s">
        <v>29</v>
      </c>
      <c r="D914" s="8" t="s">
        <v>52</v>
      </c>
      <c r="E914" s="8"/>
      <c r="F914" s="8"/>
      <c r="G914" s="8"/>
      <c r="H914" s="8"/>
      <c r="I914" s="23"/>
      <c r="J914" s="24" t="s">
        <v>176</v>
      </c>
    </row>
    <row r="915" customFormat="false" ht="15" hidden="false" customHeight="false" outlineLevel="0" collapsed="false">
      <c r="B915" s="25" t="s">
        <v>177</v>
      </c>
      <c r="C915" s="26"/>
      <c r="D915" s="26"/>
      <c r="E915" s="26"/>
      <c r="F915" s="26"/>
      <c r="G915" s="26"/>
      <c r="H915" s="26"/>
      <c r="I915" s="26"/>
      <c r="J915" s="26"/>
    </row>
    <row r="916" customFormat="false" ht="15" hidden="false" customHeight="false" outlineLevel="0" collapsed="false">
      <c r="B916" s="9" t="s">
        <v>178</v>
      </c>
      <c r="C916" s="8" t="s">
        <v>92</v>
      </c>
      <c r="D916" s="8" t="n">
        <v>2000</v>
      </c>
      <c r="E916" s="8"/>
      <c r="F916" s="8"/>
      <c r="G916" s="8"/>
      <c r="H916" s="8"/>
      <c r="I916" s="23"/>
      <c r="J916" s="24"/>
    </row>
    <row r="917" customFormat="false" ht="15" hidden="false" customHeight="false" outlineLevel="0" collapsed="false">
      <c r="B917" s="9" t="s">
        <v>179</v>
      </c>
      <c r="C917" s="8" t="s">
        <v>92</v>
      </c>
      <c r="D917" s="8" t="n">
        <v>6000</v>
      </c>
      <c r="E917" s="8"/>
      <c r="F917" s="8"/>
      <c r="G917" s="8"/>
      <c r="H917" s="8"/>
      <c r="I917" s="23"/>
      <c r="J917" s="24"/>
    </row>
    <row r="918" customFormat="false" ht="15" hidden="false" customHeight="false" outlineLevel="0" collapsed="false">
      <c r="B918" s="9" t="s">
        <v>180</v>
      </c>
      <c r="C918" s="15" t="s">
        <v>29</v>
      </c>
      <c r="D918" s="8" t="s">
        <v>107</v>
      </c>
      <c r="E918" s="8"/>
      <c r="F918" s="8"/>
      <c r="G918" s="8"/>
      <c r="H918" s="8"/>
      <c r="I918" s="23"/>
      <c r="J918" s="24"/>
    </row>
    <row r="919" customFormat="false" ht="15" hidden="false" customHeight="false" outlineLevel="0" collapsed="false">
      <c r="B919" s="9" t="s">
        <v>181</v>
      </c>
      <c r="C919" s="8" t="s">
        <v>92</v>
      </c>
      <c r="D919" s="8"/>
      <c r="E919" s="8"/>
      <c r="F919" s="8"/>
      <c r="G919" s="8"/>
      <c r="H919" s="8"/>
      <c r="I919" s="23"/>
      <c r="J919" s="24"/>
    </row>
    <row r="920" customFormat="false" ht="15" hidden="false" customHeight="false" outlineLevel="0" collapsed="false">
      <c r="B920" s="9" t="s">
        <v>182</v>
      </c>
      <c r="C920" s="15" t="s">
        <v>29</v>
      </c>
      <c r="D920" s="8" t="s">
        <v>107</v>
      </c>
      <c r="E920" s="8"/>
      <c r="F920" s="8"/>
      <c r="G920" s="8"/>
      <c r="H920" s="8"/>
      <c r="I920" s="23"/>
      <c r="J920" s="24"/>
    </row>
    <row r="921" customFormat="false" ht="15" hidden="false" customHeight="false" outlineLevel="0" collapsed="false">
      <c r="B921" s="9" t="s">
        <v>183</v>
      </c>
      <c r="C921" s="8" t="s">
        <v>92</v>
      </c>
      <c r="D921" s="8"/>
      <c r="E921" s="8"/>
      <c r="F921" s="8"/>
      <c r="G921" s="8"/>
      <c r="H921" s="8"/>
      <c r="I921" s="23"/>
      <c r="J921" s="24"/>
    </row>
    <row r="922" customFormat="false" ht="15" hidden="false" customHeight="false" outlineLevel="0" collapsed="false">
      <c r="B922" s="9" t="s">
        <v>184</v>
      </c>
      <c r="C922" s="8" t="s">
        <v>112</v>
      </c>
      <c r="D922" s="8"/>
      <c r="E922" s="8"/>
      <c r="F922" s="8"/>
      <c r="G922" s="8"/>
      <c r="H922" s="8"/>
      <c r="I922" s="23"/>
      <c r="J922" s="24"/>
    </row>
    <row r="923" customFormat="false" ht="15" hidden="false" customHeight="false" outlineLevel="0" collapsed="false">
      <c r="B923" s="25" t="s">
        <v>185</v>
      </c>
      <c r="C923" s="26"/>
      <c r="D923" s="26"/>
      <c r="E923" s="26"/>
      <c r="F923" s="26"/>
      <c r="G923" s="26"/>
      <c r="H923" s="26"/>
      <c r="I923" s="26"/>
      <c r="J923" s="26"/>
    </row>
    <row r="924" customFormat="false" ht="15" hidden="false" customHeight="false" outlineLevel="0" collapsed="false">
      <c r="B924" s="9" t="s">
        <v>186</v>
      </c>
      <c r="C924" s="15" t="s">
        <v>29</v>
      </c>
      <c r="D924" s="8" t="s">
        <v>122</v>
      </c>
      <c r="E924" s="8" t="s">
        <v>122</v>
      </c>
      <c r="F924" s="8" t="s">
        <v>122</v>
      </c>
      <c r="G924" s="8" t="s">
        <v>122</v>
      </c>
      <c r="H924" s="8" t="s">
        <v>122</v>
      </c>
      <c r="I924" s="23"/>
      <c r="J924" s="24"/>
    </row>
    <row r="925" customFormat="false" ht="15" hidden="false" customHeight="false" outlineLevel="0" collapsed="false">
      <c r="B925" s="9" t="s">
        <v>187</v>
      </c>
      <c r="C925" s="15" t="s">
        <v>29</v>
      </c>
      <c r="D925" s="8" t="s">
        <v>61</v>
      </c>
      <c r="E925" s="8" t="s">
        <v>61</v>
      </c>
      <c r="F925" s="8" t="s">
        <v>61</v>
      </c>
      <c r="G925" s="8" t="s">
        <v>61</v>
      </c>
      <c r="H925" s="8" t="s">
        <v>61</v>
      </c>
      <c r="I925" s="23"/>
      <c r="J925" s="24" t="s">
        <v>188</v>
      </c>
    </row>
    <row r="926" customFormat="false" ht="15" hidden="false" customHeight="false" outlineLevel="0" collapsed="false">
      <c r="B926" s="25" t="s">
        <v>124</v>
      </c>
      <c r="C926" s="26"/>
      <c r="D926" s="26"/>
      <c r="E926" s="26"/>
      <c r="F926" s="26"/>
      <c r="G926" s="26"/>
      <c r="H926" s="26"/>
      <c r="I926" s="26"/>
      <c r="J926" s="26"/>
    </row>
    <row r="927" customFormat="false" ht="15" hidden="false" customHeight="false" outlineLevel="0" collapsed="false">
      <c r="B927" s="9" t="s">
        <v>189</v>
      </c>
      <c r="C927" s="15" t="s">
        <v>109</v>
      </c>
      <c r="D927" s="29" t="n">
        <f aca="false">IF(ISNUMBER(D916),PI()/4*(D916*INDEX(LenF,MATCH($C$916,LenU,0)))^2*N(D917)*INDEX(LenF,MATCH($C$917,LenU,0)),"")</f>
        <v>18.8495559215388</v>
      </c>
      <c r="E927" s="29" t="str">
        <f aca="false">IF(ISNUMBER(E916),PI()/4*(E916*INDEX(LenF,MATCH($C$916,LenU,0)))^2*N(E917)*INDEX(LenF,MATCH($C$917,LenU,0)),"")</f>
        <v/>
      </c>
      <c r="F927" s="29" t="str">
        <f aca="false">IF(ISNUMBER(F916),PI()/4*(F916*INDEX(LenF,MATCH($C$916,LenU,0)))^2*N(F917)*INDEX(LenF,MATCH($C$917,LenU,0)),"")</f>
        <v/>
      </c>
      <c r="G927" s="29" t="str">
        <f aca="false">IF(ISNUMBER(G916),PI()/4*(G916*INDEX(LenF,MATCH($C$916,LenU,0)))^2*N(G917)*INDEX(LenF,MATCH($C$917,LenU,0)),"")</f>
        <v/>
      </c>
      <c r="H927" s="29" t="str">
        <f aca="false">IF(ISNUMBER(H916),PI()/4*(H916*INDEX(LenF,MATCH($C$916,LenU,0)))^2*N(H917)*INDEX(LenF,MATCH($C$917,LenU,0)),"")</f>
        <v/>
      </c>
      <c r="I927" s="30" t="n">
        <f aca="false">IF(COUNT(D927:H927)=0,"",SUM(D927:H927))</f>
        <v>18.8495559215388</v>
      </c>
      <c r="J927" s="24"/>
    </row>
    <row r="928" customFormat="false" ht="15" hidden="false" customHeight="false" outlineLevel="0" collapsed="false">
      <c r="B928" s="9" t="s">
        <v>190</v>
      </c>
      <c r="C928" s="15" t="s">
        <v>109</v>
      </c>
      <c r="D928" s="29" t="n">
        <f aca="false">IF(ISNUMBER(D916),IF(D918="",0,IF(D918="Conical",PI()/12*(D916*INDEX(LenF,MATCH($C$916,LenU,0)))^2*(N(D919)*INDEX(LenF,MATCH($C$919,LenU,0))),INDEX(HeadK,MATCH(D918,HeadU,0))*(D916*INDEX(LenF,MATCH($C$916,LenU,0)))^3)),"")</f>
        <v>1.0471975511966</v>
      </c>
      <c r="E928" s="29" t="str">
        <f aca="false">IF(ISNUMBER(E916),IF(E918="",0,IF(E918="Conical",PI()/12*(E916*INDEX(LenF,MATCH($C$916,LenU,0)))^2*(N(E919)*INDEX(LenF,MATCH($C$919,LenU,0))),INDEX(HeadK,MATCH(E918,HeadU,0))*(E916*INDEX(LenF,MATCH($C$916,LenU,0)))^3)),"")</f>
        <v/>
      </c>
      <c r="F928" s="29" t="str">
        <f aca="false">IF(ISNUMBER(F916),IF(F918="",0,IF(F918="Conical",PI()/12*(F916*INDEX(LenF,MATCH($C$916,LenU,0)))^2*(N(F919)*INDEX(LenF,MATCH($C$919,LenU,0))),INDEX(HeadK,MATCH(F918,HeadU,0))*(F916*INDEX(LenF,MATCH($C$916,LenU,0)))^3)),"")</f>
        <v/>
      </c>
      <c r="G928" s="29" t="str">
        <f aca="false">IF(ISNUMBER(G916),IF(G918="",0,IF(G918="Conical",PI()/12*(G916*INDEX(LenF,MATCH($C$916,LenU,0)))^2*(N(G919)*INDEX(LenF,MATCH($C$919,LenU,0))),INDEX(HeadK,MATCH(G918,HeadU,0))*(G916*INDEX(LenF,MATCH($C$916,LenU,0)))^3)),"")</f>
        <v/>
      </c>
      <c r="H928" s="29" t="str">
        <f aca="false">IF(ISNUMBER(H916),IF(H918="",0,IF(H918="Conical",PI()/12*(H916*INDEX(LenF,MATCH($C$916,LenU,0)))^2*(N(H919)*INDEX(LenF,MATCH($C$919,LenU,0))),INDEX(HeadK,MATCH(H918,HeadU,0))*(H916*INDEX(LenF,MATCH($C$916,LenU,0)))^3)),"")</f>
        <v/>
      </c>
      <c r="I928" s="30" t="n">
        <f aca="false">IF(COUNT(D928:H928)=0,"",SUM(D928:H928))</f>
        <v>1.0471975511966</v>
      </c>
      <c r="J928" s="24"/>
    </row>
    <row r="929" customFormat="false" ht="15" hidden="false" customHeight="false" outlineLevel="0" collapsed="false">
      <c r="B929" s="9" t="s">
        <v>191</v>
      </c>
      <c r="C929" s="15" t="s">
        <v>109</v>
      </c>
      <c r="D929" s="29" t="n">
        <f aca="false">IF(ISNUMBER(D916),IF(D920="",0,IF(D920="Conical",PI()/12*(D916*INDEX(LenF,MATCH($C$916,LenU,0)))^2*(N(D921)*INDEX(LenF,MATCH($C$921,LenU,0))),INDEX(HeadK,MATCH(D920,HeadU,0))*(D916*INDEX(LenF,MATCH($C$916,LenU,0)))^3)),"")</f>
        <v>1.0471975511966</v>
      </c>
      <c r="E929" s="29" t="str">
        <f aca="false">IF(ISNUMBER(E916),IF(E920="",0,IF(E920="Conical",PI()/12*(E916*INDEX(LenF,MATCH($C$916,LenU,0)))^2*(N(E921)*INDEX(LenF,MATCH($C$921,LenU,0))),INDEX(HeadK,MATCH(E920,HeadU,0))*(E916*INDEX(LenF,MATCH($C$916,LenU,0)))^3)),"")</f>
        <v/>
      </c>
      <c r="F929" s="29" t="str">
        <f aca="false">IF(ISNUMBER(F916),IF(F920="",0,IF(F920="Conical",PI()/12*(F916*INDEX(LenF,MATCH($C$916,LenU,0)))^2*(N(F921)*INDEX(LenF,MATCH($C$921,LenU,0))),INDEX(HeadK,MATCH(F920,HeadU,0))*(F916*INDEX(LenF,MATCH($C$916,LenU,0)))^3)),"")</f>
        <v/>
      </c>
      <c r="G929" s="29" t="str">
        <f aca="false">IF(ISNUMBER(G916),IF(G920="",0,IF(G920="Conical",PI()/12*(G916*INDEX(LenF,MATCH($C$916,LenU,0)))^2*(N(G921)*INDEX(LenF,MATCH($C$921,LenU,0))),INDEX(HeadK,MATCH(G920,HeadU,0))*(G916*INDEX(LenF,MATCH($C$916,LenU,0)))^3)),"")</f>
        <v/>
      </c>
      <c r="H929" s="29" t="str">
        <f aca="false">IF(ISNUMBER(H916),IF(H920="",0,IF(H920="Conical",PI()/12*(H916*INDEX(LenF,MATCH($C$916,LenU,0)))^2*(N(H921)*INDEX(LenF,MATCH($C$921,LenU,0))),INDEX(HeadK,MATCH(H920,HeadU,0))*(H916*INDEX(LenF,MATCH($C$916,LenU,0)))^3)),"")</f>
        <v/>
      </c>
      <c r="I929" s="30" t="n">
        <f aca="false">IF(COUNT(D929:H929)=0,"",SUM(D929:H929))</f>
        <v>1.0471975511966</v>
      </c>
      <c r="J929" s="24"/>
    </row>
    <row r="930" customFormat="false" ht="15" hidden="false" customHeight="false" outlineLevel="0" collapsed="false">
      <c r="B930" s="9" t="s">
        <v>192</v>
      </c>
      <c r="C930" s="15" t="s">
        <v>109</v>
      </c>
      <c r="D930" s="29" t="n">
        <f aca="false">IF(ISNUMBER(D916),D927+D928+D929,"")</f>
        <v>20.943951023932</v>
      </c>
      <c r="E930" s="29" t="str">
        <f aca="false">IF(ISNUMBER(E916),E927+E928+E929,"")</f>
        <v/>
      </c>
      <c r="F930" s="29" t="str">
        <f aca="false">IF(ISNUMBER(F916),F927+F928+F929,"")</f>
        <v/>
      </c>
      <c r="G930" s="29" t="str">
        <f aca="false">IF(ISNUMBER(G916),G927+G928+G929,"")</f>
        <v/>
      </c>
      <c r="H930" s="29" t="str">
        <f aca="false">IF(ISNUMBER(H916),H927+H928+H929,"")</f>
        <v/>
      </c>
      <c r="I930" s="30" t="n">
        <f aca="false">IF(COUNT(D930:H930)=0,"",SUM(D930:H930))</f>
        <v>20.943951023932</v>
      </c>
      <c r="J930" s="24"/>
    </row>
    <row r="931" customFormat="false" ht="15" hidden="false" customHeight="false" outlineLevel="0" collapsed="false">
      <c r="B931" s="9" t="s">
        <v>193</v>
      </c>
      <c r="C931" s="15" t="s">
        <v>109</v>
      </c>
      <c r="D931" s="29" t="str">
        <f aca="false">IF(ISNUMBER(D922),D922*INDEX(WtF,MATCH($C$922,WtU,0))/WaterRho,"")</f>
        <v/>
      </c>
      <c r="E931" s="29" t="str">
        <f aca="false">IF(ISNUMBER(E922),E922*INDEX(WtF,MATCH($C$922,WtU,0))/WaterRho,"")</f>
        <v/>
      </c>
      <c r="F931" s="29" t="str">
        <f aca="false">IF(ISNUMBER(F922),F922*INDEX(WtF,MATCH($C$922,WtU,0))/WaterRho,"")</f>
        <v/>
      </c>
      <c r="G931" s="29" t="str">
        <f aca="false">IF(ISNUMBER(G922),G922*INDEX(WtF,MATCH($C$922,WtU,0))/WaterRho,"")</f>
        <v/>
      </c>
      <c r="H931" s="29" t="str">
        <f aca="false">IF(ISNUMBER(H922),H922*INDEX(WtF,MATCH($C$922,WtU,0))/WaterRho,"")</f>
        <v/>
      </c>
      <c r="I931" s="30" t="str">
        <f aca="false">IF(COUNT(D931:H931)=0,"",SUM(D931:H931))</f>
        <v/>
      </c>
      <c r="J931" s="24"/>
    </row>
    <row r="932" customFormat="false" ht="15" hidden="false" customHeight="false" outlineLevel="0" collapsed="false">
      <c r="B932" s="4" t="s">
        <v>194</v>
      </c>
      <c r="C932" s="15" t="s">
        <v>109</v>
      </c>
      <c r="D932" s="31" t="n">
        <f aca="false">IF(D924="Water weight",D931,D930)</f>
        <v>20.943951023932</v>
      </c>
      <c r="E932" s="31" t="str">
        <f aca="false">IF(E924="Water weight",E931,E930)</f>
        <v/>
      </c>
      <c r="F932" s="31" t="str">
        <f aca="false">IF(F924="Water weight",F931,F930)</f>
        <v/>
      </c>
      <c r="G932" s="31" t="str">
        <f aca="false">IF(G924="Water weight",G931,G930)</f>
        <v/>
      </c>
      <c r="H932" s="31" t="str">
        <f aca="false">IF(H924="Water weight",H931,H930)</f>
        <v/>
      </c>
      <c r="I932" s="31" t="n">
        <f aca="false">IF(COUNT(D932:H932)=0,"",SUM(D932:H932))</f>
        <v>20.943951023932</v>
      </c>
      <c r="J932" s="24"/>
      <c r="K932" s="32" t="s">
        <v>195</v>
      </c>
      <c r="L932" s="0" t="str">
        <f aca="false">D914</f>
        <v>Vessel – Vertical</v>
      </c>
      <c r="M932" s="32" t="n">
        <f aca="false">E914</f>
        <v>0</v>
      </c>
      <c r="N932" s="32" t="n">
        <f aca="false">F914</f>
        <v>0</v>
      </c>
      <c r="O932" s="32" t="n">
        <f aca="false">G914</f>
        <v>0</v>
      </c>
      <c r="P932" s="32" t="n">
        <f aca="false">H914</f>
        <v>0</v>
      </c>
    </row>
    <row r="933" customFormat="false" ht="36" hidden="false" customHeight="true" outlineLevel="0" collapsed="false">
      <c r="B933" s="9" t="s">
        <v>196</v>
      </c>
      <c r="C933" s="15" t="s">
        <v>29</v>
      </c>
      <c r="D933" s="39" t="str">
        <f aca="false">IF(D932="","",IF(JobType="Chemical Cleaning",D925,IFERROR(INDEX(DecMeth,MATCH(D914,DecTypeU,0)),"⚠ select equipment type")))</f>
        <v>Full fill</v>
      </c>
      <c r="E933" s="39" t="str">
        <f aca="false">IF(E932="","",IF(JobType="Chemical Cleaning",E925,IFERROR(INDEX(DecMeth,MATCH(E914,DecTypeU,0)),"⚠ select equipment type")))</f>
        <v/>
      </c>
      <c r="F933" s="39" t="str">
        <f aca="false">IF(F932="","",IF(JobType="Chemical Cleaning",F925,IFERROR(INDEX(DecMeth,MATCH(F914,DecTypeU,0)),"⚠ select equipment type")))</f>
        <v/>
      </c>
      <c r="G933" s="39" t="str">
        <f aca="false">IF(G932="","",IF(JobType="Chemical Cleaning",G925,IFERROR(INDEX(DecMeth,MATCH(G914,DecTypeU,0)),"⚠ select equipment type")))</f>
        <v/>
      </c>
      <c r="H933" s="39" t="str">
        <f aca="false">IF(H932="","",IF(JobType="Chemical Cleaning",H925,IFERROR(INDEX(DecMeth,MATCH(H914,DecTypeU,0)),"⚠ select equipment type")))</f>
        <v/>
      </c>
      <c r="I933" s="40"/>
      <c r="J933" s="24"/>
    </row>
    <row r="934" customFormat="false" ht="15" hidden="false" customHeight="false" outlineLevel="0" collapsed="false">
      <c r="B934" s="9" t="s">
        <v>60</v>
      </c>
      <c r="C934" s="15" t="s">
        <v>146</v>
      </c>
      <c r="D934" s="35" t="n">
        <f aca="false">IF(D932="","",IF(JobType="Chemical Cleaning",IFERROR(INDEX(CCMethPct,MATCH(D925,CCMethU,0)),""),IFERROR(INDEX(DecFill,MATCH(D914,DecTypeU,0)),"")))</f>
        <v>1</v>
      </c>
      <c r="E934" s="35" t="str">
        <f aca="false">IF(E932="","",IF(JobType="Chemical Cleaning",IFERROR(INDEX(CCMethPct,MATCH(E925,CCMethU,0)),""),IFERROR(INDEX(DecFill,MATCH(E914,DecTypeU,0)),"")))</f>
        <v/>
      </c>
      <c r="F934" s="35" t="str">
        <f aca="false">IF(F932="","",IF(JobType="Chemical Cleaning",IFERROR(INDEX(CCMethPct,MATCH(F925,CCMethU,0)),""),IFERROR(INDEX(DecFill,MATCH(F914,DecTypeU,0)),"")))</f>
        <v/>
      </c>
      <c r="G934" s="35" t="str">
        <f aca="false">IF(G932="","",IF(JobType="Chemical Cleaning",IFERROR(INDEX(CCMethPct,MATCH(G925,CCMethU,0)),""),IFERROR(INDEX(DecFill,MATCH(G914,DecTypeU,0)),"")))</f>
        <v/>
      </c>
      <c r="H934" s="35" t="str">
        <f aca="false">IF(H932="","",IF(JobType="Chemical Cleaning",IFERROR(INDEX(CCMethPct,MATCH(H925,CCMethU,0)),""),IFERROR(INDEX(DecFill,MATCH(H914,DecTypeU,0)),"")))</f>
        <v/>
      </c>
      <c r="I934" s="36"/>
      <c r="J934" s="24" t="s">
        <v>197</v>
      </c>
    </row>
    <row r="935" customFormat="false" ht="15" hidden="false" customHeight="false" outlineLevel="0" collapsed="false">
      <c r="B935" s="4" t="s">
        <v>148</v>
      </c>
      <c r="C935" s="15" t="s">
        <v>109</v>
      </c>
      <c r="D935" s="31" t="n">
        <f aca="false">IF(OR(D932="",D934=""),"",D932*D934)</f>
        <v>20.943951023932</v>
      </c>
      <c r="E935" s="31" t="str">
        <f aca="false">IF(OR(E932="",E934=""),"",E932*E934)</f>
        <v/>
      </c>
      <c r="F935" s="31" t="str">
        <f aca="false">IF(OR(F932="",F934=""),"",F932*F934)</f>
        <v/>
      </c>
      <c r="G935" s="31" t="str">
        <f aca="false">IF(OR(G932="",G934=""),"",G932*G934)</f>
        <v/>
      </c>
      <c r="H935" s="31" t="str">
        <f aca="false">IF(OR(H932="",H934=""),"",H932*H934)</f>
        <v/>
      </c>
      <c r="I935" s="31" t="n">
        <f aca="false">IF(COUNT(D935:H935)=0,"",SUM(D935:H935))</f>
        <v>20.943951023932</v>
      </c>
      <c r="J935" s="24"/>
      <c r="K935" s="32" t="s">
        <v>198</v>
      </c>
      <c r="L935" s="0" t="str">
        <f aca="false">D914</f>
        <v>Vessel – Vertical</v>
      </c>
      <c r="M935" s="32" t="n">
        <f aca="false">E914</f>
        <v>0</v>
      </c>
      <c r="N935" s="32" t="n">
        <f aca="false">F914</f>
        <v>0</v>
      </c>
      <c r="O935" s="32" t="n">
        <f aca="false">G914</f>
        <v>0</v>
      </c>
      <c r="P935" s="32" t="n">
        <f aca="false">H914</f>
        <v>0</v>
      </c>
    </row>
    <row r="936" customFormat="false" ht="15" hidden="false" customHeight="false" outlineLevel="0" collapsed="false">
      <c r="B936" s="9" t="s">
        <v>150</v>
      </c>
      <c r="C936" s="15" t="s">
        <v>32</v>
      </c>
      <c r="D936" s="37" t="str">
        <f aca="false">IF(OR(JobType&lt;&gt;"Decontamination",D935=""),"",IFERROR(D935*INDEX(DecChem,MATCH(D914,DecTypeU,0))*1000,""))</f>
        <v/>
      </c>
      <c r="E936" s="37" t="str">
        <f aca="false">IF(OR(JobType&lt;&gt;"Decontamination",E935=""),"",IFERROR(E935*INDEX(DecChem,MATCH(E914,DecTypeU,0))*1000,""))</f>
        <v/>
      </c>
      <c r="F936" s="37" t="str">
        <f aca="false">IF(OR(JobType&lt;&gt;"Decontamination",F935=""),"",IFERROR(F935*INDEX(DecChem,MATCH(F914,DecTypeU,0))*1000,""))</f>
        <v/>
      </c>
      <c r="G936" s="37" t="str">
        <f aca="false">IF(OR(JobType&lt;&gt;"Decontamination",G935=""),"",IFERROR(G935*INDEX(DecChem,MATCH(G914,DecTypeU,0))*1000,""))</f>
        <v/>
      </c>
      <c r="H936" s="37" t="str">
        <f aca="false">IF(OR(JobType&lt;&gt;"Decontamination",H935=""),"",IFERROR(H935*INDEX(DecChem,MATCH(H914,DecTypeU,0))*1000,""))</f>
        <v/>
      </c>
      <c r="I936" s="38" t="str">
        <f aca="false">IF(COUNT(D936:H936)=0,"",SUM(D936:H936))</f>
        <v/>
      </c>
      <c r="J936" s="24" t="s">
        <v>199</v>
      </c>
      <c r="K936" s="32" t="s">
        <v>200</v>
      </c>
      <c r="L936" s="0" t="str">
        <f aca="false">D914</f>
        <v>Vessel – Vertical</v>
      </c>
      <c r="M936" s="32" t="n">
        <f aca="false">E914</f>
        <v>0</v>
      </c>
      <c r="N936" s="32" t="n">
        <f aca="false">F914</f>
        <v>0</v>
      </c>
      <c r="O936" s="32" t="n">
        <f aca="false">G914</f>
        <v>0</v>
      </c>
      <c r="P936" s="32" t="n">
        <f aca="false">H914</f>
        <v>0</v>
      </c>
    </row>
    <row r="938" customFormat="false" ht="15" hidden="false" customHeight="false" outlineLevel="0" collapsed="false">
      <c r="A938" s="20" t="n">
        <v>2</v>
      </c>
      <c r="B938" s="21" t="s">
        <v>201</v>
      </c>
      <c r="C938" s="22"/>
      <c r="D938" s="22"/>
      <c r="E938" s="22"/>
      <c r="F938" s="22"/>
      <c r="G938" s="22"/>
      <c r="H938" s="22"/>
      <c r="I938" s="22"/>
      <c r="J938" s="22"/>
    </row>
    <row r="939" customFormat="false" ht="15" hidden="false" customHeight="false" outlineLevel="0" collapsed="false">
      <c r="B939" s="9" t="s">
        <v>83</v>
      </c>
      <c r="C939" s="15" t="s">
        <v>29</v>
      </c>
      <c r="D939" s="8"/>
      <c r="E939" s="8"/>
      <c r="F939" s="8"/>
      <c r="G939" s="8"/>
      <c r="H939" s="8"/>
      <c r="I939" s="23"/>
      <c r="J939" s="24"/>
    </row>
    <row r="940" customFormat="false" ht="15" hidden="false" customHeight="false" outlineLevel="0" collapsed="false">
      <c r="B940" s="9" t="s">
        <v>86</v>
      </c>
      <c r="C940" s="15" t="s">
        <v>29</v>
      </c>
      <c r="D940" s="8"/>
      <c r="E940" s="8"/>
      <c r="F940" s="8"/>
      <c r="G940" s="8"/>
      <c r="H940" s="8"/>
      <c r="I940" s="23"/>
      <c r="J940" s="24"/>
    </row>
    <row r="941" customFormat="false" ht="15" hidden="false" customHeight="false" outlineLevel="0" collapsed="false">
      <c r="B941" s="9" t="s">
        <v>175</v>
      </c>
      <c r="C941" s="15" t="s">
        <v>29</v>
      </c>
      <c r="D941" s="8"/>
      <c r="E941" s="8"/>
      <c r="F941" s="8"/>
      <c r="G941" s="8"/>
      <c r="H941" s="8"/>
      <c r="I941" s="23"/>
      <c r="J941" s="24" t="s">
        <v>176</v>
      </c>
    </row>
    <row r="942" customFormat="false" ht="15" hidden="false" customHeight="false" outlineLevel="0" collapsed="false">
      <c r="B942" s="25" t="s">
        <v>177</v>
      </c>
      <c r="C942" s="26"/>
      <c r="D942" s="26"/>
      <c r="E942" s="26"/>
      <c r="F942" s="26"/>
      <c r="G942" s="26"/>
      <c r="H942" s="26"/>
      <c r="I942" s="26"/>
      <c r="J942" s="26"/>
    </row>
    <row r="943" customFormat="false" ht="15" hidden="false" customHeight="false" outlineLevel="0" collapsed="false">
      <c r="B943" s="9" t="s">
        <v>178</v>
      </c>
      <c r="C943" s="8" t="s">
        <v>92</v>
      </c>
      <c r="D943" s="8"/>
      <c r="E943" s="8"/>
      <c r="F943" s="8"/>
      <c r="G943" s="8"/>
      <c r="H943" s="8"/>
      <c r="I943" s="23"/>
      <c r="J943" s="24"/>
    </row>
    <row r="944" customFormat="false" ht="15" hidden="false" customHeight="false" outlineLevel="0" collapsed="false">
      <c r="B944" s="9" t="s">
        <v>179</v>
      </c>
      <c r="C944" s="8" t="s">
        <v>92</v>
      </c>
      <c r="D944" s="8"/>
      <c r="E944" s="8"/>
      <c r="F944" s="8"/>
      <c r="G944" s="8"/>
      <c r="H944" s="8"/>
      <c r="I944" s="23"/>
      <c r="J944" s="24"/>
    </row>
    <row r="945" customFormat="false" ht="15" hidden="false" customHeight="false" outlineLevel="0" collapsed="false">
      <c r="B945" s="9" t="s">
        <v>180</v>
      </c>
      <c r="C945" s="15" t="s">
        <v>29</v>
      </c>
      <c r="D945" s="8"/>
      <c r="E945" s="8"/>
      <c r="F945" s="8"/>
      <c r="G945" s="8"/>
      <c r="H945" s="8"/>
      <c r="I945" s="23"/>
      <c r="J945" s="24"/>
    </row>
    <row r="946" customFormat="false" ht="15" hidden="false" customHeight="false" outlineLevel="0" collapsed="false">
      <c r="B946" s="9" t="s">
        <v>181</v>
      </c>
      <c r="C946" s="8" t="s">
        <v>92</v>
      </c>
      <c r="D946" s="8"/>
      <c r="E946" s="8"/>
      <c r="F946" s="8"/>
      <c r="G946" s="8"/>
      <c r="H946" s="8"/>
      <c r="I946" s="23"/>
      <c r="J946" s="24"/>
    </row>
    <row r="947" customFormat="false" ht="15" hidden="false" customHeight="false" outlineLevel="0" collapsed="false">
      <c r="B947" s="9" t="s">
        <v>182</v>
      </c>
      <c r="C947" s="15" t="s">
        <v>29</v>
      </c>
      <c r="D947" s="8"/>
      <c r="E947" s="8"/>
      <c r="F947" s="8"/>
      <c r="G947" s="8"/>
      <c r="H947" s="8"/>
      <c r="I947" s="23"/>
      <c r="J947" s="24"/>
    </row>
    <row r="948" customFormat="false" ht="15" hidden="false" customHeight="false" outlineLevel="0" collapsed="false">
      <c r="B948" s="9" t="s">
        <v>183</v>
      </c>
      <c r="C948" s="8" t="s">
        <v>92</v>
      </c>
      <c r="D948" s="8"/>
      <c r="E948" s="8"/>
      <c r="F948" s="8"/>
      <c r="G948" s="8"/>
      <c r="H948" s="8"/>
      <c r="I948" s="23"/>
      <c r="J948" s="24"/>
    </row>
    <row r="949" customFormat="false" ht="15" hidden="false" customHeight="false" outlineLevel="0" collapsed="false">
      <c r="B949" s="9" t="s">
        <v>184</v>
      </c>
      <c r="C949" s="8" t="s">
        <v>112</v>
      </c>
      <c r="D949" s="8"/>
      <c r="E949" s="8"/>
      <c r="F949" s="8"/>
      <c r="G949" s="8"/>
      <c r="H949" s="8"/>
      <c r="I949" s="23"/>
      <c r="J949" s="24"/>
    </row>
    <row r="950" customFormat="false" ht="15" hidden="false" customHeight="false" outlineLevel="0" collapsed="false">
      <c r="B950" s="25" t="s">
        <v>185</v>
      </c>
      <c r="C950" s="26"/>
      <c r="D950" s="26"/>
      <c r="E950" s="26"/>
      <c r="F950" s="26"/>
      <c r="G950" s="26"/>
      <c r="H950" s="26"/>
      <c r="I950" s="26"/>
      <c r="J950" s="26"/>
    </row>
    <row r="951" customFormat="false" ht="15" hidden="false" customHeight="false" outlineLevel="0" collapsed="false">
      <c r="B951" s="9" t="s">
        <v>186</v>
      </c>
      <c r="C951" s="15" t="s">
        <v>29</v>
      </c>
      <c r="D951" s="8" t="s">
        <v>122</v>
      </c>
      <c r="E951" s="8" t="s">
        <v>122</v>
      </c>
      <c r="F951" s="8" t="s">
        <v>122</v>
      </c>
      <c r="G951" s="8" t="s">
        <v>122</v>
      </c>
      <c r="H951" s="8" t="s">
        <v>122</v>
      </c>
      <c r="I951" s="23"/>
      <c r="J951" s="24"/>
    </row>
    <row r="952" customFormat="false" ht="15" hidden="false" customHeight="false" outlineLevel="0" collapsed="false">
      <c r="B952" s="9" t="s">
        <v>187</v>
      </c>
      <c r="C952" s="15" t="s">
        <v>29</v>
      </c>
      <c r="D952" s="8" t="s">
        <v>61</v>
      </c>
      <c r="E952" s="8" t="s">
        <v>61</v>
      </c>
      <c r="F952" s="8" t="s">
        <v>61</v>
      </c>
      <c r="G952" s="8" t="s">
        <v>61</v>
      </c>
      <c r="H952" s="8" t="s">
        <v>61</v>
      </c>
      <c r="I952" s="23"/>
      <c r="J952" s="24" t="s">
        <v>188</v>
      </c>
    </row>
    <row r="953" customFormat="false" ht="15" hidden="false" customHeight="false" outlineLevel="0" collapsed="false">
      <c r="B953" s="25" t="s">
        <v>124</v>
      </c>
      <c r="C953" s="26"/>
      <c r="D953" s="26"/>
      <c r="E953" s="26"/>
      <c r="F953" s="26"/>
      <c r="G953" s="26"/>
      <c r="H953" s="26"/>
      <c r="I953" s="26"/>
      <c r="J953" s="26"/>
    </row>
    <row r="954" customFormat="false" ht="15" hidden="false" customHeight="false" outlineLevel="0" collapsed="false">
      <c r="B954" s="9" t="s">
        <v>189</v>
      </c>
      <c r="C954" s="15" t="s">
        <v>109</v>
      </c>
      <c r="D954" s="29" t="str">
        <f aca="false">IF(ISNUMBER(D943),PI()/4*(D943*INDEX(LenF,MATCH($C$943,LenU,0)))^2*N(D944)*INDEX(LenF,MATCH($C$944,LenU,0)),"")</f>
        <v/>
      </c>
      <c r="E954" s="29" t="str">
        <f aca="false">IF(ISNUMBER(E943),PI()/4*(E943*INDEX(LenF,MATCH($C$943,LenU,0)))^2*N(E944)*INDEX(LenF,MATCH($C$944,LenU,0)),"")</f>
        <v/>
      </c>
      <c r="F954" s="29" t="str">
        <f aca="false">IF(ISNUMBER(F943),PI()/4*(F943*INDEX(LenF,MATCH($C$943,LenU,0)))^2*N(F944)*INDEX(LenF,MATCH($C$944,LenU,0)),"")</f>
        <v/>
      </c>
      <c r="G954" s="29" t="str">
        <f aca="false">IF(ISNUMBER(G943),PI()/4*(G943*INDEX(LenF,MATCH($C$943,LenU,0)))^2*N(G944)*INDEX(LenF,MATCH($C$944,LenU,0)),"")</f>
        <v/>
      </c>
      <c r="H954" s="29" t="str">
        <f aca="false">IF(ISNUMBER(H943),PI()/4*(H943*INDEX(LenF,MATCH($C$943,LenU,0)))^2*N(H944)*INDEX(LenF,MATCH($C$944,LenU,0)),"")</f>
        <v/>
      </c>
      <c r="I954" s="30" t="str">
        <f aca="false">IF(COUNT(D954:H954)=0,"",SUM(D954:H954))</f>
        <v/>
      </c>
      <c r="J954" s="24"/>
    </row>
    <row r="955" customFormat="false" ht="15" hidden="false" customHeight="false" outlineLevel="0" collapsed="false">
      <c r="B955" s="9" t="s">
        <v>190</v>
      </c>
      <c r="C955" s="15" t="s">
        <v>109</v>
      </c>
      <c r="D955" s="29" t="str">
        <f aca="false">IF(ISNUMBER(D943),IF(D945="",0,IF(D945="Conical",PI()/12*(D943*INDEX(LenF,MATCH($C$943,LenU,0)))^2*(N(D946)*INDEX(LenF,MATCH($C$946,LenU,0))),INDEX(HeadK,MATCH(D945,HeadU,0))*(D943*INDEX(LenF,MATCH($C$943,LenU,0)))^3)),"")</f>
        <v/>
      </c>
      <c r="E955" s="29" t="str">
        <f aca="false">IF(ISNUMBER(E943),IF(E945="",0,IF(E945="Conical",PI()/12*(E943*INDEX(LenF,MATCH($C$943,LenU,0)))^2*(N(E946)*INDEX(LenF,MATCH($C$946,LenU,0))),INDEX(HeadK,MATCH(E945,HeadU,0))*(E943*INDEX(LenF,MATCH($C$943,LenU,0)))^3)),"")</f>
        <v/>
      </c>
      <c r="F955" s="29" t="str">
        <f aca="false">IF(ISNUMBER(F943),IF(F945="",0,IF(F945="Conical",PI()/12*(F943*INDEX(LenF,MATCH($C$943,LenU,0)))^2*(N(F946)*INDEX(LenF,MATCH($C$946,LenU,0))),INDEX(HeadK,MATCH(F945,HeadU,0))*(F943*INDEX(LenF,MATCH($C$943,LenU,0)))^3)),"")</f>
        <v/>
      </c>
      <c r="G955" s="29" t="str">
        <f aca="false">IF(ISNUMBER(G943),IF(G945="",0,IF(G945="Conical",PI()/12*(G943*INDEX(LenF,MATCH($C$943,LenU,0)))^2*(N(G946)*INDEX(LenF,MATCH($C$946,LenU,0))),INDEX(HeadK,MATCH(G945,HeadU,0))*(G943*INDEX(LenF,MATCH($C$943,LenU,0)))^3)),"")</f>
        <v/>
      </c>
      <c r="H955" s="29" t="str">
        <f aca="false">IF(ISNUMBER(H943),IF(H945="",0,IF(H945="Conical",PI()/12*(H943*INDEX(LenF,MATCH($C$943,LenU,0)))^2*(N(H946)*INDEX(LenF,MATCH($C$946,LenU,0))),INDEX(HeadK,MATCH(H945,HeadU,0))*(H943*INDEX(LenF,MATCH($C$943,LenU,0)))^3)),"")</f>
        <v/>
      </c>
      <c r="I955" s="30" t="str">
        <f aca="false">IF(COUNT(D955:H955)=0,"",SUM(D955:H955))</f>
        <v/>
      </c>
      <c r="J955" s="24"/>
    </row>
    <row r="956" customFormat="false" ht="15" hidden="false" customHeight="false" outlineLevel="0" collapsed="false">
      <c r="B956" s="9" t="s">
        <v>191</v>
      </c>
      <c r="C956" s="15" t="s">
        <v>109</v>
      </c>
      <c r="D956" s="29" t="str">
        <f aca="false">IF(ISNUMBER(D943),IF(D947="",0,IF(D947="Conical",PI()/12*(D943*INDEX(LenF,MATCH($C$943,LenU,0)))^2*(N(D948)*INDEX(LenF,MATCH($C$948,LenU,0))),INDEX(HeadK,MATCH(D947,HeadU,0))*(D943*INDEX(LenF,MATCH($C$943,LenU,0)))^3)),"")</f>
        <v/>
      </c>
      <c r="E956" s="29" t="str">
        <f aca="false">IF(ISNUMBER(E943),IF(E947="",0,IF(E947="Conical",PI()/12*(E943*INDEX(LenF,MATCH($C$943,LenU,0)))^2*(N(E948)*INDEX(LenF,MATCH($C$948,LenU,0))),INDEX(HeadK,MATCH(E947,HeadU,0))*(E943*INDEX(LenF,MATCH($C$943,LenU,0)))^3)),"")</f>
        <v/>
      </c>
      <c r="F956" s="29" t="str">
        <f aca="false">IF(ISNUMBER(F943),IF(F947="",0,IF(F947="Conical",PI()/12*(F943*INDEX(LenF,MATCH($C$943,LenU,0)))^2*(N(F948)*INDEX(LenF,MATCH($C$948,LenU,0))),INDEX(HeadK,MATCH(F947,HeadU,0))*(F943*INDEX(LenF,MATCH($C$943,LenU,0)))^3)),"")</f>
        <v/>
      </c>
      <c r="G956" s="29" t="str">
        <f aca="false">IF(ISNUMBER(G943),IF(G947="",0,IF(G947="Conical",PI()/12*(G943*INDEX(LenF,MATCH($C$943,LenU,0)))^2*(N(G948)*INDEX(LenF,MATCH($C$948,LenU,0))),INDEX(HeadK,MATCH(G947,HeadU,0))*(G943*INDEX(LenF,MATCH($C$943,LenU,0)))^3)),"")</f>
        <v/>
      </c>
      <c r="H956" s="29" t="str">
        <f aca="false">IF(ISNUMBER(H943),IF(H947="",0,IF(H947="Conical",PI()/12*(H943*INDEX(LenF,MATCH($C$943,LenU,0)))^2*(N(H948)*INDEX(LenF,MATCH($C$948,LenU,0))),INDEX(HeadK,MATCH(H947,HeadU,0))*(H943*INDEX(LenF,MATCH($C$943,LenU,0)))^3)),"")</f>
        <v/>
      </c>
      <c r="I956" s="30" t="str">
        <f aca="false">IF(COUNT(D956:H956)=0,"",SUM(D956:H956))</f>
        <v/>
      </c>
      <c r="J956" s="24"/>
    </row>
    <row r="957" customFormat="false" ht="15" hidden="false" customHeight="false" outlineLevel="0" collapsed="false">
      <c r="B957" s="9" t="s">
        <v>192</v>
      </c>
      <c r="C957" s="15" t="s">
        <v>109</v>
      </c>
      <c r="D957" s="29" t="str">
        <f aca="false">IF(ISNUMBER(D943),D954+D955+D956,"")</f>
        <v/>
      </c>
      <c r="E957" s="29" t="str">
        <f aca="false">IF(ISNUMBER(E943),E954+E955+E956,"")</f>
        <v/>
      </c>
      <c r="F957" s="29" t="str">
        <f aca="false">IF(ISNUMBER(F943),F954+F955+F956,"")</f>
        <v/>
      </c>
      <c r="G957" s="29" t="str">
        <f aca="false">IF(ISNUMBER(G943),G954+G955+G956,"")</f>
        <v/>
      </c>
      <c r="H957" s="29" t="str">
        <f aca="false">IF(ISNUMBER(H943),H954+H955+H956,"")</f>
        <v/>
      </c>
      <c r="I957" s="30" t="str">
        <f aca="false">IF(COUNT(D957:H957)=0,"",SUM(D957:H957))</f>
        <v/>
      </c>
      <c r="J957" s="24"/>
    </row>
    <row r="958" customFormat="false" ht="15" hidden="false" customHeight="false" outlineLevel="0" collapsed="false">
      <c r="B958" s="9" t="s">
        <v>193</v>
      </c>
      <c r="C958" s="15" t="s">
        <v>109</v>
      </c>
      <c r="D958" s="29" t="str">
        <f aca="false">IF(ISNUMBER(D949),D949*INDEX(WtF,MATCH($C$949,WtU,0))/WaterRho,"")</f>
        <v/>
      </c>
      <c r="E958" s="29" t="str">
        <f aca="false">IF(ISNUMBER(E949),E949*INDEX(WtF,MATCH($C$949,WtU,0))/WaterRho,"")</f>
        <v/>
      </c>
      <c r="F958" s="29" t="str">
        <f aca="false">IF(ISNUMBER(F949),F949*INDEX(WtF,MATCH($C$949,WtU,0))/WaterRho,"")</f>
        <v/>
      </c>
      <c r="G958" s="29" t="str">
        <f aca="false">IF(ISNUMBER(G949),G949*INDEX(WtF,MATCH($C$949,WtU,0))/WaterRho,"")</f>
        <v/>
      </c>
      <c r="H958" s="29" t="str">
        <f aca="false">IF(ISNUMBER(H949),H949*INDEX(WtF,MATCH($C$949,WtU,0))/WaterRho,"")</f>
        <v/>
      </c>
      <c r="I958" s="30" t="str">
        <f aca="false">IF(COUNT(D958:H958)=0,"",SUM(D958:H958))</f>
        <v/>
      </c>
      <c r="J958" s="24"/>
    </row>
    <row r="959" customFormat="false" ht="15" hidden="false" customHeight="false" outlineLevel="0" collapsed="false">
      <c r="B959" s="4" t="s">
        <v>194</v>
      </c>
      <c r="C959" s="15" t="s">
        <v>109</v>
      </c>
      <c r="D959" s="31" t="str">
        <f aca="false">IF(D951="Water weight",D958,D957)</f>
        <v/>
      </c>
      <c r="E959" s="31" t="str">
        <f aca="false">IF(E951="Water weight",E958,E957)</f>
        <v/>
      </c>
      <c r="F959" s="31" t="str">
        <f aca="false">IF(F951="Water weight",F958,F957)</f>
        <v/>
      </c>
      <c r="G959" s="31" t="str">
        <f aca="false">IF(G951="Water weight",G958,G957)</f>
        <v/>
      </c>
      <c r="H959" s="31" t="str">
        <f aca="false">IF(H951="Water weight",H958,H957)</f>
        <v/>
      </c>
      <c r="I959" s="31" t="str">
        <f aca="false">IF(COUNT(D959:H959)=0,"",SUM(D959:H959))</f>
        <v/>
      </c>
      <c r="J959" s="24"/>
      <c r="K959" s="32" t="s">
        <v>195</v>
      </c>
      <c r="L959" s="32" t="n">
        <f aca="false">D941</f>
        <v>0</v>
      </c>
      <c r="M959" s="32" t="n">
        <f aca="false">E941</f>
        <v>0</v>
      </c>
      <c r="N959" s="32" t="n">
        <f aca="false">F941</f>
        <v>0</v>
      </c>
      <c r="O959" s="32" t="n">
        <f aca="false">G941</f>
        <v>0</v>
      </c>
      <c r="P959" s="32" t="n">
        <f aca="false">H941</f>
        <v>0</v>
      </c>
    </row>
    <row r="960" customFormat="false" ht="36" hidden="false" customHeight="true" outlineLevel="0" collapsed="false">
      <c r="B960" s="9" t="s">
        <v>196</v>
      </c>
      <c r="C960" s="15" t="s">
        <v>29</v>
      </c>
      <c r="D960" s="39" t="str">
        <f aca="false">IF(D959="","",IF(JobType="Chemical Cleaning",D952,IFERROR(INDEX(DecMeth,MATCH(D941,DecTypeU,0)),"⚠ select equipment type")))</f>
        <v/>
      </c>
      <c r="E960" s="39" t="str">
        <f aca="false">IF(E959="","",IF(JobType="Chemical Cleaning",E952,IFERROR(INDEX(DecMeth,MATCH(E941,DecTypeU,0)),"⚠ select equipment type")))</f>
        <v/>
      </c>
      <c r="F960" s="39" t="str">
        <f aca="false">IF(F959="","",IF(JobType="Chemical Cleaning",F952,IFERROR(INDEX(DecMeth,MATCH(F941,DecTypeU,0)),"⚠ select equipment type")))</f>
        <v/>
      </c>
      <c r="G960" s="39" t="str">
        <f aca="false">IF(G959="","",IF(JobType="Chemical Cleaning",G952,IFERROR(INDEX(DecMeth,MATCH(G941,DecTypeU,0)),"⚠ select equipment type")))</f>
        <v/>
      </c>
      <c r="H960" s="39" t="str">
        <f aca="false">IF(H959="","",IF(JobType="Chemical Cleaning",H952,IFERROR(INDEX(DecMeth,MATCH(H941,DecTypeU,0)),"⚠ select equipment type")))</f>
        <v/>
      </c>
      <c r="I960" s="40"/>
      <c r="J960" s="24"/>
    </row>
    <row r="961" customFormat="false" ht="15" hidden="false" customHeight="false" outlineLevel="0" collapsed="false">
      <c r="B961" s="9" t="s">
        <v>60</v>
      </c>
      <c r="C961" s="15" t="s">
        <v>146</v>
      </c>
      <c r="D961" s="35" t="str">
        <f aca="false">IF(D959="","",IF(JobType="Chemical Cleaning",IFERROR(INDEX(CCMethPct,MATCH(D952,CCMethU,0)),""),IFERROR(INDEX(DecFill,MATCH(D941,DecTypeU,0)),"")))</f>
        <v/>
      </c>
      <c r="E961" s="35" t="str">
        <f aca="false">IF(E959="","",IF(JobType="Chemical Cleaning",IFERROR(INDEX(CCMethPct,MATCH(E952,CCMethU,0)),""),IFERROR(INDEX(DecFill,MATCH(E941,DecTypeU,0)),"")))</f>
        <v/>
      </c>
      <c r="F961" s="35" t="str">
        <f aca="false">IF(F959="","",IF(JobType="Chemical Cleaning",IFERROR(INDEX(CCMethPct,MATCH(F952,CCMethU,0)),""),IFERROR(INDEX(DecFill,MATCH(F941,DecTypeU,0)),"")))</f>
        <v/>
      </c>
      <c r="G961" s="35" t="str">
        <f aca="false">IF(G959="","",IF(JobType="Chemical Cleaning",IFERROR(INDEX(CCMethPct,MATCH(G952,CCMethU,0)),""),IFERROR(INDEX(DecFill,MATCH(G941,DecTypeU,0)),"")))</f>
        <v/>
      </c>
      <c r="H961" s="35" t="str">
        <f aca="false">IF(H959="","",IF(JobType="Chemical Cleaning",IFERROR(INDEX(CCMethPct,MATCH(H952,CCMethU,0)),""),IFERROR(INDEX(DecFill,MATCH(H941,DecTypeU,0)),"")))</f>
        <v/>
      </c>
      <c r="I961" s="36"/>
      <c r="J961" s="24" t="s">
        <v>197</v>
      </c>
    </row>
    <row r="962" customFormat="false" ht="15" hidden="false" customHeight="false" outlineLevel="0" collapsed="false">
      <c r="B962" s="4" t="s">
        <v>148</v>
      </c>
      <c r="C962" s="15" t="s">
        <v>109</v>
      </c>
      <c r="D962" s="31" t="str">
        <f aca="false">IF(OR(D959="",D961=""),"",D959*D961)</f>
        <v/>
      </c>
      <c r="E962" s="31" t="str">
        <f aca="false">IF(OR(E959="",E961=""),"",E959*E961)</f>
        <v/>
      </c>
      <c r="F962" s="31" t="str">
        <f aca="false">IF(OR(F959="",F961=""),"",F959*F961)</f>
        <v/>
      </c>
      <c r="G962" s="31" t="str">
        <f aca="false">IF(OR(G959="",G961=""),"",G959*G961)</f>
        <v/>
      </c>
      <c r="H962" s="31" t="str">
        <f aca="false">IF(OR(H959="",H961=""),"",H959*H961)</f>
        <v/>
      </c>
      <c r="I962" s="31" t="str">
        <f aca="false">IF(COUNT(D962:H962)=0,"",SUM(D962:H962))</f>
        <v/>
      </c>
      <c r="J962" s="24"/>
      <c r="K962" s="32" t="s">
        <v>198</v>
      </c>
      <c r="L962" s="32" t="n">
        <f aca="false">D941</f>
        <v>0</v>
      </c>
      <c r="M962" s="32" t="n">
        <f aca="false">E941</f>
        <v>0</v>
      </c>
      <c r="N962" s="32" t="n">
        <f aca="false">F941</f>
        <v>0</v>
      </c>
      <c r="O962" s="32" t="n">
        <f aca="false">G941</f>
        <v>0</v>
      </c>
      <c r="P962" s="32" t="n">
        <f aca="false">H941</f>
        <v>0</v>
      </c>
    </row>
    <row r="963" customFormat="false" ht="15" hidden="false" customHeight="false" outlineLevel="0" collapsed="false">
      <c r="B963" s="9" t="s">
        <v>150</v>
      </c>
      <c r="C963" s="15" t="s">
        <v>32</v>
      </c>
      <c r="D963" s="37" t="str">
        <f aca="false">IF(OR(JobType&lt;&gt;"Decontamination",D962=""),"",IFERROR(D962*INDEX(DecChem,MATCH(D941,DecTypeU,0))*1000,""))</f>
        <v/>
      </c>
      <c r="E963" s="37" t="str">
        <f aca="false">IF(OR(JobType&lt;&gt;"Decontamination",E962=""),"",IFERROR(E962*INDEX(DecChem,MATCH(E941,DecTypeU,0))*1000,""))</f>
        <v/>
      </c>
      <c r="F963" s="37" t="str">
        <f aca="false">IF(OR(JobType&lt;&gt;"Decontamination",F962=""),"",IFERROR(F962*INDEX(DecChem,MATCH(F941,DecTypeU,0))*1000,""))</f>
        <v/>
      </c>
      <c r="G963" s="37" t="str">
        <f aca="false">IF(OR(JobType&lt;&gt;"Decontamination",G962=""),"",IFERROR(G962*INDEX(DecChem,MATCH(G941,DecTypeU,0))*1000,""))</f>
        <v/>
      </c>
      <c r="H963" s="37" t="str">
        <f aca="false">IF(OR(JobType&lt;&gt;"Decontamination",H962=""),"",IFERROR(H962*INDEX(DecChem,MATCH(H941,DecTypeU,0))*1000,""))</f>
        <v/>
      </c>
      <c r="I963" s="38" t="str">
        <f aca="false">IF(COUNT(D963:H963)=0,"",SUM(D963:H963))</f>
        <v/>
      </c>
      <c r="J963" s="24" t="s">
        <v>199</v>
      </c>
      <c r="K963" s="32" t="s">
        <v>200</v>
      </c>
      <c r="L963" s="32" t="n">
        <f aca="false">D941</f>
        <v>0</v>
      </c>
      <c r="M963" s="32" t="n">
        <f aca="false">E941</f>
        <v>0</v>
      </c>
      <c r="N963" s="32" t="n">
        <f aca="false">F941</f>
        <v>0</v>
      </c>
      <c r="O963" s="32" t="n">
        <f aca="false">G941</f>
        <v>0</v>
      </c>
      <c r="P963" s="32" t="n">
        <f aca="false">H941</f>
        <v>0</v>
      </c>
    </row>
    <row r="965" customFormat="false" ht="15" hidden="false" customHeight="false" outlineLevel="0" collapsed="false">
      <c r="A965" s="20" t="n">
        <v>3</v>
      </c>
      <c r="B965" s="21" t="s">
        <v>202</v>
      </c>
      <c r="C965" s="22"/>
      <c r="D965" s="22"/>
      <c r="E965" s="22"/>
      <c r="F965" s="22"/>
      <c r="G965" s="22"/>
      <c r="H965" s="22"/>
      <c r="I965" s="22"/>
      <c r="J965" s="22"/>
    </row>
    <row r="966" customFormat="false" ht="15" hidden="false" customHeight="false" outlineLevel="0" collapsed="false">
      <c r="B966" s="9" t="s">
        <v>83</v>
      </c>
      <c r="C966" s="15" t="s">
        <v>29</v>
      </c>
      <c r="D966" s="8"/>
      <c r="E966" s="8"/>
      <c r="F966" s="8"/>
      <c r="G966" s="8"/>
      <c r="H966" s="8"/>
      <c r="I966" s="23"/>
      <c r="J966" s="24"/>
    </row>
    <row r="967" customFormat="false" ht="15" hidden="false" customHeight="false" outlineLevel="0" collapsed="false">
      <c r="B967" s="9" t="s">
        <v>86</v>
      </c>
      <c r="C967" s="15" t="s">
        <v>29</v>
      </c>
      <c r="D967" s="8"/>
      <c r="E967" s="8"/>
      <c r="F967" s="8"/>
      <c r="G967" s="8"/>
      <c r="H967" s="8"/>
      <c r="I967" s="23"/>
      <c r="J967" s="24"/>
    </row>
    <row r="968" customFormat="false" ht="15" hidden="false" customHeight="false" outlineLevel="0" collapsed="false">
      <c r="B968" s="9" t="s">
        <v>175</v>
      </c>
      <c r="C968" s="15" t="s">
        <v>29</v>
      </c>
      <c r="D968" s="8"/>
      <c r="E968" s="8"/>
      <c r="F968" s="8"/>
      <c r="G968" s="8"/>
      <c r="H968" s="8"/>
      <c r="I968" s="23"/>
      <c r="J968" s="24" t="s">
        <v>176</v>
      </c>
    </row>
    <row r="969" customFormat="false" ht="15" hidden="false" customHeight="false" outlineLevel="0" collapsed="false">
      <c r="B969" s="25" t="s">
        <v>177</v>
      </c>
      <c r="C969" s="26"/>
      <c r="D969" s="26"/>
      <c r="E969" s="26"/>
      <c r="F969" s="26"/>
      <c r="G969" s="26"/>
      <c r="H969" s="26"/>
      <c r="I969" s="26"/>
      <c r="J969" s="26"/>
    </row>
    <row r="970" customFormat="false" ht="15" hidden="false" customHeight="false" outlineLevel="0" collapsed="false">
      <c r="B970" s="9" t="s">
        <v>178</v>
      </c>
      <c r="C970" s="8" t="s">
        <v>92</v>
      </c>
      <c r="D970" s="8"/>
      <c r="E970" s="8"/>
      <c r="F970" s="8"/>
      <c r="G970" s="8"/>
      <c r="H970" s="8"/>
      <c r="I970" s="23"/>
      <c r="J970" s="24"/>
    </row>
    <row r="971" customFormat="false" ht="15" hidden="false" customHeight="false" outlineLevel="0" collapsed="false">
      <c r="B971" s="9" t="s">
        <v>179</v>
      </c>
      <c r="C971" s="8" t="s">
        <v>92</v>
      </c>
      <c r="D971" s="8"/>
      <c r="E971" s="8"/>
      <c r="F971" s="8"/>
      <c r="G971" s="8"/>
      <c r="H971" s="8"/>
      <c r="I971" s="23"/>
      <c r="J971" s="24"/>
    </row>
    <row r="972" customFormat="false" ht="15" hidden="false" customHeight="false" outlineLevel="0" collapsed="false">
      <c r="B972" s="9" t="s">
        <v>180</v>
      </c>
      <c r="C972" s="15" t="s">
        <v>29</v>
      </c>
      <c r="D972" s="8"/>
      <c r="E972" s="8"/>
      <c r="F972" s="8"/>
      <c r="G972" s="8"/>
      <c r="H972" s="8"/>
      <c r="I972" s="23"/>
      <c r="J972" s="24"/>
    </row>
    <row r="973" customFormat="false" ht="15" hidden="false" customHeight="false" outlineLevel="0" collapsed="false">
      <c r="B973" s="9" t="s">
        <v>181</v>
      </c>
      <c r="C973" s="8" t="s">
        <v>92</v>
      </c>
      <c r="D973" s="8"/>
      <c r="E973" s="8"/>
      <c r="F973" s="8"/>
      <c r="G973" s="8"/>
      <c r="H973" s="8"/>
      <c r="I973" s="23"/>
      <c r="J973" s="24"/>
    </row>
    <row r="974" customFormat="false" ht="15" hidden="false" customHeight="false" outlineLevel="0" collapsed="false">
      <c r="B974" s="9" t="s">
        <v>182</v>
      </c>
      <c r="C974" s="15" t="s">
        <v>29</v>
      </c>
      <c r="D974" s="8"/>
      <c r="E974" s="8"/>
      <c r="F974" s="8"/>
      <c r="G974" s="8"/>
      <c r="H974" s="8"/>
      <c r="I974" s="23"/>
      <c r="J974" s="24"/>
    </row>
    <row r="975" customFormat="false" ht="15" hidden="false" customHeight="false" outlineLevel="0" collapsed="false">
      <c r="B975" s="9" t="s">
        <v>183</v>
      </c>
      <c r="C975" s="8" t="s">
        <v>92</v>
      </c>
      <c r="D975" s="8"/>
      <c r="E975" s="8"/>
      <c r="F975" s="8"/>
      <c r="G975" s="8"/>
      <c r="H975" s="8"/>
      <c r="I975" s="23"/>
      <c r="J975" s="24"/>
    </row>
    <row r="976" customFormat="false" ht="15" hidden="false" customHeight="false" outlineLevel="0" collapsed="false">
      <c r="B976" s="9" t="s">
        <v>184</v>
      </c>
      <c r="C976" s="8" t="s">
        <v>112</v>
      </c>
      <c r="D976" s="8"/>
      <c r="E976" s="8"/>
      <c r="F976" s="8"/>
      <c r="G976" s="8"/>
      <c r="H976" s="8"/>
      <c r="I976" s="23"/>
      <c r="J976" s="24"/>
    </row>
    <row r="977" customFormat="false" ht="15" hidden="false" customHeight="false" outlineLevel="0" collapsed="false">
      <c r="B977" s="25" t="s">
        <v>185</v>
      </c>
      <c r="C977" s="26"/>
      <c r="D977" s="26"/>
      <c r="E977" s="26"/>
      <c r="F977" s="26"/>
      <c r="G977" s="26"/>
      <c r="H977" s="26"/>
      <c r="I977" s="26"/>
      <c r="J977" s="26"/>
    </row>
    <row r="978" customFormat="false" ht="15" hidden="false" customHeight="false" outlineLevel="0" collapsed="false">
      <c r="B978" s="9" t="s">
        <v>186</v>
      </c>
      <c r="C978" s="15" t="s">
        <v>29</v>
      </c>
      <c r="D978" s="8" t="s">
        <v>122</v>
      </c>
      <c r="E978" s="8" t="s">
        <v>122</v>
      </c>
      <c r="F978" s="8" t="s">
        <v>122</v>
      </c>
      <c r="G978" s="8" t="s">
        <v>122</v>
      </c>
      <c r="H978" s="8" t="s">
        <v>122</v>
      </c>
      <c r="I978" s="23"/>
      <c r="J978" s="24"/>
    </row>
    <row r="979" customFormat="false" ht="15" hidden="false" customHeight="false" outlineLevel="0" collapsed="false">
      <c r="B979" s="9" t="s">
        <v>187</v>
      </c>
      <c r="C979" s="15" t="s">
        <v>29</v>
      </c>
      <c r="D979" s="8" t="s">
        <v>61</v>
      </c>
      <c r="E979" s="8" t="s">
        <v>61</v>
      </c>
      <c r="F979" s="8" t="s">
        <v>61</v>
      </c>
      <c r="G979" s="8" t="s">
        <v>61</v>
      </c>
      <c r="H979" s="8" t="s">
        <v>61</v>
      </c>
      <c r="I979" s="23"/>
      <c r="J979" s="24" t="s">
        <v>188</v>
      </c>
    </row>
    <row r="980" customFormat="false" ht="15" hidden="false" customHeight="false" outlineLevel="0" collapsed="false">
      <c r="B980" s="25" t="s">
        <v>124</v>
      </c>
      <c r="C980" s="26"/>
      <c r="D980" s="26"/>
      <c r="E980" s="26"/>
      <c r="F980" s="26"/>
      <c r="G980" s="26"/>
      <c r="H980" s="26"/>
      <c r="I980" s="26"/>
      <c r="J980" s="26"/>
    </row>
    <row r="981" customFormat="false" ht="15" hidden="false" customHeight="false" outlineLevel="0" collapsed="false">
      <c r="B981" s="9" t="s">
        <v>189</v>
      </c>
      <c r="C981" s="15" t="s">
        <v>109</v>
      </c>
      <c r="D981" s="29" t="str">
        <f aca="false">IF(ISNUMBER(D970),PI()/4*(D970*INDEX(LenF,MATCH($C$970,LenU,0)))^2*N(D971)*INDEX(LenF,MATCH($C$971,LenU,0)),"")</f>
        <v/>
      </c>
      <c r="E981" s="29" t="str">
        <f aca="false">IF(ISNUMBER(E970),PI()/4*(E970*INDEX(LenF,MATCH($C$970,LenU,0)))^2*N(E971)*INDEX(LenF,MATCH($C$971,LenU,0)),"")</f>
        <v/>
      </c>
      <c r="F981" s="29" t="str">
        <f aca="false">IF(ISNUMBER(F970),PI()/4*(F970*INDEX(LenF,MATCH($C$970,LenU,0)))^2*N(F971)*INDEX(LenF,MATCH($C$971,LenU,0)),"")</f>
        <v/>
      </c>
      <c r="G981" s="29" t="str">
        <f aca="false">IF(ISNUMBER(G970),PI()/4*(G970*INDEX(LenF,MATCH($C$970,LenU,0)))^2*N(G971)*INDEX(LenF,MATCH($C$971,LenU,0)),"")</f>
        <v/>
      </c>
      <c r="H981" s="29" t="str">
        <f aca="false">IF(ISNUMBER(H970),PI()/4*(H970*INDEX(LenF,MATCH($C$970,LenU,0)))^2*N(H971)*INDEX(LenF,MATCH($C$971,LenU,0)),"")</f>
        <v/>
      </c>
      <c r="I981" s="30" t="str">
        <f aca="false">IF(COUNT(D981:H981)=0,"",SUM(D981:H981))</f>
        <v/>
      </c>
      <c r="J981" s="24"/>
    </row>
    <row r="982" customFormat="false" ht="15" hidden="false" customHeight="false" outlineLevel="0" collapsed="false">
      <c r="B982" s="9" t="s">
        <v>190</v>
      </c>
      <c r="C982" s="15" t="s">
        <v>109</v>
      </c>
      <c r="D982" s="29" t="str">
        <f aca="false">IF(ISNUMBER(D970),IF(D972="",0,IF(D972="Conical",PI()/12*(D970*INDEX(LenF,MATCH($C$970,LenU,0)))^2*(N(D973)*INDEX(LenF,MATCH($C$973,LenU,0))),INDEX(HeadK,MATCH(D972,HeadU,0))*(D970*INDEX(LenF,MATCH($C$970,LenU,0)))^3)),"")</f>
        <v/>
      </c>
      <c r="E982" s="29" t="str">
        <f aca="false">IF(ISNUMBER(E970),IF(E972="",0,IF(E972="Conical",PI()/12*(E970*INDEX(LenF,MATCH($C$970,LenU,0)))^2*(N(E973)*INDEX(LenF,MATCH($C$973,LenU,0))),INDEX(HeadK,MATCH(E972,HeadU,0))*(E970*INDEX(LenF,MATCH($C$970,LenU,0)))^3)),"")</f>
        <v/>
      </c>
      <c r="F982" s="29" t="str">
        <f aca="false">IF(ISNUMBER(F970),IF(F972="",0,IF(F972="Conical",PI()/12*(F970*INDEX(LenF,MATCH($C$970,LenU,0)))^2*(N(F973)*INDEX(LenF,MATCH($C$973,LenU,0))),INDEX(HeadK,MATCH(F972,HeadU,0))*(F970*INDEX(LenF,MATCH($C$970,LenU,0)))^3)),"")</f>
        <v/>
      </c>
      <c r="G982" s="29" t="str">
        <f aca="false">IF(ISNUMBER(G970),IF(G972="",0,IF(G972="Conical",PI()/12*(G970*INDEX(LenF,MATCH($C$970,LenU,0)))^2*(N(G973)*INDEX(LenF,MATCH($C$973,LenU,0))),INDEX(HeadK,MATCH(G972,HeadU,0))*(G970*INDEX(LenF,MATCH($C$970,LenU,0)))^3)),"")</f>
        <v/>
      </c>
      <c r="H982" s="29" t="str">
        <f aca="false">IF(ISNUMBER(H970),IF(H972="",0,IF(H972="Conical",PI()/12*(H970*INDEX(LenF,MATCH($C$970,LenU,0)))^2*(N(H973)*INDEX(LenF,MATCH($C$973,LenU,0))),INDEX(HeadK,MATCH(H972,HeadU,0))*(H970*INDEX(LenF,MATCH($C$970,LenU,0)))^3)),"")</f>
        <v/>
      </c>
      <c r="I982" s="30" t="str">
        <f aca="false">IF(COUNT(D982:H982)=0,"",SUM(D982:H982))</f>
        <v/>
      </c>
      <c r="J982" s="24"/>
    </row>
    <row r="983" customFormat="false" ht="15" hidden="false" customHeight="false" outlineLevel="0" collapsed="false">
      <c r="B983" s="9" t="s">
        <v>191</v>
      </c>
      <c r="C983" s="15" t="s">
        <v>109</v>
      </c>
      <c r="D983" s="29" t="str">
        <f aca="false">IF(ISNUMBER(D970),IF(D974="",0,IF(D974="Conical",PI()/12*(D970*INDEX(LenF,MATCH($C$970,LenU,0)))^2*(N(D975)*INDEX(LenF,MATCH($C$975,LenU,0))),INDEX(HeadK,MATCH(D974,HeadU,0))*(D970*INDEX(LenF,MATCH($C$970,LenU,0)))^3)),"")</f>
        <v/>
      </c>
      <c r="E983" s="29" t="str">
        <f aca="false">IF(ISNUMBER(E970),IF(E974="",0,IF(E974="Conical",PI()/12*(E970*INDEX(LenF,MATCH($C$970,LenU,0)))^2*(N(E975)*INDEX(LenF,MATCH($C$975,LenU,0))),INDEX(HeadK,MATCH(E974,HeadU,0))*(E970*INDEX(LenF,MATCH($C$970,LenU,0)))^3)),"")</f>
        <v/>
      </c>
      <c r="F983" s="29" t="str">
        <f aca="false">IF(ISNUMBER(F970),IF(F974="",0,IF(F974="Conical",PI()/12*(F970*INDEX(LenF,MATCH($C$970,LenU,0)))^2*(N(F975)*INDEX(LenF,MATCH($C$975,LenU,0))),INDEX(HeadK,MATCH(F974,HeadU,0))*(F970*INDEX(LenF,MATCH($C$970,LenU,0)))^3)),"")</f>
        <v/>
      </c>
      <c r="G983" s="29" t="str">
        <f aca="false">IF(ISNUMBER(G970),IF(G974="",0,IF(G974="Conical",PI()/12*(G970*INDEX(LenF,MATCH($C$970,LenU,0)))^2*(N(G975)*INDEX(LenF,MATCH($C$975,LenU,0))),INDEX(HeadK,MATCH(G974,HeadU,0))*(G970*INDEX(LenF,MATCH($C$970,LenU,0)))^3)),"")</f>
        <v/>
      </c>
      <c r="H983" s="29" t="str">
        <f aca="false">IF(ISNUMBER(H970),IF(H974="",0,IF(H974="Conical",PI()/12*(H970*INDEX(LenF,MATCH($C$970,LenU,0)))^2*(N(H975)*INDEX(LenF,MATCH($C$975,LenU,0))),INDEX(HeadK,MATCH(H974,HeadU,0))*(H970*INDEX(LenF,MATCH($C$970,LenU,0)))^3)),"")</f>
        <v/>
      </c>
      <c r="I983" s="30" t="str">
        <f aca="false">IF(COUNT(D983:H983)=0,"",SUM(D983:H983))</f>
        <v/>
      </c>
      <c r="J983" s="24"/>
    </row>
    <row r="984" customFormat="false" ht="15" hidden="false" customHeight="false" outlineLevel="0" collapsed="false">
      <c r="B984" s="9" t="s">
        <v>192</v>
      </c>
      <c r="C984" s="15" t="s">
        <v>109</v>
      </c>
      <c r="D984" s="29" t="str">
        <f aca="false">IF(ISNUMBER(D970),D981+D982+D983,"")</f>
        <v/>
      </c>
      <c r="E984" s="29" t="str">
        <f aca="false">IF(ISNUMBER(E970),E981+E982+E983,"")</f>
        <v/>
      </c>
      <c r="F984" s="29" t="str">
        <f aca="false">IF(ISNUMBER(F970),F981+F982+F983,"")</f>
        <v/>
      </c>
      <c r="G984" s="29" t="str">
        <f aca="false">IF(ISNUMBER(G970),G981+G982+G983,"")</f>
        <v/>
      </c>
      <c r="H984" s="29" t="str">
        <f aca="false">IF(ISNUMBER(H970),H981+H982+H983,"")</f>
        <v/>
      </c>
      <c r="I984" s="30" t="str">
        <f aca="false">IF(COUNT(D984:H984)=0,"",SUM(D984:H984))</f>
        <v/>
      </c>
      <c r="J984" s="24"/>
    </row>
    <row r="985" customFormat="false" ht="15" hidden="false" customHeight="false" outlineLevel="0" collapsed="false">
      <c r="B985" s="9" t="s">
        <v>193</v>
      </c>
      <c r="C985" s="15" t="s">
        <v>109</v>
      </c>
      <c r="D985" s="29" t="str">
        <f aca="false">IF(ISNUMBER(D976),D976*INDEX(WtF,MATCH($C$976,WtU,0))/WaterRho,"")</f>
        <v/>
      </c>
      <c r="E985" s="29" t="str">
        <f aca="false">IF(ISNUMBER(E976),E976*INDEX(WtF,MATCH($C$976,WtU,0))/WaterRho,"")</f>
        <v/>
      </c>
      <c r="F985" s="29" t="str">
        <f aca="false">IF(ISNUMBER(F976),F976*INDEX(WtF,MATCH($C$976,WtU,0))/WaterRho,"")</f>
        <v/>
      </c>
      <c r="G985" s="29" t="str">
        <f aca="false">IF(ISNUMBER(G976),G976*INDEX(WtF,MATCH($C$976,WtU,0))/WaterRho,"")</f>
        <v/>
      </c>
      <c r="H985" s="29" t="str">
        <f aca="false">IF(ISNUMBER(H976),H976*INDEX(WtF,MATCH($C$976,WtU,0))/WaterRho,"")</f>
        <v/>
      </c>
      <c r="I985" s="30" t="str">
        <f aca="false">IF(COUNT(D985:H985)=0,"",SUM(D985:H985))</f>
        <v/>
      </c>
      <c r="J985" s="24"/>
    </row>
    <row r="986" customFormat="false" ht="15" hidden="false" customHeight="false" outlineLevel="0" collapsed="false">
      <c r="B986" s="4" t="s">
        <v>194</v>
      </c>
      <c r="C986" s="15" t="s">
        <v>109</v>
      </c>
      <c r="D986" s="31" t="str">
        <f aca="false">IF(D978="Water weight",D985,D984)</f>
        <v/>
      </c>
      <c r="E986" s="31" t="str">
        <f aca="false">IF(E978="Water weight",E985,E984)</f>
        <v/>
      </c>
      <c r="F986" s="31" t="str">
        <f aca="false">IF(F978="Water weight",F985,F984)</f>
        <v/>
      </c>
      <c r="G986" s="31" t="str">
        <f aca="false">IF(G978="Water weight",G985,G984)</f>
        <v/>
      </c>
      <c r="H986" s="31" t="str">
        <f aca="false">IF(H978="Water weight",H985,H984)</f>
        <v/>
      </c>
      <c r="I986" s="31" t="str">
        <f aca="false">IF(COUNT(D986:H986)=0,"",SUM(D986:H986))</f>
        <v/>
      </c>
      <c r="J986" s="24"/>
      <c r="K986" s="32" t="s">
        <v>195</v>
      </c>
      <c r="L986" s="32" t="n">
        <f aca="false">D968</f>
        <v>0</v>
      </c>
      <c r="M986" s="32" t="n">
        <f aca="false">E968</f>
        <v>0</v>
      </c>
      <c r="N986" s="32" t="n">
        <f aca="false">F968</f>
        <v>0</v>
      </c>
      <c r="O986" s="32" t="n">
        <f aca="false">G968</f>
        <v>0</v>
      </c>
      <c r="P986" s="32" t="n">
        <f aca="false">H968</f>
        <v>0</v>
      </c>
    </row>
    <row r="987" customFormat="false" ht="36" hidden="false" customHeight="true" outlineLevel="0" collapsed="false">
      <c r="B987" s="9" t="s">
        <v>196</v>
      </c>
      <c r="C987" s="15" t="s">
        <v>29</v>
      </c>
      <c r="D987" s="39" t="str">
        <f aca="false">IF(D986="","",IF(JobType="Chemical Cleaning",D979,IFERROR(INDEX(DecMeth,MATCH(D968,DecTypeU,0)),"⚠ select equipment type")))</f>
        <v/>
      </c>
      <c r="E987" s="39" t="str">
        <f aca="false">IF(E986="","",IF(JobType="Chemical Cleaning",E979,IFERROR(INDEX(DecMeth,MATCH(E968,DecTypeU,0)),"⚠ select equipment type")))</f>
        <v/>
      </c>
      <c r="F987" s="39" t="str">
        <f aca="false">IF(F986="","",IF(JobType="Chemical Cleaning",F979,IFERROR(INDEX(DecMeth,MATCH(F968,DecTypeU,0)),"⚠ select equipment type")))</f>
        <v/>
      </c>
      <c r="G987" s="39" t="str">
        <f aca="false">IF(G986="","",IF(JobType="Chemical Cleaning",G979,IFERROR(INDEX(DecMeth,MATCH(G968,DecTypeU,0)),"⚠ select equipment type")))</f>
        <v/>
      </c>
      <c r="H987" s="39" t="str">
        <f aca="false">IF(H986="","",IF(JobType="Chemical Cleaning",H979,IFERROR(INDEX(DecMeth,MATCH(H968,DecTypeU,0)),"⚠ select equipment type")))</f>
        <v/>
      </c>
      <c r="I987" s="40"/>
      <c r="J987" s="24"/>
    </row>
    <row r="988" customFormat="false" ht="15" hidden="false" customHeight="false" outlineLevel="0" collapsed="false">
      <c r="B988" s="9" t="s">
        <v>60</v>
      </c>
      <c r="C988" s="15" t="s">
        <v>146</v>
      </c>
      <c r="D988" s="35" t="str">
        <f aca="false">IF(D986="","",IF(JobType="Chemical Cleaning",IFERROR(INDEX(CCMethPct,MATCH(D979,CCMethU,0)),""),IFERROR(INDEX(DecFill,MATCH(D968,DecTypeU,0)),"")))</f>
        <v/>
      </c>
      <c r="E988" s="35" t="str">
        <f aca="false">IF(E986="","",IF(JobType="Chemical Cleaning",IFERROR(INDEX(CCMethPct,MATCH(E979,CCMethU,0)),""),IFERROR(INDEX(DecFill,MATCH(E968,DecTypeU,0)),"")))</f>
        <v/>
      </c>
      <c r="F988" s="35" t="str">
        <f aca="false">IF(F986="","",IF(JobType="Chemical Cleaning",IFERROR(INDEX(CCMethPct,MATCH(F979,CCMethU,0)),""),IFERROR(INDEX(DecFill,MATCH(F968,DecTypeU,0)),"")))</f>
        <v/>
      </c>
      <c r="G988" s="35" t="str">
        <f aca="false">IF(G986="","",IF(JobType="Chemical Cleaning",IFERROR(INDEX(CCMethPct,MATCH(G979,CCMethU,0)),""),IFERROR(INDEX(DecFill,MATCH(G968,DecTypeU,0)),"")))</f>
        <v/>
      </c>
      <c r="H988" s="35" t="str">
        <f aca="false">IF(H986="","",IF(JobType="Chemical Cleaning",IFERROR(INDEX(CCMethPct,MATCH(H979,CCMethU,0)),""),IFERROR(INDEX(DecFill,MATCH(H968,DecTypeU,0)),"")))</f>
        <v/>
      </c>
      <c r="I988" s="36"/>
      <c r="J988" s="24" t="s">
        <v>197</v>
      </c>
    </row>
    <row r="989" customFormat="false" ht="15" hidden="false" customHeight="false" outlineLevel="0" collapsed="false">
      <c r="B989" s="4" t="s">
        <v>148</v>
      </c>
      <c r="C989" s="15" t="s">
        <v>109</v>
      </c>
      <c r="D989" s="31" t="str">
        <f aca="false">IF(OR(D986="",D988=""),"",D986*D988)</f>
        <v/>
      </c>
      <c r="E989" s="31" t="str">
        <f aca="false">IF(OR(E986="",E988=""),"",E986*E988)</f>
        <v/>
      </c>
      <c r="F989" s="31" t="str">
        <f aca="false">IF(OR(F986="",F988=""),"",F986*F988)</f>
        <v/>
      </c>
      <c r="G989" s="31" t="str">
        <f aca="false">IF(OR(G986="",G988=""),"",G986*G988)</f>
        <v/>
      </c>
      <c r="H989" s="31" t="str">
        <f aca="false">IF(OR(H986="",H988=""),"",H986*H988)</f>
        <v/>
      </c>
      <c r="I989" s="31" t="str">
        <f aca="false">IF(COUNT(D989:H989)=0,"",SUM(D989:H989))</f>
        <v/>
      </c>
      <c r="J989" s="24"/>
      <c r="K989" s="32" t="s">
        <v>198</v>
      </c>
      <c r="L989" s="32" t="n">
        <f aca="false">D968</f>
        <v>0</v>
      </c>
      <c r="M989" s="32" t="n">
        <f aca="false">E968</f>
        <v>0</v>
      </c>
      <c r="N989" s="32" t="n">
        <f aca="false">F968</f>
        <v>0</v>
      </c>
      <c r="O989" s="32" t="n">
        <f aca="false">G968</f>
        <v>0</v>
      </c>
      <c r="P989" s="32" t="n">
        <f aca="false">H968</f>
        <v>0</v>
      </c>
    </row>
    <row r="990" customFormat="false" ht="15" hidden="false" customHeight="false" outlineLevel="0" collapsed="false">
      <c r="B990" s="9" t="s">
        <v>150</v>
      </c>
      <c r="C990" s="15" t="s">
        <v>32</v>
      </c>
      <c r="D990" s="37" t="str">
        <f aca="false">IF(OR(JobType&lt;&gt;"Decontamination",D989=""),"",IFERROR(D989*INDEX(DecChem,MATCH(D968,DecTypeU,0))*1000,""))</f>
        <v/>
      </c>
      <c r="E990" s="37" t="str">
        <f aca="false">IF(OR(JobType&lt;&gt;"Decontamination",E989=""),"",IFERROR(E989*INDEX(DecChem,MATCH(E968,DecTypeU,0))*1000,""))</f>
        <v/>
      </c>
      <c r="F990" s="37" t="str">
        <f aca="false">IF(OR(JobType&lt;&gt;"Decontamination",F989=""),"",IFERROR(F989*INDEX(DecChem,MATCH(F968,DecTypeU,0))*1000,""))</f>
        <v/>
      </c>
      <c r="G990" s="37" t="str">
        <f aca="false">IF(OR(JobType&lt;&gt;"Decontamination",G989=""),"",IFERROR(G989*INDEX(DecChem,MATCH(G968,DecTypeU,0))*1000,""))</f>
        <v/>
      </c>
      <c r="H990" s="37" t="str">
        <f aca="false">IF(OR(JobType&lt;&gt;"Decontamination",H989=""),"",IFERROR(H989*INDEX(DecChem,MATCH(H968,DecTypeU,0))*1000,""))</f>
        <v/>
      </c>
      <c r="I990" s="38" t="str">
        <f aca="false">IF(COUNT(D990:H990)=0,"",SUM(D990:H990))</f>
        <v/>
      </c>
      <c r="J990" s="24" t="s">
        <v>199</v>
      </c>
      <c r="K990" s="32" t="s">
        <v>200</v>
      </c>
      <c r="L990" s="32" t="n">
        <f aca="false">D968</f>
        <v>0</v>
      </c>
      <c r="M990" s="32" t="n">
        <f aca="false">E968</f>
        <v>0</v>
      </c>
      <c r="N990" s="32" t="n">
        <f aca="false">F968</f>
        <v>0</v>
      </c>
      <c r="O990" s="32" t="n">
        <f aca="false">G968</f>
        <v>0</v>
      </c>
      <c r="P990" s="32" t="n">
        <f aca="false">H968</f>
        <v>0</v>
      </c>
    </row>
    <row r="992" customFormat="false" ht="15" hidden="false" customHeight="false" outlineLevel="0" collapsed="false">
      <c r="A992" s="20" t="n">
        <v>4</v>
      </c>
      <c r="B992" s="21" t="s">
        <v>203</v>
      </c>
      <c r="C992" s="22"/>
      <c r="D992" s="22"/>
      <c r="E992" s="22"/>
      <c r="F992" s="22"/>
      <c r="G992" s="22"/>
      <c r="H992" s="22"/>
      <c r="I992" s="22"/>
      <c r="J992" s="22"/>
    </row>
    <row r="993" customFormat="false" ht="15" hidden="false" customHeight="false" outlineLevel="0" collapsed="false">
      <c r="B993" s="9" t="s">
        <v>83</v>
      </c>
      <c r="C993" s="15" t="s">
        <v>29</v>
      </c>
      <c r="D993" s="8"/>
      <c r="E993" s="8"/>
      <c r="F993" s="8"/>
      <c r="G993" s="8"/>
      <c r="H993" s="8"/>
      <c r="I993" s="23"/>
      <c r="J993" s="24"/>
    </row>
    <row r="994" customFormat="false" ht="15" hidden="false" customHeight="false" outlineLevel="0" collapsed="false">
      <c r="B994" s="9" t="s">
        <v>86</v>
      </c>
      <c r="C994" s="15" t="s">
        <v>29</v>
      </c>
      <c r="D994" s="8"/>
      <c r="E994" s="8"/>
      <c r="F994" s="8"/>
      <c r="G994" s="8"/>
      <c r="H994" s="8"/>
      <c r="I994" s="23"/>
      <c r="J994" s="24"/>
    </row>
    <row r="995" customFormat="false" ht="15" hidden="false" customHeight="false" outlineLevel="0" collapsed="false">
      <c r="B995" s="9" t="s">
        <v>175</v>
      </c>
      <c r="C995" s="15" t="s">
        <v>29</v>
      </c>
      <c r="D995" s="8"/>
      <c r="E995" s="8"/>
      <c r="F995" s="8"/>
      <c r="G995" s="8"/>
      <c r="H995" s="8"/>
      <c r="I995" s="23"/>
      <c r="J995" s="24" t="s">
        <v>176</v>
      </c>
    </row>
    <row r="996" customFormat="false" ht="15" hidden="false" customHeight="false" outlineLevel="0" collapsed="false">
      <c r="B996" s="25" t="s">
        <v>177</v>
      </c>
      <c r="C996" s="26"/>
      <c r="D996" s="26"/>
      <c r="E996" s="26"/>
      <c r="F996" s="26"/>
      <c r="G996" s="26"/>
      <c r="H996" s="26"/>
      <c r="I996" s="26"/>
      <c r="J996" s="26"/>
    </row>
    <row r="997" customFormat="false" ht="15" hidden="false" customHeight="false" outlineLevel="0" collapsed="false">
      <c r="B997" s="9" t="s">
        <v>178</v>
      </c>
      <c r="C997" s="8" t="s">
        <v>92</v>
      </c>
      <c r="D997" s="8"/>
      <c r="E997" s="8"/>
      <c r="F997" s="8"/>
      <c r="G997" s="8"/>
      <c r="H997" s="8"/>
      <c r="I997" s="23"/>
      <c r="J997" s="24"/>
    </row>
    <row r="998" customFormat="false" ht="15" hidden="false" customHeight="false" outlineLevel="0" collapsed="false">
      <c r="B998" s="9" t="s">
        <v>179</v>
      </c>
      <c r="C998" s="8" t="s">
        <v>92</v>
      </c>
      <c r="D998" s="8"/>
      <c r="E998" s="8"/>
      <c r="F998" s="8"/>
      <c r="G998" s="8"/>
      <c r="H998" s="8"/>
      <c r="I998" s="23"/>
      <c r="J998" s="24"/>
    </row>
    <row r="999" customFormat="false" ht="15" hidden="false" customHeight="false" outlineLevel="0" collapsed="false">
      <c r="B999" s="9" t="s">
        <v>180</v>
      </c>
      <c r="C999" s="15" t="s">
        <v>29</v>
      </c>
      <c r="D999" s="8"/>
      <c r="E999" s="8"/>
      <c r="F999" s="8"/>
      <c r="G999" s="8"/>
      <c r="H999" s="8"/>
      <c r="I999" s="23"/>
      <c r="J999" s="24"/>
    </row>
    <row r="1000" customFormat="false" ht="15" hidden="false" customHeight="false" outlineLevel="0" collapsed="false">
      <c r="B1000" s="9" t="s">
        <v>181</v>
      </c>
      <c r="C1000" s="8" t="s">
        <v>92</v>
      </c>
      <c r="D1000" s="8"/>
      <c r="E1000" s="8"/>
      <c r="F1000" s="8"/>
      <c r="G1000" s="8"/>
      <c r="H1000" s="8"/>
      <c r="I1000" s="23"/>
      <c r="J1000" s="24"/>
    </row>
    <row r="1001" customFormat="false" ht="15" hidden="false" customHeight="false" outlineLevel="0" collapsed="false">
      <c r="B1001" s="9" t="s">
        <v>182</v>
      </c>
      <c r="C1001" s="15" t="s">
        <v>29</v>
      </c>
      <c r="D1001" s="8"/>
      <c r="E1001" s="8"/>
      <c r="F1001" s="8"/>
      <c r="G1001" s="8"/>
      <c r="H1001" s="8"/>
      <c r="I1001" s="23"/>
      <c r="J1001" s="24"/>
    </row>
    <row r="1002" customFormat="false" ht="15" hidden="false" customHeight="false" outlineLevel="0" collapsed="false">
      <c r="B1002" s="9" t="s">
        <v>183</v>
      </c>
      <c r="C1002" s="8" t="s">
        <v>92</v>
      </c>
      <c r="D1002" s="8"/>
      <c r="E1002" s="8"/>
      <c r="F1002" s="8"/>
      <c r="G1002" s="8"/>
      <c r="H1002" s="8"/>
      <c r="I1002" s="23"/>
      <c r="J1002" s="24"/>
    </row>
    <row r="1003" customFormat="false" ht="15" hidden="false" customHeight="false" outlineLevel="0" collapsed="false">
      <c r="B1003" s="9" t="s">
        <v>184</v>
      </c>
      <c r="C1003" s="8" t="s">
        <v>112</v>
      </c>
      <c r="D1003" s="8"/>
      <c r="E1003" s="8"/>
      <c r="F1003" s="8"/>
      <c r="G1003" s="8"/>
      <c r="H1003" s="8"/>
      <c r="I1003" s="23"/>
      <c r="J1003" s="24"/>
    </row>
    <row r="1004" customFormat="false" ht="15" hidden="false" customHeight="false" outlineLevel="0" collapsed="false">
      <c r="B1004" s="25" t="s">
        <v>185</v>
      </c>
      <c r="C1004" s="26"/>
      <c r="D1004" s="26"/>
      <c r="E1004" s="26"/>
      <c r="F1004" s="26"/>
      <c r="G1004" s="26"/>
      <c r="H1004" s="26"/>
      <c r="I1004" s="26"/>
      <c r="J1004" s="26"/>
    </row>
    <row r="1005" customFormat="false" ht="15" hidden="false" customHeight="false" outlineLevel="0" collapsed="false">
      <c r="B1005" s="9" t="s">
        <v>186</v>
      </c>
      <c r="C1005" s="15" t="s">
        <v>29</v>
      </c>
      <c r="D1005" s="8" t="s">
        <v>122</v>
      </c>
      <c r="E1005" s="8" t="s">
        <v>122</v>
      </c>
      <c r="F1005" s="8" t="s">
        <v>122</v>
      </c>
      <c r="G1005" s="8" t="s">
        <v>122</v>
      </c>
      <c r="H1005" s="8" t="s">
        <v>122</v>
      </c>
      <c r="I1005" s="23"/>
      <c r="J1005" s="24"/>
    </row>
    <row r="1006" customFormat="false" ht="15" hidden="false" customHeight="false" outlineLevel="0" collapsed="false">
      <c r="B1006" s="9" t="s">
        <v>187</v>
      </c>
      <c r="C1006" s="15" t="s">
        <v>29</v>
      </c>
      <c r="D1006" s="8" t="s">
        <v>61</v>
      </c>
      <c r="E1006" s="8" t="s">
        <v>61</v>
      </c>
      <c r="F1006" s="8" t="s">
        <v>61</v>
      </c>
      <c r="G1006" s="8" t="s">
        <v>61</v>
      </c>
      <c r="H1006" s="8" t="s">
        <v>61</v>
      </c>
      <c r="I1006" s="23"/>
      <c r="J1006" s="24" t="s">
        <v>188</v>
      </c>
    </row>
    <row r="1007" customFormat="false" ht="15" hidden="false" customHeight="false" outlineLevel="0" collapsed="false">
      <c r="B1007" s="25" t="s">
        <v>124</v>
      </c>
      <c r="C1007" s="26"/>
      <c r="D1007" s="26"/>
      <c r="E1007" s="26"/>
      <c r="F1007" s="26"/>
      <c r="G1007" s="26"/>
      <c r="H1007" s="26"/>
      <c r="I1007" s="26"/>
      <c r="J1007" s="26"/>
    </row>
    <row r="1008" customFormat="false" ht="15" hidden="false" customHeight="false" outlineLevel="0" collapsed="false">
      <c r="B1008" s="9" t="s">
        <v>189</v>
      </c>
      <c r="C1008" s="15" t="s">
        <v>109</v>
      </c>
      <c r="D1008" s="29" t="str">
        <f aca="false">IF(ISNUMBER(D997),PI()/4*(D997*INDEX(LenF,MATCH($C$997,LenU,0)))^2*N(D998)*INDEX(LenF,MATCH($C$998,LenU,0)),"")</f>
        <v/>
      </c>
      <c r="E1008" s="29" t="str">
        <f aca="false">IF(ISNUMBER(E997),PI()/4*(E997*INDEX(LenF,MATCH($C$997,LenU,0)))^2*N(E998)*INDEX(LenF,MATCH($C$998,LenU,0)),"")</f>
        <v/>
      </c>
      <c r="F1008" s="29" t="str">
        <f aca="false">IF(ISNUMBER(F997),PI()/4*(F997*INDEX(LenF,MATCH($C$997,LenU,0)))^2*N(F998)*INDEX(LenF,MATCH($C$998,LenU,0)),"")</f>
        <v/>
      </c>
      <c r="G1008" s="29" t="str">
        <f aca="false">IF(ISNUMBER(G997),PI()/4*(G997*INDEX(LenF,MATCH($C$997,LenU,0)))^2*N(G998)*INDEX(LenF,MATCH($C$998,LenU,0)),"")</f>
        <v/>
      </c>
      <c r="H1008" s="29" t="str">
        <f aca="false">IF(ISNUMBER(H997),PI()/4*(H997*INDEX(LenF,MATCH($C$997,LenU,0)))^2*N(H998)*INDEX(LenF,MATCH($C$998,LenU,0)),"")</f>
        <v/>
      </c>
      <c r="I1008" s="30" t="str">
        <f aca="false">IF(COUNT(D1008:H1008)=0,"",SUM(D1008:H1008))</f>
        <v/>
      </c>
      <c r="J1008" s="24"/>
    </row>
    <row r="1009" customFormat="false" ht="15" hidden="false" customHeight="false" outlineLevel="0" collapsed="false">
      <c r="B1009" s="9" t="s">
        <v>190</v>
      </c>
      <c r="C1009" s="15" t="s">
        <v>109</v>
      </c>
      <c r="D1009" s="29" t="str">
        <f aca="false">IF(ISNUMBER(D997),IF(D999="",0,IF(D999="Conical",PI()/12*(D997*INDEX(LenF,MATCH($C$997,LenU,0)))^2*(N(D1000)*INDEX(LenF,MATCH($C$1000,LenU,0))),INDEX(HeadK,MATCH(D999,HeadU,0))*(D997*INDEX(LenF,MATCH($C$997,LenU,0)))^3)),"")</f>
        <v/>
      </c>
      <c r="E1009" s="29" t="str">
        <f aca="false">IF(ISNUMBER(E997),IF(E999="",0,IF(E999="Conical",PI()/12*(E997*INDEX(LenF,MATCH($C$997,LenU,0)))^2*(N(E1000)*INDEX(LenF,MATCH($C$1000,LenU,0))),INDEX(HeadK,MATCH(E999,HeadU,0))*(E997*INDEX(LenF,MATCH($C$997,LenU,0)))^3)),"")</f>
        <v/>
      </c>
      <c r="F1009" s="29" t="str">
        <f aca="false">IF(ISNUMBER(F997),IF(F999="",0,IF(F999="Conical",PI()/12*(F997*INDEX(LenF,MATCH($C$997,LenU,0)))^2*(N(F1000)*INDEX(LenF,MATCH($C$1000,LenU,0))),INDEX(HeadK,MATCH(F999,HeadU,0))*(F997*INDEX(LenF,MATCH($C$997,LenU,0)))^3)),"")</f>
        <v/>
      </c>
      <c r="G1009" s="29" t="str">
        <f aca="false">IF(ISNUMBER(G997),IF(G999="",0,IF(G999="Conical",PI()/12*(G997*INDEX(LenF,MATCH($C$997,LenU,0)))^2*(N(G1000)*INDEX(LenF,MATCH($C$1000,LenU,0))),INDEX(HeadK,MATCH(G999,HeadU,0))*(G997*INDEX(LenF,MATCH($C$997,LenU,0)))^3)),"")</f>
        <v/>
      </c>
      <c r="H1009" s="29" t="str">
        <f aca="false">IF(ISNUMBER(H997),IF(H999="",0,IF(H999="Conical",PI()/12*(H997*INDEX(LenF,MATCH($C$997,LenU,0)))^2*(N(H1000)*INDEX(LenF,MATCH($C$1000,LenU,0))),INDEX(HeadK,MATCH(H999,HeadU,0))*(H997*INDEX(LenF,MATCH($C$997,LenU,0)))^3)),"")</f>
        <v/>
      </c>
      <c r="I1009" s="30" t="str">
        <f aca="false">IF(COUNT(D1009:H1009)=0,"",SUM(D1009:H1009))</f>
        <v/>
      </c>
      <c r="J1009" s="24"/>
    </row>
    <row r="1010" customFormat="false" ht="15" hidden="false" customHeight="false" outlineLevel="0" collapsed="false">
      <c r="B1010" s="9" t="s">
        <v>191</v>
      </c>
      <c r="C1010" s="15" t="s">
        <v>109</v>
      </c>
      <c r="D1010" s="29" t="str">
        <f aca="false">IF(ISNUMBER(D997),IF(D1001="",0,IF(D1001="Conical",PI()/12*(D997*INDEX(LenF,MATCH($C$997,LenU,0)))^2*(N(D1002)*INDEX(LenF,MATCH($C$1002,LenU,0))),INDEX(HeadK,MATCH(D1001,HeadU,0))*(D997*INDEX(LenF,MATCH($C$997,LenU,0)))^3)),"")</f>
        <v/>
      </c>
      <c r="E1010" s="29" t="str">
        <f aca="false">IF(ISNUMBER(E997),IF(E1001="",0,IF(E1001="Conical",PI()/12*(E997*INDEX(LenF,MATCH($C$997,LenU,0)))^2*(N(E1002)*INDEX(LenF,MATCH($C$1002,LenU,0))),INDEX(HeadK,MATCH(E1001,HeadU,0))*(E997*INDEX(LenF,MATCH($C$997,LenU,0)))^3)),"")</f>
        <v/>
      </c>
      <c r="F1010" s="29" t="str">
        <f aca="false">IF(ISNUMBER(F997),IF(F1001="",0,IF(F1001="Conical",PI()/12*(F997*INDEX(LenF,MATCH($C$997,LenU,0)))^2*(N(F1002)*INDEX(LenF,MATCH($C$1002,LenU,0))),INDEX(HeadK,MATCH(F1001,HeadU,0))*(F997*INDEX(LenF,MATCH($C$997,LenU,0)))^3)),"")</f>
        <v/>
      </c>
      <c r="G1010" s="29" t="str">
        <f aca="false">IF(ISNUMBER(G997),IF(G1001="",0,IF(G1001="Conical",PI()/12*(G997*INDEX(LenF,MATCH($C$997,LenU,0)))^2*(N(G1002)*INDEX(LenF,MATCH($C$1002,LenU,0))),INDEX(HeadK,MATCH(G1001,HeadU,0))*(G997*INDEX(LenF,MATCH($C$997,LenU,0)))^3)),"")</f>
        <v/>
      </c>
      <c r="H1010" s="29" t="str">
        <f aca="false">IF(ISNUMBER(H997),IF(H1001="",0,IF(H1001="Conical",PI()/12*(H997*INDEX(LenF,MATCH($C$997,LenU,0)))^2*(N(H1002)*INDEX(LenF,MATCH($C$1002,LenU,0))),INDEX(HeadK,MATCH(H1001,HeadU,0))*(H997*INDEX(LenF,MATCH($C$997,LenU,0)))^3)),"")</f>
        <v/>
      </c>
      <c r="I1010" s="30" t="str">
        <f aca="false">IF(COUNT(D1010:H1010)=0,"",SUM(D1010:H1010))</f>
        <v/>
      </c>
      <c r="J1010" s="24"/>
    </row>
    <row r="1011" customFormat="false" ht="15" hidden="false" customHeight="false" outlineLevel="0" collapsed="false">
      <c r="B1011" s="9" t="s">
        <v>192</v>
      </c>
      <c r="C1011" s="15" t="s">
        <v>109</v>
      </c>
      <c r="D1011" s="29" t="str">
        <f aca="false">IF(ISNUMBER(D997),D1008+D1009+D1010,"")</f>
        <v/>
      </c>
      <c r="E1011" s="29" t="str">
        <f aca="false">IF(ISNUMBER(E997),E1008+E1009+E1010,"")</f>
        <v/>
      </c>
      <c r="F1011" s="29" t="str">
        <f aca="false">IF(ISNUMBER(F997),F1008+F1009+F1010,"")</f>
        <v/>
      </c>
      <c r="G1011" s="29" t="str">
        <f aca="false">IF(ISNUMBER(G997),G1008+G1009+G1010,"")</f>
        <v/>
      </c>
      <c r="H1011" s="29" t="str">
        <f aca="false">IF(ISNUMBER(H997),H1008+H1009+H1010,"")</f>
        <v/>
      </c>
      <c r="I1011" s="30" t="str">
        <f aca="false">IF(COUNT(D1011:H1011)=0,"",SUM(D1011:H1011))</f>
        <v/>
      </c>
      <c r="J1011" s="24"/>
    </row>
    <row r="1012" customFormat="false" ht="15" hidden="false" customHeight="false" outlineLevel="0" collapsed="false">
      <c r="B1012" s="9" t="s">
        <v>193</v>
      </c>
      <c r="C1012" s="15" t="s">
        <v>109</v>
      </c>
      <c r="D1012" s="29" t="str">
        <f aca="false">IF(ISNUMBER(D1003),D1003*INDEX(WtF,MATCH($C$1003,WtU,0))/WaterRho,"")</f>
        <v/>
      </c>
      <c r="E1012" s="29" t="str">
        <f aca="false">IF(ISNUMBER(E1003),E1003*INDEX(WtF,MATCH($C$1003,WtU,0))/WaterRho,"")</f>
        <v/>
      </c>
      <c r="F1012" s="29" t="str">
        <f aca="false">IF(ISNUMBER(F1003),F1003*INDEX(WtF,MATCH($C$1003,WtU,0))/WaterRho,"")</f>
        <v/>
      </c>
      <c r="G1012" s="29" t="str">
        <f aca="false">IF(ISNUMBER(G1003),G1003*INDEX(WtF,MATCH($C$1003,WtU,0))/WaterRho,"")</f>
        <v/>
      </c>
      <c r="H1012" s="29" t="str">
        <f aca="false">IF(ISNUMBER(H1003),H1003*INDEX(WtF,MATCH($C$1003,WtU,0))/WaterRho,"")</f>
        <v/>
      </c>
      <c r="I1012" s="30" t="str">
        <f aca="false">IF(COUNT(D1012:H1012)=0,"",SUM(D1012:H1012))</f>
        <v/>
      </c>
      <c r="J1012" s="24"/>
    </row>
    <row r="1013" customFormat="false" ht="15" hidden="false" customHeight="false" outlineLevel="0" collapsed="false">
      <c r="B1013" s="4" t="s">
        <v>194</v>
      </c>
      <c r="C1013" s="15" t="s">
        <v>109</v>
      </c>
      <c r="D1013" s="31" t="str">
        <f aca="false">IF(D1005="Water weight",D1012,D1011)</f>
        <v/>
      </c>
      <c r="E1013" s="31" t="str">
        <f aca="false">IF(E1005="Water weight",E1012,E1011)</f>
        <v/>
      </c>
      <c r="F1013" s="31" t="str">
        <f aca="false">IF(F1005="Water weight",F1012,F1011)</f>
        <v/>
      </c>
      <c r="G1013" s="31" t="str">
        <f aca="false">IF(G1005="Water weight",G1012,G1011)</f>
        <v/>
      </c>
      <c r="H1013" s="31" t="str">
        <f aca="false">IF(H1005="Water weight",H1012,H1011)</f>
        <v/>
      </c>
      <c r="I1013" s="31" t="str">
        <f aca="false">IF(COUNT(D1013:H1013)=0,"",SUM(D1013:H1013))</f>
        <v/>
      </c>
      <c r="J1013" s="24"/>
      <c r="K1013" s="32" t="s">
        <v>195</v>
      </c>
      <c r="L1013" s="32" t="n">
        <f aca="false">D995</f>
        <v>0</v>
      </c>
      <c r="M1013" s="32" t="n">
        <f aca="false">E995</f>
        <v>0</v>
      </c>
      <c r="N1013" s="32" t="n">
        <f aca="false">F995</f>
        <v>0</v>
      </c>
      <c r="O1013" s="32" t="n">
        <f aca="false">G995</f>
        <v>0</v>
      </c>
      <c r="P1013" s="32" t="n">
        <f aca="false">H995</f>
        <v>0</v>
      </c>
    </row>
    <row r="1014" customFormat="false" ht="36" hidden="false" customHeight="true" outlineLevel="0" collapsed="false">
      <c r="B1014" s="9" t="s">
        <v>196</v>
      </c>
      <c r="C1014" s="15" t="s">
        <v>29</v>
      </c>
      <c r="D1014" s="39" t="str">
        <f aca="false">IF(D1013="","",IF(JobType="Chemical Cleaning",D1006,IFERROR(INDEX(DecMeth,MATCH(D995,DecTypeU,0)),"⚠ select equipment type")))</f>
        <v/>
      </c>
      <c r="E1014" s="39" t="str">
        <f aca="false">IF(E1013="","",IF(JobType="Chemical Cleaning",E1006,IFERROR(INDEX(DecMeth,MATCH(E995,DecTypeU,0)),"⚠ select equipment type")))</f>
        <v/>
      </c>
      <c r="F1014" s="39" t="str">
        <f aca="false">IF(F1013="","",IF(JobType="Chemical Cleaning",F1006,IFERROR(INDEX(DecMeth,MATCH(F995,DecTypeU,0)),"⚠ select equipment type")))</f>
        <v/>
      </c>
      <c r="G1014" s="39" t="str">
        <f aca="false">IF(G1013="","",IF(JobType="Chemical Cleaning",G1006,IFERROR(INDEX(DecMeth,MATCH(G995,DecTypeU,0)),"⚠ select equipment type")))</f>
        <v/>
      </c>
      <c r="H1014" s="39" t="str">
        <f aca="false">IF(H1013="","",IF(JobType="Chemical Cleaning",H1006,IFERROR(INDEX(DecMeth,MATCH(H995,DecTypeU,0)),"⚠ select equipment type")))</f>
        <v/>
      </c>
      <c r="I1014" s="40"/>
      <c r="J1014" s="24"/>
    </row>
    <row r="1015" customFormat="false" ht="15" hidden="false" customHeight="false" outlineLevel="0" collapsed="false">
      <c r="B1015" s="9" t="s">
        <v>60</v>
      </c>
      <c r="C1015" s="15" t="s">
        <v>146</v>
      </c>
      <c r="D1015" s="35" t="str">
        <f aca="false">IF(D1013="","",IF(JobType="Chemical Cleaning",IFERROR(INDEX(CCMethPct,MATCH(D1006,CCMethU,0)),""),IFERROR(INDEX(DecFill,MATCH(D995,DecTypeU,0)),"")))</f>
        <v/>
      </c>
      <c r="E1015" s="35" t="str">
        <f aca="false">IF(E1013="","",IF(JobType="Chemical Cleaning",IFERROR(INDEX(CCMethPct,MATCH(E1006,CCMethU,0)),""),IFERROR(INDEX(DecFill,MATCH(E995,DecTypeU,0)),"")))</f>
        <v/>
      </c>
      <c r="F1015" s="35" t="str">
        <f aca="false">IF(F1013="","",IF(JobType="Chemical Cleaning",IFERROR(INDEX(CCMethPct,MATCH(F1006,CCMethU,0)),""),IFERROR(INDEX(DecFill,MATCH(F995,DecTypeU,0)),"")))</f>
        <v/>
      </c>
      <c r="G1015" s="35" t="str">
        <f aca="false">IF(G1013="","",IF(JobType="Chemical Cleaning",IFERROR(INDEX(CCMethPct,MATCH(G1006,CCMethU,0)),""),IFERROR(INDEX(DecFill,MATCH(G995,DecTypeU,0)),"")))</f>
        <v/>
      </c>
      <c r="H1015" s="35" t="str">
        <f aca="false">IF(H1013="","",IF(JobType="Chemical Cleaning",IFERROR(INDEX(CCMethPct,MATCH(H1006,CCMethU,0)),""),IFERROR(INDEX(DecFill,MATCH(H995,DecTypeU,0)),"")))</f>
        <v/>
      </c>
      <c r="I1015" s="36"/>
      <c r="J1015" s="24" t="s">
        <v>197</v>
      </c>
    </row>
    <row r="1016" customFormat="false" ht="15" hidden="false" customHeight="false" outlineLevel="0" collapsed="false">
      <c r="B1016" s="4" t="s">
        <v>148</v>
      </c>
      <c r="C1016" s="15" t="s">
        <v>109</v>
      </c>
      <c r="D1016" s="31" t="str">
        <f aca="false">IF(OR(D1013="",D1015=""),"",D1013*D1015)</f>
        <v/>
      </c>
      <c r="E1016" s="31" t="str">
        <f aca="false">IF(OR(E1013="",E1015=""),"",E1013*E1015)</f>
        <v/>
      </c>
      <c r="F1016" s="31" t="str">
        <f aca="false">IF(OR(F1013="",F1015=""),"",F1013*F1015)</f>
        <v/>
      </c>
      <c r="G1016" s="31" t="str">
        <f aca="false">IF(OR(G1013="",G1015=""),"",G1013*G1015)</f>
        <v/>
      </c>
      <c r="H1016" s="31" t="str">
        <f aca="false">IF(OR(H1013="",H1015=""),"",H1013*H1015)</f>
        <v/>
      </c>
      <c r="I1016" s="31" t="str">
        <f aca="false">IF(COUNT(D1016:H1016)=0,"",SUM(D1016:H1016))</f>
        <v/>
      </c>
      <c r="J1016" s="24"/>
      <c r="K1016" s="32" t="s">
        <v>198</v>
      </c>
      <c r="L1016" s="32" t="n">
        <f aca="false">D995</f>
        <v>0</v>
      </c>
      <c r="M1016" s="32" t="n">
        <f aca="false">E995</f>
        <v>0</v>
      </c>
      <c r="N1016" s="32" t="n">
        <f aca="false">F995</f>
        <v>0</v>
      </c>
      <c r="O1016" s="32" t="n">
        <f aca="false">G995</f>
        <v>0</v>
      </c>
      <c r="P1016" s="32" t="n">
        <f aca="false">H995</f>
        <v>0</v>
      </c>
    </row>
    <row r="1017" customFormat="false" ht="15" hidden="false" customHeight="false" outlineLevel="0" collapsed="false">
      <c r="B1017" s="9" t="s">
        <v>150</v>
      </c>
      <c r="C1017" s="15" t="s">
        <v>32</v>
      </c>
      <c r="D1017" s="37" t="str">
        <f aca="false">IF(OR(JobType&lt;&gt;"Decontamination",D1016=""),"",IFERROR(D1016*INDEX(DecChem,MATCH(D995,DecTypeU,0))*1000,""))</f>
        <v/>
      </c>
      <c r="E1017" s="37" t="str">
        <f aca="false">IF(OR(JobType&lt;&gt;"Decontamination",E1016=""),"",IFERROR(E1016*INDEX(DecChem,MATCH(E995,DecTypeU,0))*1000,""))</f>
        <v/>
      </c>
      <c r="F1017" s="37" t="str">
        <f aca="false">IF(OR(JobType&lt;&gt;"Decontamination",F1016=""),"",IFERROR(F1016*INDEX(DecChem,MATCH(F995,DecTypeU,0))*1000,""))</f>
        <v/>
      </c>
      <c r="G1017" s="37" t="str">
        <f aca="false">IF(OR(JobType&lt;&gt;"Decontamination",G1016=""),"",IFERROR(G1016*INDEX(DecChem,MATCH(G995,DecTypeU,0))*1000,""))</f>
        <v/>
      </c>
      <c r="H1017" s="37" t="str">
        <f aca="false">IF(OR(JobType&lt;&gt;"Decontamination",H1016=""),"",IFERROR(H1016*INDEX(DecChem,MATCH(H995,DecTypeU,0))*1000,""))</f>
        <v/>
      </c>
      <c r="I1017" s="38" t="str">
        <f aca="false">IF(COUNT(D1017:H1017)=0,"",SUM(D1017:H1017))</f>
        <v/>
      </c>
      <c r="J1017" s="24" t="s">
        <v>199</v>
      </c>
      <c r="K1017" s="32" t="s">
        <v>200</v>
      </c>
      <c r="L1017" s="32" t="n">
        <f aca="false">D995</f>
        <v>0</v>
      </c>
      <c r="M1017" s="32" t="n">
        <f aca="false">E995</f>
        <v>0</v>
      </c>
      <c r="N1017" s="32" t="n">
        <f aca="false">F995</f>
        <v>0</v>
      </c>
      <c r="O1017" s="32" t="n">
        <f aca="false">G995</f>
        <v>0</v>
      </c>
      <c r="P1017" s="32" t="n">
        <f aca="false">H995</f>
        <v>0</v>
      </c>
    </row>
    <row r="1019" customFormat="false" ht="15" hidden="false" customHeight="false" outlineLevel="0" collapsed="false">
      <c r="A1019" s="20" t="n">
        <v>5</v>
      </c>
      <c r="B1019" s="21" t="s">
        <v>204</v>
      </c>
      <c r="C1019" s="22"/>
      <c r="D1019" s="22"/>
      <c r="E1019" s="22"/>
      <c r="F1019" s="22"/>
      <c r="G1019" s="22"/>
      <c r="H1019" s="22"/>
      <c r="I1019" s="22"/>
      <c r="J1019" s="22"/>
    </row>
    <row r="1020" customFormat="false" ht="15" hidden="false" customHeight="false" outlineLevel="0" collapsed="false">
      <c r="B1020" s="9" t="s">
        <v>83</v>
      </c>
      <c r="C1020" s="15" t="s">
        <v>29</v>
      </c>
      <c r="D1020" s="8"/>
      <c r="E1020" s="8"/>
      <c r="F1020" s="8"/>
      <c r="G1020" s="8"/>
      <c r="H1020" s="8"/>
      <c r="I1020" s="23"/>
      <c r="J1020" s="24"/>
    </row>
    <row r="1021" customFormat="false" ht="15" hidden="false" customHeight="false" outlineLevel="0" collapsed="false">
      <c r="B1021" s="9" t="s">
        <v>86</v>
      </c>
      <c r="C1021" s="15" t="s">
        <v>29</v>
      </c>
      <c r="D1021" s="8"/>
      <c r="E1021" s="8"/>
      <c r="F1021" s="8"/>
      <c r="G1021" s="8"/>
      <c r="H1021" s="8"/>
      <c r="I1021" s="23"/>
      <c r="J1021" s="24"/>
    </row>
    <row r="1022" customFormat="false" ht="15" hidden="false" customHeight="false" outlineLevel="0" collapsed="false">
      <c r="B1022" s="9" t="s">
        <v>175</v>
      </c>
      <c r="C1022" s="15" t="s">
        <v>29</v>
      </c>
      <c r="D1022" s="8"/>
      <c r="E1022" s="8"/>
      <c r="F1022" s="8"/>
      <c r="G1022" s="8"/>
      <c r="H1022" s="8"/>
      <c r="I1022" s="23"/>
      <c r="J1022" s="24" t="s">
        <v>176</v>
      </c>
    </row>
    <row r="1023" customFormat="false" ht="15" hidden="false" customHeight="false" outlineLevel="0" collapsed="false">
      <c r="B1023" s="25" t="s">
        <v>177</v>
      </c>
      <c r="C1023" s="26"/>
      <c r="D1023" s="26"/>
      <c r="E1023" s="26"/>
      <c r="F1023" s="26"/>
      <c r="G1023" s="26"/>
      <c r="H1023" s="26"/>
      <c r="I1023" s="26"/>
      <c r="J1023" s="26"/>
    </row>
    <row r="1024" customFormat="false" ht="15" hidden="false" customHeight="false" outlineLevel="0" collapsed="false">
      <c r="B1024" s="9" t="s">
        <v>178</v>
      </c>
      <c r="C1024" s="8" t="s">
        <v>92</v>
      </c>
      <c r="D1024" s="8"/>
      <c r="E1024" s="8"/>
      <c r="F1024" s="8"/>
      <c r="G1024" s="8"/>
      <c r="H1024" s="8"/>
      <c r="I1024" s="23"/>
      <c r="J1024" s="24"/>
    </row>
    <row r="1025" customFormat="false" ht="15" hidden="false" customHeight="false" outlineLevel="0" collapsed="false">
      <c r="B1025" s="9" t="s">
        <v>179</v>
      </c>
      <c r="C1025" s="8" t="s">
        <v>92</v>
      </c>
      <c r="D1025" s="8"/>
      <c r="E1025" s="8"/>
      <c r="F1025" s="8"/>
      <c r="G1025" s="8"/>
      <c r="H1025" s="8"/>
      <c r="I1025" s="23"/>
      <c r="J1025" s="24"/>
    </row>
    <row r="1026" customFormat="false" ht="15" hidden="false" customHeight="false" outlineLevel="0" collapsed="false">
      <c r="B1026" s="9" t="s">
        <v>180</v>
      </c>
      <c r="C1026" s="15" t="s">
        <v>29</v>
      </c>
      <c r="D1026" s="8"/>
      <c r="E1026" s="8"/>
      <c r="F1026" s="8"/>
      <c r="G1026" s="8"/>
      <c r="H1026" s="8"/>
      <c r="I1026" s="23"/>
      <c r="J1026" s="24"/>
    </row>
    <row r="1027" customFormat="false" ht="15" hidden="false" customHeight="false" outlineLevel="0" collapsed="false">
      <c r="B1027" s="9" t="s">
        <v>181</v>
      </c>
      <c r="C1027" s="8" t="s">
        <v>92</v>
      </c>
      <c r="D1027" s="8"/>
      <c r="E1027" s="8"/>
      <c r="F1027" s="8"/>
      <c r="G1027" s="8"/>
      <c r="H1027" s="8"/>
      <c r="I1027" s="23"/>
      <c r="J1027" s="24"/>
    </row>
    <row r="1028" customFormat="false" ht="15" hidden="false" customHeight="false" outlineLevel="0" collapsed="false">
      <c r="B1028" s="9" t="s">
        <v>182</v>
      </c>
      <c r="C1028" s="15" t="s">
        <v>29</v>
      </c>
      <c r="D1028" s="8"/>
      <c r="E1028" s="8"/>
      <c r="F1028" s="8"/>
      <c r="G1028" s="8"/>
      <c r="H1028" s="8"/>
      <c r="I1028" s="23"/>
      <c r="J1028" s="24"/>
    </row>
    <row r="1029" customFormat="false" ht="15" hidden="false" customHeight="false" outlineLevel="0" collapsed="false">
      <c r="B1029" s="9" t="s">
        <v>183</v>
      </c>
      <c r="C1029" s="8" t="s">
        <v>92</v>
      </c>
      <c r="D1029" s="8"/>
      <c r="E1029" s="8"/>
      <c r="F1029" s="8"/>
      <c r="G1029" s="8"/>
      <c r="H1029" s="8"/>
      <c r="I1029" s="23"/>
      <c r="J1029" s="24"/>
    </row>
    <row r="1030" customFormat="false" ht="15" hidden="false" customHeight="false" outlineLevel="0" collapsed="false">
      <c r="B1030" s="9" t="s">
        <v>184</v>
      </c>
      <c r="C1030" s="8" t="s">
        <v>112</v>
      </c>
      <c r="D1030" s="8"/>
      <c r="E1030" s="8"/>
      <c r="F1030" s="8"/>
      <c r="G1030" s="8"/>
      <c r="H1030" s="8"/>
      <c r="I1030" s="23"/>
      <c r="J1030" s="24"/>
    </row>
    <row r="1031" customFormat="false" ht="15" hidden="false" customHeight="false" outlineLevel="0" collapsed="false">
      <c r="B1031" s="25" t="s">
        <v>185</v>
      </c>
      <c r="C1031" s="26"/>
      <c r="D1031" s="26"/>
      <c r="E1031" s="26"/>
      <c r="F1031" s="26"/>
      <c r="G1031" s="26"/>
      <c r="H1031" s="26"/>
      <c r="I1031" s="26"/>
      <c r="J1031" s="26"/>
    </row>
    <row r="1032" customFormat="false" ht="15" hidden="false" customHeight="false" outlineLevel="0" collapsed="false">
      <c r="B1032" s="9" t="s">
        <v>186</v>
      </c>
      <c r="C1032" s="15" t="s">
        <v>29</v>
      </c>
      <c r="D1032" s="8" t="s">
        <v>122</v>
      </c>
      <c r="E1032" s="8" t="s">
        <v>122</v>
      </c>
      <c r="F1032" s="8" t="s">
        <v>122</v>
      </c>
      <c r="G1032" s="8" t="s">
        <v>122</v>
      </c>
      <c r="H1032" s="8" t="s">
        <v>122</v>
      </c>
      <c r="I1032" s="23"/>
      <c r="J1032" s="24"/>
    </row>
    <row r="1033" customFormat="false" ht="15" hidden="false" customHeight="false" outlineLevel="0" collapsed="false">
      <c r="B1033" s="9" t="s">
        <v>187</v>
      </c>
      <c r="C1033" s="15" t="s">
        <v>29</v>
      </c>
      <c r="D1033" s="8" t="s">
        <v>61</v>
      </c>
      <c r="E1033" s="8" t="s">
        <v>61</v>
      </c>
      <c r="F1033" s="8" t="s">
        <v>61</v>
      </c>
      <c r="G1033" s="8" t="s">
        <v>61</v>
      </c>
      <c r="H1033" s="8" t="s">
        <v>61</v>
      </c>
      <c r="I1033" s="23"/>
      <c r="J1033" s="24" t="s">
        <v>188</v>
      </c>
    </row>
    <row r="1034" customFormat="false" ht="15" hidden="false" customHeight="false" outlineLevel="0" collapsed="false">
      <c r="B1034" s="25" t="s">
        <v>124</v>
      </c>
      <c r="C1034" s="26"/>
      <c r="D1034" s="26"/>
      <c r="E1034" s="26"/>
      <c r="F1034" s="26"/>
      <c r="G1034" s="26"/>
      <c r="H1034" s="26"/>
      <c r="I1034" s="26"/>
      <c r="J1034" s="26"/>
    </row>
    <row r="1035" customFormat="false" ht="15" hidden="false" customHeight="false" outlineLevel="0" collapsed="false">
      <c r="B1035" s="9" t="s">
        <v>189</v>
      </c>
      <c r="C1035" s="15" t="s">
        <v>109</v>
      </c>
      <c r="D1035" s="29" t="str">
        <f aca="false">IF(ISNUMBER(D1024),PI()/4*(D1024*INDEX(LenF,MATCH($C$1024,LenU,0)))^2*N(D1025)*INDEX(LenF,MATCH($C$1025,LenU,0)),"")</f>
        <v/>
      </c>
      <c r="E1035" s="29" t="str">
        <f aca="false">IF(ISNUMBER(E1024),PI()/4*(E1024*INDEX(LenF,MATCH($C$1024,LenU,0)))^2*N(E1025)*INDEX(LenF,MATCH($C$1025,LenU,0)),"")</f>
        <v/>
      </c>
      <c r="F1035" s="29" t="str">
        <f aca="false">IF(ISNUMBER(F1024),PI()/4*(F1024*INDEX(LenF,MATCH($C$1024,LenU,0)))^2*N(F1025)*INDEX(LenF,MATCH($C$1025,LenU,0)),"")</f>
        <v/>
      </c>
      <c r="G1035" s="29" t="str">
        <f aca="false">IF(ISNUMBER(G1024),PI()/4*(G1024*INDEX(LenF,MATCH($C$1024,LenU,0)))^2*N(G1025)*INDEX(LenF,MATCH($C$1025,LenU,0)),"")</f>
        <v/>
      </c>
      <c r="H1035" s="29" t="str">
        <f aca="false">IF(ISNUMBER(H1024),PI()/4*(H1024*INDEX(LenF,MATCH($C$1024,LenU,0)))^2*N(H1025)*INDEX(LenF,MATCH($C$1025,LenU,0)),"")</f>
        <v/>
      </c>
      <c r="I1035" s="30" t="str">
        <f aca="false">IF(COUNT(D1035:H1035)=0,"",SUM(D1035:H1035))</f>
        <v/>
      </c>
      <c r="J1035" s="24"/>
    </row>
    <row r="1036" customFormat="false" ht="15" hidden="false" customHeight="false" outlineLevel="0" collapsed="false">
      <c r="B1036" s="9" t="s">
        <v>190</v>
      </c>
      <c r="C1036" s="15" t="s">
        <v>109</v>
      </c>
      <c r="D1036" s="29" t="str">
        <f aca="false">IF(ISNUMBER(D1024),IF(D1026="",0,IF(D1026="Conical",PI()/12*(D1024*INDEX(LenF,MATCH($C$1024,LenU,0)))^2*(N(D1027)*INDEX(LenF,MATCH($C$1027,LenU,0))),INDEX(HeadK,MATCH(D1026,HeadU,0))*(D1024*INDEX(LenF,MATCH($C$1024,LenU,0)))^3)),"")</f>
        <v/>
      </c>
      <c r="E1036" s="29" t="str">
        <f aca="false">IF(ISNUMBER(E1024),IF(E1026="",0,IF(E1026="Conical",PI()/12*(E1024*INDEX(LenF,MATCH($C$1024,LenU,0)))^2*(N(E1027)*INDEX(LenF,MATCH($C$1027,LenU,0))),INDEX(HeadK,MATCH(E1026,HeadU,0))*(E1024*INDEX(LenF,MATCH($C$1024,LenU,0)))^3)),"")</f>
        <v/>
      </c>
      <c r="F1036" s="29" t="str">
        <f aca="false">IF(ISNUMBER(F1024),IF(F1026="",0,IF(F1026="Conical",PI()/12*(F1024*INDEX(LenF,MATCH($C$1024,LenU,0)))^2*(N(F1027)*INDEX(LenF,MATCH($C$1027,LenU,0))),INDEX(HeadK,MATCH(F1026,HeadU,0))*(F1024*INDEX(LenF,MATCH($C$1024,LenU,0)))^3)),"")</f>
        <v/>
      </c>
      <c r="G1036" s="29" t="str">
        <f aca="false">IF(ISNUMBER(G1024),IF(G1026="",0,IF(G1026="Conical",PI()/12*(G1024*INDEX(LenF,MATCH($C$1024,LenU,0)))^2*(N(G1027)*INDEX(LenF,MATCH($C$1027,LenU,0))),INDEX(HeadK,MATCH(G1026,HeadU,0))*(G1024*INDEX(LenF,MATCH($C$1024,LenU,0)))^3)),"")</f>
        <v/>
      </c>
      <c r="H1036" s="29" t="str">
        <f aca="false">IF(ISNUMBER(H1024),IF(H1026="",0,IF(H1026="Conical",PI()/12*(H1024*INDEX(LenF,MATCH($C$1024,LenU,0)))^2*(N(H1027)*INDEX(LenF,MATCH($C$1027,LenU,0))),INDEX(HeadK,MATCH(H1026,HeadU,0))*(H1024*INDEX(LenF,MATCH($C$1024,LenU,0)))^3)),"")</f>
        <v/>
      </c>
      <c r="I1036" s="30" t="str">
        <f aca="false">IF(COUNT(D1036:H1036)=0,"",SUM(D1036:H1036))</f>
        <v/>
      </c>
      <c r="J1036" s="24"/>
    </row>
    <row r="1037" customFormat="false" ht="15" hidden="false" customHeight="false" outlineLevel="0" collapsed="false">
      <c r="B1037" s="9" t="s">
        <v>191</v>
      </c>
      <c r="C1037" s="15" t="s">
        <v>109</v>
      </c>
      <c r="D1037" s="29" t="str">
        <f aca="false">IF(ISNUMBER(D1024),IF(D1028="",0,IF(D1028="Conical",PI()/12*(D1024*INDEX(LenF,MATCH($C$1024,LenU,0)))^2*(N(D1029)*INDEX(LenF,MATCH($C$1029,LenU,0))),INDEX(HeadK,MATCH(D1028,HeadU,0))*(D1024*INDEX(LenF,MATCH($C$1024,LenU,0)))^3)),"")</f>
        <v/>
      </c>
      <c r="E1037" s="29" t="str">
        <f aca="false">IF(ISNUMBER(E1024),IF(E1028="",0,IF(E1028="Conical",PI()/12*(E1024*INDEX(LenF,MATCH($C$1024,LenU,0)))^2*(N(E1029)*INDEX(LenF,MATCH($C$1029,LenU,0))),INDEX(HeadK,MATCH(E1028,HeadU,0))*(E1024*INDEX(LenF,MATCH($C$1024,LenU,0)))^3)),"")</f>
        <v/>
      </c>
      <c r="F1037" s="29" t="str">
        <f aca="false">IF(ISNUMBER(F1024),IF(F1028="",0,IF(F1028="Conical",PI()/12*(F1024*INDEX(LenF,MATCH($C$1024,LenU,0)))^2*(N(F1029)*INDEX(LenF,MATCH($C$1029,LenU,0))),INDEX(HeadK,MATCH(F1028,HeadU,0))*(F1024*INDEX(LenF,MATCH($C$1024,LenU,0)))^3)),"")</f>
        <v/>
      </c>
      <c r="G1037" s="29" t="str">
        <f aca="false">IF(ISNUMBER(G1024),IF(G1028="",0,IF(G1028="Conical",PI()/12*(G1024*INDEX(LenF,MATCH($C$1024,LenU,0)))^2*(N(G1029)*INDEX(LenF,MATCH($C$1029,LenU,0))),INDEX(HeadK,MATCH(G1028,HeadU,0))*(G1024*INDEX(LenF,MATCH($C$1024,LenU,0)))^3)),"")</f>
        <v/>
      </c>
      <c r="H1037" s="29" t="str">
        <f aca="false">IF(ISNUMBER(H1024),IF(H1028="",0,IF(H1028="Conical",PI()/12*(H1024*INDEX(LenF,MATCH($C$1024,LenU,0)))^2*(N(H1029)*INDEX(LenF,MATCH($C$1029,LenU,0))),INDEX(HeadK,MATCH(H1028,HeadU,0))*(H1024*INDEX(LenF,MATCH($C$1024,LenU,0)))^3)),"")</f>
        <v/>
      </c>
      <c r="I1037" s="30" t="str">
        <f aca="false">IF(COUNT(D1037:H1037)=0,"",SUM(D1037:H1037))</f>
        <v/>
      </c>
      <c r="J1037" s="24"/>
    </row>
    <row r="1038" customFormat="false" ht="15" hidden="false" customHeight="false" outlineLevel="0" collapsed="false">
      <c r="B1038" s="9" t="s">
        <v>192</v>
      </c>
      <c r="C1038" s="15" t="s">
        <v>109</v>
      </c>
      <c r="D1038" s="29" t="str">
        <f aca="false">IF(ISNUMBER(D1024),D1035+D1036+D1037,"")</f>
        <v/>
      </c>
      <c r="E1038" s="29" t="str">
        <f aca="false">IF(ISNUMBER(E1024),E1035+E1036+E1037,"")</f>
        <v/>
      </c>
      <c r="F1038" s="29" t="str">
        <f aca="false">IF(ISNUMBER(F1024),F1035+F1036+F1037,"")</f>
        <v/>
      </c>
      <c r="G1038" s="29" t="str">
        <f aca="false">IF(ISNUMBER(G1024),G1035+G1036+G1037,"")</f>
        <v/>
      </c>
      <c r="H1038" s="29" t="str">
        <f aca="false">IF(ISNUMBER(H1024),H1035+H1036+H1037,"")</f>
        <v/>
      </c>
      <c r="I1038" s="30" t="str">
        <f aca="false">IF(COUNT(D1038:H1038)=0,"",SUM(D1038:H1038))</f>
        <v/>
      </c>
      <c r="J1038" s="24"/>
    </row>
    <row r="1039" customFormat="false" ht="15" hidden="false" customHeight="false" outlineLevel="0" collapsed="false">
      <c r="B1039" s="9" t="s">
        <v>193</v>
      </c>
      <c r="C1039" s="15" t="s">
        <v>109</v>
      </c>
      <c r="D1039" s="29" t="str">
        <f aca="false">IF(ISNUMBER(D1030),D1030*INDEX(WtF,MATCH($C$1030,WtU,0))/WaterRho,"")</f>
        <v/>
      </c>
      <c r="E1039" s="29" t="str">
        <f aca="false">IF(ISNUMBER(E1030),E1030*INDEX(WtF,MATCH($C$1030,WtU,0))/WaterRho,"")</f>
        <v/>
      </c>
      <c r="F1039" s="29" t="str">
        <f aca="false">IF(ISNUMBER(F1030),F1030*INDEX(WtF,MATCH($C$1030,WtU,0))/WaterRho,"")</f>
        <v/>
      </c>
      <c r="G1039" s="29" t="str">
        <f aca="false">IF(ISNUMBER(G1030),G1030*INDEX(WtF,MATCH($C$1030,WtU,0))/WaterRho,"")</f>
        <v/>
      </c>
      <c r="H1039" s="29" t="str">
        <f aca="false">IF(ISNUMBER(H1030),H1030*INDEX(WtF,MATCH($C$1030,WtU,0))/WaterRho,"")</f>
        <v/>
      </c>
      <c r="I1039" s="30" t="str">
        <f aca="false">IF(COUNT(D1039:H1039)=0,"",SUM(D1039:H1039))</f>
        <v/>
      </c>
      <c r="J1039" s="24"/>
    </row>
    <row r="1040" customFormat="false" ht="15" hidden="false" customHeight="false" outlineLevel="0" collapsed="false">
      <c r="B1040" s="4" t="s">
        <v>194</v>
      </c>
      <c r="C1040" s="15" t="s">
        <v>109</v>
      </c>
      <c r="D1040" s="31" t="str">
        <f aca="false">IF(D1032="Water weight",D1039,D1038)</f>
        <v/>
      </c>
      <c r="E1040" s="31" t="str">
        <f aca="false">IF(E1032="Water weight",E1039,E1038)</f>
        <v/>
      </c>
      <c r="F1040" s="31" t="str">
        <f aca="false">IF(F1032="Water weight",F1039,F1038)</f>
        <v/>
      </c>
      <c r="G1040" s="31" t="str">
        <f aca="false">IF(G1032="Water weight",G1039,G1038)</f>
        <v/>
      </c>
      <c r="H1040" s="31" t="str">
        <f aca="false">IF(H1032="Water weight",H1039,H1038)</f>
        <v/>
      </c>
      <c r="I1040" s="31" t="str">
        <f aca="false">IF(COUNT(D1040:H1040)=0,"",SUM(D1040:H1040))</f>
        <v/>
      </c>
      <c r="J1040" s="24"/>
      <c r="K1040" s="32" t="s">
        <v>195</v>
      </c>
      <c r="L1040" s="32" t="n">
        <f aca="false">D1022</f>
        <v>0</v>
      </c>
      <c r="M1040" s="32" t="n">
        <f aca="false">E1022</f>
        <v>0</v>
      </c>
      <c r="N1040" s="32" t="n">
        <f aca="false">F1022</f>
        <v>0</v>
      </c>
      <c r="O1040" s="32" t="n">
        <f aca="false">G1022</f>
        <v>0</v>
      </c>
      <c r="P1040" s="32" t="n">
        <f aca="false">H1022</f>
        <v>0</v>
      </c>
    </row>
    <row r="1041" customFormat="false" ht="36" hidden="false" customHeight="true" outlineLevel="0" collapsed="false">
      <c r="B1041" s="9" t="s">
        <v>196</v>
      </c>
      <c r="C1041" s="15" t="s">
        <v>29</v>
      </c>
      <c r="D1041" s="39" t="str">
        <f aca="false">IF(D1040="","",IF(JobType="Chemical Cleaning",D1033,IFERROR(INDEX(DecMeth,MATCH(D1022,DecTypeU,0)),"⚠ select equipment type")))</f>
        <v/>
      </c>
      <c r="E1041" s="39" t="str">
        <f aca="false">IF(E1040="","",IF(JobType="Chemical Cleaning",E1033,IFERROR(INDEX(DecMeth,MATCH(E1022,DecTypeU,0)),"⚠ select equipment type")))</f>
        <v/>
      </c>
      <c r="F1041" s="39" t="str">
        <f aca="false">IF(F1040="","",IF(JobType="Chemical Cleaning",F1033,IFERROR(INDEX(DecMeth,MATCH(F1022,DecTypeU,0)),"⚠ select equipment type")))</f>
        <v/>
      </c>
      <c r="G1041" s="39" t="str">
        <f aca="false">IF(G1040="","",IF(JobType="Chemical Cleaning",G1033,IFERROR(INDEX(DecMeth,MATCH(G1022,DecTypeU,0)),"⚠ select equipment type")))</f>
        <v/>
      </c>
      <c r="H1041" s="39" t="str">
        <f aca="false">IF(H1040="","",IF(JobType="Chemical Cleaning",H1033,IFERROR(INDEX(DecMeth,MATCH(H1022,DecTypeU,0)),"⚠ select equipment type")))</f>
        <v/>
      </c>
      <c r="I1041" s="40"/>
      <c r="J1041" s="24"/>
    </row>
    <row r="1042" customFormat="false" ht="15" hidden="false" customHeight="false" outlineLevel="0" collapsed="false">
      <c r="B1042" s="9" t="s">
        <v>60</v>
      </c>
      <c r="C1042" s="15" t="s">
        <v>146</v>
      </c>
      <c r="D1042" s="35" t="str">
        <f aca="false">IF(D1040="","",IF(JobType="Chemical Cleaning",IFERROR(INDEX(CCMethPct,MATCH(D1033,CCMethU,0)),""),IFERROR(INDEX(DecFill,MATCH(D1022,DecTypeU,0)),"")))</f>
        <v/>
      </c>
      <c r="E1042" s="35" t="str">
        <f aca="false">IF(E1040="","",IF(JobType="Chemical Cleaning",IFERROR(INDEX(CCMethPct,MATCH(E1033,CCMethU,0)),""),IFERROR(INDEX(DecFill,MATCH(E1022,DecTypeU,0)),"")))</f>
        <v/>
      </c>
      <c r="F1042" s="35" t="str">
        <f aca="false">IF(F1040="","",IF(JobType="Chemical Cleaning",IFERROR(INDEX(CCMethPct,MATCH(F1033,CCMethU,0)),""),IFERROR(INDEX(DecFill,MATCH(F1022,DecTypeU,0)),"")))</f>
        <v/>
      </c>
      <c r="G1042" s="35" t="str">
        <f aca="false">IF(G1040="","",IF(JobType="Chemical Cleaning",IFERROR(INDEX(CCMethPct,MATCH(G1033,CCMethU,0)),""),IFERROR(INDEX(DecFill,MATCH(G1022,DecTypeU,0)),"")))</f>
        <v/>
      </c>
      <c r="H1042" s="35" t="str">
        <f aca="false">IF(H1040="","",IF(JobType="Chemical Cleaning",IFERROR(INDEX(CCMethPct,MATCH(H1033,CCMethU,0)),""),IFERROR(INDEX(DecFill,MATCH(H1022,DecTypeU,0)),"")))</f>
        <v/>
      </c>
      <c r="I1042" s="36"/>
      <c r="J1042" s="24" t="s">
        <v>197</v>
      </c>
    </row>
    <row r="1043" customFormat="false" ht="15" hidden="false" customHeight="false" outlineLevel="0" collapsed="false">
      <c r="B1043" s="4" t="s">
        <v>148</v>
      </c>
      <c r="C1043" s="15" t="s">
        <v>109</v>
      </c>
      <c r="D1043" s="31" t="str">
        <f aca="false">IF(OR(D1040="",D1042=""),"",D1040*D1042)</f>
        <v/>
      </c>
      <c r="E1043" s="31" t="str">
        <f aca="false">IF(OR(E1040="",E1042=""),"",E1040*E1042)</f>
        <v/>
      </c>
      <c r="F1043" s="31" t="str">
        <f aca="false">IF(OR(F1040="",F1042=""),"",F1040*F1042)</f>
        <v/>
      </c>
      <c r="G1043" s="31" t="str">
        <f aca="false">IF(OR(G1040="",G1042=""),"",G1040*G1042)</f>
        <v/>
      </c>
      <c r="H1043" s="31" t="str">
        <f aca="false">IF(OR(H1040="",H1042=""),"",H1040*H1042)</f>
        <v/>
      </c>
      <c r="I1043" s="31" t="str">
        <f aca="false">IF(COUNT(D1043:H1043)=0,"",SUM(D1043:H1043))</f>
        <v/>
      </c>
      <c r="J1043" s="24"/>
      <c r="K1043" s="32" t="s">
        <v>198</v>
      </c>
      <c r="L1043" s="32" t="n">
        <f aca="false">D1022</f>
        <v>0</v>
      </c>
      <c r="M1043" s="32" t="n">
        <f aca="false">E1022</f>
        <v>0</v>
      </c>
      <c r="N1043" s="32" t="n">
        <f aca="false">F1022</f>
        <v>0</v>
      </c>
      <c r="O1043" s="32" t="n">
        <f aca="false">G1022</f>
        <v>0</v>
      </c>
      <c r="P1043" s="32" t="n">
        <f aca="false">H1022</f>
        <v>0</v>
      </c>
    </row>
    <row r="1044" customFormat="false" ht="15" hidden="false" customHeight="false" outlineLevel="0" collapsed="false">
      <c r="B1044" s="9" t="s">
        <v>150</v>
      </c>
      <c r="C1044" s="15" t="s">
        <v>32</v>
      </c>
      <c r="D1044" s="37" t="str">
        <f aca="false">IF(OR(JobType&lt;&gt;"Decontamination",D1043=""),"",IFERROR(D1043*INDEX(DecChem,MATCH(D1022,DecTypeU,0))*1000,""))</f>
        <v/>
      </c>
      <c r="E1044" s="37" t="str">
        <f aca="false">IF(OR(JobType&lt;&gt;"Decontamination",E1043=""),"",IFERROR(E1043*INDEX(DecChem,MATCH(E1022,DecTypeU,0))*1000,""))</f>
        <v/>
      </c>
      <c r="F1044" s="37" t="str">
        <f aca="false">IF(OR(JobType&lt;&gt;"Decontamination",F1043=""),"",IFERROR(F1043*INDEX(DecChem,MATCH(F1022,DecTypeU,0))*1000,""))</f>
        <v/>
      </c>
      <c r="G1044" s="37" t="str">
        <f aca="false">IF(OR(JobType&lt;&gt;"Decontamination",G1043=""),"",IFERROR(G1043*INDEX(DecChem,MATCH(G1022,DecTypeU,0))*1000,""))</f>
        <v/>
      </c>
      <c r="H1044" s="37" t="str">
        <f aca="false">IF(OR(JobType&lt;&gt;"Decontamination",H1043=""),"",IFERROR(H1043*INDEX(DecChem,MATCH(H1022,DecTypeU,0))*1000,""))</f>
        <v/>
      </c>
      <c r="I1044" s="38" t="str">
        <f aca="false">IF(COUNT(D1044:H1044)=0,"",SUM(D1044:H1044))</f>
        <v/>
      </c>
      <c r="J1044" s="24" t="s">
        <v>199</v>
      </c>
      <c r="K1044" s="32" t="s">
        <v>200</v>
      </c>
      <c r="L1044" s="32" t="n">
        <f aca="false">D1022</f>
        <v>0</v>
      </c>
      <c r="M1044" s="32" t="n">
        <f aca="false">E1022</f>
        <v>0</v>
      </c>
      <c r="N1044" s="32" t="n">
        <f aca="false">F1022</f>
        <v>0</v>
      </c>
      <c r="O1044" s="32" t="n">
        <f aca="false">G1022</f>
        <v>0</v>
      </c>
      <c r="P1044" s="32" t="n">
        <f aca="false">H1022</f>
        <v>0</v>
      </c>
    </row>
    <row r="1046" customFormat="false" ht="15" hidden="false" customHeight="false" outlineLevel="0" collapsed="false">
      <c r="A1046" s="20" t="n">
        <v>6</v>
      </c>
      <c r="B1046" s="21" t="s">
        <v>205</v>
      </c>
      <c r="C1046" s="22"/>
      <c r="D1046" s="22"/>
      <c r="E1046" s="22"/>
      <c r="F1046" s="22"/>
      <c r="G1046" s="22"/>
      <c r="H1046" s="22"/>
      <c r="I1046" s="22"/>
      <c r="J1046" s="22"/>
    </row>
    <row r="1047" customFormat="false" ht="15" hidden="false" customHeight="false" outlineLevel="0" collapsed="false">
      <c r="B1047" s="9" t="s">
        <v>83</v>
      </c>
      <c r="C1047" s="15" t="s">
        <v>29</v>
      </c>
      <c r="D1047" s="8"/>
      <c r="E1047" s="8"/>
      <c r="F1047" s="8"/>
      <c r="G1047" s="8"/>
      <c r="H1047" s="8"/>
      <c r="I1047" s="23"/>
      <c r="J1047" s="24"/>
    </row>
    <row r="1048" customFormat="false" ht="15" hidden="false" customHeight="false" outlineLevel="0" collapsed="false">
      <c r="B1048" s="9" t="s">
        <v>86</v>
      </c>
      <c r="C1048" s="15" t="s">
        <v>29</v>
      </c>
      <c r="D1048" s="8"/>
      <c r="E1048" s="8"/>
      <c r="F1048" s="8"/>
      <c r="G1048" s="8"/>
      <c r="H1048" s="8"/>
      <c r="I1048" s="23"/>
      <c r="J1048" s="24"/>
    </row>
    <row r="1049" customFormat="false" ht="15" hidden="false" customHeight="false" outlineLevel="0" collapsed="false">
      <c r="B1049" s="9" t="s">
        <v>175</v>
      </c>
      <c r="C1049" s="15" t="s">
        <v>29</v>
      </c>
      <c r="D1049" s="8"/>
      <c r="E1049" s="8"/>
      <c r="F1049" s="8"/>
      <c r="G1049" s="8"/>
      <c r="H1049" s="8"/>
      <c r="I1049" s="23"/>
      <c r="J1049" s="24" t="s">
        <v>176</v>
      </c>
    </row>
    <row r="1050" customFormat="false" ht="15" hidden="false" customHeight="false" outlineLevel="0" collapsed="false">
      <c r="B1050" s="25" t="s">
        <v>177</v>
      </c>
      <c r="C1050" s="26"/>
      <c r="D1050" s="26"/>
      <c r="E1050" s="26"/>
      <c r="F1050" s="26"/>
      <c r="G1050" s="26"/>
      <c r="H1050" s="26"/>
      <c r="I1050" s="26"/>
      <c r="J1050" s="26"/>
    </row>
    <row r="1051" customFormat="false" ht="15" hidden="false" customHeight="false" outlineLevel="0" collapsed="false">
      <c r="B1051" s="9" t="s">
        <v>178</v>
      </c>
      <c r="C1051" s="8" t="s">
        <v>92</v>
      </c>
      <c r="D1051" s="8"/>
      <c r="E1051" s="8"/>
      <c r="F1051" s="8"/>
      <c r="G1051" s="8"/>
      <c r="H1051" s="8"/>
      <c r="I1051" s="23"/>
      <c r="J1051" s="24"/>
    </row>
    <row r="1052" customFormat="false" ht="15" hidden="false" customHeight="false" outlineLevel="0" collapsed="false">
      <c r="B1052" s="9" t="s">
        <v>179</v>
      </c>
      <c r="C1052" s="8" t="s">
        <v>92</v>
      </c>
      <c r="D1052" s="8"/>
      <c r="E1052" s="8"/>
      <c r="F1052" s="8"/>
      <c r="G1052" s="8"/>
      <c r="H1052" s="8"/>
      <c r="I1052" s="23"/>
      <c r="J1052" s="24"/>
    </row>
    <row r="1053" customFormat="false" ht="15" hidden="false" customHeight="false" outlineLevel="0" collapsed="false">
      <c r="B1053" s="9" t="s">
        <v>180</v>
      </c>
      <c r="C1053" s="15" t="s">
        <v>29</v>
      </c>
      <c r="D1053" s="8"/>
      <c r="E1053" s="8"/>
      <c r="F1053" s="8"/>
      <c r="G1053" s="8"/>
      <c r="H1053" s="8"/>
      <c r="I1053" s="23"/>
      <c r="J1053" s="24"/>
    </row>
    <row r="1054" customFormat="false" ht="15" hidden="false" customHeight="false" outlineLevel="0" collapsed="false">
      <c r="B1054" s="9" t="s">
        <v>181</v>
      </c>
      <c r="C1054" s="8" t="s">
        <v>92</v>
      </c>
      <c r="D1054" s="8"/>
      <c r="E1054" s="8"/>
      <c r="F1054" s="8"/>
      <c r="G1054" s="8"/>
      <c r="H1054" s="8"/>
      <c r="I1054" s="23"/>
      <c r="J1054" s="24"/>
    </row>
    <row r="1055" customFormat="false" ht="15" hidden="false" customHeight="false" outlineLevel="0" collapsed="false">
      <c r="B1055" s="9" t="s">
        <v>182</v>
      </c>
      <c r="C1055" s="15" t="s">
        <v>29</v>
      </c>
      <c r="D1055" s="8"/>
      <c r="E1055" s="8"/>
      <c r="F1055" s="8"/>
      <c r="G1055" s="8"/>
      <c r="H1055" s="8"/>
      <c r="I1055" s="23"/>
      <c r="J1055" s="24"/>
    </row>
    <row r="1056" customFormat="false" ht="15" hidden="false" customHeight="false" outlineLevel="0" collapsed="false">
      <c r="B1056" s="9" t="s">
        <v>183</v>
      </c>
      <c r="C1056" s="8" t="s">
        <v>92</v>
      </c>
      <c r="D1056" s="8"/>
      <c r="E1056" s="8"/>
      <c r="F1056" s="8"/>
      <c r="G1056" s="8"/>
      <c r="H1056" s="8"/>
      <c r="I1056" s="23"/>
      <c r="J1056" s="24"/>
    </row>
    <row r="1057" customFormat="false" ht="15" hidden="false" customHeight="false" outlineLevel="0" collapsed="false">
      <c r="B1057" s="9" t="s">
        <v>184</v>
      </c>
      <c r="C1057" s="8" t="s">
        <v>112</v>
      </c>
      <c r="D1057" s="8"/>
      <c r="E1057" s="8"/>
      <c r="F1057" s="8"/>
      <c r="G1057" s="8"/>
      <c r="H1057" s="8"/>
      <c r="I1057" s="23"/>
      <c r="J1057" s="24"/>
    </row>
    <row r="1058" customFormat="false" ht="15" hidden="false" customHeight="false" outlineLevel="0" collapsed="false">
      <c r="B1058" s="25" t="s">
        <v>185</v>
      </c>
      <c r="C1058" s="26"/>
      <c r="D1058" s="26"/>
      <c r="E1058" s="26"/>
      <c r="F1058" s="26"/>
      <c r="G1058" s="26"/>
      <c r="H1058" s="26"/>
      <c r="I1058" s="26"/>
      <c r="J1058" s="26"/>
    </row>
    <row r="1059" customFormat="false" ht="15" hidden="false" customHeight="false" outlineLevel="0" collapsed="false">
      <c r="B1059" s="9" t="s">
        <v>186</v>
      </c>
      <c r="C1059" s="15" t="s">
        <v>29</v>
      </c>
      <c r="D1059" s="8" t="s">
        <v>122</v>
      </c>
      <c r="E1059" s="8" t="s">
        <v>122</v>
      </c>
      <c r="F1059" s="8" t="s">
        <v>122</v>
      </c>
      <c r="G1059" s="8" t="s">
        <v>122</v>
      </c>
      <c r="H1059" s="8" t="s">
        <v>122</v>
      </c>
      <c r="I1059" s="23"/>
      <c r="J1059" s="24"/>
    </row>
    <row r="1060" customFormat="false" ht="15" hidden="false" customHeight="false" outlineLevel="0" collapsed="false">
      <c r="B1060" s="9" t="s">
        <v>187</v>
      </c>
      <c r="C1060" s="15" t="s">
        <v>29</v>
      </c>
      <c r="D1060" s="8" t="s">
        <v>61</v>
      </c>
      <c r="E1060" s="8" t="s">
        <v>61</v>
      </c>
      <c r="F1060" s="8" t="s">
        <v>61</v>
      </c>
      <c r="G1060" s="8" t="s">
        <v>61</v>
      </c>
      <c r="H1060" s="8" t="s">
        <v>61</v>
      </c>
      <c r="I1060" s="23"/>
      <c r="J1060" s="24" t="s">
        <v>188</v>
      </c>
    </row>
    <row r="1061" customFormat="false" ht="15" hidden="false" customHeight="false" outlineLevel="0" collapsed="false">
      <c r="B1061" s="25" t="s">
        <v>124</v>
      </c>
      <c r="C1061" s="26"/>
      <c r="D1061" s="26"/>
      <c r="E1061" s="26"/>
      <c r="F1061" s="26"/>
      <c r="G1061" s="26"/>
      <c r="H1061" s="26"/>
      <c r="I1061" s="26"/>
      <c r="J1061" s="26"/>
    </row>
    <row r="1062" customFormat="false" ht="15" hidden="false" customHeight="false" outlineLevel="0" collapsed="false">
      <c r="B1062" s="9" t="s">
        <v>189</v>
      </c>
      <c r="C1062" s="15" t="s">
        <v>109</v>
      </c>
      <c r="D1062" s="29" t="str">
        <f aca="false">IF(ISNUMBER(D1051),PI()/4*(D1051*INDEX(LenF,MATCH($C$1051,LenU,0)))^2*N(D1052)*INDEX(LenF,MATCH($C$1052,LenU,0)),"")</f>
        <v/>
      </c>
      <c r="E1062" s="29" t="str">
        <f aca="false">IF(ISNUMBER(E1051),PI()/4*(E1051*INDEX(LenF,MATCH($C$1051,LenU,0)))^2*N(E1052)*INDEX(LenF,MATCH($C$1052,LenU,0)),"")</f>
        <v/>
      </c>
      <c r="F1062" s="29" t="str">
        <f aca="false">IF(ISNUMBER(F1051),PI()/4*(F1051*INDEX(LenF,MATCH($C$1051,LenU,0)))^2*N(F1052)*INDEX(LenF,MATCH($C$1052,LenU,0)),"")</f>
        <v/>
      </c>
      <c r="G1062" s="29" t="str">
        <f aca="false">IF(ISNUMBER(G1051),PI()/4*(G1051*INDEX(LenF,MATCH($C$1051,LenU,0)))^2*N(G1052)*INDEX(LenF,MATCH($C$1052,LenU,0)),"")</f>
        <v/>
      </c>
      <c r="H1062" s="29" t="str">
        <f aca="false">IF(ISNUMBER(H1051),PI()/4*(H1051*INDEX(LenF,MATCH($C$1051,LenU,0)))^2*N(H1052)*INDEX(LenF,MATCH($C$1052,LenU,0)),"")</f>
        <v/>
      </c>
      <c r="I1062" s="30" t="str">
        <f aca="false">IF(COUNT(D1062:H1062)=0,"",SUM(D1062:H1062))</f>
        <v/>
      </c>
      <c r="J1062" s="24"/>
    </row>
    <row r="1063" customFormat="false" ht="15" hidden="false" customHeight="false" outlineLevel="0" collapsed="false">
      <c r="B1063" s="9" t="s">
        <v>190</v>
      </c>
      <c r="C1063" s="15" t="s">
        <v>109</v>
      </c>
      <c r="D1063" s="29" t="str">
        <f aca="false">IF(ISNUMBER(D1051),IF(D1053="",0,IF(D1053="Conical",PI()/12*(D1051*INDEX(LenF,MATCH($C$1051,LenU,0)))^2*(N(D1054)*INDEX(LenF,MATCH($C$1054,LenU,0))),INDEX(HeadK,MATCH(D1053,HeadU,0))*(D1051*INDEX(LenF,MATCH($C$1051,LenU,0)))^3)),"")</f>
        <v/>
      </c>
      <c r="E1063" s="29" t="str">
        <f aca="false">IF(ISNUMBER(E1051),IF(E1053="",0,IF(E1053="Conical",PI()/12*(E1051*INDEX(LenF,MATCH($C$1051,LenU,0)))^2*(N(E1054)*INDEX(LenF,MATCH($C$1054,LenU,0))),INDEX(HeadK,MATCH(E1053,HeadU,0))*(E1051*INDEX(LenF,MATCH($C$1051,LenU,0)))^3)),"")</f>
        <v/>
      </c>
      <c r="F1063" s="29" t="str">
        <f aca="false">IF(ISNUMBER(F1051),IF(F1053="",0,IF(F1053="Conical",PI()/12*(F1051*INDEX(LenF,MATCH($C$1051,LenU,0)))^2*(N(F1054)*INDEX(LenF,MATCH($C$1054,LenU,0))),INDEX(HeadK,MATCH(F1053,HeadU,0))*(F1051*INDEX(LenF,MATCH($C$1051,LenU,0)))^3)),"")</f>
        <v/>
      </c>
      <c r="G1063" s="29" t="str">
        <f aca="false">IF(ISNUMBER(G1051),IF(G1053="",0,IF(G1053="Conical",PI()/12*(G1051*INDEX(LenF,MATCH($C$1051,LenU,0)))^2*(N(G1054)*INDEX(LenF,MATCH($C$1054,LenU,0))),INDEX(HeadK,MATCH(G1053,HeadU,0))*(G1051*INDEX(LenF,MATCH($C$1051,LenU,0)))^3)),"")</f>
        <v/>
      </c>
      <c r="H1063" s="29" t="str">
        <f aca="false">IF(ISNUMBER(H1051),IF(H1053="",0,IF(H1053="Conical",PI()/12*(H1051*INDEX(LenF,MATCH($C$1051,LenU,0)))^2*(N(H1054)*INDEX(LenF,MATCH($C$1054,LenU,0))),INDEX(HeadK,MATCH(H1053,HeadU,0))*(H1051*INDEX(LenF,MATCH($C$1051,LenU,0)))^3)),"")</f>
        <v/>
      </c>
      <c r="I1063" s="30" t="str">
        <f aca="false">IF(COUNT(D1063:H1063)=0,"",SUM(D1063:H1063))</f>
        <v/>
      </c>
      <c r="J1063" s="24"/>
    </row>
    <row r="1064" customFormat="false" ht="15" hidden="false" customHeight="false" outlineLevel="0" collapsed="false">
      <c r="B1064" s="9" t="s">
        <v>191</v>
      </c>
      <c r="C1064" s="15" t="s">
        <v>109</v>
      </c>
      <c r="D1064" s="29" t="str">
        <f aca="false">IF(ISNUMBER(D1051),IF(D1055="",0,IF(D1055="Conical",PI()/12*(D1051*INDEX(LenF,MATCH($C$1051,LenU,0)))^2*(N(D1056)*INDEX(LenF,MATCH($C$1056,LenU,0))),INDEX(HeadK,MATCH(D1055,HeadU,0))*(D1051*INDEX(LenF,MATCH($C$1051,LenU,0)))^3)),"")</f>
        <v/>
      </c>
      <c r="E1064" s="29" t="str">
        <f aca="false">IF(ISNUMBER(E1051),IF(E1055="",0,IF(E1055="Conical",PI()/12*(E1051*INDEX(LenF,MATCH($C$1051,LenU,0)))^2*(N(E1056)*INDEX(LenF,MATCH($C$1056,LenU,0))),INDEX(HeadK,MATCH(E1055,HeadU,0))*(E1051*INDEX(LenF,MATCH($C$1051,LenU,0)))^3)),"")</f>
        <v/>
      </c>
      <c r="F1064" s="29" t="str">
        <f aca="false">IF(ISNUMBER(F1051),IF(F1055="",0,IF(F1055="Conical",PI()/12*(F1051*INDEX(LenF,MATCH($C$1051,LenU,0)))^2*(N(F1056)*INDEX(LenF,MATCH($C$1056,LenU,0))),INDEX(HeadK,MATCH(F1055,HeadU,0))*(F1051*INDEX(LenF,MATCH($C$1051,LenU,0)))^3)),"")</f>
        <v/>
      </c>
      <c r="G1064" s="29" t="str">
        <f aca="false">IF(ISNUMBER(G1051),IF(G1055="",0,IF(G1055="Conical",PI()/12*(G1051*INDEX(LenF,MATCH($C$1051,LenU,0)))^2*(N(G1056)*INDEX(LenF,MATCH($C$1056,LenU,0))),INDEX(HeadK,MATCH(G1055,HeadU,0))*(G1051*INDEX(LenF,MATCH($C$1051,LenU,0)))^3)),"")</f>
        <v/>
      </c>
      <c r="H1064" s="29" t="str">
        <f aca="false">IF(ISNUMBER(H1051),IF(H1055="",0,IF(H1055="Conical",PI()/12*(H1051*INDEX(LenF,MATCH($C$1051,LenU,0)))^2*(N(H1056)*INDEX(LenF,MATCH($C$1056,LenU,0))),INDEX(HeadK,MATCH(H1055,HeadU,0))*(H1051*INDEX(LenF,MATCH($C$1051,LenU,0)))^3)),"")</f>
        <v/>
      </c>
      <c r="I1064" s="30" t="str">
        <f aca="false">IF(COUNT(D1064:H1064)=0,"",SUM(D1064:H1064))</f>
        <v/>
      </c>
      <c r="J1064" s="24"/>
    </row>
    <row r="1065" customFormat="false" ht="15" hidden="false" customHeight="false" outlineLevel="0" collapsed="false">
      <c r="B1065" s="9" t="s">
        <v>192</v>
      </c>
      <c r="C1065" s="15" t="s">
        <v>109</v>
      </c>
      <c r="D1065" s="29" t="str">
        <f aca="false">IF(ISNUMBER(D1051),D1062+D1063+D1064,"")</f>
        <v/>
      </c>
      <c r="E1065" s="29" t="str">
        <f aca="false">IF(ISNUMBER(E1051),E1062+E1063+E1064,"")</f>
        <v/>
      </c>
      <c r="F1065" s="29" t="str">
        <f aca="false">IF(ISNUMBER(F1051),F1062+F1063+F1064,"")</f>
        <v/>
      </c>
      <c r="G1065" s="29" t="str">
        <f aca="false">IF(ISNUMBER(G1051),G1062+G1063+G1064,"")</f>
        <v/>
      </c>
      <c r="H1065" s="29" t="str">
        <f aca="false">IF(ISNUMBER(H1051),H1062+H1063+H1064,"")</f>
        <v/>
      </c>
      <c r="I1065" s="30" t="str">
        <f aca="false">IF(COUNT(D1065:H1065)=0,"",SUM(D1065:H1065))</f>
        <v/>
      </c>
      <c r="J1065" s="24"/>
    </row>
    <row r="1066" customFormat="false" ht="15" hidden="false" customHeight="false" outlineLevel="0" collapsed="false">
      <c r="B1066" s="9" t="s">
        <v>193</v>
      </c>
      <c r="C1066" s="15" t="s">
        <v>109</v>
      </c>
      <c r="D1066" s="29" t="str">
        <f aca="false">IF(ISNUMBER(D1057),D1057*INDEX(WtF,MATCH($C$1057,WtU,0))/WaterRho,"")</f>
        <v/>
      </c>
      <c r="E1066" s="29" t="str">
        <f aca="false">IF(ISNUMBER(E1057),E1057*INDEX(WtF,MATCH($C$1057,WtU,0))/WaterRho,"")</f>
        <v/>
      </c>
      <c r="F1066" s="29" t="str">
        <f aca="false">IF(ISNUMBER(F1057),F1057*INDEX(WtF,MATCH($C$1057,WtU,0))/WaterRho,"")</f>
        <v/>
      </c>
      <c r="G1066" s="29" t="str">
        <f aca="false">IF(ISNUMBER(G1057),G1057*INDEX(WtF,MATCH($C$1057,WtU,0))/WaterRho,"")</f>
        <v/>
      </c>
      <c r="H1066" s="29" t="str">
        <f aca="false">IF(ISNUMBER(H1057),H1057*INDEX(WtF,MATCH($C$1057,WtU,0))/WaterRho,"")</f>
        <v/>
      </c>
      <c r="I1066" s="30" t="str">
        <f aca="false">IF(COUNT(D1066:H1066)=0,"",SUM(D1066:H1066))</f>
        <v/>
      </c>
      <c r="J1066" s="24"/>
    </row>
    <row r="1067" customFormat="false" ht="15" hidden="false" customHeight="false" outlineLevel="0" collapsed="false">
      <c r="B1067" s="4" t="s">
        <v>194</v>
      </c>
      <c r="C1067" s="15" t="s">
        <v>109</v>
      </c>
      <c r="D1067" s="31" t="str">
        <f aca="false">IF(D1059="Water weight",D1066,D1065)</f>
        <v/>
      </c>
      <c r="E1067" s="31" t="str">
        <f aca="false">IF(E1059="Water weight",E1066,E1065)</f>
        <v/>
      </c>
      <c r="F1067" s="31" t="str">
        <f aca="false">IF(F1059="Water weight",F1066,F1065)</f>
        <v/>
      </c>
      <c r="G1067" s="31" t="str">
        <f aca="false">IF(G1059="Water weight",G1066,G1065)</f>
        <v/>
      </c>
      <c r="H1067" s="31" t="str">
        <f aca="false">IF(H1059="Water weight",H1066,H1065)</f>
        <v/>
      </c>
      <c r="I1067" s="31" t="str">
        <f aca="false">IF(COUNT(D1067:H1067)=0,"",SUM(D1067:H1067))</f>
        <v/>
      </c>
      <c r="J1067" s="24"/>
      <c r="K1067" s="32" t="s">
        <v>195</v>
      </c>
      <c r="L1067" s="32" t="n">
        <f aca="false">D1049</f>
        <v>0</v>
      </c>
      <c r="M1067" s="32" t="n">
        <f aca="false">E1049</f>
        <v>0</v>
      </c>
      <c r="N1067" s="32" t="n">
        <f aca="false">F1049</f>
        <v>0</v>
      </c>
      <c r="O1067" s="32" t="n">
        <f aca="false">G1049</f>
        <v>0</v>
      </c>
      <c r="P1067" s="32" t="n">
        <f aca="false">H1049</f>
        <v>0</v>
      </c>
    </row>
    <row r="1068" customFormat="false" ht="36" hidden="false" customHeight="true" outlineLevel="0" collapsed="false">
      <c r="B1068" s="9" t="s">
        <v>196</v>
      </c>
      <c r="C1068" s="15" t="s">
        <v>29</v>
      </c>
      <c r="D1068" s="39" t="str">
        <f aca="false">IF(D1067="","",IF(JobType="Chemical Cleaning",D1060,IFERROR(INDEX(DecMeth,MATCH(D1049,DecTypeU,0)),"⚠ select equipment type")))</f>
        <v/>
      </c>
      <c r="E1068" s="39" t="str">
        <f aca="false">IF(E1067="","",IF(JobType="Chemical Cleaning",E1060,IFERROR(INDEX(DecMeth,MATCH(E1049,DecTypeU,0)),"⚠ select equipment type")))</f>
        <v/>
      </c>
      <c r="F1068" s="39" t="str">
        <f aca="false">IF(F1067="","",IF(JobType="Chemical Cleaning",F1060,IFERROR(INDEX(DecMeth,MATCH(F1049,DecTypeU,0)),"⚠ select equipment type")))</f>
        <v/>
      </c>
      <c r="G1068" s="39" t="str">
        <f aca="false">IF(G1067="","",IF(JobType="Chemical Cleaning",G1060,IFERROR(INDEX(DecMeth,MATCH(G1049,DecTypeU,0)),"⚠ select equipment type")))</f>
        <v/>
      </c>
      <c r="H1068" s="39" t="str">
        <f aca="false">IF(H1067="","",IF(JobType="Chemical Cleaning",H1060,IFERROR(INDEX(DecMeth,MATCH(H1049,DecTypeU,0)),"⚠ select equipment type")))</f>
        <v/>
      </c>
      <c r="I1068" s="40"/>
      <c r="J1068" s="24"/>
    </row>
    <row r="1069" customFormat="false" ht="15" hidden="false" customHeight="false" outlineLevel="0" collapsed="false">
      <c r="B1069" s="9" t="s">
        <v>60</v>
      </c>
      <c r="C1069" s="15" t="s">
        <v>146</v>
      </c>
      <c r="D1069" s="35" t="str">
        <f aca="false">IF(D1067="","",IF(JobType="Chemical Cleaning",IFERROR(INDEX(CCMethPct,MATCH(D1060,CCMethU,0)),""),IFERROR(INDEX(DecFill,MATCH(D1049,DecTypeU,0)),"")))</f>
        <v/>
      </c>
      <c r="E1069" s="35" t="str">
        <f aca="false">IF(E1067="","",IF(JobType="Chemical Cleaning",IFERROR(INDEX(CCMethPct,MATCH(E1060,CCMethU,0)),""),IFERROR(INDEX(DecFill,MATCH(E1049,DecTypeU,0)),"")))</f>
        <v/>
      </c>
      <c r="F1069" s="35" t="str">
        <f aca="false">IF(F1067="","",IF(JobType="Chemical Cleaning",IFERROR(INDEX(CCMethPct,MATCH(F1060,CCMethU,0)),""),IFERROR(INDEX(DecFill,MATCH(F1049,DecTypeU,0)),"")))</f>
        <v/>
      </c>
      <c r="G1069" s="35" t="str">
        <f aca="false">IF(G1067="","",IF(JobType="Chemical Cleaning",IFERROR(INDEX(CCMethPct,MATCH(G1060,CCMethU,0)),""),IFERROR(INDEX(DecFill,MATCH(G1049,DecTypeU,0)),"")))</f>
        <v/>
      </c>
      <c r="H1069" s="35" t="str">
        <f aca="false">IF(H1067="","",IF(JobType="Chemical Cleaning",IFERROR(INDEX(CCMethPct,MATCH(H1060,CCMethU,0)),""),IFERROR(INDEX(DecFill,MATCH(H1049,DecTypeU,0)),"")))</f>
        <v/>
      </c>
      <c r="I1069" s="36"/>
      <c r="J1069" s="24" t="s">
        <v>197</v>
      </c>
    </row>
    <row r="1070" customFormat="false" ht="15" hidden="false" customHeight="false" outlineLevel="0" collapsed="false">
      <c r="B1070" s="4" t="s">
        <v>148</v>
      </c>
      <c r="C1070" s="15" t="s">
        <v>109</v>
      </c>
      <c r="D1070" s="31" t="str">
        <f aca="false">IF(OR(D1067="",D1069=""),"",D1067*D1069)</f>
        <v/>
      </c>
      <c r="E1070" s="31" t="str">
        <f aca="false">IF(OR(E1067="",E1069=""),"",E1067*E1069)</f>
        <v/>
      </c>
      <c r="F1070" s="31" t="str">
        <f aca="false">IF(OR(F1067="",F1069=""),"",F1067*F1069)</f>
        <v/>
      </c>
      <c r="G1070" s="31" t="str">
        <f aca="false">IF(OR(G1067="",G1069=""),"",G1067*G1069)</f>
        <v/>
      </c>
      <c r="H1070" s="31" t="str">
        <f aca="false">IF(OR(H1067="",H1069=""),"",H1067*H1069)</f>
        <v/>
      </c>
      <c r="I1070" s="31" t="str">
        <f aca="false">IF(COUNT(D1070:H1070)=0,"",SUM(D1070:H1070))</f>
        <v/>
      </c>
      <c r="J1070" s="24"/>
      <c r="K1070" s="32" t="s">
        <v>198</v>
      </c>
      <c r="L1070" s="32" t="n">
        <f aca="false">D1049</f>
        <v>0</v>
      </c>
      <c r="M1070" s="32" t="n">
        <f aca="false">E1049</f>
        <v>0</v>
      </c>
      <c r="N1070" s="32" t="n">
        <f aca="false">F1049</f>
        <v>0</v>
      </c>
      <c r="O1070" s="32" t="n">
        <f aca="false">G1049</f>
        <v>0</v>
      </c>
      <c r="P1070" s="32" t="n">
        <f aca="false">H1049</f>
        <v>0</v>
      </c>
    </row>
    <row r="1071" customFormat="false" ht="15" hidden="false" customHeight="false" outlineLevel="0" collapsed="false">
      <c r="B1071" s="9" t="s">
        <v>150</v>
      </c>
      <c r="C1071" s="15" t="s">
        <v>32</v>
      </c>
      <c r="D1071" s="37" t="str">
        <f aca="false">IF(OR(JobType&lt;&gt;"Decontamination",D1070=""),"",IFERROR(D1070*INDEX(DecChem,MATCH(D1049,DecTypeU,0))*1000,""))</f>
        <v/>
      </c>
      <c r="E1071" s="37" t="str">
        <f aca="false">IF(OR(JobType&lt;&gt;"Decontamination",E1070=""),"",IFERROR(E1070*INDEX(DecChem,MATCH(E1049,DecTypeU,0))*1000,""))</f>
        <v/>
      </c>
      <c r="F1071" s="37" t="str">
        <f aca="false">IF(OR(JobType&lt;&gt;"Decontamination",F1070=""),"",IFERROR(F1070*INDEX(DecChem,MATCH(F1049,DecTypeU,0))*1000,""))</f>
        <v/>
      </c>
      <c r="G1071" s="37" t="str">
        <f aca="false">IF(OR(JobType&lt;&gt;"Decontamination",G1070=""),"",IFERROR(G1070*INDEX(DecChem,MATCH(G1049,DecTypeU,0))*1000,""))</f>
        <v/>
      </c>
      <c r="H1071" s="37" t="str">
        <f aca="false">IF(OR(JobType&lt;&gt;"Decontamination",H1070=""),"",IFERROR(H1070*INDEX(DecChem,MATCH(H1049,DecTypeU,0))*1000,""))</f>
        <v/>
      </c>
      <c r="I1071" s="38" t="str">
        <f aca="false">IF(COUNT(D1071:H1071)=0,"",SUM(D1071:H1071))</f>
        <v/>
      </c>
      <c r="J1071" s="24" t="s">
        <v>199</v>
      </c>
      <c r="K1071" s="32" t="s">
        <v>200</v>
      </c>
      <c r="L1071" s="32" t="n">
        <f aca="false">D1049</f>
        <v>0</v>
      </c>
      <c r="M1071" s="32" t="n">
        <f aca="false">E1049</f>
        <v>0</v>
      </c>
      <c r="N1071" s="32" t="n">
        <f aca="false">F1049</f>
        <v>0</v>
      </c>
      <c r="O1071" s="32" t="n">
        <f aca="false">G1049</f>
        <v>0</v>
      </c>
      <c r="P1071" s="32" t="n">
        <f aca="false">H1049</f>
        <v>0</v>
      </c>
    </row>
    <row r="1073" customFormat="false" ht="15" hidden="false" customHeight="false" outlineLevel="0" collapsed="false">
      <c r="A1073" s="20" t="n">
        <v>7</v>
      </c>
      <c r="B1073" s="21" t="s">
        <v>206</v>
      </c>
      <c r="C1073" s="22"/>
      <c r="D1073" s="22"/>
      <c r="E1073" s="22"/>
      <c r="F1073" s="22"/>
      <c r="G1073" s="22"/>
      <c r="H1073" s="22"/>
      <c r="I1073" s="22"/>
      <c r="J1073" s="22"/>
    </row>
    <row r="1074" customFormat="false" ht="15" hidden="false" customHeight="false" outlineLevel="0" collapsed="false">
      <c r="B1074" s="9" t="s">
        <v>83</v>
      </c>
      <c r="C1074" s="15" t="s">
        <v>29</v>
      </c>
      <c r="D1074" s="8"/>
      <c r="E1074" s="8"/>
      <c r="F1074" s="8"/>
      <c r="G1074" s="8"/>
      <c r="H1074" s="8"/>
      <c r="I1074" s="23"/>
      <c r="J1074" s="24"/>
    </row>
    <row r="1075" customFormat="false" ht="15" hidden="false" customHeight="false" outlineLevel="0" collapsed="false">
      <c r="B1075" s="9" t="s">
        <v>86</v>
      </c>
      <c r="C1075" s="15" t="s">
        <v>29</v>
      </c>
      <c r="D1075" s="8"/>
      <c r="E1075" s="8"/>
      <c r="F1075" s="8"/>
      <c r="G1075" s="8"/>
      <c r="H1075" s="8"/>
      <c r="I1075" s="23"/>
      <c r="J1075" s="24"/>
    </row>
    <row r="1076" customFormat="false" ht="15" hidden="false" customHeight="false" outlineLevel="0" collapsed="false">
      <c r="B1076" s="9" t="s">
        <v>175</v>
      </c>
      <c r="C1076" s="15" t="s">
        <v>29</v>
      </c>
      <c r="D1076" s="8"/>
      <c r="E1076" s="8"/>
      <c r="F1076" s="8"/>
      <c r="G1076" s="8"/>
      <c r="H1076" s="8"/>
      <c r="I1076" s="23"/>
      <c r="J1076" s="24" t="s">
        <v>176</v>
      </c>
    </row>
    <row r="1077" customFormat="false" ht="15" hidden="false" customHeight="false" outlineLevel="0" collapsed="false">
      <c r="B1077" s="25" t="s">
        <v>177</v>
      </c>
      <c r="C1077" s="26"/>
      <c r="D1077" s="26"/>
      <c r="E1077" s="26"/>
      <c r="F1077" s="26"/>
      <c r="G1077" s="26"/>
      <c r="H1077" s="26"/>
      <c r="I1077" s="26"/>
      <c r="J1077" s="26"/>
    </row>
    <row r="1078" customFormat="false" ht="15" hidden="false" customHeight="false" outlineLevel="0" collapsed="false">
      <c r="B1078" s="9" t="s">
        <v>178</v>
      </c>
      <c r="C1078" s="8" t="s">
        <v>92</v>
      </c>
      <c r="D1078" s="8"/>
      <c r="E1078" s="8"/>
      <c r="F1078" s="8"/>
      <c r="G1078" s="8"/>
      <c r="H1078" s="8"/>
      <c r="I1078" s="23"/>
      <c r="J1078" s="24"/>
    </row>
    <row r="1079" customFormat="false" ht="15" hidden="false" customHeight="false" outlineLevel="0" collapsed="false">
      <c r="B1079" s="9" t="s">
        <v>179</v>
      </c>
      <c r="C1079" s="8" t="s">
        <v>92</v>
      </c>
      <c r="D1079" s="8"/>
      <c r="E1079" s="8"/>
      <c r="F1079" s="8"/>
      <c r="G1079" s="8"/>
      <c r="H1079" s="8"/>
      <c r="I1079" s="23"/>
      <c r="J1079" s="24"/>
    </row>
    <row r="1080" customFormat="false" ht="15" hidden="false" customHeight="false" outlineLevel="0" collapsed="false">
      <c r="B1080" s="9" t="s">
        <v>180</v>
      </c>
      <c r="C1080" s="15" t="s">
        <v>29</v>
      </c>
      <c r="D1080" s="8"/>
      <c r="E1080" s="8"/>
      <c r="F1080" s="8"/>
      <c r="G1080" s="8"/>
      <c r="H1080" s="8"/>
      <c r="I1080" s="23"/>
      <c r="J1080" s="24"/>
    </row>
    <row r="1081" customFormat="false" ht="15" hidden="false" customHeight="false" outlineLevel="0" collapsed="false">
      <c r="B1081" s="9" t="s">
        <v>181</v>
      </c>
      <c r="C1081" s="8" t="s">
        <v>92</v>
      </c>
      <c r="D1081" s="8"/>
      <c r="E1081" s="8"/>
      <c r="F1081" s="8"/>
      <c r="G1081" s="8"/>
      <c r="H1081" s="8"/>
      <c r="I1081" s="23"/>
      <c r="J1081" s="24"/>
    </row>
    <row r="1082" customFormat="false" ht="15" hidden="false" customHeight="false" outlineLevel="0" collapsed="false">
      <c r="B1082" s="9" t="s">
        <v>182</v>
      </c>
      <c r="C1082" s="15" t="s">
        <v>29</v>
      </c>
      <c r="D1082" s="8"/>
      <c r="E1082" s="8"/>
      <c r="F1082" s="8"/>
      <c r="G1082" s="8"/>
      <c r="H1082" s="8"/>
      <c r="I1082" s="23"/>
      <c r="J1082" s="24"/>
    </row>
    <row r="1083" customFormat="false" ht="15" hidden="false" customHeight="false" outlineLevel="0" collapsed="false">
      <c r="B1083" s="9" t="s">
        <v>183</v>
      </c>
      <c r="C1083" s="8" t="s">
        <v>92</v>
      </c>
      <c r="D1083" s="8"/>
      <c r="E1083" s="8"/>
      <c r="F1083" s="8"/>
      <c r="G1083" s="8"/>
      <c r="H1083" s="8"/>
      <c r="I1083" s="23"/>
      <c r="J1083" s="24"/>
    </row>
    <row r="1084" customFormat="false" ht="15" hidden="false" customHeight="false" outlineLevel="0" collapsed="false">
      <c r="B1084" s="9" t="s">
        <v>184</v>
      </c>
      <c r="C1084" s="8" t="s">
        <v>112</v>
      </c>
      <c r="D1084" s="8"/>
      <c r="E1084" s="8"/>
      <c r="F1084" s="8"/>
      <c r="G1084" s="8"/>
      <c r="H1084" s="8"/>
      <c r="I1084" s="23"/>
      <c r="J1084" s="24"/>
    </row>
    <row r="1085" customFormat="false" ht="15" hidden="false" customHeight="false" outlineLevel="0" collapsed="false">
      <c r="B1085" s="25" t="s">
        <v>185</v>
      </c>
      <c r="C1085" s="26"/>
      <c r="D1085" s="26"/>
      <c r="E1085" s="26"/>
      <c r="F1085" s="26"/>
      <c r="G1085" s="26"/>
      <c r="H1085" s="26"/>
      <c r="I1085" s="26"/>
      <c r="J1085" s="26"/>
    </row>
    <row r="1086" customFormat="false" ht="15" hidden="false" customHeight="false" outlineLevel="0" collapsed="false">
      <c r="B1086" s="9" t="s">
        <v>186</v>
      </c>
      <c r="C1086" s="15" t="s">
        <v>29</v>
      </c>
      <c r="D1086" s="8" t="s">
        <v>122</v>
      </c>
      <c r="E1086" s="8" t="s">
        <v>122</v>
      </c>
      <c r="F1086" s="8" t="s">
        <v>122</v>
      </c>
      <c r="G1086" s="8" t="s">
        <v>122</v>
      </c>
      <c r="H1086" s="8" t="s">
        <v>122</v>
      </c>
      <c r="I1086" s="23"/>
      <c r="J1086" s="24"/>
    </row>
    <row r="1087" customFormat="false" ht="15" hidden="false" customHeight="false" outlineLevel="0" collapsed="false">
      <c r="B1087" s="9" t="s">
        <v>187</v>
      </c>
      <c r="C1087" s="15" t="s">
        <v>29</v>
      </c>
      <c r="D1087" s="8" t="s">
        <v>61</v>
      </c>
      <c r="E1087" s="8" t="s">
        <v>61</v>
      </c>
      <c r="F1087" s="8" t="s">
        <v>61</v>
      </c>
      <c r="G1087" s="8" t="s">
        <v>61</v>
      </c>
      <c r="H1087" s="8" t="s">
        <v>61</v>
      </c>
      <c r="I1087" s="23"/>
      <c r="J1087" s="24" t="s">
        <v>188</v>
      </c>
    </row>
    <row r="1088" customFormat="false" ht="15" hidden="false" customHeight="false" outlineLevel="0" collapsed="false">
      <c r="B1088" s="25" t="s">
        <v>124</v>
      </c>
      <c r="C1088" s="26"/>
      <c r="D1088" s="26"/>
      <c r="E1088" s="26"/>
      <c r="F1088" s="26"/>
      <c r="G1088" s="26"/>
      <c r="H1088" s="26"/>
      <c r="I1088" s="26"/>
      <c r="J1088" s="26"/>
    </row>
    <row r="1089" customFormat="false" ht="15" hidden="false" customHeight="false" outlineLevel="0" collapsed="false">
      <c r="B1089" s="9" t="s">
        <v>189</v>
      </c>
      <c r="C1089" s="15" t="s">
        <v>109</v>
      </c>
      <c r="D1089" s="29" t="str">
        <f aca="false">IF(ISNUMBER(D1078),PI()/4*(D1078*INDEX(LenF,MATCH($C$1078,LenU,0)))^2*N(D1079)*INDEX(LenF,MATCH($C$1079,LenU,0)),"")</f>
        <v/>
      </c>
      <c r="E1089" s="29" t="str">
        <f aca="false">IF(ISNUMBER(E1078),PI()/4*(E1078*INDEX(LenF,MATCH($C$1078,LenU,0)))^2*N(E1079)*INDEX(LenF,MATCH($C$1079,LenU,0)),"")</f>
        <v/>
      </c>
      <c r="F1089" s="29" t="str">
        <f aca="false">IF(ISNUMBER(F1078),PI()/4*(F1078*INDEX(LenF,MATCH($C$1078,LenU,0)))^2*N(F1079)*INDEX(LenF,MATCH($C$1079,LenU,0)),"")</f>
        <v/>
      </c>
      <c r="G1089" s="29" t="str">
        <f aca="false">IF(ISNUMBER(G1078),PI()/4*(G1078*INDEX(LenF,MATCH($C$1078,LenU,0)))^2*N(G1079)*INDEX(LenF,MATCH($C$1079,LenU,0)),"")</f>
        <v/>
      </c>
      <c r="H1089" s="29" t="str">
        <f aca="false">IF(ISNUMBER(H1078),PI()/4*(H1078*INDEX(LenF,MATCH($C$1078,LenU,0)))^2*N(H1079)*INDEX(LenF,MATCH($C$1079,LenU,0)),"")</f>
        <v/>
      </c>
      <c r="I1089" s="30" t="str">
        <f aca="false">IF(COUNT(D1089:H1089)=0,"",SUM(D1089:H1089))</f>
        <v/>
      </c>
      <c r="J1089" s="24"/>
    </row>
    <row r="1090" customFormat="false" ht="15" hidden="false" customHeight="false" outlineLevel="0" collapsed="false">
      <c r="B1090" s="9" t="s">
        <v>190</v>
      </c>
      <c r="C1090" s="15" t="s">
        <v>109</v>
      </c>
      <c r="D1090" s="29" t="str">
        <f aca="false">IF(ISNUMBER(D1078),IF(D1080="",0,IF(D1080="Conical",PI()/12*(D1078*INDEX(LenF,MATCH($C$1078,LenU,0)))^2*(N(D1081)*INDEX(LenF,MATCH($C$1081,LenU,0))),INDEX(HeadK,MATCH(D1080,HeadU,0))*(D1078*INDEX(LenF,MATCH($C$1078,LenU,0)))^3)),"")</f>
        <v/>
      </c>
      <c r="E1090" s="29" t="str">
        <f aca="false">IF(ISNUMBER(E1078),IF(E1080="",0,IF(E1080="Conical",PI()/12*(E1078*INDEX(LenF,MATCH($C$1078,LenU,0)))^2*(N(E1081)*INDEX(LenF,MATCH($C$1081,LenU,0))),INDEX(HeadK,MATCH(E1080,HeadU,0))*(E1078*INDEX(LenF,MATCH($C$1078,LenU,0)))^3)),"")</f>
        <v/>
      </c>
      <c r="F1090" s="29" t="str">
        <f aca="false">IF(ISNUMBER(F1078),IF(F1080="",0,IF(F1080="Conical",PI()/12*(F1078*INDEX(LenF,MATCH($C$1078,LenU,0)))^2*(N(F1081)*INDEX(LenF,MATCH($C$1081,LenU,0))),INDEX(HeadK,MATCH(F1080,HeadU,0))*(F1078*INDEX(LenF,MATCH($C$1078,LenU,0)))^3)),"")</f>
        <v/>
      </c>
      <c r="G1090" s="29" t="str">
        <f aca="false">IF(ISNUMBER(G1078),IF(G1080="",0,IF(G1080="Conical",PI()/12*(G1078*INDEX(LenF,MATCH($C$1078,LenU,0)))^2*(N(G1081)*INDEX(LenF,MATCH($C$1081,LenU,0))),INDEX(HeadK,MATCH(G1080,HeadU,0))*(G1078*INDEX(LenF,MATCH($C$1078,LenU,0)))^3)),"")</f>
        <v/>
      </c>
      <c r="H1090" s="29" t="str">
        <f aca="false">IF(ISNUMBER(H1078),IF(H1080="",0,IF(H1080="Conical",PI()/12*(H1078*INDEX(LenF,MATCH($C$1078,LenU,0)))^2*(N(H1081)*INDEX(LenF,MATCH($C$1081,LenU,0))),INDEX(HeadK,MATCH(H1080,HeadU,0))*(H1078*INDEX(LenF,MATCH($C$1078,LenU,0)))^3)),"")</f>
        <v/>
      </c>
      <c r="I1090" s="30" t="str">
        <f aca="false">IF(COUNT(D1090:H1090)=0,"",SUM(D1090:H1090))</f>
        <v/>
      </c>
      <c r="J1090" s="24"/>
    </row>
    <row r="1091" customFormat="false" ht="15" hidden="false" customHeight="false" outlineLevel="0" collapsed="false">
      <c r="B1091" s="9" t="s">
        <v>191</v>
      </c>
      <c r="C1091" s="15" t="s">
        <v>109</v>
      </c>
      <c r="D1091" s="29" t="str">
        <f aca="false">IF(ISNUMBER(D1078),IF(D1082="",0,IF(D1082="Conical",PI()/12*(D1078*INDEX(LenF,MATCH($C$1078,LenU,0)))^2*(N(D1083)*INDEX(LenF,MATCH($C$1083,LenU,0))),INDEX(HeadK,MATCH(D1082,HeadU,0))*(D1078*INDEX(LenF,MATCH($C$1078,LenU,0)))^3)),"")</f>
        <v/>
      </c>
      <c r="E1091" s="29" t="str">
        <f aca="false">IF(ISNUMBER(E1078),IF(E1082="",0,IF(E1082="Conical",PI()/12*(E1078*INDEX(LenF,MATCH($C$1078,LenU,0)))^2*(N(E1083)*INDEX(LenF,MATCH($C$1083,LenU,0))),INDEX(HeadK,MATCH(E1082,HeadU,0))*(E1078*INDEX(LenF,MATCH($C$1078,LenU,0)))^3)),"")</f>
        <v/>
      </c>
      <c r="F1091" s="29" t="str">
        <f aca="false">IF(ISNUMBER(F1078),IF(F1082="",0,IF(F1082="Conical",PI()/12*(F1078*INDEX(LenF,MATCH($C$1078,LenU,0)))^2*(N(F1083)*INDEX(LenF,MATCH($C$1083,LenU,0))),INDEX(HeadK,MATCH(F1082,HeadU,0))*(F1078*INDEX(LenF,MATCH($C$1078,LenU,0)))^3)),"")</f>
        <v/>
      </c>
      <c r="G1091" s="29" t="str">
        <f aca="false">IF(ISNUMBER(G1078),IF(G1082="",0,IF(G1082="Conical",PI()/12*(G1078*INDEX(LenF,MATCH($C$1078,LenU,0)))^2*(N(G1083)*INDEX(LenF,MATCH($C$1083,LenU,0))),INDEX(HeadK,MATCH(G1082,HeadU,0))*(G1078*INDEX(LenF,MATCH($C$1078,LenU,0)))^3)),"")</f>
        <v/>
      </c>
      <c r="H1091" s="29" t="str">
        <f aca="false">IF(ISNUMBER(H1078),IF(H1082="",0,IF(H1082="Conical",PI()/12*(H1078*INDEX(LenF,MATCH($C$1078,LenU,0)))^2*(N(H1083)*INDEX(LenF,MATCH($C$1083,LenU,0))),INDEX(HeadK,MATCH(H1082,HeadU,0))*(H1078*INDEX(LenF,MATCH($C$1078,LenU,0)))^3)),"")</f>
        <v/>
      </c>
      <c r="I1091" s="30" t="str">
        <f aca="false">IF(COUNT(D1091:H1091)=0,"",SUM(D1091:H1091))</f>
        <v/>
      </c>
      <c r="J1091" s="24"/>
    </row>
    <row r="1092" customFormat="false" ht="15" hidden="false" customHeight="false" outlineLevel="0" collapsed="false">
      <c r="B1092" s="9" t="s">
        <v>192</v>
      </c>
      <c r="C1092" s="15" t="s">
        <v>109</v>
      </c>
      <c r="D1092" s="29" t="str">
        <f aca="false">IF(ISNUMBER(D1078),D1089+D1090+D1091,"")</f>
        <v/>
      </c>
      <c r="E1092" s="29" t="str">
        <f aca="false">IF(ISNUMBER(E1078),E1089+E1090+E1091,"")</f>
        <v/>
      </c>
      <c r="F1092" s="29" t="str">
        <f aca="false">IF(ISNUMBER(F1078),F1089+F1090+F1091,"")</f>
        <v/>
      </c>
      <c r="G1092" s="29" t="str">
        <f aca="false">IF(ISNUMBER(G1078),G1089+G1090+G1091,"")</f>
        <v/>
      </c>
      <c r="H1092" s="29" t="str">
        <f aca="false">IF(ISNUMBER(H1078),H1089+H1090+H1091,"")</f>
        <v/>
      </c>
      <c r="I1092" s="30" t="str">
        <f aca="false">IF(COUNT(D1092:H1092)=0,"",SUM(D1092:H1092))</f>
        <v/>
      </c>
      <c r="J1092" s="24"/>
    </row>
    <row r="1093" customFormat="false" ht="15" hidden="false" customHeight="false" outlineLevel="0" collapsed="false">
      <c r="B1093" s="9" t="s">
        <v>193</v>
      </c>
      <c r="C1093" s="15" t="s">
        <v>109</v>
      </c>
      <c r="D1093" s="29" t="str">
        <f aca="false">IF(ISNUMBER(D1084),D1084*INDEX(WtF,MATCH($C$1084,WtU,0))/WaterRho,"")</f>
        <v/>
      </c>
      <c r="E1093" s="29" t="str">
        <f aca="false">IF(ISNUMBER(E1084),E1084*INDEX(WtF,MATCH($C$1084,WtU,0))/WaterRho,"")</f>
        <v/>
      </c>
      <c r="F1093" s="29" t="str">
        <f aca="false">IF(ISNUMBER(F1084),F1084*INDEX(WtF,MATCH($C$1084,WtU,0))/WaterRho,"")</f>
        <v/>
      </c>
      <c r="G1093" s="29" t="str">
        <f aca="false">IF(ISNUMBER(G1084),G1084*INDEX(WtF,MATCH($C$1084,WtU,0))/WaterRho,"")</f>
        <v/>
      </c>
      <c r="H1093" s="29" t="str">
        <f aca="false">IF(ISNUMBER(H1084),H1084*INDEX(WtF,MATCH($C$1084,WtU,0))/WaterRho,"")</f>
        <v/>
      </c>
      <c r="I1093" s="30" t="str">
        <f aca="false">IF(COUNT(D1093:H1093)=0,"",SUM(D1093:H1093))</f>
        <v/>
      </c>
      <c r="J1093" s="24"/>
    </row>
    <row r="1094" customFormat="false" ht="15" hidden="false" customHeight="false" outlineLevel="0" collapsed="false">
      <c r="B1094" s="4" t="s">
        <v>194</v>
      </c>
      <c r="C1094" s="15" t="s">
        <v>109</v>
      </c>
      <c r="D1094" s="31" t="str">
        <f aca="false">IF(D1086="Water weight",D1093,D1092)</f>
        <v/>
      </c>
      <c r="E1094" s="31" t="str">
        <f aca="false">IF(E1086="Water weight",E1093,E1092)</f>
        <v/>
      </c>
      <c r="F1094" s="31" t="str">
        <f aca="false">IF(F1086="Water weight",F1093,F1092)</f>
        <v/>
      </c>
      <c r="G1094" s="31" t="str">
        <f aca="false">IF(G1086="Water weight",G1093,G1092)</f>
        <v/>
      </c>
      <c r="H1094" s="31" t="str">
        <f aca="false">IF(H1086="Water weight",H1093,H1092)</f>
        <v/>
      </c>
      <c r="I1094" s="31" t="str">
        <f aca="false">IF(COUNT(D1094:H1094)=0,"",SUM(D1094:H1094))</f>
        <v/>
      </c>
      <c r="J1094" s="24"/>
      <c r="K1094" s="32" t="s">
        <v>195</v>
      </c>
      <c r="L1094" s="32" t="n">
        <f aca="false">D1076</f>
        <v>0</v>
      </c>
      <c r="M1094" s="32" t="n">
        <f aca="false">E1076</f>
        <v>0</v>
      </c>
      <c r="N1094" s="32" t="n">
        <f aca="false">F1076</f>
        <v>0</v>
      </c>
      <c r="O1094" s="32" t="n">
        <f aca="false">G1076</f>
        <v>0</v>
      </c>
      <c r="P1094" s="32" t="n">
        <f aca="false">H1076</f>
        <v>0</v>
      </c>
    </row>
    <row r="1095" customFormat="false" ht="36" hidden="false" customHeight="true" outlineLevel="0" collapsed="false">
      <c r="B1095" s="9" t="s">
        <v>196</v>
      </c>
      <c r="C1095" s="15" t="s">
        <v>29</v>
      </c>
      <c r="D1095" s="39" t="str">
        <f aca="false">IF(D1094="","",IF(JobType="Chemical Cleaning",D1087,IFERROR(INDEX(DecMeth,MATCH(D1076,DecTypeU,0)),"⚠ select equipment type")))</f>
        <v/>
      </c>
      <c r="E1095" s="39" t="str">
        <f aca="false">IF(E1094="","",IF(JobType="Chemical Cleaning",E1087,IFERROR(INDEX(DecMeth,MATCH(E1076,DecTypeU,0)),"⚠ select equipment type")))</f>
        <v/>
      </c>
      <c r="F1095" s="39" t="str">
        <f aca="false">IF(F1094="","",IF(JobType="Chemical Cleaning",F1087,IFERROR(INDEX(DecMeth,MATCH(F1076,DecTypeU,0)),"⚠ select equipment type")))</f>
        <v/>
      </c>
      <c r="G1095" s="39" t="str">
        <f aca="false">IF(G1094="","",IF(JobType="Chemical Cleaning",G1087,IFERROR(INDEX(DecMeth,MATCH(G1076,DecTypeU,0)),"⚠ select equipment type")))</f>
        <v/>
      </c>
      <c r="H1095" s="39" t="str">
        <f aca="false">IF(H1094="","",IF(JobType="Chemical Cleaning",H1087,IFERROR(INDEX(DecMeth,MATCH(H1076,DecTypeU,0)),"⚠ select equipment type")))</f>
        <v/>
      </c>
      <c r="I1095" s="40"/>
      <c r="J1095" s="24"/>
    </row>
    <row r="1096" customFormat="false" ht="15" hidden="false" customHeight="false" outlineLevel="0" collapsed="false">
      <c r="B1096" s="9" t="s">
        <v>60</v>
      </c>
      <c r="C1096" s="15" t="s">
        <v>146</v>
      </c>
      <c r="D1096" s="35" t="str">
        <f aca="false">IF(D1094="","",IF(JobType="Chemical Cleaning",IFERROR(INDEX(CCMethPct,MATCH(D1087,CCMethU,0)),""),IFERROR(INDEX(DecFill,MATCH(D1076,DecTypeU,0)),"")))</f>
        <v/>
      </c>
      <c r="E1096" s="35" t="str">
        <f aca="false">IF(E1094="","",IF(JobType="Chemical Cleaning",IFERROR(INDEX(CCMethPct,MATCH(E1087,CCMethU,0)),""),IFERROR(INDEX(DecFill,MATCH(E1076,DecTypeU,0)),"")))</f>
        <v/>
      </c>
      <c r="F1096" s="35" t="str">
        <f aca="false">IF(F1094="","",IF(JobType="Chemical Cleaning",IFERROR(INDEX(CCMethPct,MATCH(F1087,CCMethU,0)),""),IFERROR(INDEX(DecFill,MATCH(F1076,DecTypeU,0)),"")))</f>
        <v/>
      </c>
      <c r="G1096" s="35" t="str">
        <f aca="false">IF(G1094="","",IF(JobType="Chemical Cleaning",IFERROR(INDEX(CCMethPct,MATCH(G1087,CCMethU,0)),""),IFERROR(INDEX(DecFill,MATCH(G1076,DecTypeU,0)),"")))</f>
        <v/>
      </c>
      <c r="H1096" s="35" t="str">
        <f aca="false">IF(H1094="","",IF(JobType="Chemical Cleaning",IFERROR(INDEX(CCMethPct,MATCH(H1087,CCMethU,0)),""),IFERROR(INDEX(DecFill,MATCH(H1076,DecTypeU,0)),"")))</f>
        <v/>
      </c>
      <c r="I1096" s="36"/>
      <c r="J1096" s="24" t="s">
        <v>197</v>
      </c>
    </row>
    <row r="1097" customFormat="false" ht="15" hidden="false" customHeight="false" outlineLevel="0" collapsed="false">
      <c r="B1097" s="4" t="s">
        <v>148</v>
      </c>
      <c r="C1097" s="15" t="s">
        <v>109</v>
      </c>
      <c r="D1097" s="31" t="str">
        <f aca="false">IF(OR(D1094="",D1096=""),"",D1094*D1096)</f>
        <v/>
      </c>
      <c r="E1097" s="31" t="str">
        <f aca="false">IF(OR(E1094="",E1096=""),"",E1094*E1096)</f>
        <v/>
      </c>
      <c r="F1097" s="31" t="str">
        <f aca="false">IF(OR(F1094="",F1096=""),"",F1094*F1096)</f>
        <v/>
      </c>
      <c r="G1097" s="31" t="str">
        <f aca="false">IF(OR(G1094="",G1096=""),"",G1094*G1096)</f>
        <v/>
      </c>
      <c r="H1097" s="31" t="str">
        <f aca="false">IF(OR(H1094="",H1096=""),"",H1094*H1096)</f>
        <v/>
      </c>
      <c r="I1097" s="31" t="str">
        <f aca="false">IF(COUNT(D1097:H1097)=0,"",SUM(D1097:H1097))</f>
        <v/>
      </c>
      <c r="J1097" s="24"/>
      <c r="K1097" s="32" t="s">
        <v>198</v>
      </c>
      <c r="L1097" s="32" t="n">
        <f aca="false">D1076</f>
        <v>0</v>
      </c>
      <c r="M1097" s="32" t="n">
        <f aca="false">E1076</f>
        <v>0</v>
      </c>
      <c r="N1097" s="32" t="n">
        <f aca="false">F1076</f>
        <v>0</v>
      </c>
      <c r="O1097" s="32" t="n">
        <f aca="false">G1076</f>
        <v>0</v>
      </c>
      <c r="P1097" s="32" t="n">
        <f aca="false">H1076</f>
        <v>0</v>
      </c>
    </row>
    <row r="1098" customFormat="false" ht="15" hidden="false" customHeight="false" outlineLevel="0" collapsed="false">
      <c r="B1098" s="9" t="s">
        <v>150</v>
      </c>
      <c r="C1098" s="15" t="s">
        <v>32</v>
      </c>
      <c r="D1098" s="37" t="str">
        <f aca="false">IF(OR(JobType&lt;&gt;"Decontamination",D1097=""),"",IFERROR(D1097*INDEX(DecChem,MATCH(D1076,DecTypeU,0))*1000,""))</f>
        <v/>
      </c>
      <c r="E1098" s="37" t="str">
        <f aca="false">IF(OR(JobType&lt;&gt;"Decontamination",E1097=""),"",IFERROR(E1097*INDEX(DecChem,MATCH(E1076,DecTypeU,0))*1000,""))</f>
        <v/>
      </c>
      <c r="F1098" s="37" t="str">
        <f aca="false">IF(OR(JobType&lt;&gt;"Decontamination",F1097=""),"",IFERROR(F1097*INDEX(DecChem,MATCH(F1076,DecTypeU,0))*1000,""))</f>
        <v/>
      </c>
      <c r="G1098" s="37" t="str">
        <f aca="false">IF(OR(JobType&lt;&gt;"Decontamination",G1097=""),"",IFERROR(G1097*INDEX(DecChem,MATCH(G1076,DecTypeU,0))*1000,""))</f>
        <v/>
      </c>
      <c r="H1098" s="37" t="str">
        <f aca="false">IF(OR(JobType&lt;&gt;"Decontamination",H1097=""),"",IFERROR(H1097*INDEX(DecChem,MATCH(H1076,DecTypeU,0))*1000,""))</f>
        <v/>
      </c>
      <c r="I1098" s="38" t="str">
        <f aca="false">IF(COUNT(D1098:H1098)=0,"",SUM(D1098:H1098))</f>
        <v/>
      </c>
      <c r="J1098" s="24" t="s">
        <v>199</v>
      </c>
      <c r="K1098" s="32" t="s">
        <v>200</v>
      </c>
      <c r="L1098" s="32" t="n">
        <f aca="false">D1076</f>
        <v>0</v>
      </c>
      <c r="M1098" s="32" t="n">
        <f aca="false">E1076</f>
        <v>0</v>
      </c>
      <c r="N1098" s="32" t="n">
        <f aca="false">F1076</f>
        <v>0</v>
      </c>
      <c r="O1098" s="32" t="n">
        <f aca="false">G1076</f>
        <v>0</v>
      </c>
      <c r="P1098" s="32" t="n">
        <f aca="false">H1076</f>
        <v>0</v>
      </c>
    </row>
    <row r="1100" customFormat="false" ht="15" hidden="false" customHeight="false" outlineLevel="0" collapsed="false">
      <c r="A1100" s="20" t="n">
        <v>8</v>
      </c>
      <c r="B1100" s="21" t="s">
        <v>207</v>
      </c>
      <c r="C1100" s="22"/>
      <c r="D1100" s="22"/>
      <c r="E1100" s="22"/>
      <c r="F1100" s="22"/>
      <c r="G1100" s="22"/>
      <c r="H1100" s="22"/>
      <c r="I1100" s="22"/>
      <c r="J1100" s="22"/>
    </row>
    <row r="1101" customFormat="false" ht="15" hidden="false" customHeight="false" outlineLevel="0" collapsed="false">
      <c r="B1101" s="9" t="s">
        <v>83</v>
      </c>
      <c r="C1101" s="15" t="s">
        <v>29</v>
      </c>
      <c r="D1101" s="8"/>
      <c r="E1101" s="8"/>
      <c r="F1101" s="8"/>
      <c r="G1101" s="8"/>
      <c r="H1101" s="8"/>
      <c r="I1101" s="23"/>
      <c r="J1101" s="24"/>
    </row>
    <row r="1102" customFormat="false" ht="15" hidden="false" customHeight="false" outlineLevel="0" collapsed="false">
      <c r="B1102" s="9" t="s">
        <v>86</v>
      </c>
      <c r="C1102" s="15" t="s">
        <v>29</v>
      </c>
      <c r="D1102" s="8"/>
      <c r="E1102" s="8"/>
      <c r="F1102" s="8"/>
      <c r="G1102" s="8"/>
      <c r="H1102" s="8"/>
      <c r="I1102" s="23"/>
      <c r="J1102" s="24"/>
    </row>
    <row r="1103" customFormat="false" ht="15" hidden="false" customHeight="false" outlineLevel="0" collapsed="false">
      <c r="B1103" s="9" t="s">
        <v>175</v>
      </c>
      <c r="C1103" s="15" t="s">
        <v>29</v>
      </c>
      <c r="D1103" s="8"/>
      <c r="E1103" s="8"/>
      <c r="F1103" s="8"/>
      <c r="G1103" s="8"/>
      <c r="H1103" s="8"/>
      <c r="I1103" s="23"/>
      <c r="J1103" s="24" t="s">
        <v>176</v>
      </c>
    </row>
    <row r="1104" customFormat="false" ht="15" hidden="false" customHeight="false" outlineLevel="0" collapsed="false">
      <c r="B1104" s="25" t="s">
        <v>177</v>
      </c>
      <c r="C1104" s="26"/>
      <c r="D1104" s="26"/>
      <c r="E1104" s="26"/>
      <c r="F1104" s="26"/>
      <c r="G1104" s="26"/>
      <c r="H1104" s="26"/>
      <c r="I1104" s="26"/>
      <c r="J1104" s="26"/>
    </row>
    <row r="1105" customFormat="false" ht="15" hidden="false" customHeight="false" outlineLevel="0" collapsed="false">
      <c r="B1105" s="9" t="s">
        <v>178</v>
      </c>
      <c r="C1105" s="8" t="s">
        <v>92</v>
      </c>
      <c r="D1105" s="8"/>
      <c r="E1105" s="8"/>
      <c r="F1105" s="8"/>
      <c r="G1105" s="8"/>
      <c r="H1105" s="8"/>
      <c r="I1105" s="23"/>
      <c r="J1105" s="24"/>
    </row>
    <row r="1106" customFormat="false" ht="15" hidden="false" customHeight="false" outlineLevel="0" collapsed="false">
      <c r="B1106" s="9" t="s">
        <v>179</v>
      </c>
      <c r="C1106" s="8" t="s">
        <v>92</v>
      </c>
      <c r="D1106" s="8"/>
      <c r="E1106" s="8"/>
      <c r="F1106" s="8"/>
      <c r="G1106" s="8"/>
      <c r="H1106" s="8"/>
      <c r="I1106" s="23"/>
      <c r="J1106" s="24"/>
    </row>
    <row r="1107" customFormat="false" ht="15" hidden="false" customHeight="false" outlineLevel="0" collapsed="false">
      <c r="B1107" s="9" t="s">
        <v>180</v>
      </c>
      <c r="C1107" s="15" t="s">
        <v>29</v>
      </c>
      <c r="D1107" s="8"/>
      <c r="E1107" s="8"/>
      <c r="F1107" s="8"/>
      <c r="G1107" s="8"/>
      <c r="H1107" s="8"/>
      <c r="I1107" s="23"/>
      <c r="J1107" s="24"/>
    </row>
    <row r="1108" customFormat="false" ht="15" hidden="false" customHeight="false" outlineLevel="0" collapsed="false">
      <c r="B1108" s="9" t="s">
        <v>181</v>
      </c>
      <c r="C1108" s="8" t="s">
        <v>92</v>
      </c>
      <c r="D1108" s="8"/>
      <c r="E1108" s="8"/>
      <c r="F1108" s="8"/>
      <c r="G1108" s="8"/>
      <c r="H1108" s="8"/>
      <c r="I1108" s="23"/>
      <c r="J1108" s="24"/>
    </row>
    <row r="1109" customFormat="false" ht="15" hidden="false" customHeight="false" outlineLevel="0" collapsed="false">
      <c r="B1109" s="9" t="s">
        <v>182</v>
      </c>
      <c r="C1109" s="15" t="s">
        <v>29</v>
      </c>
      <c r="D1109" s="8"/>
      <c r="E1109" s="8"/>
      <c r="F1109" s="8"/>
      <c r="G1109" s="8"/>
      <c r="H1109" s="8"/>
      <c r="I1109" s="23"/>
      <c r="J1109" s="24"/>
    </row>
    <row r="1110" customFormat="false" ht="15" hidden="false" customHeight="false" outlineLevel="0" collapsed="false">
      <c r="B1110" s="9" t="s">
        <v>183</v>
      </c>
      <c r="C1110" s="8" t="s">
        <v>92</v>
      </c>
      <c r="D1110" s="8"/>
      <c r="E1110" s="8"/>
      <c r="F1110" s="8"/>
      <c r="G1110" s="8"/>
      <c r="H1110" s="8"/>
      <c r="I1110" s="23"/>
      <c r="J1110" s="24"/>
    </row>
    <row r="1111" customFormat="false" ht="15" hidden="false" customHeight="false" outlineLevel="0" collapsed="false">
      <c r="B1111" s="9" t="s">
        <v>184</v>
      </c>
      <c r="C1111" s="8" t="s">
        <v>112</v>
      </c>
      <c r="D1111" s="8"/>
      <c r="E1111" s="8"/>
      <c r="F1111" s="8"/>
      <c r="G1111" s="8"/>
      <c r="H1111" s="8"/>
      <c r="I1111" s="23"/>
      <c r="J1111" s="24"/>
    </row>
    <row r="1112" customFormat="false" ht="15" hidden="false" customHeight="false" outlineLevel="0" collapsed="false">
      <c r="B1112" s="25" t="s">
        <v>185</v>
      </c>
      <c r="C1112" s="26"/>
      <c r="D1112" s="26"/>
      <c r="E1112" s="26"/>
      <c r="F1112" s="26"/>
      <c r="G1112" s="26"/>
      <c r="H1112" s="26"/>
      <c r="I1112" s="26"/>
      <c r="J1112" s="26"/>
    </row>
    <row r="1113" customFormat="false" ht="15" hidden="false" customHeight="false" outlineLevel="0" collapsed="false">
      <c r="B1113" s="9" t="s">
        <v>186</v>
      </c>
      <c r="C1113" s="15" t="s">
        <v>29</v>
      </c>
      <c r="D1113" s="8" t="s">
        <v>122</v>
      </c>
      <c r="E1113" s="8" t="s">
        <v>122</v>
      </c>
      <c r="F1113" s="8" t="s">
        <v>122</v>
      </c>
      <c r="G1113" s="8" t="s">
        <v>122</v>
      </c>
      <c r="H1113" s="8" t="s">
        <v>122</v>
      </c>
      <c r="I1113" s="23"/>
      <c r="J1113" s="24"/>
    </row>
    <row r="1114" customFormat="false" ht="15" hidden="false" customHeight="false" outlineLevel="0" collapsed="false">
      <c r="B1114" s="9" t="s">
        <v>187</v>
      </c>
      <c r="C1114" s="15" t="s">
        <v>29</v>
      </c>
      <c r="D1114" s="8" t="s">
        <v>61</v>
      </c>
      <c r="E1114" s="8" t="s">
        <v>61</v>
      </c>
      <c r="F1114" s="8" t="s">
        <v>61</v>
      </c>
      <c r="G1114" s="8" t="s">
        <v>61</v>
      </c>
      <c r="H1114" s="8" t="s">
        <v>61</v>
      </c>
      <c r="I1114" s="23"/>
      <c r="J1114" s="24" t="s">
        <v>188</v>
      </c>
    </row>
    <row r="1115" customFormat="false" ht="15" hidden="false" customHeight="false" outlineLevel="0" collapsed="false">
      <c r="B1115" s="25" t="s">
        <v>124</v>
      </c>
      <c r="C1115" s="26"/>
      <c r="D1115" s="26"/>
      <c r="E1115" s="26"/>
      <c r="F1115" s="26"/>
      <c r="G1115" s="26"/>
      <c r="H1115" s="26"/>
      <c r="I1115" s="26"/>
      <c r="J1115" s="26"/>
    </row>
    <row r="1116" customFormat="false" ht="15" hidden="false" customHeight="false" outlineLevel="0" collapsed="false">
      <c r="B1116" s="9" t="s">
        <v>189</v>
      </c>
      <c r="C1116" s="15" t="s">
        <v>109</v>
      </c>
      <c r="D1116" s="29" t="str">
        <f aca="false">IF(ISNUMBER(D1105),PI()/4*(D1105*INDEX(LenF,MATCH($C$1105,LenU,0)))^2*N(D1106)*INDEX(LenF,MATCH($C$1106,LenU,0)),"")</f>
        <v/>
      </c>
      <c r="E1116" s="29" t="str">
        <f aca="false">IF(ISNUMBER(E1105),PI()/4*(E1105*INDEX(LenF,MATCH($C$1105,LenU,0)))^2*N(E1106)*INDEX(LenF,MATCH($C$1106,LenU,0)),"")</f>
        <v/>
      </c>
      <c r="F1116" s="29" t="str">
        <f aca="false">IF(ISNUMBER(F1105),PI()/4*(F1105*INDEX(LenF,MATCH($C$1105,LenU,0)))^2*N(F1106)*INDEX(LenF,MATCH($C$1106,LenU,0)),"")</f>
        <v/>
      </c>
      <c r="G1116" s="29" t="str">
        <f aca="false">IF(ISNUMBER(G1105),PI()/4*(G1105*INDEX(LenF,MATCH($C$1105,LenU,0)))^2*N(G1106)*INDEX(LenF,MATCH($C$1106,LenU,0)),"")</f>
        <v/>
      </c>
      <c r="H1116" s="29" t="str">
        <f aca="false">IF(ISNUMBER(H1105),PI()/4*(H1105*INDEX(LenF,MATCH($C$1105,LenU,0)))^2*N(H1106)*INDEX(LenF,MATCH($C$1106,LenU,0)),"")</f>
        <v/>
      </c>
      <c r="I1116" s="30" t="str">
        <f aca="false">IF(COUNT(D1116:H1116)=0,"",SUM(D1116:H1116))</f>
        <v/>
      </c>
      <c r="J1116" s="24"/>
    </row>
    <row r="1117" customFormat="false" ht="15" hidden="false" customHeight="false" outlineLevel="0" collapsed="false">
      <c r="B1117" s="9" t="s">
        <v>190</v>
      </c>
      <c r="C1117" s="15" t="s">
        <v>109</v>
      </c>
      <c r="D1117" s="29" t="str">
        <f aca="false">IF(ISNUMBER(D1105),IF(D1107="",0,IF(D1107="Conical",PI()/12*(D1105*INDEX(LenF,MATCH($C$1105,LenU,0)))^2*(N(D1108)*INDEX(LenF,MATCH($C$1108,LenU,0))),INDEX(HeadK,MATCH(D1107,HeadU,0))*(D1105*INDEX(LenF,MATCH($C$1105,LenU,0)))^3)),"")</f>
        <v/>
      </c>
      <c r="E1117" s="29" t="str">
        <f aca="false">IF(ISNUMBER(E1105),IF(E1107="",0,IF(E1107="Conical",PI()/12*(E1105*INDEX(LenF,MATCH($C$1105,LenU,0)))^2*(N(E1108)*INDEX(LenF,MATCH($C$1108,LenU,0))),INDEX(HeadK,MATCH(E1107,HeadU,0))*(E1105*INDEX(LenF,MATCH($C$1105,LenU,0)))^3)),"")</f>
        <v/>
      </c>
      <c r="F1117" s="29" t="str">
        <f aca="false">IF(ISNUMBER(F1105),IF(F1107="",0,IF(F1107="Conical",PI()/12*(F1105*INDEX(LenF,MATCH($C$1105,LenU,0)))^2*(N(F1108)*INDEX(LenF,MATCH($C$1108,LenU,0))),INDEX(HeadK,MATCH(F1107,HeadU,0))*(F1105*INDEX(LenF,MATCH($C$1105,LenU,0)))^3)),"")</f>
        <v/>
      </c>
      <c r="G1117" s="29" t="str">
        <f aca="false">IF(ISNUMBER(G1105),IF(G1107="",0,IF(G1107="Conical",PI()/12*(G1105*INDEX(LenF,MATCH($C$1105,LenU,0)))^2*(N(G1108)*INDEX(LenF,MATCH($C$1108,LenU,0))),INDEX(HeadK,MATCH(G1107,HeadU,0))*(G1105*INDEX(LenF,MATCH($C$1105,LenU,0)))^3)),"")</f>
        <v/>
      </c>
      <c r="H1117" s="29" t="str">
        <f aca="false">IF(ISNUMBER(H1105),IF(H1107="",0,IF(H1107="Conical",PI()/12*(H1105*INDEX(LenF,MATCH($C$1105,LenU,0)))^2*(N(H1108)*INDEX(LenF,MATCH($C$1108,LenU,0))),INDEX(HeadK,MATCH(H1107,HeadU,0))*(H1105*INDEX(LenF,MATCH($C$1105,LenU,0)))^3)),"")</f>
        <v/>
      </c>
      <c r="I1117" s="30" t="str">
        <f aca="false">IF(COUNT(D1117:H1117)=0,"",SUM(D1117:H1117))</f>
        <v/>
      </c>
      <c r="J1117" s="24"/>
    </row>
    <row r="1118" customFormat="false" ht="15" hidden="false" customHeight="false" outlineLevel="0" collapsed="false">
      <c r="B1118" s="9" t="s">
        <v>191</v>
      </c>
      <c r="C1118" s="15" t="s">
        <v>109</v>
      </c>
      <c r="D1118" s="29" t="str">
        <f aca="false">IF(ISNUMBER(D1105),IF(D1109="",0,IF(D1109="Conical",PI()/12*(D1105*INDEX(LenF,MATCH($C$1105,LenU,0)))^2*(N(D1110)*INDEX(LenF,MATCH($C$1110,LenU,0))),INDEX(HeadK,MATCH(D1109,HeadU,0))*(D1105*INDEX(LenF,MATCH($C$1105,LenU,0)))^3)),"")</f>
        <v/>
      </c>
      <c r="E1118" s="29" t="str">
        <f aca="false">IF(ISNUMBER(E1105),IF(E1109="",0,IF(E1109="Conical",PI()/12*(E1105*INDEX(LenF,MATCH($C$1105,LenU,0)))^2*(N(E1110)*INDEX(LenF,MATCH($C$1110,LenU,0))),INDEX(HeadK,MATCH(E1109,HeadU,0))*(E1105*INDEX(LenF,MATCH($C$1105,LenU,0)))^3)),"")</f>
        <v/>
      </c>
      <c r="F1118" s="29" t="str">
        <f aca="false">IF(ISNUMBER(F1105),IF(F1109="",0,IF(F1109="Conical",PI()/12*(F1105*INDEX(LenF,MATCH($C$1105,LenU,0)))^2*(N(F1110)*INDEX(LenF,MATCH($C$1110,LenU,0))),INDEX(HeadK,MATCH(F1109,HeadU,0))*(F1105*INDEX(LenF,MATCH($C$1105,LenU,0)))^3)),"")</f>
        <v/>
      </c>
      <c r="G1118" s="29" t="str">
        <f aca="false">IF(ISNUMBER(G1105),IF(G1109="",0,IF(G1109="Conical",PI()/12*(G1105*INDEX(LenF,MATCH($C$1105,LenU,0)))^2*(N(G1110)*INDEX(LenF,MATCH($C$1110,LenU,0))),INDEX(HeadK,MATCH(G1109,HeadU,0))*(G1105*INDEX(LenF,MATCH($C$1105,LenU,0)))^3)),"")</f>
        <v/>
      </c>
      <c r="H1118" s="29" t="str">
        <f aca="false">IF(ISNUMBER(H1105),IF(H1109="",0,IF(H1109="Conical",PI()/12*(H1105*INDEX(LenF,MATCH($C$1105,LenU,0)))^2*(N(H1110)*INDEX(LenF,MATCH($C$1110,LenU,0))),INDEX(HeadK,MATCH(H1109,HeadU,0))*(H1105*INDEX(LenF,MATCH($C$1105,LenU,0)))^3)),"")</f>
        <v/>
      </c>
      <c r="I1118" s="30" t="str">
        <f aca="false">IF(COUNT(D1118:H1118)=0,"",SUM(D1118:H1118))</f>
        <v/>
      </c>
      <c r="J1118" s="24"/>
    </row>
    <row r="1119" customFormat="false" ht="15" hidden="false" customHeight="false" outlineLevel="0" collapsed="false">
      <c r="B1119" s="9" t="s">
        <v>192</v>
      </c>
      <c r="C1119" s="15" t="s">
        <v>109</v>
      </c>
      <c r="D1119" s="29" t="str">
        <f aca="false">IF(ISNUMBER(D1105),D1116+D1117+D1118,"")</f>
        <v/>
      </c>
      <c r="E1119" s="29" t="str">
        <f aca="false">IF(ISNUMBER(E1105),E1116+E1117+E1118,"")</f>
        <v/>
      </c>
      <c r="F1119" s="29" t="str">
        <f aca="false">IF(ISNUMBER(F1105),F1116+F1117+F1118,"")</f>
        <v/>
      </c>
      <c r="G1119" s="29" t="str">
        <f aca="false">IF(ISNUMBER(G1105),G1116+G1117+G1118,"")</f>
        <v/>
      </c>
      <c r="H1119" s="29" t="str">
        <f aca="false">IF(ISNUMBER(H1105),H1116+H1117+H1118,"")</f>
        <v/>
      </c>
      <c r="I1119" s="30" t="str">
        <f aca="false">IF(COUNT(D1119:H1119)=0,"",SUM(D1119:H1119))</f>
        <v/>
      </c>
      <c r="J1119" s="24"/>
    </row>
    <row r="1120" customFormat="false" ht="15" hidden="false" customHeight="false" outlineLevel="0" collapsed="false">
      <c r="B1120" s="9" t="s">
        <v>193</v>
      </c>
      <c r="C1120" s="15" t="s">
        <v>109</v>
      </c>
      <c r="D1120" s="29" t="str">
        <f aca="false">IF(ISNUMBER(D1111),D1111*INDEX(WtF,MATCH($C$1111,WtU,0))/WaterRho,"")</f>
        <v/>
      </c>
      <c r="E1120" s="29" t="str">
        <f aca="false">IF(ISNUMBER(E1111),E1111*INDEX(WtF,MATCH($C$1111,WtU,0))/WaterRho,"")</f>
        <v/>
      </c>
      <c r="F1120" s="29" t="str">
        <f aca="false">IF(ISNUMBER(F1111),F1111*INDEX(WtF,MATCH($C$1111,WtU,0))/WaterRho,"")</f>
        <v/>
      </c>
      <c r="G1120" s="29" t="str">
        <f aca="false">IF(ISNUMBER(G1111),G1111*INDEX(WtF,MATCH($C$1111,WtU,0))/WaterRho,"")</f>
        <v/>
      </c>
      <c r="H1120" s="29" t="str">
        <f aca="false">IF(ISNUMBER(H1111),H1111*INDEX(WtF,MATCH($C$1111,WtU,0))/WaterRho,"")</f>
        <v/>
      </c>
      <c r="I1120" s="30" t="str">
        <f aca="false">IF(COUNT(D1120:H1120)=0,"",SUM(D1120:H1120))</f>
        <v/>
      </c>
      <c r="J1120" s="24"/>
    </row>
    <row r="1121" customFormat="false" ht="15" hidden="false" customHeight="false" outlineLevel="0" collapsed="false">
      <c r="B1121" s="4" t="s">
        <v>194</v>
      </c>
      <c r="C1121" s="15" t="s">
        <v>109</v>
      </c>
      <c r="D1121" s="31" t="str">
        <f aca="false">IF(D1113="Water weight",D1120,D1119)</f>
        <v/>
      </c>
      <c r="E1121" s="31" t="str">
        <f aca="false">IF(E1113="Water weight",E1120,E1119)</f>
        <v/>
      </c>
      <c r="F1121" s="31" t="str">
        <f aca="false">IF(F1113="Water weight",F1120,F1119)</f>
        <v/>
      </c>
      <c r="G1121" s="31" t="str">
        <f aca="false">IF(G1113="Water weight",G1120,G1119)</f>
        <v/>
      </c>
      <c r="H1121" s="31" t="str">
        <f aca="false">IF(H1113="Water weight",H1120,H1119)</f>
        <v/>
      </c>
      <c r="I1121" s="31" t="str">
        <f aca="false">IF(COUNT(D1121:H1121)=0,"",SUM(D1121:H1121))</f>
        <v/>
      </c>
      <c r="J1121" s="24"/>
      <c r="K1121" s="32" t="s">
        <v>195</v>
      </c>
      <c r="L1121" s="32" t="n">
        <f aca="false">D1103</f>
        <v>0</v>
      </c>
      <c r="M1121" s="32" t="n">
        <f aca="false">E1103</f>
        <v>0</v>
      </c>
      <c r="N1121" s="32" t="n">
        <f aca="false">F1103</f>
        <v>0</v>
      </c>
      <c r="O1121" s="32" t="n">
        <f aca="false">G1103</f>
        <v>0</v>
      </c>
      <c r="P1121" s="32" t="n">
        <f aca="false">H1103</f>
        <v>0</v>
      </c>
    </row>
    <row r="1122" customFormat="false" ht="36" hidden="false" customHeight="true" outlineLevel="0" collapsed="false">
      <c r="B1122" s="9" t="s">
        <v>196</v>
      </c>
      <c r="C1122" s="15" t="s">
        <v>29</v>
      </c>
      <c r="D1122" s="39" t="str">
        <f aca="false">IF(D1121="","",IF(JobType="Chemical Cleaning",D1114,IFERROR(INDEX(DecMeth,MATCH(D1103,DecTypeU,0)),"⚠ select equipment type")))</f>
        <v/>
      </c>
      <c r="E1122" s="39" t="str">
        <f aca="false">IF(E1121="","",IF(JobType="Chemical Cleaning",E1114,IFERROR(INDEX(DecMeth,MATCH(E1103,DecTypeU,0)),"⚠ select equipment type")))</f>
        <v/>
      </c>
      <c r="F1122" s="39" t="str">
        <f aca="false">IF(F1121="","",IF(JobType="Chemical Cleaning",F1114,IFERROR(INDEX(DecMeth,MATCH(F1103,DecTypeU,0)),"⚠ select equipment type")))</f>
        <v/>
      </c>
      <c r="G1122" s="39" t="str">
        <f aca="false">IF(G1121="","",IF(JobType="Chemical Cleaning",G1114,IFERROR(INDEX(DecMeth,MATCH(G1103,DecTypeU,0)),"⚠ select equipment type")))</f>
        <v/>
      </c>
      <c r="H1122" s="39" t="str">
        <f aca="false">IF(H1121="","",IF(JobType="Chemical Cleaning",H1114,IFERROR(INDEX(DecMeth,MATCH(H1103,DecTypeU,0)),"⚠ select equipment type")))</f>
        <v/>
      </c>
      <c r="I1122" s="40"/>
      <c r="J1122" s="24"/>
    </row>
    <row r="1123" customFormat="false" ht="15" hidden="false" customHeight="false" outlineLevel="0" collapsed="false">
      <c r="B1123" s="9" t="s">
        <v>60</v>
      </c>
      <c r="C1123" s="15" t="s">
        <v>146</v>
      </c>
      <c r="D1123" s="35" t="str">
        <f aca="false">IF(D1121="","",IF(JobType="Chemical Cleaning",IFERROR(INDEX(CCMethPct,MATCH(D1114,CCMethU,0)),""),IFERROR(INDEX(DecFill,MATCH(D1103,DecTypeU,0)),"")))</f>
        <v/>
      </c>
      <c r="E1123" s="35" t="str">
        <f aca="false">IF(E1121="","",IF(JobType="Chemical Cleaning",IFERROR(INDEX(CCMethPct,MATCH(E1114,CCMethU,0)),""),IFERROR(INDEX(DecFill,MATCH(E1103,DecTypeU,0)),"")))</f>
        <v/>
      </c>
      <c r="F1123" s="35" t="str">
        <f aca="false">IF(F1121="","",IF(JobType="Chemical Cleaning",IFERROR(INDEX(CCMethPct,MATCH(F1114,CCMethU,0)),""),IFERROR(INDEX(DecFill,MATCH(F1103,DecTypeU,0)),"")))</f>
        <v/>
      </c>
      <c r="G1123" s="35" t="str">
        <f aca="false">IF(G1121="","",IF(JobType="Chemical Cleaning",IFERROR(INDEX(CCMethPct,MATCH(G1114,CCMethU,0)),""),IFERROR(INDEX(DecFill,MATCH(G1103,DecTypeU,0)),"")))</f>
        <v/>
      </c>
      <c r="H1123" s="35" t="str">
        <f aca="false">IF(H1121="","",IF(JobType="Chemical Cleaning",IFERROR(INDEX(CCMethPct,MATCH(H1114,CCMethU,0)),""),IFERROR(INDEX(DecFill,MATCH(H1103,DecTypeU,0)),"")))</f>
        <v/>
      </c>
      <c r="I1123" s="36"/>
      <c r="J1123" s="24" t="s">
        <v>197</v>
      </c>
    </row>
    <row r="1124" customFormat="false" ht="15" hidden="false" customHeight="false" outlineLevel="0" collapsed="false">
      <c r="B1124" s="4" t="s">
        <v>148</v>
      </c>
      <c r="C1124" s="15" t="s">
        <v>109</v>
      </c>
      <c r="D1124" s="31" t="str">
        <f aca="false">IF(OR(D1121="",D1123=""),"",D1121*D1123)</f>
        <v/>
      </c>
      <c r="E1124" s="31" t="str">
        <f aca="false">IF(OR(E1121="",E1123=""),"",E1121*E1123)</f>
        <v/>
      </c>
      <c r="F1124" s="31" t="str">
        <f aca="false">IF(OR(F1121="",F1123=""),"",F1121*F1123)</f>
        <v/>
      </c>
      <c r="G1124" s="31" t="str">
        <f aca="false">IF(OR(G1121="",G1123=""),"",G1121*G1123)</f>
        <v/>
      </c>
      <c r="H1124" s="31" t="str">
        <f aca="false">IF(OR(H1121="",H1123=""),"",H1121*H1123)</f>
        <v/>
      </c>
      <c r="I1124" s="31" t="str">
        <f aca="false">IF(COUNT(D1124:H1124)=0,"",SUM(D1124:H1124))</f>
        <v/>
      </c>
      <c r="J1124" s="24"/>
      <c r="K1124" s="32" t="s">
        <v>198</v>
      </c>
      <c r="L1124" s="32" t="n">
        <f aca="false">D1103</f>
        <v>0</v>
      </c>
      <c r="M1124" s="32" t="n">
        <f aca="false">E1103</f>
        <v>0</v>
      </c>
      <c r="N1124" s="32" t="n">
        <f aca="false">F1103</f>
        <v>0</v>
      </c>
      <c r="O1124" s="32" t="n">
        <f aca="false">G1103</f>
        <v>0</v>
      </c>
      <c r="P1124" s="32" t="n">
        <f aca="false">H1103</f>
        <v>0</v>
      </c>
    </row>
    <row r="1125" customFormat="false" ht="15" hidden="false" customHeight="false" outlineLevel="0" collapsed="false">
      <c r="B1125" s="9" t="s">
        <v>150</v>
      </c>
      <c r="C1125" s="15" t="s">
        <v>32</v>
      </c>
      <c r="D1125" s="37" t="str">
        <f aca="false">IF(OR(JobType&lt;&gt;"Decontamination",D1124=""),"",IFERROR(D1124*INDEX(DecChem,MATCH(D1103,DecTypeU,0))*1000,""))</f>
        <v/>
      </c>
      <c r="E1125" s="37" t="str">
        <f aca="false">IF(OR(JobType&lt;&gt;"Decontamination",E1124=""),"",IFERROR(E1124*INDEX(DecChem,MATCH(E1103,DecTypeU,0))*1000,""))</f>
        <v/>
      </c>
      <c r="F1125" s="37" t="str">
        <f aca="false">IF(OR(JobType&lt;&gt;"Decontamination",F1124=""),"",IFERROR(F1124*INDEX(DecChem,MATCH(F1103,DecTypeU,0))*1000,""))</f>
        <v/>
      </c>
      <c r="G1125" s="37" t="str">
        <f aca="false">IF(OR(JobType&lt;&gt;"Decontamination",G1124=""),"",IFERROR(G1124*INDEX(DecChem,MATCH(G1103,DecTypeU,0))*1000,""))</f>
        <v/>
      </c>
      <c r="H1125" s="37" t="str">
        <f aca="false">IF(OR(JobType&lt;&gt;"Decontamination",H1124=""),"",IFERROR(H1124*INDEX(DecChem,MATCH(H1103,DecTypeU,0))*1000,""))</f>
        <v/>
      </c>
      <c r="I1125" s="38" t="str">
        <f aca="false">IF(COUNT(D1125:H1125)=0,"",SUM(D1125:H1125))</f>
        <v/>
      </c>
      <c r="J1125" s="24" t="s">
        <v>199</v>
      </c>
      <c r="K1125" s="32" t="s">
        <v>200</v>
      </c>
      <c r="L1125" s="32" t="n">
        <f aca="false">D1103</f>
        <v>0</v>
      </c>
      <c r="M1125" s="32" t="n">
        <f aca="false">E1103</f>
        <v>0</v>
      </c>
      <c r="N1125" s="32" t="n">
        <f aca="false">F1103</f>
        <v>0</v>
      </c>
      <c r="O1125" s="32" t="n">
        <f aca="false">G1103</f>
        <v>0</v>
      </c>
      <c r="P1125" s="32" t="n">
        <f aca="false">H1103</f>
        <v>0</v>
      </c>
    </row>
    <row r="1127" customFormat="false" ht="15" hidden="false" customHeight="false" outlineLevel="0" collapsed="false">
      <c r="A1127" s="20" t="n">
        <v>9</v>
      </c>
      <c r="B1127" s="21" t="s">
        <v>208</v>
      </c>
      <c r="C1127" s="22"/>
      <c r="D1127" s="22"/>
      <c r="E1127" s="22"/>
      <c r="F1127" s="22"/>
      <c r="G1127" s="22"/>
      <c r="H1127" s="22"/>
      <c r="I1127" s="22"/>
      <c r="J1127" s="22"/>
    </row>
    <row r="1128" customFormat="false" ht="15" hidden="false" customHeight="false" outlineLevel="0" collapsed="false">
      <c r="B1128" s="9" t="s">
        <v>83</v>
      </c>
      <c r="C1128" s="15" t="s">
        <v>29</v>
      </c>
      <c r="D1128" s="8"/>
      <c r="E1128" s="8"/>
      <c r="F1128" s="8"/>
      <c r="G1128" s="8"/>
      <c r="H1128" s="8"/>
      <c r="I1128" s="23"/>
      <c r="J1128" s="24"/>
    </row>
    <row r="1129" customFormat="false" ht="15" hidden="false" customHeight="false" outlineLevel="0" collapsed="false">
      <c r="B1129" s="9" t="s">
        <v>86</v>
      </c>
      <c r="C1129" s="15" t="s">
        <v>29</v>
      </c>
      <c r="D1129" s="8"/>
      <c r="E1129" s="8"/>
      <c r="F1129" s="8"/>
      <c r="G1129" s="8"/>
      <c r="H1129" s="8"/>
      <c r="I1129" s="23"/>
      <c r="J1129" s="24"/>
    </row>
    <row r="1130" customFormat="false" ht="15" hidden="false" customHeight="false" outlineLevel="0" collapsed="false">
      <c r="B1130" s="9" t="s">
        <v>175</v>
      </c>
      <c r="C1130" s="15" t="s">
        <v>29</v>
      </c>
      <c r="D1130" s="8"/>
      <c r="E1130" s="8"/>
      <c r="F1130" s="8"/>
      <c r="G1130" s="8"/>
      <c r="H1130" s="8"/>
      <c r="I1130" s="23"/>
      <c r="J1130" s="24" t="s">
        <v>176</v>
      </c>
    </row>
    <row r="1131" customFormat="false" ht="15" hidden="false" customHeight="false" outlineLevel="0" collapsed="false">
      <c r="B1131" s="25" t="s">
        <v>177</v>
      </c>
      <c r="C1131" s="26"/>
      <c r="D1131" s="26"/>
      <c r="E1131" s="26"/>
      <c r="F1131" s="26"/>
      <c r="G1131" s="26"/>
      <c r="H1131" s="26"/>
      <c r="I1131" s="26"/>
      <c r="J1131" s="26"/>
    </row>
    <row r="1132" customFormat="false" ht="15" hidden="false" customHeight="false" outlineLevel="0" collapsed="false">
      <c r="B1132" s="9" t="s">
        <v>178</v>
      </c>
      <c r="C1132" s="8" t="s">
        <v>92</v>
      </c>
      <c r="D1132" s="8"/>
      <c r="E1132" s="8"/>
      <c r="F1132" s="8"/>
      <c r="G1132" s="8"/>
      <c r="H1132" s="8"/>
      <c r="I1132" s="23"/>
      <c r="J1132" s="24"/>
    </row>
    <row r="1133" customFormat="false" ht="15" hidden="false" customHeight="false" outlineLevel="0" collapsed="false">
      <c r="B1133" s="9" t="s">
        <v>179</v>
      </c>
      <c r="C1133" s="8" t="s">
        <v>92</v>
      </c>
      <c r="D1133" s="8"/>
      <c r="E1133" s="8"/>
      <c r="F1133" s="8"/>
      <c r="G1133" s="8"/>
      <c r="H1133" s="8"/>
      <c r="I1133" s="23"/>
      <c r="J1133" s="24"/>
    </row>
    <row r="1134" customFormat="false" ht="15" hidden="false" customHeight="false" outlineLevel="0" collapsed="false">
      <c r="B1134" s="9" t="s">
        <v>180</v>
      </c>
      <c r="C1134" s="15" t="s">
        <v>29</v>
      </c>
      <c r="D1134" s="8"/>
      <c r="E1134" s="8"/>
      <c r="F1134" s="8"/>
      <c r="G1134" s="8"/>
      <c r="H1134" s="8"/>
      <c r="I1134" s="23"/>
      <c r="J1134" s="24"/>
    </row>
    <row r="1135" customFormat="false" ht="15" hidden="false" customHeight="false" outlineLevel="0" collapsed="false">
      <c r="B1135" s="9" t="s">
        <v>181</v>
      </c>
      <c r="C1135" s="8" t="s">
        <v>92</v>
      </c>
      <c r="D1135" s="8"/>
      <c r="E1135" s="8"/>
      <c r="F1135" s="8"/>
      <c r="G1135" s="8"/>
      <c r="H1135" s="8"/>
      <c r="I1135" s="23"/>
      <c r="J1135" s="24"/>
    </row>
    <row r="1136" customFormat="false" ht="15" hidden="false" customHeight="false" outlineLevel="0" collapsed="false">
      <c r="B1136" s="9" t="s">
        <v>182</v>
      </c>
      <c r="C1136" s="15" t="s">
        <v>29</v>
      </c>
      <c r="D1136" s="8"/>
      <c r="E1136" s="8"/>
      <c r="F1136" s="8"/>
      <c r="G1136" s="8"/>
      <c r="H1136" s="8"/>
      <c r="I1136" s="23"/>
      <c r="J1136" s="24"/>
    </row>
    <row r="1137" customFormat="false" ht="15" hidden="false" customHeight="false" outlineLevel="0" collapsed="false">
      <c r="B1137" s="9" t="s">
        <v>183</v>
      </c>
      <c r="C1137" s="8" t="s">
        <v>92</v>
      </c>
      <c r="D1137" s="8"/>
      <c r="E1137" s="8"/>
      <c r="F1137" s="8"/>
      <c r="G1137" s="8"/>
      <c r="H1137" s="8"/>
      <c r="I1137" s="23"/>
      <c r="J1137" s="24"/>
    </row>
    <row r="1138" customFormat="false" ht="15" hidden="false" customHeight="false" outlineLevel="0" collapsed="false">
      <c r="B1138" s="9" t="s">
        <v>184</v>
      </c>
      <c r="C1138" s="8" t="s">
        <v>112</v>
      </c>
      <c r="D1138" s="8"/>
      <c r="E1138" s="8"/>
      <c r="F1138" s="8"/>
      <c r="G1138" s="8"/>
      <c r="H1138" s="8"/>
      <c r="I1138" s="23"/>
      <c r="J1138" s="24"/>
    </row>
    <row r="1139" customFormat="false" ht="15" hidden="false" customHeight="false" outlineLevel="0" collapsed="false">
      <c r="B1139" s="25" t="s">
        <v>185</v>
      </c>
      <c r="C1139" s="26"/>
      <c r="D1139" s="26"/>
      <c r="E1139" s="26"/>
      <c r="F1139" s="26"/>
      <c r="G1139" s="26"/>
      <c r="H1139" s="26"/>
      <c r="I1139" s="26"/>
      <c r="J1139" s="26"/>
    </row>
    <row r="1140" customFormat="false" ht="15" hidden="false" customHeight="false" outlineLevel="0" collapsed="false">
      <c r="B1140" s="9" t="s">
        <v>186</v>
      </c>
      <c r="C1140" s="15" t="s">
        <v>29</v>
      </c>
      <c r="D1140" s="8" t="s">
        <v>122</v>
      </c>
      <c r="E1140" s="8" t="s">
        <v>122</v>
      </c>
      <c r="F1140" s="8" t="s">
        <v>122</v>
      </c>
      <c r="G1140" s="8" t="s">
        <v>122</v>
      </c>
      <c r="H1140" s="8" t="s">
        <v>122</v>
      </c>
      <c r="I1140" s="23"/>
      <c r="J1140" s="24"/>
    </row>
    <row r="1141" customFormat="false" ht="15" hidden="false" customHeight="false" outlineLevel="0" collapsed="false">
      <c r="B1141" s="9" t="s">
        <v>187</v>
      </c>
      <c r="C1141" s="15" t="s">
        <v>29</v>
      </c>
      <c r="D1141" s="8" t="s">
        <v>61</v>
      </c>
      <c r="E1141" s="8" t="s">
        <v>61</v>
      </c>
      <c r="F1141" s="8" t="s">
        <v>61</v>
      </c>
      <c r="G1141" s="8" t="s">
        <v>61</v>
      </c>
      <c r="H1141" s="8" t="s">
        <v>61</v>
      </c>
      <c r="I1141" s="23"/>
      <c r="J1141" s="24" t="s">
        <v>188</v>
      </c>
    </row>
    <row r="1142" customFormat="false" ht="15" hidden="false" customHeight="false" outlineLevel="0" collapsed="false">
      <c r="B1142" s="25" t="s">
        <v>124</v>
      </c>
      <c r="C1142" s="26"/>
      <c r="D1142" s="26"/>
      <c r="E1142" s="26"/>
      <c r="F1142" s="26"/>
      <c r="G1142" s="26"/>
      <c r="H1142" s="26"/>
      <c r="I1142" s="26"/>
      <c r="J1142" s="26"/>
    </row>
    <row r="1143" customFormat="false" ht="15" hidden="false" customHeight="false" outlineLevel="0" collapsed="false">
      <c r="B1143" s="9" t="s">
        <v>189</v>
      </c>
      <c r="C1143" s="15" t="s">
        <v>109</v>
      </c>
      <c r="D1143" s="29" t="str">
        <f aca="false">IF(ISNUMBER(D1132),PI()/4*(D1132*INDEX(LenF,MATCH($C$1132,LenU,0)))^2*N(D1133)*INDEX(LenF,MATCH($C$1133,LenU,0)),"")</f>
        <v/>
      </c>
      <c r="E1143" s="29" t="str">
        <f aca="false">IF(ISNUMBER(E1132),PI()/4*(E1132*INDEX(LenF,MATCH($C$1132,LenU,0)))^2*N(E1133)*INDEX(LenF,MATCH($C$1133,LenU,0)),"")</f>
        <v/>
      </c>
      <c r="F1143" s="29" t="str">
        <f aca="false">IF(ISNUMBER(F1132),PI()/4*(F1132*INDEX(LenF,MATCH($C$1132,LenU,0)))^2*N(F1133)*INDEX(LenF,MATCH($C$1133,LenU,0)),"")</f>
        <v/>
      </c>
      <c r="G1143" s="29" t="str">
        <f aca="false">IF(ISNUMBER(G1132),PI()/4*(G1132*INDEX(LenF,MATCH($C$1132,LenU,0)))^2*N(G1133)*INDEX(LenF,MATCH($C$1133,LenU,0)),"")</f>
        <v/>
      </c>
      <c r="H1143" s="29" t="str">
        <f aca="false">IF(ISNUMBER(H1132),PI()/4*(H1132*INDEX(LenF,MATCH($C$1132,LenU,0)))^2*N(H1133)*INDEX(LenF,MATCH($C$1133,LenU,0)),"")</f>
        <v/>
      </c>
      <c r="I1143" s="30" t="str">
        <f aca="false">IF(COUNT(D1143:H1143)=0,"",SUM(D1143:H1143))</f>
        <v/>
      </c>
      <c r="J1143" s="24"/>
    </row>
    <row r="1144" customFormat="false" ht="15" hidden="false" customHeight="false" outlineLevel="0" collapsed="false">
      <c r="B1144" s="9" t="s">
        <v>190</v>
      </c>
      <c r="C1144" s="15" t="s">
        <v>109</v>
      </c>
      <c r="D1144" s="29" t="str">
        <f aca="false">IF(ISNUMBER(D1132),IF(D1134="",0,IF(D1134="Conical",PI()/12*(D1132*INDEX(LenF,MATCH($C$1132,LenU,0)))^2*(N(D1135)*INDEX(LenF,MATCH($C$1135,LenU,0))),INDEX(HeadK,MATCH(D1134,HeadU,0))*(D1132*INDEX(LenF,MATCH($C$1132,LenU,0)))^3)),"")</f>
        <v/>
      </c>
      <c r="E1144" s="29" t="str">
        <f aca="false">IF(ISNUMBER(E1132),IF(E1134="",0,IF(E1134="Conical",PI()/12*(E1132*INDEX(LenF,MATCH($C$1132,LenU,0)))^2*(N(E1135)*INDEX(LenF,MATCH($C$1135,LenU,0))),INDEX(HeadK,MATCH(E1134,HeadU,0))*(E1132*INDEX(LenF,MATCH($C$1132,LenU,0)))^3)),"")</f>
        <v/>
      </c>
      <c r="F1144" s="29" t="str">
        <f aca="false">IF(ISNUMBER(F1132),IF(F1134="",0,IF(F1134="Conical",PI()/12*(F1132*INDEX(LenF,MATCH($C$1132,LenU,0)))^2*(N(F1135)*INDEX(LenF,MATCH($C$1135,LenU,0))),INDEX(HeadK,MATCH(F1134,HeadU,0))*(F1132*INDEX(LenF,MATCH($C$1132,LenU,0)))^3)),"")</f>
        <v/>
      </c>
      <c r="G1144" s="29" t="str">
        <f aca="false">IF(ISNUMBER(G1132),IF(G1134="",0,IF(G1134="Conical",PI()/12*(G1132*INDEX(LenF,MATCH($C$1132,LenU,0)))^2*(N(G1135)*INDEX(LenF,MATCH($C$1135,LenU,0))),INDEX(HeadK,MATCH(G1134,HeadU,0))*(G1132*INDEX(LenF,MATCH($C$1132,LenU,0)))^3)),"")</f>
        <v/>
      </c>
      <c r="H1144" s="29" t="str">
        <f aca="false">IF(ISNUMBER(H1132),IF(H1134="",0,IF(H1134="Conical",PI()/12*(H1132*INDEX(LenF,MATCH($C$1132,LenU,0)))^2*(N(H1135)*INDEX(LenF,MATCH($C$1135,LenU,0))),INDEX(HeadK,MATCH(H1134,HeadU,0))*(H1132*INDEX(LenF,MATCH($C$1132,LenU,0)))^3)),"")</f>
        <v/>
      </c>
      <c r="I1144" s="30" t="str">
        <f aca="false">IF(COUNT(D1144:H1144)=0,"",SUM(D1144:H1144))</f>
        <v/>
      </c>
      <c r="J1144" s="24"/>
    </row>
    <row r="1145" customFormat="false" ht="15" hidden="false" customHeight="false" outlineLevel="0" collapsed="false">
      <c r="B1145" s="9" t="s">
        <v>191</v>
      </c>
      <c r="C1145" s="15" t="s">
        <v>109</v>
      </c>
      <c r="D1145" s="29" t="str">
        <f aca="false">IF(ISNUMBER(D1132),IF(D1136="",0,IF(D1136="Conical",PI()/12*(D1132*INDEX(LenF,MATCH($C$1132,LenU,0)))^2*(N(D1137)*INDEX(LenF,MATCH($C$1137,LenU,0))),INDEX(HeadK,MATCH(D1136,HeadU,0))*(D1132*INDEX(LenF,MATCH($C$1132,LenU,0)))^3)),"")</f>
        <v/>
      </c>
      <c r="E1145" s="29" t="str">
        <f aca="false">IF(ISNUMBER(E1132),IF(E1136="",0,IF(E1136="Conical",PI()/12*(E1132*INDEX(LenF,MATCH($C$1132,LenU,0)))^2*(N(E1137)*INDEX(LenF,MATCH($C$1137,LenU,0))),INDEX(HeadK,MATCH(E1136,HeadU,0))*(E1132*INDEX(LenF,MATCH($C$1132,LenU,0)))^3)),"")</f>
        <v/>
      </c>
      <c r="F1145" s="29" t="str">
        <f aca="false">IF(ISNUMBER(F1132),IF(F1136="",0,IF(F1136="Conical",PI()/12*(F1132*INDEX(LenF,MATCH($C$1132,LenU,0)))^2*(N(F1137)*INDEX(LenF,MATCH($C$1137,LenU,0))),INDEX(HeadK,MATCH(F1136,HeadU,0))*(F1132*INDEX(LenF,MATCH($C$1132,LenU,0)))^3)),"")</f>
        <v/>
      </c>
      <c r="G1145" s="29" t="str">
        <f aca="false">IF(ISNUMBER(G1132),IF(G1136="",0,IF(G1136="Conical",PI()/12*(G1132*INDEX(LenF,MATCH($C$1132,LenU,0)))^2*(N(G1137)*INDEX(LenF,MATCH($C$1137,LenU,0))),INDEX(HeadK,MATCH(G1136,HeadU,0))*(G1132*INDEX(LenF,MATCH($C$1132,LenU,0)))^3)),"")</f>
        <v/>
      </c>
      <c r="H1145" s="29" t="str">
        <f aca="false">IF(ISNUMBER(H1132),IF(H1136="",0,IF(H1136="Conical",PI()/12*(H1132*INDEX(LenF,MATCH($C$1132,LenU,0)))^2*(N(H1137)*INDEX(LenF,MATCH($C$1137,LenU,0))),INDEX(HeadK,MATCH(H1136,HeadU,0))*(H1132*INDEX(LenF,MATCH($C$1132,LenU,0)))^3)),"")</f>
        <v/>
      </c>
      <c r="I1145" s="30" t="str">
        <f aca="false">IF(COUNT(D1145:H1145)=0,"",SUM(D1145:H1145))</f>
        <v/>
      </c>
      <c r="J1145" s="24"/>
    </row>
    <row r="1146" customFormat="false" ht="15" hidden="false" customHeight="false" outlineLevel="0" collapsed="false">
      <c r="B1146" s="9" t="s">
        <v>192</v>
      </c>
      <c r="C1146" s="15" t="s">
        <v>109</v>
      </c>
      <c r="D1146" s="29" t="str">
        <f aca="false">IF(ISNUMBER(D1132),D1143+D1144+D1145,"")</f>
        <v/>
      </c>
      <c r="E1146" s="29" t="str">
        <f aca="false">IF(ISNUMBER(E1132),E1143+E1144+E1145,"")</f>
        <v/>
      </c>
      <c r="F1146" s="29" t="str">
        <f aca="false">IF(ISNUMBER(F1132),F1143+F1144+F1145,"")</f>
        <v/>
      </c>
      <c r="G1146" s="29" t="str">
        <f aca="false">IF(ISNUMBER(G1132),G1143+G1144+G1145,"")</f>
        <v/>
      </c>
      <c r="H1146" s="29" t="str">
        <f aca="false">IF(ISNUMBER(H1132),H1143+H1144+H1145,"")</f>
        <v/>
      </c>
      <c r="I1146" s="30" t="str">
        <f aca="false">IF(COUNT(D1146:H1146)=0,"",SUM(D1146:H1146))</f>
        <v/>
      </c>
      <c r="J1146" s="24"/>
    </row>
    <row r="1147" customFormat="false" ht="15" hidden="false" customHeight="false" outlineLevel="0" collapsed="false">
      <c r="B1147" s="9" t="s">
        <v>193</v>
      </c>
      <c r="C1147" s="15" t="s">
        <v>109</v>
      </c>
      <c r="D1147" s="29" t="str">
        <f aca="false">IF(ISNUMBER(D1138),D1138*INDEX(WtF,MATCH($C$1138,WtU,0))/WaterRho,"")</f>
        <v/>
      </c>
      <c r="E1147" s="29" t="str">
        <f aca="false">IF(ISNUMBER(E1138),E1138*INDEX(WtF,MATCH($C$1138,WtU,0))/WaterRho,"")</f>
        <v/>
      </c>
      <c r="F1147" s="29" t="str">
        <f aca="false">IF(ISNUMBER(F1138),F1138*INDEX(WtF,MATCH($C$1138,WtU,0))/WaterRho,"")</f>
        <v/>
      </c>
      <c r="G1147" s="29" t="str">
        <f aca="false">IF(ISNUMBER(G1138),G1138*INDEX(WtF,MATCH($C$1138,WtU,0))/WaterRho,"")</f>
        <v/>
      </c>
      <c r="H1147" s="29" t="str">
        <f aca="false">IF(ISNUMBER(H1138),H1138*INDEX(WtF,MATCH($C$1138,WtU,0))/WaterRho,"")</f>
        <v/>
      </c>
      <c r="I1147" s="30" t="str">
        <f aca="false">IF(COUNT(D1147:H1147)=0,"",SUM(D1147:H1147))</f>
        <v/>
      </c>
      <c r="J1147" s="24"/>
    </row>
    <row r="1148" customFormat="false" ht="15" hidden="false" customHeight="false" outlineLevel="0" collapsed="false">
      <c r="B1148" s="4" t="s">
        <v>194</v>
      </c>
      <c r="C1148" s="15" t="s">
        <v>109</v>
      </c>
      <c r="D1148" s="31" t="str">
        <f aca="false">IF(D1140="Water weight",D1147,D1146)</f>
        <v/>
      </c>
      <c r="E1148" s="31" t="str">
        <f aca="false">IF(E1140="Water weight",E1147,E1146)</f>
        <v/>
      </c>
      <c r="F1148" s="31" t="str">
        <f aca="false">IF(F1140="Water weight",F1147,F1146)</f>
        <v/>
      </c>
      <c r="G1148" s="31" t="str">
        <f aca="false">IF(G1140="Water weight",G1147,G1146)</f>
        <v/>
      </c>
      <c r="H1148" s="31" t="str">
        <f aca="false">IF(H1140="Water weight",H1147,H1146)</f>
        <v/>
      </c>
      <c r="I1148" s="31" t="str">
        <f aca="false">IF(COUNT(D1148:H1148)=0,"",SUM(D1148:H1148))</f>
        <v/>
      </c>
      <c r="J1148" s="24"/>
      <c r="K1148" s="32" t="s">
        <v>195</v>
      </c>
      <c r="L1148" s="32" t="n">
        <f aca="false">D1130</f>
        <v>0</v>
      </c>
      <c r="M1148" s="32" t="n">
        <f aca="false">E1130</f>
        <v>0</v>
      </c>
      <c r="N1148" s="32" t="n">
        <f aca="false">F1130</f>
        <v>0</v>
      </c>
      <c r="O1148" s="32" t="n">
        <f aca="false">G1130</f>
        <v>0</v>
      </c>
      <c r="P1148" s="32" t="n">
        <f aca="false">H1130</f>
        <v>0</v>
      </c>
    </row>
    <row r="1149" customFormat="false" ht="36" hidden="false" customHeight="true" outlineLevel="0" collapsed="false">
      <c r="B1149" s="9" t="s">
        <v>196</v>
      </c>
      <c r="C1149" s="15" t="s">
        <v>29</v>
      </c>
      <c r="D1149" s="39" t="str">
        <f aca="false">IF(D1148="","",IF(JobType="Chemical Cleaning",D1141,IFERROR(INDEX(DecMeth,MATCH(D1130,DecTypeU,0)),"⚠ select equipment type")))</f>
        <v/>
      </c>
      <c r="E1149" s="39" t="str">
        <f aca="false">IF(E1148="","",IF(JobType="Chemical Cleaning",E1141,IFERROR(INDEX(DecMeth,MATCH(E1130,DecTypeU,0)),"⚠ select equipment type")))</f>
        <v/>
      </c>
      <c r="F1149" s="39" t="str">
        <f aca="false">IF(F1148="","",IF(JobType="Chemical Cleaning",F1141,IFERROR(INDEX(DecMeth,MATCH(F1130,DecTypeU,0)),"⚠ select equipment type")))</f>
        <v/>
      </c>
      <c r="G1149" s="39" t="str">
        <f aca="false">IF(G1148="","",IF(JobType="Chemical Cleaning",G1141,IFERROR(INDEX(DecMeth,MATCH(G1130,DecTypeU,0)),"⚠ select equipment type")))</f>
        <v/>
      </c>
      <c r="H1149" s="39" t="str">
        <f aca="false">IF(H1148="","",IF(JobType="Chemical Cleaning",H1141,IFERROR(INDEX(DecMeth,MATCH(H1130,DecTypeU,0)),"⚠ select equipment type")))</f>
        <v/>
      </c>
      <c r="I1149" s="40"/>
      <c r="J1149" s="24"/>
    </row>
    <row r="1150" customFormat="false" ht="15" hidden="false" customHeight="false" outlineLevel="0" collapsed="false">
      <c r="B1150" s="9" t="s">
        <v>60</v>
      </c>
      <c r="C1150" s="15" t="s">
        <v>146</v>
      </c>
      <c r="D1150" s="35" t="str">
        <f aca="false">IF(D1148="","",IF(JobType="Chemical Cleaning",IFERROR(INDEX(CCMethPct,MATCH(D1141,CCMethU,0)),""),IFERROR(INDEX(DecFill,MATCH(D1130,DecTypeU,0)),"")))</f>
        <v/>
      </c>
      <c r="E1150" s="35" t="str">
        <f aca="false">IF(E1148="","",IF(JobType="Chemical Cleaning",IFERROR(INDEX(CCMethPct,MATCH(E1141,CCMethU,0)),""),IFERROR(INDEX(DecFill,MATCH(E1130,DecTypeU,0)),"")))</f>
        <v/>
      </c>
      <c r="F1150" s="35" t="str">
        <f aca="false">IF(F1148="","",IF(JobType="Chemical Cleaning",IFERROR(INDEX(CCMethPct,MATCH(F1141,CCMethU,0)),""),IFERROR(INDEX(DecFill,MATCH(F1130,DecTypeU,0)),"")))</f>
        <v/>
      </c>
      <c r="G1150" s="35" t="str">
        <f aca="false">IF(G1148="","",IF(JobType="Chemical Cleaning",IFERROR(INDEX(CCMethPct,MATCH(G1141,CCMethU,0)),""),IFERROR(INDEX(DecFill,MATCH(G1130,DecTypeU,0)),"")))</f>
        <v/>
      </c>
      <c r="H1150" s="35" t="str">
        <f aca="false">IF(H1148="","",IF(JobType="Chemical Cleaning",IFERROR(INDEX(CCMethPct,MATCH(H1141,CCMethU,0)),""),IFERROR(INDEX(DecFill,MATCH(H1130,DecTypeU,0)),"")))</f>
        <v/>
      </c>
      <c r="I1150" s="36"/>
      <c r="J1150" s="24" t="s">
        <v>197</v>
      </c>
    </row>
    <row r="1151" customFormat="false" ht="15" hidden="false" customHeight="false" outlineLevel="0" collapsed="false">
      <c r="B1151" s="4" t="s">
        <v>148</v>
      </c>
      <c r="C1151" s="15" t="s">
        <v>109</v>
      </c>
      <c r="D1151" s="31" t="str">
        <f aca="false">IF(OR(D1148="",D1150=""),"",D1148*D1150)</f>
        <v/>
      </c>
      <c r="E1151" s="31" t="str">
        <f aca="false">IF(OR(E1148="",E1150=""),"",E1148*E1150)</f>
        <v/>
      </c>
      <c r="F1151" s="31" t="str">
        <f aca="false">IF(OR(F1148="",F1150=""),"",F1148*F1150)</f>
        <v/>
      </c>
      <c r="G1151" s="31" t="str">
        <f aca="false">IF(OR(G1148="",G1150=""),"",G1148*G1150)</f>
        <v/>
      </c>
      <c r="H1151" s="31" t="str">
        <f aca="false">IF(OR(H1148="",H1150=""),"",H1148*H1150)</f>
        <v/>
      </c>
      <c r="I1151" s="31" t="str">
        <f aca="false">IF(COUNT(D1151:H1151)=0,"",SUM(D1151:H1151))</f>
        <v/>
      </c>
      <c r="J1151" s="24"/>
      <c r="K1151" s="32" t="s">
        <v>198</v>
      </c>
      <c r="L1151" s="32" t="n">
        <f aca="false">D1130</f>
        <v>0</v>
      </c>
      <c r="M1151" s="32" t="n">
        <f aca="false">E1130</f>
        <v>0</v>
      </c>
      <c r="N1151" s="32" t="n">
        <f aca="false">F1130</f>
        <v>0</v>
      </c>
      <c r="O1151" s="32" t="n">
        <f aca="false">G1130</f>
        <v>0</v>
      </c>
      <c r="P1151" s="32" t="n">
        <f aca="false">H1130</f>
        <v>0</v>
      </c>
    </row>
    <row r="1152" customFormat="false" ht="15" hidden="false" customHeight="false" outlineLevel="0" collapsed="false">
      <c r="B1152" s="9" t="s">
        <v>150</v>
      </c>
      <c r="C1152" s="15" t="s">
        <v>32</v>
      </c>
      <c r="D1152" s="37" t="str">
        <f aca="false">IF(OR(JobType&lt;&gt;"Decontamination",D1151=""),"",IFERROR(D1151*INDEX(DecChem,MATCH(D1130,DecTypeU,0))*1000,""))</f>
        <v/>
      </c>
      <c r="E1152" s="37" t="str">
        <f aca="false">IF(OR(JobType&lt;&gt;"Decontamination",E1151=""),"",IFERROR(E1151*INDEX(DecChem,MATCH(E1130,DecTypeU,0))*1000,""))</f>
        <v/>
      </c>
      <c r="F1152" s="37" t="str">
        <f aca="false">IF(OR(JobType&lt;&gt;"Decontamination",F1151=""),"",IFERROR(F1151*INDEX(DecChem,MATCH(F1130,DecTypeU,0))*1000,""))</f>
        <v/>
      </c>
      <c r="G1152" s="37" t="str">
        <f aca="false">IF(OR(JobType&lt;&gt;"Decontamination",G1151=""),"",IFERROR(G1151*INDEX(DecChem,MATCH(G1130,DecTypeU,0))*1000,""))</f>
        <v/>
      </c>
      <c r="H1152" s="37" t="str">
        <f aca="false">IF(OR(JobType&lt;&gt;"Decontamination",H1151=""),"",IFERROR(H1151*INDEX(DecChem,MATCH(H1130,DecTypeU,0))*1000,""))</f>
        <v/>
      </c>
      <c r="I1152" s="38" t="str">
        <f aca="false">IF(COUNT(D1152:H1152)=0,"",SUM(D1152:H1152))</f>
        <v/>
      </c>
      <c r="J1152" s="24" t="s">
        <v>199</v>
      </c>
      <c r="K1152" s="32" t="s">
        <v>200</v>
      </c>
      <c r="L1152" s="32" t="n">
        <f aca="false">D1130</f>
        <v>0</v>
      </c>
      <c r="M1152" s="32" t="n">
        <f aca="false">E1130</f>
        <v>0</v>
      </c>
      <c r="N1152" s="32" t="n">
        <f aca="false">F1130</f>
        <v>0</v>
      </c>
      <c r="O1152" s="32" t="n">
        <f aca="false">G1130</f>
        <v>0</v>
      </c>
      <c r="P1152" s="32" t="n">
        <f aca="false">H1130</f>
        <v>0</v>
      </c>
    </row>
    <row r="1154" customFormat="false" ht="15" hidden="false" customHeight="false" outlineLevel="0" collapsed="false">
      <c r="A1154" s="20" t="n">
        <v>10</v>
      </c>
      <c r="B1154" s="21" t="s">
        <v>209</v>
      </c>
      <c r="C1154" s="22"/>
      <c r="D1154" s="22"/>
      <c r="E1154" s="22"/>
      <c r="F1154" s="22"/>
      <c r="G1154" s="22"/>
      <c r="H1154" s="22"/>
      <c r="I1154" s="22"/>
      <c r="J1154" s="22"/>
    </row>
    <row r="1155" customFormat="false" ht="15" hidden="false" customHeight="false" outlineLevel="0" collapsed="false">
      <c r="B1155" s="9" t="s">
        <v>83</v>
      </c>
      <c r="C1155" s="15" t="s">
        <v>29</v>
      </c>
      <c r="D1155" s="8"/>
      <c r="E1155" s="8"/>
      <c r="F1155" s="8"/>
      <c r="G1155" s="8"/>
      <c r="H1155" s="8"/>
      <c r="I1155" s="23"/>
      <c r="J1155" s="24"/>
    </row>
    <row r="1156" customFormat="false" ht="15" hidden="false" customHeight="false" outlineLevel="0" collapsed="false">
      <c r="B1156" s="9" t="s">
        <v>86</v>
      </c>
      <c r="C1156" s="15" t="s">
        <v>29</v>
      </c>
      <c r="D1156" s="8"/>
      <c r="E1156" s="8"/>
      <c r="F1156" s="8"/>
      <c r="G1156" s="8"/>
      <c r="H1156" s="8"/>
      <c r="I1156" s="23"/>
      <c r="J1156" s="24"/>
    </row>
    <row r="1157" customFormat="false" ht="15" hidden="false" customHeight="false" outlineLevel="0" collapsed="false">
      <c r="B1157" s="9" t="s">
        <v>175</v>
      </c>
      <c r="C1157" s="15" t="s">
        <v>29</v>
      </c>
      <c r="D1157" s="8"/>
      <c r="E1157" s="8"/>
      <c r="F1157" s="8"/>
      <c r="G1157" s="8"/>
      <c r="H1157" s="8"/>
      <c r="I1157" s="23"/>
      <c r="J1157" s="24" t="s">
        <v>176</v>
      </c>
    </row>
    <row r="1158" customFormat="false" ht="15" hidden="false" customHeight="false" outlineLevel="0" collapsed="false">
      <c r="B1158" s="25" t="s">
        <v>177</v>
      </c>
      <c r="C1158" s="26"/>
      <c r="D1158" s="26"/>
      <c r="E1158" s="26"/>
      <c r="F1158" s="26"/>
      <c r="G1158" s="26"/>
      <c r="H1158" s="26"/>
      <c r="I1158" s="26"/>
      <c r="J1158" s="26"/>
    </row>
    <row r="1159" customFormat="false" ht="15" hidden="false" customHeight="false" outlineLevel="0" collapsed="false">
      <c r="B1159" s="9" t="s">
        <v>178</v>
      </c>
      <c r="C1159" s="8" t="s">
        <v>92</v>
      </c>
      <c r="D1159" s="8"/>
      <c r="E1159" s="8"/>
      <c r="F1159" s="8"/>
      <c r="G1159" s="8"/>
      <c r="H1159" s="8"/>
      <c r="I1159" s="23"/>
      <c r="J1159" s="24"/>
    </row>
    <row r="1160" customFormat="false" ht="15" hidden="false" customHeight="false" outlineLevel="0" collapsed="false">
      <c r="B1160" s="9" t="s">
        <v>179</v>
      </c>
      <c r="C1160" s="8" t="s">
        <v>92</v>
      </c>
      <c r="D1160" s="8"/>
      <c r="E1160" s="8"/>
      <c r="F1160" s="8"/>
      <c r="G1160" s="8"/>
      <c r="H1160" s="8"/>
      <c r="I1160" s="23"/>
      <c r="J1160" s="24"/>
    </row>
    <row r="1161" customFormat="false" ht="15" hidden="false" customHeight="false" outlineLevel="0" collapsed="false">
      <c r="B1161" s="9" t="s">
        <v>180</v>
      </c>
      <c r="C1161" s="15" t="s">
        <v>29</v>
      </c>
      <c r="D1161" s="8"/>
      <c r="E1161" s="8"/>
      <c r="F1161" s="8"/>
      <c r="G1161" s="8"/>
      <c r="H1161" s="8"/>
      <c r="I1161" s="23"/>
      <c r="J1161" s="24"/>
    </row>
    <row r="1162" customFormat="false" ht="15" hidden="false" customHeight="false" outlineLevel="0" collapsed="false">
      <c r="B1162" s="9" t="s">
        <v>181</v>
      </c>
      <c r="C1162" s="8" t="s">
        <v>92</v>
      </c>
      <c r="D1162" s="8"/>
      <c r="E1162" s="8"/>
      <c r="F1162" s="8"/>
      <c r="G1162" s="8"/>
      <c r="H1162" s="8"/>
      <c r="I1162" s="23"/>
      <c r="J1162" s="24"/>
    </row>
    <row r="1163" customFormat="false" ht="15" hidden="false" customHeight="false" outlineLevel="0" collapsed="false">
      <c r="B1163" s="9" t="s">
        <v>182</v>
      </c>
      <c r="C1163" s="15" t="s">
        <v>29</v>
      </c>
      <c r="D1163" s="8"/>
      <c r="E1163" s="8"/>
      <c r="F1163" s="8"/>
      <c r="G1163" s="8"/>
      <c r="H1163" s="8"/>
      <c r="I1163" s="23"/>
      <c r="J1163" s="24"/>
    </row>
    <row r="1164" customFormat="false" ht="15" hidden="false" customHeight="false" outlineLevel="0" collapsed="false">
      <c r="B1164" s="9" t="s">
        <v>183</v>
      </c>
      <c r="C1164" s="8" t="s">
        <v>92</v>
      </c>
      <c r="D1164" s="8"/>
      <c r="E1164" s="8"/>
      <c r="F1164" s="8"/>
      <c r="G1164" s="8"/>
      <c r="H1164" s="8"/>
      <c r="I1164" s="23"/>
      <c r="J1164" s="24"/>
    </row>
    <row r="1165" customFormat="false" ht="15" hidden="false" customHeight="false" outlineLevel="0" collapsed="false">
      <c r="B1165" s="9" t="s">
        <v>184</v>
      </c>
      <c r="C1165" s="8" t="s">
        <v>112</v>
      </c>
      <c r="D1165" s="8"/>
      <c r="E1165" s="8"/>
      <c r="F1165" s="8"/>
      <c r="G1165" s="8"/>
      <c r="H1165" s="8"/>
      <c r="I1165" s="23"/>
      <c r="J1165" s="24"/>
    </row>
    <row r="1166" customFormat="false" ht="15" hidden="false" customHeight="false" outlineLevel="0" collapsed="false">
      <c r="B1166" s="25" t="s">
        <v>185</v>
      </c>
      <c r="C1166" s="26"/>
      <c r="D1166" s="26"/>
      <c r="E1166" s="26"/>
      <c r="F1166" s="26"/>
      <c r="G1166" s="26"/>
      <c r="H1166" s="26"/>
      <c r="I1166" s="26"/>
      <c r="J1166" s="26"/>
    </row>
    <row r="1167" customFormat="false" ht="15" hidden="false" customHeight="false" outlineLevel="0" collapsed="false">
      <c r="B1167" s="9" t="s">
        <v>186</v>
      </c>
      <c r="C1167" s="15" t="s">
        <v>29</v>
      </c>
      <c r="D1167" s="8" t="s">
        <v>122</v>
      </c>
      <c r="E1167" s="8" t="s">
        <v>122</v>
      </c>
      <c r="F1167" s="8" t="s">
        <v>122</v>
      </c>
      <c r="G1167" s="8" t="s">
        <v>122</v>
      </c>
      <c r="H1167" s="8" t="s">
        <v>122</v>
      </c>
      <c r="I1167" s="23"/>
      <c r="J1167" s="24"/>
    </row>
    <row r="1168" customFormat="false" ht="15" hidden="false" customHeight="false" outlineLevel="0" collapsed="false">
      <c r="B1168" s="9" t="s">
        <v>187</v>
      </c>
      <c r="C1168" s="15" t="s">
        <v>29</v>
      </c>
      <c r="D1168" s="8" t="s">
        <v>61</v>
      </c>
      <c r="E1168" s="8" t="s">
        <v>61</v>
      </c>
      <c r="F1168" s="8" t="s">
        <v>61</v>
      </c>
      <c r="G1168" s="8" t="s">
        <v>61</v>
      </c>
      <c r="H1168" s="8" t="s">
        <v>61</v>
      </c>
      <c r="I1168" s="23"/>
      <c r="J1168" s="24" t="s">
        <v>188</v>
      </c>
    </row>
    <row r="1169" customFormat="false" ht="15" hidden="false" customHeight="false" outlineLevel="0" collapsed="false">
      <c r="B1169" s="25" t="s">
        <v>124</v>
      </c>
      <c r="C1169" s="26"/>
      <c r="D1169" s="26"/>
      <c r="E1169" s="26"/>
      <c r="F1169" s="26"/>
      <c r="G1169" s="26"/>
      <c r="H1169" s="26"/>
      <c r="I1169" s="26"/>
      <c r="J1169" s="26"/>
    </row>
    <row r="1170" customFormat="false" ht="15" hidden="false" customHeight="false" outlineLevel="0" collapsed="false">
      <c r="B1170" s="9" t="s">
        <v>189</v>
      </c>
      <c r="C1170" s="15" t="s">
        <v>109</v>
      </c>
      <c r="D1170" s="29" t="str">
        <f aca="false">IF(ISNUMBER(D1159),PI()/4*(D1159*INDEX(LenF,MATCH($C$1159,LenU,0)))^2*N(D1160)*INDEX(LenF,MATCH($C$1160,LenU,0)),"")</f>
        <v/>
      </c>
      <c r="E1170" s="29" t="str">
        <f aca="false">IF(ISNUMBER(E1159),PI()/4*(E1159*INDEX(LenF,MATCH($C$1159,LenU,0)))^2*N(E1160)*INDEX(LenF,MATCH($C$1160,LenU,0)),"")</f>
        <v/>
      </c>
      <c r="F1170" s="29" t="str">
        <f aca="false">IF(ISNUMBER(F1159),PI()/4*(F1159*INDEX(LenF,MATCH($C$1159,LenU,0)))^2*N(F1160)*INDEX(LenF,MATCH($C$1160,LenU,0)),"")</f>
        <v/>
      </c>
      <c r="G1170" s="29" t="str">
        <f aca="false">IF(ISNUMBER(G1159),PI()/4*(G1159*INDEX(LenF,MATCH($C$1159,LenU,0)))^2*N(G1160)*INDEX(LenF,MATCH($C$1160,LenU,0)),"")</f>
        <v/>
      </c>
      <c r="H1170" s="29" t="str">
        <f aca="false">IF(ISNUMBER(H1159),PI()/4*(H1159*INDEX(LenF,MATCH($C$1159,LenU,0)))^2*N(H1160)*INDEX(LenF,MATCH($C$1160,LenU,0)),"")</f>
        <v/>
      </c>
      <c r="I1170" s="30" t="str">
        <f aca="false">IF(COUNT(D1170:H1170)=0,"",SUM(D1170:H1170))</f>
        <v/>
      </c>
      <c r="J1170" s="24"/>
    </row>
    <row r="1171" customFormat="false" ht="15" hidden="false" customHeight="false" outlineLevel="0" collapsed="false">
      <c r="B1171" s="9" t="s">
        <v>190</v>
      </c>
      <c r="C1171" s="15" t="s">
        <v>109</v>
      </c>
      <c r="D1171" s="29" t="str">
        <f aca="false">IF(ISNUMBER(D1159),IF(D1161="",0,IF(D1161="Conical",PI()/12*(D1159*INDEX(LenF,MATCH($C$1159,LenU,0)))^2*(N(D1162)*INDEX(LenF,MATCH($C$1162,LenU,0))),INDEX(HeadK,MATCH(D1161,HeadU,0))*(D1159*INDEX(LenF,MATCH($C$1159,LenU,0)))^3)),"")</f>
        <v/>
      </c>
      <c r="E1171" s="29" t="str">
        <f aca="false">IF(ISNUMBER(E1159),IF(E1161="",0,IF(E1161="Conical",PI()/12*(E1159*INDEX(LenF,MATCH($C$1159,LenU,0)))^2*(N(E1162)*INDEX(LenF,MATCH($C$1162,LenU,0))),INDEX(HeadK,MATCH(E1161,HeadU,0))*(E1159*INDEX(LenF,MATCH($C$1159,LenU,0)))^3)),"")</f>
        <v/>
      </c>
      <c r="F1171" s="29" t="str">
        <f aca="false">IF(ISNUMBER(F1159),IF(F1161="",0,IF(F1161="Conical",PI()/12*(F1159*INDEX(LenF,MATCH($C$1159,LenU,0)))^2*(N(F1162)*INDEX(LenF,MATCH($C$1162,LenU,0))),INDEX(HeadK,MATCH(F1161,HeadU,0))*(F1159*INDEX(LenF,MATCH($C$1159,LenU,0)))^3)),"")</f>
        <v/>
      </c>
      <c r="G1171" s="29" t="str">
        <f aca="false">IF(ISNUMBER(G1159),IF(G1161="",0,IF(G1161="Conical",PI()/12*(G1159*INDEX(LenF,MATCH($C$1159,LenU,0)))^2*(N(G1162)*INDEX(LenF,MATCH($C$1162,LenU,0))),INDEX(HeadK,MATCH(G1161,HeadU,0))*(G1159*INDEX(LenF,MATCH($C$1159,LenU,0)))^3)),"")</f>
        <v/>
      </c>
      <c r="H1171" s="29" t="str">
        <f aca="false">IF(ISNUMBER(H1159),IF(H1161="",0,IF(H1161="Conical",PI()/12*(H1159*INDEX(LenF,MATCH($C$1159,LenU,0)))^2*(N(H1162)*INDEX(LenF,MATCH($C$1162,LenU,0))),INDEX(HeadK,MATCH(H1161,HeadU,0))*(H1159*INDEX(LenF,MATCH($C$1159,LenU,0)))^3)),"")</f>
        <v/>
      </c>
      <c r="I1171" s="30" t="str">
        <f aca="false">IF(COUNT(D1171:H1171)=0,"",SUM(D1171:H1171))</f>
        <v/>
      </c>
      <c r="J1171" s="24"/>
    </row>
    <row r="1172" customFormat="false" ht="15" hidden="false" customHeight="false" outlineLevel="0" collapsed="false">
      <c r="B1172" s="9" t="s">
        <v>191</v>
      </c>
      <c r="C1172" s="15" t="s">
        <v>109</v>
      </c>
      <c r="D1172" s="29" t="str">
        <f aca="false">IF(ISNUMBER(D1159),IF(D1163="",0,IF(D1163="Conical",PI()/12*(D1159*INDEX(LenF,MATCH($C$1159,LenU,0)))^2*(N(D1164)*INDEX(LenF,MATCH($C$1164,LenU,0))),INDEX(HeadK,MATCH(D1163,HeadU,0))*(D1159*INDEX(LenF,MATCH($C$1159,LenU,0)))^3)),"")</f>
        <v/>
      </c>
      <c r="E1172" s="29" t="str">
        <f aca="false">IF(ISNUMBER(E1159),IF(E1163="",0,IF(E1163="Conical",PI()/12*(E1159*INDEX(LenF,MATCH($C$1159,LenU,0)))^2*(N(E1164)*INDEX(LenF,MATCH($C$1164,LenU,0))),INDEX(HeadK,MATCH(E1163,HeadU,0))*(E1159*INDEX(LenF,MATCH($C$1159,LenU,0)))^3)),"")</f>
        <v/>
      </c>
      <c r="F1172" s="29" t="str">
        <f aca="false">IF(ISNUMBER(F1159),IF(F1163="",0,IF(F1163="Conical",PI()/12*(F1159*INDEX(LenF,MATCH($C$1159,LenU,0)))^2*(N(F1164)*INDEX(LenF,MATCH($C$1164,LenU,0))),INDEX(HeadK,MATCH(F1163,HeadU,0))*(F1159*INDEX(LenF,MATCH($C$1159,LenU,0)))^3)),"")</f>
        <v/>
      </c>
      <c r="G1172" s="29" t="str">
        <f aca="false">IF(ISNUMBER(G1159),IF(G1163="",0,IF(G1163="Conical",PI()/12*(G1159*INDEX(LenF,MATCH($C$1159,LenU,0)))^2*(N(G1164)*INDEX(LenF,MATCH($C$1164,LenU,0))),INDEX(HeadK,MATCH(G1163,HeadU,0))*(G1159*INDEX(LenF,MATCH($C$1159,LenU,0)))^3)),"")</f>
        <v/>
      </c>
      <c r="H1172" s="29" t="str">
        <f aca="false">IF(ISNUMBER(H1159),IF(H1163="",0,IF(H1163="Conical",PI()/12*(H1159*INDEX(LenF,MATCH($C$1159,LenU,0)))^2*(N(H1164)*INDEX(LenF,MATCH($C$1164,LenU,0))),INDEX(HeadK,MATCH(H1163,HeadU,0))*(H1159*INDEX(LenF,MATCH($C$1159,LenU,0)))^3)),"")</f>
        <v/>
      </c>
      <c r="I1172" s="30" t="str">
        <f aca="false">IF(COUNT(D1172:H1172)=0,"",SUM(D1172:H1172))</f>
        <v/>
      </c>
      <c r="J1172" s="24"/>
    </row>
    <row r="1173" customFormat="false" ht="15" hidden="false" customHeight="false" outlineLevel="0" collapsed="false">
      <c r="B1173" s="9" t="s">
        <v>192</v>
      </c>
      <c r="C1173" s="15" t="s">
        <v>109</v>
      </c>
      <c r="D1173" s="29" t="str">
        <f aca="false">IF(ISNUMBER(D1159),D1170+D1171+D1172,"")</f>
        <v/>
      </c>
      <c r="E1173" s="29" t="str">
        <f aca="false">IF(ISNUMBER(E1159),E1170+E1171+E1172,"")</f>
        <v/>
      </c>
      <c r="F1173" s="29" t="str">
        <f aca="false">IF(ISNUMBER(F1159),F1170+F1171+F1172,"")</f>
        <v/>
      </c>
      <c r="G1173" s="29" t="str">
        <f aca="false">IF(ISNUMBER(G1159),G1170+G1171+G1172,"")</f>
        <v/>
      </c>
      <c r="H1173" s="29" t="str">
        <f aca="false">IF(ISNUMBER(H1159),H1170+H1171+H1172,"")</f>
        <v/>
      </c>
      <c r="I1173" s="30" t="str">
        <f aca="false">IF(COUNT(D1173:H1173)=0,"",SUM(D1173:H1173))</f>
        <v/>
      </c>
      <c r="J1173" s="24"/>
    </row>
    <row r="1174" customFormat="false" ht="15" hidden="false" customHeight="false" outlineLevel="0" collapsed="false">
      <c r="B1174" s="9" t="s">
        <v>193</v>
      </c>
      <c r="C1174" s="15" t="s">
        <v>109</v>
      </c>
      <c r="D1174" s="29" t="str">
        <f aca="false">IF(ISNUMBER(D1165),D1165*INDEX(WtF,MATCH($C$1165,WtU,0))/WaterRho,"")</f>
        <v/>
      </c>
      <c r="E1174" s="29" t="str">
        <f aca="false">IF(ISNUMBER(E1165),E1165*INDEX(WtF,MATCH($C$1165,WtU,0))/WaterRho,"")</f>
        <v/>
      </c>
      <c r="F1174" s="29" t="str">
        <f aca="false">IF(ISNUMBER(F1165),F1165*INDEX(WtF,MATCH($C$1165,WtU,0))/WaterRho,"")</f>
        <v/>
      </c>
      <c r="G1174" s="29" t="str">
        <f aca="false">IF(ISNUMBER(G1165),G1165*INDEX(WtF,MATCH($C$1165,WtU,0))/WaterRho,"")</f>
        <v/>
      </c>
      <c r="H1174" s="29" t="str">
        <f aca="false">IF(ISNUMBER(H1165),H1165*INDEX(WtF,MATCH($C$1165,WtU,0))/WaterRho,"")</f>
        <v/>
      </c>
      <c r="I1174" s="30" t="str">
        <f aca="false">IF(COUNT(D1174:H1174)=0,"",SUM(D1174:H1174))</f>
        <v/>
      </c>
      <c r="J1174" s="24"/>
    </row>
    <row r="1175" customFormat="false" ht="15" hidden="false" customHeight="false" outlineLevel="0" collapsed="false">
      <c r="B1175" s="4" t="s">
        <v>194</v>
      </c>
      <c r="C1175" s="15" t="s">
        <v>109</v>
      </c>
      <c r="D1175" s="31" t="str">
        <f aca="false">IF(D1167="Water weight",D1174,D1173)</f>
        <v/>
      </c>
      <c r="E1175" s="31" t="str">
        <f aca="false">IF(E1167="Water weight",E1174,E1173)</f>
        <v/>
      </c>
      <c r="F1175" s="31" t="str">
        <f aca="false">IF(F1167="Water weight",F1174,F1173)</f>
        <v/>
      </c>
      <c r="G1175" s="31" t="str">
        <f aca="false">IF(G1167="Water weight",G1174,G1173)</f>
        <v/>
      </c>
      <c r="H1175" s="31" t="str">
        <f aca="false">IF(H1167="Water weight",H1174,H1173)</f>
        <v/>
      </c>
      <c r="I1175" s="31" t="str">
        <f aca="false">IF(COUNT(D1175:H1175)=0,"",SUM(D1175:H1175))</f>
        <v/>
      </c>
      <c r="J1175" s="24"/>
      <c r="K1175" s="32" t="s">
        <v>195</v>
      </c>
      <c r="L1175" s="32" t="n">
        <f aca="false">D1157</f>
        <v>0</v>
      </c>
      <c r="M1175" s="32" t="n">
        <f aca="false">E1157</f>
        <v>0</v>
      </c>
      <c r="N1175" s="32" t="n">
        <f aca="false">F1157</f>
        <v>0</v>
      </c>
      <c r="O1175" s="32" t="n">
        <f aca="false">G1157</f>
        <v>0</v>
      </c>
      <c r="P1175" s="32" t="n">
        <f aca="false">H1157</f>
        <v>0</v>
      </c>
    </row>
    <row r="1176" customFormat="false" ht="36" hidden="false" customHeight="true" outlineLevel="0" collapsed="false">
      <c r="B1176" s="9" t="s">
        <v>196</v>
      </c>
      <c r="C1176" s="15" t="s">
        <v>29</v>
      </c>
      <c r="D1176" s="39" t="str">
        <f aca="false">IF(D1175="","",IF(JobType="Chemical Cleaning",D1168,IFERROR(INDEX(DecMeth,MATCH(D1157,DecTypeU,0)),"⚠ select equipment type")))</f>
        <v/>
      </c>
      <c r="E1176" s="39" t="str">
        <f aca="false">IF(E1175="","",IF(JobType="Chemical Cleaning",E1168,IFERROR(INDEX(DecMeth,MATCH(E1157,DecTypeU,0)),"⚠ select equipment type")))</f>
        <v/>
      </c>
      <c r="F1176" s="39" t="str">
        <f aca="false">IF(F1175="","",IF(JobType="Chemical Cleaning",F1168,IFERROR(INDEX(DecMeth,MATCH(F1157,DecTypeU,0)),"⚠ select equipment type")))</f>
        <v/>
      </c>
      <c r="G1176" s="39" t="str">
        <f aca="false">IF(G1175="","",IF(JobType="Chemical Cleaning",G1168,IFERROR(INDEX(DecMeth,MATCH(G1157,DecTypeU,0)),"⚠ select equipment type")))</f>
        <v/>
      </c>
      <c r="H1176" s="39" t="str">
        <f aca="false">IF(H1175="","",IF(JobType="Chemical Cleaning",H1168,IFERROR(INDEX(DecMeth,MATCH(H1157,DecTypeU,0)),"⚠ select equipment type")))</f>
        <v/>
      </c>
      <c r="I1176" s="40"/>
      <c r="J1176" s="24"/>
    </row>
    <row r="1177" customFormat="false" ht="15" hidden="false" customHeight="false" outlineLevel="0" collapsed="false">
      <c r="B1177" s="9" t="s">
        <v>60</v>
      </c>
      <c r="C1177" s="15" t="s">
        <v>146</v>
      </c>
      <c r="D1177" s="35" t="str">
        <f aca="false">IF(D1175="","",IF(JobType="Chemical Cleaning",IFERROR(INDEX(CCMethPct,MATCH(D1168,CCMethU,0)),""),IFERROR(INDEX(DecFill,MATCH(D1157,DecTypeU,0)),"")))</f>
        <v/>
      </c>
      <c r="E1177" s="35" t="str">
        <f aca="false">IF(E1175="","",IF(JobType="Chemical Cleaning",IFERROR(INDEX(CCMethPct,MATCH(E1168,CCMethU,0)),""),IFERROR(INDEX(DecFill,MATCH(E1157,DecTypeU,0)),"")))</f>
        <v/>
      </c>
      <c r="F1177" s="35" t="str">
        <f aca="false">IF(F1175="","",IF(JobType="Chemical Cleaning",IFERROR(INDEX(CCMethPct,MATCH(F1168,CCMethU,0)),""),IFERROR(INDEX(DecFill,MATCH(F1157,DecTypeU,0)),"")))</f>
        <v/>
      </c>
      <c r="G1177" s="35" t="str">
        <f aca="false">IF(G1175="","",IF(JobType="Chemical Cleaning",IFERROR(INDEX(CCMethPct,MATCH(G1168,CCMethU,0)),""),IFERROR(INDEX(DecFill,MATCH(G1157,DecTypeU,0)),"")))</f>
        <v/>
      </c>
      <c r="H1177" s="35" t="str">
        <f aca="false">IF(H1175="","",IF(JobType="Chemical Cleaning",IFERROR(INDEX(CCMethPct,MATCH(H1168,CCMethU,0)),""),IFERROR(INDEX(DecFill,MATCH(H1157,DecTypeU,0)),"")))</f>
        <v/>
      </c>
      <c r="I1177" s="36"/>
      <c r="J1177" s="24" t="s">
        <v>197</v>
      </c>
    </row>
    <row r="1178" customFormat="false" ht="15" hidden="false" customHeight="false" outlineLevel="0" collapsed="false">
      <c r="B1178" s="4" t="s">
        <v>148</v>
      </c>
      <c r="C1178" s="15" t="s">
        <v>109</v>
      </c>
      <c r="D1178" s="31" t="str">
        <f aca="false">IF(OR(D1175="",D1177=""),"",D1175*D1177)</f>
        <v/>
      </c>
      <c r="E1178" s="31" t="str">
        <f aca="false">IF(OR(E1175="",E1177=""),"",E1175*E1177)</f>
        <v/>
      </c>
      <c r="F1178" s="31" t="str">
        <f aca="false">IF(OR(F1175="",F1177=""),"",F1175*F1177)</f>
        <v/>
      </c>
      <c r="G1178" s="31" t="str">
        <f aca="false">IF(OR(G1175="",G1177=""),"",G1175*G1177)</f>
        <v/>
      </c>
      <c r="H1178" s="31" t="str">
        <f aca="false">IF(OR(H1175="",H1177=""),"",H1175*H1177)</f>
        <v/>
      </c>
      <c r="I1178" s="31" t="str">
        <f aca="false">IF(COUNT(D1178:H1178)=0,"",SUM(D1178:H1178))</f>
        <v/>
      </c>
      <c r="J1178" s="24"/>
      <c r="K1178" s="32" t="s">
        <v>198</v>
      </c>
      <c r="L1178" s="32" t="n">
        <f aca="false">D1157</f>
        <v>0</v>
      </c>
      <c r="M1178" s="32" t="n">
        <f aca="false">E1157</f>
        <v>0</v>
      </c>
      <c r="N1178" s="32" t="n">
        <f aca="false">F1157</f>
        <v>0</v>
      </c>
      <c r="O1178" s="32" t="n">
        <f aca="false">G1157</f>
        <v>0</v>
      </c>
      <c r="P1178" s="32" t="n">
        <f aca="false">H1157</f>
        <v>0</v>
      </c>
    </row>
    <row r="1179" customFormat="false" ht="15" hidden="false" customHeight="false" outlineLevel="0" collapsed="false">
      <c r="B1179" s="9" t="s">
        <v>150</v>
      </c>
      <c r="C1179" s="15" t="s">
        <v>32</v>
      </c>
      <c r="D1179" s="37" t="str">
        <f aca="false">IF(OR(JobType&lt;&gt;"Decontamination",D1178=""),"",IFERROR(D1178*INDEX(DecChem,MATCH(D1157,DecTypeU,0))*1000,""))</f>
        <v/>
      </c>
      <c r="E1179" s="37" t="str">
        <f aca="false">IF(OR(JobType&lt;&gt;"Decontamination",E1178=""),"",IFERROR(E1178*INDEX(DecChem,MATCH(E1157,DecTypeU,0))*1000,""))</f>
        <v/>
      </c>
      <c r="F1179" s="37" t="str">
        <f aca="false">IF(OR(JobType&lt;&gt;"Decontamination",F1178=""),"",IFERROR(F1178*INDEX(DecChem,MATCH(F1157,DecTypeU,0))*1000,""))</f>
        <v/>
      </c>
      <c r="G1179" s="37" t="str">
        <f aca="false">IF(OR(JobType&lt;&gt;"Decontamination",G1178=""),"",IFERROR(G1178*INDEX(DecChem,MATCH(G1157,DecTypeU,0))*1000,""))</f>
        <v/>
      </c>
      <c r="H1179" s="37" t="str">
        <f aca="false">IF(OR(JobType&lt;&gt;"Decontamination",H1178=""),"",IFERROR(H1178*INDEX(DecChem,MATCH(H1157,DecTypeU,0))*1000,""))</f>
        <v/>
      </c>
      <c r="I1179" s="38" t="str">
        <f aca="false">IF(COUNT(D1179:H1179)=0,"",SUM(D1179:H1179))</f>
        <v/>
      </c>
      <c r="J1179" s="24" t="s">
        <v>199</v>
      </c>
      <c r="K1179" s="32" t="s">
        <v>200</v>
      </c>
      <c r="L1179" s="32" t="n">
        <f aca="false">D1157</f>
        <v>0</v>
      </c>
      <c r="M1179" s="32" t="n">
        <f aca="false">E1157</f>
        <v>0</v>
      </c>
      <c r="N1179" s="32" t="n">
        <f aca="false">F1157</f>
        <v>0</v>
      </c>
      <c r="O1179" s="32" t="n">
        <f aca="false">G1157</f>
        <v>0</v>
      </c>
      <c r="P1179" s="32" t="n">
        <f aca="false">H1157</f>
        <v>0</v>
      </c>
    </row>
    <row r="1181" customFormat="false" ht="15" hidden="false" customHeight="false" outlineLevel="0" collapsed="false">
      <c r="A1181" s="20" t="n">
        <v>11</v>
      </c>
      <c r="B1181" s="21" t="s">
        <v>210</v>
      </c>
      <c r="C1181" s="22"/>
      <c r="D1181" s="22"/>
      <c r="E1181" s="22"/>
      <c r="F1181" s="22"/>
      <c r="G1181" s="22"/>
      <c r="H1181" s="22"/>
      <c r="I1181" s="22"/>
      <c r="J1181" s="22"/>
    </row>
    <row r="1182" customFormat="false" ht="15" hidden="false" customHeight="false" outlineLevel="0" collapsed="false">
      <c r="B1182" s="9" t="s">
        <v>83</v>
      </c>
      <c r="C1182" s="15" t="s">
        <v>29</v>
      </c>
      <c r="D1182" s="8"/>
      <c r="E1182" s="8"/>
      <c r="F1182" s="8"/>
      <c r="G1182" s="8"/>
      <c r="H1182" s="8"/>
      <c r="I1182" s="23"/>
      <c r="J1182" s="24"/>
    </row>
    <row r="1183" customFormat="false" ht="15" hidden="false" customHeight="false" outlineLevel="0" collapsed="false">
      <c r="B1183" s="9" t="s">
        <v>86</v>
      </c>
      <c r="C1183" s="15" t="s">
        <v>29</v>
      </c>
      <c r="D1183" s="8"/>
      <c r="E1183" s="8"/>
      <c r="F1183" s="8"/>
      <c r="G1183" s="8"/>
      <c r="H1183" s="8"/>
      <c r="I1183" s="23"/>
      <c r="J1183" s="24"/>
    </row>
    <row r="1184" customFormat="false" ht="15" hidden="false" customHeight="false" outlineLevel="0" collapsed="false">
      <c r="B1184" s="9" t="s">
        <v>175</v>
      </c>
      <c r="C1184" s="15" t="s">
        <v>29</v>
      </c>
      <c r="D1184" s="8"/>
      <c r="E1184" s="8"/>
      <c r="F1184" s="8"/>
      <c r="G1184" s="8"/>
      <c r="H1184" s="8"/>
      <c r="I1184" s="23"/>
      <c r="J1184" s="24" t="s">
        <v>176</v>
      </c>
    </row>
    <row r="1185" customFormat="false" ht="15" hidden="false" customHeight="false" outlineLevel="0" collapsed="false">
      <c r="B1185" s="25" t="s">
        <v>177</v>
      </c>
      <c r="C1185" s="26"/>
      <c r="D1185" s="26"/>
      <c r="E1185" s="26"/>
      <c r="F1185" s="26"/>
      <c r="G1185" s="26"/>
      <c r="H1185" s="26"/>
      <c r="I1185" s="26"/>
      <c r="J1185" s="26"/>
    </row>
    <row r="1186" customFormat="false" ht="15" hidden="false" customHeight="false" outlineLevel="0" collapsed="false">
      <c r="B1186" s="9" t="s">
        <v>178</v>
      </c>
      <c r="C1186" s="8" t="s">
        <v>92</v>
      </c>
      <c r="D1186" s="8"/>
      <c r="E1186" s="8"/>
      <c r="F1186" s="8"/>
      <c r="G1186" s="8"/>
      <c r="H1186" s="8"/>
      <c r="I1186" s="23"/>
      <c r="J1186" s="24"/>
    </row>
    <row r="1187" customFormat="false" ht="15" hidden="false" customHeight="false" outlineLevel="0" collapsed="false">
      <c r="B1187" s="9" t="s">
        <v>179</v>
      </c>
      <c r="C1187" s="8" t="s">
        <v>92</v>
      </c>
      <c r="D1187" s="8"/>
      <c r="E1187" s="8"/>
      <c r="F1187" s="8"/>
      <c r="G1187" s="8"/>
      <c r="H1187" s="8"/>
      <c r="I1187" s="23"/>
      <c r="J1187" s="24"/>
    </row>
    <row r="1188" customFormat="false" ht="15" hidden="false" customHeight="false" outlineLevel="0" collapsed="false">
      <c r="B1188" s="9" t="s">
        <v>180</v>
      </c>
      <c r="C1188" s="15" t="s">
        <v>29</v>
      </c>
      <c r="D1188" s="8"/>
      <c r="E1188" s="8"/>
      <c r="F1188" s="8"/>
      <c r="G1188" s="8"/>
      <c r="H1188" s="8"/>
      <c r="I1188" s="23"/>
      <c r="J1188" s="24"/>
    </row>
    <row r="1189" customFormat="false" ht="15" hidden="false" customHeight="false" outlineLevel="0" collapsed="false">
      <c r="B1189" s="9" t="s">
        <v>181</v>
      </c>
      <c r="C1189" s="8" t="s">
        <v>92</v>
      </c>
      <c r="D1189" s="8"/>
      <c r="E1189" s="8"/>
      <c r="F1189" s="8"/>
      <c r="G1189" s="8"/>
      <c r="H1189" s="8"/>
      <c r="I1189" s="23"/>
      <c r="J1189" s="24"/>
    </row>
    <row r="1190" customFormat="false" ht="15" hidden="false" customHeight="false" outlineLevel="0" collapsed="false">
      <c r="B1190" s="9" t="s">
        <v>182</v>
      </c>
      <c r="C1190" s="15" t="s">
        <v>29</v>
      </c>
      <c r="D1190" s="8"/>
      <c r="E1190" s="8"/>
      <c r="F1190" s="8"/>
      <c r="G1190" s="8"/>
      <c r="H1190" s="8"/>
      <c r="I1190" s="23"/>
      <c r="J1190" s="24"/>
    </row>
    <row r="1191" customFormat="false" ht="15" hidden="false" customHeight="false" outlineLevel="0" collapsed="false">
      <c r="B1191" s="9" t="s">
        <v>183</v>
      </c>
      <c r="C1191" s="8" t="s">
        <v>92</v>
      </c>
      <c r="D1191" s="8"/>
      <c r="E1191" s="8"/>
      <c r="F1191" s="8"/>
      <c r="G1191" s="8"/>
      <c r="H1191" s="8"/>
      <c r="I1191" s="23"/>
      <c r="J1191" s="24"/>
    </row>
    <row r="1192" customFormat="false" ht="15" hidden="false" customHeight="false" outlineLevel="0" collapsed="false">
      <c r="B1192" s="9" t="s">
        <v>184</v>
      </c>
      <c r="C1192" s="8" t="s">
        <v>112</v>
      </c>
      <c r="D1192" s="8"/>
      <c r="E1192" s="8"/>
      <c r="F1192" s="8"/>
      <c r="G1192" s="8"/>
      <c r="H1192" s="8"/>
      <c r="I1192" s="23"/>
      <c r="J1192" s="24"/>
    </row>
    <row r="1193" customFormat="false" ht="15" hidden="false" customHeight="false" outlineLevel="0" collapsed="false">
      <c r="B1193" s="25" t="s">
        <v>185</v>
      </c>
      <c r="C1193" s="26"/>
      <c r="D1193" s="26"/>
      <c r="E1193" s="26"/>
      <c r="F1193" s="26"/>
      <c r="G1193" s="26"/>
      <c r="H1193" s="26"/>
      <c r="I1193" s="26"/>
      <c r="J1193" s="26"/>
    </row>
    <row r="1194" customFormat="false" ht="15" hidden="false" customHeight="false" outlineLevel="0" collapsed="false">
      <c r="B1194" s="9" t="s">
        <v>186</v>
      </c>
      <c r="C1194" s="15" t="s">
        <v>29</v>
      </c>
      <c r="D1194" s="8" t="s">
        <v>122</v>
      </c>
      <c r="E1194" s="8" t="s">
        <v>122</v>
      </c>
      <c r="F1194" s="8" t="s">
        <v>122</v>
      </c>
      <c r="G1194" s="8" t="s">
        <v>122</v>
      </c>
      <c r="H1194" s="8" t="s">
        <v>122</v>
      </c>
      <c r="I1194" s="23"/>
      <c r="J1194" s="24"/>
    </row>
    <row r="1195" customFormat="false" ht="15" hidden="false" customHeight="false" outlineLevel="0" collapsed="false">
      <c r="B1195" s="9" t="s">
        <v>187</v>
      </c>
      <c r="C1195" s="15" t="s">
        <v>29</v>
      </c>
      <c r="D1195" s="8" t="s">
        <v>61</v>
      </c>
      <c r="E1195" s="8" t="s">
        <v>61</v>
      </c>
      <c r="F1195" s="8" t="s">
        <v>61</v>
      </c>
      <c r="G1195" s="8" t="s">
        <v>61</v>
      </c>
      <c r="H1195" s="8" t="s">
        <v>61</v>
      </c>
      <c r="I1195" s="23"/>
      <c r="J1195" s="24" t="s">
        <v>188</v>
      </c>
    </row>
    <row r="1196" customFormat="false" ht="15" hidden="false" customHeight="false" outlineLevel="0" collapsed="false">
      <c r="B1196" s="25" t="s">
        <v>124</v>
      </c>
      <c r="C1196" s="26"/>
      <c r="D1196" s="26"/>
      <c r="E1196" s="26"/>
      <c r="F1196" s="26"/>
      <c r="G1196" s="26"/>
      <c r="H1196" s="26"/>
      <c r="I1196" s="26"/>
      <c r="J1196" s="26"/>
    </row>
    <row r="1197" customFormat="false" ht="15" hidden="false" customHeight="false" outlineLevel="0" collapsed="false">
      <c r="B1197" s="9" t="s">
        <v>189</v>
      </c>
      <c r="C1197" s="15" t="s">
        <v>109</v>
      </c>
      <c r="D1197" s="29" t="str">
        <f aca="false">IF(ISNUMBER(D1186),PI()/4*(D1186*INDEX(LenF,MATCH($C$1186,LenU,0)))^2*N(D1187)*INDEX(LenF,MATCH($C$1187,LenU,0)),"")</f>
        <v/>
      </c>
      <c r="E1197" s="29" t="str">
        <f aca="false">IF(ISNUMBER(E1186),PI()/4*(E1186*INDEX(LenF,MATCH($C$1186,LenU,0)))^2*N(E1187)*INDEX(LenF,MATCH($C$1187,LenU,0)),"")</f>
        <v/>
      </c>
      <c r="F1197" s="29" t="str">
        <f aca="false">IF(ISNUMBER(F1186),PI()/4*(F1186*INDEX(LenF,MATCH($C$1186,LenU,0)))^2*N(F1187)*INDEX(LenF,MATCH($C$1187,LenU,0)),"")</f>
        <v/>
      </c>
      <c r="G1197" s="29" t="str">
        <f aca="false">IF(ISNUMBER(G1186),PI()/4*(G1186*INDEX(LenF,MATCH($C$1186,LenU,0)))^2*N(G1187)*INDEX(LenF,MATCH($C$1187,LenU,0)),"")</f>
        <v/>
      </c>
      <c r="H1197" s="29" t="str">
        <f aca="false">IF(ISNUMBER(H1186),PI()/4*(H1186*INDEX(LenF,MATCH($C$1186,LenU,0)))^2*N(H1187)*INDEX(LenF,MATCH($C$1187,LenU,0)),"")</f>
        <v/>
      </c>
      <c r="I1197" s="30" t="str">
        <f aca="false">IF(COUNT(D1197:H1197)=0,"",SUM(D1197:H1197))</f>
        <v/>
      </c>
      <c r="J1197" s="24"/>
    </row>
    <row r="1198" customFormat="false" ht="15" hidden="false" customHeight="false" outlineLevel="0" collapsed="false">
      <c r="B1198" s="9" t="s">
        <v>190</v>
      </c>
      <c r="C1198" s="15" t="s">
        <v>109</v>
      </c>
      <c r="D1198" s="29" t="str">
        <f aca="false">IF(ISNUMBER(D1186),IF(D1188="",0,IF(D1188="Conical",PI()/12*(D1186*INDEX(LenF,MATCH($C$1186,LenU,0)))^2*(N(D1189)*INDEX(LenF,MATCH($C$1189,LenU,0))),INDEX(HeadK,MATCH(D1188,HeadU,0))*(D1186*INDEX(LenF,MATCH($C$1186,LenU,0)))^3)),"")</f>
        <v/>
      </c>
      <c r="E1198" s="29" t="str">
        <f aca="false">IF(ISNUMBER(E1186),IF(E1188="",0,IF(E1188="Conical",PI()/12*(E1186*INDEX(LenF,MATCH($C$1186,LenU,0)))^2*(N(E1189)*INDEX(LenF,MATCH($C$1189,LenU,0))),INDEX(HeadK,MATCH(E1188,HeadU,0))*(E1186*INDEX(LenF,MATCH($C$1186,LenU,0)))^3)),"")</f>
        <v/>
      </c>
      <c r="F1198" s="29" t="str">
        <f aca="false">IF(ISNUMBER(F1186),IF(F1188="",0,IF(F1188="Conical",PI()/12*(F1186*INDEX(LenF,MATCH($C$1186,LenU,0)))^2*(N(F1189)*INDEX(LenF,MATCH($C$1189,LenU,0))),INDEX(HeadK,MATCH(F1188,HeadU,0))*(F1186*INDEX(LenF,MATCH($C$1186,LenU,0)))^3)),"")</f>
        <v/>
      </c>
      <c r="G1198" s="29" t="str">
        <f aca="false">IF(ISNUMBER(G1186),IF(G1188="",0,IF(G1188="Conical",PI()/12*(G1186*INDEX(LenF,MATCH($C$1186,LenU,0)))^2*(N(G1189)*INDEX(LenF,MATCH($C$1189,LenU,0))),INDEX(HeadK,MATCH(G1188,HeadU,0))*(G1186*INDEX(LenF,MATCH($C$1186,LenU,0)))^3)),"")</f>
        <v/>
      </c>
      <c r="H1198" s="29" t="str">
        <f aca="false">IF(ISNUMBER(H1186),IF(H1188="",0,IF(H1188="Conical",PI()/12*(H1186*INDEX(LenF,MATCH($C$1186,LenU,0)))^2*(N(H1189)*INDEX(LenF,MATCH($C$1189,LenU,0))),INDEX(HeadK,MATCH(H1188,HeadU,0))*(H1186*INDEX(LenF,MATCH($C$1186,LenU,0)))^3)),"")</f>
        <v/>
      </c>
      <c r="I1198" s="30" t="str">
        <f aca="false">IF(COUNT(D1198:H1198)=0,"",SUM(D1198:H1198))</f>
        <v/>
      </c>
      <c r="J1198" s="24"/>
    </row>
    <row r="1199" customFormat="false" ht="15" hidden="false" customHeight="false" outlineLevel="0" collapsed="false">
      <c r="B1199" s="9" t="s">
        <v>191</v>
      </c>
      <c r="C1199" s="15" t="s">
        <v>109</v>
      </c>
      <c r="D1199" s="29" t="str">
        <f aca="false">IF(ISNUMBER(D1186),IF(D1190="",0,IF(D1190="Conical",PI()/12*(D1186*INDEX(LenF,MATCH($C$1186,LenU,0)))^2*(N(D1191)*INDEX(LenF,MATCH($C$1191,LenU,0))),INDEX(HeadK,MATCH(D1190,HeadU,0))*(D1186*INDEX(LenF,MATCH($C$1186,LenU,0)))^3)),"")</f>
        <v/>
      </c>
      <c r="E1199" s="29" t="str">
        <f aca="false">IF(ISNUMBER(E1186),IF(E1190="",0,IF(E1190="Conical",PI()/12*(E1186*INDEX(LenF,MATCH($C$1186,LenU,0)))^2*(N(E1191)*INDEX(LenF,MATCH($C$1191,LenU,0))),INDEX(HeadK,MATCH(E1190,HeadU,0))*(E1186*INDEX(LenF,MATCH($C$1186,LenU,0)))^3)),"")</f>
        <v/>
      </c>
      <c r="F1199" s="29" t="str">
        <f aca="false">IF(ISNUMBER(F1186),IF(F1190="",0,IF(F1190="Conical",PI()/12*(F1186*INDEX(LenF,MATCH($C$1186,LenU,0)))^2*(N(F1191)*INDEX(LenF,MATCH($C$1191,LenU,0))),INDEX(HeadK,MATCH(F1190,HeadU,0))*(F1186*INDEX(LenF,MATCH($C$1186,LenU,0)))^3)),"")</f>
        <v/>
      </c>
      <c r="G1199" s="29" t="str">
        <f aca="false">IF(ISNUMBER(G1186),IF(G1190="",0,IF(G1190="Conical",PI()/12*(G1186*INDEX(LenF,MATCH($C$1186,LenU,0)))^2*(N(G1191)*INDEX(LenF,MATCH($C$1191,LenU,0))),INDEX(HeadK,MATCH(G1190,HeadU,0))*(G1186*INDEX(LenF,MATCH($C$1186,LenU,0)))^3)),"")</f>
        <v/>
      </c>
      <c r="H1199" s="29" t="str">
        <f aca="false">IF(ISNUMBER(H1186),IF(H1190="",0,IF(H1190="Conical",PI()/12*(H1186*INDEX(LenF,MATCH($C$1186,LenU,0)))^2*(N(H1191)*INDEX(LenF,MATCH($C$1191,LenU,0))),INDEX(HeadK,MATCH(H1190,HeadU,0))*(H1186*INDEX(LenF,MATCH($C$1186,LenU,0)))^3)),"")</f>
        <v/>
      </c>
      <c r="I1199" s="30" t="str">
        <f aca="false">IF(COUNT(D1199:H1199)=0,"",SUM(D1199:H1199))</f>
        <v/>
      </c>
      <c r="J1199" s="24"/>
    </row>
    <row r="1200" customFormat="false" ht="15" hidden="false" customHeight="false" outlineLevel="0" collapsed="false">
      <c r="B1200" s="9" t="s">
        <v>192</v>
      </c>
      <c r="C1200" s="15" t="s">
        <v>109</v>
      </c>
      <c r="D1200" s="29" t="str">
        <f aca="false">IF(ISNUMBER(D1186),D1197+D1198+D1199,"")</f>
        <v/>
      </c>
      <c r="E1200" s="29" t="str">
        <f aca="false">IF(ISNUMBER(E1186),E1197+E1198+E1199,"")</f>
        <v/>
      </c>
      <c r="F1200" s="29" t="str">
        <f aca="false">IF(ISNUMBER(F1186),F1197+F1198+F1199,"")</f>
        <v/>
      </c>
      <c r="G1200" s="29" t="str">
        <f aca="false">IF(ISNUMBER(G1186),G1197+G1198+G1199,"")</f>
        <v/>
      </c>
      <c r="H1200" s="29" t="str">
        <f aca="false">IF(ISNUMBER(H1186),H1197+H1198+H1199,"")</f>
        <v/>
      </c>
      <c r="I1200" s="30" t="str">
        <f aca="false">IF(COUNT(D1200:H1200)=0,"",SUM(D1200:H1200))</f>
        <v/>
      </c>
      <c r="J1200" s="24"/>
    </row>
    <row r="1201" customFormat="false" ht="15" hidden="false" customHeight="false" outlineLevel="0" collapsed="false">
      <c r="B1201" s="9" t="s">
        <v>193</v>
      </c>
      <c r="C1201" s="15" t="s">
        <v>109</v>
      </c>
      <c r="D1201" s="29" t="str">
        <f aca="false">IF(ISNUMBER(D1192),D1192*INDEX(WtF,MATCH($C$1192,WtU,0))/WaterRho,"")</f>
        <v/>
      </c>
      <c r="E1201" s="29" t="str">
        <f aca="false">IF(ISNUMBER(E1192),E1192*INDEX(WtF,MATCH($C$1192,WtU,0))/WaterRho,"")</f>
        <v/>
      </c>
      <c r="F1201" s="29" t="str">
        <f aca="false">IF(ISNUMBER(F1192),F1192*INDEX(WtF,MATCH($C$1192,WtU,0))/WaterRho,"")</f>
        <v/>
      </c>
      <c r="G1201" s="29" t="str">
        <f aca="false">IF(ISNUMBER(G1192),G1192*INDEX(WtF,MATCH($C$1192,WtU,0))/WaterRho,"")</f>
        <v/>
      </c>
      <c r="H1201" s="29" t="str">
        <f aca="false">IF(ISNUMBER(H1192),H1192*INDEX(WtF,MATCH($C$1192,WtU,0))/WaterRho,"")</f>
        <v/>
      </c>
      <c r="I1201" s="30" t="str">
        <f aca="false">IF(COUNT(D1201:H1201)=0,"",SUM(D1201:H1201))</f>
        <v/>
      </c>
      <c r="J1201" s="24"/>
    </row>
    <row r="1202" customFormat="false" ht="15" hidden="false" customHeight="false" outlineLevel="0" collapsed="false">
      <c r="B1202" s="4" t="s">
        <v>194</v>
      </c>
      <c r="C1202" s="15" t="s">
        <v>109</v>
      </c>
      <c r="D1202" s="31" t="str">
        <f aca="false">IF(D1194="Water weight",D1201,D1200)</f>
        <v/>
      </c>
      <c r="E1202" s="31" t="str">
        <f aca="false">IF(E1194="Water weight",E1201,E1200)</f>
        <v/>
      </c>
      <c r="F1202" s="31" t="str">
        <f aca="false">IF(F1194="Water weight",F1201,F1200)</f>
        <v/>
      </c>
      <c r="G1202" s="31" t="str">
        <f aca="false">IF(G1194="Water weight",G1201,G1200)</f>
        <v/>
      </c>
      <c r="H1202" s="31" t="str">
        <f aca="false">IF(H1194="Water weight",H1201,H1200)</f>
        <v/>
      </c>
      <c r="I1202" s="31" t="str">
        <f aca="false">IF(COUNT(D1202:H1202)=0,"",SUM(D1202:H1202))</f>
        <v/>
      </c>
      <c r="J1202" s="24"/>
      <c r="K1202" s="32" t="s">
        <v>195</v>
      </c>
      <c r="L1202" s="32" t="n">
        <f aca="false">D1184</f>
        <v>0</v>
      </c>
      <c r="M1202" s="32" t="n">
        <f aca="false">E1184</f>
        <v>0</v>
      </c>
      <c r="N1202" s="32" t="n">
        <f aca="false">F1184</f>
        <v>0</v>
      </c>
      <c r="O1202" s="32" t="n">
        <f aca="false">G1184</f>
        <v>0</v>
      </c>
      <c r="P1202" s="32" t="n">
        <f aca="false">H1184</f>
        <v>0</v>
      </c>
    </row>
    <row r="1203" customFormat="false" ht="36" hidden="false" customHeight="true" outlineLevel="0" collapsed="false">
      <c r="B1203" s="9" t="s">
        <v>196</v>
      </c>
      <c r="C1203" s="15" t="s">
        <v>29</v>
      </c>
      <c r="D1203" s="39" t="str">
        <f aca="false">IF(D1202="","",IF(JobType="Chemical Cleaning",D1195,IFERROR(INDEX(DecMeth,MATCH(D1184,DecTypeU,0)),"⚠ select equipment type")))</f>
        <v/>
      </c>
      <c r="E1203" s="39" t="str">
        <f aca="false">IF(E1202="","",IF(JobType="Chemical Cleaning",E1195,IFERROR(INDEX(DecMeth,MATCH(E1184,DecTypeU,0)),"⚠ select equipment type")))</f>
        <v/>
      </c>
      <c r="F1203" s="39" t="str">
        <f aca="false">IF(F1202="","",IF(JobType="Chemical Cleaning",F1195,IFERROR(INDEX(DecMeth,MATCH(F1184,DecTypeU,0)),"⚠ select equipment type")))</f>
        <v/>
      </c>
      <c r="G1203" s="39" t="str">
        <f aca="false">IF(G1202="","",IF(JobType="Chemical Cleaning",G1195,IFERROR(INDEX(DecMeth,MATCH(G1184,DecTypeU,0)),"⚠ select equipment type")))</f>
        <v/>
      </c>
      <c r="H1203" s="39" t="str">
        <f aca="false">IF(H1202="","",IF(JobType="Chemical Cleaning",H1195,IFERROR(INDEX(DecMeth,MATCH(H1184,DecTypeU,0)),"⚠ select equipment type")))</f>
        <v/>
      </c>
      <c r="I1203" s="40"/>
      <c r="J1203" s="24"/>
    </row>
    <row r="1204" customFormat="false" ht="15" hidden="false" customHeight="false" outlineLevel="0" collapsed="false">
      <c r="B1204" s="9" t="s">
        <v>60</v>
      </c>
      <c r="C1204" s="15" t="s">
        <v>146</v>
      </c>
      <c r="D1204" s="35" t="str">
        <f aca="false">IF(D1202="","",IF(JobType="Chemical Cleaning",IFERROR(INDEX(CCMethPct,MATCH(D1195,CCMethU,0)),""),IFERROR(INDEX(DecFill,MATCH(D1184,DecTypeU,0)),"")))</f>
        <v/>
      </c>
      <c r="E1204" s="35" t="str">
        <f aca="false">IF(E1202="","",IF(JobType="Chemical Cleaning",IFERROR(INDEX(CCMethPct,MATCH(E1195,CCMethU,0)),""),IFERROR(INDEX(DecFill,MATCH(E1184,DecTypeU,0)),"")))</f>
        <v/>
      </c>
      <c r="F1204" s="35" t="str">
        <f aca="false">IF(F1202="","",IF(JobType="Chemical Cleaning",IFERROR(INDEX(CCMethPct,MATCH(F1195,CCMethU,0)),""),IFERROR(INDEX(DecFill,MATCH(F1184,DecTypeU,0)),"")))</f>
        <v/>
      </c>
      <c r="G1204" s="35" t="str">
        <f aca="false">IF(G1202="","",IF(JobType="Chemical Cleaning",IFERROR(INDEX(CCMethPct,MATCH(G1195,CCMethU,0)),""),IFERROR(INDEX(DecFill,MATCH(G1184,DecTypeU,0)),"")))</f>
        <v/>
      </c>
      <c r="H1204" s="35" t="str">
        <f aca="false">IF(H1202="","",IF(JobType="Chemical Cleaning",IFERROR(INDEX(CCMethPct,MATCH(H1195,CCMethU,0)),""),IFERROR(INDEX(DecFill,MATCH(H1184,DecTypeU,0)),"")))</f>
        <v/>
      </c>
      <c r="I1204" s="36"/>
      <c r="J1204" s="24" t="s">
        <v>197</v>
      </c>
    </row>
    <row r="1205" customFormat="false" ht="15" hidden="false" customHeight="false" outlineLevel="0" collapsed="false">
      <c r="B1205" s="4" t="s">
        <v>148</v>
      </c>
      <c r="C1205" s="15" t="s">
        <v>109</v>
      </c>
      <c r="D1205" s="31" t="str">
        <f aca="false">IF(OR(D1202="",D1204=""),"",D1202*D1204)</f>
        <v/>
      </c>
      <c r="E1205" s="31" t="str">
        <f aca="false">IF(OR(E1202="",E1204=""),"",E1202*E1204)</f>
        <v/>
      </c>
      <c r="F1205" s="31" t="str">
        <f aca="false">IF(OR(F1202="",F1204=""),"",F1202*F1204)</f>
        <v/>
      </c>
      <c r="G1205" s="31" t="str">
        <f aca="false">IF(OR(G1202="",G1204=""),"",G1202*G1204)</f>
        <v/>
      </c>
      <c r="H1205" s="31" t="str">
        <f aca="false">IF(OR(H1202="",H1204=""),"",H1202*H1204)</f>
        <v/>
      </c>
      <c r="I1205" s="31" t="str">
        <f aca="false">IF(COUNT(D1205:H1205)=0,"",SUM(D1205:H1205))</f>
        <v/>
      </c>
      <c r="J1205" s="24"/>
      <c r="K1205" s="32" t="s">
        <v>198</v>
      </c>
      <c r="L1205" s="32" t="n">
        <f aca="false">D1184</f>
        <v>0</v>
      </c>
      <c r="M1205" s="32" t="n">
        <f aca="false">E1184</f>
        <v>0</v>
      </c>
      <c r="N1205" s="32" t="n">
        <f aca="false">F1184</f>
        <v>0</v>
      </c>
      <c r="O1205" s="32" t="n">
        <f aca="false">G1184</f>
        <v>0</v>
      </c>
      <c r="P1205" s="32" t="n">
        <f aca="false">H1184</f>
        <v>0</v>
      </c>
    </row>
    <row r="1206" customFormat="false" ht="15" hidden="false" customHeight="false" outlineLevel="0" collapsed="false">
      <c r="B1206" s="9" t="s">
        <v>150</v>
      </c>
      <c r="C1206" s="15" t="s">
        <v>32</v>
      </c>
      <c r="D1206" s="37" t="str">
        <f aca="false">IF(OR(JobType&lt;&gt;"Decontamination",D1205=""),"",IFERROR(D1205*INDEX(DecChem,MATCH(D1184,DecTypeU,0))*1000,""))</f>
        <v/>
      </c>
      <c r="E1206" s="37" t="str">
        <f aca="false">IF(OR(JobType&lt;&gt;"Decontamination",E1205=""),"",IFERROR(E1205*INDEX(DecChem,MATCH(E1184,DecTypeU,0))*1000,""))</f>
        <v/>
      </c>
      <c r="F1206" s="37" t="str">
        <f aca="false">IF(OR(JobType&lt;&gt;"Decontamination",F1205=""),"",IFERROR(F1205*INDEX(DecChem,MATCH(F1184,DecTypeU,0))*1000,""))</f>
        <v/>
      </c>
      <c r="G1206" s="37" t="str">
        <f aca="false">IF(OR(JobType&lt;&gt;"Decontamination",G1205=""),"",IFERROR(G1205*INDEX(DecChem,MATCH(G1184,DecTypeU,0))*1000,""))</f>
        <v/>
      </c>
      <c r="H1206" s="37" t="str">
        <f aca="false">IF(OR(JobType&lt;&gt;"Decontamination",H1205=""),"",IFERROR(H1205*INDEX(DecChem,MATCH(H1184,DecTypeU,0))*1000,""))</f>
        <v/>
      </c>
      <c r="I1206" s="38" t="str">
        <f aca="false">IF(COUNT(D1206:H1206)=0,"",SUM(D1206:H1206))</f>
        <v/>
      </c>
      <c r="J1206" s="24" t="s">
        <v>199</v>
      </c>
      <c r="K1206" s="32" t="s">
        <v>200</v>
      </c>
      <c r="L1206" s="32" t="n">
        <f aca="false">D1184</f>
        <v>0</v>
      </c>
      <c r="M1206" s="32" t="n">
        <f aca="false">E1184</f>
        <v>0</v>
      </c>
      <c r="N1206" s="32" t="n">
        <f aca="false">F1184</f>
        <v>0</v>
      </c>
      <c r="O1206" s="32" t="n">
        <f aca="false">G1184</f>
        <v>0</v>
      </c>
      <c r="P1206" s="32" t="n">
        <f aca="false">H1184</f>
        <v>0</v>
      </c>
    </row>
    <row r="1208" customFormat="false" ht="15" hidden="false" customHeight="false" outlineLevel="0" collapsed="false">
      <c r="A1208" s="20" t="n">
        <v>12</v>
      </c>
      <c r="B1208" s="21" t="s">
        <v>211</v>
      </c>
      <c r="C1208" s="22"/>
      <c r="D1208" s="22"/>
      <c r="E1208" s="22"/>
      <c r="F1208" s="22"/>
      <c r="G1208" s="22"/>
      <c r="H1208" s="22"/>
      <c r="I1208" s="22"/>
      <c r="J1208" s="22"/>
    </row>
    <row r="1209" customFormat="false" ht="15" hidden="false" customHeight="false" outlineLevel="0" collapsed="false">
      <c r="B1209" s="9" t="s">
        <v>83</v>
      </c>
      <c r="C1209" s="15" t="s">
        <v>29</v>
      </c>
      <c r="D1209" s="8"/>
      <c r="E1209" s="8"/>
      <c r="F1209" s="8"/>
      <c r="G1209" s="8"/>
      <c r="H1209" s="8"/>
      <c r="I1209" s="23"/>
      <c r="J1209" s="24"/>
    </row>
    <row r="1210" customFormat="false" ht="15" hidden="false" customHeight="false" outlineLevel="0" collapsed="false">
      <c r="B1210" s="9" t="s">
        <v>86</v>
      </c>
      <c r="C1210" s="15" t="s">
        <v>29</v>
      </c>
      <c r="D1210" s="8"/>
      <c r="E1210" s="8"/>
      <c r="F1210" s="8"/>
      <c r="G1210" s="8"/>
      <c r="H1210" s="8"/>
      <c r="I1210" s="23"/>
      <c r="J1210" s="24"/>
    </row>
    <row r="1211" customFormat="false" ht="15" hidden="false" customHeight="false" outlineLevel="0" collapsed="false">
      <c r="B1211" s="9" t="s">
        <v>175</v>
      </c>
      <c r="C1211" s="15" t="s">
        <v>29</v>
      </c>
      <c r="D1211" s="8"/>
      <c r="E1211" s="8"/>
      <c r="F1211" s="8"/>
      <c r="G1211" s="8"/>
      <c r="H1211" s="8"/>
      <c r="I1211" s="23"/>
      <c r="J1211" s="24" t="s">
        <v>176</v>
      </c>
    </row>
    <row r="1212" customFormat="false" ht="15" hidden="false" customHeight="false" outlineLevel="0" collapsed="false">
      <c r="B1212" s="25" t="s">
        <v>177</v>
      </c>
      <c r="C1212" s="26"/>
      <c r="D1212" s="26"/>
      <c r="E1212" s="26"/>
      <c r="F1212" s="26"/>
      <c r="G1212" s="26"/>
      <c r="H1212" s="26"/>
      <c r="I1212" s="26"/>
      <c r="J1212" s="26"/>
    </row>
    <row r="1213" customFormat="false" ht="15" hidden="false" customHeight="false" outlineLevel="0" collapsed="false">
      <c r="B1213" s="9" t="s">
        <v>178</v>
      </c>
      <c r="C1213" s="8" t="s">
        <v>92</v>
      </c>
      <c r="D1213" s="8"/>
      <c r="E1213" s="8"/>
      <c r="F1213" s="8"/>
      <c r="G1213" s="8"/>
      <c r="H1213" s="8"/>
      <c r="I1213" s="23"/>
      <c r="J1213" s="24"/>
    </row>
    <row r="1214" customFormat="false" ht="15" hidden="false" customHeight="false" outlineLevel="0" collapsed="false">
      <c r="B1214" s="9" t="s">
        <v>179</v>
      </c>
      <c r="C1214" s="8" t="s">
        <v>92</v>
      </c>
      <c r="D1214" s="8"/>
      <c r="E1214" s="8"/>
      <c r="F1214" s="8"/>
      <c r="G1214" s="8"/>
      <c r="H1214" s="8"/>
      <c r="I1214" s="23"/>
      <c r="J1214" s="24"/>
    </row>
    <row r="1215" customFormat="false" ht="15" hidden="false" customHeight="false" outlineLevel="0" collapsed="false">
      <c r="B1215" s="9" t="s">
        <v>180</v>
      </c>
      <c r="C1215" s="15" t="s">
        <v>29</v>
      </c>
      <c r="D1215" s="8"/>
      <c r="E1215" s="8"/>
      <c r="F1215" s="8"/>
      <c r="G1215" s="8"/>
      <c r="H1215" s="8"/>
      <c r="I1215" s="23"/>
      <c r="J1215" s="24"/>
    </row>
    <row r="1216" customFormat="false" ht="15" hidden="false" customHeight="false" outlineLevel="0" collapsed="false">
      <c r="B1216" s="9" t="s">
        <v>181</v>
      </c>
      <c r="C1216" s="8" t="s">
        <v>92</v>
      </c>
      <c r="D1216" s="8"/>
      <c r="E1216" s="8"/>
      <c r="F1216" s="8"/>
      <c r="G1216" s="8"/>
      <c r="H1216" s="8"/>
      <c r="I1216" s="23"/>
      <c r="J1216" s="24"/>
    </row>
    <row r="1217" customFormat="false" ht="15" hidden="false" customHeight="false" outlineLevel="0" collapsed="false">
      <c r="B1217" s="9" t="s">
        <v>182</v>
      </c>
      <c r="C1217" s="15" t="s">
        <v>29</v>
      </c>
      <c r="D1217" s="8"/>
      <c r="E1217" s="8"/>
      <c r="F1217" s="8"/>
      <c r="G1217" s="8"/>
      <c r="H1217" s="8"/>
      <c r="I1217" s="23"/>
      <c r="J1217" s="24"/>
    </row>
    <row r="1218" customFormat="false" ht="15" hidden="false" customHeight="false" outlineLevel="0" collapsed="false">
      <c r="B1218" s="9" t="s">
        <v>183</v>
      </c>
      <c r="C1218" s="8" t="s">
        <v>92</v>
      </c>
      <c r="D1218" s="8"/>
      <c r="E1218" s="8"/>
      <c r="F1218" s="8"/>
      <c r="G1218" s="8"/>
      <c r="H1218" s="8"/>
      <c r="I1218" s="23"/>
      <c r="J1218" s="24"/>
    </row>
    <row r="1219" customFormat="false" ht="15" hidden="false" customHeight="false" outlineLevel="0" collapsed="false">
      <c r="B1219" s="9" t="s">
        <v>184</v>
      </c>
      <c r="C1219" s="8" t="s">
        <v>112</v>
      </c>
      <c r="D1219" s="8"/>
      <c r="E1219" s="8"/>
      <c r="F1219" s="8"/>
      <c r="G1219" s="8"/>
      <c r="H1219" s="8"/>
      <c r="I1219" s="23"/>
      <c r="J1219" s="24"/>
    </row>
    <row r="1220" customFormat="false" ht="15" hidden="false" customHeight="false" outlineLevel="0" collapsed="false">
      <c r="B1220" s="25" t="s">
        <v>185</v>
      </c>
      <c r="C1220" s="26"/>
      <c r="D1220" s="26"/>
      <c r="E1220" s="26"/>
      <c r="F1220" s="26"/>
      <c r="G1220" s="26"/>
      <c r="H1220" s="26"/>
      <c r="I1220" s="26"/>
      <c r="J1220" s="26"/>
    </row>
    <row r="1221" customFormat="false" ht="15" hidden="false" customHeight="false" outlineLevel="0" collapsed="false">
      <c r="B1221" s="9" t="s">
        <v>186</v>
      </c>
      <c r="C1221" s="15" t="s">
        <v>29</v>
      </c>
      <c r="D1221" s="8" t="s">
        <v>122</v>
      </c>
      <c r="E1221" s="8" t="s">
        <v>122</v>
      </c>
      <c r="F1221" s="8" t="s">
        <v>122</v>
      </c>
      <c r="G1221" s="8" t="s">
        <v>122</v>
      </c>
      <c r="H1221" s="8" t="s">
        <v>122</v>
      </c>
      <c r="I1221" s="23"/>
      <c r="J1221" s="24"/>
    </row>
    <row r="1222" customFormat="false" ht="15" hidden="false" customHeight="false" outlineLevel="0" collapsed="false">
      <c r="B1222" s="9" t="s">
        <v>187</v>
      </c>
      <c r="C1222" s="15" t="s">
        <v>29</v>
      </c>
      <c r="D1222" s="8" t="s">
        <v>61</v>
      </c>
      <c r="E1222" s="8" t="s">
        <v>61</v>
      </c>
      <c r="F1222" s="8" t="s">
        <v>61</v>
      </c>
      <c r="G1222" s="8" t="s">
        <v>61</v>
      </c>
      <c r="H1222" s="8" t="s">
        <v>61</v>
      </c>
      <c r="I1222" s="23"/>
      <c r="J1222" s="24" t="s">
        <v>188</v>
      </c>
    </row>
    <row r="1223" customFormat="false" ht="15" hidden="false" customHeight="false" outlineLevel="0" collapsed="false">
      <c r="B1223" s="25" t="s">
        <v>124</v>
      </c>
      <c r="C1223" s="26"/>
      <c r="D1223" s="26"/>
      <c r="E1223" s="26"/>
      <c r="F1223" s="26"/>
      <c r="G1223" s="26"/>
      <c r="H1223" s="26"/>
      <c r="I1223" s="26"/>
      <c r="J1223" s="26"/>
    </row>
    <row r="1224" customFormat="false" ht="15" hidden="false" customHeight="false" outlineLevel="0" collapsed="false">
      <c r="B1224" s="9" t="s">
        <v>189</v>
      </c>
      <c r="C1224" s="15" t="s">
        <v>109</v>
      </c>
      <c r="D1224" s="29" t="str">
        <f aca="false">IF(ISNUMBER(D1213),PI()/4*(D1213*INDEX(LenF,MATCH($C$1213,LenU,0)))^2*N(D1214)*INDEX(LenF,MATCH($C$1214,LenU,0)),"")</f>
        <v/>
      </c>
      <c r="E1224" s="29" t="str">
        <f aca="false">IF(ISNUMBER(E1213),PI()/4*(E1213*INDEX(LenF,MATCH($C$1213,LenU,0)))^2*N(E1214)*INDEX(LenF,MATCH($C$1214,LenU,0)),"")</f>
        <v/>
      </c>
      <c r="F1224" s="29" t="str">
        <f aca="false">IF(ISNUMBER(F1213),PI()/4*(F1213*INDEX(LenF,MATCH($C$1213,LenU,0)))^2*N(F1214)*INDEX(LenF,MATCH($C$1214,LenU,0)),"")</f>
        <v/>
      </c>
      <c r="G1224" s="29" t="str">
        <f aca="false">IF(ISNUMBER(G1213),PI()/4*(G1213*INDEX(LenF,MATCH($C$1213,LenU,0)))^2*N(G1214)*INDEX(LenF,MATCH($C$1214,LenU,0)),"")</f>
        <v/>
      </c>
      <c r="H1224" s="29" t="str">
        <f aca="false">IF(ISNUMBER(H1213),PI()/4*(H1213*INDEX(LenF,MATCH($C$1213,LenU,0)))^2*N(H1214)*INDEX(LenF,MATCH($C$1214,LenU,0)),"")</f>
        <v/>
      </c>
      <c r="I1224" s="30" t="str">
        <f aca="false">IF(COUNT(D1224:H1224)=0,"",SUM(D1224:H1224))</f>
        <v/>
      </c>
      <c r="J1224" s="24"/>
    </row>
    <row r="1225" customFormat="false" ht="15" hidden="false" customHeight="false" outlineLevel="0" collapsed="false">
      <c r="B1225" s="9" t="s">
        <v>190</v>
      </c>
      <c r="C1225" s="15" t="s">
        <v>109</v>
      </c>
      <c r="D1225" s="29" t="str">
        <f aca="false">IF(ISNUMBER(D1213),IF(D1215="",0,IF(D1215="Conical",PI()/12*(D1213*INDEX(LenF,MATCH($C$1213,LenU,0)))^2*(N(D1216)*INDEX(LenF,MATCH($C$1216,LenU,0))),INDEX(HeadK,MATCH(D1215,HeadU,0))*(D1213*INDEX(LenF,MATCH($C$1213,LenU,0)))^3)),"")</f>
        <v/>
      </c>
      <c r="E1225" s="29" t="str">
        <f aca="false">IF(ISNUMBER(E1213),IF(E1215="",0,IF(E1215="Conical",PI()/12*(E1213*INDEX(LenF,MATCH($C$1213,LenU,0)))^2*(N(E1216)*INDEX(LenF,MATCH($C$1216,LenU,0))),INDEX(HeadK,MATCH(E1215,HeadU,0))*(E1213*INDEX(LenF,MATCH($C$1213,LenU,0)))^3)),"")</f>
        <v/>
      </c>
      <c r="F1225" s="29" t="str">
        <f aca="false">IF(ISNUMBER(F1213),IF(F1215="",0,IF(F1215="Conical",PI()/12*(F1213*INDEX(LenF,MATCH($C$1213,LenU,0)))^2*(N(F1216)*INDEX(LenF,MATCH($C$1216,LenU,0))),INDEX(HeadK,MATCH(F1215,HeadU,0))*(F1213*INDEX(LenF,MATCH($C$1213,LenU,0)))^3)),"")</f>
        <v/>
      </c>
      <c r="G1225" s="29" t="str">
        <f aca="false">IF(ISNUMBER(G1213),IF(G1215="",0,IF(G1215="Conical",PI()/12*(G1213*INDEX(LenF,MATCH($C$1213,LenU,0)))^2*(N(G1216)*INDEX(LenF,MATCH($C$1216,LenU,0))),INDEX(HeadK,MATCH(G1215,HeadU,0))*(G1213*INDEX(LenF,MATCH($C$1213,LenU,0)))^3)),"")</f>
        <v/>
      </c>
      <c r="H1225" s="29" t="str">
        <f aca="false">IF(ISNUMBER(H1213),IF(H1215="",0,IF(H1215="Conical",PI()/12*(H1213*INDEX(LenF,MATCH($C$1213,LenU,0)))^2*(N(H1216)*INDEX(LenF,MATCH($C$1216,LenU,0))),INDEX(HeadK,MATCH(H1215,HeadU,0))*(H1213*INDEX(LenF,MATCH($C$1213,LenU,0)))^3)),"")</f>
        <v/>
      </c>
      <c r="I1225" s="30" t="str">
        <f aca="false">IF(COUNT(D1225:H1225)=0,"",SUM(D1225:H1225))</f>
        <v/>
      </c>
      <c r="J1225" s="24"/>
    </row>
    <row r="1226" customFormat="false" ht="15" hidden="false" customHeight="false" outlineLevel="0" collapsed="false">
      <c r="B1226" s="9" t="s">
        <v>191</v>
      </c>
      <c r="C1226" s="15" t="s">
        <v>109</v>
      </c>
      <c r="D1226" s="29" t="str">
        <f aca="false">IF(ISNUMBER(D1213),IF(D1217="",0,IF(D1217="Conical",PI()/12*(D1213*INDEX(LenF,MATCH($C$1213,LenU,0)))^2*(N(D1218)*INDEX(LenF,MATCH($C$1218,LenU,0))),INDEX(HeadK,MATCH(D1217,HeadU,0))*(D1213*INDEX(LenF,MATCH($C$1213,LenU,0)))^3)),"")</f>
        <v/>
      </c>
      <c r="E1226" s="29" t="str">
        <f aca="false">IF(ISNUMBER(E1213),IF(E1217="",0,IF(E1217="Conical",PI()/12*(E1213*INDEX(LenF,MATCH($C$1213,LenU,0)))^2*(N(E1218)*INDEX(LenF,MATCH($C$1218,LenU,0))),INDEX(HeadK,MATCH(E1217,HeadU,0))*(E1213*INDEX(LenF,MATCH($C$1213,LenU,0)))^3)),"")</f>
        <v/>
      </c>
      <c r="F1226" s="29" t="str">
        <f aca="false">IF(ISNUMBER(F1213),IF(F1217="",0,IF(F1217="Conical",PI()/12*(F1213*INDEX(LenF,MATCH($C$1213,LenU,0)))^2*(N(F1218)*INDEX(LenF,MATCH($C$1218,LenU,0))),INDEX(HeadK,MATCH(F1217,HeadU,0))*(F1213*INDEX(LenF,MATCH($C$1213,LenU,0)))^3)),"")</f>
        <v/>
      </c>
      <c r="G1226" s="29" t="str">
        <f aca="false">IF(ISNUMBER(G1213),IF(G1217="",0,IF(G1217="Conical",PI()/12*(G1213*INDEX(LenF,MATCH($C$1213,LenU,0)))^2*(N(G1218)*INDEX(LenF,MATCH($C$1218,LenU,0))),INDEX(HeadK,MATCH(G1217,HeadU,0))*(G1213*INDEX(LenF,MATCH($C$1213,LenU,0)))^3)),"")</f>
        <v/>
      </c>
      <c r="H1226" s="29" t="str">
        <f aca="false">IF(ISNUMBER(H1213),IF(H1217="",0,IF(H1217="Conical",PI()/12*(H1213*INDEX(LenF,MATCH($C$1213,LenU,0)))^2*(N(H1218)*INDEX(LenF,MATCH($C$1218,LenU,0))),INDEX(HeadK,MATCH(H1217,HeadU,0))*(H1213*INDEX(LenF,MATCH($C$1213,LenU,0)))^3)),"")</f>
        <v/>
      </c>
      <c r="I1226" s="30" t="str">
        <f aca="false">IF(COUNT(D1226:H1226)=0,"",SUM(D1226:H1226))</f>
        <v/>
      </c>
      <c r="J1226" s="24"/>
    </row>
    <row r="1227" customFormat="false" ht="15" hidden="false" customHeight="false" outlineLevel="0" collapsed="false">
      <c r="B1227" s="9" t="s">
        <v>192</v>
      </c>
      <c r="C1227" s="15" t="s">
        <v>109</v>
      </c>
      <c r="D1227" s="29" t="str">
        <f aca="false">IF(ISNUMBER(D1213),D1224+D1225+D1226,"")</f>
        <v/>
      </c>
      <c r="E1227" s="29" t="str">
        <f aca="false">IF(ISNUMBER(E1213),E1224+E1225+E1226,"")</f>
        <v/>
      </c>
      <c r="F1227" s="29" t="str">
        <f aca="false">IF(ISNUMBER(F1213),F1224+F1225+F1226,"")</f>
        <v/>
      </c>
      <c r="G1227" s="29" t="str">
        <f aca="false">IF(ISNUMBER(G1213),G1224+G1225+G1226,"")</f>
        <v/>
      </c>
      <c r="H1227" s="29" t="str">
        <f aca="false">IF(ISNUMBER(H1213),H1224+H1225+H1226,"")</f>
        <v/>
      </c>
      <c r="I1227" s="30" t="str">
        <f aca="false">IF(COUNT(D1227:H1227)=0,"",SUM(D1227:H1227))</f>
        <v/>
      </c>
      <c r="J1227" s="24"/>
    </row>
    <row r="1228" customFormat="false" ht="15" hidden="false" customHeight="false" outlineLevel="0" collapsed="false">
      <c r="B1228" s="9" t="s">
        <v>193</v>
      </c>
      <c r="C1228" s="15" t="s">
        <v>109</v>
      </c>
      <c r="D1228" s="29" t="str">
        <f aca="false">IF(ISNUMBER(D1219),D1219*INDEX(WtF,MATCH($C$1219,WtU,0))/WaterRho,"")</f>
        <v/>
      </c>
      <c r="E1228" s="29" t="str">
        <f aca="false">IF(ISNUMBER(E1219),E1219*INDEX(WtF,MATCH($C$1219,WtU,0))/WaterRho,"")</f>
        <v/>
      </c>
      <c r="F1228" s="29" t="str">
        <f aca="false">IF(ISNUMBER(F1219),F1219*INDEX(WtF,MATCH($C$1219,WtU,0))/WaterRho,"")</f>
        <v/>
      </c>
      <c r="G1228" s="29" t="str">
        <f aca="false">IF(ISNUMBER(G1219),G1219*INDEX(WtF,MATCH($C$1219,WtU,0))/WaterRho,"")</f>
        <v/>
      </c>
      <c r="H1228" s="29" t="str">
        <f aca="false">IF(ISNUMBER(H1219),H1219*INDEX(WtF,MATCH($C$1219,WtU,0))/WaterRho,"")</f>
        <v/>
      </c>
      <c r="I1228" s="30" t="str">
        <f aca="false">IF(COUNT(D1228:H1228)=0,"",SUM(D1228:H1228))</f>
        <v/>
      </c>
      <c r="J1228" s="24"/>
    </row>
    <row r="1229" customFormat="false" ht="15" hidden="false" customHeight="false" outlineLevel="0" collapsed="false">
      <c r="B1229" s="4" t="s">
        <v>194</v>
      </c>
      <c r="C1229" s="15" t="s">
        <v>109</v>
      </c>
      <c r="D1229" s="31" t="str">
        <f aca="false">IF(D1221="Water weight",D1228,D1227)</f>
        <v/>
      </c>
      <c r="E1229" s="31" t="str">
        <f aca="false">IF(E1221="Water weight",E1228,E1227)</f>
        <v/>
      </c>
      <c r="F1229" s="31" t="str">
        <f aca="false">IF(F1221="Water weight",F1228,F1227)</f>
        <v/>
      </c>
      <c r="G1229" s="31" t="str">
        <f aca="false">IF(G1221="Water weight",G1228,G1227)</f>
        <v/>
      </c>
      <c r="H1229" s="31" t="str">
        <f aca="false">IF(H1221="Water weight",H1228,H1227)</f>
        <v/>
      </c>
      <c r="I1229" s="31" t="str">
        <f aca="false">IF(COUNT(D1229:H1229)=0,"",SUM(D1229:H1229))</f>
        <v/>
      </c>
      <c r="J1229" s="24"/>
      <c r="K1229" s="32" t="s">
        <v>195</v>
      </c>
      <c r="L1229" s="32" t="n">
        <f aca="false">D1211</f>
        <v>0</v>
      </c>
      <c r="M1229" s="32" t="n">
        <f aca="false">E1211</f>
        <v>0</v>
      </c>
      <c r="N1229" s="32" t="n">
        <f aca="false">F1211</f>
        <v>0</v>
      </c>
      <c r="O1229" s="32" t="n">
        <f aca="false">G1211</f>
        <v>0</v>
      </c>
      <c r="P1229" s="32" t="n">
        <f aca="false">H1211</f>
        <v>0</v>
      </c>
    </row>
    <row r="1230" customFormat="false" ht="36" hidden="false" customHeight="true" outlineLevel="0" collapsed="false">
      <c r="B1230" s="9" t="s">
        <v>196</v>
      </c>
      <c r="C1230" s="15" t="s">
        <v>29</v>
      </c>
      <c r="D1230" s="39" t="str">
        <f aca="false">IF(D1229="","",IF(JobType="Chemical Cleaning",D1222,IFERROR(INDEX(DecMeth,MATCH(D1211,DecTypeU,0)),"⚠ select equipment type")))</f>
        <v/>
      </c>
      <c r="E1230" s="39" t="str">
        <f aca="false">IF(E1229="","",IF(JobType="Chemical Cleaning",E1222,IFERROR(INDEX(DecMeth,MATCH(E1211,DecTypeU,0)),"⚠ select equipment type")))</f>
        <v/>
      </c>
      <c r="F1230" s="39" t="str">
        <f aca="false">IF(F1229="","",IF(JobType="Chemical Cleaning",F1222,IFERROR(INDEX(DecMeth,MATCH(F1211,DecTypeU,0)),"⚠ select equipment type")))</f>
        <v/>
      </c>
      <c r="G1230" s="39" t="str">
        <f aca="false">IF(G1229="","",IF(JobType="Chemical Cleaning",G1222,IFERROR(INDEX(DecMeth,MATCH(G1211,DecTypeU,0)),"⚠ select equipment type")))</f>
        <v/>
      </c>
      <c r="H1230" s="39" t="str">
        <f aca="false">IF(H1229="","",IF(JobType="Chemical Cleaning",H1222,IFERROR(INDEX(DecMeth,MATCH(H1211,DecTypeU,0)),"⚠ select equipment type")))</f>
        <v/>
      </c>
      <c r="I1230" s="40"/>
      <c r="J1230" s="24"/>
    </row>
    <row r="1231" customFormat="false" ht="15" hidden="false" customHeight="false" outlineLevel="0" collapsed="false">
      <c r="B1231" s="9" t="s">
        <v>60</v>
      </c>
      <c r="C1231" s="15" t="s">
        <v>146</v>
      </c>
      <c r="D1231" s="35" t="str">
        <f aca="false">IF(D1229="","",IF(JobType="Chemical Cleaning",IFERROR(INDEX(CCMethPct,MATCH(D1222,CCMethU,0)),""),IFERROR(INDEX(DecFill,MATCH(D1211,DecTypeU,0)),"")))</f>
        <v/>
      </c>
      <c r="E1231" s="35" t="str">
        <f aca="false">IF(E1229="","",IF(JobType="Chemical Cleaning",IFERROR(INDEX(CCMethPct,MATCH(E1222,CCMethU,0)),""),IFERROR(INDEX(DecFill,MATCH(E1211,DecTypeU,0)),"")))</f>
        <v/>
      </c>
      <c r="F1231" s="35" t="str">
        <f aca="false">IF(F1229="","",IF(JobType="Chemical Cleaning",IFERROR(INDEX(CCMethPct,MATCH(F1222,CCMethU,0)),""),IFERROR(INDEX(DecFill,MATCH(F1211,DecTypeU,0)),"")))</f>
        <v/>
      </c>
      <c r="G1231" s="35" t="str">
        <f aca="false">IF(G1229="","",IF(JobType="Chemical Cleaning",IFERROR(INDEX(CCMethPct,MATCH(G1222,CCMethU,0)),""),IFERROR(INDEX(DecFill,MATCH(G1211,DecTypeU,0)),"")))</f>
        <v/>
      </c>
      <c r="H1231" s="35" t="str">
        <f aca="false">IF(H1229="","",IF(JobType="Chemical Cleaning",IFERROR(INDEX(CCMethPct,MATCH(H1222,CCMethU,0)),""),IFERROR(INDEX(DecFill,MATCH(H1211,DecTypeU,0)),"")))</f>
        <v/>
      </c>
      <c r="I1231" s="36"/>
      <c r="J1231" s="24" t="s">
        <v>197</v>
      </c>
    </row>
    <row r="1232" customFormat="false" ht="15" hidden="false" customHeight="false" outlineLevel="0" collapsed="false">
      <c r="B1232" s="4" t="s">
        <v>148</v>
      </c>
      <c r="C1232" s="15" t="s">
        <v>109</v>
      </c>
      <c r="D1232" s="31" t="str">
        <f aca="false">IF(OR(D1229="",D1231=""),"",D1229*D1231)</f>
        <v/>
      </c>
      <c r="E1232" s="31" t="str">
        <f aca="false">IF(OR(E1229="",E1231=""),"",E1229*E1231)</f>
        <v/>
      </c>
      <c r="F1232" s="31" t="str">
        <f aca="false">IF(OR(F1229="",F1231=""),"",F1229*F1231)</f>
        <v/>
      </c>
      <c r="G1232" s="31" t="str">
        <f aca="false">IF(OR(G1229="",G1231=""),"",G1229*G1231)</f>
        <v/>
      </c>
      <c r="H1232" s="31" t="str">
        <f aca="false">IF(OR(H1229="",H1231=""),"",H1229*H1231)</f>
        <v/>
      </c>
      <c r="I1232" s="31" t="str">
        <f aca="false">IF(COUNT(D1232:H1232)=0,"",SUM(D1232:H1232))</f>
        <v/>
      </c>
      <c r="J1232" s="24"/>
      <c r="K1232" s="32" t="s">
        <v>198</v>
      </c>
      <c r="L1232" s="32" t="n">
        <f aca="false">D1211</f>
        <v>0</v>
      </c>
      <c r="M1232" s="32" t="n">
        <f aca="false">E1211</f>
        <v>0</v>
      </c>
      <c r="N1232" s="32" t="n">
        <f aca="false">F1211</f>
        <v>0</v>
      </c>
      <c r="O1232" s="32" t="n">
        <f aca="false">G1211</f>
        <v>0</v>
      </c>
      <c r="P1232" s="32" t="n">
        <f aca="false">H1211</f>
        <v>0</v>
      </c>
    </row>
    <row r="1233" customFormat="false" ht="15" hidden="false" customHeight="false" outlineLevel="0" collapsed="false">
      <c r="B1233" s="9" t="s">
        <v>150</v>
      </c>
      <c r="C1233" s="15" t="s">
        <v>32</v>
      </c>
      <c r="D1233" s="37" t="str">
        <f aca="false">IF(OR(JobType&lt;&gt;"Decontamination",D1232=""),"",IFERROR(D1232*INDEX(DecChem,MATCH(D1211,DecTypeU,0))*1000,""))</f>
        <v/>
      </c>
      <c r="E1233" s="37" t="str">
        <f aca="false">IF(OR(JobType&lt;&gt;"Decontamination",E1232=""),"",IFERROR(E1232*INDEX(DecChem,MATCH(E1211,DecTypeU,0))*1000,""))</f>
        <v/>
      </c>
      <c r="F1233" s="37" t="str">
        <f aca="false">IF(OR(JobType&lt;&gt;"Decontamination",F1232=""),"",IFERROR(F1232*INDEX(DecChem,MATCH(F1211,DecTypeU,0))*1000,""))</f>
        <v/>
      </c>
      <c r="G1233" s="37" t="str">
        <f aca="false">IF(OR(JobType&lt;&gt;"Decontamination",G1232=""),"",IFERROR(G1232*INDEX(DecChem,MATCH(G1211,DecTypeU,0))*1000,""))</f>
        <v/>
      </c>
      <c r="H1233" s="37" t="str">
        <f aca="false">IF(OR(JobType&lt;&gt;"Decontamination",H1232=""),"",IFERROR(H1232*INDEX(DecChem,MATCH(H1211,DecTypeU,0))*1000,""))</f>
        <v/>
      </c>
      <c r="I1233" s="38" t="str">
        <f aca="false">IF(COUNT(D1233:H1233)=0,"",SUM(D1233:H1233))</f>
        <v/>
      </c>
      <c r="J1233" s="24" t="s">
        <v>199</v>
      </c>
      <c r="K1233" s="32" t="s">
        <v>200</v>
      </c>
      <c r="L1233" s="32" t="n">
        <f aca="false">D1211</f>
        <v>0</v>
      </c>
      <c r="M1233" s="32" t="n">
        <f aca="false">E1211</f>
        <v>0</v>
      </c>
      <c r="N1233" s="32" t="n">
        <f aca="false">F1211</f>
        <v>0</v>
      </c>
      <c r="O1233" s="32" t="n">
        <f aca="false">G1211</f>
        <v>0</v>
      </c>
      <c r="P1233" s="32" t="n">
        <f aca="false">H1211</f>
        <v>0</v>
      </c>
    </row>
    <row r="1235" customFormat="false" ht="15" hidden="false" customHeight="false" outlineLevel="0" collapsed="false">
      <c r="A1235" s="20" t="n">
        <v>13</v>
      </c>
      <c r="B1235" s="21" t="s">
        <v>212</v>
      </c>
      <c r="C1235" s="22"/>
      <c r="D1235" s="22"/>
      <c r="E1235" s="22"/>
      <c r="F1235" s="22"/>
      <c r="G1235" s="22"/>
      <c r="H1235" s="22"/>
      <c r="I1235" s="22"/>
      <c r="J1235" s="22"/>
    </row>
    <row r="1236" customFormat="false" ht="15" hidden="false" customHeight="false" outlineLevel="0" collapsed="false">
      <c r="B1236" s="9" t="s">
        <v>83</v>
      </c>
      <c r="C1236" s="15" t="s">
        <v>29</v>
      </c>
      <c r="D1236" s="8"/>
      <c r="E1236" s="8"/>
      <c r="F1236" s="8"/>
      <c r="G1236" s="8"/>
      <c r="H1236" s="8"/>
      <c r="I1236" s="23"/>
      <c r="J1236" s="24"/>
    </row>
    <row r="1237" customFormat="false" ht="15" hidden="false" customHeight="false" outlineLevel="0" collapsed="false">
      <c r="B1237" s="9" t="s">
        <v>86</v>
      </c>
      <c r="C1237" s="15" t="s">
        <v>29</v>
      </c>
      <c r="D1237" s="8"/>
      <c r="E1237" s="8"/>
      <c r="F1237" s="8"/>
      <c r="G1237" s="8"/>
      <c r="H1237" s="8"/>
      <c r="I1237" s="23"/>
      <c r="J1237" s="24"/>
    </row>
    <row r="1238" customFormat="false" ht="15" hidden="false" customHeight="false" outlineLevel="0" collapsed="false">
      <c r="B1238" s="9" t="s">
        <v>175</v>
      </c>
      <c r="C1238" s="15" t="s">
        <v>29</v>
      </c>
      <c r="D1238" s="8"/>
      <c r="E1238" s="8"/>
      <c r="F1238" s="8"/>
      <c r="G1238" s="8"/>
      <c r="H1238" s="8"/>
      <c r="I1238" s="23"/>
      <c r="J1238" s="24" t="s">
        <v>176</v>
      </c>
    </row>
    <row r="1239" customFormat="false" ht="15" hidden="false" customHeight="false" outlineLevel="0" collapsed="false">
      <c r="B1239" s="25" t="s">
        <v>177</v>
      </c>
      <c r="C1239" s="26"/>
      <c r="D1239" s="26"/>
      <c r="E1239" s="26"/>
      <c r="F1239" s="26"/>
      <c r="G1239" s="26"/>
      <c r="H1239" s="26"/>
      <c r="I1239" s="26"/>
      <c r="J1239" s="26"/>
    </row>
    <row r="1240" customFormat="false" ht="15" hidden="false" customHeight="false" outlineLevel="0" collapsed="false">
      <c r="B1240" s="9" t="s">
        <v>178</v>
      </c>
      <c r="C1240" s="8" t="s">
        <v>92</v>
      </c>
      <c r="D1240" s="8"/>
      <c r="E1240" s="8"/>
      <c r="F1240" s="8"/>
      <c r="G1240" s="8"/>
      <c r="H1240" s="8"/>
      <c r="I1240" s="23"/>
      <c r="J1240" s="24"/>
    </row>
    <row r="1241" customFormat="false" ht="15" hidden="false" customHeight="false" outlineLevel="0" collapsed="false">
      <c r="B1241" s="9" t="s">
        <v>179</v>
      </c>
      <c r="C1241" s="8" t="s">
        <v>92</v>
      </c>
      <c r="D1241" s="8"/>
      <c r="E1241" s="8"/>
      <c r="F1241" s="8"/>
      <c r="G1241" s="8"/>
      <c r="H1241" s="8"/>
      <c r="I1241" s="23"/>
      <c r="J1241" s="24"/>
    </row>
    <row r="1242" customFormat="false" ht="15" hidden="false" customHeight="false" outlineLevel="0" collapsed="false">
      <c r="B1242" s="9" t="s">
        <v>180</v>
      </c>
      <c r="C1242" s="15" t="s">
        <v>29</v>
      </c>
      <c r="D1242" s="8"/>
      <c r="E1242" s="8"/>
      <c r="F1242" s="8"/>
      <c r="G1242" s="8"/>
      <c r="H1242" s="8"/>
      <c r="I1242" s="23"/>
      <c r="J1242" s="24"/>
    </row>
    <row r="1243" customFormat="false" ht="15" hidden="false" customHeight="false" outlineLevel="0" collapsed="false">
      <c r="B1243" s="9" t="s">
        <v>181</v>
      </c>
      <c r="C1243" s="8" t="s">
        <v>92</v>
      </c>
      <c r="D1243" s="8"/>
      <c r="E1243" s="8"/>
      <c r="F1243" s="8"/>
      <c r="G1243" s="8"/>
      <c r="H1243" s="8"/>
      <c r="I1243" s="23"/>
      <c r="J1243" s="24"/>
    </row>
    <row r="1244" customFormat="false" ht="15" hidden="false" customHeight="false" outlineLevel="0" collapsed="false">
      <c r="B1244" s="9" t="s">
        <v>182</v>
      </c>
      <c r="C1244" s="15" t="s">
        <v>29</v>
      </c>
      <c r="D1244" s="8"/>
      <c r="E1244" s="8"/>
      <c r="F1244" s="8"/>
      <c r="G1244" s="8"/>
      <c r="H1244" s="8"/>
      <c r="I1244" s="23"/>
      <c r="J1244" s="24"/>
    </row>
    <row r="1245" customFormat="false" ht="15" hidden="false" customHeight="false" outlineLevel="0" collapsed="false">
      <c r="B1245" s="9" t="s">
        <v>183</v>
      </c>
      <c r="C1245" s="8" t="s">
        <v>92</v>
      </c>
      <c r="D1245" s="8"/>
      <c r="E1245" s="8"/>
      <c r="F1245" s="8"/>
      <c r="G1245" s="8"/>
      <c r="H1245" s="8"/>
      <c r="I1245" s="23"/>
      <c r="J1245" s="24"/>
    </row>
    <row r="1246" customFormat="false" ht="15" hidden="false" customHeight="false" outlineLevel="0" collapsed="false">
      <c r="B1246" s="9" t="s">
        <v>184</v>
      </c>
      <c r="C1246" s="8" t="s">
        <v>112</v>
      </c>
      <c r="D1246" s="8"/>
      <c r="E1246" s="8"/>
      <c r="F1246" s="8"/>
      <c r="G1246" s="8"/>
      <c r="H1246" s="8"/>
      <c r="I1246" s="23"/>
      <c r="J1246" s="24"/>
    </row>
    <row r="1247" customFormat="false" ht="15" hidden="false" customHeight="false" outlineLevel="0" collapsed="false">
      <c r="B1247" s="25" t="s">
        <v>185</v>
      </c>
      <c r="C1247" s="26"/>
      <c r="D1247" s="26"/>
      <c r="E1247" s="26"/>
      <c r="F1247" s="26"/>
      <c r="G1247" s="26"/>
      <c r="H1247" s="26"/>
      <c r="I1247" s="26"/>
      <c r="J1247" s="26"/>
    </row>
    <row r="1248" customFormat="false" ht="15" hidden="false" customHeight="false" outlineLevel="0" collapsed="false">
      <c r="B1248" s="9" t="s">
        <v>186</v>
      </c>
      <c r="C1248" s="15" t="s">
        <v>29</v>
      </c>
      <c r="D1248" s="8" t="s">
        <v>122</v>
      </c>
      <c r="E1248" s="8" t="s">
        <v>122</v>
      </c>
      <c r="F1248" s="8" t="s">
        <v>122</v>
      </c>
      <c r="G1248" s="8" t="s">
        <v>122</v>
      </c>
      <c r="H1248" s="8" t="s">
        <v>122</v>
      </c>
      <c r="I1248" s="23"/>
      <c r="J1248" s="24"/>
    </row>
    <row r="1249" customFormat="false" ht="15" hidden="false" customHeight="false" outlineLevel="0" collapsed="false">
      <c r="B1249" s="9" t="s">
        <v>187</v>
      </c>
      <c r="C1249" s="15" t="s">
        <v>29</v>
      </c>
      <c r="D1249" s="8" t="s">
        <v>61</v>
      </c>
      <c r="E1249" s="8" t="s">
        <v>61</v>
      </c>
      <c r="F1249" s="8" t="s">
        <v>61</v>
      </c>
      <c r="G1249" s="8" t="s">
        <v>61</v>
      </c>
      <c r="H1249" s="8" t="s">
        <v>61</v>
      </c>
      <c r="I1249" s="23"/>
      <c r="J1249" s="24" t="s">
        <v>188</v>
      </c>
    </row>
    <row r="1250" customFormat="false" ht="15" hidden="false" customHeight="false" outlineLevel="0" collapsed="false">
      <c r="B1250" s="25" t="s">
        <v>124</v>
      </c>
      <c r="C1250" s="26"/>
      <c r="D1250" s="26"/>
      <c r="E1250" s="26"/>
      <c r="F1250" s="26"/>
      <c r="G1250" s="26"/>
      <c r="H1250" s="26"/>
      <c r="I1250" s="26"/>
      <c r="J1250" s="26"/>
    </row>
    <row r="1251" customFormat="false" ht="15" hidden="false" customHeight="false" outlineLevel="0" collapsed="false">
      <c r="B1251" s="9" t="s">
        <v>189</v>
      </c>
      <c r="C1251" s="15" t="s">
        <v>109</v>
      </c>
      <c r="D1251" s="29" t="str">
        <f aca="false">IF(ISNUMBER(D1240),PI()/4*(D1240*INDEX(LenF,MATCH($C$1240,LenU,0)))^2*N(D1241)*INDEX(LenF,MATCH($C$1241,LenU,0)),"")</f>
        <v/>
      </c>
      <c r="E1251" s="29" t="str">
        <f aca="false">IF(ISNUMBER(E1240),PI()/4*(E1240*INDEX(LenF,MATCH($C$1240,LenU,0)))^2*N(E1241)*INDEX(LenF,MATCH($C$1241,LenU,0)),"")</f>
        <v/>
      </c>
      <c r="F1251" s="29" t="str">
        <f aca="false">IF(ISNUMBER(F1240),PI()/4*(F1240*INDEX(LenF,MATCH($C$1240,LenU,0)))^2*N(F1241)*INDEX(LenF,MATCH($C$1241,LenU,0)),"")</f>
        <v/>
      </c>
      <c r="G1251" s="29" t="str">
        <f aca="false">IF(ISNUMBER(G1240),PI()/4*(G1240*INDEX(LenF,MATCH($C$1240,LenU,0)))^2*N(G1241)*INDEX(LenF,MATCH($C$1241,LenU,0)),"")</f>
        <v/>
      </c>
      <c r="H1251" s="29" t="str">
        <f aca="false">IF(ISNUMBER(H1240),PI()/4*(H1240*INDEX(LenF,MATCH($C$1240,LenU,0)))^2*N(H1241)*INDEX(LenF,MATCH($C$1241,LenU,0)),"")</f>
        <v/>
      </c>
      <c r="I1251" s="30" t="str">
        <f aca="false">IF(COUNT(D1251:H1251)=0,"",SUM(D1251:H1251))</f>
        <v/>
      </c>
      <c r="J1251" s="24"/>
    </row>
    <row r="1252" customFormat="false" ht="15" hidden="false" customHeight="false" outlineLevel="0" collapsed="false">
      <c r="B1252" s="9" t="s">
        <v>190</v>
      </c>
      <c r="C1252" s="15" t="s">
        <v>109</v>
      </c>
      <c r="D1252" s="29" t="str">
        <f aca="false">IF(ISNUMBER(D1240),IF(D1242="",0,IF(D1242="Conical",PI()/12*(D1240*INDEX(LenF,MATCH($C$1240,LenU,0)))^2*(N(D1243)*INDEX(LenF,MATCH($C$1243,LenU,0))),INDEX(HeadK,MATCH(D1242,HeadU,0))*(D1240*INDEX(LenF,MATCH($C$1240,LenU,0)))^3)),"")</f>
        <v/>
      </c>
      <c r="E1252" s="29" t="str">
        <f aca="false">IF(ISNUMBER(E1240),IF(E1242="",0,IF(E1242="Conical",PI()/12*(E1240*INDEX(LenF,MATCH($C$1240,LenU,0)))^2*(N(E1243)*INDEX(LenF,MATCH($C$1243,LenU,0))),INDEX(HeadK,MATCH(E1242,HeadU,0))*(E1240*INDEX(LenF,MATCH($C$1240,LenU,0)))^3)),"")</f>
        <v/>
      </c>
      <c r="F1252" s="29" t="str">
        <f aca="false">IF(ISNUMBER(F1240),IF(F1242="",0,IF(F1242="Conical",PI()/12*(F1240*INDEX(LenF,MATCH($C$1240,LenU,0)))^2*(N(F1243)*INDEX(LenF,MATCH($C$1243,LenU,0))),INDEX(HeadK,MATCH(F1242,HeadU,0))*(F1240*INDEX(LenF,MATCH($C$1240,LenU,0)))^3)),"")</f>
        <v/>
      </c>
      <c r="G1252" s="29" t="str">
        <f aca="false">IF(ISNUMBER(G1240),IF(G1242="",0,IF(G1242="Conical",PI()/12*(G1240*INDEX(LenF,MATCH($C$1240,LenU,0)))^2*(N(G1243)*INDEX(LenF,MATCH($C$1243,LenU,0))),INDEX(HeadK,MATCH(G1242,HeadU,0))*(G1240*INDEX(LenF,MATCH($C$1240,LenU,0)))^3)),"")</f>
        <v/>
      </c>
      <c r="H1252" s="29" t="str">
        <f aca="false">IF(ISNUMBER(H1240),IF(H1242="",0,IF(H1242="Conical",PI()/12*(H1240*INDEX(LenF,MATCH($C$1240,LenU,0)))^2*(N(H1243)*INDEX(LenF,MATCH($C$1243,LenU,0))),INDEX(HeadK,MATCH(H1242,HeadU,0))*(H1240*INDEX(LenF,MATCH($C$1240,LenU,0)))^3)),"")</f>
        <v/>
      </c>
      <c r="I1252" s="30" t="str">
        <f aca="false">IF(COUNT(D1252:H1252)=0,"",SUM(D1252:H1252))</f>
        <v/>
      </c>
      <c r="J1252" s="24"/>
    </row>
    <row r="1253" customFormat="false" ht="15" hidden="false" customHeight="false" outlineLevel="0" collapsed="false">
      <c r="B1253" s="9" t="s">
        <v>191</v>
      </c>
      <c r="C1253" s="15" t="s">
        <v>109</v>
      </c>
      <c r="D1253" s="29" t="str">
        <f aca="false">IF(ISNUMBER(D1240),IF(D1244="",0,IF(D1244="Conical",PI()/12*(D1240*INDEX(LenF,MATCH($C$1240,LenU,0)))^2*(N(D1245)*INDEX(LenF,MATCH($C$1245,LenU,0))),INDEX(HeadK,MATCH(D1244,HeadU,0))*(D1240*INDEX(LenF,MATCH($C$1240,LenU,0)))^3)),"")</f>
        <v/>
      </c>
      <c r="E1253" s="29" t="str">
        <f aca="false">IF(ISNUMBER(E1240),IF(E1244="",0,IF(E1244="Conical",PI()/12*(E1240*INDEX(LenF,MATCH($C$1240,LenU,0)))^2*(N(E1245)*INDEX(LenF,MATCH($C$1245,LenU,0))),INDEX(HeadK,MATCH(E1244,HeadU,0))*(E1240*INDEX(LenF,MATCH($C$1240,LenU,0)))^3)),"")</f>
        <v/>
      </c>
      <c r="F1253" s="29" t="str">
        <f aca="false">IF(ISNUMBER(F1240),IF(F1244="",0,IF(F1244="Conical",PI()/12*(F1240*INDEX(LenF,MATCH($C$1240,LenU,0)))^2*(N(F1245)*INDEX(LenF,MATCH($C$1245,LenU,0))),INDEX(HeadK,MATCH(F1244,HeadU,0))*(F1240*INDEX(LenF,MATCH($C$1240,LenU,0)))^3)),"")</f>
        <v/>
      </c>
      <c r="G1253" s="29" t="str">
        <f aca="false">IF(ISNUMBER(G1240),IF(G1244="",0,IF(G1244="Conical",PI()/12*(G1240*INDEX(LenF,MATCH($C$1240,LenU,0)))^2*(N(G1245)*INDEX(LenF,MATCH($C$1245,LenU,0))),INDEX(HeadK,MATCH(G1244,HeadU,0))*(G1240*INDEX(LenF,MATCH($C$1240,LenU,0)))^3)),"")</f>
        <v/>
      </c>
      <c r="H1253" s="29" t="str">
        <f aca="false">IF(ISNUMBER(H1240),IF(H1244="",0,IF(H1244="Conical",PI()/12*(H1240*INDEX(LenF,MATCH($C$1240,LenU,0)))^2*(N(H1245)*INDEX(LenF,MATCH($C$1245,LenU,0))),INDEX(HeadK,MATCH(H1244,HeadU,0))*(H1240*INDEX(LenF,MATCH($C$1240,LenU,0)))^3)),"")</f>
        <v/>
      </c>
      <c r="I1253" s="30" t="str">
        <f aca="false">IF(COUNT(D1253:H1253)=0,"",SUM(D1253:H1253))</f>
        <v/>
      </c>
      <c r="J1253" s="24"/>
    </row>
    <row r="1254" customFormat="false" ht="15" hidden="false" customHeight="false" outlineLevel="0" collapsed="false">
      <c r="B1254" s="9" t="s">
        <v>192</v>
      </c>
      <c r="C1254" s="15" t="s">
        <v>109</v>
      </c>
      <c r="D1254" s="29" t="str">
        <f aca="false">IF(ISNUMBER(D1240),D1251+D1252+D1253,"")</f>
        <v/>
      </c>
      <c r="E1254" s="29" t="str">
        <f aca="false">IF(ISNUMBER(E1240),E1251+E1252+E1253,"")</f>
        <v/>
      </c>
      <c r="F1254" s="29" t="str">
        <f aca="false">IF(ISNUMBER(F1240),F1251+F1252+F1253,"")</f>
        <v/>
      </c>
      <c r="G1254" s="29" t="str">
        <f aca="false">IF(ISNUMBER(G1240),G1251+G1252+G1253,"")</f>
        <v/>
      </c>
      <c r="H1254" s="29" t="str">
        <f aca="false">IF(ISNUMBER(H1240),H1251+H1252+H1253,"")</f>
        <v/>
      </c>
      <c r="I1254" s="30" t="str">
        <f aca="false">IF(COUNT(D1254:H1254)=0,"",SUM(D1254:H1254))</f>
        <v/>
      </c>
      <c r="J1254" s="24"/>
    </row>
    <row r="1255" customFormat="false" ht="15" hidden="false" customHeight="false" outlineLevel="0" collapsed="false">
      <c r="B1255" s="9" t="s">
        <v>193</v>
      </c>
      <c r="C1255" s="15" t="s">
        <v>109</v>
      </c>
      <c r="D1255" s="29" t="str">
        <f aca="false">IF(ISNUMBER(D1246),D1246*INDEX(WtF,MATCH($C$1246,WtU,0))/WaterRho,"")</f>
        <v/>
      </c>
      <c r="E1255" s="29" t="str">
        <f aca="false">IF(ISNUMBER(E1246),E1246*INDEX(WtF,MATCH($C$1246,WtU,0))/WaterRho,"")</f>
        <v/>
      </c>
      <c r="F1255" s="29" t="str">
        <f aca="false">IF(ISNUMBER(F1246),F1246*INDEX(WtF,MATCH($C$1246,WtU,0))/WaterRho,"")</f>
        <v/>
      </c>
      <c r="G1255" s="29" t="str">
        <f aca="false">IF(ISNUMBER(G1246),G1246*INDEX(WtF,MATCH($C$1246,WtU,0))/WaterRho,"")</f>
        <v/>
      </c>
      <c r="H1255" s="29" t="str">
        <f aca="false">IF(ISNUMBER(H1246),H1246*INDEX(WtF,MATCH($C$1246,WtU,0))/WaterRho,"")</f>
        <v/>
      </c>
      <c r="I1255" s="30" t="str">
        <f aca="false">IF(COUNT(D1255:H1255)=0,"",SUM(D1255:H1255))</f>
        <v/>
      </c>
      <c r="J1255" s="24"/>
    </row>
    <row r="1256" customFormat="false" ht="15" hidden="false" customHeight="false" outlineLevel="0" collapsed="false">
      <c r="B1256" s="4" t="s">
        <v>194</v>
      </c>
      <c r="C1256" s="15" t="s">
        <v>109</v>
      </c>
      <c r="D1256" s="31" t="str">
        <f aca="false">IF(D1248="Water weight",D1255,D1254)</f>
        <v/>
      </c>
      <c r="E1256" s="31" t="str">
        <f aca="false">IF(E1248="Water weight",E1255,E1254)</f>
        <v/>
      </c>
      <c r="F1256" s="31" t="str">
        <f aca="false">IF(F1248="Water weight",F1255,F1254)</f>
        <v/>
      </c>
      <c r="G1256" s="31" t="str">
        <f aca="false">IF(G1248="Water weight",G1255,G1254)</f>
        <v/>
      </c>
      <c r="H1256" s="31" t="str">
        <f aca="false">IF(H1248="Water weight",H1255,H1254)</f>
        <v/>
      </c>
      <c r="I1256" s="31" t="str">
        <f aca="false">IF(COUNT(D1256:H1256)=0,"",SUM(D1256:H1256))</f>
        <v/>
      </c>
      <c r="J1256" s="24"/>
      <c r="K1256" s="32" t="s">
        <v>195</v>
      </c>
      <c r="L1256" s="32" t="n">
        <f aca="false">D1238</f>
        <v>0</v>
      </c>
      <c r="M1256" s="32" t="n">
        <f aca="false">E1238</f>
        <v>0</v>
      </c>
      <c r="N1256" s="32" t="n">
        <f aca="false">F1238</f>
        <v>0</v>
      </c>
      <c r="O1256" s="32" t="n">
        <f aca="false">G1238</f>
        <v>0</v>
      </c>
      <c r="P1256" s="32" t="n">
        <f aca="false">H1238</f>
        <v>0</v>
      </c>
    </row>
    <row r="1257" customFormat="false" ht="36" hidden="false" customHeight="true" outlineLevel="0" collapsed="false">
      <c r="B1257" s="9" t="s">
        <v>196</v>
      </c>
      <c r="C1257" s="15" t="s">
        <v>29</v>
      </c>
      <c r="D1257" s="39" t="str">
        <f aca="false">IF(D1256="","",IF(JobType="Chemical Cleaning",D1249,IFERROR(INDEX(DecMeth,MATCH(D1238,DecTypeU,0)),"⚠ select equipment type")))</f>
        <v/>
      </c>
      <c r="E1257" s="39" t="str">
        <f aca="false">IF(E1256="","",IF(JobType="Chemical Cleaning",E1249,IFERROR(INDEX(DecMeth,MATCH(E1238,DecTypeU,0)),"⚠ select equipment type")))</f>
        <v/>
      </c>
      <c r="F1257" s="39" t="str">
        <f aca="false">IF(F1256="","",IF(JobType="Chemical Cleaning",F1249,IFERROR(INDEX(DecMeth,MATCH(F1238,DecTypeU,0)),"⚠ select equipment type")))</f>
        <v/>
      </c>
      <c r="G1257" s="39" t="str">
        <f aca="false">IF(G1256="","",IF(JobType="Chemical Cleaning",G1249,IFERROR(INDEX(DecMeth,MATCH(G1238,DecTypeU,0)),"⚠ select equipment type")))</f>
        <v/>
      </c>
      <c r="H1257" s="39" t="str">
        <f aca="false">IF(H1256="","",IF(JobType="Chemical Cleaning",H1249,IFERROR(INDEX(DecMeth,MATCH(H1238,DecTypeU,0)),"⚠ select equipment type")))</f>
        <v/>
      </c>
      <c r="I1257" s="40"/>
      <c r="J1257" s="24"/>
    </row>
    <row r="1258" customFormat="false" ht="15" hidden="false" customHeight="false" outlineLevel="0" collapsed="false">
      <c r="B1258" s="9" t="s">
        <v>60</v>
      </c>
      <c r="C1258" s="15" t="s">
        <v>146</v>
      </c>
      <c r="D1258" s="35" t="str">
        <f aca="false">IF(D1256="","",IF(JobType="Chemical Cleaning",IFERROR(INDEX(CCMethPct,MATCH(D1249,CCMethU,0)),""),IFERROR(INDEX(DecFill,MATCH(D1238,DecTypeU,0)),"")))</f>
        <v/>
      </c>
      <c r="E1258" s="35" t="str">
        <f aca="false">IF(E1256="","",IF(JobType="Chemical Cleaning",IFERROR(INDEX(CCMethPct,MATCH(E1249,CCMethU,0)),""),IFERROR(INDEX(DecFill,MATCH(E1238,DecTypeU,0)),"")))</f>
        <v/>
      </c>
      <c r="F1258" s="35" t="str">
        <f aca="false">IF(F1256="","",IF(JobType="Chemical Cleaning",IFERROR(INDEX(CCMethPct,MATCH(F1249,CCMethU,0)),""),IFERROR(INDEX(DecFill,MATCH(F1238,DecTypeU,0)),"")))</f>
        <v/>
      </c>
      <c r="G1258" s="35" t="str">
        <f aca="false">IF(G1256="","",IF(JobType="Chemical Cleaning",IFERROR(INDEX(CCMethPct,MATCH(G1249,CCMethU,0)),""),IFERROR(INDEX(DecFill,MATCH(G1238,DecTypeU,0)),"")))</f>
        <v/>
      </c>
      <c r="H1258" s="35" t="str">
        <f aca="false">IF(H1256="","",IF(JobType="Chemical Cleaning",IFERROR(INDEX(CCMethPct,MATCH(H1249,CCMethU,0)),""),IFERROR(INDEX(DecFill,MATCH(H1238,DecTypeU,0)),"")))</f>
        <v/>
      </c>
      <c r="I1258" s="36"/>
      <c r="J1258" s="24" t="s">
        <v>197</v>
      </c>
    </row>
    <row r="1259" customFormat="false" ht="15" hidden="false" customHeight="false" outlineLevel="0" collapsed="false">
      <c r="B1259" s="4" t="s">
        <v>148</v>
      </c>
      <c r="C1259" s="15" t="s">
        <v>109</v>
      </c>
      <c r="D1259" s="31" t="str">
        <f aca="false">IF(OR(D1256="",D1258=""),"",D1256*D1258)</f>
        <v/>
      </c>
      <c r="E1259" s="31" t="str">
        <f aca="false">IF(OR(E1256="",E1258=""),"",E1256*E1258)</f>
        <v/>
      </c>
      <c r="F1259" s="31" t="str">
        <f aca="false">IF(OR(F1256="",F1258=""),"",F1256*F1258)</f>
        <v/>
      </c>
      <c r="G1259" s="31" t="str">
        <f aca="false">IF(OR(G1256="",G1258=""),"",G1256*G1258)</f>
        <v/>
      </c>
      <c r="H1259" s="31" t="str">
        <f aca="false">IF(OR(H1256="",H1258=""),"",H1256*H1258)</f>
        <v/>
      </c>
      <c r="I1259" s="31" t="str">
        <f aca="false">IF(COUNT(D1259:H1259)=0,"",SUM(D1259:H1259))</f>
        <v/>
      </c>
      <c r="J1259" s="24"/>
      <c r="K1259" s="32" t="s">
        <v>198</v>
      </c>
      <c r="L1259" s="32" t="n">
        <f aca="false">D1238</f>
        <v>0</v>
      </c>
      <c r="M1259" s="32" t="n">
        <f aca="false">E1238</f>
        <v>0</v>
      </c>
      <c r="N1259" s="32" t="n">
        <f aca="false">F1238</f>
        <v>0</v>
      </c>
      <c r="O1259" s="32" t="n">
        <f aca="false">G1238</f>
        <v>0</v>
      </c>
      <c r="P1259" s="32" t="n">
        <f aca="false">H1238</f>
        <v>0</v>
      </c>
    </row>
    <row r="1260" customFormat="false" ht="15" hidden="false" customHeight="false" outlineLevel="0" collapsed="false">
      <c r="B1260" s="9" t="s">
        <v>150</v>
      </c>
      <c r="C1260" s="15" t="s">
        <v>32</v>
      </c>
      <c r="D1260" s="37" t="str">
        <f aca="false">IF(OR(JobType&lt;&gt;"Decontamination",D1259=""),"",IFERROR(D1259*INDEX(DecChem,MATCH(D1238,DecTypeU,0))*1000,""))</f>
        <v/>
      </c>
      <c r="E1260" s="37" t="str">
        <f aca="false">IF(OR(JobType&lt;&gt;"Decontamination",E1259=""),"",IFERROR(E1259*INDEX(DecChem,MATCH(E1238,DecTypeU,0))*1000,""))</f>
        <v/>
      </c>
      <c r="F1260" s="37" t="str">
        <f aca="false">IF(OR(JobType&lt;&gt;"Decontamination",F1259=""),"",IFERROR(F1259*INDEX(DecChem,MATCH(F1238,DecTypeU,0))*1000,""))</f>
        <v/>
      </c>
      <c r="G1260" s="37" t="str">
        <f aca="false">IF(OR(JobType&lt;&gt;"Decontamination",G1259=""),"",IFERROR(G1259*INDEX(DecChem,MATCH(G1238,DecTypeU,0))*1000,""))</f>
        <v/>
      </c>
      <c r="H1260" s="37" t="str">
        <f aca="false">IF(OR(JobType&lt;&gt;"Decontamination",H1259=""),"",IFERROR(H1259*INDEX(DecChem,MATCH(H1238,DecTypeU,0))*1000,""))</f>
        <v/>
      </c>
      <c r="I1260" s="38" t="str">
        <f aca="false">IF(COUNT(D1260:H1260)=0,"",SUM(D1260:H1260))</f>
        <v/>
      </c>
      <c r="J1260" s="24" t="s">
        <v>199</v>
      </c>
      <c r="K1260" s="32" t="s">
        <v>200</v>
      </c>
      <c r="L1260" s="32" t="n">
        <f aca="false">D1238</f>
        <v>0</v>
      </c>
      <c r="M1260" s="32" t="n">
        <f aca="false">E1238</f>
        <v>0</v>
      </c>
      <c r="N1260" s="32" t="n">
        <f aca="false">F1238</f>
        <v>0</v>
      </c>
      <c r="O1260" s="32" t="n">
        <f aca="false">G1238</f>
        <v>0</v>
      </c>
      <c r="P1260" s="32" t="n">
        <f aca="false">H1238</f>
        <v>0</v>
      </c>
    </row>
    <row r="1262" customFormat="false" ht="15" hidden="false" customHeight="false" outlineLevel="0" collapsed="false">
      <c r="A1262" s="20" t="n">
        <v>14</v>
      </c>
      <c r="B1262" s="21" t="s">
        <v>213</v>
      </c>
      <c r="C1262" s="22"/>
      <c r="D1262" s="22"/>
      <c r="E1262" s="22"/>
      <c r="F1262" s="22"/>
      <c r="G1262" s="22"/>
      <c r="H1262" s="22"/>
      <c r="I1262" s="22"/>
      <c r="J1262" s="22"/>
    </row>
    <row r="1263" customFormat="false" ht="15" hidden="false" customHeight="false" outlineLevel="0" collapsed="false">
      <c r="B1263" s="9" t="s">
        <v>83</v>
      </c>
      <c r="C1263" s="15" t="s">
        <v>29</v>
      </c>
      <c r="D1263" s="8"/>
      <c r="E1263" s="8"/>
      <c r="F1263" s="8"/>
      <c r="G1263" s="8"/>
      <c r="H1263" s="8"/>
      <c r="I1263" s="23"/>
      <c r="J1263" s="24"/>
    </row>
    <row r="1264" customFormat="false" ht="15" hidden="false" customHeight="false" outlineLevel="0" collapsed="false">
      <c r="B1264" s="9" t="s">
        <v>86</v>
      </c>
      <c r="C1264" s="15" t="s">
        <v>29</v>
      </c>
      <c r="D1264" s="8"/>
      <c r="E1264" s="8"/>
      <c r="F1264" s="8"/>
      <c r="G1264" s="8"/>
      <c r="H1264" s="8"/>
      <c r="I1264" s="23"/>
      <c r="J1264" s="24"/>
    </row>
    <row r="1265" customFormat="false" ht="15" hidden="false" customHeight="false" outlineLevel="0" collapsed="false">
      <c r="B1265" s="9" t="s">
        <v>175</v>
      </c>
      <c r="C1265" s="15" t="s">
        <v>29</v>
      </c>
      <c r="D1265" s="8"/>
      <c r="E1265" s="8"/>
      <c r="F1265" s="8"/>
      <c r="G1265" s="8"/>
      <c r="H1265" s="8"/>
      <c r="I1265" s="23"/>
      <c r="J1265" s="24" t="s">
        <v>176</v>
      </c>
    </row>
    <row r="1266" customFormat="false" ht="15" hidden="false" customHeight="false" outlineLevel="0" collapsed="false">
      <c r="B1266" s="25" t="s">
        <v>177</v>
      </c>
      <c r="C1266" s="26"/>
      <c r="D1266" s="26"/>
      <c r="E1266" s="26"/>
      <c r="F1266" s="26"/>
      <c r="G1266" s="26"/>
      <c r="H1266" s="26"/>
      <c r="I1266" s="26"/>
      <c r="J1266" s="26"/>
    </row>
    <row r="1267" customFormat="false" ht="15" hidden="false" customHeight="false" outlineLevel="0" collapsed="false">
      <c r="B1267" s="9" t="s">
        <v>178</v>
      </c>
      <c r="C1267" s="8" t="s">
        <v>92</v>
      </c>
      <c r="D1267" s="8"/>
      <c r="E1267" s="8"/>
      <c r="F1267" s="8"/>
      <c r="G1267" s="8"/>
      <c r="H1267" s="8"/>
      <c r="I1267" s="23"/>
      <c r="J1267" s="24"/>
    </row>
    <row r="1268" customFormat="false" ht="15" hidden="false" customHeight="false" outlineLevel="0" collapsed="false">
      <c r="B1268" s="9" t="s">
        <v>179</v>
      </c>
      <c r="C1268" s="8" t="s">
        <v>92</v>
      </c>
      <c r="D1268" s="8"/>
      <c r="E1268" s="8"/>
      <c r="F1268" s="8"/>
      <c r="G1268" s="8"/>
      <c r="H1268" s="8"/>
      <c r="I1268" s="23"/>
      <c r="J1268" s="24"/>
    </row>
    <row r="1269" customFormat="false" ht="15" hidden="false" customHeight="false" outlineLevel="0" collapsed="false">
      <c r="B1269" s="9" t="s">
        <v>180</v>
      </c>
      <c r="C1269" s="15" t="s">
        <v>29</v>
      </c>
      <c r="D1269" s="8"/>
      <c r="E1269" s="8"/>
      <c r="F1269" s="8"/>
      <c r="G1269" s="8"/>
      <c r="H1269" s="8"/>
      <c r="I1269" s="23"/>
      <c r="J1269" s="24"/>
    </row>
    <row r="1270" customFormat="false" ht="15" hidden="false" customHeight="false" outlineLevel="0" collapsed="false">
      <c r="B1270" s="9" t="s">
        <v>181</v>
      </c>
      <c r="C1270" s="8" t="s">
        <v>92</v>
      </c>
      <c r="D1270" s="8"/>
      <c r="E1270" s="8"/>
      <c r="F1270" s="8"/>
      <c r="G1270" s="8"/>
      <c r="H1270" s="8"/>
      <c r="I1270" s="23"/>
      <c r="J1270" s="24"/>
    </row>
    <row r="1271" customFormat="false" ht="15" hidden="false" customHeight="false" outlineLevel="0" collapsed="false">
      <c r="B1271" s="9" t="s">
        <v>182</v>
      </c>
      <c r="C1271" s="15" t="s">
        <v>29</v>
      </c>
      <c r="D1271" s="8"/>
      <c r="E1271" s="8"/>
      <c r="F1271" s="8"/>
      <c r="G1271" s="8"/>
      <c r="H1271" s="8"/>
      <c r="I1271" s="23"/>
      <c r="J1271" s="24"/>
    </row>
    <row r="1272" customFormat="false" ht="15" hidden="false" customHeight="false" outlineLevel="0" collapsed="false">
      <c r="B1272" s="9" t="s">
        <v>183</v>
      </c>
      <c r="C1272" s="8" t="s">
        <v>92</v>
      </c>
      <c r="D1272" s="8"/>
      <c r="E1272" s="8"/>
      <c r="F1272" s="8"/>
      <c r="G1272" s="8"/>
      <c r="H1272" s="8"/>
      <c r="I1272" s="23"/>
      <c r="J1272" s="24"/>
    </row>
    <row r="1273" customFormat="false" ht="15" hidden="false" customHeight="false" outlineLevel="0" collapsed="false">
      <c r="B1273" s="9" t="s">
        <v>184</v>
      </c>
      <c r="C1273" s="8" t="s">
        <v>112</v>
      </c>
      <c r="D1273" s="8"/>
      <c r="E1273" s="8"/>
      <c r="F1273" s="8"/>
      <c r="G1273" s="8"/>
      <c r="H1273" s="8"/>
      <c r="I1273" s="23"/>
      <c r="J1273" s="24"/>
    </row>
    <row r="1274" customFormat="false" ht="15" hidden="false" customHeight="false" outlineLevel="0" collapsed="false">
      <c r="B1274" s="25" t="s">
        <v>185</v>
      </c>
      <c r="C1274" s="26"/>
      <c r="D1274" s="26"/>
      <c r="E1274" s="26"/>
      <c r="F1274" s="26"/>
      <c r="G1274" s="26"/>
      <c r="H1274" s="26"/>
      <c r="I1274" s="26"/>
      <c r="J1274" s="26"/>
    </row>
    <row r="1275" customFormat="false" ht="15" hidden="false" customHeight="false" outlineLevel="0" collapsed="false">
      <c r="B1275" s="9" t="s">
        <v>186</v>
      </c>
      <c r="C1275" s="15" t="s">
        <v>29</v>
      </c>
      <c r="D1275" s="8" t="s">
        <v>122</v>
      </c>
      <c r="E1275" s="8" t="s">
        <v>122</v>
      </c>
      <c r="F1275" s="8" t="s">
        <v>122</v>
      </c>
      <c r="G1275" s="8" t="s">
        <v>122</v>
      </c>
      <c r="H1275" s="8" t="s">
        <v>122</v>
      </c>
      <c r="I1275" s="23"/>
      <c r="J1275" s="24"/>
    </row>
    <row r="1276" customFormat="false" ht="15" hidden="false" customHeight="false" outlineLevel="0" collapsed="false">
      <c r="B1276" s="9" t="s">
        <v>187</v>
      </c>
      <c r="C1276" s="15" t="s">
        <v>29</v>
      </c>
      <c r="D1276" s="8" t="s">
        <v>61</v>
      </c>
      <c r="E1276" s="8" t="s">
        <v>61</v>
      </c>
      <c r="F1276" s="8" t="s">
        <v>61</v>
      </c>
      <c r="G1276" s="8" t="s">
        <v>61</v>
      </c>
      <c r="H1276" s="8" t="s">
        <v>61</v>
      </c>
      <c r="I1276" s="23"/>
      <c r="J1276" s="24" t="s">
        <v>188</v>
      </c>
    </row>
    <row r="1277" customFormat="false" ht="15" hidden="false" customHeight="false" outlineLevel="0" collapsed="false">
      <c r="B1277" s="25" t="s">
        <v>124</v>
      </c>
      <c r="C1277" s="26"/>
      <c r="D1277" s="26"/>
      <c r="E1277" s="26"/>
      <c r="F1277" s="26"/>
      <c r="G1277" s="26"/>
      <c r="H1277" s="26"/>
      <c r="I1277" s="26"/>
      <c r="J1277" s="26"/>
    </row>
    <row r="1278" customFormat="false" ht="15" hidden="false" customHeight="false" outlineLevel="0" collapsed="false">
      <c r="B1278" s="9" t="s">
        <v>189</v>
      </c>
      <c r="C1278" s="15" t="s">
        <v>109</v>
      </c>
      <c r="D1278" s="29" t="str">
        <f aca="false">IF(ISNUMBER(D1267),PI()/4*(D1267*INDEX(LenF,MATCH($C$1267,LenU,0)))^2*N(D1268)*INDEX(LenF,MATCH($C$1268,LenU,0)),"")</f>
        <v/>
      </c>
      <c r="E1278" s="29" t="str">
        <f aca="false">IF(ISNUMBER(E1267),PI()/4*(E1267*INDEX(LenF,MATCH($C$1267,LenU,0)))^2*N(E1268)*INDEX(LenF,MATCH($C$1268,LenU,0)),"")</f>
        <v/>
      </c>
      <c r="F1278" s="29" t="str">
        <f aca="false">IF(ISNUMBER(F1267),PI()/4*(F1267*INDEX(LenF,MATCH($C$1267,LenU,0)))^2*N(F1268)*INDEX(LenF,MATCH($C$1268,LenU,0)),"")</f>
        <v/>
      </c>
      <c r="G1278" s="29" t="str">
        <f aca="false">IF(ISNUMBER(G1267),PI()/4*(G1267*INDEX(LenF,MATCH($C$1267,LenU,0)))^2*N(G1268)*INDEX(LenF,MATCH($C$1268,LenU,0)),"")</f>
        <v/>
      </c>
      <c r="H1278" s="29" t="str">
        <f aca="false">IF(ISNUMBER(H1267),PI()/4*(H1267*INDEX(LenF,MATCH($C$1267,LenU,0)))^2*N(H1268)*INDEX(LenF,MATCH($C$1268,LenU,0)),"")</f>
        <v/>
      </c>
      <c r="I1278" s="30" t="str">
        <f aca="false">IF(COUNT(D1278:H1278)=0,"",SUM(D1278:H1278))</f>
        <v/>
      </c>
      <c r="J1278" s="24"/>
    </row>
    <row r="1279" customFormat="false" ht="15" hidden="false" customHeight="false" outlineLevel="0" collapsed="false">
      <c r="B1279" s="9" t="s">
        <v>190</v>
      </c>
      <c r="C1279" s="15" t="s">
        <v>109</v>
      </c>
      <c r="D1279" s="29" t="str">
        <f aca="false">IF(ISNUMBER(D1267),IF(D1269="",0,IF(D1269="Conical",PI()/12*(D1267*INDEX(LenF,MATCH($C$1267,LenU,0)))^2*(N(D1270)*INDEX(LenF,MATCH($C$1270,LenU,0))),INDEX(HeadK,MATCH(D1269,HeadU,0))*(D1267*INDEX(LenF,MATCH($C$1267,LenU,0)))^3)),"")</f>
        <v/>
      </c>
      <c r="E1279" s="29" t="str">
        <f aca="false">IF(ISNUMBER(E1267),IF(E1269="",0,IF(E1269="Conical",PI()/12*(E1267*INDEX(LenF,MATCH($C$1267,LenU,0)))^2*(N(E1270)*INDEX(LenF,MATCH($C$1270,LenU,0))),INDEX(HeadK,MATCH(E1269,HeadU,0))*(E1267*INDEX(LenF,MATCH($C$1267,LenU,0)))^3)),"")</f>
        <v/>
      </c>
      <c r="F1279" s="29" t="str">
        <f aca="false">IF(ISNUMBER(F1267),IF(F1269="",0,IF(F1269="Conical",PI()/12*(F1267*INDEX(LenF,MATCH($C$1267,LenU,0)))^2*(N(F1270)*INDEX(LenF,MATCH($C$1270,LenU,0))),INDEX(HeadK,MATCH(F1269,HeadU,0))*(F1267*INDEX(LenF,MATCH($C$1267,LenU,0)))^3)),"")</f>
        <v/>
      </c>
      <c r="G1279" s="29" t="str">
        <f aca="false">IF(ISNUMBER(G1267),IF(G1269="",0,IF(G1269="Conical",PI()/12*(G1267*INDEX(LenF,MATCH($C$1267,LenU,0)))^2*(N(G1270)*INDEX(LenF,MATCH($C$1270,LenU,0))),INDEX(HeadK,MATCH(G1269,HeadU,0))*(G1267*INDEX(LenF,MATCH($C$1267,LenU,0)))^3)),"")</f>
        <v/>
      </c>
      <c r="H1279" s="29" t="str">
        <f aca="false">IF(ISNUMBER(H1267),IF(H1269="",0,IF(H1269="Conical",PI()/12*(H1267*INDEX(LenF,MATCH($C$1267,LenU,0)))^2*(N(H1270)*INDEX(LenF,MATCH($C$1270,LenU,0))),INDEX(HeadK,MATCH(H1269,HeadU,0))*(H1267*INDEX(LenF,MATCH($C$1267,LenU,0)))^3)),"")</f>
        <v/>
      </c>
      <c r="I1279" s="30" t="str">
        <f aca="false">IF(COUNT(D1279:H1279)=0,"",SUM(D1279:H1279))</f>
        <v/>
      </c>
      <c r="J1279" s="24"/>
    </row>
    <row r="1280" customFormat="false" ht="15" hidden="false" customHeight="false" outlineLevel="0" collapsed="false">
      <c r="B1280" s="9" t="s">
        <v>191</v>
      </c>
      <c r="C1280" s="15" t="s">
        <v>109</v>
      </c>
      <c r="D1280" s="29" t="str">
        <f aca="false">IF(ISNUMBER(D1267),IF(D1271="",0,IF(D1271="Conical",PI()/12*(D1267*INDEX(LenF,MATCH($C$1267,LenU,0)))^2*(N(D1272)*INDEX(LenF,MATCH($C$1272,LenU,0))),INDEX(HeadK,MATCH(D1271,HeadU,0))*(D1267*INDEX(LenF,MATCH($C$1267,LenU,0)))^3)),"")</f>
        <v/>
      </c>
      <c r="E1280" s="29" t="str">
        <f aca="false">IF(ISNUMBER(E1267),IF(E1271="",0,IF(E1271="Conical",PI()/12*(E1267*INDEX(LenF,MATCH($C$1267,LenU,0)))^2*(N(E1272)*INDEX(LenF,MATCH($C$1272,LenU,0))),INDEX(HeadK,MATCH(E1271,HeadU,0))*(E1267*INDEX(LenF,MATCH($C$1267,LenU,0)))^3)),"")</f>
        <v/>
      </c>
      <c r="F1280" s="29" t="str">
        <f aca="false">IF(ISNUMBER(F1267),IF(F1271="",0,IF(F1271="Conical",PI()/12*(F1267*INDEX(LenF,MATCH($C$1267,LenU,0)))^2*(N(F1272)*INDEX(LenF,MATCH($C$1272,LenU,0))),INDEX(HeadK,MATCH(F1271,HeadU,0))*(F1267*INDEX(LenF,MATCH($C$1267,LenU,0)))^3)),"")</f>
        <v/>
      </c>
      <c r="G1280" s="29" t="str">
        <f aca="false">IF(ISNUMBER(G1267),IF(G1271="",0,IF(G1271="Conical",PI()/12*(G1267*INDEX(LenF,MATCH($C$1267,LenU,0)))^2*(N(G1272)*INDEX(LenF,MATCH($C$1272,LenU,0))),INDEX(HeadK,MATCH(G1271,HeadU,0))*(G1267*INDEX(LenF,MATCH($C$1267,LenU,0)))^3)),"")</f>
        <v/>
      </c>
      <c r="H1280" s="29" t="str">
        <f aca="false">IF(ISNUMBER(H1267),IF(H1271="",0,IF(H1271="Conical",PI()/12*(H1267*INDEX(LenF,MATCH($C$1267,LenU,0)))^2*(N(H1272)*INDEX(LenF,MATCH($C$1272,LenU,0))),INDEX(HeadK,MATCH(H1271,HeadU,0))*(H1267*INDEX(LenF,MATCH($C$1267,LenU,0)))^3)),"")</f>
        <v/>
      </c>
      <c r="I1280" s="30" t="str">
        <f aca="false">IF(COUNT(D1280:H1280)=0,"",SUM(D1280:H1280))</f>
        <v/>
      </c>
      <c r="J1280" s="24"/>
    </row>
    <row r="1281" customFormat="false" ht="15" hidden="false" customHeight="false" outlineLevel="0" collapsed="false">
      <c r="B1281" s="9" t="s">
        <v>192</v>
      </c>
      <c r="C1281" s="15" t="s">
        <v>109</v>
      </c>
      <c r="D1281" s="29" t="str">
        <f aca="false">IF(ISNUMBER(D1267),D1278+D1279+D1280,"")</f>
        <v/>
      </c>
      <c r="E1281" s="29" t="str">
        <f aca="false">IF(ISNUMBER(E1267),E1278+E1279+E1280,"")</f>
        <v/>
      </c>
      <c r="F1281" s="29" t="str">
        <f aca="false">IF(ISNUMBER(F1267),F1278+F1279+F1280,"")</f>
        <v/>
      </c>
      <c r="G1281" s="29" t="str">
        <f aca="false">IF(ISNUMBER(G1267),G1278+G1279+G1280,"")</f>
        <v/>
      </c>
      <c r="H1281" s="29" t="str">
        <f aca="false">IF(ISNUMBER(H1267),H1278+H1279+H1280,"")</f>
        <v/>
      </c>
      <c r="I1281" s="30" t="str">
        <f aca="false">IF(COUNT(D1281:H1281)=0,"",SUM(D1281:H1281))</f>
        <v/>
      </c>
      <c r="J1281" s="24"/>
    </row>
    <row r="1282" customFormat="false" ht="15" hidden="false" customHeight="false" outlineLevel="0" collapsed="false">
      <c r="B1282" s="9" t="s">
        <v>193</v>
      </c>
      <c r="C1282" s="15" t="s">
        <v>109</v>
      </c>
      <c r="D1282" s="29" t="str">
        <f aca="false">IF(ISNUMBER(D1273),D1273*INDEX(WtF,MATCH($C$1273,WtU,0))/WaterRho,"")</f>
        <v/>
      </c>
      <c r="E1282" s="29" t="str">
        <f aca="false">IF(ISNUMBER(E1273),E1273*INDEX(WtF,MATCH($C$1273,WtU,0))/WaterRho,"")</f>
        <v/>
      </c>
      <c r="F1282" s="29" t="str">
        <f aca="false">IF(ISNUMBER(F1273),F1273*INDEX(WtF,MATCH($C$1273,WtU,0))/WaterRho,"")</f>
        <v/>
      </c>
      <c r="G1282" s="29" t="str">
        <f aca="false">IF(ISNUMBER(G1273),G1273*INDEX(WtF,MATCH($C$1273,WtU,0))/WaterRho,"")</f>
        <v/>
      </c>
      <c r="H1282" s="29" t="str">
        <f aca="false">IF(ISNUMBER(H1273),H1273*INDEX(WtF,MATCH($C$1273,WtU,0))/WaterRho,"")</f>
        <v/>
      </c>
      <c r="I1282" s="30" t="str">
        <f aca="false">IF(COUNT(D1282:H1282)=0,"",SUM(D1282:H1282))</f>
        <v/>
      </c>
      <c r="J1282" s="24"/>
    </row>
    <row r="1283" customFormat="false" ht="15" hidden="false" customHeight="false" outlineLevel="0" collapsed="false">
      <c r="B1283" s="4" t="s">
        <v>194</v>
      </c>
      <c r="C1283" s="15" t="s">
        <v>109</v>
      </c>
      <c r="D1283" s="31" t="str">
        <f aca="false">IF(D1275="Water weight",D1282,D1281)</f>
        <v/>
      </c>
      <c r="E1283" s="31" t="str">
        <f aca="false">IF(E1275="Water weight",E1282,E1281)</f>
        <v/>
      </c>
      <c r="F1283" s="31" t="str">
        <f aca="false">IF(F1275="Water weight",F1282,F1281)</f>
        <v/>
      </c>
      <c r="G1283" s="31" t="str">
        <f aca="false">IF(G1275="Water weight",G1282,G1281)</f>
        <v/>
      </c>
      <c r="H1283" s="31" t="str">
        <f aca="false">IF(H1275="Water weight",H1282,H1281)</f>
        <v/>
      </c>
      <c r="I1283" s="31" t="str">
        <f aca="false">IF(COUNT(D1283:H1283)=0,"",SUM(D1283:H1283))</f>
        <v/>
      </c>
      <c r="J1283" s="24"/>
      <c r="K1283" s="32" t="s">
        <v>195</v>
      </c>
      <c r="L1283" s="32" t="n">
        <f aca="false">D1265</f>
        <v>0</v>
      </c>
      <c r="M1283" s="32" t="n">
        <f aca="false">E1265</f>
        <v>0</v>
      </c>
      <c r="N1283" s="32" t="n">
        <f aca="false">F1265</f>
        <v>0</v>
      </c>
      <c r="O1283" s="32" t="n">
        <f aca="false">G1265</f>
        <v>0</v>
      </c>
      <c r="P1283" s="32" t="n">
        <f aca="false">H1265</f>
        <v>0</v>
      </c>
    </row>
    <row r="1284" customFormat="false" ht="36" hidden="false" customHeight="true" outlineLevel="0" collapsed="false">
      <c r="B1284" s="9" t="s">
        <v>196</v>
      </c>
      <c r="C1284" s="15" t="s">
        <v>29</v>
      </c>
      <c r="D1284" s="39" t="str">
        <f aca="false">IF(D1283="","",IF(JobType="Chemical Cleaning",D1276,IFERROR(INDEX(DecMeth,MATCH(D1265,DecTypeU,0)),"⚠ select equipment type")))</f>
        <v/>
      </c>
      <c r="E1284" s="39" t="str">
        <f aca="false">IF(E1283="","",IF(JobType="Chemical Cleaning",E1276,IFERROR(INDEX(DecMeth,MATCH(E1265,DecTypeU,0)),"⚠ select equipment type")))</f>
        <v/>
      </c>
      <c r="F1284" s="39" t="str">
        <f aca="false">IF(F1283="","",IF(JobType="Chemical Cleaning",F1276,IFERROR(INDEX(DecMeth,MATCH(F1265,DecTypeU,0)),"⚠ select equipment type")))</f>
        <v/>
      </c>
      <c r="G1284" s="39" t="str">
        <f aca="false">IF(G1283="","",IF(JobType="Chemical Cleaning",G1276,IFERROR(INDEX(DecMeth,MATCH(G1265,DecTypeU,0)),"⚠ select equipment type")))</f>
        <v/>
      </c>
      <c r="H1284" s="39" t="str">
        <f aca="false">IF(H1283="","",IF(JobType="Chemical Cleaning",H1276,IFERROR(INDEX(DecMeth,MATCH(H1265,DecTypeU,0)),"⚠ select equipment type")))</f>
        <v/>
      </c>
      <c r="I1284" s="40"/>
      <c r="J1284" s="24"/>
    </row>
    <row r="1285" customFormat="false" ht="15" hidden="false" customHeight="false" outlineLevel="0" collapsed="false">
      <c r="B1285" s="9" t="s">
        <v>60</v>
      </c>
      <c r="C1285" s="15" t="s">
        <v>146</v>
      </c>
      <c r="D1285" s="35" t="str">
        <f aca="false">IF(D1283="","",IF(JobType="Chemical Cleaning",IFERROR(INDEX(CCMethPct,MATCH(D1276,CCMethU,0)),""),IFERROR(INDEX(DecFill,MATCH(D1265,DecTypeU,0)),"")))</f>
        <v/>
      </c>
      <c r="E1285" s="35" t="str">
        <f aca="false">IF(E1283="","",IF(JobType="Chemical Cleaning",IFERROR(INDEX(CCMethPct,MATCH(E1276,CCMethU,0)),""),IFERROR(INDEX(DecFill,MATCH(E1265,DecTypeU,0)),"")))</f>
        <v/>
      </c>
      <c r="F1285" s="35" t="str">
        <f aca="false">IF(F1283="","",IF(JobType="Chemical Cleaning",IFERROR(INDEX(CCMethPct,MATCH(F1276,CCMethU,0)),""),IFERROR(INDEX(DecFill,MATCH(F1265,DecTypeU,0)),"")))</f>
        <v/>
      </c>
      <c r="G1285" s="35" t="str">
        <f aca="false">IF(G1283="","",IF(JobType="Chemical Cleaning",IFERROR(INDEX(CCMethPct,MATCH(G1276,CCMethU,0)),""),IFERROR(INDEX(DecFill,MATCH(G1265,DecTypeU,0)),"")))</f>
        <v/>
      </c>
      <c r="H1285" s="35" t="str">
        <f aca="false">IF(H1283="","",IF(JobType="Chemical Cleaning",IFERROR(INDEX(CCMethPct,MATCH(H1276,CCMethU,0)),""),IFERROR(INDEX(DecFill,MATCH(H1265,DecTypeU,0)),"")))</f>
        <v/>
      </c>
      <c r="I1285" s="36"/>
      <c r="J1285" s="24" t="s">
        <v>197</v>
      </c>
    </row>
    <row r="1286" customFormat="false" ht="15" hidden="false" customHeight="false" outlineLevel="0" collapsed="false">
      <c r="B1286" s="4" t="s">
        <v>148</v>
      </c>
      <c r="C1286" s="15" t="s">
        <v>109</v>
      </c>
      <c r="D1286" s="31" t="str">
        <f aca="false">IF(OR(D1283="",D1285=""),"",D1283*D1285)</f>
        <v/>
      </c>
      <c r="E1286" s="31" t="str">
        <f aca="false">IF(OR(E1283="",E1285=""),"",E1283*E1285)</f>
        <v/>
      </c>
      <c r="F1286" s="31" t="str">
        <f aca="false">IF(OR(F1283="",F1285=""),"",F1283*F1285)</f>
        <v/>
      </c>
      <c r="G1286" s="31" t="str">
        <f aca="false">IF(OR(G1283="",G1285=""),"",G1283*G1285)</f>
        <v/>
      </c>
      <c r="H1286" s="31" t="str">
        <f aca="false">IF(OR(H1283="",H1285=""),"",H1283*H1285)</f>
        <v/>
      </c>
      <c r="I1286" s="31" t="str">
        <f aca="false">IF(COUNT(D1286:H1286)=0,"",SUM(D1286:H1286))</f>
        <v/>
      </c>
      <c r="J1286" s="24"/>
      <c r="K1286" s="32" t="s">
        <v>198</v>
      </c>
      <c r="L1286" s="32" t="n">
        <f aca="false">D1265</f>
        <v>0</v>
      </c>
      <c r="M1286" s="32" t="n">
        <f aca="false">E1265</f>
        <v>0</v>
      </c>
      <c r="N1286" s="32" t="n">
        <f aca="false">F1265</f>
        <v>0</v>
      </c>
      <c r="O1286" s="32" t="n">
        <f aca="false">G1265</f>
        <v>0</v>
      </c>
      <c r="P1286" s="32" t="n">
        <f aca="false">H1265</f>
        <v>0</v>
      </c>
    </row>
    <row r="1287" customFormat="false" ht="15" hidden="false" customHeight="false" outlineLevel="0" collapsed="false">
      <c r="B1287" s="9" t="s">
        <v>150</v>
      </c>
      <c r="C1287" s="15" t="s">
        <v>32</v>
      </c>
      <c r="D1287" s="37" t="str">
        <f aca="false">IF(OR(JobType&lt;&gt;"Decontamination",D1286=""),"",IFERROR(D1286*INDEX(DecChem,MATCH(D1265,DecTypeU,0))*1000,""))</f>
        <v/>
      </c>
      <c r="E1287" s="37" t="str">
        <f aca="false">IF(OR(JobType&lt;&gt;"Decontamination",E1286=""),"",IFERROR(E1286*INDEX(DecChem,MATCH(E1265,DecTypeU,0))*1000,""))</f>
        <v/>
      </c>
      <c r="F1287" s="37" t="str">
        <f aca="false">IF(OR(JobType&lt;&gt;"Decontamination",F1286=""),"",IFERROR(F1286*INDEX(DecChem,MATCH(F1265,DecTypeU,0))*1000,""))</f>
        <v/>
      </c>
      <c r="G1287" s="37" t="str">
        <f aca="false">IF(OR(JobType&lt;&gt;"Decontamination",G1286=""),"",IFERROR(G1286*INDEX(DecChem,MATCH(G1265,DecTypeU,0))*1000,""))</f>
        <v/>
      </c>
      <c r="H1287" s="37" t="str">
        <f aca="false">IF(OR(JobType&lt;&gt;"Decontamination",H1286=""),"",IFERROR(H1286*INDEX(DecChem,MATCH(H1265,DecTypeU,0))*1000,""))</f>
        <v/>
      </c>
      <c r="I1287" s="38" t="str">
        <f aca="false">IF(COUNT(D1287:H1287)=0,"",SUM(D1287:H1287))</f>
        <v/>
      </c>
      <c r="J1287" s="24" t="s">
        <v>199</v>
      </c>
      <c r="K1287" s="32" t="s">
        <v>200</v>
      </c>
      <c r="L1287" s="32" t="n">
        <f aca="false">D1265</f>
        <v>0</v>
      </c>
      <c r="M1287" s="32" t="n">
        <f aca="false">E1265</f>
        <v>0</v>
      </c>
      <c r="N1287" s="32" t="n">
        <f aca="false">F1265</f>
        <v>0</v>
      </c>
      <c r="O1287" s="32" t="n">
        <f aca="false">G1265</f>
        <v>0</v>
      </c>
      <c r="P1287" s="32" t="n">
        <f aca="false">H1265</f>
        <v>0</v>
      </c>
    </row>
    <row r="1289" customFormat="false" ht="15" hidden="false" customHeight="false" outlineLevel="0" collapsed="false">
      <c r="A1289" s="20" t="n">
        <v>15</v>
      </c>
      <c r="B1289" s="21" t="s">
        <v>214</v>
      </c>
      <c r="C1289" s="22"/>
      <c r="D1289" s="22"/>
      <c r="E1289" s="22"/>
      <c r="F1289" s="22"/>
      <c r="G1289" s="22"/>
      <c r="H1289" s="22"/>
      <c r="I1289" s="22"/>
      <c r="J1289" s="22"/>
    </row>
    <row r="1290" customFormat="false" ht="15" hidden="false" customHeight="false" outlineLevel="0" collapsed="false">
      <c r="B1290" s="9" t="s">
        <v>83</v>
      </c>
      <c r="C1290" s="15" t="s">
        <v>29</v>
      </c>
      <c r="D1290" s="8"/>
      <c r="E1290" s="8"/>
      <c r="F1290" s="8"/>
      <c r="G1290" s="8"/>
      <c r="H1290" s="8"/>
      <c r="I1290" s="23"/>
      <c r="J1290" s="24"/>
    </row>
    <row r="1291" customFormat="false" ht="15" hidden="false" customHeight="false" outlineLevel="0" collapsed="false">
      <c r="B1291" s="9" t="s">
        <v>86</v>
      </c>
      <c r="C1291" s="15" t="s">
        <v>29</v>
      </c>
      <c r="D1291" s="8"/>
      <c r="E1291" s="8"/>
      <c r="F1291" s="8"/>
      <c r="G1291" s="8"/>
      <c r="H1291" s="8"/>
      <c r="I1291" s="23"/>
      <c r="J1291" s="24"/>
    </row>
    <row r="1292" customFormat="false" ht="15" hidden="false" customHeight="false" outlineLevel="0" collapsed="false">
      <c r="B1292" s="9" t="s">
        <v>175</v>
      </c>
      <c r="C1292" s="15" t="s">
        <v>29</v>
      </c>
      <c r="D1292" s="8"/>
      <c r="E1292" s="8"/>
      <c r="F1292" s="8"/>
      <c r="G1292" s="8"/>
      <c r="H1292" s="8"/>
      <c r="I1292" s="23"/>
      <c r="J1292" s="24" t="s">
        <v>176</v>
      </c>
    </row>
    <row r="1293" customFormat="false" ht="15" hidden="false" customHeight="false" outlineLevel="0" collapsed="false">
      <c r="B1293" s="25" t="s">
        <v>177</v>
      </c>
      <c r="C1293" s="26"/>
      <c r="D1293" s="26"/>
      <c r="E1293" s="26"/>
      <c r="F1293" s="26"/>
      <c r="G1293" s="26"/>
      <c r="H1293" s="26"/>
      <c r="I1293" s="26"/>
      <c r="J1293" s="26"/>
    </row>
    <row r="1294" customFormat="false" ht="15" hidden="false" customHeight="false" outlineLevel="0" collapsed="false">
      <c r="B1294" s="9" t="s">
        <v>178</v>
      </c>
      <c r="C1294" s="8" t="s">
        <v>92</v>
      </c>
      <c r="D1294" s="8"/>
      <c r="E1294" s="8"/>
      <c r="F1294" s="8"/>
      <c r="G1294" s="8"/>
      <c r="H1294" s="8"/>
      <c r="I1294" s="23"/>
      <c r="J1294" s="24"/>
    </row>
    <row r="1295" customFormat="false" ht="15" hidden="false" customHeight="false" outlineLevel="0" collapsed="false">
      <c r="B1295" s="9" t="s">
        <v>179</v>
      </c>
      <c r="C1295" s="8" t="s">
        <v>92</v>
      </c>
      <c r="D1295" s="8"/>
      <c r="E1295" s="8"/>
      <c r="F1295" s="8"/>
      <c r="G1295" s="8"/>
      <c r="H1295" s="8"/>
      <c r="I1295" s="23"/>
      <c r="J1295" s="24"/>
    </row>
    <row r="1296" customFormat="false" ht="15" hidden="false" customHeight="false" outlineLevel="0" collapsed="false">
      <c r="B1296" s="9" t="s">
        <v>180</v>
      </c>
      <c r="C1296" s="15" t="s">
        <v>29</v>
      </c>
      <c r="D1296" s="8"/>
      <c r="E1296" s="8"/>
      <c r="F1296" s="8"/>
      <c r="G1296" s="8"/>
      <c r="H1296" s="8"/>
      <c r="I1296" s="23"/>
      <c r="J1296" s="24"/>
    </row>
    <row r="1297" customFormat="false" ht="15" hidden="false" customHeight="false" outlineLevel="0" collapsed="false">
      <c r="B1297" s="9" t="s">
        <v>181</v>
      </c>
      <c r="C1297" s="8" t="s">
        <v>92</v>
      </c>
      <c r="D1297" s="8"/>
      <c r="E1297" s="8"/>
      <c r="F1297" s="8"/>
      <c r="G1297" s="8"/>
      <c r="H1297" s="8"/>
      <c r="I1297" s="23"/>
      <c r="J1297" s="24"/>
    </row>
    <row r="1298" customFormat="false" ht="15" hidden="false" customHeight="false" outlineLevel="0" collapsed="false">
      <c r="B1298" s="9" t="s">
        <v>182</v>
      </c>
      <c r="C1298" s="15" t="s">
        <v>29</v>
      </c>
      <c r="D1298" s="8"/>
      <c r="E1298" s="8"/>
      <c r="F1298" s="8"/>
      <c r="G1298" s="8"/>
      <c r="H1298" s="8"/>
      <c r="I1298" s="23"/>
      <c r="J1298" s="24"/>
    </row>
    <row r="1299" customFormat="false" ht="15" hidden="false" customHeight="false" outlineLevel="0" collapsed="false">
      <c r="B1299" s="9" t="s">
        <v>183</v>
      </c>
      <c r="C1299" s="8" t="s">
        <v>92</v>
      </c>
      <c r="D1299" s="8"/>
      <c r="E1299" s="8"/>
      <c r="F1299" s="8"/>
      <c r="G1299" s="8"/>
      <c r="H1299" s="8"/>
      <c r="I1299" s="23"/>
      <c r="J1299" s="24"/>
    </row>
    <row r="1300" customFormat="false" ht="15" hidden="false" customHeight="false" outlineLevel="0" collapsed="false">
      <c r="B1300" s="9" t="s">
        <v>184</v>
      </c>
      <c r="C1300" s="8" t="s">
        <v>112</v>
      </c>
      <c r="D1300" s="8"/>
      <c r="E1300" s="8"/>
      <c r="F1300" s="8"/>
      <c r="G1300" s="8"/>
      <c r="H1300" s="8"/>
      <c r="I1300" s="23"/>
      <c r="J1300" s="24"/>
    </row>
    <row r="1301" customFormat="false" ht="15" hidden="false" customHeight="false" outlineLevel="0" collapsed="false">
      <c r="B1301" s="25" t="s">
        <v>185</v>
      </c>
      <c r="C1301" s="26"/>
      <c r="D1301" s="26"/>
      <c r="E1301" s="26"/>
      <c r="F1301" s="26"/>
      <c r="G1301" s="26"/>
      <c r="H1301" s="26"/>
      <c r="I1301" s="26"/>
      <c r="J1301" s="26"/>
    </row>
    <row r="1302" customFormat="false" ht="15" hidden="false" customHeight="false" outlineLevel="0" collapsed="false">
      <c r="B1302" s="9" t="s">
        <v>186</v>
      </c>
      <c r="C1302" s="15" t="s">
        <v>29</v>
      </c>
      <c r="D1302" s="8" t="s">
        <v>122</v>
      </c>
      <c r="E1302" s="8" t="s">
        <v>122</v>
      </c>
      <c r="F1302" s="8" t="s">
        <v>122</v>
      </c>
      <c r="G1302" s="8" t="s">
        <v>122</v>
      </c>
      <c r="H1302" s="8" t="s">
        <v>122</v>
      </c>
      <c r="I1302" s="23"/>
      <c r="J1302" s="24"/>
    </row>
    <row r="1303" customFormat="false" ht="15" hidden="false" customHeight="false" outlineLevel="0" collapsed="false">
      <c r="B1303" s="9" t="s">
        <v>187</v>
      </c>
      <c r="C1303" s="15" t="s">
        <v>29</v>
      </c>
      <c r="D1303" s="8" t="s">
        <v>61</v>
      </c>
      <c r="E1303" s="8" t="s">
        <v>61</v>
      </c>
      <c r="F1303" s="8" t="s">
        <v>61</v>
      </c>
      <c r="G1303" s="8" t="s">
        <v>61</v>
      </c>
      <c r="H1303" s="8" t="s">
        <v>61</v>
      </c>
      <c r="I1303" s="23"/>
      <c r="J1303" s="24" t="s">
        <v>188</v>
      </c>
    </row>
    <row r="1304" customFormat="false" ht="15" hidden="false" customHeight="false" outlineLevel="0" collapsed="false">
      <c r="B1304" s="25" t="s">
        <v>124</v>
      </c>
      <c r="C1304" s="26"/>
      <c r="D1304" s="26"/>
      <c r="E1304" s="26"/>
      <c r="F1304" s="26"/>
      <c r="G1304" s="26"/>
      <c r="H1304" s="26"/>
      <c r="I1304" s="26"/>
      <c r="J1304" s="26"/>
    </row>
    <row r="1305" customFormat="false" ht="15" hidden="false" customHeight="false" outlineLevel="0" collapsed="false">
      <c r="B1305" s="9" t="s">
        <v>189</v>
      </c>
      <c r="C1305" s="15" t="s">
        <v>109</v>
      </c>
      <c r="D1305" s="29" t="str">
        <f aca="false">IF(ISNUMBER(D1294),PI()/4*(D1294*INDEX(LenF,MATCH($C$1294,LenU,0)))^2*N(D1295)*INDEX(LenF,MATCH($C$1295,LenU,0)),"")</f>
        <v/>
      </c>
      <c r="E1305" s="29" t="str">
        <f aca="false">IF(ISNUMBER(E1294),PI()/4*(E1294*INDEX(LenF,MATCH($C$1294,LenU,0)))^2*N(E1295)*INDEX(LenF,MATCH($C$1295,LenU,0)),"")</f>
        <v/>
      </c>
      <c r="F1305" s="29" t="str">
        <f aca="false">IF(ISNUMBER(F1294),PI()/4*(F1294*INDEX(LenF,MATCH($C$1294,LenU,0)))^2*N(F1295)*INDEX(LenF,MATCH($C$1295,LenU,0)),"")</f>
        <v/>
      </c>
      <c r="G1305" s="29" t="str">
        <f aca="false">IF(ISNUMBER(G1294),PI()/4*(G1294*INDEX(LenF,MATCH($C$1294,LenU,0)))^2*N(G1295)*INDEX(LenF,MATCH($C$1295,LenU,0)),"")</f>
        <v/>
      </c>
      <c r="H1305" s="29" t="str">
        <f aca="false">IF(ISNUMBER(H1294),PI()/4*(H1294*INDEX(LenF,MATCH($C$1294,LenU,0)))^2*N(H1295)*INDEX(LenF,MATCH($C$1295,LenU,0)),"")</f>
        <v/>
      </c>
      <c r="I1305" s="30" t="str">
        <f aca="false">IF(COUNT(D1305:H1305)=0,"",SUM(D1305:H1305))</f>
        <v/>
      </c>
      <c r="J1305" s="24"/>
    </row>
    <row r="1306" customFormat="false" ht="15" hidden="false" customHeight="false" outlineLevel="0" collapsed="false">
      <c r="B1306" s="9" t="s">
        <v>190</v>
      </c>
      <c r="C1306" s="15" t="s">
        <v>109</v>
      </c>
      <c r="D1306" s="29" t="str">
        <f aca="false">IF(ISNUMBER(D1294),IF(D1296="",0,IF(D1296="Conical",PI()/12*(D1294*INDEX(LenF,MATCH($C$1294,LenU,0)))^2*(N(D1297)*INDEX(LenF,MATCH($C$1297,LenU,0))),INDEX(HeadK,MATCH(D1296,HeadU,0))*(D1294*INDEX(LenF,MATCH($C$1294,LenU,0)))^3)),"")</f>
        <v/>
      </c>
      <c r="E1306" s="29" t="str">
        <f aca="false">IF(ISNUMBER(E1294),IF(E1296="",0,IF(E1296="Conical",PI()/12*(E1294*INDEX(LenF,MATCH($C$1294,LenU,0)))^2*(N(E1297)*INDEX(LenF,MATCH($C$1297,LenU,0))),INDEX(HeadK,MATCH(E1296,HeadU,0))*(E1294*INDEX(LenF,MATCH($C$1294,LenU,0)))^3)),"")</f>
        <v/>
      </c>
      <c r="F1306" s="29" t="str">
        <f aca="false">IF(ISNUMBER(F1294),IF(F1296="",0,IF(F1296="Conical",PI()/12*(F1294*INDEX(LenF,MATCH($C$1294,LenU,0)))^2*(N(F1297)*INDEX(LenF,MATCH($C$1297,LenU,0))),INDEX(HeadK,MATCH(F1296,HeadU,0))*(F1294*INDEX(LenF,MATCH($C$1294,LenU,0)))^3)),"")</f>
        <v/>
      </c>
      <c r="G1306" s="29" t="str">
        <f aca="false">IF(ISNUMBER(G1294),IF(G1296="",0,IF(G1296="Conical",PI()/12*(G1294*INDEX(LenF,MATCH($C$1294,LenU,0)))^2*(N(G1297)*INDEX(LenF,MATCH($C$1297,LenU,0))),INDEX(HeadK,MATCH(G1296,HeadU,0))*(G1294*INDEX(LenF,MATCH($C$1294,LenU,0)))^3)),"")</f>
        <v/>
      </c>
      <c r="H1306" s="29" t="str">
        <f aca="false">IF(ISNUMBER(H1294),IF(H1296="",0,IF(H1296="Conical",PI()/12*(H1294*INDEX(LenF,MATCH($C$1294,LenU,0)))^2*(N(H1297)*INDEX(LenF,MATCH($C$1297,LenU,0))),INDEX(HeadK,MATCH(H1296,HeadU,0))*(H1294*INDEX(LenF,MATCH($C$1294,LenU,0)))^3)),"")</f>
        <v/>
      </c>
      <c r="I1306" s="30" t="str">
        <f aca="false">IF(COUNT(D1306:H1306)=0,"",SUM(D1306:H1306))</f>
        <v/>
      </c>
      <c r="J1306" s="24"/>
    </row>
    <row r="1307" customFormat="false" ht="15" hidden="false" customHeight="false" outlineLevel="0" collapsed="false">
      <c r="B1307" s="9" t="s">
        <v>191</v>
      </c>
      <c r="C1307" s="15" t="s">
        <v>109</v>
      </c>
      <c r="D1307" s="29" t="str">
        <f aca="false">IF(ISNUMBER(D1294),IF(D1298="",0,IF(D1298="Conical",PI()/12*(D1294*INDEX(LenF,MATCH($C$1294,LenU,0)))^2*(N(D1299)*INDEX(LenF,MATCH($C$1299,LenU,0))),INDEX(HeadK,MATCH(D1298,HeadU,0))*(D1294*INDEX(LenF,MATCH($C$1294,LenU,0)))^3)),"")</f>
        <v/>
      </c>
      <c r="E1307" s="29" t="str">
        <f aca="false">IF(ISNUMBER(E1294),IF(E1298="",0,IF(E1298="Conical",PI()/12*(E1294*INDEX(LenF,MATCH($C$1294,LenU,0)))^2*(N(E1299)*INDEX(LenF,MATCH($C$1299,LenU,0))),INDEX(HeadK,MATCH(E1298,HeadU,0))*(E1294*INDEX(LenF,MATCH($C$1294,LenU,0)))^3)),"")</f>
        <v/>
      </c>
      <c r="F1307" s="29" t="str">
        <f aca="false">IF(ISNUMBER(F1294),IF(F1298="",0,IF(F1298="Conical",PI()/12*(F1294*INDEX(LenF,MATCH($C$1294,LenU,0)))^2*(N(F1299)*INDEX(LenF,MATCH($C$1299,LenU,0))),INDEX(HeadK,MATCH(F1298,HeadU,0))*(F1294*INDEX(LenF,MATCH($C$1294,LenU,0)))^3)),"")</f>
        <v/>
      </c>
      <c r="G1307" s="29" t="str">
        <f aca="false">IF(ISNUMBER(G1294),IF(G1298="",0,IF(G1298="Conical",PI()/12*(G1294*INDEX(LenF,MATCH($C$1294,LenU,0)))^2*(N(G1299)*INDEX(LenF,MATCH($C$1299,LenU,0))),INDEX(HeadK,MATCH(G1298,HeadU,0))*(G1294*INDEX(LenF,MATCH($C$1294,LenU,0)))^3)),"")</f>
        <v/>
      </c>
      <c r="H1307" s="29" t="str">
        <f aca="false">IF(ISNUMBER(H1294),IF(H1298="",0,IF(H1298="Conical",PI()/12*(H1294*INDEX(LenF,MATCH($C$1294,LenU,0)))^2*(N(H1299)*INDEX(LenF,MATCH($C$1299,LenU,0))),INDEX(HeadK,MATCH(H1298,HeadU,0))*(H1294*INDEX(LenF,MATCH($C$1294,LenU,0)))^3)),"")</f>
        <v/>
      </c>
      <c r="I1307" s="30" t="str">
        <f aca="false">IF(COUNT(D1307:H1307)=0,"",SUM(D1307:H1307))</f>
        <v/>
      </c>
      <c r="J1307" s="24"/>
    </row>
    <row r="1308" customFormat="false" ht="15" hidden="false" customHeight="false" outlineLevel="0" collapsed="false">
      <c r="B1308" s="9" t="s">
        <v>192</v>
      </c>
      <c r="C1308" s="15" t="s">
        <v>109</v>
      </c>
      <c r="D1308" s="29" t="str">
        <f aca="false">IF(ISNUMBER(D1294),D1305+D1306+D1307,"")</f>
        <v/>
      </c>
      <c r="E1308" s="29" t="str">
        <f aca="false">IF(ISNUMBER(E1294),E1305+E1306+E1307,"")</f>
        <v/>
      </c>
      <c r="F1308" s="29" t="str">
        <f aca="false">IF(ISNUMBER(F1294),F1305+F1306+F1307,"")</f>
        <v/>
      </c>
      <c r="G1308" s="29" t="str">
        <f aca="false">IF(ISNUMBER(G1294),G1305+G1306+G1307,"")</f>
        <v/>
      </c>
      <c r="H1308" s="29" t="str">
        <f aca="false">IF(ISNUMBER(H1294),H1305+H1306+H1307,"")</f>
        <v/>
      </c>
      <c r="I1308" s="30" t="str">
        <f aca="false">IF(COUNT(D1308:H1308)=0,"",SUM(D1308:H1308))</f>
        <v/>
      </c>
      <c r="J1308" s="24"/>
    </row>
    <row r="1309" customFormat="false" ht="15" hidden="false" customHeight="false" outlineLevel="0" collapsed="false">
      <c r="B1309" s="9" t="s">
        <v>193</v>
      </c>
      <c r="C1309" s="15" t="s">
        <v>109</v>
      </c>
      <c r="D1309" s="29" t="str">
        <f aca="false">IF(ISNUMBER(D1300),D1300*INDEX(WtF,MATCH($C$1300,WtU,0))/WaterRho,"")</f>
        <v/>
      </c>
      <c r="E1309" s="29" t="str">
        <f aca="false">IF(ISNUMBER(E1300),E1300*INDEX(WtF,MATCH($C$1300,WtU,0))/WaterRho,"")</f>
        <v/>
      </c>
      <c r="F1309" s="29" t="str">
        <f aca="false">IF(ISNUMBER(F1300),F1300*INDEX(WtF,MATCH($C$1300,WtU,0))/WaterRho,"")</f>
        <v/>
      </c>
      <c r="G1309" s="29" t="str">
        <f aca="false">IF(ISNUMBER(G1300),G1300*INDEX(WtF,MATCH($C$1300,WtU,0))/WaterRho,"")</f>
        <v/>
      </c>
      <c r="H1309" s="29" t="str">
        <f aca="false">IF(ISNUMBER(H1300),H1300*INDEX(WtF,MATCH($C$1300,WtU,0))/WaterRho,"")</f>
        <v/>
      </c>
      <c r="I1309" s="30" t="str">
        <f aca="false">IF(COUNT(D1309:H1309)=0,"",SUM(D1309:H1309))</f>
        <v/>
      </c>
      <c r="J1309" s="24"/>
    </row>
    <row r="1310" customFormat="false" ht="15" hidden="false" customHeight="false" outlineLevel="0" collapsed="false">
      <c r="B1310" s="4" t="s">
        <v>194</v>
      </c>
      <c r="C1310" s="15" t="s">
        <v>109</v>
      </c>
      <c r="D1310" s="31" t="str">
        <f aca="false">IF(D1302="Water weight",D1309,D1308)</f>
        <v/>
      </c>
      <c r="E1310" s="31" t="str">
        <f aca="false">IF(E1302="Water weight",E1309,E1308)</f>
        <v/>
      </c>
      <c r="F1310" s="31" t="str">
        <f aca="false">IF(F1302="Water weight",F1309,F1308)</f>
        <v/>
      </c>
      <c r="G1310" s="31" t="str">
        <f aca="false">IF(G1302="Water weight",G1309,G1308)</f>
        <v/>
      </c>
      <c r="H1310" s="31" t="str">
        <f aca="false">IF(H1302="Water weight",H1309,H1308)</f>
        <v/>
      </c>
      <c r="I1310" s="31" t="str">
        <f aca="false">IF(COUNT(D1310:H1310)=0,"",SUM(D1310:H1310))</f>
        <v/>
      </c>
      <c r="J1310" s="24"/>
      <c r="K1310" s="32" t="s">
        <v>195</v>
      </c>
      <c r="L1310" s="32" t="n">
        <f aca="false">D1292</f>
        <v>0</v>
      </c>
      <c r="M1310" s="32" t="n">
        <f aca="false">E1292</f>
        <v>0</v>
      </c>
      <c r="N1310" s="32" t="n">
        <f aca="false">F1292</f>
        <v>0</v>
      </c>
      <c r="O1310" s="32" t="n">
        <f aca="false">G1292</f>
        <v>0</v>
      </c>
      <c r="P1310" s="32" t="n">
        <f aca="false">H1292</f>
        <v>0</v>
      </c>
    </row>
    <row r="1311" customFormat="false" ht="36" hidden="false" customHeight="true" outlineLevel="0" collapsed="false">
      <c r="B1311" s="9" t="s">
        <v>196</v>
      </c>
      <c r="C1311" s="15" t="s">
        <v>29</v>
      </c>
      <c r="D1311" s="39" t="str">
        <f aca="false">IF(D1310="","",IF(JobType="Chemical Cleaning",D1303,IFERROR(INDEX(DecMeth,MATCH(D1292,DecTypeU,0)),"⚠ select equipment type")))</f>
        <v/>
      </c>
      <c r="E1311" s="39" t="str">
        <f aca="false">IF(E1310="","",IF(JobType="Chemical Cleaning",E1303,IFERROR(INDEX(DecMeth,MATCH(E1292,DecTypeU,0)),"⚠ select equipment type")))</f>
        <v/>
      </c>
      <c r="F1311" s="39" t="str">
        <f aca="false">IF(F1310="","",IF(JobType="Chemical Cleaning",F1303,IFERROR(INDEX(DecMeth,MATCH(F1292,DecTypeU,0)),"⚠ select equipment type")))</f>
        <v/>
      </c>
      <c r="G1311" s="39" t="str">
        <f aca="false">IF(G1310="","",IF(JobType="Chemical Cleaning",G1303,IFERROR(INDEX(DecMeth,MATCH(G1292,DecTypeU,0)),"⚠ select equipment type")))</f>
        <v/>
      </c>
      <c r="H1311" s="39" t="str">
        <f aca="false">IF(H1310="","",IF(JobType="Chemical Cleaning",H1303,IFERROR(INDEX(DecMeth,MATCH(H1292,DecTypeU,0)),"⚠ select equipment type")))</f>
        <v/>
      </c>
      <c r="I1311" s="40"/>
      <c r="J1311" s="24"/>
    </row>
    <row r="1312" customFormat="false" ht="15" hidden="false" customHeight="false" outlineLevel="0" collapsed="false">
      <c r="B1312" s="9" t="s">
        <v>60</v>
      </c>
      <c r="C1312" s="15" t="s">
        <v>146</v>
      </c>
      <c r="D1312" s="35" t="str">
        <f aca="false">IF(D1310="","",IF(JobType="Chemical Cleaning",IFERROR(INDEX(CCMethPct,MATCH(D1303,CCMethU,0)),""),IFERROR(INDEX(DecFill,MATCH(D1292,DecTypeU,0)),"")))</f>
        <v/>
      </c>
      <c r="E1312" s="35" t="str">
        <f aca="false">IF(E1310="","",IF(JobType="Chemical Cleaning",IFERROR(INDEX(CCMethPct,MATCH(E1303,CCMethU,0)),""),IFERROR(INDEX(DecFill,MATCH(E1292,DecTypeU,0)),"")))</f>
        <v/>
      </c>
      <c r="F1312" s="35" t="str">
        <f aca="false">IF(F1310="","",IF(JobType="Chemical Cleaning",IFERROR(INDEX(CCMethPct,MATCH(F1303,CCMethU,0)),""),IFERROR(INDEX(DecFill,MATCH(F1292,DecTypeU,0)),"")))</f>
        <v/>
      </c>
      <c r="G1312" s="35" t="str">
        <f aca="false">IF(G1310="","",IF(JobType="Chemical Cleaning",IFERROR(INDEX(CCMethPct,MATCH(G1303,CCMethU,0)),""),IFERROR(INDEX(DecFill,MATCH(G1292,DecTypeU,0)),"")))</f>
        <v/>
      </c>
      <c r="H1312" s="35" t="str">
        <f aca="false">IF(H1310="","",IF(JobType="Chemical Cleaning",IFERROR(INDEX(CCMethPct,MATCH(H1303,CCMethU,0)),""),IFERROR(INDEX(DecFill,MATCH(H1292,DecTypeU,0)),"")))</f>
        <v/>
      </c>
      <c r="I1312" s="36"/>
      <c r="J1312" s="24" t="s">
        <v>197</v>
      </c>
    </row>
    <row r="1313" customFormat="false" ht="15" hidden="false" customHeight="false" outlineLevel="0" collapsed="false">
      <c r="B1313" s="4" t="s">
        <v>148</v>
      </c>
      <c r="C1313" s="15" t="s">
        <v>109</v>
      </c>
      <c r="D1313" s="31" t="str">
        <f aca="false">IF(OR(D1310="",D1312=""),"",D1310*D1312)</f>
        <v/>
      </c>
      <c r="E1313" s="31" t="str">
        <f aca="false">IF(OR(E1310="",E1312=""),"",E1310*E1312)</f>
        <v/>
      </c>
      <c r="F1313" s="31" t="str">
        <f aca="false">IF(OR(F1310="",F1312=""),"",F1310*F1312)</f>
        <v/>
      </c>
      <c r="G1313" s="31" t="str">
        <f aca="false">IF(OR(G1310="",G1312=""),"",G1310*G1312)</f>
        <v/>
      </c>
      <c r="H1313" s="31" t="str">
        <f aca="false">IF(OR(H1310="",H1312=""),"",H1310*H1312)</f>
        <v/>
      </c>
      <c r="I1313" s="31" t="str">
        <f aca="false">IF(COUNT(D1313:H1313)=0,"",SUM(D1313:H1313))</f>
        <v/>
      </c>
      <c r="J1313" s="24"/>
      <c r="K1313" s="32" t="s">
        <v>198</v>
      </c>
      <c r="L1313" s="32" t="n">
        <f aca="false">D1292</f>
        <v>0</v>
      </c>
      <c r="M1313" s="32" t="n">
        <f aca="false">E1292</f>
        <v>0</v>
      </c>
      <c r="N1313" s="32" t="n">
        <f aca="false">F1292</f>
        <v>0</v>
      </c>
      <c r="O1313" s="32" t="n">
        <f aca="false">G1292</f>
        <v>0</v>
      </c>
      <c r="P1313" s="32" t="n">
        <f aca="false">H1292</f>
        <v>0</v>
      </c>
    </row>
    <row r="1314" customFormat="false" ht="15" hidden="false" customHeight="false" outlineLevel="0" collapsed="false">
      <c r="B1314" s="9" t="s">
        <v>150</v>
      </c>
      <c r="C1314" s="15" t="s">
        <v>32</v>
      </c>
      <c r="D1314" s="37" t="str">
        <f aca="false">IF(OR(JobType&lt;&gt;"Decontamination",D1313=""),"",IFERROR(D1313*INDEX(DecChem,MATCH(D1292,DecTypeU,0))*1000,""))</f>
        <v/>
      </c>
      <c r="E1314" s="37" t="str">
        <f aca="false">IF(OR(JobType&lt;&gt;"Decontamination",E1313=""),"",IFERROR(E1313*INDEX(DecChem,MATCH(E1292,DecTypeU,0))*1000,""))</f>
        <v/>
      </c>
      <c r="F1314" s="37" t="str">
        <f aca="false">IF(OR(JobType&lt;&gt;"Decontamination",F1313=""),"",IFERROR(F1313*INDEX(DecChem,MATCH(F1292,DecTypeU,0))*1000,""))</f>
        <v/>
      </c>
      <c r="G1314" s="37" t="str">
        <f aca="false">IF(OR(JobType&lt;&gt;"Decontamination",G1313=""),"",IFERROR(G1313*INDEX(DecChem,MATCH(G1292,DecTypeU,0))*1000,""))</f>
        <v/>
      </c>
      <c r="H1314" s="37" t="str">
        <f aca="false">IF(OR(JobType&lt;&gt;"Decontamination",H1313=""),"",IFERROR(H1313*INDEX(DecChem,MATCH(H1292,DecTypeU,0))*1000,""))</f>
        <v/>
      </c>
      <c r="I1314" s="38" t="str">
        <f aca="false">IF(COUNT(D1314:H1314)=0,"",SUM(D1314:H1314))</f>
        <v/>
      </c>
      <c r="J1314" s="24" t="s">
        <v>199</v>
      </c>
      <c r="K1314" s="32" t="s">
        <v>200</v>
      </c>
      <c r="L1314" s="32" t="n">
        <f aca="false">D1292</f>
        <v>0</v>
      </c>
      <c r="M1314" s="32" t="n">
        <f aca="false">E1292</f>
        <v>0</v>
      </c>
      <c r="N1314" s="32" t="n">
        <f aca="false">F1292</f>
        <v>0</v>
      </c>
      <c r="O1314" s="32" t="n">
        <f aca="false">G1292</f>
        <v>0</v>
      </c>
      <c r="P1314" s="32" t="n">
        <f aca="false">H1292</f>
        <v>0</v>
      </c>
    </row>
    <row r="1316" customFormat="false" ht="15" hidden="false" customHeight="false" outlineLevel="0" collapsed="false">
      <c r="A1316" s="20" t="n">
        <v>16</v>
      </c>
      <c r="B1316" s="21" t="s">
        <v>215</v>
      </c>
      <c r="C1316" s="22"/>
      <c r="D1316" s="22"/>
      <c r="E1316" s="22"/>
      <c r="F1316" s="22"/>
      <c r="G1316" s="22"/>
      <c r="H1316" s="22"/>
      <c r="I1316" s="22"/>
      <c r="J1316" s="22"/>
    </row>
    <row r="1317" customFormat="false" ht="15" hidden="false" customHeight="false" outlineLevel="0" collapsed="false">
      <c r="B1317" s="9" t="s">
        <v>83</v>
      </c>
      <c r="C1317" s="15" t="s">
        <v>29</v>
      </c>
      <c r="D1317" s="8"/>
      <c r="E1317" s="8"/>
      <c r="F1317" s="8"/>
      <c r="G1317" s="8"/>
      <c r="H1317" s="8"/>
      <c r="I1317" s="23"/>
      <c r="J1317" s="24"/>
    </row>
    <row r="1318" customFormat="false" ht="15" hidden="false" customHeight="false" outlineLevel="0" collapsed="false">
      <c r="B1318" s="9" t="s">
        <v>86</v>
      </c>
      <c r="C1318" s="15" t="s">
        <v>29</v>
      </c>
      <c r="D1318" s="8"/>
      <c r="E1318" s="8"/>
      <c r="F1318" s="8"/>
      <c r="G1318" s="8"/>
      <c r="H1318" s="8"/>
      <c r="I1318" s="23"/>
      <c r="J1318" s="24"/>
    </row>
    <row r="1319" customFormat="false" ht="15" hidden="false" customHeight="false" outlineLevel="0" collapsed="false">
      <c r="B1319" s="9" t="s">
        <v>175</v>
      </c>
      <c r="C1319" s="15" t="s">
        <v>29</v>
      </c>
      <c r="D1319" s="8"/>
      <c r="E1319" s="8"/>
      <c r="F1319" s="8"/>
      <c r="G1319" s="8"/>
      <c r="H1319" s="8"/>
      <c r="I1319" s="23"/>
      <c r="J1319" s="24" t="s">
        <v>176</v>
      </c>
    </row>
    <row r="1320" customFormat="false" ht="15" hidden="false" customHeight="false" outlineLevel="0" collapsed="false">
      <c r="B1320" s="25" t="s">
        <v>177</v>
      </c>
      <c r="C1320" s="26"/>
      <c r="D1320" s="26"/>
      <c r="E1320" s="26"/>
      <c r="F1320" s="26"/>
      <c r="G1320" s="26"/>
      <c r="H1320" s="26"/>
      <c r="I1320" s="26"/>
      <c r="J1320" s="26"/>
    </row>
    <row r="1321" customFormat="false" ht="15" hidden="false" customHeight="false" outlineLevel="0" collapsed="false">
      <c r="B1321" s="9" t="s">
        <v>178</v>
      </c>
      <c r="C1321" s="8" t="s">
        <v>92</v>
      </c>
      <c r="D1321" s="8"/>
      <c r="E1321" s="8"/>
      <c r="F1321" s="8"/>
      <c r="G1321" s="8"/>
      <c r="H1321" s="8"/>
      <c r="I1321" s="23"/>
      <c r="J1321" s="24"/>
    </row>
    <row r="1322" customFormat="false" ht="15" hidden="false" customHeight="false" outlineLevel="0" collapsed="false">
      <c r="B1322" s="9" t="s">
        <v>179</v>
      </c>
      <c r="C1322" s="8" t="s">
        <v>92</v>
      </c>
      <c r="D1322" s="8"/>
      <c r="E1322" s="8"/>
      <c r="F1322" s="8"/>
      <c r="G1322" s="8"/>
      <c r="H1322" s="8"/>
      <c r="I1322" s="23"/>
      <c r="J1322" s="24"/>
    </row>
    <row r="1323" customFormat="false" ht="15" hidden="false" customHeight="false" outlineLevel="0" collapsed="false">
      <c r="B1323" s="9" t="s">
        <v>180</v>
      </c>
      <c r="C1323" s="15" t="s">
        <v>29</v>
      </c>
      <c r="D1323" s="8"/>
      <c r="E1323" s="8"/>
      <c r="F1323" s="8"/>
      <c r="G1323" s="8"/>
      <c r="H1323" s="8"/>
      <c r="I1323" s="23"/>
      <c r="J1323" s="24"/>
    </row>
    <row r="1324" customFormat="false" ht="15" hidden="false" customHeight="false" outlineLevel="0" collapsed="false">
      <c r="B1324" s="9" t="s">
        <v>181</v>
      </c>
      <c r="C1324" s="8" t="s">
        <v>92</v>
      </c>
      <c r="D1324" s="8"/>
      <c r="E1324" s="8"/>
      <c r="F1324" s="8"/>
      <c r="G1324" s="8"/>
      <c r="H1324" s="8"/>
      <c r="I1324" s="23"/>
      <c r="J1324" s="24"/>
    </row>
    <row r="1325" customFormat="false" ht="15" hidden="false" customHeight="false" outlineLevel="0" collapsed="false">
      <c r="B1325" s="9" t="s">
        <v>182</v>
      </c>
      <c r="C1325" s="15" t="s">
        <v>29</v>
      </c>
      <c r="D1325" s="8"/>
      <c r="E1325" s="8"/>
      <c r="F1325" s="8"/>
      <c r="G1325" s="8"/>
      <c r="H1325" s="8"/>
      <c r="I1325" s="23"/>
      <c r="J1325" s="24"/>
    </row>
    <row r="1326" customFormat="false" ht="15" hidden="false" customHeight="false" outlineLevel="0" collapsed="false">
      <c r="B1326" s="9" t="s">
        <v>183</v>
      </c>
      <c r="C1326" s="8" t="s">
        <v>92</v>
      </c>
      <c r="D1326" s="8"/>
      <c r="E1326" s="8"/>
      <c r="F1326" s="8"/>
      <c r="G1326" s="8"/>
      <c r="H1326" s="8"/>
      <c r="I1326" s="23"/>
      <c r="J1326" s="24"/>
    </row>
    <row r="1327" customFormat="false" ht="15" hidden="false" customHeight="false" outlineLevel="0" collapsed="false">
      <c r="B1327" s="9" t="s">
        <v>184</v>
      </c>
      <c r="C1327" s="8" t="s">
        <v>112</v>
      </c>
      <c r="D1327" s="8"/>
      <c r="E1327" s="8"/>
      <c r="F1327" s="8"/>
      <c r="G1327" s="8"/>
      <c r="H1327" s="8"/>
      <c r="I1327" s="23"/>
      <c r="J1327" s="24"/>
    </row>
    <row r="1328" customFormat="false" ht="15" hidden="false" customHeight="false" outlineLevel="0" collapsed="false">
      <c r="B1328" s="25" t="s">
        <v>185</v>
      </c>
      <c r="C1328" s="26"/>
      <c r="D1328" s="26"/>
      <c r="E1328" s="26"/>
      <c r="F1328" s="26"/>
      <c r="G1328" s="26"/>
      <c r="H1328" s="26"/>
      <c r="I1328" s="26"/>
      <c r="J1328" s="26"/>
    </row>
    <row r="1329" customFormat="false" ht="15" hidden="false" customHeight="false" outlineLevel="0" collapsed="false">
      <c r="B1329" s="9" t="s">
        <v>186</v>
      </c>
      <c r="C1329" s="15" t="s">
        <v>29</v>
      </c>
      <c r="D1329" s="8" t="s">
        <v>122</v>
      </c>
      <c r="E1329" s="8" t="s">
        <v>122</v>
      </c>
      <c r="F1329" s="8" t="s">
        <v>122</v>
      </c>
      <c r="G1329" s="8" t="s">
        <v>122</v>
      </c>
      <c r="H1329" s="8" t="s">
        <v>122</v>
      </c>
      <c r="I1329" s="23"/>
      <c r="J1329" s="24"/>
    </row>
    <row r="1330" customFormat="false" ht="15" hidden="false" customHeight="false" outlineLevel="0" collapsed="false">
      <c r="B1330" s="9" t="s">
        <v>187</v>
      </c>
      <c r="C1330" s="15" t="s">
        <v>29</v>
      </c>
      <c r="D1330" s="8" t="s">
        <v>61</v>
      </c>
      <c r="E1330" s="8" t="s">
        <v>61</v>
      </c>
      <c r="F1330" s="8" t="s">
        <v>61</v>
      </c>
      <c r="G1330" s="8" t="s">
        <v>61</v>
      </c>
      <c r="H1330" s="8" t="s">
        <v>61</v>
      </c>
      <c r="I1330" s="23"/>
      <c r="J1330" s="24" t="s">
        <v>188</v>
      </c>
    </row>
    <row r="1331" customFormat="false" ht="15" hidden="false" customHeight="false" outlineLevel="0" collapsed="false">
      <c r="B1331" s="25" t="s">
        <v>124</v>
      </c>
      <c r="C1331" s="26"/>
      <c r="D1331" s="26"/>
      <c r="E1331" s="26"/>
      <c r="F1331" s="26"/>
      <c r="G1331" s="26"/>
      <c r="H1331" s="26"/>
      <c r="I1331" s="26"/>
      <c r="J1331" s="26"/>
    </row>
    <row r="1332" customFormat="false" ht="15" hidden="false" customHeight="false" outlineLevel="0" collapsed="false">
      <c r="B1332" s="9" t="s">
        <v>189</v>
      </c>
      <c r="C1332" s="15" t="s">
        <v>109</v>
      </c>
      <c r="D1332" s="29" t="str">
        <f aca="false">IF(ISNUMBER(D1321),PI()/4*(D1321*INDEX(LenF,MATCH($C$1321,LenU,0)))^2*N(D1322)*INDEX(LenF,MATCH($C$1322,LenU,0)),"")</f>
        <v/>
      </c>
      <c r="E1332" s="29" t="str">
        <f aca="false">IF(ISNUMBER(E1321),PI()/4*(E1321*INDEX(LenF,MATCH($C$1321,LenU,0)))^2*N(E1322)*INDEX(LenF,MATCH($C$1322,LenU,0)),"")</f>
        <v/>
      </c>
      <c r="F1332" s="29" t="str">
        <f aca="false">IF(ISNUMBER(F1321),PI()/4*(F1321*INDEX(LenF,MATCH($C$1321,LenU,0)))^2*N(F1322)*INDEX(LenF,MATCH($C$1322,LenU,0)),"")</f>
        <v/>
      </c>
      <c r="G1332" s="29" t="str">
        <f aca="false">IF(ISNUMBER(G1321),PI()/4*(G1321*INDEX(LenF,MATCH($C$1321,LenU,0)))^2*N(G1322)*INDEX(LenF,MATCH($C$1322,LenU,0)),"")</f>
        <v/>
      </c>
      <c r="H1332" s="29" t="str">
        <f aca="false">IF(ISNUMBER(H1321),PI()/4*(H1321*INDEX(LenF,MATCH($C$1321,LenU,0)))^2*N(H1322)*INDEX(LenF,MATCH($C$1322,LenU,0)),"")</f>
        <v/>
      </c>
      <c r="I1332" s="30" t="str">
        <f aca="false">IF(COUNT(D1332:H1332)=0,"",SUM(D1332:H1332))</f>
        <v/>
      </c>
      <c r="J1332" s="24"/>
    </row>
    <row r="1333" customFormat="false" ht="15" hidden="false" customHeight="false" outlineLevel="0" collapsed="false">
      <c r="B1333" s="9" t="s">
        <v>190</v>
      </c>
      <c r="C1333" s="15" t="s">
        <v>109</v>
      </c>
      <c r="D1333" s="29" t="str">
        <f aca="false">IF(ISNUMBER(D1321),IF(D1323="",0,IF(D1323="Conical",PI()/12*(D1321*INDEX(LenF,MATCH($C$1321,LenU,0)))^2*(N(D1324)*INDEX(LenF,MATCH($C$1324,LenU,0))),INDEX(HeadK,MATCH(D1323,HeadU,0))*(D1321*INDEX(LenF,MATCH($C$1321,LenU,0)))^3)),"")</f>
        <v/>
      </c>
      <c r="E1333" s="29" t="str">
        <f aca="false">IF(ISNUMBER(E1321),IF(E1323="",0,IF(E1323="Conical",PI()/12*(E1321*INDEX(LenF,MATCH($C$1321,LenU,0)))^2*(N(E1324)*INDEX(LenF,MATCH($C$1324,LenU,0))),INDEX(HeadK,MATCH(E1323,HeadU,0))*(E1321*INDEX(LenF,MATCH($C$1321,LenU,0)))^3)),"")</f>
        <v/>
      </c>
      <c r="F1333" s="29" t="str">
        <f aca="false">IF(ISNUMBER(F1321),IF(F1323="",0,IF(F1323="Conical",PI()/12*(F1321*INDEX(LenF,MATCH($C$1321,LenU,0)))^2*(N(F1324)*INDEX(LenF,MATCH($C$1324,LenU,0))),INDEX(HeadK,MATCH(F1323,HeadU,0))*(F1321*INDEX(LenF,MATCH($C$1321,LenU,0)))^3)),"")</f>
        <v/>
      </c>
      <c r="G1333" s="29" t="str">
        <f aca="false">IF(ISNUMBER(G1321),IF(G1323="",0,IF(G1323="Conical",PI()/12*(G1321*INDEX(LenF,MATCH($C$1321,LenU,0)))^2*(N(G1324)*INDEX(LenF,MATCH($C$1324,LenU,0))),INDEX(HeadK,MATCH(G1323,HeadU,0))*(G1321*INDEX(LenF,MATCH($C$1321,LenU,0)))^3)),"")</f>
        <v/>
      </c>
      <c r="H1333" s="29" t="str">
        <f aca="false">IF(ISNUMBER(H1321),IF(H1323="",0,IF(H1323="Conical",PI()/12*(H1321*INDEX(LenF,MATCH($C$1321,LenU,0)))^2*(N(H1324)*INDEX(LenF,MATCH($C$1324,LenU,0))),INDEX(HeadK,MATCH(H1323,HeadU,0))*(H1321*INDEX(LenF,MATCH($C$1321,LenU,0)))^3)),"")</f>
        <v/>
      </c>
      <c r="I1333" s="30" t="str">
        <f aca="false">IF(COUNT(D1333:H1333)=0,"",SUM(D1333:H1333))</f>
        <v/>
      </c>
      <c r="J1333" s="24"/>
    </row>
    <row r="1334" customFormat="false" ht="15" hidden="false" customHeight="false" outlineLevel="0" collapsed="false">
      <c r="B1334" s="9" t="s">
        <v>191</v>
      </c>
      <c r="C1334" s="15" t="s">
        <v>109</v>
      </c>
      <c r="D1334" s="29" t="str">
        <f aca="false">IF(ISNUMBER(D1321),IF(D1325="",0,IF(D1325="Conical",PI()/12*(D1321*INDEX(LenF,MATCH($C$1321,LenU,0)))^2*(N(D1326)*INDEX(LenF,MATCH($C$1326,LenU,0))),INDEX(HeadK,MATCH(D1325,HeadU,0))*(D1321*INDEX(LenF,MATCH($C$1321,LenU,0)))^3)),"")</f>
        <v/>
      </c>
      <c r="E1334" s="29" t="str">
        <f aca="false">IF(ISNUMBER(E1321),IF(E1325="",0,IF(E1325="Conical",PI()/12*(E1321*INDEX(LenF,MATCH($C$1321,LenU,0)))^2*(N(E1326)*INDEX(LenF,MATCH($C$1326,LenU,0))),INDEX(HeadK,MATCH(E1325,HeadU,0))*(E1321*INDEX(LenF,MATCH($C$1321,LenU,0)))^3)),"")</f>
        <v/>
      </c>
      <c r="F1334" s="29" t="str">
        <f aca="false">IF(ISNUMBER(F1321),IF(F1325="",0,IF(F1325="Conical",PI()/12*(F1321*INDEX(LenF,MATCH($C$1321,LenU,0)))^2*(N(F1326)*INDEX(LenF,MATCH($C$1326,LenU,0))),INDEX(HeadK,MATCH(F1325,HeadU,0))*(F1321*INDEX(LenF,MATCH($C$1321,LenU,0)))^3)),"")</f>
        <v/>
      </c>
      <c r="G1334" s="29" t="str">
        <f aca="false">IF(ISNUMBER(G1321),IF(G1325="",0,IF(G1325="Conical",PI()/12*(G1321*INDEX(LenF,MATCH($C$1321,LenU,0)))^2*(N(G1326)*INDEX(LenF,MATCH($C$1326,LenU,0))),INDEX(HeadK,MATCH(G1325,HeadU,0))*(G1321*INDEX(LenF,MATCH($C$1321,LenU,0)))^3)),"")</f>
        <v/>
      </c>
      <c r="H1334" s="29" t="str">
        <f aca="false">IF(ISNUMBER(H1321),IF(H1325="",0,IF(H1325="Conical",PI()/12*(H1321*INDEX(LenF,MATCH($C$1321,LenU,0)))^2*(N(H1326)*INDEX(LenF,MATCH($C$1326,LenU,0))),INDEX(HeadK,MATCH(H1325,HeadU,0))*(H1321*INDEX(LenF,MATCH($C$1321,LenU,0)))^3)),"")</f>
        <v/>
      </c>
      <c r="I1334" s="30" t="str">
        <f aca="false">IF(COUNT(D1334:H1334)=0,"",SUM(D1334:H1334))</f>
        <v/>
      </c>
      <c r="J1334" s="24"/>
    </row>
    <row r="1335" customFormat="false" ht="15" hidden="false" customHeight="false" outlineLevel="0" collapsed="false">
      <c r="B1335" s="9" t="s">
        <v>192</v>
      </c>
      <c r="C1335" s="15" t="s">
        <v>109</v>
      </c>
      <c r="D1335" s="29" t="str">
        <f aca="false">IF(ISNUMBER(D1321),D1332+D1333+D1334,"")</f>
        <v/>
      </c>
      <c r="E1335" s="29" t="str">
        <f aca="false">IF(ISNUMBER(E1321),E1332+E1333+E1334,"")</f>
        <v/>
      </c>
      <c r="F1335" s="29" t="str">
        <f aca="false">IF(ISNUMBER(F1321),F1332+F1333+F1334,"")</f>
        <v/>
      </c>
      <c r="G1335" s="29" t="str">
        <f aca="false">IF(ISNUMBER(G1321),G1332+G1333+G1334,"")</f>
        <v/>
      </c>
      <c r="H1335" s="29" t="str">
        <f aca="false">IF(ISNUMBER(H1321),H1332+H1333+H1334,"")</f>
        <v/>
      </c>
      <c r="I1335" s="30" t="str">
        <f aca="false">IF(COUNT(D1335:H1335)=0,"",SUM(D1335:H1335))</f>
        <v/>
      </c>
      <c r="J1335" s="24"/>
    </row>
    <row r="1336" customFormat="false" ht="15" hidden="false" customHeight="false" outlineLevel="0" collapsed="false">
      <c r="B1336" s="9" t="s">
        <v>193</v>
      </c>
      <c r="C1336" s="15" t="s">
        <v>109</v>
      </c>
      <c r="D1336" s="29" t="str">
        <f aca="false">IF(ISNUMBER(D1327),D1327*INDEX(WtF,MATCH($C$1327,WtU,0))/WaterRho,"")</f>
        <v/>
      </c>
      <c r="E1336" s="29" t="str">
        <f aca="false">IF(ISNUMBER(E1327),E1327*INDEX(WtF,MATCH($C$1327,WtU,0))/WaterRho,"")</f>
        <v/>
      </c>
      <c r="F1336" s="29" t="str">
        <f aca="false">IF(ISNUMBER(F1327),F1327*INDEX(WtF,MATCH($C$1327,WtU,0))/WaterRho,"")</f>
        <v/>
      </c>
      <c r="G1336" s="29" t="str">
        <f aca="false">IF(ISNUMBER(G1327),G1327*INDEX(WtF,MATCH($C$1327,WtU,0))/WaterRho,"")</f>
        <v/>
      </c>
      <c r="H1336" s="29" t="str">
        <f aca="false">IF(ISNUMBER(H1327),H1327*INDEX(WtF,MATCH($C$1327,WtU,0))/WaterRho,"")</f>
        <v/>
      </c>
      <c r="I1336" s="30" t="str">
        <f aca="false">IF(COUNT(D1336:H1336)=0,"",SUM(D1336:H1336))</f>
        <v/>
      </c>
      <c r="J1336" s="24"/>
    </row>
    <row r="1337" customFormat="false" ht="15" hidden="false" customHeight="false" outlineLevel="0" collapsed="false">
      <c r="B1337" s="4" t="s">
        <v>194</v>
      </c>
      <c r="C1337" s="15" t="s">
        <v>109</v>
      </c>
      <c r="D1337" s="31" t="str">
        <f aca="false">IF(D1329="Water weight",D1336,D1335)</f>
        <v/>
      </c>
      <c r="E1337" s="31" t="str">
        <f aca="false">IF(E1329="Water weight",E1336,E1335)</f>
        <v/>
      </c>
      <c r="F1337" s="31" t="str">
        <f aca="false">IF(F1329="Water weight",F1336,F1335)</f>
        <v/>
      </c>
      <c r="G1337" s="31" t="str">
        <f aca="false">IF(G1329="Water weight",G1336,G1335)</f>
        <v/>
      </c>
      <c r="H1337" s="31" t="str">
        <f aca="false">IF(H1329="Water weight",H1336,H1335)</f>
        <v/>
      </c>
      <c r="I1337" s="31" t="str">
        <f aca="false">IF(COUNT(D1337:H1337)=0,"",SUM(D1337:H1337))</f>
        <v/>
      </c>
      <c r="J1337" s="24"/>
      <c r="K1337" s="32" t="s">
        <v>195</v>
      </c>
      <c r="L1337" s="32" t="n">
        <f aca="false">D1319</f>
        <v>0</v>
      </c>
      <c r="M1337" s="32" t="n">
        <f aca="false">E1319</f>
        <v>0</v>
      </c>
      <c r="N1337" s="32" t="n">
        <f aca="false">F1319</f>
        <v>0</v>
      </c>
      <c r="O1337" s="32" t="n">
        <f aca="false">G1319</f>
        <v>0</v>
      </c>
      <c r="P1337" s="32" t="n">
        <f aca="false">H1319</f>
        <v>0</v>
      </c>
    </row>
    <row r="1338" customFormat="false" ht="36" hidden="false" customHeight="true" outlineLevel="0" collapsed="false">
      <c r="B1338" s="9" t="s">
        <v>196</v>
      </c>
      <c r="C1338" s="15" t="s">
        <v>29</v>
      </c>
      <c r="D1338" s="39" t="str">
        <f aca="false">IF(D1337="","",IF(JobType="Chemical Cleaning",D1330,IFERROR(INDEX(DecMeth,MATCH(D1319,DecTypeU,0)),"⚠ select equipment type")))</f>
        <v/>
      </c>
      <c r="E1338" s="39" t="str">
        <f aca="false">IF(E1337="","",IF(JobType="Chemical Cleaning",E1330,IFERROR(INDEX(DecMeth,MATCH(E1319,DecTypeU,0)),"⚠ select equipment type")))</f>
        <v/>
      </c>
      <c r="F1338" s="39" t="str">
        <f aca="false">IF(F1337="","",IF(JobType="Chemical Cleaning",F1330,IFERROR(INDEX(DecMeth,MATCH(F1319,DecTypeU,0)),"⚠ select equipment type")))</f>
        <v/>
      </c>
      <c r="G1338" s="39" t="str">
        <f aca="false">IF(G1337="","",IF(JobType="Chemical Cleaning",G1330,IFERROR(INDEX(DecMeth,MATCH(G1319,DecTypeU,0)),"⚠ select equipment type")))</f>
        <v/>
      </c>
      <c r="H1338" s="39" t="str">
        <f aca="false">IF(H1337="","",IF(JobType="Chemical Cleaning",H1330,IFERROR(INDEX(DecMeth,MATCH(H1319,DecTypeU,0)),"⚠ select equipment type")))</f>
        <v/>
      </c>
      <c r="I1338" s="40"/>
      <c r="J1338" s="24"/>
    </row>
    <row r="1339" customFormat="false" ht="15" hidden="false" customHeight="false" outlineLevel="0" collapsed="false">
      <c r="B1339" s="9" t="s">
        <v>60</v>
      </c>
      <c r="C1339" s="15" t="s">
        <v>146</v>
      </c>
      <c r="D1339" s="35" t="str">
        <f aca="false">IF(D1337="","",IF(JobType="Chemical Cleaning",IFERROR(INDEX(CCMethPct,MATCH(D1330,CCMethU,0)),""),IFERROR(INDEX(DecFill,MATCH(D1319,DecTypeU,0)),"")))</f>
        <v/>
      </c>
      <c r="E1339" s="35" t="str">
        <f aca="false">IF(E1337="","",IF(JobType="Chemical Cleaning",IFERROR(INDEX(CCMethPct,MATCH(E1330,CCMethU,0)),""),IFERROR(INDEX(DecFill,MATCH(E1319,DecTypeU,0)),"")))</f>
        <v/>
      </c>
      <c r="F1339" s="35" t="str">
        <f aca="false">IF(F1337="","",IF(JobType="Chemical Cleaning",IFERROR(INDEX(CCMethPct,MATCH(F1330,CCMethU,0)),""),IFERROR(INDEX(DecFill,MATCH(F1319,DecTypeU,0)),"")))</f>
        <v/>
      </c>
      <c r="G1339" s="35" t="str">
        <f aca="false">IF(G1337="","",IF(JobType="Chemical Cleaning",IFERROR(INDEX(CCMethPct,MATCH(G1330,CCMethU,0)),""),IFERROR(INDEX(DecFill,MATCH(G1319,DecTypeU,0)),"")))</f>
        <v/>
      </c>
      <c r="H1339" s="35" t="str">
        <f aca="false">IF(H1337="","",IF(JobType="Chemical Cleaning",IFERROR(INDEX(CCMethPct,MATCH(H1330,CCMethU,0)),""),IFERROR(INDEX(DecFill,MATCH(H1319,DecTypeU,0)),"")))</f>
        <v/>
      </c>
      <c r="I1339" s="36"/>
      <c r="J1339" s="24" t="s">
        <v>197</v>
      </c>
    </row>
    <row r="1340" customFormat="false" ht="15" hidden="false" customHeight="false" outlineLevel="0" collapsed="false">
      <c r="B1340" s="4" t="s">
        <v>148</v>
      </c>
      <c r="C1340" s="15" t="s">
        <v>109</v>
      </c>
      <c r="D1340" s="31" t="str">
        <f aca="false">IF(OR(D1337="",D1339=""),"",D1337*D1339)</f>
        <v/>
      </c>
      <c r="E1340" s="31" t="str">
        <f aca="false">IF(OR(E1337="",E1339=""),"",E1337*E1339)</f>
        <v/>
      </c>
      <c r="F1340" s="31" t="str">
        <f aca="false">IF(OR(F1337="",F1339=""),"",F1337*F1339)</f>
        <v/>
      </c>
      <c r="G1340" s="31" t="str">
        <f aca="false">IF(OR(G1337="",G1339=""),"",G1337*G1339)</f>
        <v/>
      </c>
      <c r="H1340" s="31" t="str">
        <f aca="false">IF(OR(H1337="",H1339=""),"",H1337*H1339)</f>
        <v/>
      </c>
      <c r="I1340" s="31" t="str">
        <f aca="false">IF(COUNT(D1340:H1340)=0,"",SUM(D1340:H1340))</f>
        <v/>
      </c>
      <c r="J1340" s="24"/>
      <c r="K1340" s="32" t="s">
        <v>198</v>
      </c>
      <c r="L1340" s="32" t="n">
        <f aca="false">D1319</f>
        <v>0</v>
      </c>
      <c r="M1340" s="32" t="n">
        <f aca="false">E1319</f>
        <v>0</v>
      </c>
      <c r="N1340" s="32" t="n">
        <f aca="false">F1319</f>
        <v>0</v>
      </c>
      <c r="O1340" s="32" t="n">
        <f aca="false">G1319</f>
        <v>0</v>
      </c>
      <c r="P1340" s="32" t="n">
        <f aca="false">H1319</f>
        <v>0</v>
      </c>
    </row>
    <row r="1341" customFormat="false" ht="15" hidden="false" customHeight="false" outlineLevel="0" collapsed="false">
      <c r="B1341" s="9" t="s">
        <v>150</v>
      </c>
      <c r="C1341" s="15" t="s">
        <v>32</v>
      </c>
      <c r="D1341" s="37" t="str">
        <f aca="false">IF(OR(JobType&lt;&gt;"Decontamination",D1340=""),"",IFERROR(D1340*INDEX(DecChem,MATCH(D1319,DecTypeU,0))*1000,""))</f>
        <v/>
      </c>
      <c r="E1341" s="37" t="str">
        <f aca="false">IF(OR(JobType&lt;&gt;"Decontamination",E1340=""),"",IFERROR(E1340*INDEX(DecChem,MATCH(E1319,DecTypeU,0))*1000,""))</f>
        <v/>
      </c>
      <c r="F1341" s="37" t="str">
        <f aca="false">IF(OR(JobType&lt;&gt;"Decontamination",F1340=""),"",IFERROR(F1340*INDEX(DecChem,MATCH(F1319,DecTypeU,0))*1000,""))</f>
        <v/>
      </c>
      <c r="G1341" s="37" t="str">
        <f aca="false">IF(OR(JobType&lt;&gt;"Decontamination",G1340=""),"",IFERROR(G1340*INDEX(DecChem,MATCH(G1319,DecTypeU,0))*1000,""))</f>
        <v/>
      </c>
      <c r="H1341" s="37" t="str">
        <f aca="false">IF(OR(JobType&lt;&gt;"Decontamination",H1340=""),"",IFERROR(H1340*INDEX(DecChem,MATCH(H1319,DecTypeU,0))*1000,""))</f>
        <v/>
      </c>
      <c r="I1341" s="38" t="str">
        <f aca="false">IF(COUNT(D1341:H1341)=0,"",SUM(D1341:H1341))</f>
        <v/>
      </c>
      <c r="J1341" s="24" t="s">
        <v>199</v>
      </c>
      <c r="K1341" s="32" t="s">
        <v>200</v>
      </c>
      <c r="L1341" s="32" t="n">
        <f aca="false">D1319</f>
        <v>0</v>
      </c>
      <c r="M1341" s="32" t="n">
        <f aca="false">E1319</f>
        <v>0</v>
      </c>
      <c r="N1341" s="32" t="n">
        <f aca="false">F1319</f>
        <v>0</v>
      </c>
      <c r="O1341" s="32" t="n">
        <f aca="false">G1319</f>
        <v>0</v>
      </c>
      <c r="P1341" s="32" t="n">
        <f aca="false">H1319</f>
        <v>0</v>
      </c>
    </row>
    <row r="1343" customFormat="false" ht="15" hidden="false" customHeight="false" outlineLevel="0" collapsed="false">
      <c r="A1343" s="20" t="n">
        <v>17</v>
      </c>
      <c r="B1343" s="21" t="s">
        <v>216</v>
      </c>
      <c r="C1343" s="22"/>
      <c r="D1343" s="22"/>
      <c r="E1343" s="22"/>
      <c r="F1343" s="22"/>
      <c r="G1343" s="22"/>
      <c r="H1343" s="22"/>
      <c r="I1343" s="22"/>
      <c r="J1343" s="22"/>
    </row>
    <row r="1344" customFormat="false" ht="15" hidden="false" customHeight="false" outlineLevel="0" collapsed="false">
      <c r="B1344" s="9" t="s">
        <v>83</v>
      </c>
      <c r="C1344" s="15" t="s">
        <v>29</v>
      </c>
      <c r="D1344" s="8"/>
      <c r="E1344" s="8"/>
      <c r="F1344" s="8"/>
      <c r="G1344" s="8"/>
      <c r="H1344" s="8"/>
      <c r="I1344" s="23"/>
      <c r="J1344" s="24"/>
    </row>
    <row r="1345" customFormat="false" ht="15" hidden="false" customHeight="false" outlineLevel="0" collapsed="false">
      <c r="B1345" s="9" t="s">
        <v>86</v>
      </c>
      <c r="C1345" s="15" t="s">
        <v>29</v>
      </c>
      <c r="D1345" s="8"/>
      <c r="E1345" s="8"/>
      <c r="F1345" s="8"/>
      <c r="G1345" s="8"/>
      <c r="H1345" s="8"/>
      <c r="I1345" s="23"/>
      <c r="J1345" s="24"/>
    </row>
    <row r="1346" customFormat="false" ht="15" hidden="false" customHeight="false" outlineLevel="0" collapsed="false">
      <c r="B1346" s="9" t="s">
        <v>175</v>
      </c>
      <c r="C1346" s="15" t="s">
        <v>29</v>
      </c>
      <c r="D1346" s="8"/>
      <c r="E1346" s="8"/>
      <c r="F1346" s="8"/>
      <c r="G1346" s="8"/>
      <c r="H1346" s="8"/>
      <c r="I1346" s="23"/>
      <c r="J1346" s="24" t="s">
        <v>176</v>
      </c>
    </row>
    <row r="1347" customFormat="false" ht="15" hidden="false" customHeight="false" outlineLevel="0" collapsed="false">
      <c r="B1347" s="25" t="s">
        <v>177</v>
      </c>
      <c r="C1347" s="26"/>
      <c r="D1347" s="26"/>
      <c r="E1347" s="26"/>
      <c r="F1347" s="26"/>
      <c r="G1347" s="26"/>
      <c r="H1347" s="26"/>
      <c r="I1347" s="26"/>
      <c r="J1347" s="26"/>
    </row>
    <row r="1348" customFormat="false" ht="15" hidden="false" customHeight="false" outlineLevel="0" collapsed="false">
      <c r="B1348" s="9" t="s">
        <v>178</v>
      </c>
      <c r="C1348" s="8" t="s">
        <v>92</v>
      </c>
      <c r="D1348" s="8"/>
      <c r="E1348" s="8"/>
      <c r="F1348" s="8"/>
      <c r="G1348" s="8"/>
      <c r="H1348" s="8"/>
      <c r="I1348" s="23"/>
      <c r="J1348" s="24"/>
    </row>
    <row r="1349" customFormat="false" ht="15" hidden="false" customHeight="false" outlineLevel="0" collapsed="false">
      <c r="B1349" s="9" t="s">
        <v>179</v>
      </c>
      <c r="C1349" s="8" t="s">
        <v>92</v>
      </c>
      <c r="D1349" s="8"/>
      <c r="E1349" s="8"/>
      <c r="F1349" s="8"/>
      <c r="G1349" s="8"/>
      <c r="H1349" s="8"/>
      <c r="I1349" s="23"/>
      <c r="J1349" s="24"/>
    </row>
    <row r="1350" customFormat="false" ht="15" hidden="false" customHeight="false" outlineLevel="0" collapsed="false">
      <c r="B1350" s="9" t="s">
        <v>180</v>
      </c>
      <c r="C1350" s="15" t="s">
        <v>29</v>
      </c>
      <c r="D1350" s="8"/>
      <c r="E1350" s="8"/>
      <c r="F1350" s="8"/>
      <c r="G1350" s="8"/>
      <c r="H1350" s="8"/>
      <c r="I1350" s="23"/>
      <c r="J1350" s="24"/>
    </row>
    <row r="1351" customFormat="false" ht="15" hidden="false" customHeight="false" outlineLevel="0" collapsed="false">
      <c r="B1351" s="9" t="s">
        <v>181</v>
      </c>
      <c r="C1351" s="8" t="s">
        <v>92</v>
      </c>
      <c r="D1351" s="8"/>
      <c r="E1351" s="8"/>
      <c r="F1351" s="8"/>
      <c r="G1351" s="8"/>
      <c r="H1351" s="8"/>
      <c r="I1351" s="23"/>
      <c r="J1351" s="24"/>
    </row>
    <row r="1352" customFormat="false" ht="15" hidden="false" customHeight="false" outlineLevel="0" collapsed="false">
      <c r="B1352" s="9" t="s">
        <v>182</v>
      </c>
      <c r="C1352" s="15" t="s">
        <v>29</v>
      </c>
      <c r="D1352" s="8"/>
      <c r="E1352" s="8"/>
      <c r="F1352" s="8"/>
      <c r="G1352" s="8"/>
      <c r="H1352" s="8"/>
      <c r="I1352" s="23"/>
      <c r="J1352" s="24"/>
    </row>
    <row r="1353" customFormat="false" ht="15" hidden="false" customHeight="false" outlineLevel="0" collapsed="false">
      <c r="B1353" s="9" t="s">
        <v>183</v>
      </c>
      <c r="C1353" s="8" t="s">
        <v>92</v>
      </c>
      <c r="D1353" s="8"/>
      <c r="E1353" s="8"/>
      <c r="F1353" s="8"/>
      <c r="G1353" s="8"/>
      <c r="H1353" s="8"/>
      <c r="I1353" s="23"/>
      <c r="J1353" s="24"/>
    </row>
    <row r="1354" customFormat="false" ht="15" hidden="false" customHeight="false" outlineLevel="0" collapsed="false">
      <c r="B1354" s="9" t="s">
        <v>184</v>
      </c>
      <c r="C1354" s="8" t="s">
        <v>112</v>
      </c>
      <c r="D1354" s="8"/>
      <c r="E1354" s="8"/>
      <c r="F1354" s="8"/>
      <c r="G1354" s="8"/>
      <c r="H1354" s="8"/>
      <c r="I1354" s="23"/>
      <c r="J1354" s="24"/>
    </row>
    <row r="1355" customFormat="false" ht="15" hidden="false" customHeight="false" outlineLevel="0" collapsed="false">
      <c r="B1355" s="25" t="s">
        <v>185</v>
      </c>
      <c r="C1355" s="26"/>
      <c r="D1355" s="26"/>
      <c r="E1355" s="26"/>
      <c r="F1355" s="26"/>
      <c r="G1355" s="26"/>
      <c r="H1355" s="26"/>
      <c r="I1355" s="26"/>
      <c r="J1355" s="26"/>
    </row>
    <row r="1356" customFormat="false" ht="15" hidden="false" customHeight="false" outlineLevel="0" collapsed="false">
      <c r="B1356" s="9" t="s">
        <v>186</v>
      </c>
      <c r="C1356" s="15" t="s">
        <v>29</v>
      </c>
      <c r="D1356" s="8" t="s">
        <v>122</v>
      </c>
      <c r="E1356" s="8" t="s">
        <v>122</v>
      </c>
      <c r="F1356" s="8" t="s">
        <v>122</v>
      </c>
      <c r="G1356" s="8" t="s">
        <v>122</v>
      </c>
      <c r="H1356" s="8" t="s">
        <v>122</v>
      </c>
      <c r="I1356" s="23"/>
      <c r="J1356" s="24"/>
    </row>
    <row r="1357" customFormat="false" ht="15" hidden="false" customHeight="false" outlineLevel="0" collapsed="false">
      <c r="B1357" s="9" t="s">
        <v>187</v>
      </c>
      <c r="C1357" s="15" t="s">
        <v>29</v>
      </c>
      <c r="D1357" s="8" t="s">
        <v>61</v>
      </c>
      <c r="E1357" s="8" t="s">
        <v>61</v>
      </c>
      <c r="F1357" s="8" t="s">
        <v>61</v>
      </c>
      <c r="G1357" s="8" t="s">
        <v>61</v>
      </c>
      <c r="H1357" s="8" t="s">
        <v>61</v>
      </c>
      <c r="I1357" s="23"/>
      <c r="J1357" s="24" t="s">
        <v>188</v>
      </c>
    </row>
    <row r="1358" customFormat="false" ht="15" hidden="false" customHeight="false" outlineLevel="0" collapsed="false">
      <c r="B1358" s="25" t="s">
        <v>124</v>
      </c>
      <c r="C1358" s="26"/>
      <c r="D1358" s="26"/>
      <c r="E1358" s="26"/>
      <c r="F1358" s="26"/>
      <c r="G1358" s="26"/>
      <c r="H1358" s="26"/>
      <c r="I1358" s="26"/>
      <c r="J1358" s="26"/>
    </row>
    <row r="1359" customFormat="false" ht="15" hidden="false" customHeight="false" outlineLevel="0" collapsed="false">
      <c r="B1359" s="9" t="s">
        <v>189</v>
      </c>
      <c r="C1359" s="15" t="s">
        <v>109</v>
      </c>
      <c r="D1359" s="29" t="str">
        <f aca="false">IF(ISNUMBER(D1348),PI()/4*(D1348*INDEX(LenF,MATCH($C$1348,LenU,0)))^2*N(D1349)*INDEX(LenF,MATCH($C$1349,LenU,0)),"")</f>
        <v/>
      </c>
      <c r="E1359" s="29" t="str">
        <f aca="false">IF(ISNUMBER(E1348),PI()/4*(E1348*INDEX(LenF,MATCH($C$1348,LenU,0)))^2*N(E1349)*INDEX(LenF,MATCH($C$1349,LenU,0)),"")</f>
        <v/>
      </c>
      <c r="F1359" s="29" t="str">
        <f aca="false">IF(ISNUMBER(F1348),PI()/4*(F1348*INDEX(LenF,MATCH($C$1348,LenU,0)))^2*N(F1349)*INDEX(LenF,MATCH($C$1349,LenU,0)),"")</f>
        <v/>
      </c>
      <c r="G1359" s="29" t="str">
        <f aca="false">IF(ISNUMBER(G1348),PI()/4*(G1348*INDEX(LenF,MATCH($C$1348,LenU,0)))^2*N(G1349)*INDEX(LenF,MATCH($C$1349,LenU,0)),"")</f>
        <v/>
      </c>
      <c r="H1359" s="29" t="str">
        <f aca="false">IF(ISNUMBER(H1348),PI()/4*(H1348*INDEX(LenF,MATCH($C$1348,LenU,0)))^2*N(H1349)*INDEX(LenF,MATCH($C$1349,LenU,0)),"")</f>
        <v/>
      </c>
      <c r="I1359" s="30" t="str">
        <f aca="false">IF(COUNT(D1359:H1359)=0,"",SUM(D1359:H1359))</f>
        <v/>
      </c>
      <c r="J1359" s="24"/>
    </row>
    <row r="1360" customFormat="false" ht="15" hidden="false" customHeight="false" outlineLevel="0" collapsed="false">
      <c r="B1360" s="9" t="s">
        <v>190</v>
      </c>
      <c r="C1360" s="15" t="s">
        <v>109</v>
      </c>
      <c r="D1360" s="29" t="str">
        <f aca="false">IF(ISNUMBER(D1348),IF(D1350="",0,IF(D1350="Conical",PI()/12*(D1348*INDEX(LenF,MATCH($C$1348,LenU,0)))^2*(N(D1351)*INDEX(LenF,MATCH($C$1351,LenU,0))),INDEX(HeadK,MATCH(D1350,HeadU,0))*(D1348*INDEX(LenF,MATCH($C$1348,LenU,0)))^3)),"")</f>
        <v/>
      </c>
      <c r="E1360" s="29" t="str">
        <f aca="false">IF(ISNUMBER(E1348),IF(E1350="",0,IF(E1350="Conical",PI()/12*(E1348*INDEX(LenF,MATCH($C$1348,LenU,0)))^2*(N(E1351)*INDEX(LenF,MATCH($C$1351,LenU,0))),INDEX(HeadK,MATCH(E1350,HeadU,0))*(E1348*INDEX(LenF,MATCH($C$1348,LenU,0)))^3)),"")</f>
        <v/>
      </c>
      <c r="F1360" s="29" t="str">
        <f aca="false">IF(ISNUMBER(F1348),IF(F1350="",0,IF(F1350="Conical",PI()/12*(F1348*INDEX(LenF,MATCH($C$1348,LenU,0)))^2*(N(F1351)*INDEX(LenF,MATCH($C$1351,LenU,0))),INDEX(HeadK,MATCH(F1350,HeadU,0))*(F1348*INDEX(LenF,MATCH($C$1348,LenU,0)))^3)),"")</f>
        <v/>
      </c>
      <c r="G1360" s="29" t="str">
        <f aca="false">IF(ISNUMBER(G1348),IF(G1350="",0,IF(G1350="Conical",PI()/12*(G1348*INDEX(LenF,MATCH($C$1348,LenU,0)))^2*(N(G1351)*INDEX(LenF,MATCH($C$1351,LenU,0))),INDEX(HeadK,MATCH(G1350,HeadU,0))*(G1348*INDEX(LenF,MATCH($C$1348,LenU,0)))^3)),"")</f>
        <v/>
      </c>
      <c r="H1360" s="29" t="str">
        <f aca="false">IF(ISNUMBER(H1348),IF(H1350="",0,IF(H1350="Conical",PI()/12*(H1348*INDEX(LenF,MATCH($C$1348,LenU,0)))^2*(N(H1351)*INDEX(LenF,MATCH($C$1351,LenU,0))),INDEX(HeadK,MATCH(H1350,HeadU,0))*(H1348*INDEX(LenF,MATCH($C$1348,LenU,0)))^3)),"")</f>
        <v/>
      </c>
      <c r="I1360" s="30" t="str">
        <f aca="false">IF(COUNT(D1360:H1360)=0,"",SUM(D1360:H1360))</f>
        <v/>
      </c>
      <c r="J1360" s="24"/>
    </row>
    <row r="1361" customFormat="false" ht="15" hidden="false" customHeight="false" outlineLevel="0" collapsed="false">
      <c r="B1361" s="9" t="s">
        <v>191</v>
      </c>
      <c r="C1361" s="15" t="s">
        <v>109</v>
      </c>
      <c r="D1361" s="29" t="str">
        <f aca="false">IF(ISNUMBER(D1348),IF(D1352="",0,IF(D1352="Conical",PI()/12*(D1348*INDEX(LenF,MATCH($C$1348,LenU,0)))^2*(N(D1353)*INDEX(LenF,MATCH($C$1353,LenU,0))),INDEX(HeadK,MATCH(D1352,HeadU,0))*(D1348*INDEX(LenF,MATCH($C$1348,LenU,0)))^3)),"")</f>
        <v/>
      </c>
      <c r="E1361" s="29" t="str">
        <f aca="false">IF(ISNUMBER(E1348),IF(E1352="",0,IF(E1352="Conical",PI()/12*(E1348*INDEX(LenF,MATCH($C$1348,LenU,0)))^2*(N(E1353)*INDEX(LenF,MATCH($C$1353,LenU,0))),INDEX(HeadK,MATCH(E1352,HeadU,0))*(E1348*INDEX(LenF,MATCH($C$1348,LenU,0)))^3)),"")</f>
        <v/>
      </c>
      <c r="F1361" s="29" t="str">
        <f aca="false">IF(ISNUMBER(F1348),IF(F1352="",0,IF(F1352="Conical",PI()/12*(F1348*INDEX(LenF,MATCH($C$1348,LenU,0)))^2*(N(F1353)*INDEX(LenF,MATCH($C$1353,LenU,0))),INDEX(HeadK,MATCH(F1352,HeadU,0))*(F1348*INDEX(LenF,MATCH($C$1348,LenU,0)))^3)),"")</f>
        <v/>
      </c>
      <c r="G1361" s="29" t="str">
        <f aca="false">IF(ISNUMBER(G1348),IF(G1352="",0,IF(G1352="Conical",PI()/12*(G1348*INDEX(LenF,MATCH($C$1348,LenU,0)))^2*(N(G1353)*INDEX(LenF,MATCH($C$1353,LenU,0))),INDEX(HeadK,MATCH(G1352,HeadU,0))*(G1348*INDEX(LenF,MATCH($C$1348,LenU,0)))^3)),"")</f>
        <v/>
      </c>
      <c r="H1361" s="29" t="str">
        <f aca="false">IF(ISNUMBER(H1348),IF(H1352="",0,IF(H1352="Conical",PI()/12*(H1348*INDEX(LenF,MATCH($C$1348,LenU,0)))^2*(N(H1353)*INDEX(LenF,MATCH($C$1353,LenU,0))),INDEX(HeadK,MATCH(H1352,HeadU,0))*(H1348*INDEX(LenF,MATCH($C$1348,LenU,0)))^3)),"")</f>
        <v/>
      </c>
      <c r="I1361" s="30" t="str">
        <f aca="false">IF(COUNT(D1361:H1361)=0,"",SUM(D1361:H1361))</f>
        <v/>
      </c>
      <c r="J1361" s="24"/>
    </row>
    <row r="1362" customFormat="false" ht="15" hidden="false" customHeight="false" outlineLevel="0" collapsed="false">
      <c r="B1362" s="9" t="s">
        <v>192</v>
      </c>
      <c r="C1362" s="15" t="s">
        <v>109</v>
      </c>
      <c r="D1362" s="29" t="str">
        <f aca="false">IF(ISNUMBER(D1348),D1359+D1360+D1361,"")</f>
        <v/>
      </c>
      <c r="E1362" s="29" t="str">
        <f aca="false">IF(ISNUMBER(E1348),E1359+E1360+E1361,"")</f>
        <v/>
      </c>
      <c r="F1362" s="29" t="str">
        <f aca="false">IF(ISNUMBER(F1348),F1359+F1360+F1361,"")</f>
        <v/>
      </c>
      <c r="G1362" s="29" t="str">
        <f aca="false">IF(ISNUMBER(G1348),G1359+G1360+G1361,"")</f>
        <v/>
      </c>
      <c r="H1362" s="29" t="str">
        <f aca="false">IF(ISNUMBER(H1348),H1359+H1360+H1361,"")</f>
        <v/>
      </c>
      <c r="I1362" s="30" t="str">
        <f aca="false">IF(COUNT(D1362:H1362)=0,"",SUM(D1362:H1362))</f>
        <v/>
      </c>
      <c r="J1362" s="24"/>
    </row>
    <row r="1363" customFormat="false" ht="15" hidden="false" customHeight="false" outlineLevel="0" collapsed="false">
      <c r="B1363" s="9" t="s">
        <v>193</v>
      </c>
      <c r="C1363" s="15" t="s">
        <v>109</v>
      </c>
      <c r="D1363" s="29" t="str">
        <f aca="false">IF(ISNUMBER(D1354),D1354*INDEX(WtF,MATCH($C$1354,WtU,0))/WaterRho,"")</f>
        <v/>
      </c>
      <c r="E1363" s="29" t="str">
        <f aca="false">IF(ISNUMBER(E1354),E1354*INDEX(WtF,MATCH($C$1354,WtU,0))/WaterRho,"")</f>
        <v/>
      </c>
      <c r="F1363" s="29" t="str">
        <f aca="false">IF(ISNUMBER(F1354),F1354*INDEX(WtF,MATCH($C$1354,WtU,0))/WaterRho,"")</f>
        <v/>
      </c>
      <c r="G1363" s="29" t="str">
        <f aca="false">IF(ISNUMBER(G1354),G1354*INDEX(WtF,MATCH($C$1354,WtU,0))/WaterRho,"")</f>
        <v/>
      </c>
      <c r="H1363" s="29" t="str">
        <f aca="false">IF(ISNUMBER(H1354),H1354*INDEX(WtF,MATCH($C$1354,WtU,0))/WaterRho,"")</f>
        <v/>
      </c>
      <c r="I1363" s="30" t="str">
        <f aca="false">IF(COUNT(D1363:H1363)=0,"",SUM(D1363:H1363))</f>
        <v/>
      </c>
      <c r="J1363" s="24"/>
    </row>
    <row r="1364" customFormat="false" ht="15" hidden="false" customHeight="false" outlineLevel="0" collapsed="false">
      <c r="B1364" s="4" t="s">
        <v>194</v>
      </c>
      <c r="C1364" s="15" t="s">
        <v>109</v>
      </c>
      <c r="D1364" s="31" t="str">
        <f aca="false">IF(D1356="Water weight",D1363,D1362)</f>
        <v/>
      </c>
      <c r="E1364" s="31" t="str">
        <f aca="false">IF(E1356="Water weight",E1363,E1362)</f>
        <v/>
      </c>
      <c r="F1364" s="31" t="str">
        <f aca="false">IF(F1356="Water weight",F1363,F1362)</f>
        <v/>
      </c>
      <c r="G1364" s="31" t="str">
        <f aca="false">IF(G1356="Water weight",G1363,G1362)</f>
        <v/>
      </c>
      <c r="H1364" s="31" t="str">
        <f aca="false">IF(H1356="Water weight",H1363,H1362)</f>
        <v/>
      </c>
      <c r="I1364" s="31" t="str">
        <f aca="false">IF(COUNT(D1364:H1364)=0,"",SUM(D1364:H1364))</f>
        <v/>
      </c>
      <c r="J1364" s="24"/>
      <c r="K1364" s="32" t="s">
        <v>195</v>
      </c>
      <c r="L1364" s="32" t="n">
        <f aca="false">D1346</f>
        <v>0</v>
      </c>
      <c r="M1364" s="32" t="n">
        <f aca="false">E1346</f>
        <v>0</v>
      </c>
      <c r="N1364" s="32" t="n">
        <f aca="false">F1346</f>
        <v>0</v>
      </c>
      <c r="O1364" s="32" t="n">
        <f aca="false">G1346</f>
        <v>0</v>
      </c>
      <c r="P1364" s="32" t="n">
        <f aca="false">H1346</f>
        <v>0</v>
      </c>
    </row>
    <row r="1365" customFormat="false" ht="36" hidden="false" customHeight="true" outlineLevel="0" collapsed="false">
      <c r="B1365" s="9" t="s">
        <v>196</v>
      </c>
      <c r="C1365" s="15" t="s">
        <v>29</v>
      </c>
      <c r="D1365" s="39" t="str">
        <f aca="false">IF(D1364="","",IF(JobType="Chemical Cleaning",D1357,IFERROR(INDEX(DecMeth,MATCH(D1346,DecTypeU,0)),"⚠ select equipment type")))</f>
        <v/>
      </c>
      <c r="E1365" s="39" t="str">
        <f aca="false">IF(E1364="","",IF(JobType="Chemical Cleaning",E1357,IFERROR(INDEX(DecMeth,MATCH(E1346,DecTypeU,0)),"⚠ select equipment type")))</f>
        <v/>
      </c>
      <c r="F1365" s="39" t="str">
        <f aca="false">IF(F1364="","",IF(JobType="Chemical Cleaning",F1357,IFERROR(INDEX(DecMeth,MATCH(F1346,DecTypeU,0)),"⚠ select equipment type")))</f>
        <v/>
      </c>
      <c r="G1365" s="39" t="str">
        <f aca="false">IF(G1364="","",IF(JobType="Chemical Cleaning",G1357,IFERROR(INDEX(DecMeth,MATCH(G1346,DecTypeU,0)),"⚠ select equipment type")))</f>
        <v/>
      </c>
      <c r="H1365" s="39" t="str">
        <f aca="false">IF(H1364="","",IF(JobType="Chemical Cleaning",H1357,IFERROR(INDEX(DecMeth,MATCH(H1346,DecTypeU,0)),"⚠ select equipment type")))</f>
        <v/>
      </c>
      <c r="I1365" s="40"/>
      <c r="J1365" s="24"/>
    </row>
    <row r="1366" customFormat="false" ht="15" hidden="false" customHeight="false" outlineLevel="0" collapsed="false">
      <c r="B1366" s="9" t="s">
        <v>60</v>
      </c>
      <c r="C1366" s="15" t="s">
        <v>146</v>
      </c>
      <c r="D1366" s="35" t="str">
        <f aca="false">IF(D1364="","",IF(JobType="Chemical Cleaning",IFERROR(INDEX(CCMethPct,MATCH(D1357,CCMethU,0)),""),IFERROR(INDEX(DecFill,MATCH(D1346,DecTypeU,0)),"")))</f>
        <v/>
      </c>
      <c r="E1366" s="35" t="str">
        <f aca="false">IF(E1364="","",IF(JobType="Chemical Cleaning",IFERROR(INDEX(CCMethPct,MATCH(E1357,CCMethU,0)),""),IFERROR(INDEX(DecFill,MATCH(E1346,DecTypeU,0)),"")))</f>
        <v/>
      </c>
      <c r="F1366" s="35" t="str">
        <f aca="false">IF(F1364="","",IF(JobType="Chemical Cleaning",IFERROR(INDEX(CCMethPct,MATCH(F1357,CCMethU,0)),""),IFERROR(INDEX(DecFill,MATCH(F1346,DecTypeU,0)),"")))</f>
        <v/>
      </c>
      <c r="G1366" s="35" t="str">
        <f aca="false">IF(G1364="","",IF(JobType="Chemical Cleaning",IFERROR(INDEX(CCMethPct,MATCH(G1357,CCMethU,0)),""),IFERROR(INDEX(DecFill,MATCH(G1346,DecTypeU,0)),"")))</f>
        <v/>
      </c>
      <c r="H1366" s="35" t="str">
        <f aca="false">IF(H1364="","",IF(JobType="Chemical Cleaning",IFERROR(INDEX(CCMethPct,MATCH(H1357,CCMethU,0)),""),IFERROR(INDEX(DecFill,MATCH(H1346,DecTypeU,0)),"")))</f>
        <v/>
      </c>
      <c r="I1366" s="36"/>
      <c r="J1366" s="24" t="s">
        <v>197</v>
      </c>
    </row>
    <row r="1367" customFormat="false" ht="15" hidden="false" customHeight="false" outlineLevel="0" collapsed="false">
      <c r="B1367" s="4" t="s">
        <v>148</v>
      </c>
      <c r="C1367" s="15" t="s">
        <v>109</v>
      </c>
      <c r="D1367" s="31" t="str">
        <f aca="false">IF(OR(D1364="",D1366=""),"",D1364*D1366)</f>
        <v/>
      </c>
      <c r="E1367" s="31" t="str">
        <f aca="false">IF(OR(E1364="",E1366=""),"",E1364*E1366)</f>
        <v/>
      </c>
      <c r="F1367" s="31" t="str">
        <f aca="false">IF(OR(F1364="",F1366=""),"",F1364*F1366)</f>
        <v/>
      </c>
      <c r="G1367" s="31" t="str">
        <f aca="false">IF(OR(G1364="",G1366=""),"",G1364*G1366)</f>
        <v/>
      </c>
      <c r="H1367" s="31" t="str">
        <f aca="false">IF(OR(H1364="",H1366=""),"",H1364*H1366)</f>
        <v/>
      </c>
      <c r="I1367" s="31" t="str">
        <f aca="false">IF(COUNT(D1367:H1367)=0,"",SUM(D1367:H1367))</f>
        <v/>
      </c>
      <c r="J1367" s="24"/>
      <c r="K1367" s="32" t="s">
        <v>198</v>
      </c>
      <c r="L1367" s="32" t="n">
        <f aca="false">D1346</f>
        <v>0</v>
      </c>
      <c r="M1367" s="32" t="n">
        <f aca="false">E1346</f>
        <v>0</v>
      </c>
      <c r="N1367" s="32" t="n">
        <f aca="false">F1346</f>
        <v>0</v>
      </c>
      <c r="O1367" s="32" t="n">
        <f aca="false">G1346</f>
        <v>0</v>
      </c>
      <c r="P1367" s="32" t="n">
        <f aca="false">H1346</f>
        <v>0</v>
      </c>
    </row>
    <row r="1368" customFormat="false" ht="15" hidden="false" customHeight="false" outlineLevel="0" collapsed="false">
      <c r="B1368" s="9" t="s">
        <v>150</v>
      </c>
      <c r="C1368" s="15" t="s">
        <v>32</v>
      </c>
      <c r="D1368" s="37" t="str">
        <f aca="false">IF(OR(JobType&lt;&gt;"Decontamination",D1367=""),"",IFERROR(D1367*INDEX(DecChem,MATCH(D1346,DecTypeU,0))*1000,""))</f>
        <v/>
      </c>
      <c r="E1368" s="37" t="str">
        <f aca="false">IF(OR(JobType&lt;&gt;"Decontamination",E1367=""),"",IFERROR(E1367*INDEX(DecChem,MATCH(E1346,DecTypeU,0))*1000,""))</f>
        <v/>
      </c>
      <c r="F1368" s="37" t="str">
        <f aca="false">IF(OR(JobType&lt;&gt;"Decontamination",F1367=""),"",IFERROR(F1367*INDEX(DecChem,MATCH(F1346,DecTypeU,0))*1000,""))</f>
        <v/>
      </c>
      <c r="G1368" s="37" t="str">
        <f aca="false">IF(OR(JobType&lt;&gt;"Decontamination",G1367=""),"",IFERROR(G1367*INDEX(DecChem,MATCH(G1346,DecTypeU,0))*1000,""))</f>
        <v/>
      </c>
      <c r="H1368" s="37" t="str">
        <f aca="false">IF(OR(JobType&lt;&gt;"Decontamination",H1367=""),"",IFERROR(H1367*INDEX(DecChem,MATCH(H1346,DecTypeU,0))*1000,""))</f>
        <v/>
      </c>
      <c r="I1368" s="38" t="str">
        <f aca="false">IF(COUNT(D1368:H1368)=0,"",SUM(D1368:H1368))</f>
        <v/>
      </c>
      <c r="J1368" s="24" t="s">
        <v>199</v>
      </c>
      <c r="K1368" s="32" t="s">
        <v>200</v>
      </c>
      <c r="L1368" s="32" t="n">
        <f aca="false">D1346</f>
        <v>0</v>
      </c>
      <c r="M1368" s="32" t="n">
        <f aca="false">E1346</f>
        <v>0</v>
      </c>
      <c r="N1368" s="32" t="n">
        <f aca="false">F1346</f>
        <v>0</v>
      </c>
      <c r="O1368" s="32" t="n">
        <f aca="false">G1346</f>
        <v>0</v>
      </c>
      <c r="P1368" s="32" t="n">
        <f aca="false">H1346</f>
        <v>0</v>
      </c>
    </row>
    <row r="1370" customFormat="false" ht="15" hidden="false" customHeight="false" outlineLevel="0" collapsed="false">
      <c r="A1370" s="20" t="n">
        <v>18</v>
      </c>
      <c r="B1370" s="21" t="s">
        <v>217</v>
      </c>
      <c r="C1370" s="22"/>
      <c r="D1370" s="22"/>
      <c r="E1370" s="22"/>
      <c r="F1370" s="22"/>
      <c r="G1370" s="22"/>
      <c r="H1370" s="22"/>
      <c r="I1370" s="22"/>
      <c r="J1370" s="22"/>
    </row>
    <row r="1371" customFormat="false" ht="15" hidden="false" customHeight="false" outlineLevel="0" collapsed="false">
      <c r="B1371" s="9" t="s">
        <v>83</v>
      </c>
      <c r="C1371" s="15" t="s">
        <v>29</v>
      </c>
      <c r="D1371" s="8"/>
      <c r="E1371" s="8"/>
      <c r="F1371" s="8"/>
      <c r="G1371" s="8"/>
      <c r="H1371" s="8"/>
      <c r="I1371" s="23"/>
      <c r="J1371" s="24"/>
    </row>
    <row r="1372" customFormat="false" ht="15" hidden="false" customHeight="false" outlineLevel="0" collapsed="false">
      <c r="B1372" s="9" t="s">
        <v>86</v>
      </c>
      <c r="C1372" s="15" t="s">
        <v>29</v>
      </c>
      <c r="D1372" s="8"/>
      <c r="E1372" s="8"/>
      <c r="F1372" s="8"/>
      <c r="G1372" s="8"/>
      <c r="H1372" s="8"/>
      <c r="I1372" s="23"/>
      <c r="J1372" s="24"/>
    </row>
    <row r="1373" customFormat="false" ht="15" hidden="false" customHeight="false" outlineLevel="0" collapsed="false">
      <c r="B1373" s="9" t="s">
        <v>175</v>
      </c>
      <c r="C1373" s="15" t="s">
        <v>29</v>
      </c>
      <c r="D1373" s="8"/>
      <c r="E1373" s="8"/>
      <c r="F1373" s="8"/>
      <c r="G1373" s="8"/>
      <c r="H1373" s="8"/>
      <c r="I1373" s="23"/>
      <c r="J1373" s="24" t="s">
        <v>176</v>
      </c>
    </row>
    <row r="1374" customFormat="false" ht="15" hidden="false" customHeight="false" outlineLevel="0" collapsed="false">
      <c r="B1374" s="25" t="s">
        <v>177</v>
      </c>
      <c r="C1374" s="26"/>
      <c r="D1374" s="26"/>
      <c r="E1374" s="26"/>
      <c r="F1374" s="26"/>
      <c r="G1374" s="26"/>
      <c r="H1374" s="26"/>
      <c r="I1374" s="26"/>
      <c r="J1374" s="26"/>
    </row>
    <row r="1375" customFormat="false" ht="15" hidden="false" customHeight="false" outlineLevel="0" collapsed="false">
      <c r="B1375" s="9" t="s">
        <v>178</v>
      </c>
      <c r="C1375" s="8" t="s">
        <v>92</v>
      </c>
      <c r="D1375" s="8"/>
      <c r="E1375" s="8"/>
      <c r="F1375" s="8"/>
      <c r="G1375" s="8"/>
      <c r="H1375" s="8"/>
      <c r="I1375" s="23"/>
      <c r="J1375" s="24"/>
    </row>
    <row r="1376" customFormat="false" ht="15" hidden="false" customHeight="false" outlineLevel="0" collapsed="false">
      <c r="B1376" s="9" t="s">
        <v>179</v>
      </c>
      <c r="C1376" s="8" t="s">
        <v>92</v>
      </c>
      <c r="D1376" s="8"/>
      <c r="E1376" s="8"/>
      <c r="F1376" s="8"/>
      <c r="G1376" s="8"/>
      <c r="H1376" s="8"/>
      <c r="I1376" s="23"/>
      <c r="J1376" s="24"/>
    </row>
    <row r="1377" customFormat="false" ht="15" hidden="false" customHeight="false" outlineLevel="0" collapsed="false">
      <c r="B1377" s="9" t="s">
        <v>180</v>
      </c>
      <c r="C1377" s="15" t="s">
        <v>29</v>
      </c>
      <c r="D1377" s="8"/>
      <c r="E1377" s="8"/>
      <c r="F1377" s="8"/>
      <c r="G1377" s="8"/>
      <c r="H1377" s="8"/>
      <c r="I1377" s="23"/>
      <c r="J1377" s="24"/>
    </row>
    <row r="1378" customFormat="false" ht="15" hidden="false" customHeight="false" outlineLevel="0" collapsed="false">
      <c r="B1378" s="9" t="s">
        <v>181</v>
      </c>
      <c r="C1378" s="8" t="s">
        <v>92</v>
      </c>
      <c r="D1378" s="8"/>
      <c r="E1378" s="8"/>
      <c r="F1378" s="8"/>
      <c r="G1378" s="8"/>
      <c r="H1378" s="8"/>
      <c r="I1378" s="23"/>
      <c r="J1378" s="24"/>
    </row>
    <row r="1379" customFormat="false" ht="15" hidden="false" customHeight="false" outlineLevel="0" collapsed="false">
      <c r="B1379" s="9" t="s">
        <v>182</v>
      </c>
      <c r="C1379" s="15" t="s">
        <v>29</v>
      </c>
      <c r="D1379" s="8"/>
      <c r="E1379" s="8"/>
      <c r="F1379" s="8"/>
      <c r="G1379" s="8"/>
      <c r="H1379" s="8"/>
      <c r="I1379" s="23"/>
      <c r="J1379" s="24"/>
    </row>
    <row r="1380" customFormat="false" ht="15" hidden="false" customHeight="false" outlineLevel="0" collapsed="false">
      <c r="B1380" s="9" t="s">
        <v>183</v>
      </c>
      <c r="C1380" s="8" t="s">
        <v>92</v>
      </c>
      <c r="D1380" s="8"/>
      <c r="E1380" s="8"/>
      <c r="F1380" s="8"/>
      <c r="G1380" s="8"/>
      <c r="H1380" s="8"/>
      <c r="I1380" s="23"/>
      <c r="J1380" s="24"/>
    </row>
    <row r="1381" customFormat="false" ht="15" hidden="false" customHeight="false" outlineLevel="0" collapsed="false">
      <c r="B1381" s="9" t="s">
        <v>184</v>
      </c>
      <c r="C1381" s="8" t="s">
        <v>112</v>
      </c>
      <c r="D1381" s="8"/>
      <c r="E1381" s="8"/>
      <c r="F1381" s="8"/>
      <c r="G1381" s="8"/>
      <c r="H1381" s="8"/>
      <c r="I1381" s="23"/>
      <c r="J1381" s="24"/>
    </row>
    <row r="1382" customFormat="false" ht="15" hidden="false" customHeight="false" outlineLevel="0" collapsed="false">
      <c r="B1382" s="25" t="s">
        <v>185</v>
      </c>
      <c r="C1382" s="26"/>
      <c r="D1382" s="26"/>
      <c r="E1382" s="26"/>
      <c r="F1382" s="26"/>
      <c r="G1382" s="26"/>
      <c r="H1382" s="26"/>
      <c r="I1382" s="26"/>
      <c r="J1382" s="26"/>
    </row>
    <row r="1383" customFormat="false" ht="15" hidden="false" customHeight="false" outlineLevel="0" collapsed="false">
      <c r="B1383" s="9" t="s">
        <v>186</v>
      </c>
      <c r="C1383" s="15" t="s">
        <v>29</v>
      </c>
      <c r="D1383" s="8" t="s">
        <v>122</v>
      </c>
      <c r="E1383" s="8" t="s">
        <v>122</v>
      </c>
      <c r="F1383" s="8" t="s">
        <v>122</v>
      </c>
      <c r="G1383" s="8" t="s">
        <v>122</v>
      </c>
      <c r="H1383" s="8" t="s">
        <v>122</v>
      </c>
      <c r="I1383" s="23"/>
      <c r="J1383" s="24"/>
    </row>
    <row r="1384" customFormat="false" ht="15" hidden="false" customHeight="false" outlineLevel="0" collapsed="false">
      <c r="B1384" s="9" t="s">
        <v>187</v>
      </c>
      <c r="C1384" s="15" t="s">
        <v>29</v>
      </c>
      <c r="D1384" s="8" t="s">
        <v>61</v>
      </c>
      <c r="E1384" s="8" t="s">
        <v>61</v>
      </c>
      <c r="F1384" s="8" t="s">
        <v>61</v>
      </c>
      <c r="G1384" s="8" t="s">
        <v>61</v>
      </c>
      <c r="H1384" s="8" t="s">
        <v>61</v>
      </c>
      <c r="I1384" s="23"/>
      <c r="J1384" s="24" t="s">
        <v>188</v>
      </c>
    </row>
    <row r="1385" customFormat="false" ht="15" hidden="false" customHeight="false" outlineLevel="0" collapsed="false">
      <c r="B1385" s="25" t="s">
        <v>124</v>
      </c>
      <c r="C1385" s="26"/>
      <c r="D1385" s="26"/>
      <c r="E1385" s="26"/>
      <c r="F1385" s="26"/>
      <c r="G1385" s="26"/>
      <c r="H1385" s="26"/>
      <c r="I1385" s="26"/>
      <c r="J1385" s="26"/>
    </row>
    <row r="1386" customFormat="false" ht="15" hidden="false" customHeight="false" outlineLevel="0" collapsed="false">
      <c r="B1386" s="9" t="s">
        <v>189</v>
      </c>
      <c r="C1386" s="15" t="s">
        <v>109</v>
      </c>
      <c r="D1386" s="29" t="str">
        <f aca="false">IF(ISNUMBER(D1375),PI()/4*(D1375*INDEX(LenF,MATCH($C$1375,LenU,0)))^2*N(D1376)*INDEX(LenF,MATCH($C$1376,LenU,0)),"")</f>
        <v/>
      </c>
      <c r="E1386" s="29" t="str">
        <f aca="false">IF(ISNUMBER(E1375),PI()/4*(E1375*INDEX(LenF,MATCH($C$1375,LenU,0)))^2*N(E1376)*INDEX(LenF,MATCH($C$1376,LenU,0)),"")</f>
        <v/>
      </c>
      <c r="F1386" s="29" t="str">
        <f aca="false">IF(ISNUMBER(F1375),PI()/4*(F1375*INDEX(LenF,MATCH($C$1375,LenU,0)))^2*N(F1376)*INDEX(LenF,MATCH($C$1376,LenU,0)),"")</f>
        <v/>
      </c>
      <c r="G1386" s="29" t="str">
        <f aca="false">IF(ISNUMBER(G1375),PI()/4*(G1375*INDEX(LenF,MATCH($C$1375,LenU,0)))^2*N(G1376)*INDEX(LenF,MATCH($C$1376,LenU,0)),"")</f>
        <v/>
      </c>
      <c r="H1386" s="29" t="str">
        <f aca="false">IF(ISNUMBER(H1375),PI()/4*(H1375*INDEX(LenF,MATCH($C$1375,LenU,0)))^2*N(H1376)*INDEX(LenF,MATCH($C$1376,LenU,0)),"")</f>
        <v/>
      </c>
      <c r="I1386" s="30" t="str">
        <f aca="false">IF(COUNT(D1386:H1386)=0,"",SUM(D1386:H1386))</f>
        <v/>
      </c>
      <c r="J1386" s="24"/>
    </row>
    <row r="1387" customFormat="false" ht="15" hidden="false" customHeight="false" outlineLevel="0" collapsed="false">
      <c r="B1387" s="9" t="s">
        <v>190</v>
      </c>
      <c r="C1387" s="15" t="s">
        <v>109</v>
      </c>
      <c r="D1387" s="29" t="str">
        <f aca="false">IF(ISNUMBER(D1375),IF(D1377="",0,IF(D1377="Conical",PI()/12*(D1375*INDEX(LenF,MATCH($C$1375,LenU,0)))^2*(N(D1378)*INDEX(LenF,MATCH($C$1378,LenU,0))),INDEX(HeadK,MATCH(D1377,HeadU,0))*(D1375*INDEX(LenF,MATCH($C$1375,LenU,0)))^3)),"")</f>
        <v/>
      </c>
      <c r="E1387" s="29" t="str">
        <f aca="false">IF(ISNUMBER(E1375),IF(E1377="",0,IF(E1377="Conical",PI()/12*(E1375*INDEX(LenF,MATCH($C$1375,LenU,0)))^2*(N(E1378)*INDEX(LenF,MATCH($C$1378,LenU,0))),INDEX(HeadK,MATCH(E1377,HeadU,0))*(E1375*INDEX(LenF,MATCH($C$1375,LenU,0)))^3)),"")</f>
        <v/>
      </c>
      <c r="F1387" s="29" t="str">
        <f aca="false">IF(ISNUMBER(F1375),IF(F1377="",0,IF(F1377="Conical",PI()/12*(F1375*INDEX(LenF,MATCH($C$1375,LenU,0)))^2*(N(F1378)*INDEX(LenF,MATCH($C$1378,LenU,0))),INDEX(HeadK,MATCH(F1377,HeadU,0))*(F1375*INDEX(LenF,MATCH($C$1375,LenU,0)))^3)),"")</f>
        <v/>
      </c>
      <c r="G1387" s="29" t="str">
        <f aca="false">IF(ISNUMBER(G1375),IF(G1377="",0,IF(G1377="Conical",PI()/12*(G1375*INDEX(LenF,MATCH($C$1375,LenU,0)))^2*(N(G1378)*INDEX(LenF,MATCH($C$1378,LenU,0))),INDEX(HeadK,MATCH(G1377,HeadU,0))*(G1375*INDEX(LenF,MATCH($C$1375,LenU,0)))^3)),"")</f>
        <v/>
      </c>
      <c r="H1387" s="29" t="str">
        <f aca="false">IF(ISNUMBER(H1375),IF(H1377="",0,IF(H1377="Conical",PI()/12*(H1375*INDEX(LenF,MATCH($C$1375,LenU,0)))^2*(N(H1378)*INDEX(LenF,MATCH($C$1378,LenU,0))),INDEX(HeadK,MATCH(H1377,HeadU,0))*(H1375*INDEX(LenF,MATCH($C$1375,LenU,0)))^3)),"")</f>
        <v/>
      </c>
      <c r="I1387" s="30" t="str">
        <f aca="false">IF(COUNT(D1387:H1387)=0,"",SUM(D1387:H1387))</f>
        <v/>
      </c>
      <c r="J1387" s="24"/>
    </row>
    <row r="1388" customFormat="false" ht="15" hidden="false" customHeight="false" outlineLevel="0" collapsed="false">
      <c r="B1388" s="9" t="s">
        <v>191</v>
      </c>
      <c r="C1388" s="15" t="s">
        <v>109</v>
      </c>
      <c r="D1388" s="29" t="str">
        <f aca="false">IF(ISNUMBER(D1375),IF(D1379="",0,IF(D1379="Conical",PI()/12*(D1375*INDEX(LenF,MATCH($C$1375,LenU,0)))^2*(N(D1380)*INDEX(LenF,MATCH($C$1380,LenU,0))),INDEX(HeadK,MATCH(D1379,HeadU,0))*(D1375*INDEX(LenF,MATCH($C$1375,LenU,0)))^3)),"")</f>
        <v/>
      </c>
      <c r="E1388" s="29" t="str">
        <f aca="false">IF(ISNUMBER(E1375),IF(E1379="",0,IF(E1379="Conical",PI()/12*(E1375*INDEX(LenF,MATCH($C$1375,LenU,0)))^2*(N(E1380)*INDEX(LenF,MATCH($C$1380,LenU,0))),INDEX(HeadK,MATCH(E1379,HeadU,0))*(E1375*INDEX(LenF,MATCH($C$1375,LenU,0)))^3)),"")</f>
        <v/>
      </c>
      <c r="F1388" s="29" t="str">
        <f aca="false">IF(ISNUMBER(F1375),IF(F1379="",0,IF(F1379="Conical",PI()/12*(F1375*INDEX(LenF,MATCH($C$1375,LenU,0)))^2*(N(F1380)*INDEX(LenF,MATCH($C$1380,LenU,0))),INDEX(HeadK,MATCH(F1379,HeadU,0))*(F1375*INDEX(LenF,MATCH($C$1375,LenU,0)))^3)),"")</f>
        <v/>
      </c>
      <c r="G1388" s="29" t="str">
        <f aca="false">IF(ISNUMBER(G1375),IF(G1379="",0,IF(G1379="Conical",PI()/12*(G1375*INDEX(LenF,MATCH($C$1375,LenU,0)))^2*(N(G1380)*INDEX(LenF,MATCH($C$1380,LenU,0))),INDEX(HeadK,MATCH(G1379,HeadU,0))*(G1375*INDEX(LenF,MATCH($C$1375,LenU,0)))^3)),"")</f>
        <v/>
      </c>
      <c r="H1388" s="29" t="str">
        <f aca="false">IF(ISNUMBER(H1375),IF(H1379="",0,IF(H1379="Conical",PI()/12*(H1375*INDEX(LenF,MATCH($C$1375,LenU,0)))^2*(N(H1380)*INDEX(LenF,MATCH($C$1380,LenU,0))),INDEX(HeadK,MATCH(H1379,HeadU,0))*(H1375*INDEX(LenF,MATCH($C$1375,LenU,0)))^3)),"")</f>
        <v/>
      </c>
      <c r="I1388" s="30" t="str">
        <f aca="false">IF(COUNT(D1388:H1388)=0,"",SUM(D1388:H1388))</f>
        <v/>
      </c>
      <c r="J1388" s="24"/>
    </row>
    <row r="1389" customFormat="false" ht="15" hidden="false" customHeight="false" outlineLevel="0" collapsed="false">
      <c r="B1389" s="9" t="s">
        <v>192</v>
      </c>
      <c r="C1389" s="15" t="s">
        <v>109</v>
      </c>
      <c r="D1389" s="29" t="str">
        <f aca="false">IF(ISNUMBER(D1375),D1386+D1387+D1388,"")</f>
        <v/>
      </c>
      <c r="E1389" s="29" t="str">
        <f aca="false">IF(ISNUMBER(E1375),E1386+E1387+E1388,"")</f>
        <v/>
      </c>
      <c r="F1389" s="29" t="str">
        <f aca="false">IF(ISNUMBER(F1375),F1386+F1387+F1388,"")</f>
        <v/>
      </c>
      <c r="G1389" s="29" t="str">
        <f aca="false">IF(ISNUMBER(G1375),G1386+G1387+G1388,"")</f>
        <v/>
      </c>
      <c r="H1389" s="29" t="str">
        <f aca="false">IF(ISNUMBER(H1375),H1386+H1387+H1388,"")</f>
        <v/>
      </c>
      <c r="I1389" s="30" t="str">
        <f aca="false">IF(COUNT(D1389:H1389)=0,"",SUM(D1389:H1389))</f>
        <v/>
      </c>
      <c r="J1389" s="24"/>
    </row>
    <row r="1390" customFormat="false" ht="15" hidden="false" customHeight="false" outlineLevel="0" collapsed="false">
      <c r="B1390" s="9" t="s">
        <v>193</v>
      </c>
      <c r="C1390" s="15" t="s">
        <v>109</v>
      </c>
      <c r="D1390" s="29" t="str">
        <f aca="false">IF(ISNUMBER(D1381),D1381*INDEX(WtF,MATCH($C$1381,WtU,0))/WaterRho,"")</f>
        <v/>
      </c>
      <c r="E1390" s="29" t="str">
        <f aca="false">IF(ISNUMBER(E1381),E1381*INDEX(WtF,MATCH($C$1381,WtU,0))/WaterRho,"")</f>
        <v/>
      </c>
      <c r="F1390" s="29" t="str">
        <f aca="false">IF(ISNUMBER(F1381),F1381*INDEX(WtF,MATCH($C$1381,WtU,0))/WaterRho,"")</f>
        <v/>
      </c>
      <c r="G1390" s="29" t="str">
        <f aca="false">IF(ISNUMBER(G1381),G1381*INDEX(WtF,MATCH($C$1381,WtU,0))/WaterRho,"")</f>
        <v/>
      </c>
      <c r="H1390" s="29" t="str">
        <f aca="false">IF(ISNUMBER(H1381),H1381*INDEX(WtF,MATCH($C$1381,WtU,0))/WaterRho,"")</f>
        <v/>
      </c>
      <c r="I1390" s="30" t="str">
        <f aca="false">IF(COUNT(D1390:H1390)=0,"",SUM(D1390:H1390))</f>
        <v/>
      </c>
      <c r="J1390" s="24"/>
    </row>
    <row r="1391" customFormat="false" ht="15" hidden="false" customHeight="false" outlineLevel="0" collapsed="false">
      <c r="B1391" s="4" t="s">
        <v>194</v>
      </c>
      <c r="C1391" s="15" t="s">
        <v>109</v>
      </c>
      <c r="D1391" s="31" t="str">
        <f aca="false">IF(D1383="Water weight",D1390,D1389)</f>
        <v/>
      </c>
      <c r="E1391" s="31" t="str">
        <f aca="false">IF(E1383="Water weight",E1390,E1389)</f>
        <v/>
      </c>
      <c r="F1391" s="31" t="str">
        <f aca="false">IF(F1383="Water weight",F1390,F1389)</f>
        <v/>
      </c>
      <c r="G1391" s="31" t="str">
        <f aca="false">IF(G1383="Water weight",G1390,G1389)</f>
        <v/>
      </c>
      <c r="H1391" s="31" t="str">
        <f aca="false">IF(H1383="Water weight",H1390,H1389)</f>
        <v/>
      </c>
      <c r="I1391" s="31" t="str">
        <f aca="false">IF(COUNT(D1391:H1391)=0,"",SUM(D1391:H1391))</f>
        <v/>
      </c>
      <c r="J1391" s="24"/>
      <c r="K1391" s="32" t="s">
        <v>195</v>
      </c>
      <c r="L1391" s="32" t="n">
        <f aca="false">D1373</f>
        <v>0</v>
      </c>
      <c r="M1391" s="32" t="n">
        <f aca="false">E1373</f>
        <v>0</v>
      </c>
      <c r="N1391" s="32" t="n">
        <f aca="false">F1373</f>
        <v>0</v>
      </c>
      <c r="O1391" s="32" t="n">
        <f aca="false">G1373</f>
        <v>0</v>
      </c>
      <c r="P1391" s="32" t="n">
        <f aca="false">H1373</f>
        <v>0</v>
      </c>
    </row>
    <row r="1392" customFormat="false" ht="36" hidden="false" customHeight="true" outlineLevel="0" collapsed="false">
      <c r="B1392" s="9" t="s">
        <v>196</v>
      </c>
      <c r="C1392" s="15" t="s">
        <v>29</v>
      </c>
      <c r="D1392" s="39" t="str">
        <f aca="false">IF(D1391="","",IF(JobType="Chemical Cleaning",D1384,IFERROR(INDEX(DecMeth,MATCH(D1373,DecTypeU,0)),"⚠ select equipment type")))</f>
        <v/>
      </c>
      <c r="E1392" s="39" t="str">
        <f aca="false">IF(E1391="","",IF(JobType="Chemical Cleaning",E1384,IFERROR(INDEX(DecMeth,MATCH(E1373,DecTypeU,0)),"⚠ select equipment type")))</f>
        <v/>
      </c>
      <c r="F1392" s="39" t="str">
        <f aca="false">IF(F1391="","",IF(JobType="Chemical Cleaning",F1384,IFERROR(INDEX(DecMeth,MATCH(F1373,DecTypeU,0)),"⚠ select equipment type")))</f>
        <v/>
      </c>
      <c r="G1392" s="39" t="str">
        <f aca="false">IF(G1391="","",IF(JobType="Chemical Cleaning",G1384,IFERROR(INDEX(DecMeth,MATCH(G1373,DecTypeU,0)),"⚠ select equipment type")))</f>
        <v/>
      </c>
      <c r="H1392" s="39" t="str">
        <f aca="false">IF(H1391="","",IF(JobType="Chemical Cleaning",H1384,IFERROR(INDEX(DecMeth,MATCH(H1373,DecTypeU,0)),"⚠ select equipment type")))</f>
        <v/>
      </c>
      <c r="I1392" s="40"/>
      <c r="J1392" s="24"/>
    </row>
    <row r="1393" customFormat="false" ht="15" hidden="false" customHeight="false" outlineLevel="0" collapsed="false">
      <c r="B1393" s="9" t="s">
        <v>60</v>
      </c>
      <c r="C1393" s="15" t="s">
        <v>146</v>
      </c>
      <c r="D1393" s="35" t="str">
        <f aca="false">IF(D1391="","",IF(JobType="Chemical Cleaning",IFERROR(INDEX(CCMethPct,MATCH(D1384,CCMethU,0)),""),IFERROR(INDEX(DecFill,MATCH(D1373,DecTypeU,0)),"")))</f>
        <v/>
      </c>
      <c r="E1393" s="35" t="str">
        <f aca="false">IF(E1391="","",IF(JobType="Chemical Cleaning",IFERROR(INDEX(CCMethPct,MATCH(E1384,CCMethU,0)),""),IFERROR(INDEX(DecFill,MATCH(E1373,DecTypeU,0)),"")))</f>
        <v/>
      </c>
      <c r="F1393" s="35" t="str">
        <f aca="false">IF(F1391="","",IF(JobType="Chemical Cleaning",IFERROR(INDEX(CCMethPct,MATCH(F1384,CCMethU,0)),""),IFERROR(INDEX(DecFill,MATCH(F1373,DecTypeU,0)),"")))</f>
        <v/>
      </c>
      <c r="G1393" s="35" t="str">
        <f aca="false">IF(G1391="","",IF(JobType="Chemical Cleaning",IFERROR(INDEX(CCMethPct,MATCH(G1384,CCMethU,0)),""),IFERROR(INDEX(DecFill,MATCH(G1373,DecTypeU,0)),"")))</f>
        <v/>
      </c>
      <c r="H1393" s="35" t="str">
        <f aca="false">IF(H1391="","",IF(JobType="Chemical Cleaning",IFERROR(INDEX(CCMethPct,MATCH(H1384,CCMethU,0)),""),IFERROR(INDEX(DecFill,MATCH(H1373,DecTypeU,0)),"")))</f>
        <v/>
      </c>
      <c r="I1393" s="36"/>
      <c r="J1393" s="24" t="s">
        <v>197</v>
      </c>
    </row>
    <row r="1394" customFormat="false" ht="15" hidden="false" customHeight="false" outlineLevel="0" collapsed="false">
      <c r="B1394" s="4" t="s">
        <v>148</v>
      </c>
      <c r="C1394" s="15" t="s">
        <v>109</v>
      </c>
      <c r="D1394" s="31" t="str">
        <f aca="false">IF(OR(D1391="",D1393=""),"",D1391*D1393)</f>
        <v/>
      </c>
      <c r="E1394" s="31" t="str">
        <f aca="false">IF(OR(E1391="",E1393=""),"",E1391*E1393)</f>
        <v/>
      </c>
      <c r="F1394" s="31" t="str">
        <f aca="false">IF(OR(F1391="",F1393=""),"",F1391*F1393)</f>
        <v/>
      </c>
      <c r="G1394" s="31" t="str">
        <f aca="false">IF(OR(G1391="",G1393=""),"",G1391*G1393)</f>
        <v/>
      </c>
      <c r="H1394" s="31" t="str">
        <f aca="false">IF(OR(H1391="",H1393=""),"",H1391*H1393)</f>
        <v/>
      </c>
      <c r="I1394" s="31" t="str">
        <f aca="false">IF(COUNT(D1394:H1394)=0,"",SUM(D1394:H1394))</f>
        <v/>
      </c>
      <c r="J1394" s="24"/>
      <c r="K1394" s="32" t="s">
        <v>198</v>
      </c>
      <c r="L1394" s="32" t="n">
        <f aca="false">D1373</f>
        <v>0</v>
      </c>
      <c r="M1394" s="32" t="n">
        <f aca="false">E1373</f>
        <v>0</v>
      </c>
      <c r="N1394" s="32" t="n">
        <f aca="false">F1373</f>
        <v>0</v>
      </c>
      <c r="O1394" s="32" t="n">
        <f aca="false">G1373</f>
        <v>0</v>
      </c>
      <c r="P1394" s="32" t="n">
        <f aca="false">H1373</f>
        <v>0</v>
      </c>
    </row>
    <row r="1395" customFormat="false" ht="15" hidden="false" customHeight="false" outlineLevel="0" collapsed="false">
      <c r="B1395" s="9" t="s">
        <v>150</v>
      </c>
      <c r="C1395" s="15" t="s">
        <v>32</v>
      </c>
      <c r="D1395" s="37" t="str">
        <f aca="false">IF(OR(JobType&lt;&gt;"Decontamination",D1394=""),"",IFERROR(D1394*INDEX(DecChem,MATCH(D1373,DecTypeU,0))*1000,""))</f>
        <v/>
      </c>
      <c r="E1395" s="37" t="str">
        <f aca="false">IF(OR(JobType&lt;&gt;"Decontamination",E1394=""),"",IFERROR(E1394*INDEX(DecChem,MATCH(E1373,DecTypeU,0))*1000,""))</f>
        <v/>
      </c>
      <c r="F1395" s="37" t="str">
        <f aca="false">IF(OR(JobType&lt;&gt;"Decontamination",F1394=""),"",IFERROR(F1394*INDEX(DecChem,MATCH(F1373,DecTypeU,0))*1000,""))</f>
        <v/>
      </c>
      <c r="G1395" s="37" t="str">
        <f aca="false">IF(OR(JobType&lt;&gt;"Decontamination",G1394=""),"",IFERROR(G1394*INDEX(DecChem,MATCH(G1373,DecTypeU,0))*1000,""))</f>
        <v/>
      </c>
      <c r="H1395" s="37" t="str">
        <f aca="false">IF(OR(JobType&lt;&gt;"Decontamination",H1394=""),"",IFERROR(H1394*INDEX(DecChem,MATCH(H1373,DecTypeU,0))*1000,""))</f>
        <v/>
      </c>
      <c r="I1395" s="38" t="str">
        <f aca="false">IF(COUNT(D1395:H1395)=0,"",SUM(D1395:H1395))</f>
        <v/>
      </c>
      <c r="J1395" s="24" t="s">
        <v>199</v>
      </c>
      <c r="K1395" s="32" t="s">
        <v>200</v>
      </c>
      <c r="L1395" s="32" t="n">
        <f aca="false">D1373</f>
        <v>0</v>
      </c>
      <c r="M1395" s="32" t="n">
        <f aca="false">E1373</f>
        <v>0</v>
      </c>
      <c r="N1395" s="32" t="n">
        <f aca="false">F1373</f>
        <v>0</v>
      </c>
      <c r="O1395" s="32" t="n">
        <f aca="false">G1373</f>
        <v>0</v>
      </c>
      <c r="P1395" s="32" t="n">
        <f aca="false">H1373</f>
        <v>0</v>
      </c>
    </row>
    <row r="1397" customFormat="false" ht="15" hidden="false" customHeight="false" outlineLevel="0" collapsed="false">
      <c r="A1397" s="20" t="n">
        <v>19</v>
      </c>
      <c r="B1397" s="21" t="s">
        <v>218</v>
      </c>
      <c r="C1397" s="22"/>
      <c r="D1397" s="22"/>
      <c r="E1397" s="22"/>
      <c r="F1397" s="22"/>
      <c r="G1397" s="22"/>
      <c r="H1397" s="22"/>
      <c r="I1397" s="22"/>
      <c r="J1397" s="22"/>
    </row>
    <row r="1398" customFormat="false" ht="15" hidden="false" customHeight="false" outlineLevel="0" collapsed="false">
      <c r="B1398" s="9" t="s">
        <v>83</v>
      </c>
      <c r="C1398" s="15" t="s">
        <v>29</v>
      </c>
      <c r="D1398" s="8"/>
      <c r="E1398" s="8"/>
      <c r="F1398" s="8"/>
      <c r="G1398" s="8"/>
      <c r="H1398" s="8"/>
      <c r="I1398" s="23"/>
      <c r="J1398" s="24"/>
    </row>
    <row r="1399" customFormat="false" ht="15" hidden="false" customHeight="false" outlineLevel="0" collapsed="false">
      <c r="B1399" s="9" t="s">
        <v>86</v>
      </c>
      <c r="C1399" s="15" t="s">
        <v>29</v>
      </c>
      <c r="D1399" s="8"/>
      <c r="E1399" s="8"/>
      <c r="F1399" s="8"/>
      <c r="G1399" s="8"/>
      <c r="H1399" s="8"/>
      <c r="I1399" s="23"/>
      <c r="J1399" s="24"/>
    </row>
    <row r="1400" customFormat="false" ht="15" hidden="false" customHeight="false" outlineLevel="0" collapsed="false">
      <c r="B1400" s="9" t="s">
        <v>175</v>
      </c>
      <c r="C1400" s="15" t="s">
        <v>29</v>
      </c>
      <c r="D1400" s="8"/>
      <c r="E1400" s="8"/>
      <c r="F1400" s="8"/>
      <c r="G1400" s="8"/>
      <c r="H1400" s="8"/>
      <c r="I1400" s="23"/>
      <c r="J1400" s="24" t="s">
        <v>176</v>
      </c>
    </row>
    <row r="1401" customFormat="false" ht="15" hidden="false" customHeight="false" outlineLevel="0" collapsed="false">
      <c r="B1401" s="25" t="s">
        <v>177</v>
      </c>
      <c r="C1401" s="26"/>
      <c r="D1401" s="26"/>
      <c r="E1401" s="26"/>
      <c r="F1401" s="26"/>
      <c r="G1401" s="26"/>
      <c r="H1401" s="26"/>
      <c r="I1401" s="26"/>
      <c r="J1401" s="26"/>
    </row>
    <row r="1402" customFormat="false" ht="15" hidden="false" customHeight="false" outlineLevel="0" collapsed="false">
      <c r="B1402" s="9" t="s">
        <v>178</v>
      </c>
      <c r="C1402" s="8" t="s">
        <v>92</v>
      </c>
      <c r="D1402" s="8"/>
      <c r="E1402" s="8"/>
      <c r="F1402" s="8"/>
      <c r="G1402" s="8"/>
      <c r="H1402" s="8"/>
      <c r="I1402" s="23"/>
      <c r="J1402" s="24"/>
    </row>
    <row r="1403" customFormat="false" ht="15" hidden="false" customHeight="false" outlineLevel="0" collapsed="false">
      <c r="B1403" s="9" t="s">
        <v>179</v>
      </c>
      <c r="C1403" s="8" t="s">
        <v>92</v>
      </c>
      <c r="D1403" s="8"/>
      <c r="E1403" s="8"/>
      <c r="F1403" s="8"/>
      <c r="G1403" s="8"/>
      <c r="H1403" s="8"/>
      <c r="I1403" s="23"/>
      <c r="J1403" s="24"/>
    </row>
    <row r="1404" customFormat="false" ht="15" hidden="false" customHeight="false" outlineLevel="0" collapsed="false">
      <c r="B1404" s="9" t="s">
        <v>180</v>
      </c>
      <c r="C1404" s="15" t="s">
        <v>29</v>
      </c>
      <c r="D1404" s="8"/>
      <c r="E1404" s="8"/>
      <c r="F1404" s="8"/>
      <c r="G1404" s="8"/>
      <c r="H1404" s="8"/>
      <c r="I1404" s="23"/>
      <c r="J1404" s="24"/>
    </row>
    <row r="1405" customFormat="false" ht="15" hidden="false" customHeight="false" outlineLevel="0" collapsed="false">
      <c r="B1405" s="9" t="s">
        <v>181</v>
      </c>
      <c r="C1405" s="8" t="s">
        <v>92</v>
      </c>
      <c r="D1405" s="8"/>
      <c r="E1405" s="8"/>
      <c r="F1405" s="8"/>
      <c r="G1405" s="8"/>
      <c r="H1405" s="8"/>
      <c r="I1405" s="23"/>
      <c r="J1405" s="24"/>
    </row>
    <row r="1406" customFormat="false" ht="15" hidden="false" customHeight="false" outlineLevel="0" collapsed="false">
      <c r="B1406" s="9" t="s">
        <v>182</v>
      </c>
      <c r="C1406" s="15" t="s">
        <v>29</v>
      </c>
      <c r="D1406" s="8"/>
      <c r="E1406" s="8"/>
      <c r="F1406" s="8"/>
      <c r="G1406" s="8"/>
      <c r="H1406" s="8"/>
      <c r="I1406" s="23"/>
      <c r="J1406" s="24"/>
    </row>
    <row r="1407" customFormat="false" ht="15" hidden="false" customHeight="false" outlineLevel="0" collapsed="false">
      <c r="B1407" s="9" t="s">
        <v>183</v>
      </c>
      <c r="C1407" s="8" t="s">
        <v>92</v>
      </c>
      <c r="D1407" s="8"/>
      <c r="E1407" s="8"/>
      <c r="F1407" s="8"/>
      <c r="G1407" s="8"/>
      <c r="H1407" s="8"/>
      <c r="I1407" s="23"/>
      <c r="J1407" s="24"/>
    </row>
    <row r="1408" customFormat="false" ht="15" hidden="false" customHeight="false" outlineLevel="0" collapsed="false">
      <c r="B1408" s="9" t="s">
        <v>184</v>
      </c>
      <c r="C1408" s="8" t="s">
        <v>112</v>
      </c>
      <c r="D1408" s="8"/>
      <c r="E1408" s="8"/>
      <c r="F1408" s="8"/>
      <c r="G1408" s="8"/>
      <c r="H1408" s="8"/>
      <c r="I1408" s="23"/>
      <c r="J1408" s="24"/>
    </row>
    <row r="1409" customFormat="false" ht="15" hidden="false" customHeight="false" outlineLevel="0" collapsed="false">
      <c r="B1409" s="25" t="s">
        <v>185</v>
      </c>
      <c r="C1409" s="26"/>
      <c r="D1409" s="26"/>
      <c r="E1409" s="26"/>
      <c r="F1409" s="26"/>
      <c r="G1409" s="26"/>
      <c r="H1409" s="26"/>
      <c r="I1409" s="26"/>
      <c r="J1409" s="26"/>
    </row>
    <row r="1410" customFormat="false" ht="15" hidden="false" customHeight="false" outlineLevel="0" collapsed="false">
      <c r="B1410" s="9" t="s">
        <v>186</v>
      </c>
      <c r="C1410" s="15" t="s">
        <v>29</v>
      </c>
      <c r="D1410" s="8" t="s">
        <v>122</v>
      </c>
      <c r="E1410" s="8" t="s">
        <v>122</v>
      </c>
      <c r="F1410" s="8" t="s">
        <v>122</v>
      </c>
      <c r="G1410" s="8" t="s">
        <v>122</v>
      </c>
      <c r="H1410" s="8" t="s">
        <v>122</v>
      </c>
      <c r="I1410" s="23"/>
      <c r="J1410" s="24"/>
    </row>
    <row r="1411" customFormat="false" ht="15" hidden="false" customHeight="false" outlineLevel="0" collapsed="false">
      <c r="B1411" s="9" t="s">
        <v>187</v>
      </c>
      <c r="C1411" s="15" t="s">
        <v>29</v>
      </c>
      <c r="D1411" s="8" t="s">
        <v>61</v>
      </c>
      <c r="E1411" s="8" t="s">
        <v>61</v>
      </c>
      <c r="F1411" s="8" t="s">
        <v>61</v>
      </c>
      <c r="G1411" s="8" t="s">
        <v>61</v>
      </c>
      <c r="H1411" s="8" t="s">
        <v>61</v>
      </c>
      <c r="I1411" s="23"/>
      <c r="J1411" s="24" t="s">
        <v>188</v>
      </c>
    </row>
    <row r="1412" customFormat="false" ht="15" hidden="false" customHeight="false" outlineLevel="0" collapsed="false">
      <c r="B1412" s="25" t="s">
        <v>124</v>
      </c>
      <c r="C1412" s="26"/>
      <c r="D1412" s="26"/>
      <c r="E1412" s="26"/>
      <c r="F1412" s="26"/>
      <c r="G1412" s="26"/>
      <c r="H1412" s="26"/>
      <c r="I1412" s="26"/>
      <c r="J1412" s="26"/>
    </row>
    <row r="1413" customFormat="false" ht="15" hidden="false" customHeight="false" outlineLevel="0" collapsed="false">
      <c r="B1413" s="9" t="s">
        <v>189</v>
      </c>
      <c r="C1413" s="15" t="s">
        <v>109</v>
      </c>
      <c r="D1413" s="29" t="str">
        <f aca="false">IF(ISNUMBER(D1402),PI()/4*(D1402*INDEX(LenF,MATCH($C$1402,LenU,0)))^2*N(D1403)*INDEX(LenF,MATCH($C$1403,LenU,0)),"")</f>
        <v/>
      </c>
      <c r="E1413" s="29" t="str">
        <f aca="false">IF(ISNUMBER(E1402),PI()/4*(E1402*INDEX(LenF,MATCH($C$1402,LenU,0)))^2*N(E1403)*INDEX(LenF,MATCH($C$1403,LenU,0)),"")</f>
        <v/>
      </c>
      <c r="F1413" s="29" t="str">
        <f aca="false">IF(ISNUMBER(F1402),PI()/4*(F1402*INDEX(LenF,MATCH($C$1402,LenU,0)))^2*N(F1403)*INDEX(LenF,MATCH($C$1403,LenU,0)),"")</f>
        <v/>
      </c>
      <c r="G1413" s="29" t="str">
        <f aca="false">IF(ISNUMBER(G1402),PI()/4*(G1402*INDEX(LenF,MATCH($C$1402,LenU,0)))^2*N(G1403)*INDEX(LenF,MATCH($C$1403,LenU,0)),"")</f>
        <v/>
      </c>
      <c r="H1413" s="29" t="str">
        <f aca="false">IF(ISNUMBER(H1402),PI()/4*(H1402*INDEX(LenF,MATCH($C$1402,LenU,0)))^2*N(H1403)*INDEX(LenF,MATCH($C$1403,LenU,0)),"")</f>
        <v/>
      </c>
      <c r="I1413" s="30" t="str">
        <f aca="false">IF(COUNT(D1413:H1413)=0,"",SUM(D1413:H1413))</f>
        <v/>
      </c>
      <c r="J1413" s="24"/>
    </row>
    <row r="1414" customFormat="false" ht="15" hidden="false" customHeight="false" outlineLevel="0" collapsed="false">
      <c r="B1414" s="9" t="s">
        <v>190</v>
      </c>
      <c r="C1414" s="15" t="s">
        <v>109</v>
      </c>
      <c r="D1414" s="29" t="str">
        <f aca="false">IF(ISNUMBER(D1402),IF(D1404="",0,IF(D1404="Conical",PI()/12*(D1402*INDEX(LenF,MATCH($C$1402,LenU,0)))^2*(N(D1405)*INDEX(LenF,MATCH($C$1405,LenU,0))),INDEX(HeadK,MATCH(D1404,HeadU,0))*(D1402*INDEX(LenF,MATCH($C$1402,LenU,0)))^3)),"")</f>
        <v/>
      </c>
      <c r="E1414" s="29" t="str">
        <f aca="false">IF(ISNUMBER(E1402),IF(E1404="",0,IF(E1404="Conical",PI()/12*(E1402*INDEX(LenF,MATCH($C$1402,LenU,0)))^2*(N(E1405)*INDEX(LenF,MATCH($C$1405,LenU,0))),INDEX(HeadK,MATCH(E1404,HeadU,0))*(E1402*INDEX(LenF,MATCH($C$1402,LenU,0)))^3)),"")</f>
        <v/>
      </c>
      <c r="F1414" s="29" t="str">
        <f aca="false">IF(ISNUMBER(F1402),IF(F1404="",0,IF(F1404="Conical",PI()/12*(F1402*INDEX(LenF,MATCH($C$1402,LenU,0)))^2*(N(F1405)*INDEX(LenF,MATCH($C$1405,LenU,0))),INDEX(HeadK,MATCH(F1404,HeadU,0))*(F1402*INDEX(LenF,MATCH($C$1402,LenU,0)))^3)),"")</f>
        <v/>
      </c>
      <c r="G1414" s="29" t="str">
        <f aca="false">IF(ISNUMBER(G1402),IF(G1404="",0,IF(G1404="Conical",PI()/12*(G1402*INDEX(LenF,MATCH($C$1402,LenU,0)))^2*(N(G1405)*INDEX(LenF,MATCH($C$1405,LenU,0))),INDEX(HeadK,MATCH(G1404,HeadU,0))*(G1402*INDEX(LenF,MATCH($C$1402,LenU,0)))^3)),"")</f>
        <v/>
      </c>
      <c r="H1414" s="29" t="str">
        <f aca="false">IF(ISNUMBER(H1402),IF(H1404="",0,IF(H1404="Conical",PI()/12*(H1402*INDEX(LenF,MATCH($C$1402,LenU,0)))^2*(N(H1405)*INDEX(LenF,MATCH($C$1405,LenU,0))),INDEX(HeadK,MATCH(H1404,HeadU,0))*(H1402*INDEX(LenF,MATCH($C$1402,LenU,0)))^3)),"")</f>
        <v/>
      </c>
      <c r="I1414" s="30" t="str">
        <f aca="false">IF(COUNT(D1414:H1414)=0,"",SUM(D1414:H1414))</f>
        <v/>
      </c>
      <c r="J1414" s="24"/>
    </row>
    <row r="1415" customFormat="false" ht="15" hidden="false" customHeight="false" outlineLevel="0" collapsed="false">
      <c r="B1415" s="9" t="s">
        <v>191</v>
      </c>
      <c r="C1415" s="15" t="s">
        <v>109</v>
      </c>
      <c r="D1415" s="29" t="str">
        <f aca="false">IF(ISNUMBER(D1402),IF(D1406="",0,IF(D1406="Conical",PI()/12*(D1402*INDEX(LenF,MATCH($C$1402,LenU,0)))^2*(N(D1407)*INDEX(LenF,MATCH($C$1407,LenU,0))),INDEX(HeadK,MATCH(D1406,HeadU,0))*(D1402*INDEX(LenF,MATCH($C$1402,LenU,0)))^3)),"")</f>
        <v/>
      </c>
      <c r="E1415" s="29" t="str">
        <f aca="false">IF(ISNUMBER(E1402),IF(E1406="",0,IF(E1406="Conical",PI()/12*(E1402*INDEX(LenF,MATCH($C$1402,LenU,0)))^2*(N(E1407)*INDEX(LenF,MATCH($C$1407,LenU,0))),INDEX(HeadK,MATCH(E1406,HeadU,0))*(E1402*INDEX(LenF,MATCH($C$1402,LenU,0)))^3)),"")</f>
        <v/>
      </c>
      <c r="F1415" s="29" t="str">
        <f aca="false">IF(ISNUMBER(F1402),IF(F1406="",0,IF(F1406="Conical",PI()/12*(F1402*INDEX(LenF,MATCH($C$1402,LenU,0)))^2*(N(F1407)*INDEX(LenF,MATCH($C$1407,LenU,0))),INDEX(HeadK,MATCH(F1406,HeadU,0))*(F1402*INDEX(LenF,MATCH($C$1402,LenU,0)))^3)),"")</f>
        <v/>
      </c>
      <c r="G1415" s="29" t="str">
        <f aca="false">IF(ISNUMBER(G1402),IF(G1406="",0,IF(G1406="Conical",PI()/12*(G1402*INDEX(LenF,MATCH($C$1402,LenU,0)))^2*(N(G1407)*INDEX(LenF,MATCH($C$1407,LenU,0))),INDEX(HeadK,MATCH(G1406,HeadU,0))*(G1402*INDEX(LenF,MATCH($C$1402,LenU,0)))^3)),"")</f>
        <v/>
      </c>
      <c r="H1415" s="29" t="str">
        <f aca="false">IF(ISNUMBER(H1402),IF(H1406="",0,IF(H1406="Conical",PI()/12*(H1402*INDEX(LenF,MATCH($C$1402,LenU,0)))^2*(N(H1407)*INDEX(LenF,MATCH($C$1407,LenU,0))),INDEX(HeadK,MATCH(H1406,HeadU,0))*(H1402*INDEX(LenF,MATCH($C$1402,LenU,0)))^3)),"")</f>
        <v/>
      </c>
      <c r="I1415" s="30" t="str">
        <f aca="false">IF(COUNT(D1415:H1415)=0,"",SUM(D1415:H1415))</f>
        <v/>
      </c>
      <c r="J1415" s="24"/>
    </row>
    <row r="1416" customFormat="false" ht="15" hidden="false" customHeight="false" outlineLevel="0" collapsed="false">
      <c r="B1416" s="9" t="s">
        <v>192</v>
      </c>
      <c r="C1416" s="15" t="s">
        <v>109</v>
      </c>
      <c r="D1416" s="29" t="str">
        <f aca="false">IF(ISNUMBER(D1402),D1413+D1414+D1415,"")</f>
        <v/>
      </c>
      <c r="E1416" s="29" t="str">
        <f aca="false">IF(ISNUMBER(E1402),E1413+E1414+E1415,"")</f>
        <v/>
      </c>
      <c r="F1416" s="29" t="str">
        <f aca="false">IF(ISNUMBER(F1402),F1413+F1414+F1415,"")</f>
        <v/>
      </c>
      <c r="G1416" s="29" t="str">
        <f aca="false">IF(ISNUMBER(G1402),G1413+G1414+G1415,"")</f>
        <v/>
      </c>
      <c r="H1416" s="29" t="str">
        <f aca="false">IF(ISNUMBER(H1402),H1413+H1414+H1415,"")</f>
        <v/>
      </c>
      <c r="I1416" s="30" t="str">
        <f aca="false">IF(COUNT(D1416:H1416)=0,"",SUM(D1416:H1416))</f>
        <v/>
      </c>
      <c r="J1416" s="24"/>
    </row>
    <row r="1417" customFormat="false" ht="15" hidden="false" customHeight="false" outlineLevel="0" collapsed="false">
      <c r="B1417" s="9" t="s">
        <v>193</v>
      </c>
      <c r="C1417" s="15" t="s">
        <v>109</v>
      </c>
      <c r="D1417" s="29" t="str">
        <f aca="false">IF(ISNUMBER(D1408),D1408*INDEX(WtF,MATCH($C$1408,WtU,0))/WaterRho,"")</f>
        <v/>
      </c>
      <c r="E1417" s="29" t="str">
        <f aca="false">IF(ISNUMBER(E1408),E1408*INDEX(WtF,MATCH($C$1408,WtU,0))/WaterRho,"")</f>
        <v/>
      </c>
      <c r="F1417" s="29" t="str">
        <f aca="false">IF(ISNUMBER(F1408),F1408*INDEX(WtF,MATCH($C$1408,WtU,0))/WaterRho,"")</f>
        <v/>
      </c>
      <c r="G1417" s="29" t="str">
        <f aca="false">IF(ISNUMBER(G1408),G1408*INDEX(WtF,MATCH($C$1408,WtU,0))/WaterRho,"")</f>
        <v/>
      </c>
      <c r="H1417" s="29" t="str">
        <f aca="false">IF(ISNUMBER(H1408),H1408*INDEX(WtF,MATCH($C$1408,WtU,0))/WaterRho,"")</f>
        <v/>
      </c>
      <c r="I1417" s="30" t="str">
        <f aca="false">IF(COUNT(D1417:H1417)=0,"",SUM(D1417:H1417))</f>
        <v/>
      </c>
      <c r="J1417" s="24"/>
    </row>
    <row r="1418" customFormat="false" ht="15" hidden="false" customHeight="false" outlineLevel="0" collapsed="false">
      <c r="B1418" s="4" t="s">
        <v>194</v>
      </c>
      <c r="C1418" s="15" t="s">
        <v>109</v>
      </c>
      <c r="D1418" s="31" t="str">
        <f aca="false">IF(D1410="Water weight",D1417,D1416)</f>
        <v/>
      </c>
      <c r="E1418" s="31" t="str">
        <f aca="false">IF(E1410="Water weight",E1417,E1416)</f>
        <v/>
      </c>
      <c r="F1418" s="31" t="str">
        <f aca="false">IF(F1410="Water weight",F1417,F1416)</f>
        <v/>
      </c>
      <c r="G1418" s="31" t="str">
        <f aca="false">IF(G1410="Water weight",G1417,G1416)</f>
        <v/>
      </c>
      <c r="H1418" s="31" t="str">
        <f aca="false">IF(H1410="Water weight",H1417,H1416)</f>
        <v/>
      </c>
      <c r="I1418" s="31" t="str">
        <f aca="false">IF(COUNT(D1418:H1418)=0,"",SUM(D1418:H1418))</f>
        <v/>
      </c>
      <c r="J1418" s="24"/>
      <c r="K1418" s="32" t="s">
        <v>195</v>
      </c>
      <c r="L1418" s="32" t="n">
        <f aca="false">D1400</f>
        <v>0</v>
      </c>
      <c r="M1418" s="32" t="n">
        <f aca="false">E1400</f>
        <v>0</v>
      </c>
      <c r="N1418" s="32" t="n">
        <f aca="false">F1400</f>
        <v>0</v>
      </c>
      <c r="O1418" s="32" t="n">
        <f aca="false">G1400</f>
        <v>0</v>
      </c>
      <c r="P1418" s="32" t="n">
        <f aca="false">H1400</f>
        <v>0</v>
      </c>
    </row>
    <row r="1419" customFormat="false" ht="36" hidden="false" customHeight="true" outlineLevel="0" collapsed="false">
      <c r="B1419" s="9" t="s">
        <v>196</v>
      </c>
      <c r="C1419" s="15" t="s">
        <v>29</v>
      </c>
      <c r="D1419" s="39" t="str">
        <f aca="false">IF(D1418="","",IF(JobType="Chemical Cleaning",D1411,IFERROR(INDEX(DecMeth,MATCH(D1400,DecTypeU,0)),"⚠ select equipment type")))</f>
        <v/>
      </c>
      <c r="E1419" s="39" t="str">
        <f aca="false">IF(E1418="","",IF(JobType="Chemical Cleaning",E1411,IFERROR(INDEX(DecMeth,MATCH(E1400,DecTypeU,0)),"⚠ select equipment type")))</f>
        <v/>
      </c>
      <c r="F1419" s="39" t="str">
        <f aca="false">IF(F1418="","",IF(JobType="Chemical Cleaning",F1411,IFERROR(INDEX(DecMeth,MATCH(F1400,DecTypeU,0)),"⚠ select equipment type")))</f>
        <v/>
      </c>
      <c r="G1419" s="39" t="str">
        <f aca="false">IF(G1418="","",IF(JobType="Chemical Cleaning",G1411,IFERROR(INDEX(DecMeth,MATCH(G1400,DecTypeU,0)),"⚠ select equipment type")))</f>
        <v/>
      </c>
      <c r="H1419" s="39" t="str">
        <f aca="false">IF(H1418="","",IF(JobType="Chemical Cleaning",H1411,IFERROR(INDEX(DecMeth,MATCH(H1400,DecTypeU,0)),"⚠ select equipment type")))</f>
        <v/>
      </c>
      <c r="I1419" s="40"/>
      <c r="J1419" s="24"/>
    </row>
    <row r="1420" customFormat="false" ht="15" hidden="false" customHeight="false" outlineLevel="0" collapsed="false">
      <c r="B1420" s="9" t="s">
        <v>60</v>
      </c>
      <c r="C1420" s="15" t="s">
        <v>146</v>
      </c>
      <c r="D1420" s="35" t="str">
        <f aca="false">IF(D1418="","",IF(JobType="Chemical Cleaning",IFERROR(INDEX(CCMethPct,MATCH(D1411,CCMethU,0)),""),IFERROR(INDEX(DecFill,MATCH(D1400,DecTypeU,0)),"")))</f>
        <v/>
      </c>
      <c r="E1420" s="35" t="str">
        <f aca="false">IF(E1418="","",IF(JobType="Chemical Cleaning",IFERROR(INDEX(CCMethPct,MATCH(E1411,CCMethU,0)),""),IFERROR(INDEX(DecFill,MATCH(E1400,DecTypeU,0)),"")))</f>
        <v/>
      </c>
      <c r="F1420" s="35" t="str">
        <f aca="false">IF(F1418="","",IF(JobType="Chemical Cleaning",IFERROR(INDEX(CCMethPct,MATCH(F1411,CCMethU,0)),""),IFERROR(INDEX(DecFill,MATCH(F1400,DecTypeU,0)),"")))</f>
        <v/>
      </c>
      <c r="G1420" s="35" t="str">
        <f aca="false">IF(G1418="","",IF(JobType="Chemical Cleaning",IFERROR(INDEX(CCMethPct,MATCH(G1411,CCMethU,0)),""),IFERROR(INDEX(DecFill,MATCH(G1400,DecTypeU,0)),"")))</f>
        <v/>
      </c>
      <c r="H1420" s="35" t="str">
        <f aca="false">IF(H1418="","",IF(JobType="Chemical Cleaning",IFERROR(INDEX(CCMethPct,MATCH(H1411,CCMethU,0)),""),IFERROR(INDEX(DecFill,MATCH(H1400,DecTypeU,0)),"")))</f>
        <v/>
      </c>
      <c r="I1420" s="36"/>
      <c r="J1420" s="24" t="s">
        <v>197</v>
      </c>
    </row>
    <row r="1421" customFormat="false" ht="15" hidden="false" customHeight="false" outlineLevel="0" collapsed="false">
      <c r="B1421" s="4" t="s">
        <v>148</v>
      </c>
      <c r="C1421" s="15" t="s">
        <v>109</v>
      </c>
      <c r="D1421" s="31" t="str">
        <f aca="false">IF(OR(D1418="",D1420=""),"",D1418*D1420)</f>
        <v/>
      </c>
      <c r="E1421" s="31" t="str">
        <f aca="false">IF(OR(E1418="",E1420=""),"",E1418*E1420)</f>
        <v/>
      </c>
      <c r="F1421" s="31" t="str">
        <f aca="false">IF(OR(F1418="",F1420=""),"",F1418*F1420)</f>
        <v/>
      </c>
      <c r="G1421" s="31" t="str">
        <f aca="false">IF(OR(G1418="",G1420=""),"",G1418*G1420)</f>
        <v/>
      </c>
      <c r="H1421" s="31" t="str">
        <f aca="false">IF(OR(H1418="",H1420=""),"",H1418*H1420)</f>
        <v/>
      </c>
      <c r="I1421" s="31" t="str">
        <f aca="false">IF(COUNT(D1421:H1421)=0,"",SUM(D1421:H1421))</f>
        <v/>
      </c>
      <c r="J1421" s="24"/>
      <c r="K1421" s="32" t="s">
        <v>198</v>
      </c>
      <c r="L1421" s="32" t="n">
        <f aca="false">D1400</f>
        <v>0</v>
      </c>
      <c r="M1421" s="32" t="n">
        <f aca="false">E1400</f>
        <v>0</v>
      </c>
      <c r="N1421" s="32" t="n">
        <f aca="false">F1400</f>
        <v>0</v>
      </c>
      <c r="O1421" s="32" t="n">
        <f aca="false">G1400</f>
        <v>0</v>
      </c>
      <c r="P1421" s="32" t="n">
        <f aca="false">H1400</f>
        <v>0</v>
      </c>
    </row>
    <row r="1422" customFormat="false" ht="15" hidden="false" customHeight="false" outlineLevel="0" collapsed="false">
      <c r="B1422" s="9" t="s">
        <v>150</v>
      </c>
      <c r="C1422" s="15" t="s">
        <v>32</v>
      </c>
      <c r="D1422" s="37" t="str">
        <f aca="false">IF(OR(JobType&lt;&gt;"Decontamination",D1421=""),"",IFERROR(D1421*INDEX(DecChem,MATCH(D1400,DecTypeU,0))*1000,""))</f>
        <v/>
      </c>
      <c r="E1422" s="37" t="str">
        <f aca="false">IF(OR(JobType&lt;&gt;"Decontamination",E1421=""),"",IFERROR(E1421*INDEX(DecChem,MATCH(E1400,DecTypeU,0))*1000,""))</f>
        <v/>
      </c>
      <c r="F1422" s="37" t="str">
        <f aca="false">IF(OR(JobType&lt;&gt;"Decontamination",F1421=""),"",IFERROR(F1421*INDEX(DecChem,MATCH(F1400,DecTypeU,0))*1000,""))</f>
        <v/>
      </c>
      <c r="G1422" s="37" t="str">
        <f aca="false">IF(OR(JobType&lt;&gt;"Decontamination",G1421=""),"",IFERROR(G1421*INDEX(DecChem,MATCH(G1400,DecTypeU,0))*1000,""))</f>
        <v/>
      </c>
      <c r="H1422" s="37" t="str">
        <f aca="false">IF(OR(JobType&lt;&gt;"Decontamination",H1421=""),"",IFERROR(H1421*INDEX(DecChem,MATCH(H1400,DecTypeU,0))*1000,""))</f>
        <v/>
      </c>
      <c r="I1422" s="38" t="str">
        <f aca="false">IF(COUNT(D1422:H1422)=0,"",SUM(D1422:H1422))</f>
        <v/>
      </c>
      <c r="J1422" s="24" t="s">
        <v>199</v>
      </c>
      <c r="K1422" s="32" t="s">
        <v>200</v>
      </c>
      <c r="L1422" s="32" t="n">
        <f aca="false">D1400</f>
        <v>0</v>
      </c>
      <c r="M1422" s="32" t="n">
        <f aca="false">E1400</f>
        <v>0</v>
      </c>
      <c r="N1422" s="32" t="n">
        <f aca="false">F1400</f>
        <v>0</v>
      </c>
      <c r="O1422" s="32" t="n">
        <f aca="false">G1400</f>
        <v>0</v>
      </c>
      <c r="P1422" s="32" t="n">
        <f aca="false">H1400</f>
        <v>0</v>
      </c>
    </row>
    <row r="1424" customFormat="false" ht="15" hidden="false" customHeight="false" outlineLevel="0" collapsed="false">
      <c r="A1424" s="20" t="n">
        <v>20</v>
      </c>
      <c r="B1424" s="21" t="s">
        <v>219</v>
      </c>
      <c r="C1424" s="22"/>
      <c r="D1424" s="22"/>
      <c r="E1424" s="22"/>
      <c r="F1424" s="22"/>
      <c r="G1424" s="22"/>
      <c r="H1424" s="22"/>
      <c r="I1424" s="22"/>
      <c r="J1424" s="22"/>
    </row>
    <row r="1425" customFormat="false" ht="15" hidden="false" customHeight="false" outlineLevel="0" collapsed="false">
      <c r="B1425" s="9" t="s">
        <v>83</v>
      </c>
      <c r="C1425" s="15" t="s">
        <v>29</v>
      </c>
      <c r="D1425" s="8"/>
      <c r="E1425" s="8"/>
      <c r="F1425" s="8"/>
      <c r="G1425" s="8"/>
      <c r="H1425" s="8"/>
      <c r="I1425" s="23"/>
      <c r="J1425" s="24"/>
    </row>
    <row r="1426" customFormat="false" ht="15" hidden="false" customHeight="false" outlineLevel="0" collapsed="false">
      <c r="B1426" s="9" t="s">
        <v>86</v>
      </c>
      <c r="C1426" s="15" t="s">
        <v>29</v>
      </c>
      <c r="D1426" s="8"/>
      <c r="E1426" s="8"/>
      <c r="F1426" s="8"/>
      <c r="G1426" s="8"/>
      <c r="H1426" s="8"/>
      <c r="I1426" s="23"/>
      <c r="J1426" s="24"/>
    </row>
    <row r="1427" customFormat="false" ht="15" hidden="false" customHeight="false" outlineLevel="0" collapsed="false">
      <c r="B1427" s="9" t="s">
        <v>175</v>
      </c>
      <c r="C1427" s="15" t="s">
        <v>29</v>
      </c>
      <c r="D1427" s="8"/>
      <c r="E1427" s="8"/>
      <c r="F1427" s="8"/>
      <c r="G1427" s="8"/>
      <c r="H1427" s="8"/>
      <c r="I1427" s="23"/>
      <c r="J1427" s="24" t="s">
        <v>176</v>
      </c>
    </row>
    <row r="1428" customFormat="false" ht="15" hidden="false" customHeight="false" outlineLevel="0" collapsed="false">
      <c r="B1428" s="25" t="s">
        <v>177</v>
      </c>
      <c r="C1428" s="26"/>
      <c r="D1428" s="26"/>
      <c r="E1428" s="26"/>
      <c r="F1428" s="26"/>
      <c r="G1428" s="26"/>
      <c r="H1428" s="26"/>
      <c r="I1428" s="26"/>
      <c r="J1428" s="26"/>
    </row>
    <row r="1429" customFormat="false" ht="15" hidden="false" customHeight="false" outlineLevel="0" collapsed="false">
      <c r="B1429" s="9" t="s">
        <v>178</v>
      </c>
      <c r="C1429" s="8" t="s">
        <v>92</v>
      </c>
      <c r="D1429" s="8"/>
      <c r="E1429" s="8"/>
      <c r="F1429" s="8"/>
      <c r="G1429" s="8"/>
      <c r="H1429" s="8"/>
      <c r="I1429" s="23"/>
      <c r="J1429" s="24"/>
    </row>
    <row r="1430" customFormat="false" ht="15" hidden="false" customHeight="false" outlineLevel="0" collapsed="false">
      <c r="B1430" s="9" t="s">
        <v>179</v>
      </c>
      <c r="C1430" s="8" t="s">
        <v>92</v>
      </c>
      <c r="D1430" s="8"/>
      <c r="E1430" s="8"/>
      <c r="F1430" s="8"/>
      <c r="G1430" s="8"/>
      <c r="H1430" s="8"/>
      <c r="I1430" s="23"/>
      <c r="J1430" s="24"/>
    </row>
    <row r="1431" customFormat="false" ht="15" hidden="false" customHeight="false" outlineLevel="0" collapsed="false">
      <c r="B1431" s="9" t="s">
        <v>180</v>
      </c>
      <c r="C1431" s="15" t="s">
        <v>29</v>
      </c>
      <c r="D1431" s="8"/>
      <c r="E1431" s="8"/>
      <c r="F1431" s="8"/>
      <c r="G1431" s="8"/>
      <c r="H1431" s="8"/>
      <c r="I1431" s="23"/>
      <c r="J1431" s="24"/>
    </row>
    <row r="1432" customFormat="false" ht="15" hidden="false" customHeight="false" outlineLevel="0" collapsed="false">
      <c r="B1432" s="9" t="s">
        <v>181</v>
      </c>
      <c r="C1432" s="8" t="s">
        <v>92</v>
      </c>
      <c r="D1432" s="8"/>
      <c r="E1432" s="8"/>
      <c r="F1432" s="8"/>
      <c r="G1432" s="8"/>
      <c r="H1432" s="8"/>
      <c r="I1432" s="23"/>
      <c r="J1432" s="24"/>
    </row>
    <row r="1433" customFormat="false" ht="15" hidden="false" customHeight="false" outlineLevel="0" collapsed="false">
      <c r="B1433" s="9" t="s">
        <v>182</v>
      </c>
      <c r="C1433" s="15" t="s">
        <v>29</v>
      </c>
      <c r="D1433" s="8"/>
      <c r="E1433" s="8"/>
      <c r="F1433" s="8"/>
      <c r="G1433" s="8"/>
      <c r="H1433" s="8"/>
      <c r="I1433" s="23"/>
      <c r="J1433" s="24"/>
    </row>
    <row r="1434" customFormat="false" ht="15" hidden="false" customHeight="false" outlineLevel="0" collapsed="false">
      <c r="B1434" s="9" t="s">
        <v>183</v>
      </c>
      <c r="C1434" s="8" t="s">
        <v>92</v>
      </c>
      <c r="D1434" s="8"/>
      <c r="E1434" s="8"/>
      <c r="F1434" s="8"/>
      <c r="G1434" s="8"/>
      <c r="H1434" s="8"/>
      <c r="I1434" s="23"/>
      <c r="J1434" s="24"/>
    </row>
    <row r="1435" customFormat="false" ht="15" hidden="false" customHeight="false" outlineLevel="0" collapsed="false">
      <c r="B1435" s="9" t="s">
        <v>184</v>
      </c>
      <c r="C1435" s="8" t="s">
        <v>112</v>
      </c>
      <c r="D1435" s="8"/>
      <c r="E1435" s="8"/>
      <c r="F1435" s="8"/>
      <c r="G1435" s="8"/>
      <c r="H1435" s="8"/>
      <c r="I1435" s="23"/>
      <c r="J1435" s="24"/>
    </row>
    <row r="1436" customFormat="false" ht="15" hidden="false" customHeight="false" outlineLevel="0" collapsed="false">
      <c r="B1436" s="25" t="s">
        <v>185</v>
      </c>
      <c r="C1436" s="26"/>
      <c r="D1436" s="26"/>
      <c r="E1436" s="26"/>
      <c r="F1436" s="26"/>
      <c r="G1436" s="26"/>
      <c r="H1436" s="26"/>
      <c r="I1436" s="26"/>
      <c r="J1436" s="26"/>
    </row>
    <row r="1437" customFormat="false" ht="15" hidden="false" customHeight="false" outlineLevel="0" collapsed="false">
      <c r="B1437" s="9" t="s">
        <v>186</v>
      </c>
      <c r="C1437" s="15" t="s">
        <v>29</v>
      </c>
      <c r="D1437" s="8" t="s">
        <v>122</v>
      </c>
      <c r="E1437" s="8" t="s">
        <v>122</v>
      </c>
      <c r="F1437" s="8" t="s">
        <v>122</v>
      </c>
      <c r="G1437" s="8" t="s">
        <v>122</v>
      </c>
      <c r="H1437" s="8" t="s">
        <v>122</v>
      </c>
      <c r="I1437" s="23"/>
      <c r="J1437" s="24"/>
    </row>
    <row r="1438" customFormat="false" ht="15" hidden="false" customHeight="false" outlineLevel="0" collapsed="false">
      <c r="B1438" s="9" t="s">
        <v>187</v>
      </c>
      <c r="C1438" s="15" t="s">
        <v>29</v>
      </c>
      <c r="D1438" s="8" t="s">
        <v>61</v>
      </c>
      <c r="E1438" s="8" t="s">
        <v>61</v>
      </c>
      <c r="F1438" s="8" t="s">
        <v>61</v>
      </c>
      <c r="G1438" s="8" t="s">
        <v>61</v>
      </c>
      <c r="H1438" s="8" t="s">
        <v>61</v>
      </c>
      <c r="I1438" s="23"/>
      <c r="J1438" s="24" t="s">
        <v>188</v>
      </c>
    </row>
    <row r="1439" customFormat="false" ht="15" hidden="false" customHeight="false" outlineLevel="0" collapsed="false">
      <c r="B1439" s="25" t="s">
        <v>124</v>
      </c>
      <c r="C1439" s="26"/>
      <c r="D1439" s="26"/>
      <c r="E1439" s="26"/>
      <c r="F1439" s="26"/>
      <c r="G1439" s="26"/>
      <c r="H1439" s="26"/>
      <c r="I1439" s="26"/>
      <c r="J1439" s="26"/>
    </row>
    <row r="1440" customFormat="false" ht="15" hidden="false" customHeight="false" outlineLevel="0" collapsed="false">
      <c r="B1440" s="9" t="s">
        <v>189</v>
      </c>
      <c r="C1440" s="15" t="s">
        <v>109</v>
      </c>
      <c r="D1440" s="29" t="str">
        <f aca="false">IF(ISNUMBER(D1429),PI()/4*(D1429*INDEX(LenF,MATCH($C$1429,LenU,0)))^2*N(D1430)*INDEX(LenF,MATCH($C$1430,LenU,0)),"")</f>
        <v/>
      </c>
      <c r="E1440" s="29" t="str">
        <f aca="false">IF(ISNUMBER(E1429),PI()/4*(E1429*INDEX(LenF,MATCH($C$1429,LenU,0)))^2*N(E1430)*INDEX(LenF,MATCH($C$1430,LenU,0)),"")</f>
        <v/>
      </c>
      <c r="F1440" s="29" t="str">
        <f aca="false">IF(ISNUMBER(F1429),PI()/4*(F1429*INDEX(LenF,MATCH($C$1429,LenU,0)))^2*N(F1430)*INDEX(LenF,MATCH($C$1430,LenU,0)),"")</f>
        <v/>
      </c>
      <c r="G1440" s="29" t="str">
        <f aca="false">IF(ISNUMBER(G1429),PI()/4*(G1429*INDEX(LenF,MATCH($C$1429,LenU,0)))^2*N(G1430)*INDEX(LenF,MATCH($C$1430,LenU,0)),"")</f>
        <v/>
      </c>
      <c r="H1440" s="29" t="str">
        <f aca="false">IF(ISNUMBER(H1429),PI()/4*(H1429*INDEX(LenF,MATCH($C$1429,LenU,0)))^2*N(H1430)*INDEX(LenF,MATCH($C$1430,LenU,0)),"")</f>
        <v/>
      </c>
      <c r="I1440" s="30" t="str">
        <f aca="false">IF(COUNT(D1440:H1440)=0,"",SUM(D1440:H1440))</f>
        <v/>
      </c>
      <c r="J1440" s="24"/>
    </row>
    <row r="1441" customFormat="false" ht="15" hidden="false" customHeight="false" outlineLevel="0" collapsed="false">
      <c r="B1441" s="9" t="s">
        <v>190</v>
      </c>
      <c r="C1441" s="15" t="s">
        <v>109</v>
      </c>
      <c r="D1441" s="29" t="str">
        <f aca="false">IF(ISNUMBER(D1429),IF(D1431="",0,IF(D1431="Conical",PI()/12*(D1429*INDEX(LenF,MATCH($C$1429,LenU,0)))^2*(N(D1432)*INDEX(LenF,MATCH($C$1432,LenU,0))),INDEX(HeadK,MATCH(D1431,HeadU,0))*(D1429*INDEX(LenF,MATCH($C$1429,LenU,0)))^3)),"")</f>
        <v/>
      </c>
      <c r="E1441" s="29" t="str">
        <f aca="false">IF(ISNUMBER(E1429),IF(E1431="",0,IF(E1431="Conical",PI()/12*(E1429*INDEX(LenF,MATCH($C$1429,LenU,0)))^2*(N(E1432)*INDEX(LenF,MATCH($C$1432,LenU,0))),INDEX(HeadK,MATCH(E1431,HeadU,0))*(E1429*INDEX(LenF,MATCH($C$1429,LenU,0)))^3)),"")</f>
        <v/>
      </c>
      <c r="F1441" s="29" t="str">
        <f aca="false">IF(ISNUMBER(F1429),IF(F1431="",0,IF(F1431="Conical",PI()/12*(F1429*INDEX(LenF,MATCH($C$1429,LenU,0)))^2*(N(F1432)*INDEX(LenF,MATCH($C$1432,LenU,0))),INDEX(HeadK,MATCH(F1431,HeadU,0))*(F1429*INDEX(LenF,MATCH($C$1429,LenU,0)))^3)),"")</f>
        <v/>
      </c>
      <c r="G1441" s="29" t="str">
        <f aca="false">IF(ISNUMBER(G1429),IF(G1431="",0,IF(G1431="Conical",PI()/12*(G1429*INDEX(LenF,MATCH($C$1429,LenU,0)))^2*(N(G1432)*INDEX(LenF,MATCH($C$1432,LenU,0))),INDEX(HeadK,MATCH(G1431,HeadU,0))*(G1429*INDEX(LenF,MATCH($C$1429,LenU,0)))^3)),"")</f>
        <v/>
      </c>
      <c r="H1441" s="29" t="str">
        <f aca="false">IF(ISNUMBER(H1429),IF(H1431="",0,IF(H1431="Conical",PI()/12*(H1429*INDEX(LenF,MATCH($C$1429,LenU,0)))^2*(N(H1432)*INDEX(LenF,MATCH($C$1432,LenU,0))),INDEX(HeadK,MATCH(H1431,HeadU,0))*(H1429*INDEX(LenF,MATCH($C$1429,LenU,0)))^3)),"")</f>
        <v/>
      </c>
      <c r="I1441" s="30" t="str">
        <f aca="false">IF(COUNT(D1441:H1441)=0,"",SUM(D1441:H1441))</f>
        <v/>
      </c>
      <c r="J1441" s="24"/>
    </row>
    <row r="1442" customFormat="false" ht="15" hidden="false" customHeight="false" outlineLevel="0" collapsed="false">
      <c r="B1442" s="9" t="s">
        <v>191</v>
      </c>
      <c r="C1442" s="15" t="s">
        <v>109</v>
      </c>
      <c r="D1442" s="29" t="str">
        <f aca="false">IF(ISNUMBER(D1429),IF(D1433="",0,IF(D1433="Conical",PI()/12*(D1429*INDEX(LenF,MATCH($C$1429,LenU,0)))^2*(N(D1434)*INDEX(LenF,MATCH($C$1434,LenU,0))),INDEX(HeadK,MATCH(D1433,HeadU,0))*(D1429*INDEX(LenF,MATCH($C$1429,LenU,0)))^3)),"")</f>
        <v/>
      </c>
      <c r="E1442" s="29" t="str">
        <f aca="false">IF(ISNUMBER(E1429),IF(E1433="",0,IF(E1433="Conical",PI()/12*(E1429*INDEX(LenF,MATCH($C$1429,LenU,0)))^2*(N(E1434)*INDEX(LenF,MATCH($C$1434,LenU,0))),INDEX(HeadK,MATCH(E1433,HeadU,0))*(E1429*INDEX(LenF,MATCH($C$1429,LenU,0)))^3)),"")</f>
        <v/>
      </c>
      <c r="F1442" s="29" t="str">
        <f aca="false">IF(ISNUMBER(F1429),IF(F1433="",0,IF(F1433="Conical",PI()/12*(F1429*INDEX(LenF,MATCH($C$1429,LenU,0)))^2*(N(F1434)*INDEX(LenF,MATCH($C$1434,LenU,0))),INDEX(HeadK,MATCH(F1433,HeadU,0))*(F1429*INDEX(LenF,MATCH($C$1429,LenU,0)))^3)),"")</f>
        <v/>
      </c>
      <c r="G1442" s="29" t="str">
        <f aca="false">IF(ISNUMBER(G1429),IF(G1433="",0,IF(G1433="Conical",PI()/12*(G1429*INDEX(LenF,MATCH($C$1429,LenU,0)))^2*(N(G1434)*INDEX(LenF,MATCH($C$1434,LenU,0))),INDEX(HeadK,MATCH(G1433,HeadU,0))*(G1429*INDEX(LenF,MATCH($C$1429,LenU,0)))^3)),"")</f>
        <v/>
      </c>
      <c r="H1442" s="29" t="str">
        <f aca="false">IF(ISNUMBER(H1429),IF(H1433="",0,IF(H1433="Conical",PI()/12*(H1429*INDEX(LenF,MATCH($C$1429,LenU,0)))^2*(N(H1434)*INDEX(LenF,MATCH($C$1434,LenU,0))),INDEX(HeadK,MATCH(H1433,HeadU,0))*(H1429*INDEX(LenF,MATCH($C$1429,LenU,0)))^3)),"")</f>
        <v/>
      </c>
      <c r="I1442" s="30" t="str">
        <f aca="false">IF(COUNT(D1442:H1442)=0,"",SUM(D1442:H1442))</f>
        <v/>
      </c>
      <c r="J1442" s="24"/>
    </row>
    <row r="1443" customFormat="false" ht="15" hidden="false" customHeight="false" outlineLevel="0" collapsed="false">
      <c r="B1443" s="9" t="s">
        <v>192</v>
      </c>
      <c r="C1443" s="15" t="s">
        <v>109</v>
      </c>
      <c r="D1443" s="29" t="str">
        <f aca="false">IF(ISNUMBER(D1429),D1440+D1441+D1442,"")</f>
        <v/>
      </c>
      <c r="E1443" s="29" t="str">
        <f aca="false">IF(ISNUMBER(E1429),E1440+E1441+E1442,"")</f>
        <v/>
      </c>
      <c r="F1443" s="29" t="str">
        <f aca="false">IF(ISNUMBER(F1429),F1440+F1441+F1442,"")</f>
        <v/>
      </c>
      <c r="G1443" s="29" t="str">
        <f aca="false">IF(ISNUMBER(G1429),G1440+G1441+G1442,"")</f>
        <v/>
      </c>
      <c r="H1443" s="29" t="str">
        <f aca="false">IF(ISNUMBER(H1429),H1440+H1441+H1442,"")</f>
        <v/>
      </c>
      <c r="I1443" s="30" t="str">
        <f aca="false">IF(COUNT(D1443:H1443)=0,"",SUM(D1443:H1443))</f>
        <v/>
      </c>
      <c r="J1443" s="24"/>
    </row>
    <row r="1444" customFormat="false" ht="15" hidden="false" customHeight="false" outlineLevel="0" collapsed="false">
      <c r="B1444" s="9" t="s">
        <v>193</v>
      </c>
      <c r="C1444" s="15" t="s">
        <v>109</v>
      </c>
      <c r="D1444" s="29" t="str">
        <f aca="false">IF(ISNUMBER(D1435),D1435*INDEX(WtF,MATCH($C$1435,WtU,0))/WaterRho,"")</f>
        <v/>
      </c>
      <c r="E1444" s="29" t="str">
        <f aca="false">IF(ISNUMBER(E1435),E1435*INDEX(WtF,MATCH($C$1435,WtU,0))/WaterRho,"")</f>
        <v/>
      </c>
      <c r="F1444" s="29" t="str">
        <f aca="false">IF(ISNUMBER(F1435),F1435*INDEX(WtF,MATCH($C$1435,WtU,0))/WaterRho,"")</f>
        <v/>
      </c>
      <c r="G1444" s="29" t="str">
        <f aca="false">IF(ISNUMBER(G1435),G1435*INDEX(WtF,MATCH($C$1435,WtU,0))/WaterRho,"")</f>
        <v/>
      </c>
      <c r="H1444" s="29" t="str">
        <f aca="false">IF(ISNUMBER(H1435),H1435*INDEX(WtF,MATCH($C$1435,WtU,0))/WaterRho,"")</f>
        <v/>
      </c>
      <c r="I1444" s="30" t="str">
        <f aca="false">IF(COUNT(D1444:H1444)=0,"",SUM(D1444:H1444))</f>
        <v/>
      </c>
      <c r="J1444" s="24"/>
    </row>
    <row r="1445" customFormat="false" ht="15" hidden="false" customHeight="false" outlineLevel="0" collapsed="false">
      <c r="B1445" s="4" t="s">
        <v>194</v>
      </c>
      <c r="C1445" s="15" t="s">
        <v>109</v>
      </c>
      <c r="D1445" s="31" t="str">
        <f aca="false">IF(D1437="Water weight",D1444,D1443)</f>
        <v/>
      </c>
      <c r="E1445" s="31" t="str">
        <f aca="false">IF(E1437="Water weight",E1444,E1443)</f>
        <v/>
      </c>
      <c r="F1445" s="31" t="str">
        <f aca="false">IF(F1437="Water weight",F1444,F1443)</f>
        <v/>
      </c>
      <c r="G1445" s="31" t="str">
        <f aca="false">IF(G1437="Water weight",G1444,G1443)</f>
        <v/>
      </c>
      <c r="H1445" s="31" t="str">
        <f aca="false">IF(H1437="Water weight",H1444,H1443)</f>
        <v/>
      </c>
      <c r="I1445" s="31" t="str">
        <f aca="false">IF(COUNT(D1445:H1445)=0,"",SUM(D1445:H1445))</f>
        <v/>
      </c>
      <c r="J1445" s="24"/>
      <c r="K1445" s="32" t="s">
        <v>195</v>
      </c>
      <c r="L1445" s="32" t="n">
        <f aca="false">D1427</f>
        <v>0</v>
      </c>
      <c r="M1445" s="32" t="n">
        <f aca="false">E1427</f>
        <v>0</v>
      </c>
      <c r="N1445" s="32" t="n">
        <f aca="false">F1427</f>
        <v>0</v>
      </c>
      <c r="O1445" s="32" t="n">
        <f aca="false">G1427</f>
        <v>0</v>
      </c>
      <c r="P1445" s="32" t="n">
        <f aca="false">H1427</f>
        <v>0</v>
      </c>
    </row>
    <row r="1446" customFormat="false" ht="36" hidden="false" customHeight="true" outlineLevel="0" collapsed="false">
      <c r="B1446" s="9" t="s">
        <v>196</v>
      </c>
      <c r="C1446" s="15" t="s">
        <v>29</v>
      </c>
      <c r="D1446" s="39" t="str">
        <f aca="false">IF(D1445="","",IF(JobType="Chemical Cleaning",D1438,IFERROR(INDEX(DecMeth,MATCH(D1427,DecTypeU,0)),"⚠ select equipment type")))</f>
        <v/>
      </c>
      <c r="E1446" s="39" t="str">
        <f aca="false">IF(E1445="","",IF(JobType="Chemical Cleaning",E1438,IFERROR(INDEX(DecMeth,MATCH(E1427,DecTypeU,0)),"⚠ select equipment type")))</f>
        <v/>
      </c>
      <c r="F1446" s="39" t="str">
        <f aca="false">IF(F1445="","",IF(JobType="Chemical Cleaning",F1438,IFERROR(INDEX(DecMeth,MATCH(F1427,DecTypeU,0)),"⚠ select equipment type")))</f>
        <v/>
      </c>
      <c r="G1446" s="39" t="str">
        <f aca="false">IF(G1445="","",IF(JobType="Chemical Cleaning",G1438,IFERROR(INDEX(DecMeth,MATCH(G1427,DecTypeU,0)),"⚠ select equipment type")))</f>
        <v/>
      </c>
      <c r="H1446" s="39" t="str">
        <f aca="false">IF(H1445="","",IF(JobType="Chemical Cleaning",H1438,IFERROR(INDEX(DecMeth,MATCH(H1427,DecTypeU,0)),"⚠ select equipment type")))</f>
        <v/>
      </c>
      <c r="I1446" s="40"/>
      <c r="J1446" s="24"/>
    </row>
    <row r="1447" customFormat="false" ht="15" hidden="false" customHeight="false" outlineLevel="0" collapsed="false">
      <c r="B1447" s="9" t="s">
        <v>60</v>
      </c>
      <c r="C1447" s="15" t="s">
        <v>146</v>
      </c>
      <c r="D1447" s="35" t="str">
        <f aca="false">IF(D1445="","",IF(JobType="Chemical Cleaning",IFERROR(INDEX(CCMethPct,MATCH(D1438,CCMethU,0)),""),IFERROR(INDEX(DecFill,MATCH(D1427,DecTypeU,0)),"")))</f>
        <v/>
      </c>
      <c r="E1447" s="35" t="str">
        <f aca="false">IF(E1445="","",IF(JobType="Chemical Cleaning",IFERROR(INDEX(CCMethPct,MATCH(E1438,CCMethU,0)),""),IFERROR(INDEX(DecFill,MATCH(E1427,DecTypeU,0)),"")))</f>
        <v/>
      </c>
      <c r="F1447" s="35" t="str">
        <f aca="false">IF(F1445="","",IF(JobType="Chemical Cleaning",IFERROR(INDEX(CCMethPct,MATCH(F1438,CCMethU,0)),""),IFERROR(INDEX(DecFill,MATCH(F1427,DecTypeU,0)),"")))</f>
        <v/>
      </c>
      <c r="G1447" s="35" t="str">
        <f aca="false">IF(G1445="","",IF(JobType="Chemical Cleaning",IFERROR(INDEX(CCMethPct,MATCH(G1438,CCMethU,0)),""),IFERROR(INDEX(DecFill,MATCH(G1427,DecTypeU,0)),"")))</f>
        <v/>
      </c>
      <c r="H1447" s="35" t="str">
        <f aca="false">IF(H1445="","",IF(JobType="Chemical Cleaning",IFERROR(INDEX(CCMethPct,MATCH(H1438,CCMethU,0)),""),IFERROR(INDEX(DecFill,MATCH(H1427,DecTypeU,0)),"")))</f>
        <v/>
      </c>
      <c r="I1447" s="36"/>
      <c r="J1447" s="24" t="s">
        <v>197</v>
      </c>
    </row>
    <row r="1448" customFormat="false" ht="15" hidden="false" customHeight="false" outlineLevel="0" collapsed="false">
      <c r="B1448" s="4" t="s">
        <v>148</v>
      </c>
      <c r="C1448" s="15" t="s">
        <v>109</v>
      </c>
      <c r="D1448" s="31" t="str">
        <f aca="false">IF(OR(D1445="",D1447=""),"",D1445*D1447)</f>
        <v/>
      </c>
      <c r="E1448" s="31" t="str">
        <f aca="false">IF(OR(E1445="",E1447=""),"",E1445*E1447)</f>
        <v/>
      </c>
      <c r="F1448" s="31" t="str">
        <f aca="false">IF(OR(F1445="",F1447=""),"",F1445*F1447)</f>
        <v/>
      </c>
      <c r="G1448" s="31" t="str">
        <f aca="false">IF(OR(G1445="",G1447=""),"",G1445*G1447)</f>
        <v/>
      </c>
      <c r="H1448" s="31" t="str">
        <f aca="false">IF(OR(H1445="",H1447=""),"",H1445*H1447)</f>
        <v/>
      </c>
      <c r="I1448" s="31" t="str">
        <f aca="false">IF(COUNT(D1448:H1448)=0,"",SUM(D1448:H1448))</f>
        <v/>
      </c>
      <c r="J1448" s="24"/>
      <c r="K1448" s="32" t="s">
        <v>198</v>
      </c>
      <c r="L1448" s="32" t="n">
        <f aca="false">D1427</f>
        <v>0</v>
      </c>
      <c r="M1448" s="32" t="n">
        <f aca="false">E1427</f>
        <v>0</v>
      </c>
      <c r="N1448" s="32" t="n">
        <f aca="false">F1427</f>
        <v>0</v>
      </c>
      <c r="O1448" s="32" t="n">
        <f aca="false">G1427</f>
        <v>0</v>
      </c>
      <c r="P1448" s="32" t="n">
        <f aca="false">H1427</f>
        <v>0</v>
      </c>
    </row>
    <row r="1449" customFormat="false" ht="15" hidden="false" customHeight="false" outlineLevel="0" collapsed="false">
      <c r="B1449" s="9" t="s">
        <v>150</v>
      </c>
      <c r="C1449" s="15" t="s">
        <v>32</v>
      </c>
      <c r="D1449" s="37" t="str">
        <f aca="false">IF(OR(JobType&lt;&gt;"Decontamination",D1448=""),"",IFERROR(D1448*INDEX(DecChem,MATCH(D1427,DecTypeU,0))*1000,""))</f>
        <v/>
      </c>
      <c r="E1449" s="37" t="str">
        <f aca="false">IF(OR(JobType&lt;&gt;"Decontamination",E1448=""),"",IFERROR(E1448*INDEX(DecChem,MATCH(E1427,DecTypeU,0))*1000,""))</f>
        <v/>
      </c>
      <c r="F1449" s="37" t="str">
        <f aca="false">IF(OR(JobType&lt;&gt;"Decontamination",F1448=""),"",IFERROR(F1448*INDEX(DecChem,MATCH(F1427,DecTypeU,0))*1000,""))</f>
        <v/>
      </c>
      <c r="G1449" s="37" t="str">
        <f aca="false">IF(OR(JobType&lt;&gt;"Decontamination",G1448=""),"",IFERROR(G1448*INDEX(DecChem,MATCH(G1427,DecTypeU,0))*1000,""))</f>
        <v/>
      </c>
      <c r="H1449" s="37" t="str">
        <f aca="false">IF(OR(JobType&lt;&gt;"Decontamination",H1448=""),"",IFERROR(H1448*INDEX(DecChem,MATCH(H1427,DecTypeU,0))*1000,""))</f>
        <v/>
      </c>
      <c r="I1449" s="38" t="str">
        <f aca="false">IF(COUNT(D1449:H1449)=0,"",SUM(D1449:H1449))</f>
        <v/>
      </c>
      <c r="J1449" s="24" t="s">
        <v>199</v>
      </c>
      <c r="K1449" s="32" t="s">
        <v>200</v>
      </c>
      <c r="L1449" s="32" t="n">
        <f aca="false">D1427</f>
        <v>0</v>
      </c>
      <c r="M1449" s="32" t="n">
        <f aca="false">E1427</f>
        <v>0</v>
      </c>
      <c r="N1449" s="32" t="n">
        <f aca="false">F1427</f>
        <v>0</v>
      </c>
      <c r="O1449" s="32" t="n">
        <f aca="false">G1427</f>
        <v>0</v>
      </c>
      <c r="P1449" s="32" t="n">
        <f aca="false">H1427</f>
        <v>0</v>
      </c>
    </row>
    <row r="1452" customFormat="false" ht="21.75" hidden="false" customHeight="true" outlineLevel="0" collapsed="false">
      <c r="A1452" s="19" t="s">
        <v>220</v>
      </c>
      <c r="B1452" s="19"/>
      <c r="C1452" s="19"/>
      <c r="D1452" s="19"/>
      <c r="E1452" s="19"/>
      <c r="F1452" s="19"/>
      <c r="G1452" s="19"/>
      <c r="H1452" s="19"/>
      <c r="I1452" s="19"/>
      <c r="J1452" s="19"/>
    </row>
    <row r="1453" customFormat="false" ht="15" hidden="false" customHeight="false" outlineLevel="0" collapsed="false">
      <c r="A1453" s="20" t="n">
        <v>1</v>
      </c>
      <c r="B1453" s="21" t="s">
        <v>221</v>
      </c>
      <c r="C1453" s="22"/>
      <c r="D1453" s="22"/>
      <c r="E1453" s="22"/>
      <c r="F1453" s="22"/>
      <c r="G1453" s="22"/>
      <c r="H1453" s="22"/>
      <c r="I1453" s="22"/>
      <c r="J1453" s="22"/>
    </row>
    <row r="1454" customFormat="false" ht="15" hidden="false" customHeight="false" outlineLevel="0" collapsed="false">
      <c r="B1454" s="9" t="s">
        <v>222</v>
      </c>
      <c r="C1454" s="15" t="s">
        <v>29</v>
      </c>
      <c r="D1454" s="8" t="s">
        <v>223</v>
      </c>
      <c r="E1454" s="8"/>
      <c r="F1454" s="8"/>
      <c r="G1454" s="8"/>
      <c r="H1454" s="8"/>
      <c r="I1454" s="23"/>
      <c r="J1454" s="24" t="s">
        <v>224</v>
      </c>
    </row>
    <row r="1455" customFormat="false" ht="15" hidden="false" customHeight="false" outlineLevel="0" collapsed="false">
      <c r="B1455" s="9" t="s">
        <v>225</v>
      </c>
      <c r="C1455" s="15" t="s">
        <v>29</v>
      </c>
      <c r="D1455" s="8" t="s">
        <v>226</v>
      </c>
      <c r="E1455" s="8"/>
      <c r="F1455" s="8"/>
      <c r="G1455" s="8"/>
      <c r="H1455" s="8"/>
      <c r="I1455" s="23"/>
      <c r="J1455" s="24"/>
    </row>
    <row r="1456" customFormat="false" ht="15" hidden="false" customHeight="false" outlineLevel="0" collapsed="false">
      <c r="B1456" s="9" t="s">
        <v>227</v>
      </c>
      <c r="C1456" s="15" t="s">
        <v>29</v>
      </c>
      <c r="D1456" s="8" t="s">
        <v>228</v>
      </c>
      <c r="E1456" s="8"/>
      <c r="F1456" s="8"/>
      <c r="G1456" s="8"/>
      <c r="H1456" s="8"/>
      <c r="I1456" s="23"/>
      <c r="J1456" s="24"/>
    </row>
    <row r="1457" customFormat="false" ht="15" hidden="false" customHeight="false" outlineLevel="0" collapsed="false">
      <c r="B1457" s="9" t="s">
        <v>229</v>
      </c>
      <c r="C1457" s="8" t="s">
        <v>92</v>
      </c>
      <c r="D1457" s="8"/>
      <c r="E1457" s="8"/>
      <c r="F1457" s="8"/>
      <c r="G1457" s="8"/>
      <c r="H1457" s="8"/>
      <c r="I1457" s="23"/>
      <c r="J1457" s="24"/>
    </row>
    <row r="1458" customFormat="false" ht="15" hidden="false" customHeight="false" outlineLevel="0" collapsed="false">
      <c r="B1458" s="9" t="s">
        <v>230</v>
      </c>
      <c r="C1458" s="8" t="s">
        <v>231</v>
      </c>
      <c r="D1458" s="8" t="n">
        <v>120</v>
      </c>
      <c r="E1458" s="8"/>
      <c r="F1458" s="8"/>
      <c r="G1458" s="8"/>
      <c r="H1458" s="8"/>
      <c r="I1458" s="23"/>
      <c r="J1458" s="24"/>
    </row>
    <row r="1459" customFormat="false" ht="15" hidden="false" customHeight="false" outlineLevel="0" collapsed="false">
      <c r="B1459" s="9" t="s">
        <v>232</v>
      </c>
      <c r="C1459" s="15" t="s">
        <v>92</v>
      </c>
      <c r="D1459" s="27" t="n">
        <f aca="false">IF(ISNUMBER(D1457),D1457*INDEX(LenF,MATCH($C$1457,LenU,0))*1000,IF(OR(D1455="",D1456=""),"",IFERROR(IF(INDEX(PipeWT,MATCH(D1455,NPSU,0),MATCH(D1456,SchU,0))="","Sch n/a",INDEX(PipeOD,MATCH(D1455,NPSU,0))-2*INDEX(PipeWT,MATCH(D1455,NPSU,0),MATCH(D1456,SchU,0))),"")))</f>
        <v>154.08</v>
      </c>
      <c r="E1459" s="27" t="str">
        <f aca="false">IF(ISNUMBER(E1457),E1457*INDEX(LenF,MATCH($C$1457,LenU,0))*1000,IF(OR(E1455="",E1456=""),"",IFERROR(IF(INDEX(PipeWT,MATCH(E1455,NPSU,0),MATCH(E1456,SchU,0))="","Sch n/a",INDEX(PipeOD,MATCH(E1455,NPSU,0))-2*INDEX(PipeWT,MATCH(E1455,NPSU,0),MATCH(E1456,SchU,0))),"")))</f>
        <v/>
      </c>
      <c r="F1459" s="27" t="str">
        <f aca="false">IF(ISNUMBER(F1457),F1457*INDEX(LenF,MATCH($C$1457,LenU,0))*1000,IF(OR(F1455="",F1456=""),"",IFERROR(IF(INDEX(PipeWT,MATCH(F1455,NPSU,0),MATCH(F1456,SchU,0))="","Sch n/a",INDEX(PipeOD,MATCH(F1455,NPSU,0))-2*INDEX(PipeWT,MATCH(F1455,NPSU,0),MATCH(F1456,SchU,0))),"")))</f>
        <v/>
      </c>
      <c r="G1459" s="27" t="str">
        <f aca="false">IF(ISNUMBER(G1457),G1457*INDEX(LenF,MATCH($C$1457,LenU,0))*1000,IF(OR(G1455="",G1456=""),"",IFERROR(IF(INDEX(PipeWT,MATCH(G1455,NPSU,0),MATCH(G1456,SchU,0))="","Sch n/a",INDEX(PipeOD,MATCH(G1455,NPSU,0))-2*INDEX(PipeWT,MATCH(G1455,NPSU,0),MATCH(G1456,SchU,0))),"")))</f>
        <v/>
      </c>
      <c r="H1459" s="27" t="str">
        <f aca="false">IF(ISNUMBER(H1457),H1457*INDEX(LenF,MATCH($C$1457,LenU,0))*1000,IF(OR(H1455="",H1456=""),"",IFERROR(IF(INDEX(PipeWT,MATCH(H1455,NPSU,0),MATCH(H1456,SchU,0))="","Sch n/a",INDEX(PipeOD,MATCH(H1455,NPSU,0))-2*INDEX(PipeWT,MATCH(H1455,NPSU,0),MATCH(H1456,SchU,0))),"")))</f>
        <v/>
      </c>
      <c r="I1459" s="28"/>
      <c r="J1459" s="24" t="s">
        <v>233</v>
      </c>
    </row>
    <row r="1460" customFormat="false" ht="15" hidden="false" customHeight="false" outlineLevel="0" collapsed="false">
      <c r="B1460" s="4" t="s">
        <v>234</v>
      </c>
      <c r="C1460" s="15" t="s">
        <v>109</v>
      </c>
      <c r="D1460" s="31" t="n">
        <f aca="false">IF(AND(ISNUMBER(D1459),ISNUMBER(D1458)),PI()/4*(D1459/1000)^2*D1458*INDEX(LenF,MATCH($C$1458,LenU,0)),"")</f>
        <v>2.23750320965139</v>
      </c>
      <c r="E1460" s="31" t="str">
        <f aca="false">IF(AND(ISNUMBER(E1459),ISNUMBER(E1458)),PI()/4*(E1459/1000)^2*E1458*INDEX(LenF,MATCH($C$1458,LenU,0)),"")</f>
        <v/>
      </c>
      <c r="F1460" s="31" t="str">
        <f aca="false">IF(AND(ISNUMBER(F1459),ISNUMBER(F1458)),PI()/4*(F1459/1000)^2*F1458*INDEX(LenF,MATCH($C$1458,LenU,0)),"")</f>
        <v/>
      </c>
      <c r="G1460" s="31" t="str">
        <f aca="false">IF(AND(ISNUMBER(G1459),ISNUMBER(G1458)),PI()/4*(G1459/1000)^2*G1458*INDEX(LenF,MATCH($C$1458,LenU,0)),"")</f>
        <v/>
      </c>
      <c r="H1460" s="31" t="str">
        <f aca="false">IF(AND(ISNUMBER(H1459),ISNUMBER(H1458)),PI()/4*(H1459/1000)^2*H1458*INDEX(LenF,MATCH($C$1458,LenU,0)),"")</f>
        <v/>
      </c>
      <c r="I1460" s="31" t="n">
        <f aca="false">IF(COUNT(D1460:H1460)=0,"",SUM(D1460:H1460))</f>
        <v>2.23750320965139</v>
      </c>
      <c r="J1460" s="24"/>
      <c r="K1460" s="32" t="s">
        <v>235</v>
      </c>
    </row>
    <row r="1461" customFormat="false" ht="15" hidden="false" customHeight="false" outlineLevel="0" collapsed="false">
      <c r="B1461" s="9" t="s">
        <v>60</v>
      </c>
      <c r="C1461" s="15" t="s">
        <v>146</v>
      </c>
      <c r="D1461" s="35" t="n">
        <f aca="false">IF(D1460="","",IF(JobType="Chemical Cleaning",CC_PIPE,INDEX(DecFill,MATCH("Piping",DecTypeU,0))))</f>
        <v>1</v>
      </c>
      <c r="E1461" s="35" t="str">
        <f aca="false">IF(E1460="","",IF(JobType="Chemical Cleaning",CC_PIPE,INDEX(DecFill,MATCH("Piping",DecTypeU,0))))</f>
        <v/>
      </c>
      <c r="F1461" s="35" t="str">
        <f aca="false">IF(F1460="","",IF(JobType="Chemical Cleaning",CC_PIPE,INDEX(DecFill,MATCH("Piping",DecTypeU,0))))</f>
        <v/>
      </c>
      <c r="G1461" s="35" t="str">
        <f aca="false">IF(G1460="","",IF(JobType="Chemical Cleaning",CC_PIPE,INDEX(DecFill,MATCH("Piping",DecTypeU,0))))</f>
        <v/>
      </c>
      <c r="H1461" s="35" t="str">
        <f aca="false">IF(H1460="","",IF(JobType="Chemical Cleaning",CC_PIPE,INDEX(DecFill,MATCH("Piping",DecTypeU,0))))</f>
        <v/>
      </c>
      <c r="I1461" s="36"/>
      <c r="J1461" s="24"/>
    </row>
    <row r="1462" customFormat="false" ht="15" hidden="false" customHeight="false" outlineLevel="0" collapsed="false">
      <c r="B1462" s="4" t="s">
        <v>148</v>
      </c>
      <c r="C1462" s="15" t="s">
        <v>109</v>
      </c>
      <c r="D1462" s="31" t="n">
        <f aca="false">IF(OR(D1460="",D1461=""),"",D1460*D1461)</f>
        <v>2.23750320965139</v>
      </c>
      <c r="E1462" s="31" t="str">
        <f aca="false">IF(OR(E1460="",E1461=""),"",E1460*E1461)</f>
        <v/>
      </c>
      <c r="F1462" s="31" t="str">
        <f aca="false">IF(OR(F1460="",F1461=""),"",F1460*F1461)</f>
        <v/>
      </c>
      <c r="G1462" s="31" t="str">
        <f aca="false">IF(OR(G1460="",G1461=""),"",G1460*G1461)</f>
        <v/>
      </c>
      <c r="H1462" s="31" t="str">
        <f aca="false">IF(OR(H1460="",H1461=""),"",H1460*H1461)</f>
        <v/>
      </c>
      <c r="I1462" s="31" t="n">
        <f aca="false">IF(COUNT(D1462:H1462)=0,"",SUM(D1462:H1462))</f>
        <v>2.23750320965139</v>
      </c>
      <c r="J1462" s="24"/>
      <c r="K1462" s="32" t="s">
        <v>236</v>
      </c>
    </row>
    <row r="1463" customFormat="false" ht="15" hidden="false" customHeight="false" outlineLevel="0" collapsed="false">
      <c r="B1463" s="9" t="s">
        <v>150</v>
      </c>
      <c r="C1463" s="15" t="s">
        <v>32</v>
      </c>
      <c r="D1463" s="37" t="str">
        <f aca="false">IF(OR(JobType&lt;&gt;"Decontamination",D1462=""),"",D1462*INDEX(DecChem,MATCH("Piping",DecTypeU,0))*1000)</f>
        <v/>
      </c>
      <c r="E1463" s="37" t="str">
        <f aca="false">IF(OR(JobType&lt;&gt;"Decontamination",E1462=""),"",E1462*INDEX(DecChem,MATCH("Piping",DecTypeU,0))*1000)</f>
        <v/>
      </c>
      <c r="F1463" s="37" t="str">
        <f aca="false">IF(OR(JobType&lt;&gt;"Decontamination",F1462=""),"",F1462*INDEX(DecChem,MATCH("Piping",DecTypeU,0))*1000)</f>
        <v/>
      </c>
      <c r="G1463" s="37" t="str">
        <f aca="false">IF(OR(JobType&lt;&gt;"Decontamination",G1462=""),"",G1462*INDEX(DecChem,MATCH("Piping",DecTypeU,0))*1000)</f>
        <v/>
      </c>
      <c r="H1463" s="37" t="str">
        <f aca="false">IF(OR(JobType&lt;&gt;"Decontamination",H1462=""),"",H1462*INDEX(DecChem,MATCH("Piping",DecTypeU,0))*1000)</f>
        <v/>
      </c>
      <c r="I1463" s="38" t="str">
        <f aca="false">IF(COUNT(D1463:H1463)=0,"",SUM(D1463:H1463))</f>
        <v/>
      </c>
      <c r="J1463" s="24"/>
      <c r="K1463" s="32" t="s">
        <v>237</v>
      </c>
    </row>
    <row r="1465" customFormat="false" ht="15" hidden="false" customHeight="false" outlineLevel="0" collapsed="false">
      <c r="A1465" s="20" t="n">
        <v>2</v>
      </c>
      <c r="B1465" s="21" t="s">
        <v>238</v>
      </c>
      <c r="C1465" s="22"/>
      <c r="D1465" s="22"/>
      <c r="E1465" s="22"/>
      <c r="F1465" s="22"/>
      <c r="G1465" s="22"/>
      <c r="H1465" s="22"/>
      <c r="I1465" s="22"/>
      <c r="J1465" s="22"/>
    </row>
    <row r="1466" customFormat="false" ht="15" hidden="false" customHeight="false" outlineLevel="0" collapsed="false">
      <c r="B1466" s="9" t="s">
        <v>222</v>
      </c>
      <c r="C1466" s="15" t="s">
        <v>29</v>
      </c>
      <c r="D1466" s="8"/>
      <c r="E1466" s="8"/>
      <c r="F1466" s="8"/>
      <c r="G1466" s="8"/>
      <c r="H1466" s="8"/>
      <c r="I1466" s="23"/>
      <c r="J1466" s="24"/>
    </row>
    <row r="1467" customFormat="false" ht="15" hidden="false" customHeight="false" outlineLevel="0" collapsed="false">
      <c r="B1467" s="9" t="s">
        <v>225</v>
      </c>
      <c r="C1467" s="15" t="s">
        <v>29</v>
      </c>
      <c r="D1467" s="8"/>
      <c r="E1467" s="8"/>
      <c r="F1467" s="8"/>
      <c r="G1467" s="8"/>
      <c r="H1467" s="8"/>
      <c r="I1467" s="23"/>
      <c r="J1467" s="24"/>
    </row>
    <row r="1468" customFormat="false" ht="15" hidden="false" customHeight="false" outlineLevel="0" collapsed="false">
      <c r="B1468" s="9" t="s">
        <v>227</v>
      </c>
      <c r="C1468" s="15" t="s">
        <v>29</v>
      </c>
      <c r="D1468" s="8"/>
      <c r="E1468" s="8"/>
      <c r="F1468" s="8"/>
      <c r="G1468" s="8"/>
      <c r="H1468" s="8"/>
      <c r="I1468" s="23"/>
      <c r="J1468" s="24"/>
    </row>
    <row r="1469" customFormat="false" ht="15" hidden="false" customHeight="false" outlineLevel="0" collapsed="false">
      <c r="B1469" s="9" t="s">
        <v>229</v>
      </c>
      <c r="C1469" s="8" t="s">
        <v>92</v>
      </c>
      <c r="D1469" s="8"/>
      <c r="E1469" s="8"/>
      <c r="F1469" s="8"/>
      <c r="G1469" s="8"/>
      <c r="H1469" s="8"/>
      <c r="I1469" s="23"/>
      <c r="J1469" s="24"/>
    </row>
    <row r="1470" customFormat="false" ht="15" hidden="false" customHeight="false" outlineLevel="0" collapsed="false">
      <c r="B1470" s="9" t="s">
        <v>230</v>
      </c>
      <c r="C1470" s="8" t="s">
        <v>231</v>
      </c>
      <c r="D1470" s="8"/>
      <c r="E1470" s="8"/>
      <c r="F1470" s="8"/>
      <c r="G1470" s="8"/>
      <c r="H1470" s="8"/>
      <c r="I1470" s="23"/>
      <c r="J1470" s="24"/>
    </row>
    <row r="1471" customFormat="false" ht="15" hidden="false" customHeight="false" outlineLevel="0" collapsed="false">
      <c r="B1471" s="9" t="s">
        <v>232</v>
      </c>
      <c r="C1471" s="15" t="s">
        <v>92</v>
      </c>
      <c r="D1471" s="27" t="str">
        <f aca="false">IF(ISNUMBER(D1469),D1469*INDEX(LenF,MATCH($C$1469,LenU,0))*1000,IF(OR(D1467="",D1468=""),"",IFERROR(IF(INDEX(PipeWT,MATCH(D1467,NPSU,0),MATCH(D1468,SchU,0))="","Sch n/a",INDEX(PipeOD,MATCH(D1467,NPSU,0))-2*INDEX(PipeWT,MATCH(D1467,NPSU,0),MATCH(D1468,SchU,0))),"")))</f>
        <v/>
      </c>
      <c r="E1471" s="27" t="str">
        <f aca="false">IF(ISNUMBER(E1469),E1469*INDEX(LenF,MATCH($C$1469,LenU,0))*1000,IF(OR(E1467="",E1468=""),"",IFERROR(IF(INDEX(PipeWT,MATCH(E1467,NPSU,0),MATCH(E1468,SchU,0))="","Sch n/a",INDEX(PipeOD,MATCH(E1467,NPSU,0))-2*INDEX(PipeWT,MATCH(E1467,NPSU,0),MATCH(E1468,SchU,0))),"")))</f>
        <v/>
      </c>
      <c r="F1471" s="27" t="str">
        <f aca="false">IF(ISNUMBER(F1469),F1469*INDEX(LenF,MATCH($C$1469,LenU,0))*1000,IF(OR(F1467="",F1468=""),"",IFERROR(IF(INDEX(PipeWT,MATCH(F1467,NPSU,0),MATCH(F1468,SchU,0))="","Sch n/a",INDEX(PipeOD,MATCH(F1467,NPSU,0))-2*INDEX(PipeWT,MATCH(F1467,NPSU,0),MATCH(F1468,SchU,0))),"")))</f>
        <v/>
      </c>
      <c r="G1471" s="27" t="str">
        <f aca="false">IF(ISNUMBER(G1469),G1469*INDEX(LenF,MATCH($C$1469,LenU,0))*1000,IF(OR(G1467="",G1468=""),"",IFERROR(IF(INDEX(PipeWT,MATCH(G1467,NPSU,0),MATCH(G1468,SchU,0))="","Sch n/a",INDEX(PipeOD,MATCH(G1467,NPSU,0))-2*INDEX(PipeWT,MATCH(G1467,NPSU,0),MATCH(G1468,SchU,0))),"")))</f>
        <v/>
      </c>
      <c r="H1471" s="27" t="str">
        <f aca="false">IF(ISNUMBER(H1469),H1469*INDEX(LenF,MATCH($C$1469,LenU,0))*1000,IF(OR(H1467="",H1468=""),"",IFERROR(IF(INDEX(PipeWT,MATCH(H1467,NPSU,0),MATCH(H1468,SchU,0))="","Sch n/a",INDEX(PipeOD,MATCH(H1467,NPSU,0))-2*INDEX(PipeWT,MATCH(H1467,NPSU,0),MATCH(H1468,SchU,0))),"")))</f>
        <v/>
      </c>
      <c r="I1471" s="28"/>
      <c r="J1471" s="24" t="s">
        <v>233</v>
      </c>
    </row>
    <row r="1472" customFormat="false" ht="15" hidden="false" customHeight="false" outlineLevel="0" collapsed="false">
      <c r="B1472" s="4" t="s">
        <v>234</v>
      </c>
      <c r="C1472" s="15" t="s">
        <v>109</v>
      </c>
      <c r="D1472" s="31" t="str">
        <f aca="false">IF(AND(ISNUMBER(D1471),ISNUMBER(D1470)),PI()/4*(D1471/1000)^2*D1470*INDEX(LenF,MATCH($C$1470,LenU,0)),"")</f>
        <v/>
      </c>
      <c r="E1472" s="31" t="str">
        <f aca="false">IF(AND(ISNUMBER(E1471),ISNUMBER(E1470)),PI()/4*(E1471/1000)^2*E1470*INDEX(LenF,MATCH($C$1470,LenU,0)),"")</f>
        <v/>
      </c>
      <c r="F1472" s="31" t="str">
        <f aca="false">IF(AND(ISNUMBER(F1471),ISNUMBER(F1470)),PI()/4*(F1471/1000)^2*F1470*INDEX(LenF,MATCH($C$1470,LenU,0)),"")</f>
        <v/>
      </c>
      <c r="G1472" s="31" t="str">
        <f aca="false">IF(AND(ISNUMBER(G1471),ISNUMBER(G1470)),PI()/4*(G1471/1000)^2*G1470*INDEX(LenF,MATCH($C$1470,LenU,0)),"")</f>
        <v/>
      </c>
      <c r="H1472" s="31" t="str">
        <f aca="false">IF(AND(ISNUMBER(H1471),ISNUMBER(H1470)),PI()/4*(H1471/1000)^2*H1470*INDEX(LenF,MATCH($C$1470,LenU,0)),"")</f>
        <v/>
      </c>
      <c r="I1472" s="31" t="str">
        <f aca="false">IF(COUNT(D1472:H1472)=0,"",SUM(D1472:H1472))</f>
        <v/>
      </c>
      <c r="J1472" s="24"/>
      <c r="K1472" s="32" t="s">
        <v>235</v>
      </c>
    </row>
    <row r="1473" customFormat="false" ht="15" hidden="false" customHeight="false" outlineLevel="0" collapsed="false">
      <c r="B1473" s="9" t="s">
        <v>60</v>
      </c>
      <c r="C1473" s="15" t="s">
        <v>146</v>
      </c>
      <c r="D1473" s="35" t="str">
        <f aca="false">IF(D1472="","",IF(JobType="Chemical Cleaning",CC_PIPE,INDEX(DecFill,MATCH("Piping",DecTypeU,0))))</f>
        <v/>
      </c>
      <c r="E1473" s="35" t="str">
        <f aca="false">IF(E1472="","",IF(JobType="Chemical Cleaning",CC_PIPE,INDEX(DecFill,MATCH("Piping",DecTypeU,0))))</f>
        <v/>
      </c>
      <c r="F1473" s="35" t="str">
        <f aca="false">IF(F1472="","",IF(JobType="Chemical Cleaning",CC_PIPE,INDEX(DecFill,MATCH("Piping",DecTypeU,0))))</f>
        <v/>
      </c>
      <c r="G1473" s="35" t="str">
        <f aca="false">IF(G1472="","",IF(JobType="Chemical Cleaning",CC_PIPE,INDEX(DecFill,MATCH("Piping",DecTypeU,0))))</f>
        <v/>
      </c>
      <c r="H1473" s="35" t="str">
        <f aca="false">IF(H1472="","",IF(JobType="Chemical Cleaning",CC_PIPE,INDEX(DecFill,MATCH("Piping",DecTypeU,0))))</f>
        <v/>
      </c>
      <c r="I1473" s="36"/>
      <c r="J1473" s="24"/>
    </row>
    <row r="1474" customFormat="false" ht="15" hidden="false" customHeight="false" outlineLevel="0" collapsed="false">
      <c r="B1474" s="4" t="s">
        <v>148</v>
      </c>
      <c r="C1474" s="15" t="s">
        <v>109</v>
      </c>
      <c r="D1474" s="31" t="str">
        <f aca="false">IF(OR(D1472="",D1473=""),"",D1472*D1473)</f>
        <v/>
      </c>
      <c r="E1474" s="31" t="str">
        <f aca="false">IF(OR(E1472="",E1473=""),"",E1472*E1473)</f>
        <v/>
      </c>
      <c r="F1474" s="31" t="str">
        <f aca="false">IF(OR(F1472="",F1473=""),"",F1472*F1473)</f>
        <v/>
      </c>
      <c r="G1474" s="31" t="str">
        <f aca="false">IF(OR(G1472="",G1473=""),"",G1472*G1473)</f>
        <v/>
      </c>
      <c r="H1474" s="31" t="str">
        <f aca="false">IF(OR(H1472="",H1473=""),"",H1472*H1473)</f>
        <v/>
      </c>
      <c r="I1474" s="31" t="str">
        <f aca="false">IF(COUNT(D1474:H1474)=0,"",SUM(D1474:H1474))</f>
        <v/>
      </c>
      <c r="J1474" s="24"/>
      <c r="K1474" s="32" t="s">
        <v>236</v>
      </c>
    </row>
    <row r="1475" customFormat="false" ht="15" hidden="false" customHeight="false" outlineLevel="0" collapsed="false">
      <c r="B1475" s="9" t="s">
        <v>150</v>
      </c>
      <c r="C1475" s="15" t="s">
        <v>32</v>
      </c>
      <c r="D1475" s="37" t="str">
        <f aca="false">IF(OR(JobType&lt;&gt;"Decontamination",D1474=""),"",D1474*INDEX(DecChem,MATCH("Piping",DecTypeU,0))*1000)</f>
        <v/>
      </c>
      <c r="E1475" s="37" t="str">
        <f aca="false">IF(OR(JobType&lt;&gt;"Decontamination",E1474=""),"",E1474*INDEX(DecChem,MATCH("Piping",DecTypeU,0))*1000)</f>
        <v/>
      </c>
      <c r="F1475" s="37" t="str">
        <f aca="false">IF(OR(JobType&lt;&gt;"Decontamination",F1474=""),"",F1474*INDEX(DecChem,MATCH("Piping",DecTypeU,0))*1000)</f>
        <v/>
      </c>
      <c r="G1475" s="37" t="str">
        <f aca="false">IF(OR(JobType&lt;&gt;"Decontamination",G1474=""),"",G1474*INDEX(DecChem,MATCH("Piping",DecTypeU,0))*1000)</f>
        <v/>
      </c>
      <c r="H1475" s="37" t="str">
        <f aca="false">IF(OR(JobType&lt;&gt;"Decontamination",H1474=""),"",H1474*INDEX(DecChem,MATCH("Piping",DecTypeU,0))*1000)</f>
        <v/>
      </c>
      <c r="I1475" s="38" t="str">
        <f aca="false">IF(COUNT(D1475:H1475)=0,"",SUM(D1475:H1475))</f>
        <v/>
      </c>
      <c r="J1475" s="24"/>
      <c r="K1475" s="32" t="s">
        <v>237</v>
      </c>
    </row>
    <row r="1477" customFormat="false" ht="15" hidden="false" customHeight="false" outlineLevel="0" collapsed="false">
      <c r="A1477" s="20" t="n">
        <v>3</v>
      </c>
      <c r="B1477" s="21" t="s">
        <v>239</v>
      </c>
      <c r="C1477" s="22"/>
      <c r="D1477" s="22"/>
      <c r="E1477" s="22"/>
      <c r="F1477" s="22"/>
      <c r="G1477" s="22"/>
      <c r="H1477" s="22"/>
      <c r="I1477" s="22"/>
      <c r="J1477" s="22"/>
    </row>
    <row r="1478" customFormat="false" ht="15" hidden="false" customHeight="false" outlineLevel="0" collapsed="false">
      <c r="B1478" s="9" t="s">
        <v>222</v>
      </c>
      <c r="C1478" s="15" t="s">
        <v>29</v>
      </c>
      <c r="D1478" s="8"/>
      <c r="E1478" s="8"/>
      <c r="F1478" s="8"/>
      <c r="G1478" s="8"/>
      <c r="H1478" s="8"/>
      <c r="I1478" s="23"/>
      <c r="J1478" s="24"/>
    </row>
    <row r="1479" customFormat="false" ht="15" hidden="false" customHeight="false" outlineLevel="0" collapsed="false">
      <c r="B1479" s="9" t="s">
        <v>225</v>
      </c>
      <c r="C1479" s="15" t="s">
        <v>29</v>
      </c>
      <c r="D1479" s="8"/>
      <c r="E1479" s="8"/>
      <c r="F1479" s="8"/>
      <c r="G1479" s="8"/>
      <c r="H1479" s="8"/>
      <c r="I1479" s="23"/>
      <c r="J1479" s="24"/>
    </row>
    <row r="1480" customFormat="false" ht="15" hidden="false" customHeight="false" outlineLevel="0" collapsed="false">
      <c r="B1480" s="9" t="s">
        <v>227</v>
      </c>
      <c r="C1480" s="15" t="s">
        <v>29</v>
      </c>
      <c r="D1480" s="8"/>
      <c r="E1480" s="8"/>
      <c r="F1480" s="8"/>
      <c r="G1480" s="8"/>
      <c r="H1480" s="8"/>
      <c r="I1480" s="23"/>
      <c r="J1480" s="24"/>
    </row>
    <row r="1481" customFormat="false" ht="15" hidden="false" customHeight="false" outlineLevel="0" collapsed="false">
      <c r="B1481" s="9" t="s">
        <v>229</v>
      </c>
      <c r="C1481" s="8" t="s">
        <v>92</v>
      </c>
      <c r="D1481" s="8"/>
      <c r="E1481" s="8"/>
      <c r="F1481" s="8"/>
      <c r="G1481" s="8"/>
      <c r="H1481" s="8"/>
      <c r="I1481" s="23"/>
      <c r="J1481" s="24"/>
    </row>
    <row r="1482" customFormat="false" ht="15" hidden="false" customHeight="false" outlineLevel="0" collapsed="false">
      <c r="B1482" s="9" t="s">
        <v>230</v>
      </c>
      <c r="C1482" s="8" t="s">
        <v>231</v>
      </c>
      <c r="D1482" s="8"/>
      <c r="E1482" s="8"/>
      <c r="F1482" s="8"/>
      <c r="G1482" s="8"/>
      <c r="H1482" s="8"/>
      <c r="I1482" s="23"/>
      <c r="J1482" s="24"/>
    </row>
    <row r="1483" customFormat="false" ht="15" hidden="false" customHeight="false" outlineLevel="0" collapsed="false">
      <c r="B1483" s="9" t="s">
        <v>232</v>
      </c>
      <c r="C1483" s="15" t="s">
        <v>92</v>
      </c>
      <c r="D1483" s="27" t="str">
        <f aca="false">IF(ISNUMBER(D1481),D1481*INDEX(LenF,MATCH($C$1481,LenU,0))*1000,IF(OR(D1479="",D1480=""),"",IFERROR(IF(INDEX(PipeWT,MATCH(D1479,NPSU,0),MATCH(D1480,SchU,0))="","Sch n/a",INDEX(PipeOD,MATCH(D1479,NPSU,0))-2*INDEX(PipeWT,MATCH(D1479,NPSU,0),MATCH(D1480,SchU,0))),"")))</f>
        <v/>
      </c>
      <c r="E1483" s="27" t="str">
        <f aca="false">IF(ISNUMBER(E1481),E1481*INDEX(LenF,MATCH($C$1481,LenU,0))*1000,IF(OR(E1479="",E1480=""),"",IFERROR(IF(INDEX(PipeWT,MATCH(E1479,NPSU,0),MATCH(E1480,SchU,0))="","Sch n/a",INDEX(PipeOD,MATCH(E1479,NPSU,0))-2*INDEX(PipeWT,MATCH(E1479,NPSU,0),MATCH(E1480,SchU,0))),"")))</f>
        <v/>
      </c>
      <c r="F1483" s="27" t="str">
        <f aca="false">IF(ISNUMBER(F1481),F1481*INDEX(LenF,MATCH($C$1481,LenU,0))*1000,IF(OR(F1479="",F1480=""),"",IFERROR(IF(INDEX(PipeWT,MATCH(F1479,NPSU,0),MATCH(F1480,SchU,0))="","Sch n/a",INDEX(PipeOD,MATCH(F1479,NPSU,0))-2*INDEX(PipeWT,MATCH(F1479,NPSU,0),MATCH(F1480,SchU,0))),"")))</f>
        <v/>
      </c>
      <c r="G1483" s="27" t="str">
        <f aca="false">IF(ISNUMBER(G1481),G1481*INDEX(LenF,MATCH($C$1481,LenU,0))*1000,IF(OR(G1479="",G1480=""),"",IFERROR(IF(INDEX(PipeWT,MATCH(G1479,NPSU,0),MATCH(G1480,SchU,0))="","Sch n/a",INDEX(PipeOD,MATCH(G1479,NPSU,0))-2*INDEX(PipeWT,MATCH(G1479,NPSU,0),MATCH(G1480,SchU,0))),"")))</f>
        <v/>
      </c>
      <c r="H1483" s="27" t="str">
        <f aca="false">IF(ISNUMBER(H1481),H1481*INDEX(LenF,MATCH($C$1481,LenU,0))*1000,IF(OR(H1479="",H1480=""),"",IFERROR(IF(INDEX(PipeWT,MATCH(H1479,NPSU,0),MATCH(H1480,SchU,0))="","Sch n/a",INDEX(PipeOD,MATCH(H1479,NPSU,0))-2*INDEX(PipeWT,MATCH(H1479,NPSU,0),MATCH(H1480,SchU,0))),"")))</f>
        <v/>
      </c>
      <c r="I1483" s="28"/>
      <c r="J1483" s="24" t="s">
        <v>233</v>
      </c>
    </row>
    <row r="1484" customFormat="false" ht="15" hidden="false" customHeight="false" outlineLevel="0" collapsed="false">
      <c r="B1484" s="4" t="s">
        <v>234</v>
      </c>
      <c r="C1484" s="15" t="s">
        <v>109</v>
      </c>
      <c r="D1484" s="31" t="str">
        <f aca="false">IF(AND(ISNUMBER(D1483),ISNUMBER(D1482)),PI()/4*(D1483/1000)^2*D1482*INDEX(LenF,MATCH($C$1482,LenU,0)),"")</f>
        <v/>
      </c>
      <c r="E1484" s="31" t="str">
        <f aca="false">IF(AND(ISNUMBER(E1483),ISNUMBER(E1482)),PI()/4*(E1483/1000)^2*E1482*INDEX(LenF,MATCH($C$1482,LenU,0)),"")</f>
        <v/>
      </c>
      <c r="F1484" s="31" t="str">
        <f aca="false">IF(AND(ISNUMBER(F1483),ISNUMBER(F1482)),PI()/4*(F1483/1000)^2*F1482*INDEX(LenF,MATCH($C$1482,LenU,0)),"")</f>
        <v/>
      </c>
      <c r="G1484" s="31" t="str">
        <f aca="false">IF(AND(ISNUMBER(G1483),ISNUMBER(G1482)),PI()/4*(G1483/1000)^2*G1482*INDEX(LenF,MATCH($C$1482,LenU,0)),"")</f>
        <v/>
      </c>
      <c r="H1484" s="31" t="str">
        <f aca="false">IF(AND(ISNUMBER(H1483),ISNUMBER(H1482)),PI()/4*(H1483/1000)^2*H1482*INDEX(LenF,MATCH($C$1482,LenU,0)),"")</f>
        <v/>
      </c>
      <c r="I1484" s="31" t="str">
        <f aca="false">IF(COUNT(D1484:H1484)=0,"",SUM(D1484:H1484))</f>
        <v/>
      </c>
      <c r="J1484" s="24"/>
      <c r="K1484" s="32" t="s">
        <v>235</v>
      </c>
    </row>
    <row r="1485" customFormat="false" ht="15" hidden="false" customHeight="false" outlineLevel="0" collapsed="false">
      <c r="B1485" s="9" t="s">
        <v>60</v>
      </c>
      <c r="C1485" s="15" t="s">
        <v>146</v>
      </c>
      <c r="D1485" s="35" t="str">
        <f aca="false">IF(D1484="","",IF(JobType="Chemical Cleaning",CC_PIPE,INDEX(DecFill,MATCH("Piping",DecTypeU,0))))</f>
        <v/>
      </c>
      <c r="E1485" s="35" t="str">
        <f aca="false">IF(E1484="","",IF(JobType="Chemical Cleaning",CC_PIPE,INDEX(DecFill,MATCH("Piping",DecTypeU,0))))</f>
        <v/>
      </c>
      <c r="F1485" s="35" t="str">
        <f aca="false">IF(F1484="","",IF(JobType="Chemical Cleaning",CC_PIPE,INDEX(DecFill,MATCH("Piping",DecTypeU,0))))</f>
        <v/>
      </c>
      <c r="G1485" s="35" t="str">
        <f aca="false">IF(G1484="","",IF(JobType="Chemical Cleaning",CC_PIPE,INDEX(DecFill,MATCH("Piping",DecTypeU,0))))</f>
        <v/>
      </c>
      <c r="H1485" s="35" t="str">
        <f aca="false">IF(H1484="","",IF(JobType="Chemical Cleaning",CC_PIPE,INDEX(DecFill,MATCH("Piping",DecTypeU,0))))</f>
        <v/>
      </c>
      <c r="I1485" s="36"/>
      <c r="J1485" s="24"/>
    </row>
    <row r="1486" customFormat="false" ht="15" hidden="false" customHeight="false" outlineLevel="0" collapsed="false">
      <c r="B1486" s="4" t="s">
        <v>148</v>
      </c>
      <c r="C1486" s="15" t="s">
        <v>109</v>
      </c>
      <c r="D1486" s="31" t="str">
        <f aca="false">IF(OR(D1484="",D1485=""),"",D1484*D1485)</f>
        <v/>
      </c>
      <c r="E1486" s="31" t="str">
        <f aca="false">IF(OR(E1484="",E1485=""),"",E1484*E1485)</f>
        <v/>
      </c>
      <c r="F1486" s="31" t="str">
        <f aca="false">IF(OR(F1484="",F1485=""),"",F1484*F1485)</f>
        <v/>
      </c>
      <c r="G1486" s="31" t="str">
        <f aca="false">IF(OR(G1484="",G1485=""),"",G1484*G1485)</f>
        <v/>
      </c>
      <c r="H1486" s="31" t="str">
        <f aca="false">IF(OR(H1484="",H1485=""),"",H1484*H1485)</f>
        <v/>
      </c>
      <c r="I1486" s="31" t="str">
        <f aca="false">IF(COUNT(D1486:H1486)=0,"",SUM(D1486:H1486))</f>
        <v/>
      </c>
      <c r="J1486" s="24"/>
      <c r="K1486" s="32" t="s">
        <v>236</v>
      </c>
    </row>
    <row r="1487" customFormat="false" ht="15" hidden="false" customHeight="false" outlineLevel="0" collapsed="false">
      <c r="B1487" s="9" t="s">
        <v>150</v>
      </c>
      <c r="C1487" s="15" t="s">
        <v>32</v>
      </c>
      <c r="D1487" s="37" t="str">
        <f aca="false">IF(OR(JobType&lt;&gt;"Decontamination",D1486=""),"",D1486*INDEX(DecChem,MATCH("Piping",DecTypeU,0))*1000)</f>
        <v/>
      </c>
      <c r="E1487" s="37" t="str">
        <f aca="false">IF(OR(JobType&lt;&gt;"Decontamination",E1486=""),"",E1486*INDEX(DecChem,MATCH("Piping",DecTypeU,0))*1000)</f>
        <v/>
      </c>
      <c r="F1487" s="37" t="str">
        <f aca="false">IF(OR(JobType&lt;&gt;"Decontamination",F1486=""),"",F1486*INDEX(DecChem,MATCH("Piping",DecTypeU,0))*1000)</f>
        <v/>
      </c>
      <c r="G1487" s="37" t="str">
        <f aca="false">IF(OR(JobType&lt;&gt;"Decontamination",G1486=""),"",G1486*INDEX(DecChem,MATCH("Piping",DecTypeU,0))*1000)</f>
        <v/>
      </c>
      <c r="H1487" s="37" t="str">
        <f aca="false">IF(OR(JobType&lt;&gt;"Decontamination",H1486=""),"",H1486*INDEX(DecChem,MATCH("Piping",DecTypeU,0))*1000)</f>
        <v/>
      </c>
      <c r="I1487" s="38" t="str">
        <f aca="false">IF(COUNT(D1487:H1487)=0,"",SUM(D1487:H1487))</f>
        <v/>
      </c>
      <c r="J1487" s="24"/>
      <c r="K1487" s="32" t="s">
        <v>237</v>
      </c>
    </row>
    <row r="1489" customFormat="false" ht="15" hidden="false" customHeight="false" outlineLevel="0" collapsed="false">
      <c r="A1489" s="20" t="n">
        <v>4</v>
      </c>
      <c r="B1489" s="21" t="s">
        <v>240</v>
      </c>
      <c r="C1489" s="22"/>
      <c r="D1489" s="22"/>
      <c r="E1489" s="22"/>
      <c r="F1489" s="22"/>
      <c r="G1489" s="22"/>
      <c r="H1489" s="22"/>
      <c r="I1489" s="22"/>
      <c r="J1489" s="22"/>
    </row>
    <row r="1490" customFormat="false" ht="15" hidden="false" customHeight="false" outlineLevel="0" collapsed="false">
      <c r="B1490" s="9" t="s">
        <v>222</v>
      </c>
      <c r="C1490" s="15" t="s">
        <v>29</v>
      </c>
      <c r="D1490" s="8"/>
      <c r="E1490" s="8"/>
      <c r="F1490" s="8"/>
      <c r="G1490" s="8"/>
      <c r="H1490" s="8"/>
      <c r="I1490" s="23"/>
      <c r="J1490" s="24"/>
    </row>
    <row r="1491" customFormat="false" ht="15" hidden="false" customHeight="false" outlineLevel="0" collapsed="false">
      <c r="B1491" s="9" t="s">
        <v>225</v>
      </c>
      <c r="C1491" s="15" t="s">
        <v>29</v>
      </c>
      <c r="D1491" s="8"/>
      <c r="E1491" s="8"/>
      <c r="F1491" s="8"/>
      <c r="G1491" s="8"/>
      <c r="H1491" s="8"/>
      <c r="I1491" s="23"/>
      <c r="J1491" s="24"/>
    </row>
    <row r="1492" customFormat="false" ht="15" hidden="false" customHeight="false" outlineLevel="0" collapsed="false">
      <c r="B1492" s="9" t="s">
        <v>227</v>
      </c>
      <c r="C1492" s="15" t="s">
        <v>29</v>
      </c>
      <c r="D1492" s="8"/>
      <c r="E1492" s="8"/>
      <c r="F1492" s="8"/>
      <c r="G1492" s="8"/>
      <c r="H1492" s="8"/>
      <c r="I1492" s="23"/>
      <c r="J1492" s="24"/>
    </row>
    <row r="1493" customFormat="false" ht="15" hidden="false" customHeight="false" outlineLevel="0" collapsed="false">
      <c r="B1493" s="9" t="s">
        <v>229</v>
      </c>
      <c r="C1493" s="8" t="s">
        <v>92</v>
      </c>
      <c r="D1493" s="8"/>
      <c r="E1493" s="8"/>
      <c r="F1493" s="8"/>
      <c r="G1493" s="8"/>
      <c r="H1493" s="8"/>
      <c r="I1493" s="23"/>
      <c r="J1493" s="24"/>
    </row>
    <row r="1494" customFormat="false" ht="15" hidden="false" customHeight="false" outlineLevel="0" collapsed="false">
      <c r="B1494" s="9" t="s">
        <v>230</v>
      </c>
      <c r="C1494" s="8" t="s">
        <v>231</v>
      </c>
      <c r="D1494" s="8"/>
      <c r="E1494" s="8"/>
      <c r="F1494" s="8"/>
      <c r="G1494" s="8"/>
      <c r="H1494" s="8"/>
      <c r="I1494" s="23"/>
      <c r="J1494" s="24"/>
    </row>
    <row r="1495" customFormat="false" ht="15" hidden="false" customHeight="false" outlineLevel="0" collapsed="false">
      <c r="B1495" s="9" t="s">
        <v>232</v>
      </c>
      <c r="C1495" s="15" t="s">
        <v>92</v>
      </c>
      <c r="D1495" s="27" t="str">
        <f aca="false">IF(ISNUMBER(D1493),D1493*INDEX(LenF,MATCH($C$1493,LenU,0))*1000,IF(OR(D1491="",D1492=""),"",IFERROR(IF(INDEX(PipeWT,MATCH(D1491,NPSU,0),MATCH(D1492,SchU,0))="","Sch n/a",INDEX(PipeOD,MATCH(D1491,NPSU,0))-2*INDEX(PipeWT,MATCH(D1491,NPSU,0),MATCH(D1492,SchU,0))),"")))</f>
        <v/>
      </c>
      <c r="E1495" s="27" t="str">
        <f aca="false">IF(ISNUMBER(E1493),E1493*INDEX(LenF,MATCH($C$1493,LenU,0))*1000,IF(OR(E1491="",E1492=""),"",IFERROR(IF(INDEX(PipeWT,MATCH(E1491,NPSU,0),MATCH(E1492,SchU,0))="","Sch n/a",INDEX(PipeOD,MATCH(E1491,NPSU,0))-2*INDEX(PipeWT,MATCH(E1491,NPSU,0),MATCH(E1492,SchU,0))),"")))</f>
        <v/>
      </c>
      <c r="F1495" s="27" t="str">
        <f aca="false">IF(ISNUMBER(F1493),F1493*INDEX(LenF,MATCH($C$1493,LenU,0))*1000,IF(OR(F1491="",F1492=""),"",IFERROR(IF(INDEX(PipeWT,MATCH(F1491,NPSU,0),MATCH(F1492,SchU,0))="","Sch n/a",INDEX(PipeOD,MATCH(F1491,NPSU,0))-2*INDEX(PipeWT,MATCH(F1491,NPSU,0),MATCH(F1492,SchU,0))),"")))</f>
        <v/>
      </c>
      <c r="G1495" s="27" t="str">
        <f aca="false">IF(ISNUMBER(G1493),G1493*INDEX(LenF,MATCH($C$1493,LenU,0))*1000,IF(OR(G1491="",G1492=""),"",IFERROR(IF(INDEX(PipeWT,MATCH(G1491,NPSU,0),MATCH(G1492,SchU,0))="","Sch n/a",INDEX(PipeOD,MATCH(G1491,NPSU,0))-2*INDEX(PipeWT,MATCH(G1491,NPSU,0),MATCH(G1492,SchU,0))),"")))</f>
        <v/>
      </c>
      <c r="H1495" s="27" t="str">
        <f aca="false">IF(ISNUMBER(H1493),H1493*INDEX(LenF,MATCH($C$1493,LenU,0))*1000,IF(OR(H1491="",H1492=""),"",IFERROR(IF(INDEX(PipeWT,MATCH(H1491,NPSU,0),MATCH(H1492,SchU,0))="","Sch n/a",INDEX(PipeOD,MATCH(H1491,NPSU,0))-2*INDEX(PipeWT,MATCH(H1491,NPSU,0),MATCH(H1492,SchU,0))),"")))</f>
        <v/>
      </c>
      <c r="I1495" s="28"/>
      <c r="J1495" s="24" t="s">
        <v>233</v>
      </c>
    </row>
    <row r="1496" customFormat="false" ht="15" hidden="false" customHeight="false" outlineLevel="0" collapsed="false">
      <c r="B1496" s="4" t="s">
        <v>234</v>
      </c>
      <c r="C1496" s="15" t="s">
        <v>109</v>
      </c>
      <c r="D1496" s="31" t="str">
        <f aca="false">IF(AND(ISNUMBER(D1495),ISNUMBER(D1494)),PI()/4*(D1495/1000)^2*D1494*INDEX(LenF,MATCH($C$1494,LenU,0)),"")</f>
        <v/>
      </c>
      <c r="E1496" s="31" t="str">
        <f aca="false">IF(AND(ISNUMBER(E1495),ISNUMBER(E1494)),PI()/4*(E1495/1000)^2*E1494*INDEX(LenF,MATCH($C$1494,LenU,0)),"")</f>
        <v/>
      </c>
      <c r="F1496" s="31" t="str">
        <f aca="false">IF(AND(ISNUMBER(F1495),ISNUMBER(F1494)),PI()/4*(F1495/1000)^2*F1494*INDEX(LenF,MATCH($C$1494,LenU,0)),"")</f>
        <v/>
      </c>
      <c r="G1496" s="31" t="str">
        <f aca="false">IF(AND(ISNUMBER(G1495),ISNUMBER(G1494)),PI()/4*(G1495/1000)^2*G1494*INDEX(LenF,MATCH($C$1494,LenU,0)),"")</f>
        <v/>
      </c>
      <c r="H1496" s="31" t="str">
        <f aca="false">IF(AND(ISNUMBER(H1495),ISNUMBER(H1494)),PI()/4*(H1495/1000)^2*H1494*INDEX(LenF,MATCH($C$1494,LenU,0)),"")</f>
        <v/>
      </c>
      <c r="I1496" s="31" t="str">
        <f aca="false">IF(COUNT(D1496:H1496)=0,"",SUM(D1496:H1496))</f>
        <v/>
      </c>
      <c r="J1496" s="24"/>
      <c r="K1496" s="32" t="s">
        <v>235</v>
      </c>
    </row>
    <row r="1497" customFormat="false" ht="15" hidden="false" customHeight="false" outlineLevel="0" collapsed="false">
      <c r="B1497" s="9" t="s">
        <v>60</v>
      </c>
      <c r="C1497" s="15" t="s">
        <v>146</v>
      </c>
      <c r="D1497" s="35" t="str">
        <f aca="false">IF(D1496="","",IF(JobType="Chemical Cleaning",CC_PIPE,INDEX(DecFill,MATCH("Piping",DecTypeU,0))))</f>
        <v/>
      </c>
      <c r="E1497" s="35" t="str">
        <f aca="false">IF(E1496="","",IF(JobType="Chemical Cleaning",CC_PIPE,INDEX(DecFill,MATCH("Piping",DecTypeU,0))))</f>
        <v/>
      </c>
      <c r="F1497" s="35" t="str">
        <f aca="false">IF(F1496="","",IF(JobType="Chemical Cleaning",CC_PIPE,INDEX(DecFill,MATCH("Piping",DecTypeU,0))))</f>
        <v/>
      </c>
      <c r="G1497" s="35" t="str">
        <f aca="false">IF(G1496="","",IF(JobType="Chemical Cleaning",CC_PIPE,INDEX(DecFill,MATCH("Piping",DecTypeU,0))))</f>
        <v/>
      </c>
      <c r="H1497" s="35" t="str">
        <f aca="false">IF(H1496="","",IF(JobType="Chemical Cleaning",CC_PIPE,INDEX(DecFill,MATCH("Piping",DecTypeU,0))))</f>
        <v/>
      </c>
      <c r="I1497" s="36"/>
      <c r="J1497" s="24"/>
    </row>
    <row r="1498" customFormat="false" ht="15" hidden="false" customHeight="false" outlineLevel="0" collapsed="false">
      <c r="B1498" s="4" t="s">
        <v>148</v>
      </c>
      <c r="C1498" s="15" t="s">
        <v>109</v>
      </c>
      <c r="D1498" s="31" t="str">
        <f aca="false">IF(OR(D1496="",D1497=""),"",D1496*D1497)</f>
        <v/>
      </c>
      <c r="E1498" s="31" t="str">
        <f aca="false">IF(OR(E1496="",E1497=""),"",E1496*E1497)</f>
        <v/>
      </c>
      <c r="F1498" s="31" t="str">
        <f aca="false">IF(OR(F1496="",F1497=""),"",F1496*F1497)</f>
        <v/>
      </c>
      <c r="G1498" s="31" t="str">
        <f aca="false">IF(OR(G1496="",G1497=""),"",G1496*G1497)</f>
        <v/>
      </c>
      <c r="H1498" s="31" t="str">
        <f aca="false">IF(OR(H1496="",H1497=""),"",H1496*H1497)</f>
        <v/>
      </c>
      <c r="I1498" s="31" t="str">
        <f aca="false">IF(COUNT(D1498:H1498)=0,"",SUM(D1498:H1498))</f>
        <v/>
      </c>
      <c r="J1498" s="24"/>
      <c r="K1498" s="32" t="s">
        <v>236</v>
      </c>
    </row>
    <row r="1499" customFormat="false" ht="15" hidden="false" customHeight="false" outlineLevel="0" collapsed="false">
      <c r="B1499" s="9" t="s">
        <v>150</v>
      </c>
      <c r="C1499" s="15" t="s">
        <v>32</v>
      </c>
      <c r="D1499" s="37" t="str">
        <f aca="false">IF(OR(JobType&lt;&gt;"Decontamination",D1498=""),"",D1498*INDEX(DecChem,MATCH("Piping",DecTypeU,0))*1000)</f>
        <v/>
      </c>
      <c r="E1499" s="37" t="str">
        <f aca="false">IF(OR(JobType&lt;&gt;"Decontamination",E1498=""),"",E1498*INDEX(DecChem,MATCH("Piping",DecTypeU,0))*1000)</f>
        <v/>
      </c>
      <c r="F1499" s="37" t="str">
        <f aca="false">IF(OR(JobType&lt;&gt;"Decontamination",F1498=""),"",F1498*INDEX(DecChem,MATCH("Piping",DecTypeU,0))*1000)</f>
        <v/>
      </c>
      <c r="G1499" s="37" t="str">
        <f aca="false">IF(OR(JobType&lt;&gt;"Decontamination",G1498=""),"",G1498*INDEX(DecChem,MATCH("Piping",DecTypeU,0))*1000)</f>
        <v/>
      </c>
      <c r="H1499" s="37" t="str">
        <f aca="false">IF(OR(JobType&lt;&gt;"Decontamination",H1498=""),"",H1498*INDEX(DecChem,MATCH("Piping",DecTypeU,0))*1000)</f>
        <v/>
      </c>
      <c r="I1499" s="38" t="str">
        <f aca="false">IF(COUNT(D1499:H1499)=0,"",SUM(D1499:H1499))</f>
        <v/>
      </c>
      <c r="J1499" s="24"/>
      <c r="K1499" s="32" t="s">
        <v>237</v>
      </c>
    </row>
    <row r="1501" customFormat="false" ht="15" hidden="false" customHeight="false" outlineLevel="0" collapsed="false">
      <c r="A1501" s="20" t="n">
        <v>5</v>
      </c>
      <c r="B1501" s="21" t="s">
        <v>241</v>
      </c>
      <c r="C1501" s="22"/>
      <c r="D1501" s="22"/>
      <c r="E1501" s="22"/>
      <c r="F1501" s="22"/>
      <c r="G1501" s="22"/>
      <c r="H1501" s="22"/>
      <c r="I1501" s="22"/>
      <c r="J1501" s="22"/>
    </row>
    <row r="1502" customFormat="false" ht="15" hidden="false" customHeight="false" outlineLevel="0" collapsed="false">
      <c r="B1502" s="9" t="s">
        <v>222</v>
      </c>
      <c r="C1502" s="15" t="s">
        <v>29</v>
      </c>
      <c r="D1502" s="8"/>
      <c r="E1502" s="8"/>
      <c r="F1502" s="8"/>
      <c r="G1502" s="8"/>
      <c r="H1502" s="8"/>
      <c r="I1502" s="23"/>
      <c r="J1502" s="24"/>
    </row>
    <row r="1503" customFormat="false" ht="15" hidden="false" customHeight="false" outlineLevel="0" collapsed="false">
      <c r="B1503" s="9" t="s">
        <v>225</v>
      </c>
      <c r="C1503" s="15" t="s">
        <v>29</v>
      </c>
      <c r="D1503" s="8"/>
      <c r="E1503" s="8"/>
      <c r="F1503" s="8"/>
      <c r="G1503" s="8"/>
      <c r="H1503" s="8"/>
      <c r="I1503" s="23"/>
      <c r="J1503" s="24"/>
    </row>
    <row r="1504" customFormat="false" ht="15" hidden="false" customHeight="false" outlineLevel="0" collapsed="false">
      <c r="B1504" s="9" t="s">
        <v>227</v>
      </c>
      <c r="C1504" s="15" t="s">
        <v>29</v>
      </c>
      <c r="D1504" s="8"/>
      <c r="E1504" s="8"/>
      <c r="F1504" s="8"/>
      <c r="G1504" s="8"/>
      <c r="H1504" s="8"/>
      <c r="I1504" s="23"/>
      <c r="J1504" s="24"/>
    </row>
    <row r="1505" customFormat="false" ht="15" hidden="false" customHeight="false" outlineLevel="0" collapsed="false">
      <c r="B1505" s="9" t="s">
        <v>229</v>
      </c>
      <c r="C1505" s="8" t="s">
        <v>92</v>
      </c>
      <c r="D1505" s="8"/>
      <c r="E1505" s="8"/>
      <c r="F1505" s="8"/>
      <c r="G1505" s="8"/>
      <c r="H1505" s="8"/>
      <c r="I1505" s="23"/>
      <c r="J1505" s="24"/>
    </row>
    <row r="1506" customFormat="false" ht="15" hidden="false" customHeight="false" outlineLevel="0" collapsed="false">
      <c r="B1506" s="9" t="s">
        <v>230</v>
      </c>
      <c r="C1506" s="8" t="s">
        <v>231</v>
      </c>
      <c r="D1506" s="8"/>
      <c r="E1506" s="8"/>
      <c r="F1506" s="8"/>
      <c r="G1506" s="8"/>
      <c r="H1506" s="8"/>
      <c r="I1506" s="23"/>
      <c r="J1506" s="24"/>
    </row>
    <row r="1507" customFormat="false" ht="15" hidden="false" customHeight="false" outlineLevel="0" collapsed="false">
      <c r="B1507" s="9" t="s">
        <v>232</v>
      </c>
      <c r="C1507" s="15" t="s">
        <v>92</v>
      </c>
      <c r="D1507" s="27" t="str">
        <f aca="false">IF(ISNUMBER(D1505),D1505*INDEX(LenF,MATCH($C$1505,LenU,0))*1000,IF(OR(D1503="",D1504=""),"",IFERROR(IF(INDEX(PipeWT,MATCH(D1503,NPSU,0),MATCH(D1504,SchU,0))="","Sch n/a",INDEX(PipeOD,MATCH(D1503,NPSU,0))-2*INDEX(PipeWT,MATCH(D1503,NPSU,0),MATCH(D1504,SchU,0))),"")))</f>
        <v/>
      </c>
      <c r="E1507" s="27" t="str">
        <f aca="false">IF(ISNUMBER(E1505),E1505*INDEX(LenF,MATCH($C$1505,LenU,0))*1000,IF(OR(E1503="",E1504=""),"",IFERROR(IF(INDEX(PipeWT,MATCH(E1503,NPSU,0),MATCH(E1504,SchU,0))="","Sch n/a",INDEX(PipeOD,MATCH(E1503,NPSU,0))-2*INDEX(PipeWT,MATCH(E1503,NPSU,0),MATCH(E1504,SchU,0))),"")))</f>
        <v/>
      </c>
      <c r="F1507" s="27" t="str">
        <f aca="false">IF(ISNUMBER(F1505),F1505*INDEX(LenF,MATCH($C$1505,LenU,0))*1000,IF(OR(F1503="",F1504=""),"",IFERROR(IF(INDEX(PipeWT,MATCH(F1503,NPSU,0),MATCH(F1504,SchU,0))="","Sch n/a",INDEX(PipeOD,MATCH(F1503,NPSU,0))-2*INDEX(PipeWT,MATCH(F1503,NPSU,0),MATCH(F1504,SchU,0))),"")))</f>
        <v/>
      </c>
      <c r="G1507" s="27" t="str">
        <f aca="false">IF(ISNUMBER(G1505),G1505*INDEX(LenF,MATCH($C$1505,LenU,0))*1000,IF(OR(G1503="",G1504=""),"",IFERROR(IF(INDEX(PipeWT,MATCH(G1503,NPSU,0),MATCH(G1504,SchU,0))="","Sch n/a",INDEX(PipeOD,MATCH(G1503,NPSU,0))-2*INDEX(PipeWT,MATCH(G1503,NPSU,0),MATCH(G1504,SchU,0))),"")))</f>
        <v/>
      </c>
      <c r="H1507" s="27" t="str">
        <f aca="false">IF(ISNUMBER(H1505),H1505*INDEX(LenF,MATCH($C$1505,LenU,0))*1000,IF(OR(H1503="",H1504=""),"",IFERROR(IF(INDEX(PipeWT,MATCH(H1503,NPSU,0),MATCH(H1504,SchU,0))="","Sch n/a",INDEX(PipeOD,MATCH(H1503,NPSU,0))-2*INDEX(PipeWT,MATCH(H1503,NPSU,0),MATCH(H1504,SchU,0))),"")))</f>
        <v/>
      </c>
      <c r="I1507" s="28"/>
      <c r="J1507" s="24" t="s">
        <v>233</v>
      </c>
    </row>
    <row r="1508" customFormat="false" ht="15" hidden="false" customHeight="false" outlineLevel="0" collapsed="false">
      <c r="B1508" s="4" t="s">
        <v>234</v>
      </c>
      <c r="C1508" s="15" t="s">
        <v>109</v>
      </c>
      <c r="D1508" s="31" t="str">
        <f aca="false">IF(AND(ISNUMBER(D1507),ISNUMBER(D1506)),PI()/4*(D1507/1000)^2*D1506*INDEX(LenF,MATCH($C$1506,LenU,0)),"")</f>
        <v/>
      </c>
      <c r="E1508" s="31" t="str">
        <f aca="false">IF(AND(ISNUMBER(E1507),ISNUMBER(E1506)),PI()/4*(E1507/1000)^2*E1506*INDEX(LenF,MATCH($C$1506,LenU,0)),"")</f>
        <v/>
      </c>
      <c r="F1508" s="31" t="str">
        <f aca="false">IF(AND(ISNUMBER(F1507),ISNUMBER(F1506)),PI()/4*(F1507/1000)^2*F1506*INDEX(LenF,MATCH($C$1506,LenU,0)),"")</f>
        <v/>
      </c>
      <c r="G1508" s="31" t="str">
        <f aca="false">IF(AND(ISNUMBER(G1507),ISNUMBER(G1506)),PI()/4*(G1507/1000)^2*G1506*INDEX(LenF,MATCH($C$1506,LenU,0)),"")</f>
        <v/>
      </c>
      <c r="H1508" s="31" t="str">
        <f aca="false">IF(AND(ISNUMBER(H1507),ISNUMBER(H1506)),PI()/4*(H1507/1000)^2*H1506*INDEX(LenF,MATCH($C$1506,LenU,0)),"")</f>
        <v/>
      </c>
      <c r="I1508" s="31" t="str">
        <f aca="false">IF(COUNT(D1508:H1508)=0,"",SUM(D1508:H1508))</f>
        <v/>
      </c>
      <c r="J1508" s="24"/>
      <c r="K1508" s="32" t="s">
        <v>235</v>
      </c>
    </row>
    <row r="1509" customFormat="false" ht="15" hidden="false" customHeight="false" outlineLevel="0" collapsed="false">
      <c r="B1509" s="9" t="s">
        <v>60</v>
      </c>
      <c r="C1509" s="15" t="s">
        <v>146</v>
      </c>
      <c r="D1509" s="35" t="str">
        <f aca="false">IF(D1508="","",IF(JobType="Chemical Cleaning",CC_PIPE,INDEX(DecFill,MATCH("Piping",DecTypeU,0))))</f>
        <v/>
      </c>
      <c r="E1509" s="35" t="str">
        <f aca="false">IF(E1508="","",IF(JobType="Chemical Cleaning",CC_PIPE,INDEX(DecFill,MATCH("Piping",DecTypeU,0))))</f>
        <v/>
      </c>
      <c r="F1509" s="35" t="str">
        <f aca="false">IF(F1508="","",IF(JobType="Chemical Cleaning",CC_PIPE,INDEX(DecFill,MATCH("Piping",DecTypeU,0))))</f>
        <v/>
      </c>
      <c r="G1509" s="35" t="str">
        <f aca="false">IF(G1508="","",IF(JobType="Chemical Cleaning",CC_PIPE,INDEX(DecFill,MATCH("Piping",DecTypeU,0))))</f>
        <v/>
      </c>
      <c r="H1509" s="35" t="str">
        <f aca="false">IF(H1508="","",IF(JobType="Chemical Cleaning",CC_PIPE,INDEX(DecFill,MATCH("Piping",DecTypeU,0))))</f>
        <v/>
      </c>
      <c r="I1509" s="36"/>
      <c r="J1509" s="24"/>
    </row>
    <row r="1510" customFormat="false" ht="15" hidden="false" customHeight="false" outlineLevel="0" collapsed="false">
      <c r="B1510" s="4" t="s">
        <v>148</v>
      </c>
      <c r="C1510" s="15" t="s">
        <v>109</v>
      </c>
      <c r="D1510" s="31" t="str">
        <f aca="false">IF(OR(D1508="",D1509=""),"",D1508*D1509)</f>
        <v/>
      </c>
      <c r="E1510" s="31" t="str">
        <f aca="false">IF(OR(E1508="",E1509=""),"",E1508*E1509)</f>
        <v/>
      </c>
      <c r="F1510" s="31" t="str">
        <f aca="false">IF(OR(F1508="",F1509=""),"",F1508*F1509)</f>
        <v/>
      </c>
      <c r="G1510" s="31" t="str">
        <f aca="false">IF(OR(G1508="",G1509=""),"",G1508*G1509)</f>
        <v/>
      </c>
      <c r="H1510" s="31" t="str">
        <f aca="false">IF(OR(H1508="",H1509=""),"",H1508*H1509)</f>
        <v/>
      </c>
      <c r="I1510" s="31" t="str">
        <f aca="false">IF(COUNT(D1510:H1510)=0,"",SUM(D1510:H1510))</f>
        <v/>
      </c>
      <c r="J1510" s="24"/>
      <c r="K1510" s="32" t="s">
        <v>236</v>
      </c>
    </row>
    <row r="1511" customFormat="false" ht="15" hidden="false" customHeight="false" outlineLevel="0" collapsed="false">
      <c r="B1511" s="9" t="s">
        <v>150</v>
      </c>
      <c r="C1511" s="15" t="s">
        <v>32</v>
      </c>
      <c r="D1511" s="37" t="str">
        <f aca="false">IF(OR(JobType&lt;&gt;"Decontamination",D1510=""),"",D1510*INDEX(DecChem,MATCH("Piping",DecTypeU,0))*1000)</f>
        <v/>
      </c>
      <c r="E1511" s="37" t="str">
        <f aca="false">IF(OR(JobType&lt;&gt;"Decontamination",E1510=""),"",E1510*INDEX(DecChem,MATCH("Piping",DecTypeU,0))*1000)</f>
        <v/>
      </c>
      <c r="F1511" s="37" t="str">
        <f aca="false">IF(OR(JobType&lt;&gt;"Decontamination",F1510=""),"",F1510*INDEX(DecChem,MATCH("Piping",DecTypeU,0))*1000)</f>
        <v/>
      </c>
      <c r="G1511" s="37" t="str">
        <f aca="false">IF(OR(JobType&lt;&gt;"Decontamination",G1510=""),"",G1510*INDEX(DecChem,MATCH("Piping",DecTypeU,0))*1000)</f>
        <v/>
      </c>
      <c r="H1511" s="37" t="str">
        <f aca="false">IF(OR(JobType&lt;&gt;"Decontamination",H1510=""),"",H1510*INDEX(DecChem,MATCH("Piping",DecTypeU,0))*1000)</f>
        <v/>
      </c>
      <c r="I1511" s="38" t="str">
        <f aca="false">IF(COUNT(D1511:H1511)=0,"",SUM(D1511:H1511))</f>
        <v/>
      </c>
      <c r="J1511" s="24"/>
      <c r="K1511" s="32" t="s">
        <v>237</v>
      </c>
    </row>
    <row r="1513" customFormat="false" ht="15" hidden="false" customHeight="false" outlineLevel="0" collapsed="false">
      <c r="A1513" s="20" t="n">
        <v>6</v>
      </c>
      <c r="B1513" s="21" t="s">
        <v>242</v>
      </c>
      <c r="C1513" s="22"/>
      <c r="D1513" s="22"/>
      <c r="E1513" s="22"/>
      <c r="F1513" s="22"/>
      <c r="G1513" s="22"/>
      <c r="H1513" s="22"/>
      <c r="I1513" s="22"/>
      <c r="J1513" s="22"/>
    </row>
    <row r="1514" customFormat="false" ht="15" hidden="false" customHeight="false" outlineLevel="0" collapsed="false">
      <c r="B1514" s="9" t="s">
        <v>222</v>
      </c>
      <c r="C1514" s="15" t="s">
        <v>29</v>
      </c>
      <c r="D1514" s="8"/>
      <c r="E1514" s="8"/>
      <c r="F1514" s="8"/>
      <c r="G1514" s="8"/>
      <c r="H1514" s="8"/>
      <c r="I1514" s="23"/>
      <c r="J1514" s="24"/>
    </row>
    <row r="1515" customFormat="false" ht="15" hidden="false" customHeight="false" outlineLevel="0" collapsed="false">
      <c r="B1515" s="9" t="s">
        <v>225</v>
      </c>
      <c r="C1515" s="15" t="s">
        <v>29</v>
      </c>
      <c r="D1515" s="8"/>
      <c r="E1515" s="8"/>
      <c r="F1515" s="8"/>
      <c r="G1515" s="8"/>
      <c r="H1515" s="8"/>
      <c r="I1515" s="23"/>
      <c r="J1515" s="24"/>
    </row>
    <row r="1516" customFormat="false" ht="15" hidden="false" customHeight="false" outlineLevel="0" collapsed="false">
      <c r="B1516" s="9" t="s">
        <v>227</v>
      </c>
      <c r="C1516" s="15" t="s">
        <v>29</v>
      </c>
      <c r="D1516" s="8"/>
      <c r="E1516" s="8"/>
      <c r="F1516" s="8"/>
      <c r="G1516" s="8"/>
      <c r="H1516" s="8"/>
      <c r="I1516" s="23"/>
      <c r="J1516" s="24"/>
    </row>
    <row r="1517" customFormat="false" ht="15" hidden="false" customHeight="false" outlineLevel="0" collapsed="false">
      <c r="B1517" s="9" t="s">
        <v>229</v>
      </c>
      <c r="C1517" s="8" t="s">
        <v>92</v>
      </c>
      <c r="D1517" s="8"/>
      <c r="E1517" s="8"/>
      <c r="F1517" s="8"/>
      <c r="G1517" s="8"/>
      <c r="H1517" s="8"/>
      <c r="I1517" s="23"/>
      <c r="J1517" s="24"/>
    </row>
    <row r="1518" customFormat="false" ht="15" hidden="false" customHeight="false" outlineLevel="0" collapsed="false">
      <c r="B1518" s="9" t="s">
        <v>230</v>
      </c>
      <c r="C1518" s="8" t="s">
        <v>231</v>
      </c>
      <c r="D1518" s="8"/>
      <c r="E1518" s="8"/>
      <c r="F1518" s="8"/>
      <c r="G1518" s="8"/>
      <c r="H1518" s="8"/>
      <c r="I1518" s="23"/>
      <c r="J1518" s="24"/>
    </row>
    <row r="1519" customFormat="false" ht="15" hidden="false" customHeight="false" outlineLevel="0" collapsed="false">
      <c r="B1519" s="9" t="s">
        <v>232</v>
      </c>
      <c r="C1519" s="15" t="s">
        <v>92</v>
      </c>
      <c r="D1519" s="27" t="str">
        <f aca="false">IF(ISNUMBER(D1517),D1517*INDEX(LenF,MATCH($C$1517,LenU,0))*1000,IF(OR(D1515="",D1516=""),"",IFERROR(IF(INDEX(PipeWT,MATCH(D1515,NPSU,0),MATCH(D1516,SchU,0))="","Sch n/a",INDEX(PipeOD,MATCH(D1515,NPSU,0))-2*INDEX(PipeWT,MATCH(D1515,NPSU,0),MATCH(D1516,SchU,0))),"")))</f>
        <v/>
      </c>
      <c r="E1519" s="27" t="str">
        <f aca="false">IF(ISNUMBER(E1517),E1517*INDEX(LenF,MATCH($C$1517,LenU,0))*1000,IF(OR(E1515="",E1516=""),"",IFERROR(IF(INDEX(PipeWT,MATCH(E1515,NPSU,0),MATCH(E1516,SchU,0))="","Sch n/a",INDEX(PipeOD,MATCH(E1515,NPSU,0))-2*INDEX(PipeWT,MATCH(E1515,NPSU,0),MATCH(E1516,SchU,0))),"")))</f>
        <v/>
      </c>
      <c r="F1519" s="27" t="str">
        <f aca="false">IF(ISNUMBER(F1517),F1517*INDEX(LenF,MATCH($C$1517,LenU,0))*1000,IF(OR(F1515="",F1516=""),"",IFERROR(IF(INDEX(PipeWT,MATCH(F1515,NPSU,0),MATCH(F1516,SchU,0))="","Sch n/a",INDEX(PipeOD,MATCH(F1515,NPSU,0))-2*INDEX(PipeWT,MATCH(F1515,NPSU,0),MATCH(F1516,SchU,0))),"")))</f>
        <v/>
      </c>
      <c r="G1519" s="27" t="str">
        <f aca="false">IF(ISNUMBER(G1517),G1517*INDEX(LenF,MATCH($C$1517,LenU,0))*1000,IF(OR(G1515="",G1516=""),"",IFERROR(IF(INDEX(PipeWT,MATCH(G1515,NPSU,0),MATCH(G1516,SchU,0))="","Sch n/a",INDEX(PipeOD,MATCH(G1515,NPSU,0))-2*INDEX(PipeWT,MATCH(G1515,NPSU,0),MATCH(G1516,SchU,0))),"")))</f>
        <v/>
      </c>
      <c r="H1519" s="27" t="str">
        <f aca="false">IF(ISNUMBER(H1517),H1517*INDEX(LenF,MATCH($C$1517,LenU,0))*1000,IF(OR(H1515="",H1516=""),"",IFERROR(IF(INDEX(PipeWT,MATCH(H1515,NPSU,0),MATCH(H1516,SchU,0))="","Sch n/a",INDEX(PipeOD,MATCH(H1515,NPSU,0))-2*INDEX(PipeWT,MATCH(H1515,NPSU,0),MATCH(H1516,SchU,0))),"")))</f>
        <v/>
      </c>
      <c r="I1519" s="28"/>
      <c r="J1519" s="24" t="s">
        <v>233</v>
      </c>
    </row>
    <row r="1520" customFormat="false" ht="15" hidden="false" customHeight="false" outlineLevel="0" collapsed="false">
      <c r="B1520" s="4" t="s">
        <v>234</v>
      </c>
      <c r="C1520" s="15" t="s">
        <v>109</v>
      </c>
      <c r="D1520" s="31" t="str">
        <f aca="false">IF(AND(ISNUMBER(D1519),ISNUMBER(D1518)),PI()/4*(D1519/1000)^2*D1518*INDEX(LenF,MATCH($C$1518,LenU,0)),"")</f>
        <v/>
      </c>
      <c r="E1520" s="31" t="str">
        <f aca="false">IF(AND(ISNUMBER(E1519),ISNUMBER(E1518)),PI()/4*(E1519/1000)^2*E1518*INDEX(LenF,MATCH($C$1518,LenU,0)),"")</f>
        <v/>
      </c>
      <c r="F1520" s="31" t="str">
        <f aca="false">IF(AND(ISNUMBER(F1519),ISNUMBER(F1518)),PI()/4*(F1519/1000)^2*F1518*INDEX(LenF,MATCH($C$1518,LenU,0)),"")</f>
        <v/>
      </c>
      <c r="G1520" s="31" t="str">
        <f aca="false">IF(AND(ISNUMBER(G1519),ISNUMBER(G1518)),PI()/4*(G1519/1000)^2*G1518*INDEX(LenF,MATCH($C$1518,LenU,0)),"")</f>
        <v/>
      </c>
      <c r="H1520" s="31" t="str">
        <f aca="false">IF(AND(ISNUMBER(H1519),ISNUMBER(H1518)),PI()/4*(H1519/1000)^2*H1518*INDEX(LenF,MATCH($C$1518,LenU,0)),"")</f>
        <v/>
      </c>
      <c r="I1520" s="31" t="str">
        <f aca="false">IF(COUNT(D1520:H1520)=0,"",SUM(D1520:H1520))</f>
        <v/>
      </c>
      <c r="J1520" s="24"/>
      <c r="K1520" s="32" t="s">
        <v>235</v>
      </c>
    </row>
    <row r="1521" customFormat="false" ht="15" hidden="false" customHeight="false" outlineLevel="0" collapsed="false">
      <c r="B1521" s="9" t="s">
        <v>60</v>
      </c>
      <c r="C1521" s="15" t="s">
        <v>146</v>
      </c>
      <c r="D1521" s="35" t="str">
        <f aca="false">IF(D1520="","",IF(JobType="Chemical Cleaning",CC_PIPE,INDEX(DecFill,MATCH("Piping",DecTypeU,0))))</f>
        <v/>
      </c>
      <c r="E1521" s="35" t="str">
        <f aca="false">IF(E1520="","",IF(JobType="Chemical Cleaning",CC_PIPE,INDEX(DecFill,MATCH("Piping",DecTypeU,0))))</f>
        <v/>
      </c>
      <c r="F1521" s="35" t="str">
        <f aca="false">IF(F1520="","",IF(JobType="Chemical Cleaning",CC_PIPE,INDEX(DecFill,MATCH("Piping",DecTypeU,0))))</f>
        <v/>
      </c>
      <c r="G1521" s="35" t="str">
        <f aca="false">IF(G1520="","",IF(JobType="Chemical Cleaning",CC_PIPE,INDEX(DecFill,MATCH("Piping",DecTypeU,0))))</f>
        <v/>
      </c>
      <c r="H1521" s="35" t="str">
        <f aca="false">IF(H1520="","",IF(JobType="Chemical Cleaning",CC_PIPE,INDEX(DecFill,MATCH("Piping",DecTypeU,0))))</f>
        <v/>
      </c>
      <c r="I1521" s="36"/>
      <c r="J1521" s="24"/>
    </row>
    <row r="1522" customFormat="false" ht="15" hidden="false" customHeight="false" outlineLevel="0" collapsed="false">
      <c r="B1522" s="4" t="s">
        <v>148</v>
      </c>
      <c r="C1522" s="15" t="s">
        <v>109</v>
      </c>
      <c r="D1522" s="31" t="str">
        <f aca="false">IF(OR(D1520="",D1521=""),"",D1520*D1521)</f>
        <v/>
      </c>
      <c r="E1522" s="31" t="str">
        <f aca="false">IF(OR(E1520="",E1521=""),"",E1520*E1521)</f>
        <v/>
      </c>
      <c r="F1522" s="31" t="str">
        <f aca="false">IF(OR(F1520="",F1521=""),"",F1520*F1521)</f>
        <v/>
      </c>
      <c r="G1522" s="31" t="str">
        <f aca="false">IF(OR(G1520="",G1521=""),"",G1520*G1521)</f>
        <v/>
      </c>
      <c r="H1522" s="31" t="str">
        <f aca="false">IF(OR(H1520="",H1521=""),"",H1520*H1521)</f>
        <v/>
      </c>
      <c r="I1522" s="31" t="str">
        <f aca="false">IF(COUNT(D1522:H1522)=0,"",SUM(D1522:H1522))</f>
        <v/>
      </c>
      <c r="J1522" s="24"/>
      <c r="K1522" s="32" t="s">
        <v>236</v>
      </c>
    </row>
    <row r="1523" customFormat="false" ht="15" hidden="false" customHeight="false" outlineLevel="0" collapsed="false">
      <c r="B1523" s="9" t="s">
        <v>150</v>
      </c>
      <c r="C1523" s="15" t="s">
        <v>32</v>
      </c>
      <c r="D1523" s="37" t="str">
        <f aca="false">IF(OR(JobType&lt;&gt;"Decontamination",D1522=""),"",D1522*INDEX(DecChem,MATCH("Piping",DecTypeU,0))*1000)</f>
        <v/>
      </c>
      <c r="E1523" s="37" t="str">
        <f aca="false">IF(OR(JobType&lt;&gt;"Decontamination",E1522=""),"",E1522*INDEX(DecChem,MATCH("Piping",DecTypeU,0))*1000)</f>
        <v/>
      </c>
      <c r="F1523" s="37" t="str">
        <f aca="false">IF(OR(JobType&lt;&gt;"Decontamination",F1522=""),"",F1522*INDEX(DecChem,MATCH("Piping",DecTypeU,0))*1000)</f>
        <v/>
      </c>
      <c r="G1523" s="37" t="str">
        <f aca="false">IF(OR(JobType&lt;&gt;"Decontamination",G1522=""),"",G1522*INDEX(DecChem,MATCH("Piping",DecTypeU,0))*1000)</f>
        <v/>
      </c>
      <c r="H1523" s="37" t="str">
        <f aca="false">IF(OR(JobType&lt;&gt;"Decontamination",H1522=""),"",H1522*INDEX(DecChem,MATCH("Piping",DecTypeU,0))*1000)</f>
        <v/>
      </c>
      <c r="I1523" s="38" t="str">
        <f aca="false">IF(COUNT(D1523:H1523)=0,"",SUM(D1523:H1523))</f>
        <v/>
      </c>
      <c r="J1523" s="24"/>
      <c r="K1523" s="32" t="s">
        <v>237</v>
      </c>
    </row>
    <row r="1525" customFormat="false" ht="15" hidden="false" customHeight="false" outlineLevel="0" collapsed="false">
      <c r="A1525" s="20" t="n">
        <v>7</v>
      </c>
      <c r="B1525" s="21" t="s">
        <v>243</v>
      </c>
      <c r="C1525" s="22"/>
      <c r="D1525" s="22"/>
      <c r="E1525" s="22"/>
      <c r="F1525" s="22"/>
      <c r="G1525" s="22"/>
      <c r="H1525" s="22"/>
      <c r="I1525" s="22"/>
      <c r="J1525" s="22"/>
    </row>
    <row r="1526" customFormat="false" ht="15" hidden="false" customHeight="false" outlineLevel="0" collapsed="false">
      <c r="B1526" s="9" t="s">
        <v>222</v>
      </c>
      <c r="C1526" s="15" t="s">
        <v>29</v>
      </c>
      <c r="D1526" s="8"/>
      <c r="E1526" s="8"/>
      <c r="F1526" s="8"/>
      <c r="G1526" s="8"/>
      <c r="H1526" s="8"/>
      <c r="I1526" s="23"/>
      <c r="J1526" s="24"/>
    </row>
    <row r="1527" customFormat="false" ht="15" hidden="false" customHeight="false" outlineLevel="0" collapsed="false">
      <c r="B1527" s="9" t="s">
        <v>225</v>
      </c>
      <c r="C1527" s="15" t="s">
        <v>29</v>
      </c>
      <c r="D1527" s="8"/>
      <c r="E1527" s="8"/>
      <c r="F1527" s="8"/>
      <c r="G1527" s="8"/>
      <c r="H1527" s="8"/>
      <c r="I1527" s="23"/>
      <c r="J1527" s="24"/>
    </row>
    <row r="1528" customFormat="false" ht="15" hidden="false" customHeight="false" outlineLevel="0" collapsed="false">
      <c r="B1528" s="9" t="s">
        <v>227</v>
      </c>
      <c r="C1528" s="15" t="s">
        <v>29</v>
      </c>
      <c r="D1528" s="8"/>
      <c r="E1528" s="8"/>
      <c r="F1528" s="8"/>
      <c r="G1528" s="8"/>
      <c r="H1528" s="8"/>
      <c r="I1528" s="23"/>
      <c r="J1528" s="24"/>
    </row>
    <row r="1529" customFormat="false" ht="15" hidden="false" customHeight="false" outlineLevel="0" collapsed="false">
      <c r="B1529" s="9" t="s">
        <v>229</v>
      </c>
      <c r="C1529" s="8" t="s">
        <v>92</v>
      </c>
      <c r="D1529" s="8"/>
      <c r="E1529" s="8"/>
      <c r="F1529" s="8"/>
      <c r="G1529" s="8"/>
      <c r="H1529" s="8"/>
      <c r="I1529" s="23"/>
      <c r="J1529" s="24"/>
    </row>
    <row r="1530" customFormat="false" ht="15" hidden="false" customHeight="false" outlineLevel="0" collapsed="false">
      <c r="B1530" s="9" t="s">
        <v>230</v>
      </c>
      <c r="C1530" s="8" t="s">
        <v>231</v>
      </c>
      <c r="D1530" s="8"/>
      <c r="E1530" s="8"/>
      <c r="F1530" s="8"/>
      <c r="G1530" s="8"/>
      <c r="H1530" s="8"/>
      <c r="I1530" s="23"/>
      <c r="J1530" s="24"/>
    </row>
    <row r="1531" customFormat="false" ht="15" hidden="false" customHeight="false" outlineLevel="0" collapsed="false">
      <c r="B1531" s="9" t="s">
        <v>232</v>
      </c>
      <c r="C1531" s="15" t="s">
        <v>92</v>
      </c>
      <c r="D1531" s="27" t="str">
        <f aca="false">IF(ISNUMBER(D1529),D1529*INDEX(LenF,MATCH($C$1529,LenU,0))*1000,IF(OR(D1527="",D1528=""),"",IFERROR(IF(INDEX(PipeWT,MATCH(D1527,NPSU,0),MATCH(D1528,SchU,0))="","Sch n/a",INDEX(PipeOD,MATCH(D1527,NPSU,0))-2*INDEX(PipeWT,MATCH(D1527,NPSU,0),MATCH(D1528,SchU,0))),"")))</f>
        <v/>
      </c>
      <c r="E1531" s="27" t="str">
        <f aca="false">IF(ISNUMBER(E1529),E1529*INDEX(LenF,MATCH($C$1529,LenU,0))*1000,IF(OR(E1527="",E1528=""),"",IFERROR(IF(INDEX(PipeWT,MATCH(E1527,NPSU,0),MATCH(E1528,SchU,0))="","Sch n/a",INDEX(PipeOD,MATCH(E1527,NPSU,0))-2*INDEX(PipeWT,MATCH(E1527,NPSU,0),MATCH(E1528,SchU,0))),"")))</f>
        <v/>
      </c>
      <c r="F1531" s="27" t="str">
        <f aca="false">IF(ISNUMBER(F1529),F1529*INDEX(LenF,MATCH($C$1529,LenU,0))*1000,IF(OR(F1527="",F1528=""),"",IFERROR(IF(INDEX(PipeWT,MATCH(F1527,NPSU,0),MATCH(F1528,SchU,0))="","Sch n/a",INDEX(PipeOD,MATCH(F1527,NPSU,0))-2*INDEX(PipeWT,MATCH(F1527,NPSU,0),MATCH(F1528,SchU,0))),"")))</f>
        <v/>
      </c>
      <c r="G1531" s="27" t="str">
        <f aca="false">IF(ISNUMBER(G1529),G1529*INDEX(LenF,MATCH($C$1529,LenU,0))*1000,IF(OR(G1527="",G1528=""),"",IFERROR(IF(INDEX(PipeWT,MATCH(G1527,NPSU,0),MATCH(G1528,SchU,0))="","Sch n/a",INDEX(PipeOD,MATCH(G1527,NPSU,0))-2*INDEX(PipeWT,MATCH(G1527,NPSU,0),MATCH(G1528,SchU,0))),"")))</f>
        <v/>
      </c>
      <c r="H1531" s="27" t="str">
        <f aca="false">IF(ISNUMBER(H1529),H1529*INDEX(LenF,MATCH($C$1529,LenU,0))*1000,IF(OR(H1527="",H1528=""),"",IFERROR(IF(INDEX(PipeWT,MATCH(H1527,NPSU,0),MATCH(H1528,SchU,0))="","Sch n/a",INDEX(PipeOD,MATCH(H1527,NPSU,0))-2*INDEX(PipeWT,MATCH(H1527,NPSU,0),MATCH(H1528,SchU,0))),"")))</f>
        <v/>
      </c>
      <c r="I1531" s="28"/>
      <c r="J1531" s="24" t="s">
        <v>233</v>
      </c>
    </row>
    <row r="1532" customFormat="false" ht="15" hidden="false" customHeight="false" outlineLevel="0" collapsed="false">
      <c r="B1532" s="4" t="s">
        <v>234</v>
      </c>
      <c r="C1532" s="15" t="s">
        <v>109</v>
      </c>
      <c r="D1532" s="31" t="str">
        <f aca="false">IF(AND(ISNUMBER(D1531),ISNUMBER(D1530)),PI()/4*(D1531/1000)^2*D1530*INDEX(LenF,MATCH($C$1530,LenU,0)),"")</f>
        <v/>
      </c>
      <c r="E1532" s="31" t="str">
        <f aca="false">IF(AND(ISNUMBER(E1531),ISNUMBER(E1530)),PI()/4*(E1531/1000)^2*E1530*INDEX(LenF,MATCH($C$1530,LenU,0)),"")</f>
        <v/>
      </c>
      <c r="F1532" s="31" t="str">
        <f aca="false">IF(AND(ISNUMBER(F1531),ISNUMBER(F1530)),PI()/4*(F1531/1000)^2*F1530*INDEX(LenF,MATCH($C$1530,LenU,0)),"")</f>
        <v/>
      </c>
      <c r="G1532" s="31" t="str">
        <f aca="false">IF(AND(ISNUMBER(G1531),ISNUMBER(G1530)),PI()/4*(G1531/1000)^2*G1530*INDEX(LenF,MATCH($C$1530,LenU,0)),"")</f>
        <v/>
      </c>
      <c r="H1532" s="31" t="str">
        <f aca="false">IF(AND(ISNUMBER(H1531),ISNUMBER(H1530)),PI()/4*(H1531/1000)^2*H1530*INDEX(LenF,MATCH($C$1530,LenU,0)),"")</f>
        <v/>
      </c>
      <c r="I1532" s="31" t="str">
        <f aca="false">IF(COUNT(D1532:H1532)=0,"",SUM(D1532:H1532))</f>
        <v/>
      </c>
      <c r="J1532" s="24"/>
      <c r="K1532" s="32" t="s">
        <v>235</v>
      </c>
    </row>
    <row r="1533" customFormat="false" ht="15" hidden="false" customHeight="false" outlineLevel="0" collapsed="false">
      <c r="B1533" s="9" t="s">
        <v>60</v>
      </c>
      <c r="C1533" s="15" t="s">
        <v>146</v>
      </c>
      <c r="D1533" s="35" t="str">
        <f aca="false">IF(D1532="","",IF(JobType="Chemical Cleaning",CC_PIPE,INDEX(DecFill,MATCH("Piping",DecTypeU,0))))</f>
        <v/>
      </c>
      <c r="E1533" s="35" t="str">
        <f aca="false">IF(E1532="","",IF(JobType="Chemical Cleaning",CC_PIPE,INDEX(DecFill,MATCH("Piping",DecTypeU,0))))</f>
        <v/>
      </c>
      <c r="F1533" s="35" t="str">
        <f aca="false">IF(F1532="","",IF(JobType="Chemical Cleaning",CC_PIPE,INDEX(DecFill,MATCH("Piping",DecTypeU,0))))</f>
        <v/>
      </c>
      <c r="G1533" s="35" t="str">
        <f aca="false">IF(G1532="","",IF(JobType="Chemical Cleaning",CC_PIPE,INDEX(DecFill,MATCH("Piping",DecTypeU,0))))</f>
        <v/>
      </c>
      <c r="H1533" s="35" t="str">
        <f aca="false">IF(H1532="","",IF(JobType="Chemical Cleaning",CC_PIPE,INDEX(DecFill,MATCH("Piping",DecTypeU,0))))</f>
        <v/>
      </c>
      <c r="I1533" s="36"/>
      <c r="J1533" s="24"/>
    </row>
    <row r="1534" customFormat="false" ht="15" hidden="false" customHeight="false" outlineLevel="0" collapsed="false">
      <c r="B1534" s="4" t="s">
        <v>148</v>
      </c>
      <c r="C1534" s="15" t="s">
        <v>109</v>
      </c>
      <c r="D1534" s="31" t="str">
        <f aca="false">IF(OR(D1532="",D1533=""),"",D1532*D1533)</f>
        <v/>
      </c>
      <c r="E1534" s="31" t="str">
        <f aca="false">IF(OR(E1532="",E1533=""),"",E1532*E1533)</f>
        <v/>
      </c>
      <c r="F1534" s="31" t="str">
        <f aca="false">IF(OR(F1532="",F1533=""),"",F1532*F1533)</f>
        <v/>
      </c>
      <c r="G1534" s="31" t="str">
        <f aca="false">IF(OR(G1532="",G1533=""),"",G1532*G1533)</f>
        <v/>
      </c>
      <c r="H1534" s="31" t="str">
        <f aca="false">IF(OR(H1532="",H1533=""),"",H1532*H1533)</f>
        <v/>
      </c>
      <c r="I1534" s="31" t="str">
        <f aca="false">IF(COUNT(D1534:H1534)=0,"",SUM(D1534:H1534))</f>
        <v/>
      </c>
      <c r="J1534" s="24"/>
      <c r="K1534" s="32" t="s">
        <v>236</v>
      </c>
    </row>
    <row r="1535" customFormat="false" ht="15" hidden="false" customHeight="false" outlineLevel="0" collapsed="false">
      <c r="B1535" s="9" t="s">
        <v>150</v>
      </c>
      <c r="C1535" s="15" t="s">
        <v>32</v>
      </c>
      <c r="D1535" s="37" t="str">
        <f aca="false">IF(OR(JobType&lt;&gt;"Decontamination",D1534=""),"",D1534*INDEX(DecChem,MATCH("Piping",DecTypeU,0))*1000)</f>
        <v/>
      </c>
      <c r="E1535" s="37" t="str">
        <f aca="false">IF(OR(JobType&lt;&gt;"Decontamination",E1534=""),"",E1534*INDEX(DecChem,MATCH("Piping",DecTypeU,0))*1000)</f>
        <v/>
      </c>
      <c r="F1535" s="37" t="str">
        <f aca="false">IF(OR(JobType&lt;&gt;"Decontamination",F1534=""),"",F1534*INDEX(DecChem,MATCH("Piping",DecTypeU,0))*1000)</f>
        <v/>
      </c>
      <c r="G1535" s="37" t="str">
        <f aca="false">IF(OR(JobType&lt;&gt;"Decontamination",G1534=""),"",G1534*INDEX(DecChem,MATCH("Piping",DecTypeU,0))*1000)</f>
        <v/>
      </c>
      <c r="H1535" s="37" t="str">
        <f aca="false">IF(OR(JobType&lt;&gt;"Decontamination",H1534=""),"",H1534*INDEX(DecChem,MATCH("Piping",DecTypeU,0))*1000)</f>
        <v/>
      </c>
      <c r="I1535" s="38" t="str">
        <f aca="false">IF(COUNT(D1535:H1535)=0,"",SUM(D1535:H1535))</f>
        <v/>
      </c>
      <c r="J1535" s="24"/>
      <c r="K1535" s="32" t="s">
        <v>237</v>
      </c>
    </row>
    <row r="1537" customFormat="false" ht="15" hidden="false" customHeight="false" outlineLevel="0" collapsed="false">
      <c r="A1537" s="20" t="n">
        <v>8</v>
      </c>
      <c r="B1537" s="21" t="s">
        <v>244</v>
      </c>
      <c r="C1537" s="22"/>
      <c r="D1537" s="22"/>
      <c r="E1537" s="22"/>
      <c r="F1537" s="22"/>
      <c r="G1537" s="22"/>
      <c r="H1537" s="22"/>
      <c r="I1537" s="22"/>
      <c r="J1537" s="22"/>
    </row>
    <row r="1538" customFormat="false" ht="15" hidden="false" customHeight="false" outlineLevel="0" collapsed="false">
      <c r="B1538" s="9" t="s">
        <v>222</v>
      </c>
      <c r="C1538" s="15" t="s">
        <v>29</v>
      </c>
      <c r="D1538" s="8"/>
      <c r="E1538" s="8"/>
      <c r="F1538" s="8"/>
      <c r="G1538" s="8"/>
      <c r="H1538" s="8"/>
      <c r="I1538" s="23"/>
      <c r="J1538" s="24"/>
    </row>
    <row r="1539" customFormat="false" ht="15" hidden="false" customHeight="false" outlineLevel="0" collapsed="false">
      <c r="B1539" s="9" t="s">
        <v>225</v>
      </c>
      <c r="C1539" s="15" t="s">
        <v>29</v>
      </c>
      <c r="D1539" s="8"/>
      <c r="E1539" s="8"/>
      <c r="F1539" s="8"/>
      <c r="G1539" s="8"/>
      <c r="H1539" s="8"/>
      <c r="I1539" s="23"/>
      <c r="J1539" s="24"/>
    </row>
    <row r="1540" customFormat="false" ht="15" hidden="false" customHeight="false" outlineLevel="0" collapsed="false">
      <c r="B1540" s="9" t="s">
        <v>227</v>
      </c>
      <c r="C1540" s="15" t="s">
        <v>29</v>
      </c>
      <c r="D1540" s="8"/>
      <c r="E1540" s="8"/>
      <c r="F1540" s="8"/>
      <c r="G1540" s="8"/>
      <c r="H1540" s="8"/>
      <c r="I1540" s="23"/>
      <c r="J1540" s="24"/>
    </row>
    <row r="1541" customFormat="false" ht="15" hidden="false" customHeight="false" outlineLevel="0" collapsed="false">
      <c r="B1541" s="9" t="s">
        <v>229</v>
      </c>
      <c r="C1541" s="8" t="s">
        <v>92</v>
      </c>
      <c r="D1541" s="8"/>
      <c r="E1541" s="8"/>
      <c r="F1541" s="8"/>
      <c r="G1541" s="8"/>
      <c r="H1541" s="8"/>
      <c r="I1541" s="23"/>
      <c r="J1541" s="24"/>
    </row>
    <row r="1542" customFormat="false" ht="15" hidden="false" customHeight="false" outlineLevel="0" collapsed="false">
      <c r="B1542" s="9" t="s">
        <v>230</v>
      </c>
      <c r="C1542" s="8" t="s">
        <v>231</v>
      </c>
      <c r="D1542" s="8"/>
      <c r="E1542" s="8"/>
      <c r="F1542" s="8"/>
      <c r="G1542" s="8"/>
      <c r="H1542" s="8"/>
      <c r="I1542" s="23"/>
      <c r="J1542" s="24"/>
    </row>
    <row r="1543" customFormat="false" ht="15" hidden="false" customHeight="false" outlineLevel="0" collapsed="false">
      <c r="B1543" s="9" t="s">
        <v>232</v>
      </c>
      <c r="C1543" s="15" t="s">
        <v>92</v>
      </c>
      <c r="D1543" s="27" t="str">
        <f aca="false">IF(ISNUMBER(D1541),D1541*INDEX(LenF,MATCH($C$1541,LenU,0))*1000,IF(OR(D1539="",D1540=""),"",IFERROR(IF(INDEX(PipeWT,MATCH(D1539,NPSU,0),MATCH(D1540,SchU,0))="","Sch n/a",INDEX(PipeOD,MATCH(D1539,NPSU,0))-2*INDEX(PipeWT,MATCH(D1539,NPSU,0),MATCH(D1540,SchU,0))),"")))</f>
        <v/>
      </c>
      <c r="E1543" s="27" t="str">
        <f aca="false">IF(ISNUMBER(E1541),E1541*INDEX(LenF,MATCH($C$1541,LenU,0))*1000,IF(OR(E1539="",E1540=""),"",IFERROR(IF(INDEX(PipeWT,MATCH(E1539,NPSU,0),MATCH(E1540,SchU,0))="","Sch n/a",INDEX(PipeOD,MATCH(E1539,NPSU,0))-2*INDEX(PipeWT,MATCH(E1539,NPSU,0),MATCH(E1540,SchU,0))),"")))</f>
        <v/>
      </c>
      <c r="F1543" s="27" t="str">
        <f aca="false">IF(ISNUMBER(F1541),F1541*INDEX(LenF,MATCH($C$1541,LenU,0))*1000,IF(OR(F1539="",F1540=""),"",IFERROR(IF(INDEX(PipeWT,MATCH(F1539,NPSU,0),MATCH(F1540,SchU,0))="","Sch n/a",INDEX(PipeOD,MATCH(F1539,NPSU,0))-2*INDEX(PipeWT,MATCH(F1539,NPSU,0),MATCH(F1540,SchU,0))),"")))</f>
        <v/>
      </c>
      <c r="G1543" s="27" t="str">
        <f aca="false">IF(ISNUMBER(G1541),G1541*INDEX(LenF,MATCH($C$1541,LenU,0))*1000,IF(OR(G1539="",G1540=""),"",IFERROR(IF(INDEX(PipeWT,MATCH(G1539,NPSU,0),MATCH(G1540,SchU,0))="","Sch n/a",INDEX(PipeOD,MATCH(G1539,NPSU,0))-2*INDEX(PipeWT,MATCH(G1539,NPSU,0),MATCH(G1540,SchU,0))),"")))</f>
        <v/>
      </c>
      <c r="H1543" s="27" t="str">
        <f aca="false">IF(ISNUMBER(H1541),H1541*INDEX(LenF,MATCH($C$1541,LenU,0))*1000,IF(OR(H1539="",H1540=""),"",IFERROR(IF(INDEX(PipeWT,MATCH(H1539,NPSU,0),MATCH(H1540,SchU,0))="","Sch n/a",INDEX(PipeOD,MATCH(H1539,NPSU,0))-2*INDEX(PipeWT,MATCH(H1539,NPSU,0),MATCH(H1540,SchU,0))),"")))</f>
        <v/>
      </c>
      <c r="I1543" s="28"/>
      <c r="J1543" s="24" t="s">
        <v>233</v>
      </c>
    </row>
    <row r="1544" customFormat="false" ht="15" hidden="false" customHeight="false" outlineLevel="0" collapsed="false">
      <c r="B1544" s="4" t="s">
        <v>234</v>
      </c>
      <c r="C1544" s="15" t="s">
        <v>109</v>
      </c>
      <c r="D1544" s="31" t="str">
        <f aca="false">IF(AND(ISNUMBER(D1543),ISNUMBER(D1542)),PI()/4*(D1543/1000)^2*D1542*INDEX(LenF,MATCH($C$1542,LenU,0)),"")</f>
        <v/>
      </c>
      <c r="E1544" s="31" t="str">
        <f aca="false">IF(AND(ISNUMBER(E1543),ISNUMBER(E1542)),PI()/4*(E1543/1000)^2*E1542*INDEX(LenF,MATCH($C$1542,LenU,0)),"")</f>
        <v/>
      </c>
      <c r="F1544" s="31" t="str">
        <f aca="false">IF(AND(ISNUMBER(F1543),ISNUMBER(F1542)),PI()/4*(F1543/1000)^2*F1542*INDEX(LenF,MATCH($C$1542,LenU,0)),"")</f>
        <v/>
      </c>
      <c r="G1544" s="31" t="str">
        <f aca="false">IF(AND(ISNUMBER(G1543),ISNUMBER(G1542)),PI()/4*(G1543/1000)^2*G1542*INDEX(LenF,MATCH($C$1542,LenU,0)),"")</f>
        <v/>
      </c>
      <c r="H1544" s="31" t="str">
        <f aca="false">IF(AND(ISNUMBER(H1543),ISNUMBER(H1542)),PI()/4*(H1543/1000)^2*H1542*INDEX(LenF,MATCH($C$1542,LenU,0)),"")</f>
        <v/>
      </c>
      <c r="I1544" s="31" t="str">
        <f aca="false">IF(COUNT(D1544:H1544)=0,"",SUM(D1544:H1544))</f>
        <v/>
      </c>
      <c r="J1544" s="24"/>
      <c r="K1544" s="32" t="s">
        <v>235</v>
      </c>
    </row>
    <row r="1545" customFormat="false" ht="15" hidden="false" customHeight="false" outlineLevel="0" collapsed="false">
      <c r="B1545" s="9" t="s">
        <v>60</v>
      </c>
      <c r="C1545" s="15" t="s">
        <v>146</v>
      </c>
      <c r="D1545" s="35" t="str">
        <f aca="false">IF(D1544="","",IF(JobType="Chemical Cleaning",CC_PIPE,INDEX(DecFill,MATCH("Piping",DecTypeU,0))))</f>
        <v/>
      </c>
      <c r="E1545" s="35" t="str">
        <f aca="false">IF(E1544="","",IF(JobType="Chemical Cleaning",CC_PIPE,INDEX(DecFill,MATCH("Piping",DecTypeU,0))))</f>
        <v/>
      </c>
      <c r="F1545" s="35" t="str">
        <f aca="false">IF(F1544="","",IF(JobType="Chemical Cleaning",CC_PIPE,INDEX(DecFill,MATCH("Piping",DecTypeU,0))))</f>
        <v/>
      </c>
      <c r="G1545" s="35" t="str">
        <f aca="false">IF(G1544="","",IF(JobType="Chemical Cleaning",CC_PIPE,INDEX(DecFill,MATCH("Piping",DecTypeU,0))))</f>
        <v/>
      </c>
      <c r="H1545" s="35" t="str">
        <f aca="false">IF(H1544="","",IF(JobType="Chemical Cleaning",CC_PIPE,INDEX(DecFill,MATCH("Piping",DecTypeU,0))))</f>
        <v/>
      </c>
      <c r="I1545" s="36"/>
      <c r="J1545" s="24"/>
    </row>
    <row r="1546" customFormat="false" ht="15" hidden="false" customHeight="false" outlineLevel="0" collapsed="false">
      <c r="B1546" s="4" t="s">
        <v>148</v>
      </c>
      <c r="C1546" s="15" t="s">
        <v>109</v>
      </c>
      <c r="D1546" s="31" t="str">
        <f aca="false">IF(OR(D1544="",D1545=""),"",D1544*D1545)</f>
        <v/>
      </c>
      <c r="E1546" s="31" t="str">
        <f aca="false">IF(OR(E1544="",E1545=""),"",E1544*E1545)</f>
        <v/>
      </c>
      <c r="F1546" s="31" t="str">
        <f aca="false">IF(OR(F1544="",F1545=""),"",F1544*F1545)</f>
        <v/>
      </c>
      <c r="G1546" s="31" t="str">
        <f aca="false">IF(OR(G1544="",G1545=""),"",G1544*G1545)</f>
        <v/>
      </c>
      <c r="H1546" s="31" t="str">
        <f aca="false">IF(OR(H1544="",H1545=""),"",H1544*H1545)</f>
        <v/>
      </c>
      <c r="I1546" s="31" t="str">
        <f aca="false">IF(COUNT(D1546:H1546)=0,"",SUM(D1546:H1546))</f>
        <v/>
      </c>
      <c r="J1546" s="24"/>
      <c r="K1546" s="32" t="s">
        <v>236</v>
      </c>
    </row>
    <row r="1547" customFormat="false" ht="15" hidden="false" customHeight="false" outlineLevel="0" collapsed="false">
      <c r="B1547" s="9" t="s">
        <v>150</v>
      </c>
      <c r="C1547" s="15" t="s">
        <v>32</v>
      </c>
      <c r="D1547" s="37" t="str">
        <f aca="false">IF(OR(JobType&lt;&gt;"Decontamination",D1546=""),"",D1546*INDEX(DecChem,MATCH("Piping",DecTypeU,0))*1000)</f>
        <v/>
      </c>
      <c r="E1547" s="37" t="str">
        <f aca="false">IF(OR(JobType&lt;&gt;"Decontamination",E1546=""),"",E1546*INDEX(DecChem,MATCH("Piping",DecTypeU,0))*1000)</f>
        <v/>
      </c>
      <c r="F1547" s="37" t="str">
        <f aca="false">IF(OR(JobType&lt;&gt;"Decontamination",F1546=""),"",F1546*INDEX(DecChem,MATCH("Piping",DecTypeU,0))*1000)</f>
        <v/>
      </c>
      <c r="G1547" s="37" t="str">
        <f aca="false">IF(OR(JobType&lt;&gt;"Decontamination",G1546=""),"",G1546*INDEX(DecChem,MATCH("Piping",DecTypeU,0))*1000)</f>
        <v/>
      </c>
      <c r="H1547" s="37" t="str">
        <f aca="false">IF(OR(JobType&lt;&gt;"Decontamination",H1546=""),"",H1546*INDEX(DecChem,MATCH("Piping",DecTypeU,0))*1000)</f>
        <v/>
      </c>
      <c r="I1547" s="38" t="str">
        <f aca="false">IF(COUNT(D1547:H1547)=0,"",SUM(D1547:H1547))</f>
        <v/>
      </c>
      <c r="J1547" s="24"/>
      <c r="K1547" s="32" t="s">
        <v>237</v>
      </c>
    </row>
    <row r="1549" customFormat="false" ht="15" hidden="false" customHeight="false" outlineLevel="0" collapsed="false">
      <c r="A1549" s="20" t="n">
        <v>9</v>
      </c>
      <c r="B1549" s="21" t="s">
        <v>245</v>
      </c>
      <c r="C1549" s="22"/>
      <c r="D1549" s="22"/>
      <c r="E1549" s="22"/>
      <c r="F1549" s="22"/>
      <c r="G1549" s="22"/>
      <c r="H1549" s="22"/>
      <c r="I1549" s="22"/>
      <c r="J1549" s="22"/>
    </row>
    <row r="1550" customFormat="false" ht="15" hidden="false" customHeight="false" outlineLevel="0" collapsed="false">
      <c r="B1550" s="9" t="s">
        <v>222</v>
      </c>
      <c r="C1550" s="15" t="s">
        <v>29</v>
      </c>
      <c r="D1550" s="8"/>
      <c r="E1550" s="8"/>
      <c r="F1550" s="8"/>
      <c r="G1550" s="8"/>
      <c r="H1550" s="8"/>
      <c r="I1550" s="23"/>
      <c r="J1550" s="24"/>
    </row>
    <row r="1551" customFormat="false" ht="15" hidden="false" customHeight="false" outlineLevel="0" collapsed="false">
      <c r="B1551" s="9" t="s">
        <v>225</v>
      </c>
      <c r="C1551" s="15" t="s">
        <v>29</v>
      </c>
      <c r="D1551" s="8"/>
      <c r="E1551" s="8"/>
      <c r="F1551" s="8"/>
      <c r="G1551" s="8"/>
      <c r="H1551" s="8"/>
      <c r="I1551" s="23"/>
      <c r="J1551" s="24"/>
    </row>
    <row r="1552" customFormat="false" ht="15" hidden="false" customHeight="false" outlineLevel="0" collapsed="false">
      <c r="B1552" s="9" t="s">
        <v>227</v>
      </c>
      <c r="C1552" s="15" t="s">
        <v>29</v>
      </c>
      <c r="D1552" s="8"/>
      <c r="E1552" s="8"/>
      <c r="F1552" s="8"/>
      <c r="G1552" s="8"/>
      <c r="H1552" s="8"/>
      <c r="I1552" s="23"/>
      <c r="J1552" s="24"/>
    </row>
    <row r="1553" customFormat="false" ht="15" hidden="false" customHeight="false" outlineLevel="0" collapsed="false">
      <c r="B1553" s="9" t="s">
        <v>229</v>
      </c>
      <c r="C1553" s="8" t="s">
        <v>92</v>
      </c>
      <c r="D1553" s="8"/>
      <c r="E1553" s="8"/>
      <c r="F1553" s="8"/>
      <c r="G1553" s="8"/>
      <c r="H1553" s="8"/>
      <c r="I1553" s="23"/>
      <c r="J1553" s="24"/>
    </row>
    <row r="1554" customFormat="false" ht="15" hidden="false" customHeight="false" outlineLevel="0" collapsed="false">
      <c r="B1554" s="9" t="s">
        <v>230</v>
      </c>
      <c r="C1554" s="8" t="s">
        <v>231</v>
      </c>
      <c r="D1554" s="8"/>
      <c r="E1554" s="8"/>
      <c r="F1554" s="8"/>
      <c r="G1554" s="8"/>
      <c r="H1554" s="8"/>
      <c r="I1554" s="23"/>
      <c r="J1554" s="24"/>
    </row>
    <row r="1555" customFormat="false" ht="15" hidden="false" customHeight="false" outlineLevel="0" collapsed="false">
      <c r="B1555" s="9" t="s">
        <v>232</v>
      </c>
      <c r="C1555" s="15" t="s">
        <v>92</v>
      </c>
      <c r="D1555" s="27" t="str">
        <f aca="false">IF(ISNUMBER(D1553),D1553*INDEX(LenF,MATCH($C$1553,LenU,0))*1000,IF(OR(D1551="",D1552=""),"",IFERROR(IF(INDEX(PipeWT,MATCH(D1551,NPSU,0),MATCH(D1552,SchU,0))="","Sch n/a",INDEX(PipeOD,MATCH(D1551,NPSU,0))-2*INDEX(PipeWT,MATCH(D1551,NPSU,0),MATCH(D1552,SchU,0))),"")))</f>
        <v/>
      </c>
      <c r="E1555" s="27" t="str">
        <f aca="false">IF(ISNUMBER(E1553),E1553*INDEX(LenF,MATCH($C$1553,LenU,0))*1000,IF(OR(E1551="",E1552=""),"",IFERROR(IF(INDEX(PipeWT,MATCH(E1551,NPSU,0),MATCH(E1552,SchU,0))="","Sch n/a",INDEX(PipeOD,MATCH(E1551,NPSU,0))-2*INDEX(PipeWT,MATCH(E1551,NPSU,0),MATCH(E1552,SchU,0))),"")))</f>
        <v/>
      </c>
      <c r="F1555" s="27" t="str">
        <f aca="false">IF(ISNUMBER(F1553),F1553*INDEX(LenF,MATCH($C$1553,LenU,0))*1000,IF(OR(F1551="",F1552=""),"",IFERROR(IF(INDEX(PipeWT,MATCH(F1551,NPSU,0),MATCH(F1552,SchU,0))="","Sch n/a",INDEX(PipeOD,MATCH(F1551,NPSU,0))-2*INDEX(PipeWT,MATCH(F1551,NPSU,0),MATCH(F1552,SchU,0))),"")))</f>
        <v/>
      </c>
      <c r="G1555" s="27" t="str">
        <f aca="false">IF(ISNUMBER(G1553),G1553*INDEX(LenF,MATCH($C$1553,LenU,0))*1000,IF(OR(G1551="",G1552=""),"",IFERROR(IF(INDEX(PipeWT,MATCH(G1551,NPSU,0),MATCH(G1552,SchU,0))="","Sch n/a",INDEX(PipeOD,MATCH(G1551,NPSU,0))-2*INDEX(PipeWT,MATCH(G1551,NPSU,0),MATCH(G1552,SchU,0))),"")))</f>
        <v/>
      </c>
      <c r="H1555" s="27" t="str">
        <f aca="false">IF(ISNUMBER(H1553),H1553*INDEX(LenF,MATCH($C$1553,LenU,0))*1000,IF(OR(H1551="",H1552=""),"",IFERROR(IF(INDEX(PipeWT,MATCH(H1551,NPSU,0),MATCH(H1552,SchU,0))="","Sch n/a",INDEX(PipeOD,MATCH(H1551,NPSU,0))-2*INDEX(PipeWT,MATCH(H1551,NPSU,0),MATCH(H1552,SchU,0))),"")))</f>
        <v/>
      </c>
      <c r="I1555" s="28"/>
      <c r="J1555" s="24" t="s">
        <v>233</v>
      </c>
    </row>
    <row r="1556" customFormat="false" ht="15" hidden="false" customHeight="false" outlineLevel="0" collapsed="false">
      <c r="B1556" s="4" t="s">
        <v>234</v>
      </c>
      <c r="C1556" s="15" t="s">
        <v>109</v>
      </c>
      <c r="D1556" s="31" t="str">
        <f aca="false">IF(AND(ISNUMBER(D1555),ISNUMBER(D1554)),PI()/4*(D1555/1000)^2*D1554*INDEX(LenF,MATCH($C$1554,LenU,0)),"")</f>
        <v/>
      </c>
      <c r="E1556" s="31" t="str">
        <f aca="false">IF(AND(ISNUMBER(E1555),ISNUMBER(E1554)),PI()/4*(E1555/1000)^2*E1554*INDEX(LenF,MATCH($C$1554,LenU,0)),"")</f>
        <v/>
      </c>
      <c r="F1556" s="31" t="str">
        <f aca="false">IF(AND(ISNUMBER(F1555),ISNUMBER(F1554)),PI()/4*(F1555/1000)^2*F1554*INDEX(LenF,MATCH($C$1554,LenU,0)),"")</f>
        <v/>
      </c>
      <c r="G1556" s="31" t="str">
        <f aca="false">IF(AND(ISNUMBER(G1555),ISNUMBER(G1554)),PI()/4*(G1555/1000)^2*G1554*INDEX(LenF,MATCH($C$1554,LenU,0)),"")</f>
        <v/>
      </c>
      <c r="H1556" s="31" t="str">
        <f aca="false">IF(AND(ISNUMBER(H1555),ISNUMBER(H1554)),PI()/4*(H1555/1000)^2*H1554*INDEX(LenF,MATCH($C$1554,LenU,0)),"")</f>
        <v/>
      </c>
      <c r="I1556" s="31" t="str">
        <f aca="false">IF(COUNT(D1556:H1556)=0,"",SUM(D1556:H1556))</f>
        <v/>
      </c>
      <c r="J1556" s="24"/>
      <c r="K1556" s="32" t="s">
        <v>235</v>
      </c>
    </row>
    <row r="1557" customFormat="false" ht="15" hidden="false" customHeight="false" outlineLevel="0" collapsed="false">
      <c r="B1557" s="9" t="s">
        <v>60</v>
      </c>
      <c r="C1557" s="15" t="s">
        <v>146</v>
      </c>
      <c r="D1557" s="35" t="str">
        <f aca="false">IF(D1556="","",IF(JobType="Chemical Cleaning",CC_PIPE,INDEX(DecFill,MATCH("Piping",DecTypeU,0))))</f>
        <v/>
      </c>
      <c r="E1557" s="35" t="str">
        <f aca="false">IF(E1556="","",IF(JobType="Chemical Cleaning",CC_PIPE,INDEX(DecFill,MATCH("Piping",DecTypeU,0))))</f>
        <v/>
      </c>
      <c r="F1557" s="35" t="str">
        <f aca="false">IF(F1556="","",IF(JobType="Chemical Cleaning",CC_PIPE,INDEX(DecFill,MATCH("Piping",DecTypeU,0))))</f>
        <v/>
      </c>
      <c r="G1557" s="35" t="str">
        <f aca="false">IF(G1556="","",IF(JobType="Chemical Cleaning",CC_PIPE,INDEX(DecFill,MATCH("Piping",DecTypeU,0))))</f>
        <v/>
      </c>
      <c r="H1557" s="35" t="str">
        <f aca="false">IF(H1556="","",IF(JobType="Chemical Cleaning",CC_PIPE,INDEX(DecFill,MATCH("Piping",DecTypeU,0))))</f>
        <v/>
      </c>
      <c r="I1557" s="36"/>
      <c r="J1557" s="24"/>
    </row>
    <row r="1558" customFormat="false" ht="15" hidden="false" customHeight="false" outlineLevel="0" collapsed="false">
      <c r="B1558" s="4" t="s">
        <v>148</v>
      </c>
      <c r="C1558" s="15" t="s">
        <v>109</v>
      </c>
      <c r="D1558" s="31" t="str">
        <f aca="false">IF(OR(D1556="",D1557=""),"",D1556*D1557)</f>
        <v/>
      </c>
      <c r="E1558" s="31" t="str">
        <f aca="false">IF(OR(E1556="",E1557=""),"",E1556*E1557)</f>
        <v/>
      </c>
      <c r="F1558" s="31" t="str">
        <f aca="false">IF(OR(F1556="",F1557=""),"",F1556*F1557)</f>
        <v/>
      </c>
      <c r="G1558" s="31" t="str">
        <f aca="false">IF(OR(G1556="",G1557=""),"",G1556*G1557)</f>
        <v/>
      </c>
      <c r="H1558" s="31" t="str">
        <f aca="false">IF(OR(H1556="",H1557=""),"",H1556*H1557)</f>
        <v/>
      </c>
      <c r="I1558" s="31" t="str">
        <f aca="false">IF(COUNT(D1558:H1558)=0,"",SUM(D1558:H1558))</f>
        <v/>
      </c>
      <c r="J1558" s="24"/>
      <c r="K1558" s="32" t="s">
        <v>236</v>
      </c>
    </row>
    <row r="1559" customFormat="false" ht="15" hidden="false" customHeight="false" outlineLevel="0" collapsed="false">
      <c r="B1559" s="9" t="s">
        <v>150</v>
      </c>
      <c r="C1559" s="15" t="s">
        <v>32</v>
      </c>
      <c r="D1559" s="37" t="str">
        <f aca="false">IF(OR(JobType&lt;&gt;"Decontamination",D1558=""),"",D1558*INDEX(DecChem,MATCH("Piping",DecTypeU,0))*1000)</f>
        <v/>
      </c>
      <c r="E1559" s="37" t="str">
        <f aca="false">IF(OR(JobType&lt;&gt;"Decontamination",E1558=""),"",E1558*INDEX(DecChem,MATCH("Piping",DecTypeU,0))*1000)</f>
        <v/>
      </c>
      <c r="F1559" s="37" t="str">
        <f aca="false">IF(OR(JobType&lt;&gt;"Decontamination",F1558=""),"",F1558*INDEX(DecChem,MATCH("Piping",DecTypeU,0))*1000)</f>
        <v/>
      </c>
      <c r="G1559" s="37" t="str">
        <f aca="false">IF(OR(JobType&lt;&gt;"Decontamination",G1558=""),"",G1558*INDEX(DecChem,MATCH("Piping",DecTypeU,0))*1000)</f>
        <v/>
      </c>
      <c r="H1559" s="37" t="str">
        <f aca="false">IF(OR(JobType&lt;&gt;"Decontamination",H1558=""),"",H1558*INDEX(DecChem,MATCH("Piping",DecTypeU,0))*1000)</f>
        <v/>
      </c>
      <c r="I1559" s="38" t="str">
        <f aca="false">IF(COUNT(D1559:H1559)=0,"",SUM(D1559:H1559))</f>
        <v/>
      </c>
      <c r="J1559" s="24"/>
      <c r="K1559" s="32" t="s">
        <v>237</v>
      </c>
    </row>
    <row r="1561" customFormat="false" ht="15" hidden="false" customHeight="false" outlineLevel="0" collapsed="false">
      <c r="A1561" s="20" t="n">
        <v>10</v>
      </c>
      <c r="B1561" s="21" t="s">
        <v>246</v>
      </c>
      <c r="C1561" s="22"/>
      <c r="D1561" s="22"/>
      <c r="E1561" s="22"/>
      <c r="F1561" s="22"/>
      <c r="G1561" s="22"/>
      <c r="H1561" s="22"/>
      <c r="I1561" s="22"/>
      <c r="J1561" s="22"/>
    </row>
    <row r="1562" customFormat="false" ht="15" hidden="false" customHeight="false" outlineLevel="0" collapsed="false">
      <c r="B1562" s="9" t="s">
        <v>222</v>
      </c>
      <c r="C1562" s="15" t="s">
        <v>29</v>
      </c>
      <c r="D1562" s="8"/>
      <c r="E1562" s="8"/>
      <c r="F1562" s="8"/>
      <c r="G1562" s="8"/>
      <c r="H1562" s="8"/>
      <c r="I1562" s="23"/>
      <c r="J1562" s="24"/>
    </row>
    <row r="1563" customFormat="false" ht="15" hidden="false" customHeight="false" outlineLevel="0" collapsed="false">
      <c r="B1563" s="9" t="s">
        <v>225</v>
      </c>
      <c r="C1563" s="15" t="s">
        <v>29</v>
      </c>
      <c r="D1563" s="8"/>
      <c r="E1563" s="8"/>
      <c r="F1563" s="8"/>
      <c r="G1563" s="8"/>
      <c r="H1563" s="8"/>
      <c r="I1563" s="23"/>
      <c r="J1563" s="24"/>
    </row>
    <row r="1564" customFormat="false" ht="15" hidden="false" customHeight="false" outlineLevel="0" collapsed="false">
      <c r="B1564" s="9" t="s">
        <v>227</v>
      </c>
      <c r="C1564" s="15" t="s">
        <v>29</v>
      </c>
      <c r="D1564" s="8"/>
      <c r="E1564" s="8"/>
      <c r="F1564" s="8"/>
      <c r="G1564" s="8"/>
      <c r="H1564" s="8"/>
      <c r="I1564" s="23"/>
      <c r="J1564" s="24"/>
    </row>
    <row r="1565" customFormat="false" ht="15" hidden="false" customHeight="false" outlineLevel="0" collapsed="false">
      <c r="B1565" s="9" t="s">
        <v>229</v>
      </c>
      <c r="C1565" s="8" t="s">
        <v>92</v>
      </c>
      <c r="D1565" s="8"/>
      <c r="E1565" s="8"/>
      <c r="F1565" s="8"/>
      <c r="G1565" s="8"/>
      <c r="H1565" s="8"/>
      <c r="I1565" s="23"/>
      <c r="J1565" s="24"/>
    </row>
    <row r="1566" customFormat="false" ht="15" hidden="false" customHeight="false" outlineLevel="0" collapsed="false">
      <c r="B1566" s="9" t="s">
        <v>230</v>
      </c>
      <c r="C1566" s="8" t="s">
        <v>231</v>
      </c>
      <c r="D1566" s="8"/>
      <c r="E1566" s="8"/>
      <c r="F1566" s="8"/>
      <c r="G1566" s="8"/>
      <c r="H1566" s="8"/>
      <c r="I1566" s="23"/>
      <c r="J1566" s="24"/>
    </row>
    <row r="1567" customFormat="false" ht="15" hidden="false" customHeight="false" outlineLevel="0" collapsed="false">
      <c r="B1567" s="9" t="s">
        <v>232</v>
      </c>
      <c r="C1567" s="15" t="s">
        <v>92</v>
      </c>
      <c r="D1567" s="27" t="str">
        <f aca="false">IF(ISNUMBER(D1565),D1565*INDEX(LenF,MATCH($C$1565,LenU,0))*1000,IF(OR(D1563="",D1564=""),"",IFERROR(IF(INDEX(PipeWT,MATCH(D1563,NPSU,0),MATCH(D1564,SchU,0))="","Sch n/a",INDEX(PipeOD,MATCH(D1563,NPSU,0))-2*INDEX(PipeWT,MATCH(D1563,NPSU,0),MATCH(D1564,SchU,0))),"")))</f>
        <v/>
      </c>
      <c r="E1567" s="27" t="str">
        <f aca="false">IF(ISNUMBER(E1565),E1565*INDEX(LenF,MATCH($C$1565,LenU,0))*1000,IF(OR(E1563="",E1564=""),"",IFERROR(IF(INDEX(PipeWT,MATCH(E1563,NPSU,0),MATCH(E1564,SchU,0))="","Sch n/a",INDEX(PipeOD,MATCH(E1563,NPSU,0))-2*INDEX(PipeWT,MATCH(E1563,NPSU,0),MATCH(E1564,SchU,0))),"")))</f>
        <v/>
      </c>
      <c r="F1567" s="27" t="str">
        <f aca="false">IF(ISNUMBER(F1565),F1565*INDEX(LenF,MATCH($C$1565,LenU,0))*1000,IF(OR(F1563="",F1564=""),"",IFERROR(IF(INDEX(PipeWT,MATCH(F1563,NPSU,0),MATCH(F1564,SchU,0))="","Sch n/a",INDEX(PipeOD,MATCH(F1563,NPSU,0))-2*INDEX(PipeWT,MATCH(F1563,NPSU,0),MATCH(F1564,SchU,0))),"")))</f>
        <v/>
      </c>
      <c r="G1567" s="27" t="str">
        <f aca="false">IF(ISNUMBER(G1565),G1565*INDEX(LenF,MATCH($C$1565,LenU,0))*1000,IF(OR(G1563="",G1564=""),"",IFERROR(IF(INDEX(PipeWT,MATCH(G1563,NPSU,0),MATCH(G1564,SchU,0))="","Sch n/a",INDEX(PipeOD,MATCH(G1563,NPSU,0))-2*INDEX(PipeWT,MATCH(G1563,NPSU,0),MATCH(G1564,SchU,0))),"")))</f>
        <v/>
      </c>
      <c r="H1567" s="27" t="str">
        <f aca="false">IF(ISNUMBER(H1565),H1565*INDEX(LenF,MATCH($C$1565,LenU,0))*1000,IF(OR(H1563="",H1564=""),"",IFERROR(IF(INDEX(PipeWT,MATCH(H1563,NPSU,0),MATCH(H1564,SchU,0))="","Sch n/a",INDEX(PipeOD,MATCH(H1563,NPSU,0))-2*INDEX(PipeWT,MATCH(H1563,NPSU,0),MATCH(H1564,SchU,0))),"")))</f>
        <v/>
      </c>
      <c r="I1567" s="28"/>
      <c r="J1567" s="24" t="s">
        <v>233</v>
      </c>
    </row>
    <row r="1568" customFormat="false" ht="15" hidden="false" customHeight="false" outlineLevel="0" collapsed="false">
      <c r="B1568" s="4" t="s">
        <v>234</v>
      </c>
      <c r="C1568" s="15" t="s">
        <v>109</v>
      </c>
      <c r="D1568" s="31" t="str">
        <f aca="false">IF(AND(ISNUMBER(D1567),ISNUMBER(D1566)),PI()/4*(D1567/1000)^2*D1566*INDEX(LenF,MATCH($C$1566,LenU,0)),"")</f>
        <v/>
      </c>
      <c r="E1568" s="31" t="str">
        <f aca="false">IF(AND(ISNUMBER(E1567),ISNUMBER(E1566)),PI()/4*(E1567/1000)^2*E1566*INDEX(LenF,MATCH($C$1566,LenU,0)),"")</f>
        <v/>
      </c>
      <c r="F1568" s="31" t="str">
        <f aca="false">IF(AND(ISNUMBER(F1567),ISNUMBER(F1566)),PI()/4*(F1567/1000)^2*F1566*INDEX(LenF,MATCH($C$1566,LenU,0)),"")</f>
        <v/>
      </c>
      <c r="G1568" s="31" t="str">
        <f aca="false">IF(AND(ISNUMBER(G1567),ISNUMBER(G1566)),PI()/4*(G1567/1000)^2*G1566*INDEX(LenF,MATCH($C$1566,LenU,0)),"")</f>
        <v/>
      </c>
      <c r="H1568" s="31" t="str">
        <f aca="false">IF(AND(ISNUMBER(H1567),ISNUMBER(H1566)),PI()/4*(H1567/1000)^2*H1566*INDEX(LenF,MATCH($C$1566,LenU,0)),"")</f>
        <v/>
      </c>
      <c r="I1568" s="31" t="str">
        <f aca="false">IF(COUNT(D1568:H1568)=0,"",SUM(D1568:H1568))</f>
        <v/>
      </c>
      <c r="J1568" s="24"/>
      <c r="K1568" s="32" t="s">
        <v>235</v>
      </c>
    </row>
    <row r="1569" customFormat="false" ht="15" hidden="false" customHeight="false" outlineLevel="0" collapsed="false">
      <c r="B1569" s="9" t="s">
        <v>60</v>
      </c>
      <c r="C1569" s="15" t="s">
        <v>146</v>
      </c>
      <c r="D1569" s="35" t="str">
        <f aca="false">IF(D1568="","",IF(JobType="Chemical Cleaning",CC_PIPE,INDEX(DecFill,MATCH("Piping",DecTypeU,0))))</f>
        <v/>
      </c>
      <c r="E1569" s="35" t="str">
        <f aca="false">IF(E1568="","",IF(JobType="Chemical Cleaning",CC_PIPE,INDEX(DecFill,MATCH("Piping",DecTypeU,0))))</f>
        <v/>
      </c>
      <c r="F1569" s="35" t="str">
        <f aca="false">IF(F1568="","",IF(JobType="Chemical Cleaning",CC_PIPE,INDEX(DecFill,MATCH("Piping",DecTypeU,0))))</f>
        <v/>
      </c>
      <c r="G1569" s="35" t="str">
        <f aca="false">IF(G1568="","",IF(JobType="Chemical Cleaning",CC_PIPE,INDEX(DecFill,MATCH("Piping",DecTypeU,0))))</f>
        <v/>
      </c>
      <c r="H1569" s="35" t="str">
        <f aca="false">IF(H1568="","",IF(JobType="Chemical Cleaning",CC_PIPE,INDEX(DecFill,MATCH("Piping",DecTypeU,0))))</f>
        <v/>
      </c>
      <c r="I1569" s="36"/>
      <c r="J1569" s="24"/>
    </row>
    <row r="1570" customFormat="false" ht="15" hidden="false" customHeight="false" outlineLevel="0" collapsed="false">
      <c r="B1570" s="4" t="s">
        <v>148</v>
      </c>
      <c r="C1570" s="15" t="s">
        <v>109</v>
      </c>
      <c r="D1570" s="31" t="str">
        <f aca="false">IF(OR(D1568="",D1569=""),"",D1568*D1569)</f>
        <v/>
      </c>
      <c r="E1570" s="31" t="str">
        <f aca="false">IF(OR(E1568="",E1569=""),"",E1568*E1569)</f>
        <v/>
      </c>
      <c r="F1570" s="31" t="str">
        <f aca="false">IF(OR(F1568="",F1569=""),"",F1568*F1569)</f>
        <v/>
      </c>
      <c r="G1570" s="31" t="str">
        <f aca="false">IF(OR(G1568="",G1569=""),"",G1568*G1569)</f>
        <v/>
      </c>
      <c r="H1570" s="31" t="str">
        <f aca="false">IF(OR(H1568="",H1569=""),"",H1568*H1569)</f>
        <v/>
      </c>
      <c r="I1570" s="31" t="str">
        <f aca="false">IF(COUNT(D1570:H1570)=0,"",SUM(D1570:H1570))</f>
        <v/>
      </c>
      <c r="J1570" s="24"/>
      <c r="K1570" s="32" t="s">
        <v>236</v>
      </c>
    </row>
    <row r="1571" customFormat="false" ht="15" hidden="false" customHeight="false" outlineLevel="0" collapsed="false">
      <c r="B1571" s="9" t="s">
        <v>150</v>
      </c>
      <c r="C1571" s="15" t="s">
        <v>32</v>
      </c>
      <c r="D1571" s="37" t="str">
        <f aca="false">IF(OR(JobType&lt;&gt;"Decontamination",D1570=""),"",D1570*INDEX(DecChem,MATCH("Piping",DecTypeU,0))*1000)</f>
        <v/>
      </c>
      <c r="E1571" s="37" t="str">
        <f aca="false">IF(OR(JobType&lt;&gt;"Decontamination",E1570=""),"",E1570*INDEX(DecChem,MATCH("Piping",DecTypeU,0))*1000)</f>
        <v/>
      </c>
      <c r="F1571" s="37" t="str">
        <f aca="false">IF(OR(JobType&lt;&gt;"Decontamination",F1570=""),"",F1570*INDEX(DecChem,MATCH("Piping",DecTypeU,0))*1000)</f>
        <v/>
      </c>
      <c r="G1571" s="37" t="str">
        <f aca="false">IF(OR(JobType&lt;&gt;"Decontamination",G1570=""),"",G1570*INDEX(DecChem,MATCH("Piping",DecTypeU,0))*1000)</f>
        <v/>
      </c>
      <c r="H1571" s="37" t="str">
        <f aca="false">IF(OR(JobType&lt;&gt;"Decontamination",H1570=""),"",H1570*INDEX(DecChem,MATCH("Piping",DecTypeU,0))*1000)</f>
        <v/>
      </c>
      <c r="I1571" s="38" t="str">
        <f aca="false">IF(COUNT(D1571:H1571)=0,"",SUM(D1571:H1571))</f>
        <v/>
      </c>
      <c r="J1571" s="24"/>
      <c r="K1571" s="32" t="s">
        <v>237</v>
      </c>
    </row>
  </sheetData>
  <mergeCells count="3">
    <mergeCell ref="A8:J8"/>
    <mergeCell ref="A910:J910"/>
    <mergeCell ref="A1452:J1452"/>
  </mergeCells>
  <conditionalFormatting sqref="D46:H46">
    <cfRule type="expression" priority="2" aboveAverage="0" equalAverage="0" bottom="0" percent="0" rank="0" text="" dxfId="0">
      <formula>AND(ISNUMBER(D46),D46&lt;0)</formula>
    </cfRule>
  </conditionalFormatting>
  <conditionalFormatting sqref="D42:H42">
    <cfRule type="expression" priority="3" aboveAverage="0" equalAverage="0" bottom="0" percent="0" rank="0" text="" dxfId="1">
      <formula>AND(D34="Water weight",NOT(ISNUMBER(D27)))</formula>
    </cfRule>
  </conditionalFormatting>
  <conditionalFormatting sqref="D48:H48">
    <cfRule type="expression" priority="4" aboveAverage="0" equalAverage="0" bottom="0" percent="0" rank="0" text="" dxfId="1">
      <formula>AND(D35="Water weight",NOT(ISNUMBER(D32)))</formula>
    </cfRule>
  </conditionalFormatting>
  <conditionalFormatting sqref="D91:H91">
    <cfRule type="expression" priority="5" aboveAverage="0" equalAverage="0" bottom="0" percent="0" rank="0" text="" dxfId="0">
      <formula>AND(ISNUMBER(D91),D91&lt;0)</formula>
    </cfRule>
  </conditionalFormatting>
  <conditionalFormatting sqref="D87:H87">
    <cfRule type="expression" priority="6" aboveAverage="0" equalAverage="0" bottom="0" percent="0" rank="0" text="" dxfId="1">
      <formula>AND(D79="Water weight",NOT(ISNUMBER(D72)))</formula>
    </cfRule>
  </conditionalFormatting>
  <conditionalFormatting sqref="D93:H93">
    <cfRule type="expression" priority="7" aboveAverage="0" equalAverage="0" bottom="0" percent="0" rank="0" text="" dxfId="1">
      <formula>AND(D80="Water weight",NOT(ISNUMBER(D77)))</formula>
    </cfRule>
  </conditionalFormatting>
  <conditionalFormatting sqref="D136:H136">
    <cfRule type="expression" priority="8" aboveAverage="0" equalAverage="0" bottom="0" percent="0" rank="0" text="" dxfId="0">
      <formula>AND(ISNUMBER(D136),D136&lt;0)</formula>
    </cfRule>
  </conditionalFormatting>
  <conditionalFormatting sqref="D132:H132">
    <cfRule type="expression" priority="9" aboveAverage="0" equalAverage="0" bottom="0" percent="0" rank="0" text="" dxfId="1">
      <formula>AND(D124="Water weight",NOT(ISNUMBER(D117)))</formula>
    </cfRule>
  </conditionalFormatting>
  <conditionalFormatting sqref="D138:H138">
    <cfRule type="expression" priority="10" aboveAverage="0" equalAverage="0" bottom="0" percent="0" rank="0" text="" dxfId="1">
      <formula>AND(D125="Water weight",NOT(ISNUMBER(D122)))</formula>
    </cfRule>
  </conditionalFormatting>
  <conditionalFormatting sqref="D181:H181">
    <cfRule type="expression" priority="11" aboveAverage="0" equalAverage="0" bottom="0" percent="0" rank="0" text="" dxfId="0">
      <formula>AND(ISNUMBER(D181),D181&lt;0)</formula>
    </cfRule>
  </conditionalFormatting>
  <conditionalFormatting sqref="D177:H177">
    <cfRule type="expression" priority="12" aboveAverage="0" equalAverage="0" bottom="0" percent="0" rank="0" text="" dxfId="1">
      <formula>AND(D169="Water weight",NOT(ISNUMBER(D162)))</formula>
    </cfRule>
  </conditionalFormatting>
  <conditionalFormatting sqref="D183:H183">
    <cfRule type="expression" priority="13" aboveAverage="0" equalAverage="0" bottom="0" percent="0" rank="0" text="" dxfId="1">
      <formula>AND(D170="Water weight",NOT(ISNUMBER(D167)))</formula>
    </cfRule>
  </conditionalFormatting>
  <conditionalFormatting sqref="D226:H226">
    <cfRule type="expression" priority="14" aboveAverage="0" equalAverage="0" bottom="0" percent="0" rank="0" text="" dxfId="0">
      <formula>AND(ISNUMBER(D226),D226&lt;0)</formula>
    </cfRule>
  </conditionalFormatting>
  <conditionalFormatting sqref="D222:H222">
    <cfRule type="expression" priority="15" aboveAverage="0" equalAverage="0" bottom="0" percent="0" rank="0" text="" dxfId="1">
      <formula>AND(D214="Water weight",NOT(ISNUMBER(D207)))</formula>
    </cfRule>
  </conditionalFormatting>
  <conditionalFormatting sqref="D228:H228">
    <cfRule type="expression" priority="16" aboveAverage="0" equalAverage="0" bottom="0" percent="0" rank="0" text="" dxfId="1">
      <formula>AND(D215="Water weight",NOT(ISNUMBER(D212)))</formula>
    </cfRule>
  </conditionalFormatting>
  <conditionalFormatting sqref="D271:H271">
    <cfRule type="expression" priority="17" aboveAverage="0" equalAverage="0" bottom="0" percent="0" rank="0" text="" dxfId="0">
      <formula>AND(ISNUMBER(D271),D271&lt;0)</formula>
    </cfRule>
  </conditionalFormatting>
  <conditionalFormatting sqref="D267:H267">
    <cfRule type="expression" priority="18" aboveAverage="0" equalAverage="0" bottom="0" percent="0" rank="0" text="" dxfId="1">
      <formula>AND(D259="Water weight",NOT(ISNUMBER(D252)))</formula>
    </cfRule>
  </conditionalFormatting>
  <conditionalFormatting sqref="D273:H273">
    <cfRule type="expression" priority="19" aboveAverage="0" equalAverage="0" bottom="0" percent="0" rank="0" text="" dxfId="1">
      <formula>AND(D260="Water weight",NOT(ISNUMBER(D257)))</formula>
    </cfRule>
  </conditionalFormatting>
  <conditionalFormatting sqref="D316:H316">
    <cfRule type="expression" priority="20" aboveAverage="0" equalAverage="0" bottom="0" percent="0" rank="0" text="" dxfId="0">
      <formula>AND(ISNUMBER(D316),D316&lt;0)</formula>
    </cfRule>
  </conditionalFormatting>
  <conditionalFormatting sqref="D312:H312">
    <cfRule type="expression" priority="21" aboveAverage="0" equalAverage="0" bottom="0" percent="0" rank="0" text="" dxfId="1">
      <formula>AND(D304="Water weight",NOT(ISNUMBER(D297)))</formula>
    </cfRule>
  </conditionalFormatting>
  <conditionalFormatting sqref="D318:H318">
    <cfRule type="expression" priority="22" aboveAverage="0" equalAverage="0" bottom="0" percent="0" rank="0" text="" dxfId="1">
      <formula>AND(D305="Water weight",NOT(ISNUMBER(D302)))</formula>
    </cfRule>
  </conditionalFormatting>
  <conditionalFormatting sqref="D361:H361">
    <cfRule type="expression" priority="23" aboveAverage="0" equalAverage="0" bottom="0" percent="0" rank="0" text="" dxfId="0">
      <formula>AND(ISNUMBER(D361),D361&lt;0)</formula>
    </cfRule>
  </conditionalFormatting>
  <conditionalFormatting sqref="D357:H357">
    <cfRule type="expression" priority="24" aboveAverage="0" equalAverage="0" bottom="0" percent="0" rank="0" text="" dxfId="1">
      <formula>AND(D349="Water weight",NOT(ISNUMBER(D342)))</formula>
    </cfRule>
  </conditionalFormatting>
  <conditionalFormatting sqref="D363:H363">
    <cfRule type="expression" priority="25" aboveAverage="0" equalAverage="0" bottom="0" percent="0" rank="0" text="" dxfId="1">
      <formula>AND(D350="Water weight",NOT(ISNUMBER(D347)))</formula>
    </cfRule>
  </conditionalFormatting>
  <conditionalFormatting sqref="D406:H406">
    <cfRule type="expression" priority="26" aboveAverage="0" equalAverage="0" bottom="0" percent="0" rank="0" text="" dxfId="0">
      <formula>AND(ISNUMBER(D406),D406&lt;0)</formula>
    </cfRule>
  </conditionalFormatting>
  <conditionalFormatting sqref="D402:H402">
    <cfRule type="expression" priority="27" aboveAverage="0" equalAverage="0" bottom="0" percent="0" rank="0" text="" dxfId="1">
      <formula>AND(D394="Water weight",NOT(ISNUMBER(D387)))</formula>
    </cfRule>
  </conditionalFormatting>
  <conditionalFormatting sqref="D408:H408">
    <cfRule type="expression" priority="28" aboveAverage="0" equalAverage="0" bottom="0" percent="0" rank="0" text="" dxfId="1">
      <formula>AND(D395="Water weight",NOT(ISNUMBER(D392)))</formula>
    </cfRule>
  </conditionalFormatting>
  <conditionalFormatting sqref="D451:H451">
    <cfRule type="expression" priority="29" aboveAverage="0" equalAverage="0" bottom="0" percent="0" rank="0" text="" dxfId="0">
      <formula>AND(ISNUMBER(D451),D451&lt;0)</formula>
    </cfRule>
  </conditionalFormatting>
  <conditionalFormatting sqref="D447:H447">
    <cfRule type="expression" priority="30" aboveAverage="0" equalAverage="0" bottom="0" percent="0" rank="0" text="" dxfId="1">
      <formula>AND(D439="Water weight",NOT(ISNUMBER(D432)))</formula>
    </cfRule>
  </conditionalFormatting>
  <conditionalFormatting sqref="D453:H453">
    <cfRule type="expression" priority="31" aboveAverage="0" equalAverage="0" bottom="0" percent="0" rank="0" text="" dxfId="1">
      <formula>AND(D440="Water weight",NOT(ISNUMBER(D437)))</formula>
    </cfRule>
  </conditionalFormatting>
  <conditionalFormatting sqref="D496:H496">
    <cfRule type="expression" priority="32" aboveAverage="0" equalAverage="0" bottom="0" percent="0" rank="0" text="" dxfId="0">
      <formula>AND(ISNUMBER(D496),D496&lt;0)</formula>
    </cfRule>
  </conditionalFormatting>
  <conditionalFormatting sqref="D492:H492">
    <cfRule type="expression" priority="33" aboveAverage="0" equalAverage="0" bottom="0" percent="0" rank="0" text="" dxfId="1">
      <formula>AND(D484="Water weight",NOT(ISNUMBER(D477)))</formula>
    </cfRule>
  </conditionalFormatting>
  <conditionalFormatting sqref="D498:H498">
    <cfRule type="expression" priority="34" aboveAverage="0" equalAverage="0" bottom="0" percent="0" rank="0" text="" dxfId="1">
      <formula>AND(D485="Water weight",NOT(ISNUMBER(D482)))</formula>
    </cfRule>
  </conditionalFormatting>
  <conditionalFormatting sqref="D541:H541">
    <cfRule type="expression" priority="35" aboveAverage="0" equalAverage="0" bottom="0" percent="0" rank="0" text="" dxfId="0">
      <formula>AND(ISNUMBER(D541),D541&lt;0)</formula>
    </cfRule>
  </conditionalFormatting>
  <conditionalFormatting sqref="D537:H537">
    <cfRule type="expression" priority="36" aboveAverage="0" equalAverage="0" bottom="0" percent="0" rank="0" text="" dxfId="1">
      <formula>AND(D529="Water weight",NOT(ISNUMBER(D522)))</formula>
    </cfRule>
  </conditionalFormatting>
  <conditionalFormatting sqref="D543:H543">
    <cfRule type="expression" priority="37" aboveAverage="0" equalAverage="0" bottom="0" percent="0" rank="0" text="" dxfId="1">
      <formula>AND(D530="Water weight",NOT(ISNUMBER(D527)))</formula>
    </cfRule>
  </conditionalFormatting>
  <conditionalFormatting sqref="D586:H586">
    <cfRule type="expression" priority="38" aboveAverage="0" equalAverage="0" bottom="0" percent="0" rank="0" text="" dxfId="0">
      <formula>AND(ISNUMBER(D586),D586&lt;0)</formula>
    </cfRule>
  </conditionalFormatting>
  <conditionalFormatting sqref="D582:H582">
    <cfRule type="expression" priority="39" aboveAverage="0" equalAverage="0" bottom="0" percent="0" rank="0" text="" dxfId="1">
      <formula>AND(D574="Water weight",NOT(ISNUMBER(D567)))</formula>
    </cfRule>
  </conditionalFormatting>
  <conditionalFormatting sqref="D588:H588">
    <cfRule type="expression" priority="40" aboveAverage="0" equalAverage="0" bottom="0" percent="0" rank="0" text="" dxfId="1">
      <formula>AND(D575="Water weight",NOT(ISNUMBER(D572)))</formula>
    </cfRule>
  </conditionalFormatting>
  <conditionalFormatting sqref="D631:H631">
    <cfRule type="expression" priority="41" aboveAverage="0" equalAverage="0" bottom="0" percent="0" rank="0" text="" dxfId="0">
      <formula>AND(ISNUMBER(D631),D631&lt;0)</formula>
    </cfRule>
  </conditionalFormatting>
  <conditionalFormatting sqref="D627:H627">
    <cfRule type="expression" priority="42" aboveAverage="0" equalAverage="0" bottom="0" percent="0" rank="0" text="" dxfId="1">
      <formula>AND(D619="Water weight",NOT(ISNUMBER(D612)))</formula>
    </cfRule>
  </conditionalFormatting>
  <conditionalFormatting sqref="D633:H633">
    <cfRule type="expression" priority="43" aboveAverage="0" equalAverage="0" bottom="0" percent="0" rank="0" text="" dxfId="1">
      <formula>AND(D620="Water weight",NOT(ISNUMBER(D617)))</formula>
    </cfRule>
  </conditionalFormatting>
  <conditionalFormatting sqref="D676:H676">
    <cfRule type="expression" priority="44" aboveAverage="0" equalAverage="0" bottom="0" percent="0" rank="0" text="" dxfId="0">
      <formula>AND(ISNUMBER(D676),D676&lt;0)</formula>
    </cfRule>
  </conditionalFormatting>
  <conditionalFormatting sqref="D672:H672">
    <cfRule type="expression" priority="45" aboveAverage="0" equalAverage="0" bottom="0" percent="0" rank="0" text="" dxfId="1">
      <formula>AND(D664="Water weight",NOT(ISNUMBER(D657)))</formula>
    </cfRule>
  </conditionalFormatting>
  <conditionalFormatting sqref="D678:H678">
    <cfRule type="expression" priority="46" aboveAverage="0" equalAverage="0" bottom="0" percent="0" rank="0" text="" dxfId="1">
      <formula>AND(D665="Water weight",NOT(ISNUMBER(D662)))</formula>
    </cfRule>
  </conditionalFormatting>
  <conditionalFormatting sqref="D721:H721">
    <cfRule type="expression" priority="47" aboveAverage="0" equalAverage="0" bottom="0" percent="0" rank="0" text="" dxfId="0">
      <formula>AND(ISNUMBER(D721),D721&lt;0)</formula>
    </cfRule>
  </conditionalFormatting>
  <conditionalFormatting sqref="D717:H717">
    <cfRule type="expression" priority="48" aboveAverage="0" equalAverage="0" bottom="0" percent="0" rank="0" text="" dxfId="1">
      <formula>AND(D709="Water weight",NOT(ISNUMBER(D702)))</formula>
    </cfRule>
  </conditionalFormatting>
  <conditionalFormatting sqref="D723:H723">
    <cfRule type="expression" priority="49" aboveAverage="0" equalAverage="0" bottom="0" percent="0" rank="0" text="" dxfId="1">
      <formula>AND(D710="Water weight",NOT(ISNUMBER(D707)))</formula>
    </cfRule>
  </conditionalFormatting>
  <conditionalFormatting sqref="D766:H766">
    <cfRule type="expression" priority="50" aboveAverage="0" equalAverage="0" bottom="0" percent="0" rank="0" text="" dxfId="0">
      <formula>AND(ISNUMBER(D766),D766&lt;0)</formula>
    </cfRule>
  </conditionalFormatting>
  <conditionalFormatting sqref="D762:H762">
    <cfRule type="expression" priority="51" aboveAverage="0" equalAverage="0" bottom="0" percent="0" rank="0" text="" dxfId="1">
      <formula>AND(D754="Water weight",NOT(ISNUMBER(D747)))</formula>
    </cfRule>
  </conditionalFormatting>
  <conditionalFormatting sqref="D768:H768">
    <cfRule type="expression" priority="52" aboveAverage="0" equalAverage="0" bottom="0" percent="0" rank="0" text="" dxfId="1">
      <formula>AND(D755="Water weight",NOT(ISNUMBER(D752)))</formula>
    </cfRule>
  </conditionalFormatting>
  <conditionalFormatting sqref="D811:H811">
    <cfRule type="expression" priority="53" aboveAverage="0" equalAverage="0" bottom="0" percent="0" rank="0" text="" dxfId="0">
      <formula>AND(ISNUMBER(D811),D811&lt;0)</formula>
    </cfRule>
  </conditionalFormatting>
  <conditionalFormatting sqref="D807:H807">
    <cfRule type="expression" priority="54" aboveAverage="0" equalAverage="0" bottom="0" percent="0" rank="0" text="" dxfId="1">
      <formula>AND(D799="Water weight",NOT(ISNUMBER(D792)))</formula>
    </cfRule>
  </conditionalFormatting>
  <conditionalFormatting sqref="D813:H813">
    <cfRule type="expression" priority="55" aboveAverage="0" equalAverage="0" bottom="0" percent="0" rank="0" text="" dxfId="1">
      <formula>AND(D800="Water weight",NOT(ISNUMBER(D797)))</formula>
    </cfRule>
  </conditionalFormatting>
  <conditionalFormatting sqref="D856:H856">
    <cfRule type="expression" priority="56" aboveAverage="0" equalAverage="0" bottom="0" percent="0" rank="0" text="" dxfId="0">
      <formula>AND(ISNUMBER(D856),D856&lt;0)</formula>
    </cfRule>
  </conditionalFormatting>
  <conditionalFormatting sqref="D852:H852">
    <cfRule type="expression" priority="57" aboveAverage="0" equalAverage="0" bottom="0" percent="0" rank="0" text="" dxfId="1">
      <formula>AND(D844="Water weight",NOT(ISNUMBER(D837)))</formula>
    </cfRule>
  </conditionalFormatting>
  <conditionalFormatting sqref="D858:H858">
    <cfRule type="expression" priority="58" aboveAverage="0" equalAverage="0" bottom="0" percent="0" rank="0" text="" dxfId="1">
      <formula>AND(D845="Water weight",NOT(ISNUMBER(D842)))</formula>
    </cfRule>
  </conditionalFormatting>
  <conditionalFormatting sqref="D901:H901">
    <cfRule type="expression" priority="59" aboveAverage="0" equalAverage="0" bottom="0" percent="0" rank="0" text="" dxfId="0">
      <formula>AND(ISNUMBER(D901),D901&lt;0)</formula>
    </cfRule>
  </conditionalFormatting>
  <conditionalFormatting sqref="D897:H897">
    <cfRule type="expression" priority="60" aboveAverage="0" equalAverage="0" bottom="0" percent="0" rank="0" text="" dxfId="1">
      <formula>AND(D889="Water weight",NOT(ISNUMBER(D882)))</formula>
    </cfRule>
  </conditionalFormatting>
  <conditionalFormatting sqref="D903:H903">
    <cfRule type="expression" priority="61" aboveAverage="0" equalAverage="0" bottom="0" percent="0" rank="0" text="" dxfId="1">
      <formula>AND(D890="Water weight",NOT(ISNUMBER(D887)))</formula>
    </cfRule>
  </conditionalFormatting>
  <conditionalFormatting sqref="D932:H932">
    <cfRule type="expression" priority="62" aboveAverage="0" equalAverage="0" bottom="0" percent="0" rank="0" text="" dxfId="1">
      <formula>AND(D924="Water weight",NOT(ISNUMBER(D922)))</formula>
    </cfRule>
  </conditionalFormatting>
  <conditionalFormatting sqref="D959:H959">
    <cfRule type="expression" priority="63" aboveAverage="0" equalAverage="0" bottom="0" percent="0" rank="0" text="" dxfId="1">
      <formula>AND(D951="Water weight",NOT(ISNUMBER(D949)))</formula>
    </cfRule>
  </conditionalFormatting>
  <conditionalFormatting sqref="D986:H986">
    <cfRule type="expression" priority="64" aboveAverage="0" equalAverage="0" bottom="0" percent="0" rank="0" text="" dxfId="1">
      <formula>AND(D978="Water weight",NOT(ISNUMBER(D976)))</formula>
    </cfRule>
  </conditionalFormatting>
  <conditionalFormatting sqref="D1013:H1013">
    <cfRule type="expression" priority="65" aboveAverage="0" equalAverage="0" bottom="0" percent="0" rank="0" text="" dxfId="1">
      <formula>AND(D1005="Water weight",NOT(ISNUMBER(D1003)))</formula>
    </cfRule>
  </conditionalFormatting>
  <conditionalFormatting sqref="D1040:H1040">
    <cfRule type="expression" priority="66" aboveAverage="0" equalAverage="0" bottom="0" percent="0" rank="0" text="" dxfId="1">
      <formula>AND(D1032="Water weight",NOT(ISNUMBER(D1030)))</formula>
    </cfRule>
  </conditionalFormatting>
  <conditionalFormatting sqref="D1067:H1067">
    <cfRule type="expression" priority="67" aboveAverage="0" equalAverage="0" bottom="0" percent="0" rank="0" text="" dxfId="1">
      <formula>AND(D1059="Water weight",NOT(ISNUMBER(D1057)))</formula>
    </cfRule>
  </conditionalFormatting>
  <conditionalFormatting sqref="D1094:H1094">
    <cfRule type="expression" priority="68" aboveAverage="0" equalAverage="0" bottom="0" percent="0" rank="0" text="" dxfId="1">
      <formula>AND(D1086="Water weight",NOT(ISNUMBER(D1084)))</formula>
    </cfRule>
  </conditionalFormatting>
  <conditionalFormatting sqref="D1121:H1121">
    <cfRule type="expression" priority="69" aboveAverage="0" equalAverage="0" bottom="0" percent="0" rank="0" text="" dxfId="1">
      <formula>AND(D1113="Water weight",NOT(ISNUMBER(D1111)))</formula>
    </cfRule>
  </conditionalFormatting>
  <conditionalFormatting sqref="D1148:H1148">
    <cfRule type="expression" priority="70" aboveAverage="0" equalAverage="0" bottom="0" percent="0" rank="0" text="" dxfId="1">
      <formula>AND(D1140="Water weight",NOT(ISNUMBER(D1138)))</formula>
    </cfRule>
  </conditionalFormatting>
  <conditionalFormatting sqref="D1175:H1175">
    <cfRule type="expression" priority="71" aboveAverage="0" equalAverage="0" bottom="0" percent="0" rank="0" text="" dxfId="1">
      <formula>AND(D1167="Water weight",NOT(ISNUMBER(D1165)))</formula>
    </cfRule>
  </conditionalFormatting>
  <conditionalFormatting sqref="D1202:H1202">
    <cfRule type="expression" priority="72" aboveAverage="0" equalAverage="0" bottom="0" percent="0" rank="0" text="" dxfId="1">
      <formula>AND(D1194="Water weight",NOT(ISNUMBER(D1192)))</formula>
    </cfRule>
  </conditionalFormatting>
  <conditionalFormatting sqref="D1229:H1229">
    <cfRule type="expression" priority="73" aboveAverage="0" equalAverage="0" bottom="0" percent="0" rank="0" text="" dxfId="1">
      <formula>AND(D1221="Water weight",NOT(ISNUMBER(D1219)))</formula>
    </cfRule>
  </conditionalFormatting>
  <conditionalFormatting sqref="D1256:H1256">
    <cfRule type="expression" priority="74" aboveAverage="0" equalAverage="0" bottom="0" percent="0" rank="0" text="" dxfId="1">
      <formula>AND(D1248="Water weight",NOT(ISNUMBER(D1246)))</formula>
    </cfRule>
  </conditionalFormatting>
  <conditionalFormatting sqref="D1283:H1283">
    <cfRule type="expression" priority="75" aboveAverage="0" equalAverage="0" bottom="0" percent="0" rank="0" text="" dxfId="1">
      <formula>AND(D1275="Water weight",NOT(ISNUMBER(D1273)))</formula>
    </cfRule>
  </conditionalFormatting>
  <conditionalFormatting sqref="D1310:H1310">
    <cfRule type="expression" priority="76" aboveAverage="0" equalAverage="0" bottom="0" percent="0" rank="0" text="" dxfId="1">
      <formula>AND(D1302="Water weight",NOT(ISNUMBER(D1300)))</formula>
    </cfRule>
  </conditionalFormatting>
  <conditionalFormatting sqref="D1337:H1337">
    <cfRule type="expression" priority="77" aboveAverage="0" equalAverage="0" bottom="0" percent="0" rank="0" text="" dxfId="1">
      <formula>AND(D1329="Water weight",NOT(ISNUMBER(D1327)))</formula>
    </cfRule>
  </conditionalFormatting>
  <conditionalFormatting sqref="D1364:H1364">
    <cfRule type="expression" priority="78" aboveAverage="0" equalAverage="0" bottom="0" percent="0" rank="0" text="" dxfId="1">
      <formula>AND(D1356="Water weight",NOT(ISNUMBER(D1354)))</formula>
    </cfRule>
  </conditionalFormatting>
  <conditionalFormatting sqref="D1391:H1391">
    <cfRule type="expression" priority="79" aboveAverage="0" equalAverage="0" bottom="0" percent="0" rank="0" text="" dxfId="1">
      <formula>AND(D1383="Water weight",NOT(ISNUMBER(D1381)))</formula>
    </cfRule>
  </conditionalFormatting>
  <conditionalFormatting sqref="D1418:H1418">
    <cfRule type="expression" priority="80" aboveAverage="0" equalAverage="0" bottom="0" percent="0" rank="0" text="" dxfId="1">
      <formula>AND(D1410="Water weight",NOT(ISNUMBER(D1408)))</formula>
    </cfRule>
  </conditionalFormatting>
  <conditionalFormatting sqref="D1445:H1445">
    <cfRule type="expression" priority="81" aboveAverage="0" equalAverage="0" bottom="0" percent="0" rank="0" text="" dxfId="1">
      <formula>AND(D1437="Water weight",NOT(ISNUMBER(D1435)))</formula>
    </cfRule>
  </conditionalFormatting>
  <dataValidations count="11">
    <dataValidation allowBlank="true" error="Enter a positive number." errorStyle="stop" errorTitle="Number" operator="greaterThanOrEqual" showDropDown="false" showErrorMessage="true" showInputMessage="false" sqref="D14:H18 D20:H21 D23:H24 D26:H27 D29:H30 D32:H32 D59:H63 D65:H66 D68:H69 D71:H72 D74:H75 D77:H77 D104:H108 D110:H111 D113:H114 D116:H117 D119:H120 D122:H122 D149:H153 D155:H156 D158:H159 D161:H162 D164:H165 D167:H167 D194:H198 D200:H201 D203:H204 D206:H207 D209:H210 D212:H212 D239:H243 D245:H246 D248:H249 D251:H252 D254:H255 D257:H257 D284:H288 D290:H291 D293:H294 D296:H297 D299:H300 D302:H302 D329:H333 D335:H336 D338:H339 D341:H342 D344:H345 D347:H347 D374:H378 D380:H381 D383:H384 D386:H387 D389:H390 D392:H392 D419:H423 D425:H426 D428:H429 D431:H432 D434:H435 D437:H437 D464:H468 D470:H471 D473:H474 D476:H477 D479:H480 D482:H482 D509:H513 D515:H516 D518:H519 D521:H522 D524:H525 D527:H527 D554:H558 D560:H561 D563:H564 D566:H567 D569:H570 D572:H572 D599:H603 D605:H606 D608:H609 D611:H612 D614:H615 D617:H617 D644:H648 D650:H651 D653:H654 D656:H657 D659:H660 D662:H662 D689:H693 D695:H696 D698:H699 D701:H702 D704:H705 D707:H707 D734:H738 D740:H741 D743:H744 D746:H747 D749:H750 D752:H752 D779:H783 D785:H786 D788:H789 D791:H792 D794:H795 D797:H797 D824:H828 D830:H831 D833:H834 D836:H837 D839:H840 D842:H842 D869:H873 D875:H876 D878:H879 D881:H882 D884:H885 D887:H887 D916:H917 D919:H919 D921:H922 D943:H944 D946:H946 D948:H949 D970:H971 D973:H973 D975:H976 D997:H998 D1000:H1000 D1002:H1003 D1024:H1025 D1027:H1027 D1029:H1030 D1051:H1052 D1054:H1054 D1056:H1057 D1078:H1079 D1081:H1081 D1083:H1084 D1105:H1106 D1108:H1108 D1110:H1111 D1132:H1133 D1135:H1135 D1137:H1138 D1159:H1160 D1162:H1162 D1164:H1165 D1186:H1187 D1189:H1189 D1191:H1192 D1213:H1214 D1216:H1216 D1218:H1219 D1240:H1241 D1243:H1243 D1245:H1246 D1267:H1268 D1270:H1270 D1272:H1273 D1294:H1295 D1297:H1297 D1299:H1300 D1321:H1322 D1324:H1324 D1326:H1327 D1348:H1349 D1351:H1351 D1353:H1354 D1375:H1376 D1378:H1378 D1380:H1381 D1402:H1403 D1405:H1405 D1407:H1408 D1429:H1430 D1432:H1432 D1434:H1435 D1457:H1458 D1469:H1470 D1481:H1482 D1493:H1494 D1505:H1506 D1517:H1518 D1529:H1530 D1541:H1542 D1553:H1554 D1565:H1566" type="decimal">
      <formula1>0</formula1>
      <formula2>0</formula2>
    </dataValidation>
    <dataValidation allowBlank="true" error="Pick a value from the drop-down list." errorStyle="stop" errorTitle="Invalid entry" operator="between" showDropDown="false" showErrorMessage="true" showInputMessage="false" sqref="C15:C18 C20:C21 C23:C24 C29:C30 C60:C63 C65:C66 C68:C69 C74:C75 C105:C108 C110:C111 C113:C114 C119:C120 C150:C153 C155:C156 C158:C159 C164:C165 C195:C198 C200:C201 C203:C204 C209:C210 C240:C243 C245:C246 C248:C249 C254:C255 C285:C288 C290:C291 C293:C294 C299:C300 C330:C333 C335:C336 C338:C339 C344:C345 C375:C378 C380:C381 C383:C384 C389:C390 C420:C423 C425:C426 C428:C429 C434:C435 C465:C468 C470:C471 C473:C474 C479:C480 C510:C513 C515:C516 C518:C519 C524:C525 C555:C558 C560:C561 C563:C564 C569:C570 C600:C603 C605:C606 C608:C609 C614:C615 C645:C648 C650:C651 C653:C654 C659:C660 C690:C693 C695:C696 C698:C699 C704:C705 C735:C738 C740:C741 C743:C744 C749:C750 C780:C783 C785:C786 C788:C789 C794:C795 C825:C828 C830:C831 C833:C834 C839:C840 C870:C873 C875:C876 C878:C879 C884:C885 C916:C917 C919 C921 C943:C944 C946 C948 C970:C971 C973 C975 C997:C998 C1000 C1002 C1024:C1025 C1027 C1029 C1051:C1052 C1054 C1056 C1078:C1079 C1081 C1083 C1105:C1106 C1108 C1110 C1132:C1133 C1135 C1137 C1159:C1160 C1162 C1164 C1186:C1187 C1189 C1191 C1213:C1214 C1216 C1218 C1240:C1241 C1243 C1245 C1267:C1268 C1270 C1272 C1294:C1295 C1297 C1299 C1321:C1322 C1324 C1326 C1348:C1349 C1351 C1353 C1375:C1376 C1378 C1380 C1402:C1403 C1405 C1407 C1429:C1430 C1432 C1434 C1457:C1458 C1469:C1470 C1481:C1482 C1493:C1494 C1505:C1506 C1517:C1518 C1529:C1530 C1541:C1542 C1553:C1554 C1565:C1566" type="list">
      <formula1>LenU</formula1>
      <formula2>0</formula2>
    </dataValidation>
    <dataValidation allowBlank="true" error="Pick a value from the drop-down list." errorStyle="stop" errorTitle="Invalid entry" operator="between" showDropDown="false" showErrorMessage="true" showInputMessage="false" sqref="D19:H19 D64:H64 D109:H109 D154:H154 D199:H199 D244:H244 D289:H289 D334:H334 D379:H379 D424:H424 D469:H469 D514:H514 D559:H559 D604:H604 D649:H649 D694:H694 D739:H739 D784:H784 D829:H829 D874:H874" type="list">
      <formula1>LayoutU</formula1>
      <formula2>0</formula2>
    </dataValidation>
    <dataValidation allowBlank="true" error="Pick a value from the drop-down list." errorStyle="stop" errorTitle="Invalid entry" operator="between" showDropDown="false" showErrorMessage="true" showInputMessage="false" sqref="D22:H22 D25:H25 D31:H31 D67:H67 D70:H70 D76:H76 D112:H112 D115:H115 D121:H121 D157:H157 D160:H160 D166:H166 D202:H202 D205:H205 D211:H211 D247:H247 D250:H250 D256:H256 D292:H292 D295:H295 D301:H301 D337:H337 D340:H340 D346:H346 D382:H382 D385:H385 D391:H391 D427:H427 D430:H430 D436:H436 D472:H472 D475:H475 D481:H481 D517:H517 D520:H520 D526:H526 D562:H562 D565:H565 D571:H571 D607:H607 D610:H610 D616:H616 D652:H652 D655:H655 D661:H661 D697:H697 D700:H700 D706:H706 D742:H742 D745:H745 D751:H751 D787:H787 D790:H790 D796:H796 D832:H832 D835:H835 D841:H841 D877:H877 D880:H880 D886:H886 D918:H918 D920:H920 D945:H945 D947:H947 D972:H972 D974:H974 D999:H999 D1001:H1001 D1026:H1026 D1028:H1028 D1053:H1053 D1055:H1055 D1080:H1080 D1082:H1082 D1107:H1107 D1109:H1109 D1134:H1134 D1136:H1136 D1161:H1161 D1163:H1163 D1188:H1188 D1190:H1190 D1215:H1215 D1217:H1217 D1242:H1242 D1244:H1244 D1269:H1269 D1271:H1271 D1296:H1296 D1298:H1298 D1323:H1323 D1325:H1325 D1350:H1350 D1352:H1352 D1377:H1377 D1379:H1379 D1404:H1404 D1406:H1406 D1431:H1431 D1433:H1433" type="list">
      <formula1>HeadU</formula1>
      <formula2>0</formula2>
    </dataValidation>
    <dataValidation allowBlank="true" error="Pick a value from the drop-down list." errorStyle="stop" errorTitle="Invalid entry" operator="between" showDropDown="false" showErrorMessage="true" showInputMessage="false" sqref="C26 C71 C116 C161 C206 C251 C296 C341 C386 C431 C476 C521 C566 C611 C656 C701 C746 C791 C836 C881" type="list">
      <formula1>VolU</formula1>
      <formula2>0</formula2>
    </dataValidation>
    <dataValidation allowBlank="true" error="Pick a value from the drop-down list." errorStyle="stop" errorTitle="Invalid entry" operator="between" showDropDown="false" showErrorMessage="true" showInputMessage="false" sqref="C27 C32 C72 C77 C117 C122 C162 C167 C207 C212 C252 C257 C297 C302 C342 C347 C387 C392 C432 C437 C477 C482 C522 C527 C567 C572 C612 C617 C657 C662 C702 C707 C747 C752 C792 C797 C837 C842 C882 C887 C922 C949 C976 C1003 C1030 C1057 C1084 C1111 C1138 C1165 C1192 C1219 C1246 C1273 C1300 C1327 C1354 C1381 C1408 C1435" type="list">
      <formula1>WtU</formula1>
      <formula2>0</formula2>
    </dataValidation>
    <dataValidation allowBlank="true" error="Pick a value from the drop-down list." errorStyle="stop" errorTitle="Invalid entry" operator="between" showDropDown="false" showErrorMessage="true" showInputMessage="false" sqref="D34:H35 D79:H80 D124:H125 D169:H170 D214:H215 D259:H260 D304:H305 D349:H350 D394:H395 D439:H440 D484:H485 D529:H530 D574:H575 D619:H620 D664:H665 D709:H710 D754:H755 D799:H800 D844:H845 D889:H890 D924:H924 D951:H951 D978:H978 D1005:H1005 D1032:H1032 D1059:H1059 D1086:H1086 D1113:H1113 D1140:H1140 D1167:H1167 D1194:H1194 D1221:H1221 D1248:H1248 D1275:H1275 D1302:H1302 D1329:H1329 D1356:H1356 D1383:H1383 D1410:H1410 D1437:H1437" type="list">
      <formula1>BasisU</formula1>
      <formula2>0</formula2>
    </dataValidation>
    <dataValidation allowBlank="true" error="Pick a value from the drop-down list." errorStyle="stop" errorTitle="Invalid entry" operator="between" showDropDown="false" showErrorMessage="true" showInputMessage="false" sqref="D914:H914 D941:H941 D968:H968 D995:H995 D1022:H1022 D1049:H1049 D1076:H1076 D1103:H1103 D1130:H1130 D1157:H1157 D1184:H1184 D1211:H1211 D1238:H1238 D1265:H1265 D1292:H1292 D1319:H1319 D1346:H1346 D1373:H1373 D1400:H1400 D1427:H1427" type="list">
      <formula1>EqTypeU</formula1>
      <formula2>0</formula2>
    </dataValidation>
    <dataValidation allowBlank="true" error="Pick a value from the drop-down list." errorStyle="stop" errorTitle="Invalid entry" operator="between" showDropDown="false" showErrorMessage="true" showInputMessage="false" sqref="D925:H925 D952:H952 D979:H979 D1006:H1006 D1033:H1033 D1060:H1060 D1087:H1087 D1114:H1114 D1141:H1141 D1168:H1168 D1195:H1195 D1222:H1222 D1249:H1249 D1276:H1276 D1303:H1303 D1330:H1330 D1357:H1357 D1384:H1384 D1411:H1411 D1438:H1438" type="list">
      <formula1>CCMethU</formula1>
      <formula2>0</formula2>
    </dataValidation>
    <dataValidation allowBlank="true" error="Pick a value from the drop-down list." errorStyle="stop" errorTitle="Invalid entry" operator="between" showDropDown="false" showErrorMessage="true" showInputMessage="false" sqref="D1455:H1455 D1467:H1467 D1479:H1479 D1491:H1491 D1503:H1503 D1515:H1515 D1527:H1527 D1539:H1539 D1551:H1551 D1563:H1563" type="list">
      <formula1>NPSU</formula1>
      <formula2>0</formula2>
    </dataValidation>
    <dataValidation allowBlank="true" error="Pick a value from the drop-down list." errorStyle="stop" errorTitle="Invalid entry" operator="between" showDropDown="false" showErrorMessage="true" showInputMessage="false" sqref="D1456:H1456 D1468:H1468 D1480:H1480 D1492:H1492 D1504:H1504 D1516:H1516 D1528:H1528 D1540:H1540 D1552:H1552 D1564:H1564" type="list">
      <formula1>SchU</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I6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52"/>
    <col collapsed="false" customWidth="true" hidden="false" outlineLevel="0" max="3" min="3" style="0" width="9"/>
    <col collapsed="false" customWidth="true" hidden="false" outlineLevel="0" max="8" min="4" style="0" width="16"/>
    <col collapsed="false" customWidth="true" hidden="false" outlineLevel="0" max="9" min="9" style="0" width="18"/>
  </cols>
  <sheetData>
    <row r="1" customFormat="false" ht="19.7" hidden="false" customHeight="false" outlineLevel="0" collapsed="false">
      <c r="B1" s="1" t="str">
        <f aca="false">"VOLUME &amp; CHEMICAL SUMMARY – "&amp;UPPER(JobType)</f>
        <v>VOLUME &amp; CHEMICAL SUMMARY – CHEMICAL CLEANING</v>
      </c>
    </row>
    <row r="2" customFormat="false" ht="15" hidden="false" customHeight="false" outlineLevel="0" collapsed="false">
      <c r="B2" s="2" t="str">
        <f aca="false">"Client: "&amp;ProjClient&amp;"   ·   Plant: "&amp;ProjPlant&amp;"   ·   Proposal: "&amp;ProjNo</f>
        <v>Client:    ·   Plant:    ·   Proposal: </v>
      </c>
    </row>
    <row r="3" customFormat="false" ht="15" hidden="false" customHeight="false" outlineLevel="0" collapsed="false">
      <c r="B3" s="18" t="str">
        <f aca="false">IF(COUNTIF('Volume Calculation'!D10:H10,"EXAMPLE*")+COUNTIF('Volume Calculation'!D912:H912,"EXAMPLE*")+COUNTIF('Volume Calculation'!D1454:H1454,"EXAMPLE*")&gt;0,"⚠ Example data is still present (Tag starting with EXAMPLE) – delete it before issuing the proposal.","")</f>
        <v>⚠ Example data is still present (Tag starting with EXAMPLE) – delete it before issuing the proposal.</v>
      </c>
    </row>
    <row r="5" customFormat="false" ht="15" hidden="false" customHeight="false" outlineLevel="0" collapsed="false">
      <c r="B5" s="41" t="s">
        <v>247</v>
      </c>
      <c r="C5" s="41"/>
      <c r="D5" s="41"/>
      <c r="E5" s="41"/>
      <c r="F5" s="41"/>
      <c r="G5" s="41"/>
      <c r="H5" s="41"/>
      <c r="I5" s="41"/>
    </row>
    <row r="6" customFormat="false" ht="15" hidden="false" customHeight="false" outlineLevel="0" collapsed="false">
      <c r="B6" s="42" t="s">
        <v>248</v>
      </c>
      <c r="C6" s="42" t="s">
        <v>78</v>
      </c>
      <c r="D6" s="42" t="str">
        <f aca="false">TrainName1</f>
        <v>Train 1</v>
      </c>
      <c r="E6" s="42" t="str">
        <f aca="false">TrainName2</f>
        <v>Train 2</v>
      </c>
      <c r="F6" s="42" t="str">
        <f aca="false">TrainName3</f>
        <v>Train 3</v>
      </c>
      <c r="G6" s="42" t="str">
        <f aca="false">TrainName4</f>
        <v>Train 4</v>
      </c>
      <c r="H6" s="42" t="str">
        <f aca="false">TrainName5</f>
        <v>Train 5</v>
      </c>
      <c r="I6" s="42" t="s">
        <v>249</v>
      </c>
    </row>
    <row r="7" customFormat="false" ht="15" hidden="false" customHeight="false" outlineLevel="0" collapsed="false">
      <c r="B7" s="9" t="s">
        <v>250</v>
      </c>
      <c r="C7" s="15" t="s">
        <v>109</v>
      </c>
      <c r="D7" s="29" t="n">
        <f aca="false">SUMIFS('Volume Calculation'!D:D,'Volume Calculation'!$K:$K,"HX_TS")</f>
        <v>1.11324521704842</v>
      </c>
      <c r="E7" s="29" t="n">
        <f aca="false">SUMIFS('Volume Calculation'!E:E,'Volume Calculation'!$K:$K,"HX_TS")</f>
        <v>0</v>
      </c>
      <c r="F7" s="29" t="n">
        <f aca="false">SUMIFS('Volume Calculation'!F:F,'Volume Calculation'!$K:$K,"HX_TS")</f>
        <v>0</v>
      </c>
      <c r="G7" s="29" t="n">
        <f aca="false">SUMIFS('Volume Calculation'!G:G,'Volume Calculation'!$K:$K,"HX_TS")</f>
        <v>0</v>
      </c>
      <c r="H7" s="29" t="n">
        <f aca="false">SUMIFS('Volume Calculation'!H:H,'Volume Calculation'!$K:$K,"HX_TS")</f>
        <v>0</v>
      </c>
      <c r="I7" s="30" t="n">
        <f aca="false">SUM(D7:H7)</f>
        <v>1.11324521704842</v>
      </c>
    </row>
    <row r="8" customFormat="false" ht="15" hidden="false" customHeight="false" outlineLevel="0" collapsed="false">
      <c r="B8" s="9" t="s">
        <v>251</v>
      </c>
      <c r="C8" s="15" t="s">
        <v>109</v>
      </c>
      <c r="D8" s="29" t="n">
        <f aca="false">SUMIFS('Volume Calculation'!D:D,'Volume Calculation'!$K:$K,"HX_SS")</f>
        <v>2.14717897453354</v>
      </c>
      <c r="E8" s="29" t="n">
        <f aca="false">SUMIFS('Volume Calculation'!E:E,'Volume Calculation'!$K:$K,"HX_SS")</f>
        <v>0</v>
      </c>
      <c r="F8" s="29" t="n">
        <f aca="false">SUMIFS('Volume Calculation'!F:F,'Volume Calculation'!$K:$K,"HX_SS")</f>
        <v>0</v>
      </c>
      <c r="G8" s="29" t="n">
        <f aca="false">SUMIFS('Volume Calculation'!G:G,'Volume Calculation'!$K:$K,"HX_SS")</f>
        <v>0</v>
      </c>
      <c r="H8" s="29" t="n">
        <f aca="false">SUMIFS('Volume Calculation'!H:H,'Volume Calculation'!$K:$K,"HX_SS")</f>
        <v>0</v>
      </c>
      <c r="I8" s="30" t="n">
        <f aca="false">SUM(D8:H8)</f>
        <v>2.14717897453354</v>
      </c>
    </row>
    <row r="9" customFormat="false" ht="15" hidden="false" customHeight="false" outlineLevel="0" collapsed="false">
      <c r="B9" s="9" t="s">
        <v>252</v>
      </c>
      <c r="C9" s="15" t="s">
        <v>109</v>
      </c>
      <c r="D9" s="29" t="n">
        <f aca="false">SUMIFS('Volume Calculation'!D:D,'Volume Calculation'!$K:$K,"V_SEL",'Volume Calculation'!$L:$L,"Vessel – Vertical")</f>
        <v>20.943951023932</v>
      </c>
      <c r="E9" s="29" t="n">
        <f aca="false">SUMIFS('Volume Calculation'!E:E,'Volume Calculation'!$K:$K,"V_SEL",'Volume Calculation'!$M:$M,"Vessel – Vertical")</f>
        <v>0</v>
      </c>
      <c r="F9" s="29" t="n">
        <f aca="false">SUMIFS('Volume Calculation'!F:F,'Volume Calculation'!$K:$K,"V_SEL",'Volume Calculation'!$N:$N,"Vessel – Vertical")</f>
        <v>0</v>
      </c>
      <c r="G9" s="29" t="n">
        <f aca="false">SUMIFS('Volume Calculation'!G:G,'Volume Calculation'!$K:$K,"V_SEL",'Volume Calculation'!$O:$O,"Vessel – Vertical")</f>
        <v>0</v>
      </c>
      <c r="H9" s="29" t="n">
        <f aca="false">SUMIFS('Volume Calculation'!H:H,'Volume Calculation'!$K:$K,"V_SEL",'Volume Calculation'!$P:$P,"Vessel – Vertical")</f>
        <v>0</v>
      </c>
      <c r="I9" s="30" t="n">
        <f aca="false">SUM(D9:H9)</f>
        <v>20.943951023932</v>
      </c>
    </row>
    <row r="10" customFormat="false" ht="15" hidden="false" customHeight="false" outlineLevel="0" collapsed="false">
      <c r="B10" s="9" t="s">
        <v>253</v>
      </c>
      <c r="C10" s="15" t="s">
        <v>109</v>
      </c>
      <c r="D10" s="29" t="n">
        <f aca="false">SUMIFS('Volume Calculation'!D:D,'Volume Calculation'!$K:$K,"V_SEL",'Volume Calculation'!$L:$L,"Vessel – Horizontal")</f>
        <v>0</v>
      </c>
      <c r="E10" s="29" t="n">
        <f aca="false">SUMIFS('Volume Calculation'!E:E,'Volume Calculation'!$K:$K,"V_SEL",'Volume Calculation'!$M:$M,"Vessel – Horizontal")</f>
        <v>0</v>
      </c>
      <c r="F10" s="29" t="n">
        <f aca="false">SUMIFS('Volume Calculation'!F:F,'Volume Calculation'!$K:$K,"V_SEL",'Volume Calculation'!$N:$N,"Vessel – Horizontal")</f>
        <v>0</v>
      </c>
      <c r="G10" s="29" t="n">
        <f aca="false">SUMIFS('Volume Calculation'!G:G,'Volume Calculation'!$K:$K,"V_SEL",'Volume Calculation'!$O:$O,"Vessel – Horizontal")</f>
        <v>0</v>
      </c>
      <c r="H10" s="29" t="n">
        <f aca="false">SUMIFS('Volume Calculation'!H:H,'Volume Calculation'!$K:$K,"V_SEL",'Volume Calculation'!$P:$P,"Vessel – Horizontal")</f>
        <v>0</v>
      </c>
      <c r="I10" s="30" t="n">
        <f aca="false">SUM(D10:H10)</f>
        <v>0</v>
      </c>
    </row>
    <row r="11" customFormat="false" ht="15" hidden="false" customHeight="false" outlineLevel="0" collapsed="false">
      <c r="B11" s="9" t="s">
        <v>254</v>
      </c>
      <c r="C11" s="15" t="s">
        <v>109</v>
      </c>
      <c r="D11" s="29" t="n">
        <f aca="false">SUMIFS('Volume Calculation'!D:D,'Volume Calculation'!$K:$K,"V_SEL",'Volume Calculation'!$L:$L,"Column")</f>
        <v>0</v>
      </c>
      <c r="E11" s="29" t="n">
        <f aca="false">SUMIFS('Volume Calculation'!E:E,'Volume Calculation'!$K:$K,"V_SEL",'Volume Calculation'!$M:$M,"Column")</f>
        <v>0</v>
      </c>
      <c r="F11" s="29" t="n">
        <f aca="false">SUMIFS('Volume Calculation'!F:F,'Volume Calculation'!$K:$K,"V_SEL",'Volume Calculation'!$N:$N,"Column")</f>
        <v>0</v>
      </c>
      <c r="G11" s="29" t="n">
        <f aca="false">SUMIFS('Volume Calculation'!G:G,'Volume Calculation'!$K:$K,"V_SEL",'Volume Calculation'!$O:$O,"Column")</f>
        <v>0</v>
      </c>
      <c r="H11" s="29" t="n">
        <f aca="false">SUMIFS('Volume Calculation'!H:H,'Volume Calculation'!$K:$K,"V_SEL",'Volume Calculation'!$P:$P,"Column")</f>
        <v>0</v>
      </c>
      <c r="I11" s="30" t="n">
        <f aca="false">SUM(D11:H11)</f>
        <v>0</v>
      </c>
    </row>
    <row r="12" customFormat="false" ht="15" hidden="false" customHeight="false" outlineLevel="0" collapsed="false">
      <c r="B12" s="9" t="s">
        <v>255</v>
      </c>
      <c r="C12" s="15" t="s">
        <v>109</v>
      </c>
      <c r="D12" s="29" t="n">
        <f aca="false">SUMIFS('Volume Calculation'!D:D,'Volume Calculation'!$K:$K,"V_SEL",'Volume Calculation'!$L:$L,"Tank")</f>
        <v>0</v>
      </c>
      <c r="E12" s="29" t="n">
        <f aca="false">SUMIFS('Volume Calculation'!E:E,'Volume Calculation'!$K:$K,"V_SEL",'Volume Calculation'!$M:$M,"Tank")</f>
        <v>0</v>
      </c>
      <c r="F12" s="29" t="n">
        <f aca="false">SUMIFS('Volume Calculation'!F:F,'Volume Calculation'!$K:$K,"V_SEL",'Volume Calculation'!$N:$N,"Tank")</f>
        <v>0</v>
      </c>
      <c r="G12" s="29" t="n">
        <f aca="false">SUMIFS('Volume Calculation'!G:G,'Volume Calculation'!$K:$K,"V_SEL",'Volume Calculation'!$O:$O,"Tank")</f>
        <v>0</v>
      </c>
      <c r="H12" s="29" t="n">
        <f aca="false">SUMIFS('Volume Calculation'!H:H,'Volume Calculation'!$K:$K,"V_SEL",'Volume Calculation'!$P:$P,"Tank")</f>
        <v>0</v>
      </c>
      <c r="I12" s="30" t="n">
        <f aca="false">SUM(D12:H12)</f>
        <v>0</v>
      </c>
    </row>
    <row r="13" customFormat="false" ht="15" hidden="false" customHeight="false" outlineLevel="0" collapsed="false">
      <c r="B13" s="9" t="s">
        <v>256</v>
      </c>
      <c r="C13" s="15" t="s">
        <v>109</v>
      </c>
      <c r="D13" s="29" t="n">
        <f aca="false">SUMIFS('Volume Calculation'!D:D,'Volume Calculation'!$K:$K,"V_SEL")-SUM(D9,D10,D11,D12)</f>
        <v>0</v>
      </c>
      <c r="E13" s="29" t="n">
        <f aca="false">SUMIFS('Volume Calculation'!E:E,'Volume Calculation'!$K:$K,"V_SEL")-SUM(E9,E10,E11,E12)</f>
        <v>0</v>
      </c>
      <c r="F13" s="29" t="n">
        <f aca="false">SUMIFS('Volume Calculation'!F:F,'Volume Calculation'!$K:$K,"V_SEL")-SUM(F9,F10,F11,F12)</f>
        <v>0</v>
      </c>
      <c r="G13" s="29" t="n">
        <f aca="false">SUMIFS('Volume Calculation'!G:G,'Volume Calculation'!$K:$K,"V_SEL")-SUM(G9,G10,G11,G12)</f>
        <v>0</v>
      </c>
      <c r="H13" s="29" t="n">
        <f aca="false">SUMIFS('Volume Calculation'!H:H,'Volume Calculation'!$K:$K,"V_SEL")-SUM(H9,H10,H11,H12)</f>
        <v>0</v>
      </c>
      <c r="I13" s="30" t="n">
        <f aca="false">SUM(D13:H13)</f>
        <v>0</v>
      </c>
    </row>
    <row r="14" customFormat="false" ht="15" hidden="false" customHeight="false" outlineLevel="0" collapsed="false">
      <c r="B14" s="9" t="s">
        <v>46</v>
      </c>
      <c r="C14" s="15" t="s">
        <v>109</v>
      </c>
      <c r="D14" s="29" t="n">
        <f aca="false">SUMIFS('Volume Calculation'!D:D,'Volume Calculation'!$K:$K,"P_VOL")</f>
        <v>2.23750320965139</v>
      </c>
      <c r="E14" s="29" t="n">
        <f aca="false">SUMIFS('Volume Calculation'!E:E,'Volume Calculation'!$K:$K,"P_VOL")</f>
        <v>0</v>
      </c>
      <c r="F14" s="29" t="n">
        <f aca="false">SUMIFS('Volume Calculation'!F:F,'Volume Calculation'!$K:$K,"P_VOL")</f>
        <v>0</v>
      </c>
      <c r="G14" s="29" t="n">
        <f aca="false">SUMIFS('Volume Calculation'!G:G,'Volume Calculation'!$K:$K,"P_VOL")</f>
        <v>0</v>
      </c>
      <c r="H14" s="29" t="n">
        <f aca="false">SUMIFS('Volume Calculation'!H:H,'Volume Calculation'!$K:$K,"P_VOL")</f>
        <v>0</v>
      </c>
      <c r="I14" s="30" t="n">
        <f aca="false">SUM(D14:H14)</f>
        <v>2.23750320965139</v>
      </c>
    </row>
    <row r="15" customFormat="false" ht="15" hidden="false" customHeight="false" outlineLevel="0" collapsed="false">
      <c r="B15" s="4" t="s">
        <v>257</v>
      </c>
      <c r="C15" s="15" t="s">
        <v>109</v>
      </c>
      <c r="D15" s="31" t="n">
        <f aca="false">SUM(D7:D14)</f>
        <v>26.4418784251653</v>
      </c>
      <c r="E15" s="31" t="n">
        <f aca="false">SUM(E7:E14)</f>
        <v>0</v>
      </c>
      <c r="F15" s="31" t="n">
        <f aca="false">SUM(F7:F14)</f>
        <v>0</v>
      </c>
      <c r="G15" s="31" t="n">
        <f aca="false">SUM(G7:G14)</f>
        <v>0</v>
      </c>
      <c r="H15" s="31" t="n">
        <f aca="false">SUM(H7:H14)</f>
        <v>0</v>
      </c>
      <c r="I15" s="31" t="n">
        <f aca="false">SUM(D15:H15)</f>
        <v>26.4418784251653</v>
      </c>
    </row>
    <row r="16" customFormat="false" ht="15" hidden="false" customHeight="false" outlineLevel="0" collapsed="false">
      <c r="B16" s="9" t="s">
        <v>257</v>
      </c>
      <c r="C16" s="15" t="s">
        <v>32</v>
      </c>
      <c r="D16" s="37" t="n">
        <f aca="false">D15*1000</f>
        <v>26441.8784251653</v>
      </c>
      <c r="E16" s="37" t="n">
        <f aca="false">E15*1000</f>
        <v>0</v>
      </c>
      <c r="F16" s="37" t="n">
        <f aca="false">F15*1000</f>
        <v>0</v>
      </c>
      <c r="G16" s="37" t="n">
        <f aca="false">G15*1000</f>
        <v>0</v>
      </c>
      <c r="H16" s="37" t="n">
        <f aca="false">H15*1000</f>
        <v>0</v>
      </c>
      <c r="I16" s="38" t="n">
        <f aca="false">SUM(D16:H16)</f>
        <v>26441.8784251653</v>
      </c>
    </row>
    <row r="17" customFormat="false" ht="15" hidden="false" customHeight="false" outlineLevel="0" collapsed="false">
      <c r="B17" s="9" t="s">
        <v>257</v>
      </c>
      <c r="C17" s="15" t="s">
        <v>258</v>
      </c>
      <c r="D17" s="37" t="n">
        <f aca="false">D15/0.003785411784</f>
        <v>6985.20529178056</v>
      </c>
      <c r="E17" s="37" t="n">
        <f aca="false">E15/0.003785411784</f>
        <v>0</v>
      </c>
      <c r="F17" s="37" t="n">
        <f aca="false">F15/0.003785411784</f>
        <v>0</v>
      </c>
      <c r="G17" s="37" t="n">
        <f aca="false">G15/0.003785411784</f>
        <v>0</v>
      </c>
      <c r="H17" s="37" t="n">
        <f aca="false">H15/0.003785411784</f>
        <v>0</v>
      </c>
      <c r="I17" s="38" t="n">
        <f aca="false">SUM(D17:H17)</f>
        <v>6985.20529178056</v>
      </c>
    </row>
    <row r="19" customFormat="false" ht="15" hidden="false" customHeight="false" outlineLevel="0" collapsed="false">
      <c r="B19" s="41" t="s">
        <v>259</v>
      </c>
      <c r="C19" s="41"/>
      <c r="D19" s="41"/>
      <c r="E19" s="41"/>
      <c r="F19" s="41"/>
      <c r="G19" s="41"/>
      <c r="H19" s="41"/>
      <c r="I19" s="41"/>
    </row>
    <row r="20" customFormat="false" ht="15" hidden="false" customHeight="false" outlineLevel="0" collapsed="false">
      <c r="B20" s="42" t="s">
        <v>248</v>
      </c>
      <c r="C20" s="42" t="s">
        <v>78</v>
      </c>
      <c r="D20" s="42" t="str">
        <f aca="false">TrainName1</f>
        <v>Train 1</v>
      </c>
      <c r="E20" s="42" t="str">
        <f aca="false">TrainName2</f>
        <v>Train 2</v>
      </c>
      <c r="F20" s="42" t="str">
        <f aca="false">TrainName3</f>
        <v>Train 3</v>
      </c>
      <c r="G20" s="42" t="str">
        <f aca="false">TrainName4</f>
        <v>Train 4</v>
      </c>
      <c r="H20" s="42" t="str">
        <f aca="false">TrainName5</f>
        <v>Train 5</v>
      </c>
      <c r="I20" s="42" t="s">
        <v>249</v>
      </c>
    </row>
    <row r="21" customFormat="false" ht="15" hidden="false" customHeight="false" outlineLevel="0" collapsed="false">
      <c r="B21" s="9" t="s">
        <v>260</v>
      </c>
      <c r="C21" s="15" t="s">
        <v>109</v>
      </c>
      <c r="D21" s="29" t="n">
        <f aca="false">SUMIFS('Volume Calculation'!D:D,'Volume Calculation'!$K:$K,"HX_CONS")</f>
        <v>3.26042419158197</v>
      </c>
      <c r="E21" s="29" t="n">
        <f aca="false">SUMIFS('Volume Calculation'!E:E,'Volume Calculation'!$K:$K,"HX_CONS")</f>
        <v>0</v>
      </c>
      <c r="F21" s="29" t="n">
        <f aca="false">SUMIFS('Volume Calculation'!F:F,'Volume Calculation'!$K:$K,"HX_CONS")</f>
        <v>0</v>
      </c>
      <c r="G21" s="29" t="n">
        <f aca="false">SUMIFS('Volume Calculation'!G:G,'Volume Calculation'!$K:$K,"HX_CONS")</f>
        <v>0</v>
      </c>
      <c r="H21" s="29" t="n">
        <f aca="false">SUMIFS('Volume Calculation'!H:H,'Volume Calculation'!$K:$K,"HX_CONS")</f>
        <v>0</v>
      </c>
      <c r="I21" s="30" t="n">
        <f aca="false">SUM(D21:H21)</f>
        <v>3.26042419158197</v>
      </c>
    </row>
    <row r="22" customFormat="false" ht="15" hidden="false" customHeight="false" outlineLevel="0" collapsed="false">
      <c r="B22" s="9" t="s">
        <v>252</v>
      </c>
      <c r="C22" s="15" t="s">
        <v>109</v>
      </c>
      <c r="D22" s="29" t="n">
        <f aca="false">SUMIFS('Volume Calculation'!D:D,'Volume Calculation'!$K:$K,"V_CONS",'Volume Calculation'!$L:$L,"Vessel – Vertical")</f>
        <v>20.943951023932</v>
      </c>
      <c r="E22" s="29" t="n">
        <f aca="false">SUMIFS('Volume Calculation'!E:E,'Volume Calculation'!$K:$K,"V_CONS",'Volume Calculation'!$M:$M,"Vessel – Vertical")</f>
        <v>0</v>
      </c>
      <c r="F22" s="29" t="n">
        <f aca="false">SUMIFS('Volume Calculation'!F:F,'Volume Calculation'!$K:$K,"V_CONS",'Volume Calculation'!$N:$N,"Vessel – Vertical")</f>
        <v>0</v>
      </c>
      <c r="G22" s="29" t="n">
        <f aca="false">SUMIFS('Volume Calculation'!G:G,'Volume Calculation'!$K:$K,"V_CONS",'Volume Calculation'!$O:$O,"Vessel – Vertical")</f>
        <v>0</v>
      </c>
      <c r="H22" s="29" t="n">
        <f aca="false">SUMIFS('Volume Calculation'!H:H,'Volume Calculation'!$K:$K,"V_CONS",'Volume Calculation'!$P:$P,"Vessel – Vertical")</f>
        <v>0</v>
      </c>
      <c r="I22" s="30" t="n">
        <f aca="false">SUM(D22:H22)</f>
        <v>20.943951023932</v>
      </c>
    </row>
    <row r="23" customFormat="false" ht="15" hidden="false" customHeight="false" outlineLevel="0" collapsed="false">
      <c r="B23" s="9" t="s">
        <v>253</v>
      </c>
      <c r="C23" s="15" t="s">
        <v>109</v>
      </c>
      <c r="D23" s="29" t="n">
        <f aca="false">SUMIFS('Volume Calculation'!D:D,'Volume Calculation'!$K:$K,"V_CONS",'Volume Calculation'!$L:$L,"Vessel – Horizontal")</f>
        <v>0</v>
      </c>
      <c r="E23" s="29" t="n">
        <f aca="false">SUMIFS('Volume Calculation'!E:E,'Volume Calculation'!$K:$K,"V_CONS",'Volume Calculation'!$M:$M,"Vessel – Horizontal")</f>
        <v>0</v>
      </c>
      <c r="F23" s="29" t="n">
        <f aca="false">SUMIFS('Volume Calculation'!F:F,'Volume Calculation'!$K:$K,"V_CONS",'Volume Calculation'!$N:$N,"Vessel – Horizontal")</f>
        <v>0</v>
      </c>
      <c r="G23" s="29" t="n">
        <f aca="false">SUMIFS('Volume Calculation'!G:G,'Volume Calculation'!$K:$K,"V_CONS",'Volume Calculation'!$O:$O,"Vessel – Horizontal")</f>
        <v>0</v>
      </c>
      <c r="H23" s="29" t="n">
        <f aca="false">SUMIFS('Volume Calculation'!H:H,'Volume Calculation'!$K:$K,"V_CONS",'Volume Calculation'!$P:$P,"Vessel – Horizontal")</f>
        <v>0</v>
      </c>
      <c r="I23" s="30" t="n">
        <f aca="false">SUM(D23:H23)</f>
        <v>0</v>
      </c>
    </row>
    <row r="24" customFormat="false" ht="15" hidden="false" customHeight="false" outlineLevel="0" collapsed="false">
      <c r="B24" s="9" t="s">
        <v>254</v>
      </c>
      <c r="C24" s="15" t="s">
        <v>109</v>
      </c>
      <c r="D24" s="29" t="n">
        <f aca="false">SUMIFS('Volume Calculation'!D:D,'Volume Calculation'!$K:$K,"V_CONS",'Volume Calculation'!$L:$L,"Column")</f>
        <v>0</v>
      </c>
      <c r="E24" s="29" t="n">
        <f aca="false">SUMIFS('Volume Calculation'!E:E,'Volume Calculation'!$K:$K,"V_CONS",'Volume Calculation'!$M:$M,"Column")</f>
        <v>0</v>
      </c>
      <c r="F24" s="29" t="n">
        <f aca="false">SUMIFS('Volume Calculation'!F:F,'Volume Calculation'!$K:$K,"V_CONS",'Volume Calculation'!$N:$N,"Column")</f>
        <v>0</v>
      </c>
      <c r="G24" s="29" t="n">
        <f aca="false">SUMIFS('Volume Calculation'!G:G,'Volume Calculation'!$K:$K,"V_CONS",'Volume Calculation'!$O:$O,"Column")</f>
        <v>0</v>
      </c>
      <c r="H24" s="29" t="n">
        <f aca="false">SUMIFS('Volume Calculation'!H:H,'Volume Calculation'!$K:$K,"V_CONS",'Volume Calculation'!$P:$P,"Column")</f>
        <v>0</v>
      </c>
      <c r="I24" s="30" t="n">
        <f aca="false">SUM(D24:H24)</f>
        <v>0</v>
      </c>
    </row>
    <row r="25" customFormat="false" ht="15" hidden="false" customHeight="false" outlineLevel="0" collapsed="false">
      <c r="B25" s="9" t="s">
        <v>255</v>
      </c>
      <c r="C25" s="15" t="s">
        <v>109</v>
      </c>
      <c r="D25" s="29" t="n">
        <f aca="false">SUMIFS('Volume Calculation'!D:D,'Volume Calculation'!$K:$K,"V_CONS",'Volume Calculation'!$L:$L,"Tank")</f>
        <v>0</v>
      </c>
      <c r="E25" s="29" t="n">
        <f aca="false">SUMIFS('Volume Calculation'!E:E,'Volume Calculation'!$K:$K,"V_CONS",'Volume Calculation'!$M:$M,"Tank")</f>
        <v>0</v>
      </c>
      <c r="F25" s="29" t="n">
        <f aca="false">SUMIFS('Volume Calculation'!F:F,'Volume Calculation'!$K:$K,"V_CONS",'Volume Calculation'!$N:$N,"Tank")</f>
        <v>0</v>
      </c>
      <c r="G25" s="29" t="n">
        <f aca="false">SUMIFS('Volume Calculation'!G:G,'Volume Calculation'!$K:$K,"V_CONS",'Volume Calculation'!$O:$O,"Tank")</f>
        <v>0</v>
      </c>
      <c r="H25" s="29" t="n">
        <f aca="false">SUMIFS('Volume Calculation'!H:H,'Volume Calculation'!$K:$K,"V_CONS",'Volume Calculation'!$P:$P,"Tank")</f>
        <v>0</v>
      </c>
      <c r="I25" s="30" t="n">
        <f aca="false">SUM(D25:H25)</f>
        <v>0</v>
      </c>
    </row>
    <row r="26" customFormat="false" ht="15" hidden="false" customHeight="false" outlineLevel="0" collapsed="false">
      <c r="B26" s="9" t="s">
        <v>256</v>
      </c>
      <c r="C26" s="15" t="s">
        <v>109</v>
      </c>
      <c r="D26" s="29" t="n">
        <f aca="false">SUMIFS('Volume Calculation'!D:D,'Volume Calculation'!$K:$K,"V_CONS")-SUM(D22,D23,D24,D25)</f>
        <v>0</v>
      </c>
      <c r="E26" s="29" t="n">
        <f aca="false">SUMIFS('Volume Calculation'!E:E,'Volume Calculation'!$K:$K,"V_CONS")-SUM(E22,E23,E24,E25)</f>
        <v>0</v>
      </c>
      <c r="F26" s="29" t="n">
        <f aca="false">SUMIFS('Volume Calculation'!F:F,'Volume Calculation'!$K:$K,"V_CONS")-SUM(F22,F23,F24,F25)</f>
        <v>0</v>
      </c>
      <c r="G26" s="29" t="n">
        <f aca="false">SUMIFS('Volume Calculation'!G:G,'Volume Calculation'!$K:$K,"V_CONS")-SUM(G22,G23,G24,G25)</f>
        <v>0</v>
      </c>
      <c r="H26" s="29" t="n">
        <f aca="false">SUMIFS('Volume Calculation'!H:H,'Volume Calculation'!$K:$K,"V_CONS")-SUM(H22,H23,H24,H25)</f>
        <v>0</v>
      </c>
      <c r="I26" s="30" t="n">
        <f aca="false">SUM(D26:H26)</f>
        <v>0</v>
      </c>
    </row>
    <row r="27" customFormat="false" ht="15" hidden="false" customHeight="false" outlineLevel="0" collapsed="false">
      <c r="B27" s="9" t="s">
        <v>46</v>
      </c>
      <c r="C27" s="15" t="s">
        <v>109</v>
      </c>
      <c r="D27" s="29" t="n">
        <f aca="false">SUMIFS('Volume Calculation'!D:D,'Volume Calculation'!$K:$K,"P_CONS")</f>
        <v>2.23750320965139</v>
      </c>
      <c r="E27" s="29" t="n">
        <f aca="false">SUMIFS('Volume Calculation'!E:E,'Volume Calculation'!$K:$K,"P_CONS")</f>
        <v>0</v>
      </c>
      <c r="F27" s="29" t="n">
        <f aca="false">SUMIFS('Volume Calculation'!F:F,'Volume Calculation'!$K:$K,"P_CONS")</f>
        <v>0</v>
      </c>
      <c r="G27" s="29" t="n">
        <f aca="false">SUMIFS('Volume Calculation'!G:G,'Volume Calculation'!$K:$K,"P_CONS")</f>
        <v>0</v>
      </c>
      <c r="H27" s="29" t="n">
        <f aca="false">SUMIFS('Volume Calculation'!H:H,'Volume Calculation'!$K:$K,"P_CONS")</f>
        <v>0</v>
      </c>
      <c r="I27" s="30" t="n">
        <f aca="false">SUM(D27:H27)</f>
        <v>2.23750320965139</v>
      </c>
    </row>
    <row r="28" customFormat="false" ht="15" hidden="false" customHeight="false" outlineLevel="0" collapsed="false">
      <c r="B28" s="4" t="s">
        <v>261</v>
      </c>
      <c r="C28" s="15" t="s">
        <v>109</v>
      </c>
      <c r="D28" s="31" t="n">
        <f aca="false">SUM(D21:D27)</f>
        <v>26.4418784251653</v>
      </c>
      <c r="E28" s="31" t="n">
        <f aca="false">SUM(E21:E27)</f>
        <v>0</v>
      </c>
      <c r="F28" s="31" t="n">
        <f aca="false">SUM(F21:F27)</f>
        <v>0</v>
      </c>
      <c r="G28" s="31" t="n">
        <f aca="false">SUM(G21:G27)</f>
        <v>0</v>
      </c>
      <c r="H28" s="31" t="n">
        <f aca="false">SUM(H21:H27)</f>
        <v>0</v>
      </c>
      <c r="I28" s="31" t="n">
        <f aca="false">SUM(D28:H28)</f>
        <v>26.4418784251653</v>
      </c>
    </row>
    <row r="29" customFormat="false" ht="15" hidden="false" customHeight="false" outlineLevel="0" collapsed="false">
      <c r="B29" s="9" t="s">
        <v>262</v>
      </c>
      <c r="C29" s="15" t="s">
        <v>32</v>
      </c>
      <c r="D29" s="37" t="n">
        <f aca="false">D28*1000</f>
        <v>26441.8784251653</v>
      </c>
      <c r="E29" s="37" t="n">
        <f aca="false">E28*1000</f>
        <v>0</v>
      </c>
      <c r="F29" s="37" t="n">
        <f aca="false">F28*1000</f>
        <v>0</v>
      </c>
      <c r="G29" s="37" t="n">
        <f aca="false">G28*1000</f>
        <v>0</v>
      </c>
      <c r="H29" s="37" t="n">
        <f aca="false">H28*1000</f>
        <v>0</v>
      </c>
      <c r="I29" s="38" t="n">
        <f aca="false">SUM(D29:H29)</f>
        <v>26441.8784251653</v>
      </c>
    </row>
    <row r="31" customFormat="false" ht="15" hidden="false" customHeight="false" outlineLevel="0" collapsed="false">
      <c r="B31" s="41" t="s">
        <v>263</v>
      </c>
      <c r="C31" s="41"/>
      <c r="D31" s="41"/>
      <c r="E31" s="41"/>
      <c r="F31" s="41"/>
      <c r="G31" s="41"/>
      <c r="H31" s="41"/>
      <c r="I31" s="41"/>
    </row>
    <row r="32" customFormat="false" ht="15" hidden="false" customHeight="false" outlineLevel="0" collapsed="false">
      <c r="B32" s="42" t="s">
        <v>248</v>
      </c>
      <c r="C32" s="42" t="s">
        <v>78</v>
      </c>
      <c r="D32" s="42" t="str">
        <f aca="false">TrainName1</f>
        <v>Train 1</v>
      </c>
      <c r="E32" s="42" t="str">
        <f aca="false">TrainName2</f>
        <v>Train 2</v>
      </c>
      <c r="F32" s="42" t="str">
        <f aca="false">TrainName3</f>
        <v>Train 3</v>
      </c>
      <c r="G32" s="42" t="str">
        <f aca="false">TrainName4</f>
        <v>Train 4</v>
      </c>
      <c r="H32" s="42" t="str">
        <f aca="false">TrainName5</f>
        <v>Train 5</v>
      </c>
      <c r="I32" s="42" t="s">
        <v>249</v>
      </c>
    </row>
    <row r="33" customFormat="false" ht="15" hidden="false" customHeight="false" outlineLevel="0" collapsed="false">
      <c r="B33" s="10" t="str">
        <f aca="false">IF(JobType&lt;&gt;"Chemical Cleaning","(Not applicable – job type is "&amp;JobType&amp;")","")</f>
        <v/>
      </c>
    </row>
    <row r="34" customFormat="false" ht="15" hidden="false" customHeight="false" outlineLevel="0" collapsed="false">
      <c r="B34" s="9" t="str">
        <f aca="false">IF(Settings!$B$45="","Step 1 (not used)",Settings!$B$45&amp;"  @ "&amp;TEXT(Settings!$C$45,"0.0%")&amp;" × "&amp;N(Settings!$D$45)&amp;" fill(s)")</f>
        <v>EXAMPLE – Alkaline degreasing  @ 2.0% × 1 fill(s)</v>
      </c>
      <c r="C34" s="15" t="s">
        <v>32</v>
      </c>
      <c r="D34" s="37" t="n">
        <f aca="false">IF(OR(JobType&lt;&gt;"Chemical Cleaning",Settings!$C$45=""),0,D28*1000*Settings!$C$45*IF(N(Settings!$D$45)=0,1,Settings!$D$45))</f>
        <v>528.837568503306</v>
      </c>
      <c r="E34" s="37" t="n">
        <f aca="false">IF(OR(JobType&lt;&gt;"Chemical Cleaning",Settings!$C$45=""),0,E28*1000*Settings!$C$45*IF(N(Settings!$D$45)=0,1,Settings!$D$45))</f>
        <v>0</v>
      </c>
      <c r="F34" s="37" t="n">
        <f aca="false">IF(OR(JobType&lt;&gt;"Chemical Cleaning",Settings!$C$45=""),0,F28*1000*Settings!$C$45*IF(N(Settings!$D$45)=0,1,Settings!$D$45))</f>
        <v>0</v>
      </c>
      <c r="G34" s="37" t="n">
        <f aca="false">IF(OR(JobType&lt;&gt;"Chemical Cleaning",Settings!$C$45=""),0,G28*1000*Settings!$C$45*IF(N(Settings!$D$45)=0,1,Settings!$D$45))</f>
        <v>0</v>
      </c>
      <c r="H34" s="37" t="n">
        <f aca="false">IF(OR(JobType&lt;&gt;"Chemical Cleaning",Settings!$C$45=""),0,H28*1000*Settings!$C$45*IF(N(Settings!$D$45)=0,1,Settings!$D$45))</f>
        <v>0</v>
      </c>
      <c r="I34" s="38" t="n">
        <f aca="false">SUM(D34:H34)</f>
        <v>528.837568503306</v>
      </c>
    </row>
    <row r="35" customFormat="false" ht="15" hidden="false" customHeight="false" outlineLevel="0" collapsed="false">
      <c r="B35" s="9" t="str">
        <f aca="false">IF(Settings!$B$46="","Step 2 (not used)",Settings!$B$46&amp;"  @ "&amp;TEXT(Settings!$C$46,"0.0%")&amp;" × "&amp;N(Settings!$D$46)&amp;" fill(s)")</f>
        <v>Step 2 (not used)</v>
      </c>
      <c r="C35" s="15" t="s">
        <v>32</v>
      </c>
      <c r="D35" s="37" t="n">
        <f aca="false">IF(OR(JobType&lt;&gt;"Chemical Cleaning",Settings!$C$46=""),0,D28*1000*Settings!$C$46*IF(N(Settings!$D$46)=0,1,Settings!$D$46))</f>
        <v>0</v>
      </c>
      <c r="E35" s="37" t="n">
        <f aca="false">IF(OR(JobType&lt;&gt;"Chemical Cleaning",Settings!$C$46=""),0,E28*1000*Settings!$C$46*IF(N(Settings!$D$46)=0,1,Settings!$D$46))</f>
        <v>0</v>
      </c>
      <c r="F35" s="37" t="n">
        <f aca="false">IF(OR(JobType&lt;&gt;"Chemical Cleaning",Settings!$C$46=""),0,F28*1000*Settings!$C$46*IF(N(Settings!$D$46)=0,1,Settings!$D$46))</f>
        <v>0</v>
      </c>
      <c r="G35" s="37" t="n">
        <f aca="false">IF(OR(JobType&lt;&gt;"Chemical Cleaning",Settings!$C$46=""),0,G28*1000*Settings!$C$46*IF(N(Settings!$D$46)=0,1,Settings!$D$46))</f>
        <v>0</v>
      </c>
      <c r="H35" s="37" t="n">
        <f aca="false">IF(OR(JobType&lt;&gt;"Chemical Cleaning",Settings!$C$46=""),0,H28*1000*Settings!$C$46*IF(N(Settings!$D$46)=0,1,Settings!$D$46))</f>
        <v>0</v>
      </c>
      <c r="I35" s="38" t="n">
        <f aca="false">SUM(D35:H35)</f>
        <v>0</v>
      </c>
    </row>
    <row r="36" customFormat="false" ht="15" hidden="false" customHeight="false" outlineLevel="0" collapsed="false">
      <c r="B36" s="9" t="str">
        <f aca="false">IF(Settings!$B$47="","Step 3 (not used)",Settings!$B$47&amp;"  @ "&amp;TEXT(Settings!$C$47,"0.0%")&amp;" × "&amp;N(Settings!$D$47)&amp;" fill(s)")</f>
        <v>Step 3 (not used)</v>
      </c>
      <c r="C36" s="15" t="s">
        <v>32</v>
      </c>
      <c r="D36" s="37" t="n">
        <f aca="false">IF(OR(JobType&lt;&gt;"Chemical Cleaning",Settings!$C$47=""),0,D28*1000*Settings!$C$47*IF(N(Settings!$D$47)=0,1,Settings!$D$47))</f>
        <v>0</v>
      </c>
      <c r="E36" s="37" t="n">
        <f aca="false">IF(OR(JobType&lt;&gt;"Chemical Cleaning",Settings!$C$47=""),0,E28*1000*Settings!$C$47*IF(N(Settings!$D$47)=0,1,Settings!$D$47))</f>
        <v>0</v>
      </c>
      <c r="F36" s="37" t="n">
        <f aca="false">IF(OR(JobType&lt;&gt;"Chemical Cleaning",Settings!$C$47=""),0,F28*1000*Settings!$C$47*IF(N(Settings!$D$47)=0,1,Settings!$D$47))</f>
        <v>0</v>
      </c>
      <c r="G36" s="37" t="n">
        <f aca="false">IF(OR(JobType&lt;&gt;"Chemical Cleaning",Settings!$C$47=""),0,G28*1000*Settings!$C$47*IF(N(Settings!$D$47)=0,1,Settings!$D$47))</f>
        <v>0</v>
      </c>
      <c r="H36" s="37" t="n">
        <f aca="false">IF(OR(JobType&lt;&gt;"Chemical Cleaning",Settings!$C$47=""),0,H28*1000*Settings!$C$47*IF(N(Settings!$D$47)=0,1,Settings!$D$47))</f>
        <v>0</v>
      </c>
      <c r="I36" s="38" t="n">
        <f aca="false">SUM(D36:H36)</f>
        <v>0</v>
      </c>
    </row>
    <row r="37" customFormat="false" ht="15" hidden="false" customHeight="false" outlineLevel="0" collapsed="false">
      <c r="B37" s="9" t="str">
        <f aca="false">IF(Settings!$B$48="","Step 4 (not used)",Settings!$B$48&amp;"  @ "&amp;TEXT(Settings!$C$48,"0.0%")&amp;" × "&amp;N(Settings!$D$48)&amp;" fill(s)")</f>
        <v>Step 4 (not used)</v>
      </c>
      <c r="C37" s="15" t="s">
        <v>32</v>
      </c>
      <c r="D37" s="37" t="n">
        <f aca="false">IF(OR(JobType&lt;&gt;"Chemical Cleaning",Settings!$C$48=""),0,D28*1000*Settings!$C$48*IF(N(Settings!$D$48)=0,1,Settings!$D$48))</f>
        <v>0</v>
      </c>
      <c r="E37" s="37" t="n">
        <f aca="false">IF(OR(JobType&lt;&gt;"Chemical Cleaning",Settings!$C$48=""),0,E28*1000*Settings!$C$48*IF(N(Settings!$D$48)=0,1,Settings!$D$48))</f>
        <v>0</v>
      </c>
      <c r="F37" s="37" t="n">
        <f aca="false">IF(OR(JobType&lt;&gt;"Chemical Cleaning",Settings!$C$48=""),0,F28*1000*Settings!$C$48*IF(N(Settings!$D$48)=0,1,Settings!$D$48))</f>
        <v>0</v>
      </c>
      <c r="G37" s="37" t="n">
        <f aca="false">IF(OR(JobType&lt;&gt;"Chemical Cleaning",Settings!$C$48=""),0,G28*1000*Settings!$C$48*IF(N(Settings!$D$48)=0,1,Settings!$D$48))</f>
        <v>0</v>
      </c>
      <c r="H37" s="37" t="n">
        <f aca="false">IF(OR(JobType&lt;&gt;"Chemical Cleaning",Settings!$C$48=""),0,H28*1000*Settings!$C$48*IF(N(Settings!$D$48)=0,1,Settings!$D$48))</f>
        <v>0</v>
      </c>
      <c r="I37" s="38" t="n">
        <f aca="false">SUM(D37:H37)</f>
        <v>0</v>
      </c>
    </row>
    <row r="38" customFormat="false" ht="15" hidden="false" customHeight="false" outlineLevel="0" collapsed="false">
      <c r="B38" s="9" t="str">
        <f aca="false">IF(Settings!$B$49="","Step 5 (not used)",Settings!$B$49&amp;"  @ "&amp;TEXT(Settings!$C$49,"0.0%")&amp;" × "&amp;N(Settings!$D$49)&amp;" fill(s)")</f>
        <v>Step 5 (not used)</v>
      </c>
      <c r="C38" s="15" t="s">
        <v>32</v>
      </c>
      <c r="D38" s="37" t="n">
        <f aca="false">IF(OR(JobType&lt;&gt;"Chemical Cleaning",Settings!$C$49=""),0,D28*1000*Settings!$C$49*IF(N(Settings!$D$49)=0,1,Settings!$D$49))</f>
        <v>0</v>
      </c>
      <c r="E38" s="37" t="n">
        <f aca="false">IF(OR(JobType&lt;&gt;"Chemical Cleaning",Settings!$C$49=""),0,E28*1000*Settings!$C$49*IF(N(Settings!$D$49)=0,1,Settings!$D$49))</f>
        <v>0</v>
      </c>
      <c r="F38" s="37" t="n">
        <f aca="false">IF(OR(JobType&lt;&gt;"Chemical Cleaning",Settings!$C$49=""),0,F28*1000*Settings!$C$49*IF(N(Settings!$D$49)=0,1,Settings!$D$49))</f>
        <v>0</v>
      </c>
      <c r="G38" s="37" t="n">
        <f aca="false">IF(OR(JobType&lt;&gt;"Chemical Cleaning",Settings!$C$49=""),0,G28*1000*Settings!$C$49*IF(N(Settings!$D$49)=0,1,Settings!$D$49))</f>
        <v>0</v>
      </c>
      <c r="H38" s="37" t="n">
        <f aca="false">IF(OR(JobType&lt;&gt;"Chemical Cleaning",Settings!$C$49=""),0,H28*1000*Settings!$C$49*IF(N(Settings!$D$49)=0,1,Settings!$D$49))</f>
        <v>0</v>
      </c>
      <c r="I38" s="38" t="n">
        <f aca="false">SUM(D38:H38)</f>
        <v>0</v>
      </c>
    </row>
    <row r="39" customFormat="false" ht="15" hidden="false" customHeight="false" outlineLevel="0" collapsed="false">
      <c r="B39" s="9" t="str">
        <f aca="false">IF(Settings!$B$50="","Step 6 (not used)",Settings!$B$50&amp;"  @ "&amp;TEXT(Settings!$C$50,"0.0%")&amp;" × "&amp;N(Settings!$D$50)&amp;" fill(s)")</f>
        <v>Step 6 (not used)</v>
      </c>
      <c r="C39" s="15" t="s">
        <v>32</v>
      </c>
      <c r="D39" s="37" t="n">
        <f aca="false">IF(OR(JobType&lt;&gt;"Chemical Cleaning",Settings!$C$50=""),0,D28*1000*Settings!$C$50*IF(N(Settings!$D$50)=0,1,Settings!$D$50))</f>
        <v>0</v>
      </c>
      <c r="E39" s="37" t="n">
        <f aca="false">IF(OR(JobType&lt;&gt;"Chemical Cleaning",Settings!$C$50=""),0,E28*1000*Settings!$C$50*IF(N(Settings!$D$50)=0,1,Settings!$D$50))</f>
        <v>0</v>
      </c>
      <c r="F39" s="37" t="n">
        <f aca="false">IF(OR(JobType&lt;&gt;"Chemical Cleaning",Settings!$C$50=""),0,F28*1000*Settings!$C$50*IF(N(Settings!$D$50)=0,1,Settings!$D$50))</f>
        <v>0</v>
      </c>
      <c r="G39" s="37" t="n">
        <f aca="false">IF(OR(JobType&lt;&gt;"Chemical Cleaning",Settings!$C$50=""),0,G28*1000*Settings!$C$50*IF(N(Settings!$D$50)=0,1,Settings!$D$50))</f>
        <v>0</v>
      </c>
      <c r="H39" s="37" t="n">
        <f aca="false">IF(OR(JobType&lt;&gt;"Chemical Cleaning",Settings!$C$50=""),0,H28*1000*Settings!$C$50*IF(N(Settings!$D$50)=0,1,Settings!$D$50))</f>
        <v>0</v>
      </c>
      <c r="I39" s="38" t="n">
        <f aca="false">SUM(D39:H39)</f>
        <v>0</v>
      </c>
    </row>
    <row r="40" customFormat="false" ht="15" hidden="false" customHeight="false" outlineLevel="0" collapsed="false">
      <c r="B40" s="9" t="str">
        <f aca="false">IF(Settings!$B$51="","Step 7 (not used)",Settings!$B$51&amp;"  @ "&amp;TEXT(Settings!$C$51,"0.0%")&amp;" × "&amp;N(Settings!$D$51)&amp;" fill(s)")</f>
        <v>Step 7 (not used)</v>
      </c>
      <c r="C40" s="15" t="s">
        <v>32</v>
      </c>
      <c r="D40" s="37" t="n">
        <f aca="false">IF(OR(JobType&lt;&gt;"Chemical Cleaning",Settings!$C$51=""),0,D28*1000*Settings!$C$51*IF(N(Settings!$D$51)=0,1,Settings!$D$51))</f>
        <v>0</v>
      </c>
      <c r="E40" s="37" t="n">
        <f aca="false">IF(OR(JobType&lt;&gt;"Chemical Cleaning",Settings!$C$51=""),0,E28*1000*Settings!$C$51*IF(N(Settings!$D$51)=0,1,Settings!$D$51))</f>
        <v>0</v>
      </c>
      <c r="F40" s="37" t="n">
        <f aca="false">IF(OR(JobType&lt;&gt;"Chemical Cleaning",Settings!$C$51=""),0,F28*1000*Settings!$C$51*IF(N(Settings!$D$51)=0,1,Settings!$D$51))</f>
        <v>0</v>
      </c>
      <c r="G40" s="37" t="n">
        <f aca="false">IF(OR(JobType&lt;&gt;"Chemical Cleaning",Settings!$C$51=""),0,G28*1000*Settings!$C$51*IF(N(Settings!$D$51)=0,1,Settings!$D$51))</f>
        <v>0</v>
      </c>
      <c r="H40" s="37" t="n">
        <f aca="false">IF(OR(JobType&lt;&gt;"Chemical Cleaning",Settings!$C$51=""),0,H28*1000*Settings!$C$51*IF(N(Settings!$D$51)=0,1,Settings!$D$51))</f>
        <v>0</v>
      </c>
      <c r="I40" s="38" t="n">
        <f aca="false">SUM(D40:H40)</f>
        <v>0</v>
      </c>
    </row>
    <row r="41" customFormat="false" ht="15" hidden="false" customHeight="false" outlineLevel="0" collapsed="false">
      <c r="B41" s="9" t="str">
        <f aca="false">IF(Settings!$B$52="","Step 8 (not used)",Settings!$B$52&amp;"  @ "&amp;TEXT(Settings!$C$52,"0.0%")&amp;" × "&amp;N(Settings!$D$52)&amp;" fill(s)")</f>
        <v>Step 8 (not used)</v>
      </c>
      <c r="C41" s="15" t="s">
        <v>32</v>
      </c>
      <c r="D41" s="37" t="n">
        <f aca="false">IF(OR(JobType&lt;&gt;"Chemical Cleaning",Settings!$C$52=""),0,D28*1000*Settings!$C$52*IF(N(Settings!$D$52)=0,1,Settings!$D$52))</f>
        <v>0</v>
      </c>
      <c r="E41" s="37" t="n">
        <f aca="false">IF(OR(JobType&lt;&gt;"Chemical Cleaning",Settings!$C$52=""),0,E28*1000*Settings!$C$52*IF(N(Settings!$D$52)=0,1,Settings!$D$52))</f>
        <v>0</v>
      </c>
      <c r="F41" s="37" t="n">
        <f aca="false">IF(OR(JobType&lt;&gt;"Chemical Cleaning",Settings!$C$52=""),0,F28*1000*Settings!$C$52*IF(N(Settings!$D$52)=0,1,Settings!$D$52))</f>
        <v>0</v>
      </c>
      <c r="G41" s="37" t="n">
        <f aca="false">IF(OR(JobType&lt;&gt;"Chemical Cleaning",Settings!$C$52=""),0,G28*1000*Settings!$C$52*IF(N(Settings!$D$52)=0,1,Settings!$D$52))</f>
        <v>0</v>
      </c>
      <c r="H41" s="37" t="n">
        <f aca="false">IF(OR(JobType&lt;&gt;"Chemical Cleaning",Settings!$C$52=""),0,H28*1000*Settings!$C$52*IF(N(Settings!$D$52)=0,1,Settings!$D$52))</f>
        <v>0</v>
      </c>
      <c r="I41" s="38" t="n">
        <f aca="false">SUM(D41:H41)</f>
        <v>0</v>
      </c>
    </row>
    <row r="42" customFormat="false" ht="15" hidden="false" customHeight="false" outlineLevel="0" collapsed="false">
      <c r="B42" s="4" t="s">
        <v>264</v>
      </c>
      <c r="C42" s="15" t="s">
        <v>32</v>
      </c>
      <c r="D42" s="43" t="n">
        <f aca="false">SUM(D34:D41)</f>
        <v>528.837568503306</v>
      </c>
      <c r="E42" s="43" t="n">
        <f aca="false">SUM(E34:E41)</f>
        <v>0</v>
      </c>
      <c r="F42" s="43" t="n">
        <f aca="false">SUM(F34:F41)</f>
        <v>0</v>
      </c>
      <c r="G42" s="43" t="n">
        <f aca="false">SUM(G34:G41)</f>
        <v>0</v>
      </c>
      <c r="H42" s="43" t="n">
        <f aca="false">SUM(H34:H41)</f>
        <v>0</v>
      </c>
      <c r="I42" s="43" t="n">
        <f aca="false">SUM(D42:H42)</f>
        <v>528.837568503306</v>
      </c>
    </row>
    <row r="44" customFormat="false" ht="15" hidden="false" customHeight="false" outlineLevel="0" collapsed="false">
      <c r="B44" s="41" t="s">
        <v>265</v>
      </c>
      <c r="C44" s="41"/>
      <c r="D44" s="41"/>
      <c r="E44" s="41"/>
      <c r="F44" s="41"/>
      <c r="G44" s="41"/>
      <c r="H44" s="41"/>
      <c r="I44" s="41"/>
    </row>
    <row r="45" customFormat="false" ht="15" hidden="false" customHeight="false" outlineLevel="0" collapsed="false">
      <c r="B45" s="42" t="s">
        <v>248</v>
      </c>
      <c r="C45" s="42" t="s">
        <v>78</v>
      </c>
      <c r="D45" s="42" t="str">
        <f aca="false">TrainName1</f>
        <v>Train 1</v>
      </c>
      <c r="E45" s="42" t="str">
        <f aca="false">TrainName2</f>
        <v>Train 2</v>
      </c>
      <c r="F45" s="42" t="str">
        <f aca="false">TrainName3</f>
        <v>Train 3</v>
      </c>
      <c r="G45" s="42" t="str">
        <f aca="false">TrainName4</f>
        <v>Train 4</v>
      </c>
      <c r="H45" s="42" t="str">
        <f aca="false">TrainName5</f>
        <v>Train 5</v>
      </c>
      <c r="I45" s="42" t="s">
        <v>249</v>
      </c>
    </row>
    <row r="46" customFormat="false" ht="15" hidden="false" customHeight="false" outlineLevel="0" collapsed="false">
      <c r="B46" s="10" t="str">
        <f aca="false">IF(JobType&lt;&gt;"Decontamination","(Not applicable – job type is "&amp;JobType&amp;")","")</f>
        <v>(Not applicable – job type is Chemical Cleaning)</v>
      </c>
    </row>
    <row r="47" customFormat="false" ht="15" hidden="false" customHeight="false" outlineLevel="0" collapsed="false">
      <c r="B47" s="9" t="s">
        <v>266</v>
      </c>
      <c r="C47" s="15" t="s">
        <v>32</v>
      </c>
      <c r="D47" s="37" t="n">
        <f aca="false">SUMIFS('Volume Calculation'!D:D,'Volume Calculation'!$K:$K,"HX_CHEM")</f>
        <v>0</v>
      </c>
      <c r="E47" s="37" t="n">
        <f aca="false">SUMIFS('Volume Calculation'!E:E,'Volume Calculation'!$K:$K,"HX_CHEM")</f>
        <v>0</v>
      </c>
      <c r="F47" s="37" t="n">
        <f aca="false">SUMIFS('Volume Calculation'!F:F,'Volume Calculation'!$K:$K,"HX_CHEM")</f>
        <v>0</v>
      </c>
      <c r="G47" s="37" t="n">
        <f aca="false">SUMIFS('Volume Calculation'!G:G,'Volume Calculation'!$K:$K,"HX_CHEM")</f>
        <v>0</v>
      </c>
      <c r="H47" s="37" t="n">
        <f aca="false">SUMIFS('Volume Calculation'!H:H,'Volume Calculation'!$K:$K,"HX_CHEM")</f>
        <v>0</v>
      </c>
      <c r="I47" s="38" t="n">
        <f aca="false">SUM(D47:H47)</f>
        <v>0</v>
      </c>
    </row>
    <row r="48" customFormat="false" ht="15" hidden="false" customHeight="false" outlineLevel="0" collapsed="false">
      <c r="B48" s="9" t="s">
        <v>252</v>
      </c>
      <c r="C48" s="15" t="s">
        <v>32</v>
      </c>
      <c r="D48" s="37" t="n">
        <f aca="false">SUMIFS('Volume Calculation'!D:D,'Volume Calculation'!$K:$K,"V_CHEM",'Volume Calculation'!$L:$L,"Vessel – Vertical")</f>
        <v>0</v>
      </c>
      <c r="E48" s="37" t="n">
        <f aca="false">SUMIFS('Volume Calculation'!E:E,'Volume Calculation'!$K:$K,"V_CHEM",'Volume Calculation'!$M:$M,"Vessel – Vertical")</f>
        <v>0</v>
      </c>
      <c r="F48" s="37" t="n">
        <f aca="false">SUMIFS('Volume Calculation'!F:F,'Volume Calculation'!$K:$K,"V_CHEM",'Volume Calculation'!$N:$N,"Vessel – Vertical")</f>
        <v>0</v>
      </c>
      <c r="G48" s="37" t="n">
        <f aca="false">SUMIFS('Volume Calculation'!G:G,'Volume Calculation'!$K:$K,"V_CHEM",'Volume Calculation'!$O:$O,"Vessel – Vertical")</f>
        <v>0</v>
      </c>
      <c r="H48" s="37" t="n">
        <f aca="false">SUMIFS('Volume Calculation'!H:H,'Volume Calculation'!$K:$K,"V_CHEM",'Volume Calculation'!$P:$P,"Vessel – Vertical")</f>
        <v>0</v>
      </c>
      <c r="I48" s="38" t="n">
        <f aca="false">SUM(D48:H48)</f>
        <v>0</v>
      </c>
    </row>
    <row r="49" customFormat="false" ht="15" hidden="false" customHeight="false" outlineLevel="0" collapsed="false">
      <c r="B49" s="9" t="s">
        <v>253</v>
      </c>
      <c r="C49" s="15" t="s">
        <v>32</v>
      </c>
      <c r="D49" s="37" t="n">
        <f aca="false">SUMIFS('Volume Calculation'!D:D,'Volume Calculation'!$K:$K,"V_CHEM",'Volume Calculation'!$L:$L,"Vessel – Horizontal")</f>
        <v>0</v>
      </c>
      <c r="E49" s="37" t="n">
        <f aca="false">SUMIFS('Volume Calculation'!E:E,'Volume Calculation'!$K:$K,"V_CHEM",'Volume Calculation'!$M:$M,"Vessel – Horizontal")</f>
        <v>0</v>
      </c>
      <c r="F49" s="37" t="n">
        <f aca="false">SUMIFS('Volume Calculation'!F:F,'Volume Calculation'!$K:$K,"V_CHEM",'Volume Calculation'!$N:$N,"Vessel – Horizontal")</f>
        <v>0</v>
      </c>
      <c r="G49" s="37" t="n">
        <f aca="false">SUMIFS('Volume Calculation'!G:G,'Volume Calculation'!$K:$K,"V_CHEM",'Volume Calculation'!$O:$O,"Vessel – Horizontal")</f>
        <v>0</v>
      </c>
      <c r="H49" s="37" t="n">
        <f aca="false">SUMIFS('Volume Calculation'!H:H,'Volume Calculation'!$K:$K,"V_CHEM",'Volume Calculation'!$P:$P,"Vessel – Horizontal")</f>
        <v>0</v>
      </c>
      <c r="I49" s="38" t="n">
        <f aca="false">SUM(D49:H49)</f>
        <v>0</v>
      </c>
    </row>
    <row r="50" customFormat="false" ht="15" hidden="false" customHeight="false" outlineLevel="0" collapsed="false">
      <c r="B50" s="9" t="s">
        <v>254</v>
      </c>
      <c r="C50" s="15" t="s">
        <v>32</v>
      </c>
      <c r="D50" s="37" t="n">
        <f aca="false">SUMIFS('Volume Calculation'!D:D,'Volume Calculation'!$K:$K,"V_CHEM",'Volume Calculation'!$L:$L,"Column")</f>
        <v>0</v>
      </c>
      <c r="E50" s="37" t="n">
        <f aca="false">SUMIFS('Volume Calculation'!E:E,'Volume Calculation'!$K:$K,"V_CHEM",'Volume Calculation'!$M:$M,"Column")</f>
        <v>0</v>
      </c>
      <c r="F50" s="37" t="n">
        <f aca="false">SUMIFS('Volume Calculation'!F:F,'Volume Calculation'!$K:$K,"V_CHEM",'Volume Calculation'!$N:$N,"Column")</f>
        <v>0</v>
      </c>
      <c r="G50" s="37" t="n">
        <f aca="false">SUMIFS('Volume Calculation'!G:G,'Volume Calculation'!$K:$K,"V_CHEM",'Volume Calculation'!$O:$O,"Column")</f>
        <v>0</v>
      </c>
      <c r="H50" s="37" t="n">
        <f aca="false">SUMIFS('Volume Calculation'!H:H,'Volume Calculation'!$K:$K,"V_CHEM",'Volume Calculation'!$P:$P,"Column")</f>
        <v>0</v>
      </c>
      <c r="I50" s="38" t="n">
        <f aca="false">SUM(D50:H50)</f>
        <v>0</v>
      </c>
    </row>
    <row r="51" customFormat="false" ht="15" hidden="false" customHeight="false" outlineLevel="0" collapsed="false">
      <c r="B51" s="9" t="s">
        <v>255</v>
      </c>
      <c r="C51" s="15" t="s">
        <v>32</v>
      </c>
      <c r="D51" s="37" t="n">
        <f aca="false">SUMIFS('Volume Calculation'!D:D,'Volume Calculation'!$K:$K,"V_CHEM",'Volume Calculation'!$L:$L,"Tank")</f>
        <v>0</v>
      </c>
      <c r="E51" s="37" t="n">
        <f aca="false">SUMIFS('Volume Calculation'!E:E,'Volume Calculation'!$K:$K,"V_CHEM",'Volume Calculation'!$M:$M,"Tank")</f>
        <v>0</v>
      </c>
      <c r="F51" s="37" t="n">
        <f aca="false">SUMIFS('Volume Calculation'!F:F,'Volume Calculation'!$K:$K,"V_CHEM",'Volume Calculation'!$N:$N,"Tank")</f>
        <v>0</v>
      </c>
      <c r="G51" s="37" t="n">
        <f aca="false">SUMIFS('Volume Calculation'!G:G,'Volume Calculation'!$K:$K,"V_CHEM",'Volume Calculation'!$O:$O,"Tank")</f>
        <v>0</v>
      </c>
      <c r="H51" s="37" t="n">
        <f aca="false">SUMIFS('Volume Calculation'!H:H,'Volume Calculation'!$K:$K,"V_CHEM",'Volume Calculation'!$P:$P,"Tank")</f>
        <v>0</v>
      </c>
      <c r="I51" s="38" t="n">
        <f aca="false">SUM(D51:H51)</f>
        <v>0</v>
      </c>
    </row>
    <row r="52" customFormat="false" ht="15" hidden="false" customHeight="false" outlineLevel="0" collapsed="false">
      <c r="B52" s="9" t="s">
        <v>46</v>
      </c>
      <c r="C52" s="15" t="s">
        <v>32</v>
      </c>
      <c r="D52" s="37" t="n">
        <f aca="false">SUMIFS('Volume Calculation'!D:D,'Volume Calculation'!$K:$K,"P_CHEM")</f>
        <v>0</v>
      </c>
      <c r="E52" s="37" t="n">
        <f aca="false">SUMIFS('Volume Calculation'!E:E,'Volume Calculation'!$K:$K,"P_CHEM")</f>
        <v>0</v>
      </c>
      <c r="F52" s="37" t="n">
        <f aca="false">SUMIFS('Volume Calculation'!F:F,'Volume Calculation'!$K:$K,"P_CHEM")</f>
        <v>0</v>
      </c>
      <c r="G52" s="37" t="n">
        <f aca="false">SUMIFS('Volume Calculation'!G:G,'Volume Calculation'!$K:$K,"P_CHEM")</f>
        <v>0</v>
      </c>
      <c r="H52" s="37" t="n">
        <f aca="false">SUMIFS('Volume Calculation'!H:H,'Volume Calculation'!$K:$K,"P_CHEM")</f>
        <v>0</v>
      </c>
      <c r="I52" s="38" t="n">
        <f aca="false">SUM(D52:H52)</f>
        <v>0</v>
      </c>
    </row>
    <row r="53" customFormat="false" ht="15" hidden="false" customHeight="false" outlineLevel="0" collapsed="false">
      <c r="B53" s="4" t="s">
        <v>267</v>
      </c>
      <c r="C53" s="15" t="s">
        <v>32</v>
      </c>
      <c r="D53" s="43" t="n">
        <f aca="false">SUM(D47:D52)</f>
        <v>0</v>
      </c>
      <c r="E53" s="43" t="n">
        <f aca="false">SUM(E47:E52)</f>
        <v>0</v>
      </c>
      <c r="F53" s="43" t="n">
        <f aca="false">SUM(F47:F52)</f>
        <v>0</v>
      </c>
      <c r="G53" s="43" t="n">
        <f aca="false">SUM(G47:G52)</f>
        <v>0</v>
      </c>
      <c r="H53" s="43" t="n">
        <f aca="false">SUM(H47:H52)</f>
        <v>0</v>
      </c>
      <c r="I53" s="43" t="n">
        <f aca="false">SUM(D53:H53)</f>
        <v>0</v>
      </c>
    </row>
    <row r="55" customFormat="false" ht="15" hidden="false" customHeight="false" outlineLevel="0" collapsed="false">
      <c r="B55" s="41" t="s">
        <v>268</v>
      </c>
      <c r="C55" s="41"/>
      <c r="D55" s="41"/>
      <c r="E55" s="41"/>
      <c r="F55" s="41"/>
      <c r="G55" s="41"/>
      <c r="H55" s="41"/>
      <c r="I55" s="41"/>
    </row>
    <row r="56" customFormat="false" ht="15" hidden="false" customHeight="false" outlineLevel="0" collapsed="false">
      <c r="B56" s="42" t="s">
        <v>248</v>
      </c>
      <c r="C56" s="42" t="s">
        <v>78</v>
      </c>
      <c r="D56" s="42" t="str">
        <f aca="false">TrainName1</f>
        <v>Train 1</v>
      </c>
      <c r="E56" s="42" t="str">
        <f aca="false">TrainName2</f>
        <v>Train 2</v>
      </c>
      <c r="F56" s="42" t="str">
        <f aca="false">TrainName3</f>
        <v>Train 3</v>
      </c>
      <c r="G56" s="42" t="str">
        <f aca="false">TrainName4</f>
        <v>Train 4</v>
      </c>
      <c r="H56" s="42" t="str">
        <f aca="false">TrainName5</f>
        <v>Train 5</v>
      </c>
      <c r="I56" s="42" t="s">
        <v>249</v>
      </c>
    </row>
    <row r="57" customFormat="false" ht="15" hidden="false" customHeight="false" outlineLevel="0" collapsed="false">
      <c r="B57" s="4" t="s">
        <v>269</v>
      </c>
      <c r="C57" s="15" t="s">
        <v>32</v>
      </c>
      <c r="D57" s="43" t="n">
        <f aca="false">IF(JobType="Chemical Cleaning",D42,D53)</f>
        <v>528.837568503306</v>
      </c>
      <c r="E57" s="43" t="n">
        <f aca="false">IF(JobType="Chemical Cleaning",E42,E53)</f>
        <v>0</v>
      </c>
      <c r="F57" s="43" t="n">
        <f aca="false">IF(JobType="Chemical Cleaning",F42,F53)</f>
        <v>0</v>
      </c>
      <c r="G57" s="43" t="n">
        <f aca="false">IF(JobType="Chemical Cleaning",G42,G53)</f>
        <v>0</v>
      </c>
      <c r="H57" s="43" t="n">
        <f aca="false">IF(JobType="Chemical Cleaning",H42,H53)</f>
        <v>0</v>
      </c>
      <c r="I57" s="43" t="n">
        <f aca="false">SUM(D57:H57)</f>
        <v>528.837568503306</v>
      </c>
    </row>
    <row r="58" customFormat="false" ht="15" hidden="false" customHeight="false" outlineLevel="0" collapsed="false">
      <c r="B58" s="9" t="str">
        <f aca="false">"Drums ("&amp;DrumL&amp;" L each) – rounded up per train"</f>
        <v>Drums (200 L each) – rounded up per train</v>
      </c>
      <c r="C58" s="15" t="s">
        <v>90</v>
      </c>
      <c r="D58" s="37" t="n">
        <f aca="false">IF(D57=0,0,ROUNDUP(D57/DrumL,0))</f>
        <v>3</v>
      </c>
      <c r="E58" s="37" t="n">
        <f aca="false">IF(E57=0,0,ROUNDUP(E57/DrumL,0))</f>
        <v>0</v>
      </c>
      <c r="F58" s="37" t="n">
        <f aca="false">IF(F57=0,0,ROUNDUP(F57/DrumL,0))</f>
        <v>0</v>
      </c>
      <c r="G58" s="37" t="n">
        <f aca="false">IF(G57=0,0,ROUNDUP(G57/DrumL,0))</f>
        <v>0</v>
      </c>
      <c r="H58" s="37" t="n">
        <f aca="false">IF(H57=0,0,ROUNDUP(H57/DrumL,0))</f>
        <v>0</v>
      </c>
      <c r="I58" s="38" t="n">
        <f aca="false">SUM(D58:H58)</f>
        <v>3</v>
      </c>
    </row>
    <row r="59" customFormat="false" ht="15" hidden="false" customHeight="false" outlineLevel="0" collapsed="false">
      <c r="B59" s="9" t="str">
        <f aca="false">"IBCs ("&amp;IBCL&amp;" L each) – rounded up per train"</f>
        <v>IBCs (1000 L each) – rounded up per train</v>
      </c>
      <c r="C59" s="15" t="s">
        <v>90</v>
      </c>
      <c r="D59" s="37" t="n">
        <f aca="false">IF(D57=0,0,ROUNDUP(D57/IBCL,0))</f>
        <v>1</v>
      </c>
      <c r="E59" s="37" t="n">
        <f aca="false">IF(E57=0,0,ROUNDUP(E57/IBCL,0))</f>
        <v>0</v>
      </c>
      <c r="F59" s="37" t="n">
        <f aca="false">IF(F57=0,0,ROUNDUP(F57/IBCL,0))</f>
        <v>0</v>
      </c>
      <c r="G59" s="37" t="n">
        <f aca="false">IF(G57=0,0,ROUNDUP(G57/IBCL,0))</f>
        <v>0</v>
      </c>
      <c r="H59" s="37" t="n">
        <f aca="false">IF(H57=0,0,ROUNDUP(H57/IBCL,0))</f>
        <v>0</v>
      </c>
      <c r="I59" s="38" t="n">
        <f aca="false">SUM(D59:H59)</f>
        <v>1</v>
      </c>
    </row>
    <row r="61" customFormat="false" ht="15" hidden="false" customHeight="false" outlineLevel="0" collapsed="false">
      <c r="B61" s="44" t="s">
        <v>270</v>
      </c>
    </row>
    <row r="62" customFormat="false" ht="15" hidden="false" customHeight="false" outlineLevel="0" collapsed="false">
      <c r="B62" s="10" t="s">
        <v>271</v>
      </c>
    </row>
    <row r="63" customFormat="false" ht="15" hidden="false" customHeight="false" outlineLevel="0" collapsed="false">
      <c r="B63" s="10" t="s">
        <v>272</v>
      </c>
    </row>
    <row r="64" customFormat="false" ht="15" hidden="false" customHeight="false" outlineLevel="0" collapsed="false">
      <c r="B64" s="10" t="s">
        <v>273</v>
      </c>
    </row>
    <row r="65" customFormat="false" ht="15" hidden="false" customHeight="false" outlineLevel="0" collapsed="false">
      <c r="B65" s="10" t="s">
        <v>274</v>
      </c>
    </row>
  </sheetData>
  <mergeCells count="5">
    <mergeCell ref="B5:I5"/>
    <mergeCell ref="B19:I19"/>
    <mergeCell ref="B31:I31"/>
    <mergeCell ref="B44:I44"/>
    <mergeCell ref="B55:I55"/>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16"/>
    <col collapsed="false" customWidth="true" hidden="false" outlineLevel="0" max="2" min="2" style="0" width="8"/>
    <col collapsed="false" customWidth="true" hidden="false" outlineLevel="0" max="3" min="3" style="0" width="2"/>
    <col collapsed="false" customWidth="true" hidden="false" outlineLevel="0" max="5" min="4" style="0" width="10"/>
    <col collapsed="false" customWidth="true" hidden="false" outlineLevel="0" max="6" min="6" style="0" width="2"/>
    <col collapsed="false" customWidth="true" hidden="false" outlineLevel="0" max="8" min="7" style="0" width="10"/>
    <col collapsed="false" customWidth="true" hidden="false" outlineLevel="0" max="9" min="9" style="0" width="2"/>
    <col collapsed="false" customWidth="true" hidden="false" outlineLevel="0" max="10" min="10" style="0" width="22"/>
    <col collapsed="false" customWidth="true" hidden="false" outlineLevel="0" max="11" min="11" style="0" width="14"/>
    <col collapsed="false" customWidth="true" hidden="false" outlineLevel="0" max="12" min="12" style="0" width="40"/>
    <col collapsed="false" customWidth="true" hidden="false" outlineLevel="0" max="13" min="13" style="0" width="2"/>
    <col collapsed="false" customWidth="true" hidden="false" outlineLevel="0" max="14" min="14" style="0" width="24"/>
    <col collapsed="false" customWidth="true" hidden="false" outlineLevel="0" max="15" min="15" style="0" width="14"/>
    <col collapsed="false" customWidth="true" hidden="false" outlineLevel="0" max="16" min="16" style="0" width="2"/>
    <col collapsed="false" customWidth="true" hidden="false" outlineLevel="0" max="17" min="17" style="0" width="14"/>
    <col collapsed="false" customWidth="true" hidden="false" outlineLevel="0" max="18" min="18" style="0" width="2"/>
    <col collapsed="false" customWidth="true" hidden="false" outlineLevel="0" max="19" min="19" style="0" width="18"/>
  </cols>
  <sheetData>
    <row r="1" customFormat="false" ht="15" hidden="false" customHeight="false" outlineLevel="0" collapsed="false">
      <c r="A1" s="3" t="s">
        <v>275</v>
      </c>
    </row>
    <row r="3" customFormat="false" ht="15" hidden="false" customHeight="false" outlineLevel="0" collapsed="false">
      <c r="A3" s="44" t="s">
        <v>276</v>
      </c>
      <c r="D3" s="44" t="s">
        <v>277</v>
      </c>
      <c r="G3" s="44" t="s">
        <v>278</v>
      </c>
      <c r="J3" s="44" t="s">
        <v>279</v>
      </c>
      <c r="N3" s="44" t="s">
        <v>98</v>
      </c>
      <c r="Q3" s="44" t="s">
        <v>186</v>
      </c>
      <c r="S3" s="44" t="s">
        <v>22</v>
      </c>
    </row>
    <row r="4" customFormat="false" ht="23.85" hidden="false" customHeight="false" outlineLevel="0" collapsed="false">
      <c r="A4" s="11" t="s">
        <v>78</v>
      </c>
      <c r="B4" s="11" t="s">
        <v>280</v>
      </c>
      <c r="D4" s="11" t="s">
        <v>78</v>
      </c>
      <c r="E4" s="11" t="s">
        <v>281</v>
      </c>
      <c r="G4" s="11" t="s">
        <v>78</v>
      </c>
      <c r="H4" s="11" t="s">
        <v>282</v>
      </c>
      <c r="J4" s="11" t="s">
        <v>283</v>
      </c>
      <c r="K4" s="11" t="s">
        <v>284</v>
      </c>
      <c r="L4" s="11" t="s">
        <v>285</v>
      </c>
      <c r="N4" s="11" t="s">
        <v>286</v>
      </c>
      <c r="O4" s="11" t="s">
        <v>287</v>
      </c>
      <c r="Q4" s="11" t="s">
        <v>288</v>
      </c>
      <c r="S4" s="11" t="s">
        <v>22</v>
      </c>
    </row>
    <row r="5" customFormat="false" ht="15" hidden="false" customHeight="false" outlineLevel="0" collapsed="false">
      <c r="A5" s="23" t="s">
        <v>92</v>
      </c>
      <c r="B5" s="23" t="n">
        <v>0.001</v>
      </c>
      <c r="D5" s="23" t="s">
        <v>109</v>
      </c>
      <c r="E5" s="23" t="n">
        <v>1</v>
      </c>
      <c r="G5" s="23" t="s">
        <v>112</v>
      </c>
      <c r="H5" s="23" t="n">
        <v>1</v>
      </c>
      <c r="J5" s="23" t="s">
        <v>289</v>
      </c>
      <c r="K5" s="23" t="s">
        <v>290</v>
      </c>
      <c r="L5" s="23" t="s">
        <v>291</v>
      </c>
      <c r="N5" s="23" t="s">
        <v>99</v>
      </c>
      <c r="O5" s="23" t="n">
        <f aca="false">SQRT(3)/2</f>
        <v>0.866025403784439</v>
      </c>
      <c r="Q5" s="23" t="s">
        <v>122</v>
      </c>
      <c r="S5" s="23" t="s">
        <v>23</v>
      </c>
    </row>
    <row r="6" customFormat="false" ht="15" hidden="false" customHeight="false" outlineLevel="0" collapsed="false">
      <c r="A6" s="23" t="s">
        <v>292</v>
      </c>
      <c r="B6" s="23" t="n">
        <v>0.01</v>
      </c>
      <c r="D6" s="23" t="s">
        <v>32</v>
      </c>
      <c r="E6" s="23" t="n">
        <v>0.001</v>
      </c>
      <c r="G6" s="23" t="s">
        <v>293</v>
      </c>
      <c r="H6" s="23" t="n">
        <v>1000</v>
      </c>
      <c r="J6" s="23" t="s">
        <v>103</v>
      </c>
      <c r="K6" s="23" t="s">
        <v>290</v>
      </c>
      <c r="L6" s="23" t="s">
        <v>294</v>
      </c>
      <c r="N6" s="23" t="s">
        <v>295</v>
      </c>
      <c r="O6" s="23" t="n">
        <f aca="false">SQRT(3)/2</f>
        <v>0.866025403784439</v>
      </c>
      <c r="Q6" s="23" t="s">
        <v>296</v>
      </c>
      <c r="S6" s="23" t="s">
        <v>297</v>
      </c>
    </row>
    <row r="7" customFormat="false" ht="15" hidden="false" customHeight="false" outlineLevel="0" collapsed="false">
      <c r="A7" s="23" t="s">
        <v>231</v>
      </c>
      <c r="B7" s="23" t="n">
        <v>1</v>
      </c>
      <c r="D7" s="23" t="s">
        <v>258</v>
      </c>
      <c r="E7" s="23" t="n">
        <v>0.003785411784</v>
      </c>
      <c r="G7" s="23" t="s">
        <v>298</v>
      </c>
      <c r="H7" s="23" t="n">
        <v>0.45359237</v>
      </c>
      <c r="J7" s="23" t="s">
        <v>107</v>
      </c>
      <c r="K7" s="23" t="n">
        <f aca="false">PI()/24</f>
        <v>0.130899693899575</v>
      </c>
      <c r="L7" s="23" t="s">
        <v>299</v>
      </c>
      <c r="N7" s="23" t="s">
        <v>300</v>
      </c>
      <c r="O7" s="23" t="n">
        <v>1</v>
      </c>
    </row>
    <row r="8" customFormat="false" ht="15" hidden="false" customHeight="false" outlineLevel="0" collapsed="false">
      <c r="A8" s="23" t="s">
        <v>301</v>
      </c>
      <c r="B8" s="23" t="n">
        <v>0.0254</v>
      </c>
      <c r="D8" s="23" t="s">
        <v>302</v>
      </c>
      <c r="E8" s="23" t="n">
        <v>0.00454609</v>
      </c>
      <c r="J8" s="23" t="s">
        <v>303</v>
      </c>
      <c r="K8" s="23" t="n">
        <f aca="false">PI()/12</f>
        <v>0.261799387799149</v>
      </c>
      <c r="L8" s="23" t="s">
        <v>304</v>
      </c>
      <c r="N8" s="23" t="s">
        <v>305</v>
      </c>
      <c r="O8" s="23" t="n">
        <v>1</v>
      </c>
    </row>
    <row r="9" customFormat="false" ht="15" hidden="false" customHeight="false" outlineLevel="0" collapsed="false">
      <c r="A9" s="23" t="s">
        <v>306</v>
      </c>
      <c r="B9" s="23" t="n">
        <v>0.3048</v>
      </c>
      <c r="D9" s="23" t="s">
        <v>307</v>
      </c>
      <c r="E9" s="23" t="n">
        <v>0.158987294928</v>
      </c>
      <c r="J9" s="23" t="s">
        <v>308</v>
      </c>
      <c r="K9" s="23" t="s">
        <v>309</v>
      </c>
      <c r="L9" s="23" t="s">
        <v>310</v>
      </c>
    </row>
    <row r="10" customFormat="false" ht="15" hidden="false" customHeight="false" outlineLevel="0" collapsed="false">
      <c r="D10" s="23" t="s">
        <v>311</v>
      </c>
      <c r="E10" s="23" t="n">
        <v>0.028316846592</v>
      </c>
      <c r="J10" s="23" t="s">
        <v>312</v>
      </c>
      <c r="K10" s="23" t="s">
        <v>290</v>
      </c>
      <c r="L10" s="23" t="s">
        <v>313</v>
      </c>
    </row>
    <row r="14" customFormat="false" ht="15" hidden="false" customHeight="false" outlineLevel="0" collapsed="false">
      <c r="A14" s="44" t="s">
        <v>314</v>
      </c>
    </row>
    <row r="15" customFormat="false" ht="57.45" hidden="false" customHeight="false" outlineLevel="0" collapsed="false">
      <c r="A15" s="11" t="s">
        <v>315</v>
      </c>
      <c r="B15" s="11" t="s">
        <v>316</v>
      </c>
      <c r="C15" s="11" t="s">
        <v>317</v>
      </c>
      <c r="D15" s="11" t="s">
        <v>318</v>
      </c>
      <c r="E15" s="11" t="s">
        <v>319</v>
      </c>
      <c r="F15" s="11" t="s">
        <v>320</v>
      </c>
      <c r="G15" s="11" t="s">
        <v>321</v>
      </c>
      <c r="H15" s="11" t="s">
        <v>228</v>
      </c>
      <c r="I15" s="11" t="s">
        <v>322</v>
      </c>
      <c r="J15" s="11" t="s">
        <v>323</v>
      </c>
      <c r="K15" s="11" t="s">
        <v>324</v>
      </c>
      <c r="L15" s="11" t="s">
        <v>325</v>
      </c>
      <c r="M15" s="11" t="s">
        <v>326</v>
      </c>
      <c r="N15" s="11" t="s">
        <v>327</v>
      </c>
      <c r="O15" s="11" t="s">
        <v>328</v>
      </c>
      <c r="P15" s="11" t="s">
        <v>329</v>
      </c>
      <c r="Q15" s="11" t="s">
        <v>330</v>
      </c>
      <c r="R15" s="11" t="s">
        <v>331</v>
      </c>
      <c r="S15" s="11" t="s">
        <v>332</v>
      </c>
    </row>
    <row r="16" customFormat="false" ht="15" hidden="false" customHeight="false" outlineLevel="0" collapsed="false">
      <c r="A16" s="45" t="s">
        <v>333</v>
      </c>
      <c r="B16" s="23" t="n">
        <v>21.3</v>
      </c>
      <c r="C16" s="23" t="n">
        <v>1.65</v>
      </c>
      <c r="D16" s="23" t="n">
        <v>2.11</v>
      </c>
      <c r="E16" s="23"/>
      <c r="F16" s="23"/>
      <c r="G16" s="23"/>
      <c r="H16" s="23" t="n">
        <v>2.77</v>
      </c>
      <c r="I16" s="23" t="n">
        <v>2.77</v>
      </c>
      <c r="J16" s="23" t="n">
        <v>2.77</v>
      </c>
      <c r="K16" s="23"/>
      <c r="L16" s="23" t="n">
        <v>3.73</v>
      </c>
      <c r="M16" s="23" t="n">
        <v>3.73</v>
      </c>
      <c r="N16" s="23" t="n">
        <v>3.73</v>
      </c>
      <c r="O16" s="23"/>
      <c r="P16" s="23"/>
      <c r="Q16" s="23"/>
      <c r="R16" s="23" t="n">
        <v>4.78</v>
      </c>
      <c r="S16" s="23" t="n">
        <v>7.47</v>
      </c>
    </row>
    <row r="17" customFormat="false" ht="15" hidden="false" customHeight="false" outlineLevel="0" collapsed="false">
      <c r="A17" s="45" t="s">
        <v>334</v>
      </c>
      <c r="B17" s="23" t="n">
        <v>26.7</v>
      </c>
      <c r="C17" s="23" t="n">
        <v>1.65</v>
      </c>
      <c r="D17" s="23" t="n">
        <v>2.11</v>
      </c>
      <c r="E17" s="23"/>
      <c r="F17" s="23"/>
      <c r="G17" s="23"/>
      <c r="H17" s="23" t="n">
        <v>2.87</v>
      </c>
      <c r="I17" s="23" t="n">
        <v>2.87</v>
      </c>
      <c r="J17" s="23" t="n">
        <v>2.87</v>
      </c>
      <c r="K17" s="23"/>
      <c r="L17" s="23" t="n">
        <v>3.91</v>
      </c>
      <c r="M17" s="23" t="n">
        <v>3.91</v>
      </c>
      <c r="N17" s="23" t="n">
        <v>3.91</v>
      </c>
      <c r="O17" s="23"/>
      <c r="P17" s="23"/>
      <c r="Q17" s="23"/>
      <c r="R17" s="23" t="n">
        <v>5.56</v>
      </c>
      <c r="S17" s="23" t="n">
        <v>7.82</v>
      </c>
    </row>
    <row r="18" customFormat="false" ht="15" hidden="false" customHeight="false" outlineLevel="0" collapsed="false">
      <c r="A18" s="45" t="s">
        <v>335</v>
      </c>
      <c r="B18" s="23" t="n">
        <v>33.4</v>
      </c>
      <c r="C18" s="23" t="n">
        <v>1.65</v>
      </c>
      <c r="D18" s="23" t="n">
        <v>2.77</v>
      </c>
      <c r="E18" s="23"/>
      <c r="F18" s="23"/>
      <c r="G18" s="23"/>
      <c r="H18" s="23" t="n">
        <v>3.38</v>
      </c>
      <c r="I18" s="23" t="n">
        <v>3.38</v>
      </c>
      <c r="J18" s="23" t="n">
        <v>3.38</v>
      </c>
      <c r="K18" s="23"/>
      <c r="L18" s="23" t="n">
        <v>4.55</v>
      </c>
      <c r="M18" s="23" t="n">
        <v>4.55</v>
      </c>
      <c r="N18" s="23" t="n">
        <v>4.55</v>
      </c>
      <c r="O18" s="23"/>
      <c r="P18" s="23"/>
      <c r="Q18" s="23"/>
      <c r="R18" s="23" t="n">
        <v>6.35</v>
      </c>
      <c r="S18" s="23" t="n">
        <v>9.09</v>
      </c>
    </row>
    <row r="19" customFormat="false" ht="15" hidden="false" customHeight="false" outlineLevel="0" collapsed="false">
      <c r="A19" s="45" t="s">
        <v>336</v>
      </c>
      <c r="B19" s="23" t="n">
        <v>42.2</v>
      </c>
      <c r="C19" s="23" t="n">
        <v>1.65</v>
      </c>
      <c r="D19" s="23" t="n">
        <v>2.77</v>
      </c>
      <c r="E19" s="23"/>
      <c r="F19" s="23"/>
      <c r="G19" s="23"/>
      <c r="H19" s="23" t="n">
        <v>3.56</v>
      </c>
      <c r="I19" s="23" t="n">
        <v>3.56</v>
      </c>
      <c r="J19" s="23" t="n">
        <v>3.56</v>
      </c>
      <c r="K19" s="23"/>
      <c r="L19" s="23" t="n">
        <v>4.85</v>
      </c>
      <c r="M19" s="23" t="n">
        <v>4.85</v>
      </c>
      <c r="N19" s="23" t="n">
        <v>4.85</v>
      </c>
      <c r="O19" s="23"/>
      <c r="P19" s="23"/>
      <c r="Q19" s="23"/>
      <c r="R19" s="23" t="n">
        <v>6.35</v>
      </c>
      <c r="S19" s="23" t="n">
        <v>9.7</v>
      </c>
    </row>
    <row r="20" customFormat="false" ht="15" hidden="false" customHeight="false" outlineLevel="0" collapsed="false">
      <c r="A20" s="45" t="s">
        <v>337</v>
      </c>
      <c r="B20" s="23" t="n">
        <v>48.3</v>
      </c>
      <c r="C20" s="23" t="n">
        <v>1.65</v>
      </c>
      <c r="D20" s="23" t="n">
        <v>2.77</v>
      </c>
      <c r="E20" s="23"/>
      <c r="F20" s="23"/>
      <c r="G20" s="23"/>
      <c r="H20" s="23" t="n">
        <v>3.68</v>
      </c>
      <c r="I20" s="23" t="n">
        <v>3.68</v>
      </c>
      <c r="J20" s="23" t="n">
        <v>3.68</v>
      </c>
      <c r="K20" s="23"/>
      <c r="L20" s="23" t="n">
        <v>5.08</v>
      </c>
      <c r="M20" s="23" t="n">
        <v>5.08</v>
      </c>
      <c r="N20" s="23" t="n">
        <v>5.08</v>
      </c>
      <c r="O20" s="23"/>
      <c r="P20" s="23"/>
      <c r="Q20" s="23"/>
      <c r="R20" s="23" t="n">
        <v>7.14</v>
      </c>
      <c r="S20" s="23" t="n">
        <v>10.15</v>
      </c>
    </row>
    <row r="21" customFormat="false" ht="15" hidden="false" customHeight="false" outlineLevel="0" collapsed="false">
      <c r="A21" s="45" t="s">
        <v>338</v>
      </c>
      <c r="B21" s="23" t="n">
        <v>60.3</v>
      </c>
      <c r="C21" s="23" t="n">
        <v>1.65</v>
      </c>
      <c r="D21" s="23" t="n">
        <v>2.77</v>
      </c>
      <c r="E21" s="23"/>
      <c r="F21" s="23"/>
      <c r="G21" s="23"/>
      <c r="H21" s="23" t="n">
        <v>3.91</v>
      </c>
      <c r="I21" s="23" t="n">
        <v>3.91</v>
      </c>
      <c r="J21" s="23" t="n">
        <v>3.91</v>
      </c>
      <c r="K21" s="23"/>
      <c r="L21" s="23" t="n">
        <v>5.54</v>
      </c>
      <c r="M21" s="23" t="n">
        <v>5.54</v>
      </c>
      <c r="N21" s="23" t="n">
        <v>5.54</v>
      </c>
      <c r="O21" s="23"/>
      <c r="P21" s="23"/>
      <c r="Q21" s="23"/>
      <c r="R21" s="23" t="n">
        <v>8.74</v>
      </c>
      <c r="S21" s="23" t="n">
        <v>11.07</v>
      </c>
    </row>
    <row r="22" customFormat="false" ht="15" hidden="false" customHeight="false" outlineLevel="0" collapsed="false">
      <c r="A22" s="45" t="s">
        <v>339</v>
      </c>
      <c r="B22" s="23" t="n">
        <v>73</v>
      </c>
      <c r="C22" s="23" t="n">
        <v>2.11</v>
      </c>
      <c r="D22" s="23" t="n">
        <v>3.05</v>
      </c>
      <c r="E22" s="23"/>
      <c r="F22" s="23"/>
      <c r="G22" s="23"/>
      <c r="H22" s="23" t="n">
        <v>5.16</v>
      </c>
      <c r="I22" s="23" t="n">
        <v>5.16</v>
      </c>
      <c r="J22" s="23" t="n">
        <v>5.16</v>
      </c>
      <c r="K22" s="23"/>
      <c r="L22" s="23" t="n">
        <v>7.01</v>
      </c>
      <c r="M22" s="23" t="n">
        <v>7.01</v>
      </c>
      <c r="N22" s="23" t="n">
        <v>7.01</v>
      </c>
      <c r="O22" s="23"/>
      <c r="P22" s="23"/>
      <c r="Q22" s="23"/>
      <c r="R22" s="23" t="n">
        <v>9.53</v>
      </c>
      <c r="S22" s="23" t="n">
        <v>14.02</v>
      </c>
    </row>
    <row r="23" customFormat="false" ht="15" hidden="false" customHeight="false" outlineLevel="0" collapsed="false">
      <c r="A23" s="45" t="s">
        <v>340</v>
      </c>
      <c r="B23" s="23" t="n">
        <v>88.9</v>
      </c>
      <c r="C23" s="23" t="n">
        <v>2.11</v>
      </c>
      <c r="D23" s="23" t="n">
        <v>3.05</v>
      </c>
      <c r="E23" s="23"/>
      <c r="F23" s="23"/>
      <c r="G23" s="23"/>
      <c r="H23" s="23" t="n">
        <v>5.49</v>
      </c>
      <c r="I23" s="23" t="n">
        <v>5.49</v>
      </c>
      <c r="J23" s="23" t="n">
        <v>5.49</v>
      </c>
      <c r="K23" s="23"/>
      <c r="L23" s="23" t="n">
        <v>7.62</v>
      </c>
      <c r="M23" s="23" t="n">
        <v>7.62</v>
      </c>
      <c r="N23" s="23" t="n">
        <v>7.62</v>
      </c>
      <c r="O23" s="23"/>
      <c r="P23" s="23"/>
      <c r="Q23" s="23"/>
      <c r="R23" s="23" t="n">
        <v>11.13</v>
      </c>
      <c r="S23" s="23" t="n">
        <v>15.24</v>
      </c>
    </row>
    <row r="24" customFormat="false" ht="15" hidden="false" customHeight="false" outlineLevel="0" collapsed="false">
      <c r="A24" s="45" t="s">
        <v>341</v>
      </c>
      <c r="B24" s="23" t="n">
        <v>114.3</v>
      </c>
      <c r="C24" s="23" t="n">
        <v>2.11</v>
      </c>
      <c r="D24" s="23" t="n">
        <v>3.05</v>
      </c>
      <c r="E24" s="23"/>
      <c r="F24" s="23"/>
      <c r="G24" s="23"/>
      <c r="H24" s="23" t="n">
        <v>6.02</v>
      </c>
      <c r="I24" s="23" t="n">
        <v>6.02</v>
      </c>
      <c r="J24" s="23" t="n">
        <v>6.02</v>
      </c>
      <c r="K24" s="23"/>
      <c r="L24" s="23" t="n">
        <v>8.56</v>
      </c>
      <c r="M24" s="23" t="n">
        <v>8.56</v>
      </c>
      <c r="N24" s="23" t="n">
        <v>8.56</v>
      </c>
      <c r="O24" s="23"/>
      <c r="P24" s="23" t="n">
        <v>11.13</v>
      </c>
      <c r="Q24" s="23"/>
      <c r="R24" s="23" t="n">
        <v>13.49</v>
      </c>
      <c r="S24" s="23" t="n">
        <v>17.12</v>
      </c>
    </row>
    <row r="25" customFormat="false" ht="15" hidden="false" customHeight="false" outlineLevel="0" collapsed="false">
      <c r="A25" s="45" t="s">
        <v>342</v>
      </c>
      <c r="B25" s="23" t="n">
        <v>141.3</v>
      </c>
      <c r="C25" s="23" t="n">
        <v>2.77</v>
      </c>
      <c r="D25" s="23" t="n">
        <v>3.4</v>
      </c>
      <c r="E25" s="23"/>
      <c r="F25" s="23"/>
      <c r="G25" s="23"/>
      <c r="H25" s="23" t="n">
        <v>6.55</v>
      </c>
      <c r="I25" s="23" t="n">
        <v>6.55</v>
      </c>
      <c r="J25" s="23" t="n">
        <v>6.55</v>
      </c>
      <c r="K25" s="23"/>
      <c r="L25" s="23" t="n">
        <v>9.53</v>
      </c>
      <c r="M25" s="23" t="n">
        <v>9.53</v>
      </c>
      <c r="N25" s="23" t="n">
        <v>9.53</v>
      </c>
      <c r="O25" s="23"/>
      <c r="P25" s="23" t="n">
        <v>12.7</v>
      </c>
      <c r="Q25" s="23"/>
      <c r="R25" s="23" t="n">
        <v>15.88</v>
      </c>
      <c r="S25" s="23" t="n">
        <v>19.05</v>
      </c>
    </row>
    <row r="26" customFormat="false" ht="15" hidden="false" customHeight="false" outlineLevel="0" collapsed="false">
      <c r="A26" s="45" t="s">
        <v>226</v>
      </c>
      <c r="B26" s="23" t="n">
        <v>168.3</v>
      </c>
      <c r="C26" s="23" t="n">
        <v>2.77</v>
      </c>
      <c r="D26" s="23" t="n">
        <v>3.4</v>
      </c>
      <c r="E26" s="23"/>
      <c r="F26" s="23"/>
      <c r="G26" s="23"/>
      <c r="H26" s="23" t="n">
        <v>7.11</v>
      </c>
      <c r="I26" s="23" t="n">
        <v>7.11</v>
      </c>
      <c r="J26" s="23" t="n">
        <v>7.11</v>
      </c>
      <c r="K26" s="23"/>
      <c r="L26" s="23" t="n">
        <v>10.97</v>
      </c>
      <c r="M26" s="23" t="n">
        <v>10.97</v>
      </c>
      <c r="N26" s="23" t="n">
        <v>10.97</v>
      </c>
      <c r="O26" s="23"/>
      <c r="P26" s="23" t="n">
        <v>14.27</v>
      </c>
      <c r="Q26" s="23"/>
      <c r="R26" s="23" t="n">
        <v>18.26</v>
      </c>
      <c r="S26" s="23" t="n">
        <v>21.95</v>
      </c>
    </row>
    <row r="27" customFormat="false" ht="15" hidden="false" customHeight="false" outlineLevel="0" collapsed="false">
      <c r="A27" s="45" t="s">
        <v>343</v>
      </c>
      <c r="B27" s="23" t="n">
        <v>219.1</v>
      </c>
      <c r="C27" s="23" t="n">
        <v>2.77</v>
      </c>
      <c r="D27" s="23" t="n">
        <v>3.76</v>
      </c>
      <c r="E27" s="23"/>
      <c r="F27" s="23" t="n">
        <v>6.35</v>
      </c>
      <c r="G27" s="23" t="n">
        <v>7.04</v>
      </c>
      <c r="H27" s="23" t="n">
        <v>8.18</v>
      </c>
      <c r="I27" s="23" t="n">
        <v>8.18</v>
      </c>
      <c r="J27" s="23" t="n">
        <v>8.18</v>
      </c>
      <c r="K27" s="23" t="n">
        <v>10.31</v>
      </c>
      <c r="L27" s="23" t="n">
        <v>12.7</v>
      </c>
      <c r="M27" s="23" t="n">
        <v>12.7</v>
      </c>
      <c r="N27" s="23" t="n">
        <v>12.7</v>
      </c>
      <c r="O27" s="23" t="n">
        <v>15.09</v>
      </c>
      <c r="P27" s="23" t="n">
        <v>18.26</v>
      </c>
      <c r="Q27" s="23" t="n">
        <v>20.62</v>
      </c>
      <c r="R27" s="23" t="n">
        <v>23.01</v>
      </c>
      <c r="S27" s="23" t="n">
        <v>22.23</v>
      </c>
    </row>
    <row r="28" customFormat="false" ht="15" hidden="false" customHeight="false" outlineLevel="0" collapsed="false">
      <c r="A28" s="45" t="s">
        <v>344</v>
      </c>
      <c r="B28" s="23" t="n">
        <v>273</v>
      </c>
      <c r="C28" s="23" t="n">
        <v>3.4</v>
      </c>
      <c r="D28" s="23" t="n">
        <v>4.19</v>
      </c>
      <c r="E28" s="23"/>
      <c r="F28" s="23" t="n">
        <v>6.35</v>
      </c>
      <c r="G28" s="23" t="n">
        <v>7.8</v>
      </c>
      <c r="H28" s="23" t="n">
        <v>9.27</v>
      </c>
      <c r="I28" s="23" t="n">
        <v>9.27</v>
      </c>
      <c r="J28" s="23" t="n">
        <v>9.27</v>
      </c>
      <c r="K28" s="23" t="n">
        <v>12.7</v>
      </c>
      <c r="L28" s="23" t="n">
        <v>15.09</v>
      </c>
      <c r="M28" s="23" t="n">
        <v>12.7</v>
      </c>
      <c r="N28" s="23" t="n">
        <v>12.7</v>
      </c>
      <c r="O28" s="23" t="n">
        <v>18.26</v>
      </c>
      <c r="P28" s="23" t="n">
        <v>21.44</v>
      </c>
      <c r="Q28" s="23" t="n">
        <v>25.4</v>
      </c>
      <c r="R28" s="23" t="n">
        <v>28.58</v>
      </c>
      <c r="S28" s="23" t="n">
        <v>25.4</v>
      </c>
    </row>
    <row r="29" customFormat="false" ht="15" hidden="false" customHeight="false" outlineLevel="0" collapsed="false">
      <c r="A29" s="45" t="s">
        <v>345</v>
      </c>
      <c r="B29" s="23" t="n">
        <v>323.8</v>
      </c>
      <c r="C29" s="23" t="n">
        <v>3.96</v>
      </c>
      <c r="D29" s="23" t="n">
        <v>4.57</v>
      </c>
      <c r="E29" s="23"/>
      <c r="F29" s="23" t="n">
        <v>6.35</v>
      </c>
      <c r="G29" s="23" t="n">
        <v>8.38</v>
      </c>
      <c r="H29" s="23" t="n">
        <v>10.31</v>
      </c>
      <c r="I29" s="23" t="n">
        <v>9.53</v>
      </c>
      <c r="J29" s="23" t="n">
        <v>9.53</v>
      </c>
      <c r="K29" s="23" t="n">
        <v>14.27</v>
      </c>
      <c r="L29" s="23" t="n">
        <v>17.48</v>
      </c>
      <c r="M29" s="23" t="n">
        <v>12.7</v>
      </c>
      <c r="N29" s="23" t="n">
        <v>12.7</v>
      </c>
      <c r="O29" s="23" t="n">
        <v>21.44</v>
      </c>
      <c r="P29" s="23" t="n">
        <v>25.4</v>
      </c>
      <c r="Q29" s="23" t="n">
        <v>28.58</v>
      </c>
      <c r="R29" s="23" t="n">
        <v>33.32</v>
      </c>
      <c r="S29" s="23" t="n">
        <v>25.4</v>
      </c>
    </row>
    <row r="30" customFormat="false" ht="15" hidden="false" customHeight="false" outlineLevel="0" collapsed="false">
      <c r="A30" s="45" t="s">
        <v>346</v>
      </c>
      <c r="B30" s="23" t="n">
        <v>355.6</v>
      </c>
      <c r="C30" s="23" t="n">
        <v>3.96</v>
      </c>
      <c r="D30" s="23" t="n">
        <v>4.78</v>
      </c>
      <c r="E30" s="23" t="n">
        <v>6.35</v>
      </c>
      <c r="F30" s="23" t="n">
        <v>7.92</v>
      </c>
      <c r="G30" s="23" t="n">
        <v>9.53</v>
      </c>
      <c r="H30" s="23" t="n">
        <v>11.13</v>
      </c>
      <c r="I30" s="23" t="n">
        <v>9.53</v>
      </c>
      <c r="J30" s="23"/>
      <c r="K30" s="23" t="n">
        <v>15.09</v>
      </c>
      <c r="L30" s="23" t="n">
        <v>19.05</v>
      </c>
      <c r="M30" s="23" t="n">
        <v>12.7</v>
      </c>
      <c r="N30" s="23"/>
      <c r="O30" s="23" t="n">
        <v>23.83</v>
      </c>
      <c r="P30" s="23" t="n">
        <v>27.79</v>
      </c>
      <c r="Q30" s="23" t="n">
        <v>31.75</v>
      </c>
      <c r="R30" s="23" t="n">
        <v>35.71</v>
      </c>
      <c r="S30" s="23"/>
    </row>
    <row r="31" customFormat="false" ht="15" hidden="false" customHeight="false" outlineLevel="0" collapsed="false">
      <c r="A31" s="45" t="s">
        <v>347</v>
      </c>
      <c r="B31" s="23" t="n">
        <v>406.4</v>
      </c>
      <c r="C31" s="23" t="n">
        <v>4.19</v>
      </c>
      <c r="D31" s="23" t="n">
        <v>4.78</v>
      </c>
      <c r="E31" s="23" t="n">
        <v>6.35</v>
      </c>
      <c r="F31" s="23" t="n">
        <v>7.92</v>
      </c>
      <c r="G31" s="23" t="n">
        <v>9.53</v>
      </c>
      <c r="H31" s="23" t="n">
        <v>12.7</v>
      </c>
      <c r="I31" s="23" t="n">
        <v>9.53</v>
      </c>
      <c r="J31" s="23"/>
      <c r="K31" s="23" t="n">
        <v>16.66</v>
      </c>
      <c r="L31" s="23" t="n">
        <v>21.44</v>
      </c>
      <c r="M31" s="23" t="n">
        <v>12.7</v>
      </c>
      <c r="N31" s="23"/>
      <c r="O31" s="23" t="n">
        <v>26.19</v>
      </c>
      <c r="P31" s="23" t="n">
        <v>30.96</v>
      </c>
      <c r="Q31" s="23" t="n">
        <v>36.53</v>
      </c>
      <c r="R31" s="23" t="n">
        <v>40.49</v>
      </c>
      <c r="S31" s="23"/>
    </row>
    <row r="32" customFormat="false" ht="15" hidden="false" customHeight="false" outlineLevel="0" collapsed="false">
      <c r="A32" s="45" t="s">
        <v>348</v>
      </c>
      <c r="B32" s="23" t="n">
        <v>457</v>
      </c>
      <c r="C32" s="23" t="n">
        <v>4.19</v>
      </c>
      <c r="D32" s="23" t="n">
        <v>4.78</v>
      </c>
      <c r="E32" s="23" t="n">
        <v>6.35</v>
      </c>
      <c r="F32" s="23" t="n">
        <v>7.92</v>
      </c>
      <c r="G32" s="23" t="n">
        <v>11.13</v>
      </c>
      <c r="H32" s="23" t="n">
        <v>14.27</v>
      </c>
      <c r="I32" s="23" t="n">
        <v>9.53</v>
      </c>
      <c r="J32" s="23"/>
      <c r="K32" s="23" t="n">
        <v>19.05</v>
      </c>
      <c r="L32" s="23" t="n">
        <v>23.83</v>
      </c>
      <c r="M32" s="23" t="n">
        <v>12.7</v>
      </c>
      <c r="N32" s="23"/>
      <c r="O32" s="23" t="n">
        <v>29.36</v>
      </c>
      <c r="P32" s="23" t="n">
        <v>34.93</v>
      </c>
      <c r="Q32" s="23" t="n">
        <v>39.67</v>
      </c>
      <c r="R32" s="23" t="n">
        <v>45.24</v>
      </c>
      <c r="S32" s="23"/>
    </row>
    <row r="33" customFormat="false" ht="15" hidden="false" customHeight="false" outlineLevel="0" collapsed="false">
      <c r="A33" s="45" t="s">
        <v>349</v>
      </c>
      <c r="B33" s="23" t="n">
        <v>508</v>
      </c>
      <c r="C33" s="23" t="n">
        <v>4.78</v>
      </c>
      <c r="D33" s="23" t="n">
        <v>5.54</v>
      </c>
      <c r="E33" s="23" t="n">
        <v>6.35</v>
      </c>
      <c r="F33" s="23" t="n">
        <v>9.53</v>
      </c>
      <c r="G33" s="23" t="n">
        <v>12.7</v>
      </c>
      <c r="H33" s="23" t="n">
        <v>15.09</v>
      </c>
      <c r="I33" s="23" t="n">
        <v>9.53</v>
      </c>
      <c r="J33" s="23"/>
      <c r="K33" s="23" t="n">
        <v>20.62</v>
      </c>
      <c r="L33" s="23" t="n">
        <v>26.19</v>
      </c>
      <c r="M33" s="23" t="n">
        <v>12.7</v>
      </c>
      <c r="N33" s="23"/>
      <c r="O33" s="23" t="n">
        <v>32.54</v>
      </c>
      <c r="P33" s="23" t="n">
        <v>38.1</v>
      </c>
      <c r="Q33" s="23" t="n">
        <v>44.45</v>
      </c>
      <c r="R33" s="23" t="n">
        <v>50.01</v>
      </c>
      <c r="S33" s="23"/>
    </row>
    <row r="34" customFormat="false" ht="15" hidden="false" customHeight="false" outlineLevel="0" collapsed="false">
      <c r="A34" s="45" t="s">
        <v>350</v>
      </c>
      <c r="B34" s="23" t="n">
        <v>610</v>
      </c>
      <c r="C34" s="23" t="n">
        <v>5.54</v>
      </c>
      <c r="D34" s="23" t="n">
        <v>6.35</v>
      </c>
      <c r="E34" s="23" t="n">
        <v>6.35</v>
      </c>
      <c r="F34" s="23" t="n">
        <v>9.53</v>
      </c>
      <c r="G34" s="23" t="n">
        <v>14.27</v>
      </c>
      <c r="H34" s="23" t="n">
        <v>17.48</v>
      </c>
      <c r="I34" s="23" t="n">
        <v>9.53</v>
      </c>
      <c r="J34" s="23"/>
      <c r="K34" s="23" t="n">
        <v>24.61</v>
      </c>
      <c r="L34" s="23" t="n">
        <v>30.96</v>
      </c>
      <c r="M34" s="23" t="n">
        <v>12.7</v>
      </c>
      <c r="N34" s="23"/>
      <c r="O34" s="23" t="n">
        <v>38.89</v>
      </c>
      <c r="P34" s="23" t="n">
        <v>46.02</v>
      </c>
      <c r="Q34" s="23" t="n">
        <v>52.37</v>
      </c>
      <c r="R34" s="23" t="n">
        <v>59.54</v>
      </c>
      <c r="S34" s="23"/>
    </row>
    <row r="35" customFormat="false" ht="15" hidden="false" customHeight="false" outlineLevel="0" collapsed="false">
      <c r="A35" s="45" t="s">
        <v>351</v>
      </c>
      <c r="B35" s="23" t="n">
        <v>762</v>
      </c>
      <c r="C35" s="23" t="n">
        <v>6.35</v>
      </c>
      <c r="D35" s="23" t="n">
        <v>7.92</v>
      </c>
      <c r="E35" s="23" t="n">
        <v>7.92</v>
      </c>
      <c r="F35" s="23" t="n">
        <v>12.7</v>
      </c>
      <c r="G35" s="23" t="n">
        <v>15.88</v>
      </c>
      <c r="H35" s="23"/>
      <c r="I35" s="23" t="n">
        <v>9.53</v>
      </c>
      <c r="J35" s="23"/>
      <c r="K35" s="23"/>
      <c r="L35" s="23"/>
      <c r="M35" s="23" t="n">
        <v>12.7</v>
      </c>
      <c r="N35" s="23"/>
      <c r="O35" s="23"/>
      <c r="P35" s="23"/>
      <c r="Q35" s="23"/>
      <c r="R35" s="23"/>
      <c r="S35" s="23"/>
    </row>
    <row r="36" customFormat="false" ht="15" hidden="false" customHeight="false" outlineLevel="0" collapsed="false">
      <c r="A36" s="45" t="s">
        <v>352</v>
      </c>
      <c r="B36" s="23" t="n">
        <v>914</v>
      </c>
      <c r="C36" s="23"/>
      <c r="D36" s="23"/>
      <c r="E36" s="23" t="n">
        <v>7.92</v>
      </c>
      <c r="F36" s="23" t="n">
        <v>12.7</v>
      </c>
      <c r="G36" s="23" t="n">
        <v>15.88</v>
      </c>
      <c r="H36" s="23" t="n">
        <v>19.05</v>
      </c>
      <c r="I36" s="23" t="n">
        <v>9.53</v>
      </c>
      <c r="J36" s="23"/>
      <c r="K36" s="23"/>
      <c r="L36" s="23"/>
      <c r="M36" s="23" t="n">
        <v>12.7</v>
      </c>
      <c r="N36" s="23"/>
      <c r="O36" s="23"/>
      <c r="P36" s="23"/>
      <c r="Q36" s="23"/>
      <c r="R36" s="23"/>
      <c r="S36" s="23"/>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2026-10-05T08:14:18Z</dcterms:created>
  <dc:creator>openpyxl</dc:creator>
  <dc:description/>
  <dc:language>en-US</dc:language>
  <cp:lastModifiedBy/>
  <dcterms:modified xsi:type="dcterms:W3CDTF">2026-10-05T08:14:19Z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
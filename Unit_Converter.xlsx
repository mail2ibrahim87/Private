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Length" sheetId="2" state="visible" r:id="rId4"/>
    <sheet name="Area" sheetId="3" state="visible" r:id="rId5"/>
    <sheet name="Volume" sheetId="4" state="visible" r:id="rId6"/>
    <sheet name="Mass" sheetId="5" state="visible" r:id="rId7"/>
    <sheet name="Temperature" sheetId="6" state="visible" r:id="rId8"/>
    <sheet name="Speed" sheetId="7" state="visible" r:id="rId9"/>
    <sheet name="Time" sheetId="8" state="visible" r:id="rId10"/>
    <sheet name="Pressure" sheetId="9" state="visible" r:id="rId11"/>
    <sheet name="Energy" sheetId="10" state="visible" r:id="rId12"/>
    <sheet name="Power" sheetId="11" state="visible" r:id="rId13"/>
    <sheet name="Force" sheetId="12" state="visible" r:id="rId14"/>
    <sheet name="Torque" sheetId="13" state="visible" r:id="rId15"/>
    <sheet name="Density" sheetId="14" state="visible" r:id="rId16"/>
    <sheet name="Flow Rate" sheetId="15" state="visible" r:id="rId17"/>
    <sheet name="Angle" sheetId="16" state="visible" r:id="rId18"/>
    <sheet name="Frequency" sheetId="17" state="visible" r:id="rId19"/>
    <sheet name="Data Storage"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<sst xmlns="http://schemas.openxmlformats.org/spreadsheetml/2006/main" count="1018" uniqueCount="317">
  <si>
    <t xml:space="preserve">Unit Converter – SI ⇄ Imperial / US / Other</t>
  </si>
  <si>
    <t xml:space="preserve">One sheet per quantity. Works like the Google unit converter – no macros needed.</t>
  </si>
  <si>
    <t xml:space="preserve">HOW TO USE</t>
  </si>
  <si>
    <t xml:space="preserve">1.  Click a converter below (or a sheet tab).</t>
  </si>
  <si>
    <t xml:space="preserve">2.  Quick converter: type a number in the bright-yellow Value box, choose the FROM unit and the TO unit from the drop-downs – the green box shows the answer.</t>
  </si>
  <si>
    <t xml:space="preserve">     To go the other way (e.g. foot → meter instead of meter → foot) simply swap the two drop-downs.</t>
  </si>
  <si>
    <t xml:space="preserve">3.  All units at once: type a number next to ANY unit in the yellow column (e.g. 10 next to Foot) – every other unit (meter, inch, mile …) updates instantly.</t>
  </si>
  <si>
    <t xml:space="preserve">     Then delete it and type in another row (e.g. 3 next to Meter) to see feet, inches … – it works in every direction. Keep only ONE value in that column.</t>
  </si>
  <si>
    <t xml:space="preserve">Colour key:  blue text on yellow = your input  ·  green = calculated result  ·  grey = conversion constants (don't need to touch).</t>
  </si>
  <si>
    <t xml:space="preserve">#</t>
  </si>
  <si>
    <t xml:space="preserve">Converter (click)</t>
  </si>
  <si>
    <t xml:space="preserve">SI base unit</t>
  </si>
  <si>
    <t xml:space="preserve">Units included</t>
  </si>
  <si>
    <t xml:space="preserve">Length</t>
  </si>
  <si>
    <t xml:space="preserve">metre (m)</t>
  </si>
  <si>
    <t xml:space="preserve">Kilometre (km), Meter (m), Centimetre (cm), Millimetre (mm), Micrometre (µm), Nanometre (nm), Mile (mi), Yard (yd), Foot (ft), Inch (in), Thou / mil, Furlong, Chain, Fathom, Nautical mile (nmi), Ångström (Å), Astronomical unit (au), Light-year (ly)</t>
  </si>
  <si>
    <t xml:space="preserve">Area</t>
  </si>
  <si>
    <t xml:space="preserve">square metre (m²)</t>
  </si>
  <si>
    <t xml:space="preserve">Square kilometre (km²), Hectare (ha), Are (a), Square meter (m²), Square centimetre (cm²), Square millimetre (mm²), Square mile (mi²), Acre (ac), Square yard (yd²), Square foot (ft²), Square inch (in²)</t>
  </si>
  <si>
    <t xml:space="preserve">Volume</t>
  </si>
  <si>
    <t xml:space="preserve">cubic metre (m³)</t>
  </si>
  <si>
    <t xml:space="preserve">Cubic meter (m³), Litre (L), Millilitre (mL), Cubic centimetre (cm³), US gallon (gal), US quart (qt), US pint (pt), US cup, US fluid ounce (fl oz), US tablespoon (tbsp), US teaspoon (tsp), Imperial gallon (gal), Imperial quart (qt), Imperial pint (pt), Imperial fluid ounce (fl oz), Cubic yard (yd³), Cubic foot (ft³), Cubic inch (in³), Oil barrel (bbl)</t>
  </si>
  <si>
    <t xml:space="preserve">Mass</t>
  </si>
  <si>
    <t xml:space="preserve">kilogram (kg)</t>
  </si>
  <si>
    <t xml:space="preserve">Tonne (t), Kilogram (kg), Gram (g), Milligram (mg), Microgram (µg), Long ton (UK), Short ton (US), Stone (st), Pound (lb), Ounce (oz), Grain (gr), Troy ounce (oz t), Carat (ct)</t>
  </si>
  <si>
    <t xml:space="preserve">Temperature</t>
  </si>
  <si>
    <t xml:space="preserve">kelvin (K)</t>
  </si>
  <si>
    <t xml:space="preserve">Degree Celsius (°C), Kelvin (K), Degree Fahrenheit (°F), Rankine (°R)</t>
  </si>
  <si>
    <t xml:space="preserve">Speed</t>
  </si>
  <si>
    <t xml:space="preserve">metre per second (m/s)</t>
  </si>
  <si>
    <t xml:space="preserve">Metre per second (m/s), Kilometre per hour (km/h), Mile per hour (mph), Foot per second (ft/s), Knot (kn)</t>
  </si>
  <si>
    <t xml:space="preserve">Time</t>
  </si>
  <si>
    <t xml:space="preserve">second (s)</t>
  </si>
  <si>
    <t xml:space="preserve">Nanosecond (ns), Microsecond (µs), Millisecond (ms), Second (s), Minute (min), Hour (h), Day (d), Week (wk), Month (avg, 30.436875 d), Year (avg, 365.2425 d), Decade, Century</t>
  </si>
  <si>
    <t xml:space="preserve">Pressure</t>
  </si>
  <si>
    <t xml:space="preserve">pascal (Pa)</t>
  </si>
  <si>
    <t xml:space="preserve">Pascal (Pa), Kilopascal (kPa), Megapascal (MPa), Bar (bar), Millibar (mbar), Pound per square inch (psi), Kilopound per sq inch (ksi), Inch of mercury (inHg), Standard atmosphere (atm), Torr, Millimetre of mercury (mmHg), Kilogram-force per cm² (kgf/cm²)</t>
  </si>
  <si>
    <t xml:space="preserve">Energy</t>
  </si>
  <si>
    <t xml:space="preserve">joule (J)</t>
  </si>
  <si>
    <t xml:space="preserve">Joule (J), Kilojoule (kJ), Megajoule (MJ), Watt-hour (Wh), Kilowatt-hour (kWh), Calorie (cal), Kilocalorie (kcal), British thermal unit (BTU), Therm (US), Foot-pound force (ft·lbf), Electronvolt (eV), Erg</t>
  </si>
  <si>
    <t xml:space="preserve">Power</t>
  </si>
  <si>
    <t xml:space="preserve">watt (W)</t>
  </si>
  <si>
    <t xml:space="preserve">Watt (W), Kilowatt (kW), Megawatt (MW), Horsepower (hp), Metric horsepower (PS), BTU per hour (BTU/h), Foot-pound force per second (ft·lbf/s), Ton of refrigeration (TR), Kilocalorie per hour (kcal/h)</t>
  </si>
  <si>
    <t xml:space="preserve">Force</t>
  </si>
  <si>
    <t xml:space="preserve">newton (N)</t>
  </si>
  <si>
    <t xml:space="preserve">Newton (N), Kilonewton (kN), Dyne (dyn), Pound-force (lbf), Kip (kip), Poundal (pdl), Kilogram-force (kgf), Tonne-force (tf)</t>
  </si>
  <si>
    <t xml:space="preserve">Torque</t>
  </si>
  <si>
    <t xml:space="preserve">newton metre (N·m)</t>
  </si>
  <si>
    <t xml:space="preserve">Newton metre (N·m), Kilonewton metre (kN·m), Pound-force foot (lbf·ft), Pound-force inch (lbf·in), Ounce-force inch (ozf·in), Kilogram-force metre (kgf·m)</t>
  </si>
  <si>
    <t xml:space="preserve">Density</t>
  </si>
  <si>
    <t xml:space="preserve">kilogram per cubic metre (kg/m³)</t>
  </si>
  <si>
    <t xml:space="preserve">Kilogram per cubic metre (kg/m³), Gram per cubic centimetre (g/cm³), Kilogram per litre (kg/L), Gram per litre (g/L), Pound per cubic foot (lb/ft³), Pound per cubic inch (lb/in³), Pound per US gallon (lb/gal), Ounce per cubic inch (oz/in³)</t>
  </si>
  <si>
    <t xml:space="preserve">Flow Rate</t>
  </si>
  <si>
    <t xml:space="preserve">cubic metre per second (m³/s)</t>
  </si>
  <si>
    <t xml:space="preserve">Cubic metre per second (m³/s), Cubic metre per hour (m³/h), Litre per second (L/s), Litre per minute (L/min), US gallon per minute (gpm), Imperial gallon per minute, Cubic foot per minute (cfm), Cubic foot per second (cfs), Oil barrel per day (bbl/d)</t>
  </si>
  <si>
    <t xml:space="preserve">Angle</t>
  </si>
  <si>
    <t xml:space="preserve">radian (rad)</t>
  </si>
  <si>
    <t xml:space="preserve">Radian (rad), Milliradian (mrad), Degree (°), Arcminute (′), Arcsecond (″), Gradian (gon), Revolution (rev)</t>
  </si>
  <si>
    <t xml:space="preserve">Frequency</t>
  </si>
  <si>
    <t xml:space="preserve">hertz (Hz)</t>
  </si>
  <si>
    <t xml:space="preserve">Hertz (Hz), Kilohertz (kHz), Megahertz (MHz), Gigahertz (GHz), Revolutions per minute (rpm), Radian per second (rad/s)</t>
  </si>
  <si>
    <t xml:space="preserve">Data Storage</t>
  </si>
  <si>
    <t xml:space="preserve">byte (B)</t>
  </si>
  <si>
    <t xml:space="preserve">Bit (b), Byte (B), Kilobyte (kB), Megabyte (MB), Gigabyte (GB), Terabyte (TB), Kibibyte (KiB), Mebibyte (MiB), Gibibyte (GiB), Tebibyte (TiB)</t>
  </si>
  <si>
    <t xml:space="preserve">Length Converter</t>
  </si>
  <si>
    <t xml:space="preserve">SI base unit for this sheet: metre (m).  Blue cells on yellow = type here.  ← Back to the Home sheet for the list of converters.</t>
  </si>
  <si>
    <t xml:space="preserve">QUICK CONVERTER  (works like Google: type a value, pick the two units)</t>
  </si>
  <si>
    <t xml:space="preserve">Value</t>
  </si>
  <si>
    <t xml:space="preserve">Meter (m)</t>
  </si>
  <si>
    <t xml:space="preserve">=</t>
  </si>
  <si>
    <t xml:space="preserve">Foot (ft)</t>
  </si>
  <si>
    <t xml:space="preserve">↑ type value</t>
  </si>
  <si>
    <t xml:space="preserve">↑ FROM unit (drop-down)</t>
  </si>
  <si>
    <t xml:space="preserve">↑ result</t>
  </si>
  <si>
    <t xml:space="preserve">↑ TO unit (drop-down)</t>
  </si>
  <si>
    <t xml:space="preserve">Formula:</t>
  </si>
  <si>
    <t xml:space="preserve">Reverse:</t>
  </si>
  <si>
    <t xml:space="preserve">Tip: to convert the other way (e.g. foot → meter instead of meter → foot) just swap the two drop-downs.</t>
  </si>
  <si>
    <t xml:space="preserve">ALL UNITS AT ONCE  (type a value in ANY ONE yellow cell – every other unit is shown instantly)</t>
  </si>
  <si>
    <t xml:space="preserve">Value in SI base:</t>
  </si>
  <si>
    <t xml:space="preserve">Unit</t>
  </si>
  <si>
    <t xml:space="preserve">System</t>
  </si>
  <si>
    <t xml:space="preserve">Enter value here
(only ONE row)</t>
  </si>
  <si>
    <t xml:space="preserve">Equivalent value</t>
  </si>
  <si>
    <t xml:space="preserve">1 unit = ? m
(factor)</t>
  </si>
  <si>
    <t xml:space="preserve">Offset</t>
  </si>
  <si>
    <t xml:space="preserve">Kilometre (km)</t>
  </si>
  <si>
    <t xml:space="preserve">SI / Metric</t>
  </si>
  <si>
    <t xml:space="preserve">→</t>
  </si>
  <si>
    <t xml:space="preserve">Centimetre (cm)</t>
  </si>
  <si>
    <t xml:space="preserve">Millimetre (mm)</t>
  </si>
  <si>
    <t xml:space="preserve">Micrometre (µm)</t>
  </si>
  <si>
    <t xml:space="preserve">Nanometre (nm)</t>
  </si>
  <si>
    <t xml:space="preserve">Mile (mi)</t>
  </si>
  <si>
    <t xml:space="preserve">Imperial / US</t>
  </si>
  <si>
    <t xml:space="preserve">Yard (yd)</t>
  </si>
  <si>
    <t xml:space="preserve">Inch (in)</t>
  </si>
  <si>
    <t xml:space="preserve">Thou / mil</t>
  </si>
  <si>
    <t xml:space="preserve">Furlong</t>
  </si>
  <si>
    <t xml:space="preserve">Chain</t>
  </si>
  <si>
    <t xml:space="preserve">Fathom</t>
  </si>
  <si>
    <t xml:space="preserve">Nautical mile (nmi)</t>
  </si>
  <si>
    <t xml:space="preserve">Other</t>
  </si>
  <si>
    <t xml:space="preserve">Ångström (Å)</t>
  </si>
  <si>
    <t xml:space="preserve">Astronomical unit (au)</t>
  </si>
  <si>
    <t xml:space="preserve">Light-year (ly)</t>
  </si>
  <si>
    <t xml:space="preserve">How it works: every unit is converted to the SI base unit and back:  base = (value + offset) × factor;  result = base ÷ factor − offset.</t>
  </si>
  <si>
    <t xml:space="preserve">Offsets are only used for temperature (°C and °F are not zero-based). All factors are exact by international definition (NIST SP 811 / BIPM SI Brochure) unless noted.</t>
  </si>
  <si>
    <t xml:space="preserve">Grey columns I:J are the conversion constants – you can add a new unit by filling a new row (B, C, I, J) and extending the ranges.</t>
  </si>
  <si>
    <t xml:space="preserve">Area Converter</t>
  </si>
  <si>
    <t xml:space="preserve">SI base unit for this sheet: square metre (m²).  Blue cells on yellow = type here.  ← Back to the Home sheet for the list of converters.</t>
  </si>
  <si>
    <t xml:space="preserve">Square meter (m²)</t>
  </si>
  <si>
    <t xml:space="preserve">Square foot (ft²)</t>
  </si>
  <si>
    <t xml:space="preserve">1 unit = ? m²
(factor)</t>
  </si>
  <si>
    <t xml:space="preserve">Square kilometre (km²)</t>
  </si>
  <si>
    <t xml:space="preserve">Hectare (ha)</t>
  </si>
  <si>
    <t xml:space="preserve">Are (a)</t>
  </si>
  <si>
    <t xml:space="preserve">Square centimetre (cm²)</t>
  </si>
  <si>
    <t xml:space="preserve">Square millimetre (mm²)</t>
  </si>
  <si>
    <t xml:space="preserve">Square mile (mi²)</t>
  </si>
  <si>
    <t xml:space="preserve">Acre (ac)</t>
  </si>
  <si>
    <t xml:space="preserve">Square yard (yd²)</t>
  </si>
  <si>
    <t xml:space="preserve">Square inch (in²)</t>
  </si>
  <si>
    <t xml:space="preserve">Volume Converter</t>
  </si>
  <si>
    <t xml:space="preserve">SI base unit for this sheet: cubic metre (m³).  Blue cells on yellow = type here.  ← Back to the Home sheet for the list of converters.</t>
  </si>
  <si>
    <t xml:space="preserve">Litre (L)</t>
  </si>
  <si>
    <t xml:space="preserve">US gallon (gal)</t>
  </si>
  <si>
    <t xml:space="preserve">1 unit = ? m³
(factor)</t>
  </si>
  <si>
    <t xml:space="preserve">Cubic meter (m³)</t>
  </si>
  <si>
    <t xml:space="preserve">Millilitre (mL)</t>
  </si>
  <si>
    <t xml:space="preserve">Cubic centimetre (cm³)</t>
  </si>
  <si>
    <t xml:space="preserve">US customary</t>
  </si>
  <si>
    <t xml:space="preserve">US quart (qt)</t>
  </si>
  <si>
    <t xml:space="preserve">US pint (pt)</t>
  </si>
  <si>
    <t xml:space="preserve">US cup</t>
  </si>
  <si>
    <t xml:space="preserve">US fluid ounce (fl oz)</t>
  </si>
  <si>
    <t xml:space="preserve">US tablespoon (tbsp)</t>
  </si>
  <si>
    <t xml:space="preserve">US teaspoon (tsp)</t>
  </si>
  <si>
    <t xml:space="preserve">Imperial gallon (gal)</t>
  </si>
  <si>
    <t xml:space="preserve">Imperial (UK)</t>
  </si>
  <si>
    <t xml:space="preserve">Imperial quart (qt)</t>
  </si>
  <si>
    <t xml:space="preserve">Imperial pint (pt)</t>
  </si>
  <si>
    <t xml:space="preserve">Imperial fluid ounce (fl oz)</t>
  </si>
  <si>
    <t xml:space="preserve">Cubic yard (yd³)</t>
  </si>
  <si>
    <t xml:space="preserve">Cubic foot (ft³)</t>
  </si>
  <si>
    <t xml:space="preserve">Cubic inch (in³)</t>
  </si>
  <si>
    <t xml:space="preserve">Oil barrel (bbl)</t>
  </si>
  <si>
    <t xml:space="preserve">US cup = 236.5882365 mL (customary). US and Imperial gallons/pints/fl oz differ – pick the right one.</t>
  </si>
  <si>
    <t xml:space="preserve">Mass Converter</t>
  </si>
  <si>
    <t xml:space="preserve">SI base unit for this sheet: kilogram (kg).  Blue cells on yellow = type here.  ← Back to the Home sheet for the list of converters.</t>
  </si>
  <si>
    <t xml:space="preserve">Kilogram (kg)</t>
  </si>
  <si>
    <t xml:space="preserve">Pound (lb)</t>
  </si>
  <si>
    <t xml:space="preserve">1 unit = ? kg
(factor)</t>
  </si>
  <si>
    <t xml:space="preserve">Tonne (t)</t>
  </si>
  <si>
    <t xml:space="preserve">Gram (g)</t>
  </si>
  <si>
    <t xml:space="preserve">Milligram (mg)</t>
  </si>
  <si>
    <t xml:space="preserve">Microgram (µg)</t>
  </si>
  <si>
    <t xml:space="preserve">Long ton (UK)</t>
  </si>
  <si>
    <t xml:space="preserve">Short ton (US)</t>
  </si>
  <si>
    <t xml:space="preserve">Stone (st)</t>
  </si>
  <si>
    <t xml:space="preserve">Ounce (oz)</t>
  </si>
  <si>
    <t xml:space="preserve">Grain (gr)</t>
  </si>
  <si>
    <t xml:space="preserve">Troy ounce (oz t)</t>
  </si>
  <si>
    <t xml:space="preserve">Carat (ct)</t>
  </si>
  <si>
    <t xml:space="preserve">Temperature Converter</t>
  </si>
  <si>
    <t xml:space="preserve">SI base unit for this sheet: kelvin (K).  Blue cells on yellow = type here.  ← Back to the Home sheet for the list of converters.</t>
  </si>
  <si>
    <t xml:space="preserve">Degree Celsius (°C)</t>
  </si>
  <si>
    <t xml:space="preserve">Degree Fahrenheit (°F)</t>
  </si>
  <si>
    <t xml:space="preserve">1 unit = ? K
(factor)</t>
  </si>
  <si>
    <t xml:space="preserve">Kelvin (K)</t>
  </si>
  <si>
    <t xml:space="preserve">Rankine (°R)</t>
  </si>
  <si>
    <t xml:space="preserve">Speed Converter</t>
  </si>
  <si>
    <t xml:space="preserve">SI base unit for this sheet: metre per second (m/s).  Blue cells on yellow = type here.  ← Back to the Home sheet for the list of converters.</t>
  </si>
  <si>
    <t xml:space="preserve">Kilometre per hour (km/h)</t>
  </si>
  <si>
    <t xml:space="preserve">Mile per hour (mph)</t>
  </si>
  <si>
    <t xml:space="preserve">1 unit = ? m/s
(factor)</t>
  </si>
  <si>
    <t xml:space="preserve">Metre per second (m/s)</t>
  </si>
  <si>
    <t xml:space="preserve">Foot per second (ft/s)</t>
  </si>
  <si>
    <t xml:space="preserve">Knot (kn)</t>
  </si>
  <si>
    <t xml:space="preserve">Time Converter</t>
  </si>
  <si>
    <t xml:space="preserve">SI base unit for this sheet: second (s).  Blue cells on yellow = type here.  ← Back to the Home sheet for the list of converters.</t>
  </si>
  <si>
    <t xml:space="preserve">Hour (h)</t>
  </si>
  <si>
    <t xml:space="preserve">Minute (min)</t>
  </si>
  <si>
    <t xml:space="preserve">1 unit = ? s
(factor)</t>
  </si>
  <si>
    <t xml:space="preserve">Nanosecond (ns)</t>
  </si>
  <si>
    <t xml:space="preserve">Microsecond (µs)</t>
  </si>
  <si>
    <t xml:space="preserve">Millisecond (ms)</t>
  </si>
  <si>
    <t xml:space="preserve">Second (s)</t>
  </si>
  <si>
    <t xml:space="preserve">Day (d)</t>
  </si>
  <si>
    <t xml:space="preserve">Week (wk)</t>
  </si>
  <si>
    <t xml:space="preserve">Month (avg, 30.436875 d)</t>
  </si>
  <si>
    <t xml:space="preserve">Year (avg, 365.2425 d)</t>
  </si>
  <si>
    <t xml:space="preserve">Decade</t>
  </si>
  <si>
    <t xml:space="preserve">Century</t>
  </si>
  <si>
    <t xml:space="preserve">Month and year are Gregorian averages (365.2425 days per year).</t>
  </si>
  <si>
    <t xml:space="preserve">Pressure Converter</t>
  </si>
  <si>
    <t xml:space="preserve">SI base unit for this sheet: pascal (Pa).  Blue cells on yellow = type here.  ← Back to the Home sheet for the list of converters.</t>
  </si>
  <si>
    <t xml:space="preserve">Bar (bar)</t>
  </si>
  <si>
    <t xml:space="preserve">Pound per square inch (psi)</t>
  </si>
  <si>
    <t xml:space="preserve">1 unit = ? Pa
(factor)</t>
  </si>
  <si>
    <t xml:space="preserve">Pascal (Pa)</t>
  </si>
  <si>
    <t xml:space="preserve">Kilopascal (kPa)</t>
  </si>
  <si>
    <t xml:space="preserve">Megapascal (MPa)</t>
  </si>
  <si>
    <t xml:space="preserve">Millibar (mbar)</t>
  </si>
  <si>
    <t xml:space="preserve">Kilopound per sq inch (ksi)</t>
  </si>
  <si>
    <t xml:space="preserve">Inch of mercury (inHg)</t>
  </si>
  <si>
    <t xml:space="preserve">Standard atmosphere (atm)</t>
  </si>
  <si>
    <t xml:space="preserve">Torr</t>
  </si>
  <si>
    <t xml:space="preserve">Millimetre of mercury (mmHg)</t>
  </si>
  <si>
    <t xml:space="preserve">Kilogram-force per cm² (kgf/cm²)</t>
  </si>
  <si>
    <t xml:space="preserve">inHg at 0 °C (3386.389 Pa); mmHg = 133.322387415 Pa.</t>
  </si>
  <si>
    <t xml:space="preserve">Energy Converter</t>
  </si>
  <si>
    <t xml:space="preserve">SI base unit for this sheet: joule (J).  Blue cells on yellow = type here.  ← Back to the Home sheet for the list of converters.</t>
  </si>
  <si>
    <t xml:space="preserve">Kilojoule (kJ)</t>
  </si>
  <si>
    <t xml:space="preserve">Kilocalorie (kcal)</t>
  </si>
  <si>
    <t xml:space="preserve">1 unit = ? J
(factor)</t>
  </si>
  <si>
    <t xml:space="preserve">Joule (J)</t>
  </si>
  <si>
    <t xml:space="preserve">Megajoule (MJ)</t>
  </si>
  <si>
    <t xml:space="preserve">Watt-hour (Wh)</t>
  </si>
  <si>
    <t xml:space="preserve">Kilowatt-hour (kWh)</t>
  </si>
  <si>
    <t xml:space="preserve">Calorie (cal)</t>
  </si>
  <si>
    <t xml:space="preserve">British thermal unit (BTU)</t>
  </si>
  <si>
    <t xml:space="preserve">Therm (US)</t>
  </si>
  <si>
    <t xml:space="preserve">Foot-pound force (ft·lbf)</t>
  </si>
  <si>
    <t xml:space="preserve">Electronvolt (eV)</t>
  </si>
  <si>
    <t xml:space="preserve">Erg</t>
  </si>
  <si>
    <t xml:space="preserve">BTU = International Table BTU; calorie = thermochemical calorie (4.184 J).</t>
  </si>
  <si>
    <t xml:space="preserve">Power Converter</t>
  </si>
  <si>
    <t xml:space="preserve">SI base unit for this sheet: watt (W).  Blue cells on yellow = type here.  ← Back to the Home sheet for the list of converters.</t>
  </si>
  <si>
    <t xml:space="preserve">Kilowatt (kW)</t>
  </si>
  <si>
    <t xml:space="preserve">Horsepower (hp)</t>
  </si>
  <si>
    <t xml:space="preserve">1 unit = ? W
(factor)</t>
  </si>
  <si>
    <t xml:space="preserve">Watt (W)</t>
  </si>
  <si>
    <t xml:space="preserve">Megawatt (MW)</t>
  </si>
  <si>
    <t xml:space="preserve">Metric horsepower (PS)</t>
  </si>
  <si>
    <t xml:space="preserve">BTU per hour (BTU/h)</t>
  </si>
  <si>
    <t xml:space="preserve">Foot-pound force per second (ft·lbf/s)</t>
  </si>
  <si>
    <t xml:space="preserve">Ton of refrigeration (TR)</t>
  </si>
  <si>
    <t xml:space="preserve">Kilocalorie per hour (kcal/h)</t>
  </si>
  <si>
    <t xml:space="preserve">Force Converter</t>
  </si>
  <si>
    <t xml:space="preserve">SI base unit for this sheet: newton (N).  Blue cells on yellow = type here.  ← Back to the Home sheet for the list of converters.</t>
  </si>
  <si>
    <t xml:space="preserve">Newton (N)</t>
  </si>
  <si>
    <t xml:space="preserve">Pound-force (lbf)</t>
  </si>
  <si>
    <t xml:space="preserve">1 unit = ? N
(factor)</t>
  </si>
  <si>
    <t xml:space="preserve">Kilonewton (kN)</t>
  </si>
  <si>
    <t xml:space="preserve">Dyne (dyn)</t>
  </si>
  <si>
    <t xml:space="preserve">Kip (kip)</t>
  </si>
  <si>
    <t xml:space="preserve">Poundal (pdl)</t>
  </si>
  <si>
    <t xml:space="preserve">Kilogram-force (kgf)</t>
  </si>
  <si>
    <t xml:space="preserve">Tonne-force (tf)</t>
  </si>
  <si>
    <t xml:space="preserve">Torque Converter</t>
  </si>
  <si>
    <t xml:space="preserve">SI base unit for this sheet: newton metre (N·m).  Blue cells on yellow = type here.  ← Back to the Home sheet for the list of converters.</t>
  </si>
  <si>
    <t xml:space="preserve">Newton metre (N·m)</t>
  </si>
  <si>
    <t xml:space="preserve">Pound-force foot (lbf·ft)</t>
  </si>
  <si>
    <t xml:space="preserve">1 unit = ? N·m
(factor)</t>
  </si>
  <si>
    <t xml:space="preserve">Kilonewton metre (kN·m)</t>
  </si>
  <si>
    <t xml:space="preserve">Pound-force inch (lbf·in)</t>
  </si>
  <si>
    <t xml:space="preserve">Ounce-force inch (ozf·in)</t>
  </si>
  <si>
    <t xml:space="preserve">Kilogram-force metre (kgf·m)</t>
  </si>
  <si>
    <t xml:space="preserve">Density Converter</t>
  </si>
  <si>
    <t xml:space="preserve">SI base unit for this sheet: kilogram per cubic metre (kg/m³).  Blue cells on yellow = type here.  ← Back to the Home sheet for the list of converters.</t>
  </si>
  <si>
    <t xml:space="preserve">Kilogram per cubic metre (kg/m³)</t>
  </si>
  <si>
    <t xml:space="preserve">Pound per cubic foot (lb/ft³)</t>
  </si>
  <si>
    <t xml:space="preserve">1 unit = ? kg/m³
(factor)</t>
  </si>
  <si>
    <t xml:space="preserve">Gram per cubic centimetre (g/cm³)</t>
  </si>
  <si>
    <t xml:space="preserve">Kilogram per litre (kg/L)</t>
  </si>
  <si>
    <t xml:space="preserve">Gram per litre (g/L)</t>
  </si>
  <si>
    <t xml:space="preserve">Pound per cubic inch (lb/in³)</t>
  </si>
  <si>
    <t xml:space="preserve">Pound per US gallon (lb/gal)</t>
  </si>
  <si>
    <t xml:space="preserve">Ounce per cubic inch (oz/in³)</t>
  </si>
  <si>
    <t xml:space="preserve">Flow Rate Converter</t>
  </si>
  <si>
    <t xml:space="preserve">SI base unit for this sheet: cubic metre per second (m³/s).  Blue cells on yellow = type here.  ← Back to the Home sheet for the list of converters.</t>
  </si>
  <si>
    <t xml:space="preserve">Litre per minute (L/min)</t>
  </si>
  <si>
    <t xml:space="preserve">US gallon per minute (gpm)</t>
  </si>
  <si>
    <t xml:space="preserve">1 unit = ? m³/s
(factor)</t>
  </si>
  <si>
    <t xml:space="preserve">Cubic metre per second (m³/s)</t>
  </si>
  <si>
    <t xml:space="preserve">Cubic metre per hour (m³/h)</t>
  </si>
  <si>
    <t xml:space="preserve">Litre per second (L/s)</t>
  </si>
  <si>
    <t xml:space="preserve">Imperial gallon per minute</t>
  </si>
  <si>
    <t xml:space="preserve">Cubic foot per minute (cfm)</t>
  </si>
  <si>
    <t xml:space="preserve">Cubic foot per second (cfs)</t>
  </si>
  <si>
    <t xml:space="preserve">Oil barrel per day (bbl/d)</t>
  </si>
  <si>
    <t xml:space="preserve">Angle Converter</t>
  </si>
  <si>
    <t xml:space="preserve">SI base unit for this sheet: radian (rad).  Blue cells on yellow = type here.  ← Back to the Home sheet for the list of converters.</t>
  </si>
  <si>
    <t xml:space="preserve">Degree (°)</t>
  </si>
  <si>
    <t xml:space="preserve">Radian (rad)</t>
  </si>
  <si>
    <t xml:space="preserve">1 unit = ? rad
(factor)</t>
  </si>
  <si>
    <t xml:space="preserve">Milliradian (mrad)</t>
  </si>
  <si>
    <t xml:space="preserve">Arcminute (′)</t>
  </si>
  <si>
    <t xml:space="preserve">Arcsecond (″)</t>
  </si>
  <si>
    <t xml:space="preserve">Gradian (gon)</t>
  </si>
  <si>
    <t xml:space="preserve">Revolution (rev)</t>
  </si>
  <si>
    <t xml:space="preserve">Frequency Converter</t>
  </si>
  <si>
    <t xml:space="preserve">SI base unit for this sheet: hertz (Hz).  Blue cells on yellow = type here.  ← Back to the Home sheet for the list of converters.</t>
  </si>
  <si>
    <t xml:space="preserve">Hertz (Hz)</t>
  </si>
  <si>
    <t xml:space="preserve">Revolutions per minute (rpm)</t>
  </si>
  <si>
    <t xml:space="preserve">1 unit = ? Hz
(factor)</t>
  </si>
  <si>
    <t xml:space="preserve">Kilohertz (kHz)</t>
  </si>
  <si>
    <t xml:space="preserve">Megahertz (MHz)</t>
  </si>
  <si>
    <t xml:space="preserve">Gigahertz (GHz)</t>
  </si>
  <si>
    <t xml:space="preserve">Radian per second (rad/s)</t>
  </si>
  <si>
    <t xml:space="preserve">Data Storage Converter</t>
  </si>
  <si>
    <t xml:space="preserve">SI base unit for this sheet: byte (B).  Blue cells on yellow = type here.  ← Back to the Home sheet for the list of converters.</t>
  </si>
  <si>
    <t xml:space="preserve">Megabyte (MB)</t>
  </si>
  <si>
    <t xml:space="preserve">Mebibyte (MiB)</t>
  </si>
  <si>
    <t xml:space="preserve">1 unit = ? B
(factor)</t>
  </si>
  <si>
    <t xml:space="preserve">Bit (b)</t>
  </si>
  <si>
    <t xml:space="preserve">Byte (B)</t>
  </si>
  <si>
    <t xml:space="preserve">Kilobyte (kB)</t>
  </si>
  <si>
    <t xml:space="preserve">Decimal (SI)</t>
  </si>
  <si>
    <t xml:space="preserve">Gigabyte (GB)</t>
  </si>
  <si>
    <t xml:space="preserve">Terabyte (TB)</t>
  </si>
  <si>
    <t xml:space="preserve">Kibibyte (KiB)</t>
  </si>
  <si>
    <t xml:space="preserve">Binary (IEC)</t>
  </si>
  <si>
    <t xml:space="preserve">Gibibyte (GiB)</t>
  </si>
  <si>
    <t xml:space="preserve">Tebibyte (TiB)</t>
  </si>
  <si>
    <t xml:space="preserve">Decimal units (kB, MB, GB…) use powers of 1000; binary units (KiB, MiB, GiB…) use powers of 1024.</t>
  </si>
</sst>
</file>

<file path=xl/styles.xml><?xml version="1.0" encoding="utf-8"?>
<styleSheet xmlns="http://schemas.openxmlformats.org/spreadsheetml/2006/main">
  <numFmts count="2">
    <numFmt numFmtId="164" formatCode="General"/>
    <numFmt numFmtId="165" formatCode="General"/>
  </numFmts>
  <fonts count="25">
    <font>
      <sz val="11"/>
      <color theme="1"/>
      <name val="Calibri"/>
      <family val="2"/>
      <charset val="1"/>
    </font>
    <font>
      <sz val="10"/>
      <name val="Arial"/>
      <family val="0"/>
    </font>
    <font>
      <sz val="10"/>
      <name val="Arial"/>
      <family val="0"/>
    </font>
    <font>
      <sz val="10"/>
      <name val="Arial"/>
      <family val="0"/>
    </font>
    <font>
      <b val="true"/>
      <sz val="20"/>
      <color rgb="FF1F3864"/>
      <name val="Arial"/>
      <family val="0"/>
      <charset val="1"/>
    </font>
    <font>
      <i val="true"/>
      <sz val="10"/>
      <color rgb="FF595959"/>
      <name val="Arial"/>
      <family val="0"/>
      <charset val="1"/>
    </font>
    <font>
      <b val="true"/>
      <sz val="12"/>
      <color rgb="FF1F3864"/>
      <name val="Arial"/>
      <family val="0"/>
      <charset val="1"/>
    </font>
    <font>
      <sz val="11"/>
      <name val="Arial"/>
      <family val="0"/>
      <charset val="1"/>
    </font>
    <font>
      <b val="true"/>
      <sz val="11"/>
      <color rgb="FFFFFFFF"/>
      <name val="Arial"/>
      <family val="0"/>
      <charset val="1"/>
    </font>
    <font>
      <sz val="10"/>
      <name val="Arial"/>
      <family val="0"/>
      <charset val="1"/>
    </font>
    <font>
      <b val="true"/>
      <u val="single"/>
      <sz val="11"/>
      <color rgb="FF0563C1"/>
      <name val="Arial"/>
      <family val="0"/>
      <charset val="1"/>
    </font>
    <font>
      <b val="true"/>
      <sz val="18"/>
      <color rgb="FF1F3864"/>
      <name val="Arial"/>
      <family val="0"/>
      <charset val="1"/>
    </font>
    <font>
      <b val="true"/>
      <sz val="11"/>
      <color rgb="FF1F3864"/>
      <name val="Arial"/>
      <family val="0"/>
      <charset val="1"/>
    </font>
    <font>
      <b val="true"/>
      <sz val="11"/>
      <color rgb="FF404040"/>
      <name val="Arial"/>
      <family val="0"/>
      <charset val="1"/>
    </font>
    <font>
      <b val="true"/>
      <sz val="16"/>
      <color rgb="FF0000FF"/>
      <name val="Arial"/>
      <family val="0"/>
      <charset val="1"/>
    </font>
    <font>
      <b val="true"/>
      <sz val="12"/>
      <color rgb="FF000000"/>
      <name val="Arial"/>
      <family val="0"/>
      <charset val="1"/>
    </font>
    <font>
      <b val="true"/>
      <sz val="18"/>
      <color rgb="FF404040"/>
      <name val="Arial"/>
      <family val="0"/>
      <charset val="1"/>
    </font>
    <font>
      <b val="true"/>
      <sz val="16"/>
      <color rgb="FF000000"/>
      <name val="Arial"/>
      <family val="0"/>
      <charset val="1"/>
    </font>
    <font>
      <sz val="9"/>
      <color rgb="FF808080"/>
      <name val="Arial"/>
      <family val="0"/>
      <charset val="1"/>
    </font>
    <font>
      <i val="true"/>
      <sz val="11"/>
      <name val="Arial"/>
      <family val="0"/>
      <charset val="1"/>
    </font>
    <font>
      <b val="true"/>
      <sz val="11"/>
      <color rgb="FFC00000"/>
      <name val="Arial"/>
      <family val="0"/>
      <charset val="1"/>
    </font>
    <font>
      <b val="true"/>
      <sz val="11"/>
      <name val="Arial"/>
      <family val="0"/>
      <charset val="1"/>
    </font>
    <font>
      <sz val="10"/>
      <color rgb="FF595959"/>
      <name val="Arial"/>
      <family val="0"/>
      <charset val="1"/>
    </font>
    <font>
      <b val="true"/>
      <sz val="11"/>
      <color rgb="FF0000FF"/>
      <name val="Arial"/>
      <family val="0"/>
      <charset val="1"/>
    </font>
    <font>
      <sz val="11"/>
      <color rgb="FF808080"/>
      <name val="Arial"/>
      <family val="0"/>
      <charset val="1"/>
    </font>
  </fonts>
  <fills count="6">
    <fill>
      <patternFill patternType="none"/>
    </fill>
    <fill>
      <patternFill patternType="gray125"/>
    </fill>
    <fill>
      <patternFill patternType="solid">
        <fgColor rgb="FF1F3864"/>
        <bgColor rgb="FF333399"/>
      </patternFill>
    </fill>
    <fill>
      <patternFill patternType="solid">
        <fgColor rgb="FFFFFF00"/>
        <bgColor rgb="FFFFFF00"/>
      </patternFill>
    </fill>
    <fill>
      <patternFill patternType="solid">
        <fgColor rgb="FFFFF2CC"/>
        <bgColor rgb="FFE2EFDA"/>
      </patternFill>
    </fill>
    <fill>
      <patternFill patternType="solid">
        <fgColor rgb="FFE2EFDA"/>
        <bgColor rgb="FFFFF2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1F3864"/>
      </left>
      <right style="medium">
        <color rgb="FF1F3864"/>
      </right>
      <top style="medium">
        <color rgb="FF1F3864"/>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right" vertical="center" textRotation="0" wrapText="false" indent="0" shrinkToFit="false"/>
      <protection locked="true" hidden="false"/>
    </xf>
    <xf numFmtId="164" fontId="14" fillId="3" borderId="2" xfId="0" applyFont="true" applyBorder="true" applyAlignment="true" applyProtection="false">
      <alignment horizontal="center" vertical="center" textRotation="0" wrapText="true" indent="0" shrinkToFit="false"/>
      <protection locked="true" hidden="false"/>
    </xf>
    <xf numFmtId="164" fontId="15" fillId="4" borderId="2"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5" fontId="17" fillId="5" borderId="2"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right" vertical="center" textRotation="0" wrapText="false" indent="0" shrinkToFit="false"/>
      <protection locked="true" hidden="false"/>
    </xf>
    <xf numFmtId="164" fontId="20" fillId="0" borderId="0"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21"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Unit_Converter.xlsx" TargetMode="External"/><Relationship Id="rId2" Type="http://schemas.openxmlformats.org/officeDocument/2006/relationships/hyperlink" Target="Unit_Converter.xlsx" TargetMode="External"/><Relationship Id="rId3" Type="http://schemas.openxmlformats.org/officeDocument/2006/relationships/hyperlink" Target="Unit_Converter.xlsx" TargetMode="External"/><Relationship Id="rId4" Type="http://schemas.openxmlformats.org/officeDocument/2006/relationships/hyperlink" Target="Unit_Converter.xlsx" TargetMode="External"/><Relationship Id="rId5" Type="http://schemas.openxmlformats.org/officeDocument/2006/relationships/hyperlink" Target="Unit_Converter.xlsx" TargetMode="External"/><Relationship Id="rId6" Type="http://schemas.openxmlformats.org/officeDocument/2006/relationships/hyperlink" Target="Unit_Converter.xlsx" TargetMode="External"/><Relationship Id="rId7" Type="http://schemas.openxmlformats.org/officeDocument/2006/relationships/hyperlink" Target="Unit_Converter.xlsx" TargetMode="External"/><Relationship Id="rId8" Type="http://schemas.openxmlformats.org/officeDocument/2006/relationships/hyperlink" Target="Unit_Converter.xlsx" TargetMode="External"/><Relationship Id="rId9" Type="http://schemas.openxmlformats.org/officeDocument/2006/relationships/hyperlink" Target="Unit_Converter.xlsx" TargetMode="External"/><Relationship Id="rId10" Type="http://schemas.openxmlformats.org/officeDocument/2006/relationships/hyperlink" Target="Unit_Converter.xlsx" TargetMode="External"/><Relationship Id="rId11" Type="http://schemas.openxmlformats.org/officeDocument/2006/relationships/hyperlink" Target="Unit_Converter.xlsx" TargetMode="External"/><Relationship Id="rId12" Type="http://schemas.openxmlformats.org/officeDocument/2006/relationships/hyperlink" Target="Unit_Converter.xlsx" TargetMode="External"/><Relationship Id="rId13" Type="http://schemas.openxmlformats.org/officeDocument/2006/relationships/hyperlink" Target="Unit_Converter.xlsx" TargetMode="External"/><Relationship Id="rId14" Type="http://schemas.openxmlformats.org/officeDocument/2006/relationships/hyperlink" Target="Unit_Converter.xlsx" TargetMode="External"/><Relationship Id="rId15" Type="http://schemas.openxmlformats.org/officeDocument/2006/relationships/hyperlink" Target="Unit_Converter.xlsx" TargetMode="External"/><Relationship Id="rId16" Type="http://schemas.openxmlformats.org/officeDocument/2006/relationships/hyperlink" Target="Unit_Converter.xlsx" TargetMode="External"/><Relationship Id="rId17" Type="http://schemas.openxmlformats.org/officeDocument/2006/relationships/hyperlink" Target="Unit_Converter.xlsx" TargetMode="External"/>
</Relationships>
</file>

<file path=xl/worksheets/_rels/sheet2.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3.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4.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5.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6.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7.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8.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9.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0.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1.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2.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3.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4.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5.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6.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_rels/sheet18.xml.rels><?xml version="1.0" encoding="UTF-8"?>
<Relationships xmlns="http://schemas.openxmlformats.org/package/2006/relationships"><Relationship Id="rId1" Type="http://schemas.openxmlformats.org/officeDocument/2006/relationships/hyperlink" Target="Unit_Converter.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22"/>
    <col collapsed="false" customWidth="true" hidden="false" outlineLevel="0" max="4" min="4" style="0" width="36"/>
    <col collapsed="false" customWidth="true" hidden="false" outlineLevel="0" max="5" min="5" style="0" width="60"/>
  </cols>
  <sheetData>
    <row r="1" customFormat="false" ht="24.4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t="s">
        <v>6</v>
      </c>
    </row>
    <row r="9" customFormat="false" ht="15" hidden="false" customHeight="false" outlineLevel="0" collapsed="false">
      <c r="B9" s="4" t="s">
        <v>7</v>
      </c>
    </row>
    <row r="10" customFormat="false" ht="15" hidden="false" customHeight="false" outlineLevel="0" collapsed="false">
      <c r="B10" s="4" t="s">
        <v>8</v>
      </c>
    </row>
    <row r="12" customFormat="false" ht="15" hidden="false" customHeight="false" outlineLevel="0" collapsed="false">
      <c r="B12" s="5" t="s">
        <v>9</v>
      </c>
      <c r="C12" s="5" t="s">
        <v>10</v>
      </c>
      <c r="D12" s="5" t="s">
        <v>11</v>
      </c>
      <c r="E12" s="5" t="s">
        <v>12</v>
      </c>
    </row>
    <row r="13" customFormat="false" ht="45" hidden="false" customHeight="true" outlineLevel="0" collapsed="false">
      <c r="B13" s="6" t="n">
        <v>1</v>
      </c>
      <c r="C13" s="7" t="s">
        <v>13</v>
      </c>
      <c r="D13" s="8" t="s">
        <v>14</v>
      </c>
      <c r="E13" s="8" t="s">
        <v>15</v>
      </c>
    </row>
    <row r="14" customFormat="false" ht="45" hidden="false" customHeight="true" outlineLevel="0" collapsed="false">
      <c r="B14" s="6" t="n">
        <v>2</v>
      </c>
      <c r="C14" s="7" t="s">
        <v>16</v>
      </c>
      <c r="D14" s="8" t="s">
        <v>17</v>
      </c>
      <c r="E14" s="8" t="s">
        <v>18</v>
      </c>
    </row>
    <row r="15" customFormat="false" ht="45" hidden="false" customHeight="true" outlineLevel="0" collapsed="false">
      <c r="B15" s="6" t="n">
        <v>3</v>
      </c>
      <c r="C15" s="7" t="s">
        <v>19</v>
      </c>
      <c r="D15" s="8" t="s">
        <v>20</v>
      </c>
      <c r="E15" s="8" t="s">
        <v>21</v>
      </c>
    </row>
    <row r="16" customFormat="false" ht="45" hidden="false" customHeight="true" outlineLevel="0" collapsed="false">
      <c r="B16" s="6" t="n">
        <v>4</v>
      </c>
      <c r="C16" s="7" t="s">
        <v>22</v>
      </c>
      <c r="D16" s="8" t="s">
        <v>23</v>
      </c>
      <c r="E16" s="8" t="s">
        <v>24</v>
      </c>
    </row>
    <row r="17" customFormat="false" ht="30" hidden="false" customHeight="true" outlineLevel="0" collapsed="false">
      <c r="B17" s="6" t="n">
        <v>5</v>
      </c>
      <c r="C17" s="7" t="s">
        <v>25</v>
      </c>
      <c r="D17" s="8" t="s">
        <v>26</v>
      </c>
      <c r="E17" s="8" t="s">
        <v>27</v>
      </c>
    </row>
    <row r="18" customFormat="false" ht="30" hidden="false" customHeight="true" outlineLevel="0" collapsed="false">
      <c r="B18" s="6" t="n">
        <v>6</v>
      </c>
      <c r="C18" s="7" t="s">
        <v>28</v>
      </c>
      <c r="D18" s="8" t="s">
        <v>29</v>
      </c>
      <c r="E18" s="8" t="s">
        <v>30</v>
      </c>
    </row>
    <row r="19" customFormat="false" ht="45" hidden="false" customHeight="true" outlineLevel="0" collapsed="false">
      <c r="B19" s="6" t="n">
        <v>7</v>
      </c>
      <c r="C19" s="7" t="s">
        <v>31</v>
      </c>
      <c r="D19" s="8" t="s">
        <v>32</v>
      </c>
      <c r="E19" s="8" t="s">
        <v>33</v>
      </c>
    </row>
    <row r="20" customFormat="false" ht="45" hidden="false" customHeight="true" outlineLevel="0" collapsed="false">
      <c r="B20" s="6" t="n">
        <v>8</v>
      </c>
      <c r="C20" s="7" t="s">
        <v>34</v>
      </c>
      <c r="D20" s="8" t="s">
        <v>35</v>
      </c>
      <c r="E20" s="8" t="s">
        <v>36</v>
      </c>
    </row>
    <row r="21" customFormat="false" ht="45" hidden="false" customHeight="true" outlineLevel="0" collapsed="false">
      <c r="B21" s="6" t="n">
        <v>9</v>
      </c>
      <c r="C21" s="7" t="s">
        <v>37</v>
      </c>
      <c r="D21" s="8" t="s">
        <v>38</v>
      </c>
      <c r="E21" s="8" t="s">
        <v>39</v>
      </c>
    </row>
    <row r="22" customFormat="false" ht="45" hidden="false" customHeight="true" outlineLevel="0" collapsed="false">
      <c r="B22" s="6" t="n">
        <v>10</v>
      </c>
      <c r="C22" s="7" t="s">
        <v>40</v>
      </c>
      <c r="D22" s="8" t="s">
        <v>41</v>
      </c>
      <c r="E22" s="8" t="s">
        <v>42</v>
      </c>
    </row>
    <row r="23" customFormat="false" ht="45" hidden="false" customHeight="true" outlineLevel="0" collapsed="false">
      <c r="B23" s="6" t="n">
        <v>11</v>
      </c>
      <c r="C23" s="7" t="s">
        <v>43</v>
      </c>
      <c r="D23" s="8" t="s">
        <v>44</v>
      </c>
      <c r="E23" s="8" t="s">
        <v>45</v>
      </c>
    </row>
    <row r="24" customFormat="false" ht="45" hidden="false" customHeight="true" outlineLevel="0" collapsed="false">
      <c r="B24" s="6" t="n">
        <v>12</v>
      </c>
      <c r="C24" s="7" t="s">
        <v>46</v>
      </c>
      <c r="D24" s="8" t="s">
        <v>47</v>
      </c>
      <c r="E24" s="8" t="s">
        <v>48</v>
      </c>
    </row>
    <row r="25" customFormat="false" ht="45" hidden="false" customHeight="true" outlineLevel="0" collapsed="false">
      <c r="B25" s="6" t="n">
        <v>13</v>
      </c>
      <c r="C25" s="7" t="s">
        <v>49</v>
      </c>
      <c r="D25" s="8" t="s">
        <v>50</v>
      </c>
      <c r="E25" s="8" t="s">
        <v>51</v>
      </c>
    </row>
    <row r="26" customFormat="false" ht="45" hidden="false" customHeight="true" outlineLevel="0" collapsed="false">
      <c r="B26" s="6" t="n">
        <v>14</v>
      </c>
      <c r="C26" s="7" t="s">
        <v>52</v>
      </c>
      <c r="D26" s="8" t="s">
        <v>53</v>
      </c>
      <c r="E26" s="8" t="s">
        <v>54</v>
      </c>
    </row>
    <row r="27" customFormat="false" ht="30" hidden="false" customHeight="true" outlineLevel="0" collapsed="false">
      <c r="B27" s="6" t="n">
        <v>15</v>
      </c>
      <c r="C27" s="7" t="s">
        <v>55</v>
      </c>
      <c r="D27" s="8" t="s">
        <v>56</v>
      </c>
      <c r="E27" s="8" t="s">
        <v>57</v>
      </c>
    </row>
    <row r="28" customFormat="false" ht="30" hidden="false" customHeight="true" outlineLevel="0" collapsed="false">
      <c r="B28" s="6" t="n">
        <v>16</v>
      </c>
      <c r="C28" s="7" t="s">
        <v>58</v>
      </c>
      <c r="D28" s="8" t="s">
        <v>59</v>
      </c>
      <c r="E28" s="8" t="s">
        <v>60</v>
      </c>
    </row>
    <row r="29" customFormat="false" ht="45" hidden="false" customHeight="true" outlineLevel="0" collapsed="false">
      <c r="B29" s="6" t="n">
        <v>17</v>
      </c>
      <c r="C29" s="7" t="s">
        <v>61</v>
      </c>
      <c r="D29" s="8" t="s">
        <v>62</v>
      </c>
      <c r="E29" s="8" t="s">
        <v>63</v>
      </c>
    </row>
  </sheetData>
  <hyperlinks>
    <hyperlink ref="C13" r:id="rId1" location="'Length'!A1" display="Length"/>
    <hyperlink ref="C14" r:id="rId2" location="'Area'!A1" display="Area"/>
    <hyperlink ref="C15" r:id="rId3" location="'Volume'!A1" display="Volume"/>
    <hyperlink ref="C16" r:id="rId4" location="'Mass'!A1" display="Mass"/>
    <hyperlink ref="C17" r:id="rId5" location="'Temperature'!A1" display="Temperature"/>
    <hyperlink ref="C18" r:id="rId6" location="'Speed'!A1" display="Speed"/>
    <hyperlink ref="C19" r:id="rId7" location="'Time'!A1" display="Time"/>
    <hyperlink ref="C20" r:id="rId8" location="'Pressure'!A1" display="Pressure"/>
    <hyperlink ref="C21" r:id="rId9" location="'Energy'!A1" display="Energy"/>
    <hyperlink ref="C22" r:id="rId10" location="'Power'!A1" display="Power"/>
    <hyperlink ref="C23" r:id="rId11" location="'Force'!A1" display="Force"/>
    <hyperlink ref="C24" r:id="rId12" location="'Torque'!A1" display="Torque"/>
    <hyperlink ref="C25" r:id="rId13" location="'Density'!A1" display="Density"/>
    <hyperlink ref="C26" r:id="rId14" location="'Flow%20Rate'!A1" display="Flow Rate"/>
    <hyperlink ref="C27" r:id="rId15" location="'Angle'!A1" display="Angle"/>
    <hyperlink ref="C28" r:id="rId16" location="'Frequency'!A1" display="Frequency"/>
    <hyperlink ref="C29" r:id="rId17" location="'Data%20Storage'!A1" display="Data Stor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64</v>
      </c>
    </row>
    <row r="2" customFormat="false" ht="15" hidden="false" customHeight="false" outlineLevel="0" collapsed="false">
      <c r="B2" s="2" t="s">
        <v>65</v>
      </c>
    </row>
    <row r="4" customFormat="false" ht="15" hidden="false" customHeight="false" outlineLevel="0" collapsed="false">
      <c r="B4" s="10" t="s">
        <v>66</v>
      </c>
    </row>
    <row r="5" customFormat="false" ht="15" hidden="false" customHeight="true" outlineLevel="0" collapsed="false">
      <c r="B5" s="11" t="s">
        <v>67</v>
      </c>
      <c r="C5" s="12" t="n">
        <v>1</v>
      </c>
      <c r="D5" s="13" t="s">
        <v>68</v>
      </c>
      <c r="E5" s="14" t="s">
        <v>69</v>
      </c>
      <c r="F5" s="15" t="n">
        <f aca="false">IF(ISNUMBER(C5),IF((((C5+INDEX($J$15:$J$32,MATCH(D5,$B$15:$B$32,0)))*INDEX($I$15:$I$32,MATCH(D5,$B$15:$B$32,0)))/INDEX($I$15:$I$32,MATCH(G5,$B$15:$B$32,0))-INDEX($J$15:$J$32,MATCH(G5,$B$15:$B$32,0)))=0,0,ROUND(((C5+INDEX($J$15:$J$32,MATCH(D5,$B$15:$B$32,0)))*INDEX($I$15:$I$32,MATCH(D5,$B$15:$B$32,0)))/INDEX($I$15:$I$32,MATCH(G5,$B$15:$B$32,0))-INDEX($J$15:$J$32,MATCH(G5,$B$15:$B$32,0)),11-INT(LOG10(ABS(((C5+INDEX($J$15:$J$32,MATCH(D5,$B$15:$B$32,0)))*INDEX($I$15:$I$32,MATCH(D5,$B$15:$B$32,0)))/INDEX($I$15:$I$32,MATCH(G5,$B$15:$B$32,0))-INDEX($J$15:$J$32,MATCH(G5,$B$15:$B$32,0))))))),"")</f>
        <v>3.28083989501</v>
      </c>
      <c r="G5" s="13" t="s">
        <v>70</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Meter (m) = 3.28083989501 Foot (ft)</v>
      </c>
    </row>
    <row r="9" customFormat="false" ht="15" hidden="false" customHeight="false" outlineLevel="0" collapsed="false">
      <c r="B9" s="11" t="s">
        <v>76</v>
      </c>
      <c r="C9" s="17" t="str">
        <f aca="false">"1 "&amp;G5&amp;" = "&amp;TEXT(IF((((1+INDEX($J$15:$J$32,MATCH(G5,$B$15:$B$32,0)))*INDEX($I$15:$I$32,MATCH(G5,$B$15:$B$32,0)))/INDEX($I$15:$I$32,MATCH(D5,$B$15:$B$32,0))-INDEX($J$15:$J$32,MATCH(D5,$B$15:$B$32,0)))=0,0,ROUND(((1+INDEX($J$15:$J$32,MATCH(G5,$B$15:$B$32,0)))*INDEX($I$15:$I$32,MATCH(G5,$B$15:$B$32,0)))/INDEX($I$15:$I$32,MATCH(D5,$B$15:$B$32,0))-INDEX($J$15:$J$32,MATCH(D5,$B$15:$B$32,0)),11-INT(LOG10(ABS(((1+INDEX($J$15:$J$32,MATCH(G5,$B$15:$B$32,0)))*INDEX($I$15:$I$32,MATCH(G5,$B$15:$B$32,0)))/INDEX($I$15:$I$32,MATCH(D5,$B$15:$B$32,0))-INDEX($J$15:$J$32,MATCH(D5,$B$15:$B$32,0))))))),"General")&amp;" "&amp;D5</f>
        <v>1 Foot (ft) = 0.3048 Meter (m)</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IF(COUNT($D$15:$D$32)&lt;&gt;1,"",SUMPRODUCT(--ISNUMBER($D$15:$D$32),($D$15:$D$32+$J$15:$J$32)*$I$15:$I$32))</f>
        <v/>
      </c>
    </row>
    <row r="13" customFormat="false" ht="15" hidden="false" customHeight="false" outlineLevel="0" collapsed="false">
      <c r="B13" s="20" t="str">
        <f aca="false">IF(COUNT($D$15:$D$32)=0,"Type a number next to any unit below (e.g. next to the unit you know).",IF(COUNT($D$15:$D$32)&gt;1,"⚠ More than one value entered – clear all but one yellow cell.","Showing everything equal to "&amp;INDEX($D$15:$D$32,MATCH(TRUE(),INDEX(ISNUMBER($D$15:$D$32),0),0))&amp;" "&amp;INDEX($B$15:$B$32,MATCH(TRUE(),INDEX(ISNUMBER($D$15:$D$32),0),0))))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84</v>
      </c>
      <c r="J14" s="5" t="s">
        <v>85</v>
      </c>
    </row>
    <row r="15" customFormat="false" ht="19.5" hidden="false" customHeight="true" outlineLevel="0" collapsed="false">
      <c r="B15" s="22" t="s">
        <v>86</v>
      </c>
      <c r="C15" s="23" t="s">
        <v>87</v>
      </c>
      <c r="D15" s="24"/>
      <c r="E15" s="25" t="s">
        <v>88</v>
      </c>
      <c r="F15" s="26" t="str">
        <f aca="false">IF($J$12="","",IF(($J$12/I15-J15)=0,0,ROUND($J$12/I15-J15,11-INT(LOG10(ABS($J$12/I15-J15))))))</f>
        <v/>
      </c>
      <c r="G15" s="27" t="str">
        <f aca="false">B15</f>
        <v>Kilometre (km)</v>
      </c>
      <c r="I15" s="28" t="n">
        <v>1000</v>
      </c>
      <c r="J15" s="28" t="n">
        <v>0</v>
      </c>
    </row>
    <row r="16" customFormat="false" ht="19.5" hidden="false" customHeight="true" outlineLevel="0" collapsed="false">
      <c r="B16" s="22" t="s">
        <v>68</v>
      </c>
      <c r="C16" s="23" t="s">
        <v>87</v>
      </c>
      <c r="D16" s="24"/>
      <c r="E16" s="25" t="s">
        <v>88</v>
      </c>
      <c r="F16" s="26" t="str">
        <f aca="false">IF($J$12="","",IF(($J$12/I16-J16)=0,0,ROUND($J$12/I16-J16,11-INT(LOG10(ABS($J$12/I16-J16))))))</f>
        <v/>
      </c>
      <c r="G16" s="27" t="str">
        <f aca="false">B16</f>
        <v>Meter (m)</v>
      </c>
      <c r="I16" s="28" t="n">
        <v>1</v>
      </c>
      <c r="J16" s="28" t="n">
        <v>0</v>
      </c>
    </row>
    <row r="17" customFormat="false" ht="19.5" hidden="false" customHeight="true" outlineLevel="0" collapsed="false">
      <c r="B17" s="22" t="s">
        <v>89</v>
      </c>
      <c r="C17" s="23" t="s">
        <v>87</v>
      </c>
      <c r="D17" s="24"/>
      <c r="E17" s="25" t="s">
        <v>88</v>
      </c>
      <c r="F17" s="26" t="str">
        <f aca="false">IF($J$12="","",IF(($J$12/I17-J17)=0,0,ROUND($J$12/I17-J17,11-INT(LOG10(ABS($J$12/I17-J17))))))</f>
        <v/>
      </c>
      <c r="G17" s="27" t="str">
        <f aca="false">B17</f>
        <v>Centimetre (cm)</v>
      </c>
      <c r="I17" s="28" t="n">
        <v>0.01</v>
      </c>
      <c r="J17" s="28" t="n">
        <v>0</v>
      </c>
    </row>
    <row r="18" customFormat="false" ht="19.5" hidden="false" customHeight="true" outlineLevel="0" collapsed="false">
      <c r="B18" s="22" t="s">
        <v>90</v>
      </c>
      <c r="C18" s="23" t="s">
        <v>87</v>
      </c>
      <c r="D18" s="24"/>
      <c r="E18" s="25" t="s">
        <v>88</v>
      </c>
      <c r="F18" s="26" t="str">
        <f aca="false">IF($J$12="","",IF(($J$12/I18-J18)=0,0,ROUND($J$12/I18-J18,11-INT(LOG10(ABS($J$12/I18-J18))))))</f>
        <v/>
      </c>
      <c r="G18" s="27" t="str">
        <f aca="false">B18</f>
        <v>Millimetre (mm)</v>
      </c>
      <c r="I18" s="28" t="n">
        <v>0.001</v>
      </c>
      <c r="J18" s="28" t="n">
        <v>0</v>
      </c>
    </row>
    <row r="19" customFormat="false" ht="19.5" hidden="false" customHeight="true" outlineLevel="0" collapsed="false">
      <c r="B19" s="22" t="s">
        <v>91</v>
      </c>
      <c r="C19" s="23" t="s">
        <v>87</v>
      </c>
      <c r="D19" s="24"/>
      <c r="E19" s="25" t="s">
        <v>88</v>
      </c>
      <c r="F19" s="26" t="str">
        <f aca="false">IF($J$12="","",IF(($J$12/I19-J19)=0,0,ROUND($J$12/I19-J19,11-INT(LOG10(ABS($J$12/I19-J19))))))</f>
        <v/>
      </c>
      <c r="G19" s="27" t="str">
        <f aca="false">B19</f>
        <v>Micrometre (µm)</v>
      </c>
      <c r="I19" s="28" t="n">
        <v>1E-006</v>
      </c>
      <c r="J19" s="28" t="n">
        <v>0</v>
      </c>
    </row>
    <row r="20" customFormat="false" ht="19.5" hidden="false" customHeight="true" outlineLevel="0" collapsed="false">
      <c r="B20" s="22" t="s">
        <v>92</v>
      </c>
      <c r="C20" s="23" t="s">
        <v>87</v>
      </c>
      <c r="D20" s="24"/>
      <c r="E20" s="25" t="s">
        <v>88</v>
      </c>
      <c r="F20" s="26" t="str">
        <f aca="false">IF($J$12="","",IF(($J$12/I20-J20)=0,0,ROUND($J$12/I20-J20,11-INT(LOG10(ABS($J$12/I20-J20))))))</f>
        <v/>
      </c>
      <c r="G20" s="27" t="str">
        <f aca="false">B20</f>
        <v>Nanometre (nm)</v>
      </c>
      <c r="I20" s="28" t="n">
        <v>1E-009</v>
      </c>
      <c r="J20" s="28" t="n">
        <v>0</v>
      </c>
    </row>
    <row r="21" customFormat="false" ht="19.5" hidden="false" customHeight="true" outlineLevel="0" collapsed="false">
      <c r="B21" s="22" t="s">
        <v>93</v>
      </c>
      <c r="C21" s="23" t="s">
        <v>94</v>
      </c>
      <c r="D21" s="24"/>
      <c r="E21" s="25" t="s">
        <v>88</v>
      </c>
      <c r="F21" s="26" t="str">
        <f aca="false">IF($J$12="","",IF(($J$12/I21-J21)=0,0,ROUND($J$12/I21-J21,11-INT(LOG10(ABS($J$12/I21-J21))))))</f>
        <v/>
      </c>
      <c r="G21" s="27" t="str">
        <f aca="false">B21</f>
        <v>Mile (mi)</v>
      </c>
      <c r="I21" s="28" t="n">
        <v>1609.344</v>
      </c>
      <c r="J21" s="28" t="n">
        <v>0</v>
      </c>
    </row>
    <row r="22" customFormat="false" ht="19.5" hidden="false" customHeight="true" outlineLevel="0" collapsed="false">
      <c r="B22" s="22" t="s">
        <v>95</v>
      </c>
      <c r="C22" s="23" t="s">
        <v>94</v>
      </c>
      <c r="D22" s="24"/>
      <c r="E22" s="25" t="s">
        <v>88</v>
      </c>
      <c r="F22" s="26" t="str">
        <f aca="false">IF($J$12="","",IF(($J$12/I22-J22)=0,0,ROUND($J$12/I22-J22,11-INT(LOG10(ABS($J$12/I22-J22))))))</f>
        <v/>
      </c>
      <c r="G22" s="27" t="str">
        <f aca="false">B22</f>
        <v>Yard (yd)</v>
      </c>
      <c r="I22" s="28" t="n">
        <v>0.9144</v>
      </c>
      <c r="J22" s="28" t="n">
        <v>0</v>
      </c>
    </row>
    <row r="23" customFormat="false" ht="19.5" hidden="false" customHeight="true" outlineLevel="0" collapsed="false">
      <c r="B23" s="22" t="s">
        <v>70</v>
      </c>
      <c r="C23" s="23" t="s">
        <v>94</v>
      </c>
      <c r="D23" s="24"/>
      <c r="E23" s="25" t="s">
        <v>88</v>
      </c>
      <c r="F23" s="26" t="str">
        <f aca="false">IF($J$12="","",IF(($J$12/I23-J23)=0,0,ROUND($J$12/I23-J23,11-INT(LOG10(ABS($J$12/I23-J23))))))</f>
        <v/>
      </c>
      <c r="G23" s="27" t="str">
        <f aca="false">B23</f>
        <v>Foot (ft)</v>
      </c>
      <c r="I23" s="28" t="n">
        <v>0.3048</v>
      </c>
      <c r="J23" s="28" t="n">
        <v>0</v>
      </c>
    </row>
    <row r="24" customFormat="false" ht="19.5" hidden="false" customHeight="true" outlineLevel="0" collapsed="false">
      <c r="B24" s="22" t="s">
        <v>96</v>
      </c>
      <c r="C24" s="23" t="s">
        <v>94</v>
      </c>
      <c r="D24" s="24"/>
      <c r="E24" s="25" t="s">
        <v>88</v>
      </c>
      <c r="F24" s="26" t="str">
        <f aca="false">IF($J$12="","",IF(($J$12/I24-J24)=0,0,ROUND($J$12/I24-J24,11-INT(LOG10(ABS($J$12/I24-J24))))))</f>
        <v/>
      </c>
      <c r="G24" s="27" t="str">
        <f aca="false">B24</f>
        <v>Inch (in)</v>
      </c>
      <c r="I24" s="28" t="n">
        <v>0.0254</v>
      </c>
      <c r="J24" s="28" t="n">
        <v>0</v>
      </c>
    </row>
    <row r="25" customFormat="false" ht="19.5" hidden="false" customHeight="true" outlineLevel="0" collapsed="false">
      <c r="B25" s="22" t="s">
        <v>97</v>
      </c>
      <c r="C25" s="23" t="s">
        <v>94</v>
      </c>
      <c r="D25" s="24"/>
      <c r="E25" s="25" t="s">
        <v>88</v>
      </c>
      <c r="F25" s="26" t="str">
        <f aca="false">IF($J$12="","",IF(($J$12/I25-J25)=0,0,ROUND($J$12/I25-J25,11-INT(LOG10(ABS($J$12/I25-J25))))))</f>
        <v/>
      </c>
      <c r="G25" s="27" t="str">
        <f aca="false">B25</f>
        <v>Thou / mil</v>
      </c>
      <c r="I25" s="28" t="n">
        <v>2.54E-005</v>
      </c>
      <c r="J25" s="28" t="n">
        <v>0</v>
      </c>
    </row>
    <row r="26" customFormat="false" ht="19.5" hidden="false" customHeight="true" outlineLevel="0" collapsed="false">
      <c r="B26" s="22" t="s">
        <v>98</v>
      </c>
      <c r="C26" s="23" t="s">
        <v>94</v>
      </c>
      <c r="D26" s="24"/>
      <c r="E26" s="25" t="s">
        <v>88</v>
      </c>
      <c r="F26" s="26" t="str">
        <f aca="false">IF($J$12="","",IF(($J$12/I26-J26)=0,0,ROUND($J$12/I26-J26,11-INT(LOG10(ABS($J$12/I26-J26))))))</f>
        <v/>
      </c>
      <c r="G26" s="27" t="str">
        <f aca="false">B26</f>
        <v>Furlong</v>
      </c>
      <c r="I26" s="28" t="n">
        <v>201.168</v>
      </c>
      <c r="J26" s="28" t="n">
        <v>0</v>
      </c>
    </row>
    <row r="27" customFormat="false" ht="19.5" hidden="false" customHeight="true" outlineLevel="0" collapsed="false">
      <c r="B27" s="22" t="s">
        <v>99</v>
      </c>
      <c r="C27" s="23" t="s">
        <v>94</v>
      </c>
      <c r="D27" s="24"/>
      <c r="E27" s="25" t="s">
        <v>88</v>
      </c>
      <c r="F27" s="26" t="str">
        <f aca="false">IF($J$12="","",IF(($J$12/I27-J27)=0,0,ROUND($J$12/I27-J27,11-INT(LOG10(ABS($J$12/I27-J27))))))</f>
        <v/>
      </c>
      <c r="G27" s="27" t="str">
        <f aca="false">B27</f>
        <v>Chain</v>
      </c>
      <c r="I27" s="28" t="n">
        <v>20.1168</v>
      </c>
      <c r="J27" s="28" t="n">
        <v>0</v>
      </c>
    </row>
    <row r="28" customFormat="false" ht="19.5" hidden="false" customHeight="true" outlineLevel="0" collapsed="false">
      <c r="B28" s="22" t="s">
        <v>100</v>
      </c>
      <c r="C28" s="23" t="s">
        <v>94</v>
      </c>
      <c r="D28" s="24"/>
      <c r="E28" s="25" t="s">
        <v>88</v>
      </c>
      <c r="F28" s="26" t="str">
        <f aca="false">IF($J$12="","",IF(($J$12/I28-J28)=0,0,ROUND($J$12/I28-J28,11-INT(LOG10(ABS($J$12/I28-J28))))))</f>
        <v/>
      </c>
      <c r="G28" s="27" t="str">
        <f aca="false">B28</f>
        <v>Fathom</v>
      </c>
      <c r="I28" s="28" t="n">
        <v>1.8288</v>
      </c>
      <c r="J28" s="28" t="n">
        <v>0</v>
      </c>
    </row>
    <row r="29" customFormat="false" ht="19.5" hidden="false" customHeight="true" outlineLevel="0" collapsed="false">
      <c r="B29" s="22" t="s">
        <v>101</v>
      </c>
      <c r="C29" s="23" t="s">
        <v>102</v>
      </c>
      <c r="D29" s="24"/>
      <c r="E29" s="25" t="s">
        <v>88</v>
      </c>
      <c r="F29" s="26" t="str">
        <f aca="false">IF($J$12="","",IF(($J$12/I29-J29)=0,0,ROUND($J$12/I29-J29,11-INT(LOG10(ABS($J$12/I29-J29))))))</f>
        <v/>
      </c>
      <c r="G29" s="27" t="str">
        <f aca="false">B29</f>
        <v>Nautical mile (nmi)</v>
      </c>
      <c r="I29" s="28" t="n">
        <v>1852</v>
      </c>
      <c r="J29" s="28" t="n">
        <v>0</v>
      </c>
    </row>
    <row r="30" customFormat="false" ht="19.5" hidden="false" customHeight="true" outlineLevel="0" collapsed="false">
      <c r="B30" s="22" t="s">
        <v>103</v>
      </c>
      <c r="C30" s="23" t="s">
        <v>102</v>
      </c>
      <c r="D30" s="24"/>
      <c r="E30" s="25" t="s">
        <v>88</v>
      </c>
      <c r="F30" s="26" t="str">
        <f aca="false">IF($J$12="","",IF(($J$12/I30-J30)=0,0,ROUND($J$12/I30-J30,11-INT(LOG10(ABS($J$12/I30-J30))))))</f>
        <v/>
      </c>
      <c r="G30" s="27" t="str">
        <f aca="false">B30</f>
        <v>Ångström (Å)</v>
      </c>
      <c r="I30" s="28" t="n">
        <v>1E-010</v>
      </c>
      <c r="J30" s="28" t="n">
        <v>0</v>
      </c>
    </row>
    <row r="31" customFormat="false" ht="19.5" hidden="false" customHeight="true" outlineLevel="0" collapsed="false">
      <c r="B31" s="22" t="s">
        <v>104</v>
      </c>
      <c r="C31" s="23" t="s">
        <v>102</v>
      </c>
      <c r="D31" s="24"/>
      <c r="E31" s="25" t="s">
        <v>88</v>
      </c>
      <c r="F31" s="26" t="str">
        <f aca="false">IF($J$12="","",IF(($J$12/I31-J31)=0,0,ROUND($J$12/I31-J31,11-INT(LOG10(ABS($J$12/I31-J31))))))</f>
        <v/>
      </c>
      <c r="G31" s="27" t="str">
        <f aca="false">B31</f>
        <v>Astronomical unit (au)</v>
      </c>
      <c r="I31" s="28" t="n">
        <v>149597870700</v>
      </c>
      <c r="J31" s="28" t="n">
        <v>0</v>
      </c>
    </row>
    <row r="32" customFormat="false" ht="19.5" hidden="false" customHeight="true" outlineLevel="0" collapsed="false">
      <c r="B32" s="22" t="s">
        <v>105</v>
      </c>
      <c r="C32" s="23" t="s">
        <v>102</v>
      </c>
      <c r="D32" s="24"/>
      <c r="E32" s="25" t="s">
        <v>88</v>
      </c>
      <c r="F32" s="26" t="str">
        <f aca="false">IF($J$12="","",IF(($J$12/I32-J32)=0,0,ROUND($J$12/I32-J32,11-INT(LOG10(ABS($J$12/I32-J32))))))</f>
        <v/>
      </c>
      <c r="G32" s="27" t="str">
        <f aca="false">B32</f>
        <v>Light-year (ly)</v>
      </c>
      <c r="I32" s="28" t="n">
        <v>9460730472580800</v>
      </c>
      <c r="J32" s="28" t="n">
        <v>0</v>
      </c>
    </row>
    <row r="34" customFormat="false" ht="15" hidden="false" customHeight="false" outlineLevel="0" collapsed="false">
      <c r="B34" s="18" t="s">
        <v>106</v>
      </c>
    </row>
    <row r="35" customFormat="false" ht="15" hidden="false" customHeight="false" outlineLevel="0" collapsed="false">
      <c r="B35" s="18" t="s">
        <v>107</v>
      </c>
    </row>
    <row r="36" customFormat="false" ht="15" hidden="false" customHeight="false" outlineLevel="0" collapsed="false">
      <c r="B36" s="18" t="s">
        <v>108</v>
      </c>
    </row>
  </sheetData>
  <mergeCells count="6">
    <mergeCell ref="C5:C6"/>
    <mergeCell ref="D5:D6"/>
    <mergeCell ref="E5:E6"/>
    <mergeCell ref="F5:F6"/>
    <mergeCell ref="G5:G6"/>
    <mergeCell ref="B13:G13"/>
  </mergeCells>
  <conditionalFormatting sqref="B15:G32">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$B$15:$B$32</formula1>
      <formula2>0</formula2>
    </dataValidation>
    <dataValidation allowBlank="true" error="Please type a number." errorStyle="stop" errorTitle="Number only" operator="between" showDropDown="false" showErrorMessage="true" showInputMessage="false" sqref="C5 D15:D32" type="decimal">
      <formula1>-1E+307</formula1>
      <formula2>1E+307</formula2>
    </dataValidation>
  </dataValidations>
  <hyperlinks>
    <hyperlink ref="B2" r:id="rId1" location="Home!A1" display="SI base unit for this sheet: metre (m).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109</v>
      </c>
    </row>
    <row r="2" customFormat="false" ht="15" hidden="false" customHeight="false" outlineLevel="0" collapsed="false">
      <c r="B2" s="2" t="s">
        <v>110</v>
      </c>
    </row>
    <row r="4" customFormat="false" ht="15" hidden="false" customHeight="false" outlineLevel="0" collapsed="false">
      <c r="B4" s="10" t="s">
        <v>66</v>
      </c>
    </row>
    <row r="5" customFormat="false" ht="15" hidden="false" customHeight="true" outlineLevel="0" collapsed="false">
      <c r="B5" s="11" t="s">
        <v>67</v>
      </c>
      <c r="C5" s="12" t="n">
        <v>1</v>
      </c>
      <c r="D5" s="13" t="s">
        <v>111</v>
      </c>
      <c r="E5" s="14" t="s">
        <v>69</v>
      </c>
      <c r="F5" s="15" t="n">
        <f aca="false">IF(ISNUMBER(C5),IF((((C5+INDEX($J$15:$J$25,MATCH(D5,$B$15:$B$25,0)))*INDEX($I$15:$I$25,MATCH(D5,$B$15:$B$25,0)))/INDEX($I$15:$I$25,MATCH(G5,$B$15:$B$25,0))-INDEX($J$15:$J$25,MATCH(G5,$B$15:$B$25,0)))=0,0,ROUND(((C5+INDEX($J$15:$J$25,MATCH(D5,$B$15:$B$25,0)))*INDEX($I$15:$I$25,MATCH(D5,$B$15:$B$25,0)))/INDEX($I$15:$I$25,MATCH(G5,$B$15:$B$25,0))-INDEX($J$15:$J$25,MATCH(G5,$B$15:$B$25,0)),11-INT(LOG10(ABS(((C5+INDEX($J$15:$J$25,MATCH(D5,$B$15:$B$25,0)))*INDEX($I$15:$I$25,MATCH(D5,$B$15:$B$25,0)))/INDEX($I$15:$I$25,MATCH(G5,$B$15:$B$25,0))-INDEX($J$15:$J$25,MATCH(G5,$B$15:$B$25,0))))))),"")</f>
        <v>10.7639104167</v>
      </c>
      <c r="G5" s="13" t="s">
        <v>112</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Square meter (m²) = 10.7639104167 Square foot (ft²)</v>
      </c>
    </row>
    <row r="9" customFormat="false" ht="15" hidden="false" customHeight="false" outlineLevel="0" collapsed="false">
      <c r="B9" s="11" t="s">
        <v>76</v>
      </c>
      <c r="C9" s="17" t="str">
        <f aca="false">"1 "&amp;G5&amp;" = "&amp;TEXT(IF((((1+INDEX($J$15:$J$25,MATCH(G5,$B$15:$B$25,0)))*INDEX($I$15:$I$25,MATCH(G5,$B$15:$B$25,0)))/INDEX($I$15:$I$25,MATCH(D5,$B$15:$B$25,0))-INDEX($J$15:$J$25,MATCH(D5,$B$15:$B$25,0)))=0,0,ROUND(((1+INDEX($J$15:$J$25,MATCH(G5,$B$15:$B$25,0)))*INDEX($I$15:$I$25,MATCH(G5,$B$15:$B$25,0)))/INDEX($I$15:$I$25,MATCH(D5,$B$15:$B$25,0))-INDEX($J$15:$J$25,MATCH(D5,$B$15:$B$25,0)),11-INT(LOG10(ABS(((1+INDEX($J$15:$J$25,MATCH(G5,$B$15:$B$25,0)))*INDEX($I$15:$I$25,MATCH(G5,$B$15:$B$25,0)))/INDEX($I$15:$I$25,MATCH(D5,$B$15:$B$25,0))-INDEX($J$15:$J$25,MATCH(D5,$B$15:$B$25,0))))))),"General")&amp;" "&amp;D5</f>
        <v>1 Square foot (ft²) = 0.09290304 Square meter (m²)</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IF(COUNT($D$15:$D$25)&lt;&gt;1,"",SUMPRODUCT(--ISNUMBER($D$15:$D$25),($D$15:$D$25+$J$15:$J$25)*$I$15:$I$25))</f>
        <v/>
      </c>
    </row>
    <row r="13" customFormat="false" ht="15" hidden="false" customHeight="false" outlineLevel="0" collapsed="false">
      <c r="B13" s="20" t="str">
        <f aca="false">IF(COUNT($D$15:$D$25)=0,"Type a number next to any unit below (e.g. next to the unit you know).",IF(COUNT($D$15:$D$25)&gt;1,"⚠ More than one value entered – clear all but one yellow cell.","Showing everything equal to "&amp;INDEX($D$15:$D$25,MATCH(TRUE(),INDEX(ISNUMBER($D$15:$D$25),0),0))&amp;" "&amp;INDEX($B$15:$B$25,MATCH(TRUE(),INDEX(ISNUMBER($D$15:$D$25),0),0))))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113</v>
      </c>
      <c r="J14" s="5" t="s">
        <v>85</v>
      </c>
    </row>
    <row r="15" customFormat="false" ht="19.5" hidden="false" customHeight="true" outlineLevel="0" collapsed="false">
      <c r="B15" s="22" t="s">
        <v>114</v>
      </c>
      <c r="C15" s="23" t="s">
        <v>87</v>
      </c>
      <c r="D15" s="24"/>
      <c r="E15" s="25" t="s">
        <v>88</v>
      </c>
      <c r="F15" s="26" t="str">
        <f aca="false">IF($J$12="","",IF(($J$12/I15-J15)=0,0,ROUND($J$12/I15-J15,11-INT(LOG10(ABS($J$12/I15-J15))))))</f>
        <v/>
      </c>
      <c r="G15" s="27" t="str">
        <f aca="false">B15</f>
        <v>Square kilometre (km²)</v>
      </c>
      <c r="I15" s="28" t="n">
        <v>1000000</v>
      </c>
      <c r="J15" s="28" t="n">
        <v>0</v>
      </c>
    </row>
    <row r="16" customFormat="false" ht="19.5" hidden="false" customHeight="true" outlineLevel="0" collapsed="false">
      <c r="B16" s="22" t="s">
        <v>115</v>
      </c>
      <c r="C16" s="23" t="s">
        <v>87</v>
      </c>
      <c r="D16" s="24"/>
      <c r="E16" s="25" t="s">
        <v>88</v>
      </c>
      <c r="F16" s="26" t="str">
        <f aca="false">IF($J$12="","",IF(($J$12/I16-J16)=0,0,ROUND($J$12/I16-J16,11-INT(LOG10(ABS($J$12/I16-J16))))))</f>
        <v/>
      </c>
      <c r="G16" s="27" t="str">
        <f aca="false">B16</f>
        <v>Hectare (ha)</v>
      </c>
      <c r="I16" s="28" t="n">
        <v>10000</v>
      </c>
      <c r="J16" s="28" t="n">
        <v>0</v>
      </c>
    </row>
    <row r="17" customFormat="false" ht="19.5" hidden="false" customHeight="true" outlineLevel="0" collapsed="false">
      <c r="B17" s="22" t="s">
        <v>116</v>
      </c>
      <c r="C17" s="23" t="s">
        <v>87</v>
      </c>
      <c r="D17" s="24"/>
      <c r="E17" s="25" t="s">
        <v>88</v>
      </c>
      <c r="F17" s="26" t="str">
        <f aca="false">IF($J$12="","",IF(($J$12/I17-J17)=0,0,ROUND($J$12/I17-J17,11-INT(LOG10(ABS($J$12/I17-J17))))))</f>
        <v/>
      </c>
      <c r="G17" s="27" t="str">
        <f aca="false">B17</f>
        <v>Are (a)</v>
      </c>
      <c r="I17" s="28" t="n">
        <v>100</v>
      </c>
      <c r="J17" s="28" t="n">
        <v>0</v>
      </c>
    </row>
    <row r="18" customFormat="false" ht="19.5" hidden="false" customHeight="true" outlineLevel="0" collapsed="false">
      <c r="B18" s="22" t="s">
        <v>111</v>
      </c>
      <c r="C18" s="23" t="s">
        <v>87</v>
      </c>
      <c r="D18" s="24"/>
      <c r="E18" s="25" t="s">
        <v>88</v>
      </c>
      <c r="F18" s="26" t="str">
        <f aca="false">IF($J$12="","",IF(($J$12/I18-J18)=0,0,ROUND($J$12/I18-J18,11-INT(LOG10(ABS($J$12/I18-J18))))))</f>
        <v/>
      </c>
      <c r="G18" s="27" t="str">
        <f aca="false">B18</f>
        <v>Square meter (m²)</v>
      </c>
      <c r="I18" s="28" t="n">
        <v>1</v>
      </c>
      <c r="J18" s="28" t="n">
        <v>0</v>
      </c>
    </row>
    <row r="19" customFormat="false" ht="19.5" hidden="false" customHeight="true" outlineLevel="0" collapsed="false">
      <c r="B19" s="22" t="s">
        <v>117</v>
      </c>
      <c r="C19" s="23" t="s">
        <v>87</v>
      </c>
      <c r="D19" s="24"/>
      <c r="E19" s="25" t="s">
        <v>88</v>
      </c>
      <c r="F19" s="26" t="str">
        <f aca="false">IF($J$12="","",IF(($J$12/I19-J19)=0,0,ROUND($J$12/I19-J19,11-INT(LOG10(ABS($J$12/I19-J19))))))</f>
        <v/>
      </c>
      <c r="G19" s="27" t="str">
        <f aca="false">B19</f>
        <v>Square centimetre (cm²)</v>
      </c>
      <c r="I19" s="28" t="n">
        <v>0.0001</v>
      </c>
      <c r="J19" s="28" t="n">
        <v>0</v>
      </c>
    </row>
    <row r="20" customFormat="false" ht="19.5" hidden="false" customHeight="true" outlineLevel="0" collapsed="false">
      <c r="B20" s="22" t="s">
        <v>118</v>
      </c>
      <c r="C20" s="23" t="s">
        <v>87</v>
      </c>
      <c r="D20" s="24"/>
      <c r="E20" s="25" t="s">
        <v>88</v>
      </c>
      <c r="F20" s="26" t="str">
        <f aca="false">IF($J$12="","",IF(($J$12/I20-J20)=0,0,ROUND($J$12/I20-J20,11-INT(LOG10(ABS($J$12/I20-J20))))))</f>
        <v/>
      </c>
      <c r="G20" s="27" t="str">
        <f aca="false">B20</f>
        <v>Square millimetre (mm²)</v>
      </c>
      <c r="I20" s="28" t="n">
        <v>1E-006</v>
      </c>
      <c r="J20" s="28" t="n">
        <v>0</v>
      </c>
    </row>
    <row r="21" customFormat="false" ht="19.5" hidden="false" customHeight="true" outlineLevel="0" collapsed="false">
      <c r="B21" s="22" t="s">
        <v>119</v>
      </c>
      <c r="C21" s="23" t="s">
        <v>94</v>
      </c>
      <c r="D21" s="24"/>
      <c r="E21" s="25" t="s">
        <v>88</v>
      </c>
      <c r="F21" s="26" t="str">
        <f aca="false">IF($J$12="","",IF(($J$12/I21-J21)=0,0,ROUND($J$12/I21-J21,11-INT(LOG10(ABS($J$12/I21-J21))))))</f>
        <v/>
      </c>
      <c r="G21" s="27" t="str">
        <f aca="false">B21</f>
        <v>Square mile (mi²)</v>
      </c>
      <c r="I21" s="28" t="n">
        <v>2589988.110336</v>
      </c>
      <c r="J21" s="28" t="n">
        <v>0</v>
      </c>
    </row>
    <row r="22" customFormat="false" ht="19.5" hidden="false" customHeight="true" outlineLevel="0" collapsed="false">
      <c r="B22" s="22" t="s">
        <v>120</v>
      </c>
      <c r="C22" s="23" t="s">
        <v>94</v>
      </c>
      <c r="D22" s="24"/>
      <c r="E22" s="25" t="s">
        <v>88</v>
      </c>
      <c r="F22" s="26" t="str">
        <f aca="false">IF($J$12="","",IF(($J$12/I22-J22)=0,0,ROUND($J$12/I22-J22,11-INT(LOG10(ABS($J$12/I22-J22))))))</f>
        <v/>
      </c>
      <c r="G22" s="27" t="str">
        <f aca="false">B22</f>
        <v>Acre (ac)</v>
      </c>
      <c r="I22" s="28" t="n">
        <v>4046.8564224</v>
      </c>
      <c r="J22" s="28" t="n">
        <v>0</v>
      </c>
    </row>
    <row r="23" customFormat="false" ht="19.5" hidden="false" customHeight="true" outlineLevel="0" collapsed="false">
      <c r="B23" s="22" t="s">
        <v>121</v>
      </c>
      <c r="C23" s="23" t="s">
        <v>94</v>
      </c>
      <c r="D23" s="24"/>
      <c r="E23" s="25" t="s">
        <v>88</v>
      </c>
      <c r="F23" s="26" t="str">
        <f aca="false">IF($J$12="","",IF(($J$12/I23-J23)=0,0,ROUND($J$12/I23-J23,11-INT(LOG10(ABS($J$12/I23-J23))))))</f>
        <v/>
      </c>
      <c r="G23" s="27" t="str">
        <f aca="false">B23</f>
        <v>Square yard (yd²)</v>
      </c>
      <c r="I23" s="28" t="n">
        <v>0.83612736</v>
      </c>
      <c r="J23" s="28" t="n">
        <v>0</v>
      </c>
    </row>
    <row r="24" customFormat="false" ht="19.5" hidden="false" customHeight="true" outlineLevel="0" collapsed="false">
      <c r="B24" s="22" t="s">
        <v>112</v>
      </c>
      <c r="C24" s="23" t="s">
        <v>94</v>
      </c>
      <c r="D24" s="24"/>
      <c r="E24" s="25" t="s">
        <v>88</v>
      </c>
      <c r="F24" s="26" t="str">
        <f aca="false">IF($J$12="","",IF(($J$12/I24-J24)=0,0,ROUND($J$12/I24-J24,11-INT(LOG10(ABS($J$12/I24-J24))))))</f>
        <v/>
      </c>
      <c r="G24" s="27" t="str">
        <f aca="false">B24</f>
        <v>Square foot (ft²)</v>
      </c>
      <c r="I24" s="28" t="n">
        <v>0.09290304</v>
      </c>
      <c r="J24" s="28" t="n">
        <v>0</v>
      </c>
    </row>
    <row r="25" customFormat="false" ht="19.5" hidden="false" customHeight="true" outlineLevel="0" collapsed="false">
      <c r="B25" s="22" t="s">
        <v>122</v>
      </c>
      <c r="C25" s="23" t="s">
        <v>94</v>
      </c>
      <c r="D25" s="24"/>
      <c r="E25" s="25" t="s">
        <v>88</v>
      </c>
      <c r="F25" s="26" t="str">
        <f aca="false">IF($J$12="","",IF(($J$12/I25-J25)=0,0,ROUND($J$12/I25-J25,11-INT(LOG10(ABS($J$12/I25-J25))))))</f>
        <v/>
      </c>
      <c r="G25" s="27" t="str">
        <f aca="false">B25</f>
        <v>Square inch (in²)</v>
      </c>
      <c r="I25" s="28" t="n">
        <v>0.00064516</v>
      </c>
      <c r="J25" s="28" t="n">
        <v>0</v>
      </c>
    </row>
    <row r="27" customFormat="false" ht="15" hidden="false" customHeight="false" outlineLevel="0" collapsed="false">
      <c r="B27" s="18" t="s">
        <v>106</v>
      </c>
    </row>
    <row r="28" customFormat="false" ht="15" hidden="false" customHeight="false" outlineLevel="0" collapsed="false">
      <c r="B28" s="18" t="s">
        <v>107</v>
      </c>
    </row>
    <row r="29" customFormat="false" ht="15" hidden="false" customHeight="false" outlineLevel="0" collapsed="false">
      <c r="B29" s="18" t="s">
        <v>108</v>
      </c>
    </row>
  </sheetData>
  <mergeCells count="6">
    <mergeCell ref="C5:C6"/>
    <mergeCell ref="D5:D6"/>
    <mergeCell ref="E5:E6"/>
    <mergeCell ref="F5:F6"/>
    <mergeCell ref="G5:G6"/>
    <mergeCell ref="B13:G13"/>
  </mergeCells>
  <conditionalFormatting sqref="B15:G25">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$B$15:$B$25</formula1>
      <formula2>0</formula2>
    </dataValidation>
    <dataValidation allowBlank="true" error="Please type a number." errorStyle="stop" errorTitle="Number only" operator="between" showDropDown="false" showErrorMessage="true" showInputMessage="false" sqref="C5 D15:D25" type="decimal">
      <formula1>-1E+307</formula1>
      <formula2>1E+307</formula2>
    </dataValidation>
  </dataValidations>
  <hyperlinks>
    <hyperlink ref="B2" r:id="rId1" location="Home!A1" display="SI base unit for this sheet: square metre (m²).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123</v>
      </c>
    </row>
    <row r="2" customFormat="false" ht="15" hidden="false" customHeight="false" outlineLevel="0" collapsed="false">
      <c r="B2" s="2" t="s">
        <v>124</v>
      </c>
    </row>
    <row r="4" customFormat="false" ht="15" hidden="false" customHeight="false" outlineLevel="0" collapsed="false">
      <c r="B4" s="10" t="s">
        <v>66</v>
      </c>
    </row>
    <row r="5" customFormat="false" ht="15" hidden="false" customHeight="true" outlineLevel="0" collapsed="false">
      <c r="B5" s="11" t="s">
        <v>67</v>
      </c>
      <c r="C5" s="12" t="n">
        <v>1</v>
      </c>
      <c r="D5" s="13" t="s">
        <v>125</v>
      </c>
      <c r="E5" s="14" t="s">
        <v>69</v>
      </c>
      <c r="F5" s="15" t="n">
        <f aca="false">IF(ISNUMBER(C5),IF((((C5+INDEX($J$15:$J$33,MATCH(D5,$B$15:$B$33,0)))*INDEX($I$15:$I$33,MATCH(D5,$B$15:$B$33,0)))/INDEX($I$15:$I$33,MATCH(G5,$B$15:$B$33,0))-INDEX($J$15:$J$33,MATCH(G5,$B$15:$B$33,0)))=0,0,ROUND(((C5+INDEX($J$15:$J$33,MATCH(D5,$B$15:$B$33,0)))*INDEX($I$15:$I$33,MATCH(D5,$B$15:$B$33,0)))/INDEX($I$15:$I$33,MATCH(G5,$B$15:$B$33,0))-INDEX($J$15:$J$33,MATCH(G5,$B$15:$B$33,0)),11-INT(LOG10(ABS(((C5+INDEX($J$15:$J$33,MATCH(D5,$B$15:$B$33,0)))*INDEX($I$15:$I$33,MATCH(D5,$B$15:$B$33,0)))/INDEX($I$15:$I$33,MATCH(G5,$B$15:$B$33,0))-INDEX($J$15:$J$33,MATCH(G5,$B$15:$B$33,0))))))),"")</f>
        <v>0.264172052358</v>
      </c>
      <c r="G5" s="13" t="s">
        <v>126</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Litre (L) = 0.264172052358 US gallon (gal)</v>
      </c>
    </row>
    <row r="9" customFormat="false" ht="15" hidden="false" customHeight="false" outlineLevel="0" collapsed="false">
      <c r="B9" s="11" t="s">
        <v>76</v>
      </c>
      <c r="C9" s="17" t="str">
        <f aca="false">"1 "&amp;G5&amp;" = "&amp;TEXT(IF((((1+INDEX($J$15:$J$33,MATCH(G5,$B$15:$B$33,0)))*INDEX($I$15:$I$33,MATCH(G5,$B$15:$B$33,0)))/INDEX($I$15:$I$33,MATCH(D5,$B$15:$B$33,0))-INDEX($J$15:$J$33,MATCH(D5,$B$15:$B$33,0)))=0,0,ROUND(((1+INDEX($J$15:$J$33,MATCH(G5,$B$15:$B$33,0)))*INDEX($I$15:$I$33,MATCH(G5,$B$15:$B$33,0)))/INDEX($I$15:$I$33,MATCH(D5,$B$15:$B$33,0))-INDEX($J$15:$J$33,MATCH(D5,$B$15:$B$33,0)),11-INT(LOG10(ABS(((1+INDEX($J$15:$J$33,MATCH(G5,$B$15:$B$33,0)))*INDEX($I$15:$I$33,MATCH(G5,$B$15:$B$33,0)))/INDEX($I$15:$I$33,MATCH(D5,$B$15:$B$33,0))-INDEX($J$15:$J$33,MATCH(D5,$B$15:$B$33,0))))))),"General")&amp;" "&amp;D5</f>
        <v>1 US gallon (gal) = 3.785411784 Litre (L)</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IF(COUNT($D$15:$D$33)&lt;&gt;1,"",SUMPRODUCT(--ISNUMBER($D$15:$D$33),($D$15:$D$33+$J$15:$J$33)*$I$15:$I$33))</f>
        <v/>
      </c>
    </row>
    <row r="13" customFormat="false" ht="15" hidden="false" customHeight="false" outlineLevel="0" collapsed="false">
      <c r="B13" s="20" t="str">
        <f aca="false">IF(COUNT($D$15:$D$33)=0,"Type a number next to any unit below (e.g. next to the unit you know).",IF(COUNT($D$15:$D$33)&gt;1,"⚠ More than one value entered – clear all but one yellow cell.","Showing everything equal to "&amp;INDEX($D$15:$D$33,MATCH(TRUE(),INDEX(ISNUMBER($D$15:$D$33),0),0))&amp;" "&amp;INDEX($B$15:$B$33,MATCH(TRUE(),INDEX(ISNUMBER($D$15:$D$33),0),0))))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127</v>
      </c>
      <c r="J14" s="5" t="s">
        <v>85</v>
      </c>
    </row>
    <row r="15" customFormat="false" ht="19.5" hidden="false" customHeight="true" outlineLevel="0" collapsed="false">
      <c r="B15" s="22" t="s">
        <v>128</v>
      </c>
      <c r="C15" s="23" t="s">
        <v>87</v>
      </c>
      <c r="D15" s="24"/>
      <c r="E15" s="25" t="s">
        <v>88</v>
      </c>
      <c r="F15" s="26" t="str">
        <f aca="false">IF($J$12="","",IF(($J$12/I15-J15)=0,0,ROUND($J$12/I15-J15,11-INT(LOG10(ABS($J$12/I15-J15))))))</f>
        <v/>
      </c>
      <c r="G15" s="27" t="str">
        <f aca="false">B15</f>
        <v>Cubic meter (m³)</v>
      </c>
      <c r="I15" s="28" t="n">
        <v>1</v>
      </c>
      <c r="J15" s="28" t="n">
        <v>0</v>
      </c>
    </row>
    <row r="16" customFormat="false" ht="19.5" hidden="false" customHeight="true" outlineLevel="0" collapsed="false">
      <c r="B16" s="22" t="s">
        <v>125</v>
      </c>
      <c r="C16" s="23" t="s">
        <v>87</v>
      </c>
      <c r="D16" s="24"/>
      <c r="E16" s="25" t="s">
        <v>88</v>
      </c>
      <c r="F16" s="26" t="str">
        <f aca="false">IF($J$12="","",IF(($J$12/I16-J16)=0,0,ROUND($J$12/I16-J16,11-INT(LOG10(ABS($J$12/I16-J16))))))</f>
        <v/>
      </c>
      <c r="G16" s="27" t="str">
        <f aca="false">B16</f>
        <v>Litre (L)</v>
      </c>
      <c r="I16" s="28" t="n">
        <v>0.001</v>
      </c>
      <c r="J16" s="28" t="n">
        <v>0</v>
      </c>
    </row>
    <row r="17" customFormat="false" ht="19.5" hidden="false" customHeight="true" outlineLevel="0" collapsed="false">
      <c r="B17" s="22" t="s">
        <v>129</v>
      </c>
      <c r="C17" s="23" t="s">
        <v>87</v>
      </c>
      <c r="D17" s="24"/>
      <c r="E17" s="25" t="s">
        <v>88</v>
      </c>
      <c r="F17" s="26" t="str">
        <f aca="false">IF($J$12="","",IF(($J$12/I17-J17)=0,0,ROUND($J$12/I17-J17,11-INT(LOG10(ABS($J$12/I17-J17))))))</f>
        <v/>
      </c>
      <c r="G17" s="27" t="str">
        <f aca="false">B17</f>
        <v>Millilitre (mL)</v>
      </c>
      <c r="I17" s="28" t="n">
        <v>1E-006</v>
      </c>
      <c r="J17" s="28" t="n">
        <v>0</v>
      </c>
    </row>
    <row r="18" customFormat="false" ht="19.5" hidden="false" customHeight="true" outlineLevel="0" collapsed="false">
      <c r="B18" s="22" t="s">
        <v>130</v>
      </c>
      <c r="C18" s="23" t="s">
        <v>87</v>
      </c>
      <c r="D18" s="24"/>
      <c r="E18" s="25" t="s">
        <v>88</v>
      </c>
      <c r="F18" s="26" t="str">
        <f aca="false">IF($J$12="","",IF(($J$12/I18-J18)=0,0,ROUND($J$12/I18-J18,11-INT(LOG10(ABS($J$12/I18-J18))))))</f>
        <v/>
      </c>
      <c r="G18" s="27" t="str">
        <f aca="false">B18</f>
        <v>Cubic centimetre (cm³)</v>
      </c>
      <c r="I18" s="28" t="n">
        <v>1E-006</v>
      </c>
      <c r="J18" s="28" t="n">
        <v>0</v>
      </c>
    </row>
    <row r="19" customFormat="false" ht="19.5" hidden="false" customHeight="true" outlineLevel="0" collapsed="false">
      <c r="B19" s="22" t="s">
        <v>126</v>
      </c>
      <c r="C19" s="23" t="s">
        <v>131</v>
      </c>
      <c r="D19" s="24"/>
      <c r="E19" s="25" t="s">
        <v>88</v>
      </c>
      <c r="F19" s="26" t="str">
        <f aca="false">IF($J$12="","",IF(($J$12/I19-J19)=0,0,ROUND($J$12/I19-J19,11-INT(LOG10(ABS($J$12/I19-J19))))))</f>
        <v/>
      </c>
      <c r="G19" s="27" t="str">
        <f aca="false">B19</f>
        <v>US gallon (gal)</v>
      </c>
      <c r="I19" s="28" t="n">
        <v>0.003785411784</v>
      </c>
      <c r="J19" s="28" t="n">
        <v>0</v>
      </c>
    </row>
    <row r="20" customFormat="false" ht="19.5" hidden="false" customHeight="true" outlineLevel="0" collapsed="false">
      <c r="B20" s="22" t="s">
        <v>132</v>
      </c>
      <c r="C20" s="23" t="s">
        <v>131</v>
      </c>
      <c r="D20" s="24"/>
      <c r="E20" s="25" t="s">
        <v>88</v>
      </c>
      <c r="F20" s="26" t="str">
        <f aca="false">IF($J$12="","",IF(($J$12/I20-J20)=0,0,ROUND($J$12/I20-J20,11-INT(LOG10(ABS($J$12/I20-J20))))))</f>
        <v/>
      </c>
      <c r="G20" s="27" t="str">
        <f aca="false">B20</f>
        <v>US quart (qt)</v>
      </c>
      <c r="I20" s="28" t="n">
        <v>0.000946352946</v>
      </c>
      <c r="J20" s="28" t="n">
        <v>0</v>
      </c>
    </row>
    <row r="21" customFormat="false" ht="19.5" hidden="false" customHeight="true" outlineLevel="0" collapsed="false">
      <c r="B21" s="22" t="s">
        <v>133</v>
      </c>
      <c r="C21" s="23" t="s">
        <v>131</v>
      </c>
      <c r="D21" s="24"/>
      <c r="E21" s="25" t="s">
        <v>88</v>
      </c>
      <c r="F21" s="26" t="str">
        <f aca="false">IF($J$12="","",IF(($J$12/I21-J21)=0,0,ROUND($J$12/I21-J21,11-INT(LOG10(ABS($J$12/I21-J21))))))</f>
        <v/>
      </c>
      <c r="G21" s="27" t="str">
        <f aca="false">B21</f>
        <v>US pint (pt)</v>
      </c>
      <c r="I21" s="28" t="n">
        <v>0.000473176473</v>
      </c>
      <c r="J21" s="28" t="n">
        <v>0</v>
      </c>
    </row>
    <row r="22" customFormat="false" ht="19.5" hidden="false" customHeight="true" outlineLevel="0" collapsed="false">
      <c r="B22" s="22" t="s">
        <v>134</v>
      </c>
      <c r="C22" s="23" t="s">
        <v>131</v>
      </c>
      <c r="D22" s="24"/>
      <c r="E22" s="25" t="s">
        <v>88</v>
      </c>
      <c r="F22" s="26" t="str">
        <f aca="false">IF($J$12="","",IF(($J$12/I22-J22)=0,0,ROUND($J$12/I22-J22,11-INT(LOG10(ABS($J$12/I22-J22))))))</f>
        <v/>
      </c>
      <c r="G22" s="27" t="str">
        <f aca="false">B22</f>
        <v>US cup</v>
      </c>
      <c r="I22" s="28" t="n">
        <v>0.0002365882365</v>
      </c>
      <c r="J22" s="28" t="n">
        <v>0</v>
      </c>
    </row>
    <row r="23" customFormat="false" ht="19.5" hidden="false" customHeight="true" outlineLevel="0" collapsed="false">
      <c r="B23" s="22" t="s">
        <v>135</v>
      </c>
      <c r="C23" s="23" t="s">
        <v>131</v>
      </c>
      <c r="D23" s="24"/>
      <c r="E23" s="25" t="s">
        <v>88</v>
      </c>
      <c r="F23" s="26" t="str">
        <f aca="false">IF($J$12="","",IF(($J$12/I23-J23)=0,0,ROUND($J$12/I23-J23,11-INT(LOG10(ABS($J$12/I23-J23))))))</f>
        <v/>
      </c>
      <c r="G23" s="27" t="str">
        <f aca="false">B23</f>
        <v>US fluid ounce (fl oz)</v>
      </c>
      <c r="I23" s="28" t="n">
        <v>2.95735295625E-005</v>
      </c>
      <c r="J23" s="28" t="n">
        <v>0</v>
      </c>
    </row>
    <row r="24" customFormat="false" ht="19.5" hidden="false" customHeight="true" outlineLevel="0" collapsed="false">
      <c r="B24" s="22" t="s">
        <v>136</v>
      </c>
      <c r="C24" s="23" t="s">
        <v>131</v>
      </c>
      <c r="D24" s="24"/>
      <c r="E24" s="25" t="s">
        <v>88</v>
      </c>
      <c r="F24" s="26" t="str">
        <f aca="false">IF($J$12="","",IF(($J$12/I24-J24)=0,0,ROUND($J$12/I24-J24,11-INT(LOG10(ABS($J$12/I24-J24))))))</f>
        <v/>
      </c>
      <c r="G24" s="27" t="str">
        <f aca="false">B24</f>
        <v>US tablespoon (tbsp)</v>
      </c>
      <c r="I24" s="28" t="n">
        <v>1.478676478125E-005</v>
      </c>
      <c r="J24" s="28" t="n">
        <v>0</v>
      </c>
    </row>
    <row r="25" customFormat="false" ht="19.5" hidden="false" customHeight="true" outlineLevel="0" collapsed="false">
      <c r="B25" s="22" t="s">
        <v>137</v>
      </c>
      <c r="C25" s="23" t="s">
        <v>131</v>
      </c>
      <c r="D25" s="24"/>
      <c r="E25" s="25" t="s">
        <v>88</v>
      </c>
      <c r="F25" s="26" t="str">
        <f aca="false">IF($J$12="","",IF(($J$12/I25-J25)=0,0,ROUND($J$12/I25-J25,11-INT(LOG10(ABS($J$12/I25-J25))))))</f>
        <v/>
      </c>
      <c r="G25" s="27" t="str">
        <f aca="false">B25</f>
        <v>US teaspoon (tsp)</v>
      </c>
      <c r="I25" s="28" t="n">
        <v>4.92892159375E-006</v>
      </c>
      <c r="J25" s="28" t="n">
        <v>0</v>
      </c>
    </row>
    <row r="26" customFormat="false" ht="19.5" hidden="false" customHeight="true" outlineLevel="0" collapsed="false">
      <c r="B26" s="22" t="s">
        <v>138</v>
      </c>
      <c r="C26" s="23" t="s">
        <v>139</v>
      </c>
      <c r="D26" s="24"/>
      <c r="E26" s="25" t="s">
        <v>88</v>
      </c>
      <c r="F26" s="26" t="str">
        <f aca="false">IF($J$12="","",IF(($J$12/I26-J26)=0,0,ROUND($J$12/I26-J26,11-INT(LOG10(ABS($J$12/I26-J26))))))</f>
        <v/>
      </c>
      <c r="G26" s="27" t="str">
        <f aca="false">B26</f>
        <v>Imperial gallon (gal)</v>
      </c>
      <c r="I26" s="28" t="n">
        <v>0.00454609</v>
      </c>
      <c r="J26" s="28" t="n">
        <v>0</v>
      </c>
    </row>
    <row r="27" customFormat="false" ht="19.5" hidden="false" customHeight="true" outlineLevel="0" collapsed="false">
      <c r="B27" s="22" t="s">
        <v>140</v>
      </c>
      <c r="C27" s="23" t="s">
        <v>139</v>
      </c>
      <c r="D27" s="24"/>
      <c r="E27" s="25" t="s">
        <v>88</v>
      </c>
      <c r="F27" s="26" t="str">
        <f aca="false">IF($J$12="","",IF(($J$12/I27-J27)=0,0,ROUND($J$12/I27-J27,11-INT(LOG10(ABS($J$12/I27-J27))))))</f>
        <v/>
      </c>
      <c r="G27" s="27" t="str">
        <f aca="false">B27</f>
        <v>Imperial quart (qt)</v>
      </c>
      <c r="I27" s="28" t="n">
        <v>0.0011365225</v>
      </c>
      <c r="J27" s="28" t="n">
        <v>0</v>
      </c>
    </row>
    <row r="28" customFormat="false" ht="19.5" hidden="false" customHeight="true" outlineLevel="0" collapsed="false">
      <c r="B28" s="22" t="s">
        <v>141</v>
      </c>
      <c r="C28" s="23" t="s">
        <v>139</v>
      </c>
      <c r="D28" s="24"/>
      <c r="E28" s="25" t="s">
        <v>88</v>
      </c>
      <c r="F28" s="26" t="str">
        <f aca="false">IF($J$12="","",IF(($J$12/I28-J28)=0,0,ROUND($J$12/I28-J28,11-INT(LOG10(ABS($J$12/I28-J28))))))</f>
        <v/>
      </c>
      <c r="G28" s="27" t="str">
        <f aca="false">B28</f>
        <v>Imperial pint (pt)</v>
      </c>
      <c r="I28" s="28" t="n">
        <v>0.00056826125</v>
      </c>
      <c r="J28" s="28" t="n">
        <v>0</v>
      </c>
    </row>
    <row r="29" customFormat="false" ht="19.5" hidden="false" customHeight="true" outlineLevel="0" collapsed="false">
      <c r="B29" s="22" t="s">
        <v>142</v>
      </c>
      <c r="C29" s="23" t="s">
        <v>139</v>
      </c>
      <c r="D29" s="24"/>
      <c r="E29" s="25" t="s">
        <v>88</v>
      </c>
      <c r="F29" s="26" t="str">
        <f aca="false">IF($J$12="","",IF(($J$12/I29-J29)=0,0,ROUND($J$12/I29-J29,11-INT(LOG10(ABS($J$12/I29-J29))))))</f>
        <v/>
      </c>
      <c r="G29" s="27" t="str">
        <f aca="false">B29</f>
        <v>Imperial fluid ounce (fl oz)</v>
      </c>
      <c r="I29" s="28" t="n">
        <v>2.84130625E-005</v>
      </c>
      <c r="J29" s="28" t="n">
        <v>0</v>
      </c>
    </row>
    <row r="30" customFormat="false" ht="19.5" hidden="false" customHeight="true" outlineLevel="0" collapsed="false">
      <c r="B30" s="22" t="s">
        <v>143</v>
      </c>
      <c r="C30" s="23" t="s">
        <v>94</v>
      </c>
      <c r="D30" s="24"/>
      <c r="E30" s="25" t="s">
        <v>88</v>
      </c>
      <c r="F30" s="26" t="str">
        <f aca="false">IF($J$12="","",IF(($J$12/I30-J30)=0,0,ROUND($J$12/I30-J30,11-INT(LOG10(ABS($J$12/I30-J30))))))</f>
        <v/>
      </c>
      <c r="G30" s="27" t="str">
        <f aca="false">B30</f>
        <v>Cubic yard (yd³)</v>
      </c>
      <c r="I30" s="28" t="n">
        <v>0.764554857984</v>
      </c>
      <c r="J30" s="28" t="n">
        <v>0</v>
      </c>
    </row>
    <row r="31" customFormat="false" ht="19.5" hidden="false" customHeight="true" outlineLevel="0" collapsed="false">
      <c r="B31" s="22" t="s">
        <v>144</v>
      </c>
      <c r="C31" s="23" t="s">
        <v>94</v>
      </c>
      <c r="D31" s="24"/>
      <c r="E31" s="25" t="s">
        <v>88</v>
      </c>
      <c r="F31" s="26" t="str">
        <f aca="false">IF($J$12="","",IF(($J$12/I31-J31)=0,0,ROUND($J$12/I31-J31,11-INT(LOG10(ABS($J$12/I31-J31))))))</f>
        <v/>
      </c>
      <c r="G31" s="27" t="str">
        <f aca="false">B31</f>
        <v>Cubic foot (ft³)</v>
      </c>
      <c r="I31" s="28" t="n">
        <v>0.028316846592</v>
      </c>
      <c r="J31" s="28" t="n">
        <v>0</v>
      </c>
    </row>
    <row r="32" customFormat="false" ht="19.5" hidden="false" customHeight="true" outlineLevel="0" collapsed="false">
      <c r="B32" s="22" t="s">
        <v>145</v>
      </c>
      <c r="C32" s="23" t="s">
        <v>94</v>
      </c>
      <c r="D32" s="24"/>
      <c r="E32" s="25" t="s">
        <v>88</v>
      </c>
      <c r="F32" s="26" t="str">
        <f aca="false">IF($J$12="","",IF(($J$12/I32-J32)=0,0,ROUND($J$12/I32-J32,11-INT(LOG10(ABS($J$12/I32-J32))))))</f>
        <v/>
      </c>
      <c r="G32" s="27" t="str">
        <f aca="false">B32</f>
        <v>Cubic inch (in³)</v>
      </c>
      <c r="I32" s="28" t="n">
        <v>1.6387064E-005</v>
      </c>
      <c r="J32" s="28" t="n">
        <v>0</v>
      </c>
    </row>
    <row r="33" customFormat="false" ht="19.5" hidden="false" customHeight="true" outlineLevel="0" collapsed="false">
      <c r="B33" s="22" t="s">
        <v>146</v>
      </c>
      <c r="C33" s="23" t="s">
        <v>102</v>
      </c>
      <c r="D33" s="24"/>
      <c r="E33" s="25" t="s">
        <v>88</v>
      </c>
      <c r="F33" s="26" t="str">
        <f aca="false">IF($J$12="","",IF(($J$12/I33-J33)=0,0,ROUND($J$12/I33-J33,11-INT(LOG10(ABS($J$12/I33-J33))))))</f>
        <v/>
      </c>
      <c r="G33" s="27" t="str">
        <f aca="false">B33</f>
        <v>Oil barrel (bbl)</v>
      </c>
      <c r="I33" s="28" t="n">
        <v>0.158987294928</v>
      </c>
      <c r="J33" s="28" t="n">
        <v>0</v>
      </c>
    </row>
    <row r="35" customFormat="false" ht="15" hidden="false" customHeight="false" outlineLevel="0" collapsed="false">
      <c r="B35" s="18" t="s">
        <v>106</v>
      </c>
    </row>
    <row r="36" customFormat="false" ht="15" hidden="false" customHeight="false" outlineLevel="0" collapsed="false">
      <c r="B36" s="18" t="s">
        <v>107</v>
      </c>
    </row>
    <row r="37" customFormat="false" ht="15" hidden="false" customHeight="false" outlineLevel="0" collapsed="false">
      <c r="B37" s="18" t="s">
        <v>108</v>
      </c>
    </row>
    <row r="38" customFormat="false" ht="15" hidden="false" customHeight="false" outlineLevel="0" collapsed="false">
      <c r="B38" s="18" t="s">
        <v>147</v>
      </c>
    </row>
  </sheetData>
  <mergeCells count="6">
    <mergeCell ref="C5:C6"/>
    <mergeCell ref="D5:D6"/>
    <mergeCell ref="E5:E6"/>
    <mergeCell ref="F5:F6"/>
    <mergeCell ref="G5:G6"/>
    <mergeCell ref="B13:G13"/>
  </mergeCells>
  <conditionalFormatting sqref="B15:G33">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$B$15:$B$33</formula1>
      <formula2>0</formula2>
    </dataValidation>
    <dataValidation allowBlank="true" error="Please type a number." errorStyle="stop" errorTitle="Number only" operator="between" showDropDown="false" showErrorMessage="true" showInputMessage="false" sqref="C5 D15:D33" type="decimal">
      <formula1>-1E+307</formula1>
      <formula2>1E+307</formula2>
    </dataValidation>
  </dataValidations>
  <hyperlinks>
    <hyperlink ref="B2" r:id="rId1" location="Home!A1" display="SI base unit for this sheet: cubic metre (m³).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148</v>
      </c>
    </row>
    <row r="2" customFormat="false" ht="15" hidden="false" customHeight="false" outlineLevel="0" collapsed="false">
      <c r="B2" s="2" t="s">
        <v>149</v>
      </c>
    </row>
    <row r="4" customFormat="false" ht="15" hidden="false" customHeight="false" outlineLevel="0" collapsed="false">
      <c r="B4" s="10" t="s">
        <v>66</v>
      </c>
    </row>
    <row r="5" customFormat="false" ht="15" hidden="false" customHeight="true" outlineLevel="0" collapsed="false">
      <c r="B5" s="11" t="s">
        <v>67</v>
      </c>
      <c r="C5" s="12" t="n">
        <v>1</v>
      </c>
      <c r="D5" s="13" t="s">
        <v>150</v>
      </c>
      <c r="E5" s="14" t="s">
        <v>69</v>
      </c>
      <c r="F5" s="15" t="n">
        <f aca="false">IF(ISNUMBER(C5),IF((((C5+INDEX($J$15:$J$27,MATCH(D5,$B$15:$B$27,0)))*INDEX($I$15:$I$27,MATCH(D5,$B$15:$B$27,0)))/INDEX($I$15:$I$27,MATCH(G5,$B$15:$B$27,0))-INDEX($J$15:$J$27,MATCH(G5,$B$15:$B$27,0)))=0,0,ROUND(((C5+INDEX($J$15:$J$27,MATCH(D5,$B$15:$B$27,0)))*INDEX($I$15:$I$27,MATCH(D5,$B$15:$B$27,0)))/INDEX($I$15:$I$27,MATCH(G5,$B$15:$B$27,0))-INDEX($J$15:$J$27,MATCH(G5,$B$15:$B$27,0)),11-INT(LOG10(ABS(((C5+INDEX($J$15:$J$27,MATCH(D5,$B$15:$B$27,0)))*INDEX($I$15:$I$27,MATCH(D5,$B$15:$B$27,0)))/INDEX($I$15:$I$27,MATCH(G5,$B$15:$B$27,0))-INDEX($J$15:$J$27,MATCH(G5,$B$15:$B$27,0))))))),"")</f>
        <v>2.20462262185</v>
      </c>
      <c r="G5" s="13" t="s">
        <v>151</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Kilogram (kg) = 2.20462262185 Pound (lb)</v>
      </c>
    </row>
    <row r="9" customFormat="false" ht="15" hidden="false" customHeight="false" outlineLevel="0" collapsed="false">
      <c r="B9" s="11" t="s">
        <v>76</v>
      </c>
      <c r="C9" s="17" t="str">
        <f aca="false">"1 "&amp;G5&amp;" = "&amp;TEXT(IF((((1+INDEX($J$15:$J$27,MATCH(G5,$B$15:$B$27,0)))*INDEX($I$15:$I$27,MATCH(G5,$B$15:$B$27,0)))/INDEX($I$15:$I$27,MATCH(D5,$B$15:$B$27,0))-INDEX($J$15:$J$27,MATCH(D5,$B$15:$B$27,0)))=0,0,ROUND(((1+INDEX($J$15:$J$27,MATCH(G5,$B$15:$B$27,0)))*INDEX($I$15:$I$27,MATCH(G5,$B$15:$B$27,0)))/INDEX($I$15:$I$27,MATCH(D5,$B$15:$B$27,0))-INDEX($J$15:$J$27,MATCH(D5,$B$15:$B$27,0)),11-INT(LOG10(ABS(((1+INDEX($J$15:$J$27,MATCH(G5,$B$15:$B$27,0)))*INDEX($I$15:$I$27,MATCH(G5,$B$15:$B$27,0)))/INDEX($I$15:$I$27,MATCH(D5,$B$15:$B$27,0))-INDEX($J$15:$J$27,MATCH(D5,$B$15:$B$27,0))))))),"General")&amp;" "&amp;D5</f>
        <v>1 Pound (lb) = 0.45359237 Kilogram (kg)</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IF(COUNT($D$15:$D$27)&lt;&gt;1,"",SUMPRODUCT(--ISNUMBER($D$15:$D$27),($D$15:$D$27+$J$15:$J$27)*$I$15:$I$27))</f>
        <v/>
      </c>
    </row>
    <row r="13" customFormat="false" ht="15" hidden="false" customHeight="false" outlineLevel="0" collapsed="false">
      <c r="B13" s="20" t="str">
        <f aca="false">IF(COUNT($D$15:$D$27)=0,"Type a number next to any unit below (e.g. next to the unit you know).",IF(COUNT($D$15:$D$27)&gt;1,"⚠ More than one value entered – clear all but one yellow cell.","Showing everything equal to "&amp;INDEX($D$15:$D$27,MATCH(TRUE(),INDEX(ISNUMBER($D$15:$D$27),0),0))&amp;" "&amp;INDEX($B$15:$B$27,MATCH(TRUE(),INDEX(ISNUMBER($D$15:$D$27),0),0))))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152</v>
      </c>
      <c r="J14" s="5" t="s">
        <v>85</v>
      </c>
    </row>
    <row r="15" customFormat="false" ht="19.5" hidden="false" customHeight="true" outlineLevel="0" collapsed="false">
      <c r="B15" s="22" t="s">
        <v>153</v>
      </c>
      <c r="C15" s="23" t="s">
        <v>87</v>
      </c>
      <c r="D15" s="24"/>
      <c r="E15" s="25" t="s">
        <v>88</v>
      </c>
      <c r="F15" s="26" t="str">
        <f aca="false">IF($J$12="","",IF(($J$12/I15-J15)=0,0,ROUND($J$12/I15-J15,11-INT(LOG10(ABS($J$12/I15-J15))))))</f>
        <v/>
      </c>
      <c r="G15" s="27" t="str">
        <f aca="false">B15</f>
        <v>Tonne (t)</v>
      </c>
      <c r="I15" s="28" t="n">
        <v>1000</v>
      </c>
      <c r="J15" s="28" t="n">
        <v>0</v>
      </c>
    </row>
    <row r="16" customFormat="false" ht="19.5" hidden="false" customHeight="true" outlineLevel="0" collapsed="false">
      <c r="B16" s="22" t="s">
        <v>150</v>
      </c>
      <c r="C16" s="23" t="s">
        <v>87</v>
      </c>
      <c r="D16" s="24"/>
      <c r="E16" s="25" t="s">
        <v>88</v>
      </c>
      <c r="F16" s="26" t="str">
        <f aca="false">IF($J$12="","",IF(($J$12/I16-J16)=0,0,ROUND($J$12/I16-J16,11-INT(LOG10(ABS($J$12/I16-J16))))))</f>
        <v/>
      </c>
      <c r="G16" s="27" t="str">
        <f aca="false">B16</f>
        <v>Kilogram (kg)</v>
      </c>
      <c r="I16" s="28" t="n">
        <v>1</v>
      </c>
      <c r="J16" s="28" t="n">
        <v>0</v>
      </c>
    </row>
    <row r="17" customFormat="false" ht="19.5" hidden="false" customHeight="true" outlineLevel="0" collapsed="false">
      <c r="B17" s="22" t="s">
        <v>154</v>
      </c>
      <c r="C17" s="23" t="s">
        <v>87</v>
      </c>
      <c r="D17" s="24"/>
      <c r="E17" s="25" t="s">
        <v>88</v>
      </c>
      <c r="F17" s="26" t="str">
        <f aca="false">IF($J$12="","",IF(($J$12/I17-J17)=0,0,ROUND($J$12/I17-J17,11-INT(LOG10(ABS($J$12/I17-J17))))))</f>
        <v/>
      </c>
      <c r="G17" s="27" t="str">
        <f aca="false">B17</f>
        <v>Gram (g)</v>
      </c>
      <c r="I17" s="28" t="n">
        <v>0.001</v>
      </c>
      <c r="J17" s="28" t="n">
        <v>0</v>
      </c>
    </row>
    <row r="18" customFormat="false" ht="19.5" hidden="false" customHeight="true" outlineLevel="0" collapsed="false">
      <c r="B18" s="22" t="s">
        <v>155</v>
      </c>
      <c r="C18" s="23" t="s">
        <v>87</v>
      </c>
      <c r="D18" s="24"/>
      <c r="E18" s="25" t="s">
        <v>88</v>
      </c>
      <c r="F18" s="26" t="str">
        <f aca="false">IF($J$12="","",IF(($J$12/I18-J18)=0,0,ROUND($J$12/I18-J18,11-INT(LOG10(ABS($J$12/I18-J18))))))</f>
        <v/>
      </c>
      <c r="G18" s="27" t="str">
        <f aca="false">B18</f>
        <v>Milligram (mg)</v>
      </c>
      <c r="I18" s="28" t="n">
        <v>1E-006</v>
      </c>
      <c r="J18" s="28" t="n">
        <v>0</v>
      </c>
    </row>
    <row r="19" customFormat="false" ht="19.5" hidden="false" customHeight="true" outlineLevel="0" collapsed="false">
      <c r="B19" s="22" t="s">
        <v>156</v>
      </c>
      <c r="C19" s="23" t="s">
        <v>87</v>
      </c>
      <c r="D19" s="24"/>
      <c r="E19" s="25" t="s">
        <v>88</v>
      </c>
      <c r="F19" s="26" t="str">
        <f aca="false">IF($J$12="","",IF(($J$12/I19-J19)=0,0,ROUND($J$12/I19-J19,11-INT(LOG10(ABS($J$12/I19-J19))))))</f>
        <v/>
      </c>
      <c r="G19" s="27" t="str">
        <f aca="false">B19</f>
        <v>Microgram (µg)</v>
      </c>
      <c r="I19" s="28" t="n">
        <v>1E-009</v>
      </c>
      <c r="J19" s="28" t="n">
        <v>0</v>
      </c>
    </row>
    <row r="20" customFormat="false" ht="19.5" hidden="false" customHeight="true" outlineLevel="0" collapsed="false">
      <c r="B20" s="22" t="s">
        <v>157</v>
      </c>
      <c r="C20" s="23" t="s">
        <v>94</v>
      </c>
      <c r="D20" s="24"/>
      <c r="E20" s="25" t="s">
        <v>88</v>
      </c>
      <c r="F20" s="26" t="str">
        <f aca="false">IF($J$12="","",IF(($J$12/I20-J20)=0,0,ROUND($J$12/I20-J20,11-INT(LOG10(ABS($J$12/I20-J20))))))</f>
        <v/>
      </c>
      <c r="G20" s="27" t="str">
        <f aca="false">B20</f>
        <v>Long ton (UK)</v>
      </c>
      <c r="I20" s="28" t="n">
        <v>1016.0469088</v>
      </c>
      <c r="J20" s="28" t="n">
        <v>0</v>
      </c>
    </row>
    <row r="21" customFormat="false" ht="19.5" hidden="false" customHeight="true" outlineLevel="0" collapsed="false">
      <c r="B21" s="22" t="s">
        <v>158</v>
      </c>
      <c r="C21" s="23" t="s">
        <v>94</v>
      </c>
      <c r="D21" s="24"/>
      <c r="E21" s="25" t="s">
        <v>88</v>
      </c>
      <c r="F21" s="26" t="str">
        <f aca="false">IF($J$12="","",IF(($J$12/I21-J21)=0,0,ROUND($J$12/I21-J21,11-INT(LOG10(ABS($J$12/I21-J21))))))</f>
        <v/>
      </c>
      <c r="G21" s="27" t="str">
        <f aca="false">B21</f>
        <v>Short ton (US)</v>
      </c>
      <c r="I21" s="28" t="n">
        <v>907.18474</v>
      </c>
      <c r="J21" s="28" t="n">
        <v>0</v>
      </c>
    </row>
    <row r="22" customFormat="false" ht="19.5" hidden="false" customHeight="true" outlineLevel="0" collapsed="false">
      <c r="B22" s="22" t="s">
        <v>159</v>
      </c>
      <c r="C22" s="23" t="s">
        <v>94</v>
      </c>
      <c r="D22" s="24"/>
      <c r="E22" s="25" t="s">
        <v>88</v>
      </c>
      <c r="F22" s="26" t="str">
        <f aca="false">IF($J$12="","",IF(($J$12/I22-J22)=0,0,ROUND($J$12/I22-J22,11-INT(LOG10(ABS($J$12/I22-J22))))))</f>
        <v/>
      </c>
      <c r="G22" s="27" t="str">
        <f aca="false">B22</f>
        <v>Stone (st)</v>
      </c>
      <c r="I22" s="28" t="n">
        <v>6.35029318</v>
      </c>
      <c r="J22" s="28" t="n">
        <v>0</v>
      </c>
    </row>
    <row r="23" customFormat="false" ht="19.5" hidden="false" customHeight="true" outlineLevel="0" collapsed="false">
      <c r="B23" s="22" t="s">
        <v>151</v>
      </c>
      <c r="C23" s="23" t="s">
        <v>94</v>
      </c>
      <c r="D23" s="24"/>
      <c r="E23" s="25" t="s">
        <v>88</v>
      </c>
      <c r="F23" s="26" t="str">
        <f aca="false">IF($J$12="","",IF(($J$12/I23-J23)=0,0,ROUND($J$12/I23-J23,11-INT(LOG10(ABS($J$12/I23-J23))))))</f>
        <v/>
      </c>
      <c r="G23" s="27" t="str">
        <f aca="false">B23</f>
        <v>Pound (lb)</v>
      </c>
      <c r="I23" s="28" t="n">
        <v>0.45359237</v>
      </c>
      <c r="J23" s="28" t="n">
        <v>0</v>
      </c>
    </row>
    <row r="24" customFormat="false" ht="19.5" hidden="false" customHeight="true" outlineLevel="0" collapsed="false">
      <c r="B24" s="22" t="s">
        <v>160</v>
      </c>
      <c r="C24" s="23" t="s">
        <v>94</v>
      </c>
      <c r="D24" s="24"/>
      <c r="E24" s="25" t="s">
        <v>88</v>
      </c>
      <c r="F24" s="26" t="str">
        <f aca="false">IF($J$12="","",IF(($J$12/I24-J24)=0,0,ROUND($J$12/I24-J24,11-INT(LOG10(ABS($J$12/I24-J24))))))</f>
        <v/>
      </c>
      <c r="G24" s="27" t="str">
        <f aca="false">B24</f>
        <v>Ounce (oz)</v>
      </c>
      <c r="I24" s="28" t="n">
        <v>0.028349523125</v>
      </c>
      <c r="J24" s="28" t="n">
        <v>0</v>
      </c>
    </row>
    <row r="25" customFormat="false" ht="19.5" hidden="false" customHeight="true" outlineLevel="0" collapsed="false">
      <c r="B25" s="22" t="s">
        <v>161</v>
      </c>
      <c r="C25" s="23" t="s">
        <v>94</v>
      </c>
      <c r="D25" s="24"/>
      <c r="E25" s="25" t="s">
        <v>88</v>
      </c>
      <c r="F25" s="26" t="str">
        <f aca="false">IF($J$12="","",IF(($J$12/I25-J25)=0,0,ROUND($J$12/I25-J25,11-INT(LOG10(ABS($J$12/I25-J25))))))</f>
        <v/>
      </c>
      <c r="G25" s="27" t="str">
        <f aca="false">B25</f>
        <v>Grain (gr)</v>
      </c>
      <c r="I25" s="28" t="n">
        <v>6.479891E-005</v>
      </c>
      <c r="J25" s="28" t="n">
        <v>0</v>
      </c>
    </row>
    <row r="26" customFormat="false" ht="19.5" hidden="false" customHeight="true" outlineLevel="0" collapsed="false">
      <c r="B26" s="22" t="s">
        <v>162</v>
      </c>
      <c r="C26" s="23" t="s">
        <v>102</v>
      </c>
      <c r="D26" s="24"/>
      <c r="E26" s="25" t="s">
        <v>88</v>
      </c>
      <c r="F26" s="26" t="str">
        <f aca="false">IF($J$12="","",IF(($J$12/I26-J26)=0,0,ROUND($J$12/I26-J26,11-INT(LOG10(ABS($J$12/I26-J26))))))</f>
        <v/>
      </c>
      <c r="G26" s="27" t="str">
        <f aca="false">B26</f>
        <v>Troy ounce (oz t)</v>
      </c>
      <c r="I26" s="28" t="n">
        <v>0.0311034768</v>
      </c>
      <c r="J26" s="28" t="n">
        <v>0</v>
      </c>
    </row>
    <row r="27" customFormat="false" ht="19.5" hidden="false" customHeight="true" outlineLevel="0" collapsed="false">
      <c r="B27" s="22" t="s">
        <v>163</v>
      </c>
      <c r="C27" s="23" t="s">
        <v>102</v>
      </c>
      <c r="D27" s="24"/>
      <c r="E27" s="25" t="s">
        <v>88</v>
      </c>
      <c r="F27" s="26" t="str">
        <f aca="false">IF($J$12="","",IF(($J$12/I27-J27)=0,0,ROUND($J$12/I27-J27,11-INT(LOG10(ABS($J$12/I27-J27))))))</f>
        <v/>
      </c>
      <c r="G27" s="27" t="str">
        <f aca="false">B27</f>
        <v>Carat (ct)</v>
      </c>
      <c r="I27" s="28" t="n">
        <v>0.0002</v>
      </c>
      <c r="J27" s="28" t="n">
        <v>0</v>
      </c>
    </row>
    <row r="29" customFormat="false" ht="15" hidden="false" customHeight="false" outlineLevel="0" collapsed="false">
      <c r="B29" s="18" t="s">
        <v>106</v>
      </c>
    </row>
    <row r="30" customFormat="false" ht="15" hidden="false" customHeight="false" outlineLevel="0" collapsed="false">
      <c r="B30" s="18" t="s">
        <v>107</v>
      </c>
    </row>
    <row r="31" customFormat="false" ht="15" hidden="false" customHeight="false" outlineLevel="0" collapsed="false">
      <c r="B31" s="18" t="s">
        <v>108</v>
      </c>
    </row>
  </sheetData>
  <mergeCells count="6">
    <mergeCell ref="C5:C6"/>
    <mergeCell ref="D5:D6"/>
    <mergeCell ref="E5:E6"/>
    <mergeCell ref="F5:F6"/>
    <mergeCell ref="G5:G6"/>
    <mergeCell ref="B13:G13"/>
  </mergeCells>
  <conditionalFormatting sqref="B15:G27">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$B$15:$B$27</formula1>
      <formula2>0</formula2>
    </dataValidation>
    <dataValidation allowBlank="true" error="Please type a number." errorStyle="stop" errorTitle="Number only" operator="between" showDropDown="false" showErrorMessage="true" showInputMessage="false" sqref="C5 D15:D27" type="decimal">
      <formula1>-1E+307</formula1>
      <formula2>1E+307</formula2>
    </dataValidation>
  </dataValidations>
  <hyperlinks>
    <hyperlink ref="B2" r:id="rId1" location="Home!A1" display="SI base unit for this sheet: kilogram (kg).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164</v>
      </c>
    </row>
    <row r="2" customFormat="false" ht="15" hidden="false" customHeight="false" outlineLevel="0" collapsed="false">
      <c r="B2" s="2" t="s">
        <v>165</v>
      </c>
    </row>
    <row r="4" customFormat="false" ht="15" hidden="false" customHeight="false" outlineLevel="0" collapsed="false">
      <c r="B4" s="10" t="s">
        <v>66</v>
      </c>
    </row>
    <row r="5" customFormat="false" ht="15" hidden="false" customHeight="true" outlineLevel="0" collapsed="false">
      <c r="B5" s="11" t="s">
        <v>67</v>
      </c>
      <c r="C5" s="12" t="n">
        <v>1</v>
      </c>
      <c r="D5" s="13" t="s">
        <v>166</v>
      </c>
      <c r="E5" s="14" t="s">
        <v>69</v>
      </c>
      <c r="F5" s="15" t="n">
        <f aca="false">IF(ISNUMBER(C5),IF((((C5+INDEX($J$15:$J$18,MATCH(D5,$B$15:$B$18,0)))*INDEX($I$15:$I$18,MATCH(D5,$B$15:$B$18,0)))/INDEX($I$15:$I$18,MATCH(G5,$B$15:$B$18,0))-INDEX($J$15:$J$18,MATCH(G5,$B$15:$B$18,0)))=0,0,ROUND(((C5+INDEX($J$15:$J$18,MATCH(D5,$B$15:$B$18,0)))*INDEX($I$15:$I$18,MATCH(D5,$B$15:$B$18,0)))/INDEX($I$15:$I$18,MATCH(G5,$B$15:$B$18,0))-INDEX($J$15:$J$18,MATCH(G5,$B$15:$B$18,0)),11-INT(LOG10(ABS(((C5+INDEX($J$15:$J$18,MATCH(D5,$B$15:$B$18,0)))*INDEX($I$15:$I$18,MATCH(D5,$B$15:$B$18,0)))/INDEX($I$15:$I$18,MATCH(G5,$B$15:$B$18,0))-INDEX($J$15:$J$18,MATCH(G5,$B$15:$B$18,0))))))),"")</f>
        <v>33.8</v>
      </c>
      <c r="G5" s="13" t="s">
        <v>167</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Degree Celsius (°C) = 33.8 Degree Fahrenheit (°F)</v>
      </c>
    </row>
    <row r="9" customFormat="false" ht="15" hidden="false" customHeight="false" outlineLevel="0" collapsed="false">
      <c r="B9" s="11" t="s">
        <v>76</v>
      </c>
      <c r="C9" s="17" t="str">
        <f aca="false">"1 "&amp;G5&amp;" = "&amp;TEXT(IF((((1+INDEX($J$15:$J$18,MATCH(G5,$B$15:$B$18,0)))*INDEX($I$15:$I$18,MATCH(G5,$B$15:$B$18,0)))/INDEX($I$15:$I$18,MATCH(D5,$B$15:$B$18,0))-INDEX($J$15:$J$18,MATCH(D5,$B$15:$B$18,0)))=0,0,ROUND(((1+INDEX($J$15:$J$18,MATCH(G5,$B$15:$B$18,0)))*INDEX($I$15:$I$18,MATCH(G5,$B$15:$B$18,0)))/INDEX($I$15:$I$18,MATCH(D5,$B$15:$B$18,0))-INDEX($J$15:$J$18,MATCH(D5,$B$15:$B$18,0)),11-INT(LOG10(ABS(((1+INDEX($J$15:$J$18,MATCH(G5,$B$15:$B$18,0)))*INDEX($I$15:$I$18,MATCH(G5,$B$15:$B$18,0)))/INDEX($I$15:$I$18,MATCH(D5,$B$15:$B$18,0))-INDEX($J$15:$J$18,MATCH(D5,$B$15:$B$18,0))))))),"General")&amp;" "&amp;D5</f>
        <v>1 Degree Fahrenheit (°F) = -17.2222222222 Degree Celsius (°C)</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IF(COUNT($D$15:$D$18)&lt;&gt;1,"",SUMPRODUCT(--ISNUMBER($D$15:$D$18),($D$15:$D$18+$J$15:$J$18)*$I$15:$I$18))</f>
        <v/>
      </c>
    </row>
    <row r="13" customFormat="false" ht="15" hidden="false" customHeight="false" outlineLevel="0" collapsed="false">
      <c r="B13" s="20" t="str">
        <f aca="false">IF(COUNT($D$15:$D$18)=0,"Type a number next to any unit below (e.g. next to the unit you know).",IF(COUNT($D$15:$D$18)&gt;1,"⚠ More than one value entered – clear all but one yellow cell.","Showing everything equal to "&amp;INDEX($D$15:$D$18,MATCH(TRUE(),INDEX(ISNUMBER($D$15:$D$18),0),0))&amp;" "&amp;INDEX($B$15:$B$18,MATCH(TRUE(),INDEX(ISNUMBER($D$15:$D$18),0),0))))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168</v>
      </c>
      <c r="J14" s="5" t="s">
        <v>85</v>
      </c>
    </row>
    <row r="15" customFormat="false" ht="19.5" hidden="false" customHeight="true" outlineLevel="0" collapsed="false">
      <c r="B15" s="22" t="s">
        <v>166</v>
      </c>
      <c r="C15" s="23" t="s">
        <v>87</v>
      </c>
      <c r="D15" s="24"/>
      <c r="E15" s="25" t="s">
        <v>88</v>
      </c>
      <c r="F15" s="26" t="str">
        <f aca="false">IF($J$12="","",IF(($J$12/I15-J15)=0,0,ROUND($J$12/I15-J15,11-INT(LOG10(ABS($J$12/I15-J15))))))</f>
        <v/>
      </c>
      <c r="G15" s="27" t="str">
        <f aca="false">B15</f>
        <v>Degree Celsius (°C)</v>
      </c>
      <c r="I15" s="28" t="n">
        <v>1</v>
      </c>
      <c r="J15" s="28" t="n">
        <v>273.15</v>
      </c>
    </row>
    <row r="16" customFormat="false" ht="19.5" hidden="false" customHeight="true" outlineLevel="0" collapsed="false">
      <c r="B16" s="22" t="s">
        <v>169</v>
      </c>
      <c r="C16" s="23" t="s">
        <v>87</v>
      </c>
      <c r="D16" s="24"/>
      <c r="E16" s="25" t="s">
        <v>88</v>
      </c>
      <c r="F16" s="26" t="str">
        <f aca="false">IF($J$12="","",IF(($J$12/I16-J16)=0,0,ROUND($J$12/I16-J16,11-INT(LOG10(ABS($J$12/I16-J16))))))</f>
        <v/>
      </c>
      <c r="G16" s="27" t="str">
        <f aca="false">B16</f>
        <v>Kelvin (K)</v>
      </c>
      <c r="I16" s="28" t="n">
        <v>1</v>
      </c>
      <c r="J16" s="28" t="n">
        <v>0</v>
      </c>
    </row>
    <row r="17" customFormat="false" ht="19.5" hidden="false" customHeight="true" outlineLevel="0" collapsed="false">
      <c r="B17" s="22" t="s">
        <v>167</v>
      </c>
      <c r="C17" s="23" t="s">
        <v>94</v>
      </c>
      <c r="D17" s="24"/>
      <c r="E17" s="25" t="s">
        <v>88</v>
      </c>
      <c r="F17" s="26" t="str">
        <f aca="false">IF($J$12="","",IF(($J$12/I17-J17)=0,0,ROUND($J$12/I17-J17,11-INT(LOG10(ABS($J$12/I17-J17))))))</f>
        <v/>
      </c>
      <c r="G17" s="27" t="str">
        <f aca="false">B17</f>
        <v>Degree Fahrenheit (°F)</v>
      </c>
      <c r="I17" s="28" t="n">
        <f aca="false">5/9</f>
        <v>0.555555555555556</v>
      </c>
      <c r="J17" s="28" t="n">
        <v>459.67</v>
      </c>
    </row>
    <row r="18" customFormat="false" ht="19.5" hidden="false" customHeight="true" outlineLevel="0" collapsed="false">
      <c r="B18" s="22" t="s">
        <v>170</v>
      </c>
      <c r="C18" s="23" t="s">
        <v>94</v>
      </c>
      <c r="D18" s="24"/>
      <c r="E18" s="25" t="s">
        <v>88</v>
      </c>
      <c r="F18" s="26" t="str">
        <f aca="false">IF($J$12="","",IF(($J$12/I18-J18)=0,0,ROUND($J$12/I18-J18,11-INT(LOG10(ABS($J$12/I18-J18))))))</f>
        <v/>
      </c>
      <c r="G18" s="27" t="str">
        <f aca="false">B18</f>
        <v>Rankine (°R)</v>
      </c>
      <c r="I18" s="28" t="n">
        <f aca="false">5/9</f>
        <v>0.555555555555556</v>
      </c>
      <c r="J18" s="28" t="n">
        <v>0</v>
      </c>
    </row>
    <row r="20" customFormat="false" ht="15" hidden="false" customHeight="false" outlineLevel="0" collapsed="false">
      <c r="B20" s="18" t="s">
        <v>106</v>
      </c>
    </row>
    <row r="21" customFormat="false" ht="15" hidden="false" customHeight="false" outlineLevel="0" collapsed="false">
      <c r="B21" s="18" t="s">
        <v>107</v>
      </c>
    </row>
    <row r="22" customFormat="false" ht="15" hidden="false" customHeight="false" outlineLevel="0" collapsed="false">
      <c r="B22" s="18" t="s">
        <v>108</v>
      </c>
    </row>
  </sheetData>
  <mergeCells count="6">
    <mergeCell ref="C5:C6"/>
    <mergeCell ref="D5:D6"/>
    <mergeCell ref="E5:E6"/>
    <mergeCell ref="F5:F6"/>
    <mergeCell ref="G5:G6"/>
    <mergeCell ref="B13:G13"/>
  </mergeCells>
  <conditionalFormatting sqref="B15:G18">
    <cfRule type="expression" priority="2" aboveAverage="0" equalAverage="0" bottom="0" percent="0" rank="0" text="" dxfId="0">
      <formula>ISNUMBER($D15)</formula>
    </cfRule>
  </conditionalFormatting>
  <dataValidations count="2">
    <dataValidation allowBlank="true" error="Please type a number." errorStyle="stop" errorTitle="Number only" operator="between" showDropDown="false" showErrorMessage="true" showInputMessage="false" sqref="C5 D15:D18" type="decimal">
      <formula1>-1E+307</formula1>
      <formula2>1E+307</formula2>
    </dataValidation>
    <dataValidation allowBlank="false" error="Pick a unit from the list." errorStyle="stop" errorTitle="Unit" operator="between" showDropDown="false" showErrorMessage="true" showInputMessage="false" sqref="D5 G5" type="list">
      <formula1>$B$15:$B$18</formula1>
      <formula2>0</formula2>
    </dataValidation>
  </dataValidations>
  <hyperlinks>
    <hyperlink ref="B2" r:id="rId1" location="Home!A1" display="SI base unit for this sheet: kelvin (K).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171</v>
      </c>
    </row>
    <row r="2" customFormat="false" ht="15" hidden="false" customHeight="false" outlineLevel="0" collapsed="false">
      <c r="B2" s="2" t="s">
        <v>172</v>
      </c>
    </row>
    <row r="4" customFormat="false" ht="15" hidden="false" customHeight="false" outlineLevel="0" collapsed="false">
      <c r="B4" s="10" t="s">
        <v>66</v>
      </c>
    </row>
    <row r="5" customFormat="false" ht="15" hidden="false" customHeight="true" outlineLevel="0" collapsed="false">
      <c r="B5" s="11" t="s">
        <v>67</v>
      </c>
      <c r="C5" s="12" t="n">
        <v>1</v>
      </c>
      <c r="D5" s="13" t="s">
        <v>173</v>
      </c>
      <c r="E5" s="14" t="s">
        <v>69</v>
      </c>
      <c r="F5" s="15" t="n">
        <f aca="false">IF(ISNUMBER(C5),IF((((C5+INDEX($J$15:$J$19,MATCH(D5,$B$15:$B$19,0)))*INDEX($I$15:$I$19,MATCH(D5,$B$15:$B$19,0)))/INDEX($I$15:$I$19,MATCH(G5,$B$15:$B$19,0))-INDEX($J$15:$J$19,MATCH(G5,$B$15:$B$19,0)))=0,0,ROUND(((C5+INDEX($J$15:$J$19,MATCH(D5,$B$15:$B$19,0)))*INDEX($I$15:$I$19,MATCH(D5,$B$15:$B$19,0)))/INDEX($I$15:$I$19,MATCH(G5,$B$15:$B$19,0))-INDEX($J$15:$J$19,MATCH(G5,$B$15:$B$19,0)),11-INT(LOG10(ABS(((C5+INDEX($J$15:$J$19,MATCH(D5,$B$15:$B$19,0)))*INDEX($I$15:$I$19,MATCH(D5,$B$15:$B$19,0)))/INDEX($I$15:$I$19,MATCH(G5,$B$15:$B$19,0))-INDEX($J$15:$J$19,MATCH(G5,$B$15:$B$19,0))))))),"")</f>
        <v>0.621371192237</v>
      </c>
      <c r="G5" s="13" t="s">
        <v>174</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Kilometre per hour (km/h) = 0.621371192237 Mile per hour (mph)</v>
      </c>
    </row>
    <row r="9" customFormat="false" ht="15" hidden="false" customHeight="false" outlineLevel="0" collapsed="false">
      <c r="B9" s="11" t="s">
        <v>76</v>
      </c>
      <c r="C9" s="17" t="str">
        <f aca="false">"1 "&amp;G5&amp;" = "&amp;TEXT(IF((((1+INDEX($J$15:$J$19,MATCH(G5,$B$15:$B$19,0)))*INDEX($I$15:$I$19,MATCH(G5,$B$15:$B$19,0)))/INDEX($I$15:$I$19,MATCH(D5,$B$15:$B$19,0))-INDEX($J$15:$J$19,MATCH(D5,$B$15:$B$19,0)))=0,0,ROUND(((1+INDEX($J$15:$J$19,MATCH(G5,$B$15:$B$19,0)))*INDEX($I$15:$I$19,MATCH(G5,$B$15:$B$19,0)))/INDEX($I$15:$I$19,MATCH(D5,$B$15:$B$19,0))-INDEX($J$15:$J$19,MATCH(D5,$B$15:$B$19,0)),11-INT(LOG10(ABS(((1+INDEX($J$15:$J$19,MATCH(G5,$B$15:$B$19,0)))*INDEX($I$15:$I$19,MATCH(G5,$B$15:$B$19,0)))/INDEX($I$15:$I$19,MATCH(D5,$B$15:$B$19,0))-INDEX($J$15:$J$19,MATCH(D5,$B$15:$B$19,0))))))),"General")&amp;" "&amp;D5</f>
        <v>1 Mile per hour (mph) = 1.609344 Kilometre per hour (km/h)</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IF(COUNT($D$15:$D$19)&lt;&gt;1,"",SUMPRODUCT(--ISNUMBER($D$15:$D$19),($D$15:$D$19+$J$15:$J$19)*$I$15:$I$19))</f>
        <v/>
      </c>
    </row>
    <row r="13" customFormat="false" ht="15" hidden="false" customHeight="false" outlineLevel="0" collapsed="false">
      <c r="B13" s="20" t="str">
        <f aca="false">IF(COUNT($D$15:$D$19)=0,"Type a number next to any unit below (e.g. next to the unit you know).",IF(COUNT($D$15:$D$19)&gt;1,"⚠ More than one value entered – clear all but one yellow cell.","Showing everything equal to "&amp;INDEX($D$15:$D$19,MATCH(TRUE(),INDEX(ISNUMBER($D$15:$D$19),0),0))&amp;" "&amp;INDEX($B$15:$B$19,MATCH(TRUE(),INDEX(ISNUMBER($D$15:$D$19),0),0))))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175</v>
      </c>
      <c r="J14" s="5" t="s">
        <v>85</v>
      </c>
    </row>
    <row r="15" customFormat="false" ht="19.5" hidden="false" customHeight="true" outlineLevel="0" collapsed="false">
      <c r="B15" s="22" t="s">
        <v>176</v>
      </c>
      <c r="C15" s="23" t="s">
        <v>87</v>
      </c>
      <c r="D15" s="24"/>
      <c r="E15" s="25" t="s">
        <v>88</v>
      </c>
      <c r="F15" s="26" t="str">
        <f aca="false">IF($J$12="","",IF(($J$12/I15-J15)=0,0,ROUND($J$12/I15-J15,11-INT(LOG10(ABS($J$12/I15-J15))))))</f>
        <v/>
      </c>
      <c r="G15" s="27" t="str">
        <f aca="false">B15</f>
        <v>Metre per second (m/s)</v>
      </c>
      <c r="I15" s="28" t="n">
        <v>1</v>
      </c>
      <c r="J15" s="28" t="n">
        <v>0</v>
      </c>
    </row>
    <row r="16" customFormat="false" ht="19.5" hidden="false" customHeight="true" outlineLevel="0" collapsed="false">
      <c r="B16" s="22" t="s">
        <v>173</v>
      </c>
      <c r="C16" s="23" t="s">
        <v>87</v>
      </c>
      <c r="D16" s="24"/>
      <c r="E16" s="25" t="s">
        <v>88</v>
      </c>
      <c r="F16" s="26" t="str">
        <f aca="false">IF($J$12="","",IF(($J$12/I16-J16)=0,0,ROUND($J$12/I16-J16,11-INT(LOG10(ABS($J$12/I16-J16))))))</f>
        <v/>
      </c>
      <c r="G16" s="27" t="str">
        <f aca="false">B16</f>
        <v>Kilometre per hour (km/h)</v>
      </c>
      <c r="I16" s="28" t="n">
        <f aca="false">1/3.6</f>
        <v>0.277777777777778</v>
      </c>
      <c r="J16" s="28" t="n">
        <v>0</v>
      </c>
    </row>
    <row r="17" customFormat="false" ht="19.5" hidden="false" customHeight="true" outlineLevel="0" collapsed="false">
      <c r="B17" s="22" t="s">
        <v>174</v>
      </c>
      <c r="C17" s="23" t="s">
        <v>94</v>
      </c>
      <c r="D17" s="24"/>
      <c r="E17" s="25" t="s">
        <v>88</v>
      </c>
      <c r="F17" s="26" t="str">
        <f aca="false">IF($J$12="","",IF(($J$12/I17-J17)=0,0,ROUND($J$12/I17-J17,11-INT(LOG10(ABS($J$12/I17-J17))))))</f>
        <v/>
      </c>
      <c r="G17" s="27" t="str">
        <f aca="false">B17</f>
        <v>Mile per hour (mph)</v>
      </c>
      <c r="I17" s="28" t="n">
        <v>0.44704</v>
      </c>
      <c r="J17" s="28" t="n">
        <v>0</v>
      </c>
    </row>
    <row r="18" customFormat="false" ht="19.5" hidden="false" customHeight="true" outlineLevel="0" collapsed="false">
      <c r="B18" s="22" t="s">
        <v>177</v>
      </c>
      <c r="C18" s="23" t="s">
        <v>94</v>
      </c>
      <c r="D18" s="24"/>
      <c r="E18" s="25" t="s">
        <v>88</v>
      </c>
      <c r="F18" s="26" t="str">
        <f aca="false">IF($J$12="","",IF(($J$12/I18-J18)=0,0,ROUND($J$12/I18-J18,11-INT(LOG10(ABS($J$12/I18-J18))))))</f>
        <v/>
      </c>
      <c r="G18" s="27" t="str">
        <f aca="false">B18</f>
        <v>Foot per second (ft/s)</v>
      </c>
      <c r="I18" s="28" t="n">
        <v>0.3048</v>
      </c>
      <c r="J18" s="28" t="n">
        <v>0</v>
      </c>
    </row>
    <row r="19" customFormat="false" ht="19.5" hidden="false" customHeight="true" outlineLevel="0" collapsed="false">
      <c r="B19" s="22" t="s">
        <v>178</v>
      </c>
      <c r="C19" s="23" t="s">
        <v>102</v>
      </c>
      <c r="D19" s="24"/>
      <c r="E19" s="25" t="s">
        <v>88</v>
      </c>
      <c r="F19" s="26" t="str">
        <f aca="false">IF($J$12="","",IF(($J$12/I19-J19)=0,0,ROUND($J$12/I19-J19,11-INT(LOG10(ABS($J$12/I19-J19))))))</f>
        <v/>
      </c>
      <c r="G19" s="27" t="str">
        <f aca="false">B19</f>
        <v>Knot (kn)</v>
      </c>
      <c r="I19" s="28" t="n">
        <f aca="false">1852/3600</f>
        <v>0.514444444444445</v>
      </c>
      <c r="J19" s="28" t="n">
        <v>0</v>
      </c>
    </row>
    <row r="21" customFormat="false" ht="15" hidden="false" customHeight="false" outlineLevel="0" collapsed="false">
      <c r="B21" s="18" t="s">
        <v>106</v>
      </c>
    </row>
    <row r="22" customFormat="false" ht="15" hidden="false" customHeight="false" outlineLevel="0" collapsed="false">
      <c r="B22" s="18" t="s">
        <v>107</v>
      </c>
    </row>
    <row r="23" customFormat="false" ht="15" hidden="false" customHeight="false" outlineLevel="0" collapsed="false">
      <c r="B23" s="18" t="s">
        <v>108</v>
      </c>
    </row>
  </sheetData>
  <mergeCells count="6">
    <mergeCell ref="C5:C6"/>
    <mergeCell ref="D5:D6"/>
    <mergeCell ref="E5:E6"/>
    <mergeCell ref="F5:F6"/>
    <mergeCell ref="G5:G6"/>
    <mergeCell ref="B13:G13"/>
  </mergeCells>
  <conditionalFormatting sqref="B15:G19">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$B$15:$B$19</formula1>
      <formula2>0</formula2>
    </dataValidation>
    <dataValidation allowBlank="true" error="Please type a number." errorStyle="stop" errorTitle="Number only" operator="between" showDropDown="false" showErrorMessage="true" showInputMessage="false" sqref="C5 D15:D19" type="decimal">
      <formula1>-1E+307</formula1>
      <formula2>1E+307</formula2>
    </dataValidation>
  </dataValidations>
  <hyperlinks>
    <hyperlink ref="B2" r:id="rId1" location="Home!A1" display="SI base unit for this sheet: metre per second (m/s).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179</v>
      </c>
    </row>
    <row r="2" customFormat="false" ht="15" hidden="false" customHeight="false" outlineLevel="0" collapsed="false">
      <c r="B2" s="2" t="s">
        <v>180</v>
      </c>
    </row>
    <row r="4" customFormat="false" ht="15" hidden="false" customHeight="false" outlineLevel="0" collapsed="false">
      <c r="B4" s="10" t="s">
        <v>66</v>
      </c>
    </row>
    <row r="5" customFormat="false" ht="15" hidden="false" customHeight="true" outlineLevel="0" collapsed="false">
      <c r="B5" s="11" t="s">
        <v>67</v>
      </c>
      <c r="C5" s="12" t="n">
        <v>1</v>
      </c>
      <c r="D5" s="13" t="s">
        <v>181</v>
      </c>
      <c r="E5" s="14" t="s">
        <v>69</v>
      </c>
      <c r="F5" s="15" t="n">
        <f aca="false">IF(ISNUMBER(C5),IF((((C5+INDEX($J$15:$J$26,MATCH(D5,$B$15:$B$26,0)))*INDEX($I$15:$I$26,MATCH(D5,$B$15:$B$26,0)))/INDEX($I$15:$I$26,MATCH(G5,$B$15:$B$26,0))-INDEX($J$15:$J$26,MATCH(G5,$B$15:$B$26,0)))=0,0,ROUND(((C5+INDEX($J$15:$J$26,MATCH(D5,$B$15:$B$26,0)))*INDEX($I$15:$I$26,MATCH(D5,$B$15:$B$26,0)))/INDEX($I$15:$I$26,MATCH(G5,$B$15:$B$26,0))-INDEX($J$15:$J$26,MATCH(G5,$B$15:$B$26,0)),11-INT(LOG10(ABS(((C5+INDEX($J$15:$J$26,MATCH(D5,$B$15:$B$26,0)))*INDEX($I$15:$I$26,MATCH(D5,$B$15:$B$26,0)))/INDEX($I$15:$I$26,MATCH(G5,$B$15:$B$26,0))-INDEX($J$15:$J$26,MATCH(G5,$B$15:$B$26,0))))))),"")</f>
        <v>60</v>
      </c>
      <c r="G5" s="13" t="s">
        <v>182</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Hour (h) = 60 Minute (min)</v>
      </c>
    </row>
    <row r="9" customFormat="false" ht="15" hidden="false" customHeight="false" outlineLevel="0" collapsed="false">
      <c r="B9" s="11" t="s">
        <v>76</v>
      </c>
      <c r="C9" s="17" t="str">
        <f aca="false">"1 "&amp;G5&amp;" = "&amp;TEXT(IF((((1+INDEX($J$15:$J$26,MATCH(G5,$B$15:$B$26,0)))*INDEX($I$15:$I$26,MATCH(G5,$B$15:$B$26,0)))/INDEX($I$15:$I$26,MATCH(D5,$B$15:$B$26,0))-INDEX($J$15:$J$26,MATCH(D5,$B$15:$B$26,0)))=0,0,ROUND(((1+INDEX($J$15:$J$26,MATCH(G5,$B$15:$B$26,0)))*INDEX($I$15:$I$26,MATCH(G5,$B$15:$B$26,0)))/INDEX($I$15:$I$26,MATCH(D5,$B$15:$B$26,0))-INDEX($J$15:$J$26,MATCH(D5,$B$15:$B$26,0)),11-INT(LOG10(ABS(((1+INDEX($J$15:$J$26,MATCH(G5,$B$15:$B$26,0)))*INDEX($I$15:$I$26,MATCH(G5,$B$15:$B$26,0)))/INDEX($I$15:$I$26,MATCH(D5,$B$15:$B$26,0))-INDEX($J$15:$J$26,MATCH(D5,$B$15:$B$26,0))))))),"General")&amp;" "&amp;D5</f>
        <v>1 Minute (min) = 0.0166666666667 Hour (h)</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IF(COUNT($D$15:$D$26)&lt;&gt;1,"",SUMPRODUCT(--ISNUMBER($D$15:$D$26),($D$15:$D$26+$J$15:$J$26)*$I$15:$I$26))</f>
        <v/>
      </c>
    </row>
    <row r="13" customFormat="false" ht="15" hidden="false" customHeight="false" outlineLevel="0" collapsed="false">
      <c r="B13" s="20" t="str">
        <f aca="false">IF(COUNT($D$15:$D$26)=0,"Type a number next to any unit below (e.g. next to the unit you know).",IF(COUNT($D$15:$D$26)&gt;1,"⚠ More than one value entered – clear all but one yellow cell.","Showing everything equal to "&amp;INDEX($D$15:$D$26,MATCH(TRUE(),INDEX(ISNUMBER($D$15:$D$26),0),0))&amp;" "&amp;INDEX($B$15:$B$26,MATCH(TRUE(),INDEX(ISNUMBER($D$15:$D$26),0),0))))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183</v>
      </c>
      <c r="J14" s="5" t="s">
        <v>85</v>
      </c>
    </row>
    <row r="15" customFormat="false" ht="19.5" hidden="false" customHeight="true" outlineLevel="0" collapsed="false">
      <c r="B15" s="22" t="s">
        <v>184</v>
      </c>
      <c r="C15" s="23" t="s">
        <v>87</v>
      </c>
      <c r="D15" s="24"/>
      <c r="E15" s="25" t="s">
        <v>88</v>
      </c>
      <c r="F15" s="26" t="str">
        <f aca="false">IF($J$12="","",IF(($J$12/I15-J15)=0,0,ROUND($J$12/I15-J15,11-INT(LOG10(ABS($J$12/I15-J15))))))</f>
        <v/>
      </c>
      <c r="G15" s="27" t="str">
        <f aca="false">B15</f>
        <v>Nanosecond (ns)</v>
      </c>
      <c r="I15" s="28" t="n">
        <v>1E-009</v>
      </c>
      <c r="J15" s="28" t="n">
        <v>0</v>
      </c>
    </row>
    <row r="16" customFormat="false" ht="19.5" hidden="false" customHeight="true" outlineLevel="0" collapsed="false">
      <c r="B16" s="22" t="s">
        <v>185</v>
      </c>
      <c r="C16" s="23" t="s">
        <v>87</v>
      </c>
      <c r="D16" s="24"/>
      <c r="E16" s="25" t="s">
        <v>88</v>
      </c>
      <c r="F16" s="26" t="str">
        <f aca="false">IF($J$12="","",IF(($J$12/I16-J16)=0,0,ROUND($J$12/I16-J16,11-INT(LOG10(ABS($J$12/I16-J16))))))</f>
        <v/>
      </c>
      <c r="G16" s="27" t="str">
        <f aca="false">B16</f>
        <v>Microsecond (µs)</v>
      </c>
      <c r="I16" s="28" t="n">
        <v>1E-006</v>
      </c>
      <c r="J16" s="28" t="n">
        <v>0</v>
      </c>
    </row>
    <row r="17" customFormat="false" ht="19.5" hidden="false" customHeight="true" outlineLevel="0" collapsed="false">
      <c r="B17" s="22" t="s">
        <v>186</v>
      </c>
      <c r="C17" s="23" t="s">
        <v>87</v>
      </c>
      <c r="D17" s="24"/>
      <c r="E17" s="25" t="s">
        <v>88</v>
      </c>
      <c r="F17" s="26" t="str">
        <f aca="false">IF($J$12="","",IF(($J$12/I17-J17)=0,0,ROUND($J$12/I17-J17,11-INT(LOG10(ABS($J$12/I17-J17))))))</f>
        <v/>
      </c>
      <c r="G17" s="27" t="str">
        <f aca="false">B17</f>
        <v>Millisecond (ms)</v>
      </c>
      <c r="I17" s="28" t="n">
        <v>0.001</v>
      </c>
      <c r="J17" s="28" t="n">
        <v>0</v>
      </c>
    </row>
    <row r="18" customFormat="false" ht="19.5" hidden="false" customHeight="true" outlineLevel="0" collapsed="false">
      <c r="B18" s="22" t="s">
        <v>187</v>
      </c>
      <c r="C18" s="23" t="s">
        <v>87</v>
      </c>
      <c r="D18" s="24"/>
      <c r="E18" s="25" t="s">
        <v>88</v>
      </c>
      <c r="F18" s="26" t="str">
        <f aca="false">IF($J$12="","",IF(($J$12/I18-J18)=0,0,ROUND($J$12/I18-J18,11-INT(LOG10(ABS($J$12/I18-J18))))))</f>
        <v/>
      </c>
      <c r="G18" s="27" t="str">
        <f aca="false">B18</f>
        <v>Second (s)</v>
      </c>
      <c r="I18" s="28" t="n">
        <v>1</v>
      </c>
      <c r="J18" s="28" t="n">
        <v>0</v>
      </c>
    </row>
    <row r="19" customFormat="false" ht="19.5" hidden="false" customHeight="true" outlineLevel="0" collapsed="false">
      <c r="B19" s="22" t="s">
        <v>182</v>
      </c>
      <c r="C19" s="23" t="s">
        <v>102</v>
      </c>
      <c r="D19" s="24"/>
      <c r="E19" s="25" t="s">
        <v>88</v>
      </c>
      <c r="F19" s="26" t="str">
        <f aca="false">IF($J$12="","",IF(($J$12/I19-J19)=0,0,ROUND($J$12/I19-J19,11-INT(LOG10(ABS($J$12/I19-J19))))))</f>
        <v/>
      </c>
      <c r="G19" s="27" t="str">
        <f aca="false">B19</f>
        <v>Minute (min)</v>
      </c>
      <c r="I19" s="28" t="n">
        <v>60</v>
      </c>
      <c r="J19" s="28" t="n">
        <v>0</v>
      </c>
    </row>
    <row r="20" customFormat="false" ht="19.5" hidden="false" customHeight="true" outlineLevel="0" collapsed="false">
      <c r="B20" s="22" t="s">
        <v>181</v>
      </c>
      <c r="C20" s="23" t="s">
        <v>102</v>
      </c>
      <c r="D20" s="24"/>
      <c r="E20" s="25" t="s">
        <v>88</v>
      </c>
      <c r="F20" s="26" t="str">
        <f aca="false">IF($J$12="","",IF(($J$12/I20-J20)=0,0,ROUND($J$12/I20-J20,11-INT(LOG10(ABS($J$12/I20-J20))))))</f>
        <v/>
      </c>
      <c r="G20" s="27" t="str">
        <f aca="false">B20</f>
        <v>Hour (h)</v>
      </c>
      <c r="I20" s="28" t="n">
        <v>3600</v>
      </c>
      <c r="J20" s="28" t="n">
        <v>0</v>
      </c>
    </row>
    <row r="21" customFormat="false" ht="19.5" hidden="false" customHeight="true" outlineLevel="0" collapsed="false">
      <c r="B21" s="22" t="s">
        <v>188</v>
      </c>
      <c r="C21" s="23" t="s">
        <v>102</v>
      </c>
      <c r="D21" s="24"/>
      <c r="E21" s="25" t="s">
        <v>88</v>
      </c>
      <c r="F21" s="26" t="str">
        <f aca="false">IF($J$12="","",IF(($J$12/I21-J21)=0,0,ROUND($J$12/I21-J21,11-INT(LOG10(ABS($J$12/I21-J21))))))</f>
        <v/>
      </c>
      <c r="G21" s="27" t="str">
        <f aca="false">B21</f>
        <v>Day (d)</v>
      </c>
      <c r="I21" s="28" t="n">
        <v>86400</v>
      </c>
      <c r="J21" s="28" t="n">
        <v>0</v>
      </c>
    </row>
    <row r="22" customFormat="false" ht="19.5" hidden="false" customHeight="true" outlineLevel="0" collapsed="false">
      <c r="B22" s="22" t="s">
        <v>189</v>
      </c>
      <c r="C22" s="23" t="s">
        <v>102</v>
      </c>
      <c r="D22" s="24"/>
      <c r="E22" s="25" t="s">
        <v>88</v>
      </c>
      <c r="F22" s="26" t="str">
        <f aca="false">IF($J$12="","",IF(($J$12/I22-J22)=0,0,ROUND($J$12/I22-J22,11-INT(LOG10(ABS($J$12/I22-J22))))))</f>
        <v/>
      </c>
      <c r="G22" s="27" t="str">
        <f aca="false">B22</f>
        <v>Week (wk)</v>
      </c>
      <c r="I22" s="28" t="n">
        <v>604800</v>
      </c>
      <c r="J22" s="28" t="n">
        <v>0</v>
      </c>
    </row>
    <row r="23" customFormat="false" ht="19.5" hidden="false" customHeight="true" outlineLevel="0" collapsed="false">
      <c r="B23" s="22" t="s">
        <v>190</v>
      </c>
      <c r="C23" s="23" t="s">
        <v>102</v>
      </c>
      <c r="D23" s="24"/>
      <c r="E23" s="25" t="s">
        <v>88</v>
      </c>
      <c r="F23" s="26" t="str">
        <f aca="false">IF($J$12="","",IF(($J$12/I23-J23)=0,0,ROUND($J$12/I23-J23,11-INT(LOG10(ABS($J$12/I23-J23))))))</f>
        <v/>
      </c>
      <c r="G23" s="27" t="str">
        <f aca="false">B23</f>
        <v>Month (avg, 30.436875 d)</v>
      </c>
      <c r="I23" s="28" t="n">
        <v>2629746</v>
      </c>
      <c r="J23" s="28" t="n">
        <v>0</v>
      </c>
    </row>
    <row r="24" customFormat="false" ht="19.5" hidden="false" customHeight="true" outlineLevel="0" collapsed="false">
      <c r="B24" s="22" t="s">
        <v>191</v>
      </c>
      <c r="C24" s="23" t="s">
        <v>102</v>
      </c>
      <c r="D24" s="24"/>
      <c r="E24" s="25" t="s">
        <v>88</v>
      </c>
      <c r="F24" s="26" t="str">
        <f aca="false">IF($J$12="","",IF(($J$12/I24-J24)=0,0,ROUND($J$12/I24-J24,11-INT(LOG10(ABS($J$12/I24-J24))))))</f>
        <v/>
      </c>
      <c r="G24" s="27" t="str">
        <f aca="false">B24</f>
        <v>Year (avg, 365.2425 d)</v>
      </c>
      <c r="I24" s="28" t="n">
        <v>31556952</v>
      </c>
      <c r="J24" s="28" t="n">
        <v>0</v>
      </c>
    </row>
    <row r="25" customFormat="false" ht="19.5" hidden="false" customHeight="true" outlineLevel="0" collapsed="false">
      <c r="B25" s="22" t="s">
        <v>192</v>
      </c>
      <c r="C25" s="23" t="s">
        <v>102</v>
      </c>
      <c r="D25" s="24"/>
      <c r="E25" s="25" t="s">
        <v>88</v>
      </c>
      <c r="F25" s="26" t="str">
        <f aca="false">IF($J$12="","",IF(($J$12/I25-J25)=0,0,ROUND($J$12/I25-J25,11-INT(LOG10(ABS($J$12/I25-J25))))))</f>
        <v/>
      </c>
      <c r="G25" s="27" t="str">
        <f aca="false">B25</f>
        <v>Decade</v>
      </c>
      <c r="I25" s="28" t="n">
        <v>315569520</v>
      </c>
      <c r="J25" s="28" t="n">
        <v>0</v>
      </c>
    </row>
    <row r="26" customFormat="false" ht="19.5" hidden="false" customHeight="true" outlineLevel="0" collapsed="false">
      <c r="B26" s="22" t="s">
        <v>193</v>
      </c>
      <c r="C26" s="23" t="s">
        <v>102</v>
      </c>
      <c r="D26" s="24"/>
      <c r="E26" s="25" t="s">
        <v>88</v>
      </c>
      <c r="F26" s="26" t="str">
        <f aca="false">IF($J$12="","",IF(($J$12/I26-J26)=0,0,ROUND($J$12/I26-J26,11-INT(LOG10(ABS($J$12/I26-J26))))))</f>
        <v/>
      </c>
      <c r="G26" s="27" t="str">
        <f aca="false">B26</f>
        <v>Century</v>
      </c>
      <c r="I26" s="28" t="n">
        <v>3155695200</v>
      </c>
      <c r="J26" s="28" t="n">
        <v>0</v>
      </c>
    </row>
    <row r="28" customFormat="false" ht="15" hidden="false" customHeight="false" outlineLevel="0" collapsed="false">
      <c r="B28" s="18" t="s">
        <v>106</v>
      </c>
    </row>
    <row r="29" customFormat="false" ht="15" hidden="false" customHeight="false" outlineLevel="0" collapsed="false">
      <c r="B29" s="18" t="s">
        <v>107</v>
      </c>
    </row>
    <row r="30" customFormat="false" ht="15" hidden="false" customHeight="false" outlineLevel="0" collapsed="false">
      <c r="B30" s="18" t="s">
        <v>108</v>
      </c>
    </row>
    <row r="31" customFormat="false" ht="15" hidden="false" customHeight="false" outlineLevel="0" collapsed="false">
      <c r="B31" s="18" t="s">
        <v>194</v>
      </c>
    </row>
  </sheetData>
  <mergeCells count="6">
    <mergeCell ref="C5:C6"/>
    <mergeCell ref="D5:D6"/>
    <mergeCell ref="E5:E6"/>
    <mergeCell ref="F5:F6"/>
    <mergeCell ref="G5:G6"/>
    <mergeCell ref="B13:G13"/>
  </mergeCells>
  <conditionalFormatting sqref="B15:G26">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$B$15:$B$26</formula1>
      <formula2>0</formula2>
    </dataValidation>
    <dataValidation allowBlank="true" error="Please type a number." errorStyle="stop" errorTitle="Number only" operator="between" showDropDown="false" showErrorMessage="true" showInputMessage="false" sqref="C5 D15:D26" type="decimal">
      <formula1>-1E+307</formula1>
      <formula2>1E+307</formula2>
    </dataValidation>
  </dataValidations>
  <hyperlinks>
    <hyperlink ref="B2" r:id="rId1" location="Home!A1" display="SI base unit for this sheet: second (s).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195</v>
      </c>
    </row>
    <row r="2" customFormat="false" ht="15" hidden="false" customHeight="false" outlineLevel="0" collapsed="false">
      <c r="B2" s="2" t="s">
        <v>196</v>
      </c>
    </row>
    <row r="4" customFormat="false" ht="15" hidden="false" customHeight="false" outlineLevel="0" collapsed="false">
      <c r="B4" s="10" t="s">
        <v>66</v>
      </c>
    </row>
    <row r="5" customFormat="false" ht="15" hidden="false" customHeight="true" outlineLevel="0" collapsed="false">
      <c r="B5" s="11" t="s">
        <v>67</v>
      </c>
      <c r="C5" s="12" t="n">
        <v>1</v>
      </c>
      <c r="D5" s="13" t="s">
        <v>197</v>
      </c>
      <c r="E5" s="14" t="s">
        <v>69</v>
      </c>
      <c r="F5" s="15" t="n">
        <f aca="false">IF(ISNUMBER(C5),IF((((C5+INDEX($J$15:$J$26,MATCH(D5,$B$15:$B$26,0)))*INDEX($I$15:$I$26,MATCH(D5,$B$15:$B$26,0)))/INDEX($I$15:$I$26,MATCH(G5,$B$15:$B$26,0))-INDEX($J$15:$J$26,MATCH(G5,$B$15:$B$26,0)))=0,0,ROUND(((C5+INDEX($J$15:$J$26,MATCH(D5,$B$15:$B$26,0)))*INDEX($I$15:$I$26,MATCH(D5,$B$15:$B$26,0)))/INDEX($I$15:$I$26,MATCH(G5,$B$15:$B$26,0))-INDEX($J$15:$J$26,MATCH(G5,$B$15:$B$26,0)),11-INT(LOG10(ABS(((C5+INDEX($J$15:$J$26,MATCH(D5,$B$15:$B$26,0)))*INDEX($I$15:$I$26,MATCH(D5,$B$15:$B$26,0)))/INDEX($I$15:$I$26,MATCH(G5,$B$15:$B$26,0))-INDEX($J$15:$J$26,MATCH(G5,$B$15:$B$26,0))))))),"")</f>
        <v>14.503773773</v>
      </c>
      <c r="G5" s="13" t="s">
        <v>198</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Bar (bar) = 14.503773773 Pound per square inch (psi)</v>
      </c>
    </row>
    <row r="9" customFormat="false" ht="15" hidden="false" customHeight="false" outlineLevel="0" collapsed="false">
      <c r="B9" s="11" t="s">
        <v>76</v>
      </c>
      <c r="C9" s="17" t="str">
        <f aca="false">"1 "&amp;G5&amp;" = "&amp;TEXT(IF((((1+INDEX($J$15:$J$26,MATCH(G5,$B$15:$B$26,0)))*INDEX($I$15:$I$26,MATCH(G5,$B$15:$B$26,0)))/INDEX($I$15:$I$26,MATCH(D5,$B$15:$B$26,0))-INDEX($J$15:$J$26,MATCH(D5,$B$15:$B$26,0)))=0,0,ROUND(((1+INDEX($J$15:$J$26,MATCH(G5,$B$15:$B$26,0)))*INDEX($I$15:$I$26,MATCH(G5,$B$15:$B$26,0)))/INDEX($I$15:$I$26,MATCH(D5,$B$15:$B$26,0))-INDEX($J$15:$J$26,MATCH(D5,$B$15:$B$26,0)),11-INT(LOG10(ABS(((1+INDEX($J$15:$J$26,MATCH(G5,$B$15:$B$26,0)))*INDEX($I$15:$I$26,MATCH(G5,$B$15:$B$26,0)))/INDEX($I$15:$I$26,MATCH(D5,$B$15:$B$26,0))-INDEX($J$15:$J$26,MATCH(D5,$B$15:$B$26,0))))))),"General")&amp;" "&amp;D5</f>
        <v>1 Pound per square inch (psi) = 0.0689475729317 Bar (bar)</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IF(COUNT($D$15:$D$26)&lt;&gt;1,"",SUMPRODUCT(--ISNUMBER($D$15:$D$26),($D$15:$D$26+$J$15:$J$26)*$I$15:$I$26))</f>
        <v/>
      </c>
    </row>
    <row r="13" customFormat="false" ht="15" hidden="false" customHeight="false" outlineLevel="0" collapsed="false">
      <c r="B13" s="20" t="str">
        <f aca="false">IF(COUNT($D$15:$D$26)=0,"Type a number next to any unit below (e.g. next to the unit you know).",IF(COUNT($D$15:$D$26)&gt;1,"⚠ More than one value entered – clear all but one yellow cell.","Showing everything equal to "&amp;INDEX($D$15:$D$26,MATCH(TRUE(),INDEX(ISNUMBER($D$15:$D$26),0),0))&amp;" "&amp;INDEX($B$15:$B$26,MATCH(TRUE(),INDEX(ISNUMBER($D$15:$D$26),0),0))))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199</v>
      </c>
      <c r="J14" s="5" t="s">
        <v>85</v>
      </c>
    </row>
    <row r="15" customFormat="false" ht="19.5" hidden="false" customHeight="true" outlineLevel="0" collapsed="false">
      <c r="B15" s="22" t="s">
        <v>200</v>
      </c>
      <c r="C15" s="23" t="s">
        <v>87</v>
      </c>
      <c r="D15" s="24"/>
      <c r="E15" s="25" t="s">
        <v>88</v>
      </c>
      <c r="F15" s="26" t="str">
        <f aca="false">IF($J$12="","",IF(($J$12/I15-J15)=0,0,ROUND($J$12/I15-J15,11-INT(LOG10(ABS($J$12/I15-J15))))))</f>
        <v/>
      </c>
      <c r="G15" s="27" t="str">
        <f aca="false">B15</f>
        <v>Pascal (Pa)</v>
      </c>
      <c r="I15" s="28" t="n">
        <v>1</v>
      </c>
      <c r="J15" s="28" t="n">
        <v>0</v>
      </c>
    </row>
    <row r="16" customFormat="false" ht="19.5" hidden="false" customHeight="true" outlineLevel="0" collapsed="false">
      <c r="B16" s="22" t="s">
        <v>201</v>
      </c>
      <c r="C16" s="23" t="s">
        <v>87</v>
      </c>
      <c r="D16" s="24"/>
      <c r="E16" s="25" t="s">
        <v>88</v>
      </c>
      <c r="F16" s="26" t="str">
        <f aca="false">IF($J$12="","",IF(($J$12/I16-J16)=0,0,ROUND($J$12/I16-J16,11-INT(LOG10(ABS($J$12/I16-J16))))))</f>
        <v/>
      </c>
      <c r="G16" s="27" t="str">
        <f aca="false">B16</f>
        <v>Kilopascal (kPa)</v>
      </c>
      <c r="I16" s="28" t="n">
        <v>1000</v>
      </c>
      <c r="J16" s="28" t="n">
        <v>0</v>
      </c>
    </row>
    <row r="17" customFormat="false" ht="19.5" hidden="false" customHeight="true" outlineLevel="0" collapsed="false">
      <c r="B17" s="22" t="s">
        <v>202</v>
      </c>
      <c r="C17" s="23" t="s">
        <v>87</v>
      </c>
      <c r="D17" s="24"/>
      <c r="E17" s="25" t="s">
        <v>88</v>
      </c>
      <c r="F17" s="26" t="str">
        <f aca="false">IF($J$12="","",IF(($J$12/I17-J17)=0,0,ROUND($J$12/I17-J17,11-INT(LOG10(ABS($J$12/I17-J17))))))</f>
        <v/>
      </c>
      <c r="G17" s="27" t="str">
        <f aca="false">B17</f>
        <v>Megapascal (MPa)</v>
      </c>
      <c r="I17" s="28" t="n">
        <v>1000000</v>
      </c>
      <c r="J17" s="28" t="n">
        <v>0</v>
      </c>
    </row>
    <row r="18" customFormat="false" ht="19.5" hidden="false" customHeight="true" outlineLevel="0" collapsed="false">
      <c r="B18" s="22" t="s">
        <v>197</v>
      </c>
      <c r="C18" s="23" t="s">
        <v>87</v>
      </c>
      <c r="D18" s="24"/>
      <c r="E18" s="25" t="s">
        <v>88</v>
      </c>
      <c r="F18" s="26" t="str">
        <f aca="false">IF($J$12="","",IF(($J$12/I18-J18)=0,0,ROUND($J$12/I18-J18,11-INT(LOG10(ABS($J$12/I18-J18))))))</f>
        <v/>
      </c>
      <c r="G18" s="27" t="str">
        <f aca="false">B18</f>
        <v>Bar (bar)</v>
      </c>
      <c r="I18" s="28" t="n">
        <v>100000</v>
      </c>
      <c r="J18" s="28" t="n">
        <v>0</v>
      </c>
    </row>
    <row r="19" customFormat="false" ht="19.5" hidden="false" customHeight="true" outlineLevel="0" collapsed="false">
      <c r="B19" s="22" t="s">
        <v>203</v>
      </c>
      <c r="C19" s="23" t="s">
        <v>87</v>
      </c>
      <c r="D19" s="24"/>
      <c r="E19" s="25" t="s">
        <v>88</v>
      </c>
      <c r="F19" s="26" t="str">
        <f aca="false">IF($J$12="","",IF(($J$12/I19-J19)=0,0,ROUND($J$12/I19-J19,11-INT(LOG10(ABS($J$12/I19-J19))))))</f>
        <v/>
      </c>
      <c r="G19" s="27" t="str">
        <f aca="false">B19</f>
        <v>Millibar (mbar)</v>
      </c>
      <c r="I19" s="28" t="n">
        <v>100</v>
      </c>
      <c r="J19" s="28" t="n">
        <v>0</v>
      </c>
    </row>
    <row r="20" customFormat="false" ht="19.5" hidden="false" customHeight="true" outlineLevel="0" collapsed="false">
      <c r="B20" s="22" t="s">
        <v>198</v>
      </c>
      <c r="C20" s="23" t="s">
        <v>94</v>
      </c>
      <c r="D20" s="24"/>
      <c r="E20" s="25" t="s">
        <v>88</v>
      </c>
      <c r="F20" s="26" t="str">
        <f aca="false">IF($J$12="","",IF(($J$12/I20-J20)=0,0,ROUND($J$12/I20-J20,11-INT(LOG10(ABS($J$12/I20-J20))))))</f>
        <v/>
      </c>
      <c r="G20" s="27" t="str">
        <f aca="false">B20</f>
        <v>Pound per square inch (psi)</v>
      </c>
      <c r="I20" s="28" t="n">
        <v>6894.75729316836</v>
      </c>
      <c r="J20" s="28" t="n">
        <v>0</v>
      </c>
    </row>
    <row r="21" customFormat="false" ht="19.5" hidden="false" customHeight="true" outlineLevel="0" collapsed="false">
      <c r="B21" s="22" t="s">
        <v>204</v>
      </c>
      <c r="C21" s="23" t="s">
        <v>94</v>
      </c>
      <c r="D21" s="24"/>
      <c r="E21" s="25" t="s">
        <v>88</v>
      </c>
      <c r="F21" s="26" t="str">
        <f aca="false">IF($J$12="","",IF(($J$12/I21-J21)=0,0,ROUND($J$12/I21-J21,11-INT(LOG10(ABS($J$12/I21-J21))))))</f>
        <v/>
      </c>
      <c r="G21" s="27" t="str">
        <f aca="false">B21</f>
        <v>Kilopound per sq inch (ksi)</v>
      </c>
      <c r="I21" s="28" t="n">
        <v>6894757.29316836</v>
      </c>
      <c r="J21" s="28" t="n">
        <v>0</v>
      </c>
    </row>
    <row r="22" customFormat="false" ht="19.5" hidden="false" customHeight="true" outlineLevel="0" collapsed="false">
      <c r="B22" s="22" t="s">
        <v>205</v>
      </c>
      <c r="C22" s="23" t="s">
        <v>94</v>
      </c>
      <c r="D22" s="24"/>
      <c r="E22" s="25" t="s">
        <v>88</v>
      </c>
      <c r="F22" s="26" t="str">
        <f aca="false">IF($J$12="","",IF(($J$12/I22-J22)=0,0,ROUND($J$12/I22-J22,11-INT(LOG10(ABS($J$12/I22-J22))))))</f>
        <v/>
      </c>
      <c r="G22" s="27" t="str">
        <f aca="false">B22</f>
        <v>Inch of mercury (inHg)</v>
      </c>
      <c r="I22" s="28" t="n">
        <v>3386.389</v>
      </c>
      <c r="J22" s="28" t="n">
        <v>0</v>
      </c>
    </row>
    <row r="23" customFormat="false" ht="19.5" hidden="false" customHeight="true" outlineLevel="0" collapsed="false">
      <c r="B23" s="22" t="s">
        <v>206</v>
      </c>
      <c r="C23" s="23" t="s">
        <v>102</v>
      </c>
      <c r="D23" s="24"/>
      <c r="E23" s="25" t="s">
        <v>88</v>
      </c>
      <c r="F23" s="26" t="str">
        <f aca="false">IF($J$12="","",IF(($J$12/I23-J23)=0,0,ROUND($J$12/I23-J23,11-INT(LOG10(ABS($J$12/I23-J23))))))</f>
        <v/>
      </c>
      <c r="G23" s="27" t="str">
        <f aca="false">B23</f>
        <v>Standard atmosphere (atm)</v>
      </c>
      <c r="I23" s="28" t="n">
        <v>101325</v>
      </c>
      <c r="J23" s="28" t="n">
        <v>0</v>
      </c>
    </row>
    <row r="24" customFormat="false" ht="19.5" hidden="false" customHeight="true" outlineLevel="0" collapsed="false">
      <c r="B24" s="22" t="s">
        <v>207</v>
      </c>
      <c r="C24" s="23" t="s">
        <v>102</v>
      </c>
      <c r="D24" s="24"/>
      <c r="E24" s="25" t="s">
        <v>88</v>
      </c>
      <c r="F24" s="26" t="str">
        <f aca="false">IF($J$12="","",IF(($J$12/I24-J24)=0,0,ROUND($J$12/I24-J24,11-INT(LOG10(ABS($J$12/I24-J24))))))</f>
        <v/>
      </c>
      <c r="G24" s="27" t="str">
        <f aca="false">B24</f>
        <v>Torr</v>
      </c>
      <c r="I24" s="28" t="n">
        <f aca="false">101325/760</f>
        <v>133.322368421053</v>
      </c>
      <c r="J24" s="28" t="n">
        <v>0</v>
      </c>
    </row>
    <row r="25" customFormat="false" ht="19.5" hidden="false" customHeight="true" outlineLevel="0" collapsed="false">
      <c r="B25" s="22" t="s">
        <v>208</v>
      </c>
      <c r="C25" s="23" t="s">
        <v>102</v>
      </c>
      <c r="D25" s="24"/>
      <c r="E25" s="25" t="s">
        <v>88</v>
      </c>
      <c r="F25" s="26" t="str">
        <f aca="false">IF($J$12="","",IF(($J$12/I25-J25)=0,0,ROUND($J$12/I25-J25,11-INT(LOG10(ABS($J$12/I25-J25))))))</f>
        <v/>
      </c>
      <c r="G25" s="27" t="str">
        <f aca="false">B25</f>
        <v>Millimetre of mercury (mmHg)</v>
      </c>
      <c r="I25" s="28" t="n">
        <v>133.322387415</v>
      </c>
      <c r="J25" s="28" t="n">
        <v>0</v>
      </c>
    </row>
    <row r="26" customFormat="false" ht="19.5" hidden="false" customHeight="true" outlineLevel="0" collapsed="false">
      <c r="B26" s="22" t="s">
        <v>209</v>
      </c>
      <c r="C26" s="23" t="s">
        <v>102</v>
      </c>
      <c r="D26" s="24"/>
      <c r="E26" s="25" t="s">
        <v>88</v>
      </c>
      <c r="F26" s="26" t="str">
        <f aca="false">IF($J$12="","",IF(($J$12/I26-J26)=0,0,ROUND($J$12/I26-J26,11-INT(LOG10(ABS($J$12/I26-J26))))))</f>
        <v/>
      </c>
      <c r="G26" s="27" t="str">
        <f aca="false">B26</f>
        <v>Kilogram-force per cm² (kgf/cm²)</v>
      </c>
      <c r="I26" s="28" t="n">
        <v>98066.5</v>
      </c>
      <c r="J26" s="28" t="n">
        <v>0</v>
      </c>
    </row>
    <row r="28" customFormat="false" ht="15" hidden="false" customHeight="false" outlineLevel="0" collapsed="false">
      <c r="B28" s="18" t="s">
        <v>106</v>
      </c>
    </row>
    <row r="29" customFormat="false" ht="15" hidden="false" customHeight="false" outlineLevel="0" collapsed="false">
      <c r="B29" s="18" t="s">
        <v>107</v>
      </c>
    </row>
    <row r="30" customFormat="false" ht="15" hidden="false" customHeight="false" outlineLevel="0" collapsed="false">
      <c r="B30" s="18" t="s">
        <v>108</v>
      </c>
    </row>
    <row r="31" customFormat="false" ht="15" hidden="false" customHeight="false" outlineLevel="0" collapsed="false">
      <c r="B31" s="18" t="s">
        <v>210</v>
      </c>
    </row>
  </sheetData>
  <mergeCells count="6">
    <mergeCell ref="C5:C6"/>
    <mergeCell ref="D5:D6"/>
    <mergeCell ref="E5:E6"/>
    <mergeCell ref="F5:F6"/>
    <mergeCell ref="G5:G6"/>
    <mergeCell ref="B13:G13"/>
  </mergeCells>
  <conditionalFormatting sqref="B15:G26">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$B$15:$B$26</formula1>
      <formula2>0</formula2>
    </dataValidation>
    <dataValidation allowBlank="true" error="Please type a number." errorStyle="stop" errorTitle="Number only" operator="between" showDropDown="false" showErrorMessage="true" showInputMessage="false" sqref="C5 D15:D26" type="decimal">
      <formula1>-1E+307</formula1>
      <formula2>1E+307</formula2>
    </dataValidation>
  </dataValidations>
  <hyperlinks>
    <hyperlink ref="B2" r:id="rId1" location="Home!A1" display="SI base unit for this sheet: pascal (Pa).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211</v>
      </c>
    </row>
    <row r="2" customFormat="false" ht="15" hidden="false" customHeight="false" outlineLevel="0" collapsed="false">
      <c r="B2" s="2" t="s">
        <v>212</v>
      </c>
    </row>
    <row r="4" customFormat="false" ht="15" hidden="false" customHeight="false" outlineLevel="0" collapsed="false">
      <c r="B4" s="10" t="s">
        <v>66</v>
      </c>
    </row>
    <row r="5" customFormat="false" ht="15" hidden="false" customHeight="true" outlineLevel="0" collapsed="false">
      <c r="B5" s="11" t="s">
        <v>67</v>
      </c>
      <c r="C5" s="12" t="n">
        <v>1</v>
      </c>
      <c r="D5" s="13" t="s">
        <v>213</v>
      </c>
      <c r="E5" s="14" t="s">
        <v>69</v>
      </c>
      <c r="F5" s="15" t="n">
        <f aca="false">IF(ISNUMBER(C5),IF((((C5+INDEX($J$15:$J$26,MATCH(D5,$B$15:$B$26,0)))*INDEX($I$15:$I$26,MATCH(D5,$B$15:$B$26,0)))/INDEX($I$15:$I$26,MATCH(G5,$B$15:$B$26,0))-INDEX($J$15:$J$26,MATCH(G5,$B$15:$B$26,0)))=0,0,ROUND(((C5+INDEX($J$15:$J$26,MATCH(D5,$B$15:$B$26,0)))*INDEX($I$15:$I$26,MATCH(D5,$B$15:$B$26,0)))/INDEX($I$15:$I$26,MATCH(G5,$B$15:$B$26,0))-INDEX($J$15:$J$26,MATCH(G5,$B$15:$B$26,0)),11-INT(LOG10(ABS(((C5+INDEX($J$15:$J$26,MATCH(D5,$B$15:$B$26,0)))*INDEX($I$15:$I$26,MATCH(D5,$B$15:$B$26,0)))/INDEX($I$15:$I$26,MATCH(G5,$B$15:$B$26,0))-INDEX($J$15:$J$26,MATCH(G5,$B$15:$B$26,0))))))),"")</f>
        <v>0.239005736138</v>
      </c>
      <c r="G5" s="13" t="s">
        <v>214</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Kilojoule (kJ) = 0.239005736138 Kilocalorie (kcal)</v>
      </c>
    </row>
    <row r="9" customFormat="false" ht="15" hidden="false" customHeight="false" outlineLevel="0" collapsed="false">
      <c r="B9" s="11" t="s">
        <v>76</v>
      </c>
      <c r="C9" s="17" t="str">
        <f aca="false">"1 "&amp;G5&amp;" = "&amp;TEXT(IF((((1+INDEX($J$15:$J$26,MATCH(G5,$B$15:$B$26,0)))*INDEX($I$15:$I$26,MATCH(G5,$B$15:$B$26,0)))/INDEX($I$15:$I$26,MATCH(D5,$B$15:$B$26,0))-INDEX($J$15:$J$26,MATCH(D5,$B$15:$B$26,0)))=0,0,ROUND(((1+INDEX($J$15:$J$26,MATCH(G5,$B$15:$B$26,0)))*INDEX($I$15:$I$26,MATCH(G5,$B$15:$B$26,0)))/INDEX($I$15:$I$26,MATCH(D5,$B$15:$B$26,0))-INDEX($J$15:$J$26,MATCH(D5,$B$15:$B$26,0)),11-INT(LOG10(ABS(((1+INDEX($J$15:$J$26,MATCH(G5,$B$15:$B$26,0)))*INDEX($I$15:$I$26,MATCH(G5,$B$15:$B$26,0)))/INDEX($I$15:$I$26,MATCH(D5,$B$15:$B$26,0))-INDEX($J$15:$J$26,MATCH(D5,$B$15:$B$26,0))))))),"General")&amp;" "&amp;D5</f>
        <v>1 Kilocalorie (kcal) = 4.184 Kilojoule (kJ)</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IF(COUNT($D$15:$D$26)&lt;&gt;1,"",SUMPRODUCT(--ISNUMBER($D$15:$D$26),($D$15:$D$26+$J$15:$J$26)*$I$15:$I$26))</f>
        <v/>
      </c>
    </row>
    <row r="13" customFormat="false" ht="15" hidden="false" customHeight="false" outlineLevel="0" collapsed="false">
      <c r="B13" s="20" t="str">
        <f aca="false">IF(COUNT($D$15:$D$26)=0,"Type a number next to any unit below (e.g. next to the unit you know).",IF(COUNT($D$15:$D$26)&gt;1,"⚠ More than one value entered – clear all but one yellow cell.","Showing everything equal to "&amp;INDEX($D$15:$D$26,MATCH(TRUE(),INDEX(ISNUMBER($D$15:$D$26),0),0))&amp;" "&amp;INDEX($B$15:$B$26,MATCH(TRUE(),INDEX(ISNUMBER($D$15:$D$26),0),0))))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215</v>
      </c>
      <c r="J14" s="5" t="s">
        <v>85</v>
      </c>
    </row>
    <row r="15" customFormat="false" ht="19.5" hidden="false" customHeight="true" outlineLevel="0" collapsed="false">
      <c r="B15" s="22" t="s">
        <v>216</v>
      </c>
      <c r="C15" s="23" t="s">
        <v>87</v>
      </c>
      <c r="D15" s="24"/>
      <c r="E15" s="25" t="s">
        <v>88</v>
      </c>
      <c r="F15" s="26" t="str">
        <f aca="false">IF($J$12="","",IF(($J$12/I15-J15)=0,0,ROUND($J$12/I15-J15,11-INT(LOG10(ABS($J$12/I15-J15))))))</f>
        <v/>
      </c>
      <c r="G15" s="27" t="str">
        <f aca="false">B15</f>
        <v>Joule (J)</v>
      </c>
      <c r="I15" s="28" t="n">
        <v>1</v>
      </c>
      <c r="J15" s="28" t="n">
        <v>0</v>
      </c>
    </row>
    <row r="16" customFormat="false" ht="19.5" hidden="false" customHeight="true" outlineLevel="0" collapsed="false">
      <c r="B16" s="22" t="s">
        <v>213</v>
      </c>
      <c r="C16" s="23" t="s">
        <v>87</v>
      </c>
      <c r="D16" s="24"/>
      <c r="E16" s="25" t="s">
        <v>88</v>
      </c>
      <c r="F16" s="26" t="str">
        <f aca="false">IF($J$12="","",IF(($J$12/I16-J16)=0,0,ROUND($J$12/I16-J16,11-INT(LOG10(ABS($J$12/I16-J16))))))</f>
        <v/>
      </c>
      <c r="G16" s="27" t="str">
        <f aca="false">B16</f>
        <v>Kilojoule (kJ)</v>
      </c>
      <c r="I16" s="28" t="n">
        <v>1000</v>
      </c>
      <c r="J16" s="28" t="n">
        <v>0</v>
      </c>
    </row>
    <row r="17" customFormat="false" ht="19.5" hidden="false" customHeight="true" outlineLevel="0" collapsed="false">
      <c r="B17" s="22" t="s">
        <v>217</v>
      </c>
      <c r="C17" s="23" t="s">
        <v>87</v>
      </c>
      <c r="D17" s="24"/>
      <c r="E17" s="25" t="s">
        <v>88</v>
      </c>
      <c r="F17" s="26" t="str">
        <f aca="false">IF($J$12="","",IF(($J$12/I17-J17)=0,0,ROUND($J$12/I17-J17,11-INT(LOG10(ABS($J$12/I17-J17))))))</f>
        <v/>
      </c>
      <c r="G17" s="27" t="str">
        <f aca="false">B17</f>
        <v>Megajoule (MJ)</v>
      </c>
      <c r="I17" s="28" t="n">
        <v>1000000</v>
      </c>
      <c r="J17" s="28" t="n">
        <v>0</v>
      </c>
    </row>
    <row r="18" customFormat="false" ht="19.5" hidden="false" customHeight="true" outlineLevel="0" collapsed="false">
      <c r="B18" s="22" t="s">
        <v>218</v>
      </c>
      <c r="C18" s="23" t="s">
        <v>87</v>
      </c>
      <c r="D18" s="24"/>
      <c r="E18" s="25" t="s">
        <v>88</v>
      </c>
      <c r="F18" s="26" t="str">
        <f aca="false">IF($J$12="","",IF(($J$12/I18-J18)=0,0,ROUND($J$12/I18-J18,11-INT(LOG10(ABS($J$12/I18-J18))))))</f>
        <v/>
      </c>
      <c r="G18" s="27" t="str">
        <f aca="false">B18</f>
        <v>Watt-hour (Wh)</v>
      </c>
      <c r="I18" s="28" t="n">
        <v>3600</v>
      </c>
      <c r="J18" s="28" t="n">
        <v>0</v>
      </c>
    </row>
    <row r="19" customFormat="false" ht="19.5" hidden="false" customHeight="true" outlineLevel="0" collapsed="false">
      <c r="B19" s="22" t="s">
        <v>219</v>
      </c>
      <c r="C19" s="23" t="s">
        <v>87</v>
      </c>
      <c r="D19" s="24"/>
      <c r="E19" s="25" t="s">
        <v>88</v>
      </c>
      <c r="F19" s="26" t="str">
        <f aca="false">IF($J$12="","",IF(($J$12/I19-J19)=0,0,ROUND($J$12/I19-J19,11-INT(LOG10(ABS($J$12/I19-J19))))))</f>
        <v/>
      </c>
      <c r="G19" s="27" t="str">
        <f aca="false">B19</f>
        <v>Kilowatt-hour (kWh)</v>
      </c>
      <c r="I19" s="28" t="n">
        <v>3600000</v>
      </c>
      <c r="J19" s="28" t="n">
        <v>0</v>
      </c>
    </row>
    <row r="20" customFormat="false" ht="19.5" hidden="false" customHeight="true" outlineLevel="0" collapsed="false">
      <c r="B20" s="22" t="s">
        <v>220</v>
      </c>
      <c r="C20" s="23" t="s">
        <v>102</v>
      </c>
      <c r="D20" s="24"/>
      <c r="E20" s="25" t="s">
        <v>88</v>
      </c>
      <c r="F20" s="26" t="str">
        <f aca="false">IF($J$12="","",IF(($J$12/I20-J20)=0,0,ROUND($J$12/I20-J20,11-INT(LOG10(ABS($J$12/I20-J20))))))</f>
        <v/>
      </c>
      <c r="G20" s="27" t="str">
        <f aca="false">B20</f>
        <v>Calorie (cal)</v>
      </c>
      <c r="I20" s="28" t="n">
        <v>4.184</v>
      </c>
      <c r="J20" s="28" t="n">
        <v>0</v>
      </c>
    </row>
    <row r="21" customFormat="false" ht="19.5" hidden="false" customHeight="true" outlineLevel="0" collapsed="false">
      <c r="B21" s="22" t="s">
        <v>214</v>
      </c>
      <c r="C21" s="23" t="s">
        <v>102</v>
      </c>
      <c r="D21" s="24"/>
      <c r="E21" s="25" t="s">
        <v>88</v>
      </c>
      <c r="F21" s="26" t="str">
        <f aca="false">IF($J$12="","",IF(($J$12/I21-J21)=0,0,ROUND($J$12/I21-J21,11-INT(LOG10(ABS($J$12/I21-J21))))))</f>
        <v/>
      </c>
      <c r="G21" s="27" t="str">
        <f aca="false">B21</f>
        <v>Kilocalorie (kcal)</v>
      </c>
      <c r="I21" s="28" t="n">
        <v>4184</v>
      </c>
      <c r="J21" s="28" t="n">
        <v>0</v>
      </c>
    </row>
    <row r="22" customFormat="false" ht="19.5" hidden="false" customHeight="true" outlineLevel="0" collapsed="false">
      <c r="B22" s="22" t="s">
        <v>221</v>
      </c>
      <c r="C22" s="23" t="s">
        <v>94</v>
      </c>
      <c r="D22" s="24"/>
      <c r="E22" s="25" t="s">
        <v>88</v>
      </c>
      <c r="F22" s="26" t="str">
        <f aca="false">IF($J$12="","",IF(($J$12/I22-J22)=0,0,ROUND($J$12/I22-J22,11-INT(LOG10(ABS($J$12/I22-J22))))))</f>
        <v/>
      </c>
      <c r="G22" s="27" t="str">
        <f aca="false">B22</f>
        <v>British thermal unit (BTU)</v>
      </c>
      <c r="I22" s="28" t="n">
        <v>1055.05585262</v>
      </c>
      <c r="J22" s="28" t="n">
        <v>0</v>
      </c>
    </row>
    <row r="23" customFormat="false" ht="19.5" hidden="false" customHeight="true" outlineLevel="0" collapsed="false">
      <c r="B23" s="22" t="s">
        <v>222</v>
      </c>
      <c r="C23" s="23" t="s">
        <v>94</v>
      </c>
      <c r="D23" s="24"/>
      <c r="E23" s="25" t="s">
        <v>88</v>
      </c>
      <c r="F23" s="26" t="str">
        <f aca="false">IF($J$12="","",IF(($J$12/I23-J23)=0,0,ROUND($J$12/I23-J23,11-INT(LOG10(ABS($J$12/I23-J23))))))</f>
        <v/>
      </c>
      <c r="G23" s="27" t="str">
        <f aca="false">B23</f>
        <v>Therm (US)</v>
      </c>
      <c r="I23" s="28" t="n">
        <v>105480400</v>
      </c>
      <c r="J23" s="28" t="n">
        <v>0</v>
      </c>
    </row>
    <row r="24" customFormat="false" ht="19.5" hidden="false" customHeight="true" outlineLevel="0" collapsed="false">
      <c r="B24" s="22" t="s">
        <v>223</v>
      </c>
      <c r="C24" s="23" t="s">
        <v>94</v>
      </c>
      <c r="D24" s="24"/>
      <c r="E24" s="25" t="s">
        <v>88</v>
      </c>
      <c r="F24" s="26" t="str">
        <f aca="false">IF($J$12="","",IF(($J$12/I24-J24)=0,0,ROUND($J$12/I24-J24,11-INT(LOG10(ABS($J$12/I24-J24))))))</f>
        <v/>
      </c>
      <c r="G24" s="27" t="str">
        <f aca="false">B24</f>
        <v>Foot-pound force (ft·lbf)</v>
      </c>
      <c r="I24" s="28" t="n">
        <v>1.3558179483314</v>
      </c>
      <c r="J24" s="28" t="n">
        <v>0</v>
      </c>
    </row>
    <row r="25" customFormat="false" ht="19.5" hidden="false" customHeight="true" outlineLevel="0" collapsed="false">
      <c r="B25" s="22" t="s">
        <v>224</v>
      </c>
      <c r="C25" s="23" t="s">
        <v>102</v>
      </c>
      <c r="D25" s="24"/>
      <c r="E25" s="25" t="s">
        <v>88</v>
      </c>
      <c r="F25" s="26" t="str">
        <f aca="false">IF($J$12="","",IF(($J$12/I25-J25)=0,0,ROUND($J$12/I25-J25,11-INT(LOG10(ABS($J$12/I25-J25))))))</f>
        <v/>
      </c>
      <c r="G25" s="27" t="str">
        <f aca="false">B25</f>
        <v>Electronvolt (eV)</v>
      </c>
      <c r="I25" s="28" t="n">
        <v>1.602176634E-019</v>
      </c>
      <c r="J25" s="28" t="n">
        <v>0</v>
      </c>
    </row>
    <row r="26" customFormat="false" ht="19.5" hidden="false" customHeight="true" outlineLevel="0" collapsed="false">
      <c r="B26" s="22" t="s">
        <v>225</v>
      </c>
      <c r="C26" s="23" t="s">
        <v>102</v>
      </c>
      <c r="D26" s="24"/>
      <c r="E26" s="25" t="s">
        <v>88</v>
      </c>
      <c r="F26" s="26" t="str">
        <f aca="false">IF($J$12="","",IF(($J$12/I26-J26)=0,0,ROUND($J$12/I26-J26,11-INT(LOG10(ABS($J$12/I26-J26))))))</f>
        <v/>
      </c>
      <c r="G26" s="27" t="str">
        <f aca="false">B26</f>
        <v>Erg</v>
      </c>
      <c r="I26" s="28" t="n">
        <v>1E-007</v>
      </c>
      <c r="J26" s="28" t="n">
        <v>0</v>
      </c>
    </row>
    <row r="28" customFormat="false" ht="15" hidden="false" customHeight="false" outlineLevel="0" collapsed="false">
      <c r="B28" s="18" t="s">
        <v>106</v>
      </c>
    </row>
    <row r="29" customFormat="false" ht="15" hidden="false" customHeight="false" outlineLevel="0" collapsed="false">
      <c r="B29" s="18" t="s">
        <v>107</v>
      </c>
    </row>
    <row r="30" customFormat="false" ht="15" hidden="false" customHeight="false" outlineLevel="0" collapsed="false">
      <c r="B30" s="18" t="s">
        <v>108</v>
      </c>
    </row>
    <row r="31" customFormat="false" ht="15" hidden="false" customHeight="false" outlineLevel="0" collapsed="false">
      <c r="B31" s="18" t="s">
        <v>226</v>
      </c>
    </row>
  </sheetData>
  <mergeCells count="6">
    <mergeCell ref="C5:C6"/>
    <mergeCell ref="D5:D6"/>
    <mergeCell ref="E5:E6"/>
    <mergeCell ref="F5:F6"/>
    <mergeCell ref="G5:G6"/>
    <mergeCell ref="B13:G13"/>
  </mergeCells>
  <conditionalFormatting sqref="B15:G26">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$B$15:$B$26</formula1>
      <formula2>0</formula2>
    </dataValidation>
    <dataValidation allowBlank="true" error="Please type a number." errorStyle="stop" errorTitle="Number only" operator="between" showDropDown="false" showErrorMessage="true" showInputMessage="false" sqref="C5 D15:D26" type="decimal">
      <formula1>-1E+307</formula1>
      <formula2>1E+307</formula2>
    </dataValidation>
  </dataValidations>
  <hyperlinks>
    <hyperlink ref="B2" r:id="rId1" location="Home!A1" display="SI base unit for this sheet: joule (J).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227</v>
      </c>
    </row>
    <row r="2" customFormat="false" ht="15" hidden="false" customHeight="false" outlineLevel="0" collapsed="false">
      <c r="B2" s="2" t="s">
        <v>228</v>
      </c>
    </row>
    <row r="4" customFormat="false" ht="15" hidden="false" customHeight="false" outlineLevel="0" collapsed="false">
      <c r="B4" s="10" t="s">
        <v>66</v>
      </c>
    </row>
    <row r="5" customFormat="false" ht="15" hidden="false" customHeight="true" outlineLevel="0" collapsed="false">
      <c r="B5" s="11" t="s">
        <v>67</v>
      </c>
      <c r="C5" s="12" t="n">
        <v>1</v>
      </c>
      <c r="D5" s="13" t="s">
        <v>229</v>
      </c>
      <c r="E5" s="14" t="s">
        <v>69</v>
      </c>
      <c r="F5" s="15" t="n">
        <f aca="false">IF(ISNUMBER(C5),IF((((C5+INDEX($J$15:$J$23,MATCH(D5,$B$15:$B$23,0)))*INDEX($I$15:$I$23,MATCH(D5,$B$15:$B$23,0)))/INDEX($I$15:$I$23,MATCH(G5,$B$15:$B$23,0))-INDEX($J$15:$J$23,MATCH(G5,$B$15:$B$23,0)))=0,0,ROUND(((C5+INDEX($J$15:$J$23,MATCH(D5,$B$15:$B$23,0)))*INDEX($I$15:$I$23,MATCH(D5,$B$15:$B$23,0)))/INDEX($I$15:$I$23,MATCH(G5,$B$15:$B$23,0))-INDEX($J$15:$J$23,MATCH(G5,$B$15:$B$23,0)),11-INT(LOG10(ABS(((C5+INDEX($J$15:$J$23,MATCH(D5,$B$15:$B$23,0)))*INDEX($I$15:$I$23,MATCH(D5,$B$15:$B$23,0)))/INDEX($I$15:$I$23,MATCH(G5,$B$15:$B$23,0))-INDEX($J$15:$J$23,MATCH(G5,$B$15:$B$23,0))))))),"")</f>
        <v>1.3410220896</v>
      </c>
      <c r="G5" s="13" t="s">
        <v>230</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Kilowatt (kW) = 1.3410220896 Horsepower (hp)</v>
      </c>
    </row>
    <row r="9" customFormat="false" ht="15" hidden="false" customHeight="false" outlineLevel="0" collapsed="false">
      <c r="B9" s="11" t="s">
        <v>76</v>
      </c>
      <c r="C9" s="17" t="str">
        <f aca="false">"1 "&amp;G5&amp;" = "&amp;TEXT(IF((((1+INDEX($J$15:$J$23,MATCH(G5,$B$15:$B$23,0)))*INDEX($I$15:$I$23,MATCH(G5,$B$15:$B$23,0)))/INDEX($I$15:$I$23,MATCH(D5,$B$15:$B$23,0))-INDEX($J$15:$J$23,MATCH(D5,$B$15:$B$23,0)))=0,0,ROUND(((1+INDEX($J$15:$J$23,MATCH(G5,$B$15:$B$23,0)))*INDEX($I$15:$I$23,MATCH(G5,$B$15:$B$23,0)))/INDEX($I$15:$I$23,MATCH(D5,$B$15:$B$23,0))-INDEX($J$15:$J$23,MATCH(D5,$B$15:$B$23,0)),11-INT(LOG10(ABS(((1+INDEX($J$15:$J$23,MATCH(G5,$B$15:$B$23,0)))*INDEX($I$15:$I$23,MATCH(G5,$B$15:$B$23,0)))/INDEX($I$15:$I$23,MATCH(D5,$B$15:$B$23,0))-INDEX($J$15:$J$23,MATCH(D5,$B$15:$B$23,0))))))),"General")&amp;" "&amp;D5</f>
        <v>1 Horsepower (hp) = 0.745699871582 Kilowatt (kW)</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IF(COUNT($D$15:$D$23)&lt;&gt;1,"",SUMPRODUCT(--ISNUMBER($D$15:$D$23),($D$15:$D$23+$J$15:$J$23)*$I$15:$I$23))</f>
        <v/>
      </c>
    </row>
    <row r="13" customFormat="false" ht="15" hidden="false" customHeight="false" outlineLevel="0" collapsed="false">
      <c r="B13" s="20" t="str">
        <f aca="false">IF(COUNT($D$15:$D$23)=0,"Type a number next to any unit below (e.g. next to the unit you know).",IF(COUNT($D$15:$D$23)&gt;1,"⚠ More than one value entered – clear all but one yellow cell.","Showing everything equal to "&amp;INDEX($D$15:$D$23,MATCH(TRUE(),INDEX(ISNUMBER($D$15:$D$23),0),0))&amp;" "&amp;INDEX($B$15:$B$23,MATCH(TRUE(),INDEX(ISNUMBER($D$15:$D$23),0),0))))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231</v>
      </c>
      <c r="J14" s="5" t="s">
        <v>85</v>
      </c>
    </row>
    <row r="15" customFormat="false" ht="19.5" hidden="false" customHeight="true" outlineLevel="0" collapsed="false">
      <c r="B15" s="22" t="s">
        <v>232</v>
      </c>
      <c r="C15" s="23" t="s">
        <v>87</v>
      </c>
      <c r="D15" s="24"/>
      <c r="E15" s="25" t="s">
        <v>88</v>
      </c>
      <c r="F15" s="26" t="str">
        <f aca="false">IF($J$12="","",IF(($J$12/I15-J15)=0,0,ROUND($J$12/I15-J15,11-INT(LOG10(ABS($J$12/I15-J15))))))</f>
        <v/>
      </c>
      <c r="G15" s="27" t="str">
        <f aca="false">B15</f>
        <v>Watt (W)</v>
      </c>
      <c r="I15" s="28" t="n">
        <v>1</v>
      </c>
      <c r="J15" s="28" t="n">
        <v>0</v>
      </c>
    </row>
    <row r="16" customFormat="false" ht="19.5" hidden="false" customHeight="true" outlineLevel="0" collapsed="false">
      <c r="B16" s="22" t="s">
        <v>229</v>
      </c>
      <c r="C16" s="23" t="s">
        <v>87</v>
      </c>
      <c r="D16" s="24"/>
      <c r="E16" s="25" t="s">
        <v>88</v>
      </c>
      <c r="F16" s="26" t="str">
        <f aca="false">IF($J$12="","",IF(($J$12/I16-J16)=0,0,ROUND($J$12/I16-J16,11-INT(LOG10(ABS($J$12/I16-J16))))))</f>
        <v/>
      </c>
      <c r="G16" s="27" t="str">
        <f aca="false">B16</f>
        <v>Kilowatt (kW)</v>
      </c>
      <c r="I16" s="28" t="n">
        <v>1000</v>
      </c>
      <c r="J16" s="28" t="n">
        <v>0</v>
      </c>
    </row>
    <row r="17" customFormat="false" ht="19.5" hidden="false" customHeight="true" outlineLevel="0" collapsed="false">
      <c r="B17" s="22" t="s">
        <v>233</v>
      </c>
      <c r="C17" s="23" t="s">
        <v>87</v>
      </c>
      <c r="D17" s="24"/>
      <c r="E17" s="25" t="s">
        <v>88</v>
      </c>
      <c r="F17" s="26" t="str">
        <f aca="false">IF($J$12="","",IF(($J$12/I17-J17)=0,0,ROUND($J$12/I17-J17,11-INT(LOG10(ABS($J$12/I17-J17))))))</f>
        <v/>
      </c>
      <c r="G17" s="27" t="str">
        <f aca="false">B17</f>
        <v>Megawatt (MW)</v>
      </c>
      <c r="I17" s="28" t="n">
        <v>1000000</v>
      </c>
      <c r="J17" s="28" t="n">
        <v>0</v>
      </c>
    </row>
    <row r="18" customFormat="false" ht="19.5" hidden="false" customHeight="true" outlineLevel="0" collapsed="false">
      <c r="B18" s="22" t="s">
        <v>230</v>
      </c>
      <c r="C18" s="23" t="s">
        <v>94</v>
      </c>
      <c r="D18" s="24"/>
      <c r="E18" s="25" t="s">
        <v>88</v>
      </c>
      <c r="F18" s="26" t="str">
        <f aca="false">IF($J$12="","",IF(($J$12/I18-J18)=0,0,ROUND($J$12/I18-J18,11-INT(LOG10(ABS($J$12/I18-J18))))))</f>
        <v/>
      </c>
      <c r="G18" s="27" t="str">
        <f aca="false">B18</f>
        <v>Horsepower (hp)</v>
      </c>
      <c r="I18" s="28" t="n">
        <v>745.69987158227</v>
      </c>
      <c r="J18" s="28" t="n">
        <v>0</v>
      </c>
    </row>
    <row r="19" customFormat="false" ht="19.5" hidden="false" customHeight="true" outlineLevel="0" collapsed="false">
      <c r="B19" s="22" t="s">
        <v>234</v>
      </c>
      <c r="C19" s="23" t="s">
        <v>102</v>
      </c>
      <c r="D19" s="24"/>
      <c r="E19" s="25" t="s">
        <v>88</v>
      </c>
      <c r="F19" s="26" t="str">
        <f aca="false">IF($J$12="","",IF(($J$12/I19-J19)=0,0,ROUND($J$12/I19-J19,11-INT(LOG10(ABS($J$12/I19-J19))))))</f>
        <v/>
      </c>
      <c r="G19" s="27" t="str">
        <f aca="false">B19</f>
        <v>Metric horsepower (PS)</v>
      </c>
      <c r="I19" s="28" t="n">
        <v>735.49875</v>
      </c>
      <c r="J19" s="28" t="n">
        <v>0</v>
      </c>
    </row>
    <row r="20" customFormat="false" ht="19.5" hidden="false" customHeight="true" outlineLevel="0" collapsed="false">
      <c r="B20" s="22" t="s">
        <v>235</v>
      </c>
      <c r="C20" s="23" t="s">
        <v>94</v>
      </c>
      <c r="D20" s="24"/>
      <c r="E20" s="25" t="s">
        <v>88</v>
      </c>
      <c r="F20" s="26" t="str">
        <f aca="false">IF($J$12="","",IF(($J$12/I20-J20)=0,0,ROUND($J$12/I20-J20,11-INT(LOG10(ABS($J$12/I20-J20))))))</f>
        <v/>
      </c>
      <c r="G20" s="27" t="str">
        <f aca="false">B20</f>
        <v>BTU per hour (BTU/h)</v>
      </c>
      <c r="I20" s="28" t="n">
        <v>0.29307107017222</v>
      </c>
      <c r="J20" s="28" t="n">
        <v>0</v>
      </c>
    </row>
    <row r="21" customFormat="false" ht="19.5" hidden="false" customHeight="true" outlineLevel="0" collapsed="false">
      <c r="B21" s="22" t="s">
        <v>236</v>
      </c>
      <c r="C21" s="23" t="s">
        <v>94</v>
      </c>
      <c r="D21" s="24"/>
      <c r="E21" s="25" t="s">
        <v>88</v>
      </c>
      <c r="F21" s="26" t="str">
        <f aca="false">IF($J$12="","",IF(($J$12/I21-J21)=0,0,ROUND($J$12/I21-J21,11-INT(LOG10(ABS($J$12/I21-J21))))))</f>
        <v/>
      </c>
      <c r="G21" s="27" t="str">
        <f aca="false">B21</f>
        <v>Foot-pound force per second (ft·lbf/s)</v>
      </c>
      <c r="I21" s="28" t="n">
        <v>1.3558179483314</v>
      </c>
      <c r="J21" s="28" t="n">
        <v>0</v>
      </c>
    </row>
    <row r="22" customFormat="false" ht="19.5" hidden="false" customHeight="true" outlineLevel="0" collapsed="false">
      <c r="B22" s="22" t="s">
        <v>237</v>
      </c>
      <c r="C22" s="23" t="s">
        <v>94</v>
      </c>
      <c r="D22" s="24"/>
      <c r="E22" s="25" t="s">
        <v>88</v>
      </c>
      <c r="F22" s="26" t="str">
        <f aca="false">IF($J$12="","",IF(($J$12/I22-J22)=0,0,ROUND($J$12/I22-J22,11-INT(LOG10(ABS($J$12/I22-J22))))))</f>
        <v/>
      </c>
      <c r="G22" s="27" t="str">
        <f aca="false">B22</f>
        <v>Ton of refrigeration (TR)</v>
      </c>
      <c r="I22" s="28" t="n">
        <v>3516.8528420667</v>
      </c>
      <c r="J22" s="28" t="n">
        <v>0</v>
      </c>
    </row>
    <row r="23" customFormat="false" ht="19.5" hidden="false" customHeight="true" outlineLevel="0" collapsed="false">
      <c r="B23" s="22" t="s">
        <v>238</v>
      </c>
      <c r="C23" s="23" t="s">
        <v>102</v>
      </c>
      <c r="D23" s="24"/>
      <c r="E23" s="25" t="s">
        <v>88</v>
      </c>
      <c r="F23" s="26" t="str">
        <f aca="false">IF($J$12="","",IF(($J$12/I23-J23)=0,0,ROUND($J$12/I23-J23,11-INT(LOG10(ABS($J$12/I23-J23))))))</f>
        <v/>
      </c>
      <c r="G23" s="27" t="str">
        <f aca="false">B23</f>
        <v>Kilocalorie per hour (kcal/h)</v>
      </c>
      <c r="I23" s="28" t="n">
        <v>1.163</v>
      </c>
      <c r="J23" s="28" t="n">
        <v>0</v>
      </c>
    </row>
    <row r="25" customFormat="false" ht="15" hidden="false" customHeight="false" outlineLevel="0" collapsed="false">
      <c r="B25" s="18" t="s">
        <v>106</v>
      </c>
    </row>
    <row r="26" customFormat="false" ht="15" hidden="false" customHeight="false" outlineLevel="0" collapsed="false">
      <c r="B26" s="18" t="s">
        <v>107</v>
      </c>
    </row>
    <row r="27" customFormat="false" ht="15" hidden="false" customHeight="false" outlineLevel="0" collapsed="false">
      <c r="B27" s="18" t="s">
        <v>108</v>
      </c>
    </row>
  </sheetData>
  <mergeCells count="6">
    <mergeCell ref="C5:C6"/>
    <mergeCell ref="D5:D6"/>
    <mergeCell ref="E5:E6"/>
    <mergeCell ref="F5:F6"/>
    <mergeCell ref="G5:G6"/>
    <mergeCell ref="B13:G13"/>
  </mergeCells>
  <conditionalFormatting sqref="B15:G23">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$B$15:$B$23</formula1>
      <formula2>0</formula2>
    </dataValidation>
    <dataValidation allowBlank="true" error="Please type a number." errorStyle="stop" errorTitle="Number only" operator="between" showDropDown="false" showErrorMessage="true" showInputMessage="false" sqref="C5 D15:D23" type="decimal">
      <formula1>-1E+307</formula1>
      <formula2>1E+307</formula2>
    </dataValidation>
  </dataValidations>
  <hyperlinks>
    <hyperlink ref="B2" r:id="rId1" location="Home!A1" display="SI base unit for this sheet: watt (W).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239</v>
      </c>
    </row>
    <row r="2" customFormat="false" ht="15" hidden="false" customHeight="false" outlineLevel="0" collapsed="false">
      <c r="B2" s="2" t="s">
        <v>240</v>
      </c>
    </row>
    <row r="4" customFormat="false" ht="15" hidden="false" customHeight="false" outlineLevel="0" collapsed="false">
      <c r="B4" s="10" t="s">
        <v>66</v>
      </c>
    </row>
    <row r="5" customFormat="false" ht="15" hidden="false" customHeight="true" outlineLevel="0" collapsed="false">
      <c r="B5" s="11" t="s">
        <v>67</v>
      </c>
      <c r="C5" s="12" t="n">
        <v>1</v>
      </c>
      <c r="D5" s="13" t="s">
        <v>241</v>
      </c>
      <c r="E5" s="14" t="s">
        <v>69</v>
      </c>
      <c r="F5" s="15" t="n">
        <f aca="false">IF(ISNUMBER(C5),IF((((C5+INDEX($J$15:$J$22,MATCH(D5,$B$15:$B$22,0)))*INDEX($I$15:$I$22,MATCH(D5,$B$15:$B$22,0)))/INDEX($I$15:$I$22,MATCH(G5,$B$15:$B$22,0))-INDEX($J$15:$J$22,MATCH(G5,$B$15:$B$22,0)))=0,0,ROUND(((C5+INDEX($J$15:$J$22,MATCH(D5,$B$15:$B$22,0)))*INDEX($I$15:$I$22,MATCH(D5,$B$15:$B$22,0)))/INDEX($I$15:$I$22,MATCH(G5,$B$15:$B$22,0))-INDEX($J$15:$J$22,MATCH(G5,$B$15:$B$22,0)),11-INT(LOG10(ABS(((C5+INDEX($J$15:$J$22,MATCH(D5,$B$15:$B$22,0)))*INDEX($I$15:$I$22,MATCH(D5,$B$15:$B$22,0)))/INDEX($I$15:$I$22,MATCH(G5,$B$15:$B$22,0))-INDEX($J$15:$J$22,MATCH(G5,$B$15:$B$22,0))))))),"")</f>
        <v>0.2248089431</v>
      </c>
      <c r="G5" s="13" t="s">
        <v>242</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Newton (N) = 0.2248089431 Pound-force (lbf)</v>
      </c>
    </row>
    <row r="9" customFormat="false" ht="15" hidden="false" customHeight="false" outlineLevel="0" collapsed="false">
      <c r="B9" s="11" t="s">
        <v>76</v>
      </c>
      <c r="C9" s="17" t="str">
        <f aca="false">"1 "&amp;G5&amp;" = "&amp;TEXT(IF((((1+INDEX($J$15:$J$22,MATCH(G5,$B$15:$B$22,0)))*INDEX($I$15:$I$22,MATCH(G5,$B$15:$B$22,0)))/INDEX($I$15:$I$22,MATCH(D5,$B$15:$B$22,0))-INDEX($J$15:$J$22,MATCH(D5,$B$15:$B$22,0)))=0,0,ROUND(((1+INDEX($J$15:$J$22,MATCH(G5,$B$15:$B$22,0)))*INDEX($I$15:$I$22,MATCH(G5,$B$15:$B$22,0)))/INDEX($I$15:$I$22,MATCH(D5,$B$15:$B$22,0))-INDEX($J$15:$J$22,MATCH(D5,$B$15:$B$22,0)),11-INT(LOG10(ABS(((1+INDEX($J$15:$J$22,MATCH(G5,$B$15:$B$22,0)))*INDEX($I$15:$I$22,MATCH(G5,$B$15:$B$22,0)))/INDEX($I$15:$I$22,MATCH(D5,$B$15:$B$22,0))-INDEX($J$15:$J$22,MATCH(D5,$B$15:$B$22,0))))))),"General")&amp;" "&amp;D5</f>
        <v>1 Pound-force (lbf) = 4.44822161526 Newton (N)</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IF(COUNT($D$15:$D$22)&lt;&gt;1,"",SUMPRODUCT(--ISNUMBER($D$15:$D$22),($D$15:$D$22+$J$15:$J$22)*$I$15:$I$22))</f>
        <v/>
      </c>
    </row>
    <row r="13" customFormat="false" ht="15" hidden="false" customHeight="false" outlineLevel="0" collapsed="false">
      <c r="B13" s="20" t="str">
        <f aca="false">IF(COUNT($D$15:$D$22)=0,"Type a number next to any unit below (e.g. next to the unit you know).",IF(COUNT($D$15:$D$22)&gt;1,"⚠ More than one value entered – clear all but one yellow cell.","Showing everything equal to "&amp;INDEX($D$15:$D$22,MATCH(TRUE(),INDEX(ISNUMBER($D$15:$D$22),0),0))&amp;" "&amp;INDEX($B$15:$B$22,MATCH(TRUE(),INDEX(ISNUMBER($D$15:$D$22),0),0))))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243</v>
      </c>
      <c r="J14" s="5" t="s">
        <v>85</v>
      </c>
    </row>
    <row r="15" customFormat="false" ht="19.5" hidden="false" customHeight="true" outlineLevel="0" collapsed="false">
      <c r="B15" s="22" t="s">
        <v>241</v>
      </c>
      <c r="C15" s="23" t="s">
        <v>87</v>
      </c>
      <c r="D15" s="24"/>
      <c r="E15" s="25" t="s">
        <v>88</v>
      </c>
      <c r="F15" s="26" t="str">
        <f aca="false">IF($J$12="","",IF(($J$12/I15-J15)=0,0,ROUND($J$12/I15-J15,11-INT(LOG10(ABS($J$12/I15-J15))))))</f>
        <v/>
      </c>
      <c r="G15" s="27" t="str">
        <f aca="false">B15</f>
        <v>Newton (N)</v>
      </c>
      <c r="I15" s="28" t="n">
        <v>1</v>
      </c>
      <c r="J15" s="28" t="n">
        <v>0</v>
      </c>
    </row>
    <row r="16" customFormat="false" ht="19.5" hidden="false" customHeight="true" outlineLevel="0" collapsed="false">
      <c r="B16" s="22" t="s">
        <v>244</v>
      </c>
      <c r="C16" s="23" t="s">
        <v>87</v>
      </c>
      <c r="D16" s="24"/>
      <c r="E16" s="25" t="s">
        <v>88</v>
      </c>
      <c r="F16" s="26" t="str">
        <f aca="false">IF($J$12="","",IF(($J$12/I16-J16)=0,0,ROUND($J$12/I16-J16,11-INT(LOG10(ABS($J$12/I16-J16))))))</f>
        <v/>
      </c>
      <c r="G16" s="27" t="str">
        <f aca="false">B16</f>
        <v>Kilonewton (kN)</v>
      </c>
      <c r="I16" s="28" t="n">
        <v>1000</v>
      </c>
      <c r="J16" s="28" t="n">
        <v>0</v>
      </c>
    </row>
    <row r="17" customFormat="false" ht="19.5" hidden="false" customHeight="true" outlineLevel="0" collapsed="false">
      <c r="B17" s="22" t="s">
        <v>245</v>
      </c>
      <c r="C17" s="23" t="s">
        <v>87</v>
      </c>
      <c r="D17" s="24"/>
      <c r="E17" s="25" t="s">
        <v>88</v>
      </c>
      <c r="F17" s="26" t="str">
        <f aca="false">IF($J$12="","",IF(($J$12/I17-J17)=0,0,ROUND($J$12/I17-J17,11-INT(LOG10(ABS($J$12/I17-J17))))))</f>
        <v/>
      </c>
      <c r="G17" s="27" t="str">
        <f aca="false">B17</f>
        <v>Dyne (dyn)</v>
      </c>
      <c r="I17" s="28" t="n">
        <v>1E-005</v>
      </c>
      <c r="J17" s="28" t="n">
        <v>0</v>
      </c>
    </row>
    <row r="18" customFormat="false" ht="19.5" hidden="false" customHeight="true" outlineLevel="0" collapsed="false">
      <c r="B18" s="22" t="s">
        <v>242</v>
      </c>
      <c r="C18" s="23" t="s">
        <v>94</v>
      </c>
      <c r="D18" s="24"/>
      <c r="E18" s="25" t="s">
        <v>88</v>
      </c>
      <c r="F18" s="26" t="str">
        <f aca="false">IF($J$12="","",IF(($J$12/I18-J18)=0,0,ROUND($J$12/I18-J18,11-INT(LOG10(ABS($J$12/I18-J18))))))</f>
        <v/>
      </c>
      <c r="G18" s="27" t="str">
        <f aca="false">B18</f>
        <v>Pound-force (lbf)</v>
      </c>
      <c r="I18" s="28" t="n">
        <v>4.4482216152605</v>
      </c>
      <c r="J18" s="28" t="n">
        <v>0</v>
      </c>
    </row>
    <row r="19" customFormat="false" ht="19.5" hidden="false" customHeight="true" outlineLevel="0" collapsed="false">
      <c r="B19" s="22" t="s">
        <v>246</v>
      </c>
      <c r="C19" s="23" t="s">
        <v>94</v>
      </c>
      <c r="D19" s="24"/>
      <c r="E19" s="25" t="s">
        <v>88</v>
      </c>
      <c r="F19" s="26" t="str">
        <f aca="false">IF($J$12="","",IF(($J$12/I19-J19)=0,0,ROUND($J$12/I19-J19,11-INT(LOG10(ABS($J$12/I19-J19))))))</f>
        <v/>
      </c>
      <c r="G19" s="27" t="str">
        <f aca="false">B19</f>
        <v>Kip (kip)</v>
      </c>
      <c r="I19" s="28" t="n">
        <v>4448.2216152605</v>
      </c>
      <c r="J19" s="28" t="n">
        <v>0</v>
      </c>
    </row>
    <row r="20" customFormat="false" ht="19.5" hidden="false" customHeight="true" outlineLevel="0" collapsed="false">
      <c r="B20" s="22" t="s">
        <v>247</v>
      </c>
      <c r="C20" s="23" t="s">
        <v>94</v>
      </c>
      <c r="D20" s="24"/>
      <c r="E20" s="25" t="s">
        <v>88</v>
      </c>
      <c r="F20" s="26" t="str">
        <f aca="false">IF($J$12="","",IF(($J$12/I20-J20)=0,0,ROUND($J$12/I20-J20,11-INT(LOG10(ABS($J$12/I20-J20))))))</f>
        <v/>
      </c>
      <c r="G20" s="27" t="str">
        <f aca="false">B20</f>
        <v>Poundal (pdl)</v>
      </c>
      <c r="I20" s="28" t="n">
        <v>0.138254954376</v>
      </c>
      <c r="J20" s="28" t="n">
        <v>0</v>
      </c>
    </row>
    <row r="21" customFormat="false" ht="19.5" hidden="false" customHeight="true" outlineLevel="0" collapsed="false">
      <c r="B21" s="22" t="s">
        <v>248</v>
      </c>
      <c r="C21" s="23" t="s">
        <v>102</v>
      </c>
      <c r="D21" s="24"/>
      <c r="E21" s="25" t="s">
        <v>88</v>
      </c>
      <c r="F21" s="26" t="str">
        <f aca="false">IF($J$12="","",IF(($J$12/I21-J21)=0,0,ROUND($J$12/I21-J21,11-INT(LOG10(ABS($J$12/I21-J21))))))</f>
        <v/>
      </c>
      <c r="G21" s="27" t="str">
        <f aca="false">B21</f>
        <v>Kilogram-force (kgf)</v>
      </c>
      <c r="I21" s="28" t="n">
        <v>9.80665</v>
      </c>
      <c r="J21" s="28" t="n">
        <v>0</v>
      </c>
    </row>
    <row r="22" customFormat="false" ht="19.5" hidden="false" customHeight="true" outlineLevel="0" collapsed="false">
      <c r="B22" s="22" t="s">
        <v>249</v>
      </c>
      <c r="C22" s="23" t="s">
        <v>102</v>
      </c>
      <c r="D22" s="24"/>
      <c r="E22" s="25" t="s">
        <v>88</v>
      </c>
      <c r="F22" s="26" t="str">
        <f aca="false">IF($J$12="","",IF(($J$12/I22-J22)=0,0,ROUND($J$12/I22-J22,11-INT(LOG10(ABS($J$12/I22-J22))))))</f>
        <v/>
      </c>
      <c r="G22" s="27" t="str">
        <f aca="false">B22</f>
        <v>Tonne-force (tf)</v>
      </c>
      <c r="I22" s="28" t="n">
        <v>9806.65</v>
      </c>
      <c r="J22" s="28" t="n">
        <v>0</v>
      </c>
    </row>
    <row r="24" customFormat="false" ht="15" hidden="false" customHeight="false" outlineLevel="0" collapsed="false">
      <c r="B24" s="18" t="s">
        <v>106</v>
      </c>
    </row>
    <row r="25" customFormat="false" ht="15" hidden="false" customHeight="false" outlineLevel="0" collapsed="false">
      <c r="B25" s="18" t="s">
        <v>107</v>
      </c>
    </row>
    <row r="26" customFormat="false" ht="15" hidden="false" customHeight="false" outlineLevel="0" collapsed="false">
      <c r="B26" s="18" t="s">
        <v>108</v>
      </c>
    </row>
  </sheetData>
  <mergeCells count="6">
    <mergeCell ref="C5:C6"/>
    <mergeCell ref="D5:D6"/>
    <mergeCell ref="E5:E6"/>
    <mergeCell ref="F5:F6"/>
    <mergeCell ref="G5:G6"/>
    <mergeCell ref="B13:G13"/>
  </mergeCells>
  <conditionalFormatting sqref="B15:G22">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$B$15:$B$22</formula1>
      <formula2>0</formula2>
    </dataValidation>
    <dataValidation allowBlank="true" error="Please type a number." errorStyle="stop" errorTitle="Number only" operator="between" showDropDown="false" showErrorMessage="true" showInputMessage="false" sqref="C5 D15:D22" type="decimal">
      <formula1>-1E+307</formula1>
      <formula2>1E+307</formula2>
    </dataValidation>
  </dataValidations>
  <hyperlinks>
    <hyperlink ref="B2" r:id="rId1" location="Home!A1" display="SI base unit for this sheet: newton (N).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250</v>
      </c>
    </row>
    <row r="2" customFormat="false" ht="15" hidden="false" customHeight="false" outlineLevel="0" collapsed="false">
      <c r="B2" s="2" t="s">
        <v>251</v>
      </c>
    </row>
    <row r="4" customFormat="false" ht="15" hidden="false" customHeight="false" outlineLevel="0" collapsed="false">
      <c r="B4" s="10" t="s">
        <v>66</v>
      </c>
    </row>
    <row r="5" customFormat="false" ht="15" hidden="false" customHeight="true" outlineLevel="0" collapsed="false">
      <c r="B5" s="11" t="s">
        <v>67</v>
      </c>
      <c r="C5" s="12" t="n">
        <v>1</v>
      </c>
      <c r="D5" s="13" t="s">
        <v>252</v>
      </c>
      <c r="E5" s="14" t="s">
        <v>69</v>
      </c>
      <c r="F5" s="15" t="n">
        <f aca="false">IF(ISNUMBER(C5),IF((((C5+INDEX($J$15:$J$20,MATCH(D5,$B$15:$B$20,0)))*INDEX($I$15:$I$20,MATCH(D5,$B$15:$B$20,0)))/INDEX($I$15:$I$20,MATCH(G5,$B$15:$B$20,0))-INDEX($J$15:$J$20,MATCH(G5,$B$15:$B$20,0)))=0,0,ROUND(((C5+INDEX($J$15:$J$20,MATCH(D5,$B$15:$B$20,0)))*INDEX($I$15:$I$20,MATCH(D5,$B$15:$B$20,0)))/INDEX($I$15:$I$20,MATCH(G5,$B$15:$B$20,0))-INDEX($J$15:$J$20,MATCH(G5,$B$15:$B$20,0)),11-INT(LOG10(ABS(((C5+INDEX($J$15:$J$20,MATCH(D5,$B$15:$B$20,0)))*INDEX($I$15:$I$20,MATCH(D5,$B$15:$B$20,0)))/INDEX($I$15:$I$20,MATCH(G5,$B$15:$B$20,0))-INDEX($J$15:$J$20,MATCH(G5,$B$15:$B$20,0))))))),"")</f>
        <v>0.737562149277</v>
      </c>
      <c r="G5" s="13" t="s">
        <v>253</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Newton metre (N·m) = 0.737562149277 Pound-force foot (lbf·ft)</v>
      </c>
    </row>
    <row r="9" customFormat="false" ht="15" hidden="false" customHeight="false" outlineLevel="0" collapsed="false">
      <c r="B9" s="11" t="s">
        <v>76</v>
      </c>
      <c r="C9" s="17" t="str">
        <f aca="false">"1 "&amp;G5&amp;" = "&amp;TEXT(IF((((1+INDEX($J$15:$J$20,MATCH(G5,$B$15:$B$20,0)))*INDEX($I$15:$I$20,MATCH(G5,$B$15:$B$20,0)))/INDEX($I$15:$I$20,MATCH(D5,$B$15:$B$20,0))-INDEX($J$15:$J$20,MATCH(D5,$B$15:$B$20,0)))=0,0,ROUND(((1+INDEX($J$15:$J$20,MATCH(G5,$B$15:$B$20,0)))*INDEX($I$15:$I$20,MATCH(G5,$B$15:$B$20,0)))/INDEX($I$15:$I$20,MATCH(D5,$B$15:$B$20,0))-INDEX($J$15:$J$20,MATCH(D5,$B$15:$B$20,0)),11-INT(LOG10(ABS(((1+INDEX($J$15:$J$20,MATCH(G5,$B$15:$B$20,0)))*INDEX($I$15:$I$20,MATCH(G5,$B$15:$B$20,0)))/INDEX($I$15:$I$20,MATCH(D5,$B$15:$B$20,0))-INDEX($J$15:$J$20,MATCH(D5,$B$15:$B$20,0))))))),"General")&amp;" "&amp;D5</f>
        <v>1 Pound-force foot (lbf·ft) = 1.35581794833 Newton metre (N·m)</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IF(COUNT($D$15:$D$20)&lt;&gt;1,"",SUMPRODUCT(--ISNUMBER($D$15:$D$20),($D$15:$D$20+$J$15:$J$20)*$I$15:$I$20))</f>
        <v/>
      </c>
    </row>
    <row r="13" customFormat="false" ht="15" hidden="false" customHeight="false" outlineLevel="0" collapsed="false">
      <c r="B13" s="20" t="str">
        <f aca="false">IF(COUNT($D$15:$D$20)=0,"Type a number next to any unit below (e.g. next to the unit you know).",IF(COUNT($D$15:$D$20)&gt;1,"⚠ More than one value entered – clear all but one yellow cell.","Showing everything equal to "&amp;INDEX($D$15:$D$20,MATCH(TRUE(),INDEX(ISNUMBER($D$15:$D$20),0),0))&amp;" "&amp;INDEX($B$15:$B$20,MATCH(TRUE(),INDEX(ISNUMBER($D$15:$D$20),0),0))))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254</v>
      </c>
      <c r="J14" s="5" t="s">
        <v>85</v>
      </c>
    </row>
    <row r="15" customFormat="false" ht="19.5" hidden="false" customHeight="true" outlineLevel="0" collapsed="false">
      <c r="B15" s="22" t="s">
        <v>252</v>
      </c>
      <c r="C15" s="23" t="s">
        <v>87</v>
      </c>
      <c r="D15" s="24"/>
      <c r="E15" s="25" t="s">
        <v>88</v>
      </c>
      <c r="F15" s="26" t="str">
        <f aca="false">IF($J$12="","",IF(($J$12/I15-J15)=0,0,ROUND($J$12/I15-J15,11-INT(LOG10(ABS($J$12/I15-J15))))))</f>
        <v/>
      </c>
      <c r="G15" s="27" t="str">
        <f aca="false">B15</f>
        <v>Newton metre (N·m)</v>
      </c>
      <c r="I15" s="28" t="n">
        <v>1</v>
      </c>
      <c r="J15" s="28" t="n">
        <v>0</v>
      </c>
    </row>
    <row r="16" customFormat="false" ht="19.5" hidden="false" customHeight="true" outlineLevel="0" collapsed="false">
      <c r="B16" s="22" t="s">
        <v>255</v>
      </c>
      <c r="C16" s="23" t="s">
        <v>87</v>
      </c>
      <c r="D16" s="24"/>
      <c r="E16" s="25" t="s">
        <v>88</v>
      </c>
      <c r="F16" s="26" t="str">
        <f aca="false">IF($J$12="","",IF(($J$12/I16-J16)=0,0,ROUND($J$12/I16-J16,11-INT(LOG10(ABS($J$12/I16-J16))))))</f>
        <v/>
      </c>
      <c r="G16" s="27" t="str">
        <f aca="false">B16</f>
        <v>Kilonewton metre (kN·m)</v>
      </c>
      <c r="I16" s="28" t="n">
        <v>1000</v>
      </c>
      <c r="J16" s="28" t="n">
        <v>0</v>
      </c>
    </row>
    <row r="17" customFormat="false" ht="19.5" hidden="false" customHeight="true" outlineLevel="0" collapsed="false">
      <c r="B17" s="22" t="s">
        <v>253</v>
      </c>
      <c r="C17" s="23" t="s">
        <v>94</v>
      </c>
      <c r="D17" s="24"/>
      <c r="E17" s="25" t="s">
        <v>88</v>
      </c>
      <c r="F17" s="26" t="str">
        <f aca="false">IF($J$12="","",IF(($J$12/I17-J17)=0,0,ROUND($J$12/I17-J17,11-INT(LOG10(ABS($J$12/I17-J17))))))</f>
        <v/>
      </c>
      <c r="G17" s="27" t="str">
        <f aca="false">B17</f>
        <v>Pound-force foot (lbf·ft)</v>
      </c>
      <c r="I17" s="28" t="n">
        <v>1.3558179483314</v>
      </c>
      <c r="J17" s="28" t="n">
        <v>0</v>
      </c>
    </row>
    <row r="18" customFormat="false" ht="19.5" hidden="false" customHeight="true" outlineLevel="0" collapsed="false">
      <c r="B18" s="22" t="s">
        <v>256</v>
      </c>
      <c r="C18" s="23" t="s">
        <v>94</v>
      </c>
      <c r="D18" s="24"/>
      <c r="E18" s="25" t="s">
        <v>88</v>
      </c>
      <c r="F18" s="26" t="str">
        <f aca="false">IF($J$12="","",IF(($J$12/I18-J18)=0,0,ROUND($J$12/I18-J18,11-INT(LOG10(ABS($J$12/I18-J18))))))</f>
        <v/>
      </c>
      <c r="G18" s="27" t="str">
        <f aca="false">B18</f>
        <v>Pound-force inch (lbf·in)</v>
      </c>
      <c r="I18" s="28" t="n">
        <v>0.112984829027617</v>
      </c>
      <c r="J18" s="28" t="n">
        <v>0</v>
      </c>
    </row>
    <row r="19" customFormat="false" ht="19.5" hidden="false" customHeight="true" outlineLevel="0" collapsed="false">
      <c r="B19" s="22" t="s">
        <v>257</v>
      </c>
      <c r="C19" s="23" t="s">
        <v>94</v>
      </c>
      <c r="D19" s="24"/>
      <c r="E19" s="25" t="s">
        <v>88</v>
      </c>
      <c r="F19" s="26" t="str">
        <f aca="false">IF($J$12="","",IF(($J$12/I19-J19)=0,0,ROUND($J$12/I19-J19,11-INT(LOG10(ABS($J$12/I19-J19))))))</f>
        <v/>
      </c>
      <c r="G19" s="27" t="str">
        <f aca="false">B19</f>
        <v>Ounce-force inch (ozf·in)</v>
      </c>
      <c r="I19" s="28" t="n">
        <v>0.00706155181422604</v>
      </c>
      <c r="J19" s="28" t="n">
        <v>0</v>
      </c>
    </row>
    <row r="20" customFormat="false" ht="19.5" hidden="false" customHeight="true" outlineLevel="0" collapsed="false">
      <c r="B20" s="22" t="s">
        <v>258</v>
      </c>
      <c r="C20" s="23" t="s">
        <v>102</v>
      </c>
      <c r="D20" s="24"/>
      <c r="E20" s="25" t="s">
        <v>88</v>
      </c>
      <c r="F20" s="26" t="str">
        <f aca="false">IF($J$12="","",IF(($J$12/I20-J20)=0,0,ROUND($J$12/I20-J20,11-INT(LOG10(ABS($J$12/I20-J20))))))</f>
        <v/>
      </c>
      <c r="G20" s="27" t="str">
        <f aca="false">B20</f>
        <v>Kilogram-force metre (kgf·m)</v>
      </c>
      <c r="I20" s="28" t="n">
        <v>9.80665</v>
      </c>
      <c r="J20" s="28" t="n">
        <v>0</v>
      </c>
    </row>
    <row r="22" customFormat="false" ht="15" hidden="false" customHeight="false" outlineLevel="0" collapsed="false">
      <c r="B22" s="18" t="s">
        <v>106</v>
      </c>
    </row>
    <row r="23" customFormat="false" ht="15" hidden="false" customHeight="false" outlineLevel="0" collapsed="false">
      <c r="B23" s="18" t="s">
        <v>107</v>
      </c>
    </row>
    <row r="24" customFormat="false" ht="15" hidden="false" customHeight="false" outlineLevel="0" collapsed="false">
      <c r="B24" s="18" t="s">
        <v>108</v>
      </c>
    </row>
  </sheetData>
  <mergeCells count="6">
    <mergeCell ref="C5:C6"/>
    <mergeCell ref="D5:D6"/>
    <mergeCell ref="E5:E6"/>
    <mergeCell ref="F5:F6"/>
    <mergeCell ref="G5:G6"/>
    <mergeCell ref="B13:G13"/>
  </mergeCells>
  <conditionalFormatting sqref="B15:G20">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$B$15:$B$20</formula1>
      <formula2>0</formula2>
    </dataValidation>
    <dataValidation allowBlank="true" error="Please type a number." errorStyle="stop" errorTitle="Number only" operator="between" showDropDown="false" showErrorMessage="true" showInputMessage="false" sqref="C5 D15:D20" type="decimal">
      <formula1>-1E+307</formula1>
      <formula2>1E+307</formula2>
    </dataValidation>
  </dataValidations>
  <hyperlinks>
    <hyperlink ref="B2" r:id="rId1" location="Home!A1" display="SI base unit for this sheet: newton metre (N·m).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259</v>
      </c>
    </row>
    <row r="2" customFormat="false" ht="15" hidden="false" customHeight="false" outlineLevel="0" collapsed="false">
      <c r="B2" s="2" t="s">
        <v>260</v>
      </c>
    </row>
    <row r="4" customFormat="false" ht="15" hidden="false" customHeight="false" outlineLevel="0" collapsed="false">
      <c r="B4" s="10" t="s">
        <v>66</v>
      </c>
    </row>
    <row r="5" customFormat="false" ht="15" hidden="false" customHeight="true" outlineLevel="0" collapsed="false">
      <c r="B5" s="11" t="s">
        <v>67</v>
      </c>
      <c r="C5" s="12" t="n">
        <v>1</v>
      </c>
      <c r="D5" s="13" t="s">
        <v>261</v>
      </c>
      <c r="E5" s="14" t="s">
        <v>69</v>
      </c>
      <c r="F5" s="15" t="n">
        <f aca="false">IF(ISNUMBER(C5),IF((((C5+INDEX($J$15:$J$22,MATCH(D5,$B$15:$B$22,0)))*INDEX($I$15:$I$22,MATCH(D5,$B$15:$B$22,0)))/INDEX($I$15:$I$22,MATCH(G5,$B$15:$B$22,0))-INDEX($J$15:$J$22,MATCH(G5,$B$15:$B$22,0)))=0,0,ROUND(((C5+INDEX($J$15:$J$22,MATCH(D5,$B$15:$B$22,0)))*INDEX($I$15:$I$22,MATCH(D5,$B$15:$B$22,0)))/INDEX($I$15:$I$22,MATCH(G5,$B$15:$B$22,0))-INDEX($J$15:$J$22,MATCH(G5,$B$15:$B$22,0)),11-INT(LOG10(ABS(((C5+INDEX($J$15:$J$22,MATCH(D5,$B$15:$B$22,0)))*INDEX($I$15:$I$22,MATCH(D5,$B$15:$B$22,0)))/INDEX($I$15:$I$22,MATCH(G5,$B$15:$B$22,0))-INDEX($J$15:$J$22,MATCH(G5,$B$15:$B$22,0))))))),"")</f>
        <v>0.0624279605761</v>
      </c>
      <c r="G5" s="13" t="s">
        <v>262</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Kilogram per cubic metre (kg/m³) = 0.0624279605761 Pound per cubic foot (lb/ft³)</v>
      </c>
    </row>
    <row r="9" customFormat="false" ht="15" hidden="false" customHeight="false" outlineLevel="0" collapsed="false">
      <c r="B9" s="11" t="s">
        <v>76</v>
      </c>
      <c r="C9" s="17" t="str">
        <f aca="false">"1 "&amp;G5&amp;" = "&amp;TEXT(IF((((1+INDEX($J$15:$J$22,MATCH(G5,$B$15:$B$22,0)))*INDEX($I$15:$I$22,MATCH(G5,$B$15:$B$22,0)))/INDEX($I$15:$I$22,MATCH(D5,$B$15:$B$22,0))-INDEX($J$15:$J$22,MATCH(D5,$B$15:$B$22,0)))=0,0,ROUND(((1+INDEX($J$15:$J$22,MATCH(G5,$B$15:$B$22,0)))*INDEX($I$15:$I$22,MATCH(G5,$B$15:$B$22,0)))/INDEX($I$15:$I$22,MATCH(D5,$B$15:$B$22,0))-INDEX($J$15:$J$22,MATCH(D5,$B$15:$B$22,0)),11-INT(LOG10(ABS(((1+INDEX($J$15:$J$22,MATCH(G5,$B$15:$B$22,0)))*INDEX($I$15:$I$22,MATCH(G5,$B$15:$B$22,0)))/INDEX($I$15:$I$22,MATCH(D5,$B$15:$B$22,0))-INDEX($J$15:$J$22,MATCH(D5,$B$15:$B$22,0))))))),"General")&amp;" "&amp;D5</f>
        <v>1 Pound per cubic foot (lb/ft³) = 16.018463374 Kilogram per cubic metre (kg/m³)</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IF(COUNT($D$15:$D$22)&lt;&gt;1,"",SUMPRODUCT(--ISNUMBER($D$15:$D$22),($D$15:$D$22+$J$15:$J$22)*$I$15:$I$22))</f>
        <v/>
      </c>
    </row>
    <row r="13" customFormat="false" ht="15" hidden="false" customHeight="false" outlineLevel="0" collapsed="false">
      <c r="B13" s="20" t="str">
        <f aca="false">IF(COUNT($D$15:$D$22)=0,"Type a number next to any unit below (e.g. next to the unit you know).",IF(COUNT($D$15:$D$22)&gt;1,"⚠ More than one value entered – clear all but one yellow cell.","Showing everything equal to "&amp;INDEX($D$15:$D$22,MATCH(TRUE(),INDEX(ISNUMBER($D$15:$D$22),0),0))&amp;" "&amp;INDEX($B$15:$B$22,MATCH(TRUE(),INDEX(ISNUMBER($D$15:$D$22),0),0))))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263</v>
      </c>
      <c r="J14" s="5" t="s">
        <v>85</v>
      </c>
    </row>
    <row r="15" customFormat="false" ht="19.5" hidden="false" customHeight="true" outlineLevel="0" collapsed="false">
      <c r="B15" s="22" t="s">
        <v>261</v>
      </c>
      <c r="C15" s="23" t="s">
        <v>87</v>
      </c>
      <c r="D15" s="24"/>
      <c r="E15" s="25" t="s">
        <v>88</v>
      </c>
      <c r="F15" s="26" t="str">
        <f aca="false">IF($J$12="","",IF(($J$12/I15-J15)=0,0,ROUND($J$12/I15-J15,11-INT(LOG10(ABS($J$12/I15-J15))))))</f>
        <v/>
      </c>
      <c r="G15" s="27" t="str">
        <f aca="false">B15</f>
        <v>Kilogram per cubic metre (kg/m³)</v>
      </c>
      <c r="I15" s="28" t="n">
        <v>1</v>
      </c>
      <c r="J15" s="28" t="n">
        <v>0</v>
      </c>
    </row>
    <row r="16" customFormat="false" ht="19.5" hidden="false" customHeight="true" outlineLevel="0" collapsed="false">
      <c r="B16" s="22" t="s">
        <v>264</v>
      </c>
      <c r="C16" s="23" t="s">
        <v>87</v>
      </c>
      <c r="D16" s="24"/>
      <c r="E16" s="25" t="s">
        <v>88</v>
      </c>
      <c r="F16" s="26" t="str">
        <f aca="false">IF($J$12="","",IF(($J$12/I16-J16)=0,0,ROUND($J$12/I16-J16,11-INT(LOG10(ABS($J$12/I16-J16))))))</f>
        <v/>
      </c>
      <c r="G16" s="27" t="str">
        <f aca="false">B16</f>
        <v>Gram per cubic centimetre (g/cm³)</v>
      </c>
      <c r="I16" s="28" t="n">
        <v>1000</v>
      </c>
      <c r="J16" s="28" t="n">
        <v>0</v>
      </c>
    </row>
    <row r="17" customFormat="false" ht="19.5" hidden="false" customHeight="true" outlineLevel="0" collapsed="false">
      <c r="B17" s="22" t="s">
        <v>265</v>
      </c>
      <c r="C17" s="23" t="s">
        <v>87</v>
      </c>
      <c r="D17" s="24"/>
      <c r="E17" s="25" t="s">
        <v>88</v>
      </c>
      <c r="F17" s="26" t="str">
        <f aca="false">IF($J$12="","",IF(($J$12/I17-J17)=0,0,ROUND($J$12/I17-J17,11-INT(LOG10(ABS($J$12/I17-J17))))))</f>
        <v/>
      </c>
      <c r="G17" s="27" t="str">
        <f aca="false">B17</f>
        <v>Kilogram per litre (kg/L)</v>
      </c>
      <c r="I17" s="28" t="n">
        <v>1000</v>
      </c>
      <c r="J17" s="28" t="n">
        <v>0</v>
      </c>
    </row>
    <row r="18" customFormat="false" ht="19.5" hidden="false" customHeight="true" outlineLevel="0" collapsed="false">
      <c r="B18" s="22" t="s">
        <v>266</v>
      </c>
      <c r="C18" s="23" t="s">
        <v>87</v>
      </c>
      <c r="D18" s="24"/>
      <c r="E18" s="25" t="s">
        <v>88</v>
      </c>
      <c r="F18" s="26" t="str">
        <f aca="false">IF($J$12="","",IF(($J$12/I18-J18)=0,0,ROUND($J$12/I18-J18,11-INT(LOG10(ABS($J$12/I18-J18))))))</f>
        <v/>
      </c>
      <c r="G18" s="27" t="str">
        <f aca="false">B18</f>
        <v>Gram per litre (g/L)</v>
      </c>
      <c r="I18" s="28" t="n">
        <v>1</v>
      </c>
      <c r="J18" s="28" t="n">
        <v>0</v>
      </c>
    </row>
    <row r="19" customFormat="false" ht="19.5" hidden="false" customHeight="true" outlineLevel="0" collapsed="false">
      <c r="B19" s="22" t="s">
        <v>262</v>
      </c>
      <c r="C19" s="23" t="s">
        <v>94</v>
      </c>
      <c r="D19" s="24"/>
      <c r="E19" s="25" t="s">
        <v>88</v>
      </c>
      <c r="F19" s="26" t="str">
        <f aca="false">IF($J$12="","",IF(($J$12/I19-J19)=0,0,ROUND($J$12/I19-J19,11-INT(LOG10(ABS($J$12/I19-J19))))))</f>
        <v/>
      </c>
      <c r="G19" s="27" t="str">
        <f aca="false">B19</f>
        <v>Pound per cubic foot (lb/ft³)</v>
      </c>
      <c r="I19" s="28" t="n">
        <v>16.0184633739601</v>
      </c>
      <c r="J19" s="28" t="n">
        <v>0</v>
      </c>
    </row>
    <row r="20" customFormat="false" ht="19.5" hidden="false" customHeight="true" outlineLevel="0" collapsed="false">
      <c r="B20" s="22" t="s">
        <v>267</v>
      </c>
      <c r="C20" s="23" t="s">
        <v>94</v>
      </c>
      <c r="D20" s="24"/>
      <c r="E20" s="25" t="s">
        <v>88</v>
      </c>
      <c r="F20" s="26" t="str">
        <f aca="false">IF($J$12="","",IF(($J$12/I20-J20)=0,0,ROUND($J$12/I20-J20,11-INT(LOG10(ABS($J$12/I20-J20))))))</f>
        <v/>
      </c>
      <c r="G20" s="27" t="str">
        <f aca="false">B20</f>
        <v>Pound per cubic inch (lb/in³)</v>
      </c>
      <c r="I20" s="28" t="n">
        <v>27679.9047102031</v>
      </c>
      <c r="J20" s="28" t="n">
        <v>0</v>
      </c>
    </row>
    <row r="21" customFormat="false" ht="19.5" hidden="false" customHeight="true" outlineLevel="0" collapsed="false">
      <c r="B21" s="22" t="s">
        <v>268</v>
      </c>
      <c r="C21" s="23" t="s">
        <v>94</v>
      </c>
      <c r="D21" s="24"/>
      <c r="E21" s="25" t="s">
        <v>88</v>
      </c>
      <c r="F21" s="26" t="str">
        <f aca="false">IF($J$12="","",IF(($J$12/I21-J21)=0,0,ROUND($J$12/I21-J21,11-INT(LOG10(ABS($J$12/I21-J21))))))</f>
        <v/>
      </c>
      <c r="G21" s="27" t="str">
        <f aca="false">B21</f>
        <v>Pound per US gallon (lb/gal)</v>
      </c>
      <c r="I21" s="28" t="n">
        <v>119.826427316897</v>
      </c>
      <c r="J21" s="28" t="n">
        <v>0</v>
      </c>
    </row>
    <row r="22" customFormat="false" ht="19.5" hidden="false" customHeight="true" outlineLevel="0" collapsed="false">
      <c r="B22" s="22" t="s">
        <v>269</v>
      </c>
      <c r="C22" s="23" t="s">
        <v>94</v>
      </c>
      <c r="D22" s="24"/>
      <c r="E22" s="25" t="s">
        <v>88</v>
      </c>
      <c r="F22" s="26" t="str">
        <f aca="false">IF($J$12="","",IF(($J$12/I22-J22)=0,0,ROUND($J$12/I22-J22,11-INT(LOG10(ABS($J$12/I22-J22))))))</f>
        <v/>
      </c>
      <c r="G22" s="27" t="str">
        <f aca="false">B22</f>
        <v>Ounce per cubic inch (oz/in³)</v>
      </c>
      <c r="I22" s="28" t="n">
        <v>1729.9940443877</v>
      </c>
      <c r="J22" s="28" t="n">
        <v>0</v>
      </c>
    </row>
    <row r="24" customFormat="false" ht="15" hidden="false" customHeight="false" outlineLevel="0" collapsed="false">
      <c r="B24" s="18" t="s">
        <v>106</v>
      </c>
    </row>
    <row r="25" customFormat="false" ht="15" hidden="false" customHeight="false" outlineLevel="0" collapsed="false">
      <c r="B25" s="18" t="s">
        <v>107</v>
      </c>
    </row>
    <row r="26" customFormat="false" ht="15" hidden="false" customHeight="false" outlineLevel="0" collapsed="false">
      <c r="B26" s="18" t="s">
        <v>108</v>
      </c>
    </row>
  </sheetData>
  <mergeCells count="6">
    <mergeCell ref="C5:C6"/>
    <mergeCell ref="D5:D6"/>
    <mergeCell ref="E5:E6"/>
    <mergeCell ref="F5:F6"/>
    <mergeCell ref="G5:G6"/>
    <mergeCell ref="B13:G13"/>
  </mergeCells>
  <conditionalFormatting sqref="B15:G22">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$B$15:$B$22</formula1>
      <formula2>0</formula2>
    </dataValidation>
    <dataValidation allowBlank="true" error="Please type a number." errorStyle="stop" errorTitle="Number only" operator="between" showDropDown="false" showErrorMessage="true" showInputMessage="false" sqref="C5 D15:D22" type="decimal">
      <formula1>-1E+307</formula1>
      <formula2>1E+307</formula2>
    </dataValidation>
  </dataValidations>
  <hyperlinks>
    <hyperlink ref="B2" r:id="rId1" location="Home!A1" display="SI base unit for this sheet: kilogram per cubic metre (kg/m³).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270</v>
      </c>
    </row>
    <row r="2" customFormat="false" ht="15" hidden="false" customHeight="false" outlineLevel="0" collapsed="false">
      <c r="B2" s="2" t="s">
        <v>271</v>
      </c>
    </row>
    <row r="4" customFormat="false" ht="15" hidden="false" customHeight="false" outlineLevel="0" collapsed="false">
      <c r="B4" s="10" t="s">
        <v>66</v>
      </c>
    </row>
    <row r="5" customFormat="false" ht="15" hidden="false" customHeight="true" outlineLevel="0" collapsed="false">
      <c r="B5" s="11" t="s">
        <v>67</v>
      </c>
      <c r="C5" s="12" t="n">
        <v>1</v>
      </c>
      <c r="D5" s="13" t="s">
        <v>272</v>
      </c>
      <c r="E5" s="14" t="s">
        <v>69</v>
      </c>
      <c r="F5" s="15" t="n">
        <f aca="false">IF(ISNUMBER(C5),IF((((C5+INDEX($J$15:$J$23,MATCH(D5,$B$15:$B$23,0)))*INDEX($I$15:$I$23,MATCH(D5,$B$15:$B$23,0)))/INDEX($I$15:$I$23,MATCH(G5,$B$15:$B$23,0))-INDEX($J$15:$J$23,MATCH(G5,$B$15:$B$23,0)))=0,0,ROUND(((C5+INDEX($J$15:$J$23,MATCH(D5,$B$15:$B$23,0)))*INDEX($I$15:$I$23,MATCH(D5,$B$15:$B$23,0)))/INDEX($I$15:$I$23,MATCH(G5,$B$15:$B$23,0))-INDEX($J$15:$J$23,MATCH(G5,$B$15:$B$23,0)),11-INT(LOG10(ABS(((C5+INDEX($J$15:$J$23,MATCH(D5,$B$15:$B$23,0)))*INDEX($I$15:$I$23,MATCH(D5,$B$15:$B$23,0)))/INDEX($I$15:$I$23,MATCH(G5,$B$15:$B$23,0))-INDEX($J$15:$J$23,MATCH(G5,$B$15:$B$23,0))))))),"")</f>
        <v>0.264172052358</v>
      </c>
      <c r="G5" s="13" t="s">
        <v>273</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Litre per minute (L/min) = 0.264172052358 US gallon per minute (gpm)</v>
      </c>
    </row>
    <row r="9" customFormat="false" ht="15" hidden="false" customHeight="false" outlineLevel="0" collapsed="false">
      <c r="B9" s="11" t="s">
        <v>76</v>
      </c>
      <c r="C9" s="17" t="str">
        <f aca="false">"1 "&amp;G5&amp;" = "&amp;TEXT(IF((((1+INDEX($J$15:$J$23,MATCH(G5,$B$15:$B$23,0)))*INDEX($I$15:$I$23,MATCH(G5,$B$15:$B$23,0)))/INDEX($I$15:$I$23,MATCH(D5,$B$15:$B$23,0))-INDEX($J$15:$J$23,MATCH(D5,$B$15:$B$23,0)))=0,0,ROUND(((1+INDEX($J$15:$J$23,MATCH(G5,$B$15:$B$23,0)))*INDEX($I$15:$I$23,MATCH(G5,$B$15:$B$23,0)))/INDEX($I$15:$I$23,MATCH(D5,$B$15:$B$23,0))-INDEX($J$15:$J$23,MATCH(D5,$B$15:$B$23,0)),11-INT(LOG10(ABS(((1+INDEX($J$15:$J$23,MATCH(G5,$B$15:$B$23,0)))*INDEX($I$15:$I$23,MATCH(G5,$B$15:$B$23,0)))/INDEX($I$15:$I$23,MATCH(D5,$B$15:$B$23,0))-INDEX($J$15:$J$23,MATCH(D5,$B$15:$B$23,0))))))),"General")&amp;" "&amp;D5</f>
        <v>1 US gallon per minute (gpm) = 3.785411784 Litre per minute (L/min)</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IF(COUNT($D$15:$D$23)&lt;&gt;1,"",SUMPRODUCT(--ISNUMBER($D$15:$D$23),($D$15:$D$23+$J$15:$J$23)*$I$15:$I$23))</f>
        <v/>
      </c>
    </row>
    <row r="13" customFormat="false" ht="15" hidden="false" customHeight="false" outlineLevel="0" collapsed="false">
      <c r="B13" s="20" t="str">
        <f aca="false">IF(COUNT($D$15:$D$23)=0,"Type a number next to any unit below (e.g. next to the unit you know).",IF(COUNT($D$15:$D$23)&gt;1,"⚠ More than one value entered – clear all but one yellow cell.","Showing everything equal to "&amp;INDEX($D$15:$D$23,MATCH(TRUE(),INDEX(ISNUMBER($D$15:$D$23),0),0))&amp;" "&amp;INDEX($B$15:$B$23,MATCH(TRUE(),INDEX(ISNUMBER($D$15:$D$23),0),0))))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274</v>
      </c>
      <c r="J14" s="5" t="s">
        <v>85</v>
      </c>
    </row>
    <row r="15" customFormat="false" ht="19.5" hidden="false" customHeight="true" outlineLevel="0" collapsed="false">
      <c r="B15" s="22" t="s">
        <v>275</v>
      </c>
      <c r="C15" s="23" t="s">
        <v>87</v>
      </c>
      <c r="D15" s="24"/>
      <c r="E15" s="25" t="s">
        <v>88</v>
      </c>
      <c r="F15" s="26" t="str">
        <f aca="false">IF($J$12="","",IF(($J$12/I15-J15)=0,0,ROUND($J$12/I15-J15,11-INT(LOG10(ABS($J$12/I15-J15))))))</f>
        <v/>
      </c>
      <c r="G15" s="27" t="str">
        <f aca="false">B15</f>
        <v>Cubic metre per second (m³/s)</v>
      </c>
      <c r="I15" s="28" t="n">
        <v>1</v>
      </c>
      <c r="J15" s="28" t="n">
        <v>0</v>
      </c>
    </row>
    <row r="16" customFormat="false" ht="19.5" hidden="false" customHeight="true" outlineLevel="0" collapsed="false">
      <c r="B16" s="22" t="s">
        <v>276</v>
      </c>
      <c r="C16" s="23" t="s">
        <v>87</v>
      </c>
      <c r="D16" s="24"/>
      <c r="E16" s="25" t="s">
        <v>88</v>
      </c>
      <c r="F16" s="26" t="str">
        <f aca="false">IF($J$12="","",IF(($J$12/I16-J16)=0,0,ROUND($J$12/I16-J16,11-INT(LOG10(ABS($J$12/I16-J16))))))</f>
        <v/>
      </c>
      <c r="G16" s="27" t="str">
        <f aca="false">B16</f>
        <v>Cubic metre per hour (m³/h)</v>
      </c>
      <c r="I16" s="28" t="n">
        <f aca="false">1/3600</f>
        <v>0.000277777777777778</v>
      </c>
      <c r="J16" s="28" t="n">
        <v>0</v>
      </c>
    </row>
    <row r="17" customFormat="false" ht="19.5" hidden="false" customHeight="true" outlineLevel="0" collapsed="false">
      <c r="B17" s="22" t="s">
        <v>277</v>
      </c>
      <c r="C17" s="23" t="s">
        <v>87</v>
      </c>
      <c r="D17" s="24"/>
      <c r="E17" s="25" t="s">
        <v>88</v>
      </c>
      <c r="F17" s="26" t="str">
        <f aca="false">IF($J$12="","",IF(($J$12/I17-J17)=0,0,ROUND($J$12/I17-J17,11-INT(LOG10(ABS($J$12/I17-J17))))))</f>
        <v/>
      </c>
      <c r="G17" s="27" t="str">
        <f aca="false">B17</f>
        <v>Litre per second (L/s)</v>
      </c>
      <c r="I17" s="28" t="n">
        <v>0.001</v>
      </c>
      <c r="J17" s="28" t="n">
        <v>0</v>
      </c>
    </row>
    <row r="18" customFormat="false" ht="19.5" hidden="false" customHeight="true" outlineLevel="0" collapsed="false">
      <c r="B18" s="22" t="s">
        <v>272</v>
      </c>
      <c r="C18" s="23" t="s">
        <v>87</v>
      </c>
      <c r="D18" s="24"/>
      <c r="E18" s="25" t="s">
        <v>88</v>
      </c>
      <c r="F18" s="26" t="str">
        <f aca="false">IF($J$12="","",IF(($J$12/I18-J18)=0,0,ROUND($J$12/I18-J18,11-INT(LOG10(ABS($J$12/I18-J18))))))</f>
        <v/>
      </c>
      <c r="G18" s="27" t="str">
        <f aca="false">B18</f>
        <v>Litre per minute (L/min)</v>
      </c>
      <c r="I18" s="28" t="n">
        <f aca="false">0.001/60</f>
        <v>1.66666666666667E-005</v>
      </c>
      <c r="J18" s="28" t="n">
        <v>0</v>
      </c>
    </row>
    <row r="19" customFormat="false" ht="19.5" hidden="false" customHeight="true" outlineLevel="0" collapsed="false">
      <c r="B19" s="22" t="s">
        <v>273</v>
      </c>
      <c r="C19" s="23" t="s">
        <v>131</v>
      </c>
      <c r="D19" s="24"/>
      <c r="E19" s="25" t="s">
        <v>88</v>
      </c>
      <c r="F19" s="26" t="str">
        <f aca="false">IF($J$12="","",IF(($J$12/I19-J19)=0,0,ROUND($J$12/I19-J19,11-INT(LOG10(ABS($J$12/I19-J19))))))</f>
        <v/>
      </c>
      <c r="G19" s="27" t="str">
        <f aca="false">B19</f>
        <v>US gallon per minute (gpm)</v>
      </c>
      <c r="I19" s="28" t="n">
        <f aca="false">0.003785411784/60</f>
        <v>6.30901964E-005</v>
      </c>
      <c r="J19" s="28" t="n">
        <v>0</v>
      </c>
    </row>
    <row r="20" customFormat="false" ht="19.5" hidden="false" customHeight="true" outlineLevel="0" collapsed="false">
      <c r="B20" s="22" t="s">
        <v>278</v>
      </c>
      <c r="C20" s="23" t="s">
        <v>139</v>
      </c>
      <c r="D20" s="24"/>
      <c r="E20" s="25" t="s">
        <v>88</v>
      </c>
      <c r="F20" s="26" t="str">
        <f aca="false">IF($J$12="","",IF(($J$12/I20-J20)=0,0,ROUND($J$12/I20-J20,11-INT(LOG10(ABS($J$12/I20-J20))))))</f>
        <v/>
      </c>
      <c r="G20" s="27" t="str">
        <f aca="false">B20</f>
        <v>Imperial gallon per minute</v>
      </c>
      <c r="I20" s="28" t="n">
        <f aca="false">0.00454609/60</f>
        <v>7.57681666666667E-005</v>
      </c>
      <c r="J20" s="28" t="n">
        <v>0</v>
      </c>
    </row>
    <row r="21" customFormat="false" ht="19.5" hidden="false" customHeight="true" outlineLevel="0" collapsed="false">
      <c r="B21" s="22" t="s">
        <v>279</v>
      </c>
      <c r="C21" s="23" t="s">
        <v>94</v>
      </c>
      <c r="D21" s="24"/>
      <c r="E21" s="25" t="s">
        <v>88</v>
      </c>
      <c r="F21" s="26" t="str">
        <f aca="false">IF($J$12="","",IF(($J$12/I21-J21)=0,0,ROUND($J$12/I21-J21,11-INT(LOG10(ABS($J$12/I21-J21))))))</f>
        <v/>
      </c>
      <c r="G21" s="27" t="str">
        <f aca="false">B21</f>
        <v>Cubic foot per minute (cfm)</v>
      </c>
      <c r="I21" s="28" t="n">
        <f aca="false">0.028316846592/60</f>
        <v>0.0004719474432</v>
      </c>
      <c r="J21" s="28" t="n">
        <v>0</v>
      </c>
    </row>
    <row r="22" customFormat="false" ht="19.5" hidden="false" customHeight="true" outlineLevel="0" collapsed="false">
      <c r="B22" s="22" t="s">
        <v>280</v>
      </c>
      <c r="C22" s="23" t="s">
        <v>94</v>
      </c>
      <c r="D22" s="24"/>
      <c r="E22" s="25" t="s">
        <v>88</v>
      </c>
      <c r="F22" s="26" t="str">
        <f aca="false">IF($J$12="","",IF(($J$12/I22-J22)=0,0,ROUND($J$12/I22-J22,11-INT(LOG10(ABS($J$12/I22-J22))))))</f>
        <v/>
      </c>
      <c r="G22" s="27" t="str">
        <f aca="false">B22</f>
        <v>Cubic foot per second (cfs)</v>
      </c>
      <c r="I22" s="28" t="n">
        <v>0.028316846592</v>
      </c>
      <c r="J22" s="28" t="n">
        <v>0</v>
      </c>
    </row>
    <row r="23" customFormat="false" ht="19.5" hidden="false" customHeight="true" outlineLevel="0" collapsed="false">
      <c r="B23" s="22" t="s">
        <v>281</v>
      </c>
      <c r="C23" s="23" t="s">
        <v>102</v>
      </c>
      <c r="D23" s="24"/>
      <c r="E23" s="25" t="s">
        <v>88</v>
      </c>
      <c r="F23" s="26" t="str">
        <f aca="false">IF($J$12="","",IF(($J$12/I23-J23)=0,0,ROUND($J$12/I23-J23,11-INT(LOG10(ABS($J$12/I23-J23))))))</f>
        <v/>
      </c>
      <c r="G23" s="27" t="str">
        <f aca="false">B23</f>
        <v>Oil barrel per day (bbl/d)</v>
      </c>
      <c r="I23" s="28" t="n">
        <f aca="false">0.158987294928/86400</f>
        <v>1.84013072833333E-006</v>
      </c>
      <c r="J23" s="28" t="n">
        <v>0</v>
      </c>
    </row>
    <row r="25" customFormat="false" ht="15" hidden="false" customHeight="false" outlineLevel="0" collapsed="false">
      <c r="B25" s="18" t="s">
        <v>106</v>
      </c>
    </row>
    <row r="26" customFormat="false" ht="15" hidden="false" customHeight="false" outlineLevel="0" collapsed="false">
      <c r="B26" s="18" t="s">
        <v>107</v>
      </c>
    </row>
    <row r="27" customFormat="false" ht="15" hidden="false" customHeight="false" outlineLevel="0" collapsed="false">
      <c r="B27" s="18" t="s">
        <v>108</v>
      </c>
    </row>
  </sheetData>
  <mergeCells count="6">
    <mergeCell ref="C5:C6"/>
    <mergeCell ref="D5:D6"/>
    <mergeCell ref="E5:E6"/>
    <mergeCell ref="F5:F6"/>
    <mergeCell ref="G5:G6"/>
    <mergeCell ref="B13:G13"/>
  </mergeCells>
  <conditionalFormatting sqref="B15:G23">
    <cfRule type="expression" priority="2" aboveAverage="0" equalAverage="0" bottom="0" percent="0" rank="0" text="" dxfId="0">
      <formula>ISNUMBER($D15)</formula>
    </cfRule>
  </conditionalFormatting>
  <dataValidations count="2">
    <dataValidation allowBlank="true" error="Please type a number." errorStyle="stop" errorTitle="Number only" operator="between" showDropDown="false" showErrorMessage="true" showInputMessage="false" sqref="C5 D15:D23" type="decimal">
      <formula1>-1E+307</formula1>
      <formula2>1E+307</formula2>
    </dataValidation>
    <dataValidation allowBlank="false" error="Pick a unit from the list." errorStyle="stop" errorTitle="Unit" operator="between" showDropDown="false" showErrorMessage="true" showInputMessage="false" sqref="D5 G5" type="list">
      <formula1>$B$15:$B$23</formula1>
      <formula2>0</formula2>
    </dataValidation>
  </dataValidations>
  <hyperlinks>
    <hyperlink ref="B2" r:id="rId1" location="Home!A1" display="SI base unit for this sheet: cubic metre per second (m³/s).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282</v>
      </c>
    </row>
    <row r="2" customFormat="false" ht="15" hidden="false" customHeight="false" outlineLevel="0" collapsed="false">
      <c r="B2" s="2" t="s">
        <v>283</v>
      </c>
    </row>
    <row r="4" customFormat="false" ht="15" hidden="false" customHeight="false" outlineLevel="0" collapsed="false">
      <c r="B4" s="10" t="s">
        <v>66</v>
      </c>
    </row>
    <row r="5" customFormat="false" ht="15" hidden="false" customHeight="true" outlineLevel="0" collapsed="false">
      <c r="B5" s="11" t="s">
        <v>67</v>
      </c>
      <c r="C5" s="12" t="n">
        <v>1</v>
      </c>
      <c r="D5" s="13" t="s">
        <v>284</v>
      </c>
      <c r="E5" s="14" t="s">
        <v>69</v>
      </c>
      <c r="F5" s="15" t="n">
        <f aca="false">IF(ISNUMBER(C5),IF((((C5+INDEX($J$15:$J$21,MATCH(D5,$B$15:$B$21,0)))*INDEX($I$15:$I$21,MATCH(D5,$B$15:$B$21,0)))/INDEX($I$15:$I$21,MATCH(G5,$B$15:$B$21,0))-INDEX($J$15:$J$21,MATCH(G5,$B$15:$B$21,0)))=0,0,ROUND(((C5+INDEX($J$15:$J$21,MATCH(D5,$B$15:$B$21,0)))*INDEX($I$15:$I$21,MATCH(D5,$B$15:$B$21,0)))/INDEX($I$15:$I$21,MATCH(G5,$B$15:$B$21,0))-INDEX($J$15:$J$21,MATCH(G5,$B$15:$B$21,0)),11-INT(LOG10(ABS(((C5+INDEX($J$15:$J$21,MATCH(D5,$B$15:$B$21,0)))*INDEX($I$15:$I$21,MATCH(D5,$B$15:$B$21,0)))/INDEX($I$15:$I$21,MATCH(G5,$B$15:$B$21,0))-INDEX($J$15:$J$21,MATCH(G5,$B$15:$B$21,0))))))),"")</f>
        <v>0.0174532925199</v>
      </c>
      <c r="G5" s="13" t="s">
        <v>285</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Degree (°) = 0.0174532925199 Radian (rad)</v>
      </c>
    </row>
    <row r="9" customFormat="false" ht="15" hidden="false" customHeight="false" outlineLevel="0" collapsed="false">
      <c r="B9" s="11" t="s">
        <v>76</v>
      </c>
      <c r="C9" s="17" t="str">
        <f aca="false">"1 "&amp;G5&amp;" = "&amp;TEXT(IF((((1+INDEX($J$15:$J$21,MATCH(G5,$B$15:$B$21,0)))*INDEX($I$15:$I$21,MATCH(G5,$B$15:$B$21,0)))/INDEX($I$15:$I$21,MATCH(D5,$B$15:$B$21,0))-INDEX($J$15:$J$21,MATCH(D5,$B$15:$B$21,0)))=0,0,ROUND(((1+INDEX($J$15:$J$21,MATCH(G5,$B$15:$B$21,0)))*INDEX($I$15:$I$21,MATCH(G5,$B$15:$B$21,0)))/INDEX($I$15:$I$21,MATCH(D5,$B$15:$B$21,0))-INDEX($J$15:$J$21,MATCH(D5,$B$15:$B$21,0)),11-INT(LOG10(ABS(((1+INDEX($J$15:$J$21,MATCH(G5,$B$15:$B$21,0)))*INDEX($I$15:$I$21,MATCH(G5,$B$15:$B$21,0)))/INDEX($I$15:$I$21,MATCH(D5,$B$15:$B$21,0))-INDEX($J$15:$J$21,MATCH(D5,$B$15:$B$21,0))))))),"General")&amp;" "&amp;D5</f>
        <v>1 Radian (rad) = 57.2957795131 Degree (°)</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IF(COUNT($D$15:$D$21)&lt;&gt;1,"",SUMPRODUCT(--ISNUMBER($D$15:$D$21),($D$15:$D$21+$J$15:$J$21)*$I$15:$I$21))</f>
        <v/>
      </c>
    </row>
    <row r="13" customFormat="false" ht="15" hidden="false" customHeight="false" outlineLevel="0" collapsed="false">
      <c r="B13" s="20" t="str">
        <f aca="false">IF(COUNT($D$15:$D$21)=0,"Type a number next to any unit below (e.g. next to the unit you know).",IF(COUNT($D$15:$D$21)&gt;1,"⚠ More than one value entered – clear all but one yellow cell.","Showing everything equal to "&amp;INDEX($D$15:$D$21,MATCH(TRUE(),INDEX(ISNUMBER($D$15:$D$21),0),0))&amp;" "&amp;INDEX($B$15:$B$21,MATCH(TRUE(),INDEX(ISNUMBER($D$15:$D$21),0),0))))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286</v>
      </c>
      <c r="J14" s="5" t="s">
        <v>85</v>
      </c>
    </row>
    <row r="15" customFormat="false" ht="19.5" hidden="false" customHeight="true" outlineLevel="0" collapsed="false">
      <c r="B15" s="22" t="s">
        <v>285</v>
      </c>
      <c r="C15" s="23" t="s">
        <v>87</v>
      </c>
      <c r="D15" s="24"/>
      <c r="E15" s="25" t="s">
        <v>88</v>
      </c>
      <c r="F15" s="26" t="str">
        <f aca="false">IF($J$12="","",IF(($J$12/I15-J15)=0,0,ROUND($J$12/I15-J15,11-INT(LOG10(ABS($J$12/I15-J15))))))</f>
        <v/>
      </c>
      <c r="G15" s="27" t="str">
        <f aca="false">B15</f>
        <v>Radian (rad)</v>
      </c>
      <c r="I15" s="28" t="n">
        <v>1</v>
      </c>
      <c r="J15" s="28" t="n">
        <v>0</v>
      </c>
    </row>
    <row r="16" customFormat="false" ht="19.5" hidden="false" customHeight="true" outlineLevel="0" collapsed="false">
      <c r="B16" s="22" t="s">
        <v>287</v>
      </c>
      <c r="C16" s="23" t="s">
        <v>87</v>
      </c>
      <c r="D16" s="24"/>
      <c r="E16" s="25" t="s">
        <v>88</v>
      </c>
      <c r="F16" s="26" t="str">
        <f aca="false">IF($J$12="","",IF(($J$12/I16-J16)=0,0,ROUND($J$12/I16-J16,11-INT(LOG10(ABS($J$12/I16-J16))))))</f>
        <v/>
      </c>
      <c r="G16" s="27" t="str">
        <f aca="false">B16</f>
        <v>Milliradian (mrad)</v>
      </c>
      <c r="I16" s="28" t="n">
        <v>0.001</v>
      </c>
      <c r="J16" s="28" t="n">
        <v>0</v>
      </c>
    </row>
    <row r="17" customFormat="false" ht="19.5" hidden="false" customHeight="true" outlineLevel="0" collapsed="false">
      <c r="B17" s="22" t="s">
        <v>284</v>
      </c>
      <c r="C17" s="23" t="s">
        <v>102</v>
      </c>
      <c r="D17" s="24"/>
      <c r="E17" s="25" t="s">
        <v>88</v>
      </c>
      <c r="F17" s="26" t="str">
        <f aca="false">IF($J$12="","",IF(($J$12/I17-J17)=0,0,ROUND($J$12/I17-J17,11-INT(LOG10(ABS($J$12/I17-J17))))))</f>
        <v/>
      </c>
      <c r="G17" s="27" t="str">
        <f aca="false">B17</f>
        <v>Degree (°)</v>
      </c>
      <c r="I17" s="28" t="n">
        <f aca="false">PI()/180</f>
        <v>0.0174532925199433</v>
      </c>
      <c r="J17" s="28" t="n">
        <v>0</v>
      </c>
    </row>
    <row r="18" customFormat="false" ht="19.5" hidden="false" customHeight="true" outlineLevel="0" collapsed="false">
      <c r="B18" s="22" t="s">
        <v>288</v>
      </c>
      <c r="C18" s="23" t="s">
        <v>102</v>
      </c>
      <c r="D18" s="24"/>
      <c r="E18" s="25" t="s">
        <v>88</v>
      </c>
      <c r="F18" s="26" t="str">
        <f aca="false">IF($J$12="","",IF(($J$12/I18-J18)=0,0,ROUND($J$12/I18-J18,11-INT(LOG10(ABS($J$12/I18-J18))))))</f>
        <v/>
      </c>
      <c r="G18" s="27" t="str">
        <f aca="false">B18</f>
        <v>Arcminute (′)</v>
      </c>
      <c r="I18" s="28" t="n">
        <f aca="false">PI()/10800</f>
        <v>0.000290888208665722</v>
      </c>
      <c r="J18" s="28" t="n">
        <v>0</v>
      </c>
    </row>
    <row r="19" customFormat="false" ht="19.5" hidden="false" customHeight="true" outlineLevel="0" collapsed="false">
      <c r="B19" s="22" t="s">
        <v>289</v>
      </c>
      <c r="C19" s="23" t="s">
        <v>102</v>
      </c>
      <c r="D19" s="24"/>
      <c r="E19" s="25" t="s">
        <v>88</v>
      </c>
      <c r="F19" s="26" t="str">
        <f aca="false">IF($J$12="","",IF(($J$12/I19-J19)=0,0,ROUND($J$12/I19-J19,11-INT(LOG10(ABS($J$12/I19-J19))))))</f>
        <v/>
      </c>
      <c r="G19" s="27" t="str">
        <f aca="false">B19</f>
        <v>Arcsecond (″)</v>
      </c>
      <c r="I19" s="28" t="n">
        <f aca="false">PI()/648000</f>
        <v>4.84813681109536E-006</v>
      </c>
      <c r="J19" s="28" t="n">
        <v>0</v>
      </c>
    </row>
    <row r="20" customFormat="false" ht="19.5" hidden="false" customHeight="true" outlineLevel="0" collapsed="false">
      <c r="B20" s="22" t="s">
        <v>290</v>
      </c>
      <c r="C20" s="23" t="s">
        <v>102</v>
      </c>
      <c r="D20" s="24"/>
      <c r="E20" s="25" t="s">
        <v>88</v>
      </c>
      <c r="F20" s="26" t="str">
        <f aca="false">IF($J$12="","",IF(($J$12/I20-J20)=0,0,ROUND($J$12/I20-J20,11-INT(LOG10(ABS($J$12/I20-J20))))))</f>
        <v/>
      </c>
      <c r="G20" s="27" t="str">
        <f aca="false">B20</f>
        <v>Gradian (gon)</v>
      </c>
      <c r="I20" s="28" t="n">
        <f aca="false">PI()/200</f>
        <v>0.015707963267949</v>
      </c>
      <c r="J20" s="28" t="n">
        <v>0</v>
      </c>
    </row>
    <row r="21" customFormat="false" ht="19.5" hidden="false" customHeight="true" outlineLevel="0" collapsed="false">
      <c r="B21" s="22" t="s">
        <v>291</v>
      </c>
      <c r="C21" s="23" t="s">
        <v>102</v>
      </c>
      <c r="D21" s="24"/>
      <c r="E21" s="25" t="s">
        <v>88</v>
      </c>
      <c r="F21" s="26" t="str">
        <f aca="false">IF($J$12="","",IF(($J$12/I21-J21)=0,0,ROUND($J$12/I21-J21,11-INT(LOG10(ABS($J$12/I21-J21))))))</f>
        <v/>
      </c>
      <c r="G21" s="27" t="str">
        <f aca="false">B21</f>
        <v>Revolution (rev)</v>
      </c>
      <c r="I21" s="28" t="n">
        <f aca="false">2*PI()</f>
        <v>6.28318530717959</v>
      </c>
      <c r="J21" s="28" t="n">
        <v>0</v>
      </c>
    </row>
    <row r="23" customFormat="false" ht="15" hidden="false" customHeight="false" outlineLevel="0" collapsed="false">
      <c r="B23" s="18" t="s">
        <v>106</v>
      </c>
    </row>
    <row r="24" customFormat="false" ht="15" hidden="false" customHeight="false" outlineLevel="0" collapsed="false">
      <c r="B24" s="18" t="s">
        <v>107</v>
      </c>
    </row>
    <row r="25" customFormat="false" ht="15" hidden="false" customHeight="false" outlineLevel="0" collapsed="false">
      <c r="B25" s="18" t="s">
        <v>108</v>
      </c>
    </row>
  </sheetData>
  <mergeCells count="6">
    <mergeCell ref="C5:C6"/>
    <mergeCell ref="D5:D6"/>
    <mergeCell ref="E5:E6"/>
    <mergeCell ref="F5:F6"/>
    <mergeCell ref="G5:G6"/>
    <mergeCell ref="B13:G13"/>
  </mergeCells>
  <conditionalFormatting sqref="B15:G21">
    <cfRule type="expression" priority="2" aboveAverage="0" equalAverage="0" bottom="0" percent="0" rank="0" text="" dxfId="0">
      <formula>ISNUMBER($D15)</formula>
    </cfRule>
  </conditionalFormatting>
  <dataValidations count="2">
    <dataValidation allowBlank="false" error="Pick a unit from the list." errorStyle="stop" errorTitle="Unit" operator="between" showDropDown="false" showErrorMessage="true" showInputMessage="false" sqref="D5 G5" type="list">
      <formula1>$B$15:$B$21</formula1>
      <formula2>0</formula2>
    </dataValidation>
    <dataValidation allowBlank="true" error="Please type a number." errorStyle="stop" errorTitle="Number only" operator="between" showDropDown="false" showErrorMessage="true" showInputMessage="false" sqref="C5 D15:D21" type="decimal">
      <formula1>-1E+307</formula1>
      <formula2>1E+307</formula2>
    </dataValidation>
  </dataValidations>
  <hyperlinks>
    <hyperlink ref="B2" r:id="rId1" location="Home!A1" display="SI base unit for this sheet: radian (rad).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292</v>
      </c>
    </row>
    <row r="2" customFormat="false" ht="15" hidden="false" customHeight="false" outlineLevel="0" collapsed="false">
      <c r="B2" s="2" t="s">
        <v>293</v>
      </c>
    </row>
    <row r="4" customFormat="false" ht="15" hidden="false" customHeight="false" outlineLevel="0" collapsed="false">
      <c r="B4" s="10" t="s">
        <v>66</v>
      </c>
    </row>
    <row r="5" customFormat="false" ht="15" hidden="false" customHeight="true" outlineLevel="0" collapsed="false">
      <c r="B5" s="11" t="s">
        <v>67</v>
      </c>
      <c r="C5" s="12" t="n">
        <v>1</v>
      </c>
      <c r="D5" s="13" t="s">
        <v>294</v>
      </c>
      <c r="E5" s="14" t="s">
        <v>69</v>
      </c>
      <c r="F5" s="15" t="n">
        <f aca="false">IF(ISNUMBER(C5),IF((((C5+INDEX($J$15:$J$20,MATCH(D5,$B$15:$B$20,0)))*INDEX($I$15:$I$20,MATCH(D5,$B$15:$B$20,0)))/INDEX($I$15:$I$20,MATCH(G5,$B$15:$B$20,0))-INDEX($J$15:$J$20,MATCH(G5,$B$15:$B$20,0)))=0,0,ROUND(((C5+INDEX($J$15:$J$20,MATCH(D5,$B$15:$B$20,0)))*INDEX($I$15:$I$20,MATCH(D5,$B$15:$B$20,0)))/INDEX($I$15:$I$20,MATCH(G5,$B$15:$B$20,0))-INDEX($J$15:$J$20,MATCH(G5,$B$15:$B$20,0)),11-INT(LOG10(ABS(((C5+INDEX($J$15:$J$20,MATCH(D5,$B$15:$B$20,0)))*INDEX($I$15:$I$20,MATCH(D5,$B$15:$B$20,0)))/INDEX($I$15:$I$20,MATCH(G5,$B$15:$B$20,0))-INDEX($J$15:$J$20,MATCH(G5,$B$15:$B$20,0))))))),"")</f>
        <v>60</v>
      </c>
      <c r="G5" s="13" t="s">
        <v>295</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Hertz (Hz) = 60 Revolutions per minute (rpm)</v>
      </c>
    </row>
    <row r="9" customFormat="false" ht="15" hidden="false" customHeight="false" outlineLevel="0" collapsed="false">
      <c r="B9" s="11" t="s">
        <v>76</v>
      </c>
      <c r="C9" s="17" t="str">
        <f aca="false">"1 "&amp;G5&amp;" = "&amp;TEXT(IF((((1+INDEX($J$15:$J$20,MATCH(G5,$B$15:$B$20,0)))*INDEX($I$15:$I$20,MATCH(G5,$B$15:$B$20,0)))/INDEX($I$15:$I$20,MATCH(D5,$B$15:$B$20,0))-INDEX($J$15:$J$20,MATCH(D5,$B$15:$B$20,0)))=0,0,ROUND(((1+INDEX($J$15:$J$20,MATCH(G5,$B$15:$B$20,0)))*INDEX($I$15:$I$20,MATCH(G5,$B$15:$B$20,0)))/INDEX($I$15:$I$20,MATCH(D5,$B$15:$B$20,0))-INDEX($J$15:$J$20,MATCH(D5,$B$15:$B$20,0)),11-INT(LOG10(ABS(((1+INDEX($J$15:$J$20,MATCH(G5,$B$15:$B$20,0)))*INDEX($I$15:$I$20,MATCH(G5,$B$15:$B$20,0)))/INDEX($I$15:$I$20,MATCH(D5,$B$15:$B$20,0))-INDEX($J$15:$J$20,MATCH(D5,$B$15:$B$20,0))))))),"General")&amp;" "&amp;D5</f>
        <v>1 Revolutions per minute (rpm) = 0.0166666666667 Hertz (Hz)</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IF(COUNT($D$15:$D$20)&lt;&gt;1,"",SUMPRODUCT(--ISNUMBER($D$15:$D$20),($D$15:$D$20+$J$15:$J$20)*$I$15:$I$20))</f>
        <v/>
      </c>
    </row>
    <row r="13" customFormat="false" ht="15" hidden="false" customHeight="false" outlineLevel="0" collapsed="false">
      <c r="B13" s="20" t="str">
        <f aca="false">IF(COUNT($D$15:$D$20)=0,"Type a number next to any unit below (e.g. next to the unit you know).",IF(COUNT($D$15:$D$20)&gt;1,"⚠ More than one value entered – clear all but one yellow cell.","Showing everything equal to "&amp;INDEX($D$15:$D$20,MATCH(TRUE(),INDEX(ISNUMBER($D$15:$D$20),0),0))&amp;" "&amp;INDEX($B$15:$B$20,MATCH(TRUE(),INDEX(ISNUMBER($D$15:$D$20),0),0))))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296</v>
      </c>
      <c r="J14" s="5" t="s">
        <v>85</v>
      </c>
    </row>
    <row r="15" customFormat="false" ht="19.5" hidden="false" customHeight="true" outlineLevel="0" collapsed="false">
      <c r="B15" s="22" t="s">
        <v>294</v>
      </c>
      <c r="C15" s="23" t="s">
        <v>87</v>
      </c>
      <c r="D15" s="24"/>
      <c r="E15" s="25" t="s">
        <v>88</v>
      </c>
      <c r="F15" s="26" t="str">
        <f aca="false">IF($J$12="","",IF(($J$12/I15-J15)=0,0,ROUND($J$12/I15-J15,11-INT(LOG10(ABS($J$12/I15-J15))))))</f>
        <v/>
      </c>
      <c r="G15" s="27" t="str">
        <f aca="false">B15</f>
        <v>Hertz (Hz)</v>
      </c>
      <c r="I15" s="28" t="n">
        <v>1</v>
      </c>
      <c r="J15" s="28" t="n">
        <v>0</v>
      </c>
    </row>
    <row r="16" customFormat="false" ht="19.5" hidden="false" customHeight="true" outlineLevel="0" collapsed="false">
      <c r="B16" s="22" t="s">
        <v>297</v>
      </c>
      <c r="C16" s="23" t="s">
        <v>87</v>
      </c>
      <c r="D16" s="24"/>
      <c r="E16" s="25" t="s">
        <v>88</v>
      </c>
      <c r="F16" s="26" t="str">
        <f aca="false">IF($J$12="","",IF(($J$12/I16-J16)=0,0,ROUND($J$12/I16-J16,11-INT(LOG10(ABS($J$12/I16-J16))))))</f>
        <v/>
      </c>
      <c r="G16" s="27" t="str">
        <f aca="false">B16</f>
        <v>Kilohertz (kHz)</v>
      </c>
      <c r="I16" s="28" t="n">
        <v>1000</v>
      </c>
      <c r="J16" s="28" t="n">
        <v>0</v>
      </c>
    </row>
    <row r="17" customFormat="false" ht="19.5" hidden="false" customHeight="true" outlineLevel="0" collapsed="false">
      <c r="B17" s="22" t="s">
        <v>298</v>
      </c>
      <c r="C17" s="23" t="s">
        <v>87</v>
      </c>
      <c r="D17" s="24"/>
      <c r="E17" s="25" t="s">
        <v>88</v>
      </c>
      <c r="F17" s="26" t="str">
        <f aca="false">IF($J$12="","",IF(($J$12/I17-J17)=0,0,ROUND($J$12/I17-J17,11-INT(LOG10(ABS($J$12/I17-J17))))))</f>
        <v/>
      </c>
      <c r="G17" s="27" t="str">
        <f aca="false">B17</f>
        <v>Megahertz (MHz)</v>
      </c>
      <c r="I17" s="28" t="n">
        <v>1000000</v>
      </c>
      <c r="J17" s="28" t="n">
        <v>0</v>
      </c>
    </row>
    <row r="18" customFormat="false" ht="19.5" hidden="false" customHeight="true" outlineLevel="0" collapsed="false">
      <c r="B18" s="22" t="s">
        <v>299</v>
      </c>
      <c r="C18" s="23" t="s">
        <v>87</v>
      </c>
      <c r="D18" s="24"/>
      <c r="E18" s="25" t="s">
        <v>88</v>
      </c>
      <c r="F18" s="26" t="str">
        <f aca="false">IF($J$12="","",IF(($J$12/I18-J18)=0,0,ROUND($J$12/I18-J18,11-INT(LOG10(ABS($J$12/I18-J18))))))</f>
        <v/>
      </c>
      <c r="G18" s="27" t="str">
        <f aca="false">B18</f>
        <v>Gigahertz (GHz)</v>
      </c>
      <c r="I18" s="28" t="n">
        <v>1000000000</v>
      </c>
      <c r="J18" s="28" t="n">
        <v>0</v>
      </c>
    </row>
    <row r="19" customFormat="false" ht="19.5" hidden="false" customHeight="true" outlineLevel="0" collapsed="false">
      <c r="B19" s="22" t="s">
        <v>295</v>
      </c>
      <c r="C19" s="23" t="s">
        <v>102</v>
      </c>
      <c r="D19" s="24"/>
      <c r="E19" s="25" t="s">
        <v>88</v>
      </c>
      <c r="F19" s="26" t="str">
        <f aca="false">IF($J$12="","",IF(($J$12/I19-J19)=0,0,ROUND($J$12/I19-J19,11-INT(LOG10(ABS($J$12/I19-J19))))))</f>
        <v/>
      </c>
      <c r="G19" s="27" t="str">
        <f aca="false">B19</f>
        <v>Revolutions per minute (rpm)</v>
      </c>
      <c r="I19" s="28" t="n">
        <f aca="false">1/60</f>
        <v>0.0166666666666667</v>
      </c>
      <c r="J19" s="28" t="n">
        <v>0</v>
      </c>
    </row>
    <row r="20" customFormat="false" ht="19.5" hidden="false" customHeight="true" outlineLevel="0" collapsed="false">
      <c r="B20" s="22" t="s">
        <v>300</v>
      </c>
      <c r="C20" s="23" t="s">
        <v>102</v>
      </c>
      <c r="D20" s="24"/>
      <c r="E20" s="25" t="s">
        <v>88</v>
      </c>
      <c r="F20" s="26" t="str">
        <f aca="false">IF($J$12="","",IF(($J$12/I20-J20)=0,0,ROUND($J$12/I20-J20,11-INT(LOG10(ABS($J$12/I20-J20))))))</f>
        <v/>
      </c>
      <c r="G20" s="27" t="str">
        <f aca="false">B20</f>
        <v>Radian per second (rad/s)</v>
      </c>
      <c r="I20" s="28" t="n">
        <f aca="false">1/(2*PI())</f>
        <v>0.159154943091895</v>
      </c>
      <c r="J20" s="28" t="n">
        <v>0</v>
      </c>
    </row>
    <row r="22" customFormat="false" ht="15" hidden="false" customHeight="false" outlineLevel="0" collapsed="false">
      <c r="B22" s="18" t="s">
        <v>106</v>
      </c>
    </row>
    <row r="23" customFormat="false" ht="15" hidden="false" customHeight="false" outlineLevel="0" collapsed="false">
      <c r="B23" s="18" t="s">
        <v>107</v>
      </c>
    </row>
    <row r="24" customFormat="false" ht="15" hidden="false" customHeight="false" outlineLevel="0" collapsed="false">
      <c r="B24" s="18" t="s">
        <v>108</v>
      </c>
    </row>
  </sheetData>
  <mergeCells count="6">
    <mergeCell ref="C5:C6"/>
    <mergeCell ref="D5:D6"/>
    <mergeCell ref="E5:E6"/>
    <mergeCell ref="F5:F6"/>
    <mergeCell ref="G5:G6"/>
    <mergeCell ref="B13:G13"/>
  </mergeCells>
  <conditionalFormatting sqref="B15:G20">
    <cfRule type="expression" priority="2" aboveAverage="0" equalAverage="0" bottom="0" percent="0" rank="0" text="" dxfId="0">
      <formula>ISNUMBER($D15)</formula>
    </cfRule>
  </conditionalFormatting>
  <dataValidations count="2">
    <dataValidation allowBlank="true" error="Please type a number." errorStyle="stop" errorTitle="Number only" operator="between" showDropDown="false" showErrorMessage="true" showInputMessage="false" sqref="C5 D15:D20" type="decimal">
      <formula1>-1E+307</formula1>
      <formula2>1E+307</formula2>
    </dataValidation>
    <dataValidation allowBlank="false" error="Pick a unit from the list." errorStyle="stop" errorTitle="Unit" operator="between" showDropDown="false" showErrorMessage="true" showInputMessage="false" sqref="D5 G5" type="list">
      <formula1>$B$15:$B$20</formula1>
      <formula2>0</formula2>
    </dataValidation>
  </dataValidations>
  <hyperlinks>
    <hyperlink ref="B2" r:id="rId1" location="Home!A1" display="SI base unit for this sheet: hertz (Hz).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6"/>
    <col collapsed="false" customWidth="true" hidden="false" outlineLevel="0" max="6" min="6" style="0" width="22"/>
    <col collapsed="false" customWidth="true" hidden="false" outlineLevel="0" max="7" min="7" style="0" width="34"/>
    <col collapsed="false" customWidth="true" hidden="false" outlineLevel="0" max="8" min="8" style="0" width="3"/>
    <col collapsed="false" customWidth="true" hidden="false" outlineLevel="0" max="9" min="9" style="0" width="20"/>
    <col collapsed="false" customWidth="true" hidden="false" outlineLevel="0" max="10" min="10" style="0" width="12"/>
  </cols>
  <sheetData>
    <row r="1" customFormat="false" ht="22.05" hidden="false" customHeight="false" outlineLevel="0" collapsed="false">
      <c r="B1" s="9" t="s">
        <v>301</v>
      </c>
    </row>
    <row r="2" customFormat="false" ht="15" hidden="false" customHeight="false" outlineLevel="0" collapsed="false">
      <c r="B2" s="2" t="s">
        <v>302</v>
      </c>
    </row>
    <row r="4" customFormat="false" ht="15" hidden="false" customHeight="false" outlineLevel="0" collapsed="false">
      <c r="B4" s="10" t="s">
        <v>66</v>
      </c>
    </row>
    <row r="5" customFormat="false" ht="15" hidden="false" customHeight="true" outlineLevel="0" collapsed="false">
      <c r="B5" s="11" t="s">
        <v>67</v>
      </c>
      <c r="C5" s="12" t="n">
        <v>1</v>
      </c>
      <c r="D5" s="13" t="s">
        <v>303</v>
      </c>
      <c r="E5" s="14" t="s">
        <v>69</v>
      </c>
      <c r="F5" s="15" t="n">
        <f aca="false">IF(ISNUMBER(C5),IF((((C5+INDEX($J$15:$J$24,MATCH(D5,$B$15:$B$24,0)))*INDEX($I$15:$I$24,MATCH(D5,$B$15:$B$24,0)))/INDEX($I$15:$I$24,MATCH(G5,$B$15:$B$24,0))-INDEX($J$15:$J$24,MATCH(G5,$B$15:$B$24,0)))=0,0,ROUND(((C5+INDEX($J$15:$J$24,MATCH(D5,$B$15:$B$24,0)))*INDEX($I$15:$I$24,MATCH(D5,$B$15:$B$24,0)))/INDEX($I$15:$I$24,MATCH(G5,$B$15:$B$24,0))-INDEX($J$15:$J$24,MATCH(G5,$B$15:$B$24,0)),11-INT(LOG10(ABS(((C5+INDEX($J$15:$J$24,MATCH(D5,$B$15:$B$24,0)))*INDEX($I$15:$I$24,MATCH(D5,$B$15:$B$24,0)))/INDEX($I$15:$I$24,MATCH(G5,$B$15:$B$24,0))-INDEX($J$15:$J$24,MATCH(G5,$B$15:$B$24,0))))))),"")</f>
        <v>0.953674316406</v>
      </c>
      <c r="G5" s="13" t="s">
        <v>304</v>
      </c>
    </row>
    <row r="6" customFormat="false" ht="15" hidden="false" customHeight="false" outlineLevel="0" collapsed="false">
      <c r="C6" s="12"/>
      <c r="D6" s="12"/>
      <c r="E6" s="14"/>
      <c r="F6" s="15"/>
      <c r="G6" s="15"/>
    </row>
    <row r="7" customFormat="false" ht="15" hidden="false" customHeight="false" outlineLevel="0" collapsed="false">
      <c r="C7" s="16" t="s">
        <v>71</v>
      </c>
      <c r="D7" s="16" t="s">
        <v>72</v>
      </c>
      <c r="F7" s="16" t="s">
        <v>73</v>
      </c>
      <c r="G7" s="16" t="s">
        <v>74</v>
      </c>
    </row>
    <row r="8" customFormat="false" ht="15" hidden="false" customHeight="false" outlineLevel="0" collapsed="false">
      <c r="B8" s="11" t="s">
        <v>75</v>
      </c>
      <c r="C8" s="17" t="str">
        <f aca="false">IF(ISNUMBER(F5),C5&amp;" "&amp;D5&amp;" = "&amp;TEXT(F5,"General")&amp;" "&amp;G5,"Enter a number in the yellow Value box")</f>
        <v>1 Megabyte (MB) = 0.953674316406 Mebibyte (MiB)</v>
      </c>
    </row>
    <row r="9" customFormat="false" ht="15" hidden="false" customHeight="false" outlineLevel="0" collapsed="false">
      <c r="B9" s="11" t="s">
        <v>76</v>
      </c>
      <c r="C9" s="17" t="str">
        <f aca="false">"1 "&amp;G5&amp;" = "&amp;TEXT(IF((((1+INDEX($J$15:$J$24,MATCH(G5,$B$15:$B$24,0)))*INDEX($I$15:$I$24,MATCH(G5,$B$15:$B$24,0)))/INDEX($I$15:$I$24,MATCH(D5,$B$15:$B$24,0))-INDEX($J$15:$J$24,MATCH(D5,$B$15:$B$24,0)))=0,0,ROUND(((1+INDEX($J$15:$J$24,MATCH(G5,$B$15:$B$24,0)))*INDEX($I$15:$I$24,MATCH(G5,$B$15:$B$24,0)))/INDEX($I$15:$I$24,MATCH(D5,$B$15:$B$24,0))-INDEX($J$15:$J$24,MATCH(D5,$B$15:$B$24,0)),11-INT(LOG10(ABS(((1+INDEX($J$15:$J$24,MATCH(G5,$B$15:$B$24,0)))*INDEX($I$15:$I$24,MATCH(G5,$B$15:$B$24,0)))/INDEX($I$15:$I$24,MATCH(D5,$B$15:$B$24,0))-INDEX($J$15:$J$24,MATCH(D5,$B$15:$B$24,0))))))),"General")&amp;" "&amp;D5</f>
        <v>1 Mebibyte (MiB) = 1.048576 Megabyte (MB)</v>
      </c>
    </row>
    <row r="10" customFormat="false" ht="15" hidden="false" customHeight="false" outlineLevel="0" collapsed="false">
      <c r="B10" s="18" t="s">
        <v>77</v>
      </c>
    </row>
    <row r="12" customFormat="false" ht="15" hidden="false" customHeight="false" outlineLevel="0" collapsed="false">
      <c r="B12" s="10" t="s">
        <v>78</v>
      </c>
      <c r="I12" s="19" t="s">
        <v>79</v>
      </c>
      <c r="J12" s="18" t="str">
        <f aca="false">IF(COUNT($D$15:$D$24)&lt;&gt;1,"",SUMPRODUCT(--ISNUMBER($D$15:$D$24),($D$15:$D$24+$J$15:$J$24)*$I$15:$I$24))</f>
        <v/>
      </c>
    </row>
    <row r="13" customFormat="false" ht="15" hidden="false" customHeight="false" outlineLevel="0" collapsed="false">
      <c r="B13" s="20" t="str">
        <f aca="false">IF(COUNT($D$15:$D$24)=0,"Type a number next to any unit below (e.g. next to the unit you know).",IF(COUNT($D$15:$D$24)&gt;1,"⚠ More than one value entered – clear all but one yellow cell.","Showing everything equal to "&amp;INDEX($D$15:$D$24,MATCH(TRUE(),INDEX(ISNUMBER($D$15:$D$24),0),0))&amp;" "&amp;INDEX($B$15:$B$24,MATCH(TRUE(),INDEX(ISNUMBER($D$15:$D$24),0),0))))</f>
        <v>Type a number next to any unit below (e.g. next to the unit you know).</v>
      </c>
      <c r="C13" s="20"/>
      <c r="D13" s="20"/>
      <c r="E13" s="20"/>
      <c r="F13" s="20"/>
      <c r="G13" s="20"/>
    </row>
    <row r="14" customFormat="false" ht="31.5" hidden="false" customHeight="true" outlineLevel="0" collapsed="false">
      <c r="B14" s="5" t="s">
        <v>80</v>
      </c>
      <c r="C14" s="5" t="s">
        <v>81</v>
      </c>
      <c r="D14" s="5" t="s">
        <v>82</v>
      </c>
      <c r="E14" s="21"/>
      <c r="F14" s="5" t="s">
        <v>83</v>
      </c>
      <c r="G14" s="5" t="s">
        <v>80</v>
      </c>
      <c r="I14" s="5" t="s">
        <v>305</v>
      </c>
      <c r="J14" s="5" t="s">
        <v>85</v>
      </c>
    </row>
    <row r="15" customFormat="false" ht="19.5" hidden="false" customHeight="true" outlineLevel="0" collapsed="false">
      <c r="B15" s="22" t="s">
        <v>306</v>
      </c>
      <c r="C15" s="23" t="s">
        <v>102</v>
      </c>
      <c r="D15" s="24"/>
      <c r="E15" s="25" t="s">
        <v>88</v>
      </c>
      <c r="F15" s="26" t="str">
        <f aca="false">IF($J$12="","",IF(($J$12/I15-J15)=0,0,ROUND($J$12/I15-J15,11-INT(LOG10(ABS($J$12/I15-J15))))))</f>
        <v/>
      </c>
      <c r="G15" s="27" t="str">
        <f aca="false">B15</f>
        <v>Bit (b)</v>
      </c>
      <c r="I15" s="28" t="n">
        <v>0.125</v>
      </c>
      <c r="J15" s="28" t="n">
        <v>0</v>
      </c>
    </row>
    <row r="16" customFormat="false" ht="19.5" hidden="false" customHeight="true" outlineLevel="0" collapsed="false">
      <c r="B16" s="22" t="s">
        <v>307</v>
      </c>
      <c r="C16" s="23" t="s">
        <v>102</v>
      </c>
      <c r="D16" s="24"/>
      <c r="E16" s="25" t="s">
        <v>88</v>
      </c>
      <c r="F16" s="26" t="str">
        <f aca="false">IF($J$12="","",IF(($J$12/I16-J16)=0,0,ROUND($J$12/I16-J16,11-INT(LOG10(ABS($J$12/I16-J16))))))</f>
        <v/>
      </c>
      <c r="G16" s="27" t="str">
        <f aca="false">B16</f>
        <v>Byte (B)</v>
      </c>
      <c r="I16" s="28" t="n">
        <v>1</v>
      </c>
      <c r="J16" s="28" t="n">
        <v>0</v>
      </c>
    </row>
    <row r="17" customFormat="false" ht="19.5" hidden="false" customHeight="true" outlineLevel="0" collapsed="false">
      <c r="B17" s="22" t="s">
        <v>308</v>
      </c>
      <c r="C17" s="23" t="s">
        <v>309</v>
      </c>
      <c r="D17" s="24"/>
      <c r="E17" s="25" t="s">
        <v>88</v>
      </c>
      <c r="F17" s="26" t="str">
        <f aca="false">IF($J$12="","",IF(($J$12/I17-J17)=0,0,ROUND($J$12/I17-J17,11-INT(LOG10(ABS($J$12/I17-J17))))))</f>
        <v/>
      </c>
      <c r="G17" s="27" t="str">
        <f aca="false">B17</f>
        <v>Kilobyte (kB)</v>
      </c>
      <c r="I17" s="28" t="n">
        <v>1000</v>
      </c>
      <c r="J17" s="28" t="n">
        <v>0</v>
      </c>
    </row>
    <row r="18" customFormat="false" ht="19.5" hidden="false" customHeight="true" outlineLevel="0" collapsed="false">
      <c r="B18" s="22" t="s">
        <v>303</v>
      </c>
      <c r="C18" s="23" t="s">
        <v>309</v>
      </c>
      <c r="D18" s="24"/>
      <c r="E18" s="25" t="s">
        <v>88</v>
      </c>
      <c r="F18" s="26" t="str">
        <f aca="false">IF($J$12="","",IF(($J$12/I18-J18)=0,0,ROUND($J$12/I18-J18,11-INT(LOG10(ABS($J$12/I18-J18))))))</f>
        <v/>
      </c>
      <c r="G18" s="27" t="str">
        <f aca="false">B18</f>
        <v>Megabyte (MB)</v>
      </c>
      <c r="I18" s="28" t="n">
        <v>1000000</v>
      </c>
      <c r="J18" s="28" t="n">
        <v>0</v>
      </c>
    </row>
    <row r="19" customFormat="false" ht="19.5" hidden="false" customHeight="true" outlineLevel="0" collapsed="false">
      <c r="B19" s="22" t="s">
        <v>310</v>
      </c>
      <c r="C19" s="23" t="s">
        <v>309</v>
      </c>
      <c r="D19" s="24"/>
      <c r="E19" s="25" t="s">
        <v>88</v>
      </c>
      <c r="F19" s="26" t="str">
        <f aca="false">IF($J$12="","",IF(($J$12/I19-J19)=0,0,ROUND($J$12/I19-J19,11-INT(LOG10(ABS($J$12/I19-J19))))))</f>
        <v/>
      </c>
      <c r="G19" s="27" t="str">
        <f aca="false">B19</f>
        <v>Gigabyte (GB)</v>
      </c>
      <c r="I19" s="28" t="n">
        <v>1000000000</v>
      </c>
      <c r="J19" s="28" t="n">
        <v>0</v>
      </c>
    </row>
    <row r="20" customFormat="false" ht="19.5" hidden="false" customHeight="true" outlineLevel="0" collapsed="false">
      <c r="B20" s="22" t="s">
        <v>311</v>
      </c>
      <c r="C20" s="23" t="s">
        <v>309</v>
      </c>
      <c r="D20" s="24"/>
      <c r="E20" s="25" t="s">
        <v>88</v>
      </c>
      <c r="F20" s="26" t="str">
        <f aca="false">IF($J$12="","",IF(($J$12/I20-J20)=0,0,ROUND($J$12/I20-J20,11-INT(LOG10(ABS($J$12/I20-J20))))))</f>
        <v/>
      </c>
      <c r="G20" s="27" t="str">
        <f aca="false">B20</f>
        <v>Terabyte (TB)</v>
      </c>
      <c r="I20" s="28" t="n">
        <v>1000000000000</v>
      </c>
      <c r="J20" s="28" t="n">
        <v>0</v>
      </c>
    </row>
    <row r="21" customFormat="false" ht="19.5" hidden="false" customHeight="true" outlineLevel="0" collapsed="false">
      <c r="B21" s="22" t="s">
        <v>312</v>
      </c>
      <c r="C21" s="23" t="s">
        <v>313</v>
      </c>
      <c r="D21" s="24"/>
      <c r="E21" s="25" t="s">
        <v>88</v>
      </c>
      <c r="F21" s="26" t="str">
        <f aca="false">IF($J$12="","",IF(($J$12/I21-J21)=0,0,ROUND($J$12/I21-J21,11-INT(LOG10(ABS($J$12/I21-J21))))))</f>
        <v/>
      </c>
      <c r="G21" s="27" t="str">
        <f aca="false">B21</f>
        <v>Kibibyte (KiB)</v>
      </c>
      <c r="I21" s="28" t="n">
        <v>1024</v>
      </c>
      <c r="J21" s="28" t="n">
        <v>0</v>
      </c>
    </row>
    <row r="22" customFormat="false" ht="19.5" hidden="false" customHeight="true" outlineLevel="0" collapsed="false">
      <c r="B22" s="22" t="s">
        <v>304</v>
      </c>
      <c r="C22" s="23" t="s">
        <v>313</v>
      </c>
      <c r="D22" s="24"/>
      <c r="E22" s="25" t="s">
        <v>88</v>
      </c>
      <c r="F22" s="26" t="str">
        <f aca="false">IF($J$12="","",IF(($J$12/I22-J22)=0,0,ROUND($J$12/I22-J22,11-INT(LOG10(ABS($J$12/I22-J22))))))</f>
        <v/>
      </c>
      <c r="G22" s="27" t="str">
        <f aca="false">B22</f>
        <v>Mebibyte (MiB)</v>
      </c>
      <c r="I22" s="28" t="n">
        <v>1048576</v>
      </c>
      <c r="J22" s="28" t="n">
        <v>0</v>
      </c>
    </row>
    <row r="23" customFormat="false" ht="19.5" hidden="false" customHeight="true" outlineLevel="0" collapsed="false">
      <c r="B23" s="22" t="s">
        <v>314</v>
      </c>
      <c r="C23" s="23" t="s">
        <v>313</v>
      </c>
      <c r="D23" s="24"/>
      <c r="E23" s="25" t="s">
        <v>88</v>
      </c>
      <c r="F23" s="26" t="str">
        <f aca="false">IF($J$12="","",IF(($J$12/I23-J23)=0,0,ROUND($J$12/I23-J23,11-INT(LOG10(ABS($J$12/I23-J23))))))</f>
        <v/>
      </c>
      <c r="G23" s="27" t="str">
        <f aca="false">B23</f>
        <v>Gibibyte (GiB)</v>
      </c>
      <c r="I23" s="28" t="n">
        <v>1073741824</v>
      </c>
      <c r="J23" s="28" t="n">
        <v>0</v>
      </c>
    </row>
    <row r="24" customFormat="false" ht="19.5" hidden="false" customHeight="true" outlineLevel="0" collapsed="false">
      <c r="B24" s="22" t="s">
        <v>315</v>
      </c>
      <c r="C24" s="23" t="s">
        <v>313</v>
      </c>
      <c r="D24" s="24"/>
      <c r="E24" s="25" t="s">
        <v>88</v>
      </c>
      <c r="F24" s="26" t="str">
        <f aca="false">IF($J$12="","",IF(($J$12/I24-J24)=0,0,ROUND($J$12/I24-J24,11-INT(LOG10(ABS($J$12/I24-J24))))))</f>
        <v/>
      </c>
      <c r="G24" s="27" t="str">
        <f aca="false">B24</f>
        <v>Tebibyte (TiB)</v>
      </c>
      <c r="I24" s="28" t="n">
        <v>1099511627776</v>
      </c>
      <c r="J24" s="28" t="n">
        <v>0</v>
      </c>
    </row>
    <row r="26" customFormat="false" ht="15" hidden="false" customHeight="false" outlineLevel="0" collapsed="false">
      <c r="B26" s="18" t="s">
        <v>106</v>
      </c>
    </row>
    <row r="27" customFormat="false" ht="15" hidden="false" customHeight="false" outlineLevel="0" collapsed="false">
      <c r="B27" s="18" t="s">
        <v>107</v>
      </c>
    </row>
    <row r="28" customFormat="false" ht="15" hidden="false" customHeight="false" outlineLevel="0" collapsed="false">
      <c r="B28" s="18" t="s">
        <v>108</v>
      </c>
    </row>
    <row r="29" customFormat="false" ht="15" hidden="false" customHeight="false" outlineLevel="0" collapsed="false">
      <c r="B29" s="18" t="s">
        <v>316</v>
      </c>
    </row>
  </sheetData>
  <mergeCells count="6">
    <mergeCell ref="C5:C6"/>
    <mergeCell ref="D5:D6"/>
    <mergeCell ref="E5:E6"/>
    <mergeCell ref="F5:F6"/>
    <mergeCell ref="G5:G6"/>
    <mergeCell ref="B13:G13"/>
  </mergeCells>
  <conditionalFormatting sqref="B15:G24">
    <cfRule type="expression" priority="2" aboveAverage="0" equalAverage="0" bottom="0" percent="0" rank="0" text="" dxfId="0">
      <formula>ISNUMBER($D15)</formula>
    </cfRule>
  </conditionalFormatting>
  <dataValidations count="2">
    <dataValidation allowBlank="true" error="Please type a number." errorStyle="stop" errorTitle="Number only" operator="between" showDropDown="false" showErrorMessage="true" showInputMessage="false" sqref="C5 D15:D24" type="decimal">
      <formula1>-1E+307</formula1>
      <formula2>1E+307</formula2>
    </dataValidation>
    <dataValidation allowBlank="false" error="Pick a unit from the list." errorStyle="stop" errorTitle="Unit" operator="between" showDropDown="false" showErrorMessage="true" showInputMessage="false" sqref="D5 G5" type="list">
      <formula1>$B$15:$B$24</formula1>
      <formula2>0</formula2>
    </dataValidation>
  </dataValidations>
  <hyperlinks>
    <hyperlink ref="B2" r:id="rId1" location="Home!A1" display="SI base unit for this sheet: byte (B).  Blue cells on yellow = type here.  ← Back to the Home sheet for the list of convert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2026-10-05T06:13:42Z</dcterms:created>
  <dc:creator>openpyxl</dc:creator>
  <dc:description/>
  <dc:language>en-US</dc:language>
  <cp:lastModifiedBy/>
  <dcterms:modified xsi:type="dcterms:W3CDTF">2026-10-05T06:13:43Z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
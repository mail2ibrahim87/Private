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4.xml.rels" ContentType="application/vnd.openxmlformats-package.relationships+xml"/>
  <Override PartName="/xl/worksheets/_rels/sheet8.xml.rels" ContentType="application/vnd.openxmlformats-package.relationships+xml"/>
  <Override PartName="/xl/worksheets/_rels/sheet13.xml.rels" ContentType="application/vnd.openxmlformats-package.relationships+xml"/>
  <Override PartName="/xl/worksheets/_rels/sheet7.xml.rels" ContentType="application/vnd.openxmlformats-package.relationships+xml"/>
  <Override PartName="/xl/worksheets/_rels/sheet12.xml.rels" ContentType="application/vnd.openxmlformats-package.relationships+xml"/>
  <Override PartName="/xl/worksheets/_rels/sheet11.xml.rels" ContentType="application/vnd.openxmlformats-package.relationships+xml"/>
  <Override PartName="/xl/worksheets/_rels/sheet5.xml.rels" ContentType="application/vnd.openxmlformats-package.relationships+xml"/>
  <Override PartName="/xl/worksheets/_rels/sheet6.xml.rels" ContentType="application/vnd.openxmlformats-package.relationships+xml"/>
  <Override PartName="/xl/worksheets/_rels/sheet10.xml.rels" ContentType="application/vnd.openxmlformats-package.relationships+xml"/>
  <Override PartName="/xl/worksheets/_rels/sheet4.xml.rels" ContentType="application/vnd.openxmlformats-package.relationships+xml"/>
  <Override PartName="/xl/worksheets/_rels/sheet9.xml.rels" ContentType="application/vnd.openxmlformats-package.relationships+xml"/>
  <Override PartName="/xl/worksheets/_rels/sheet15.xml.rels" ContentType="application/vnd.openxmlformats-package.relationships+xml"/>
  <Override PartName="/xl/worksheets/_rels/sheet18.xml.rels" ContentType="application/vnd.openxmlformats-package.relationships+xml"/>
  <Override PartName="/xl/worksheets/_rels/sheet17.xml.rels" ContentType="application/vnd.openxmlformats-package.relationships+xml"/>
  <Override PartName="/xl/worksheets/_rels/sheet16.xml.rels" ContentType="application/vnd.openxmlformats-package.relationships+xml"/>
  <Override PartName="/xl/worksheets/_rels/sheet1.xml.rels" ContentType="application/vnd.openxmlformats-package.relationships+xml"/>
  <Override PartName="/xl/worksheets/_rels/sheet2.xml.rels" ContentType="application/vnd.openxmlformats-package.relationships+xml"/>
  <Override PartName="/xl/worksheets/_rels/sheet3.xml.rels" ContentType="application/vnd.openxmlformats-package.relationships+xml"/>
  <Override PartName="/xl/worksheets/sheet11.xml" ContentType="application/vnd.openxmlformats-officedocument.spreadsheetml.worksheet+xml"/>
  <Override PartName="/xl/worksheets/sheet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18.xml" ContentType="application/vnd.openxmlformats-officedocument.spreadsheetml.worksheet+xml"/>
  <Override PartName="/xl/worksheets/sheet17.xml" ContentType="application/vnd.openxmlformats-officedocument.spreadsheetml.worksheet+xml"/>
  <Override PartName="/xl/worksheets/sheet16.xml" ContentType="application/vnd.openxmlformats-officedocument.spreadsheetml.worksheet+xml"/>
  <Override PartName="/xl/worksheets/sheet15.xml" ContentType="application/vnd.openxmlformats-officedocument.spreadsheetml.worksheet+xml"/>
  <Override PartName="/xl/worksheets/sheet4.xml" ContentType="application/vnd.openxmlformats-officedocument.spreadsheetml.worksheet+xml"/>
  <Override PartName="/xl/worksheets/sheet1.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9.xml" ContentType="application/vnd.openxmlformats-officedocument.spreadsheetml.worksheet+xml"/>
  <Override PartName="/xl/worksheets/sheet14.xml" ContentType="application/vnd.openxmlformats-officedocument.spreadsheetml.worksheet+xml"/>
  <Override PartName="/xl/worksheets/sheet13.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Home" sheetId="1" state="visible" r:id="rId3"/>
    <sheet name="Length" sheetId="2" state="visible" r:id="rId4"/>
    <sheet name="Area" sheetId="3" state="visible" r:id="rId5"/>
    <sheet name="Volume" sheetId="4" state="visible" r:id="rId6"/>
    <sheet name="Mass" sheetId="5" state="visible" r:id="rId7"/>
    <sheet name="Temperature" sheetId="6" state="visible" r:id="rId8"/>
    <sheet name="Speed" sheetId="7" state="visible" r:id="rId9"/>
    <sheet name="Time" sheetId="8" state="visible" r:id="rId10"/>
    <sheet name="Pressure" sheetId="9" state="visible" r:id="rId11"/>
    <sheet name="Energy" sheetId="10" state="visible" r:id="rId12"/>
    <sheet name="Power" sheetId="11" state="visible" r:id="rId13"/>
    <sheet name="Force" sheetId="12" state="visible" r:id="rId14"/>
    <sheet name="Torque" sheetId="13" state="visible" r:id="rId15"/>
    <sheet name="Density" sheetId="14" state="visible" r:id="rId16"/>
    <sheet name="Flow Rate" sheetId="15" state="visible" r:id="rId17"/>
    <sheet name="Angle" sheetId="16" state="visible" r:id="rId18"/>
    <sheet name="Frequency" sheetId="17" state="visible" r:id="rId19"/>
    <sheet name="Data Storage" sheetId="18" state="visible" r:id="rId20"/>
  </sheets>
  <definedNames>
    <definedName function="false" hidden="false" name="F_Angle" vbProcedure="false">Angle!$I$32:$I$38</definedName>
    <definedName function="false" hidden="false" name="F_Area" vbProcedure="false">Area!$I$38:$I$48</definedName>
    <definedName function="false" hidden="false" name="F_Data_Storage" vbProcedure="false">'Data Storage'!$I$33:$I$45</definedName>
    <definedName function="false" hidden="false" name="F_Density" vbProcedure="false">Density!$I$31:$I$38</definedName>
    <definedName function="false" hidden="false" name="F_Energy" vbProcedure="false">Energy!$I$39:$I$50</definedName>
    <definedName function="false" hidden="false" name="F_Flow_Rate" vbProcedure="false">'Flow Rate'!$I$32:$I$40</definedName>
    <definedName function="false" hidden="false" name="F_Force" vbProcedure="false">Force!$I$38:$I$45</definedName>
    <definedName function="false" hidden="false" name="F_Frequency" vbProcedure="false">Frequency!$I$31:$I$36</definedName>
    <definedName function="false" hidden="false" name="F_Length" vbProcedure="false">Length!$I$47:$I$64</definedName>
    <definedName function="false" hidden="false" name="F_Mass" vbProcedure="false">Mass!$I$50:$I$62</definedName>
    <definedName function="false" hidden="false" name="F_Power" vbProcedure="false">Power!$I$39:$I$47</definedName>
    <definedName function="false" hidden="false" name="F_Pressure" vbProcedure="false">Pressure!$I$39:$I$50</definedName>
    <definedName function="false" hidden="false" name="F_Speed" vbProcedure="false">Speed!$I$32:$I$36</definedName>
    <definedName function="false" hidden="false" name="F_Temperature" vbProcedure="false">Temperature!$I$33:$I$36</definedName>
    <definedName function="false" hidden="false" name="F_Time" vbProcedure="false">Time!$I$40:$I$51</definedName>
    <definedName function="false" hidden="false" name="F_Torque" vbProcedure="false">Torque!$I$32:$I$37</definedName>
    <definedName function="false" hidden="false" name="F_Volume" vbProcedure="false">Volume!$I$49:$I$67</definedName>
    <definedName function="false" hidden="false" name="O_Angle" vbProcedure="false">Angle!$J$32:$J$38</definedName>
    <definedName function="false" hidden="false" name="O_Area" vbProcedure="false">Area!$J$38:$J$48</definedName>
    <definedName function="false" hidden="false" name="O_Data_Storage" vbProcedure="false">'Data Storage'!$J$33:$J$45</definedName>
    <definedName function="false" hidden="false" name="O_Density" vbProcedure="false">Density!$J$31:$J$38</definedName>
    <definedName function="false" hidden="false" name="O_Energy" vbProcedure="false">Energy!$J$39:$J$50</definedName>
    <definedName function="false" hidden="false" name="O_Flow_Rate" vbProcedure="false">'Flow Rate'!$J$32:$J$40</definedName>
    <definedName function="false" hidden="false" name="O_Force" vbProcedure="false">Force!$J$38:$J$45</definedName>
    <definedName function="false" hidden="false" name="O_Frequency" vbProcedure="false">Frequency!$J$31:$J$36</definedName>
    <definedName function="false" hidden="false" name="O_Length" vbProcedure="false">Length!$J$47:$J$64</definedName>
    <definedName function="false" hidden="false" name="O_Mass" vbProcedure="false">Mass!$J$50:$J$62</definedName>
    <definedName function="false" hidden="false" name="O_Power" vbProcedure="false">Power!$J$39:$J$47</definedName>
    <definedName function="false" hidden="false" name="O_Pressure" vbProcedure="false">Pressure!$J$39:$J$50</definedName>
    <definedName function="false" hidden="false" name="O_Speed" vbProcedure="false">Speed!$J$32:$J$36</definedName>
    <definedName function="false" hidden="false" name="O_Temperature" vbProcedure="false">Temperature!$J$33:$J$36</definedName>
    <definedName function="false" hidden="false" name="O_Time" vbProcedure="false">Time!$J$40:$J$51</definedName>
    <definedName function="false" hidden="false" name="O_Torque" vbProcedure="false">Torque!$J$32:$J$37</definedName>
    <definedName function="false" hidden="false" name="O_Volume" vbProcedure="false">Volume!$J$49:$J$67</definedName>
    <definedName function="false" hidden="false" name="U_Angle" vbProcedure="false">Angle!$B$32:$B$38</definedName>
    <definedName function="false" hidden="false" name="U_Area" vbProcedure="false">Area!$B$38:$B$48</definedName>
    <definedName function="false" hidden="false" name="U_Data_Storage" vbProcedure="false">'Data Storage'!$B$33:$B$45</definedName>
    <definedName function="false" hidden="false" name="U_Density" vbProcedure="false">Density!$B$31:$B$38</definedName>
    <definedName function="false" hidden="false" name="U_Energy" vbProcedure="false">Energy!$B$39:$B$50</definedName>
    <definedName function="false" hidden="false" name="U_Flow_Rate" vbProcedure="false">'Flow Rate'!$B$32:$B$40</definedName>
    <definedName function="false" hidden="false" name="U_Force" vbProcedure="false">Force!$B$38:$B$45</definedName>
    <definedName function="false" hidden="false" name="U_Frequency" vbProcedure="false">Frequency!$B$31:$B$36</definedName>
    <definedName function="false" hidden="false" name="U_Length" vbProcedure="false">Length!$B$47:$B$64</definedName>
    <definedName function="false" hidden="false" name="U_Mass" vbProcedure="false">Mass!$B$50:$B$62</definedName>
    <definedName function="false" hidden="false" name="U_Power" vbProcedure="false">Power!$B$39:$B$47</definedName>
    <definedName function="false" hidden="false" name="U_Pressure" vbProcedure="false">Pressure!$B$39:$B$50</definedName>
    <definedName function="false" hidden="false" name="U_Speed" vbProcedure="false">Speed!$B$32:$B$36</definedName>
    <definedName function="false" hidden="false" name="U_Temperature" vbProcedure="false">Temperature!$B$33:$B$36</definedName>
    <definedName function="false" hidden="false" name="U_Time" vbProcedure="false">Time!$B$40:$B$51</definedName>
    <definedName function="false" hidden="false" name="U_Torque" vbProcedure="false">Torque!$B$32:$B$37</definedName>
    <definedName function="false" hidden="false" name="U_Volume" vbProcedure="false">Volume!$B$49:$B$67</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<sst xmlns="http://schemas.openxmlformats.org/spreadsheetml/2006/main" count="1795" uniqueCount="526">
  <si>
    <t xml:space="preserve">Unit Converter – SI ⇄ Imperial / US / Other</t>
  </si>
  <si>
    <t xml:space="preserve">One sheet per quantity. Works like the Google unit converter – no macros needed.</t>
  </si>
  <si>
    <t xml:space="preserve">HOW TO USE  –  every sheet has three sections</t>
  </si>
  <si>
    <t xml:space="preserve">1.  QUICK CONVERTER: type a number in the bright-yellow Value box, choose the FROM unit and the TO unit from the drop-downs – the green box shows the answer.</t>
  </si>
  <si>
    <t xml:space="preserve">     To go the other way (e.g. foot → meter instead of meter → foot) simply swap the two drop-downs.</t>
  </si>
  <si>
    <t xml:space="preserve">2.  MIXED-UNIT CALCULATORS: enter each value exactly as you have it, each with its own unit – e.g. pipe volume with the diameter in inches and the length</t>
  </si>
  <si>
    <t xml:space="preserve">     in metres. Pick any unit for the answer too. Reverse calculators are included (e.g. Length sheet: pipe length or diameter from a known volume).</t>
  </si>
  <si>
    <t xml:space="preserve">3.  ALL UNITS AT ONCE: type a number next to ANY unit in the yellow column (e.g. 10 next to Foot) – every other unit updates instantly.</t>
  </si>
  <si>
    <t xml:space="preserve">     Delete it and type in another row (e.g. 3 next to Meter) to go the other way. Keep only ONE value in that column.</t>
  </si>
  <si>
    <t xml:space="preserve">Colour key:  blue text on yellow = your input / unit choice  ·  green = calculated result  ·  grey = SI values and conversion constants.</t>
  </si>
  <si>
    <t xml:space="preserve">#</t>
  </si>
  <si>
    <t xml:space="preserve">Sheet (click)</t>
  </si>
  <si>
    <t xml:space="preserve">SI base unit</t>
  </si>
  <si>
    <t xml:space="preserve">Mixed-unit calculators</t>
  </si>
  <si>
    <t xml:space="preserve">Units included</t>
  </si>
  <si>
    <t xml:space="preserve">Length</t>
  </si>
  <si>
    <t xml:space="preserve">metre (m)</t>
  </si>
  <si>
    <t xml:space="preserve">• Add lengths given in different units
• Pipe length from volume and diameter  (reverse of pipe volume)
• Pipe diameter from volume and length  (reverse of pipe volume)
• Distance travelled</t>
  </si>
  <si>
    <t xml:space="preserve">Kilometre (km), Meter (m), Centimetre (cm), Millimetre (mm), Micrometre (µm), Nanometre (nm), Mile (mi), Yard (yd), Foot (ft), Inch (in), Thou / mil, Furlong, Chain, Fathom, Nautical mile (nmi), Ångström (Å), Astronomical unit (au), Light-year (ly)</t>
  </si>
  <si>
    <t xml:space="preserve">Area</t>
  </si>
  <si>
    <t xml:space="preserve">square metre (m²)</t>
  </si>
  <si>
    <t xml:space="preserve">• Rectangle area
• Circle / pipe cross-section area
• Pipe outside surface area (painting / insulation)</t>
  </si>
  <si>
    <t xml:space="preserve">Square kilometre (km²), Hectare (ha), Are (a), Square meter (m²), Square centimetre (cm²), Square millimetre (mm²), Square mile (mi²), Acre (ac), Square yard (yd²), Square foot (ft²), Square inch (in²)</t>
  </si>
  <si>
    <t xml:space="preserve">Volume</t>
  </si>
  <si>
    <t xml:space="preserve">cubic metre (m³)</t>
  </si>
  <si>
    <t xml:space="preserve">• Pipe / cylinder volume
• Pipe wall (steel) volume
• Box / rectangular tank volume
• Volume delivered by a flow</t>
  </si>
  <si>
    <t xml:space="preserve">Cubic meter (m³), Litre (L), Millilitre (mL), Cubic centimetre (cm³), US gallon (gal), US quart (qt), US pint (pt), US cup, US fluid ounce (fl oz), US tablespoon (tbsp), US teaspoon (tsp), Imperial gallon (gal), Imperial quart (qt), Imperial pint (pt), Imperial fluid ounce (fl oz), Cubic yard (yd³), Cubic foot (ft³), Cubic inch (in³), Oil barrel (bbl)</t>
  </si>
  <si>
    <t xml:space="preserve">Mass</t>
  </si>
  <si>
    <t xml:space="preserve">kilogram (kg)</t>
  </si>
  <si>
    <t xml:space="preserve">• Mass from density and volume
• Pipe weight (empty)
• Weight of liquid filling a pipe
• Add masses given in different units</t>
  </si>
  <si>
    <t xml:space="preserve">Tonne (t), Kilogram (kg), Gram (g), Milligram (mg), Microgram (µg), Long ton (UK), Short ton (US), Stone (st), Pound (lb), Ounce (oz), Grain (gr), Troy ounce (oz t), Carat (ct)</t>
  </si>
  <si>
    <t xml:space="preserve">Temperature</t>
  </si>
  <si>
    <t xml:space="preserve">kelvin (K)</t>
  </si>
  <si>
    <t xml:space="preserve">• Difference and average of two temperatures
• Temperature after a rise or fall</t>
  </si>
  <si>
    <t xml:space="preserve">Degree Celsius (°C), Kelvin (K), Degree Fahrenheit (°F), Rankine (°R)</t>
  </si>
  <si>
    <t xml:space="preserve">Speed</t>
  </si>
  <si>
    <t xml:space="preserve">metre per second (m/s)</t>
  </si>
  <si>
    <t xml:space="preserve">• Average speed
• Fluid velocity in a pipe</t>
  </si>
  <si>
    <t xml:space="preserve">Metre per second (m/s), Kilometre per hour (km/h), Mile per hour (mph), Foot per second (ft/s), Knot (kn)</t>
  </si>
  <si>
    <t xml:space="preserve">Time</t>
  </si>
  <si>
    <t xml:space="preserve">second (s)</t>
  </si>
  <si>
    <t xml:space="preserve">• Travel time
• Time to fill a tank
• Time to fill a pipe</t>
  </si>
  <si>
    <t xml:space="preserve">Nanosecond (ns), Microsecond (µs), Millisecond (ms), Second (s), Minute (min), Hour (h), Day (d), Week (wk), Month (avg, 30.436875 d), Year (avg, 365.2425 d), Decade, Century</t>
  </si>
  <si>
    <t xml:space="preserve">Pressure</t>
  </si>
  <si>
    <t xml:space="preserve">pascal (Pa)</t>
  </si>
  <si>
    <t xml:space="preserve">• Pressure from force and area
• Pressure on a circular piston / pipe end
• Hydrostatic pressure of a liquid column</t>
  </si>
  <si>
    <t xml:space="preserve">Pascal (Pa), Kilopascal (kPa), Megapascal (MPa), Bar (bar), Millibar (mbar), Pound per square inch (psi), Kilopound per sq inch (ksi), Inch of mercury (inHg), Standard atmosphere (atm), Torr, Millimetre of mercury (mmHg), Kilogram-force per cm² (kgf/cm²)</t>
  </si>
  <si>
    <t xml:space="preserve">Energy</t>
  </si>
  <si>
    <t xml:space="preserve">joule (J)</t>
  </si>
  <si>
    <t xml:space="preserve">• Energy used
• Work done
• Potential energy</t>
  </si>
  <si>
    <t xml:space="preserve">Joule (J), Kilojoule (kJ), Megajoule (MJ), Watt-hour (Wh), Kilowatt-hour (kWh), Calorie (cal), Kilocalorie (kcal), British thermal unit (BTU), Therm (US), Foot-pound force (ft·lbf), Electronvolt (eV), Erg</t>
  </si>
  <si>
    <t xml:space="preserve">Power</t>
  </si>
  <si>
    <t xml:space="preserve">watt (W)</t>
  </si>
  <si>
    <t xml:space="preserve">• Power from energy and time
• Shaft power from torque and speed
• Pump hydraulic power</t>
  </si>
  <si>
    <t xml:space="preserve">Watt (W), Kilowatt (kW), Megawatt (MW), Horsepower (hp), Metric horsepower (PS), BTU per hour (BTU/h), Foot-pound force per second (ft·lbf/s), Ton of refrigeration (TR), Kilocalorie per hour (kcal/h)</t>
  </si>
  <si>
    <t xml:space="preserve">Force</t>
  </si>
  <si>
    <t xml:space="preserve">newton (N)</t>
  </si>
  <si>
    <t xml:space="preserve">• Force from pressure and area
• Force on a circular piston / pipe end
• Weight (force) of a mass</t>
  </si>
  <si>
    <t xml:space="preserve">Newton (N), Kilonewton (kN), Dyne (dyn), Pound-force (lbf), Kip (kip), Poundal (pdl), Kilogram-force (kgf), Tonne-force (tf)</t>
  </si>
  <si>
    <t xml:space="preserve">Torque</t>
  </si>
  <si>
    <t xml:space="preserve">newton metre (N·m)</t>
  </si>
  <si>
    <t xml:space="preserve">• Torque from force and lever arm
• Torque from power and speed</t>
  </si>
  <si>
    <t xml:space="preserve">Newton metre (N·m), Kilonewton metre (kN·m), Pound-force foot (lbf·ft), Pound-force inch (lbf·in), Ounce-force inch (ozf·in), Kilogram-force metre (kgf·m)</t>
  </si>
  <si>
    <t xml:space="preserve">Density</t>
  </si>
  <si>
    <t xml:space="preserve">kilogram per cubic metre (kg/m³)</t>
  </si>
  <si>
    <t xml:space="preserve">• Density from mass and volume
• Density from specific gravity</t>
  </si>
  <si>
    <t xml:space="preserve">Kilogram per cubic metre (kg/m³), Gram per cubic centimetre (g/cm³), Kilogram per litre (kg/L), Gram per litre (g/L), Pound per cubic foot (lb/ft³), Pound per cubic inch (lb/in³), Pound per US gallon (lb/gal), Ounce per cubic inch (oz/in³)</t>
  </si>
  <si>
    <t xml:space="preserve">Flow Rate</t>
  </si>
  <si>
    <t xml:space="preserve">cubic metre per second (m³/s)</t>
  </si>
  <si>
    <t xml:space="preserve">• Flow rate from volume and time
• Flow rate in a pipe from velocity</t>
  </si>
  <si>
    <t xml:space="preserve">Cubic metre per second (m³/s), Cubic metre per hour (m³/h), Litre per second (L/s), Litre per minute (L/min), US gallon per minute (gpm), Imperial gallon per minute, Cubic foot per minute (cfm), Cubic foot per second (cfs), Oil barrel per day (bbl/d)</t>
  </si>
  <si>
    <t xml:space="preserve">Angle</t>
  </si>
  <si>
    <t xml:space="preserve">radian (rad)</t>
  </si>
  <si>
    <t xml:space="preserve">• Slope angle from rise and run
• Arc length</t>
  </si>
  <si>
    <t xml:space="preserve">Radian (rad), Milliradian (mrad), Degree (°), Arcminute (′), Arcsecond (″), Gradian (gon), Revolution (rev)</t>
  </si>
  <si>
    <t xml:space="preserve">Frequency</t>
  </si>
  <si>
    <t xml:space="preserve">hertz (Hz)</t>
  </si>
  <si>
    <t xml:space="preserve">• Frequency from period
• Rotational speed from surface speed</t>
  </si>
  <si>
    <t xml:space="preserve">Hertz (Hz), Kilohertz (kHz), Megahertz (MHz), Gigahertz (GHz), Revolutions per minute (rpm), Radian per second (rad/s)</t>
  </si>
  <si>
    <t xml:space="preserve">Data Storage</t>
  </si>
  <si>
    <t xml:space="preserve">byte (B)</t>
  </si>
  <si>
    <t xml:space="preserve">• Download / transfer time
• Add file sizes given in different units</t>
  </si>
  <si>
    <t xml:space="preserve">Bit (b), Byte (B), Kilobit (kb), Megabit (Mb), Gigabit (Gb), Kilobyte (kB), Megabyte (MB), Gigabyte (GB), Terabyte (TB), Kibibyte (KiB), Mebibyte (MiB), Gibibyte (GiB), Tebibyte (TiB)</t>
  </si>
  <si>
    <t xml:space="preserve">Length Converter</t>
  </si>
  <si>
    <t xml:space="preserve">SI base unit for this sheet: metre (m).  Blue cells on yellow = type here; drop-downs = choose unit.  ← Back to the Home sheet</t>
  </si>
  <si>
    <t xml:space="preserve">1.  QUICK CONVERTER  (works like Google: type a value, pick the two units)</t>
  </si>
  <si>
    <t xml:space="preserve">Value</t>
  </si>
  <si>
    <t xml:space="preserve">Meter (m)</t>
  </si>
  <si>
    <t xml:space="preserve">=</t>
  </si>
  <si>
    <t xml:space="preserve">Foot (ft)</t>
  </si>
  <si>
    <t xml:space="preserve">↑ type value</t>
  </si>
  <si>
    <t xml:space="preserve">↑ FROM unit (drop-down)</t>
  </si>
  <si>
    <t xml:space="preserve">↑ result</t>
  </si>
  <si>
    <t xml:space="preserve">↑ TO unit (drop-down)</t>
  </si>
  <si>
    <t xml:space="preserve">Formula:</t>
  </si>
  <si>
    <t xml:space="preserve">Reverse:</t>
  </si>
  <si>
    <t xml:space="preserve">Tip: to convert the other way (e.g. foot → meter instead of meter → foot) just swap the two drop-downs.</t>
  </si>
  <si>
    <t xml:space="preserve">2.  MIXED-UNIT CALCULATORS  (enter each value in the unit you have – pick its unit from the drop-down next to it)</t>
  </si>
  <si>
    <t xml:space="preserve">Quantity</t>
  </si>
  <si>
    <t xml:space="preserve">Unit (drop-down)</t>
  </si>
  <si>
    <t xml:space="preserve">Same value in SI base</t>
  </si>
  <si>
    <t xml:space="preserve">Add lengths given in different units</t>
  </si>
  <si>
    <t xml:space="preserve">Formula:  Total = L1 + L2 + L3</t>
  </si>
  <si>
    <t xml:space="preserve">Length 1</t>
  </si>
  <si>
    <t xml:space="preserve">m</t>
  </si>
  <si>
    <t xml:space="preserve">Length 2</t>
  </si>
  <si>
    <t xml:space="preserve">Length 3 (optional)</t>
  </si>
  <si>
    <t xml:space="preserve">Inch (in)</t>
  </si>
  <si>
    <t xml:space="preserve">⇒ Total length</t>
  </si>
  <si>
    <t xml:space="preserve">Pipe length from volume and diameter  (reverse of pipe volume)</t>
  </si>
  <si>
    <t xml:space="preserve">Formula:  L = V ÷ (π/4 × D²)</t>
  </si>
  <si>
    <t xml:space="preserve">Volume inside pipe</t>
  </si>
  <si>
    <t xml:space="preserve">Litre (L)</t>
  </si>
  <si>
    <t xml:space="preserve">m³</t>
  </si>
  <si>
    <t xml:space="preserve">Inside diameter</t>
  </si>
  <si>
    <t xml:space="preserve">⇒ Pipe length</t>
  </si>
  <si>
    <t xml:space="preserve">Pipe diameter from volume and length  (reverse of pipe volume)</t>
  </si>
  <si>
    <t xml:space="preserve">Formula:  D = √(4 × V ÷ (π × L))</t>
  </si>
  <si>
    <t xml:space="preserve">US gallon (gal)</t>
  </si>
  <si>
    <t xml:space="preserve">Pipe length</t>
  </si>
  <si>
    <t xml:space="preserve">⇒ Inside diameter</t>
  </si>
  <si>
    <t xml:space="preserve">Millimetre (mm)</t>
  </si>
  <si>
    <t xml:space="preserve">Distance travelled</t>
  </si>
  <si>
    <t xml:space="preserve">Formula:  Distance = speed × time</t>
  </si>
  <si>
    <t xml:space="preserve">Kilometre per hour (km/h)</t>
  </si>
  <si>
    <t xml:space="preserve">m/s</t>
  </si>
  <si>
    <t xml:space="preserve">Minute (min)</t>
  </si>
  <si>
    <t xml:space="preserve">s</t>
  </si>
  <si>
    <t xml:space="preserve">⇒ Distance</t>
  </si>
  <si>
    <t xml:space="preserve">Mile (mi)</t>
  </si>
  <si>
    <t xml:space="preserve">Kilometre (km)</t>
  </si>
  <si>
    <t xml:space="preserve">3.  ALL UNITS AT ONCE  (type a value in ANY ONE yellow cell – every other unit is shown instantly)</t>
  </si>
  <si>
    <t xml:space="preserve">Value in SI base:</t>
  </si>
  <si>
    <t xml:space="preserve">Unit</t>
  </si>
  <si>
    <t xml:space="preserve">System</t>
  </si>
  <si>
    <t xml:space="preserve">Enter value here
(only ONE row)</t>
  </si>
  <si>
    <t xml:space="preserve">Equivalent value</t>
  </si>
  <si>
    <t xml:space="preserve">1 unit = ? m
(factor)</t>
  </si>
  <si>
    <t xml:space="preserve">Offset</t>
  </si>
  <si>
    <t xml:space="preserve">SI / Metric</t>
  </si>
  <si>
    <t xml:space="preserve">→</t>
  </si>
  <si>
    <t xml:space="preserve">Centimetre (cm)</t>
  </si>
  <si>
    <t xml:space="preserve">Micrometre (µm)</t>
  </si>
  <si>
    <t xml:space="preserve">Nanometre (nm)</t>
  </si>
  <si>
    <t xml:space="preserve">Imperial / US</t>
  </si>
  <si>
    <t xml:space="preserve">Yard (yd)</t>
  </si>
  <si>
    <t xml:space="preserve">Thou / mil</t>
  </si>
  <si>
    <t xml:space="preserve">Furlong</t>
  </si>
  <si>
    <t xml:space="preserve">Chain</t>
  </si>
  <si>
    <t xml:space="preserve">Fathom</t>
  </si>
  <si>
    <t xml:space="preserve">Nautical mile (nmi)</t>
  </si>
  <si>
    <t xml:space="preserve">Other</t>
  </si>
  <si>
    <t xml:space="preserve">Ångström (Å)</t>
  </si>
  <si>
    <t xml:space="preserve">Astronomical unit (au)</t>
  </si>
  <si>
    <t xml:space="preserve">Light-year (ly)</t>
  </si>
  <si>
    <t xml:space="preserve">How it works: every value is converted to the SI base unit, calculated, then converted to the unit you pick:  SI = (value + offset) × factor;  result = SI ÷ factor − offset.</t>
  </si>
  <si>
    <t xml:space="preserve">Offsets are only used for temperature (°C and °F are not zero-based). All factors are exact by international definition (NIST SP 811 / BIPM SI Brochure) unless noted.</t>
  </si>
  <si>
    <t xml:space="preserve">Grey columns I:J are the conversion constants used by every sheet (named ranges U_, F_, O_ + sheet name).</t>
  </si>
  <si>
    <t xml:space="preserve">Area Converter</t>
  </si>
  <si>
    <t xml:space="preserve">SI base unit for this sheet: square metre (m²).  Blue cells on yellow = type here; drop-downs = choose unit.  ← Back to the Home sheet</t>
  </si>
  <si>
    <t xml:space="preserve">Square meter (m²)</t>
  </si>
  <si>
    <t xml:space="preserve">Square foot (ft²)</t>
  </si>
  <si>
    <t xml:space="preserve">Rectangle area</t>
  </si>
  <si>
    <t xml:space="preserve">Formula:  A = length × width</t>
  </si>
  <si>
    <t xml:space="preserve">Width</t>
  </si>
  <si>
    <t xml:space="preserve">⇒ Area</t>
  </si>
  <si>
    <t xml:space="preserve">m²</t>
  </si>
  <si>
    <t xml:space="preserve">Circle / pipe cross-section area</t>
  </si>
  <si>
    <t xml:space="preserve">Formula:  A = π/4 × D²</t>
  </si>
  <si>
    <t xml:space="preserve">Diameter</t>
  </si>
  <si>
    <t xml:space="preserve">Square centimetre (cm²)</t>
  </si>
  <si>
    <t xml:space="preserve">Square inch (in²)</t>
  </si>
  <si>
    <t xml:space="preserve">Pipe outside surface area (painting / insulation)</t>
  </si>
  <si>
    <t xml:space="preserve">Formula:  A = π × D × L</t>
  </si>
  <si>
    <t xml:space="preserve">Outside diameter</t>
  </si>
  <si>
    <t xml:space="preserve">⇒ Surface area</t>
  </si>
  <si>
    <t xml:space="preserve">1 unit = ? m²
(factor)</t>
  </si>
  <si>
    <t xml:space="preserve">Square kilometre (km²)</t>
  </si>
  <si>
    <t xml:space="preserve">Hectare (ha)</t>
  </si>
  <si>
    <t xml:space="preserve">Are (a)</t>
  </si>
  <si>
    <t xml:space="preserve">Square millimetre (mm²)</t>
  </si>
  <si>
    <t xml:space="preserve">Square mile (mi²)</t>
  </si>
  <si>
    <t xml:space="preserve">Acre (ac)</t>
  </si>
  <si>
    <t xml:space="preserve">Square yard (yd²)</t>
  </si>
  <si>
    <t xml:space="preserve">Volume Converter</t>
  </si>
  <si>
    <t xml:space="preserve">SI base unit for this sheet: cubic metre (m³).  Blue cells on yellow = type here; drop-downs = choose unit.  ← Back to the Home sheet</t>
  </si>
  <si>
    <t xml:space="preserve">Pipe / cylinder volume</t>
  </si>
  <si>
    <t xml:space="preserve">Formula:  V = π/4 × D² × L</t>
  </si>
  <si>
    <t xml:space="preserve">⇒ Volume</t>
  </si>
  <si>
    <t xml:space="preserve">Cubic meter (m³)</t>
  </si>
  <si>
    <t xml:space="preserve">Pipe wall (steel) volume</t>
  </si>
  <si>
    <t xml:space="preserve">Formula:  V = π/4 × (OD² − ID²) × L</t>
  </si>
  <si>
    <t xml:space="preserve">⇒ Wall volume</t>
  </si>
  <si>
    <t xml:space="preserve">Cubic inch (in³)</t>
  </si>
  <si>
    <t xml:space="preserve">Box / rectangular tank volume</t>
  </si>
  <si>
    <t xml:space="preserve">Formula:  V = L × W × H</t>
  </si>
  <si>
    <t xml:space="preserve">Height</t>
  </si>
  <si>
    <t xml:space="preserve">Volume delivered by a flow</t>
  </si>
  <si>
    <t xml:space="preserve">Formula:  V = flow rate × time</t>
  </si>
  <si>
    <t xml:space="preserve">Flow rate</t>
  </si>
  <si>
    <t xml:space="preserve">US gallon per minute (gpm)</t>
  </si>
  <si>
    <t xml:space="preserve">m³/s</t>
  </si>
  <si>
    <t xml:space="preserve">Hour (h)</t>
  </si>
  <si>
    <t xml:space="preserve">1 unit = ? m³
(factor)</t>
  </si>
  <si>
    <t xml:space="preserve">Millilitre (mL)</t>
  </si>
  <si>
    <t xml:space="preserve">Cubic centimetre (cm³)</t>
  </si>
  <si>
    <t xml:space="preserve">US customary</t>
  </si>
  <si>
    <t xml:space="preserve">US quart (qt)</t>
  </si>
  <si>
    <t xml:space="preserve">US pint (pt)</t>
  </si>
  <si>
    <t xml:space="preserve">US cup</t>
  </si>
  <si>
    <t xml:space="preserve">US fluid ounce (fl oz)</t>
  </si>
  <si>
    <t xml:space="preserve">US tablespoon (tbsp)</t>
  </si>
  <si>
    <t xml:space="preserve">US teaspoon (tsp)</t>
  </si>
  <si>
    <t xml:space="preserve">Imperial gallon (gal)</t>
  </si>
  <si>
    <t xml:space="preserve">Imperial (UK)</t>
  </si>
  <si>
    <t xml:space="preserve">Imperial quart (qt)</t>
  </si>
  <si>
    <t xml:space="preserve">Imperial pint (pt)</t>
  </si>
  <si>
    <t xml:space="preserve">Imperial fluid ounce (fl oz)</t>
  </si>
  <si>
    <t xml:space="preserve">Cubic yard (yd³)</t>
  </si>
  <si>
    <t xml:space="preserve">Cubic foot (ft³)</t>
  </si>
  <si>
    <t xml:space="preserve">Oil barrel (bbl)</t>
  </si>
  <si>
    <t xml:space="preserve">US cup = 236.5882365 mL (customary). US and Imperial gallons/pints/fl oz differ – pick the right one.</t>
  </si>
  <si>
    <t xml:space="preserve">Mass Converter</t>
  </si>
  <si>
    <t xml:space="preserve">SI base unit for this sheet: kilogram (kg).  Blue cells on yellow = type here; drop-downs = choose unit.  ← Back to the Home sheet</t>
  </si>
  <si>
    <t xml:space="preserve">Kilogram (kg)</t>
  </si>
  <si>
    <t xml:space="preserve">Pound (lb)</t>
  </si>
  <si>
    <t xml:space="preserve">Mass from density and volume</t>
  </si>
  <si>
    <t xml:space="preserve">Formula:  m = ρ × V</t>
  </si>
  <si>
    <t xml:space="preserve">Pound per cubic foot (lb/ft³)</t>
  </si>
  <si>
    <t xml:space="preserve">kg/m³</t>
  </si>
  <si>
    <t xml:space="preserve">⇒ Mass</t>
  </si>
  <si>
    <t xml:space="preserve">kg</t>
  </si>
  <si>
    <t xml:space="preserve">Pipe weight (empty)</t>
  </si>
  <si>
    <t xml:space="preserve">Formula:  m = ρ × π/4 × (OD² − ID²) × L   (steel ρ ≈ 7850 kg/m³)</t>
  </si>
  <si>
    <t xml:space="preserve">Material density</t>
  </si>
  <si>
    <t xml:space="preserve">Kilogram per cubic metre (kg/m³)</t>
  </si>
  <si>
    <t xml:space="preserve">⇒ Pipe weight</t>
  </si>
  <si>
    <t xml:space="preserve">Weight of liquid filling a pipe</t>
  </si>
  <si>
    <t xml:space="preserve">Formula:  m = ρ × π/4 × D² × L   (water ρ ≈ 1000 kg/m³)</t>
  </si>
  <si>
    <t xml:space="preserve">Liquid density</t>
  </si>
  <si>
    <t xml:space="preserve">⇒ Liquid weight</t>
  </si>
  <si>
    <t xml:space="preserve">Add masses given in different units</t>
  </si>
  <si>
    <t xml:space="preserve">Formula:  Total = m1 + m2 + m3</t>
  </si>
  <si>
    <t xml:space="preserve">Mass 1</t>
  </si>
  <si>
    <t xml:space="preserve">Mass 2</t>
  </si>
  <si>
    <t xml:space="preserve">Mass 3 (optional)</t>
  </si>
  <si>
    <t xml:space="preserve">Ounce (oz)</t>
  </si>
  <si>
    <t xml:space="preserve">⇒ Total mass</t>
  </si>
  <si>
    <t xml:space="preserve">1 unit = ? kg
(factor)</t>
  </si>
  <si>
    <t xml:space="preserve">Tonne (t)</t>
  </si>
  <si>
    <t xml:space="preserve">Gram (g)</t>
  </si>
  <si>
    <t xml:space="preserve">Milligram (mg)</t>
  </si>
  <si>
    <t xml:space="preserve">Microgram (µg)</t>
  </si>
  <si>
    <t xml:space="preserve">Long ton (UK)</t>
  </si>
  <si>
    <t xml:space="preserve">Short ton (US)</t>
  </si>
  <si>
    <t xml:space="preserve">Stone (st)</t>
  </si>
  <si>
    <t xml:space="preserve">Grain (gr)</t>
  </si>
  <si>
    <t xml:space="preserve">Troy ounce (oz t)</t>
  </si>
  <si>
    <t xml:space="preserve">Carat (ct)</t>
  </si>
  <si>
    <t xml:space="preserve">Temperature Converter</t>
  </si>
  <si>
    <t xml:space="preserve">SI base unit for this sheet: kelvin (K).  Blue cells on yellow = type here; drop-downs = choose unit.  ← Back to the Home sheet</t>
  </si>
  <si>
    <t xml:space="preserve">Degree Celsius (°C)</t>
  </si>
  <si>
    <t xml:space="preserve">Degree Fahrenheit (°F)</t>
  </si>
  <si>
    <t xml:space="preserve">Difference and average of two temperatures</t>
  </si>
  <si>
    <t xml:space="preserve">Formula:  ΔT = T2 − T1 ;  average = (T1 + T2) ÷ 2</t>
  </si>
  <si>
    <t xml:space="preserve">Temperature T1</t>
  </si>
  <si>
    <t xml:space="preserve">K</t>
  </si>
  <si>
    <t xml:space="preserve">Temperature T2</t>
  </si>
  <si>
    <t xml:space="preserve">⇒ Difference ΔT (T2 − T1)</t>
  </si>
  <si>
    <t xml:space="preserve">K (difference)</t>
  </si>
  <si>
    <t xml:space="preserve">⇒ Average temperature</t>
  </si>
  <si>
    <t xml:space="preserve">Temperature after a rise or fall</t>
  </si>
  <si>
    <t xml:space="preserve">Formula:  T final = T start + ΔT   (ΔT is a temperature difference)</t>
  </si>
  <si>
    <t xml:space="preserve">Starting temperature</t>
  </si>
  <si>
    <t xml:space="preserve">Change ΔT (difference)</t>
  </si>
  <si>
    <t xml:space="preserve">⇒ Final temperature</t>
  </si>
  <si>
    <t xml:space="preserve">1 unit = ? K
(factor)</t>
  </si>
  <si>
    <t xml:space="preserve">Kelvin (K)</t>
  </si>
  <si>
    <t xml:space="preserve">Rankine (°R)</t>
  </si>
  <si>
    <t xml:space="preserve">A temperature DIFFERENCE (ΔT) ignores the offset: a change of 10 °C = a change of 18 °F, but a temperature of 10 °C = 50 °F.</t>
  </si>
  <si>
    <t xml:space="preserve">Speed Converter</t>
  </si>
  <si>
    <t xml:space="preserve">SI base unit for this sheet: metre per second (m/s).  Blue cells on yellow = type here; drop-downs = choose unit.  ← Back to the Home sheet</t>
  </si>
  <si>
    <t xml:space="preserve">Mile per hour (mph)</t>
  </si>
  <si>
    <t xml:space="preserve">Average speed</t>
  </si>
  <si>
    <t xml:space="preserve">Formula:  v = distance ÷ time</t>
  </si>
  <si>
    <t xml:space="preserve">Distance</t>
  </si>
  <si>
    <t xml:space="preserve">⇒ Speed</t>
  </si>
  <si>
    <t xml:space="preserve">Metre per second (m/s)</t>
  </si>
  <si>
    <t xml:space="preserve">Fluid velocity in a pipe</t>
  </si>
  <si>
    <t xml:space="preserve">Formula:  v = Q ÷ (π/4 × D²)</t>
  </si>
  <si>
    <t xml:space="preserve">⇒ Velocity</t>
  </si>
  <si>
    <t xml:space="preserve">Foot per second (ft/s)</t>
  </si>
  <si>
    <t xml:space="preserve">1 unit = ? m/s
(factor)</t>
  </si>
  <si>
    <t xml:space="preserve">Knot (kn)</t>
  </si>
  <si>
    <t xml:space="preserve">Time Converter</t>
  </si>
  <si>
    <t xml:space="preserve">SI base unit for this sheet: second (s).  Blue cells on yellow = type here; drop-downs = choose unit.  ← Back to the Home sheet</t>
  </si>
  <si>
    <t xml:space="preserve">Travel time</t>
  </si>
  <si>
    <t xml:space="preserve">Formula:  t = distance ÷ speed</t>
  </si>
  <si>
    <t xml:space="preserve">⇒ Time</t>
  </si>
  <si>
    <t xml:space="preserve">Time to fill a tank</t>
  </si>
  <si>
    <t xml:space="preserve">Formula:  t = volume ÷ flow rate</t>
  </si>
  <si>
    <t xml:space="preserve">Litre per minute (L/min)</t>
  </si>
  <si>
    <t xml:space="preserve">⇒ Fill time</t>
  </si>
  <si>
    <t xml:space="preserve">Time to fill a pipe</t>
  </si>
  <si>
    <t xml:space="preserve">Formula:  t = (π/4 × D² × L) ÷ Q</t>
  </si>
  <si>
    <t xml:space="preserve">Litre per second (L/s)</t>
  </si>
  <si>
    <t xml:space="preserve">Second (s)</t>
  </si>
  <si>
    <t xml:space="preserve">1 unit = ? s
(factor)</t>
  </si>
  <si>
    <t xml:space="preserve">Nanosecond (ns)</t>
  </si>
  <si>
    <t xml:space="preserve">Microsecond (µs)</t>
  </si>
  <si>
    <t xml:space="preserve">Millisecond (ms)</t>
  </si>
  <si>
    <t xml:space="preserve">Day (d)</t>
  </si>
  <si>
    <t xml:space="preserve">Week (wk)</t>
  </si>
  <si>
    <t xml:space="preserve">Month (avg, 30.436875 d)</t>
  </si>
  <si>
    <t xml:space="preserve">Year (avg, 365.2425 d)</t>
  </si>
  <si>
    <t xml:space="preserve">Decade</t>
  </si>
  <si>
    <t xml:space="preserve">Century</t>
  </si>
  <si>
    <t xml:space="preserve">Month and year are Gregorian averages (365.2425 days per year).</t>
  </si>
  <si>
    <t xml:space="preserve">Pressure Converter</t>
  </si>
  <si>
    <t xml:space="preserve">SI base unit for this sheet: pascal (Pa).  Blue cells on yellow = type here; drop-downs = choose unit.  ← Back to the Home sheet</t>
  </si>
  <si>
    <t xml:space="preserve">Bar (bar)</t>
  </si>
  <si>
    <t xml:space="preserve">Pound per square inch (psi)</t>
  </si>
  <si>
    <t xml:space="preserve">Pressure from force and area</t>
  </si>
  <si>
    <t xml:space="preserve">Formula:  P = F ÷ A</t>
  </si>
  <si>
    <t xml:space="preserve">Pound-force (lbf)</t>
  </si>
  <si>
    <t xml:space="preserve">N</t>
  </si>
  <si>
    <t xml:space="preserve">⇒ Pressure</t>
  </si>
  <si>
    <t xml:space="preserve">Pa</t>
  </si>
  <si>
    <t xml:space="preserve">Pressure on a circular piston / pipe end</t>
  </si>
  <si>
    <t xml:space="preserve">Formula:  P = F ÷ (π/4 × D²)</t>
  </si>
  <si>
    <t xml:space="preserve">Kilonewton (kN)</t>
  </si>
  <si>
    <t xml:space="preserve">Hydrostatic pressure of a liquid column</t>
  </si>
  <si>
    <t xml:space="preserve">Formula:  P = ρ × g × h   (g = 9.80665 m/s²)</t>
  </si>
  <si>
    <t xml:space="preserve">Liquid height</t>
  </si>
  <si>
    <t xml:space="preserve">1 unit = ? Pa
(factor)</t>
  </si>
  <si>
    <t xml:space="preserve">Pascal (Pa)</t>
  </si>
  <si>
    <t xml:space="preserve">Kilopascal (kPa)</t>
  </si>
  <si>
    <t xml:space="preserve">Megapascal (MPa)</t>
  </si>
  <si>
    <t xml:space="preserve">Millibar (mbar)</t>
  </si>
  <si>
    <t xml:space="preserve">Kilopound per sq inch (ksi)</t>
  </si>
  <si>
    <t xml:space="preserve">Inch of mercury (inHg)</t>
  </si>
  <si>
    <t xml:space="preserve">Standard atmosphere (atm)</t>
  </si>
  <si>
    <t xml:space="preserve">Torr</t>
  </si>
  <si>
    <t xml:space="preserve">Millimetre of mercury (mmHg)</t>
  </si>
  <si>
    <t xml:space="preserve">Kilogram-force per cm² (kgf/cm²)</t>
  </si>
  <si>
    <t xml:space="preserve">inHg at 0 °C (3386.389 Pa); mmHg = 133.322387415 Pa. Pressures are as entered (gauge or absolute).</t>
  </si>
  <si>
    <t xml:space="preserve">Energy Converter</t>
  </si>
  <si>
    <t xml:space="preserve">SI base unit for this sheet: joule (J).  Blue cells on yellow = type here; drop-downs = choose unit.  ← Back to the Home sheet</t>
  </si>
  <si>
    <t xml:space="preserve">Kilojoule (kJ)</t>
  </si>
  <si>
    <t xml:space="preserve">Kilocalorie (kcal)</t>
  </si>
  <si>
    <t xml:space="preserve">Energy used</t>
  </si>
  <si>
    <t xml:space="preserve">Formula:  E = power × time</t>
  </si>
  <si>
    <t xml:space="preserve">Kilowatt (kW)</t>
  </si>
  <si>
    <t xml:space="preserve">W</t>
  </si>
  <si>
    <t xml:space="preserve">⇒ Energy</t>
  </si>
  <si>
    <t xml:space="preserve">Kilowatt-hour (kWh)</t>
  </si>
  <si>
    <t xml:space="preserve">J</t>
  </si>
  <si>
    <t xml:space="preserve">British thermal unit (BTU)</t>
  </si>
  <si>
    <t xml:space="preserve">Work done</t>
  </si>
  <si>
    <t xml:space="preserve">Formula:  W = force × distance</t>
  </si>
  <si>
    <t xml:space="preserve">⇒ Work</t>
  </si>
  <si>
    <t xml:space="preserve">Joule (J)</t>
  </si>
  <si>
    <t xml:space="preserve">Foot-pound force (ft·lbf)</t>
  </si>
  <si>
    <t xml:space="preserve">Potential energy</t>
  </si>
  <si>
    <t xml:space="preserve">Formula:  E = m × g × h   (g = 9.80665 m/s²)</t>
  </si>
  <si>
    <t xml:space="preserve">1 unit = ? J
(factor)</t>
  </si>
  <si>
    <t xml:space="preserve">Megajoule (MJ)</t>
  </si>
  <si>
    <t xml:space="preserve">Watt-hour (Wh)</t>
  </si>
  <si>
    <t xml:space="preserve">Calorie (cal)</t>
  </si>
  <si>
    <t xml:space="preserve">Therm (US)</t>
  </si>
  <si>
    <t xml:space="preserve">Electronvolt (eV)</t>
  </si>
  <si>
    <t xml:space="preserve">Erg</t>
  </si>
  <si>
    <t xml:space="preserve">BTU = International Table BTU; calorie = thermochemical calorie (4.184 J).</t>
  </si>
  <si>
    <t xml:space="preserve">Power Converter</t>
  </si>
  <si>
    <t xml:space="preserve">SI base unit for this sheet: watt (W).  Blue cells on yellow = type here; drop-downs = choose unit.  ← Back to the Home sheet</t>
  </si>
  <si>
    <t xml:space="preserve">Horsepower (hp)</t>
  </si>
  <si>
    <t xml:space="preserve">Power from energy and time</t>
  </si>
  <si>
    <t xml:space="preserve">Formula:  P = E ÷ t</t>
  </si>
  <si>
    <t xml:space="preserve">⇒ Power</t>
  </si>
  <si>
    <t xml:space="preserve">Shaft power from torque and speed</t>
  </si>
  <si>
    <t xml:space="preserve">Formula:  P = 2π × N × T</t>
  </si>
  <si>
    <t xml:space="preserve">Pound-force foot (lbf·ft)</t>
  </si>
  <si>
    <t xml:space="preserve">N·m</t>
  </si>
  <si>
    <t xml:space="preserve">Rotational speed</t>
  </si>
  <si>
    <t xml:space="preserve">Revolutions per minute (rpm)</t>
  </si>
  <si>
    <t xml:space="preserve">Hz</t>
  </si>
  <si>
    <t xml:space="preserve">Pump hydraulic power</t>
  </si>
  <si>
    <t xml:space="preserve">Formula:  P = flow rate × pressure</t>
  </si>
  <si>
    <t xml:space="preserve">Pressure (head)</t>
  </si>
  <si>
    <t xml:space="preserve">1 unit = ? W
(factor)</t>
  </si>
  <si>
    <t xml:space="preserve">Watt (W)</t>
  </si>
  <si>
    <t xml:space="preserve">Megawatt (MW)</t>
  </si>
  <si>
    <t xml:space="preserve">Metric horsepower (PS)</t>
  </si>
  <si>
    <t xml:space="preserve">BTU per hour (BTU/h)</t>
  </si>
  <si>
    <t xml:space="preserve">Foot-pound force per second (ft·lbf/s)</t>
  </si>
  <si>
    <t xml:space="preserve">Ton of refrigeration (TR)</t>
  </si>
  <si>
    <t xml:space="preserve">Kilocalorie per hour (kcal/h)</t>
  </si>
  <si>
    <t xml:space="preserve">Force Converter</t>
  </si>
  <si>
    <t xml:space="preserve">SI base unit for this sheet: newton (N).  Blue cells on yellow = type here; drop-downs = choose unit.  ← Back to the Home sheet</t>
  </si>
  <si>
    <t xml:space="preserve">Newton (N)</t>
  </si>
  <si>
    <t xml:space="preserve">Force from pressure and area</t>
  </si>
  <si>
    <t xml:space="preserve">Formula:  F = P × A</t>
  </si>
  <si>
    <t xml:space="preserve">⇒ Force</t>
  </si>
  <si>
    <t xml:space="preserve">Force on a circular piston / pipe end</t>
  </si>
  <si>
    <t xml:space="preserve">Formula:  F = P × π/4 × D²</t>
  </si>
  <si>
    <t xml:space="preserve">Weight (force) of a mass</t>
  </si>
  <si>
    <t xml:space="preserve">Formula:  F = m × g   (g = 9.80665 m/s²)</t>
  </si>
  <si>
    <t xml:space="preserve">⇒ Weight</t>
  </si>
  <si>
    <t xml:space="preserve">Kilogram-force (kgf)</t>
  </si>
  <si>
    <t xml:space="preserve">1 unit = ? N
(factor)</t>
  </si>
  <si>
    <t xml:space="preserve">Dyne (dyn)</t>
  </si>
  <si>
    <t xml:space="preserve">Kip (kip)</t>
  </si>
  <si>
    <t xml:space="preserve">Poundal (pdl)</t>
  </si>
  <si>
    <t xml:space="preserve">Tonne-force (tf)</t>
  </si>
  <si>
    <t xml:space="preserve">Torque Converter</t>
  </si>
  <si>
    <t xml:space="preserve">SI base unit for this sheet: newton metre (N·m).  Blue cells on yellow = type here; drop-downs = choose unit.  ← Back to the Home sheet</t>
  </si>
  <si>
    <t xml:space="preserve">Newton metre (N·m)</t>
  </si>
  <si>
    <t xml:space="preserve">Torque from force and lever arm</t>
  </si>
  <si>
    <t xml:space="preserve">Formula:  T = F × r</t>
  </si>
  <si>
    <t xml:space="preserve">Lever arm length</t>
  </si>
  <si>
    <t xml:space="preserve">⇒ Torque</t>
  </si>
  <si>
    <t xml:space="preserve">Torque from power and speed</t>
  </si>
  <si>
    <t xml:space="preserve">Formula:  T = P ÷ (2π × N)</t>
  </si>
  <si>
    <t xml:space="preserve">1 unit = ? N·m
(factor)</t>
  </si>
  <si>
    <t xml:space="preserve">Kilonewton metre (kN·m)</t>
  </si>
  <si>
    <t xml:space="preserve">Pound-force inch (lbf·in)</t>
  </si>
  <si>
    <t xml:space="preserve">Ounce-force inch (ozf·in)</t>
  </si>
  <si>
    <t xml:space="preserve">Kilogram-force metre (kgf·m)</t>
  </si>
  <si>
    <t xml:space="preserve">Density Converter</t>
  </si>
  <si>
    <t xml:space="preserve">SI base unit for this sheet: kilogram per cubic metre (kg/m³).  Blue cells on yellow = type here; drop-downs = choose unit.  ← Back to the Home sheet</t>
  </si>
  <si>
    <t xml:space="preserve">Density from mass and volume</t>
  </si>
  <si>
    <t xml:space="preserve">Formula:  ρ = m ÷ V</t>
  </si>
  <si>
    <t xml:space="preserve">⇒ Density</t>
  </si>
  <si>
    <t xml:space="preserve">Density from specific gravity</t>
  </si>
  <si>
    <t xml:space="preserve">Formula:  ρ = SG × 1000 kg/m³   (water reference)</t>
  </si>
  <si>
    <t xml:space="preserve">Specific gravity (no unit)</t>
  </si>
  <si>
    <t xml:space="preserve">(no unit)</t>
  </si>
  <si>
    <t xml:space="preserve">Pound per US gallon (lb/gal)</t>
  </si>
  <si>
    <t xml:space="preserve">1 unit = ? kg/m³
(factor)</t>
  </si>
  <si>
    <t xml:space="preserve">Gram per cubic centimetre (g/cm³)</t>
  </si>
  <si>
    <t xml:space="preserve">Kilogram per litre (kg/L)</t>
  </si>
  <si>
    <t xml:space="preserve">Gram per litre (g/L)</t>
  </si>
  <si>
    <t xml:space="preserve">Pound per cubic inch (lb/in³)</t>
  </si>
  <si>
    <t xml:space="preserve">Ounce per cubic inch (oz/in³)</t>
  </si>
  <si>
    <t xml:space="preserve">Flow Rate Converter</t>
  </si>
  <si>
    <t xml:space="preserve">SI base unit for this sheet: cubic metre per second (m³/s).  Blue cells on yellow = type here; drop-downs = choose unit.  ← Back to the Home sheet</t>
  </si>
  <si>
    <t xml:space="preserve">Flow rate from volume and time</t>
  </si>
  <si>
    <t xml:space="preserve">Formula:  Q = V ÷ t</t>
  </si>
  <si>
    <t xml:space="preserve">⇒ Flow rate</t>
  </si>
  <si>
    <t xml:space="preserve">Cubic metre per hour (m³/h)</t>
  </si>
  <si>
    <t xml:space="preserve">Flow rate in a pipe from velocity</t>
  </si>
  <si>
    <t xml:space="preserve">Formula:  Q = v × π/4 × D²</t>
  </si>
  <si>
    <t xml:space="preserve">Velocity</t>
  </si>
  <si>
    <t xml:space="preserve">1 unit = ? m³/s
(factor)</t>
  </si>
  <si>
    <t xml:space="preserve">Cubic metre per second (m³/s)</t>
  </si>
  <si>
    <t xml:space="preserve">Imperial gallon per minute</t>
  </si>
  <si>
    <t xml:space="preserve">Cubic foot per minute (cfm)</t>
  </si>
  <si>
    <t xml:space="preserve">Cubic foot per second (cfs)</t>
  </si>
  <si>
    <t xml:space="preserve">Oil barrel per day (bbl/d)</t>
  </si>
  <si>
    <t xml:space="preserve">Angle Converter</t>
  </si>
  <si>
    <t xml:space="preserve">SI base unit for this sheet: radian (rad).  Blue cells on yellow = type here; drop-downs = choose unit.  ← Back to the Home sheet</t>
  </si>
  <si>
    <t xml:space="preserve">Degree (°)</t>
  </si>
  <si>
    <t xml:space="preserve">Radian (rad)</t>
  </si>
  <si>
    <t xml:space="preserve">Slope angle from rise and run</t>
  </si>
  <si>
    <t xml:space="preserve">Formula:  angle = ATAN(rise ÷ run) ;  slope % = 100 × rise ÷ run</t>
  </si>
  <si>
    <t xml:space="preserve">Rise (vertical)</t>
  </si>
  <si>
    <t xml:space="preserve">Run (horizontal)</t>
  </si>
  <si>
    <t xml:space="preserve">⇒ Angle</t>
  </si>
  <si>
    <t xml:space="preserve">rad</t>
  </si>
  <si>
    <t xml:space="preserve">⇒ Slope (%)</t>
  </si>
  <si>
    <t xml:space="preserve">Arc length</t>
  </si>
  <si>
    <t xml:space="preserve">Formula:  s = radius × angle (in radians)</t>
  </si>
  <si>
    <t xml:space="preserve">Radius</t>
  </si>
  <si>
    <t xml:space="preserve">⇒ Arc length</t>
  </si>
  <si>
    <t xml:space="preserve">1 unit = ? rad
(factor)</t>
  </si>
  <si>
    <t xml:space="preserve">Milliradian (mrad)</t>
  </si>
  <si>
    <t xml:space="preserve">Arcminute (′)</t>
  </si>
  <si>
    <t xml:space="preserve">Arcsecond (″)</t>
  </si>
  <si>
    <t xml:space="preserve">Gradian (gon)</t>
  </si>
  <si>
    <t xml:space="preserve">Revolution (rev)</t>
  </si>
  <si>
    <t xml:space="preserve">Frequency Converter</t>
  </si>
  <si>
    <t xml:space="preserve">SI base unit for this sheet: hertz (Hz).  Blue cells on yellow = type here; drop-downs = choose unit.  ← Back to the Home sheet</t>
  </si>
  <si>
    <t xml:space="preserve">Hertz (Hz)</t>
  </si>
  <si>
    <t xml:space="preserve">Frequency from period</t>
  </si>
  <si>
    <t xml:space="preserve">Formula:  f = 1 ÷ T</t>
  </si>
  <si>
    <t xml:space="preserve">Period (time of one cycle)</t>
  </si>
  <si>
    <t xml:space="preserve">⇒ Frequency</t>
  </si>
  <si>
    <t xml:space="preserve">Rotational speed from surface speed</t>
  </si>
  <si>
    <t xml:space="preserve">Formula:  N = v ÷ (π × D)</t>
  </si>
  <si>
    <t xml:space="preserve">Surface (cutting) speed</t>
  </si>
  <si>
    <t xml:space="preserve">1 unit = ? Hz
(factor)</t>
  </si>
  <si>
    <t xml:space="preserve">Kilohertz (kHz)</t>
  </si>
  <si>
    <t xml:space="preserve">Megahertz (MHz)</t>
  </si>
  <si>
    <t xml:space="preserve">Gigahertz (GHz)</t>
  </si>
  <si>
    <t xml:space="preserve">Radian per second (rad/s)</t>
  </si>
  <si>
    <t xml:space="preserve">Data Storage Converter</t>
  </si>
  <si>
    <t xml:space="preserve">SI base unit for this sheet: byte (B).  Blue cells on yellow = type here; drop-downs = choose unit.  ← Back to the Home sheet</t>
  </si>
  <si>
    <t xml:space="preserve">Megabyte (MB)</t>
  </si>
  <si>
    <t xml:space="preserve">Mebibyte (MiB)</t>
  </si>
  <si>
    <t xml:space="preserve">Download / transfer time</t>
  </si>
  <si>
    <t xml:space="preserve">Formula:  t = file size ÷ connection speed   (speed = amount per second, e.g. Megabit = Mbps)</t>
  </si>
  <si>
    <t xml:space="preserve">File size</t>
  </si>
  <si>
    <t xml:space="preserve">Gigabyte (GB)</t>
  </si>
  <si>
    <t xml:space="preserve">B</t>
  </si>
  <si>
    <t xml:space="preserve">Connection speed (per second)</t>
  </si>
  <si>
    <t xml:space="preserve">Megabit (Mb)</t>
  </si>
  <si>
    <t xml:space="preserve">⇒ Transfer time</t>
  </si>
  <si>
    <t xml:space="preserve">Add file sizes given in different units</t>
  </si>
  <si>
    <t xml:space="preserve">Formula:  Total = S1 + S2 + S3</t>
  </si>
  <si>
    <t xml:space="preserve">Size 1</t>
  </si>
  <si>
    <t xml:space="preserve">Size 2</t>
  </si>
  <si>
    <t xml:space="preserve">Gibibyte (GiB)</t>
  </si>
  <si>
    <t xml:space="preserve">Size 3 (optional)</t>
  </si>
  <si>
    <t xml:space="preserve">Kilobyte (kB)</t>
  </si>
  <si>
    <t xml:space="preserve">⇒ Total size</t>
  </si>
  <si>
    <t xml:space="preserve">1 unit = ? B
(factor)</t>
  </si>
  <si>
    <t xml:space="preserve">Bit (b)</t>
  </si>
  <si>
    <t xml:space="preserve">Byte (B)</t>
  </si>
  <si>
    <t xml:space="preserve">Kilobit (kb)</t>
  </si>
  <si>
    <t xml:space="preserve">Decimal (SI)</t>
  </si>
  <si>
    <t xml:space="preserve">Gigabit (Gb)</t>
  </si>
  <si>
    <t xml:space="preserve">Terabyte (TB)</t>
  </si>
  <si>
    <t xml:space="preserve">Kibibyte (KiB)</t>
  </si>
  <si>
    <t xml:space="preserve">Binary (IEC)</t>
  </si>
  <si>
    <t xml:space="preserve">Tebibyte (TiB)</t>
  </si>
  <si>
    <t xml:space="preserve">Decimal units (kB, MB, GB…) use powers of 1000; binary units (KiB, MiB, GiB…) use powers of 1024. 1 byte = 8 bits; internet speeds are usually quoted in Megabit (Mb) per second.</t>
  </si>
</sst>
</file>

<file path=xl/styles.xml><?xml version="1.0" encoding="utf-8"?>
<styleSheet xmlns="http://schemas.openxmlformats.org/spreadsheetml/2006/main">
  <numFmts count="2">
    <numFmt numFmtId="164" formatCode="General"/>
    <numFmt numFmtId="165" formatCode="General"/>
  </numFmts>
  <fonts count="26">
    <font>
      <sz val="11"/>
      <color theme="1"/>
      <name val="Calibri"/>
      <family val="2"/>
      <charset val="1"/>
    </font>
    <font>
      <sz val="10"/>
      <name val="Arial"/>
      <family val="0"/>
    </font>
    <font>
      <sz val="10"/>
      <name val="Arial"/>
      <family val="0"/>
    </font>
    <font>
      <sz val="10"/>
      <name val="Arial"/>
      <family val="0"/>
    </font>
    <font>
      <b val="true"/>
      <sz val="20"/>
      <color rgb="FF1F3864"/>
      <name val="Arial"/>
      <family val="0"/>
      <charset val="1"/>
    </font>
    <font>
      <i val="true"/>
      <sz val="10"/>
      <color rgb="FF595959"/>
      <name val="Arial"/>
      <family val="0"/>
      <charset val="1"/>
    </font>
    <font>
      <b val="true"/>
      <sz val="12"/>
      <color rgb="FF1F3864"/>
      <name val="Arial"/>
      <family val="0"/>
      <charset val="1"/>
    </font>
    <font>
      <sz val="11"/>
      <name val="Arial"/>
      <family val="0"/>
      <charset val="1"/>
    </font>
    <font>
      <b val="true"/>
      <sz val="11"/>
      <color rgb="FFFFFFFF"/>
      <name val="Arial"/>
      <family val="0"/>
      <charset val="1"/>
    </font>
    <font>
      <sz val="10"/>
      <name val="Arial"/>
      <family val="0"/>
      <charset val="1"/>
    </font>
    <font>
      <b val="true"/>
      <u val="single"/>
      <sz val="11"/>
      <color rgb="FF0563C1"/>
      <name val="Arial"/>
      <family val="0"/>
      <charset val="1"/>
    </font>
    <font>
      <b val="true"/>
      <sz val="18"/>
      <color rgb="FF1F3864"/>
      <name val="Arial"/>
      <family val="0"/>
      <charset val="1"/>
    </font>
    <font>
      <b val="true"/>
      <sz val="11"/>
      <color rgb="FF404040"/>
      <name val="Arial"/>
      <family val="0"/>
      <charset val="1"/>
    </font>
    <font>
      <b val="true"/>
      <sz val="16"/>
      <color rgb="FF0000FF"/>
      <name val="Arial"/>
      <family val="0"/>
      <charset val="1"/>
    </font>
    <font>
      <b val="true"/>
      <sz val="12"/>
      <color rgb="FF000000"/>
      <name val="Arial"/>
      <family val="0"/>
      <charset val="1"/>
    </font>
    <font>
      <b val="true"/>
      <sz val="18"/>
      <color rgb="FF404040"/>
      <name val="Arial"/>
      <family val="0"/>
      <charset val="1"/>
    </font>
    <font>
      <b val="true"/>
      <sz val="16"/>
      <color rgb="FF000000"/>
      <name val="Arial"/>
      <family val="0"/>
      <charset val="1"/>
    </font>
    <font>
      <sz val="9"/>
      <color rgb="FF808080"/>
      <name val="Arial"/>
      <family val="0"/>
      <charset val="1"/>
    </font>
    <font>
      <i val="true"/>
      <sz val="11"/>
      <name val="Arial"/>
      <family val="0"/>
      <charset val="1"/>
    </font>
    <font>
      <b val="true"/>
      <sz val="11"/>
      <color rgb="FF1F3864"/>
      <name val="Arial"/>
      <family val="0"/>
      <charset val="1"/>
    </font>
    <font>
      <b val="true"/>
      <sz val="11"/>
      <color rgb="FF0000FF"/>
      <name val="Arial"/>
      <family val="0"/>
      <charset val="1"/>
    </font>
    <font>
      <b val="true"/>
      <sz val="11"/>
      <name val="Arial"/>
      <family val="0"/>
      <charset val="1"/>
    </font>
    <font>
      <b val="true"/>
      <sz val="12"/>
      <name val="Arial"/>
      <family val="0"/>
      <charset val="1"/>
    </font>
    <font>
      <b val="true"/>
      <sz val="11"/>
      <color rgb="FFC00000"/>
      <name val="Arial"/>
      <family val="0"/>
      <charset val="1"/>
    </font>
    <font>
      <sz val="10"/>
      <color rgb="FF595959"/>
      <name val="Arial"/>
      <family val="0"/>
      <charset val="1"/>
    </font>
    <font>
      <sz val="11"/>
      <color rgb="FF808080"/>
      <name val="Arial"/>
      <family val="0"/>
      <charset val="1"/>
    </font>
  </fonts>
  <fills count="7">
    <fill>
      <patternFill patternType="none"/>
    </fill>
    <fill>
      <patternFill patternType="gray125"/>
    </fill>
    <fill>
      <patternFill patternType="solid">
        <fgColor rgb="FF1F3864"/>
        <bgColor rgb="FF333399"/>
      </patternFill>
    </fill>
    <fill>
      <patternFill patternType="solid">
        <fgColor rgb="FFFFFF00"/>
        <bgColor rgb="FFFFFF00"/>
      </patternFill>
    </fill>
    <fill>
      <patternFill patternType="solid">
        <fgColor rgb="FFFFF2CC"/>
        <bgColor rgb="FFE2EFDA"/>
      </patternFill>
    </fill>
    <fill>
      <patternFill patternType="solid">
        <fgColor rgb="FFE2EFDA"/>
        <bgColor rgb="FFD9E1F2"/>
      </patternFill>
    </fill>
    <fill>
      <patternFill patternType="solid">
        <fgColor rgb="FFD9E1F2"/>
        <bgColor rgb="FFE2EFDA"/>
      </patternFill>
    </fill>
  </fills>
  <borders count="3">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 diagonalUp="false" diagonalDown="false">
      <left style="medium">
        <color rgb="FF1F3864"/>
      </left>
      <right style="medium">
        <color rgb="FF1F3864"/>
      </right>
      <top style="medium">
        <color rgb="FF1F3864"/>
      </top>
      <bottom style="medium">
        <color rgb="FF1F3864"/>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2" borderId="1" xfId="0" applyFont="true" applyBorder="true" applyAlignment="true" applyProtection="false">
      <alignment horizontal="center" vertical="center" textRotation="0" wrapText="true" indent="0" shrinkToFit="false"/>
      <protection locked="true" hidden="false"/>
    </xf>
    <xf numFmtId="164" fontId="9" fillId="0" borderId="1" xfId="0" applyFont="true" applyBorder="true" applyAlignment="true" applyProtection="false">
      <alignment horizontal="center" vertical="center" textRotation="0" wrapText="true" indent="0" shrinkToFit="false"/>
      <protection locked="true" hidden="false"/>
    </xf>
    <xf numFmtId="164" fontId="10" fillId="0" borderId="1" xfId="0" applyFont="true" applyBorder="true" applyAlignment="true" applyProtection="false">
      <alignment horizontal="center" vertical="center" textRotation="0" wrapText="true" indent="0" shrinkToFit="false"/>
      <protection locked="true" hidden="false"/>
    </xf>
    <xf numFmtId="164" fontId="9" fillId="0" borderId="1" xfId="0" applyFont="true" applyBorder="true" applyAlignment="true" applyProtection="false">
      <alignment horizontal="left" vertical="center" textRotation="0" wrapText="tru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12" fillId="0" borderId="0" xfId="0" applyFont="true" applyBorder="false" applyAlignment="true" applyProtection="false">
      <alignment horizontal="right" vertical="center" textRotation="0" wrapText="false" indent="0" shrinkToFit="false"/>
      <protection locked="true" hidden="false"/>
    </xf>
    <xf numFmtId="164" fontId="13" fillId="3" borderId="2" xfId="0" applyFont="true" applyBorder="true" applyAlignment="true" applyProtection="false">
      <alignment horizontal="center" vertical="center" textRotation="0" wrapText="true" indent="0" shrinkToFit="false"/>
      <protection locked="true" hidden="false"/>
    </xf>
    <xf numFmtId="164" fontId="14" fillId="4" borderId="2" xfId="0" applyFont="true" applyBorder="true" applyAlignment="true" applyProtection="false">
      <alignment horizontal="center" vertical="center" textRotation="0" wrapText="true" indent="0" shrinkToFit="false"/>
      <protection locked="true" hidden="false"/>
    </xf>
    <xf numFmtId="164" fontId="15" fillId="0" borderId="0" xfId="0" applyFont="true" applyBorder="true" applyAlignment="true" applyProtection="false">
      <alignment horizontal="center" vertical="center" textRotation="0" wrapText="true" indent="0" shrinkToFit="false"/>
      <protection locked="true" hidden="false"/>
    </xf>
    <xf numFmtId="165" fontId="16" fillId="5" borderId="2" xfId="0" applyFont="true" applyBorder="true" applyAlignment="true" applyProtection="false">
      <alignment horizontal="center" vertical="center" textRotation="0" wrapText="true" indent="0" shrinkToFit="false"/>
      <protection locked="true" hidden="false"/>
    </xf>
    <xf numFmtId="164" fontId="17" fillId="0" borderId="0" xfId="0" applyFont="true" applyBorder="false" applyAlignment="true" applyProtection="false">
      <alignment horizontal="center" vertical="center" textRotation="0" wrapText="true" indent="0" shrinkToFit="false"/>
      <protection locked="true" hidden="false"/>
    </xf>
    <xf numFmtId="164" fontId="18" fillId="0" borderId="0" xfId="0" applyFont="true" applyBorder="false" applyAlignment="false" applyProtection="false">
      <alignment horizontal="general" vertical="bottom" textRotation="0" wrapText="false" indent="0" shrinkToFit="false"/>
      <protection locked="true" hidden="false"/>
    </xf>
    <xf numFmtId="164" fontId="17" fillId="0" borderId="0" xfId="0" applyFont="true" applyBorder="false" applyAlignment="false" applyProtection="false">
      <alignment horizontal="general" vertical="bottom" textRotation="0" wrapText="false" indent="0" shrinkToFit="false"/>
      <protection locked="true" hidden="false"/>
    </xf>
    <xf numFmtId="164" fontId="19" fillId="6" borderId="0" xfId="0" applyFont="true" applyBorder="false" applyAlignment="true" applyProtection="false">
      <alignment horizontal="left" vertical="center" textRotation="0" wrapText="false" indent="0" shrinkToFit="false"/>
      <protection locked="true" hidden="false"/>
    </xf>
    <xf numFmtId="164" fontId="0" fillId="6" borderId="0" xfId="0" applyFont="false" applyBorder="false" applyAlignment="fals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right" vertical="center" textRotation="0" wrapText="false" indent="0" shrinkToFit="false"/>
      <protection locked="true" hidden="false"/>
    </xf>
    <xf numFmtId="164" fontId="20" fillId="4" borderId="1" xfId="0" applyFont="true" applyBorder="true" applyAlignment="true" applyProtection="false">
      <alignment horizontal="center" vertical="center" textRotation="0" wrapText="true" indent="0" shrinkToFit="false"/>
      <protection locked="true" hidden="false"/>
    </xf>
    <xf numFmtId="164" fontId="21" fillId="4" borderId="1" xfId="0" applyFont="true" applyBorder="true" applyAlignment="true" applyProtection="false">
      <alignment horizontal="left" vertical="center" textRotation="0" wrapText="false" indent="0" shrinkToFit="false"/>
      <protection locked="true" hidden="false"/>
    </xf>
    <xf numFmtId="165" fontId="17" fillId="0" borderId="1" xfId="0" applyFont="true" applyBorder="true" applyAlignment="true" applyProtection="false">
      <alignment horizontal="center" vertical="center" textRotation="0" wrapText="true" indent="0" shrinkToFit="false"/>
      <protection locked="true" hidden="false"/>
    </xf>
    <xf numFmtId="164" fontId="21" fillId="0" borderId="1" xfId="0" applyFont="true" applyBorder="true" applyAlignment="true" applyProtection="false">
      <alignment horizontal="right" vertical="center" textRotation="0" wrapText="false" indent="0" shrinkToFit="false"/>
      <protection locked="true" hidden="false"/>
    </xf>
    <xf numFmtId="165" fontId="22" fillId="5" borderId="1" xfId="0" applyFont="true" applyBorder="true" applyAlignment="true" applyProtection="false">
      <alignment horizontal="center" vertical="center" textRotation="0" wrapText="true" indent="0" shrinkToFit="false"/>
      <protection locked="true" hidden="false"/>
    </xf>
    <xf numFmtId="164" fontId="23" fillId="0" borderId="0" xfId="0" applyFont="true" applyBorder="true" applyAlignment="false" applyProtection="false">
      <alignment horizontal="general" vertical="bottom" textRotation="0" wrapText="false" indent="0" shrinkToFit="false"/>
      <protection locked="true" hidden="false"/>
    </xf>
    <xf numFmtId="164" fontId="17" fillId="0" borderId="0" xfId="0" applyFont="true" applyBorder="false" applyAlignment="true" applyProtection="false">
      <alignment horizontal="right" vertical="center" textRotation="0" wrapText="false" indent="0" shrinkToFit="false"/>
      <protection locked="true" hidden="false"/>
    </xf>
    <xf numFmtId="164" fontId="21" fillId="0" borderId="1" xfId="0" applyFont="true" applyBorder="true" applyAlignment="false" applyProtection="false">
      <alignment horizontal="general" vertical="bottom" textRotation="0" wrapText="false" indent="0" shrinkToFit="false"/>
      <protection locked="true" hidden="false"/>
    </xf>
    <xf numFmtId="164" fontId="24" fillId="0" borderId="1" xfId="0" applyFont="true" applyBorder="true" applyAlignment="false" applyProtection="false">
      <alignment horizontal="general" vertical="bottom" textRotation="0" wrapText="false" indent="0" shrinkToFit="false"/>
      <protection locked="true" hidden="false"/>
    </xf>
    <xf numFmtId="164" fontId="25" fillId="0" borderId="1" xfId="0" applyFont="true" applyBorder="true" applyAlignment="true" applyProtection="false">
      <alignment horizontal="center" vertical="center" textRotation="0" wrapText="true" indent="0" shrinkToFit="false"/>
      <protection locked="true" hidden="false"/>
    </xf>
    <xf numFmtId="164" fontId="21" fillId="5"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4" fontId="17" fillId="0" borderId="1"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
    <dxf>
      <font>
        <name val="Arial"/>
        <charset val="1"/>
        <family val="0"/>
        <b val="1"/>
        <color rgb="FFC00000"/>
      </font>
    </dxf>
  </dxf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CCFFFF"/>
      <rgbColor rgb="FF660066"/>
      <rgbColor rgb="FFFF8080"/>
      <rgbColor rgb="FF0563C1"/>
      <rgbColor rgb="FFD9E1F2"/>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404040"/>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Unit_Converter.xlsx" TargetMode="External"/><Relationship Id="rId2" Type="http://schemas.openxmlformats.org/officeDocument/2006/relationships/hyperlink" Target="Unit_Converter.xlsx" TargetMode="External"/><Relationship Id="rId3" Type="http://schemas.openxmlformats.org/officeDocument/2006/relationships/hyperlink" Target="Unit_Converter.xlsx" TargetMode="External"/><Relationship Id="rId4" Type="http://schemas.openxmlformats.org/officeDocument/2006/relationships/hyperlink" Target="Unit_Converter.xlsx" TargetMode="External"/><Relationship Id="rId5" Type="http://schemas.openxmlformats.org/officeDocument/2006/relationships/hyperlink" Target="Unit_Converter.xlsx" TargetMode="External"/><Relationship Id="rId6" Type="http://schemas.openxmlformats.org/officeDocument/2006/relationships/hyperlink" Target="Unit_Converter.xlsx" TargetMode="External"/><Relationship Id="rId7" Type="http://schemas.openxmlformats.org/officeDocument/2006/relationships/hyperlink" Target="Unit_Converter.xlsx" TargetMode="External"/><Relationship Id="rId8" Type="http://schemas.openxmlformats.org/officeDocument/2006/relationships/hyperlink" Target="Unit_Converter.xlsx" TargetMode="External"/><Relationship Id="rId9" Type="http://schemas.openxmlformats.org/officeDocument/2006/relationships/hyperlink" Target="Unit_Converter.xlsx" TargetMode="External"/><Relationship Id="rId10" Type="http://schemas.openxmlformats.org/officeDocument/2006/relationships/hyperlink" Target="Unit_Converter.xlsx" TargetMode="External"/><Relationship Id="rId11" Type="http://schemas.openxmlformats.org/officeDocument/2006/relationships/hyperlink" Target="Unit_Converter.xlsx" TargetMode="External"/><Relationship Id="rId12" Type="http://schemas.openxmlformats.org/officeDocument/2006/relationships/hyperlink" Target="Unit_Converter.xlsx" TargetMode="External"/><Relationship Id="rId13" Type="http://schemas.openxmlformats.org/officeDocument/2006/relationships/hyperlink" Target="Unit_Converter.xlsx" TargetMode="External"/><Relationship Id="rId14" Type="http://schemas.openxmlformats.org/officeDocument/2006/relationships/hyperlink" Target="Unit_Converter.xlsx" TargetMode="External"/><Relationship Id="rId15" Type="http://schemas.openxmlformats.org/officeDocument/2006/relationships/hyperlink" Target="Unit_Converter.xlsx" TargetMode="External"/><Relationship Id="rId16" Type="http://schemas.openxmlformats.org/officeDocument/2006/relationships/hyperlink" Target="Unit_Converter.xlsx" TargetMode="External"/><Relationship Id="rId17" Type="http://schemas.openxmlformats.org/officeDocument/2006/relationships/hyperlink" Target="Unit_Converter.xlsx" TargetMode="External"/>
</Relationships>
</file>

<file path=xl/worksheets/_rels/sheet2.xml.rels><?xml version="1.0" encoding="UTF-8"?>
<Relationships xmlns="http://schemas.openxmlformats.org/package/2006/relationships"><Relationship Id="rId1" Type="http://schemas.openxmlformats.org/officeDocument/2006/relationships/hyperlink" Target="Unit_Converter.xlsx" TargetMode="External"/>
</Relationships>
</file>

<file path=xl/worksheets/_rels/sheet3.xml.rels><?xml version="1.0" encoding="UTF-8"?>
<Relationships xmlns="http://schemas.openxmlformats.org/package/2006/relationships"><Relationship Id="rId1" Type="http://schemas.openxmlformats.org/officeDocument/2006/relationships/hyperlink" Target="Unit_Converter.xlsx" TargetMode="External"/>
</Relationships>
</file>

<file path=xl/worksheets/_rels/sheet4.xml.rels><?xml version="1.0" encoding="UTF-8"?>
<Relationships xmlns="http://schemas.openxmlformats.org/package/2006/relationships"><Relationship Id="rId1" Type="http://schemas.openxmlformats.org/officeDocument/2006/relationships/hyperlink" Target="Unit_Converter.xlsx" TargetMode="External"/>
</Relationships>
</file>

<file path=xl/worksheets/_rels/sheet5.xml.rels><?xml version="1.0" encoding="UTF-8"?>
<Relationships xmlns="http://schemas.openxmlformats.org/package/2006/relationships"><Relationship Id="rId1" Type="http://schemas.openxmlformats.org/officeDocument/2006/relationships/hyperlink" Target="Unit_Converter.xlsx" TargetMode="External"/>
</Relationships>
</file>

<file path=xl/worksheets/_rels/sheet6.xml.rels><?xml version="1.0" encoding="UTF-8"?>
<Relationships xmlns="http://schemas.openxmlformats.org/package/2006/relationships"><Relationship Id="rId1" Type="http://schemas.openxmlformats.org/officeDocument/2006/relationships/hyperlink" Target="Unit_Converter.xlsx" TargetMode="External"/>
</Relationships>
</file>

<file path=xl/worksheets/_rels/sheet7.xml.rels><?xml version="1.0" encoding="UTF-8"?>
<Relationships xmlns="http://schemas.openxmlformats.org/package/2006/relationships"><Relationship Id="rId1" Type="http://schemas.openxmlformats.org/officeDocument/2006/relationships/hyperlink" Target="Unit_Converter.xlsx" TargetMode="External"/>
</Relationships>
</file>

<file path=xl/worksheets/_rels/sheet8.xml.rels><?xml version="1.0" encoding="UTF-8"?>
<Relationships xmlns="http://schemas.openxmlformats.org/package/2006/relationships"><Relationship Id="rId1" Type="http://schemas.openxmlformats.org/officeDocument/2006/relationships/hyperlink" Target="Unit_Converter.xlsx" TargetMode="External"/>
</Relationships>
</file>

<file path=xl/worksheets/_rels/sheet9.xml.rels><?xml version="1.0" encoding="UTF-8"?>
<Relationships xmlns="http://schemas.openxmlformats.org/package/2006/relationships"><Relationship Id="rId1" Type="http://schemas.openxmlformats.org/officeDocument/2006/relationships/hyperlink" Target="Unit_Converter.xlsx" TargetMode="External"/>
</Relationships>
</file>

<file path=xl/worksheets/_rels/sheet10.xml.rels><?xml version="1.0" encoding="UTF-8"?>
<Relationships xmlns="http://schemas.openxmlformats.org/package/2006/relationships"><Relationship Id="rId1" Type="http://schemas.openxmlformats.org/officeDocument/2006/relationships/hyperlink" Target="Unit_Converter.xlsx" TargetMode="External"/>
</Relationships>
</file>

<file path=xl/worksheets/_rels/sheet11.xml.rels><?xml version="1.0" encoding="UTF-8"?>
<Relationships xmlns="http://schemas.openxmlformats.org/package/2006/relationships"><Relationship Id="rId1" Type="http://schemas.openxmlformats.org/officeDocument/2006/relationships/hyperlink" Target="Unit_Converter.xlsx" TargetMode="External"/>
</Relationships>
</file>

<file path=xl/worksheets/_rels/sheet12.xml.rels><?xml version="1.0" encoding="UTF-8"?>
<Relationships xmlns="http://schemas.openxmlformats.org/package/2006/relationships"><Relationship Id="rId1" Type="http://schemas.openxmlformats.org/officeDocument/2006/relationships/hyperlink" Target="Unit_Converter.xlsx" TargetMode="External"/>
</Relationships>
</file>

<file path=xl/worksheets/_rels/sheet13.xml.rels><?xml version="1.0" encoding="UTF-8"?>
<Relationships xmlns="http://schemas.openxmlformats.org/package/2006/relationships"><Relationship Id="rId1" Type="http://schemas.openxmlformats.org/officeDocument/2006/relationships/hyperlink" Target="Unit_Converter.xlsx" TargetMode="External"/>
</Relationships>
</file>

<file path=xl/worksheets/_rels/sheet14.xml.rels><?xml version="1.0" encoding="UTF-8"?>
<Relationships xmlns="http://schemas.openxmlformats.org/package/2006/relationships"><Relationship Id="rId1" Type="http://schemas.openxmlformats.org/officeDocument/2006/relationships/hyperlink" Target="Unit_Converter.xlsx" TargetMode="External"/>
</Relationships>
</file>

<file path=xl/worksheets/_rels/sheet15.xml.rels><?xml version="1.0" encoding="UTF-8"?>
<Relationships xmlns="http://schemas.openxmlformats.org/package/2006/relationships"><Relationship Id="rId1" Type="http://schemas.openxmlformats.org/officeDocument/2006/relationships/hyperlink" Target="Unit_Converter.xlsx" TargetMode="External"/>
</Relationships>
</file>

<file path=xl/worksheets/_rels/sheet16.xml.rels><?xml version="1.0" encoding="UTF-8"?>
<Relationships xmlns="http://schemas.openxmlformats.org/package/2006/relationships"><Relationship Id="rId1" Type="http://schemas.openxmlformats.org/officeDocument/2006/relationships/hyperlink" Target="Unit_Converter.xlsx" TargetMode="External"/>
</Relationships>
</file>

<file path=xl/worksheets/_rels/sheet17.xml.rels><?xml version="1.0" encoding="UTF-8"?>
<Relationships xmlns="http://schemas.openxmlformats.org/package/2006/relationships"><Relationship Id="rId1" Type="http://schemas.openxmlformats.org/officeDocument/2006/relationships/hyperlink" Target="Unit_Converter.xlsx" TargetMode="External"/>
</Relationships>
</file>

<file path=xl/worksheets/_rels/sheet18.xml.rels><?xml version="1.0" encoding="UTF-8"?>
<Relationships xmlns="http://schemas.openxmlformats.org/package/2006/relationships"><Relationship Id="rId1" Type="http://schemas.openxmlformats.org/officeDocument/2006/relationships/hyperlink" Target="Unit_Converter.xlsx"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F30"/>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2"/>
    <col collapsed="false" customWidth="true" hidden="false" outlineLevel="0" max="2" min="2" style="0" width="6"/>
    <col collapsed="false" customWidth="true" hidden="false" outlineLevel="0" max="3" min="3" style="0" width="22"/>
    <col collapsed="false" customWidth="true" hidden="false" outlineLevel="0" max="4" min="4" style="0" width="36"/>
    <col collapsed="false" customWidth="true" hidden="false" outlineLevel="0" max="6" min="5" style="0" width="60"/>
  </cols>
  <sheetData>
    <row r="1" customFormat="false" ht="24.45" hidden="false" customHeight="false" outlineLevel="0" collapsed="false">
      <c r="B1" s="1" t="s">
        <v>0</v>
      </c>
    </row>
    <row r="2" customFormat="false" ht="15" hidden="false" customHeight="false" outlineLevel="0" collapsed="false">
      <c r="B2" s="2" t="s">
        <v>1</v>
      </c>
    </row>
    <row r="4" customFormat="false" ht="15" hidden="false" customHeight="false" outlineLevel="0" collapsed="false">
      <c r="B4" s="3" t="s">
        <v>2</v>
      </c>
    </row>
    <row r="5" customFormat="false" ht="15" hidden="false" customHeight="false" outlineLevel="0" collapsed="false">
      <c r="B5" s="4" t="s">
        <v>3</v>
      </c>
    </row>
    <row r="6" customFormat="false" ht="15" hidden="false" customHeight="false" outlineLevel="0" collapsed="false">
      <c r="B6" s="4" t="s">
        <v>4</v>
      </c>
    </row>
    <row r="7" customFormat="false" ht="15" hidden="false" customHeight="false" outlineLevel="0" collapsed="false">
      <c r="B7" s="4" t="s">
        <v>5</v>
      </c>
    </row>
    <row r="8" customFormat="false" ht="15" hidden="false" customHeight="false" outlineLevel="0" collapsed="false">
      <c r="B8" s="4" t="s">
        <v>6</v>
      </c>
    </row>
    <row r="9" customFormat="false" ht="15" hidden="false" customHeight="false" outlineLevel="0" collapsed="false">
      <c r="B9" s="4" t="s">
        <v>7</v>
      </c>
    </row>
    <row r="10" customFormat="false" ht="15" hidden="false" customHeight="false" outlineLevel="0" collapsed="false">
      <c r="B10" s="4" t="s">
        <v>8</v>
      </c>
    </row>
    <row r="11" customFormat="false" ht="15" hidden="false" customHeight="false" outlineLevel="0" collapsed="false">
      <c r="B11" s="4" t="s">
        <v>9</v>
      </c>
    </row>
    <row r="13" customFormat="false" ht="15" hidden="false" customHeight="false" outlineLevel="0" collapsed="false">
      <c r="B13" s="5" t="s">
        <v>10</v>
      </c>
      <c r="C13" s="5" t="s">
        <v>11</v>
      </c>
      <c r="D13" s="5" t="s">
        <v>12</v>
      </c>
      <c r="E13" s="5" t="s">
        <v>13</v>
      </c>
      <c r="F13" s="5" t="s">
        <v>14</v>
      </c>
    </row>
    <row r="14" customFormat="false" ht="66" hidden="false" customHeight="true" outlineLevel="0" collapsed="false">
      <c r="B14" s="6" t="n">
        <v>1</v>
      </c>
      <c r="C14" s="7" t="s">
        <v>15</v>
      </c>
      <c r="D14" s="8" t="s">
        <v>16</v>
      </c>
      <c r="E14" s="8" t="s">
        <v>17</v>
      </c>
      <c r="F14" s="8" t="s">
        <v>18</v>
      </c>
    </row>
    <row r="15" customFormat="false" ht="51" hidden="false" customHeight="true" outlineLevel="0" collapsed="false">
      <c r="B15" s="6" t="n">
        <v>2</v>
      </c>
      <c r="C15" s="7" t="s">
        <v>19</v>
      </c>
      <c r="D15" s="8" t="s">
        <v>20</v>
      </c>
      <c r="E15" s="8" t="s">
        <v>21</v>
      </c>
      <c r="F15" s="8" t="s">
        <v>22</v>
      </c>
    </row>
    <row r="16" customFormat="false" ht="96" hidden="false" customHeight="true" outlineLevel="0" collapsed="false">
      <c r="B16" s="6" t="n">
        <v>3</v>
      </c>
      <c r="C16" s="7" t="s">
        <v>23</v>
      </c>
      <c r="D16" s="8" t="s">
        <v>24</v>
      </c>
      <c r="E16" s="8" t="s">
        <v>25</v>
      </c>
      <c r="F16" s="8" t="s">
        <v>26</v>
      </c>
    </row>
    <row r="17" customFormat="false" ht="66" hidden="false" customHeight="true" outlineLevel="0" collapsed="false">
      <c r="B17" s="6" t="n">
        <v>4</v>
      </c>
      <c r="C17" s="7" t="s">
        <v>27</v>
      </c>
      <c r="D17" s="8" t="s">
        <v>28</v>
      </c>
      <c r="E17" s="8" t="s">
        <v>29</v>
      </c>
      <c r="F17" s="8" t="s">
        <v>30</v>
      </c>
    </row>
    <row r="18" customFormat="false" ht="36" hidden="false" customHeight="true" outlineLevel="0" collapsed="false">
      <c r="B18" s="6" t="n">
        <v>5</v>
      </c>
      <c r="C18" s="7" t="s">
        <v>31</v>
      </c>
      <c r="D18" s="8" t="s">
        <v>32</v>
      </c>
      <c r="E18" s="8" t="s">
        <v>33</v>
      </c>
      <c r="F18" s="8" t="s">
        <v>34</v>
      </c>
    </row>
    <row r="19" customFormat="false" ht="36" hidden="false" customHeight="true" outlineLevel="0" collapsed="false">
      <c r="B19" s="6" t="n">
        <v>6</v>
      </c>
      <c r="C19" s="7" t="s">
        <v>35</v>
      </c>
      <c r="D19" s="8" t="s">
        <v>36</v>
      </c>
      <c r="E19" s="8" t="s">
        <v>37</v>
      </c>
      <c r="F19" s="8" t="s">
        <v>38</v>
      </c>
    </row>
    <row r="20" customFormat="false" ht="51" hidden="false" customHeight="true" outlineLevel="0" collapsed="false">
      <c r="B20" s="6" t="n">
        <v>7</v>
      </c>
      <c r="C20" s="7" t="s">
        <v>39</v>
      </c>
      <c r="D20" s="8" t="s">
        <v>40</v>
      </c>
      <c r="E20" s="8" t="s">
        <v>41</v>
      </c>
      <c r="F20" s="8" t="s">
        <v>42</v>
      </c>
    </row>
    <row r="21" customFormat="false" ht="66" hidden="false" customHeight="true" outlineLevel="0" collapsed="false">
      <c r="B21" s="6" t="n">
        <v>8</v>
      </c>
      <c r="C21" s="7" t="s">
        <v>43</v>
      </c>
      <c r="D21" s="8" t="s">
        <v>44</v>
      </c>
      <c r="E21" s="8" t="s">
        <v>45</v>
      </c>
      <c r="F21" s="8" t="s">
        <v>46</v>
      </c>
    </row>
    <row r="22" customFormat="false" ht="51" hidden="false" customHeight="true" outlineLevel="0" collapsed="false">
      <c r="B22" s="6" t="n">
        <v>9</v>
      </c>
      <c r="C22" s="7" t="s">
        <v>47</v>
      </c>
      <c r="D22" s="8" t="s">
        <v>48</v>
      </c>
      <c r="E22" s="8" t="s">
        <v>49</v>
      </c>
      <c r="F22" s="8" t="s">
        <v>50</v>
      </c>
    </row>
    <row r="23" customFormat="false" ht="51" hidden="false" customHeight="true" outlineLevel="0" collapsed="false">
      <c r="B23" s="6" t="n">
        <v>10</v>
      </c>
      <c r="C23" s="7" t="s">
        <v>51</v>
      </c>
      <c r="D23" s="8" t="s">
        <v>52</v>
      </c>
      <c r="E23" s="8" t="s">
        <v>53</v>
      </c>
      <c r="F23" s="8" t="s">
        <v>54</v>
      </c>
    </row>
    <row r="24" customFormat="false" ht="51" hidden="false" customHeight="true" outlineLevel="0" collapsed="false">
      <c r="B24" s="6" t="n">
        <v>11</v>
      </c>
      <c r="C24" s="7" t="s">
        <v>55</v>
      </c>
      <c r="D24" s="8" t="s">
        <v>56</v>
      </c>
      <c r="E24" s="8" t="s">
        <v>57</v>
      </c>
      <c r="F24" s="8" t="s">
        <v>58</v>
      </c>
    </row>
    <row r="25" customFormat="false" ht="51" hidden="false" customHeight="true" outlineLevel="0" collapsed="false">
      <c r="B25" s="6" t="n">
        <v>12</v>
      </c>
      <c r="C25" s="7" t="s">
        <v>59</v>
      </c>
      <c r="D25" s="8" t="s">
        <v>60</v>
      </c>
      <c r="E25" s="8" t="s">
        <v>61</v>
      </c>
      <c r="F25" s="8" t="s">
        <v>62</v>
      </c>
    </row>
    <row r="26" customFormat="false" ht="66" hidden="false" customHeight="true" outlineLevel="0" collapsed="false">
      <c r="B26" s="6" t="n">
        <v>13</v>
      </c>
      <c r="C26" s="7" t="s">
        <v>63</v>
      </c>
      <c r="D26" s="8" t="s">
        <v>64</v>
      </c>
      <c r="E26" s="8" t="s">
        <v>65</v>
      </c>
      <c r="F26" s="8" t="s">
        <v>66</v>
      </c>
    </row>
    <row r="27" customFormat="false" ht="66" hidden="false" customHeight="true" outlineLevel="0" collapsed="false">
      <c r="B27" s="6" t="n">
        <v>14</v>
      </c>
      <c r="C27" s="7" t="s">
        <v>67</v>
      </c>
      <c r="D27" s="8" t="s">
        <v>68</v>
      </c>
      <c r="E27" s="8" t="s">
        <v>69</v>
      </c>
      <c r="F27" s="8" t="s">
        <v>70</v>
      </c>
    </row>
    <row r="28" customFormat="false" ht="36" hidden="false" customHeight="true" outlineLevel="0" collapsed="false">
      <c r="B28" s="6" t="n">
        <v>15</v>
      </c>
      <c r="C28" s="7" t="s">
        <v>71</v>
      </c>
      <c r="D28" s="8" t="s">
        <v>72</v>
      </c>
      <c r="E28" s="8" t="s">
        <v>73</v>
      </c>
      <c r="F28" s="8" t="s">
        <v>74</v>
      </c>
    </row>
    <row r="29" customFormat="false" ht="36" hidden="false" customHeight="true" outlineLevel="0" collapsed="false">
      <c r="B29" s="6" t="n">
        <v>16</v>
      </c>
      <c r="C29" s="7" t="s">
        <v>75</v>
      </c>
      <c r="D29" s="8" t="s">
        <v>76</v>
      </c>
      <c r="E29" s="8" t="s">
        <v>77</v>
      </c>
      <c r="F29" s="8" t="s">
        <v>78</v>
      </c>
    </row>
    <row r="30" customFormat="false" ht="51" hidden="false" customHeight="true" outlineLevel="0" collapsed="false">
      <c r="B30" s="6" t="n">
        <v>17</v>
      </c>
      <c r="C30" s="7" t="s">
        <v>79</v>
      </c>
      <c r="D30" s="8" t="s">
        <v>80</v>
      </c>
      <c r="E30" s="8" t="s">
        <v>81</v>
      </c>
      <c r="F30" s="8" t="s">
        <v>82</v>
      </c>
    </row>
  </sheetData>
  <hyperlinks>
    <hyperlink ref="C14" r:id="rId1" location="'Length'!A1" display="Length"/>
    <hyperlink ref="C15" r:id="rId2" location="'Area'!A1" display="Area"/>
    <hyperlink ref="C16" r:id="rId3" location="'Volume'!A1" display="Volume"/>
    <hyperlink ref="C17" r:id="rId4" location="'Mass'!A1" display="Mass"/>
    <hyperlink ref="C18" r:id="rId5" location="'Temperature'!A1" display="Temperature"/>
    <hyperlink ref="C19" r:id="rId6" location="'Speed'!A1" display="Speed"/>
    <hyperlink ref="C20" r:id="rId7" location="'Time'!A1" display="Time"/>
    <hyperlink ref="C21" r:id="rId8" location="'Pressure'!A1" display="Pressure"/>
    <hyperlink ref="C22" r:id="rId9" location="'Energy'!A1" display="Energy"/>
    <hyperlink ref="C23" r:id="rId10" location="'Power'!A1" display="Power"/>
    <hyperlink ref="C24" r:id="rId11" location="'Force'!A1" display="Force"/>
    <hyperlink ref="C25" r:id="rId12" location="'Torque'!A1" display="Torque"/>
    <hyperlink ref="C26" r:id="rId13" location="'Density'!A1" display="Density"/>
    <hyperlink ref="C27" r:id="rId14" location="'Flow%20Rate'!A1" display="Flow Rate"/>
    <hyperlink ref="C28" r:id="rId15" location="'Angle'!A1" display="Angle"/>
    <hyperlink ref="C29" r:id="rId16" location="'Frequency'!A1" display="Frequency"/>
    <hyperlink ref="C30" r:id="rId17" location="'Data%20Storage'!A1" display="Data Storage"/>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J6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2"/>
    <col collapsed="false" customWidth="true" hidden="false" outlineLevel="0" max="2" min="2" style="0" width="38"/>
    <col collapsed="false" customWidth="true" hidden="false" outlineLevel="0" max="3" min="3" style="0" width="18"/>
    <col collapsed="false" customWidth="true" hidden="false" outlineLevel="0" max="4" min="4" style="0" width="24"/>
    <col collapsed="false" customWidth="true" hidden="false" outlineLevel="0" max="5" min="5" style="0" width="10"/>
    <col collapsed="false" customWidth="true" hidden="false" outlineLevel="0" max="6" min="6" style="0" width="22"/>
    <col collapsed="false" customWidth="true" hidden="false" outlineLevel="0" max="7" min="7" style="0" width="34"/>
    <col collapsed="false" customWidth="true" hidden="false" outlineLevel="0" max="8" min="8" style="0" width="3"/>
    <col collapsed="false" customWidth="true" hidden="false" outlineLevel="0" max="9" min="9" style="0" width="20"/>
    <col collapsed="false" customWidth="true" hidden="false" outlineLevel="0" max="10" min="10" style="0" width="12"/>
  </cols>
  <sheetData>
    <row r="1" customFormat="false" ht="22.05" hidden="false" customHeight="false" outlineLevel="0" collapsed="false">
      <c r="B1" s="9" t="s">
        <v>83</v>
      </c>
    </row>
    <row r="2" customFormat="false" ht="15" hidden="false" customHeight="false" outlineLevel="0" collapsed="false">
      <c r="B2" s="2" t="s">
        <v>84</v>
      </c>
    </row>
    <row r="4" customFormat="false" ht="15" hidden="false" customHeight="false" outlineLevel="0" collapsed="false">
      <c r="B4" s="3" t="s">
        <v>85</v>
      </c>
    </row>
    <row r="5" customFormat="false" ht="15" hidden="false" customHeight="true" outlineLevel="0" collapsed="false">
      <c r="B5" s="10" t="s">
        <v>86</v>
      </c>
      <c r="C5" s="11" t="n">
        <v>1</v>
      </c>
      <c r="D5" s="12" t="s">
        <v>87</v>
      </c>
      <c r="E5" s="13" t="s">
        <v>88</v>
      </c>
      <c r="F5" s="14" t="n">
        <f aca="false">IF(ISNUMBER(C5),IF((((C5+INDEX(O_Length,MATCH(D5,U_Length,0)))*INDEX(F_Length,MATCH(D5,U_Length,0)))/INDEX(F_Length,MATCH(G5,U_Length,0))-INDEX(O_Length,MATCH(G5,U_Length,0)))=0,0,ROUND(((C5+INDEX(O_Length,MATCH(D5,U_Length,0)))*INDEX(F_Length,MATCH(D5,U_Length,0)))/INDEX(F_Length,MATCH(G5,U_Length,0))-INDEX(O_Length,MATCH(G5,U_Length,0)),11-INT(LOG10(ABS(((C5+INDEX(O_Length,MATCH(D5,U_Length,0)))*INDEX(F_Length,MATCH(D5,U_Length,0)))/INDEX(F_Length,MATCH(G5,U_Length,0))-INDEX(O_Length,MATCH(G5,U_Length,0))))))),"")</f>
        <v>3.28083989501</v>
      </c>
      <c r="G5" s="12" t="s">
        <v>89</v>
      </c>
    </row>
    <row r="6" customFormat="false" ht="15" hidden="false" customHeight="false" outlineLevel="0" collapsed="false">
      <c r="C6" s="11"/>
      <c r="D6" s="11"/>
      <c r="E6" s="13"/>
      <c r="F6" s="14"/>
      <c r="G6" s="14"/>
    </row>
    <row r="7" customFormat="false" ht="15" hidden="false" customHeight="false" outlineLevel="0" collapsed="false">
      <c r="C7" s="15" t="s">
        <v>90</v>
      </c>
      <c r="D7" s="15" t="s">
        <v>91</v>
      </c>
      <c r="F7" s="15" t="s">
        <v>92</v>
      </c>
      <c r="G7" s="15" t="s">
        <v>93</v>
      </c>
    </row>
    <row r="8" customFormat="false" ht="15" hidden="false" customHeight="false" outlineLevel="0" collapsed="false">
      <c r="B8" s="10" t="s">
        <v>94</v>
      </c>
      <c r="C8" s="16" t="str">
        <f aca="false">IF(ISNUMBER(F5),C5&amp;" "&amp;D5&amp;" = "&amp;TEXT(F5,"General")&amp;" "&amp;G5,"Enter a number in the yellow Value box")</f>
        <v>1 Meter (m) = 3.28083989501 Foot (ft)</v>
      </c>
    </row>
    <row r="9" customFormat="false" ht="15" hidden="false" customHeight="false" outlineLevel="0" collapsed="false">
      <c r="B9" s="10" t="s">
        <v>95</v>
      </c>
      <c r="C9" s="16" t="str">
        <f aca="false">"1 "&amp;G5&amp;" = "&amp;TEXT(IF((((1+INDEX(O_Length,MATCH(G5,U_Length,0)))*INDEX(F_Length,MATCH(G5,U_Length,0)))/INDEX(F_Length,MATCH(D5,U_Length,0))-INDEX(O_Length,MATCH(D5,U_Length,0)))=0,0,ROUND(((1+INDEX(O_Length,MATCH(G5,U_Length,0)))*INDEX(F_Length,MATCH(G5,U_Length,0)))/INDEX(F_Length,MATCH(D5,U_Length,0))-INDEX(O_Length,MATCH(D5,U_Length,0)),11-INT(LOG10(ABS(((1+INDEX(O_Length,MATCH(G5,U_Length,0)))*INDEX(F_Length,MATCH(G5,U_Length,0)))/INDEX(F_Length,MATCH(D5,U_Length,0))-INDEX(O_Length,MATCH(D5,U_Length,0))))))),"General")&amp;" "&amp;D5</f>
        <v>1 Foot (ft) = 0.3048 Meter (m)</v>
      </c>
    </row>
    <row r="10" customFormat="false" ht="15" hidden="false" customHeight="false" outlineLevel="0" collapsed="false">
      <c r="B10" s="17" t="s">
        <v>96</v>
      </c>
    </row>
    <row r="12" customFormat="false" ht="15" hidden="false" customHeight="false" outlineLevel="0" collapsed="false">
      <c r="B12" s="3" t="s">
        <v>97</v>
      </c>
    </row>
    <row r="13" customFormat="false" ht="15" hidden="false" customHeight="true" outlineLevel="0" collapsed="false">
      <c r="B13" s="5" t="s">
        <v>98</v>
      </c>
      <c r="C13" s="5" t="s">
        <v>86</v>
      </c>
      <c r="D13" s="5" t="s">
        <v>99</v>
      </c>
      <c r="E13" s="5"/>
      <c r="F13" s="5" t="s">
        <v>100</v>
      </c>
    </row>
    <row r="14" customFormat="false" ht="15" hidden="false" customHeight="false" outlineLevel="0" collapsed="false">
      <c r="B14" s="18" t="s">
        <v>101</v>
      </c>
      <c r="C14" s="19"/>
      <c r="D14" s="19"/>
      <c r="E14" s="19"/>
      <c r="F14" s="19"/>
    </row>
    <row r="15" customFormat="false" ht="15" hidden="false" customHeight="false" outlineLevel="0" collapsed="false">
      <c r="B15" s="2" t="s">
        <v>102</v>
      </c>
    </row>
    <row r="16" customFormat="false" ht="15" hidden="false" customHeight="false" outlineLevel="0" collapsed="false">
      <c r="B16" s="20" t="s">
        <v>103</v>
      </c>
      <c r="C16" s="21" t="n">
        <v>5</v>
      </c>
      <c r="D16" s="22" t="s">
        <v>89</v>
      </c>
      <c r="E16" s="22"/>
      <c r="F16" s="23" t="n">
        <f aca="false">IF(ISNUMBER(C16),(C16+INDEX(O_Length,MATCH(D16,U_Length,0)))*INDEX(F_Length,MATCH(D16,U_Length,0)),"")</f>
        <v>1.524</v>
      </c>
      <c r="G16" s="17" t="s">
        <v>104</v>
      </c>
    </row>
    <row r="17" customFormat="false" ht="15" hidden="false" customHeight="false" outlineLevel="0" collapsed="false">
      <c r="B17" s="20" t="s">
        <v>105</v>
      </c>
      <c r="C17" s="21" t="n">
        <v>2</v>
      </c>
      <c r="D17" s="22" t="s">
        <v>87</v>
      </c>
      <c r="E17" s="22"/>
      <c r="F17" s="23" t="n">
        <f aca="false">IF(ISNUMBER(C17),(C17+INDEX(O_Length,MATCH(D17,U_Length,0)))*INDEX(F_Length,MATCH(D17,U_Length,0)),"")</f>
        <v>2</v>
      </c>
      <c r="G17" s="17" t="s">
        <v>104</v>
      </c>
    </row>
    <row r="18" customFormat="false" ht="15" hidden="false" customHeight="false" outlineLevel="0" collapsed="false">
      <c r="B18" s="20" t="s">
        <v>106</v>
      </c>
      <c r="C18" s="21" t="n">
        <v>6</v>
      </c>
      <c r="D18" s="22" t="s">
        <v>107</v>
      </c>
      <c r="E18" s="22"/>
      <c r="F18" s="23" t="n">
        <f aca="false">IF(ISNUMBER(C18),(C18+INDEX(O_Length,MATCH(D18,U_Length,0)))*INDEX(F_Length,MATCH(D18,U_Length,0)),0)</f>
        <v>0.1524</v>
      </c>
      <c r="G18" s="17" t="s">
        <v>104</v>
      </c>
    </row>
    <row r="19" customFormat="false" ht="15" hidden="false" customHeight="false" outlineLevel="0" collapsed="false">
      <c r="B19" s="24" t="s">
        <v>108</v>
      </c>
      <c r="C19" s="25" t="n">
        <f aca="false">IF(F19="","",IF((F19/INDEX(F_Length,MATCH(D19,U_Length,0))-INDEX(O_Length,MATCH(D19,U_Length,0)))=0,0,ROUND(F19/INDEX(F_Length,MATCH(D19,U_Length,0))-INDEX(O_Length,MATCH(D19,U_Length,0)),11-INT(LOG10(ABS(F19/INDEX(F_Length,MATCH(D19,U_Length,0))-INDEX(O_Length,MATCH(D19,U_Length,0))))))))</f>
        <v>3.6764</v>
      </c>
      <c r="D19" s="22" t="s">
        <v>87</v>
      </c>
      <c r="E19" s="22"/>
      <c r="F19" s="23" t="n">
        <f aca="false">IF(OR(F16="",F17=""),"",IFERROR(F16+F17+F18,""))</f>
        <v>3.6764</v>
      </c>
      <c r="G19" s="17" t="s">
        <v>104</v>
      </c>
    </row>
    <row r="20" customFormat="false" ht="15" hidden="false" customHeight="false" outlineLevel="0" collapsed="false">
      <c r="B20" s="24" t="s">
        <v>108</v>
      </c>
      <c r="C20" s="25" t="n">
        <f aca="false">IF(F20="","",IF((F20/INDEX(F_Length,MATCH(D20,U_Length,0))-INDEX(O_Length,MATCH(D20,U_Length,0)))=0,0,ROUND(F20/INDEX(F_Length,MATCH(D20,U_Length,0))-INDEX(O_Length,MATCH(D20,U_Length,0)),11-INT(LOG10(ABS(F20/INDEX(F_Length,MATCH(D20,U_Length,0))-INDEX(O_Length,MATCH(D20,U_Length,0))))))))</f>
        <v>12.06167979</v>
      </c>
      <c r="D20" s="22" t="s">
        <v>89</v>
      </c>
      <c r="E20" s="22"/>
      <c r="F20" s="23" t="n">
        <f aca="false">IF(OR(F16="",F17=""),"",IFERROR(F16+F17+F18,""))</f>
        <v>3.6764</v>
      </c>
      <c r="G20" s="17" t="s">
        <v>104</v>
      </c>
    </row>
    <row r="22" customFormat="false" ht="15" hidden="false" customHeight="false" outlineLevel="0" collapsed="false">
      <c r="B22" s="18" t="s">
        <v>109</v>
      </c>
      <c r="C22" s="19"/>
      <c r="D22" s="19"/>
      <c r="E22" s="19"/>
      <c r="F22" s="19"/>
    </row>
    <row r="23" customFormat="false" ht="15" hidden="false" customHeight="false" outlineLevel="0" collapsed="false">
      <c r="B23" s="2" t="s">
        <v>110</v>
      </c>
    </row>
    <row r="24" customFormat="false" ht="15" hidden="false" customHeight="false" outlineLevel="0" collapsed="false">
      <c r="B24" s="20" t="s">
        <v>111</v>
      </c>
      <c r="C24" s="21" t="n">
        <v>50</v>
      </c>
      <c r="D24" s="22" t="s">
        <v>112</v>
      </c>
      <c r="E24" s="22"/>
      <c r="F24" s="23" t="n">
        <f aca="false">IF(ISNUMBER(C24),(C24+INDEX(O_Volume,MATCH(D24,U_Volume,0)))*INDEX(F_Volume,MATCH(D24,U_Volume,0)),"")</f>
        <v>0.05</v>
      </c>
      <c r="G24" s="17" t="s">
        <v>113</v>
      </c>
    </row>
    <row r="25" customFormat="false" ht="15" hidden="false" customHeight="false" outlineLevel="0" collapsed="false">
      <c r="B25" s="20" t="s">
        <v>114</v>
      </c>
      <c r="C25" s="21" t="n">
        <v>4</v>
      </c>
      <c r="D25" s="22" t="s">
        <v>107</v>
      </c>
      <c r="E25" s="22"/>
      <c r="F25" s="23" t="n">
        <f aca="false">IF(ISNUMBER(C25),(C25+INDEX(O_Length,MATCH(D25,U_Length,0)))*INDEX(F_Length,MATCH(D25,U_Length,0)),"")</f>
        <v>0.1016</v>
      </c>
      <c r="G25" s="17" t="s">
        <v>104</v>
      </c>
    </row>
    <row r="26" customFormat="false" ht="15" hidden="false" customHeight="false" outlineLevel="0" collapsed="false">
      <c r="B26" s="24" t="s">
        <v>115</v>
      </c>
      <c r="C26" s="25" t="n">
        <f aca="false">IF(F26="","",IF((F26/INDEX(F_Length,MATCH(D26,U_Length,0))-INDEX(O_Length,MATCH(D26,U_Length,0)))=0,0,ROUND(F26/INDEX(F_Length,MATCH(D26,U_Length,0))-INDEX(O_Length,MATCH(D26,U_Length,0)),11-INT(LOG10(ABS(F26/INDEX(F_Length,MATCH(D26,U_Length,0))-INDEX(O_Length,MATCH(D26,U_Length,0))))))))</f>
        <v>6.16726637934</v>
      </c>
      <c r="D26" s="22" t="s">
        <v>87</v>
      </c>
      <c r="E26" s="22"/>
      <c r="F26" s="23" t="n">
        <f aca="false">IF(OR(F24="",F25=""),"",IFERROR(F24/(PI()/4*F25^2),""))</f>
        <v>6.1672663793437</v>
      </c>
      <c r="G26" s="17" t="s">
        <v>104</v>
      </c>
    </row>
    <row r="27" customFormat="false" ht="15" hidden="false" customHeight="false" outlineLevel="0" collapsed="false">
      <c r="B27" s="24" t="s">
        <v>115</v>
      </c>
      <c r="C27" s="25" t="n">
        <f aca="false">IF(F27="","",IF((F27/INDEX(F_Length,MATCH(D27,U_Length,0))-INDEX(O_Length,MATCH(D27,U_Length,0)))=0,0,ROUND(F27/INDEX(F_Length,MATCH(D27,U_Length,0))-INDEX(O_Length,MATCH(D27,U_Length,0)),11-INT(LOG10(ABS(F27/INDEX(F_Length,MATCH(D27,U_Length,0))-INDEX(O_Length,MATCH(D27,U_Length,0))))))))</f>
        <v>20.2338135805</v>
      </c>
      <c r="D27" s="22" t="s">
        <v>89</v>
      </c>
      <c r="E27" s="22"/>
      <c r="F27" s="23" t="n">
        <f aca="false">IF(OR(F24="",F25=""),"",IFERROR(F24/(PI()/4*F25^2),""))</f>
        <v>6.1672663793437</v>
      </c>
      <c r="G27" s="17" t="s">
        <v>104</v>
      </c>
    </row>
    <row r="29" customFormat="false" ht="15" hidden="false" customHeight="false" outlineLevel="0" collapsed="false">
      <c r="B29" s="18" t="s">
        <v>116</v>
      </c>
      <c r="C29" s="19"/>
      <c r="D29" s="19"/>
      <c r="E29" s="19"/>
      <c r="F29" s="19"/>
    </row>
    <row r="30" customFormat="false" ht="15" hidden="false" customHeight="false" outlineLevel="0" collapsed="false">
      <c r="B30" s="2" t="s">
        <v>117</v>
      </c>
    </row>
    <row r="31" customFormat="false" ht="15" hidden="false" customHeight="false" outlineLevel="0" collapsed="false">
      <c r="B31" s="20" t="s">
        <v>111</v>
      </c>
      <c r="C31" s="21" t="n">
        <v>100</v>
      </c>
      <c r="D31" s="22" t="s">
        <v>118</v>
      </c>
      <c r="E31" s="22"/>
      <c r="F31" s="23" t="n">
        <f aca="false">IF(ISNUMBER(C31),(C31+INDEX(O_Volume,MATCH(D31,U_Volume,0)))*INDEX(F_Volume,MATCH(D31,U_Volume,0)),"")</f>
        <v>0.3785411784</v>
      </c>
      <c r="G31" s="17" t="s">
        <v>113</v>
      </c>
    </row>
    <row r="32" customFormat="false" ht="15" hidden="false" customHeight="false" outlineLevel="0" collapsed="false">
      <c r="B32" s="20" t="s">
        <v>119</v>
      </c>
      <c r="C32" s="21" t="n">
        <v>12</v>
      </c>
      <c r="D32" s="22" t="s">
        <v>87</v>
      </c>
      <c r="E32" s="22"/>
      <c r="F32" s="23" t="n">
        <f aca="false">IF(ISNUMBER(C32),(C32+INDEX(O_Length,MATCH(D32,U_Length,0)))*INDEX(F_Length,MATCH(D32,U_Length,0)),"")</f>
        <v>12</v>
      </c>
      <c r="G32" s="17" t="s">
        <v>104</v>
      </c>
    </row>
    <row r="33" customFormat="false" ht="15" hidden="false" customHeight="false" outlineLevel="0" collapsed="false">
      <c r="B33" s="24" t="s">
        <v>120</v>
      </c>
      <c r="C33" s="25" t="n">
        <f aca="false">IF(F33="","",IF((F33/INDEX(F_Length,MATCH(D33,U_Length,0))-INDEX(O_Length,MATCH(D33,U_Length,0)))=0,0,ROUND(F33/INDEX(F_Length,MATCH(D33,U_Length,0))-INDEX(O_Length,MATCH(D33,U_Length,0)),11-INT(LOG10(ABS(F33/INDEX(F_Length,MATCH(D33,U_Length,0))-INDEX(O_Length,MATCH(D33,U_Length,0))))))))</f>
        <v>7.89018678739</v>
      </c>
      <c r="D33" s="22" t="s">
        <v>107</v>
      </c>
      <c r="E33" s="22"/>
      <c r="F33" s="23" t="n">
        <f aca="false">IF(OR(F31="",F32=""),"",IFERROR(SQRT(4*F31/(PI()*F32)),""))</f>
        <v>0.200410744399581</v>
      </c>
      <c r="G33" s="17" t="s">
        <v>104</v>
      </c>
    </row>
    <row r="34" customFormat="false" ht="15" hidden="false" customHeight="false" outlineLevel="0" collapsed="false">
      <c r="B34" s="24" t="s">
        <v>120</v>
      </c>
      <c r="C34" s="25" t="n">
        <f aca="false">IF(F34="","",IF((F34/INDEX(F_Length,MATCH(D34,U_Length,0))-INDEX(O_Length,MATCH(D34,U_Length,0)))=0,0,ROUND(F34/INDEX(F_Length,MATCH(D34,U_Length,0))-INDEX(O_Length,MATCH(D34,U_Length,0)),11-INT(LOG10(ABS(F34/INDEX(F_Length,MATCH(D34,U_Length,0))-INDEX(O_Length,MATCH(D34,U_Length,0))))))))</f>
        <v>200.4107444</v>
      </c>
      <c r="D34" s="22" t="s">
        <v>121</v>
      </c>
      <c r="E34" s="22"/>
      <c r="F34" s="23" t="n">
        <f aca="false">IF(OR(F31="",F32=""),"",IFERROR(SQRT(4*F31/(PI()*F32)),""))</f>
        <v>0.200410744399581</v>
      </c>
      <c r="G34" s="17" t="s">
        <v>104</v>
      </c>
    </row>
    <row r="36" customFormat="false" ht="15" hidden="false" customHeight="false" outlineLevel="0" collapsed="false">
      <c r="B36" s="18" t="s">
        <v>122</v>
      </c>
      <c r="C36" s="19"/>
      <c r="D36" s="19"/>
      <c r="E36" s="19"/>
      <c r="F36" s="19"/>
    </row>
    <row r="37" customFormat="false" ht="15" hidden="false" customHeight="false" outlineLevel="0" collapsed="false">
      <c r="B37" s="2" t="s">
        <v>123</v>
      </c>
    </row>
    <row r="38" customFormat="false" ht="15" hidden="false" customHeight="false" outlineLevel="0" collapsed="false">
      <c r="B38" s="20" t="s">
        <v>35</v>
      </c>
      <c r="C38" s="21" t="n">
        <v>60</v>
      </c>
      <c r="D38" s="22" t="s">
        <v>124</v>
      </c>
      <c r="E38" s="22"/>
      <c r="F38" s="23" t="n">
        <f aca="false">IF(ISNUMBER(C38),(C38+INDEX(O_Speed,MATCH(D38,U_Speed,0)))*INDEX(F_Speed,MATCH(D38,U_Speed,0)),"")</f>
        <v>16.6666666666667</v>
      </c>
      <c r="G38" s="17" t="s">
        <v>125</v>
      </c>
    </row>
    <row r="39" customFormat="false" ht="15" hidden="false" customHeight="false" outlineLevel="0" collapsed="false">
      <c r="B39" s="20" t="s">
        <v>39</v>
      </c>
      <c r="C39" s="21" t="n">
        <v>45</v>
      </c>
      <c r="D39" s="22" t="s">
        <v>126</v>
      </c>
      <c r="E39" s="22"/>
      <c r="F39" s="23" t="n">
        <f aca="false">IF(ISNUMBER(C39),(C39+INDEX(O_Time,MATCH(D39,U_Time,0)))*INDEX(F_Time,MATCH(D39,U_Time,0)),"")</f>
        <v>2700</v>
      </c>
      <c r="G39" s="17" t="s">
        <v>127</v>
      </c>
    </row>
    <row r="40" customFormat="false" ht="15" hidden="false" customHeight="false" outlineLevel="0" collapsed="false">
      <c r="B40" s="24" t="s">
        <v>128</v>
      </c>
      <c r="C40" s="25" t="n">
        <f aca="false">IF(F40="","",IF((F40/INDEX(F_Length,MATCH(D40,U_Length,0))-INDEX(O_Length,MATCH(D40,U_Length,0)))=0,0,ROUND(F40/INDEX(F_Length,MATCH(D40,U_Length,0))-INDEX(O_Length,MATCH(D40,U_Length,0)),11-INT(LOG10(ABS(F40/INDEX(F_Length,MATCH(D40,U_Length,0))-INDEX(O_Length,MATCH(D40,U_Length,0))))))))</f>
        <v>27.9617036507</v>
      </c>
      <c r="D40" s="22" t="s">
        <v>129</v>
      </c>
      <c r="E40" s="22"/>
      <c r="F40" s="23" t="n">
        <f aca="false">IF(OR(F38="",F39=""),"",IFERROR(F38*F39,""))</f>
        <v>45000</v>
      </c>
      <c r="G40" s="17" t="s">
        <v>104</v>
      </c>
    </row>
    <row r="41" customFormat="false" ht="15" hidden="false" customHeight="false" outlineLevel="0" collapsed="false">
      <c r="B41" s="24" t="s">
        <v>128</v>
      </c>
      <c r="C41" s="25" t="n">
        <f aca="false">IF(F41="","",IF((F41/INDEX(F_Length,MATCH(D41,U_Length,0))-INDEX(O_Length,MATCH(D41,U_Length,0)))=0,0,ROUND(F41/INDEX(F_Length,MATCH(D41,U_Length,0))-INDEX(O_Length,MATCH(D41,U_Length,0)),11-INT(LOG10(ABS(F41/INDEX(F_Length,MATCH(D41,U_Length,0))-INDEX(O_Length,MATCH(D41,U_Length,0))))))))</f>
        <v>45</v>
      </c>
      <c r="D41" s="22" t="s">
        <v>130</v>
      </c>
      <c r="E41" s="22"/>
      <c r="F41" s="23" t="n">
        <f aca="false">IF(OR(F38="",F39=""),"",IFERROR(F38*F39,""))</f>
        <v>45000</v>
      </c>
      <c r="G41" s="17" t="s">
        <v>104</v>
      </c>
    </row>
    <row r="43" customFormat="false" ht="15" hidden="false" customHeight="false" outlineLevel="0" collapsed="false">
      <c r="B43" s="3" t="s">
        <v>131</v>
      </c>
    </row>
    <row r="44" customFormat="false" ht="15" hidden="false" customHeight="false" outlineLevel="0" collapsed="false">
      <c r="B44" s="26" t="str">
        <f aca="false">IF(COUNT($D$47:$D$64)=0,"Type a number next to any unit below (e.g. next to the unit you know).",IF(COUNT($D$47:$D$64)&gt;1,"⚠ More than one value entered – clear all but one yellow cell.","Showing everything equal to "&amp;INDEX($D$47:$D$64,MATCH(TRUE(),INDEX(ISNUMBER($D$47:$D$64),0),0))&amp;" "&amp;INDEX(U_Length,MATCH(TRUE(),INDEX(ISNUMBER($D$47:$D$64),0),0))))</f>
        <v>Type a number next to any unit below (e.g. next to the unit you know).</v>
      </c>
      <c r="C44" s="26"/>
      <c r="D44" s="26"/>
      <c r="E44" s="26"/>
      <c r="F44" s="26"/>
      <c r="G44" s="26"/>
    </row>
    <row r="45" customFormat="false" ht="15" hidden="false" customHeight="false" outlineLevel="0" collapsed="false">
      <c r="I45" s="27" t="s">
        <v>132</v>
      </c>
      <c r="J45" s="17" t="str">
        <f aca="false">IF(COUNT($D$47:$D$64)&lt;&gt;1,"",SUMPRODUCT(--ISNUMBER($D$47:$D$64),($D$47:$D$64+O_Length)*F_Length))</f>
        <v/>
      </c>
    </row>
    <row r="46" customFormat="false" ht="31.5" hidden="false" customHeight="true" outlineLevel="0" collapsed="false">
      <c r="B46" s="5" t="s">
        <v>133</v>
      </c>
      <c r="C46" s="5" t="s">
        <v>134</v>
      </c>
      <c r="D46" s="5" t="s">
        <v>135</v>
      </c>
      <c r="E46" s="5"/>
      <c r="F46" s="5" t="s">
        <v>136</v>
      </c>
      <c r="G46" s="5" t="s">
        <v>133</v>
      </c>
      <c r="I46" s="5" t="s">
        <v>137</v>
      </c>
      <c r="J46" s="5" t="s">
        <v>138</v>
      </c>
    </row>
    <row r="47" customFormat="false" ht="19.5" hidden="false" customHeight="true" outlineLevel="0" collapsed="false">
      <c r="B47" s="28" t="s">
        <v>130</v>
      </c>
      <c r="C47" s="29" t="s">
        <v>139</v>
      </c>
      <c r="D47" s="21"/>
      <c r="E47" s="30" t="s">
        <v>140</v>
      </c>
      <c r="F47" s="31" t="str">
        <f aca="false">IF($J$45="","",IF(($J$45/I47-J47)=0,0,ROUND($J$45/I47-J47,11-INT(LOG10(ABS($J$45/I47-J47))))))</f>
        <v/>
      </c>
      <c r="G47" s="32" t="str">
        <f aca="false">B47</f>
        <v>Kilometre (km)</v>
      </c>
      <c r="I47" s="33" t="n">
        <v>1000</v>
      </c>
      <c r="J47" s="33" t="n">
        <v>0</v>
      </c>
    </row>
    <row r="48" customFormat="false" ht="19.5" hidden="false" customHeight="true" outlineLevel="0" collapsed="false">
      <c r="B48" s="28" t="s">
        <v>87</v>
      </c>
      <c r="C48" s="29" t="s">
        <v>139</v>
      </c>
      <c r="D48" s="21"/>
      <c r="E48" s="30" t="s">
        <v>140</v>
      </c>
      <c r="F48" s="31" t="str">
        <f aca="false">IF($J$45="","",IF(($J$45/I48-J48)=0,0,ROUND($J$45/I48-J48,11-INT(LOG10(ABS($J$45/I48-J48))))))</f>
        <v/>
      </c>
      <c r="G48" s="32" t="str">
        <f aca="false">B48</f>
        <v>Meter (m)</v>
      </c>
      <c r="I48" s="33" t="n">
        <v>1</v>
      </c>
      <c r="J48" s="33" t="n">
        <v>0</v>
      </c>
    </row>
    <row r="49" customFormat="false" ht="19.5" hidden="false" customHeight="true" outlineLevel="0" collapsed="false">
      <c r="B49" s="28" t="s">
        <v>141</v>
      </c>
      <c r="C49" s="29" t="s">
        <v>139</v>
      </c>
      <c r="D49" s="21"/>
      <c r="E49" s="30" t="s">
        <v>140</v>
      </c>
      <c r="F49" s="31" t="str">
        <f aca="false">IF($J$45="","",IF(($J$45/I49-J49)=0,0,ROUND($J$45/I49-J49,11-INT(LOG10(ABS($J$45/I49-J49))))))</f>
        <v/>
      </c>
      <c r="G49" s="32" t="str">
        <f aca="false">B49</f>
        <v>Centimetre (cm)</v>
      </c>
      <c r="I49" s="33" t="n">
        <v>0.01</v>
      </c>
      <c r="J49" s="33" t="n">
        <v>0</v>
      </c>
    </row>
    <row r="50" customFormat="false" ht="19.5" hidden="false" customHeight="true" outlineLevel="0" collapsed="false">
      <c r="B50" s="28" t="s">
        <v>121</v>
      </c>
      <c r="C50" s="29" t="s">
        <v>139</v>
      </c>
      <c r="D50" s="21"/>
      <c r="E50" s="30" t="s">
        <v>140</v>
      </c>
      <c r="F50" s="31" t="str">
        <f aca="false">IF($J$45="","",IF(($J$45/I50-J50)=0,0,ROUND($J$45/I50-J50,11-INT(LOG10(ABS($J$45/I50-J50))))))</f>
        <v/>
      </c>
      <c r="G50" s="32" t="str">
        <f aca="false">B50</f>
        <v>Millimetre (mm)</v>
      </c>
      <c r="I50" s="33" t="n">
        <v>0.001</v>
      </c>
      <c r="J50" s="33" t="n">
        <v>0</v>
      </c>
    </row>
    <row r="51" customFormat="false" ht="19.5" hidden="false" customHeight="true" outlineLevel="0" collapsed="false">
      <c r="B51" s="28" t="s">
        <v>142</v>
      </c>
      <c r="C51" s="29" t="s">
        <v>139</v>
      </c>
      <c r="D51" s="21"/>
      <c r="E51" s="30" t="s">
        <v>140</v>
      </c>
      <c r="F51" s="31" t="str">
        <f aca="false">IF($J$45="","",IF(($J$45/I51-J51)=0,0,ROUND($J$45/I51-J51,11-INT(LOG10(ABS($J$45/I51-J51))))))</f>
        <v/>
      </c>
      <c r="G51" s="32" t="str">
        <f aca="false">B51</f>
        <v>Micrometre (µm)</v>
      </c>
      <c r="I51" s="33" t="n">
        <v>1E-006</v>
      </c>
      <c r="J51" s="33" t="n">
        <v>0</v>
      </c>
    </row>
    <row r="52" customFormat="false" ht="19.5" hidden="false" customHeight="true" outlineLevel="0" collapsed="false">
      <c r="B52" s="28" t="s">
        <v>143</v>
      </c>
      <c r="C52" s="29" t="s">
        <v>139</v>
      </c>
      <c r="D52" s="21"/>
      <c r="E52" s="30" t="s">
        <v>140</v>
      </c>
      <c r="F52" s="31" t="str">
        <f aca="false">IF($J$45="","",IF(($J$45/I52-J52)=0,0,ROUND($J$45/I52-J52,11-INT(LOG10(ABS($J$45/I52-J52))))))</f>
        <v/>
      </c>
      <c r="G52" s="32" t="str">
        <f aca="false">B52</f>
        <v>Nanometre (nm)</v>
      </c>
      <c r="I52" s="33" t="n">
        <v>1E-009</v>
      </c>
      <c r="J52" s="33" t="n">
        <v>0</v>
      </c>
    </row>
    <row r="53" customFormat="false" ht="19.5" hidden="false" customHeight="true" outlineLevel="0" collapsed="false">
      <c r="B53" s="28" t="s">
        <v>129</v>
      </c>
      <c r="C53" s="29" t="s">
        <v>144</v>
      </c>
      <c r="D53" s="21"/>
      <c r="E53" s="30" t="s">
        <v>140</v>
      </c>
      <c r="F53" s="31" t="str">
        <f aca="false">IF($J$45="","",IF(($J$45/I53-J53)=0,0,ROUND($J$45/I53-J53,11-INT(LOG10(ABS($J$45/I53-J53))))))</f>
        <v/>
      </c>
      <c r="G53" s="32" t="str">
        <f aca="false">B53</f>
        <v>Mile (mi)</v>
      </c>
      <c r="I53" s="33" t="n">
        <v>1609.344</v>
      </c>
      <c r="J53" s="33" t="n">
        <v>0</v>
      </c>
    </row>
    <row r="54" customFormat="false" ht="19.5" hidden="false" customHeight="true" outlineLevel="0" collapsed="false">
      <c r="B54" s="28" t="s">
        <v>145</v>
      </c>
      <c r="C54" s="29" t="s">
        <v>144</v>
      </c>
      <c r="D54" s="21"/>
      <c r="E54" s="30" t="s">
        <v>140</v>
      </c>
      <c r="F54" s="31" t="str">
        <f aca="false">IF($J$45="","",IF(($J$45/I54-J54)=0,0,ROUND($J$45/I54-J54,11-INT(LOG10(ABS($J$45/I54-J54))))))</f>
        <v/>
      </c>
      <c r="G54" s="32" t="str">
        <f aca="false">B54</f>
        <v>Yard (yd)</v>
      </c>
      <c r="I54" s="33" t="n">
        <v>0.9144</v>
      </c>
      <c r="J54" s="33" t="n">
        <v>0</v>
      </c>
    </row>
    <row r="55" customFormat="false" ht="19.5" hidden="false" customHeight="true" outlineLevel="0" collapsed="false">
      <c r="B55" s="28" t="s">
        <v>89</v>
      </c>
      <c r="C55" s="29" t="s">
        <v>144</v>
      </c>
      <c r="D55" s="21"/>
      <c r="E55" s="30" t="s">
        <v>140</v>
      </c>
      <c r="F55" s="31" t="str">
        <f aca="false">IF($J$45="","",IF(($J$45/I55-J55)=0,0,ROUND($J$45/I55-J55,11-INT(LOG10(ABS($J$45/I55-J55))))))</f>
        <v/>
      </c>
      <c r="G55" s="32" t="str">
        <f aca="false">B55</f>
        <v>Foot (ft)</v>
      </c>
      <c r="I55" s="33" t="n">
        <v>0.3048</v>
      </c>
      <c r="J55" s="33" t="n">
        <v>0</v>
      </c>
    </row>
    <row r="56" customFormat="false" ht="19.5" hidden="false" customHeight="true" outlineLevel="0" collapsed="false">
      <c r="B56" s="28" t="s">
        <v>107</v>
      </c>
      <c r="C56" s="29" t="s">
        <v>144</v>
      </c>
      <c r="D56" s="21"/>
      <c r="E56" s="30" t="s">
        <v>140</v>
      </c>
      <c r="F56" s="31" t="str">
        <f aca="false">IF($J$45="","",IF(($J$45/I56-J56)=0,0,ROUND($J$45/I56-J56,11-INT(LOG10(ABS($J$45/I56-J56))))))</f>
        <v/>
      </c>
      <c r="G56" s="32" t="str">
        <f aca="false">B56</f>
        <v>Inch (in)</v>
      </c>
      <c r="I56" s="33" t="n">
        <v>0.0254</v>
      </c>
      <c r="J56" s="33" t="n">
        <v>0</v>
      </c>
    </row>
    <row r="57" customFormat="false" ht="19.5" hidden="false" customHeight="true" outlineLevel="0" collapsed="false">
      <c r="B57" s="28" t="s">
        <v>146</v>
      </c>
      <c r="C57" s="29" t="s">
        <v>144</v>
      </c>
      <c r="D57" s="21"/>
      <c r="E57" s="30" t="s">
        <v>140</v>
      </c>
      <c r="F57" s="31" t="str">
        <f aca="false">IF($J$45="","",IF(($J$45/I57-J57)=0,0,ROUND($J$45/I57-J57,11-INT(LOG10(ABS($J$45/I57-J57))))))</f>
        <v/>
      </c>
      <c r="G57" s="32" t="str">
        <f aca="false">B57</f>
        <v>Thou / mil</v>
      </c>
      <c r="I57" s="33" t="n">
        <v>2.54E-005</v>
      </c>
      <c r="J57" s="33" t="n">
        <v>0</v>
      </c>
    </row>
    <row r="58" customFormat="false" ht="19.5" hidden="false" customHeight="true" outlineLevel="0" collapsed="false">
      <c r="B58" s="28" t="s">
        <v>147</v>
      </c>
      <c r="C58" s="29" t="s">
        <v>144</v>
      </c>
      <c r="D58" s="21"/>
      <c r="E58" s="30" t="s">
        <v>140</v>
      </c>
      <c r="F58" s="31" t="str">
        <f aca="false">IF($J$45="","",IF(($J$45/I58-J58)=0,0,ROUND($J$45/I58-J58,11-INT(LOG10(ABS($J$45/I58-J58))))))</f>
        <v/>
      </c>
      <c r="G58" s="32" t="str">
        <f aca="false">B58</f>
        <v>Furlong</v>
      </c>
      <c r="I58" s="33" t="n">
        <v>201.168</v>
      </c>
      <c r="J58" s="33" t="n">
        <v>0</v>
      </c>
    </row>
    <row r="59" customFormat="false" ht="19.5" hidden="false" customHeight="true" outlineLevel="0" collapsed="false">
      <c r="B59" s="28" t="s">
        <v>148</v>
      </c>
      <c r="C59" s="29" t="s">
        <v>144</v>
      </c>
      <c r="D59" s="21"/>
      <c r="E59" s="30" t="s">
        <v>140</v>
      </c>
      <c r="F59" s="31" t="str">
        <f aca="false">IF($J$45="","",IF(($J$45/I59-J59)=0,0,ROUND($J$45/I59-J59,11-INT(LOG10(ABS($J$45/I59-J59))))))</f>
        <v/>
      </c>
      <c r="G59" s="32" t="str">
        <f aca="false">B59</f>
        <v>Chain</v>
      </c>
      <c r="I59" s="33" t="n">
        <v>20.1168</v>
      </c>
      <c r="J59" s="33" t="n">
        <v>0</v>
      </c>
    </row>
    <row r="60" customFormat="false" ht="19.5" hidden="false" customHeight="true" outlineLevel="0" collapsed="false">
      <c r="B60" s="28" t="s">
        <v>149</v>
      </c>
      <c r="C60" s="29" t="s">
        <v>144</v>
      </c>
      <c r="D60" s="21"/>
      <c r="E60" s="30" t="s">
        <v>140</v>
      </c>
      <c r="F60" s="31" t="str">
        <f aca="false">IF($J$45="","",IF(($J$45/I60-J60)=0,0,ROUND($J$45/I60-J60,11-INT(LOG10(ABS($J$45/I60-J60))))))</f>
        <v/>
      </c>
      <c r="G60" s="32" t="str">
        <f aca="false">B60</f>
        <v>Fathom</v>
      </c>
      <c r="I60" s="33" t="n">
        <v>1.8288</v>
      </c>
      <c r="J60" s="33" t="n">
        <v>0</v>
      </c>
    </row>
    <row r="61" customFormat="false" ht="19.5" hidden="false" customHeight="true" outlineLevel="0" collapsed="false">
      <c r="B61" s="28" t="s">
        <v>150</v>
      </c>
      <c r="C61" s="29" t="s">
        <v>151</v>
      </c>
      <c r="D61" s="21"/>
      <c r="E61" s="30" t="s">
        <v>140</v>
      </c>
      <c r="F61" s="31" t="str">
        <f aca="false">IF($J$45="","",IF(($J$45/I61-J61)=0,0,ROUND($J$45/I61-J61,11-INT(LOG10(ABS($J$45/I61-J61))))))</f>
        <v/>
      </c>
      <c r="G61" s="32" t="str">
        <f aca="false">B61</f>
        <v>Nautical mile (nmi)</v>
      </c>
      <c r="I61" s="33" t="n">
        <v>1852</v>
      </c>
      <c r="J61" s="33" t="n">
        <v>0</v>
      </c>
    </row>
    <row r="62" customFormat="false" ht="19.5" hidden="false" customHeight="true" outlineLevel="0" collapsed="false">
      <c r="B62" s="28" t="s">
        <v>152</v>
      </c>
      <c r="C62" s="29" t="s">
        <v>151</v>
      </c>
      <c r="D62" s="21"/>
      <c r="E62" s="30" t="s">
        <v>140</v>
      </c>
      <c r="F62" s="31" t="str">
        <f aca="false">IF($J$45="","",IF(($J$45/I62-J62)=0,0,ROUND($J$45/I62-J62,11-INT(LOG10(ABS($J$45/I62-J62))))))</f>
        <v/>
      </c>
      <c r="G62" s="32" t="str">
        <f aca="false">B62</f>
        <v>Ångström (Å)</v>
      </c>
      <c r="I62" s="33" t="n">
        <v>1E-010</v>
      </c>
      <c r="J62" s="33" t="n">
        <v>0</v>
      </c>
    </row>
    <row r="63" customFormat="false" ht="19.5" hidden="false" customHeight="true" outlineLevel="0" collapsed="false">
      <c r="B63" s="28" t="s">
        <v>153</v>
      </c>
      <c r="C63" s="29" t="s">
        <v>151</v>
      </c>
      <c r="D63" s="21"/>
      <c r="E63" s="30" t="s">
        <v>140</v>
      </c>
      <c r="F63" s="31" t="str">
        <f aca="false">IF($J$45="","",IF(($J$45/I63-J63)=0,0,ROUND($J$45/I63-J63,11-INT(LOG10(ABS($J$45/I63-J63))))))</f>
        <v/>
      </c>
      <c r="G63" s="32" t="str">
        <f aca="false">B63</f>
        <v>Astronomical unit (au)</v>
      </c>
      <c r="I63" s="33" t="n">
        <v>149597870700</v>
      </c>
      <c r="J63" s="33" t="n">
        <v>0</v>
      </c>
    </row>
    <row r="64" customFormat="false" ht="19.5" hidden="false" customHeight="true" outlineLevel="0" collapsed="false">
      <c r="B64" s="28" t="s">
        <v>154</v>
      </c>
      <c r="C64" s="29" t="s">
        <v>151</v>
      </c>
      <c r="D64" s="21"/>
      <c r="E64" s="30" t="s">
        <v>140</v>
      </c>
      <c r="F64" s="31" t="str">
        <f aca="false">IF($J$45="","",IF(($J$45/I64-J64)=0,0,ROUND($J$45/I64-J64,11-INT(LOG10(ABS($J$45/I64-J64))))))</f>
        <v/>
      </c>
      <c r="G64" s="32" t="str">
        <f aca="false">B64</f>
        <v>Light-year (ly)</v>
      </c>
      <c r="I64" s="33" t="n">
        <v>9460730472580800</v>
      </c>
      <c r="J64" s="33" t="n">
        <v>0</v>
      </c>
    </row>
    <row r="66" customFormat="false" ht="15" hidden="false" customHeight="false" outlineLevel="0" collapsed="false">
      <c r="B66" s="17" t="s">
        <v>155</v>
      </c>
    </row>
    <row r="67" customFormat="false" ht="15" hidden="false" customHeight="false" outlineLevel="0" collapsed="false">
      <c r="B67" s="17" t="s">
        <v>156</v>
      </c>
    </row>
    <row r="68" customFormat="false" ht="15" hidden="false" customHeight="false" outlineLevel="0" collapsed="false">
      <c r="B68" s="17" t="s">
        <v>157</v>
      </c>
    </row>
  </sheetData>
  <mergeCells count="24">
    <mergeCell ref="C5:C6"/>
    <mergeCell ref="D5:D6"/>
    <mergeCell ref="E5:E6"/>
    <mergeCell ref="F5:F6"/>
    <mergeCell ref="G5:G6"/>
    <mergeCell ref="D13:E13"/>
    <mergeCell ref="D16:E16"/>
    <mergeCell ref="D17:E17"/>
    <mergeCell ref="D18:E18"/>
    <mergeCell ref="D19:E19"/>
    <mergeCell ref="D20:E20"/>
    <mergeCell ref="D24:E24"/>
    <mergeCell ref="D25:E25"/>
    <mergeCell ref="D26:E26"/>
    <mergeCell ref="D27:E27"/>
    <mergeCell ref="D31:E31"/>
    <mergeCell ref="D32:E32"/>
    <mergeCell ref="D33:E33"/>
    <mergeCell ref="D34:E34"/>
    <mergeCell ref="D38:E38"/>
    <mergeCell ref="D39:E39"/>
    <mergeCell ref="D40:E40"/>
    <mergeCell ref="D41:E41"/>
    <mergeCell ref="B44:G44"/>
  </mergeCells>
  <conditionalFormatting sqref="B47:G64">
    <cfRule type="expression" priority="2" aboveAverage="0" equalAverage="0" bottom="0" percent="0" rank="0" text="" dxfId="0">
      <formula>ISNUMBER($D47)</formula>
    </cfRule>
  </conditionalFormatting>
  <dataValidations count="5">
    <dataValidation allowBlank="true" error="Please type a number." errorStyle="stop" errorTitle="Number only" operator="between" showDropDown="false" showErrorMessage="true" showInputMessage="false" sqref="C5 C16:C18 C24:C25 C31:C32 C38:C39 D47:D64" type="decimal">
      <formula1>-1E+307</formula1>
      <formula2>1E+307</formula2>
    </dataValidation>
    <dataValidation allowBlank="false" error="Pick a unit from the list." errorStyle="stop" errorTitle="Unit" operator="between" showDropDown="false" showErrorMessage="true" showInputMessage="false" sqref="D5 G5 D16:D20 D25:D27 D32:D34 D40:D41" type="list">
      <formula1>U_Length</formula1>
      <formula2>0</formula2>
    </dataValidation>
    <dataValidation allowBlank="false" error="Pick a unit from the list." errorStyle="stop" errorTitle="Unit" operator="between" showDropDown="false" showErrorMessage="true" showInputMessage="false" sqref="D24 D31" type="list">
      <formula1>U_Volume</formula1>
      <formula2>0</formula2>
    </dataValidation>
    <dataValidation allowBlank="false" error="Pick a unit from the list." errorStyle="stop" errorTitle="Unit" operator="between" showDropDown="false" showErrorMessage="true" showInputMessage="false" sqref="D38" type="list">
      <formula1>U_Speed</formula1>
      <formula2>0</formula2>
    </dataValidation>
    <dataValidation allowBlank="false" error="Pick a unit from the list." errorStyle="stop" errorTitle="Unit" operator="between" showDropDown="false" showErrorMessage="true" showInputMessage="false" sqref="D39" type="list">
      <formula1>U_Time</formula1>
      <formula2>0</formula2>
    </dataValidation>
  </dataValidations>
  <hyperlinks>
    <hyperlink ref="B2" r:id="rId1" location="Home!A1" display="SI base unit for this sheet: metre (m).  Blue cells on yellow = type here; drop-downs = choose unit.  ← Back to the Home sheet"/>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J5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2"/>
    <col collapsed="false" customWidth="true" hidden="false" outlineLevel="0" max="2" min="2" style="0" width="38"/>
    <col collapsed="false" customWidth="true" hidden="false" outlineLevel="0" max="3" min="3" style="0" width="18"/>
    <col collapsed="false" customWidth="true" hidden="false" outlineLevel="0" max="4" min="4" style="0" width="24"/>
    <col collapsed="false" customWidth="true" hidden="false" outlineLevel="0" max="5" min="5" style="0" width="10"/>
    <col collapsed="false" customWidth="true" hidden="false" outlineLevel="0" max="6" min="6" style="0" width="22"/>
    <col collapsed="false" customWidth="true" hidden="false" outlineLevel="0" max="7" min="7" style="0" width="34"/>
    <col collapsed="false" customWidth="true" hidden="false" outlineLevel="0" max="8" min="8" style="0" width="3"/>
    <col collapsed="false" customWidth="true" hidden="false" outlineLevel="0" max="9" min="9" style="0" width="20"/>
    <col collapsed="false" customWidth="true" hidden="false" outlineLevel="0" max="10" min="10" style="0" width="12"/>
  </cols>
  <sheetData>
    <row r="1" customFormat="false" ht="22.05" hidden="false" customHeight="false" outlineLevel="0" collapsed="false">
      <c r="B1" s="9" t="s">
        <v>158</v>
      </c>
    </row>
    <row r="2" customFormat="false" ht="15" hidden="false" customHeight="false" outlineLevel="0" collapsed="false">
      <c r="B2" s="2" t="s">
        <v>159</v>
      </c>
    </row>
    <row r="4" customFormat="false" ht="15" hidden="false" customHeight="false" outlineLevel="0" collapsed="false">
      <c r="B4" s="3" t="s">
        <v>85</v>
      </c>
    </row>
    <row r="5" customFormat="false" ht="15" hidden="false" customHeight="true" outlineLevel="0" collapsed="false">
      <c r="B5" s="10" t="s">
        <v>86</v>
      </c>
      <c r="C5" s="11" t="n">
        <v>1</v>
      </c>
      <c r="D5" s="12" t="s">
        <v>160</v>
      </c>
      <c r="E5" s="13" t="s">
        <v>88</v>
      </c>
      <c r="F5" s="14" t="n">
        <f aca="false">IF(ISNUMBER(C5),IF((((C5+INDEX(O_Area,MATCH(D5,U_Area,0)))*INDEX(F_Area,MATCH(D5,U_Area,0)))/INDEX(F_Area,MATCH(G5,U_Area,0))-INDEX(O_Area,MATCH(G5,U_Area,0)))=0,0,ROUND(((C5+INDEX(O_Area,MATCH(D5,U_Area,0)))*INDEX(F_Area,MATCH(D5,U_Area,0)))/INDEX(F_Area,MATCH(G5,U_Area,0))-INDEX(O_Area,MATCH(G5,U_Area,0)),11-INT(LOG10(ABS(((C5+INDEX(O_Area,MATCH(D5,U_Area,0)))*INDEX(F_Area,MATCH(D5,U_Area,0)))/INDEX(F_Area,MATCH(G5,U_Area,0))-INDEX(O_Area,MATCH(G5,U_Area,0))))))),"")</f>
        <v>10.7639104167</v>
      </c>
      <c r="G5" s="12" t="s">
        <v>161</v>
      </c>
    </row>
    <row r="6" customFormat="false" ht="15" hidden="false" customHeight="false" outlineLevel="0" collapsed="false">
      <c r="C6" s="11"/>
      <c r="D6" s="11"/>
      <c r="E6" s="13"/>
      <c r="F6" s="14"/>
      <c r="G6" s="14"/>
    </row>
    <row r="7" customFormat="false" ht="15" hidden="false" customHeight="false" outlineLevel="0" collapsed="false">
      <c r="C7" s="15" t="s">
        <v>90</v>
      </c>
      <c r="D7" s="15" t="s">
        <v>91</v>
      </c>
      <c r="F7" s="15" t="s">
        <v>92</v>
      </c>
      <c r="G7" s="15" t="s">
        <v>93</v>
      </c>
    </row>
    <row r="8" customFormat="false" ht="15" hidden="false" customHeight="false" outlineLevel="0" collapsed="false">
      <c r="B8" s="10" t="s">
        <v>94</v>
      </c>
      <c r="C8" s="16" t="str">
        <f aca="false">IF(ISNUMBER(F5),C5&amp;" "&amp;D5&amp;" = "&amp;TEXT(F5,"General")&amp;" "&amp;G5,"Enter a number in the yellow Value box")</f>
        <v>1 Square meter (m²) = 10.7639104167 Square foot (ft²)</v>
      </c>
    </row>
    <row r="9" customFormat="false" ht="15" hidden="false" customHeight="false" outlineLevel="0" collapsed="false">
      <c r="B9" s="10" t="s">
        <v>95</v>
      </c>
      <c r="C9" s="16" t="str">
        <f aca="false">"1 "&amp;G5&amp;" = "&amp;TEXT(IF((((1+INDEX(O_Area,MATCH(G5,U_Area,0)))*INDEX(F_Area,MATCH(G5,U_Area,0)))/INDEX(F_Area,MATCH(D5,U_Area,0))-INDEX(O_Area,MATCH(D5,U_Area,0)))=0,0,ROUND(((1+INDEX(O_Area,MATCH(G5,U_Area,0)))*INDEX(F_Area,MATCH(G5,U_Area,0)))/INDEX(F_Area,MATCH(D5,U_Area,0))-INDEX(O_Area,MATCH(D5,U_Area,0)),11-INT(LOG10(ABS(((1+INDEX(O_Area,MATCH(G5,U_Area,0)))*INDEX(F_Area,MATCH(G5,U_Area,0)))/INDEX(F_Area,MATCH(D5,U_Area,0))-INDEX(O_Area,MATCH(D5,U_Area,0))))))),"General")&amp;" "&amp;D5</f>
        <v>1 Square foot (ft²) = 0.09290304 Square meter (m²)</v>
      </c>
    </row>
    <row r="10" customFormat="false" ht="15" hidden="false" customHeight="false" outlineLevel="0" collapsed="false">
      <c r="B10" s="17" t="s">
        <v>96</v>
      </c>
    </row>
    <row r="12" customFormat="false" ht="15" hidden="false" customHeight="false" outlineLevel="0" collapsed="false">
      <c r="B12" s="3" t="s">
        <v>97</v>
      </c>
    </row>
    <row r="13" customFormat="false" ht="15" hidden="false" customHeight="true" outlineLevel="0" collapsed="false">
      <c r="B13" s="5" t="s">
        <v>98</v>
      </c>
      <c r="C13" s="5" t="s">
        <v>86</v>
      </c>
      <c r="D13" s="5" t="s">
        <v>99</v>
      </c>
      <c r="E13" s="5"/>
      <c r="F13" s="5" t="s">
        <v>100</v>
      </c>
    </row>
    <row r="14" customFormat="false" ht="15" hidden="false" customHeight="false" outlineLevel="0" collapsed="false">
      <c r="B14" s="18" t="s">
        <v>162</v>
      </c>
      <c r="C14" s="19"/>
      <c r="D14" s="19"/>
      <c r="E14" s="19"/>
      <c r="F14" s="19"/>
    </row>
    <row r="15" customFormat="false" ht="15" hidden="false" customHeight="false" outlineLevel="0" collapsed="false">
      <c r="B15" s="2" t="s">
        <v>163</v>
      </c>
    </row>
    <row r="16" customFormat="false" ht="15" hidden="false" customHeight="false" outlineLevel="0" collapsed="false">
      <c r="B16" s="20" t="s">
        <v>15</v>
      </c>
      <c r="C16" s="21" t="n">
        <v>12</v>
      </c>
      <c r="D16" s="22" t="s">
        <v>89</v>
      </c>
      <c r="E16" s="22"/>
      <c r="F16" s="23" t="n">
        <f aca="false">IF(ISNUMBER(C16),(C16+INDEX(O_Length,MATCH(D16,U_Length,0)))*INDEX(F_Length,MATCH(D16,U_Length,0)),"")</f>
        <v>3.6576</v>
      </c>
      <c r="G16" s="17" t="s">
        <v>104</v>
      </c>
    </row>
    <row r="17" customFormat="false" ht="15" hidden="false" customHeight="false" outlineLevel="0" collapsed="false">
      <c r="B17" s="20" t="s">
        <v>164</v>
      </c>
      <c r="C17" s="21" t="n">
        <v>3</v>
      </c>
      <c r="D17" s="22" t="s">
        <v>87</v>
      </c>
      <c r="E17" s="22"/>
      <c r="F17" s="23" t="n">
        <f aca="false">IF(ISNUMBER(C17),(C17+INDEX(O_Length,MATCH(D17,U_Length,0)))*INDEX(F_Length,MATCH(D17,U_Length,0)),"")</f>
        <v>3</v>
      </c>
      <c r="G17" s="17" t="s">
        <v>104</v>
      </c>
    </row>
    <row r="18" customFormat="false" ht="15" hidden="false" customHeight="false" outlineLevel="0" collapsed="false">
      <c r="B18" s="24" t="s">
        <v>165</v>
      </c>
      <c r="C18" s="25" t="n">
        <f aca="false">IF(F18="","",IF((F18/INDEX(F_Area,MATCH(D18,U_Area,0))-INDEX(O_Area,MATCH(D18,U_Area,0)))=0,0,ROUND(F18/INDEX(F_Area,MATCH(D18,U_Area,0))-INDEX(O_Area,MATCH(D18,U_Area,0)),11-INT(LOG10(ABS(F18/INDEX(F_Area,MATCH(D18,U_Area,0))-INDEX(O_Area,MATCH(D18,U_Area,0))))))))</f>
        <v>10.9728</v>
      </c>
      <c r="D18" s="22" t="s">
        <v>160</v>
      </c>
      <c r="E18" s="22"/>
      <c r="F18" s="23" t="n">
        <f aca="false">IF(OR(F16="",F17=""),"",IFERROR(F16*F17,""))</f>
        <v>10.9728</v>
      </c>
      <c r="G18" s="17" t="s">
        <v>166</v>
      </c>
    </row>
    <row r="19" customFormat="false" ht="15" hidden="false" customHeight="false" outlineLevel="0" collapsed="false">
      <c r="B19" s="24" t="s">
        <v>165</v>
      </c>
      <c r="C19" s="25" t="n">
        <f aca="false">IF(F19="","",IF((F19/INDEX(F_Area,MATCH(D19,U_Area,0))-INDEX(O_Area,MATCH(D19,U_Area,0)))=0,0,ROUND(F19/INDEX(F_Area,MATCH(D19,U_Area,0))-INDEX(O_Area,MATCH(D19,U_Area,0)),11-INT(LOG10(ABS(F19/INDEX(F_Area,MATCH(D19,U_Area,0))-INDEX(O_Area,MATCH(D19,U_Area,0))))))))</f>
        <v>118.11023622</v>
      </c>
      <c r="D19" s="22" t="s">
        <v>161</v>
      </c>
      <c r="E19" s="22"/>
      <c r="F19" s="23" t="n">
        <f aca="false">IF(OR(F16="",F17=""),"",IFERROR(F16*F17,""))</f>
        <v>10.9728</v>
      </c>
      <c r="G19" s="17" t="s">
        <v>166</v>
      </c>
    </row>
    <row r="21" customFormat="false" ht="15" hidden="false" customHeight="false" outlineLevel="0" collapsed="false">
      <c r="B21" s="18" t="s">
        <v>167</v>
      </c>
      <c r="C21" s="19"/>
      <c r="D21" s="19"/>
      <c r="E21" s="19"/>
      <c r="F21" s="19"/>
    </row>
    <row r="22" customFormat="false" ht="15" hidden="false" customHeight="false" outlineLevel="0" collapsed="false">
      <c r="B22" s="2" t="s">
        <v>168</v>
      </c>
    </row>
    <row r="23" customFormat="false" ht="15" hidden="false" customHeight="false" outlineLevel="0" collapsed="false">
      <c r="B23" s="20" t="s">
        <v>169</v>
      </c>
      <c r="C23" s="21" t="n">
        <v>6</v>
      </c>
      <c r="D23" s="22" t="s">
        <v>107</v>
      </c>
      <c r="E23" s="22"/>
      <c r="F23" s="23" t="n">
        <f aca="false">IF(ISNUMBER(C23),(C23+INDEX(O_Length,MATCH(D23,U_Length,0)))*INDEX(F_Length,MATCH(D23,U_Length,0)),"")</f>
        <v>0.1524</v>
      </c>
      <c r="G23" s="17" t="s">
        <v>104</v>
      </c>
    </row>
    <row r="24" customFormat="false" ht="15" hidden="false" customHeight="false" outlineLevel="0" collapsed="false">
      <c r="B24" s="24" t="s">
        <v>165</v>
      </c>
      <c r="C24" s="25" t="n">
        <f aca="false">IF(F24="","",IF((F24/INDEX(F_Area,MATCH(D24,U_Area,0))-INDEX(O_Area,MATCH(D24,U_Area,0)))=0,0,ROUND(F24/INDEX(F_Area,MATCH(D24,U_Area,0))-INDEX(O_Area,MATCH(D24,U_Area,0)),11-INT(LOG10(ABS(F24/INDEX(F_Area,MATCH(D24,U_Area,0))-INDEX(O_Area,MATCH(D24,U_Area,0))))))))</f>
        <v>182.414692475</v>
      </c>
      <c r="D24" s="22" t="s">
        <v>170</v>
      </c>
      <c r="E24" s="22"/>
      <c r="F24" s="23" t="n">
        <f aca="false">IF(F23="","",IFERROR(PI()/4*F23^2,""))</f>
        <v>0.0182414692475099</v>
      </c>
      <c r="G24" s="17" t="s">
        <v>166</v>
      </c>
    </row>
    <row r="25" customFormat="false" ht="15" hidden="false" customHeight="false" outlineLevel="0" collapsed="false">
      <c r="B25" s="24" t="s">
        <v>165</v>
      </c>
      <c r="C25" s="25" t="n">
        <f aca="false">IF(F25="","",IF((F25/INDEX(F_Area,MATCH(D25,U_Area,0))-INDEX(O_Area,MATCH(D25,U_Area,0)))=0,0,ROUND(F25/INDEX(F_Area,MATCH(D25,U_Area,0))-INDEX(O_Area,MATCH(D25,U_Area,0)),11-INT(LOG10(ABS(F25/INDEX(F_Area,MATCH(D25,U_Area,0))-INDEX(O_Area,MATCH(D25,U_Area,0))))))))</f>
        <v>28.2743338823</v>
      </c>
      <c r="D25" s="22" t="s">
        <v>171</v>
      </c>
      <c r="E25" s="22"/>
      <c r="F25" s="23" t="n">
        <f aca="false">IF(F23="","",IFERROR(PI()/4*F23^2,""))</f>
        <v>0.0182414692475099</v>
      </c>
      <c r="G25" s="17" t="s">
        <v>166</v>
      </c>
    </row>
    <row r="27" customFormat="false" ht="15" hidden="false" customHeight="false" outlineLevel="0" collapsed="false">
      <c r="B27" s="18" t="s">
        <v>172</v>
      </c>
      <c r="C27" s="19"/>
      <c r="D27" s="19"/>
      <c r="E27" s="19"/>
      <c r="F27" s="19"/>
    </row>
    <row r="28" customFormat="false" ht="15" hidden="false" customHeight="false" outlineLevel="0" collapsed="false">
      <c r="B28" s="2" t="s">
        <v>173</v>
      </c>
    </row>
    <row r="29" customFormat="false" ht="15" hidden="false" customHeight="false" outlineLevel="0" collapsed="false">
      <c r="B29" s="20" t="s">
        <v>174</v>
      </c>
      <c r="C29" s="21" t="n">
        <v>4</v>
      </c>
      <c r="D29" s="22" t="s">
        <v>107</v>
      </c>
      <c r="E29" s="22"/>
      <c r="F29" s="23" t="n">
        <f aca="false">IF(ISNUMBER(C29),(C29+INDEX(O_Length,MATCH(D29,U_Length,0)))*INDEX(F_Length,MATCH(D29,U_Length,0)),"")</f>
        <v>0.1016</v>
      </c>
      <c r="G29" s="17" t="s">
        <v>104</v>
      </c>
    </row>
    <row r="30" customFormat="false" ht="15" hidden="false" customHeight="false" outlineLevel="0" collapsed="false">
      <c r="B30" s="20" t="s">
        <v>119</v>
      </c>
      <c r="C30" s="21" t="n">
        <v>6</v>
      </c>
      <c r="D30" s="22" t="s">
        <v>87</v>
      </c>
      <c r="E30" s="22"/>
      <c r="F30" s="23" t="n">
        <f aca="false">IF(ISNUMBER(C30),(C30+INDEX(O_Length,MATCH(D30,U_Length,0)))*INDEX(F_Length,MATCH(D30,U_Length,0)),"")</f>
        <v>6</v>
      </c>
      <c r="G30" s="17" t="s">
        <v>104</v>
      </c>
    </row>
    <row r="31" customFormat="false" ht="15" hidden="false" customHeight="false" outlineLevel="0" collapsed="false">
      <c r="B31" s="24" t="s">
        <v>175</v>
      </c>
      <c r="C31" s="25" t="n">
        <f aca="false">IF(F31="","",IF((F31/INDEX(F_Area,MATCH(D31,U_Area,0))-INDEX(O_Area,MATCH(D31,U_Area,0)))=0,0,ROUND(F31/INDEX(F_Area,MATCH(D31,U_Area,0))-INDEX(O_Area,MATCH(D31,U_Area,0)),11-INT(LOG10(ABS(F31/INDEX(F_Area,MATCH(D31,U_Area,0))-INDEX(O_Area,MATCH(D31,U_Area,0))))))))</f>
        <v>1.91511488163</v>
      </c>
      <c r="D31" s="22" t="s">
        <v>160</v>
      </c>
      <c r="E31" s="22"/>
      <c r="F31" s="23" t="n">
        <f aca="false">IF(OR(F29="",F30=""),"",IFERROR(PI()*F29*F30,""))</f>
        <v>1.91511488162834</v>
      </c>
      <c r="G31" s="17" t="s">
        <v>166</v>
      </c>
    </row>
    <row r="32" customFormat="false" ht="15" hidden="false" customHeight="false" outlineLevel="0" collapsed="false">
      <c r="B32" s="24" t="s">
        <v>175</v>
      </c>
      <c r="C32" s="25" t="n">
        <f aca="false">IF(F32="","",IF((F32/INDEX(F_Area,MATCH(D32,U_Area,0))-INDEX(O_Area,MATCH(D32,U_Area,0)))=0,0,ROUND(F32/INDEX(F_Area,MATCH(D32,U_Area,0))-INDEX(O_Area,MATCH(D32,U_Area,0)),11-INT(LOG10(ABS(F32/INDEX(F_Area,MATCH(D32,U_Area,0))-INDEX(O_Area,MATCH(D32,U_Area,0))))))))</f>
        <v>20.6141250236</v>
      </c>
      <c r="D32" s="22" t="s">
        <v>161</v>
      </c>
      <c r="E32" s="22"/>
      <c r="F32" s="23" t="n">
        <f aca="false">IF(OR(F29="",F30=""),"",IFERROR(PI()*F29*F30,""))</f>
        <v>1.91511488162834</v>
      </c>
      <c r="G32" s="17" t="s">
        <v>166</v>
      </c>
    </row>
    <row r="34" customFormat="false" ht="15" hidden="false" customHeight="false" outlineLevel="0" collapsed="false">
      <c r="B34" s="3" t="s">
        <v>131</v>
      </c>
    </row>
    <row r="35" customFormat="false" ht="15" hidden="false" customHeight="false" outlineLevel="0" collapsed="false">
      <c r="B35" s="26" t="str">
        <f aca="false">IF(COUNT($D$38:$D$48)=0,"Type a number next to any unit below (e.g. next to the unit you know).",IF(COUNT($D$38:$D$48)&gt;1,"⚠ More than one value entered – clear all but one yellow cell.","Showing everything equal to "&amp;INDEX($D$38:$D$48,MATCH(TRUE(),INDEX(ISNUMBER($D$38:$D$48),0),0))&amp;" "&amp;INDEX(U_Area,MATCH(TRUE(),INDEX(ISNUMBER($D$38:$D$48),0),0))))</f>
        <v>Type a number next to any unit below (e.g. next to the unit you know).</v>
      </c>
      <c r="C35" s="26"/>
      <c r="D35" s="26"/>
      <c r="E35" s="26"/>
      <c r="F35" s="26"/>
      <c r="G35" s="26"/>
    </row>
    <row r="36" customFormat="false" ht="15" hidden="false" customHeight="false" outlineLevel="0" collapsed="false">
      <c r="I36" s="27" t="s">
        <v>132</v>
      </c>
      <c r="J36" s="17" t="str">
        <f aca="false">IF(COUNT($D$38:$D$48)&lt;&gt;1,"",SUMPRODUCT(--ISNUMBER($D$38:$D$48),($D$38:$D$48+O_Area)*F_Area))</f>
        <v/>
      </c>
    </row>
    <row r="37" customFormat="false" ht="31.5" hidden="false" customHeight="true" outlineLevel="0" collapsed="false">
      <c r="B37" s="5" t="s">
        <v>133</v>
      </c>
      <c r="C37" s="5" t="s">
        <v>134</v>
      </c>
      <c r="D37" s="5" t="s">
        <v>135</v>
      </c>
      <c r="E37" s="5"/>
      <c r="F37" s="5" t="s">
        <v>136</v>
      </c>
      <c r="G37" s="5" t="s">
        <v>133</v>
      </c>
      <c r="I37" s="5" t="s">
        <v>176</v>
      </c>
      <c r="J37" s="5" t="s">
        <v>138</v>
      </c>
    </row>
    <row r="38" customFormat="false" ht="19.5" hidden="false" customHeight="true" outlineLevel="0" collapsed="false">
      <c r="B38" s="28" t="s">
        <v>177</v>
      </c>
      <c r="C38" s="29" t="s">
        <v>139</v>
      </c>
      <c r="D38" s="21"/>
      <c r="E38" s="30" t="s">
        <v>140</v>
      </c>
      <c r="F38" s="31" t="str">
        <f aca="false">IF($J$36="","",IF(($J$36/I38-J38)=0,0,ROUND($J$36/I38-J38,11-INT(LOG10(ABS($J$36/I38-J38))))))</f>
        <v/>
      </c>
      <c r="G38" s="32" t="str">
        <f aca="false">B38</f>
        <v>Square kilometre (km²)</v>
      </c>
      <c r="I38" s="33" t="n">
        <v>1000000</v>
      </c>
      <c r="J38" s="33" t="n">
        <v>0</v>
      </c>
    </row>
    <row r="39" customFormat="false" ht="19.5" hidden="false" customHeight="true" outlineLevel="0" collapsed="false">
      <c r="B39" s="28" t="s">
        <v>178</v>
      </c>
      <c r="C39" s="29" t="s">
        <v>139</v>
      </c>
      <c r="D39" s="21"/>
      <c r="E39" s="30" t="s">
        <v>140</v>
      </c>
      <c r="F39" s="31" t="str">
        <f aca="false">IF($J$36="","",IF(($J$36/I39-J39)=0,0,ROUND($J$36/I39-J39,11-INT(LOG10(ABS($J$36/I39-J39))))))</f>
        <v/>
      </c>
      <c r="G39" s="32" t="str">
        <f aca="false">B39</f>
        <v>Hectare (ha)</v>
      </c>
      <c r="I39" s="33" t="n">
        <v>10000</v>
      </c>
      <c r="J39" s="33" t="n">
        <v>0</v>
      </c>
    </row>
    <row r="40" customFormat="false" ht="19.5" hidden="false" customHeight="true" outlineLevel="0" collapsed="false">
      <c r="B40" s="28" t="s">
        <v>179</v>
      </c>
      <c r="C40" s="29" t="s">
        <v>139</v>
      </c>
      <c r="D40" s="21"/>
      <c r="E40" s="30" t="s">
        <v>140</v>
      </c>
      <c r="F40" s="31" t="str">
        <f aca="false">IF($J$36="","",IF(($J$36/I40-J40)=0,0,ROUND($J$36/I40-J40,11-INT(LOG10(ABS($J$36/I40-J40))))))</f>
        <v/>
      </c>
      <c r="G40" s="32" t="str">
        <f aca="false">B40</f>
        <v>Are (a)</v>
      </c>
      <c r="I40" s="33" t="n">
        <v>100</v>
      </c>
      <c r="J40" s="33" t="n">
        <v>0</v>
      </c>
    </row>
    <row r="41" customFormat="false" ht="19.5" hidden="false" customHeight="true" outlineLevel="0" collapsed="false">
      <c r="B41" s="28" t="s">
        <v>160</v>
      </c>
      <c r="C41" s="29" t="s">
        <v>139</v>
      </c>
      <c r="D41" s="21"/>
      <c r="E41" s="30" t="s">
        <v>140</v>
      </c>
      <c r="F41" s="31" t="str">
        <f aca="false">IF($J$36="","",IF(($J$36/I41-J41)=0,0,ROUND($J$36/I41-J41,11-INT(LOG10(ABS($J$36/I41-J41))))))</f>
        <v/>
      </c>
      <c r="G41" s="32" t="str">
        <f aca="false">B41</f>
        <v>Square meter (m²)</v>
      </c>
      <c r="I41" s="33" t="n">
        <v>1</v>
      </c>
      <c r="J41" s="33" t="n">
        <v>0</v>
      </c>
    </row>
    <row r="42" customFormat="false" ht="19.5" hidden="false" customHeight="true" outlineLevel="0" collapsed="false">
      <c r="B42" s="28" t="s">
        <v>170</v>
      </c>
      <c r="C42" s="29" t="s">
        <v>139</v>
      </c>
      <c r="D42" s="21"/>
      <c r="E42" s="30" t="s">
        <v>140</v>
      </c>
      <c r="F42" s="31" t="str">
        <f aca="false">IF($J$36="","",IF(($J$36/I42-J42)=0,0,ROUND($J$36/I42-J42,11-INT(LOG10(ABS($J$36/I42-J42))))))</f>
        <v/>
      </c>
      <c r="G42" s="32" t="str">
        <f aca="false">B42</f>
        <v>Square centimetre (cm²)</v>
      </c>
      <c r="I42" s="33" t="n">
        <v>0.0001</v>
      </c>
      <c r="J42" s="33" t="n">
        <v>0</v>
      </c>
    </row>
    <row r="43" customFormat="false" ht="19.5" hidden="false" customHeight="true" outlineLevel="0" collapsed="false">
      <c r="B43" s="28" t="s">
        <v>180</v>
      </c>
      <c r="C43" s="29" t="s">
        <v>139</v>
      </c>
      <c r="D43" s="21"/>
      <c r="E43" s="30" t="s">
        <v>140</v>
      </c>
      <c r="F43" s="31" t="str">
        <f aca="false">IF($J$36="","",IF(($J$36/I43-J43)=0,0,ROUND($J$36/I43-J43,11-INT(LOG10(ABS($J$36/I43-J43))))))</f>
        <v/>
      </c>
      <c r="G43" s="32" t="str">
        <f aca="false">B43</f>
        <v>Square millimetre (mm²)</v>
      </c>
      <c r="I43" s="33" t="n">
        <v>1E-006</v>
      </c>
      <c r="J43" s="33" t="n">
        <v>0</v>
      </c>
    </row>
    <row r="44" customFormat="false" ht="19.5" hidden="false" customHeight="true" outlineLevel="0" collapsed="false">
      <c r="B44" s="28" t="s">
        <v>181</v>
      </c>
      <c r="C44" s="29" t="s">
        <v>144</v>
      </c>
      <c r="D44" s="21"/>
      <c r="E44" s="30" t="s">
        <v>140</v>
      </c>
      <c r="F44" s="31" t="str">
        <f aca="false">IF($J$36="","",IF(($J$36/I44-J44)=0,0,ROUND($J$36/I44-J44,11-INT(LOG10(ABS($J$36/I44-J44))))))</f>
        <v/>
      </c>
      <c r="G44" s="32" t="str">
        <f aca="false">B44</f>
        <v>Square mile (mi²)</v>
      </c>
      <c r="I44" s="33" t="n">
        <v>2589988.110336</v>
      </c>
      <c r="J44" s="33" t="n">
        <v>0</v>
      </c>
    </row>
    <row r="45" customFormat="false" ht="19.5" hidden="false" customHeight="true" outlineLevel="0" collapsed="false">
      <c r="B45" s="28" t="s">
        <v>182</v>
      </c>
      <c r="C45" s="29" t="s">
        <v>144</v>
      </c>
      <c r="D45" s="21"/>
      <c r="E45" s="30" t="s">
        <v>140</v>
      </c>
      <c r="F45" s="31" t="str">
        <f aca="false">IF($J$36="","",IF(($J$36/I45-J45)=0,0,ROUND($J$36/I45-J45,11-INT(LOG10(ABS($J$36/I45-J45))))))</f>
        <v/>
      </c>
      <c r="G45" s="32" t="str">
        <f aca="false">B45</f>
        <v>Acre (ac)</v>
      </c>
      <c r="I45" s="33" t="n">
        <v>4046.8564224</v>
      </c>
      <c r="J45" s="33" t="n">
        <v>0</v>
      </c>
    </row>
    <row r="46" customFormat="false" ht="19.5" hidden="false" customHeight="true" outlineLevel="0" collapsed="false">
      <c r="B46" s="28" t="s">
        <v>183</v>
      </c>
      <c r="C46" s="29" t="s">
        <v>144</v>
      </c>
      <c r="D46" s="21"/>
      <c r="E46" s="30" t="s">
        <v>140</v>
      </c>
      <c r="F46" s="31" t="str">
        <f aca="false">IF($J$36="","",IF(($J$36/I46-J46)=0,0,ROUND($J$36/I46-J46,11-INT(LOG10(ABS($J$36/I46-J46))))))</f>
        <v/>
      </c>
      <c r="G46" s="32" t="str">
        <f aca="false">B46</f>
        <v>Square yard (yd²)</v>
      </c>
      <c r="I46" s="33" t="n">
        <v>0.83612736</v>
      </c>
      <c r="J46" s="33" t="n">
        <v>0</v>
      </c>
    </row>
    <row r="47" customFormat="false" ht="19.5" hidden="false" customHeight="true" outlineLevel="0" collapsed="false">
      <c r="B47" s="28" t="s">
        <v>161</v>
      </c>
      <c r="C47" s="29" t="s">
        <v>144</v>
      </c>
      <c r="D47" s="21"/>
      <c r="E47" s="30" t="s">
        <v>140</v>
      </c>
      <c r="F47" s="31" t="str">
        <f aca="false">IF($J$36="","",IF(($J$36/I47-J47)=0,0,ROUND($J$36/I47-J47,11-INT(LOG10(ABS($J$36/I47-J47))))))</f>
        <v/>
      </c>
      <c r="G47" s="32" t="str">
        <f aca="false">B47</f>
        <v>Square foot (ft²)</v>
      </c>
      <c r="I47" s="33" t="n">
        <v>0.09290304</v>
      </c>
      <c r="J47" s="33" t="n">
        <v>0</v>
      </c>
    </row>
    <row r="48" customFormat="false" ht="19.5" hidden="false" customHeight="true" outlineLevel="0" collapsed="false">
      <c r="B48" s="28" t="s">
        <v>171</v>
      </c>
      <c r="C48" s="29" t="s">
        <v>144</v>
      </c>
      <c r="D48" s="21"/>
      <c r="E48" s="30" t="s">
        <v>140</v>
      </c>
      <c r="F48" s="31" t="str">
        <f aca="false">IF($J$36="","",IF(($J$36/I48-J48)=0,0,ROUND($J$36/I48-J48,11-INT(LOG10(ABS($J$36/I48-J48))))))</f>
        <v/>
      </c>
      <c r="G48" s="32" t="str">
        <f aca="false">B48</f>
        <v>Square inch (in²)</v>
      </c>
      <c r="I48" s="33" t="n">
        <v>0.00064516</v>
      </c>
      <c r="J48" s="33" t="n">
        <v>0</v>
      </c>
    </row>
    <row r="50" customFormat="false" ht="15" hidden="false" customHeight="false" outlineLevel="0" collapsed="false">
      <c r="B50" s="17" t="s">
        <v>155</v>
      </c>
    </row>
    <row r="51" customFormat="false" ht="15" hidden="false" customHeight="false" outlineLevel="0" collapsed="false">
      <c r="B51" s="17" t="s">
        <v>156</v>
      </c>
    </row>
    <row r="52" customFormat="false" ht="15" hidden="false" customHeight="false" outlineLevel="0" collapsed="false">
      <c r="B52" s="17" t="s">
        <v>157</v>
      </c>
    </row>
  </sheetData>
  <mergeCells count="18">
    <mergeCell ref="C5:C6"/>
    <mergeCell ref="D5:D6"/>
    <mergeCell ref="E5:E6"/>
    <mergeCell ref="F5:F6"/>
    <mergeCell ref="G5:G6"/>
    <mergeCell ref="D13:E13"/>
    <mergeCell ref="D16:E16"/>
    <mergeCell ref="D17:E17"/>
    <mergeCell ref="D18:E18"/>
    <mergeCell ref="D19:E19"/>
    <mergeCell ref="D23:E23"/>
    <mergeCell ref="D24:E24"/>
    <mergeCell ref="D25:E25"/>
    <mergeCell ref="D29:E29"/>
    <mergeCell ref="D30:E30"/>
    <mergeCell ref="D31:E31"/>
    <mergeCell ref="D32:E32"/>
    <mergeCell ref="B35:G35"/>
  </mergeCells>
  <conditionalFormatting sqref="B38:G48">
    <cfRule type="expression" priority="2" aboveAverage="0" equalAverage="0" bottom="0" percent="0" rank="0" text="" dxfId="0">
      <formula>ISNUMBER($D38)</formula>
    </cfRule>
  </conditionalFormatting>
  <dataValidations count="3">
    <dataValidation allowBlank="true" error="Please type a number." errorStyle="stop" errorTitle="Number only" operator="between" showDropDown="false" showErrorMessage="true" showInputMessage="false" sqref="C5 C16:C17 C23 C29:C30 D38:D48" type="decimal">
      <formula1>-1E+307</formula1>
      <formula2>1E+307</formula2>
    </dataValidation>
    <dataValidation allowBlank="false" error="Pick a unit from the list." errorStyle="stop" errorTitle="Unit" operator="between" showDropDown="false" showErrorMessage="true" showInputMessage="false" sqref="D5 G5 D18:D19 D24:D25 D31:D32" type="list">
      <formula1>U_Area</formula1>
      <formula2>0</formula2>
    </dataValidation>
    <dataValidation allowBlank="false" error="Pick a unit from the list." errorStyle="stop" errorTitle="Unit" operator="between" showDropDown="false" showErrorMessage="true" showInputMessage="false" sqref="D16:D17 D23 D29:D30" type="list">
      <formula1>U_Length</formula1>
      <formula2>0</formula2>
    </dataValidation>
  </dataValidations>
  <hyperlinks>
    <hyperlink ref="B2" r:id="rId1" location="Home!A1" display="SI base unit for this sheet: square metre (m²).  Blue cells on yellow = type here; drop-downs = choose unit.  ← Back to the Home sheet"/>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J7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2"/>
    <col collapsed="false" customWidth="true" hidden="false" outlineLevel="0" max="2" min="2" style="0" width="38"/>
    <col collapsed="false" customWidth="true" hidden="false" outlineLevel="0" max="3" min="3" style="0" width="18"/>
    <col collapsed="false" customWidth="true" hidden="false" outlineLevel="0" max="4" min="4" style="0" width="24"/>
    <col collapsed="false" customWidth="true" hidden="false" outlineLevel="0" max="5" min="5" style="0" width="10"/>
    <col collapsed="false" customWidth="true" hidden="false" outlineLevel="0" max="6" min="6" style="0" width="22"/>
    <col collapsed="false" customWidth="true" hidden="false" outlineLevel="0" max="7" min="7" style="0" width="34"/>
    <col collapsed="false" customWidth="true" hidden="false" outlineLevel="0" max="8" min="8" style="0" width="3"/>
    <col collapsed="false" customWidth="true" hidden="false" outlineLevel="0" max="9" min="9" style="0" width="20"/>
    <col collapsed="false" customWidth="true" hidden="false" outlineLevel="0" max="10" min="10" style="0" width="12"/>
  </cols>
  <sheetData>
    <row r="1" customFormat="false" ht="22.05" hidden="false" customHeight="false" outlineLevel="0" collapsed="false">
      <c r="B1" s="9" t="s">
        <v>184</v>
      </c>
    </row>
    <row r="2" customFormat="false" ht="15" hidden="false" customHeight="false" outlineLevel="0" collapsed="false">
      <c r="B2" s="2" t="s">
        <v>185</v>
      </c>
    </row>
    <row r="4" customFormat="false" ht="15" hidden="false" customHeight="false" outlineLevel="0" collapsed="false">
      <c r="B4" s="3" t="s">
        <v>85</v>
      </c>
    </row>
    <row r="5" customFormat="false" ht="15" hidden="false" customHeight="true" outlineLevel="0" collapsed="false">
      <c r="B5" s="10" t="s">
        <v>86</v>
      </c>
      <c r="C5" s="11" t="n">
        <v>1</v>
      </c>
      <c r="D5" s="12" t="s">
        <v>112</v>
      </c>
      <c r="E5" s="13" t="s">
        <v>88</v>
      </c>
      <c r="F5" s="14" t="n">
        <f aca="false">IF(ISNUMBER(C5),IF((((C5+INDEX(O_Volume,MATCH(D5,U_Volume,0)))*INDEX(F_Volume,MATCH(D5,U_Volume,0)))/INDEX(F_Volume,MATCH(G5,U_Volume,0))-INDEX(O_Volume,MATCH(G5,U_Volume,0)))=0,0,ROUND(((C5+INDEX(O_Volume,MATCH(D5,U_Volume,0)))*INDEX(F_Volume,MATCH(D5,U_Volume,0)))/INDEX(F_Volume,MATCH(G5,U_Volume,0))-INDEX(O_Volume,MATCH(G5,U_Volume,0)),11-INT(LOG10(ABS(((C5+INDEX(O_Volume,MATCH(D5,U_Volume,0)))*INDEX(F_Volume,MATCH(D5,U_Volume,0)))/INDEX(F_Volume,MATCH(G5,U_Volume,0))-INDEX(O_Volume,MATCH(G5,U_Volume,0))))))),"")</f>
        <v>0.264172052358</v>
      </c>
      <c r="G5" s="12" t="s">
        <v>118</v>
      </c>
    </row>
    <row r="6" customFormat="false" ht="15" hidden="false" customHeight="false" outlineLevel="0" collapsed="false">
      <c r="C6" s="11"/>
      <c r="D6" s="11"/>
      <c r="E6" s="13"/>
      <c r="F6" s="14"/>
      <c r="G6" s="14"/>
    </row>
    <row r="7" customFormat="false" ht="15" hidden="false" customHeight="false" outlineLevel="0" collapsed="false">
      <c r="C7" s="15" t="s">
        <v>90</v>
      </c>
      <c r="D7" s="15" t="s">
        <v>91</v>
      </c>
      <c r="F7" s="15" t="s">
        <v>92</v>
      </c>
      <c r="G7" s="15" t="s">
        <v>93</v>
      </c>
    </row>
    <row r="8" customFormat="false" ht="15" hidden="false" customHeight="false" outlineLevel="0" collapsed="false">
      <c r="B8" s="10" t="s">
        <v>94</v>
      </c>
      <c r="C8" s="16" t="str">
        <f aca="false">IF(ISNUMBER(F5),C5&amp;" "&amp;D5&amp;" = "&amp;TEXT(F5,"General")&amp;" "&amp;G5,"Enter a number in the yellow Value box")</f>
        <v>1 Litre (L) = 0.264172052358 US gallon (gal)</v>
      </c>
    </row>
    <row r="9" customFormat="false" ht="15" hidden="false" customHeight="false" outlineLevel="0" collapsed="false">
      <c r="B9" s="10" t="s">
        <v>95</v>
      </c>
      <c r="C9" s="16" t="str">
        <f aca="false">"1 "&amp;G5&amp;" = "&amp;TEXT(IF((((1+INDEX(O_Volume,MATCH(G5,U_Volume,0)))*INDEX(F_Volume,MATCH(G5,U_Volume,0)))/INDEX(F_Volume,MATCH(D5,U_Volume,0))-INDEX(O_Volume,MATCH(D5,U_Volume,0)))=0,0,ROUND(((1+INDEX(O_Volume,MATCH(G5,U_Volume,0)))*INDEX(F_Volume,MATCH(G5,U_Volume,0)))/INDEX(F_Volume,MATCH(D5,U_Volume,0))-INDEX(O_Volume,MATCH(D5,U_Volume,0)),11-INT(LOG10(ABS(((1+INDEX(O_Volume,MATCH(G5,U_Volume,0)))*INDEX(F_Volume,MATCH(G5,U_Volume,0)))/INDEX(F_Volume,MATCH(D5,U_Volume,0))-INDEX(O_Volume,MATCH(D5,U_Volume,0))))))),"General")&amp;" "&amp;D5</f>
        <v>1 US gallon (gal) = 3.785411784 Litre (L)</v>
      </c>
    </row>
    <row r="10" customFormat="false" ht="15" hidden="false" customHeight="false" outlineLevel="0" collapsed="false">
      <c r="B10" s="17" t="s">
        <v>96</v>
      </c>
    </row>
    <row r="12" customFormat="false" ht="15" hidden="false" customHeight="false" outlineLevel="0" collapsed="false">
      <c r="B12" s="3" t="s">
        <v>97</v>
      </c>
    </row>
    <row r="13" customFormat="false" ht="15" hidden="false" customHeight="true" outlineLevel="0" collapsed="false">
      <c r="B13" s="5" t="s">
        <v>98</v>
      </c>
      <c r="C13" s="5" t="s">
        <v>86</v>
      </c>
      <c r="D13" s="5" t="s">
        <v>99</v>
      </c>
      <c r="E13" s="5"/>
      <c r="F13" s="5" t="s">
        <v>100</v>
      </c>
    </row>
    <row r="14" customFormat="false" ht="15" hidden="false" customHeight="false" outlineLevel="0" collapsed="false">
      <c r="B14" s="18" t="s">
        <v>186</v>
      </c>
      <c r="C14" s="19"/>
      <c r="D14" s="19"/>
      <c r="E14" s="19"/>
      <c r="F14" s="19"/>
    </row>
    <row r="15" customFormat="false" ht="15" hidden="false" customHeight="false" outlineLevel="0" collapsed="false">
      <c r="B15" s="2" t="s">
        <v>187</v>
      </c>
    </row>
    <row r="16" customFormat="false" ht="15" hidden="false" customHeight="false" outlineLevel="0" collapsed="false">
      <c r="B16" s="20" t="s">
        <v>114</v>
      </c>
      <c r="C16" s="21" t="n">
        <v>4</v>
      </c>
      <c r="D16" s="22" t="s">
        <v>107</v>
      </c>
      <c r="E16" s="22"/>
      <c r="F16" s="23" t="n">
        <f aca="false">IF(ISNUMBER(C16),(C16+INDEX(O_Length,MATCH(D16,U_Length,0)))*INDEX(F_Length,MATCH(D16,U_Length,0)),"")</f>
        <v>0.1016</v>
      </c>
      <c r="G16" s="17" t="s">
        <v>104</v>
      </c>
    </row>
    <row r="17" customFormat="false" ht="15" hidden="false" customHeight="false" outlineLevel="0" collapsed="false">
      <c r="B17" s="20" t="s">
        <v>119</v>
      </c>
      <c r="C17" s="21" t="n">
        <v>6</v>
      </c>
      <c r="D17" s="22" t="s">
        <v>87</v>
      </c>
      <c r="E17" s="22"/>
      <c r="F17" s="23" t="n">
        <f aca="false">IF(ISNUMBER(C17),(C17+INDEX(O_Length,MATCH(D17,U_Length,0)))*INDEX(F_Length,MATCH(D17,U_Length,0)),"")</f>
        <v>6</v>
      </c>
      <c r="G17" s="17" t="s">
        <v>104</v>
      </c>
    </row>
    <row r="18" customFormat="false" ht="15" hidden="false" customHeight="false" outlineLevel="0" collapsed="false">
      <c r="B18" s="24" t="s">
        <v>188</v>
      </c>
      <c r="C18" s="25" t="n">
        <f aca="false">IF(F18="","",IF((F18/INDEX(F_Volume,MATCH(D18,U_Volume,0))-INDEX(O_Volume,MATCH(D18,U_Volume,0)))=0,0,ROUND(F18/INDEX(F_Volume,MATCH(D18,U_Volume,0))-INDEX(O_Volume,MATCH(D18,U_Volume,0)),11-INT(LOG10(ABS(F18/INDEX(F_Volume,MATCH(D18,U_Volume,0))-INDEX(O_Volume,MATCH(D18,U_Volume,0))))))))</f>
        <v>48.6439179934</v>
      </c>
      <c r="D18" s="22" t="s">
        <v>112</v>
      </c>
      <c r="E18" s="22"/>
      <c r="F18" s="23" t="n">
        <f aca="false">IF(OR(F16="",F17=""),"",IFERROR(PI()/4*F16^2*F17,""))</f>
        <v>0.0486439179933598</v>
      </c>
      <c r="G18" s="17" t="s">
        <v>113</v>
      </c>
    </row>
    <row r="19" customFormat="false" ht="15" hidden="false" customHeight="false" outlineLevel="0" collapsed="false">
      <c r="B19" s="24" t="s">
        <v>188</v>
      </c>
      <c r="C19" s="25" t="n">
        <f aca="false">IF(F19="","",IF((F19/INDEX(F_Volume,MATCH(D19,U_Volume,0))-INDEX(O_Volume,MATCH(D19,U_Volume,0)))=0,0,ROUND(F19/INDEX(F_Volume,MATCH(D19,U_Volume,0))-INDEX(O_Volume,MATCH(D19,U_Volume,0)),11-INT(LOG10(ABS(F19/INDEX(F_Volume,MATCH(D19,U_Volume,0))-INDEX(O_Volume,MATCH(D19,U_Volume,0))))))))</f>
        <v>12.850363651</v>
      </c>
      <c r="D19" s="22" t="s">
        <v>118</v>
      </c>
      <c r="E19" s="22"/>
      <c r="F19" s="23" t="n">
        <f aca="false">IF(OR(F16="",F17=""),"",IFERROR(PI()/4*F16^2*F17,""))</f>
        <v>0.0486439179933598</v>
      </c>
      <c r="G19" s="17" t="s">
        <v>113</v>
      </c>
    </row>
    <row r="20" customFormat="false" ht="15" hidden="false" customHeight="false" outlineLevel="0" collapsed="false">
      <c r="B20" s="24" t="s">
        <v>188</v>
      </c>
      <c r="C20" s="25" t="n">
        <f aca="false">IF(F20="","",IF((F20/INDEX(F_Volume,MATCH(D20,U_Volume,0))-INDEX(O_Volume,MATCH(D20,U_Volume,0)))=0,0,ROUND(F20/INDEX(F_Volume,MATCH(D20,U_Volume,0))-INDEX(O_Volume,MATCH(D20,U_Volume,0)),11-INT(LOG10(ABS(F20/INDEX(F_Volume,MATCH(D20,U_Volume,0))-INDEX(O_Volume,MATCH(D20,U_Volume,0))))))))</f>
        <v>0.0486439179934</v>
      </c>
      <c r="D20" s="22" t="s">
        <v>189</v>
      </c>
      <c r="E20" s="22"/>
      <c r="F20" s="23" t="n">
        <f aca="false">IF(OR(F16="",F17=""),"",IFERROR(PI()/4*F16^2*F17,""))</f>
        <v>0.0486439179933598</v>
      </c>
      <c r="G20" s="17" t="s">
        <v>113</v>
      </c>
    </row>
    <row r="22" customFormat="false" ht="15" hidden="false" customHeight="false" outlineLevel="0" collapsed="false">
      <c r="B22" s="18" t="s">
        <v>190</v>
      </c>
      <c r="C22" s="19"/>
      <c r="D22" s="19"/>
      <c r="E22" s="19"/>
      <c r="F22" s="19"/>
    </row>
    <row r="23" customFormat="false" ht="15" hidden="false" customHeight="false" outlineLevel="0" collapsed="false">
      <c r="B23" s="2" t="s">
        <v>191</v>
      </c>
    </row>
    <row r="24" customFormat="false" ht="15" hidden="false" customHeight="false" outlineLevel="0" collapsed="false">
      <c r="B24" s="20" t="s">
        <v>174</v>
      </c>
      <c r="C24" s="21" t="n">
        <v>4.5</v>
      </c>
      <c r="D24" s="22" t="s">
        <v>107</v>
      </c>
      <c r="E24" s="22"/>
      <c r="F24" s="23" t="n">
        <f aca="false">IF(ISNUMBER(C24),(C24+INDEX(O_Length,MATCH(D24,U_Length,0)))*INDEX(F_Length,MATCH(D24,U_Length,0)),"")</f>
        <v>0.1143</v>
      </c>
      <c r="G24" s="17" t="s">
        <v>104</v>
      </c>
    </row>
    <row r="25" customFormat="false" ht="15" hidden="false" customHeight="false" outlineLevel="0" collapsed="false">
      <c r="B25" s="20" t="s">
        <v>114</v>
      </c>
      <c r="C25" s="21" t="n">
        <v>4.026</v>
      </c>
      <c r="D25" s="22" t="s">
        <v>107</v>
      </c>
      <c r="E25" s="22"/>
      <c r="F25" s="23" t="n">
        <f aca="false">IF(ISNUMBER(C25),(C25+INDEX(O_Length,MATCH(D25,U_Length,0)))*INDEX(F_Length,MATCH(D25,U_Length,0)),"")</f>
        <v>0.1022604</v>
      </c>
      <c r="G25" s="17" t="s">
        <v>104</v>
      </c>
    </row>
    <row r="26" customFormat="false" ht="15" hidden="false" customHeight="false" outlineLevel="0" collapsed="false">
      <c r="B26" s="20" t="s">
        <v>119</v>
      </c>
      <c r="C26" s="21" t="n">
        <v>6</v>
      </c>
      <c r="D26" s="22" t="s">
        <v>87</v>
      </c>
      <c r="E26" s="22"/>
      <c r="F26" s="23" t="n">
        <f aca="false">IF(ISNUMBER(C26),(C26+INDEX(O_Length,MATCH(D26,U_Length,0)))*INDEX(F_Length,MATCH(D26,U_Length,0)),"")</f>
        <v>6</v>
      </c>
      <c r="G26" s="17" t="s">
        <v>104</v>
      </c>
    </row>
    <row r="27" customFormat="false" ht="15" hidden="false" customHeight="false" outlineLevel="0" collapsed="false">
      <c r="B27" s="24" t="s">
        <v>192</v>
      </c>
      <c r="C27" s="25" t="n">
        <f aca="false">IF(F27="","",IF((F27/INDEX(F_Volume,MATCH(D27,U_Volume,0))-INDEX(O_Volume,MATCH(D27,U_Volume,0)))=0,0,ROUND(F27/INDEX(F_Volume,MATCH(D27,U_Volume,0))-INDEX(O_Volume,MATCH(D27,U_Volume,0)),11-INT(LOG10(ABS(F27/INDEX(F_Volume,MATCH(D27,U_Volume,0))-INDEX(O_Volume,MATCH(D27,U_Volume,0))))))))</f>
        <v>0.0122866145775</v>
      </c>
      <c r="D27" s="22" t="s">
        <v>189</v>
      </c>
      <c r="E27" s="22"/>
      <c r="F27" s="23" t="n">
        <f aca="false">IF(OR(F24="",F25="",F26=""),"",IFERROR(PI()/4*(F24^2-F25^2)*F26,""))</f>
        <v>0.0122866145775373</v>
      </c>
      <c r="G27" s="17" t="s">
        <v>113</v>
      </c>
    </row>
    <row r="28" customFormat="false" ht="15" hidden="false" customHeight="false" outlineLevel="0" collapsed="false">
      <c r="B28" s="24" t="s">
        <v>192</v>
      </c>
      <c r="C28" s="25" t="n">
        <f aca="false">IF(F28="","",IF((F28/INDEX(F_Volume,MATCH(D28,U_Volume,0))-INDEX(O_Volume,MATCH(D28,U_Volume,0)))=0,0,ROUND(F28/INDEX(F_Volume,MATCH(D28,U_Volume,0))-INDEX(O_Volume,MATCH(D28,U_Volume,0)),11-INT(LOG10(ABS(F28/INDEX(F_Volume,MATCH(D28,U_Volume,0))-INDEX(O_Volume,MATCH(D28,U_Volume,0))))))))</f>
        <v>749.77522377</v>
      </c>
      <c r="D28" s="22" t="s">
        <v>193</v>
      </c>
      <c r="E28" s="22"/>
      <c r="F28" s="23" t="n">
        <f aca="false">IF(OR(F24="",F25="",F26=""),"",IFERROR(PI()/4*(F24^2-F25^2)*F26,""))</f>
        <v>0.0122866145775373</v>
      </c>
      <c r="G28" s="17" t="s">
        <v>113</v>
      </c>
    </row>
    <row r="30" customFormat="false" ht="15" hidden="false" customHeight="false" outlineLevel="0" collapsed="false">
      <c r="B30" s="18" t="s">
        <v>194</v>
      </c>
      <c r="C30" s="19"/>
      <c r="D30" s="19"/>
      <c r="E30" s="19"/>
      <c r="F30" s="19"/>
    </row>
    <row r="31" customFormat="false" ht="15" hidden="false" customHeight="false" outlineLevel="0" collapsed="false">
      <c r="B31" s="2" t="s">
        <v>195</v>
      </c>
    </row>
    <row r="32" customFormat="false" ht="15" hidden="false" customHeight="false" outlineLevel="0" collapsed="false">
      <c r="B32" s="20" t="s">
        <v>15</v>
      </c>
      <c r="C32" s="21" t="n">
        <v>10</v>
      </c>
      <c r="D32" s="22" t="s">
        <v>89</v>
      </c>
      <c r="E32" s="22"/>
      <c r="F32" s="23" t="n">
        <f aca="false">IF(ISNUMBER(C32),(C32+INDEX(O_Length,MATCH(D32,U_Length,0)))*INDEX(F_Length,MATCH(D32,U_Length,0)),"")</f>
        <v>3.048</v>
      </c>
      <c r="G32" s="17" t="s">
        <v>104</v>
      </c>
    </row>
    <row r="33" customFormat="false" ht="15" hidden="false" customHeight="false" outlineLevel="0" collapsed="false">
      <c r="B33" s="20" t="s">
        <v>164</v>
      </c>
      <c r="C33" s="21" t="n">
        <v>2</v>
      </c>
      <c r="D33" s="22" t="s">
        <v>87</v>
      </c>
      <c r="E33" s="22"/>
      <c r="F33" s="23" t="n">
        <f aca="false">IF(ISNUMBER(C33),(C33+INDEX(O_Length,MATCH(D33,U_Length,0)))*INDEX(F_Length,MATCH(D33,U_Length,0)),"")</f>
        <v>2</v>
      </c>
      <c r="G33" s="17" t="s">
        <v>104</v>
      </c>
    </row>
    <row r="34" customFormat="false" ht="15" hidden="false" customHeight="false" outlineLevel="0" collapsed="false">
      <c r="B34" s="20" t="s">
        <v>196</v>
      </c>
      <c r="C34" s="21" t="n">
        <v>36</v>
      </c>
      <c r="D34" s="22" t="s">
        <v>107</v>
      </c>
      <c r="E34" s="22"/>
      <c r="F34" s="23" t="n">
        <f aca="false">IF(ISNUMBER(C34),(C34+INDEX(O_Length,MATCH(D34,U_Length,0)))*INDEX(F_Length,MATCH(D34,U_Length,0)),"")</f>
        <v>0.9144</v>
      </c>
      <c r="G34" s="17" t="s">
        <v>104</v>
      </c>
    </row>
    <row r="35" customFormat="false" ht="15" hidden="false" customHeight="false" outlineLevel="0" collapsed="false">
      <c r="B35" s="24" t="s">
        <v>188</v>
      </c>
      <c r="C35" s="25" t="n">
        <f aca="false">IF(F35="","",IF((F35/INDEX(F_Volume,MATCH(D35,U_Volume,0))-INDEX(O_Volume,MATCH(D35,U_Volume,0)))=0,0,ROUND(F35/INDEX(F_Volume,MATCH(D35,U_Volume,0))-INDEX(O_Volume,MATCH(D35,U_Volume,0)),11-INT(LOG10(ABS(F35/INDEX(F_Volume,MATCH(D35,U_Volume,0))-INDEX(O_Volume,MATCH(D35,U_Volume,0))))))))</f>
        <v>5.5741824</v>
      </c>
      <c r="D35" s="22" t="s">
        <v>189</v>
      </c>
      <c r="E35" s="22"/>
      <c r="F35" s="23" t="n">
        <f aca="false">IF(OR(F32="",F33="",F34=""),"",IFERROR(F32*F33*F34,""))</f>
        <v>5.5741824</v>
      </c>
      <c r="G35" s="17" t="s">
        <v>113</v>
      </c>
    </row>
    <row r="36" customFormat="false" ht="15" hidden="false" customHeight="false" outlineLevel="0" collapsed="false">
      <c r="B36" s="24" t="s">
        <v>188</v>
      </c>
      <c r="C36" s="25" t="n">
        <f aca="false">IF(F36="","",IF((F36/INDEX(F_Volume,MATCH(D36,U_Volume,0))-INDEX(O_Volume,MATCH(D36,U_Volume,0)))=0,0,ROUND(F36/INDEX(F_Volume,MATCH(D36,U_Volume,0))-INDEX(O_Volume,MATCH(D36,U_Volume,0)),11-INT(LOG10(ABS(F36/INDEX(F_Volume,MATCH(D36,U_Volume,0))-INDEX(O_Volume,MATCH(D36,U_Volume,0))))))))</f>
        <v>1472.54320483</v>
      </c>
      <c r="D36" s="22" t="s">
        <v>118</v>
      </c>
      <c r="E36" s="22"/>
      <c r="F36" s="23" t="n">
        <f aca="false">IF(OR(F32="",F33="",F34=""),"",IFERROR(F32*F33*F34,""))</f>
        <v>5.5741824</v>
      </c>
      <c r="G36" s="17" t="s">
        <v>113</v>
      </c>
    </row>
    <row r="38" customFormat="false" ht="15" hidden="false" customHeight="false" outlineLevel="0" collapsed="false">
      <c r="B38" s="18" t="s">
        <v>197</v>
      </c>
      <c r="C38" s="19"/>
      <c r="D38" s="19"/>
      <c r="E38" s="19"/>
      <c r="F38" s="19"/>
    </row>
    <row r="39" customFormat="false" ht="15" hidden="false" customHeight="false" outlineLevel="0" collapsed="false">
      <c r="B39" s="2" t="s">
        <v>198</v>
      </c>
    </row>
    <row r="40" customFormat="false" ht="15" hidden="false" customHeight="false" outlineLevel="0" collapsed="false">
      <c r="B40" s="20" t="s">
        <v>199</v>
      </c>
      <c r="C40" s="21" t="n">
        <v>50</v>
      </c>
      <c r="D40" s="22" t="s">
        <v>200</v>
      </c>
      <c r="E40" s="22"/>
      <c r="F40" s="23" t="n">
        <f aca="false">IF(ISNUMBER(C40),(C40+INDEX(O_Flow_Rate,MATCH(D40,U_Flow_Rate,0)))*INDEX(F_Flow_Rate,MATCH(D40,U_Flow_Rate,0)),"")</f>
        <v>0.00315450982</v>
      </c>
      <c r="G40" s="17" t="s">
        <v>201</v>
      </c>
    </row>
    <row r="41" customFormat="false" ht="15" hidden="false" customHeight="false" outlineLevel="0" collapsed="false">
      <c r="B41" s="20" t="s">
        <v>39</v>
      </c>
      <c r="C41" s="21" t="n">
        <v>2</v>
      </c>
      <c r="D41" s="22" t="s">
        <v>202</v>
      </c>
      <c r="E41" s="22"/>
      <c r="F41" s="23" t="n">
        <f aca="false">IF(ISNUMBER(C41),(C41+INDEX(O_Time,MATCH(D41,U_Time,0)))*INDEX(F_Time,MATCH(D41,U_Time,0)),"")</f>
        <v>7200</v>
      </c>
      <c r="G41" s="17" t="s">
        <v>127</v>
      </c>
    </row>
    <row r="42" customFormat="false" ht="15" hidden="false" customHeight="false" outlineLevel="0" collapsed="false">
      <c r="B42" s="24" t="s">
        <v>188</v>
      </c>
      <c r="C42" s="25" t="n">
        <f aca="false">IF(F42="","",IF((F42/INDEX(F_Volume,MATCH(D42,U_Volume,0))-INDEX(O_Volume,MATCH(D42,U_Volume,0)))=0,0,ROUND(F42/INDEX(F_Volume,MATCH(D42,U_Volume,0))-INDEX(O_Volume,MATCH(D42,U_Volume,0)),11-INT(LOG10(ABS(F42/INDEX(F_Volume,MATCH(D42,U_Volume,0))-INDEX(O_Volume,MATCH(D42,U_Volume,0))))))))</f>
        <v>22712.470704</v>
      </c>
      <c r="D42" s="22" t="s">
        <v>112</v>
      </c>
      <c r="E42" s="22"/>
      <c r="F42" s="23" t="n">
        <f aca="false">IF(OR(F40="",F41=""),"",IFERROR(F40*F41,""))</f>
        <v>22.712470704</v>
      </c>
      <c r="G42" s="17" t="s">
        <v>113</v>
      </c>
    </row>
    <row r="43" customFormat="false" ht="15" hidden="false" customHeight="false" outlineLevel="0" collapsed="false">
      <c r="B43" s="24" t="s">
        <v>188</v>
      </c>
      <c r="C43" s="25" t="n">
        <f aca="false">IF(F43="","",IF((F43/INDEX(F_Volume,MATCH(D43,U_Volume,0))-INDEX(O_Volume,MATCH(D43,U_Volume,0)))=0,0,ROUND(F43/INDEX(F_Volume,MATCH(D43,U_Volume,0))-INDEX(O_Volume,MATCH(D43,U_Volume,0)),11-INT(LOG10(ABS(F43/INDEX(F_Volume,MATCH(D43,U_Volume,0))-INDEX(O_Volume,MATCH(D43,U_Volume,0))))))))</f>
        <v>22.712470704</v>
      </c>
      <c r="D43" s="22" t="s">
        <v>189</v>
      </c>
      <c r="E43" s="22"/>
      <c r="F43" s="23" t="n">
        <f aca="false">IF(OR(F40="",F41=""),"",IFERROR(F40*F41,""))</f>
        <v>22.712470704</v>
      </c>
      <c r="G43" s="17" t="s">
        <v>113</v>
      </c>
    </row>
    <row r="45" customFormat="false" ht="15" hidden="false" customHeight="false" outlineLevel="0" collapsed="false">
      <c r="B45" s="3" t="s">
        <v>131</v>
      </c>
    </row>
    <row r="46" customFormat="false" ht="15" hidden="false" customHeight="false" outlineLevel="0" collapsed="false">
      <c r="B46" s="26" t="str">
        <f aca="false">IF(COUNT($D$49:$D$67)=0,"Type a number next to any unit below (e.g. next to the unit you know).",IF(COUNT($D$49:$D$67)&gt;1,"⚠ More than one value entered – clear all but one yellow cell.","Showing everything equal to "&amp;INDEX($D$49:$D$67,MATCH(TRUE(),INDEX(ISNUMBER($D$49:$D$67),0),0))&amp;" "&amp;INDEX(U_Volume,MATCH(TRUE(),INDEX(ISNUMBER($D$49:$D$67),0),0))))</f>
        <v>Type a number next to any unit below (e.g. next to the unit you know).</v>
      </c>
      <c r="C46" s="26"/>
      <c r="D46" s="26"/>
      <c r="E46" s="26"/>
      <c r="F46" s="26"/>
      <c r="G46" s="26"/>
    </row>
    <row r="47" customFormat="false" ht="15" hidden="false" customHeight="false" outlineLevel="0" collapsed="false">
      <c r="I47" s="27" t="s">
        <v>132</v>
      </c>
      <c r="J47" s="17" t="str">
        <f aca="false">IF(COUNT($D$49:$D$67)&lt;&gt;1,"",SUMPRODUCT(--ISNUMBER($D$49:$D$67),($D$49:$D$67+O_Volume)*F_Volume))</f>
        <v/>
      </c>
    </row>
    <row r="48" customFormat="false" ht="31.5" hidden="false" customHeight="true" outlineLevel="0" collapsed="false">
      <c r="B48" s="5" t="s">
        <v>133</v>
      </c>
      <c r="C48" s="5" t="s">
        <v>134</v>
      </c>
      <c r="D48" s="5" t="s">
        <v>135</v>
      </c>
      <c r="E48" s="5"/>
      <c r="F48" s="5" t="s">
        <v>136</v>
      </c>
      <c r="G48" s="5" t="s">
        <v>133</v>
      </c>
      <c r="I48" s="5" t="s">
        <v>203</v>
      </c>
      <c r="J48" s="5" t="s">
        <v>138</v>
      </c>
    </row>
    <row r="49" customFormat="false" ht="19.5" hidden="false" customHeight="true" outlineLevel="0" collapsed="false">
      <c r="B49" s="28" t="s">
        <v>189</v>
      </c>
      <c r="C49" s="29" t="s">
        <v>139</v>
      </c>
      <c r="D49" s="21"/>
      <c r="E49" s="30" t="s">
        <v>140</v>
      </c>
      <c r="F49" s="31" t="str">
        <f aca="false">IF($J$47="","",IF(($J$47/I49-J49)=0,0,ROUND($J$47/I49-J49,11-INT(LOG10(ABS($J$47/I49-J49))))))</f>
        <v/>
      </c>
      <c r="G49" s="32" t="str">
        <f aca="false">B49</f>
        <v>Cubic meter (m³)</v>
      </c>
      <c r="I49" s="33" t="n">
        <v>1</v>
      </c>
      <c r="J49" s="33" t="n">
        <v>0</v>
      </c>
    </row>
    <row r="50" customFormat="false" ht="19.5" hidden="false" customHeight="true" outlineLevel="0" collapsed="false">
      <c r="B50" s="28" t="s">
        <v>112</v>
      </c>
      <c r="C50" s="29" t="s">
        <v>139</v>
      </c>
      <c r="D50" s="21"/>
      <c r="E50" s="30" t="s">
        <v>140</v>
      </c>
      <c r="F50" s="31" t="str">
        <f aca="false">IF($J$47="","",IF(($J$47/I50-J50)=0,0,ROUND($J$47/I50-J50,11-INT(LOG10(ABS($J$47/I50-J50))))))</f>
        <v/>
      </c>
      <c r="G50" s="32" t="str">
        <f aca="false">B50</f>
        <v>Litre (L)</v>
      </c>
      <c r="I50" s="33" t="n">
        <v>0.001</v>
      </c>
      <c r="J50" s="33" t="n">
        <v>0</v>
      </c>
    </row>
    <row r="51" customFormat="false" ht="19.5" hidden="false" customHeight="true" outlineLevel="0" collapsed="false">
      <c r="B51" s="28" t="s">
        <v>204</v>
      </c>
      <c r="C51" s="29" t="s">
        <v>139</v>
      </c>
      <c r="D51" s="21"/>
      <c r="E51" s="30" t="s">
        <v>140</v>
      </c>
      <c r="F51" s="31" t="str">
        <f aca="false">IF($J$47="","",IF(($J$47/I51-J51)=0,0,ROUND($J$47/I51-J51,11-INT(LOG10(ABS($J$47/I51-J51))))))</f>
        <v/>
      </c>
      <c r="G51" s="32" t="str">
        <f aca="false">B51</f>
        <v>Millilitre (mL)</v>
      </c>
      <c r="I51" s="33" t="n">
        <v>1E-006</v>
      </c>
      <c r="J51" s="33" t="n">
        <v>0</v>
      </c>
    </row>
    <row r="52" customFormat="false" ht="19.5" hidden="false" customHeight="true" outlineLevel="0" collapsed="false">
      <c r="B52" s="28" t="s">
        <v>205</v>
      </c>
      <c r="C52" s="29" t="s">
        <v>139</v>
      </c>
      <c r="D52" s="21"/>
      <c r="E52" s="30" t="s">
        <v>140</v>
      </c>
      <c r="F52" s="31" t="str">
        <f aca="false">IF($J$47="","",IF(($J$47/I52-J52)=0,0,ROUND($J$47/I52-J52,11-INT(LOG10(ABS($J$47/I52-J52))))))</f>
        <v/>
      </c>
      <c r="G52" s="32" t="str">
        <f aca="false">B52</f>
        <v>Cubic centimetre (cm³)</v>
      </c>
      <c r="I52" s="33" t="n">
        <v>1E-006</v>
      </c>
      <c r="J52" s="33" t="n">
        <v>0</v>
      </c>
    </row>
    <row r="53" customFormat="false" ht="19.5" hidden="false" customHeight="true" outlineLevel="0" collapsed="false">
      <c r="B53" s="28" t="s">
        <v>118</v>
      </c>
      <c r="C53" s="29" t="s">
        <v>206</v>
      </c>
      <c r="D53" s="21"/>
      <c r="E53" s="30" t="s">
        <v>140</v>
      </c>
      <c r="F53" s="31" t="str">
        <f aca="false">IF($J$47="","",IF(($J$47/I53-J53)=0,0,ROUND($J$47/I53-J53,11-INT(LOG10(ABS($J$47/I53-J53))))))</f>
        <v/>
      </c>
      <c r="G53" s="32" t="str">
        <f aca="false">B53</f>
        <v>US gallon (gal)</v>
      </c>
      <c r="I53" s="33" t="n">
        <v>0.003785411784</v>
      </c>
      <c r="J53" s="33" t="n">
        <v>0</v>
      </c>
    </row>
    <row r="54" customFormat="false" ht="19.5" hidden="false" customHeight="true" outlineLevel="0" collapsed="false">
      <c r="B54" s="28" t="s">
        <v>207</v>
      </c>
      <c r="C54" s="29" t="s">
        <v>206</v>
      </c>
      <c r="D54" s="21"/>
      <c r="E54" s="30" t="s">
        <v>140</v>
      </c>
      <c r="F54" s="31" t="str">
        <f aca="false">IF($J$47="","",IF(($J$47/I54-J54)=0,0,ROUND($J$47/I54-J54,11-INT(LOG10(ABS($J$47/I54-J54))))))</f>
        <v/>
      </c>
      <c r="G54" s="32" t="str">
        <f aca="false">B54</f>
        <v>US quart (qt)</v>
      </c>
      <c r="I54" s="33" t="n">
        <v>0.000946352946</v>
      </c>
      <c r="J54" s="33" t="n">
        <v>0</v>
      </c>
    </row>
    <row r="55" customFormat="false" ht="19.5" hidden="false" customHeight="true" outlineLevel="0" collapsed="false">
      <c r="B55" s="28" t="s">
        <v>208</v>
      </c>
      <c r="C55" s="29" t="s">
        <v>206</v>
      </c>
      <c r="D55" s="21"/>
      <c r="E55" s="30" t="s">
        <v>140</v>
      </c>
      <c r="F55" s="31" t="str">
        <f aca="false">IF($J$47="","",IF(($J$47/I55-J55)=0,0,ROUND($J$47/I55-J55,11-INT(LOG10(ABS($J$47/I55-J55))))))</f>
        <v/>
      </c>
      <c r="G55" s="32" t="str">
        <f aca="false">B55</f>
        <v>US pint (pt)</v>
      </c>
      <c r="I55" s="33" t="n">
        <v>0.000473176473</v>
      </c>
      <c r="J55" s="33" t="n">
        <v>0</v>
      </c>
    </row>
    <row r="56" customFormat="false" ht="19.5" hidden="false" customHeight="true" outlineLevel="0" collapsed="false">
      <c r="B56" s="28" t="s">
        <v>209</v>
      </c>
      <c r="C56" s="29" t="s">
        <v>206</v>
      </c>
      <c r="D56" s="21"/>
      <c r="E56" s="30" t="s">
        <v>140</v>
      </c>
      <c r="F56" s="31" t="str">
        <f aca="false">IF($J$47="","",IF(($J$47/I56-J56)=0,0,ROUND($J$47/I56-J56,11-INT(LOG10(ABS($J$47/I56-J56))))))</f>
        <v/>
      </c>
      <c r="G56" s="32" t="str">
        <f aca="false">B56</f>
        <v>US cup</v>
      </c>
      <c r="I56" s="33" t="n">
        <v>0.0002365882365</v>
      </c>
      <c r="J56" s="33" t="n">
        <v>0</v>
      </c>
    </row>
    <row r="57" customFormat="false" ht="19.5" hidden="false" customHeight="true" outlineLevel="0" collapsed="false">
      <c r="B57" s="28" t="s">
        <v>210</v>
      </c>
      <c r="C57" s="29" t="s">
        <v>206</v>
      </c>
      <c r="D57" s="21"/>
      <c r="E57" s="30" t="s">
        <v>140</v>
      </c>
      <c r="F57" s="31" t="str">
        <f aca="false">IF($J$47="","",IF(($J$47/I57-J57)=0,0,ROUND($J$47/I57-J57,11-INT(LOG10(ABS($J$47/I57-J57))))))</f>
        <v/>
      </c>
      <c r="G57" s="32" t="str">
        <f aca="false">B57</f>
        <v>US fluid ounce (fl oz)</v>
      </c>
      <c r="I57" s="33" t="n">
        <v>2.95735295625E-005</v>
      </c>
      <c r="J57" s="33" t="n">
        <v>0</v>
      </c>
    </row>
    <row r="58" customFormat="false" ht="19.5" hidden="false" customHeight="true" outlineLevel="0" collapsed="false">
      <c r="B58" s="28" t="s">
        <v>211</v>
      </c>
      <c r="C58" s="29" t="s">
        <v>206</v>
      </c>
      <c r="D58" s="21"/>
      <c r="E58" s="30" t="s">
        <v>140</v>
      </c>
      <c r="F58" s="31" t="str">
        <f aca="false">IF($J$47="","",IF(($J$47/I58-J58)=0,0,ROUND($J$47/I58-J58,11-INT(LOG10(ABS($J$47/I58-J58))))))</f>
        <v/>
      </c>
      <c r="G58" s="32" t="str">
        <f aca="false">B58</f>
        <v>US tablespoon (tbsp)</v>
      </c>
      <c r="I58" s="33" t="n">
        <v>1.478676478125E-005</v>
      </c>
      <c r="J58" s="33" t="n">
        <v>0</v>
      </c>
    </row>
    <row r="59" customFormat="false" ht="19.5" hidden="false" customHeight="true" outlineLevel="0" collapsed="false">
      <c r="B59" s="28" t="s">
        <v>212</v>
      </c>
      <c r="C59" s="29" t="s">
        <v>206</v>
      </c>
      <c r="D59" s="21"/>
      <c r="E59" s="30" t="s">
        <v>140</v>
      </c>
      <c r="F59" s="31" t="str">
        <f aca="false">IF($J$47="","",IF(($J$47/I59-J59)=0,0,ROUND($J$47/I59-J59,11-INT(LOG10(ABS($J$47/I59-J59))))))</f>
        <v/>
      </c>
      <c r="G59" s="32" t="str">
        <f aca="false">B59</f>
        <v>US teaspoon (tsp)</v>
      </c>
      <c r="I59" s="33" t="n">
        <v>4.92892159375E-006</v>
      </c>
      <c r="J59" s="33" t="n">
        <v>0</v>
      </c>
    </row>
    <row r="60" customFormat="false" ht="19.5" hidden="false" customHeight="true" outlineLevel="0" collapsed="false">
      <c r="B60" s="28" t="s">
        <v>213</v>
      </c>
      <c r="C60" s="29" t="s">
        <v>214</v>
      </c>
      <c r="D60" s="21"/>
      <c r="E60" s="30" t="s">
        <v>140</v>
      </c>
      <c r="F60" s="31" t="str">
        <f aca="false">IF($J$47="","",IF(($J$47/I60-J60)=0,0,ROUND($J$47/I60-J60,11-INT(LOG10(ABS($J$47/I60-J60))))))</f>
        <v/>
      </c>
      <c r="G60" s="32" t="str">
        <f aca="false">B60</f>
        <v>Imperial gallon (gal)</v>
      </c>
      <c r="I60" s="33" t="n">
        <v>0.00454609</v>
      </c>
      <c r="J60" s="33" t="n">
        <v>0</v>
      </c>
    </row>
    <row r="61" customFormat="false" ht="19.5" hidden="false" customHeight="true" outlineLevel="0" collapsed="false">
      <c r="B61" s="28" t="s">
        <v>215</v>
      </c>
      <c r="C61" s="29" t="s">
        <v>214</v>
      </c>
      <c r="D61" s="21"/>
      <c r="E61" s="30" t="s">
        <v>140</v>
      </c>
      <c r="F61" s="31" t="str">
        <f aca="false">IF($J$47="","",IF(($J$47/I61-J61)=0,0,ROUND($J$47/I61-J61,11-INT(LOG10(ABS($J$47/I61-J61))))))</f>
        <v/>
      </c>
      <c r="G61" s="32" t="str">
        <f aca="false">B61</f>
        <v>Imperial quart (qt)</v>
      </c>
      <c r="I61" s="33" t="n">
        <v>0.0011365225</v>
      </c>
      <c r="J61" s="33" t="n">
        <v>0</v>
      </c>
    </row>
    <row r="62" customFormat="false" ht="19.5" hidden="false" customHeight="true" outlineLevel="0" collapsed="false">
      <c r="B62" s="28" t="s">
        <v>216</v>
      </c>
      <c r="C62" s="29" t="s">
        <v>214</v>
      </c>
      <c r="D62" s="21"/>
      <c r="E62" s="30" t="s">
        <v>140</v>
      </c>
      <c r="F62" s="31" t="str">
        <f aca="false">IF($J$47="","",IF(($J$47/I62-J62)=0,0,ROUND($J$47/I62-J62,11-INT(LOG10(ABS($J$47/I62-J62))))))</f>
        <v/>
      </c>
      <c r="G62" s="32" t="str">
        <f aca="false">B62</f>
        <v>Imperial pint (pt)</v>
      </c>
      <c r="I62" s="33" t="n">
        <v>0.00056826125</v>
      </c>
      <c r="J62" s="33" t="n">
        <v>0</v>
      </c>
    </row>
    <row r="63" customFormat="false" ht="19.5" hidden="false" customHeight="true" outlineLevel="0" collapsed="false">
      <c r="B63" s="28" t="s">
        <v>217</v>
      </c>
      <c r="C63" s="29" t="s">
        <v>214</v>
      </c>
      <c r="D63" s="21"/>
      <c r="E63" s="30" t="s">
        <v>140</v>
      </c>
      <c r="F63" s="31" t="str">
        <f aca="false">IF($J$47="","",IF(($J$47/I63-J63)=0,0,ROUND($J$47/I63-J63,11-INT(LOG10(ABS($J$47/I63-J63))))))</f>
        <v/>
      </c>
      <c r="G63" s="32" t="str">
        <f aca="false">B63</f>
        <v>Imperial fluid ounce (fl oz)</v>
      </c>
      <c r="I63" s="33" t="n">
        <v>2.84130625E-005</v>
      </c>
      <c r="J63" s="33" t="n">
        <v>0</v>
      </c>
    </row>
    <row r="64" customFormat="false" ht="19.5" hidden="false" customHeight="true" outlineLevel="0" collapsed="false">
      <c r="B64" s="28" t="s">
        <v>218</v>
      </c>
      <c r="C64" s="29" t="s">
        <v>144</v>
      </c>
      <c r="D64" s="21"/>
      <c r="E64" s="30" t="s">
        <v>140</v>
      </c>
      <c r="F64" s="31" t="str">
        <f aca="false">IF($J$47="","",IF(($J$47/I64-J64)=0,0,ROUND($J$47/I64-J64,11-INT(LOG10(ABS($J$47/I64-J64))))))</f>
        <v/>
      </c>
      <c r="G64" s="32" t="str">
        <f aca="false">B64</f>
        <v>Cubic yard (yd³)</v>
      </c>
      <c r="I64" s="33" t="n">
        <v>0.764554857984</v>
      </c>
      <c r="J64" s="33" t="n">
        <v>0</v>
      </c>
    </row>
    <row r="65" customFormat="false" ht="19.5" hidden="false" customHeight="true" outlineLevel="0" collapsed="false">
      <c r="B65" s="28" t="s">
        <v>219</v>
      </c>
      <c r="C65" s="29" t="s">
        <v>144</v>
      </c>
      <c r="D65" s="21"/>
      <c r="E65" s="30" t="s">
        <v>140</v>
      </c>
      <c r="F65" s="31" t="str">
        <f aca="false">IF($J$47="","",IF(($J$47/I65-J65)=0,0,ROUND($J$47/I65-J65,11-INT(LOG10(ABS($J$47/I65-J65))))))</f>
        <v/>
      </c>
      <c r="G65" s="32" t="str">
        <f aca="false">B65</f>
        <v>Cubic foot (ft³)</v>
      </c>
      <c r="I65" s="33" t="n">
        <v>0.028316846592</v>
      </c>
      <c r="J65" s="33" t="n">
        <v>0</v>
      </c>
    </row>
    <row r="66" customFormat="false" ht="19.5" hidden="false" customHeight="true" outlineLevel="0" collapsed="false">
      <c r="B66" s="28" t="s">
        <v>193</v>
      </c>
      <c r="C66" s="29" t="s">
        <v>144</v>
      </c>
      <c r="D66" s="21"/>
      <c r="E66" s="30" t="s">
        <v>140</v>
      </c>
      <c r="F66" s="31" t="str">
        <f aca="false">IF($J$47="","",IF(($J$47/I66-J66)=0,0,ROUND($J$47/I66-J66,11-INT(LOG10(ABS($J$47/I66-J66))))))</f>
        <v/>
      </c>
      <c r="G66" s="32" t="str">
        <f aca="false">B66</f>
        <v>Cubic inch (in³)</v>
      </c>
      <c r="I66" s="33" t="n">
        <v>1.6387064E-005</v>
      </c>
      <c r="J66" s="33" t="n">
        <v>0</v>
      </c>
    </row>
    <row r="67" customFormat="false" ht="19.5" hidden="false" customHeight="true" outlineLevel="0" collapsed="false">
      <c r="B67" s="28" t="s">
        <v>220</v>
      </c>
      <c r="C67" s="29" t="s">
        <v>151</v>
      </c>
      <c r="D67" s="21"/>
      <c r="E67" s="30" t="s">
        <v>140</v>
      </c>
      <c r="F67" s="31" t="str">
        <f aca="false">IF($J$47="","",IF(($J$47/I67-J67)=0,0,ROUND($J$47/I67-J67,11-INT(LOG10(ABS($J$47/I67-J67))))))</f>
        <v/>
      </c>
      <c r="G67" s="32" t="str">
        <f aca="false">B67</f>
        <v>Oil barrel (bbl)</v>
      </c>
      <c r="I67" s="33" t="n">
        <v>0.158987294928</v>
      </c>
      <c r="J67" s="33" t="n">
        <v>0</v>
      </c>
    </row>
    <row r="69" customFormat="false" ht="15" hidden="false" customHeight="false" outlineLevel="0" collapsed="false">
      <c r="B69" s="17" t="s">
        <v>155</v>
      </c>
    </row>
    <row r="70" customFormat="false" ht="15" hidden="false" customHeight="false" outlineLevel="0" collapsed="false">
      <c r="B70" s="17" t="s">
        <v>156</v>
      </c>
    </row>
    <row r="71" customFormat="false" ht="15" hidden="false" customHeight="false" outlineLevel="0" collapsed="false">
      <c r="B71" s="17" t="s">
        <v>157</v>
      </c>
    </row>
    <row r="72" customFormat="false" ht="15" hidden="false" customHeight="false" outlineLevel="0" collapsed="false">
      <c r="B72" s="17" t="s">
        <v>221</v>
      </c>
    </row>
  </sheetData>
  <mergeCells count="26">
    <mergeCell ref="C5:C6"/>
    <mergeCell ref="D5:D6"/>
    <mergeCell ref="E5:E6"/>
    <mergeCell ref="F5:F6"/>
    <mergeCell ref="G5:G6"/>
    <mergeCell ref="D13:E13"/>
    <mergeCell ref="D16:E16"/>
    <mergeCell ref="D17:E17"/>
    <mergeCell ref="D18:E18"/>
    <mergeCell ref="D19:E19"/>
    <mergeCell ref="D20:E20"/>
    <mergeCell ref="D24:E24"/>
    <mergeCell ref="D25:E25"/>
    <mergeCell ref="D26:E26"/>
    <mergeCell ref="D27:E27"/>
    <mergeCell ref="D28:E28"/>
    <mergeCell ref="D32:E32"/>
    <mergeCell ref="D33:E33"/>
    <mergeCell ref="D34:E34"/>
    <mergeCell ref="D35:E35"/>
    <mergeCell ref="D36:E36"/>
    <mergeCell ref="D40:E40"/>
    <mergeCell ref="D41:E41"/>
    <mergeCell ref="D42:E42"/>
    <mergeCell ref="D43:E43"/>
    <mergeCell ref="B46:G46"/>
  </mergeCells>
  <conditionalFormatting sqref="B49:G67">
    <cfRule type="expression" priority="2" aboveAverage="0" equalAverage="0" bottom="0" percent="0" rank="0" text="" dxfId="0">
      <formula>ISNUMBER($D49)</formula>
    </cfRule>
  </conditionalFormatting>
  <dataValidations count="5">
    <dataValidation allowBlank="true" error="Please type a number." errorStyle="stop" errorTitle="Number only" operator="between" showDropDown="false" showErrorMessage="true" showInputMessage="false" sqref="C5 C16:C17 C24:C26 C32:C34 C40:C41 D49:D67" type="decimal">
      <formula1>-1E+307</formula1>
      <formula2>1E+307</formula2>
    </dataValidation>
    <dataValidation allowBlank="false" error="Pick a unit from the list." errorStyle="stop" errorTitle="Unit" operator="between" showDropDown="false" showErrorMessage="true" showInputMessage="false" sqref="D5 G5 D18:D20 D27:D28 D35:D36 D42:D43" type="list">
      <formula1>U_Volume</formula1>
      <formula2>0</formula2>
    </dataValidation>
    <dataValidation allowBlank="false" error="Pick a unit from the list." errorStyle="stop" errorTitle="Unit" operator="between" showDropDown="false" showErrorMessage="true" showInputMessage="false" sqref="D16:D17 D24:D26 D32:D34" type="list">
      <formula1>U_Length</formula1>
      <formula2>0</formula2>
    </dataValidation>
    <dataValidation allowBlank="false" error="Pick a unit from the list." errorStyle="stop" errorTitle="Unit" operator="between" showDropDown="false" showErrorMessage="true" showInputMessage="false" sqref="D40" type="list">
      <formula1>U_Flow_Rate</formula1>
      <formula2>0</formula2>
    </dataValidation>
    <dataValidation allowBlank="false" error="Pick a unit from the list." errorStyle="stop" errorTitle="Unit" operator="between" showDropDown="false" showErrorMessage="true" showInputMessage="false" sqref="D41" type="list">
      <formula1>U_Time</formula1>
      <formula2>0</formula2>
    </dataValidation>
  </dataValidations>
  <hyperlinks>
    <hyperlink ref="B2" r:id="rId1" location="Home!A1" display="SI base unit for this sheet: cubic metre (m³).  Blue cells on yellow = type here; drop-downs = choose unit.  ← Back to the Home sheet"/>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J6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2"/>
    <col collapsed="false" customWidth="true" hidden="false" outlineLevel="0" max="2" min="2" style="0" width="38"/>
    <col collapsed="false" customWidth="true" hidden="false" outlineLevel="0" max="3" min="3" style="0" width="18"/>
    <col collapsed="false" customWidth="true" hidden="false" outlineLevel="0" max="4" min="4" style="0" width="24"/>
    <col collapsed="false" customWidth="true" hidden="false" outlineLevel="0" max="5" min="5" style="0" width="10"/>
    <col collapsed="false" customWidth="true" hidden="false" outlineLevel="0" max="6" min="6" style="0" width="22"/>
    <col collapsed="false" customWidth="true" hidden="false" outlineLevel="0" max="7" min="7" style="0" width="34"/>
    <col collapsed="false" customWidth="true" hidden="false" outlineLevel="0" max="8" min="8" style="0" width="3"/>
    <col collapsed="false" customWidth="true" hidden="false" outlineLevel="0" max="9" min="9" style="0" width="20"/>
    <col collapsed="false" customWidth="true" hidden="false" outlineLevel="0" max="10" min="10" style="0" width="12"/>
  </cols>
  <sheetData>
    <row r="1" customFormat="false" ht="22.05" hidden="false" customHeight="false" outlineLevel="0" collapsed="false">
      <c r="B1" s="9" t="s">
        <v>222</v>
      </c>
    </row>
    <row r="2" customFormat="false" ht="15" hidden="false" customHeight="false" outlineLevel="0" collapsed="false">
      <c r="B2" s="2" t="s">
        <v>223</v>
      </c>
    </row>
    <row r="4" customFormat="false" ht="15" hidden="false" customHeight="false" outlineLevel="0" collapsed="false">
      <c r="B4" s="3" t="s">
        <v>85</v>
      </c>
    </row>
    <row r="5" customFormat="false" ht="15" hidden="false" customHeight="true" outlineLevel="0" collapsed="false">
      <c r="B5" s="10" t="s">
        <v>86</v>
      </c>
      <c r="C5" s="11" t="n">
        <v>1</v>
      </c>
      <c r="D5" s="12" t="s">
        <v>224</v>
      </c>
      <c r="E5" s="13" t="s">
        <v>88</v>
      </c>
      <c r="F5" s="14" t="n">
        <f aca="false">IF(ISNUMBER(C5),IF((((C5+INDEX(O_Mass,MATCH(D5,U_Mass,0)))*INDEX(F_Mass,MATCH(D5,U_Mass,0)))/INDEX(F_Mass,MATCH(G5,U_Mass,0))-INDEX(O_Mass,MATCH(G5,U_Mass,0)))=0,0,ROUND(((C5+INDEX(O_Mass,MATCH(D5,U_Mass,0)))*INDEX(F_Mass,MATCH(D5,U_Mass,0)))/INDEX(F_Mass,MATCH(G5,U_Mass,0))-INDEX(O_Mass,MATCH(G5,U_Mass,0)),11-INT(LOG10(ABS(((C5+INDEX(O_Mass,MATCH(D5,U_Mass,0)))*INDEX(F_Mass,MATCH(D5,U_Mass,0)))/INDEX(F_Mass,MATCH(G5,U_Mass,0))-INDEX(O_Mass,MATCH(G5,U_Mass,0))))))),"")</f>
        <v>2.20462262185</v>
      </c>
      <c r="G5" s="12" t="s">
        <v>225</v>
      </c>
    </row>
    <row r="6" customFormat="false" ht="15" hidden="false" customHeight="false" outlineLevel="0" collapsed="false">
      <c r="C6" s="11"/>
      <c r="D6" s="11"/>
      <c r="E6" s="13"/>
      <c r="F6" s="14"/>
      <c r="G6" s="14"/>
    </row>
    <row r="7" customFormat="false" ht="15" hidden="false" customHeight="false" outlineLevel="0" collapsed="false">
      <c r="C7" s="15" t="s">
        <v>90</v>
      </c>
      <c r="D7" s="15" t="s">
        <v>91</v>
      </c>
      <c r="F7" s="15" t="s">
        <v>92</v>
      </c>
      <c r="G7" s="15" t="s">
        <v>93</v>
      </c>
    </row>
    <row r="8" customFormat="false" ht="15" hidden="false" customHeight="false" outlineLevel="0" collapsed="false">
      <c r="B8" s="10" t="s">
        <v>94</v>
      </c>
      <c r="C8" s="16" t="str">
        <f aca="false">IF(ISNUMBER(F5),C5&amp;" "&amp;D5&amp;" = "&amp;TEXT(F5,"General")&amp;" "&amp;G5,"Enter a number in the yellow Value box")</f>
        <v>1 Kilogram (kg) = 2.20462262185 Pound (lb)</v>
      </c>
    </row>
    <row r="9" customFormat="false" ht="15" hidden="false" customHeight="false" outlineLevel="0" collapsed="false">
      <c r="B9" s="10" t="s">
        <v>95</v>
      </c>
      <c r="C9" s="16" t="str">
        <f aca="false">"1 "&amp;G5&amp;" = "&amp;TEXT(IF((((1+INDEX(O_Mass,MATCH(G5,U_Mass,0)))*INDEX(F_Mass,MATCH(G5,U_Mass,0)))/INDEX(F_Mass,MATCH(D5,U_Mass,0))-INDEX(O_Mass,MATCH(D5,U_Mass,0)))=0,0,ROUND(((1+INDEX(O_Mass,MATCH(G5,U_Mass,0)))*INDEX(F_Mass,MATCH(G5,U_Mass,0)))/INDEX(F_Mass,MATCH(D5,U_Mass,0))-INDEX(O_Mass,MATCH(D5,U_Mass,0)),11-INT(LOG10(ABS(((1+INDEX(O_Mass,MATCH(G5,U_Mass,0)))*INDEX(F_Mass,MATCH(G5,U_Mass,0)))/INDEX(F_Mass,MATCH(D5,U_Mass,0))-INDEX(O_Mass,MATCH(D5,U_Mass,0))))))),"General")&amp;" "&amp;D5</f>
        <v>1 Pound (lb) = 0.45359237 Kilogram (kg)</v>
      </c>
    </row>
    <row r="10" customFormat="false" ht="15" hidden="false" customHeight="false" outlineLevel="0" collapsed="false">
      <c r="B10" s="17" t="s">
        <v>96</v>
      </c>
    </row>
    <row r="12" customFormat="false" ht="15" hidden="false" customHeight="false" outlineLevel="0" collapsed="false">
      <c r="B12" s="3" t="s">
        <v>97</v>
      </c>
    </row>
    <row r="13" customFormat="false" ht="15" hidden="false" customHeight="true" outlineLevel="0" collapsed="false">
      <c r="B13" s="5" t="s">
        <v>98</v>
      </c>
      <c r="C13" s="5" t="s">
        <v>86</v>
      </c>
      <c r="D13" s="5" t="s">
        <v>99</v>
      </c>
      <c r="E13" s="5"/>
      <c r="F13" s="5" t="s">
        <v>100</v>
      </c>
    </row>
    <row r="14" customFormat="false" ht="15" hidden="false" customHeight="false" outlineLevel="0" collapsed="false">
      <c r="B14" s="18" t="s">
        <v>226</v>
      </c>
      <c r="C14" s="19"/>
      <c r="D14" s="19"/>
      <c r="E14" s="19"/>
      <c r="F14" s="19"/>
    </row>
    <row r="15" customFormat="false" ht="15" hidden="false" customHeight="false" outlineLevel="0" collapsed="false">
      <c r="B15" s="2" t="s">
        <v>227</v>
      </c>
    </row>
    <row r="16" customFormat="false" ht="15" hidden="false" customHeight="false" outlineLevel="0" collapsed="false">
      <c r="B16" s="20" t="s">
        <v>63</v>
      </c>
      <c r="C16" s="21" t="n">
        <v>62.4</v>
      </c>
      <c r="D16" s="22" t="s">
        <v>228</v>
      </c>
      <c r="E16" s="22"/>
      <c r="F16" s="23" t="n">
        <f aca="false">IF(ISNUMBER(C16),(C16+INDEX(O_Density,MATCH(D16,U_Density,0)))*INDEX(F_Density,MATCH(D16,U_Density,0)),"")</f>
        <v>999.552114535113</v>
      </c>
      <c r="G16" s="17" t="s">
        <v>229</v>
      </c>
    </row>
    <row r="17" customFormat="false" ht="15" hidden="false" customHeight="false" outlineLevel="0" collapsed="false">
      <c r="B17" s="20" t="s">
        <v>23</v>
      </c>
      <c r="C17" s="21" t="n">
        <v>100</v>
      </c>
      <c r="D17" s="22" t="s">
        <v>118</v>
      </c>
      <c r="E17" s="22"/>
      <c r="F17" s="23" t="n">
        <f aca="false">IF(ISNUMBER(C17),(C17+INDEX(O_Volume,MATCH(D17,U_Volume,0)))*INDEX(F_Volume,MATCH(D17,U_Volume,0)),"")</f>
        <v>0.3785411784</v>
      </c>
      <c r="G17" s="17" t="s">
        <v>113</v>
      </c>
    </row>
    <row r="18" customFormat="false" ht="15" hidden="false" customHeight="false" outlineLevel="0" collapsed="false">
      <c r="B18" s="24" t="s">
        <v>230</v>
      </c>
      <c r="C18" s="25" t="n">
        <f aca="false">IF(F18="","",IF((F18/INDEX(F_Mass,MATCH(D18,U_Mass,0))-INDEX(O_Mass,MATCH(D18,U_Mass,0)))=0,0,ROUND(F18/INDEX(F_Mass,MATCH(D18,U_Mass,0))-INDEX(O_Mass,MATCH(D18,U_Mass,0)),11-INT(LOG10(ABS(F18/INDEX(F_Mass,MATCH(D18,U_Mass,0))-INDEX(O_Mass,MATCH(D18,U_Mass,0))))))))</f>
        <v>378.371635308</v>
      </c>
      <c r="D18" s="22" t="s">
        <v>224</v>
      </c>
      <c r="E18" s="22"/>
      <c r="F18" s="23" t="n">
        <f aca="false">IF(OR(F16="",F17=""),"",IFERROR(F16*F17,""))</f>
        <v>378.371635308333</v>
      </c>
      <c r="G18" s="17" t="s">
        <v>231</v>
      </c>
    </row>
    <row r="19" customFormat="false" ht="15" hidden="false" customHeight="false" outlineLevel="0" collapsed="false">
      <c r="B19" s="24" t="s">
        <v>230</v>
      </c>
      <c r="C19" s="25" t="n">
        <f aca="false">IF(F19="","",IF((F19/INDEX(F_Mass,MATCH(D19,U_Mass,0))-INDEX(O_Mass,MATCH(D19,U_Mass,0)))=0,0,ROUND(F19/INDEX(F_Mass,MATCH(D19,U_Mass,0))-INDEX(O_Mass,MATCH(D19,U_Mass,0)),11-INT(LOG10(ABS(F19/INDEX(F_Mass,MATCH(D19,U_Mass,0))-INDEX(O_Mass,MATCH(D19,U_Mass,0))))))))</f>
        <v>834.166666667</v>
      </c>
      <c r="D19" s="22" t="s">
        <v>225</v>
      </c>
      <c r="E19" s="22"/>
      <c r="F19" s="23" t="n">
        <f aca="false">IF(OR(F16="",F17=""),"",IFERROR(F16*F17,""))</f>
        <v>378.371635308333</v>
      </c>
      <c r="G19" s="17" t="s">
        <v>231</v>
      </c>
    </row>
    <row r="21" customFormat="false" ht="15" hidden="false" customHeight="false" outlineLevel="0" collapsed="false">
      <c r="B21" s="18" t="s">
        <v>232</v>
      </c>
      <c r="C21" s="19"/>
      <c r="D21" s="19"/>
      <c r="E21" s="19"/>
      <c r="F21" s="19"/>
    </row>
    <row r="22" customFormat="false" ht="15" hidden="false" customHeight="false" outlineLevel="0" collapsed="false">
      <c r="B22" s="2" t="s">
        <v>233</v>
      </c>
    </row>
    <row r="23" customFormat="false" ht="15" hidden="false" customHeight="false" outlineLevel="0" collapsed="false">
      <c r="B23" s="20" t="s">
        <v>174</v>
      </c>
      <c r="C23" s="21" t="n">
        <v>4.5</v>
      </c>
      <c r="D23" s="22" t="s">
        <v>107</v>
      </c>
      <c r="E23" s="22"/>
      <c r="F23" s="23" t="n">
        <f aca="false">IF(ISNUMBER(C23),(C23+INDEX(O_Length,MATCH(D23,U_Length,0)))*INDEX(F_Length,MATCH(D23,U_Length,0)),"")</f>
        <v>0.1143</v>
      </c>
      <c r="G23" s="17" t="s">
        <v>104</v>
      </c>
    </row>
    <row r="24" customFormat="false" ht="15" hidden="false" customHeight="false" outlineLevel="0" collapsed="false">
      <c r="B24" s="20" t="s">
        <v>114</v>
      </c>
      <c r="C24" s="21" t="n">
        <v>4.026</v>
      </c>
      <c r="D24" s="22" t="s">
        <v>107</v>
      </c>
      <c r="E24" s="22"/>
      <c r="F24" s="23" t="n">
        <f aca="false">IF(ISNUMBER(C24),(C24+INDEX(O_Length,MATCH(D24,U_Length,0)))*INDEX(F_Length,MATCH(D24,U_Length,0)),"")</f>
        <v>0.1022604</v>
      </c>
      <c r="G24" s="17" t="s">
        <v>104</v>
      </c>
    </row>
    <row r="25" customFormat="false" ht="15" hidden="false" customHeight="false" outlineLevel="0" collapsed="false">
      <c r="B25" s="20" t="s">
        <v>119</v>
      </c>
      <c r="C25" s="21" t="n">
        <v>6</v>
      </c>
      <c r="D25" s="22" t="s">
        <v>87</v>
      </c>
      <c r="E25" s="22"/>
      <c r="F25" s="23" t="n">
        <f aca="false">IF(ISNUMBER(C25),(C25+INDEX(O_Length,MATCH(D25,U_Length,0)))*INDEX(F_Length,MATCH(D25,U_Length,0)),"")</f>
        <v>6</v>
      </c>
      <c r="G25" s="17" t="s">
        <v>104</v>
      </c>
    </row>
    <row r="26" customFormat="false" ht="15" hidden="false" customHeight="false" outlineLevel="0" collapsed="false">
      <c r="B26" s="20" t="s">
        <v>234</v>
      </c>
      <c r="C26" s="21" t="n">
        <v>7850</v>
      </c>
      <c r="D26" s="22" t="s">
        <v>235</v>
      </c>
      <c r="E26" s="22"/>
      <c r="F26" s="23" t="n">
        <f aca="false">IF(ISNUMBER(C26),(C26+INDEX(O_Density,MATCH(D26,U_Density,0)))*INDEX(F_Density,MATCH(D26,U_Density,0)),"")</f>
        <v>7850</v>
      </c>
      <c r="G26" s="17" t="s">
        <v>229</v>
      </c>
    </row>
    <row r="27" customFormat="false" ht="15" hidden="false" customHeight="false" outlineLevel="0" collapsed="false">
      <c r="B27" s="24" t="s">
        <v>236</v>
      </c>
      <c r="C27" s="25" t="n">
        <f aca="false">IF(F27="","",IF((F27/INDEX(F_Mass,MATCH(D27,U_Mass,0))-INDEX(O_Mass,MATCH(D27,U_Mass,0)))=0,0,ROUND(F27/INDEX(F_Mass,MATCH(D27,U_Mass,0))-INDEX(O_Mass,MATCH(D27,U_Mass,0)),11-INT(LOG10(ABS(F27/INDEX(F_Mass,MATCH(D27,U_Mass,0))-INDEX(O_Mass,MATCH(D27,U_Mass,0))))))))</f>
        <v>96.4499244337</v>
      </c>
      <c r="D27" s="22" t="s">
        <v>224</v>
      </c>
      <c r="E27" s="22"/>
      <c r="F27" s="23" t="n">
        <f aca="false">IF(OR(F23="",F24="",F25="",F26=""),"",IFERROR(F26*PI()/4*(F23^2-F24^2)*F25,""))</f>
        <v>96.4499244336679</v>
      </c>
      <c r="G27" s="17" t="s">
        <v>231</v>
      </c>
    </row>
    <row r="28" customFormat="false" ht="15" hidden="false" customHeight="false" outlineLevel="0" collapsed="false">
      <c r="B28" s="24" t="s">
        <v>236</v>
      </c>
      <c r="C28" s="25" t="n">
        <f aca="false">IF(F28="","",IF((F28/INDEX(F_Mass,MATCH(D28,U_Mass,0))-INDEX(O_Mass,MATCH(D28,U_Mass,0)))=0,0,ROUND(F28/INDEX(F_Mass,MATCH(D28,U_Mass,0))-INDEX(O_Mass,MATCH(D28,U_Mass,0)),11-INT(LOG10(ABS(F28/INDEX(F_Mass,MATCH(D28,U_Mass,0))-INDEX(O_Mass,MATCH(D28,U_Mass,0))))))))</f>
        <v>212.635685282</v>
      </c>
      <c r="D28" s="22" t="s">
        <v>225</v>
      </c>
      <c r="E28" s="22"/>
      <c r="F28" s="23" t="n">
        <f aca="false">IF(OR(F23="",F24="",F25="",F26=""),"",IFERROR(F26*PI()/4*(F23^2-F24^2)*F25,""))</f>
        <v>96.4499244336679</v>
      </c>
      <c r="G28" s="17" t="s">
        <v>231</v>
      </c>
    </row>
    <row r="30" customFormat="false" ht="15" hidden="false" customHeight="false" outlineLevel="0" collapsed="false">
      <c r="B30" s="18" t="s">
        <v>237</v>
      </c>
      <c r="C30" s="19"/>
      <c r="D30" s="19"/>
      <c r="E30" s="19"/>
      <c r="F30" s="19"/>
    </row>
    <row r="31" customFormat="false" ht="15" hidden="false" customHeight="false" outlineLevel="0" collapsed="false">
      <c r="B31" s="2" t="s">
        <v>238</v>
      </c>
    </row>
    <row r="32" customFormat="false" ht="15" hidden="false" customHeight="false" outlineLevel="0" collapsed="false">
      <c r="B32" s="20" t="s">
        <v>114</v>
      </c>
      <c r="C32" s="21" t="n">
        <v>4</v>
      </c>
      <c r="D32" s="22" t="s">
        <v>107</v>
      </c>
      <c r="E32" s="22"/>
      <c r="F32" s="23" t="n">
        <f aca="false">IF(ISNUMBER(C32),(C32+INDEX(O_Length,MATCH(D32,U_Length,0)))*INDEX(F_Length,MATCH(D32,U_Length,0)),"")</f>
        <v>0.1016</v>
      </c>
      <c r="G32" s="17" t="s">
        <v>104</v>
      </c>
    </row>
    <row r="33" customFormat="false" ht="15" hidden="false" customHeight="false" outlineLevel="0" collapsed="false">
      <c r="B33" s="20" t="s">
        <v>119</v>
      </c>
      <c r="C33" s="21" t="n">
        <v>6</v>
      </c>
      <c r="D33" s="22" t="s">
        <v>87</v>
      </c>
      <c r="E33" s="22"/>
      <c r="F33" s="23" t="n">
        <f aca="false">IF(ISNUMBER(C33),(C33+INDEX(O_Length,MATCH(D33,U_Length,0)))*INDEX(F_Length,MATCH(D33,U_Length,0)),"")</f>
        <v>6</v>
      </c>
      <c r="G33" s="17" t="s">
        <v>104</v>
      </c>
    </row>
    <row r="34" customFormat="false" ht="15" hidden="false" customHeight="false" outlineLevel="0" collapsed="false">
      <c r="B34" s="20" t="s">
        <v>239</v>
      </c>
      <c r="C34" s="21" t="n">
        <v>1000</v>
      </c>
      <c r="D34" s="22" t="s">
        <v>235</v>
      </c>
      <c r="E34" s="22"/>
      <c r="F34" s="23" t="n">
        <f aca="false">IF(ISNUMBER(C34),(C34+INDEX(O_Density,MATCH(D34,U_Density,0)))*INDEX(F_Density,MATCH(D34,U_Density,0)),"")</f>
        <v>1000</v>
      </c>
      <c r="G34" s="17" t="s">
        <v>229</v>
      </c>
    </row>
    <row r="35" customFormat="false" ht="15" hidden="false" customHeight="false" outlineLevel="0" collapsed="false">
      <c r="B35" s="24" t="s">
        <v>240</v>
      </c>
      <c r="C35" s="25" t="n">
        <f aca="false">IF(F35="","",IF((F35/INDEX(F_Mass,MATCH(D35,U_Mass,0))-INDEX(O_Mass,MATCH(D35,U_Mass,0)))=0,0,ROUND(F35/INDEX(F_Mass,MATCH(D35,U_Mass,0))-INDEX(O_Mass,MATCH(D35,U_Mass,0)),11-INT(LOG10(ABS(F35/INDEX(F_Mass,MATCH(D35,U_Mass,0))-INDEX(O_Mass,MATCH(D35,U_Mass,0))))))))</f>
        <v>48.6439179934</v>
      </c>
      <c r="D35" s="22" t="s">
        <v>224</v>
      </c>
      <c r="E35" s="22"/>
      <c r="F35" s="23" t="n">
        <f aca="false">IF(OR(F32="",F33="",F34=""),"",IFERROR(F34*PI()/4*F32^2*F33,""))</f>
        <v>48.6439179933598</v>
      </c>
      <c r="G35" s="17" t="s">
        <v>231</v>
      </c>
    </row>
    <row r="36" customFormat="false" ht="15" hidden="false" customHeight="false" outlineLevel="0" collapsed="false">
      <c r="B36" s="24" t="s">
        <v>240</v>
      </c>
      <c r="C36" s="25" t="n">
        <f aca="false">IF(F36="","",IF((F36/INDEX(F_Mass,MATCH(D36,U_Mass,0))-INDEX(O_Mass,MATCH(D36,U_Mass,0)))=0,0,ROUND(F36/INDEX(F_Mass,MATCH(D36,U_Mass,0))-INDEX(O_Mass,MATCH(D36,U_Mass,0)),11-INT(LOG10(ABS(F36/INDEX(F_Mass,MATCH(D36,U_Mass,0))-INDEX(O_Mass,MATCH(D36,U_Mass,0))))))))</f>
        <v>107.241482024</v>
      </c>
      <c r="D36" s="22" t="s">
        <v>225</v>
      </c>
      <c r="E36" s="22"/>
      <c r="F36" s="23" t="n">
        <f aca="false">IF(OR(F32="",F33="",F34=""),"",IFERROR(F34*PI()/4*F32^2*F33,""))</f>
        <v>48.6439179933598</v>
      </c>
      <c r="G36" s="17" t="s">
        <v>231</v>
      </c>
    </row>
    <row r="38" customFormat="false" ht="15" hidden="false" customHeight="false" outlineLevel="0" collapsed="false">
      <c r="B38" s="18" t="s">
        <v>241</v>
      </c>
      <c r="C38" s="19"/>
      <c r="D38" s="19"/>
      <c r="E38" s="19"/>
      <c r="F38" s="19"/>
    </row>
    <row r="39" customFormat="false" ht="15" hidden="false" customHeight="false" outlineLevel="0" collapsed="false">
      <c r="B39" s="2" t="s">
        <v>242</v>
      </c>
    </row>
    <row r="40" customFormat="false" ht="15" hidden="false" customHeight="false" outlineLevel="0" collapsed="false">
      <c r="B40" s="20" t="s">
        <v>243</v>
      </c>
      <c r="C40" s="21" t="n">
        <v>10</v>
      </c>
      <c r="D40" s="22" t="s">
        <v>225</v>
      </c>
      <c r="E40" s="22"/>
      <c r="F40" s="23" t="n">
        <f aca="false">IF(ISNUMBER(C40),(C40+INDEX(O_Mass,MATCH(D40,U_Mass,0)))*INDEX(F_Mass,MATCH(D40,U_Mass,0)),"")</f>
        <v>4.5359237</v>
      </c>
      <c r="G40" s="17" t="s">
        <v>231</v>
      </c>
    </row>
    <row r="41" customFormat="false" ht="15" hidden="false" customHeight="false" outlineLevel="0" collapsed="false">
      <c r="B41" s="20" t="s">
        <v>244</v>
      </c>
      <c r="C41" s="21" t="n">
        <v>3</v>
      </c>
      <c r="D41" s="22" t="s">
        <v>224</v>
      </c>
      <c r="E41" s="22"/>
      <c r="F41" s="23" t="n">
        <f aca="false">IF(ISNUMBER(C41),(C41+INDEX(O_Mass,MATCH(D41,U_Mass,0)))*INDEX(F_Mass,MATCH(D41,U_Mass,0)),"")</f>
        <v>3</v>
      </c>
      <c r="G41" s="17" t="s">
        <v>231</v>
      </c>
    </row>
    <row r="42" customFormat="false" ht="15" hidden="false" customHeight="false" outlineLevel="0" collapsed="false">
      <c r="B42" s="20" t="s">
        <v>245</v>
      </c>
      <c r="C42" s="21" t="n">
        <v>8</v>
      </c>
      <c r="D42" s="22" t="s">
        <v>246</v>
      </c>
      <c r="E42" s="22"/>
      <c r="F42" s="23" t="n">
        <f aca="false">IF(ISNUMBER(C42),(C42+INDEX(O_Mass,MATCH(D42,U_Mass,0)))*INDEX(F_Mass,MATCH(D42,U_Mass,0)),0)</f>
        <v>0.226796185</v>
      </c>
      <c r="G42" s="17" t="s">
        <v>231</v>
      </c>
    </row>
    <row r="43" customFormat="false" ht="15" hidden="false" customHeight="false" outlineLevel="0" collapsed="false">
      <c r="B43" s="24" t="s">
        <v>247</v>
      </c>
      <c r="C43" s="25" t="n">
        <f aca="false">IF(F43="","",IF((F43/INDEX(F_Mass,MATCH(D43,U_Mass,0))-INDEX(O_Mass,MATCH(D43,U_Mass,0)))=0,0,ROUND(F43/INDEX(F_Mass,MATCH(D43,U_Mass,0))-INDEX(O_Mass,MATCH(D43,U_Mass,0)),11-INT(LOG10(ABS(F43/INDEX(F_Mass,MATCH(D43,U_Mass,0))-INDEX(O_Mass,MATCH(D43,U_Mass,0))))))))</f>
        <v>7.762719885</v>
      </c>
      <c r="D43" s="22" t="s">
        <v>224</v>
      </c>
      <c r="E43" s="22"/>
      <c r="F43" s="23" t="n">
        <f aca="false">IF(OR(F40="",F41=""),"",IFERROR(F40+F41+F42,""))</f>
        <v>7.762719885</v>
      </c>
      <c r="G43" s="17" t="s">
        <v>231</v>
      </c>
    </row>
    <row r="44" customFormat="false" ht="15" hidden="false" customHeight="false" outlineLevel="0" collapsed="false">
      <c r="B44" s="24" t="s">
        <v>247</v>
      </c>
      <c r="C44" s="25" t="n">
        <f aca="false">IF(F44="","",IF((F44/INDEX(F_Mass,MATCH(D44,U_Mass,0))-INDEX(O_Mass,MATCH(D44,U_Mass,0)))=0,0,ROUND(F44/INDEX(F_Mass,MATCH(D44,U_Mass,0))-INDEX(O_Mass,MATCH(D44,U_Mass,0)),11-INT(LOG10(ABS(F44/INDEX(F_Mass,MATCH(D44,U_Mass,0))-INDEX(O_Mass,MATCH(D44,U_Mass,0))))))))</f>
        <v>17.1138678655</v>
      </c>
      <c r="D44" s="22" t="s">
        <v>225</v>
      </c>
      <c r="E44" s="22"/>
      <c r="F44" s="23" t="n">
        <f aca="false">IF(OR(F40="",F41=""),"",IFERROR(F40+F41+F42,""))</f>
        <v>7.762719885</v>
      </c>
      <c r="G44" s="17" t="s">
        <v>231</v>
      </c>
    </row>
    <row r="46" customFormat="false" ht="15" hidden="false" customHeight="false" outlineLevel="0" collapsed="false">
      <c r="B46" s="3" t="s">
        <v>131</v>
      </c>
    </row>
    <row r="47" customFormat="false" ht="15" hidden="false" customHeight="false" outlineLevel="0" collapsed="false">
      <c r="B47" s="26" t="str">
        <f aca="false">IF(COUNT($D$50:$D$62)=0,"Type a number next to any unit below (e.g. next to the unit you know).",IF(COUNT($D$50:$D$62)&gt;1,"⚠ More than one value entered – clear all but one yellow cell.","Showing everything equal to "&amp;INDEX($D$50:$D$62,MATCH(TRUE(),INDEX(ISNUMBER($D$50:$D$62),0),0))&amp;" "&amp;INDEX(U_Mass,MATCH(TRUE(),INDEX(ISNUMBER($D$50:$D$62),0),0))))</f>
        <v>Type a number next to any unit below (e.g. next to the unit you know).</v>
      </c>
      <c r="C47" s="26"/>
      <c r="D47" s="26"/>
      <c r="E47" s="26"/>
      <c r="F47" s="26"/>
      <c r="G47" s="26"/>
    </row>
    <row r="48" customFormat="false" ht="15" hidden="false" customHeight="false" outlineLevel="0" collapsed="false">
      <c r="I48" s="27" t="s">
        <v>132</v>
      </c>
      <c r="J48" s="17" t="str">
        <f aca="false">IF(COUNT($D$50:$D$62)&lt;&gt;1,"",SUMPRODUCT(--ISNUMBER($D$50:$D$62),($D$50:$D$62+O_Mass)*F_Mass))</f>
        <v/>
      </c>
    </row>
    <row r="49" customFormat="false" ht="31.5" hidden="false" customHeight="true" outlineLevel="0" collapsed="false">
      <c r="B49" s="5" t="s">
        <v>133</v>
      </c>
      <c r="C49" s="5" t="s">
        <v>134</v>
      </c>
      <c r="D49" s="5" t="s">
        <v>135</v>
      </c>
      <c r="E49" s="5"/>
      <c r="F49" s="5" t="s">
        <v>136</v>
      </c>
      <c r="G49" s="5" t="s">
        <v>133</v>
      </c>
      <c r="I49" s="5" t="s">
        <v>248</v>
      </c>
      <c r="J49" s="5" t="s">
        <v>138</v>
      </c>
    </row>
    <row r="50" customFormat="false" ht="19.5" hidden="false" customHeight="true" outlineLevel="0" collapsed="false">
      <c r="B50" s="28" t="s">
        <v>249</v>
      </c>
      <c r="C50" s="29" t="s">
        <v>139</v>
      </c>
      <c r="D50" s="21"/>
      <c r="E50" s="30" t="s">
        <v>140</v>
      </c>
      <c r="F50" s="31" t="str">
        <f aca="false">IF($J$48="","",IF(($J$48/I50-J50)=0,0,ROUND($J$48/I50-J50,11-INT(LOG10(ABS($J$48/I50-J50))))))</f>
        <v/>
      </c>
      <c r="G50" s="32" t="str">
        <f aca="false">B50</f>
        <v>Tonne (t)</v>
      </c>
      <c r="I50" s="33" t="n">
        <v>1000</v>
      </c>
      <c r="J50" s="33" t="n">
        <v>0</v>
      </c>
    </row>
    <row r="51" customFormat="false" ht="19.5" hidden="false" customHeight="true" outlineLevel="0" collapsed="false">
      <c r="B51" s="28" t="s">
        <v>224</v>
      </c>
      <c r="C51" s="29" t="s">
        <v>139</v>
      </c>
      <c r="D51" s="21"/>
      <c r="E51" s="30" t="s">
        <v>140</v>
      </c>
      <c r="F51" s="31" t="str">
        <f aca="false">IF($J$48="","",IF(($J$48/I51-J51)=0,0,ROUND($J$48/I51-J51,11-INT(LOG10(ABS($J$48/I51-J51))))))</f>
        <v/>
      </c>
      <c r="G51" s="32" t="str">
        <f aca="false">B51</f>
        <v>Kilogram (kg)</v>
      </c>
      <c r="I51" s="33" t="n">
        <v>1</v>
      </c>
      <c r="J51" s="33" t="n">
        <v>0</v>
      </c>
    </row>
    <row r="52" customFormat="false" ht="19.5" hidden="false" customHeight="true" outlineLevel="0" collapsed="false">
      <c r="B52" s="28" t="s">
        <v>250</v>
      </c>
      <c r="C52" s="29" t="s">
        <v>139</v>
      </c>
      <c r="D52" s="21"/>
      <c r="E52" s="30" t="s">
        <v>140</v>
      </c>
      <c r="F52" s="31" t="str">
        <f aca="false">IF($J$48="","",IF(($J$48/I52-J52)=0,0,ROUND($J$48/I52-J52,11-INT(LOG10(ABS($J$48/I52-J52))))))</f>
        <v/>
      </c>
      <c r="G52" s="32" t="str">
        <f aca="false">B52</f>
        <v>Gram (g)</v>
      </c>
      <c r="I52" s="33" t="n">
        <v>0.001</v>
      </c>
      <c r="J52" s="33" t="n">
        <v>0</v>
      </c>
    </row>
    <row r="53" customFormat="false" ht="19.5" hidden="false" customHeight="true" outlineLevel="0" collapsed="false">
      <c r="B53" s="28" t="s">
        <v>251</v>
      </c>
      <c r="C53" s="29" t="s">
        <v>139</v>
      </c>
      <c r="D53" s="21"/>
      <c r="E53" s="30" t="s">
        <v>140</v>
      </c>
      <c r="F53" s="31" t="str">
        <f aca="false">IF($J$48="","",IF(($J$48/I53-J53)=0,0,ROUND($J$48/I53-J53,11-INT(LOG10(ABS($J$48/I53-J53))))))</f>
        <v/>
      </c>
      <c r="G53" s="32" t="str">
        <f aca="false">B53</f>
        <v>Milligram (mg)</v>
      </c>
      <c r="I53" s="33" t="n">
        <v>1E-006</v>
      </c>
      <c r="J53" s="33" t="n">
        <v>0</v>
      </c>
    </row>
    <row r="54" customFormat="false" ht="19.5" hidden="false" customHeight="true" outlineLevel="0" collapsed="false">
      <c r="B54" s="28" t="s">
        <v>252</v>
      </c>
      <c r="C54" s="29" t="s">
        <v>139</v>
      </c>
      <c r="D54" s="21"/>
      <c r="E54" s="30" t="s">
        <v>140</v>
      </c>
      <c r="F54" s="31" t="str">
        <f aca="false">IF($J$48="","",IF(($J$48/I54-J54)=0,0,ROUND($J$48/I54-J54,11-INT(LOG10(ABS($J$48/I54-J54))))))</f>
        <v/>
      </c>
      <c r="G54" s="32" t="str">
        <f aca="false">B54</f>
        <v>Microgram (µg)</v>
      </c>
      <c r="I54" s="33" t="n">
        <v>1E-009</v>
      </c>
      <c r="J54" s="33" t="n">
        <v>0</v>
      </c>
    </row>
    <row r="55" customFormat="false" ht="19.5" hidden="false" customHeight="true" outlineLevel="0" collapsed="false">
      <c r="B55" s="28" t="s">
        <v>253</v>
      </c>
      <c r="C55" s="29" t="s">
        <v>144</v>
      </c>
      <c r="D55" s="21"/>
      <c r="E55" s="30" t="s">
        <v>140</v>
      </c>
      <c r="F55" s="31" t="str">
        <f aca="false">IF($J$48="","",IF(($J$48/I55-J55)=0,0,ROUND($J$48/I55-J55,11-INT(LOG10(ABS($J$48/I55-J55))))))</f>
        <v/>
      </c>
      <c r="G55" s="32" t="str">
        <f aca="false">B55</f>
        <v>Long ton (UK)</v>
      </c>
      <c r="I55" s="33" t="n">
        <v>1016.0469088</v>
      </c>
      <c r="J55" s="33" t="n">
        <v>0</v>
      </c>
    </row>
    <row r="56" customFormat="false" ht="19.5" hidden="false" customHeight="true" outlineLevel="0" collapsed="false">
      <c r="B56" s="28" t="s">
        <v>254</v>
      </c>
      <c r="C56" s="29" t="s">
        <v>144</v>
      </c>
      <c r="D56" s="21"/>
      <c r="E56" s="30" t="s">
        <v>140</v>
      </c>
      <c r="F56" s="31" t="str">
        <f aca="false">IF($J$48="","",IF(($J$48/I56-J56)=0,0,ROUND($J$48/I56-J56,11-INT(LOG10(ABS($J$48/I56-J56))))))</f>
        <v/>
      </c>
      <c r="G56" s="32" t="str">
        <f aca="false">B56</f>
        <v>Short ton (US)</v>
      </c>
      <c r="I56" s="33" t="n">
        <v>907.18474</v>
      </c>
      <c r="J56" s="33" t="n">
        <v>0</v>
      </c>
    </row>
    <row r="57" customFormat="false" ht="19.5" hidden="false" customHeight="true" outlineLevel="0" collapsed="false">
      <c r="B57" s="28" t="s">
        <v>255</v>
      </c>
      <c r="C57" s="29" t="s">
        <v>144</v>
      </c>
      <c r="D57" s="21"/>
      <c r="E57" s="30" t="s">
        <v>140</v>
      </c>
      <c r="F57" s="31" t="str">
        <f aca="false">IF($J$48="","",IF(($J$48/I57-J57)=0,0,ROUND($J$48/I57-J57,11-INT(LOG10(ABS($J$48/I57-J57))))))</f>
        <v/>
      </c>
      <c r="G57" s="32" t="str">
        <f aca="false">B57</f>
        <v>Stone (st)</v>
      </c>
      <c r="I57" s="33" t="n">
        <v>6.35029318</v>
      </c>
      <c r="J57" s="33" t="n">
        <v>0</v>
      </c>
    </row>
    <row r="58" customFormat="false" ht="19.5" hidden="false" customHeight="true" outlineLevel="0" collapsed="false">
      <c r="B58" s="28" t="s">
        <v>225</v>
      </c>
      <c r="C58" s="29" t="s">
        <v>144</v>
      </c>
      <c r="D58" s="21"/>
      <c r="E58" s="30" t="s">
        <v>140</v>
      </c>
      <c r="F58" s="31" t="str">
        <f aca="false">IF($J$48="","",IF(($J$48/I58-J58)=0,0,ROUND($J$48/I58-J58,11-INT(LOG10(ABS($J$48/I58-J58))))))</f>
        <v/>
      </c>
      <c r="G58" s="32" t="str">
        <f aca="false">B58</f>
        <v>Pound (lb)</v>
      </c>
      <c r="I58" s="33" t="n">
        <v>0.45359237</v>
      </c>
      <c r="J58" s="33" t="n">
        <v>0</v>
      </c>
    </row>
    <row r="59" customFormat="false" ht="19.5" hidden="false" customHeight="true" outlineLevel="0" collapsed="false">
      <c r="B59" s="28" t="s">
        <v>246</v>
      </c>
      <c r="C59" s="29" t="s">
        <v>144</v>
      </c>
      <c r="D59" s="21"/>
      <c r="E59" s="30" t="s">
        <v>140</v>
      </c>
      <c r="F59" s="31" t="str">
        <f aca="false">IF($J$48="","",IF(($J$48/I59-J59)=0,0,ROUND($J$48/I59-J59,11-INT(LOG10(ABS($J$48/I59-J59))))))</f>
        <v/>
      </c>
      <c r="G59" s="32" t="str">
        <f aca="false">B59</f>
        <v>Ounce (oz)</v>
      </c>
      <c r="I59" s="33" t="n">
        <v>0.028349523125</v>
      </c>
      <c r="J59" s="33" t="n">
        <v>0</v>
      </c>
    </row>
    <row r="60" customFormat="false" ht="19.5" hidden="false" customHeight="true" outlineLevel="0" collapsed="false">
      <c r="B60" s="28" t="s">
        <v>256</v>
      </c>
      <c r="C60" s="29" t="s">
        <v>144</v>
      </c>
      <c r="D60" s="21"/>
      <c r="E60" s="30" t="s">
        <v>140</v>
      </c>
      <c r="F60" s="31" t="str">
        <f aca="false">IF($J$48="","",IF(($J$48/I60-J60)=0,0,ROUND($J$48/I60-J60,11-INT(LOG10(ABS($J$48/I60-J60))))))</f>
        <v/>
      </c>
      <c r="G60" s="32" t="str">
        <f aca="false">B60</f>
        <v>Grain (gr)</v>
      </c>
      <c r="I60" s="33" t="n">
        <v>6.479891E-005</v>
      </c>
      <c r="J60" s="33" t="n">
        <v>0</v>
      </c>
    </row>
    <row r="61" customFormat="false" ht="19.5" hidden="false" customHeight="true" outlineLevel="0" collapsed="false">
      <c r="B61" s="28" t="s">
        <v>257</v>
      </c>
      <c r="C61" s="29" t="s">
        <v>151</v>
      </c>
      <c r="D61" s="21"/>
      <c r="E61" s="30" t="s">
        <v>140</v>
      </c>
      <c r="F61" s="31" t="str">
        <f aca="false">IF($J$48="","",IF(($J$48/I61-J61)=0,0,ROUND($J$48/I61-J61,11-INT(LOG10(ABS($J$48/I61-J61))))))</f>
        <v/>
      </c>
      <c r="G61" s="32" t="str">
        <f aca="false">B61</f>
        <v>Troy ounce (oz t)</v>
      </c>
      <c r="I61" s="33" t="n">
        <v>0.0311034768</v>
      </c>
      <c r="J61" s="33" t="n">
        <v>0</v>
      </c>
    </row>
    <row r="62" customFormat="false" ht="19.5" hidden="false" customHeight="true" outlineLevel="0" collapsed="false">
      <c r="B62" s="28" t="s">
        <v>258</v>
      </c>
      <c r="C62" s="29" t="s">
        <v>151</v>
      </c>
      <c r="D62" s="21"/>
      <c r="E62" s="30" t="s">
        <v>140</v>
      </c>
      <c r="F62" s="31" t="str">
        <f aca="false">IF($J$48="","",IF(($J$48/I62-J62)=0,0,ROUND($J$48/I62-J62,11-INT(LOG10(ABS($J$48/I62-J62))))))</f>
        <v/>
      </c>
      <c r="G62" s="32" t="str">
        <f aca="false">B62</f>
        <v>Carat (ct)</v>
      </c>
      <c r="I62" s="33" t="n">
        <v>0.0002</v>
      </c>
      <c r="J62" s="33" t="n">
        <v>0</v>
      </c>
    </row>
    <row r="64" customFormat="false" ht="15" hidden="false" customHeight="false" outlineLevel="0" collapsed="false">
      <c r="B64" s="17" t="s">
        <v>155</v>
      </c>
    </row>
    <row r="65" customFormat="false" ht="15" hidden="false" customHeight="false" outlineLevel="0" collapsed="false">
      <c r="B65" s="17" t="s">
        <v>156</v>
      </c>
    </row>
    <row r="66" customFormat="false" ht="15" hidden="false" customHeight="false" outlineLevel="0" collapsed="false">
      <c r="B66" s="17" t="s">
        <v>157</v>
      </c>
    </row>
  </sheetData>
  <mergeCells count="27">
    <mergeCell ref="C5:C6"/>
    <mergeCell ref="D5:D6"/>
    <mergeCell ref="E5:E6"/>
    <mergeCell ref="F5:F6"/>
    <mergeCell ref="G5:G6"/>
    <mergeCell ref="D13:E13"/>
    <mergeCell ref="D16:E16"/>
    <mergeCell ref="D17:E17"/>
    <mergeCell ref="D18:E18"/>
    <mergeCell ref="D19:E19"/>
    <mergeCell ref="D23:E23"/>
    <mergeCell ref="D24:E24"/>
    <mergeCell ref="D25:E25"/>
    <mergeCell ref="D26:E26"/>
    <mergeCell ref="D27:E27"/>
    <mergeCell ref="D28:E28"/>
    <mergeCell ref="D32:E32"/>
    <mergeCell ref="D33:E33"/>
    <mergeCell ref="D34:E34"/>
    <mergeCell ref="D35:E35"/>
    <mergeCell ref="D36:E36"/>
    <mergeCell ref="D40:E40"/>
    <mergeCell ref="D41:E41"/>
    <mergeCell ref="D42:E42"/>
    <mergeCell ref="D43:E43"/>
    <mergeCell ref="D44:E44"/>
    <mergeCell ref="B47:G47"/>
  </mergeCells>
  <conditionalFormatting sqref="B50:G62">
    <cfRule type="expression" priority="2" aboveAverage="0" equalAverage="0" bottom="0" percent="0" rank="0" text="" dxfId="0">
      <formula>ISNUMBER($D50)</formula>
    </cfRule>
  </conditionalFormatting>
  <dataValidations count="5">
    <dataValidation allowBlank="true" error="Please type a number." errorStyle="stop" errorTitle="Number only" operator="between" showDropDown="false" showErrorMessage="true" showInputMessage="false" sqref="C5 C16:C17 C23:C26 C32:C34 C40:C42 D50:D62" type="decimal">
      <formula1>-1E+307</formula1>
      <formula2>1E+307</formula2>
    </dataValidation>
    <dataValidation allowBlank="false" error="Pick a unit from the list." errorStyle="stop" errorTitle="Unit" operator="between" showDropDown="false" showErrorMessage="true" showInputMessage="false" sqref="D5 G5 D18:D19 D27:D28 D35:D36 D40:D44" type="list">
      <formula1>U_Mass</formula1>
      <formula2>0</formula2>
    </dataValidation>
    <dataValidation allowBlank="false" error="Pick a unit from the list." errorStyle="stop" errorTitle="Unit" operator="between" showDropDown="false" showErrorMessage="true" showInputMessage="false" sqref="D16 D26 D34" type="list">
      <formula1>U_Density</formula1>
      <formula2>0</formula2>
    </dataValidation>
    <dataValidation allowBlank="false" error="Pick a unit from the list." errorStyle="stop" errorTitle="Unit" operator="between" showDropDown="false" showErrorMessage="true" showInputMessage="false" sqref="D17" type="list">
      <formula1>U_Volume</formula1>
      <formula2>0</formula2>
    </dataValidation>
    <dataValidation allowBlank="false" error="Pick a unit from the list." errorStyle="stop" errorTitle="Unit" operator="between" showDropDown="false" showErrorMessage="true" showInputMessage="false" sqref="D23:D25 D32:D33" type="list">
      <formula1>U_Length</formula1>
      <formula2>0</formula2>
    </dataValidation>
  </dataValidations>
  <hyperlinks>
    <hyperlink ref="B2" r:id="rId1" location="Home!A1" display="SI base unit for this sheet: kilogram (kg).  Blue cells on yellow = type here; drop-downs = choose unit.  ← Back to the Home sheet"/>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J4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2"/>
    <col collapsed="false" customWidth="true" hidden="false" outlineLevel="0" max="2" min="2" style="0" width="38"/>
    <col collapsed="false" customWidth="true" hidden="false" outlineLevel="0" max="3" min="3" style="0" width="18"/>
    <col collapsed="false" customWidth="true" hidden="false" outlineLevel="0" max="4" min="4" style="0" width="24"/>
    <col collapsed="false" customWidth="true" hidden="false" outlineLevel="0" max="5" min="5" style="0" width="10"/>
    <col collapsed="false" customWidth="true" hidden="false" outlineLevel="0" max="6" min="6" style="0" width="22"/>
    <col collapsed="false" customWidth="true" hidden="false" outlineLevel="0" max="7" min="7" style="0" width="34"/>
    <col collapsed="false" customWidth="true" hidden="false" outlineLevel="0" max="8" min="8" style="0" width="3"/>
    <col collapsed="false" customWidth="true" hidden="false" outlineLevel="0" max="9" min="9" style="0" width="20"/>
    <col collapsed="false" customWidth="true" hidden="false" outlineLevel="0" max="10" min="10" style="0" width="12"/>
  </cols>
  <sheetData>
    <row r="1" customFormat="false" ht="22.05" hidden="false" customHeight="false" outlineLevel="0" collapsed="false">
      <c r="B1" s="9" t="s">
        <v>259</v>
      </c>
    </row>
    <row r="2" customFormat="false" ht="15" hidden="false" customHeight="false" outlineLevel="0" collapsed="false">
      <c r="B2" s="2" t="s">
        <v>260</v>
      </c>
    </row>
    <row r="4" customFormat="false" ht="15" hidden="false" customHeight="false" outlineLevel="0" collapsed="false">
      <c r="B4" s="3" t="s">
        <v>85</v>
      </c>
    </row>
    <row r="5" customFormat="false" ht="15" hidden="false" customHeight="true" outlineLevel="0" collapsed="false">
      <c r="B5" s="10" t="s">
        <v>86</v>
      </c>
      <c r="C5" s="11" t="n">
        <v>1</v>
      </c>
      <c r="D5" s="12" t="s">
        <v>261</v>
      </c>
      <c r="E5" s="13" t="s">
        <v>88</v>
      </c>
      <c r="F5" s="14" t="n">
        <f aca="false">IF(ISNUMBER(C5),IF((((C5+INDEX(O_Temperature,MATCH(D5,U_Temperature,0)))*INDEX(F_Temperature,MATCH(D5,U_Temperature,0)))/INDEX(F_Temperature,MATCH(G5,U_Temperature,0))-INDEX(O_Temperature,MATCH(G5,U_Temperature,0)))=0,0,ROUND(((C5+INDEX(O_Temperature,MATCH(D5,U_Temperature,0)))*INDEX(F_Temperature,MATCH(D5,U_Temperature,0)))/INDEX(F_Temperature,MATCH(G5,U_Temperature,0))-INDEX(O_Temperature,MATCH(G5,U_Temperature,0)),11-INT(LOG10(ABS(((C5+INDEX(O_Temperature,MATCH(D5,U_Temperature,0)))*INDEX(F_Temperature,MATCH(D5,U_Temperature,0)))/INDEX(F_Temperature,MATCH(G5,U_Temperature,0))-INDEX(O_Temperature,MATCH(G5,U_Temperature,0))))))),"")</f>
        <v>33.8</v>
      </c>
      <c r="G5" s="12" t="s">
        <v>262</v>
      </c>
    </row>
    <row r="6" customFormat="false" ht="15" hidden="false" customHeight="false" outlineLevel="0" collapsed="false">
      <c r="C6" s="11"/>
      <c r="D6" s="11"/>
      <c r="E6" s="13"/>
      <c r="F6" s="14"/>
      <c r="G6" s="14"/>
    </row>
    <row r="7" customFormat="false" ht="15" hidden="false" customHeight="false" outlineLevel="0" collapsed="false">
      <c r="C7" s="15" t="s">
        <v>90</v>
      </c>
      <c r="D7" s="15" t="s">
        <v>91</v>
      </c>
      <c r="F7" s="15" t="s">
        <v>92</v>
      </c>
      <c r="G7" s="15" t="s">
        <v>93</v>
      </c>
    </row>
    <row r="8" customFormat="false" ht="15" hidden="false" customHeight="false" outlineLevel="0" collapsed="false">
      <c r="B8" s="10" t="s">
        <v>94</v>
      </c>
      <c r="C8" s="16" t="str">
        <f aca="false">IF(ISNUMBER(F5),C5&amp;" "&amp;D5&amp;" = "&amp;TEXT(F5,"General")&amp;" "&amp;G5,"Enter a number in the yellow Value box")</f>
        <v>1 Degree Celsius (°C) = 33.8 Degree Fahrenheit (°F)</v>
      </c>
    </row>
    <row r="9" customFormat="false" ht="15" hidden="false" customHeight="false" outlineLevel="0" collapsed="false">
      <c r="B9" s="10" t="s">
        <v>95</v>
      </c>
      <c r="C9" s="16" t="str">
        <f aca="false">"1 "&amp;G5&amp;" = "&amp;TEXT(IF((((1+INDEX(O_Temperature,MATCH(G5,U_Temperature,0)))*INDEX(F_Temperature,MATCH(G5,U_Temperature,0)))/INDEX(F_Temperature,MATCH(D5,U_Temperature,0))-INDEX(O_Temperature,MATCH(D5,U_Temperature,0)))=0,0,ROUND(((1+INDEX(O_Temperature,MATCH(G5,U_Temperature,0)))*INDEX(F_Temperature,MATCH(G5,U_Temperature,0)))/INDEX(F_Temperature,MATCH(D5,U_Temperature,0))-INDEX(O_Temperature,MATCH(D5,U_Temperature,0)),11-INT(LOG10(ABS(((1+INDEX(O_Temperature,MATCH(G5,U_Temperature,0)))*INDEX(F_Temperature,MATCH(G5,U_Temperature,0)))/INDEX(F_Temperature,MATCH(D5,U_Temperature,0))-INDEX(O_Temperature,MATCH(D5,U_Temperature,0))))))),"General")&amp;" "&amp;D5</f>
        <v>1 Degree Fahrenheit (°F) = -17.2222222222 Degree Celsius (°C)</v>
      </c>
    </row>
    <row r="10" customFormat="false" ht="15" hidden="false" customHeight="false" outlineLevel="0" collapsed="false">
      <c r="B10" s="17" t="s">
        <v>96</v>
      </c>
    </row>
    <row r="12" customFormat="false" ht="15" hidden="false" customHeight="false" outlineLevel="0" collapsed="false">
      <c r="B12" s="3" t="s">
        <v>97</v>
      </c>
    </row>
    <row r="13" customFormat="false" ht="15" hidden="false" customHeight="true" outlineLevel="0" collapsed="false">
      <c r="B13" s="5" t="s">
        <v>98</v>
      </c>
      <c r="C13" s="5" t="s">
        <v>86</v>
      </c>
      <c r="D13" s="5" t="s">
        <v>99</v>
      </c>
      <c r="E13" s="5"/>
      <c r="F13" s="5" t="s">
        <v>100</v>
      </c>
    </row>
    <row r="14" customFormat="false" ht="15" hidden="false" customHeight="false" outlineLevel="0" collapsed="false">
      <c r="B14" s="18" t="s">
        <v>263</v>
      </c>
      <c r="C14" s="19"/>
      <c r="D14" s="19"/>
      <c r="E14" s="19"/>
      <c r="F14" s="19"/>
    </row>
    <row r="15" customFormat="false" ht="15" hidden="false" customHeight="false" outlineLevel="0" collapsed="false">
      <c r="B15" s="2" t="s">
        <v>264</v>
      </c>
    </row>
    <row r="16" customFormat="false" ht="15" hidden="false" customHeight="false" outlineLevel="0" collapsed="false">
      <c r="B16" s="20" t="s">
        <v>265</v>
      </c>
      <c r="C16" s="21" t="n">
        <v>25</v>
      </c>
      <c r="D16" s="22" t="s">
        <v>261</v>
      </c>
      <c r="E16" s="22"/>
      <c r="F16" s="23" t="n">
        <f aca="false">IF(ISNUMBER(C16),(C16+INDEX(O_Temperature,MATCH(D16,U_Temperature,0)))*INDEX(F_Temperature,MATCH(D16,U_Temperature,0)),"")</f>
        <v>298.15</v>
      </c>
      <c r="G16" s="17" t="s">
        <v>266</v>
      </c>
    </row>
    <row r="17" customFormat="false" ht="15" hidden="false" customHeight="false" outlineLevel="0" collapsed="false">
      <c r="B17" s="20" t="s">
        <v>267</v>
      </c>
      <c r="C17" s="21" t="n">
        <v>100</v>
      </c>
      <c r="D17" s="22" t="s">
        <v>262</v>
      </c>
      <c r="E17" s="22"/>
      <c r="F17" s="23" t="n">
        <f aca="false">IF(ISNUMBER(C17),(C17+INDEX(O_Temperature,MATCH(D17,U_Temperature,0)))*INDEX(F_Temperature,MATCH(D17,U_Temperature,0)),"")</f>
        <v>310.927777777778</v>
      </c>
      <c r="G17" s="17" t="s">
        <v>266</v>
      </c>
    </row>
    <row r="18" customFormat="false" ht="15" hidden="false" customHeight="false" outlineLevel="0" collapsed="false">
      <c r="B18" s="24" t="s">
        <v>268</v>
      </c>
      <c r="C18" s="25" t="n">
        <f aca="false">IF(F18="","",IF((F18/INDEX(F_Temperature,MATCH(D18,U_Temperature,0)))=0,0,ROUND(F18/INDEX(F_Temperature,MATCH(D18,U_Temperature,0)),11-INT(LOG10(ABS(F18/INDEX(F_Temperature,MATCH(D18,U_Temperature,0))))))))</f>
        <v>12.7777777778</v>
      </c>
      <c r="D18" s="22" t="s">
        <v>261</v>
      </c>
      <c r="E18" s="22"/>
      <c r="F18" s="23" t="n">
        <f aca="false">IF(OR(F16="",F17=""),"",IFERROR(F17-F16,""))</f>
        <v>12.7777777777778</v>
      </c>
      <c r="G18" s="17" t="s">
        <v>269</v>
      </c>
    </row>
    <row r="19" customFormat="false" ht="15" hidden="false" customHeight="false" outlineLevel="0" collapsed="false">
      <c r="B19" s="24" t="s">
        <v>268</v>
      </c>
      <c r="C19" s="25" t="n">
        <f aca="false">IF(F19="","",IF((F19/INDEX(F_Temperature,MATCH(D19,U_Temperature,0)))=0,0,ROUND(F19/INDEX(F_Temperature,MATCH(D19,U_Temperature,0)),11-INT(LOG10(ABS(F19/INDEX(F_Temperature,MATCH(D19,U_Temperature,0))))))))</f>
        <v>23</v>
      </c>
      <c r="D19" s="22" t="s">
        <v>262</v>
      </c>
      <c r="E19" s="22"/>
      <c r="F19" s="23" t="n">
        <f aca="false">IF(OR(F16="",F17=""),"",IFERROR(F17-F16,""))</f>
        <v>12.7777777777778</v>
      </c>
      <c r="G19" s="17" t="s">
        <v>269</v>
      </c>
    </row>
    <row r="20" customFormat="false" ht="15" hidden="false" customHeight="false" outlineLevel="0" collapsed="false">
      <c r="B20" s="24" t="s">
        <v>270</v>
      </c>
      <c r="C20" s="25" t="n">
        <f aca="false">IF(F20="","",IF((F20/INDEX(F_Temperature,MATCH(D20,U_Temperature,0))-INDEX(O_Temperature,MATCH(D20,U_Temperature,0)))=0,0,ROUND(F20/INDEX(F_Temperature,MATCH(D20,U_Temperature,0))-INDEX(O_Temperature,MATCH(D20,U_Temperature,0)),11-INT(LOG10(ABS(F20/INDEX(F_Temperature,MATCH(D20,U_Temperature,0))-INDEX(O_Temperature,MATCH(D20,U_Temperature,0))))))))</f>
        <v>88.5</v>
      </c>
      <c r="D20" s="22" t="s">
        <v>262</v>
      </c>
      <c r="E20" s="22"/>
      <c r="F20" s="23" t="n">
        <f aca="false">IF(OR(F16="",F17=""),"",IFERROR((F16+F17)/2,""))</f>
        <v>304.538888888889</v>
      </c>
      <c r="G20" s="17" t="s">
        <v>266</v>
      </c>
    </row>
    <row r="22" customFormat="false" ht="15" hidden="false" customHeight="false" outlineLevel="0" collapsed="false">
      <c r="B22" s="18" t="s">
        <v>271</v>
      </c>
      <c r="C22" s="19"/>
      <c r="D22" s="19"/>
      <c r="E22" s="19"/>
      <c r="F22" s="19"/>
    </row>
    <row r="23" customFormat="false" ht="15" hidden="false" customHeight="false" outlineLevel="0" collapsed="false">
      <c r="B23" s="2" t="s">
        <v>272</v>
      </c>
    </row>
    <row r="24" customFormat="false" ht="15" hidden="false" customHeight="false" outlineLevel="0" collapsed="false">
      <c r="B24" s="20" t="s">
        <v>273</v>
      </c>
      <c r="C24" s="21" t="n">
        <v>68</v>
      </c>
      <c r="D24" s="22" t="s">
        <v>262</v>
      </c>
      <c r="E24" s="22"/>
      <c r="F24" s="23" t="n">
        <f aca="false">IF(ISNUMBER(C24),(C24+INDEX(O_Temperature,MATCH(D24,U_Temperature,0)))*INDEX(F_Temperature,MATCH(D24,U_Temperature,0)),"")</f>
        <v>293.15</v>
      </c>
      <c r="G24" s="17" t="s">
        <v>266</v>
      </c>
    </row>
    <row r="25" customFormat="false" ht="15" hidden="false" customHeight="false" outlineLevel="0" collapsed="false">
      <c r="B25" s="20" t="s">
        <v>274</v>
      </c>
      <c r="C25" s="21" t="n">
        <v>10</v>
      </c>
      <c r="D25" s="22" t="s">
        <v>261</v>
      </c>
      <c r="E25" s="22"/>
      <c r="F25" s="23" t="n">
        <f aca="false">IF(ISNUMBER(C25),C25*INDEX(F_Temperature,MATCH(D25,U_Temperature,0)),"")</f>
        <v>10</v>
      </c>
      <c r="G25" s="17" t="s">
        <v>269</v>
      </c>
    </row>
    <row r="26" customFormat="false" ht="15" hidden="false" customHeight="false" outlineLevel="0" collapsed="false">
      <c r="B26" s="24" t="s">
        <v>275</v>
      </c>
      <c r="C26" s="25" t="n">
        <f aca="false">IF(F26="","",IF((F26/INDEX(F_Temperature,MATCH(D26,U_Temperature,0))-INDEX(O_Temperature,MATCH(D26,U_Temperature,0)))=0,0,ROUND(F26/INDEX(F_Temperature,MATCH(D26,U_Temperature,0))-INDEX(O_Temperature,MATCH(D26,U_Temperature,0)),11-INT(LOG10(ABS(F26/INDEX(F_Temperature,MATCH(D26,U_Temperature,0))-INDEX(O_Temperature,MATCH(D26,U_Temperature,0))))))))</f>
        <v>30</v>
      </c>
      <c r="D26" s="22" t="s">
        <v>261</v>
      </c>
      <c r="E26" s="22"/>
      <c r="F26" s="23" t="n">
        <f aca="false">IF(OR(F24="",F25=""),"",IFERROR(F24+F25,""))</f>
        <v>303.15</v>
      </c>
      <c r="G26" s="17" t="s">
        <v>266</v>
      </c>
    </row>
    <row r="27" customFormat="false" ht="15" hidden="false" customHeight="false" outlineLevel="0" collapsed="false">
      <c r="B27" s="24" t="s">
        <v>275</v>
      </c>
      <c r="C27" s="25" t="n">
        <f aca="false">IF(F27="","",IF((F27/INDEX(F_Temperature,MATCH(D27,U_Temperature,0))-INDEX(O_Temperature,MATCH(D27,U_Temperature,0)))=0,0,ROUND(F27/INDEX(F_Temperature,MATCH(D27,U_Temperature,0))-INDEX(O_Temperature,MATCH(D27,U_Temperature,0)),11-INT(LOG10(ABS(F27/INDEX(F_Temperature,MATCH(D27,U_Temperature,0))-INDEX(O_Temperature,MATCH(D27,U_Temperature,0))))))))</f>
        <v>86</v>
      </c>
      <c r="D27" s="22" t="s">
        <v>262</v>
      </c>
      <c r="E27" s="22"/>
      <c r="F27" s="23" t="n">
        <f aca="false">IF(OR(F24="",F25=""),"",IFERROR(F24+F25,""))</f>
        <v>303.15</v>
      </c>
      <c r="G27" s="17" t="s">
        <v>266</v>
      </c>
    </row>
    <row r="29" customFormat="false" ht="15" hidden="false" customHeight="false" outlineLevel="0" collapsed="false">
      <c r="B29" s="3" t="s">
        <v>131</v>
      </c>
    </row>
    <row r="30" customFormat="false" ht="15" hidden="false" customHeight="false" outlineLevel="0" collapsed="false">
      <c r="B30" s="26" t="str">
        <f aca="false">IF(COUNT($D$33:$D$36)=0,"Type a number next to any unit below (e.g. next to the unit you know).",IF(COUNT($D$33:$D$36)&gt;1,"⚠ More than one value entered – clear all but one yellow cell.","Showing everything equal to "&amp;INDEX($D$33:$D$36,MATCH(TRUE(),INDEX(ISNUMBER($D$33:$D$36),0),0))&amp;" "&amp;INDEX(U_Temperature,MATCH(TRUE(),INDEX(ISNUMBER($D$33:$D$36),0),0))))</f>
        <v>Type a number next to any unit below (e.g. next to the unit you know).</v>
      </c>
      <c r="C30" s="26"/>
      <c r="D30" s="26"/>
      <c r="E30" s="26"/>
      <c r="F30" s="26"/>
      <c r="G30" s="26"/>
    </row>
    <row r="31" customFormat="false" ht="15" hidden="false" customHeight="false" outlineLevel="0" collapsed="false">
      <c r="I31" s="27" t="s">
        <v>132</v>
      </c>
      <c r="J31" s="17" t="str">
        <f aca="false">IF(COUNT($D$33:$D$36)&lt;&gt;1,"",SUMPRODUCT(--ISNUMBER($D$33:$D$36),($D$33:$D$36+O_Temperature)*F_Temperature))</f>
        <v/>
      </c>
    </row>
    <row r="32" customFormat="false" ht="31.5" hidden="false" customHeight="true" outlineLevel="0" collapsed="false">
      <c r="B32" s="5" t="s">
        <v>133</v>
      </c>
      <c r="C32" s="5" t="s">
        <v>134</v>
      </c>
      <c r="D32" s="5" t="s">
        <v>135</v>
      </c>
      <c r="E32" s="5"/>
      <c r="F32" s="5" t="s">
        <v>136</v>
      </c>
      <c r="G32" s="5" t="s">
        <v>133</v>
      </c>
      <c r="I32" s="5" t="s">
        <v>276</v>
      </c>
      <c r="J32" s="5" t="s">
        <v>138</v>
      </c>
    </row>
    <row r="33" customFormat="false" ht="19.5" hidden="false" customHeight="true" outlineLevel="0" collapsed="false">
      <c r="B33" s="28" t="s">
        <v>261</v>
      </c>
      <c r="C33" s="29" t="s">
        <v>139</v>
      </c>
      <c r="D33" s="21"/>
      <c r="E33" s="30" t="s">
        <v>140</v>
      </c>
      <c r="F33" s="31" t="str">
        <f aca="false">IF($J$31="","",IF(($J$31/I33-J33)=0,0,ROUND($J$31/I33-J33,11-INT(LOG10(ABS($J$31/I33-J33))))))</f>
        <v/>
      </c>
      <c r="G33" s="32" t="str">
        <f aca="false">B33</f>
        <v>Degree Celsius (°C)</v>
      </c>
      <c r="I33" s="33" t="n">
        <v>1</v>
      </c>
      <c r="J33" s="33" t="n">
        <v>273.15</v>
      </c>
    </row>
    <row r="34" customFormat="false" ht="19.5" hidden="false" customHeight="true" outlineLevel="0" collapsed="false">
      <c r="B34" s="28" t="s">
        <v>277</v>
      </c>
      <c r="C34" s="29" t="s">
        <v>139</v>
      </c>
      <c r="D34" s="21"/>
      <c r="E34" s="30" t="s">
        <v>140</v>
      </c>
      <c r="F34" s="31" t="str">
        <f aca="false">IF($J$31="","",IF(($J$31/I34-J34)=0,0,ROUND($J$31/I34-J34,11-INT(LOG10(ABS($J$31/I34-J34))))))</f>
        <v/>
      </c>
      <c r="G34" s="32" t="str">
        <f aca="false">B34</f>
        <v>Kelvin (K)</v>
      </c>
      <c r="I34" s="33" t="n">
        <v>1</v>
      </c>
      <c r="J34" s="33" t="n">
        <v>0</v>
      </c>
    </row>
    <row r="35" customFormat="false" ht="19.5" hidden="false" customHeight="true" outlineLevel="0" collapsed="false">
      <c r="B35" s="28" t="s">
        <v>262</v>
      </c>
      <c r="C35" s="29" t="s">
        <v>144</v>
      </c>
      <c r="D35" s="21"/>
      <c r="E35" s="30" t="s">
        <v>140</v>
      </c>
      <c r="F35" s="31" t="str">
        <f aca="false">IF($J$31="","",IF(($J$31/I35-J35)=0,0,ROUND($J$31/I35-J35,11-INT(LOG10(ABS($J$31/I35-J35))))))</f>
        <v/>
      </c>
      <c r="G35" s="32" t="str">
        <f aca="false">B35</f>
        <v>Degree Fahrenheit (°F)</v>
      </c>
      <c r="I35" s="33" t="n">
        <f aca="false">5/9</f>
        <v>0.555555555555556</v>
      </c>
      <c r="J35" s="33" t="n">
        <v>459.67</v>
      </c>
    </row>
    <row r="36" customFormat="false" ht="19.5" hidden="false" customHeight="true" outlineLevel="0" collapsed="false">
      <c r="B36" s="28" t="s">
        <v>278</v>
      </c>
      <c r="C36" s="29" t="s">
        <v>144</v>
      </c>
      <c r="D36" s="21"/>
      <c r="E36" s="30" t="s">
        <v>140</v>
      </c>
      <c r="F36" s="31" t="str">
        <f aca="false">IF($J$31="","",IF(($J$31/I36-J36)=0,0,ROUND($J$31/I36-J36,11-INT(LOG10(ABS($J$31/I36-J36))))))</f>
        <v/>
      </c>
      <c r="G36" s="32" t="str">
        <f aca="false">B36</f>
        <v>Rankine (°R)</v>
      </c>
      <c r="I36" s="33" t="n">
        <f aca="false">5/9</f>
        <v>0.555555555555556</v>
      </c>
      <c r="J36" s="33" t="n">
        <v>0</v>
      </c>
    </row>
    <row r="38" customFormat="false" ht="15" hidden="false" customHeight="false" outlineLevel="0" collapsed="false">
      <c r="B38" s="17" t="s">
        <v>155</v>
      </c>
    </row>
    <row r="39" customFormat="false" ht="15" hidden="false" customHeight="false" outlineLevel="0" collapsed="false">
      <c r="B39" s="17" t="s">
        <v>156</v>
      </c>
    </row>
    <row r="40" customFormat="false" ht="15" hidden="false" customHeight="false" outlineLevel="0" collapsed="false">
      <c r="B40" s="17" t="s">
        <v>157</v>
      </c>
    </row>
    <row r="41" customFormat="false" ht="15" hidden="false" customHeight="false" outlineLevel="0" collapsed="false">
      <c r="B41" s="17" t="s">
        <v>279</v>
      </c>
    </row>
  </sheetData>
  <mergeCells count="16">
    <mergeCell ref="C5:C6"/>
    <mergeCell ref="D5:D6"/>
    <mergeCell ref="E5:E6"/>
    <mergeCell ref="F5:F6"/>
    <mergeCell ref="G5:G6"/>
    <mergeCell ref="D13:E13"/>
    <mergeCell ref="D16:E16"/>
    <mergeCell ref="D17:E17"/>
    <mergeCell ref="D18:E18"/>
    <mergeCell ref="D19:E19"/>
    <mergeCell ref="D20:E20"/>
    <mergeCell ref="D24:E24"/>
    <mergeCell ref="D25:E25"/>
    <mergeCell ref="D26:E26"/>
    <mergeCell ref="D27:E27"/>
    <mergeCell ref="B30:G30"/>
  </mergeCells>
  <conditionalFormatting sqref="B33:G36">
    <cfRule type="expression" priority="2" aboveAverage="0" equalAverage="0" bottom="0" percent="0" rank="0" text="" dxfId="0">
      <formula>ISNUMBER($D33)</formula>
    </cfRule>
  </conditionalFormatting>
  <dataValidations count="2">
    <dataValidation allowBlank="true" error="Please type a number." errorStyle="stop" errorTitle="Number only" operator="between" showDropDown="false" showErrorMessage="true" showInputMessage="false" sqref="C5 C16:C17 C24:C25 D33:D36" type="decimal">
      <formula1>-1E+307</formula1>
      <formula2>1E+307</formula2>
    </dataValidation>
    <dataValidation allowBlank="false" error="Pick a unit from the list." errorStyle="stop" errorTitle="Unit" operator="between" showDropDown="false" showErrorMessage="true" showInputMessage="false" sqref="D5 G5 D16:D20 D24:D27" type="list">
      <formula1>U_Temperature</formula1>
      <formula2>0</formula2>
    </dataValidation>
  </dataValidations>
  <hyperlinks>
    <hyperlink ref="B2" r:id="rId1" location="Home!A1" display="SI base unit for this sheet: kelvin (K).  Blue cells on yellow = type here; drop-downs = choose unit.  ← Back to the Home sheet"/>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J4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2"/>
    <col collapsed="false" customWidth="true" hidden="false" outlineLevel="0" max="2" min="2" style="0" width="38"/>
    <col collapsed="false" customWidth="true" hidden="false" outlineLevel="0" max="3" min="3" style="0" width="18"/>
    <col collapsed="false" customWidth="true" hidden="false" outlineLevel="0" max="4" min="4" style="0" width="24"/>
    <col collapsed="false" customWidth="true" hidden="false" outlineLevel="0" max="5" min="5" style="0" width="10"/>
    <col collapsed="false" customWidth="true" hidden="false" outlineLevel="0" max="6" min="6" style="0" width="22"/>
    <col collapsed="false" customWidth="true" hidden="false" outlineLevel="0" max="7" min="7" style="0" width="34"/>
    <col collapsed="false" customWidth="true" hidden="false" outlineLevel="0" max="8" min="8" style="0" width="3"/>
    <col collapsed="false" customWidth="true" hidden="false" outlineLevel="0" max="9" min="9" style="0" width="20"/>
    <col collapsed="false" customWidth="true" hidden="false" outlineLevel="0" max="10" min="10" style="0" width="12"/>
  </cols>
  <sheetData>
    <row r="1" customFormat="false" ht="22.05" hidden="false" customHeight="false" outlineLevel="0" collapsed="false">
      <c r="B1" s="9" t="s">
        <v>280</v>
      </c>
    </row>
    <row r="2" customFormat="false" ht="15" hidden="false" customHeight="false" outlineLevel="0" collapsed="false">
      <c r="B2" s="2" t="s">
        <v>281</v>
      </c>
    </row>
    <row r="4" customFormat="false" ht="15" hidden="false" customHeight="false" outlineLevel="0" collapsed="false">
      <c r="B4" s="3" t="s">
        <v>85</v>
      </c>
    </row>
    <row r="5" customFormat="false" ht="15" hidden="false" customHeight="true" outlineLevel="0" collapsed="false">
      <c r="B5" s="10" t="s">
        <v>86</v>
      </c>
      <c r="C5" s="11" t="n">
        <v>1</v>
      </c>
      <c r="D5" s="12" t="s">
        <v>124</v>
      </c>
      <c r="E5" s="13" t="s">
        <v>88</v>
      </c>
      <c r="F5" s="14" t="n">
        <f aca="false">IF(ISNUMBER(C5),IF((((C5+INDEX(O_Speed,MATCH(D5,U_Speed,0)))*INDEX(F_Speed,MATCH(D5,U_Speed,0)))/INDEX(F_Speed,MATCH(G5,U_Speed,0))-INDEX(O_Speed,MATCH(G5,U_Speed,0)))=0,0,ROUND(((C5+INDEX(O_Speed,MATCH(D5,U_Speed,0)))*INDEX(F_Speed,MATCH(D5,U_Speed,0)))/INDEX(F_Speed,MATCH(G5,U_Speed,0))-INDEX(O_Speed,MATCH(G5,U_Speed,0)),11-INT(LOG10(ABS(((C5+INDEX(O_Speed,MATCH(D5,U_Speed,0)))*INDEX(F_Speed,MATCH(D5,U_Speed,0)))/INDEX(F_Speed,MATCH(G5,U_Speed,0))-INDEX(O_Speed,MATCH(G5,U_Speed,0))))))),"")</f>
        <v>0.621371192237</v>
      </c>
      <c r="G5" s="12" t="s">
        <v>282</v>
      </c>
    </row>
    <row r="6" customFormat="false" ht="15" hidden="false" customHeight="false" outlineLevel="0" collapsed="false">
      <c r="C6" s="11"/>
      <c r="D6" s="11"/>
      <c r="E6" s="13"/>
      <c r="F6" s="14"/>
      <c r="G6" s="14"/>
    </row>
    <row r="7" customFormat="false" ht="15" hidden="false" customHeight="false" outlineLevel="0" collapsed="false">
      <c r="C7" s="15" t="s">
        <v>90</v>
      </c>
      <c r="D7" s="15" t="s">
        <v>91</v>
      </c>
      <c r="F7" s="15" t="s">
        <v>92</v>
      </c>
      <c r="G7" s="15" t="s">
        <v>93</v>
      </c>
    </row>
    <row r="8" customFormat="false" ht="15" hidden="false" customHeight="false" outlineLevel="0" collapsed="false">
      <c r="B8" s="10" t="s">
        <v>94</v>
      </c>
      <c r="C8" s="16" t="str">
        <f aca="false">IF(ISNUMBER(F5),C5&amp;" "&amp;D5&amp;" = "&amp;TEXT(F5,"General")&amp;" "&amp;G5,"Enter a number in the yellow Value box")</f>
        <v>1 Kilometre per hour (km/h) = 0.621371192237 Mile per hour (mph)</v>
      </c>
    </row>
    <row r="9" customFormat="false" ht="15" hidden="false" customHeight="false" outlineLevel="0" collapsed="false">
      <c r="B9" s="10" t="s">
        <v>95</v>
      </c>
      <c r="C9" s="16" t="str">
        <f aca="false">"1 "&amp;G5&amp;" = "&amp;TEXT(IF((((1+INDEX(O_Speed,MATCH(G5,U_Speed,0)))*INDEX(F_Speed,MATCH(G5,U_Speed,0)))/INDEX(F_Speed,MATCH(D5,U_Speed,0))-INDEX(O_Speed,MATCH(D5,U_Speed,0)))=0,0,ROUND(((1+INDEX(O_Speed,MATCH(G5,U_Speed,0)))*INDEX(F_Speed,MATCH(G5,U_Speed,0)))/INDEX(F_Speed,MATCH(D5,U_Speed,0))-INDEX(O_Speed,MATCH(D5,U_Speed,0)),11-INT(LOG10(ABS(((1+INDEX(O_Speed,MATCH(G5,U_Speed,0)))*INDEX(F_Speed,MATCH(G5,U_Speed,0)))/INDEX(F_Speed,MATCH(D5,U_Speed,0))-INDEX(O_Speed,MATCH(D5,U_Speed,0))))))),"General")&amp;" "&amp;D5</f>
        <v>1 Mile per hour (mph) = 1.609344 Kilometre per hour (km/h)</v>
      </c>
    </row>
    <row r="10" customFormat="false" ht="15" hidden="false" customHeight="false" outlineLevel="0" collapsed="false">
      <c r="B10" s="17" t="s">
        <v>96</v>
      </c>
    </row>
    <row r="12" customFormat="false" ht="15" hidden="false" customHeight="false" outlineLevel="0" collapsed="false">
      <c r="B12" s="3" t="s">
        <v>97</v>
      </c>
    </row>
    <row r="13" customFormat="false" ht="15" hidden="false" customHeight="true" outlineLevel="0" collapsed="false">
      <c r="B13" s="5" t="s">
        <v>98</v>
      </c>
      <c r="C13" s="5" t="s">
        <v>86</v>
      </c>
      <c r="D13" s="5" t="s">
        <v>99</v>
      </c>
      <c r="E13" s="5"/>
      <c r="F13" s="5" t="s">
        <v>100</v>
      </c>
    </row>
    <row r="14" customFormat="false" ht="15" hidden="false" customHeight="false" outlineLevel="0" collapsed="false">
      <c r="B14" s="18" t="s">
        <v>283</v>
      </c>
      <c r="C14" s="19"/>
      <c r="D14" s="19"/>
      <c r="E14" s="19"/>
      <c r="F14" s="19"/>
    </row>
    <row r="15" customFormat="false" ht="15" hidden="false" customHeight="false" outlineLevel="0" collapsed="false">
      <c r="B15" s="2" t="s">
        <v>284</v>
      </c>
    </row>
    <row r="16" customFormat="false" ht="15" hidden="false" customHeight="false" outlineLevel="0" collapsed="false">
      <c r="B16" s="20" t="s">
        <v>285</v>
      </c>
      <c r="C16" s="21" t="n">
        <v>26.2</v>
      </c>
      <c r="D16" s="22" t="s">
        <v>129</v>
      </c>
      <c r="E16" s="22"/>
      <c r="F16" s="23" t="n">
        <f aca="false">IF(ISNUMBER(C16),(C16+INDEX(O_Length,MATCH(D16,U_Length,0)))*INDEX(F_Length,MATCH(D16,U_Length,0)),"")</f>
        <v>42164.8128</v>
      </c>
      <c r="G16" s="17" t="s">
        <v>104</v>
      </c>
    </row>
    <row r="17" customFormat="false" ht="15" hidden="false" customHeight="false" outlineLevel="0" collapsed="false">
      <c r="B17" s="20" t="s">
        <v>39</v>
      </c>
      <c r="C17" s="21" t="n">
        <v>3.5</v>
      </c>
      <c r="D17" s="22" t="s">
        <v>202</v>
      </c>
      <c r="E17" s="22"/>
      <c r="F17" s="23" t="n">
        <f aca="false">IF(ISNUMBER(C17),(C17+INDEX(O_Time,MATCH(D17,U_Time,0)))*INDEX(F_Time,MATCH(D17,U_Time,0)),"")</f>
        <v>12600</v>
      </c>
      <c r="G17" s="17" t="s">
        <v>127</v>
      </c>
    </row>
    <row r="18" customFormat="false" ht="15" hidden="false" customHeight="false" outlineLevel="0" collapsed="false">
      <c r="B18" s="24" t="s">
        <v>286</v>
      </c>
      <c r="C18" s="25" t="n">
        <f aca="false">IF(F18="","",IF((F18/INDEX(F_Speed,MATCH(D18,U_Speed,0))-INDEX(O_Speed,MATCH(D18,U_Speed,0)))=0,0,ROUND(F18/INDEX(F_Speed,MATCH(D18,U_Speed,0))-INDEX(O_Speed,MATCH(D18,U_Speed,0)),11-INT(LOG10(ABS(F18/INDEX(F_Speed,MATCH(D18,U_Speed,0))-INDEX(O_Speed,MATCH(D18,U_Speed,0))))))))</f>
        <v>12.0470893714</v>
      </c>
      <c r="D18" s="22" t="s">
        <v>124</v>
      </c>
      <c r="E18" s="22"/>
      <c r="F18" s="23" t="n">
        <f aca="false">IF(OR(F16="",F17=""),"",IFERROR(F16/F17,""))</f>
        <v>3.34641371428571</v>
      </c>
      <c r="G18" s="17" t="s">
        <v>125</v>
      </c>
    </row>
    <row r="19" customFormat="false" ht="15" hidden="false" customHeight="false" outlineLevel="0" collapsed="false">
      <c r="B19" s="24" t="s">
        <v>286</v>
      </c>
      <c r="C19" s="25" t="n">
        <f aca="false">IF(F19="","",IF((F19/INDEX(F_Speed,MATCH(D19,U_Speed,0))-INDEX(O_Speed,MATCH(D19,U_Speed,0)))=0,0,ROUND(F19/INDEX(F_Speed,MATCH(D19,U_Speed,0))-INDEX(O_Speed,MATCH(D19,U_Speed,0)),11-INT(LOG10(ABS(F19/INDEX(F_Speed,MATCH(D19,U_Speed,0))-INDEX(O_Speed,MATCH(D19,U_Speed,0))))))))</f>
        <v>3.34641371429</v>
      </c>
      <c r="D19" s="22" t="s">
        <v>287</v>
      </c>
      <c r="E19" s="22"/>
      <c r="F19" s="23" t="n">
        <f aca="false">IF(OR(F16="",F17=""),"",IFERROR(F16/F17,""))</f>
        <v>3.34641371428571</v>
      </c>
      <c r="G19" s="17" t="s">
        <v>125</v>
      </c>
    </row>
    <row r="21" customFormat="false" ht="15" hidden="false" customHeight="false" outlineLevel="0" collapsed="false">
      <c r="B21" s="18" t="s">
        <v>288</v>
      </c>
      <c r="C21" s="19"/>
      <c r="D21" s="19"/>
      <c r="E21" s="19"/>
      <c r="F21" s="19"/>
    </row>
    <row r="22" customFormat="false" ht="15" hidden="false" customHeight="false" outlineLevel="0" collapsed="false">
      <c r="B22" s="2" t="s">
        <v>289</v>
      </c>
    </row>
    <row r="23" customFormat="false" ht="15" hidden="false" customHeight="false" outlineLevel="0" collapsed="false">
      <c r="B23" s="20" t="s">
        <v>199</v>
      </c>
      <c r="C23" s="21" t="n">
        <v>100</v>
      </c>
      <c r="D23" s="22" t="s">
        <v>200</v>
      </c>
      <c r="E23" s="22"/>
      <c r="F23" s="23" t="n">
        <f aca="false">IF(ISNUMBER(C23),(C23+INDEX(O_Flow_Rate,MATCH(D23,U_Flow_Rate,0)))*INDEX(F_Flow_Rate,MATCH(D23,U_Flow_Rate,0)),"")</f>
        <v>0.00630901964</v>
      </c>
      <c r="G23" s="17" t="s">
        <v>201</v>
      </c>
    </row>
    <row r="24" customFormat="false" ht="15" hidden="false" customHeight="false" outlineLevel="0" collapsed="false">
      <c r="B24" s="20" t="s">
        <v>114</v>
      </c>
      <c r="C24" s="21" t="n">
        <v>3</v>
      </c>
      <c r="D24" s="22" t="s">
        <v>107</v>
      </c>
      <c r="E24" s="22"/>
      <c r="F24" s="23" t="n">
        <f aca="false">IF(ISNUMBER(C24),(C24+INDEX(O_Length,MATCH(D24,U_Length,0)))*INDEX(F_Length,MATCH(D24,U_Length,0)),"")</f>
        <v>0.0762</v>
      </c>
      <c r="G24" s="17" t="s">
        <v>104</v>
      </c>
    </row>
    <row r="25" customFormat="false" ht="15" hidden="false" customHeight="false" outlineLevel="0" collapsed="false">
      <c r="B25" s="24" t="s">
        <v>290</v>
      </c>
      <c r="C25" s="25" t="n">
        <f aca="false">IF(F25="","",IF((F25/INDEX(F_Speed,MATCH(D25,U_Speed,0))-INDEX(O_Speed,MATCH(D25,U_Speed,0)))=0,0,ROUND(F25/INDEX(F_Speed,MATCH(D25,U_Speed,0))-INDEX(O_Speed,MATCH(D25,U_Speed,0)),11-INT(LOG10(ABS(F25/INDEX(F_Speed,MATCH(D25,U_Speed,0))-INDEX(O_Speed,MATCH(D25,U_Speed,0))))))))</f>
        <v>1.38344550089</v>
      </c>
      <c r="D25" s="22" t="s">
        <v>287</v>
      </c>
      <c r="E25" s="22"/>
      <c r="F25" s="23" t="n">
        <f aca="false">IF(OR(F23="",F24=""),"",IFERROR(F23/(PI()/4*F24^2),""))</f>
        <v>1.38344550088502</v>
      </c>
      <c r="G25" s="17" t="s">
        <v>125</v>
      </c>
    </row>
    <row r="26" customFormat="false" ht="15" hidden="false" customHeight="false" outlineLevel="0" collapsed="false">
      <c r="B26" s="24" t="s">
        <v>290</v>
      </c>
      <c r="C26" s="25" t="n">
        <f aca="false">IF(F26="","",IF((F26/INDEX(F_Speed,MATCH(D26,U_Speed,0))-INDEX(O_Speed,MATCH(D26,U_Speed,0)))=0,0,ROUND(F26/INDEX(F_Speed,MATCH(D26,U_Speed,0))-INDEX(O_Speed,MATCH(D26,U_Speed,0)),11-INT(LOG10(ABS(F26/INDEX(F_Speed,MATCH(D26,U_Speed,0))-INDEX(O_Speed,MATCH(D26,U_Speed,0))))))))</f>
        <v>4.53886319188</v>
      </c>
      <c r="D26" s="22" t="s">
        <v>291</v>
      </c>
      <c r="E26" s="22"/>
      <c r="F26" s="23" t="n">
        <f aca="false">IF(OR(F23="",F24=""),"",IFERROR(F23/(PI()/4*F24^2),""))</f>
        <v>1.38344550088502</v>
      </c>
      <c r="G26" s="17" t="s">
        <v>125</v>
      </c>
    </row>
    <row r="28" customFormat="false" ht="15" hidden="false" customHeight="false" outlineLevel="0" collapsed="false">
      <c r="B28" s="3" t="s">
        <v>131</v>
      </c>
    </row>
    <row r="29" customFormat="false" ht="15" hidden="false" customHeight="false" outlineLevel="0" collapsed="false">
      <c r="B29" s="26" t="str">
        <f aca="false">IF(COUNT($D$32:$D$36)=0,"Type a number next to any unit below (e.g. next to the unit you know).",IF(COUNT($D$32:$D$36)&gt;1,"⚠ More than one value entered – clear all but one yellow cell.","Showing everything equal to "&amp;INDEX($D$32:$D$36,MATCH(TRUE(),INDEX(ISNUMBER($D$32:$D$36),0),0))&amp;" "&amp;INDEX(U_Speed,MATCH(TRUE(),INDEX(ISNUMBER($D$32:$D$36),0),0))))</f>
        <v>Type a number next to any unit below (e.g. next to the unit you know).</v>
      </c>
      <c r="C29" s="26"/>
      <c r="D29" s="26"/>
      <c r="E29" s="26"/>
      <c r="F29" s="26"/>
      <c r="G29" s="26"/>
    </row>
    <row r="30" customFormat="false" ht="15" hidden="false" customHeight="false" outlineLevel="0" collapsed="false">
      <c r="I30" s="27" t="s">
        <v>132</v>
      </c>
      <c r="J30" s="17" t="str">
        <f aca="false">IF(COUNT($D$32:$D$36)&lt;&gt;1,"",SUMPRODUCT(--ISNUMBER($D$32:$D$36),($D$32:$D$36+O_Speed)*F_Speed))</f>
        <v/>
      </c>
    </row>
    <row r="31" customFormat="false" ht="31.5" hidden="false" customHeight="true" outlineLevel="0" collapsed="false">
      <c r="B31" s="5" t="s">
        <v>133</v>
      </c>
      <c r="C31" s="5" t="s">
        <v>134</v>
      </c>
      <c r="D31" s="5" t="s">
        <v>135</v>
      </c>
      <c r="E31" s="5"/>
      <c r="F31" s="5" t="s">
        <v>136</v>
      </c>
      <c r="G31" s="5" t="s">
        <v>133</v>
      </c>
      <c r="I31" s="5" t="s">
        <v>292</v>
      </c>
      <c r="J31" s="5" t="s">
        <v>138</v>
      </c>
    </row>
    <row r="32" customFormat="false" ht="19.5" hidden="false" customHeight="true" outlineLevel="0" collapsed="false">
      <c r="B32" s="28" t="s">
        <v>287</v>
      </c>
      <c r="C32" s="29" t="s">
        <v>139</v>
      </c>
      <c r="D32" s="21"/>
      <c r="E32" s="30" t="s">
        <v>140</v>
      </c>
      <c r="F32" s="31" t="str">
        <f aca="false">IF($J$30="","",IF(($J$30/I32-J32)=0,0,ROUND($J$30/I32-J32,11-INT(LOG10(ABS($J$30/I32-J32))))))</f>
        <v/>
      </c>
      <c r="G32" s="32" t="str">
        <f aca="false">B32</f>
        <v>Metre per second (m/s)</v>
      </c>
      <c r="I32" s="33" t="n">
        <v>1</v>
      </c>
      <c r="J32" s="33" t="n">
        <v>0</v>
      </c>
    </row>
    <row r="33" customFormat="false" ht="19.5" hidden="false" customHeight="true" outlineLevel="0" collapsed="false">
      <c r="B33" s="28" t="s">
        <v>124</v>
      </c>
      <c r="C33" s="29" t="s">
        <v>139</v>
      </c>
      <c r="D33" s="21"/>
      <c r="E33" s="30" t="s">
        <v>140</v>
      </c>
      <c r="F33" s="31" t="str">
        <f aca="false">IF($J$30="","",IF(($J$30/I33-J33)=0,0,ROUND($J$30/I33-J33,11-INT(LOG10(ABS($J$30/I33-J33))))))</f>
        <v/>
      </c>
      <c r="G33" s="32" t="str">
        <f aca="false">B33</f>
        <v>Kilometre per hour (km/h)</v>
      </c>
      <c r="I33" s="33" t="n">
        <f aca="false">1/3.6</f>
        <v>0.277777777777778</v>
      </c>
      <c r="J33" s="33" t="n">
        <v>0</v>
      </c>
    </row>
    <row r="34" customFormat="false" ht="19.5" hidden="false" customHeight="true" outlineLevel="0" collapsed="false">
      <c r="B34" s="28" t="s">
        <v>282</v>
      </c>
      <c r="C34" s="29" t="s">
        <v>144</v>
      </c>
      <c r="D34" s="21"/>
      <c r="E34" s="30" t="s">
        <v>140</v>
      </c>
      <c r="F34" s="31" t="str">
        <f aca="false">IF($J$30="","",IF(($J$30/I34-J34)=0,0,ROUND($J$30/I34-J34,11-INT(LOG10(ABS($J$30/I34-J34))))))</f>
        <v/>
      </c>
      <c r="G34" s="32" t="str">
        <f aca="false">B34</f>
        <v>Mile per hour (mph)</v>
      </c>
      <c r="I34" s="33" t="n">
        <v>0.44704</v>
      </c>
      <c r="J34" s="33" t="n">
        <v>0</v>
      </c>
    </row>
    <row r="35" customFormat="false" ht="19.5" hidden="false" customHeight="true" outlineLevel="0" collapsed="false">
      <c r="B35" s="28" t="s">
        <v>291</v>
      </c>
      <c r="C35" s="29" t="s">
        <v>144</v>
      </c>
      <c r="D35" s="21"/>
      <c r="E35" s="30" t="s">
        <v>140</v>
      </c>
      <c r="F35" s="31" t="str">
        <f aca="false">IF($J$30="","",IF(($J$30/I35-J35)=0,0,ROUND($J$30/I35-J35,11-INT(LOG10(ABS($J$30/I35-J35))))))</f>
        <v/>
      </c>
      <c r="G35" s="32" t="str">
        <f aca="false">B35</f>
        <v>Foot per second (ft/s)</v>
      </c>
      <c r="I35" s="33" t="n">
        <v>0.3048</v>
      </c>
      <c r="J35" s="33" t="n">
        <v>0</v>
      </c>
    </row>
    <row r="36" customFormat="false" ht="19.5" hidden="false" customHeight="true" outlineLevel="0" collapsed="false">
      <c r="B36" s="28" t="s">
        <v>293</v>
      </c>
      <c r="C36" s="29" t="s">
        <v>151</v>
      </c>
      <c r="D36" s="21"/>
      <c r="E36" s="30" t="s">
        <v>140</v>
      </c>
      <c r="F36" s="31" t="str">
        <f aca="false">IF($J$30="","",IF(($J$30/I36-J36)=0,0,ROUND($J$30/I36-J36,11-INT(LOG10(ABS($J$30/I36-J36))))))</f>
        <v/>
      </c>
      <c r="G36" s="32" t="str">
        <f aca="false">B36</f>
        <v>Knot (kn)</v>
      </c>
      <c r="I36" s="33" t="n">
        <f aca="false">1852/3600</f>
        <v>0.514444444444445</v>
      </c>
      <c r="J36" s="33" t="n">
        <v>0</v>
      </c>
    </row>
    <row r="38" customFormat="false" ht="15" hidden="false" customHeight="false" outlineLevel="0" collapsed="false">
      <c r="B38" s="17" t="s">
        <v>155</v>
      </c>
    </row>
    <row r="39" customFormat="false" ht="15" hidden="false" customHeight="false" outlineLevel="0" collapsed="false">
      <c r="B39" s="17" t="s">
        <v>156</v>
      </c>
    </row>
    <row r="40" customFormat="false" ht="15" hidden="false" customHeight="false" outlineLevel="0" collapsed="false">
      <c r="B40" s="17" t="s">
        <v>157</v>
      </c>
    </row>
  </sheetData>
  <mergeCells count="15">
    <mergeCell ref="C5:C6"/>
    <mergeCell ref="D5:D6"/>
    <mergeCell ref="E5:E6"/>
    <mergeCell ref="F5:F6"/>
    <mergeCell ref="G5:G6"/>
    <mergeCell ref="D13:E13"/>
    <mergeCell ref="D16:E16"/>
    <mergeCell ref="D17:E17"/>
    <mergeCell ref="D18:E18"/>
    <mergeCell ref="D19:E19"/>
    <mergeCell ref="D23:E23"/>
    <mergeCell ref="D24:E24"/>
    <mergeCell ref="D25:E25"/>
    <mergeCell ref="D26:E26"/>
    <mergeCell ref="B29:G29"/>
  </mergeCells>
  <conditionalFormatting sqref="B32:G36">
    <cfRule type="expression" priority="2" aboveAverage="0" equalAverage="0" bottom="0" percent="0" rank="0" text="" dxfId="0">
      <formula>ISNUMBER($D32)</formula>
    </cfRule>
  </conditionalFormatting>
  <dataValidations count="5">
    <dataValidation allowBlank="true" error="Please type a number." errorStyle="stop" errorTitle="Number only" operator="between" showDropDown="false" showErrorMessage="true" showInputMessage="false" sqref="C5 C16:C17 C23:C24 D32:D36" type="decimal">
      <formula1>-1E+307</formula1>
      <formula2>1E+307</formula2>
    </dataValidation>
    <dataValidation allowBlank="false" error="Pick a unit from the list." errorStyle="stop" errorTitle="Unit" operator="between" showDropDown="false" showErrorMessage="true" showInputMessage="false" sqref="D5 G5 D18:D19 D25:D26" type="list">
      <formula1>U_Speed</formula1>
      <formula2>0</formula2>
    </dataValidation>
    <dataValidation allowBlank="false" error="Pick a unit from the list." errorStyle="stop" errorTitle="Unit" operator="between" showDropDown="false" showErrorMessage="true" showInputMessage="false" sqref="D16 D24" type="list">
      <formula1>U_Length</formula1>
      <formula2>0</formula2>
    </dataValidation>
    <dataValidation allowBlank="false" error="Pick a unit from the list." errorStyle="stop" errorTitle="Unit" operator="between" showDropDown="false" showErrorMessage="true" showInputMessage="false" sqref="D17" type="list">
      <formula1>U_Time</formula1>
      <formula2>0</formula2>
    </dataValidation>
    <dataValidation allowBlank="false" error="Pick a unit from the list." errorStyle="stop" errorTitle="Unit" operator="between" showDropDown="false" showErrorMessage="true" showInputMessage="false" sqref="D23" type="list">
      <formula1>U_Flow_Rate</formula1>
      <formula2>0</formula2>
    </dataValidation>
  </dataValidations>
  <hyperlinks>
    <hyperlink ref="B2" r:id="rId1" location="Home!A1" display="SI base unit for this sheet: metre per second (m/s).  Blue cells on yellow = type here; drop-downs = choose unit.  ← Back to the Home sheet"/>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J5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2"/>
    <col collapsed="false" customWidth="true" hidden="false" outlineLevel="0" max="2" min="2" style="0" width="38"/>
    <col collapsed="false" customWidth="true" hidden="false" outlineLevel="0" max="3" min="3" style="0" width="18"/>
    <col collapsed="false" customWidth="true" hidden="false" outlineLevel="0" max="4" min="4" style="0" width="24"/>
    <col collapsed="false" customWidth="true" hidden="false" outlineLevel="0" max="5" min="5" style="0" width="10"/>
    <col collapsed="false" customWidth="true" hidden="false" outlineLevel="0" max="6" min="6" style="0" width="22"/>
    <col collapsed="false" customWidth="true" hidden="false" outlineLevel="0" max="7" min="7" style="0" width="34"/>
    <col collapsed="false" customWidth="true" hidden="false" outlineLevel="0" max="8" min="8" style="0" width="3"/>
    <col collapsed="false" customWidth="true" hidden="false" outlineLevel="0" max="9" min="9" style="0" width="20"/>
    <col collapsed="false" customWidth="true" hidden="false" outlineLevel="0" max="10" min="10" style="0" width="12"/>
  </cols>
  <sheetData>
    <row r="1" customFormat="false" ht="22.05" hidden="false" customHeight="false" outlineLevel="0" collapsed="false">
      <c r="B1" s="9" t="s">
        <v>294</v>
      </c>
    </row>
    <row r="2" customFormat="false" ht="15" hidden="false" customHeight="false" outlineLevel="0" collapsed="false">
      <c r="B2" s="2" t="s">
        <v>295</v>
      </c>
    </row>
    <row r="4" customFormat="false" ht="15" hidden="false" customHeight="false" outlineLevel="0" collapsed="false">
      <c r="B4" s="3" t="s">
        <v>85</v>
      </c>
    </row>
    <row r="5" customFormat="false" ht="15" hidden="false" customHeight="true" outlineLevel="0" collapsed="false">
      <c r="B5" s="10" t="s">
        <v>86</v>
      </c>
      <c r="C5" s="11" t="n">
        <v>1</v>
      </c>
      <c r="D5" s="12" t="s">
        <v>202</v>
      </c>
      <c r="E5" s="13" t="s">
        <v>88</v>
      </c>
      <c r="F5" s="14" t="n">
        <f aca="false">IF(ISNUMBER(C5),IF((((C5+INDEX(O_Time,MATCH(D5,U_Time,0)))*INDEX(F_Time,MATCH(D5,U_Time,0)))/INDEX(F_Time,MATCH(G5,U_Time,0))-INDEX(O_Time,MATCH(G5,U_Time,0)))=0,0,ROUND(((C5+INDEX(O_Time,MATCH(D5,U_Time,0)))*INDEX(F_Time,MATCH(D5,U_Time,0)))/INDEX(F_Time,MATCH(G5,U_Time,0))-INDEX(O_Time,MATCH(G5,U_Time,0)),11-INT(LOG10(ABS(((C5+INDEX(O_Time,MATCH(D5,U_Time,0)))*INDEX(F_Time,MATCH(D5,U_Time,0)))/INDEX(F_Time,MATCH(G5,U_Time,0))-INDEX(O_Time,MATCH(G5,U_Time,0))))))),"")</f>
        <v>60</v>
      </c>
      <c r="G5" s="12" t="s">
        <v>126</v>
      </c>
    </row>
    <row r="6" customFormat="false" ht="15" hidden="false" customHeight="false" outlineLevel="0" collapsed="false">
      <c r="C6" s="11"/>
      <c r="D6" s="11"/>
      <c r="E6" s="13"/>
      <c r="F6" s="14"/>
      <c r="G6" s="14"/>
    </row>
    <row r="7" customFormat="false" ht="15" hidden="false" customHeight="false" outlineLevel="0" collapsed="false">
      <c r="C7" s="15" t="s">
        <v>90</v>
      </c>
      <c r="D7" s="15" t="s">
        <v>91</v>
      </c>
      <c r="F7" s="15" t="s">
        <v>92</v>
      </c>
      <c r="G7" s="15" t="s">
        <v>93</v>
      </c>
    </row>
    <row r="8" customFormat="false" ht="15" hidden="false" customHeight="false" outlineLevel="0" collapsed="false">
      <c r="B8" s="10" t="s">
        <v>94</v>
      </c>
      <c r="C8" s="16" t="str">
        <f aca="false">IF(ISNUMBER(F5),C5&amp;" "&amp;D5&amp;" = "&amp;TEXT(F5,"General")&amp;" "&amp;G5,"Enter a number in the yellow Value box")</f>
        <v>1 Hour (h) = 60 Minute (min)</v>
      </c>
    </row>
    <row r="9" customFormat="false" ht="15" hidden="false" customHeight="false" outlineLevel="0" collapsed="false">
      <c r="B9" s="10" t="s">
        <v>95</v>
      </c>
      <c r="C9" s="16" t="str">
        <f aca="false">"1 "&amp;G5&amp;" = "&amp;TEXT(IF((((1+INDEX(O_Time,MATCH(G5,U_Time,0)))*INDEX(F_Time,MATCH(G5,U_Time,0)))/INDEX(F_Time,MATCH(D5,U_Time,0))-INDEX(O_Time,MATCH(D5,U_Time,0)))=0,0,ROUND(((1+INDEX(O_Time,MATCH(G5,U_Time,0)))*INDEX(F_Time,MATCH(G5,U_Time,0)))/INDEX(F_Time,MATCH(D5,U_Time,0))-INDEX(O_Time,MATCH(D5,U_Time,0)),11-INT(LOG10(ABS(((1+INDEX(O_Time,MATCH(G5,U_Time,0)))*INDEX(F_Time,MATCH(G5,U_Time,0)))/INDEX(F_Time,MATCH(D5,U_Time,0))-INDEX(O_Time,MATCH(D5,U_Time,0))))))),"General")&amp;" "&amp;D5</f>
        <v>1 Minute (min) = 0.0166666666667 Hour (h)</v>
      </c>
    </row>
    <row r="10" customFormat="false" ht="15" hidden="false" customHeight="false" outlineLevel="0" collapsed="false">
      <c r="B10" s="17" t="s">
        <v>96</v>
      </c>
    </row>
    <row r="12" customFormat="false" ht="15" hidden="false" customHeight="false" outlineLevel="0" collapsed="false">
      <c r="B12" s="3" t="s">
        <v>97</v>
      </c>
    </row>
    <row r="13" customFormat="false" ht="15" hidden="false" customHeight="true" outlineLevel="0" collapsed="false">
      <c r="B13" s="5" t="s">
        <v>98</v>
      </c>
      <c r="C13" s="5" t="s">
        <v>86</v>
      </c>
      <c r="D13" s="5" t="s">
        <v>99</v>
      </c>
      <c r="E13" s="5"/>
      <c r="F13" s="5" t="s">
        <v>100</v>
      </c>
    </row>
    <row r="14" customFormat="false" ht="15" hidden="false" customHeight="false" outlineLevel="0" collapsed="false">
      <c r="B14" s="18" t="s">
        <v>296</v>
      </c>
      <c r="C14" s="19"/>
      <c r="D14" s="19"/>
      <c r="E14" s="19"/>
      <c r="F14" s="19"/>
    </row>
    <row r="15" customFormat="false" ht="15" hidden="false" customHeight="false" outlineLevel="0" collapsed="false">
      <c r="B15" s="2" t="s">
        <v>297</v>
      </c>
    </row>
    <row r="16" customFormat="false" ht="15" hidden="false" customHeight="false" outlineLevel="0" collapsed="false">
      <c r="B16" s="20" t="s">
        <v>285</v>
      </c>
      <c r="C16" s="21" t="n">
        <v>250</v>
      </c>
      <c r="D16" s="22" t="s">
        <v>130</v>
      </c>
      <c r="E16" s="22"/>
      <c r="F16" s="23" t="n">
        <f aca="false">IF(ISNUMBER(C16),(C16+INDEX(O_Length,MATCH(D16,U_Length,0)))*INDEX(F_Length,MATCH(D16,U_Length,0)),"")</f>
        <v>250000</v>
      </c>
      <c r="G16" s="17" t="s">
        <v>104</v>
      </c>
    </row>
    <row r="17" customFormat="false" ht="15" hidden="false" customHeight="false" outlineLevel="0" collapsed="false">
      <c r="B17" s="20" t="s">
        <v>35</v>
      </c>
      <c r="C17" s="21" t="n">
        <v>55</v>
      </c>
      <c r="D17" s="22" t="s">
        <v>282</v>
      </c>
      <c r="E17" s="22"/>
      <c r="F17" s="23" t="n">
        <f aca="false">IF(ISNUMBER(C17),(C17+INDEX(O_Speed,MATCH(D17,U_Speed,0)))*INDEX(F_Speed,MATCH(D17,U_Speed,0)),"")</f>
        <v>24.5872</v>
      </c>
      <c r="G17" s="17" t="s">
        <v>125</v>
      </c>
    </row>
    <row r="18" customFormat="false" ht="15" hidden="false" customHeight="false" outlineLevel="0" collapsed="false">
      <c r="B18" s="24" t="s">
        <v>298</v>
      </c>
      <c r="C18" s="25" t="n">
        <f aca="false">IF(F18="","",IF((F18/INDEX(F_Time,MATCH(D18,U_Time,0))-INDEX(O_Time,MATCH(D18,U_Time,0)))=0,0,ROUND(F18/INDEX(F_Time,MATCH(D18,U_Time,0))-INDEX(O_Time,MATCH(D18,U_Time,0)),11-INT(LOG10(ABS(F18/INDEX(F_Time,MATCH(D18,U_Time,0))-INDEX(O_Time,MATCH(D18,U_Time,0))))))))</f>
        <v>2.82441451017</v>
      </c>
      <c r="D18" s="22" t="s">
        <v>202</v>
      </c>
      <c r="E18" s="22"/>
      <c r="F18" s="23" t="n">
        <f aca="false">IF(OR(F16="",F17=""),"",IFERROR(F16/F17,""))</f>
        <v>10167.8922366109</v>
      </c>
      <c r="G18" s="17" t="s">
        <v>127</v>
      </c>
    </row>
    <row r="19" customFormat="false" ht="15" hidden="false" customHeight="false" outlineLevel="0" collapsed="false">
      <c r="B19" s="24" t="s">
        <v>298</v>
      </c>
      <c r="C19" s="25" t="n">
        <f aca="false">IF(F19="","",IF((F19/INDEX(F_Time,MATCH(D19,U_Time,0))-INDEX(O_Time,MATCH(D19,U_Time,0)))=0,0,ROUND(F19/INDEX(F_Time,MATCH(D19,U_Time,0))-INDEX(O_Time,MATCH(D19,U_Time,0)),11-INT(LOG10(ABS(F19/INDEX(F_Time,MATCH(D19,U_Time,0))-INDEX(O_Time,MATCH(D19,U_Time,0))))))))</f>
        <v>169.46487061</v>
      </c>
      <c r="D19" s="22" t="s">
        <v>126</v>
      </c>
      <c r="E19" s="22"/>
      <c r="F19" s="23" t="n">
        <f aca="false">IF(OR(F16="",F17=""),"",IFERROR(F16/F17,""))</f>
        <v>10167.8922366109</v>
      </c>
      <c r="G19" s="17" t="s">
        <v>127</v>
      </c>
    </row>
    <row r="21" customFormat="false" ht="15" hidden="false" customHeight="false" outlineLevel="0" collapsed="false">
      <c r="B21" s="18" t="s">
        <v>299</v>
      </c>
      <c r="C21" s="19"/>
      <c r="D21" s="19"/>
      <c r="E21" s="19"/>
      <c r="F21" s="19"/>
    </row>
    <row r="22" customFormat="false" ht="15" hidden="false" customHeight="false" outlineLevel="0" collapsed="false">
      <c r="B22" s="2" t="s">
        <v>300</v>
      </c>
    </row>
    <row r="23" customFormat="false" ht="15" hidden="false" customHeight="false" outlineLevel="0" collapsed="false">
      <c r="B23" s="20" t="s">
        <v>23</v>
      </c>
      <c r="C23" s="21" t="n">
        <v>500</v>
      </c>
      <c r="D23" s="22" t="s">
        <v>118</v>
      </c>
      <c r="E23" s="22"/>
      <c r="F23" s="23" t="n">
        <f aca="false">IF(ISNUMBER(C23),(C23+INDEX(O_Volume,MATCH(D23,U_Volume,0)))*INDEX(F_Volume,MATCH(D23,U_Volume,0)),"")</f>
        <v>1.892705892</v>
      </c>
      <c r="G23" s="17" t="s">
        <v>113</v>
      </c>
    </row>
    <row r="24" customFormat="false" ht="15" hidden="false" customHeight="false" outlineLevel="0" collapsed="false">
      <c r="B24" s="20" t="s">
        <v>199</v>
      </c>
      <c r="C24" s="21" t="n">
        <v>40</v>
      </c>
      <c r="D24" s="22" t="s">
        <v>301</v>
      </c>
      <c r="E24" s="22"/>
      <c r="F24" s="23" t="n">
        <f aca="false">IF(ISNUMBER(C24),(C24+INDEX(O_Flow_Rate,MATCH(D24,U_Flow_Rate,0)))*INDEX(F_Flow_Rate,MATCH(D24,U_Flow_Rate,0)),"")</f>
        <v>0.000666666666666667</v>
      </c>
      <c r="G24" s="17" t="s">
        <v>201</v>
      </c>
    </row>
    <row r="25" customFormat="false" ht="15" hidden="false" customHeight="false" outlineLevel="0" collapsed="false">
      <c r="B25" s="24" t="s">
        <v>302</v>
      </c>
      <c r="C25" s="25" t="n">
        <f aca="false">IF(F25="","",IF((F25/INDEX(F_Time,MATCH(D25,U_Time,0))-INDEX(O_Time,MATCH(D25,U_Time,0)))=0,0,ROUND(F25/INDEX(F_Time,MATCH(D25,U_Time,0))-INDEX(O_Time,MATCH(D25,U_Time,0)),11-INT(LOG10(ABS(F25/INDEX(F_Time,MATCH(D25,U_Time,0))-INDEX(O_Time,MATCH(D25,U_Time,0))))))))</f>
        <v>47.3176473</v>
      </c>
      <c r="D25" s="22" t="s">
        <v>126</v>
      </c>
      <c r="E25" s="22"/>
      <c r="F25" s="23" t="n">
        <f aca="false">IF(OR(F23="",F24=""),"",IFERROR(F23/F24,""))</f>
        <v>2839.058838</v>
      </c>
      <c r="G25" s="17" t="s">
        <v>127</v>
      </c>
    </row>
    <row r="26" customFormat="false" ht="15" hidden="false" customHeight="false" outlineLevel="0" collapsed="false">
      <c r="B26" s="24" t="s">
        <v>302</v>
      </c>
      <c r="C26" s="25" t="n">
        <f aca="false">IF(F26="","",IF((F26/INDEX(F_Time,MATCH(D26,U_Time,0))-INDEX(O_Time,MATCH(D26,U_Time,0)))=0,0,ROUND(F26/INDEX(F_Time,MATCH(D26,U_Time,0))-INDEX(O_Time,MATCH(D26,U_Time,0)),11-INT(LOG10(ABS(F26/INDEX(F_Time,MATCH(D26,U_Time,0))-INDEX(O_Time,MATCH(D26,U_Time,0))))))))</f>
        <v>0.788627455</v>
      </c>
      <c r="D26" s="22" t="s">
        <v>202</v>
      </c>
      <c r="E26" s="22"/>
      <c r="F26" s="23" t="n">
        <f aca="false">IF(OR(F23="",F24=""),"",IFERROR(F23/F24,""))</f>
        <v>2839.058838</v>
      </c>
      <c r="G26" s="17" t="s">
        <v>127</v>
      </c>
    </row>
    <row r="28" customFormat="false" ht="15" hidden="false" customHeight="false" outlineLevel="0" collapsed="false">
      <c r="B28" s="18" t="s">
        <v>303</v>
      </c>
      <c r="C28" s="19"/>
      <c r="D28" s="19"/>
      <c r="E28" s="19"/>
      <c r="F28" s="19"/>
    </row>
    <row r="29" customFormat="false" ht="15" hidden="false" customHeight="false" outlineLevel="0" collapsed="false">
      <c r="B29" s="2" t="s">
        <v>304</v>
      </c>
    </row>
    <row r="30" customFormat="false" ht="15" hidden="false" customHeight="false" outlineLevel="0" collapsed="false">
      <c r="B30" s="20" t="s">
        <v>114</v>
      </c>
      <c r="C30" s="21" t="n">
        <v>6</v>
      </c>
      <c r="D30" s="22" t="s">
        <v>107</v>
      </c>
      <c r="E30" s="22"/>
      <c r="F30" s="23" t="n">
        <f aca="false">IF(ISNUMBER(C30),(C30+INDEX(O_Length,MATCH(D30,U_Length,0)))*INDEX(F_Length,MATCH(D30,U_Length,0)),"")</f>
        <v>0.1524</v>
      </c>
      <c r="G30" s="17" t="s">
        <v>104</v>
      </c>
    </row>
    <row r="31" customFormat="false" ht="15" hidden="false" customHeight="false" outlineLevel="0" collapsed="false">
      <c r="B31" s="20" t="s">
        <v>119</v>
      </c>
      <c r="C31" s="21" t="n">
        <v>100</v>
      </c>
      <c r="D31" s="22" t="s">
        <v>87</v>
      </c>
      <c r="E31" s="22"/>
      <c r="F31" s="23" t="n">
        <f aca="false">IF(ISNUMBER(C31),(C31+INDEX(O_Length,MATCH(D31,U_Length,0)))*INDEX(F_Length,MATCH(D31,U_Length,0)),"")</f>
        <v>100</v>
      </c>
      <c r="G31" s="17" t="s">
        <v>104</v>
      </c>
    </row>
    <row r="32" customFormat="false" ht="15" hidden="false" customHeight="false" outlineLevel="0" collapsed="false">
      <c r="B32" s="20" t="s">
        <v>199</v>
      </c>
      <c r="C32" s="21" t="n">
        <v>5</v>
      </c>
      <c r="D32" s="22" t="s">
        <v>305</v>
      </c>
      <c r="E32" s="22"/>
      <c r="F32" s="23" t="n">
        <f aca="false">IF(ISNUMBER(C32),(C32+INDEX(O_Flow_Rate,MATCH(D32,U_Flow_Rate,0)))*INDEX(F_Flow_Rate,MATCH(D32,U_Flow_Rate,0)),"")</f>
        <v>0.005</v>
      </c>
      <c r="G32" s="17" t="s">
        <v>201</v>
      </c>
    </row>
    <row r="33" customFormat="false" ht="15" hidden="false" customHeight="false" outlineLevel="0" collapsed="false">
      <c r="B33" s="24" t="s">
        <v>302</v>
      </c>
      <c r="C33" s="25" t="n">
        <f aca="false">IF(F33="","",IF((F33/INDEX(F_Time,MATCH(D33,U_Time,0))-INDEX(O_Time,MATCH(D33,U_Time,0)))=0,0,ROUND(F33/INDEX(F_Time,MATCH(D33,U_Time,0))-INDEX(O_Time,MATCH(D33,U_Time,0)),11-INT(LOG10(ABS(F33/INDEX(F_Time,MATCH(D33,U_Time,0))-INDEX(O_Time,MATCH(D33,U_Time,0))))))))</f>
        <v>6.08048974917</v>
      </c>
      <c r="D33" s="22" t="s">
        <v>126</v>
      </c>
      <c r="E33" s="22"/>
      <c r="F33" s="23" t="n">
        <f aca="false">IF(OR(F30="",F31="",F32=""),"",IFERROR(PI()/4*F30^2*F31/F32,""))</f>
        <v>364.829384950198</v>
      </c>
      <c r="G33" s="17" t="s">
        <v>127</v>
      </c>
    </row>
    <row r="34" customFormat="false" ht="15" hidden="false" customHeight="false" outlineLevel="0" collapsed="false">
      <c r="B34" s="24" t="s">
        <v>302</v>
      </c>
      <c r="C34" s="25" t="n">
        <f aca="false">IF(F34="","",IF((F34/INDEX(F_Time,MATCH(D34,U_Time,0))-INDEX(O_Time,MATCH(D34,U_Time,0)))=0,0,ROUND(F34/INDEX(F_Time,MATCH(D34,U_Time,0))-INDEX(O_Time,MATCH(D34,U_Time,0)),11-INT(LOG10(ABS(F34/INDEX(F_Time,MATCH(D34,U_Time,0))-INDEX(O_Time,MATCH(D34,U_Time,0))))))))</f>
        <v>364.82938495</v>
      </c>
      <c r="D34" s="22" t="s">
        <v>306</v>
      </c>
      <c r="E34" s="22"/>
      <c r="F34" s="23" t="n">
        <f aca="false">IF(OR(F30="",F31="",F32=""),"",IFERROR(PI()/4*F30^2*F31/F32,""))</f>
        <v>364.829384950198</v>
      </c>
      <c r="G34" s="17" t="s">
        <v>127</v>
      </c>
    </row>
    <row r="36" customFormat="false" ht="15" hidden="false" customHeight="false" outlineLevel="0" collapsed="false">
      <c r="B36" s="3" t="s">
        <v>131</v>
      </c>
    </row>
    <row r="37" customFormat="false" ht="15" hidden="false" customHeight="false" outlineLevel="0" collapsed="false">
      <c r="B37" s="26" t="str">
        <f aca="false">IF(COUNT($D$40:$D$51)=0,"Type a number next to any unit below (e.g. next to the unit you know).",IF(COUNT($D$40:$D$51)&gt;1,"⚠ More than one value entered – clear all but one yellow cell.","Showing everything equal to "&amp;INDEX($D$40:$D$51,MATCH(TRUE(),INDEX(ISNUMBER($D$40:$D$51),0),0))&amp;" "&amp;INDEX(U_Time,MATCH(TRUE(),INDEX(ISNUMBER($D$40:$D$51),0),0))))</f>
        <v>Type a number next to any unit below (e.g. next to the unit you know).</v>
      </c>
      <c r="C37" s="26"/>
      <c r="D37" s="26"/>
      <c r="E37" s="26"/>
      <c r="F37" s="26"/>
      <c r="G37" s="26"/>
    </row>
    <row r="38" customFormat="false" ht="15" hidden="false" customHeight="false" outlineLevel="0" collapsed="false">
      <c r="I38" s="27" t="s">
        <v>132</v>
      </c>
      <c r="J38" s="17" t="str">
        <f aca="false">IF(COUNT($D$40:$D$51)&lt;&gt;1,"",SUMPRODUCT(--ISNUMBER($D$40:$D$51),($D$40:$D$51+O_Time)*F_Time))</f>
        <v/>
      </c>
    </row>
    <row r="39" customFormat="false" ht="31.5" hidden="false" customHeight="true" outlineLevel="0" collapsed="false">
      <c r="B39" s="5" t="s">
        <v>133</v>
      </c>
      <c r="C39" s="5" t="s">
        <v>134</v>
      </c>
      <c r="D39" s="5" t="s">
        <v>135</v>
      </c>
      <c r="E39" s="5"/>
      <c r="F39" s="5" t="s">
        <v>136</v>
      </c>
      <c r="G39" s="5" t="s">
        <v>133</v>
      </c>
      <c r="I39" s="5" t="s">
        <v>307</v>
      </c>
      <c r="J39" s="5" t="s">
        <v>138</v>
      </c>
    </row>
    <row r="40" customFormat="false" ht="19.5" hidden="false" customHeight="true" outlineLevel="0" collapsed="false">
      <c r="B40" s="28" t="s">
        <v>308</v>
      </c>
      <c r="C40" s="29" t="s">
        <v>139</v>
      </c>
      <c r="D40" s="21"/>
      <c r="E40" s="30" t="s">
        <v>140</v>
      </c>
      <c r="F40" s="31" t="str">
        <f aca="false">IF($J$38="","",IF(($J$38/I40-J40)=0,0,ROUND($J$38/I40-J40,11-INT(LOG10(ABS($J$38/I40-J40))))))</f>
        <v/>
      </c>
      <c r="G40" s="32" t="str">
        <f aca="false">B40</f>
        <v>Nanosecond (ns)</v>
      </c>
      <c r="I40" s="33" t="n">
        <v>1E-009</v>
      </c>
      <c r="J40" s="33" t="n">
        <v>0</v>
      </c>
    </row>
    <row r="41" customFormat="false" ht="19.5" hidden="false" customHeight="true" outlineLevel="0" collapsed="false">
      <c r="B41" s="28" t="s">
        <v>309</v>
      </c>
      <c r="C41" s="29" t="s">
        <v>139</v>
      </c>
      <c r="D41" s="21"/>
      <c r="E41" s="30" t="s">
        <v>140</v>
      </c>
      <c r="F41" s="31" t="str">
        <f aca="false">IF($J$38="","",IF(($J$38/I41-J41)=0,0,ROUND($J$38/I41-J41,11-INT(LOG10(ABS($J$38/I41-J41))))))</f>
        <v/>
      </c>
      <c r="G41" s="32" t="str">
        <f aca="false">B41</f>
        <v>Microsecond (µs)</v>
      </c>
      <c r="I41" s="33" t="n">
        <v>1E-006</v>
      </c>
      <c r="J41" s="33" t="n">
        <v>0</v>
      </c>
    </row>
    <row r="42" customFormat="false" ht="19.5" hidden="false" customHeight="true" outlineLevel="0" collapsed="false">
      <c r="B42" s="28" t="s">
        <v>310</v>
      </c>
      <c r="C42" s="29" t="s">
        <v>139</v>
      </c>
      <c r="D42" s="21"/>
      <c r="E42" s="30" t="s">
        <v>140</v>
      </c>
      <c r="F42" s="31" t="str">
        <f aca="false">IF($J$38="","",IF(($J$38/I42-J42)=0,0,ROUND($J$38/I42-J42,11-INT(LOG10(ABS($J$38/I42-J42))))))</f>
        <v/>
      </c>
      <c r="G42" s="32" t="str">
        <f aca="false">B42</f>
        <v>Millisecond (ms)</v>
      </c>
      <c r="I42" s="33" t="n">
        <v>0.001</v>
      </c>
      <c r="J42" s="33" t="n">
        <v>0</v>
      </c>
    </row>
    <row r="43" customFormat="false" ht="19.5" hidden="false" customHeight="true" outlineLevel="0" collapsed="false">
      <c r="B43" s="28" t="s">
        <v>306</v>
      </c>
      <c r="C43" s="29" t="s">
        <v>139</v>
      </c>
      <c r="D43" s="21"/>
      <c r="E43" s="30" t="s">
        <v>140</v>
      </c>
      <c r="F43" s="31" t="str">
        <f aca="false">IF($J$38="","",IF(($J$38/I43-J43)=0,0,ROUND($J$38/I43-J43,11-INT(LOG10(ABS($J$38/I43-J43))))))</f>
        <v/>
      </c>
      <c r="G43" s="32" t="str">
        <f aca="false">B43</f>
        <v>Second (s)</v>
      </c>
      <c r="I43" s="33" t="n">
        <v>1</v>
      </c>
      <c r="J43" s="33" t="n">
        <v>0</v>
      </c>
    </row>
    <row r="44" customFormat="false" ht="19.5" hidden="false" customHeight="true" outlineLevel="0" collapsed="false">
      <c r="B44" s="28" t="s">
        <v>126</v>
      </c>
      <c r="C44" s="29" t="s">
        <v>151</v>
      </c>
      <c r="D44" s="21"/>
      <c r="E44" s="30" t="s">
        <v>140</v>
      </c>
      <c r="F44" s="31" t="str">
        <f aca="false">IF($J$38="","",IF(($J$38/I44-J44)=0,0,ROUND($J$38/I44-J44,11-INT(LOG10(ABS($J$38/I44-J44))))))</f>
        <v/>
      </c>
      <c r="G44" s="32" t="str">
        <f aca="false">B44</f>
        <v>Minute (min)</v>
      </c>
      <c r="I44" s="33" t="n">
        <v>60</v>
      </c>
      <c r="J44" s="33" t="n">
        <v>0</v>
      </c>
    </row>
    <row r="45" customFormat="false" ht="19.5" hidden="false" customHeight="true" outlineLevel="0" collapsed="false">
      <c r="B45" s="28" t="s">
        <v>202</v>
      </c>
      <c r="C45" s="29" t="s">
        <v>151</v>
      </c>
      <c r="D45" s="21"/>
      <c r="E45" s="30" t="s">
        <v>140</v>
      </c>
      <c r="F45" s="31" t="str">
        <f aca="false">IF($J$38="","",IF(($J$38/I45-J45)=0,0,ROUND($J$38/I45-J45,11-INT(LOG10(ABS($J$38/I45-J45))))))</f>
        <v/>
      </c>
      <c r="G45" s="32" t="str">
        <f aca="false">B45</f>
        <v>Hour (h)</v>
      </c>
      <c r="I45" s="33" t="n">
        <v>3600</v>
      </c>
      <c r="J45" s="33" t="n">
        <v>0</v>
      </c>
    </row>
    <row r="46" customFormat="false" ht="19.5" hidden="false" customHeight="true" outlineLevel="0" collapsed="false">
      <c r="B46" s="28" t="s">
        <v>311</v>
      </c>
      <c r="C46" s="29" t="s">
        <v>151</v>
      </c>
      <c r="D46" s="21"/>
      <c r="E46" s="30" t="s">
        <v>140</v>
      </c>
      <c r="F46" s="31" t="str">
        <f aca="false">IF($J$38="","",IF(($J$38/I46-J46)=0,0,ROUND($J$38/I46-J46,11-INT(LOG10(ABS($J$38/I46-J46))))))</f>
        <v/>
      </c>
      <c r="G46" s="32" t="str">
        <f aca="false">B46</f>
        <v>Day (d)</v>
      </c>
      <c r="I46" s="33" t="n">
        <v>86400</v>
      </c>
      <c r="J46" s="33" t="n">
        <v>0</v>
      </c>
    </row>
    <row r="47" customFormat="false" ht="19.5" hidden="false" customHeight="true" outlineLevel="0" collapsed="false">
      <c r="B47" s="28" t="s">
        <v>312</v>
      </c>
      <c r="C47" s="29" t="s">
        <v>151</v>
      </c>
      <c r="D47" s="21"/>
      <c r="E47" s="30" t="s">
        <v>140</v>
      </c>
      <c r="F47" s="31" t="str">
        <f aca="false">IF($J$38="","",IF(($J$38/I47-J47)=0,0,ROUND($J$38/I47-J47,11-INT(LOG10(ABS($J$38/I47-J47))))))</f>
        <v/>
      </c>
      <c r="G47" s="32" t="str">
        <f aca="false">B47</f>
        <v>Week (wk)</v>
      </c>
      <c r="I47" s="33" t="n">
        <v>604800</v>
      </c>
      <c r="J47" s="33" t="n">
        <v>0</v>
      </c>
    </row>
    <row r="48" customFormat="false" ht="19.5" hidden="false" customHeight="true" outlineLevel="0" collapsed="false">
      <c r="B48" s="28" t="s">
        <v>313</v>
      </c>
      <c r="C48" s="29" t="s">
        <v>151</v>
      </c>
      <c r="D48" s="21"/>
      <c r="E48" s="30" t="s">
        <v>140</v>
      </c>
      <c r="F48" s="31" t="str">
        <f aca="false">IF($J$38="","",IF(($J$38/I48-J48)=0,0,ROUND($J$38/I48-J48,11-INT(LOG10(ABS($J$38/I48-J48))))))</f>
        <v/>
      </c>
      <c r="G48" s="32" t="str">
        <f aca="false">B48</f>
        <v>Month (avg, 30.436875 d)</v>
      </c>
      <c r="I48" s="33" t="n">
        <v>2629746</v>
      </c>
      <c r="J48" s="33" t="n">
        <v>0</v>
      </c>
    </row>
    <row r="49" customFormat="false" ht="19.5" hidden="false" customHeight="true" outlineLevel="0" collapsed="false">
      <c r="B49" s="28" t="s">
        <v>314</v>
      </c>
      <c r="C49" s="29" t="s">
        <v>151</v>
      </c>
      <c r="D49" s="21"/>
      <c r="E49" s="30" t="s">
        <v>140</v>
      </c>
      <c r="F49" s="31" t="str">
        <f aca="false">IF($J$38="","",IF(($J$38/I49-J49)=0,0,ROUND($J$38/I49-J49,11-INT(LOG10(ABS($J$38/I49-J49))))))</f>
        <v/>
      </c>
      <c r="G49" s="32" t="str">
        <f aca="false">B49</f>
        <v>Year (avg, 365.2425 d)</v>
      </c>
      <c r="I49" s="33" t="n">
        <v>31556952</v>
      </c>
      <c r="J49" s="33" t="n">
        <v>0</v>
      </c>
    </row>
    <row r="50" customFormat="false" ht="19.5" hidden="false" customHeight="true" outlineLevel="0" collapsed="false">
      <c r="B50" s="28" t="s">
        <v>315</v>
      </c>
      <c r="C50" s="29" t="s">
        <v>151</v>
      </c>
      <c r="D50" s="21"/>
      <c r="E50" s="30" t="s">
        <v>140</v>
      </c>
      <c r="F50" s="31" t="str">
        <f aca="false">IF($J$38="","",IF(($J$38/I50-J50)=0,0,ROUND($J$38/I50-J50,11-INT(LOG10(ABS($J$38/I50-J50))))))</f>
        <v/>
      </c>
      <c r="G50" s="32" t="str">
        <f aca="false">B50</f>
        <v>Decade</v>
      </c>
      <c r="I50" s="33" t="n">
        <v>315569520</v>
      </c>
      <c r="J50" s="33" t="n">
        <v>0</v>
      </c>
    </row>
    <row r="51" customFormat="false" ht="19.5" hidden="false" customHeight="true" outlineLevel="0" collapsed="false">
      <c r="B51" s="28" t="s">
        <v>316</v>
      </c>
      <c r="C51" s="29" t="s">
        <v>151</v>
      </c>
      <c r="D51" s="21"/>
      <c r="E51" s="30" t="s">
        <v>140</v>
      </c>
      <c r="F51" s="31" t="str">
        <f aca="false">IF($J$38="","",IF(($J$38/I51-J51)=0,0,ROUND($J$38/I51-J51,11-INT(LOG10(ABS($J$38/I51-J51))))))</f>
        <v/>
      </c>
      <c r="G51" s="32" t="str">
        <f aca="false">B51</f>
        <v>Century</v>
      </c>
      <c r="I51" s="33" t="n">
        <v>3155695200</v>
      </c>
      <c r="J51" s="33" t="n">
        <v>0</v>
      </c>
    </row>
    <row r="53" customFormat="false" ht="15" hidden="false" customHeight="false" outlineLevel="0" collapsed="false">
      <c r="B53" s="17" t="s">
        <v>155</v>
      </c>
    </row>
    <row r="54" customFormat="false" ht="15" hidden="false" customHeight="false" outlineLevel="0" collapsed="false">
      <c r="B54" s="17" t="s">
        <v>156</v>
      </c>
    </row>
    <row r="55" customFormat="false" ht="15" hidden="false" customHeight="false" outlineLevel="0" collapsed="false">
      <c r="B55" s="17" t="s">
        <v>157</v>
      </c>
    </row>
    <row r="56" customFormat="false" ht="15" hidden="false" customHeight="false" outlineLevel="0" collapsed="false">
      <c r="B56" s="17" t="s">
        <v>317</v>
      </c>
    </row>
  </sheetData>
  <mergeCells count="20">
    <mergeCell ref="C5:C6"/>
    <mergeCell ref="D5:D6"/>
    <mergeCell ref="E5:E6"/>
    <mergeCell ref="F5:F6"/>
    <mergeCell ref="G5:G6"/>
    <mergeCell ref="D13:E13"/>
    <mergeCell ref="D16:E16"/>
    <mergeCell ref="D17:E17"/>
    <mergeCell ref="D18:E18"/>
    <mergeCell ref="D19:E19"/>
    <mergeCell ref="D23:E23"/>
    <mergeCell ref="D24:E24"/>
    <mergeCell ref="D25:E25"/>
    <mergeCell ref="D26:E26"/>
    <mergeCell ref="D30:E30"/>
    <mergeCell ref="D31:E31"/>
    <mergeCell ref="D32:E32"/>
    <mergeCell ref="D33:E33"/>
    <mergeCell ref="D34:E34"/>
    <mergeCell ref="B37:G37"/>
  </mergeCells>
  <conditionalFormatting sqref="B40:G51">
    <cfRule type="expression" priority="2" aboveAverage="0" equalAverage="0" bottom="0" percent="0" rank="0" text="" dxfId="0">
      <formula>ISNUMBER($D40)</formula>
    </cfRule>
  </conditionalFormatting>
  <dataValidations count="6">
    <dataValidation allowBlank="true" error="Please type a number." errorStyle="stop" errorTitle="Number only" operator="between" showDropDown="false" showErrorMessage="true" showInputMessage="false" sqref="C5 C16:C17 C23:C24 C30:C32 D40:D51" type="decimal">
      <formula1>-1E+307</formula1>
      <formula2>1E+307</formula2>
    </dataValidation>
    <dataValidation allowBlank="false" error="Pick a unit from the list." errorStyle="stop" errorTitle="Unit" operator="between" showDropDown="false" showErrorMessage="true" showInputMessage="false" sqref="D5 G5 D18:D19 D25:D26 D33:D34" type="list">
      <formula1>U_Time</formula1>
      <formula2>0</formula2>
    </dataValidation>
    <dataValidation allowBlank="false" error="Pick a unit from the list." errorStyle="stop" errorTitle="Unit" operator="between" showDropDown="false" showErrorMessage="true" showInputMessage="false" sqref="D16 D30:D31" type="list">
      <formula1>U_Length</formula1>
      <formula2>0</formula2>
    </dataValidation>
    <dataValidation allowBlank="false" error="Pick a unit from the list." errorStyle="stop" errorTitle="Unit" operator="between" showDropDown="false" showErrorMessage="true" showInputMessage="false" sqref="D17" type="list">
      <formula1>U_Speed</formula1>
      <formula2>0</formula2>
    </dataValidation>
    <dataValidation allowBlank="false" error="Pick a unit from the list." errorStyle="stop" errorTitle="Unit" operator="between" showDropDown="false" showErrorMessage="true" showInputMessage="false" sqref="D23" type="list">
      <formula1>U_Volume</formula1>
      <formula2>0</formula2>
    </dataValidation>
    <dataValidation allowBlank="false" error="Pick a unit from the list." errorStyle="stop" errorTitle="Unit" operator="between" showDropDown="false" showErrorMessage="true" showInputMessage="false" sqref="D24 D32" type="list">
      <formula1>U_Flow_Rate</formula1>
      <formula2>0</formula2>
    </dataValidation>
  </dataValidations>
  <hyperlinks>
    <hyperlink ref="B2" r:id="rId1" location="Home!A1" display="SI base unit for this sheet: second (s).  Blue cells on yellow = type here; drop-downs = choose unit.  ← Back to the Home sheet"/>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J5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2"/>
    <col collapsed="false" customWidth="true" hidden="false" outlineLevel="0" max="2" min="2" style="0" width="38"/>
    <col collapsed="false" customWidth="true" hidden="false" outlineLevel="0" max="3" min="3" style="0" width="18"/>
    <col collapsed="false" customWidth="true" hidden="false" outlineLevel="0" max="4" min="4" style="0" width="24"/>
    <col collapsed="false" customWidth="true" hidden="false" outlineLevel="0" max="5" min="5" style="0" width="10"/>
    <col collapsed="false" customWidth="true" hidden="false" outlineLevel="0" max="6" min="6" style="0" width="22"/>
    <col collapsed="false" customWidth="true" hidden="false" outlineLevel="0" max="7" min="7" style="0" width="34"/>
    <col collapsed="false" customWidth="true" hidden="false" outlineLevel="0" max="8" min="8" style="0" width="3"/>
    <col collapsed="false" customWidth="true" hidden="false" outlineLevel="0" max="9" min="9" style="0" width="20"/>
    <col collapsed="false" customWidth="true" hidden="false" outlineLevel="0" max="10" min="10" style="0" width="12"/>
  </cols>
  <sheetData>
    <row r="1" customFormat="false" ht="22.05" hidden="false" customHeight="false" outlineLevel="0" collapsed="false">
      <c r="B1" s="9" t="s">
        <v>318</v>
      </c>
    </row>
    <row r="2" customFormat="false" ht="15" hidden="false" customHeight="false" outlineLevel="0" collapsed="false">
      <c r="B2" s="2" t="s">
        <v>319</v>
      </c>
    </row>
    <row r="4" customFormat="false" ht="15" hidden="false" customHeight="false" outlineLevel="0" collapsed="false">
      <c r="B4" s="3" t="s">
        <v>85</v>
      </c>
    </row>
    <row r="5" customFormat="false" ht="15" hidden="false" customHeight="true" outlineLevel="0" collapsed="false">
      <c r="B5" s="10" t="s">
        <v>86</v>
      </c>
      <c r="C5" s="11" t="n">
        <v>1</v>
      </c>
      <c r="D5" s="12" t="s">
        <v>320</v>
      </c>
      <c r="E5" s="13" t="s">
        <v>88</v>
      </c>
      <c r="F5" s="14" t="n">
        <f aca="false">IF(ISNUMBER(C5),IF((((C5+INDEX(O_Pressure,MATCH(D5,U_Pressure,0)))*INDEX(F_Pressure,MATCH(D5,U_Pressure,0)))/INDEX(F_Pressure,MATCH(G5,U_Pressure,0))-INDEX(O_Pressure,MATCH(G5,U_Pressure,0)))=0,0,ROUND(((C5+INDEX(O_Pressure,MATCH(D5,U_Pressure,0)))*INDEX(F_Pressure,MATCH(D5,U_Pressure,0)))/INDEX(F_Pressure,MATCH(G5,U_Pressure,0))-INDEX(O_Pressure,MATCH(G5,U_Pressure,0)),11-INT(LOG10(ABS(((C5+INDEX(O_Pressure,MATCH(D5,U_Pressure,0)))*INDEX(F_Pressure,MATCH(D5,U_Pressure,0)))/INDEX(F_Pressure,MATCH(G5,U_Pressure,0))-INDEX(O_Pressure,MATCH(G5,U_Pressure,0))))))),"")</f>
        <v>14.503773773</v>
      </c>
      <c r="G5" s="12" t="s">
        <v>321</v>
      </c>
    </row>
    <row r="6" customFormat="false" ht="15" hidden="false" customHeight="false" outlineLevel="0" collapsed="false">
      <c r="C6" s="11"/>
      <c r="D6" s="11"/>
      <c r="E6" s="13"/>
      <c r="F6" s="14"/>
      <c r="G6" s="14"/>
    </row>
    <row r="7" customFormat="false" ht="15" hidden="false" customHeight="false" outlineLevel="0" collapsed="false">
      <c r="C7" s="15" t="s">
        <v>90</v>
      </c>
      <c r="D7" s="15" t="s">
        <v>91</v>
      </c>
      <c r="F7" s="15" t="s">
        <v>92</v>
      </c>
      <c r="G7" s="15" t="s">
        <v>93</v>
      </c>
    </row>
    <row r="8" customFormat="false" ht="15" hidden="false" customHeight="false" outlineLevel="0" collapsed="false">
      <c r="B8" s="10" t="s">
        <v>94</v>
      </c>
      <c r="C8" s="16" t="str">
        <f aca="false">IF(ISNUMBER(F5),C5&amp;" "&amp;D5&amp;" = "&amp;TEXT(F5,"General")&amp;" "&amp;G5,"Enter a number in the yellow Value box")</f>
        <v>1 Bar (bar) = 14.503773773 Pound per square inch (psi)</v>
      </c>
    </row>
    <row r="9" customFormat="false" ht="15" hidden="false" customHeight="false" outlineLevel="0" collapsed="false">
      <c r="B9" s="10" t="s">
        <v>95</v>
      </c>
      <c r="C9" s="16" t="str">
        <f aca="false">"1 "&amp;G5&amp;" = "&amp;TEXT(IF((((1+INDEX(O_Pressure,MATCH(G5,U_Pressure,0)))*INDEX(F_Pressure,MATCH(G5,U_Pressure,0)))/INDEX(F_Pressure,MATCH(D5,U_Pressure,0))-INDEX(O_Pressure,MATCH(D5,U_Pressure,0)))=0,0,ROUND(((1+INDEX(O_Pressure,MATCH(G5,U_Pressure,0)))*INDEX(F_Pressure,MATCH(G5,U_Pressure,0)))/INDEX(F_Pressure,MATCH(D5,U_Pressure,0))-INDEX(O_Pressure,MATCH(D5,U_Pressure,0)),11-INT(LOG10(ABS(((1+INDEX(O_Pressure,MATCH(G5,U_Pressure,0)))*INDEX(F_Pressure,MATCH(G5,U_Pressure,0)))/INDEX(F_Pressure,MATCH(D5,U_Pressure,0))-INDEX(O_Pressure,MATCH(D5,U_Pressure,0))))))),"General")&amp;" "&amp;D5</f>
        <v>1 Pound per square inch (psi) = 0.0689475729317 Bar (bar)</v>
      </c>
    </row>
    <row r="10" customFormat="false" ht="15" hidden="false" customHeight="false" outlineLevel="0" collapsed="false">
      <c r="B10" s="17" t="s">
        <v>96</v>
      </c>
    </row>
    <row r="12" customFormat="false" ht="15" hidden="false" customHeight="false" outlineLevel="0" collapsed="false">
      <c r="B12" s="3" t="s">
        <v>97</v>
      </c>
    </row>
    <row r="13" customFormat="false" ht="15" hidden="false" customHeight="true" outlineLevel="0" collapsed="false">
      <c r="B13" s="5" t="s">
        <v>98</v>
      </c>
      <c r="C13" s="5" t="s">
        <v>86</v>
      </c>
      <c r="D13" s="5" t="s">
        <v>99</v>
      </c>
      <c r="E13" s="5"/>
      <c r="F13" s="5" t="s">
        <v>100</v>
      </c>
    </row>
    <row r="14" customFormat="false" ht="15" hidden="false" customHeight="false" outlineLevel="0" collapsed="false">
      <c r="B14" s="18" t="s">
        <v>322</v>
      </c>
      <c r="C14" s="19"/>
      <c r="D14" s="19"/>
      <c r="E14" s="19"/>
      <c r="F14" s="19"/>
    </row>
    <row r="15" customFormat="false" ht="15" hidden="false" customHeight="false" outlineLevel="0" collapsed="false">
      <c r="B15" s="2" t="s">
        <v>323</v>
      </c>
    </row>
    <row r="16" customFormat="false" ht="15" hidden="false" customHeight="false" outlineLevel="0" collapsed="false">
      <c r="B16" s="20" t="s">
        <v>55</v>
      </c>
      <c r="C16" s="21" t="n">
        <v>500</v>
      </c>
      <c r="D16" s="22" t="s">
        <v>324</v>
      </c>
      <c r="E16" s="22"/>
      <c r="F16" s="23" t="n">
        <f aca="false">IF(ISNUMBER(C16),(C16+INDEX(O_Force,MATCH(D16,U_Force,0)))*INDEX(F_Force,MATCH(D16,U_Force,0)),"")</f>
        <v>2224.11080763025</v>
      </c>
      <c r="G16" s="17" t="s">
        <v>325</v>
      </c>
    </row>
    <row r="17" customFormat="false" ht="15" hidden="false" customHeight="false" outlineLevel="0" collapsed="false">
      <c r="B17" s="20" t="s">
        <v>19</v>
      </c>
      <c r="C17" s="21" t="n">
        <v>20</v>
      </c>
      <c r="D17" s="22" t="s">
        <v>170</v>
      </c>
      <c r="E17" s="22"/>
      <c r="F17" s="23" t="n">
        <f aca="false">IF(ISNUMBER(C17),(C17+INDEX(O_Area,MATCH(D17,U_Area,0)))*INDEX(F_Area,MATCH(D17,U_Area,0)),"")</f>
        <v>0.002</v>
      </c>
      <c r="G17" s="17" t="s">
        <v>166</v>
      </c>
    </row>
    <row r="18" customFormat="false" ht="15" hidden="false" customHeight="false" outlineLevel="0" collapsed="false">
      <c r="B18" s="24" t="s">
        <v>326</v>
      </c>
      <c r="C18" s="25" t="n">
        <f aca="false">IF(F18="","",IF((F18/INDEX(F_Pressure,MATCH(D18,U_Pressure,0))-INDEX(O_Pressure,MATCH(D18,U_Pressure,0)))=0,0,ROUND(F18/INDEX(F_Pressure,MATCH(D18,U_Pressure,0))-INDEX(O_Pressure,MATCH(D18,U_Pressure,0)),11-INT(LOG10(ABS(F18/INDEX(F_Pressure,MATCH(D18,U_Pressure,0))-INDEX(O_Pressure,MATCH(D18,U_Pressure,0))))))))</f>
        <v>11.1205540382</v>
      </c>
      <c r="D18" s="22" t="s">
        <v>320</v>
      </c>
      <c r="E18" s="22"/>
      <c r="F18" s="23" t="n">
        <f aca="false">IF(OR(F16="",F17=""),"",IFERROR(F16/F17,""))</f>
        <v>1112055.40381512</v>
      </c>
      <c r="G18" s="17" t="s">
        <v>327</v>
      </c>
    </row>
    <row r="19" customFormat="false" ht="15" hidden="false" customHeight="false" outlineLevel="0" collapsed="false">
      <c r="B19" s="24" t="s">
        <v>326</v>
      </c>
      <c r="C19" s="25" t="n">
        <f aca="false">IF(F19="","",IF((F19/INDEX(F_Pressure,MATCH(D19,U_Pressure,0))-INDEX(O_Pressure,MATCH(D19,U_Pressure,0)))=0,0,ROUND(F19/INDEX(F_Pressure,MATCH(D19,U_Pressure,0))-INDEX(O_Pressure,MATCH(D19,U_Pressure,0)),11-INT(LOG10(ABS(F19/INDEX(F_Pressure,MATCH(D19,U_Pressure,0))-INDEX(O_Pressure,MATCH(D19,U_Pressure,0))))))))</f>
        <v>161.29</v>
      </c>
      <c r="D19" s="22" t="s">
        <v>321</v>
      </c>
      <c r="E19" s="22"/>
      <c r="F19" s="23" t="n">
        <f aca="false">IF(OR(F16="",F17=""),"",IFERROR(F16/F17,""))</f>
        <v>1112055.40381512</v>
      </c>
      <c r="G19" s="17" t="s">
        <v>327</v>
      </c>
    </row>
    <row r="21" customFormat="false" ht="15" hidden="false" customHeight="false" outlineLevel="0" collapsed="false">
      <c r="B21" s="18" t="s">
        <v>328</v>
      </c>
      <c r="C21" s="19"/>
      <c r="D21" s="19"/>
      <c r="E21" s="19"/>
      <c r="F21" s="19"/>
    </row>
    <row r="22" customFormat="false" ht="15" hidden="false" customHeight="false" outlineLevel="0" collapsed="false">
      <c r="B22" s="2" t="s">
        <v>329</v>
      </c>
    </row>
    <row r="23" customFormat="false" ht="15" hidden="false" customHeight="false" outlineLevel="0" collapsed="false">
      <c r="B23" s="20" t="s">
        <v>55</v>
      </c>
      <c r="C23" s="21" t="n">
        <v>10</v>
      </c>
      <c r="D23" s="22" t="s">
        <v>330</v>
      </c>
      <c r="E23" s="22"/>
      <c r="F23" s="23" t="n">
        <f aca="false">IF(ISNUMBER(C23),(C23+INDEX(O_Force,MATCH(D23,U_Force,0)))*INDEX(F_Force,MATCH(D23,U_Force,0)),"")</f>
        <v>10000</v>
      </c>
      <c r="G23" s="17" t="s">
        <v>325</v>
      </c>
    </row>
    <row r="24" customFormat="false" ht="15" hidden="false" customHeight="false" outlineLevel="0" collapsed="false">
      <c r="B24" s="20" t="s">
        <v>169</v>
      </c>
      <c r="C24" s="21" t="n">
        <v>2</v>
      </c>
      <c r="D24" s="22" t="s">
        <v>107</v>
      </c>
      <c r="E24" s="22"/>
      <c r="F24" s="23" t="n">
        <f aca="false">IF(ISNUMBER(C24),(C24+INDEX(O_Length,MATCH(D24,U_Length,0)))*INDEX(F_Length,MATCH(D24,U_Length,0)),"")</f>
        <v>0.0508</v>
      </c>
      <c r="G24" s="17" t="s">
        <v>104</v>
      </c>
    </row>
    <row r="25" customFormat="false" ht="15" hidden="false" customHeight="false" outlineLevel="0" collapsed="false">
      <c r="B25" s="24" t="s">
        <v>326</v>
      </c>
      <c r="C25" s="25" t="n">
        <f aca="false">IF(F25="","",IF((F25/INDEX(F_Pressure,MATCH(D25,U_Pressure,0))-INDEX(O_Pressure,MATCH(D25,U_Pressure,0)))=0,0,ROUND(F25/INDEX(F_Pressure,MATCH(D25,U_Pressure,0))-INDEX(O_Pressure,MATCH(D25,U_Pressure,0)),11-INT(LOG10(ABS(F25/INDEX(F_Pressure,MATCH(D25,U_Pressure,0))-INDEX(O_Pressure,MATCH(D25,U_Pressure,0))))))))</f>
        <v>49.3381310347</v>
      </c>
      <c r="D25" s="22" t="s">
        <v>320</v>
      </c>
      <c r="E25" s="22"/>
      <c r="F25" s="23" t="n">
        <f aca="false">IF(OR(F23="",F24=""),"",IFERROR(F23/(PI()/4*F24^2),""))</f>
        <v>4933813.10347496</v>
      </c>
      <c r="G25" s="17" t="s">
        <v>327</v>
      </c>
    </row>
    <row r="26" customFormat="false" ht="15" hidden="false" customHeight="false" outlineLevel="0" collapsed="false">
      <c r="B26" s="24" t="s">
        <v>326</v>
      </c>
      <c r="C26" s="25" t="n">
        <f aca="false">IF(F26="","",IF((F26/INDEX(F_Pressure,MATCH(D26,U_Pressure,0))-INDEX(O_Pressure,MATCH(D26,U_Pressure,0)))=0,0,ROUND(F26/INDEX(F_Pressure,MATCH(D26,U_Pressure,0))-INDEX(O_Pressure,MATCH(D26,U_Pressure,0)),11-INT(LOG10(ABS(F26/INDEX(F_Pressure,MATCH(D26,U_Pressure,0))-INDEX(O_Pressure,MATCH(D26,U_Pressure,0))))))))</f>
        <v>715.589090912</v>
      </c>
      <c r="D26" s="22" t="s">
        <v>321</v>
      </c>
      <c r="E26" s="22"/>
      <c r="F26" s="23" t="n">
        <f aca="false">IF(OR(F23="",F24=""),"",IFERROR(F23/(PI()/4*F24^2),""))</f>
        <v>4933813.10347496</v>
      </c>
      <c r="G26" s="17" t="s">
        <v>327</v>
      </c>
    </row>
    <row r="28" customFormat="false" ht="15" hidden="false" customHeight="false" outlineLevel="0" collapsed="false">
      <c r="B28" s="18" t="s">
        <v>331</v>
      </c>
      <c r="C28" s="19"/>
      <c r="D28" s="19"/>
      <c r="E28" s="19"/>
      <c r="F28" s="19"/>
    </row>
    <row r="29" customFormat="false" ht="15" hidden="false" customHeight="false" outlineLevel="0" collapsed="false">
      <c r="B29" s="2" t="s">
        <v>332</v>
      </c>
    </row>
    <row r="30" customFormat="false" ht="15" hidden="false" customHeight="false" outlineLevel="0" collapsed="false">
      <c r="B30" s="20" t="s">
        <v>239</v>
      </c>
      <c r="C30" s="21" t="n">
        <v>1000</v>
      </c>
      <c r="D30" s="22" t="s">
        <v>235</v>
      </c>
      <c r="E30" s="22"/>
      <c r="F30" s="23" t="n">
        <f aca="false">IF(ISNUMBER(C30),(C30+INDEX(O_Density,MATCH(D30,U_Density,0)))*INDEX(F_Density,MATCH(D30,U_Density,0)),"")</f>
        <v>1000</v>
      </c>
      <c r="G30" s="17" t="s">
        <v>229</v>
      </c>
    </row>
    <row r="31" customFormat="false" ht="15" hidden="false" customHeight="false" outlineLevel="0" collapsed="false">
      <c r="B31" s="20" t="s">
        <v>333</v>
      </c>
      <c r="C31" s="21" t="n">
        <v>33</v>
      </c>
      <c r="D31" s="22" t="s">
        <v>89</v>
      </c>
      <c r="E31" s="22"/>
      <c r="F31" s="23" t="n">
        <f aca="false">IF(ISNUMBER(C31),(C31+INDEX(O_Length,MATCH(D31,U_Length,0)))*INDEX(F_Length,MATCH(D31,U_Length,0)),"")</f>
        <v>10.0584</v>
      </c>
      <c r="G31" s="17" t="s">
        <v>104</v>
      </c>
    </row>
    <row r="32" customFormat="false" ht="15" hidden="false" customHeight="false" outlineLevel="0" collapsed="false">
      <c r="B32" s="24" t="s">
        <v>326</v>
      </c>
      <c r="C32" s="25" t="n">
        <f aca="false">IF(F32="","",IF((F32/INDEX(F_Pressure,MATCH(D32,U_Pressure,0))-INDEX(O_Pressure,MATCH(D32,U_Pressure,0)))=0,0,ROUND(F32/INDEX(F_Pressure,MATCH(D32,U_Pressure,0))-INDEX(O_Pressure,MATCH(D32,U_Pressure,0)),11-INT(LOG10(ABS(F32/INDEX(F_Pressure,MATCH(D32,U_Pressure,0))-INDEX(O_Pressure,MATCH(D32,U_Pressure,0))))))))</f>
        <v>0.9863920836</v>
      </c>
      <c r="D32" s="22" t="s">
        <v>320</v>
      </c>
      <c r="E32" s="22"/>
      <c r="F32" s="23" t="n">
        <f aca="false">IF(OR(F30="",F31=""),"",IFERROR(F30*9.80665*F31,""))</f>
        <v>98639.20836</v>
      </c>
      <c r="G32" s="17" t="s">
        <v>327</v>
      </c>
    </row>
    <row r="33" customFormat="false" ht="15" hidden="false" customHeight="false" outlineLevel="0" collapsed="false">
      <c r="B33" s="24" t="s">
        <v>326</v>
      </c>
      <c r="C33" s="25" t="n">
        <f aca="false">IF(F33="","",IF((F33/INDEX(F_Pressure,MATCH(D33,U_Pressure,0))-INDEX(O_Pressure,MATCH(D33,U_Pressure,0)))=0,0,ROUND(F33/INDEX(F_Pressure,MATCH(D33,U_Pressure,0))-INDEX(O_Pressure,MATCH(D33,U_Pressure,0)),11-INT(LOG10(ABS(F33/INDEX(F_Pressure,MATCH(D33,U_Pressure,0))-INDEX(O_Pressure,MATCH(D33,U_Pressure,0))))))))</f>
        <v>14.306407632</v>
      </c>
      <c r="D33" s="22" t="s">
        <v>321</v>
      </c>
      <c r="E33" s="22"/>
      <c r="F33" s="23" t="n">
        <f aca="false">IF(OR(F30="",F31=""),"",IFERROR(F30*9.80665*F31,""))</f>
        <v>98639.20836</v>
      </c>
      <c r="G33" s="17" t="s">
        <v>327</v>
      </c>
    </row>
    <row r="35" customFormat="false" ht="15" hidden="false" customHeight="false" outlineLevel="0" collapsed="false">
      <c r="B35" s="3" t="s">
        <v>131</v>
      </c>
    </row>
    <row r="36" customFormat="false" ht="15" hidden="false" customHeight="false" outlineLevel="0" collapsed="false">
      <c r="B36" s="26" t="str">
        <f aca="false">IF(COUNT($D$39:$D$50)=0,"Type a number next to any unit below (e.g. next to the unit you know).",IF(COUNT($D$39:$D$50)&gt;1,"⚠ More than one value entered – clear all but one yellow cell.","Showing everything equal to "&amp;INDEX($D$39:$D$50,MATCH(TRUE(),INDEX(ISNUMBER($D$39:$D$50),0),0))&amp;" "&amp;INDEX(U_Pressure,MATCH(TRUE(),INDEX(ISNUMBER($D$39:$D$50),0),0))))</f>
        <v>Type a number next to any unit below (e.g. next to the unit you know).</v>
      </c>
      <c r="C36" s="26"/>
      <c r="D36" s="26"/>
      <c r="E36" s="26"/>
      <c r="F36" s="26"/>
      <c r="G36" s="26"/>
    </row>
    <row r="37" customFormat="false" ht="15" hidden="false" customHeight="false" outlineLevel="0" collapsed="false">
      <c r="I37" s="27" t="s">
        <v>132</v>
      </c>
      <c r="J37" s="17" t="str">
        <f aca="false">IF(COUNT($D$39:$D$50)&lt;&gt;1,"",SUMPRODUCT(--ISNUMBER($D$39:$D$50),($D$39:$D$50+O_Pressure)*F_Pressure))</f>
        <v/>
      </c>
    </row>
    <row r="38" customFormat="false" ht="31.5" hidden="false" customHeight="true" outlineLevel="0" collapsed="false">
      <c r="B38" s="5" t="s">
        <v>133</v>
      </c>
      <c r="C38" s="5" t="s">
        <v>134</v>
      </c>
      <c r="D38" s="5" t="s">
        <v>135</v>
      </c>
      <c r="E38" s="5"/>
      <c r="F38" s="5" t="s">
        <v>136</v>
      </c>
      <c r="G38" s="5" t="s">
        <v>133</v>
      </c>
      <c r="I38" s="5" t="s">
        <v>334</v>
      </c>
      <c r="J38" s="5" t="s">
        <v>138</v>
      </c>
    </row>
    <row r="39" customFormat="false" ht="19.5" hidden="false" customHeight="true" outlineLevel="0" collapsed="false">
      <c r="B39" s="28" t="s">
        <v>335</v>
      </c>
      <c r="C39" s="29" t="s">
        <v>139</v>
      </c>
      <c r="D39" s="21"/>
      <c r="E39" s="30" t="s">
        <v>140</v>
      </c>
      <c r="F39" s="31" t="str">
        <f aca="false">IF($J$37="","",IF(($J$37/I39-J39)=0,0,ROUND($J$37/I39-J39,11-INT(LOG10(ABS($J$37/I39-J39))))))</f>
        <v/>
      </c>
      <c r="G39" s="32" t="str">
        <f aca="false">B39</f>
        <v>Pascal (Pa)</v>
      </c>
      <c r="I39" s="33" t="n">
        <v>1</v>
      </c>
      <c r="J39" s="33" t="n">
        <v>0</v>
      </c>
    </row>
    <row r="40" customFormat="false" ht="19.5" hidden="false" customHeight="true" outlineLevel="0" collapsed="false">
      <c r="B40" s="28" t="s">
        <v>336</v>
      </c>
      <c r="C40" s="29" t="s">
        <v>139</v>
      </c>
      <c r="D40" s="21"/>
      <c r="E40" s="30" t="s">
        <v>140</v>
      </c>
      <c r="F40" s="31" t="str">
        <f aca="false">IF($J$37="","",IF(($J$37/I40-J40)=0,0,ROUND($J$37/I40-J40,11-INT(LOG10(ABS($J$37/I40-J40))))))</f>
        <v/>
      </c>
      <c r="G40" s="32" t="str">
        <f aca="false">B40</f>
        <v>Kilopascal (kPa)</v>
      </c>
      <c r="I40" s="33" t="n">
        <v>1000</v>
      </c>
      <c r="J40" s="33" t="n">
        <v>0</v>
      </c>
    </row>
    <row r="41" customFormat="false" ht="19.5" hidden="false" customHeight="true" outlineLevel="0" collapsed="false">
      <c r="B41" s="28" t="s">
        <v>337</v>
      </c>
      <c r="C41" s="29" t="s">
        <v>139</v>
      </c>
      <c r="D41" s="21"/>
      <c r="E41" s="30" t="s">
        <v>140</v>
      </c>
      <c r="F41" s="31" t="str">
        <f aca="false">IF($J$37="","",IF(($J$37/I41-J41)=0,0,ROUND($J$37/I41-J41,11-INT(LOG10(ABS($J$37/I41-J41))))))</f>
        <v/>
      </c>
      <c r="G41" s="32" t="str">
        <f aca="false">B41</f>
        <v>Megapascal (MPa)</v>
      </c>
      <c r="I41" s="33" t="n">
        <v>1000000</v>
      </c>
      <c r="J41" s="33" t="n">
        <v>0</v>
      </c>
    </row>
    <row r="42" customFormat="false" ht="19.5" hidden="false" customHeight="true" outlineLevel="0" collapsed="false">
      <c r="B42" s="28" t="s">
        <v>320</v>
      </c>
      <c r="C42" s="29" t="s">
        <v>139</v>
      </c>
      <c r="D42" s="21"/>
      <c r="E42" s="30" t="s">
        <v>140</v>
      </c>
      <c r="F42" s="31" t="str">
        <f aca="false">IF($J$37="","",IF(($J$37/I42-J42)=0,0,ROUND($J$37/I42-J42,11-INT(LOG10(ABS($J$37/I42-J42))))))</f>
        <v/>
      </c>
      <c r="G42" s="32" t="str">
        <f aca="false">B42</f>
        <v>Bar (bar)</v>
      </c>
      <c r="I42" s="33" t="n">
        <v>100000</v>
      </c>
      <c r="J42" s="33" t="n">
        <v>0</v>
      </c>
    </row>
    <row r="43" customFormat="false" ht="19.5" hidden="false" customHeight="true" outlineLevel="0" collapsed="false">
      <c r="B43" s="28" t="s">
        <v>338</v>
      </c>
      <c r="C43" s="29" t="s">
        <v>139</v>
      </c>
      <c r="D43" s="21"/>
      <c r="E43" s="30" t="s">
        <v>140</v>
      </c>
      <c r="F43" s="31" t="str">
        <f aca="false">IF($J$37="","",IF(($J$37/I43-J43)=0,0,ROUND($J$37/I43-J43,11-INT(LOG10(ABS($J$37/I43-J43))))))</f>
        <v/>
      </c>
      <c r="G43" s="32" t="str">
        <f aca="false">B43</f>
        <v>Millibar (mbar)</v>
      </c>
      <c r="I43" s="33" t="n">
        <v>100</v>
      </c>
      <c r="J43" s="33" t="n">
        <v>0</v>
      </c>
    </row>
    <row r="44" customFormat="false" ht="19.5" hidden="false" customHeight="true" outlineLevel="0" collapsed="false">
      <c r="B44" s="28" t="s">
        <v>321</v>
      </c>
      <c r="C44" s="29" t="s">
        <v>144</v>
      </c>
      <c r="D44" s="21"/>
      <c r="E44" s="30" t="s">
        <v>140</v>
      </c>
      <c r="F44" s="31" t="str">
        <f aca="false">IF($J$37="","",IF(($J$37/I44-J44)=0,0,ROUND($J$37/I44-J44,11-INT(LOG10(ABS($J$37/I44-J44))))))</f>
        <v/>
      </c>
      <c r="G44" s="32" t="str">
        <f aca="false">B44</f>
        <v>Pound per square inch (psi)</v>
      </c>
      <c r="I44" s="33" t="n">
        <v>6894.75729316836</v>
      </c>
      <c r="J44" s="33" t="n">
        <v>0</v>
      </c>
    </row>
    <row r="45" customFormat="false" ht="19.5" hidden="false" customHeight="true" outlineLevel="0" collapsed="false">
      <c r="B45" s="28" t="s">
        <v>339</v>
      </c>
      <c r="C45" s="29" t="s">
        <v>144</v>
      </c>
      <c r="D45" s="21"/>
      <c r="E45" s="30" t="s">
        <v>140</v>
      </c>
      <c r="F45" s="31" t="str">
        <f aca="false">IF($J$37="","",IF(($J$37/I45-J45)=0,0,ROUND($J$37/I45-J45,11-INT(LOG10(ABS($J$37/I45-J45))))))</f>
        <v/>
      </c>
      <c r="G45" s="32" t="str">
        <f aca="false">B45</f>
        <v>Kilopound per sq inch (ksi)</v>
      </c>
      <c r="I45" s="33" t="n">
        <v>6894757.29316836</v>
      </c>
      <c r="J45" s="33" t="n">
        <v>0</v>
      </c>
    </row>
    <row r="46" customFormat="false" ht="19.5" hidden="false" customHeight="true" outlineLevel="0" collapsed="false">
      <c r="B46" s="28" t="s">
        <v>340</v>
      </c>
      <c r="C46" s="29" t="s">
        <v>144</v>
      </c>
      <c r="D46" s="21"/>
      <c r="E46" s="30" t="s">
        <v>140</v>
      </c>
      <c r="F46" s="31" t="str">
        <f aca="false">IF($J$37="","",IF(($J$37/I46-J46)=0,0,ROUND($J$37/I46-J46,11-INT(LOG10(ABS($J$37/I46-J46))))))</f>
        <v/>
      </c>
      <c r="G46" s="32" t="str">
        <f aca="false">B46</f>
        <v>Inch of mercury (inHg)</v>
      </c>
      <c r="I46" s="33" t="n">
        <v>3386.389</v>
      </c>
      <c r="J46" s="33" t="n">
        <v>0</v>
      </c>
    </row>
    <row r="47" customFormat="false" ht="19.5" hidden="false" customHeight="true" outlineLevel="0" collapsed="false">
      <c r="B47" s="28" t="s">
        <v>341</v>
      </c>
      <c r="C47" s="29" t="s">
        <v>151</v>
      </c>
      <c r="D47" s="21"/>
      <c r="E47" s="30" t="s">
        <v>140</v>
      </c>
      <c r="F47" s="31" t="str">
        <f aca="false">IF($J$37="","",IF(($J$37/I47-J47)=0,0,ROUND($J$37/I47-J47,11-INT(LOG10(ABS($J$37/I47-J47))))))</f>
        <v/>
      </c>
      <c r="G47" s="32" t="str">
        <f aca="false">B47</f>
        <v>Standard atmosphere (atm)</v>
      </c>
      <c r="I47" s="33" t="n">
        <v>101325</v>
      </c>
      <c r="J47" s="33" t="n">
        <v>0</v>
      </c>
    </row>
    <row r="48" customFormat="false" ht="19.5" hidden="false" customHeight="true" outlineLevel="0" collapsed="false">
      <c r="B48" s="28" t="s">
        <v>342</v>
      </c>
      <c r="C48" s="29" t="s">
        <v>151</v>
      </c>
      <c r="D48" s="21"/>
      <c r="E48" s="30" t="s">
        <v>140</v>
      </c>
      <c r="F48" s="31" t="str">
        <f aca="false">IF($J$37="","",IF(($J$37/I48-J48)=0,0,ROUND($J$37/I48-J48,11-INT(LOG10(ABS($J$37/I48-J48))))))</f>
        <v/>
      </c>
      <c r="G48" s="32" t="str">
        <f aca="false">B48</f>
        <v>Torr</v>
      </c>
      <c r="I48" s="33" t="n">
        <f aca="false">101325/760</f>
        <v>133.322368421053</v>
      </c>
      <c r="J48" s="33" t="n">
        <v>0</v>
      </c>
    </row>
    <row r="49" customFormat="false" ht="19.5" hidden="false" customHeight="true" outlineLevel="0" collapsed="false">
      <c r="B49" s="28" t="s">
        <v>343</v>
      </c>
      <c r="C49" s="29" t="s">
        <v>151</v>
      </c>
      <c r="D49" s="21"/>
      <c r="E49" s="30" t="s">
        <v>140</v>
      </c>
      <c r="F49" s="31" t="str">
        <f aca="false">IF($J$37="","",IF(($J$37/I49-J49)=0,0,ROUND($J$37/I49-J49,11-INT(LOG10(ABS($J$37/I49-J49))))))</f>
        <v/>
      </c>
      <c r="G49" s="32" t="str">
        <f aca="false">B49</f>
        <v>Millimetre of mercury (mmHg)</v>
      </c>
      <c r="I49" s="33" t="n">
        <v>133.322387415</v>
      </c>
      <c r="J49" s="33" t="n">
        <v>0</v>
      </c>
    </row>
    <row r="50" customFormat="false" ht="19.5" hidden="false" customHeight="true" outlineLevel="0" collapsed="false">
      <c r="B50" s="28" t="s">
        <v>344</v>
      </c>
      <c r="C50" s="29" t="s">
        <v>151</v>
      </c>
      <c r="D50" s="21"/>
      <c r="E50" s="30" t="s">
        <v>140</v>
      </c>
      <c r="F50" s="31" t="str">
        <f aca="false">IF($J$37="","",IF(($J$37/I50-J50)=0,0,ROUND($J$37/I50-J50,11-INT(LOG10(ABS($J$37/I50-J50))))))</f>
        <v/>
      </c>
      <c r="G50" s="32" t="str">
        <f aca="false">B50</f>
        <v>Kilogram-force per cm² (kgf/cm²)</v>
      </c>
      <c r="I50" s="33" t="n">
        <v>98066.5</v>
      </c>
      <c r="J50" s="33" t="n">
        <v>0</v>
      </c>
    </row>
    <row r="52" customFormat="false" ht="15" hidden="false" customHeight="false" outlineLevel="0" collapsed="false">
      <c r="B52" s="17" t="s">
        <v>155</v>
      </c>
    </row>
    <row r="53" customFormat="false" ht="15" hidden="false" customHeight="false" outlineLevel="0" collapsed="false">
      <c r="B53" s="17" t="s">
        <v>156</v>
      </c>
    </row>
    <row r="54" customFormat="false" ht="15" hidden="false" customHeight="false" outlineLevel="0" collapsed="false">
      <c r="B54" s="17" t="s">
        <v>157</v>
      </c>
    </row>
    <row r="55" customFormat="false" ht="15" hidden="false" customHeight="false" outlineLevel="0" collapsed="false">
      <c r="B55" s="17" t="s">
        <v>345</v>
      </c>
    </row>
  </sheetData>
  <mergeCells count="19">
    <mergeCell ref="C5:C6"/>
    <mergeCell ref="D5:D6"/>
    <mergeCell ref="E5:E6"/>
    <mergeCell ref="F5:F6"/>
    <mergeCell ref="G5:G6"/>
    <mergeCell ref="D13:E13"/>
    <mergeCell ref="D16:E16"/>
    <mergeCell ref="D17:E17"/>
    <mergeCell ref="D18:E18"/>
    <mergeCell ref="D19:E19"/>
    <mergeCell ref="D23:E23"/>
    <mergeCell ref="D24:E24"/>
    <mergeCell ref="D25:E25"/>
    <mergeCell ref="D26:E26"/>
    <mergeCell ref="D30:E30"/>
    <mergeCell ref="D31:E31"/>
    <mergeCell ref="D32:E32"/>
    <mergeCell ref="D33:E33"/>
    <mergeCell ref="B36:G36"/>
  </mergeCells>
  <conditionalFormatting sqref="B39:G50">
    <cfRule type="expression" priority="2" aboveAverage="0" equalAverage="0" bottom="0" percent="0" rank="0" text="" dxfId="0">
      <formula>ISNUMBER($D39)</formula>
    </cfRule>
  </conditionalFormatting>
  <dataValidations count="6">
    <dataValidation allowBlank="true" error="Please type a number." errorStyle="stop" errorTitle="Number only" operator="between" showDropDown="false" showErrorMessage="true" showInputMessage="false" sqref="C5 C16:C17 C23:C24 C30:C31 D39:D50" type="decimal">
      <formula1>-1E+307</formula1>
      <formula2>1E+307</formula2>
    </dataValidation>
    <dataValidation allowBlank="false" error="Pick a unit from the list." errorStyle="stop" errorTitle="Unit" operator="between" showDropDown="false" showErrorMessage="true" showInputMessage="false" sqref="D5 G5 D18:D19 D25:D26 D32:D33" type="list">
      <formula1>U_Pressure</formula1>
      <formula2>0</formula2>
    </dataValidation>
    <dataValidation allowBlank="false" error="Pick a unit from the list." errorStyle="stop" errorTitle="Unit" operator="between" showDropDown="false" showErrorMessage="true" showInputMessage="false" sqref="D16 D23" type="list">
      <formula1>U_Force</formula1>
      <formula2>0</formula2>
    </dataValidation>
    <dataValidation allowBlank="false" error="Pick a unit from the list." errorStyle="stop" errorTitle="Unit" operator="between" showDropDown="false" showErrorMessage="true" showInputMessage="false" sqref="D17" type="list">
      <formula1>U_Area</formula1>
      <formula2>0</formula2>
    </dataValidation>
    <dataValidation allowBlank="false" error="Pick a unit from the list." errorStyle="stop" errorTitle="Unit" operator="between" showDropDown="false" showErrorMessage="true" showInputMessage="false" sqref="D24 D31" type="list">
      <formula1>U_Length</formula1>
      <formula2>0</formula2>
    </dataValidation>
    <dataValidation allowBlank="false" error="Pick a unit from the list." errorStyle="stop" errorTitle="Unit" operator="between" showDropDown="false" showErrorMessage="true" showInputMessage="false" sqref="D30" type="list">
      <formula1>U_Density</formula1>
      <formula2>0</formula2>
    </dataValidation>
  </dataValidations>
  <hyperlinks>
    <hyperlink ref="B2" r:id="rId1" location="Home!A1" display="SI base unit for this sheet: pascal (Pa).  Blue cells on yellow = type here; drop-downs = choose unit.  ← Back to the Home sheet"/>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J5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2"/>
    <col collapsed="false" customWidth="true" hidden="false" outlineLevel="0" max="2" min="2" style="0" width="38"/>
    <col collapsed="false" customWidth="true" hidden="false" outlineLevel="0" max="3" min="3" style="0" width="18"/>
    <col collapsed="false" customWidth="true" hidden="false" outlineLevel="0" max="4" min="4" style="0" width="24"/>
    <col collapsed="false" customWidth="true" hidden="false" outlineLevel="0" max="5" min="5" style="0" width="10"/>
    <col collapsed="false" customWidth="true" hidden="false" outlineLevel="0" max="6" min="6" style="0" width="22"/>
    <col collapsed="false" customWidth="true" hidden="false" outlineLevel="0" max="7" min="7" style="0" width="34"/>
    <col collapsed="false" customWidth="true" hidden="false" outlineLevel="0" max="8" min="8" style="0" width="3"/>
    <col collapsed="false" customWidth="true" hidden="false" outlineLevel="0" max="9" min="9" style="0" width="20"/>
    <col collapsed="false" customWidth="true" hidden="false" outlineLevel="0" max="10" min="10" style="0" width="12"/>
  </cols>
  <sheetData>
    <row r="1" customFormat="false" ht="22.05" hidden="false" customHeight="false" outlineLevel="0" collapsed="false">
      <c r="B1" s="9" t="s">
        <v>346</v>
      </c>
    </row>
    <row r="2" customFormat="false" ht="15" hidden="false" customHeight="false" outlineLevel="0" collapsed="false">
      <c r="B2" s="2" t="s">
        <v>347</v>
      </c>
    </row>
    <row r="4" customFormat="false" ht="15" hidden="false" customHeight="false" outlineLevel="0" collapsed="false">
      <c r="B4" s="3" t="s">
        <v>85</v>
      </c>
    </row>
    <row r="5" customFormat="false" ht="15" hidden="false" customHeight="true" outlineLevel="0" collapsed="false">
      <c r="B5" s="10" t="s">
        <v>86</v>
      </c>
      <c r="C5" s="11" t="n">
        <v>1</v>
      </c>
      <c r="D5" s="12" t="s">
        <v>348</v>
      </c>
      <c r="E5" s="13" t="s">
        <v>88</v>
      </c>
      <c r="F5" s="14" t="n">
        <f aca="false">IF(ISNUMBER(C5),IF((((C5+INDEX(O_Energy,MATCH(D5,U_Energy,0)))*INDEX(F_Energy,MATCH(D5,U_Energy,0)))/INDEX(F_Energy,MATCH(G5,U_Energy,0))-INDEX(O_Energy,MATCH(G5,U_Energy,0)))=0,0,ROUND(((C5+INDEX(O_Energy,MATCH(D5,U_Energy,0)))*INDEX(F_Energy,MATCH(D5,U_Energy,0)))/INDEX(F_Energy,MATCH(G5,U_Energy,0))-INDEX(O_Energy,MATCH(G5,U_Energy,0)),11-INT(LOG10(ABS(((C5+INDEX(O_Energy,MATCH(D5,U_Energy,0)))*INDEX(F_Energy,MATCH(D5,U_Energy,0)))/INDEX(F_Energy,MATCH(G5,U_Energy,0))-INDEX(O_Energy,MATCH(G5,U_Energy,0))))))),"")</f>
        <v>0.239005736138</v>
      </c>
      <c r="G5" s="12" t="s">
        <v>349</v>
      </c>
    </row>
    <row r="6" customFormat="false" ht="15" hidden="false" customHeight="false" outlineLevel="0" collapsed="false">
      <c r="C6" s="11"/>
      <c r="D6" s="11"/>
      <c r="E6" s="13"/>
      <c r="F6" s="14"/>
      <c r="G6" s="14"/>
    </row>
    <row r="7" customFormat="false" ht="15" hidden="false" customHeight="false" outlineLevel="0" collapsed="false">
      <c r="C7" s="15" t="s">
        <v>90</v>
      </c>
      <c r="D7" s="15" t="s">
        <v>91</v>
      </c>
      <c r="F7" s="15" t="s">
        <v>92</v>
      </c>
      <c r="G7" s="15" t="s">
        <v>93</v>
      </c>
    </row>
    <row r="8" customFormat="false" ht="15" hidden="false" customHeight="false" outlineLevel="0" collapsed="false">
      <c r="B8" s="10" t="s">
        <v>94</v>
      </c>
      <c r="C8" s="16" t="str">
        <f aca="false">IF(ISNUMBER(F5),C5&amp;" "&amp;D5&amp;" = "&amp;TEXT(F5,"General")&amp;" "&amp;G5,"Enter a number in the yellow Value box")</f>
        <v>1 Kilojoule (kJ) = 0.239005736138 Kilocalorie (kcal)</v>
      </c>
    </row>
    <row r="9" customFormat="false" ht="15" hidden="false" customHeight="false" outlineLevel="0" collapsed="false">
      <c r="B9" s="10" t="s">
        <v>95</v>
      </c>
      <c r="C9" s="16" t="str">
        <f aca="false">"1 "&amp;G5&amp;" = "&amp;TEXT(IF((((1+INDEX(O_Energy,MATCH(G5,U_Energy,0)))*INDEX(F_Energy,MATCH(G5,U_Energy,0)))/INDEX(F_Energy,MATCH(D5,U_Energy,0))-INDEX(O_Energy,MATCH(D5,U_Energy,0)))=0,0,ROUND(((1+INDEX(O_Energy,MATCH(G5,U_Energy,0)))*INDEX(F_Energy,MATCH(G5,U_Energy,0)))/INDEX(F_Energy,MATCH(D5,U_Energy,0))-INDEX(O_Energy,MATCH(D5,U_Energy,0)),11-INT(LOG10(ABS(((1+INDEX(O_Energy,MATCH(G5,U_Energy,0)))*INDEX(F_Energy,MATCH(G5,U_Energy,0)))/INDEX(F_Energy,MATCH(D5,U_Energy,0))-INDEX(O_Energy,MATCH(D5,U_Energy,0))))))),"General")&amp;" "&amp;D5</f>
        <v>1 Kilocalorie (kcal) = 4.184 Kilojoule (kJ)</v>
      </c>
    </row>
    <row r="10" customFormat="false" ht="15" hidden="false" customHeight="false" outlineLevel="0" collapsed="false">
      <c r="B10" s="17" t="s">
        <v>96</v>
      </c>
    </row>
    <row r="12" customFormat="false" ht="15" hidden="false" customHeight="false" outlineLevel="0" collapsed="false">
      <c r="B12" s="3" t="s">
        <v>97</v>
      </c>
    </row>
    <row r="13" customFormat="false" ht="15" hidden="false" customHeight="true" outlineLevel="0" collapsed="false">
      <c r="B13" s="5" t="s">
        <v>98</v>
      </c>
      <c r="C13" s="5" t="s">
        <v>86</v>
      </c>
      <c r="D13" s="5" t="s">
        <v>99</v>
      </c>
      <c r="E13" s="5"/>
      <c r="F13" s="5" t="s">
        <v>100</v>
      </c>
    </row>
    <row r="14" customFormat="false" ht="15" hidden="false" customHeight="false" outlineLevel="0" collapsed="false">
      <c r="B14" s="18" t="s">
        <v>350</v>
      </c>
      <c r="C14" s="19"/>
      <c r="D14" s="19"/>
      <c r="E14" s="19"/>
      <c r="F14" s="19"/>
    </row>
    <row r="15" customFormat="false" ht="15" hidden="false" customHeight="false" outlineLevel="0" collapsed="false">
      <c r="B15" s="2" t="s">
        <v>351</v>
      </c>
    </row>
    <row r="16" customFormat="false" ht="15" hidden="false" customHeight="false" outlineLevel="0" collapsed="false">
      <c r="B16" s="20" t="s">
        <v>51</v>
      </c>
      <c r="C16" s="21" t="n">
        <v>2</v>
      </c>
      <c r="D16" s="22" t="s">
        <v>352</v>
      </c>
      <c r="E16" s="22"/>
      <c r="F16" s="23" t="n">
        <f aca="false">IF(ISNUMBER(C16),(C16+INDEX(O_Power,MATCH(D16,U_Power,0)))*INDEX(F_Power,MATCH(D16,U_Power,0)),"")</f>
        <v>2000</v>
      </c>
      <c r="G16" s="17" t="s">
        <v>353</v>
      </c>
    </row>
    <row r="17" customFormat="false" ht="15" hidden="false" customHeight="false" outlineLevel="0" collapsed="false">
      <c r="B17" s="20" t="s">
        <v>39</v>
      </c>
      <c r="C17" s="21" t="n">
        <v>3</v>
      </c>
      <c r="D17" s="22" t="s">
        <v>202</v>
      </c>
      <c r="E17" s="22"/>
      <c r="F17" s="23" t="n">
        <f aca="false">IF(ISNUMBER(C17),(C17+INDEX(O_Time,MATCH(D17,U_Time,0)))*INDEX(F_Time,MATCH(D17,U_Time,0)),"")</f>
        <v>10800</v>
      </c>
      <c r="G17" s="17" t="s">
        <v>127</v>
      </c>
    </row>
    <row r="18" customFormat="false" ht="15" hidden="false" customHeight="false" outlineLevel="0" collapsed="false">
      <c r="B18" s="24" t="s">
        <v>354</v>
      </c>
      <c r="C18" s="25" t="n">
        <f aca="false">IF(F18="","",IF((F18/INDEX(F_Energy,MATCH(D18,U_Energy,0))-INDEX(O_Energy,MATCH(D18,U_Energy,0)))=0,0,ROUND(F18/INDEX(F_Energy,MATCH(D18,U_Energy,0))-INDEX(O_Energy,MATCH(D18,U_Energy,0)),11-INT(LOG10(ABS(F18/INDEX(F_Energy,MATCH(D18,U_Energy,0))-INDEX(O_Energy,MATCH(D18,U_Energy,0))))))))</f>
        <v>6</v>
      </c>
      <c r="D18" s="22" t="s">
        <v>355</v>
      </c>
      <c r="E18" s="22"/>
      <c r="F18" s="23" t="n">
        <f aca="false">IF(OR(F16="",F17=""),"",IFERROR(F16*F17,""))</f>
        <v>21600000</v>
      </c>
      <c r="G18" s="17" t="s">
        <v>356</v>
      </c>
    </row>
    <row r="19" customFormat="false" ht="15" hidden="false" customHeight="false" outlineLevel="0" collapsed="false">
      <c r="B19" s="24" t="s">
        <v>354</v>
      </c>
      <c r="C19" s="25" t="n">
        <f aca="false">IF(F19="","",IF((F19/INDEX(F_Energy,MATCH(D19,U_Energy,0))-INDEX(O_Energy,MATCH(D19,U_Energy,0)))=0,0,ROUND(F19/INDEX(F_Energy,MATCH(D19,U_Energy,0))-INDEX(O_Energy,MATCH(D19,U_Energy,0)),11-INT(LOG10(ABS(F19/INDEX(F_Energy,MATCH(D19,U_Energy,0))-INDEX(O_Energy,MATCH(D19,U_Energy,0))))))))</f>
        <v>20472.8497988</v>
      </c>
      <c r="D19" s="22" t="s">
        <v>357</v>
      </c>
      <c r="E19" s="22"/>
      <c r="F19" s="23" t="n">
        <f aca="false">IF(OR(F16="",F17=""),"",IFERROR(F16*F17,""))</f>
        <v>21600000</v>
      </c>
      <c r="G19" s="17" t="s">
        <v>356</v>
      </c>
    </row>
    <row r="21" customFormat="false" ht="15" hidden="false" customHeight="false" outlineLevel="0" collapsed="false">
      <c r="B21" s="18" t="s">
        <v>358</v>
      </c>
      <c r="C21" s="19"/>
      <c r="D21" s="19"/>
      <c r="E21" s="19"/>
      <c r="F21" s="19"/>
    </row>
    <row r="22" customFormat="false" ht="15" hidden="false" customHeight="false" outlineLevel="0" collapsed="false">
      <c r="B22" s="2" t="s">
        <v>359</v>
      </c>
    </row>
    <row r="23" customFormat="false" ht="15" hidden="false" customHeight="false" outlineLevel="0" collapsed="false">
      <c r="B23" s="20" t="s">
        <v>55</v>
      </c>
      <c r="C23" s="21" t="n">
        <v>100</v>
      </c>
      <c r="D23" s="22" t="s">
        <v>324</v>
      </c>
      <c r="E23" s="22"/>
      <c r="F23" s="23" t="n">
        <f aca="false">IF(ISNUMBER(C23),(C23+INDEX(O_Force,MATCH(D23,U_Force,0)))*INDEX(F_Force,MATCH(D23,U_Force,0)),"")</f>
        <v>444.82216152605</v>
      </c>
      <c r="G23" s="17" t="s">
        <v>325</v>
      </c>
    </row>
    <row r="24" customFormat="false" ht="15" hidden="false" customHeight="false" outlineLevel="0" collapsed="false">
      <c r="B24" s="20" t="s">
        <v>285</v>
      </c>
      <c r="C24" s="21" t="n">
        <v>5</v>
      </c>
      <c r="D24" s="22" t="s">
        <v>87</v>
      </c>
      <c r="E24" s="22"/>
      <c r="F24" s="23" t="n">
        <f aca="false">IF(ISNUMBER(C24),(C24+INDEX(O_Length,MATCH(D24,U_Length,0)))*INDEX(F_Length,MATCH(D24,U_Length,0)),"")</f>
        <v>5</v>
      </c>
      <c r="G24" s="17" t="s">
        <v>104</v>
      </c>
    </row>
    <row r="25" customFormat="false" ht="15" hidden="false" customHeight="false" outlineLevel="0" collapsed="false">
      <c r="B25" s="24" t="s">
        <v>360</v>
      </c>
      <c r="C25" s="25" t="n">
        <f aca="false">IF(F25="","",IF((F25/INDEX(F_Energy,MATCH(D25,U_Energy,0))-INDEX(O_Energy,MATCH(D25,U_Energy,0)))=0,0,ROUND(F25/INDEX(F_Energy,MATCH(D25,U_Energy,0))-INDEX(O_Energy,MATCH(D25,U_Energy,0)),11-INT(LOG10(ABS(F25/INDEX(F_Energy,MATCH(D25,U_Energy,0))-INDEX(O_Energy,MATCH(D25,U_Energy,0))))))))</f>
        <v>2224.11080763</v>
      </c>
      <c r="D25" s="22" t="s">
        <v>361</v>
      </c>
      <c r="E25" s="22"/>
      <c r="F25" s="23" t="n">
        <f aca="false">IF(OR(F23="",F24=""),"",IFERROR(F23*F24,""))</f>
        <v>2224.11080763025</v>
      </c>
      <c r="G25" s="17" t="s">
        <v>356</v>
      </c>
    </row>
    <row r="26" customFormat="false" ht="15" hidden="false" customHeight="false" outlineLevel="0" collapsed="false">
      <c r="B26" s="24" t="s">
        <v>360</v>
      </c>
      <c r="C26" s="25" t="n">
        <f aca="false">IF(F26="","",IF((F26/INDEX(F_Energy,MATCH(D26,U_Energy,0))-INDEX(O_Energy,MATCH(D26,U_Energy,0)))=0,0,ROUND(F26/INDEX(F_Energy,MATCH(D26,U_Energy,0))-INDEX(O_Energy,MATCH(D26,U_Energy,0)),11-INT(LOG10(ABS(F26/INDEX(F_Energy,MATCH(D26,U_Energy,0))-INDEX(O_Energy,MATCH(D26,U_Energy,0))))))))</f>
        <v>1640.41994751</v>
      </c>
      <c r="D26" s="22" t="s">
        <v>362</v>
      </c>
      <c r="E26" s="22"/>
      <c r="F26" s="23" t="n">
        <f aca="false">IF(OR(F23="",F24=""),"",IFERROR(F23*F24,""))</f>
        <v>2224.11080763025</v>
      </c>
      <c r="G26" s="17" t="s">
        <v>356</v>
      </c>
    </row>
    <row r="28" customFormat="false" ht="15" hidden="false" customHeight="false" outlineLevel="0" collapsed="false">
      <c r="B28" s="18" t="s">
        <v>363</v>
      </c>
      <c r="C28" s="19"/>
      <c r="D28" s="19"/>
      <c r="E28" s="19"/>
      <c r="F28" s="19"/>
    </row>
    <row r="29" customFormat="false" ht="15" hidden="false" customHeight="false" outlineLevel="0" collapsed="false">
      <c r="B29" s="2" t="s">
        <v>364</v>
      </c>
    </row>
    <row r="30" customFormat="false" ht="15" hidden="false" customHeight="false" outlineLevel="0" collapsed="false">
      <c r="B30" s="20" t="s">
        <v>27</v>
      </c>
      <c r="C30" s="21" t="n">
        <v>150</v>
      </c>
      <c r="D30" s="22" t="s">
        <v>225</v>
      </c>
      <c r="E30" s="22"/>
      <c r="F30" s="23" t="n">
        <f aca="false">IF(ISNUMBER(C30),(C30+INDEX(O_Mass,MATCH(D30,U_Mass,0)))*INDEX(F_Mass,MATCH(D30,U_Mass,0)),"")</f>
        <v>68.0388555</v>
      </c>
      <c r="G30" s="17" t="s">
        <v>231</v>
      </c>
    </row>
    <row r="31" customFormat="false" ht="15" hidden="false" customHeight="false" outlineLevel="0" collapsed="false">
      <c r="B31" s="20" t="s">
        <v>196</v>
      </c>
      <c r="C31" s="21" t="n">
        <v>10</v>
      </c>
      <c r="D31" s="22" t="s">
        <v>89</v>
      </c>
      <c r="E31" s="22"/>
      <c r="F31" s="23" t="n">
        <f aca="false">IF(ISNUMBER(C31),(C31+INDEX(O_Length,MATCH(D31,U_Length,0)))*INDEX(F_Length,MATCH(D31,U_Length,0)),"")</f>
        <v>3.048</v>
      </c>
      <c r="G31" s="17" t="s">
        <v>104</v>
      </c>
    </row>
    <row r="32" customFormat="false" ht="15" hidden="false" customHeight="false" outlineLevel="0" collapsed="false">
      <c r="B32" s="24" t="s">
        <v>354</v>
      </c>
      <c r="C32" s="25" t="n">
        <f aca="false">IF(F32="","",IF((F32/INDEX(F_Energy,MATCH(D32,U_Energy,0))-INDEX(O_Energy,MATCH(D32,U_Energy,0)))=0,0,ROUND(F32/INDEX(F_Energy,MATCH(D32,U_Energy,0))-INDEX(O_Energy,MATCH(D32,U_Energy,0)),11-INT(LOG10(ABS(F32/INDEX(F_Energy,MATCH(D32,U_Energy,0))-INDEX(O_Energy,MATCH(D32,U_Energy,0))))))))</f>
        <v>2033.7269225</v>
      </c>
      <c r="D32" s="22" t="s">
        <v>361</v>
      </c>
      <c r="E32" s="22"/>
      <c r="F32" s="23" t="n">
        <f aca="false">IF(OR(F30="",F31=""),"",IFERROR(F30*9.80665*F31,""))</f>
        <v>2033.7269224971</v>
      </c>
      <c r="G32" s="17" t="s">
        <v>356</v>
      </c>
    </row>
    <row r="33" customFormat="false" ht="15" hidden="false" customHeight="false" outlineLevel="0" collapsed="false">
      <c r="B33" s="24" t="s">
        <v>354</v>
      </c>
      <c r="C33" s="25" t="n">
        <f aca="false">IF(F33="","",IF((F33/INDEX(F_Energy,MATCH(D33,U_Energy,0))-INDEX(O_Energy,MATCH(D33,U_Energy,0)))=0,0,ROUND(F33/INDEX(F_Energy,MATCH(D33,U_Energy,0))-INDEX(O_Energy,MATCH(D33,U_Energy,0)),11-INT(LOG10(ABS(F33/INDEX(F_Energy,MATCH(D33,U_Energy,0))-INDEX(O_Energy,MATCH(D33,U_Energy,0))))))))</f>
        <v>0.486072400214</v>
      </c>
      <c r="D33" s="22" t="s">
        <v>349</v>
      </c>
      <c r="E33" s="22"/>
      <c r="F33" s="23" t="n">
        <f aca="false">IF(OR(F30="",F31=""),"",IFERROR(F30*9.80665*F31,""))</f>
        <v>2033.7269224971</v>
      </c>
      <c r="G33" s="17" t="s">
        <v>356</v>
      </c>
    </row>
    <row r="35" customFormat="false" ht="15" hidden="false" customHeight="false" outlineLevel="0" collapsed="false">
      <c r="B35" s="3" t="s">
        <v>131</v>
      </c>
    </row>
    <row r="36" customFormat="false" ht="15" hidden="false" customHeight="false" outlineLevel="0" collapsed="false">
      <c r="B36" s="26" t="str">
        <f aca="false">IF(COUNT($D$39:$D$50)=0,"Type a number next to any unit below (e.g. next to the unit you know).",IF(COUNT($D$39:$D$50)&gt;1,"⚠ More than one value entered – clear all but one yellow cell.","Showing everything equal to "&amp;INDEX($D$39:$D$50,MATCH(TRUE(),INDEX(ISNUMBER($D$39:$D$50),0),0))&amp;" "&amp;INDEX(U_Energy,MATCH(TRUE(),INDEX(ISNUMBER($D$39:$D$50),0),0))))</f>
        <v>Type a number next to any unit below (e.g. next to the unit you know).</v>
      </c>
      <c r="C36" s="26"/>
      <c r="D36" s="26"/>
      <c r="E36" s="26"/>
      <c r="F36" s="26"/>
      <c r="G36" s="26"/>
    </row>
    <row r="37" customFormat="false" ht="15" hidden="false" customHeight="false" outlineLevel="0" collapsed="false">
      <c r="I37" s="27" t="s">
        <v>132</v>
      </c>
      <c r="J37" s="17" t="str">
        <f aca="false">IF(COUNT($D$39:$D$50)&lt;&gt;1,"",SUMPRODUCT(--ISNUMBER($D$39:$D$50),($D$39:$D$50+O_Energy)*F_Energy))</f>
        <v/>
      </c>
    </row>
    <row r="38" customFormat="false" ht="31.5" hidden="false" customHeight="true" outlineLevel="0" collapsed="false">
      <c r="B38" s="5" t="s">
        <v>133</v>
      </c>
      <c r="C38" s="5" t="s">
        <v>134</v>
      </c>
      <c r="D38" s="5" t="s">
        <v>135</v>
      </c>
      <c r="E38" s="5"/>
      <c r="F38" s="5" t="s">
        <v>136</v>
      </c>
      <c r="G38" s="5" t="s">
        <v>133</v>
      </c>
      <c r="I38" s="5" t="s">
        <v>365</v>
      </c>
      <c r="J38" s="5" t="s">
        <v>138</v>
      </c>
    </row>
    <row r="39" customFormat="false" ht="19.5" hidden="false" customHeight="true" outlineLevel="0" collapsed="false">
      <c r="B39" s="28" t="s">
        <v>361</v>
      </c>
      <c r="C39" s="29" t="s">
        <v>139</v>
      </c>
      <c r="D39" s="21"/>
      <c r="E39" s="30" t="s">
        <v>140</v>
      </c>
      <c r="F39" s="31" t="str">
        <f aca="false">IF($J$37="","",IF(($J$37/I39-J39)=0,0,ROUND($J$37/I39-J39,11-INT(LOG10(ABS($J$37/I39-J39))))))</f>
        <v/>
      </c>
      <c r="G39" s="32" t="str">
        <f aca="false">B39</f>
        <v>Joule (J)</v>
      </c>
      <c r="I39" s="33" t="n">
        <v>1</v>
      </c>
      <c r="J39" s="33" t="n">
        <v>0</v>
      </c>
    </row>
    <row r="40" customFormat="false" ht="19.5" hidden="false" customHeight="true" outlineLevel="0" collapsed="false">
      <c r="B40" s="28" t="s">
        <v>348</v>
      </c>
      <c r="C40" s="29" t="s">
        <v>139</v>
      </c>
      <c r="D40" s="21"/>
      <c r="E40" s="30" t="s">
        <v>140</v>
      </c>
      <c r="F40" s="31" t="str">
        <f aca="false">IF($J$37="","",IF(($J$37/I40-J40)=0,0,ROUND($J$37/I40-J40,11-INT(LOG10(ABS($J$37/I40-J40))))))</f>
        <v/>
      </c>
      <c r="G40" s="32" t="str">
        <f aca="false">B40</f>
        <v>Kilojoule (kJ)</v>
      </c>
      <c r="I40" s="33" t="n">
        <v>1000</v>
      </c>
      <c r="J40" s="33" t="n">
        <v>0</v>
      </c>
    </row>
    <row r="41" customFormat="false" ht="19.5" hidden="false" customHeight="true" outlineLevel="0" collapsed="false">
      <c r="B41" s="28" t="s">
        <v>366</v>
      </c>
      <c r="C41" s="29" t="s">
        <v>139</v>
      </c>
      <c r="D41" s="21"/>
      <c r="E41" s="30" t="s">
        <v>140</v>
      </c>
      <c r="F41" s="31" t="str">
        <f aca="false">IF($J$37="","",IF(($J$37/I41-J41)=0,0,ROUND($J$37/I41-J41,11-INT(LOG10(ABS($J$37/I41-J41))))))</f>
        <v/>
      </c>
      <c r="G41" s="32" t="str">
        <f aca="false">B41</f>
        <v>Megajoule (MJ)</v>
      </c>
      <c r="I41" s="33" t="n">
        <v>1000000</v>
      </c>
      <c r="J41" s="33" t="n">
        <v>0</v>
      </c>
    </row>
    <row r="42" customFormat="false" ht="19.5" hidden="false" customHeight="true" outlineLevel="0" collapsed="false">
      <c r="B42" s="28" t="s">
        <v>367</v>
      </c>
      <c r="C42" s="29" t="s">
        <v>139</v>
      </c>
      <c r="D42" s="21"/>
      <c r="E42" s="30" t="s">
        <v>140</v>
      </c>
      <c r="F42" s="31" t="str">
        <f aca="false">IF($J$37="","",IF(($J$37/I42-J42)=0,0,ROUND($J$37/I42-J42,11-INT(LOG10(ABS($J$37/I42-J42))))))</f>
        <v/>
      </c>
      <c r="G42" s="32" t="str">
        <f aca="false">B42</f>
        <v>Watt-hour (Wh)</v>
      </c>
      <c r="I42" s="33" t="n">
        <v>3600</v>
      </c>
      <c r="J42" s="33" t="n">
        <v>0</v>
      </c>
    </row>
    <row r="43" customFormat="false" ht="19.5" hidden="false" customHeight="true" outlineLevel="0" collapsed="false">
      <c r="B43" s="28" t="s">
        <v>355</v>
      </c>
      <c r="C43" s="29" t="s">
        <v>139</v>
      </c>
      <c r="D43" s="21"/>
      <c r="E43" s="30" t="s">
        <v>140</v>
      </c>
      <c r="F43" s="31" t="str">
        <f aca="false">IF($J$37="","",IF(($J$37/I43-J43)=0,0,ROUND($J$37/I43-J43,11-INT(LOG10(ABS($J$37/I43-J43))))))</f>
        <v/>
      </c>
      <c r="G43" s="32" t="str">
        <f aca="false">B43</f>
        <v>Kilowatt-hour (kWh)</v>
      </c>
      <c r="I43" s="33" t="n">
        <v>3600000</v>
      </c>
      <c r="J43" s="33" t="n">
        <v>0</v>
      </c>
    </row>
    <row r="44" customFormat="false" ht="19.5" hidden="false" customHeight="true" outlineLevel="0" collapsed="false">
      <c r="B44" s="28" t="s">
        <v>368</v>
      </c>
      <c r="C44" s="29" t="s">
        <v>151</v>
      </c>
      <c r="D44" s="21"/>
      <c r="E44" s="30" t="s">
        <v>140</v>
      </c>
      <c r="F44" s="31" t="str">
        <f aca="false">IF($J$37="","",IF(($J$37/I44-J44)=0,0,ROUND($J$37/I44-J44,11-INT(LOG10(ABS($J$37/I44-J44))))))</f>
        <v/>
      </c>
      <c r="G44" s="32" t="str">
        <f aca="false">B44</f>
        <v>Calorie (cal)</v>
      </c>
      <c r="I44" s="33" t="n">
        <v>4.184</v>
      </c>
      <c r="J44" s="33" t="n">
        <v>0</v>
      </c>
    </row>
    <row r="45" customFormat="false" ht="19.5" hidden="false" customHeight="true" outlineLevel="0" collapsed="false">
      <c r="B45" s="28" t="s">
        <v>349</v>
      </c>
      <c r="C45" s="29" t="s">
        <v>151</v>
      </c>
      <c r="D45" s="21"/>
      <c r="E45" s="30" t="s">
        <v>140</v>
      </c>
      <c r="F45" s="31" t="str">
        <f aca="false">IF($J$37="","",IF(($J$37/I45-J45)=0,0,ROUND($J$37/I45-J45,11-INT(LOG10(ABS($J$37/I45-J45))))))</f>
        <v/>
      </c>
      <c r="G45" s="32" t="str">
        <f aca="false">B45</f>
        <v>Kilocalorie (kcal)</v>
      </c>
      <c r="I45" s="33" t="n">
        <v>4184</v>
      </c>
      <c r="J45" s="33" t="n">
        <v>0</v>
      </c>
    </row>
    <row r="46" customFormat="false" ht="19.5" hidden="false" customHeight="true" outlineLevel="0" collapsed="false">
      <c r="B46" s="28" t="s">
        <v>357</v>
      </c>
      <c r="C46" s="29" t="s">
        <v>144</v>
      </c>
      <c r="D46" s="21"/>
      <c r="E46" s="30" t="s">
        <v>140</v>
      </c>
      <c r="F46" s="31" t="str">
        <f aca="false">IF($J$37="","",IF(($J$37/I46-J46)=0,0,ROUND($J$37/I46-J46,11-INT(LOG10(ABS($J$37/I46-J46))))))</f>
        <v/>
      </c>
      <c r="G46" s="32" t="str">
        <f aca="false">B46</f>
        <v>British thermal unit (BTU)</v>
      </c>
      <c r="I46" s="33" t="n">
        <v>1055.05585262</v>
      </c>
      <c r="J46" s="33" t="n">
        <v>0</v>
      </c>
    </row>
    <row r="47" customFormat="false" ht="19.5" hidden="false" customHeight="true" outlineLevel="0" collapsed="false">
      <c r="B47" s="28" t="s">
        <v>369</v>
      </c>
      <c r="C47" s="29" t="s">
        <v>144</v>
      </c>
      <c r="D47" s="21"/>
      <c r="E47" s="30" t="s">
        <v>140</v>
      </c>
      <c r="F47" s="31" t="str">
        <f aca="false">IF($J$37="","",IF(($J$37/I47-J47)=0,0,ROUND($J$37/I47-J47,11-INT(LOG10(ABS($J$37/I47-J47))))))</f>
        <v/>
      </c>
      <c r="G47" s="32" t="str">
        <f aca="false">B47</f>
        <v>Therm (US)</v>
      </c>
      <c r="I47" s="33" t="n">
        <v>105480400</v>
      </c>
      <c r="J47" s="33" t="n">
        <v>0</v>
      </c>
    </row>
    <row r="48" customFormat="false" ht="19.5" hidden="false" customHeight="true" outlineLevel="0" collapsed="false">
      <c r="B48" s="28" t="s">
        <v>362</v>
      </c>
      <c r="C48" s="29" t="s">
        <v>144</v>
      </c>
      <c r="D48" s="21"/>
      <c r="E48" s="30" t="s">
        <v>140</v>
      </c>
      <c r="F48" s="31" t="str">
        <f aca="false">IF($J$37="","",IF(($J$37/I48-J48)=0,0,ROUND($J$37/I48-J48,11-INT(LOG10(ABS($J$37/I48-J48))))))</f>
        <v/>
      </c>
      <c r="G48" s="32" t="str">
        <f aca="false">B48</f>
        <v>Foot-pound force (ft·lbf)</v>
      </c>
      <c r="I48" s="33" t="n">
        <v>1.3558179483314</v>
      </c>
      <c r="J48" s="33" t="n">
        <v>0</v>
      </c>
    </row>
    <row r="49" customFormat="false" ht="19.5" hidden="false" customHeight="true" outlineLevel="0" collapsed="false">
      <c r="B49" s="28" t="s">
        <v>370</v>
      </c>
      <c r="C49" s="29" t="s">
        <v>151</v>
      </c>
      <c r="D49" s="21"/>
      <c r="E49" s="30" t="s">
        <v>140</v>
      </c>
      <c r="F49" s="31" t="str">
        <f aca="false">IF($J$37="","",IF(($J$37/I49-J49)=0,0,ROUND($J$37/I49-J49,11-INT(LOG10(ABS($J$37/I49-J49))))))</f>
        <v/>
      </c>
      <c r="G49" s="32" t="str">
        <f aca="false">B49</f>
        <v>Electronvolt (eV)</v>
      </c>
      <c r="I49" s="33" t="n">
        <v>1.602176634E-019</v>
      </c>
      <c r="J49" s="33" t="n">
        <v>0</v>
      </c>
    </row>
    <row r="50" customFormat="false" ht="19.5" hidden="false" customHeight="true" outlineLevel="0" collapsed="false">
      <c r="B50" s="28" t="s">
        <v>371</v>
      </c>
      <c r="C50" s="29" t="s">
        <v>151</v>
      </c>
      <c r="D50" s="21"/>
      <c r="E50" s="30" t="s">
        <v>140</v>
      </c>
      <c r="F50" s="31" t="str">
        <f aca="false">IF($J$37="","",IF(($J$37/I50-J50)=0,0,ROUND($J$37/I50-J50,11-INT(LOG10(ABS($J$37/I50-J50))))))</f>
        <v/>
      </c>
      <c r="G50" s="32" t="str">
        <f aca="false">B50</f>
        <v>Erg</v>
      </c>
      <c r="I50" s="33" t="n">
        <v>1E-007</v>
      </c>
      <c r="J50" s="33" t="n">
        <v>0</v>
      </c>
    </row>
    <row r="52" customFormat="false" ht="15" hidden="false" customHeight="false" outlineLevel="0" collapsed="false">
      <c r="B52" s="17" t="s">
        <v>155</v>
      </c>
    </row>
    <row r="53" customFormat="false" ht="15" hidden="false" customHeight="false" outlineLevel="0" collapsed="false">
      <c r="B53" s="17" t="s">
        <v>156</v>
      </c>
    </row>
    <row r="54" customFormat="false" ht="15" hidden="false" customHeight="false" outlineLevel="0" collapsed="false">
      <c r="B54" s="17" t="s">
        <v>157</v>
      </c>
    </row>
    <row r="55" customFormat="false" ht="15" hidden="false" customHeight="false" outlineLevel="0" collapsed="false">
      <c r="B55" s="17" t="s">
        <v>372</v>
      </c>
    </row>
  </sheetData>
  <mergeCells count="19">
    <mergeCell ref="C5:C6"/>
    <mergeCell ref="D5:D6"/>
    <mergeCell ref="E5:E6"/>
    <mergeCell ref="F5:F6"/>
    <mergeCell ref="G5:G6"/>
    <mergeCell ref="D13:E13"/>
    <mergeCell ref="D16:E16"/>
    <mergeCell ref="D17:E17"/>
    <mergeCell ref="D18:E18"/>
    <mergeCell ref="D19:E19"/>
    <mergeCell ref="D23:E23"/>
    <mergeCell ref="D24:E24"/>
    <mergeCell ref="D25:E25"/>
    <mergeCell ref="D26:E26"/>
    <mergeCell ref="D30:E30"/>
    <mergeCell ref="D31:E31"/>
    <mergeCell ref="D32:E32"/>
    <mergeCell ref="D33:E33"/>
    <mergeCell ref="B36:G36"/>
  </mergeCells>
  <conditionalFormatting sqref="B39:G50">
    <cfRule type="expression" priority="2" aboveAverage="0" equalAverage="0" bottom="0" percent="0" rank="0" text="" dxfId="0">
      <formula>ISNUMBER($D39)</formula>
    </cfRule>
  </conditionalFormatting>
  <dataValidations count="7">
    <dataValidation allowBlank="true" error="Please type a number." errorStyle="stop" errorTitle="Number only" operator="between" showDropDown="false" showErrorMessage="true" showInputMessage="false" sqref="C5 C16:C17 C23:C24 C30:C31 D39:D50" type="decimal">
      <formula1>-1E+307</formula1>
      <formula2>1E+307</formula2>
    </dataValidation>
    <dataValidation allowBlank="false" error="Pick a unit from the list." errorStyle="stop" errorTitle="Unit" operator="between" showDropDown="false" showErrorMessage="true" showInputMessage="false" sqref="D5 G5 D18:D19 D25:D26 D32:D33" type="list">
      <formula1>U_Energy</formula1>
      <formula2>0</formula2>
    </dataValidation>
    <dataValidation allowBlank="false" error="Pick a unit from the list." errorStyle="stop" errorTitle="Unit" operator="between" showDropDown="false" showErrorMessage="true" showInputMessage="false" sqref="D16" type="list">
      <formula1>U_Power</formula1>
      <formula2>0</formula2>
    </dataValidation>
    <dataValidation allowBlank="false" error="Pick a unit from the list." errorStyle="stop" errorTitle="Unit" operator="between" showDropDown="false" showErrorMessage="true" showInputMessage="false" sqref="D17" type="list">
      <formula1>U_Time</formula1>
      <formula2>0</formula2>
    </dataValidation>
    <dataValidation allowBlank="false" error="Pick a unit from the list." errorStyle="stop" errorTitle="Unit" operator="between" showDropDown="false" showErrorMessage="true" showInputMessage="false" sqref="D23" type="list">
      <formula1>U_Force</formula1>
      <formula2>0</formula2>
    </dataValidation>
    <dataValidation allowBlank="false" error="Pick a unit from the list." errorStyle="stop" errorTitle="Unit" operator="between" showDropDown="false" showErrorMessage="true" showInputMessage="false" sqref="D24 D31" type="list">
      <formula1>U_Length</formula1>
      <formula2>0</formula2>
    </dataValidation>
    <dataValidation allowBlank="false" error="Pick a unit from the list." errorStyle="stop" errorTitle="Unit" operator="between" showDropDown="false" showErrorMessage="true" showInputMessage="false" sqref="D30" type="list">
      <formula1>U_Mass</formula1>
      <formula2>0</formula2>
    </dataValidation>
  </dataValidations>
  <hyperlinks>
    <hyperlink ref="B2" r:id="rId1" location="Home!A1" display="SI base unit for this sheet: joule (J).  Blue cells on yellow = type here; drop-downs = choose unit.  ← Back to the Home sheet"/>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J5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2"/>
    <col collapsed="false" customWidth="true" hidden="false" outlineLevel="0" max="2" min="2" style="0" width="38"/>
    <col collapsed="false" customWidth="true" hidden="false" outlineLevel="0" max="3" min="3" style="0" width="18"/>
    <col collapsed="false" customWidth="true" hidden="false" outlineLevel="0" max="4" min="4" style="0" width="24"/>
    <col collapsed="false" customWidth="true" hidden="false" outlineLevel="0" max="5" min="5" style="0" width="10"/>
    <col collapsed="false" customWidth="true" hidden="false" outlineLevel="0" max="6" min="6" style="0" width="22"/>
    <col collapsed="false" customWidth="true" hidden="false" outlineLevel="0" max="7" min="7" style="0" width="34"/>
    <col collapsed="false" customWidth="true" hidden="false" outlineLevel="0" max="8" min="8" style="0" width="3"/>
    <col collapsed="false" customWidth="true" hidden="false" outlineLevel="0" max="9" min="9" style="0" width="20"/>
    <col collapsed="false" customWidth="true" hidden="false" outlineLevel="0" max="10" min="10" style="0" width="12"/>
  </cols>
  <sheetData>
    <row r="1" customFormat="false" ht="22.05" hidden="false" customHeight="false" outlineLevel="0" collapsed="false">
      <c r="B1" s="9" t="s">
        <v>373</v>
      </c>
    </row>
    <row r="2" customFormat="false" ht="15" hidden="false" customHeight="false" outlineLevel="0" collapsed="false">
      <c r="B2" s="2" t="s">
        <v>374</v>
      </c>
    </row>
    <row r="4" customFormat="false" ht="15" hidden="false" customHeight="false" outlineLevel="0" collapsed="false">
      <c r="B4" s="3" t="s">
        <v>85</v>
      </c>
    </row>
    <row r="5" customFormat="false" ht="15" hidden="false" customHeight="true" outlineLevel="0" collapsed="false">
      <c r="B5" s="10" t="s">
        <v>86</v>
      </c>
      <c r="C5" s="11" t="n">
        <v>1</v>
      </c>
      <c r="D5" s="12" t="s">
        <v>352</v>
      </c>
      <c r="E5" s="13" t="s">
        <v>88</v>
      </c>
      <c r="F5" s="14" t="n">
        <f aca="false">IF(ISNUMBER(C5),IF((((C5+INDEX(O_Power,MATCH(D5,U_Power,0)))*INDEX(F_Power,MATCH(D5,U_Power,0)))/INDEX(F_Power,MATCH(G5,U_Power,0))-INDEX(O_Power,MATCH(G5,U_Power,0)))=0,0,ROUND(((C5+INDEX(O_Power,MATCH(D5,U_Power,0)))*INDEX(F_Power,MATCH(D5,U_Power,0)))/INDEX(F_Power,MATCH(G5,U_Power,0))-INDEX(O_Power,MATCH(G5,U_Power,0)),11-INT(LOG10(ABS(((C5+INDEX(O_Power,MATCH(D5,U_Power,0)))*INDEX(F_Power,MATCH(D5,U_Power,0)))/INDEX(F_Power,MATCH(G5,U_Power,0))-INDEX(O_Power,MATCH(G5,U_Power,0))))))),"")</f>
        <v>1.3410220896</v>
      </c>
      <c r="G5" s="12" t="s">
        <v>375</v>
      </c>
    </row>
    <row r="6" customFormat="false" ht="15" hidden="false" customHeight="false" outlineLevel="0" collapsed="false">
      <c r="C6" s="11"/>
      <c r="D6" s="11"/>
      <c r="E6" s="13"/>
      <c r="F6" s="14"/>
      <c r="G6" s="14"/>
    </row>
    <row r="7" customFormat="false" ht="15" hidden="false" customHeight="false" outlineLevel="0" collapsed="false">
      <c r="C7" s="15" t="s">
        <v>90</v>
      </c>
      <c r="D7" s="15" t="s">
        <v>91</v>
      </c>
      <c r="F7" s="15" t="s">
        <v>92</v>
      </c>
      <c r="G7" s="15" t="s">
        <v>93</v>
      </c>
    </row>
    <row r="8" customFormat="false" ht="15" hidden="false" customHeight="false" outlineLevel="0" collapsed="false">
      <c r="B8" s="10" t="s">
        <v>94</v>
      </c>
      <c r="C8" s="16" t="str">
        <f aca="false">IF(ISNUMBER(F5),C5&amp;" "&amp;D5&amp;" = "&amp;TEXT(F5,"General")&amp;" "&amp;G5,"Enter a number in the yellow Value box")</f>
        <v>1 Kilowatt (kW) = 1.3410220896 Horsepower (hp)</v>
      </c>
    </row>
    <row r="9" customFormat="false" ht="15" hidden="false" customHeight="false" outlineLevel="0" collapsed="false">
      <c r="B9" s="10" t="s">
        <v>95</v>
      </c>
      <c r="C9" s="16" t="str">
        <f aca="false">"1 "&amp;G5&amp;" = "&amp;TEXT(IF((((1+INDEX(O_Power,MATCH(G5,U_Power,0)))*INDEX(F_Power,MATCH(G5,U_Power,0)))/INDEX(F_Power,MATCH(D5,U_Power,0))-INDEX(O_Power,MATCH(D5,U_Power,0)))=0,0,ROUND(((1+INDEX(O_Power,MATCH(G5,U_Power,0)))*INDEX(F_Power,MATCH(G5,U_Power,0)))/INDEX(F_Power,MATCH(D5,U_Power,0))-INDEX(O_Power,MATCH(D5,U_Power,0)),11-INT(LOG10(ABS(((1+INDEX(O_Power,MATCH(G5,U_Power,0)))*INDEX(F_Power,MATCH(G5,U_Power,0)))/INDEX(F_Power,MATCH(D5,U_Power,0))-INDEX(O_Power,MATCH(D5,U_Power,0))))))),"General")&amp;" "&amp;D5</f>
        <v>1 Horsepower (hp) = 0.745699871582 Kilowatt (kW)</v>
      </c>
    </row>
    <row r="10" customFormat="false" ht="15" hidden="false" customHeight="false" outlineLevel="0" collapsed="false">
      <c r="B10" s="17" t="s">
        <v>96</v>
      </c>
    </row>
    <row r="12" customFormat="false" ht="15" hidden="false" customHeight="false" outlineLevel="0" collapsed="false">
      <c r="B12" s="3" t="s">
        <v>97</v>
      </c>
    </row>
    <row r="13" customFormat="false" ht="15" hidden="false" customHeight="true" outlineLevel="0" collapsed="false">
      <c r="B13" s="5" t="s">
        <v>98</v>
      </c>
      <c r="C13" s="5" t="s">
        <v>86</v>
      </c>
      <c r="D13" s="5" t="s">
        <v>99</v>
      </c>
      <c r="E13" s="5"/>
      <c r="F13" s="5" t="s">
        <v>100</v>
      </c>
    </row>
    <row r="14" customFormat="false" ht="15" hidden="false" customHeight="false" outlineLevel="0" collapsed="false">
      <c r="B14" s="18" t="s">
        <v>376</v>
      </c>
      <c r="C14" s="19"/>
      <c r="D14" s="19"/>
      <c r="E14" s="19"/>
      <c r="F14" s="19"/>
    </row>
    <row r="15" customFormat="false" ht="15" hidden="false" customHeight="false" outlineLevel="0" collapsed="false">
      <c r="B15" s="2" t="s">
        <v>377</v>
      </c>
    </row>
    <row r="16" customFormat="false" ht="15" hidden="false" customHeight="false" outlineLevel="0" collapsed="false">
      <c r="B16" s="20" t="s">
        <v>47</v>
      </c>
      <c r="C16" s="21" t="n">
        <v>12000</v>
      </c>
      <c r="D16" s="22" t="s">
        <v>357</v>
      </c>
      <c r="E16" s="22"/>
      <c r="F16" s="23" t="n">
        <f aca="false">IF(ISNUMBER(C16),(C16+INDEX(O_Energy,MATCH(D16,U_Energy,0)))*INDEX(F_Energy,MATCH(D16,U_Energy,0)),"")</f>
        <v>12660670.23144</v>
      </c>
      <c r="G16" s="17" t="s">
        <v>356</v>
      </c>
    </row>
    <row r="17" customFormat="false" ht="15" hidden="false" customHeight="false" outlineLevel="0" collapsed="false">
      <c r="B17" s="20" t="s">
        <v>39</v>
      </c>
      <c r="C17" s="21" t="n">
        <v>1</v>
      </c>
      <c r="D17" s="22" t="s">
        <v>202</v>
      </c>
      <c r="E17" s="22"/>
      <c r="F17" s="23" t="n">
        <f aca="false">IF(ISNUMBER(C17),(C17+INDEX(O_Time,MATCH(D17,U_Time,0)))*INDEX(F_Time,MATCH(D17,U_Time,0)),"")</f>
        <v>3600</v>
      </c>
      <c r="G17" s="17" t="s">
        <v>127</v>
      </c>
    </row>
    <row r="18" customFormat="false" ht="15" hidden="false" customHeight="false" outlineLevel="0" collapsed="false">
      <c r="B18" s="24" t="s">
        <v>378</v>
      </c>
      <c r="C18" s="25" t="n">
        <f aca="false">IF(F18="","",IF((F18/INDEX(F_Power,MATCH(D18,U_Power,0))-INDEX(O_Power,MATCH(D18,U_Power,0)))=0,0,ROUND(F18/INDEX(F_Power,MATCH(D18,U_Power,0))-INDEX(O_Power,MATCH(D18,U_Power,0)),11-INT(LOG10(ABS(F18/INDEX(F_Power,MATCH(D18,U_Power,0))-INDEX(O_Power,MATCH(D18,U_Power,0))))))))</f>
        <v>3.51685284207</v>
      </c>
      <c r="D18" s="22" t="s">
        <v>352</v>
      </c>
      <c r="E18" s="22"/>
      <c r="F18" s="23" t="n">
        <f aca="false">IF(OR(F16="",F17=""),"",IFERROR(F16/F17,""))</f>
        <v>3516.85284206667</v>
      </c>
      <c r="G18" s="17" t="s">
        <v>353</v>
      </c>
    </row>
    <row r="19" customFormat="false" ht="15" hidden="false" customHeight="false" outlineLevel="0" collapsed="false">
      <c r="B19" s="24" t="s">
        <v>378</v>
      </c>
      <c r="C19" s="25" t="n">
        <f aca="false">IF(F19="","",IF((F19/INDEX(F_Power,MATCH(D19,U_Power,0))-INDEX(O_Power,MATCH(D19,U_Power,0)))=0,0,ROUND(F19/INDEX(F_Power,MATCH(D19,U_Power,0))-INDEX(O_Power,MATCH(D19,U_Power,0)),11-INT(LOG10(ABS(F19/INDEX(F_Power,MATCH(D19,U_Power,0))-INDEX(O_Power,MATCH(D19,U_Power,0))))))))</f>
        <v>4.71617734707</v>
      </c>
      <c r="D19" s="22" t="s">
        <v>375</v>
      </c>
      <c r="E19" s="22"/>
      <c r="F19" s="23" t="n">
        <f aca="false">IF(OR(F16="",F17=""),"",IFERROR(F16/F17,""))</f>
        <v>3516.85284206667</v>
      </c>
      <c r="G19" s="17" t="s">
        <v>353</v>
      </c>
    </row>
    <row r="21" customFormat="false" ht="15" hidden="false" customHeight="false" outlineLevel="0" collapsed="false">
      <c r="B21" s="18" t="s">
        <v>379</v>
      </c>
      <c r="C21" s="19"/>
      <c r="D21" s="19"/>
      <c r="E21" s="19"/>
      <c r="F21" s="19"/>
    </row>
    <row r="22" customFormat="false" ht="15" hidden="false" customHeight="false" outlineLevel="0" collapsed="false">
      <c r="B22" s="2" t="s">
        <v>380</v>
      </c>
    </row>
    <row r="23" customFormat="false" ht="15" hidden="false" customHeight="false" outlineLevel="0" collapsed="false">
      <c r="B23" s="20" t="s">
        <v>59</v>
      </c>
      <c r="C23" s="21" t="n">
        <v>200</v>
      </c>
      <c r="D23" s="22" t="s">
        <v>381</v>
      </c>
      <c r="E23" s="22"/>
      <c r="F23" s="23" t="n">
        <f aca="false">IF(ISNUMBER(C23),(C23+INDEX(O_Torque,MATCH(D23,U_Torque,0)))*INDEX(F_Torque,MATCH(D23,U_Torque,0)),"")</f>
        <v>271.16358966628</v>
      </c>
      <c r="G23" s="17" t="s">
        <v>382</v>
      </c>
    </row>
    <row r="24" customFormat="false" ht="15" hidden="false" customHeight="false" outlineLevel="0" collapsed="false">
      <c r="B24" s="20" t="s">
        <v>383</v>
      </c>
      <c r="C24" s="21" t="n">
        <v>1800</v>
      </c>
      <c r="D24" s="22" t="s">
        <v>384</v>
      </c>
      <c r="E24" s="22"/>
      <c r="F24" s="23" t="n">
        <f aca="false">IF(ISNUMBER(C24),(C24+INDEX(O_Frequency,MATCH(D24,U_Frequency,0)))*INDEX(F_Frequency,MATCH(D24,U_Frequency,0)),"")</f>
        <v>30</v>
      </c>
      <c r="G24" s="17" t="s">
        <v>385</v>
      </c>
    </row>
    <row r="25" customFormat="false" ht="15" hidden="false" customHeight="false" outlineLevel="0" collapsed="false">
      <c r="B25" s="24" t="s">
        <v>378</v>
      </c>
      <c r="C25" s="25" t="n">
        <f aca="false">IF(F25="","",IF((F25/INDEX(F_Power,MATCH(D25,U_Power,0))-INDEX(O_Power,MATCH(D25,U_Power,0)))=0,0,ROUND(F25/INDEX(F_Power,MATCH(D25,U_Power,0))-INDEX(O_Power,MATCH(D25,U_Power,0)),11-INT(LOG10(ABS(F25/INDEX(F_Power,MATCH(D25,U_Power,0))-INDEX(O_Power,MATCH(D25,U_Power,0))))))))</f>
        <v>51.113132473</v>
      </c>
      <c r="D25" s="22" t="s">
        <v>352</v>
      </c>
      <c r="E25" s="22"/>
      <c r="F25" s="23" t="n">
        <f aca="false">IF(OR(F23="",F24=""),"",IFERROR(2*PI()*F24*F23,""))</f>
        <v>51113.1324729973</v>
      </c>
      <c r="G25" s="17" t="s">
        <v>353</v>
      </c>
    </row>
    <row r="26" customFormat="false" ht="15" hidden="false" customHeight="false" outlineLevel="0" collapsed="false">
      <c r="B26" s="24" t="s">
        <v>378</v>
      </c>
      <c r="C26" s="25" t="n">
        <f aca="false">IF(F26="","",IF((F26/INDEX(F_Power,MATCH(D26,U_Power,0))-INDEX(O_Power,MATCH(D26,U_Power,0)))=0,0,ROUND(F26/INDEX(F_Power,MATCH(D26,U_Power,0))-INDEX(O_Power,MATCH(D26,U_Power,0)),11-INT(LOG10(ABS(F26/INDEX(F_Power,MATCH(D26,U_Power,0))-INDEX(O_Power,MATCH(D26,U_Power,0))))))))</f>
        <v>68.5438397147</v>
      </c>
      <c r="D26" s="22" t="s">
        <v>375</v>
      </c>
      <c r="E26" s="22"/>
      <c r="F26" s="23" t="n">
        <f aca="false">IF(OR(F23="",F24=""),"",IFERROR(2*PI()*F24*F23,""))</f>
        <v>51113.1324729973</v>
      </c>
      <c r="G26" s="17" t="s">
        <v>353</v>
      </c>
    </row>
    <row r="28" customFormat="false" ht="15" hidden="false" customHeight="false" outlineLevel="0" collapsed="false">
      <c r="B28" s="18" t="s">
        <v>386</v>
      </c>
      <c r="C28" s="19"/>
      <c r="D28" s="19"/>
      <c r="E28" s="19"/>
      <c r="F28" s="19"/>
    </row>
    <row r="29" customFormat="false" ht="15" hidden="false" customHeight="false" outlineLevel="0" collapsed="false">
      <c r="B29" s="2" t="s">
        <v>387</v>
      </c>
    </row>
    <row r="30" customFormat="false" ht="15" hidden="false" customHeight="false" outlineLevel="0" collapsed="false">
      <c r="B30" s="20" t="s">
        <v>199</v>
      </c>
      <c r="C30" s="21" t="n">
        <v>100</v>
      </c>
      <c r="D30" s="22" t="s">
        <v>200</v>
      </c>
      <c r="E30" s="22"/>
      <c r="F30" s="23" t="n">
        <f aca="false">IF(ISNUMBER(C30),(C30+INDEX(O_Flow_Rate,MATCH(D30,U_Flow_Rate,0)))*INDEX(F_Flow_Rate,MATCH(D30,U_Flow_Rate,0)),"")</f>
        <v>0.00630901964</v>
      </c>
      <c r="G30" s="17" t="s">
        <v>201</v>
      </c>
    </row>
    <row r="31" customFormat="false" ht="15" hidden="false" customHeight="false" outlineLevel="0" collapsed="false">
      <c r="B31" s="20" t="s">
        <v>388</v>
      </c>
      <c r="C31" s="21" t="n">
        <v>50</v>
      </c>
      <c r="D31" s="22" t="s">
        <v>321</v>
      </c>
      <c r="E31" s="22"/>
      <c r="F31" s="23" t="n">
        <f aca="false">IF(ISNUMBER(C31),(C31+INDEX(O_Pressure,MATCH(D31,U_Pressure,0)))*INDEX(F_Pressure,MATCH(D31,U_Pressure,0)),"")</f>
        <v>344737.864658418</v>
      </c>
      <c r="G31" s="17" t="s">
        <v>327</v>
      </c>
    </row>
    <row r="32" customFormat="false" ht="15" hidden="false" customHeight="false" outlineLevel="0" collapsed="false">
      <c r="B32" s="24" t="s">
        <v>378</v>
      </c>
      <c r="C32" s="25" t="n">
        <f aca="false">IF(F32="","",IF((F32/INDEX(F_Power,MATCH(D32,U_Power,0))-INDEX(O_Power,MATCH(D32,U_Power,0)))=0,0,ROUND(F32/INDEX(F_Power,MATCH(D32,U_Power,0))-INDEX(O_Power,MATCH(D32,U_Power,0)),11-INT(LOG10(ABS(F32/INDEX(F_Power,MATCH(D32,U_Power,0))-INDEX(O_Power,MATCH(D32,U_Power,0))))))))</f>
        <v>2.17495795878</v>
      </c>
      <c r="D32" s="22" t="s">
        <v>352</v>
      </c>
      <c r="E32" s="22"/>
      <c r="F32" s="23" t="n">
        <f aca="false">IF(OR(F30="",F31=""),"",IFERROR(F30*F31,""))</f>
        <v>2174.95795878162</v>
      </c>
      <c r="G32" s="17" t="s">
        <v>353</v>
      </c>
    </row>
    <row r="33" customFormat="false" ht="15" hidden="false" customHeight="false" outlineLevel="0" collapsed="false">
      <c r="B33" s="24" t="s">
        <v>378</v>
      </c>
      <c r="C33" s="25" t="n">
        <f aca="false">IF(F33="","",IF((F33/INDEX(F_Power,MATCH(D33,U_Power,0))-INDEX(O_Power,MATCH(D33,U_Power,0)))=0,0,ROUND(F33/INDEX(F_Power,MATCH(D33,U_Power,0))-INDEX(O_Power,MATCH(D33,U_Power,0)),11-INT(LOG10(ABS(F33/INDEX(F_Power,MATCH(D33,U_Power,0))-INDEX(O_Power,MATCH(D33,U_Power,0))))))))</f>
        <v>2.91666666667</v>
      </c>
      <c r="D33" s="22" t="s">
        <v>375</v>
      </c>
      <c r="E33" s="22"/>
      <c r="F33" s="23" t="n">
        <f aca="false">IF(OR(F30="",F31=""),"",IFERROR(F30*F31,""))</f>
        <v>2174.95795878162</v>
      </c>
      <c r="G33" s="17" t="s">
        <v>353</v>
      </c>
    </row>
    <row r="35" customFormat="false" ht="15" hidden="false" customHeight="false" outlineLevel="0" collapsed="false">
      <c r="B35" s="3" t="s">
        <v>131</v>
      </c>
    </row>
    <row r="36" customFormat="false" ht="15" hidden="false" customHeight="false" outlineLevel="0" collapsed="false">
      <c r="B36" s="26" t="str">
        <f aca="false">IF(COUNT($D$39:$D$47)=0,"Type a number next to any unit below (e.g. next to the unit you know).",IF(COUNT($D$39:$D$47)&gt;1,"⚠ More than one value entered – clear all but one yellow cell.","Showing everything equal to "&amp;INDEX($D$39:$D$47,MATCH(TRUE(),INDEX(ISNUMBER($D$39:$D$47),0),0))&amp;" "&amp;INDEX(U_Power,MATCH(TRUE(),INDEX(ISNUMBER($D$39:$D$47),0),0))))</f>
        <v>Type a number next to any unit below (e.g. next to the unit you know).</v>
      </c>
      <c r="C36" s="26"/>
      <c r="D36" s="26"/>
      <c r="E36" s="26"/>
      <c r="F36" s="26"/>
      <c r="G36" s="26"/>
    </row>
    <row r="37" customFormat="false" ht="15" hidden="false" customHeight="false" outlineLevel="0" collapsed="false">
      <c r="I37" s="27" t="s">
        <v>132</v>
      </c>
      <c r="J37" s="17" t="str">
        <f aca="false">IF(COUNT($D$39:$D$47)&lt;&gt;1,"",SUMPRODUCT(--ISNUMBER($D$39:$D$47),($D$39:$D$47+O_Power)*F_Power))</f>
        <v/>
      </c>
    </row>
    <row r="38" customFormat="false" ht="31.5" hidden="false" customHeight="true" outlineLevel="0" collapsed="false">
      <c r="B38" s="5" t="s">
        <v>133</v>
      </c>
      <c r="C38" s="5" t="s">
        <v>134</v>
      </c>
      <c r="D38" s="5" t="s">
        <v>135</v>
      </c>
      <c r="E38" s="5"/>
      <c r="F38" s="5" t="s">
        <v>136</v>
      </c>
      <c r="G38" s="5" t="s">
        <v>133</v>
      </c>
      <c r="I38" s="5" t="s">
        <v>389</v>
      </c>
      <c r="J38" s="5" t="s">
        <v>138</v>
      </c>
    </row>
    <row r="39" customFormat="false" ht="19.5" hidden="false" customHeight="true" outlineLevel="0" collapsed="false">
      <c r="B39" s="28" t="s">
        <v>390</v>
      </c>
      <c r="C39" s="29" t="s">
        <v>139</v>
      </c>
      <c r="D39" s="21"/>
      <c r="E39" s="30" t="s">
        <v>140</v>
      </c>
      <c r="F39" s="31" t="str">
        <f aca="false">IF($J$37="","",IF(($J$37/I39-J39)=0,0,ROUND($J$37/I39-J39,11-INT(LOG10(ABS($J$37/I39-J39))))))</f>
        <v/>
      </c>
      <c r="G39" s="32" t="str">
        <f aca="false">B39</f>
        <v>Watt (W)</v>
      </c>
      <c r="I39" s="33" t="n">
        <v>1</v>
      </c>
      <c r="J39" s="33" t="n">
        <v>0</v>
      </c>
    </row>
    <row r="40" customFormat="false" ht="19.5" hidden="false" customHeight="true" outlineLevel="0" collapsed="false">
      <c r="B40" s="28" t="s">
        <v>352</v>
      </c>
      <c r="C40" s="29" t="s">
        <v>139</v>
      </c>
      <c r="D40" s="21"/>
      <c r="E40" s="30" t="s">
        <v>140</v>
      </c>
      <c r="F40" s="31" t="str">
        <f aca="false">IF($J$37="","",IF(($J$37/I40-J40)=0,0,ROUND($J$37/I40-J40,11-INT(LOG10(ABS($J$37/I40-J40))))))</f>
        <v/>
      </c>
      <c r="G40" s="32" t="str">
        <f aca="false">B40</f>
        <v>Kilowatt (kW)</v>
      </c>
      <c r="I40" s="33" t="n">
        <v>1000</v>
      </c>
      <c r="J40" s="33" t="n">
        <v>0</v>
      </c>
    </row>
    <row r="41" customFormat="false" ht="19.5" hidden="false" customHeight="true" outlineLevel="0" collapsed="false">
      <c r="B41" s="28" t="s">
        <v>391</v>
      </c>
      <c r="C41" s="29" t="s">
        <v>139</v>
      </c>
      <c r="D41" s="21"/>
      <c r="E41" s="30" t="s">
        <v>140</v>
      </c>
      <c r="F41" s="31" t="str">
        <f aca="false">IF($J$37="","",IF(($J$37/I41-J41)=0,0,ROUND($J$37/I41-J41,11-INT(LOG10(ABS($J$37/I41-J41))))))</f>
        <v/>
      </c>
      <c r="G41" s="32" t="str">
        <f aca="false">B41</f>
        <v>Megawatt (MW)</v>
      </c>
      <c r="I41" s="33" t="n">
        <v>1000000</v>
      </c>
      <c r="J41" s="33" t="n">
        <v>0</v>
      </c>
    </row>
    <row r="42" customFormat="false" ht="19.5" hidden="false" customHeight="true" outlineLevel="0" collapsed="false">
      <c r="B42" s="28" t="s">
        <v>375</v>
      </c>
      <c r="C42" s="29" t="s">
        <v>144</v>
      </c>
      <c r="D42" s="21"/>
      <c r="E42" s="30" t="s">
        <v>140</v>
      </c>
      <c r="F42" s="31" t="str">
        <f aca="false">IF($J$37="","",IF(($J$37/I42-J42)=0,0,ROUND($J$37/I42-J42,11-INT(LOG10(ABS($J$37/I42-J42))))))</f>
        <v/>
      </c>
      <c r="G42" s="32" t="str">
        <f aca="false">B42</f>
        <v>Horsepower (hp)</v>
      </c>
      <c r="I42" s="33" t="n">
        <v>745.69987158227</v>
      </c>
      <c r="J42" s="33" t="n">
        <v>0</v>
      </c>
    </row>
    <row r="43" customFormat="false" ht="19.5" hidden="false" customHeight="true" outlineLevel="0" collapsed="false">
      <c r="B43" s="28" t="s">
        <v>392</v>
      </c>
      <c r="C43" s="29" t="s">
        <v>151</v>
      </c>
      <c r="D43" s="21"/>
      <c r="E43" s="30" t="s">
        <v>140</v>
      </c>
      <c r="F43" s="31" t="str">
        <f aca="false">IF($J$37="","",IF(($J$37/I43-J43)=0,0,ROUND($J$37/I43-J43,11-INT(LOG10(ABS($J$37/I43-J43))))))</f>
        <v/>
      </c>
      <c r="G43" s="32" t="str">
        <f aca="false">B43</f>
        <v>Metric horsepower (PS)</v>
      </c>
      <c r="I43" s="33" t="n">
        <v>735.49875</v>
      </c>
      <c r="J43" s="33" t="n">
        <v>0</v>
      </c>
    </row>
    <row r="44" customFormat="false" ht="19.5" hidden="false" customHeight="true" outlineLevel="0" collapsed="false">
      <c r="B44" s="28" t="s">
        <v>393</v>
      </c>
      <c r="C44" s="29" t="s">
        <v>144</v>
      </c>
      <c r="D44" s="21"/>
      <c r="E44" s="30" t="s">
        <v>140</v>
      </c>
      <c r="F44" s="31" t="str">
        <f aca="false">IF($J$37="","",IF(($J$37/I44-J44)=0,0,ROUND($J$37/I44-J44,11-INT(LOG10(ABS($J$37/I44-J44))))))</f>
        <v/>
      </c>
      <c r="G44" s="32" t="str">
        <f aca="false">B44</f>
        <v>BTU per hour (BTU/h)</v>
      </c>
      <c r="I44" s="33" t="n">
        <v>0.29307107017222</v>
      </c>
      <c r="J44" s="33" t="n">
        <v>0</v>
      </c>
    </row>
    <row r="45" customFormat="false" ht="19.5" hidden="false" customHeight="true" outlineLevel="0" collapsed="false">
      <c r="B45" s="28" t="s">
        <v>394</v>
      </c>
      <c r="C45" s="29" t="s">
        <v>144</v>
      </c>
      <c r="D45" s="21"/>
      <c r="E45" s="30" t="s">
        <v>140</v>
      </c>
      <c r="F45" s="31" t="str">
        <f aca="false">IF($J$37="","",IF(($J$37/I45-J45)=0,0,ROUND($J$37/I45-J45,11-INT(LOG10(ABS($J$37/I45-J45))))))</f>
        <v/>
      </c>
      <c r="G45" s="32" t="str">
        <f aca="false">B45</f>
        <v>Foot-pound force per second (ft·lbf/s)</v>
      </c>
      <c r="I45" s="33" t="n">
        <v>1.3558179483314</v>
      </c>
      <c r="J45" s="33" t="n">
        <v>0</v>
      </c>
    </row>
    <row r="46" customFormat="false" ht="19.5" hidden="false" customHeight="true" outlineLevel="0" collapsed="false">
      <c r="B46" s="28" t="s">
        <v>395</v>
      </c>
      <c r="C46" s="29" t="s">
        <v>144</v>
      </c>
      <c r="D46" s="21"/>
      <c r="E46" s="30" t="s">
        <v>140</v>
      </c>
      <c r="F46" s="31" t="str">
        <f aca="false">IF($J$37="","",IF(($J$37/I46-J46)=0,0,ROUND($J$37/I46-J46,11-INT(LOG10(ABS($J$37/I46-J46))))))</f>
        <v/>
      </c>
      <c r="G46" s="32" t="str">
        <f aca="false">B46</f>
        <v>Ton of refrigeration (TR)</v>
      </c>
      <c r="I46" s="33" t="n">
        <v>3516.8528420667</v>
      </c>
      <c r="J46" s="33" t="n">
        <v>0</v>
      </c>
    </row>
    <row r="47" customFormat="false" ht="19.5" hidden="false" customHeight="true" outlineLevel="0" collapsed="false">
      <c r="B47" s="28" t="s">
        <v>396</v>
      </c>
      <c r="C47" s="29" t="s">
        <v>151</v>
      </c>
      <c r="D47" s="21"/>
      <c r="E47" s="30" t="s">
        <v>140</v>
      </c>
      <c r="F47" s="31" t="str">
        <f aca="false">IF($J$37="","",IF(($J$37/I47-J47)=0,0,ROUND($J$37/I47-J47,11-INT(LOG10(ABS($J$37/I47-J47))))))</f>
        <v/>
      </c>
      <c r="G47" s="32" t="str">
        <f aca="false">B47</f>
        <v>Kilocalorie per hour (kcal/h)</v>
      </c>
      <c r="I47" s="33" t="n">
        <v>1.163</v>
      </c>
      <c r="J47" s="33" t="n">
        <v>0</v>
      </c>
    </row>
    <row r="49" customFormat="false" ht="15" hidden="false" customHeight="false" outlineLevel="0" collapsed="false">
      <c r="B49" s="17" t="s">
        <v>155</v>
      </c>
    </row>
    <row r="50" customFormat="false" ht="15" hidden="false" customHeight="false" outlineLevel="0" collapsed="false">
      <c r="B50" s="17" t="s">
        <v>156</v>
      </c>
    </row>
    <row r="51" customFormat="false" ht="15" hidden="false" customHeight="false" outlineLevel="0" collapsed="false">
      <c r="B51" s="17" t="s">
        <v>157</v>
      </c>
    </row>
  </sheetData>
  <mergeCells count="19">
    <mergeCell ref="C5:C6"/>
    <mergeCell ref="D5:D6"/>
    <mergeCell ref="E5:E6"/>
    <mergeCell ref="F5:F6"/>
    <mergeCell ref="G5:G6"/>
    <mergeCell ref="D13:E13"/>
    <mergeCell ref="D16:E16"/>
    <mergeCell ref="D17:E17"/>
    <mergeCell ref="D18:E18"/>
    <mergeCell ref="D19:E19"/>
    <mergeCell ref="D23:E23"/>
    <mergeCell ref="D24:E24"/>
    <mergeCell ref="D25:E25"/>
    <mergeCell ref="D26:E26"/>
    <mergeCell ref="D30:E30"/>
    <mergeCell ref="D31:E31"/>
    <mergeCell ref="D32:E32"/>
    <mergeCell ref="D33:E33"/>
    <mergeCell ref="B36:G36"/>
  </mergeCells>
  <conditionalFormatting sqref="B39:G47">
    <cfRule type="expression" priority="2" aboveAverage="0" equalAverage="0" bottom="0" percent="0" rank="0" text="" dxfId="0">
      <formula>ISNUMBER($D39)</formula>
    </cfRule>
  </conditionalFormatting>
  <dataValidations count="8">
    <dataValidation allowBlank="true" error="Please type a number." errorStyle="stop" errorTitle="Number only" operator="between" showDropDown="false" showErrorMessage="true" showInputMessage="false" sqref="C5 C16:C17 C23:C24 C30:C31 D39:D47" type="decimal">
      <formula1>-1E+307</formula1>
      <formula2>1E+307</formula2>
    </dataValidation>
    <dataValidation allowBlank="false" error="Pick a unit from the list." errorStyle="stop" errorTitle="Unit" operator="between" showDropDown="false" showErrorMessage="true" showInputMessage="false" sqref="D5 G5 D18:D19 D25:D26 D32:D33" type="list">
      <formula1>U_Power</formula1>
      <formula2>0</formula2>
    </dataValidation>
    <dataValidation allowBlank="false" error="Pick a unit from the list." errorStyle="stop" errorTitle="Unit" operator="between" showDropDown="false" showErrorMessage="true" showInputMessage="false" sqref="D16" type="list">
      <formula1>U_Energy</formula1>
      <formula2>0</formula2>
    </dataValidation>
    <dataValidation allowBlank="false" error="Pick a unit from the list." errorStyle="stop" errorTitle="Unit" operator="between" showDropDown="false" showErrorMessage="true" showInputMessage="false" sqref="D17" type="list">
      <formula1>U_Time</formula1>
      <formula2>0</formula2>
    </dataValidation>
    <dataValidation allowBlank="false" error="Pick a unit from the list." errorStyle="stop" errorTitle="Unit" operator="between" showDropDown="false" showErrorMessage="true" showInputMessage="false" sqref="D23" type="list">
      <formula1>U_Torque</formula1>
      <formula2>0</formula2>
    </dataValidation>
    <dataValidation allowBlank="false" error="Pick a unit from the list." errorStyle="stop" errorTitle="Unit" operator="between" showDropDown="false" showErrorMessage="true" showInputMessage="false" sqref="D24" type="list">
      <formula1>U_Frequency</formula1>
      <formula2>0</formula2>
    </dataValidation>
    <dataValidation allowBlank="false" error="Pick a unit from the list." errorStyle="stop" errorTitle="Unit" operator="between" showDropDown="false" showErrorMessage="true" showInputMessage="false" sqref="D30" type="list">
      <formula1>U_Flow_Rate</formula1>
      <formula2>0</formula2>
    </dataValidation>
    <dataValidation allowBlank="false" error="Pick a unit from the list." errorStyle="stop" errorTitle="Unit" operator="between" showDropDown="false" showErrorMessage="true" showInputMessage="false" sqref="D31" type="list">
      <formula1>U_Pressure</formula1>
      <formula2>0</formula2>
    </dataValidation>
  </dataValidations>
  <hyperlinks>
    <hyperlink ref="B2" r:id="rId1" location="Home!A1" display="SI base unit for this sheet: watt (W).  Blue cells on yellow = type here; drop-downs = choose unit.  ← Back to the Home sheet"/>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J4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2"/>
    <col collapsed="false" customWidth="true" hidden="false" outlineLevel="0" max="2" min="2" style="0" width="38"/>
    <col collapsed="false" customWidth="true" hidden="false" outlineLevel="0" max="3" min="3" style="0" width="18"/>
    <col collapsed="false" customWidth="true" hidden="false" outlineLevel="0" max="4" min="4" style="0" width="24"/>
    <col collapsed="false" customWidth="true" hidden="false" outlineLevel="0" max="5" min="5" style="0" width="10"/>
    <col collapsed="false" customWidth="true" hidden="false" outlineLevel="0" max="6" min="6" style="0" width="22"/>
    <col collapsed="false" customWidth="true" hidden="false" outlineLevel="0" max="7" min="7" style="0" width="34"/>
    <col collapsed="false" customWidth="true" hidden="false" outlineLevel="0" max="8" min="8" style="0" width="3"/>
    <col collapsed="false" customWidth="true" hidden="false" outlineLevel="0" max="9" min="9" style="0" width="20"/>
    <col collapsed="false" customWidth="true" hidden="false" outlineLevel="0" max="10" min="10" style="0" width="12"/>
  </cols>
  <sheetData>
    <row r="1" customFormat="false" ht="22.05" hidden="false" customHeight="false" outlineLevel="0" collapsed="false">
      <c r="B1" s="9" t="s">
        <v>397</v>
      </c>
    </row>
    <row r="2" customFormat="false" ht="15" hidden="false" customHeight="false" outlineLevel="0" collapsed="false">
      <c r="B2" s="2" t="s">
        <v>398</v>
      </c>
    </row>
    <row r="4" customFormat="false" ht="15" hidden="false" customHeight="false" outlineLevel="0" collapsed="false">
      <c r="B4" s="3" t="s">
        <v>85</v>
      </c>
    </row>
    <row r="5" customFormat="false" ht="15" hidden="false" customHeight="true" outlineLevel="0" collapsed="false">
      <c r="B5" s="10" t="s">
        <v>86</v>
      </c>
      <c r="C5" s="11" t="n">
        <v>1</v>
      </c>
      <c r="D5" s="12" t="s">
        <v>399</v>
      </c>
      <c r="E5" s="13" t="s">
        <v>88</v>
      </c>
      <c r="F5" s="14" t="n">
        <f aca="false">IF(ISNUMBER(C5),IF((((C5+INDEX(O_Force,MATCH(D5,U_Force,0)))*INDEX(F_Force,MATCH(D5,U_Force,0)))/INDEX(F_Force,MATCH(G5,U_Force,0))-INDEX(O_Force,MATCH(G5,U_Force,0)))=0,0,ROUND(((C5+INDEX(O_Force,MATCH(D5,U_Force,0)))*INDEX(F_Force,MATCH(D5,U_Force,0)))/INDEX(F_Force,MATCH(G5,U_Force,0))-INDEX(O_Force,MATCH(G5,U_Force,0)),11-INT(LOG10(ABS(((C5+INDEX(O_Force,MATCH(D5,U_Force,0)))*INDEX(F_Force,MATCH(D5,U_Force,0)))/INDEX(F_Force,MATCH(G5,U_Force,0))-INDEX(O_Force,MATCH(G5,U_Force,0))))))),"")</f>
        <v>0.2248089431</v>
      </c>
      <c r="G5" s="12" t="s">
        <v>324</v>
      </c>
    </row>
    <row r="6" customFormat="false" ht="15" hidden="false" customHeight="false" outlineLevel="0" collapsed="false">
      <c r="C6" s="11"/>
      <c r="D6" s="11"/>
      <c r="E6" s="13"/>
      <c r="F6" s="14"/>
      <c r="G6" s="14"/>
    </row>
    <row r="7" customFormat="false" ht="15" hidden="false" customHeight="false" outlineLevel="0" collapsed="false">
      <c r="C7" s="15" t="s">
        <v>90</v>
      </c>
      <c r="D7" s="15" t="s">
        <v>91</v>
      </c>
      <c r="F7" s="15" t="s">
        <v>92</v>
      </c>
      <c r="G7" s="15" t="s">
        <v>93</v>
      </c>
    </row>
    <row r="8" customFormat="false" ht="15" hidden="false" customHeight="false" outlineLevel="0" collapsed="false">
      <c r="B8" s="10" t="s">
        <v>94</v>
      </c>
      <c r="C8" s="16" t="str">
        <f aca="false">IF(ISNUMBER(F5),C5&amp;" "&amp;D5&amp;" = "&amp;TEXT(F5,"General")&amp;" "&amp;G5,"Enter a number in the yellow Value box")</f>
        <v>1 Newton (N) = 0.2248089431 Pound-force (lbf)</v>
      </c>
    </row>
    <row r="9" customFormat="false" ht="15" hidden="false" customHeight="false" outlineLevel="0" collapsed="false">
      <c r="B9" s="10" t="s">
        <v>95</v>
      </c>
      <c r="C9" s="16" t="str">
        <f aca="false">"1 "&amp;G5&amp;" = "&amp;TEXT(IF((((1+INDEX(O_Force,MATCH(G5,U_Force,0)))*INDEX(F_Force,MATCH(G5,U_Force,0)))/INDEX(F_Force,MATCH(D5,U_Force,0))-INDEX(O_Force,MATCH(D5,U_Force,0)))=0,0,ROUND(((1+INDEX(O_Force,MATCH(G5,U_Force,0)))*INDEX(F_Force,MATCH(G5,U_Force,0)))/INDEX(F_Force,MATCH(D5,U_Force,0))-INDEX(O_Force,MATCH(D5,U_Force,0)),11-INT(LOG10(ABS(((1+INDEX(O_Force,MATCH(G5,U_Force,0)))*INDEX(F_Force,MATCH(G5,U_Force,0)))/INDEX(F_Force,MATCH(D5,U_Force,0))-INDEX(O_Force,MATCH(D5,U_Force,0))))))),"General")&amp;" "&amp;D5</f>
        <v>1 Pound-force (lbf) = 4.44822161526 Newton (N)</v>
      </c>
    </row>
    <row r="10" customFormat="false" ht="15" hidden="false" customHeight="false" outlineLevel="0" collapsed="false">
      <c r="B10" s="17" t="s">
        <v>96</v>
      </c>
    </row>
    <row r="12" customFormat="false" ht="15" hidden="false" customHeight="false" outlineLevel="0" collapsed="false">
      <c r="B12" s="3" t="s">
        <v>97</v>
      </c>
    </row>
    <row r="13" customFormat="false" ht="15" hidden="false" customHeight="true" outlineLevel="0" collapsed="false">
      <c r="B13" s="5" t="s">
        <v>98</v>
      </c>
      <c r="C13" s="5" t="s">
        <v>86</v>
      </c>
      <c r="D13" s="5" t="s">
        <v>99</v>
      </c>
      <c r="E13" s="5"/>
      <c r="F13" s="5" t="s">
        <v>100</v>
      </c>
    </row>
    <row r="14" customFormat="false" ht="15" hidden="false" customHeight="false" outlineLevel="0" collapsed="false">
      <c r="B14" s="18" t="s">
        <v>400</v>
      </c>
      <c r="C14" s="19"/>
      <c r="D14" s="19"/>
      <c r="E14" s="19"/>
      <c r="F14" s="19"/>
    </row>
    <row r="15" customFormat="false" ht="15" hidden="false" customHeight="false" outlineLevel="0" collapsed="false">
      <c r="B15" s="2" t="s">
        <v>401</v>
      </c>
    </row>
    <row r="16" customFormat="false" ht="15" hidden="false" customHeight="false" outlineLevel="0" collapsed="false">
      <c r="B16" s="20" t="s">
        <v>43</v>
      </c>
      <c r="C16" s="21" t="n">
        <v>100</v>
      </c>
      <c r="D16" s="22" t="s">
        <v>321</v>
      </c>
      <c r="E16" s="22"/>
      <c r="F16" s="23" t="n">
        <f aca="false">IF(ISNUMBER(C16),(C16+INDEX(O_Pressure,MATCH(D16,U_Pressure,0)))*INDEX(F_Pressure,MATCH(D16,U_Pressure,0)),"")</f>
        <v>689475.729316836</v>
      </c>
      <c r="G16" s="17" t="s">
        <v>327</v>
      </c>
    </row>
    <row r="17" customFormat="false" ht="15" hidden="false" customHeight="false" outlineLevel="0" collapsed="false">
      <c r="B17" s="20" t="s">
        <v>19</v>
      </c>
      <c r="C17" s="21" t="n">
        <v>12</v>
      </c>
      <c r="D17" s="22" t="s">
        <v>171</v>
      </c>
      <c r="E17" s="22"/>
      <c r="F17" s="23" t="n">
        <f aca="false">IF(ISNUMBER(C17),(C17+INDEX(O_Area,MATCH(D17,U_Area,0)))*INDEX(F_Area,MATCH(D17,U_Area,0)),"")</f>
        <v>0.00774192</v>
      </c>
      <c r="G17" s="17" t="s">
        <v>166</v>
      </c>
    </row>
    <row r="18" customFormat="false" ht="15" hidden="false" customHeight="false" outlineLevel="0" collapsed="false">
      <c r="B18" s="24" t="s">
        <v>402</v>
      </c>
      <c r="C18" s="25" t="n">
        <f aca="false">IF(F18="","",IF((F18/INDEX(F_Force,MATCH(D18,U_Force,0))-INDEX(O_Force,MATCH(D18,U_Force,0)))=0,0,ROUND(F18/INDEX(F_Force,MATCH(D18,U_Force,0))-INDEX(O_Force,MATCH(D18,U_Force,0)),11-INT(LOG10(ABS(F18/INDEX(F_Force,MATCH(D18,U_Force,0))-INDEX(O_Force,MATCH(D18,U_Force,0))))))))</f>
        <v>5.33786593831</v>
      </c>
      <c r="D18" s="22" t="s">
        <v>330</v>
      </c>
      <c r="E18" s="22"/>
      <c r="F18" s="23" t="n">
        <f aca="false">IF(OR(F16="",F17=""),"",IFERROR(F16*F17,""))</f>
        <v>5337.8659383126</v>
      </c>
      <c r="G18" s="17" t="s">
        <v>325</v>
      </c>
    </row>
    <row r="19" customFormat="false" ht="15" hidden="false" customHeight="false" outlineLevel="0" collapsed="false">
      <c r="B19" s="24" t="s">
        <v>402</v>
      </c>
      <c r="C19" s="25" t="n">
        <f aca="false">IF(F19="","",IF((F19/INDEX(F_Force,MATCH(D19,U_Force,0))-INDEX(O_Force,MATCH(D19,U_Force,0)))=0,0,ROUND(F19/INDEX(F_Force,MATCH(D19,U_Force,0))-INDEX(O_Force,MATCH(D19,U_Force,0)),11-INT(LOG10(ABS(F19/INDEX(F_Force,MATCH(D19,U_Force,0))-INDEX(O_Force,MATCH(D19,U_Force,0))))))))</f>
        <v>1200</v>
      </c>
      <c r="D19" s="22" t="s">
        <v>324</v>
      </c>
      <c r="E19" s="22"/>
      <c r="F19" s="23" t="n">
        <f aca="false">IF(OR(F16="",F17=""),"",IFERROR(F16*F17,""))</f>
        <v>5337.8659383126</v>
      </c>
      <c r="G19" s="17" t="s">
        <v>325</v>
      </c>
    </row>
    <row r="21" customFormat="false" ht="15" hidden="false" customHeight="false" outlineLevel="0" collapsed="false">
      <c r="B21" s="18" t="s">
        <v>403</v>
      </c>
      <c r="C21" s="19"/>
      <c r="D21" s="19"/>
      <c r="E21" s="19"/>
      <c r="F21" s="19"/>
    </row>
    <row r="22" customFormat="false" ht="15" hidden="false" customHeight="false" outlineLevel="0" collapsed="false">
      <c r="B22" s="2" t="s">
        <v>404</v>
      </c>
    </row>
    <row r="23" customFormat="false" ht="15" hidden="false" customHeight="false" outlineLevel="0" collapsed="false">
      <c r="B23" s="20" t="s">
        <v>43</v>
      </c>
      <c r="C23" s="21" t="n">
        <v>10</v>
      </c>
      <c r="D23" s="22" t="s">
        <v>320</v>
      </c>
      <c r="E23" s="22"/>
      <c r="F23" s="23" t="n">
        <f aca="false">IF(ISNUMBER(C23),(C23+INDEX(O_Pressure,MATCH(D23,U_Pressure,0)))*INDEX(F_Pressure,MATCH(D23,U_Pressure,0)),"")</f>
        <v>1000000</v>
      </c>
      <c r="G23" s="17" t="s">
        <v>327</v>
      </c>
    </row>
    <row r="24" customFormat="false" ht="15" hidden="false" customHeight="false" outlineLevel="0" collapsed="false">
      <c r="B24" s="20" t="s">
        <v>169</v>
      </c>
      <c r="C24" s="21" t="n">
        <v>3</v>
      </c>
      <c r="D24" s="22" t="s">
        <v>107</v>
      </c>
      <c r="E24" s="22"/>
      <c r="F24" s="23" t="n">
        <f aca="false">IF(ISNUMBER(C24),(C24+INDEX(O_Length,MATCH(D24,U_Length,0)))*INDEX(F_Length,MATCH(D24,U_Length,0)),"")</f>
        <v>0.0762</v>
      </c>
      <c r="G24" s="17" t="s">
        <v>104</v>
      </c>
    </row>
    <row r="25" customFormat="false" ht="15" hidden="false" customHeight="false" outlineLevel="0" collapsed="false">
      <c r="B25" s="24" t="s">
        <v>402</v>
      </c>
      <c r="C25" s="25" t="n">
        <f aca="false">IF(F25="","",IF((F25/INDEX(F_Force,MATCH(D25,U_Force,0))-INDEX(O_Force,MATCH(D25,U_Force,0)))=0,0,ROUND(F25/INDEX(F_Force,MATCH(D25,U_Force,0))-INDEX(O_Force,MATCH(D25,U_Force,0)),11-INT(LOG10(ABS(F25/INDEX(F_Force,MATCH(D25,U_Force,0))-INDEX(O_Force,MATCH(D25,U_Force,0))))))))</f>
        <v>4.56036731188</v>
      </c>
      <c r="D25" s="22" t="s">
        <v>330</v>
      </c>
      <c r="E25" s="22"/>
      <c r="F25" s="23" t="n">
        <f aca="false">IF(OR(F23="",F24=""),"",IFERROR(F23*PI()/4*F24^2,""))</f>
        <v>4560.36731187748</v>
      </c>
      <c r="G25" s="17" t="s">
        <v>325</v>
      </c>
    </row>
    <row r="26" customFormat="false" ht="15" hidden="false" customHeight="false" outlineLevel="0" collapsed="false">
      <c r="B26" s="24" t="s">
        <v>402</v>
      </c>
      <c r="C26" s="25" t="n">
        <f aca="false">IF(F26="","",IF((F26/INDEX(F_Force,MATCH(D26,U_Force,0))-INDEX(O_Force,MATCH(D26,U_Force,0)))=0,0,ROUND(F26/INDEX(F_Force,MATCH(D26,U_Force,0))-INDEX(O_Force,MATCH(D26,U_Force,0)),11-INT(LOG10(ABS(F26/INDEX(F_Force,MATCH(D26,U_Force,0))-INDEX(O_Force,MATCH(D26,U_Force,0))))))))</f>
        <v>1025.21135553</v>
      </c>
      <c r="D26" s="22" t="s">
        <v>324</v>
      </c>
      <c r="E26" s="22"/>
      <c r="F26" s="23" t="n">
        <f aca="false">IF(OR(F23="",F24=""),"",IFERROR(F23*PI()/4*F24^2,""))</f>
        <v>4560.36731187748</v>
      </c>
      <c r="G26" s="17" t="s">
        <v>325</v>
      </c>
    </row>
    <row r="28" customFormat="false" ht="15" hidden="false" customHeight="false" outlineLevel="0" collapsed="false">
      <c r="B28" s="18" t="s">
        <v>405</v>
      </c>
      <c r="C28" s="19"/>
      <c r="D28" s="19"/>
      <c r="E28" s="19"/>
      <c r="F28" s="19"/>
    </row>
    <row r="29" customFormat="false" ht="15" hidden="false" customHeight="false" outlineLevel="0" collapsed="false">
      <c r="B29" s="2" t="s">
        <v>406</v>
      </c>
    </row>
    <row r="30" customFormat="false" ht="15" hidden="false" customHeight="false" outlineLevel="0" collapsed="false">
      <c r="B30" s="20" t="s">
        <v>27</v>
      </c>
      <c r="C30" s="21" t="n">
        <v>100</v>
      </c>
      <c r="D30" s="22" t="s">
        <v>225</v>
      </c>
      <c r="E30" s="22"/>
      <c r="F30" s="23" t="n">
        <f aca="false">IF(ISNUMBER(C30),(C30+INDEX(O_Mass,MATCH(D30,U_Mass,0)))*INDEX(F_Mass,MATCH(D30,U_Mass,0)),"")</f>
        <v>45.359237</v>
      </c>
      <c r="G30" s="17" t="s">
        <v>231</v>
      </c>
    </row>
    <row r="31" customFormat="false" ht="15" hidden="false" customHeight="false" outlineLevel="0" collapsed="false">
      <c r="B31" s="24" t="s">
        <v>407</v>
      </c>
      <c r="C31" s="25" t="n">
        <f aca="false">IF(F31="","",IF((F31/INDEX(F_Force,MATCH(D31,U_Force,0))-INDEX(O_Force,MATCH(D31,U_Force,0)))=0,0,ROUND(F31/INDEX(F_Force,MATCH(D31,U_Force,0))-INDEX(O_Force,MATCH(D31,U_Force,0)),11-INT(LOG10(ABS(F31/INDEX(F_Force,MATCH(D31,U_Force,0))-INDEX(O_Force,MATCH(D31,U_Force,0))))))))</f>
        <v>444.822161526</v>
      </c>
      <c r="D31" s="22" t="s">
        <v>399</v>
      </c>
      <c r="E31" s="22"/>
      <c r="F31" s="23" t="n">
        <f aca="false">IF(F30="","",IFERROR(F30*9.80665,""))</f>
        <v>444.82216152605</v>
      </c>
      <c r="G31" s="17" t="s">
        <v>325</v>
      </c>
    </row>
    <row r="32" customFormat="false" ht="15" hidden="false" customHeight="false" outlineLevel="0" collapsed="false">
      <c r="B32" s="24" t="s">
        <v>407</v>
      </c>
      <c r="C32" s="25" t="n">
        <f aca="false">IF(F32="","",IF((F32/INDEX(F_Force,MATCH(D32,U_Force,0))-INDEX(O_Force,MATCH(D32,U_Force,0)))=0,0,ROUND(F32/INDEX(F_Force,MATCH(D32,U_Force,0))-INDEX(O_Force,MATCH(D32,U_Force,0)),11-INT(LOG10(ABS(F32/INDEX(F_Force,MATCH(D32,U_Force,0))-INDEX(O_Force,MATCH(D32,U_Force,0))))))))</f>
        <v>45.359237</v>
      </c>
      <c r="D32" s="22" t="s">
        <v>408</v>
      </c>
      <c r="E32" s="22"/>
      <c r="F32" s="23" t="n">
        <f aca="false">IF(F30="","",IFERROR(F30*9.80665,""))</f>
        <v>444.82216152605</v>
      </c>
      <c r="G32" s="17" t="s">
        <v>325</v>
      </c>
    </row>
    <row r="34" customFormat="false" ht="15" hidden="false" customHeight="false" outlineLevel="0" collapsed="false">
      <c r="B34" s="3" t="s">
        <v>131</v>
      </c>
    </row>
    <row r="35" customFormat="false" ht="15" hidden="false" customHeight="false" outlineLevel="0" collapsed="false">
      <c r="B35" s="26" t="str">
        <f aca="false">IF(COUNT($D$38:$D$45)=0,"Type a number next to any unit below (e.g. next to the unit you know).",IF(COUNT($D$38:$D$45)&gt;1,"⚠ More than one value entered – clear all but one yellow cell.","Showing everything equal to "&amp;INDEX($D$38:$D$45,MATCH(TRUE(),INDEX(ISNUMBER($D$38:$D$45),0),0))&amp;" "&amp;INDEX(U_Force,MATCH(TRUE(),INDEX(ISNUMBER($D$38:$D$45),0),0))))</f>
        <v>Type a number next to any unit below (e.g. next to the unit you know).</v>
      </c>
      <c r="C35" s="26"/>
      <c r="D35" s="26"/>
      <c r="E35" s="26"/>
      <c r="F35" s="26"/>
      <c r="G35" s="26"/>
    </row>
    <row r="36" customFormat="false" ht="15" hidden="false" customHeight="false" outlineLevel="0" collapsed="false">
      <c r="I36" s="27" t="s">
        <v>132</v>
      </c>
      <c r="J36" s="17" t="str">
        <f aca="false">IF(COUNT($D$38:$D$45)&lt;&gt;1,"",SUMPRODUCT(--ISNUMBER($D$38:$D$45),($D$38:$D$45+O_Force)*F_Force))</f>
        <v/>
      </c>
    </row>
    <row r="37" customFormat="false" ht="31.5" hidden="false" customHeight="true" outlineLevel="0" collapsed="false">
      <c r="B37" s="5" t="s">
        <v>133</v>
      </c>
      <c r="C37" s="5" t="s">
        <v>134</v>
      </c>
      <c r="D37" s="5" t="s">
        <v>135</v>
      </c>
      <c r="E37" s="5"/>
      <c r="F37" s="5" t="s">
        <v>136</v>
      </c>
      <c r="G37" s="5" t="s">
        <v>133</v>
      </c>
      <c r="I37" s="5" t="s">
        <v>409</v>
      </c>
      <c r="J37" s="5" t="s">
        <v>138</v>
      </c>
    </row>
    <row r="38" customFormat="false" ht="19.5" hidden="false" customHeight="true" outlineLevel="0" collapsed="false">
      <c r="B38" s="28" t="s">
        <v>399</v>
      </c>
      <c r="C38" s="29" t="s">
        <v>139</v>
      </c>
      <c r="D38" s="21"/>
      <c r="E38" s="30" t="s">
        <v>140</v>
      </c>
      <c r="F38" s="31" t="str">
        <f aca="false">IF($J$36="","",IF(($J$36/I38-J38)=0,0,ROUND($J$36/I38-J38,11-INT(LOG10(ABS($J$36/I38-J38))))))</f>
        <v/>
      </c>
      <c r="G38" s="32" t="str">
        <f aca="false">B38</f>
        <v>Newton (N)</v>
      </c>
      <c r="I38" s="33" t="n">
        <v>1</v>
      </c>
      <c r="J38" s="33" t="n">
        <v>0</v>
      </c>
    </row>
    <row r="39" customFormat="false" ht="19.5" hidden="false" customHeight="true" outlineLevel="0" collapsed="false">
      <c r="B39" s="28" t="s">
        <v>330</v>
      </c>
      <c r="C39" s="29" t="s">
        <v>139</v>
      </c>
      <c r="D39" s="21"/>
      <c r="E39" s="30" t="s">
        <v>140</v>
      </c>
      <c r="F39" s="31" t="str">
        <f aca="false">IF($J$36="","",IF(($J$36/I39-J39)=0,0,ROUND($J$36/I39-J39,11-INT(LOG10(ABS($J$36/I39-J39))))))</f>
        <v/>
      </c>
      <c r="G39" s="32" t="str">
        <f aca="false">B39</f>
        <v>Kilonewton (kN)</v>
      </c>
      <c r="I39" s="33" t="n">
        <v>1000</v>
      </c>
      <c r="J39" s="33" t="n">
        <v>0</v>
      </c>
    </row>
    <row r="40" customFormat="false" ht="19.5" hidden="false" customHeight="true" outlineLevel="0" collapsed="false">
      <c r="B40" s="28" t="s">
        <v>410</v>
      </c>
      <c r="C40" s="29" t="s">
        <v>139</v>
      </c>
      <c r="D40" s="21"/>
      <c r="E40" s="30" t="s">
        <v>140</v>
      </c>
      <c r="F40" s="31" t="str">
        <f aca="false">IF($J$36="","",IF(($J$36/I40-J40)=0,0,ROUND($J$36/I40-J40,11-INT(LOG10(ABS($J$36/I40-J40))))))</f>
        <v/>
      </c>
      <c r="G40" s="32" t="str">
        <f aca="false">B40</f>
        <v>Dyne (dyn)</v>
      </c>
      <c r="I40" s="33" t="n">
        <v>1E-005</v>
      </c>
      <c r="J40" s="33" t="n">
        <v>0</v>
      </c>
    </row>
    <row r="41" customFormat="false" ht="19.5" hidden="false" customHeight="true" outlineLevel="0" collapsed="false">
      <c r="B41" s="28" t="s">
        <v>324</v>
      </c>
      <c r="C41" s="29" t="s">
        <v>144</v>
      </c>
      <c r="D41" s="21"/>
      <c r="E41" s="30" t="s">
        <v>140</v>
      </c>
      <c r="F41" s="31" t="str">
        <f aca="false">IF($J$36="","",IF(($J$36/I41-J41)=0,0,ROUND($J$36/I41-J41,11-INT(LOG10(ABS($J$36/I41-J41))))))</f>
        <v/>
      </c>
      <c r="G41" s="32" t="str">
        <f aca="false">B41</f>
        <v>Pound-force (lbf)</v>
      </c>
      <c r="I41" s="33" t="n">
        <v>4.4482216152605</v>
      </c>
      <c r="J41" s="33" t="n">
        <v>0</v>
      </c>
    </row>
    <row r="42" customFormat="false" ht="19.5" hidden="false" customHeight="true" outlineLevel="0" collapsed="false">
      <c r="B42" s="28" t="s">
        <v>411</v>
      </c>
      <c r="C42" s="29" t="s">
        <v>144</v>
      </c>
      <c r="D42" s="21"/>
      <c r="E42" s="30" t="s">
        <v>140</v>
      </c>
      <c r="F42" s="31" t="str">
        <f aca="false">IF($J$36="","",IF(($J$36/I42-J42)=0,0,ROUND($J$36/I42-J42,11-INT(LOG10(ABS($J$36/I42-J42))))))</f>
        <v/>
      </c>
      <c r="G42" s="32" t="str">
        <f aca="false">B42</f>
        <v>Kip (kip)</v>
      </c>
      <c r="I42" s="33" t="n">
        <v>4448.2216152605</v>
      </c>
      <c r="J42" s="33" t="n">
        <v>0</v>
      </c>
    </row>
    <row r="43" customFormat="false" ht="19.5" hidden="false" customHeight="true" outlineLevel="0" collapsed="false">
      <c r="B43" s="28" t="s">
        <v>412</v>
      </c>
      <c r="C43" s="29" t="s">
        <v>144</v>
      </c>
      <c r="D43" s="21"/>
      <c r="E43" s="30" t="s">
        <v>140</v>
      </c>
      <c r="F43" s="31" t="str">
        <f aca="false">IF($J$36="","",IF(($J$36/I43-J43)=0,0,ROUND($J$36/I43-J43,11-INT(LOG10(ABS($J$36/I43-J43))))))</f>
        <v/>
      </c>
      <c r="G43" s="32" t="str">
        <f aca="false">B43</f>
        <v>Poundal (pdl)</v>
      </c>
      <c r="I43" s="33" t="n">
        <v>0.138254954376</v>
      </c>
      <c r="J43" s="33" t="n">
        <v>0</v>
      </c>
    </row>
    <row r="44" customFormat="false" ht="19.5" hidden="false" customHeight="true" outlineLevel="0" collapsed="false">
      <c r="B44" s="28" t="s">
        <v>408</v>
      </c>
      <c r="C44" s="29" t="s">
        <v>151</v>
      </c>
      <c r="D44" s="21"/>
      <c r="E44" s="30" t="s">
        <v>140</v>
      </c>
      <c r="F44" s="31" t="str">
        <f aca="false">IF($J$36="","",IF(($J$36/I44-J44)=0,0,ROUND($J$36/I44-J44,11-INT(LOG10(ABS($J$36/I44-J44))))))</f>
        <v/>
      </c>
      <c r="G44" s="32" t="str">
        <f aca="false">B44</f>
        <v>Kilogram-force (kgf)</v>
      </c>
      <c r="I44" s="33" t="n">
        <v>9.80665</v>
      </c>
      <c r="J44" s="33" t="n">
        <v>0</v>
      </c>
    </row>
    <row r="45" customFormat="false" ht="19.5" hidden="false" customHeight="true" outlineLevel="0" collapsed="false">
      <c r="B45" s="28" t="s">
        <v>413</v>
      </c>
      <c r="C45" s="29" t="s">
        <v>151</v>
      </c>
      <c r="D45" s="21"/>
      <c r="E45" s="30" t="s">
        <v>140</v>
      </c>
      <c r="F45" s="31" t="str">
        <f aca="false">IF($J$36="","",IF(($J$36/I45-J45)=0,0,ROUND($J$36/I45-J45,11-INT(LOG10(ABS($J$36/I45-J45))))))</f>
        <v/>
      </c>
      <c r="G45" s="32" t="str">
        <f aca="false">B45</f>
        <v>Tonne-force (tf)</v>
      </c>
      <c r="I45" s="33" t="n">
        <v>9806.65</v>
      </c>
      <c r="J45" s="33" t="n">
        <v>0</v>
      </c>
    </row>
    <row r="47" customFormat="false" ht="15" hidden="false" customHeight="false" outlineLevel="0" collapsed="false">
      <c r="B47" s="17" t="s">
        <v>155</v>
      </c>
    </row>
    <row r="48" customFormat="false" ht="15" hidden="false" customHeight="false" outlineLevel="0" collapsed="false">
      <c r="B48" s="17" t="s">
        <v>156</v>
      </c>
    </row>
    <row r="49" customFormat="false" ht="15" hidden="false" customHeight="false" outlineLevel="0" collapsed="false">
      <c r="B49" s="17" t="s">
        <v>157</v>
      </c>
    </row>
  </sheetData>
  <mergeCells count="18">
    <mergeCell ref="C5:C6"/>
    <mergeCell ref="D5:D6"/>
    <mergeCell ref="E5:E6"/>
    <mergeCell ref="F5:F6"/>
    <mergeCell ref="G5:G6"/>
    <mergeCell ref="D13:E13"/>
    <mergeCell ref="D16:E16"/>
    <mergeCell ref="D17:E17"/>
    <mergeCell ref="D18:E18"/>
    <mergeCell ref="D19:E19"/>
    <mergeCell ref="D23:E23"/>
    <mergeCell ref="D24:E24"/>
    <mergeCell ref="D25:E25"/>
    <mergeCell ref="D26:E26"/>
    <mergeCell ref="D30:E30"/>
    <mergeCell ref="D31:E31"/>
    <mergeCell ref="D32:E32"/>
    <mergeCell ref="B35:G35"/>
  </mergeCells>
  <conditionalFormatting sqref="B38:G45">
    <cfRule type="expression" priority="2" aboveAverage="0" equalAverage="0" bottom="0" percent="0" rank="0" text="" dxfId="0">
      <formula>ISNUMBER($D38)</formula>
    </cfRule>
  </conditionalFormatting>
  <dataValidations count="6">
    <dataValidation allowBlank="true" error="Please type a number." errorStyle="stop" errorTitle="Number only" operator="between" showDropDown="false" showErrorMessage="true" showInputMessage="false" sqref="C5 C16:C17 C23:C24 C30 D38:D45" type="decimal">
      <formula1>-1E+307</formula1>
      <formula2>1E+307</formula2>
    </dataValidation>
    <dataValidation allowBlank="false" error="Pick a unit from the list." errorStyle="stop" errorTitle="Unit" operator="between" showDropDown="false" showErrorMessage="true" showInputMessage="false" sqref="D5 G5 D18:D19 D25:D26 D31:D32" type="list">
      <formula1>U_Force</formula1>
      <formula2>0</formula2>
    </dataValidation>
    <dataValidation allowBlank="false" error="Pick a unit from the list." errorStyle="stop" errorTitle="Unit" operator="between" showDropDown="false" showErrorMessage="true" showInputMessage="false" sqref="D16 D23" type="list">
      <formula1>U_Pressure</formula1>
      <formula2>0</formula2>
    </dataValidation>
    <dataValidation allowBlank="false" error="Pick a unit from the list." errorStyle="stop" errorTitle="Unit" operator="between" showDropDown="false" showErrorMessage="true" showInputMessage="false" sqref="D17" type="list">
      <formula1>U_Area</formula1>
      <formula2>0</formula2>
    </dataValidation>
    <dataValidation allowBlank="false" error="Pick a unit from the list." errorStyle="stop" errorTitle="Unit" operator="between" showDropDown="false" showErrorMessage="true" showInputMessage="false" sqref="D24" type="list">
      <formula1>U_Length</formula1>
      <formula2>0</formula2>
    </dataValidation>
    <dataValidation allowBlank="false" error="Pick a unit from the list." errorStyle="stop" errorTitle="Unit" operator="between" showDropDown="false" showErrorMessage="true" showInputMessage="false" sqref="D30" type="list">
      <formula1>U_Mass</formula1>
      <formula2>0</formula2>
    </dataValidation>
  </dataValidations>
  <hyperlinks>
    <hyperlink ref="B2" r:id="rId1" location="Home!A1" display="SI base unit for this sheet: newton (N).  Blue cells on yellow = type here; drop-downs = choose unit.  ← Back to the Home sheet"/>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J4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2"/>
    <col collapsed="false" customWidth="true" hidden="false" outlineLevel="0" max="2" min="2" style="0" width="38"/>
    <col collapsed="false" customWidth="true" hidden="false" outlineLevel="0" max="3" min="3" style="0" width="18"/>
    <col collapsed="false" customWidth="true" hidden="false" outlineLevel="0" max="4" min="4" style="0" width="24"/>
    <col collapsed="false" customWidth="true" hidden="false" outlineLevel="0" max="5" min="5" style="0" width="10"/>
    <col collapsed="false" customWidth="true" hidden="false" outlineLevel="0" max="6" min="6" style="0" width="22"/>
    <col collapsed="false" customWidth="true" hidden="false" outlineLevel="0" max="7" min="7" style="0" width="34"/>
    <col collapsed="false" customWidth="true" hidden="false" outlineLevel="0" max="8" min="8" style="0" width="3"/>
    <col collapsed="false" customWidth="true" hidden="false" outlineLevel="0" max="9" min="9" style="0" width="20"/>
    <col collapsed="false" customWidth="true" hidden="false" outlineLevel="0" max="10" min="10" style="0" width="12"/>
  </cols>
  <sheetData>
    <row r="1" customFormat="false" ht="22.05" hidden="false" customHeight="false" outlineLevel="0" collapsed="false">
      <c r="B1" s="9" t="s">
        <v>414</v>
      </c>
    </row>
    <row r="2" customFormat="false" ht="15" hidden="false" customHeight="false" outlineLevel="0" collapsed="false">
      <c r="B2" s="2" t="s">
        <v>415</v>
      </c>
    </row>
    <row r="4" customFormat="false" ht="15" hidden="false" customHeight="false" outlineLevel="0" collapsed="false">
      <c r="B4" s="3" t="s">
        <v>85</v>
      </c>
    </row>
    <row r="5" customFormat="false" ht="15" hidden="false" customHeight="true" outlineLevel="0" collapsed="false">
      <c r="B5" s="10" t="s">
        <v>86</v>
      </c>
      <c r="C5" s="11" t="n">
        <v>1</v>
      </c>
      <c r="D5" s="12" t="s">
        <v>416</v>
      </c>
      <c r="E5" s="13" t="s">
        <v>88</v>
      </c>
      <c r="F5" s="14" t="n">
        <f aca="false">IF(ISNUMBER(C5),IF((((C5+INDEX(O_Torque,MATCH(D5,U_Torque,0)))*INDEX(F_Torque,MATCH(D5,U_Torque,0)))/INDEX(F_Torque,MATCH(G5,U_Torque,0))-INDEX(O_Torque,MATCH(G5,U_Torque,0)))=0,0,ROUND(((C5+INDEX(O_Torque,MATCH(D5,U_Torque,0)))*INDEX(F_Torque,MATCH(D5,U_Torque,0)))/INDEX(F_Torque,MATCH(G5,U_Torque,0))-INDEX(O_Torque,MATCH(G5,U_Torque,0)),11-INT(LOG10(ABS(((C5+INDEX(O_Torque,MATCH(D5,U_Torque,0)))*INDEX(F_Torque,MATCH(D5,U_Torque,0)))/INDEX(F_Torque,MATCH(G5,U_Torque,0))-INDEX(O_Torque,MATCH(G5,U_Torque,0))))))),"")</f>
        <v>0.737562149277</v>
      </c>
      <c r="G5" s="12" t="s">
        <v>381</v>
      </c>
    </row>
    <row r="6" customFormat="false" ht="15" hidden="false" customHeight="false" outlineLevel="0" collapsed="false">
      <c r="C6" s="11"/>
      <c r="D6" s="11"/>
      <c r="E6" s="13"/>
      <c r="F6" s="14"/>
      <c r="G6" s="14"/>
    </row>
    <row r="7" customFormat="false" ht="15" hidden="false" customHeight="false" outlineLevel="0" collapsed="false">
      <c r="C7" s="15" t="s">
        <v>90</v>
      </c>
      <c r="D7" s="15" t="s">
        <v>91</v>
      </c>
      <c r="F7" s="15" t="s">
        <v>92</v>
      </c>
      <c r="G7" s="15" t="s">
        <v>93</v>
      </c>
    </row>
    <row r="8" customFormat="false" ht="15" hidden="false" customHeight="false" outlineLevel="0" collapsed="false">
      <c r="B8" s="10" t="s">
        <v>94</v>
      </c>
      <c r="C8" s="16" t="str">
        <f aca="false">IF(ISNUMBER(F5),C5&amp;" "&amp;D5&amp;" = "&amp;TEXT(F5,"General")&amp;" "&amp;G5,"Enter a number in the yellow Value box")</f>
        <v>1 Newton metre (N·m) = 0.737562149277 Pound-force foot (lbf·ft)</v>
      </c>
    </row>
    <row r="9" customFormat="false" ht="15" hidden="false" customHeight="false" outlineLevel="0" collapsed="false">
      <c r="B9" s="10" t="s">
        <v>95</v>
      </c>
      <c r="C9" s="16" t="str">
        <f aca="false">"1 "&amp;G5&amp;" = "&amp;TEXT(IF((((1+INDEX(O_Torque,MATCH(G5,U_Torque,0)))*INDEX(F_Torque,MATCH(G5,U_Torque,0)))/INDEX(F_Torque,MATCH(D5,U_Torque,0))-INDEX(O_Torque,MATCH(D5,U_Torque,0)))=0,0,ROUND(((1+INDEX(O_Torque,MATCH(G5,U_Torque,0)))*INDEX(F_Torque,MATCH(G5,U_Torque,0)))/INDEX(F_Torque,MATCH(D5,U_Torque,0))-INDEX(O_Torque,MATCH(D5,U_Torque,0)),11-INT(LOG10(ABS(((1+INDEX(O_Torque,MATCH(G5,U_Torque,0)))*INDEX(F_Torque,MATCH(G5,U_Torque,0)))/INDEX(F_Torque,MATCH(D5,U_Torque,0))-INDEX(O_Torque,MATCH(D5,U_Torque,0))))))),"General")&amp;" "&amp;D5</f>
        <v>1 Pound-force foot (lbf·ft) = 1.35581794833 Newton metre (N·m)</v>
      </c>
    </row>
    <row r="10" customFormat="false" ht="15" hidden="false" customHeight="false" outlineLevel="0" collapsed="false">
      <c r="B10" s="17" t="s">
        <v>96</v>
      </c>
    </row>
    <row r="12" customFormat="false" ht="15" hidden="false" customHeight="false" outlineLevel="0" collapsed="false">
      <c r="B12" s="3" t="s">
        <v>97</v>
      </c>
    </row>
    <row r="13" customFormat="false" ht="15" hidden="false" customHeight="true" outlineLevel="0" collapsed="false">
      <c r="B13" s="5" t="s">
        <v>98</v>
      </c>
      <c r="C13" s="5" t="s">
        <v>86</v>
      </c>
      <c r="D13" s="5" t="s">
        <v>99</v>
      </c>
      <c r="E13" s="5"/>
      <c r="F13" s="5" t="s">
        <v>100</v>
      </c>
    </row>
    <row r="14" customFormat="false" ht="15" hidden="false" customHeight="false" outlineLevel="0" collapsed="false">
      <c r="B14" s="18" t="s">
        <v>417</v>
      </c>
      <c r="C14" s="19"/>
      <c r="D14" s="19"/>
      <c r="E14" s="19"/>
      <c r="F14" s="19"/>
    </row>
    <row r="15" customFormat="false" ht="15" hidden="false" customHeight="false" outlineLevel="0" collapsed="false">
      <c r="B15" s="2" t="s">
        <v>418</v>
      </c>
    </row>
    <row r="16" customFormat="false" ht="15" hidden="false" customHeight="false" outlineLevel="0" collapsed="false">
      <c r="B16" s="20" t="s">
        <v>55</v>
      </c>
      <c r="C16" s="21" t="n">
        <v>50</v>
      </c>
      <c r="D16" s="22" t="s">
        <v>324</v>
      </c>
      <c r="E16" s="22"/>
      <c r="F16" s="23" t="n">
        <f aca="false">IF(ISNUMBER(C16),(C16+INDEX(O_Force,MATCH(D16,U_Force,0)))*INDEX(F_Force,MATCH(D16,U_Force,0)),"")</f>
        <v>222.411080763025</v>
      </c>
      <c r="G16" s="17" t="s">
        <v>325</v>
      </c>
    </row>
    <row r="17" customFormat="false" ht="15" hidden="false" customHeight="false" outlineLevel="0" collapsed="false">
      <c r="B17" s="20" t="s">
        <v>419</v>
      </c>
      <c r="C17" s="21" t="n">
        <v>0.5</v>
      </c>
      <c r="D17" s="22" t="s">
        <v>87</v>
      </c>
      <c r="E17" s="22"/>
      <c r="F17" s="23" t="n">
        <f aca="false">IF(ISNUMBER(C17),(C17+INDEX(O_Length,MATCH(D17,U_Length,0)))*INDEX(F_Length,MATCH(D17,U_Length,0)),"")</f>
        <v>0.5</v>
      </c>
      <c r="G17" s="17" t="s">
        <v>104</v>
      </c>
    </row>
    <row r="18" customFormat="false" ht="15" hidden="false" customHeight="false" outlineLevel="0" collapsed="false">
      <c r="B18" s="24" t="s">
        <v>420</v>
      </c>
      <c r="C18" s="25" t="n">
        <f aca="false">IF(F18="","",IF((F18/INDEX(F_Torque,MATCH(D18,U_Torque,0))-INDEX(O_Torque,MATCH(D18,U_Torque,0)))=0,0,ROUND(F18/INDEX(F_Torque,MATCH(D18,U_Torque,0))-INDEX(O_Torque,MATCH(D18,U_Torque,0)),11-INT(LOG10(ABS(F18/INDEX(F_Torque,MATCH(D18,U_Torque,0))-INDEX(O_Torque,MATCH(D18,U_Torque,0))))))))</f>
        <v>111.205540382</v>
      </c>
      <c r="D18" s="22" t="s">
        <v>416</v>
      </c>
      <c r="E18" s="22"/>
      <c r="F18" s="23" t="n">
        <f aca="false">IF(OR(F16="",F17=""),"",IFERROR(F16*F17,""))</f>
        <v>111.205540381512</v>
      </c>
      <c r="G18" s="17" t="s">
        <v>382</v>
      </c>
    </row>
    <row r="19" customFormat="false" ht="15" hidden="false" customHeight="false" outlineLevel="0" collapsed="false">
      <c r="B19" s="24" t="s">
        <v>420</v>
      </c>
      <c r="C19" s="25" t="n">
        <f aca="false">IF(F19="","",IF((F19/INDEX(F_Torque,MATCH(D19,U_Torque,0))-INDEX(O_Torque,MATCH(D19,U_Torque,0)))=0,0,ROUND(F19/INDEX(F_Torque,MATCH(D19,U_Torque,0))-INDEX(O_Torque,MATCH(D19,U_Torque,0)),11-INT(LOG10(ABS(F19/INDEX(F_Torque,MATCH(D19,U_Torque,0))-INDEX(O_Torque,MATCH(D19,U_Torque,0))))))))</f>
        <v>82.0209973753</v>
      </c>
      <c r="D19" s="22" t="s">
        <v>381</v>
      </c>
      <c r="E19" s="22"/>
      <c r="F19" s="23" t="n">
        <f aca="false">IF(OR(F16="",F17=""),"",IFERROR(F16*F17,""))</f>
        <v>111.205540381512</v>
      </c>
      <c r="G19" s="17" t="s">
        <v>382</v>
      </c>
    </row>
    <row r="21" customFormat="false" ht="15" hidden="false" customHeight="false" outlineLevel="0" collapsed="false">
      <c r="B21" s="18" t="s">
        <v>421</v>
      </c>
      <c r="C21" s="19"/>
      <c r="D21" s="19"/>
      <c r="E21" s="19"/>
      <c r="F21" s="19"/>
    </row>
    <row r="22" customFormat="false" ht="15" hidden="false" customHeight="false" outlineLevel="0" collapsed="false">
      <c r="B22" s="2" t="s">
        <v>422</v>
      </c>
    </row>
    <row r="23" customFormat="false" ht="15" hidden="false" customHeight="false" outlineLevel="0" collapsed="false">
      <c r="B23" s="20" t="s">
        <v>51</v>
      </c>
      <c r="C23" s="21" t="n">
        <v>10</v>
      </c>
      <c r="D23" s="22" t="s">
        <v>375</v>
      </c>
      <c r="E23" s="22"/>
      <c r="F23" s="23" t="n">
        <f aca="false">IF(ISNUMBER(C23),(C23+INDEX(O_Power,MATCH(D23,U_Power,0)))*INDEX(F_Power,MATCH(D23,U_Power,0)),"")</f>
        <v>7456.9987158227</v>
      </c>
      <c r="G23" s="17" t="s">
        <v>353</v>
      </c>
    </row>
    <row r="24" customFormat="false" ht="15" hidden="false" customHeight="false" outlineLevel="0" collapsed="false">
      <c r="B24" s="20" t="s">
        <v>383</v>
      </c>
      <c r="C24" s="21" t="n">
        <v>1750</v>
      </c>
      <c r="D24" s="22" t="s">
        <v>384</v>
      </c>
      <c r="E24" s="22"/>
      <c r="F24" s="23" t="n">
        <f aca="false">IF(ISNUMBER(C24),(C24+INDEX(O_Frequency,MATCH(D24,U_Frequency,0)))*INDEX(F_Frequency,MATCH(D24,U_Frequency,0)),"")</f>
        <v>29.1666666666667</v>
      </c>
      <c r="G24" s="17" t="s">
        <v>385</v>
      </c>
    </row>
    <row r="25" customFormat="false" ht="15" hidden="false" customHeight="false" outlineLevel="0" collapsed="false">
      <c r="B25" s="24" t="s">
        <v>420</v>
      </c>
      <c r="C25" s="25" t="n">
        <f aca="false">IF(F25="","",IF((F25/INDEX(F_Torque,MATCH(D25,U_Torque,0))-INDEX(O_Torque,MATCH(D25,U_Torque,0)))=0,0,ROUND(F25/INDEX(F_Torque,MATCH(D25,U_Torque,0))-INDEX(O_Torque,MATCH(D25,U_Torque,0)),11-INT(LOG10(ABS(F25/INDEX(F_Torque,MATCH(D25,U_Torque,0))-INDEX(O_Torque,MATCH(D25,U_Torque,0))))))))</f>
        <v>40.6909099287</v>
      </c>
      <c r="D25" s="22" t="s">
        <v>416</v>
      </c>
      <c r="E25" s="22"/>
      <c r="F25" s="23" t="n">
        <f aca="false">IF(OR(F23="",F24=""),"",IFERROR(F23/(2*PI()*F24),""))</f>
        <v>40.6909099286777</v>
      </c>
      <c r="G25" s="17" t="s">
        <v>382</v>
      </c>
    </row>
    <row r="26" customFormat="false" ht="15" hidden="false" customHeight="false" outlineLevel="0" collapsed="false">
      <c r="B26" s="24" t="s">
        <v>420</v>
      </c>
      <c r="C26" s="25" t="n">
        <f aca="false">IF(F26="","",IF((F26/INDEX(F_Torque,MATCH(D26,U_Torque,0))-INDEX(O_Torque,MATCH(D26,U_Torque,0)))=0,0,ROUND(F26/INDEX(F_Torque,MATCH(D26,U_Torque,0))-INDEX(O_Torque,MATCH(D26,U_Torque,0)),11-INT(LOG10(ABS(F26/INDEX(F_Torque,MATCH(D26,U_Torque,0))-INDEX(O_Torque,MATCH(D26,U_Torque,0))))))))</f>
        <v>30.012074983</v>
      </c>
      <c r="D26" s="22" t="s">
        <v>381</v>
      </c>
      <c r="E26" s="22"/>
      <c r="F26" s="23" t="n">
        <f aca="false">IF(OR(F23="",F24=""),"",IFERROR(F23/(2*PI()*F24),""))</f>
        <v>40.6909099286777</v>
      </c>
      <c r="G26" s="17" t="s">
        <v>382</v>
      </c>
    </row>
    <row r="28" customFormat="false" ht="15" hidden="false" customHeight="false" outlineLevel="0" collapsed="false">
      <c r="B28" s="3" t="s">
        <v>131</v>
      </c>
    </row>
    <row r="29" customFormat="false" ht="15" hidden="false" customHeight="false" outlineLevel="0" collapsed="false">
      <c r="B29" s="26" t="str">
        <f aca="false">IF(COUNT($D$32:$D$37)=0,"Type a number next to any unit below (e.g. next to the unit you know).",IF(COUNT($D$32:$D$37)&gt;1,"⚠ More than one value entered – clear all but one yellow cell.","Showing everything equal to "&amp;INDEX($D$32:$D$37,MATCH(TRUE(),INDEX(ISNUMBER($D$32:$D$37),0),0))&amp;" "&amp;INDEX(U_Torque,MATCH(TRUE(),INDEX(ISNUMBER($D$32:$D$37),0),0))))</f>
        <v>Type a number next to any unit below (e.g. next to the unit you know).</v>
      </c>
      <c r="C29" s="26"/>
      <c r="D29" s="26"/>
      <c r="E29" s="26"/>
      <c r="F29" s="26"/>
      <c r="G29" s="26"/>
    </row>
    <row r="30" customFormat="false" ht="15" hidden="false" customHeight="false" outlineLevel="0" collapsed="false">
      <c r="I30" s="27" t="s">
        <v>132</v>
      </c>
      <c r="J30" s="17" t="str">
        <f aca="false">IF(COUNT($D$32:$D$37)&lt;&gt;1,"",SUMPRODUCT(--ISNUMBER($D$32:$D$37),($D$32:$D$37+O_Torque)*F_Torque))</f>
        <v/>
      </c>
    </row>
    <row r="31" customFormat="false" ht="31.5" hidden="false" customHeight="true" outlineLevel="0" collapsed="false">
      <c r="B31" s="5" t="s">
        <v>133</v>
      </c>
      <c r="C31" s="5" t="s">
        <v>134</v>
      </c>
      <c r="D31" s="5" t="s">
        <v>135</v>
      </c>
      <c r="E31" s="5"/>
      <c r="F31" s="5" t="s">
        <v>136</v>
      </c>
      <c r="G31" s="5" t="s">
        <v>133</v>
      </c>
      <c r="I31" s="5" t="s">
        <v>423</v>
      </c>
      <c r="J31" s="5" t="s">
        <v>138</v>
      </c>
    </row>
    <row r="32" customFormat="false" ht="19.5" hidden="false" customHeight="true" outlineLevel="0" collapsed="false">
      <c r="B32" s="28" t="s">
        <v>416</v>
      </c>
      <c r="C32" s="29" t="s">
        <v>139</v>
      </c>
      <c r="D32" s="21"/>
      <c r="E32" s="30" t="s">
        <v>140</v>
      </c>
      <c r="F32" s="31" t="str">
        <f aca="false">IF($J$30="","",IF(($J$30/I32-J32)=0,0,ROUND($J$30/I32-J32,11-INT(LOG10(ABS($J$30/I32-J32))))))</f>
        <v/>
      </c>
      <c r="G32" s="32" t="str">
        <f aca="false">B32</f>
        <v>Newton metre (N·m)</v>
      </c>
      <c r="I32" s="33" t="n">
        <v>1</v>
      </c>
      <c r="J32" s="33" t="n">
        <v>0</v>
      </c>
    </row>
    <row r="33" customFormat="false" ht="19.5" hidden="false" customHeight="true" outlineLevel="0" collapsed="false">
      <c r="B33" s="28" t="s">
        <v>424</v>
      </c>
      <c r="C33" s="29" t="s">
        <v>139</v>
      </c>
      <c r="D33" s="21"/>
      <c r="E33" s="30" t="s">
        <v>140</v>
      </c>
      <c r="F33" s="31" t="str">
        <f aca="false">IF($J$30="","",IF(($J$30/I33-J33)=0,0,ROUND($J$30/I33-J33,11-INT(LOG10(ABS($J$30/I33-J33))))))</f>
        <v/>
      </c>
      <c r="G33" s="32" t="str">
        <f aca="false">B33</f>
        <v>Kilonewton metre (kN·m)</v>
      </c>
      <c r="I33" s="33" t="n">
        <v>1000</v>
      </c>
      <c r="J33" s="33" t="n">
        <v>0</v>
      </c>
    </row>
    <row r="34" customFormat="false" ht="19.5" hidden="false" customHeight="true" outlineLevel="0" collapsed="false">
      <c r="B34" s="28" t="s">
        <v>381</v>
      </c>
      <c r="C34" s="29" t="s">
        <v>144</v>
      </c>
      <c r="D34" s="21"/>
      <c r="E34" s="30" t="s">
        <v>140</v>
      </c>
      <c r="F34" s="31" t="str">
        <f aca="false">IF($J$30="","",IF(($J$30/I34-J34)=0,0,ROUND($J$30/I34-J34,11-INT(LOG10(ABS($J$30/I34-J34))))))</f>
        <v/>
      </c>
      <c r="G34" s="32" t="str">
        <f aca="false">B34</f>
        <v>Pound-force foot (lbf·ft)</v>
      </c>
      <c r="I34" s="33" t="n">
        <v>1.3558179483314</v>
      </c>
      <c r="J34" s="33" t="n">
        <v>0</v>
      </c>
    </row>
    <row r="35" customFormat="false" ht="19.5" hidden="false" customHeight="true" outlineLevel="0" collapsed="false">
      <c r="B35" s="28" t="s">
        <v>425</v>
      </c>
      <c r="C35" s="29" t="s">
        <v>144</v>
      </c>
      <c r="D35" s="21"/>
      <c r="E35" s="30" t="s">
        <v>140</v>
      </c>
      <c r="F35" s="31" t="str">
        <f aca="false">IF($J$30="","",IF(($J$30/I35-J35)=0,0,ROUND($J$30/I35-J35,11-INT(LOG10(ABS($J$30/I35-J35))))))</f>
        <v/>
      </c>
      <c r="G35" s="32" t="str">
        <f aca="false">B35</f>
        <v>Pound-force inch (lbf·in)</v>
      </c>
      <c r="I35" s="33" t="n">
        <v>0.112984829027617</v>
      </c>
      <c r="J35" s="33" t="n">
        <v>0</v>
      </c>
    </row>
    <row r="36" customFormat="false" ht="19.5" hidden="false" customHeight="true" outlineLevel="0" collapsed="false">
      <c r="B36" s="28" t="s">
        <v>426</v>
      </c>
      <c r="C36" s="29" t="s">
        <v>144</v>
      </c>
      <c r="D36" s="21"/>
      <c r="E36" s="30" t="s">
        <v>140</v>
      </c>
      <c r="F36" s="31" t="str">
        <f aca="false">IF($J$30="","",IF(($J$30/I36-J36)=0,0,ROUND($J$30/I36-J36,11-INT(LOG10(ABS($J$30/I36-J36))))))</f>
        <v/>
      </c>
      <c r="G36" s="32" t="str">
        <f aca="false">B36</f>
        <v>Ounce-force inch (ozf·in)</v>
      </c>
      <c r="I36" s="33" t="n">
        <v>0.00706155181422604</v>
      </c>
      <c r="J36" s="33" t="n">
        <v>0</v>
      </c>
    </row>
    <row r="37" customFormat="false" ht="19.5" hidden="false" customHeight="true" outlineLevel="0" collapsed="false">
      <c r="B37" s="28" t="s">
        <v>427</v>
      </c>
      <c r="C37" s="29" t="s">
        <v>151</v>
      </c>
      <c r="D37" s="21"/>
      <c r="E37" s="30" t="s">
        <v>140</v>
      </c>
      <c r="F37" s="31" t="str">
        <f aca="false">IF($J$30="","",IF(($J$30/I37-J37)=0,0,ROUND($J$30/I37-J37,11-INT(LOG10(ABS($J$30/I37-J37))))))</f>
        <v/>
      </c>
      <c r="G37" s="32" t="str">
        <f aca="false">B37</f>
        <v>Kilogram-force metre (kgf·m)</v>
      </c>
      <c r="I37" s="33" t="n">
        <v>9.80665</v>
      </c>
      <c r="J37" s="33" t="n">
        <v>0</v>
      </c>
    </row>
    <row r="39" customFormat="false" ht="15" hidden="false" customHeight="false" outlineLevel="0" collapsed="false">
      <c r="B39" s="17" t="s">
        <v>155</v>
      </c>
    </row>
    <row r="40" customFormat="false" ht="15" hidden="false" customHeight="false" outlineLevel="0" collapsed="false">
      <c r="B40" s="17" t="s">
        <v>156</v>
      </c>
    </row>
    <row r="41" customFormat="false" ht="15" hidden="false" customHeight="false" outlineLevel="0" collapsed="false">
      <c r="B41" s="17" t="s">
        <v>157</v>
      </c>
    </row>
  </sheetData>
  <mergeCells count="15">
    <mergeCell ref="C5:C6"/>
    <mergeCell ref="D5:D6"/>
    <mergeCell ref="E5:E6"/>
    <mergeCell ref="F5:F6"/>
    <mergeCell ref="G5:G6"/>
    <mergeCell ref="D13:E13"/>
    <mergeCell ref="D16:E16"/>
    <mergeCell ref="D17:E17"/>
    <mergeCell ref="D18:E18"/>
    <mergeCell ref="D19:E19"/>
    <mergeCell ref="D23:E23"/>
    <mergeCell ref="D24:E24"/>
    <mergeCell ref="D25:E25"/>
    <mergeCell ref="D26:E26"/>
    <mergeCell ref="B29:G29"/>
  </mergeCells>
  <conditionalFormatting sqref="B32:G37">
    <cfRule type="expression" priority="2" aboveAverage="0" equalAverage="0" bottom="0" percent="0" rank="0" text="" dxfId="0">
      <formula>ISNUMBER($D32)</formula>
    </cfRule>
  </conditionalFormatting>
  <dataValidations count="6">
    <dataValidation allowBlank="true" error="Please type a number." errorStyle="stop" errorTitle="Number only" operator="between" showDropDown="false" showErrorMessage="true" showInputMessage="false" sqref="C5 C16:C17 C23:C24 D32:D37" type="decimal">
      <formula1>-1E+307</formula1>
      <formula2>1E+307</formula2>
    </dataValidation>
    <dataValidation allowBlank="false" error="Pick a unit from the list." errorStyle="stop" errorTitle="Unit" operator="between" showDropDown="false" showErrorMessage="true" showInputMessage="false" sqref="D5 G5 D18:D19 D25:D26" type="list">
      <formula1>U_Torque</formula1>
      <formula2>0</formula2>
    </dataValidation>
    <dataValidation allowBlank="false" error="Pick a unit from the list." errorStyle="stop" errorTitle="Unit" operator="between" showDropDown="false" showErrorMessage="true" showInputMessage="false" sqref="D16" type="list">
      <formula1>U_Force</formula1>
      <formula2>0</formula2>
    </dataValidation>
    <dataValidation allowBlank="false" error="Pick a unit from the list." errorStyle="stop" errorTitle="Unit" operator="between" showDropDown="false" showErrorMessage="true" showInputMessage="false" sqref="D17" type="list">
      <formula1>U_Length</formula1>
      <formula2>0</formula2>
    </dataValidation>
    <dataValidation allowBlank="false" error="Pick a unit from the list." errorStyle="stop" errorTitle="Unit" operator="between" showDropDown="false" showErrorMessage="true" showInputMessage="false" sqref="D23" type="list">
      <formula1>U_Power</formula1>
      <formula2>0</formula2>
    </dataValidation>
    <dataValidation allowBlank="false" error="Pick a unit from the list." errorStyle="stop" errorTitle="Unit" operator="between" showDropDown="false" showErrorMessage="true" showInputMessage="false" sqref="D24" type="list">
      <formula1>U_Frequency</formula1>
      <formula2>0</formula2>
    </dataValidation>
  </dataValidations>
  <hyperlinks>
    <hyperlink ref="B2" r:id="rId1" location="Home!A1" display="SI base unit for this sheet: newton metre (N·m).  Blue cells on yellow = type here; drop-downs = choose unit.  ← Back to the Home sheet"/>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J4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2"/>
    <col collapsed="false" customWidth="true" hidden="false" outlineLevel="0" max="2" min="2" style="0" width="38"/>
    <col collapsed="false" customWidth="true" hidden="false" outlineLevel="0" max="3" min="3" style="0" width="18"/>
    <col collapsed="false" customWidth="true" hidden="false" outlineLevel="0" max="4" min="4" style="0" width="24"/>
    <col collapsed="false" customWidth="true" hidden="false" outlineLevel="0" max="5" min="5" style="0" width="10"/>
    <col collapsed="false" customWidth="true" hidden="false" outlineLevel="0" max="6" min="6" style="0" width="22"/>
    <col collapsed="false" customWidth="true" hidden="false" outlineLevel="0" max="7" min="7" style="0" width="34"/>
    <col collapsed="false" customWidth="true" hidden="false" outlineLevel="0" max="8" min="8" style="0" width="3"/>
    <col collapsed="false" customWidth="true" hidden="false" outlineLevel="0" max="9" min="9" style="0" width="20"/>
    <col collapsed="false" customWidth="true" hidden="false" outlineLevel="0" max="10" min="10" style="0" width="12"/>
  </cols>
  <sheetData>
    <row r="1" customFormat="false" ht="22.05" hidden="false" customHeight="false" outlineLevel="0" collapsed="false">
      <c r="B1" s="9" t="s">
        <v>428</v>
      </c>
    </row>
    <row r="2" customFormat="false" ht="15" hidden="false" customHeight="false" outlineLevel="0" collapsed="false">
      <c r="B2" s="2" t="s">
        <v>429</v>
      </c>
    </row>
    <row r="4" customFormat="false" ht="15" hidden="false" customHeight="false" outlineLevel="0" collapsed="false">
      <c r="B4" s="3" t="s">
        <v>85</v>
      </c>
    </row>
    <row r="5" customFormat="false" ht="15" hidden="false" customHeight="true" outlineLevel="0" collapsed="false">
      <c r="B5" s="10" t="s">
        <v>86</v>
      </c>
      <c r="C5" s="11" t="n">
        <v>1</v>
      </c>
      <c r="D5" s="12" t="s">
        <v>235</v>
      </c>
      <c r="E5" s="13" t="s">
        <v>88</v>
      </c>
      <c r="F5" s="14" t="n">
        <f aca="false">IF(ISNUMBER(C5),IF((((C5+INDEX(O_Density,MATCH(D5,U_Density,0)))*INDEX(F_Density,MATCH(D5,U_Density,0)))/INDEX(F_Density,MATCH(G5,U_Density,0))-INDEX(O_Density,MATCH(G5,U_Density,0)))=0,0,ROUND(((C5+INDEX(O_Density,MATCH(D5,U_Density,0)))*INDEX(F_Density,MATCH(D5,U_Density,0)))/INDEX(F_Density,MATCH(G5,U_Density,0))-INDEX(O_Density,MATCH(G5,U_Density,0)),11-INT(LOG10(ABS(((C5+INDEX(O_Density,MATCH(D5,U_Density,0)))*INDEX(F_Density,MATCH(D5,U_Density,0)))/INDEX(F_Density,MATCH(G5,U_Density,0))-INDEX(O_Density,MATCH(G5,U_Density,0))))))),"")</f>
        <v>0.0624279605761</v>
      </c>
      <c r="G5" s="12" t="s">
        <v>228</v>
      </c>
    </row>
    <row r="6" customFormat="false" ht="15" hidden="false" customHeight="false" outlineLevel="0" collapsed="false">
      <c r="C6" s="11"/>
      <c r="D6" s="11"/>
      <c r="E6" s="13"/>
      <c r="F6" s="14"/>
      <c r="G6" s="14"/>
    </row>
    <row r="7" customFormat="false" ht="15" hidden="false" customHeight="false" outlineLevel="0" collapsed="false">
      <c r="C7" s="15" t="s">
        <v>90</v>
      </c>
      <c r="D7" s="15" t="s">
        <v>91</v>
      </c>
      <c r="F7" s="15" t="s">
        <v>92</v>
      </c>
      <c r="G7" s="15" t="s">
        <v>93</v>
      </c>
    </row>
    <row r="8" customFormat="false" ht="15" hidden="false" customHeight="false" outlineLevel="0" collapsed="false">
      <c r="B8" s="10" t="s">
        <v>94</v>
      </c>
      <c r="C8" s="16" t="str">
        <f aca="false">IF(ISNUMBER(F5),C5&amp;" "&amp;D5&amp;" = "&amp;TEXT(F5,"General")&amp;" "&amp;G5,"Enter a number in the yellow Value box")</f>
        <v>1 Kilogram per cubic metre (kg/m³) = 0.0624279605761 Pound per cubic foot (lb/ft³)</v>
      </c>
    </row>
    <row r="9" customFormat="false" ht="15" hidden="false" customHeight="false" outlineLevel="0" collapsed="false">
      <c r="B9" s="10" t="s">
        <v>95</v>
      </c>
      <c r="C9" s="16" t="str">
        <f aca="false">"1 "&amp;G5&amp;" = "&amp;TEXT(IF((((1+INDEX(O_Density,MATCH(G5,U_Density,0)))*INDEX(F_Density,MATCH(G5,U_Density,0)))/INDEX(F_Density,MATCH(D5,U_Density,0))-INDEX(O_Density,MATCH(D5,U_Density,0)))=0,0,ROUND(((1+INDEX(O_Density,MATCH(G5,U_Density,0)))*INDEX(F_Density,MATCH(G5,U_Density,0)))/INDEX(F_Density,MATCH(D5,U_Density,0))-INDEX(O_Density,MATCH(D5,U_Density,0)),11-INT(LOG10(ABS(((1+INDEX(O_Density,MATCH(G5,U_Density,0)))*INDEX(F_Density,MATCH(G5,U_Density,0)))/INDEX(F_Density,MATCH(D5,U_Density,0))-INDEX(O_Density,MATCH(D5,U_Density,0))))))),"General")&amp;" "&amp;D5</f>
        <v>1 Pound per cubic foot (lb/ft³) = 16.018463374 Kilogram per cubic metre (kg/m³)</v>
      </c>
    </row>
    <row r="10" customFormat="false" ht="15" hidden="false" customHeight="false" outlineLevel="0" collapsed="false">
      <c r="B10" s="17" t="s">
        <v>96</v>
      </c>
    </row>
    <row r="12" customFormat="false" ht="15" hidden="false" customHeight="false" outlineLevel="0" collapsed="false">
      <c r="B12" s="3" t="s">
        <v>97</v>
      </c>
    </row>
    <row r="13" customFormat="false" ht="15" hidden="false" customHeight="true" outlineLevel="0" collapsed="false">
      <c r="B13" s="5" t="s">
        <v>98</v>
      </c>
      <c r="C13" s="5" t="s">
        <v>86</v>
      </c>
      <c r="D13" s="5" t="s">
        <v>99</v>
      </c>
      <c r="E13" s="5"/>
      <c r="F13" s="5" t="s">
        <v>100</v>
      </c>
    </row>
    <row r="14" customFormat="false" ht="15" hidden="false" customHeight="false" outlineLevel="0" collapsed="false">
      <c r="B14" s="18" t="s">
        <v>430</v>
      </c>
      <c r="C14" s="19"/>
      <c r="D14" s="19"/>
      <c r="E14" s="19"/>
      <c r="F14" s="19"/>
    </row>
    <row r="15" customFormat="false" ht="15" hidden="false" customHeight="false" outlineLevel="0" collapsed="false">
      <c r="B15" s="2" t="s">
        <v>431</v>
      </c>
    </row>
    <row r="16" customFormat="false" ht="15" hidden="false" customHeight="false" outlineLevel="0" collapsed="false">
      <c r="B16" s="20" t="s">
        <v>27</v>
      </c>
      <c r="C16" s="21" t="n">
        <v>10</v>
      </c>
      <c r="D16" s="22" t="s">
        <v>225</v>
      </c>
      <c r="E16" s="22"/>
      <c r="F16" s="23" t="n">
        <f aca="false">IF(ISNUMBER(C16),(C16+INDEX(O_Mass,MATCH(D16,U_Mass,0)))*INDEX(F_Mass,MATCH(D16,U_Mass,0)),"")</f>
        <v>4.5359237</v>
      </c>
      <c r="G16" s="17" t="s">
        <v>231</v>
      </c>
    </row>
    <row r="17" customFormat="false" ht="15" hidden="false" customHeight="false" outlineLevel="0" collapsed="false">
      <c r="B17" s="20" t="s">
        <v>23</v>
      </c>
      <c r="C17" s="21" t="n">
        <v>5</v>
      </c>
      <c r="D17" s="22" t="s">
        <v>112</v>
      </c>
      <c r="E17" s="22"/>
      <c r="F17" s="23" t="n">
        <f aca="false">IF(ISNUMBER(C17),(C17+INDEX(O_Volume,MATCH(D17,U_Volume,0)))*INDEX(F_Volume,MATCH(D17,U_Volume,0)),"")</f>
        <v>0.005</v>
      </c>
      <c r="G17" s="17" t="s">
        <v>113</v>
      </c>
    </row>
    <row r="18" customFormat="false" ht="15" hidden="false" customHeight="false" outlineLevel="0" collapsed="false">
      <c r="B18" s="24" t="s">
        <v>432</v>
      </c>
      <c r="C18" s="25" t="n">
        <f aca="false">IF(F18="","",IF((F18/INDEX(F_Density,MATCH(D18,U_Density,0))-INDEX(O_Density,MATCH(D18,U_Density,0)))=0,0,ROUND(F18/INDEX(F_Density,MATCH(D18,U_Density,0))-INDEX(O_Density,MATCH(D18,U_Density,0)),11-INT(LOG10(ABS(F18/INDEX(F_Density,MATCH(D18,U_Density,0))-INDEX(O_Density,MATCH(D18,U_Density,0))))))))</f>
        <v>907.18474</v>
      </c>
      <c r="D18" s="22" t="s">
        <v>235</v>
      </c>
      <c r="E18" s="22"/>
      <c r="F18" s="23" t="n">
        <f aca="false">IF(OR(F16="",F17=""),"",IFERROR(F16/F17,""))</f>
        <v>907.18474</v>
      </c>
      <c r="G18" s="17" t="s">
        <v>229</v>
      </c>
    </row>
    <row r="19" customFormat="false" ht="15" hidden="false" customHeight="false" outlineLevel="0" collapsed="false">
      <c r="B19" s="24" t="s">
        <v>432</v>
      </c>
      <c r="C19" s="25" t="n">
        <f aca="false">IF(F19="","",IF((F19/INDEX(F_Density,MATCH(D19,U_Density,0))-INDEX(O_Density,MATCH(D19,U_Density,0)))=0,0,ROUND(F19/INDEX(F_Density,MATCH(D19,U_Density,0))-INDEX(O_Density,MATCH(D19,U_Density,0)),11-INT(LOG10(ABS(F19/INDEX(F_Density,MATCH(D19,U_Density,0))-INDEX(O_Density,MATCH(D19,U_Density,0))))))))</f>
        <v>56.633693184</v>
      </c>
      <c r="D19" s="22" t="s">
        <v>228</v>
      </c>
      <c r="E19" s="22"/>
      <c r="F19" s="23" t="n">
        <f aca="false">IF(OR(F16="",F17=""),"",IFERROR(F16/F17,""))</f>
        <v>907.18474</v>
      </c>
      <c r="G19" s="17" t="s">
        <v>229</v>
      </c>
    </row>
    <row r="21" customFormat="false" ht="15" hidden="false" customHeight="false" outlineLevel="0" collapsed="false">
      <c r="B21" s="18" t="s">
        <v>433</v>
      </c>
      <c r="C21" s="19"/>
      <c r="D21" s="19"/>
      <c r="E21" s="19"/>
      <c r="F21" s="19"/>
    </row>
    <row r="22" customFormat="false" ht="15" hidden="false" customHeight="false" outlineLevel="0" collapsed="false">
      <c r="B22" s="2" t="s">
        <v>434</v>
      </c>
    </row>
    <row r="23" customFormat="false" ht="15" hidden="false" customHeight="false" outlineLevel="0" collapsed="false">
      <c r="B23" s="20" t="s">
        <v>435</v>
      </c>
      <c r="C23" s="21" t="n">
        <v>0.85</v>
      </c>
      <c r="D23" s="33" t="s">
        <v>436</v>
      </c>
      <c r="E23" s="33"/>
      <c r="F23" s="23" t="n">
        <f aca="false">IF(ISNUMBER(C23),C23,"")</f>
        <v>0.85</v>
      </c>
      <c r="G23" s="17"/>
    </row>
    <row r="24" customFormat="false" ht="15" hidden="false" customHeight="false" outlineLevel="0" collapsed="false">
      <c r="B24" s="24" t="s">
        <v>432</v>
      </c>
      <c r="C24" s="25" t="n">
        <f aca="false">IF(F24="","",IF((F24/INDEX(F_Density,MATCH(D24,U_Density,0))-INDEX(O_Density,MATCH(D24,U_Density,0)))=0,0,ROUND(F24/INDEX(F_Density,MATCH(D24,U_Density,0))-INDEX(O_Density,MATCH(D24,U_Density,0)),11-INT(LOG10(ABS(F24/INDEX(F_Density,MATCH(D24,U_Density,0))-INDEX(O_Density,MATCH(D24,U_Density,0))))))))</f>
        <v>850</v>
      </c>
      <c r="D24" s="22" t="s">
        <v>235</v>
      </c>
      <c r="E24" s="22"/>
      <c r="F24" s="23" t="n">
        <f aca="false">IF(F23="","",IFERROR(F23*1000,""))</f>
        <v>850</v>
      </c>
      <c r="G24" s="17" t="s">
        <v>229</v>
      </c>
    </row>
    <row r="25" customFormat="false" ht="15" hidden="false" customHeight="false" outlineLevel="0" collapsed="false">
      <c r="B25" s="24" t="s">
        <v>432</v>
      </c>
      <c r="C25" s="25" t="n">
        <f aca="false">IF(F25="","",IF((F25/INDEX(F_Density,MATCH(D25,U_Density,0))-INDEX(O_Density,MATCH(D25,U_Density,0)))=0,0,ROUND(F25/INDEX(F_Density,MATCH(D25,U_Density,0))-INDEX(O_Density,MATCH(D25,U_Density,0)),11-INT(LOG10(ABS(F25/INDEX(F_Density,MATCH(D25,U_Density,0))-INDEX(O_Density,MATCH(D25,U_Density,0))))))))</f>
        <v>7.09359378422</v>
      </c>
      <c r="D25" s="22" t="s">
        <v>437</v>
      </c>
      <c r="E25" s="22"/>
      <c r="F25" s="23" t="n">
        <f aca="false">IF(F23="","",IFERROR(F23*1000,""))</f>
        <v>850</v>
      </c>
      <c r="G25" s="17" t="s">
        <v>229</v>
      </c>
    </row>
    <row r="27" customFormat="false" ht="15" hidden="false" customHeight="false" outlineLevel="0" collapsed="false">
      <c r="B27" s="3" t="s">
        <v>131</v>
      </c>
    </row>
    <row r="28" customFormat="false" ht="15" hidden="false" customHeight="false" outlineLevel="0" collapsed="false">
      <c r="B28" s="26" t="str">
        <f aca="false">IF(COUNT($D$31:$D$38)=0,"Type a number next to any unit below (e.g. next to the unit you know).",IF(COUNT($D$31:$D$38)&gt;1,"⚠ More than one value entered – clear all but one yellow cell.","Showing everything equal to "&amp;INDEX($D$31:$D$38,MATCH(TRUE(),INDEX(ISNUMBER($D$31:$D$38),0),0))&amp;" "&amp;INDEX(U_Density,MATCH(TRUE(),INDEX(ISNUMBER($D$31:$D$38),0),0))))</f>
        <v>Type a number next to any unit below (e.g. next to the unit you know).</v>
      </c>
      <c r="C28" s="26"/>
      <c r="D28" s="26"/>
      <c r="E28" s="26"/>
      <c r="F28" s="26"/>
      <c r="G28" s="26"/>
    </row>
    <row r="29" customFormat="false" ht="15" hidden="false" customHeight="false" outlineLevel="0" collapsed="false">
      <c r="I29" s="27" t="s">
        <v>132</v>
      </c>
      <c r="J29" s="17" t="str">
        <f aca="false">IF(COUNT($D$31:$D$38)&lt;&gt;1,"",SUMPRODUCT(--ISNUMBER($D$31:$D$38),($D$31:$D$38+O_Density)*F_Density))</f>
        <v/>
      </c>
    </row>
    <row r="30" customFormat="false" ht="31.5" hidden="false" customHeight="true" outlineLevel="0" collapsed="false">
      <c r="B30" s="5" t="s">
        <v>133</v>
      </c>
      <c r="C30" s="5" t="s">
        <v>134</v>
      </c>
      <c r="D30" s="5" t="s">
        <v>135</v>
      </c>
      <c r="E30" s="5"/>
      <c r="F30" s="5" t="s">
        <v>136</v>
      </c>
      <c r="G30" s="5" t="s">
        <v>133</v>
      </c>
      <c r="I30" s="5" t="s">
        <v>438</v>
      </c>
      <c r="J30" s="5" t="s">
        <v>138</v>
      </c>
    </row>
    <row r="31" customFormat="false" ht="19.5" hidden="false" customHeight="true" outlineLevel="0" collapsed="false">
      <c r="B31" s="28" t="s">
        <v>235</v>
      </c>
      <c r="C31" s="29" t="s">
        <v>139</v>
      </c>
      <c r="D31" s="21"/>
      <c r="E31" s="30" t="s">
        <v>140</v>
      </c>
      <c r="F31" s="31" t="str">
        <f aca="false">IF($J$29="","",IF(($J$29/I31-J31)=0,0,ROUND($J$29/I31-J31,11-INT(LOG10(ABS($J$29/I31-J31))))))</f>
        <v/>
      </c>
      <c r="G31" s="32" t="str">
        <f aca="false">B31</f>
        <v>Kilogram per cubic metre (kg/m³)</v>
      </c>
      <c r="I31" s="33" t="n">
        <v>1</v>
      </c>
      <c r="J31" s="33" t="n">
        <v>0</v>
      </c>
    </row>
    <row r="32" customFormat="false" ht="19.5" hidden="false" customHeight="true" outlineLevel="0" collapsed="false">
      <c r="B32" s="28" t="s">
        <v>439</v>
      </c>
      <c r="C32" s="29" t="s">
        <v>139</v>
      </c>
      <c r="D32" s="21"/>
      <c r="E32" s="30" t="s">
        <v>140</v>
      </c>
      <c r="F32" s="31" t="str">
        <f aca="false">IF($J$29="","",IF(($J$29/I32-J32)=0,0,ROUND($J$29/I32-J32,11-INT(LOG10(ABS($J$29/I32-J32))))))</f>
        <v/>
      </c>
      <c r="G32" s="32" t="str">
        <f aca="false">B32</f>
        <v>Gram per cubic centimetre (g/cm³)</v>
      </c>
      <c r="I32" s="33" t="n">
        <v>1000</v>
      </c>
      <c r="J32" s="33" t="n">
        <v>0</v>
      </c>
    </row>
    <row r="33" customFormat="false" ht="19.5" hidden="false" customHeight="true" outlineLevel="0" collapsed="false">
      <c r="B33" s="28" t="s">
        <v>440</v>
      </c>
      <c r="C33" s="29" t="s">
        <v>139</v>
      </c>
      <c r="D33" s="21"/>
      <c r="E33" s="30" t="s">
        <v>140</v>
      </c>
      <c r="F33" s="31" t="str">
        <f aca="false">IF($J$29="","",IF(($J$29/I33-J33)=0,0,ROUND($J$29/I33-J33,11-INT(LOG10(ABS($J$29/I33-J33))))))</f>
        <v/>
      </c>
      <c r="G33" s="32" t="str">
        <f aca="false">B33</f>
        <v>Kilogram per litre (kg/L)</v>
      </c>
      <c r="I33" s="33" t="n">
        <v>1000</v>
      </c>
      <c r="J33" s="33" t="n">
        <v>0</v>
      </c>
    </row>
    <row r="34" customFormat="false" ht="19.5" hidden="false" customHeight="true" outlineLevel="0" collapsed="false">
      <c r="B34" s="28" t="s">
        <v>441</v>
      </c>
      <c r="C34" s="29" t="s">
        <v>139</v>
      </c>
      <c r="D34" s="21"/>
      <c r="E34" s="30" t="s">
        <v>140</v>
      </c>
      <c r="F34" s="31" t="str">
        <f aca="false">IF($J$29="","",IF(($J$29/I34-J34)=0,0,ROUND($J$29/I34-J34,11-INT(LOG10(ABS($J$29/I34-J34))))))</f>
        <v/>
      </c>
      <c r="G34" s="32" t="str">
        <f aca="false">B34</f>
        <v>Gram per litre (g/L)</v>
      </c>
      <c r="I34" s="33" t="n">
        <v>1</v>
      </c>
      <c r="J34" s="33" t="n">
        <v>0</v>
      </c>
    </row>
    <row r="35" customFormat="false" ht="19.5" hidden="false" customHeight="true" outlineLevel="0" collapsed="false">
      <c r="B35" s="28" t="s">
        <v>228</v>
      </c>
      <c r="C35" s="29" t="s">
        <v>144</v>
      </c>
      <c r="D35" s="21"/>
      <c r="E35" s="30" t="s">
        <v>140</v>
      </c>
      <c r="F35" s="31" t="str">
        <f aca="false">IF($J$29="","",IF(($J$29/I35-J35)=0,0,ROUND($J$29/I35-J35,11-INT(LOG10(ABS($J$29/I35-J35))))))</f>
        <v/>
      </c>
      <c r="G35" s="32" t="str">
        <f aca="false">B35</f>
        <v>Pound per cubic foot (lb/ft³)</v>
      </c>
      <c r="I35" s="33" t="n">
        <v>16.0184633739601</v>
      </c>
      <c r="J35" s="33" t="n">
        <v>0</v>
      </c>
    </row>
    <row r="36" customFormat="false" ht="19.5" hidden="false" customHeight="true" outlineLevel="0" collapsed="false">
      <c r="B36" s="28" t="s">
        <v>442</v>
      </c>
      <c r="C36" s="29" t="s">
        <v>144</v>
      </c>
      <c r="D36" s="21"/>
      <c r="E36" s="30" t="s">
        <v>140</v>
      </c>
      <c r="F36" s="31" t="str">
        <f aca="false">IF($J$29="","",IF(($J$29/I36-J36)=0,0,ROUND($J$29/I36-J36,11-INT(LOG10(ABS($J$29/I36-J36))))))</f>
        <v/>
      </c>
      <c r="G36" s="32" t="str">
        <f aca="false">B36</f>
        <v>Pound per cubic inch (lb/in³)</v>
      </c>
      <c r="I36" s="33" t="n">
        <v>27679.9047102031</v>
      </c>
      <c r="J36" s="33" t="n">
        <v>0</v>
      </c>
    </row>
    <row r="37" customFormat="false" ht="19.5" hidden="false" customHeight="true" outlineLevel="0" collapsed="false">
      <c r="B37" s="28" t="s">
        <v>437</v>
      </c>
      <c r="C37" s="29" t="s">
        <v>144</v>
      </c>
      <c r="D37" s="21"/>
      <c r="E37" s="30" t="s">
        <v>140</v>
      </c>
      <c r="F37" s="31" t="str">
        <f aca="false">IF($J$29="","",IF(($J$29/I37-J37)=0,0,ROUND($J$29/I37-J37,11-INT(LOG10(ABS($J$29/I37-J37))))))</f>
        <v/>
      </c>
      <c r="G37" s="32" t="str">
        <f aca="false">B37</f>
        <v>Pound per US gallon (lb/gal)</v>
      </c>
      <c r="I37" s="33" t="n">
        <v>119.826427316897</v>
      </c>
      <c r="J37" s="33" t="n">
        <v>0</v>
      </c>
    </row>
    <row r="38" customFormat="false" ht="19.5" hidden="false" customHeight="true" outlineLevel="0" collapsed="false">
      <c r="B38" s="28" t="s">
        <v>443</v>
      </c>
      <c r="C38" s="29" t="s">
        <v>144</v>
      </c>
      <c r="D38" s="21"/>
      <c r="E38" s="30" t="s">
        <v>140</v>
      </c>
      <c r="F38" s="31" t="str">
        <f aca="false">IF($J$29="","",IF(($J$29/I38-J38)=0,0,ROUND($J$29/I38-J38,11-INT(LOG10(ABS($J$29/I38-J38))))))</f>
        <v/>
      </c>
      <c r="G38" s="32" t="str">
        <f aca="false">B38</f>
        <v>Ounce per cubic inch (oz/in³)</v>
      </c>
      <c r="I38" s="33" t="n">
        <v>1729.9940443877</v>
      </c>
      <c r="J38" s="33" t="n">
        <v>0</v>
      </c>
    </row>
    <row r="40" customFormat="false" ht="15" hidden="false" customHeight="false" outlineLevel="0" collapsed="false">
      <c r="B40" s="17" t="s">
        <v>155</v>
      </c>
    </row>
    <row r="41" customFormat="false" ht="15" hidden="false" customHeight="false" outlineLevel="0" collapsed="false">
      <c r="B41" s="17" t="s">
        <v>156</v>
      </c>
    </row>
    <row r="42" customFormat="false" ht="15" hidden="false" customHeight="false" outlineLevel="0" collapsed="false">
      <c r="B42" s="17" t="s">
        <v>157</v>
      </c>
    </row>
  </sheetData>
  <mergeCells count="14">
    <mergeCell ref="C5:C6"/>
    <mergeCell ref="D5:D6"/>
    <mergeCell ref="E5:E6"/>
    <mergeCell ref="F5:F6"/>
    <mergeCell ref="G5:G6"/>
    <mergeCell ref="D13:E13"/>
    <mergeCell ref="D16:E16"/>
    <mergeCell ref="D17:E17"/>
    <mergeCell ref="D18:E18"/>
    <mergeCell ref="D19:E19"/>
    <mergeCell ref="D23:E23"/>
    <mergeCell ref="D24:E24"/>
    <mergeCell ref="D25:E25"/>
    <mergeCell ref="B28:G28"/>
  </mergeCells>
  <conditionalFormatting sqref="B31:G38">
    <cfRule type="expression" priority="2" aboveAverage="0" equalAverage="0" bottom="0" percent="0" rank="0" text="" dxfId="0">
      <formula>ISNUMBER($D31)</formula>
    </cfRule>
  </conditionalFormatting>
  <dataValidations count="4">
    <dataValidation allowBlank="true" error="Please type a number." errorStyle="stop" errorTitle="Number only" operator="between" showDropDown="false" showErrorMessage="true" showInputMessage="false" sqref="C5 C16:C17 C23 D31:D38" type="decimal">
      <formula1>-1E+307</formula1>
      <formula2>1E+307</formula2>
    </dataValidation>
    <dataValidation allowBlank="false" error="Pick a unit from the list." errorStyle="stop" errorTitle="Unit" operator="between" showDropDown="false" showErrorMessage="true" showInputMessage="false" sqref="D5 G5 D18:D19 D24:D25" type="list">
      <formula1>U_Density</formula1>
      <formula2>0</formula2>
    </dataValidation>
    <dataValidation allowBlank="false" error="Pick a unit from the list." errorStyle="stop" errorTitle="Unit" operator="between" showDropDown="false" showErrorMessage="true" showInputMessage="false" sqref="D16" type="list">
      <formula1>U_Mass</formula1>
      <formula2>0</formula2>
    </dataValidation>
    <dataValidation allowBlank="false" error="Pick a unit from the list." errorStyle="stop" errorTitle="Unit" operator="between" showDropDown="false" showErrorMessage="true" showInputMessage="false" sqref="D17" type="list">
      <formula1>U_Volume</formula1>
      <formula2>0</formula2>
    </dataValidation>
  </dataValidations>
  <hyperlinks>
    <hyperlink ref="B2" r:id="rId1" location="Home!A1" display="SI base unit for this sheet: kilogram per cubic metre (kg/m³).  Blue cells on yellow = type here; drop-downs = choose unit.  ← Back to the Home sheet"/>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J4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2"/>
    <col collapsed="false" customWidth="true" hidden="false" outlineLevel="0" max="2" min="2" style="0" width="38"/>
    <col collapsed="false" customWidth="true" hidden="false" outlineLevel="0" max="3" min="3" style="0" width="18"/>
    <col collapsed="false" customWidth="true" hidden="false" outlineLevel="0" max="4" min="4" style="0" width="24"/>
    <col collapsed="false" customWidth="true" hidden="false" outlineLevel="0" max="5" min="5" style="0" width="10"/>
    <col collapsed="false" customWidth="true" hidden="false" outlineLevel="0" max="6" min="6" style="0" width="22"/>
    <col collapsed="false" customWidth="true" hidden="false" outlineLevel="0" max="7" min="7" style="0" width="34"/>
    <col collapsed="false" customWidth="true" hidden="false" outlineLevel="0" max="8" min="8" style="0" width="3"/>
    <col collapsed="false" customWidth="true" hidden="false" outlineLevel="0" max="9" min="9" style="0" width="20"/>
    <col collapsed="false" customWidth="true" hidden="false" outlineLevel="0" max="10" min="10" style="0" width="12"/>
  </cols>
  <sheetData>
    <row r="1" customFormat="false" ht="22.05" hidden="false" customHeight="false" outlineLevel="0" collapsed="false">
      <c r="B1" s="9" t="s">
        <v>444</v>
      </c>
    </row>
    <row r="2" customFormat="false" ht="15" hidden="false" customHeight="false" outlineLevel="0" collapsed="false">
      <c r="B2" s="2" t="s">
        <v>445</v>
      </c>
    </row>
    <row r="4" customFormat="false" ht="15" hidden="false" customHeight="false" outlineLevel="0" collapsed="false">
      <c r="B4" s="3" t="s">
        <v>85</v>
      </c>
    </row>
    <row r="5" customFormat="false" ht="15" hidden="false" customHeight="true" outlineLevel="0" collapsed="false">
      <c r="B5" s="10" t="s">
        <v>86</v>
      </c>
      <c r="C5" s="11" t="n">
        <v>1</v>
      </c>
      <c r="D5" s="12" t="s">
        <v>301</v>
      </c>
      <c r="E5" s="13" t="s">
        <v>88</v>
      </c>
      <c r="F5" s="14" t="n">
        <f aca="false">IF(ISNUMBER(C5),IF((((C5+INDEX(O_Flow_Rate,MATCH(D5,U_Flow_Rate,0)))*INDEX(F_Flow_Rate,MATCH(D5,U_Flow_Rate,0)))/INDEX(F_Flow_Rate,MATCH(G5,U_Flow_Rate,0))-INDEX(O_Flow_Rate,MATCH(G5,U_Flow_Rate,0)))=0,0,ROUND(((C5+INDEX(O_Flow_Rate,MATCH(D5,U_Flow_Rate,0)))*INDEX(F_Flow_Rate,MATCH(D5,U_Flow_Rate,0)))/INDEX(F_Flow_Rate,MATCH(G5,U_Flow_Rate,0))-INDEX(O_Flow_Rate,MATCH(G5,U_Flow_Rate,0)),11-INT(LOG10(ABS(((C5+INDEX(O_Flow_Rate,MATCH(D5,U_Flow_Rate,0)))*INDEX(F_Flow_Rate,MATCH(D5,U_Flow_Rate,0)))/INDEX(F_Flow_Rate,MATCH(G5,U_Flow_Rate,0))-INDEX(O_Flow_Rate,MATCH(G5,U_Flow_Rate,0))))))),"")</f>
        <v>0.264172052358</v>
      </c>
      <c r="G5" s="12" t="s">
        <v>200</v>
      </c>
    </row>
    <row r="6" customFormat="false" ht="15" hidden="false" customHeight="false" outlineLevel="0" collapsed="false">
      <c r="C6" s="11"/>
      <c r="D6" s="11"/>
      <c r="E6" s="13"/>
      <c r="F6" s="14"/>
      <c r="G6" s="14"/>
    </row>
    <row r="7" customFormat="false" ht="15" hidden="false" customHeight="false" outlineLevel="0" collapsed="false">
      <c r="C7" s="15" t="s">
        <v>90</v>
      </c>
      <c r="D7" s="15" t="s">
        <v>91</v>
      </c>
      <c r="F7" s="15" t="s">
        <v>92</v>
      </c>
      <c r="G7" s="15" t="s">
        <v>93</v>
      </c>
    </row>
    <row r="8" customFormat="false" ht="15" hidden="false" customHeight="false" outlineLevel="0" collapsed="false">
      <c r="B8" s="10" t="s">
        <v>94</v>
      </c>
      <c r="C8" s="16" t="str">
        <f aca="false">IF(ISNUMBER(F5),C5&amp;" "&amp;D5&amp;" = "&amp;TEXT(F5,"General")&amp;" "&amp;G5,"Enter a number in the yellow Value box")</f>
        <v>1 Litre per minute (L/min) = 0.264172052358 US gallon per minute (gpm)</v>
      </c>
    </row>
    <row r="9" customFormat="false" ht="15" hidden="false" customHeight="false" outlineLevel="0" collapsed="false">
      <c r="B9" s="10" t="s">
        <v>95</v>
      </c>
      <c r="C9" s="16" t="str">
        <f aca="false">"1 "&amp;G5&amp;" = "&amp;TEXT(IF((((1+INDEX(O_Flow_Rate,MATCH(G5,U_Flow_Rate,0)))*INDEX(F_Flow_Rate,MATCH(G5,U_Flow_Rate,0)))/INDEX(F_Flow_Rate,MATCH(D5,U_Flow_Rate,0))-INDEX(O_Flow_Rate,MATCH(D5,U_Flow_Rate,0)))=0,0,ROUND(((1+INDEX(O_Flow_Rate,MATCH(G5,U_Flow_Rate,0)))*INDEX(F_Flow_Rate,MATCH(G5,U_Flow_Rate,0)))/INDEX(F_Flow_Rate,MATCH(D5,U_Flow_Rate,0))-INDEX(O_Flow_Rate,MATCH(D5,U_Flow_Rate,0)),11-INT(LOG10(ABS(((1+INDEX(O_Flow_Rate,MATCH(G5,U_Flow_Rate,0)))*INDEX(F_Flow_Rate,MATCH(G5,U_Flow_Rate,0)))/INDEX(F_Flow_Rate,MATCH(D5,U_Flow_Rate,0))-INDEX(O_Flow_Rate,MATCH(D5,U_Flow_Rate,0))))))),"General")&amp;" "&amp;D5</f>
        <v>1 US gallon per minute (gpm) = 3.785411784 Litre per minute (L/min)</v>
      </c>
    </row>
    <row r="10" customFormat="false" ht="15" hidden="false" customHeight="false" outlineLevel="0" collapsed="false">
      <c r="B10" s="17" t="s">
        <v>96</v>
      </c>
    </row>
    <row r="12" customFormat="false" ht="15" hidden="false" customHeight="false" outlineLevel="0" collapsed="false">
      <c r="B12" s="3" t="s">
        <v>97</v>
      </c>
    </row>
    <row r="13" customFormat="false" ht="15" hidden="false" customHeight="true" outlineLevel="0" collapsed="false">
      <c r="B13" s="5" t="s">
        <v>98</v>
      </c>
      <c r="C13" s="5" t="s">
        <v>86</v>
      </c>
      <c r="D13" s="5" t="s">
        <v>99</v>
      </c>
      <c r="E13" s="5"/>
      <c r="F13" s="5" t="s">
        <v>100</v>
      </c>
    </row>
    <row r="14" customFormat="false" ht="15" hidden="false" customHeight="false" outlineLevel="0" collapsed="false">
      <c r="B14" s="18" t="s">
        <v>446</v>
      </c>
      <c r="C14" s="19"/>
      <c r="D14" s="19"/>
      <c r="E14" s="19"/>
      <c r="F14" s="19"/>
    </row>
    <row r="15" customFormat="false" ht="15" hidden="false" customHeight="false" outlineLevel="0" collapsed="false">
      <c r="B15" s="2" t="s">
        <v>447</v>
      </c>
    </row>
    <row r="16" customFormat="false" ht="15" hidden="false" customHeight="false" outlineLevel="0" collapsed="false">
      <c r="B16" s="20" t="s">
        <v>23</v>
      </c>
      <c r="C16" s="21" t="n">
        <v>1000</v>
      </c>
      <c r="D16" s="22" t="s">
        <v>118</v>
      </c>
      <c r="E16" s="22"/>
      <c r="F16" s="23" t="n">
        <f aca="false">IF(ISNUMBER(C16),(C16+INDEX(O_Volume,MATCH(D16,U_Volume,0)))*INDEX(F_Volume,MATCH(D16,U_Volume,0)),"")</f>
        <v>3.785411784</v>
      </c>
      <c r="G16" s="17" t="s">
        <v>113</v>
      </c>
    </row>
    <row r="17" customFormat="false" ht="15" hidden="false" customHeight="false" outlineLevel="0" collapsed="false">
      <c r="B17" s="20" t="s">
        <v>39</v>
      </c>
      <c r="C17" s="21" t="n">
        <v>30</v>
      </c>
      <c r="D17" s="22" t="s">
        <v>126</v>
      </c>
      <c r="E17" s="22"/>
      <c r="F17" s="23" t="n">
        <f aca="false">IF(ISNUMBER(C17),(C17+INDEX(O_Time,MATCH(D17,U_Time,0)))*INDEX(F_Time,MATCH(D17,U_Time,0)),"")</f>
        <v>1800</v>
      </c>
      <c r="G17" s="17" t="s">
        <v>127</v>
      </c>
    </row>
    <row r="18" customFormat="false" ht="15" hidden="false" customHeight="false" outlineLevel="0" collapsed="false">
      <c r="B18" s="24" t="s">
        <v>448</v>
      </c>
      <c r="C18" s="25" t="n">
        <f aca="false">IF(F18="","",IF((F18/INDEX(F_Flow_Rate,MATCH(D18,U_Flow_Rate,0))-INDEX(O_Flow_Rate,MATCH(D18,U_Flow_Rate,0)))=0,0,ROUND(F18/INDEX(F_Flow_Rate,MATCH(D18,U_Flow_Rate,0))-INDEX(O_Flow_Rate,MATCH(D18,U_Flow_Rate,0)),11-INT(LOG10(ABS(F18/INDEX(F_Flow_Rate,MATCH(D18,U_Flow_Rate,0))-INDEX(O_Flow_Rate,MATCH(D18,U_Flow_Rate,0))))))))</f>
        <v>7.570823568</v>
      </c>
      <c r="D18" s="22" t="s">
        <v>449</v>
      </c>
      <c r="E18" s="22"/>
      <c r="F18" s="23" t="n">
        <f aca="false">IF(OR(F16="",F17=""),"",IFERROR(F16/F17,""))</f>
        <v>0.00210300654666667</v>
      </c>
      <c r="G18" s="17" t="s">
        <v>201</v>
      </c>
    </row>
    <row r="19" customFormat="false" ht="15" hidden="false" customHeight="false" outlineLevel="0" collapsed="false">
      <c r="B19" s="24" t="s">
        <v>448</v>
      </c>
      <c r="C19" s="25" t="n">
        <f aca="false">IF(F19="","",IF((F19/INDEX(F_Flow_Rate,MATCH(D19,U_Flow_Rate,0))-INDEX(O_Flow_Rate,MATCH(D19,U_Flow_Rate,0)))=0,0,ROUND(F19/INDEX(F_Flow_Rate,MATCH(D19,U_Flow_Rate,0))-INDEX(O_Flow_Rate,MATCH(D19,U_Flow_Rate,0)),11-INT(LOG10(ABS(F19/INDEX(F_Flow_Rate,MATCH(D19,U_Flow_Rate,0))-INDEX(O_Flow_Rate,MATCH(D19,U_Flow_Rate,0))))))))</f>
        <v>2.10300654667</v>
      </c>
      <c r="D19" s="22" t="s">
        <v>305</v>
      </c>
      <c r="E19" s="22"/>
      <c r="F19" s="23" t="n">
        <f aca="false">IF(OR(F16="",F17=""),"",IFERROR(F16/F17,""))</f>
        <v>0.00210300654666667</v>
      </c>
      <c r="G19" s="17" t="s">
        <v>201</v>
      </c>
    </row>
    <row r="21" customFormat="false" ht="15" hidden="false" customHeight="false" outlineLevel="0" collapsed="false">
      <c r="B21" s="18" t="s">
        <v>450</v>
      </c>
      <c r="C21" s="19"/>
      <c r="D21" s="19"/>
      <c r="E21" s="19"/>
      <c r="F21" s="19"/>
    </row>
    <row r="22" customFormat="false" ht="15" hidden="false" customHeight="false" outlineLevel="0" collapsed="false">
      <c r="B22" s="2" t="s">
        <v>451</v>
      </c>
    </row>
    <row r="23" customFormat="false" ht="15" hidden="false" customHeight="false" outlineLevel="0" collapsed="false">
      <c r="B23" s="20" t="s">
        <v>452</v>
      </c>
      <c r="C23" s="21" t="n">
        <v>6</v>
      </c>
      <c r="D23" s="22" t="s">
        <v>291</v>
      </c>
      <c r="E23" s="22"/>
      <c r="F23" s="23" t="n">
        <f aca="false">IF(ISNUMBER(C23),(C23+INDEX(O_Speed,MATCH(D23,U_Speed,0)))*INDEX(F_Speed,MATCH(D23,U_Speed,0)),"")</f>
        <v>1.8288</v>
      </c>
      <c r="G23" s="17" t="s">
        <v>125</v>
      </c>
    </row>
    <row r="24" customFormat="false" ht="15" hidden="false" customHeight="false" outlineLevel="0" collapsed="false">
      <c r="B24" s="20" t="s">
        <v>114</v>
      </c>
      <c r="C24" s="21" t="n">
        <v>100</v>
      </c>
      <c r="D24" s="22" t="s">
        <v>121</v>
      </c>
      <c r="E24" s="22"/>
      <c r="F24" s="23" t="n">
        <f aca="false">IF(ISNUMBER(C24),(C24+INDEX(O_Length,MATCH(D24,U_Length,0)))*INDEX(F_Length,MATCH(D24,U_Length,0)),"")</f>
        <v>0.1</v>
      </c>
      <c r="G24" s="17" t="s">
        <v>104</v>
      </c>
    </row>
    <row r="25" customFormat="false" ht="15" hidden="false" customHeight="false" outlineLevel="0" collapsed="false">
      <c r="B25" s="24" t="s">
        <v>448</v>
      </c>
      <c r="C25" s="25" t="n">
        <f aca="false">IF(F25="","",IF((F25/INDEX(F_Flow_Rate,MATCH(D25,U_Flow_Rate,0))-INDEX(O_Flow_Rate,MATCH(D25,U_Flow_Rate,0)))=0,0,ROUND(F25/INDEX(F_Flow_Rate,MATCH(D25,U_Flow_Rate,0))-INDEX(O_Flow_Rate,MATCH(D25,U_Flow_Rate,0)),11-INT(LOG10(ABS(F25/INDEX(F_Flow_Rate,MATCH(D25,U_Flow_Rate,0))-INDEX(O_Flow_Rate,MATCH(D25,U_Flow_Rate,0))))))))</f>
        <v>14.3633616122</v>
      </c>
      <c r="D25" s="22" t="s">
        <v>305</v>
      </c>
      <c r="E25" s="22"/>
      <c r="F25" s="23" t="n">
        <f aca="false">IF(OR(F23="",F24=""),"",IFERROR(F23*PI()/4*F24^2,""))</f>
        <v>0.0143633616122125</v>
      </c>
      <c r="G25" s="17" t="s">
        <v>201</v>
      </c>
    </row>
    <row r="26" customFormat="false" ht="15" hidden="false" customHeight="false" outlineLevel="0" collapsed="false">
      <c r="B26" s="24" t="s">
        <v>448</v>
      </c>
      <c r="C26" s="25" t="n">
        <f aca="false">IF(F26="","",IF((F26/INDEX(F_Flow_Rate,MATCH(D26,U_Flow_Rate,0))-INDEX(O_Flow_Rate,MATCH(D26,U_Flow_Rate,0)))=0,0,ROUND(F26/INDEX(F_Flow_Rate,MATCH(D26,U_Flow_Rate,0))-INDEX(O_Flow_Rate,MATCH(D26,U_Flow_Rate,0)),11-INT(LOG10(ABS(F26/INDEX(F_Flow_Rate,MATCH(D26,U_Flow_Rate,0))-INDEX(O_Flow_Rate,MATCH(D26,U_Flow_Rate,0))))))))</f>
        <v>227.663922952</v>
      </c>
      <c r="D26" s="22" t="s">
        <v>200</v>
      </c>
      <c r="E26" s="22"/>
      <c r="F26" s="23" t="n">
        <f aca="false">IF(OR(F23="",F24=""),"",IFERROR(F23*PI()/4*F24^2,""))</f>
        <v>0.0143633616122125</v>
      </c>
      <c r="G26" s="17" t="s">
        <v>201</v>
      </c>
    </row>
    <row r="28" customFormat="false" ht="15" hidden="false" customHeight="false" outlineLevel="0" collapsed="false">
      <c r="B28" s="3" t="s">
        <v>131</v>
      </c>
    </row>
    <row r="29" customFormat="false" ht="15" hidden="false" customHeight="false" outlineLevel="0" collapsed="false">
      <c r="B29" s="26" t="str">
        <f aca="false">IF(COUNT($D$32:$D$40)=0,"Type a number next to any unit below (e.g. next to the unit you know).",IF(COUNT($D$32:$D$40)&gt;1,"⚠ More than one value entered – clear all but one yellow cell.","Showing everything equal to "&amp;INDEX($D$32:$D$40,MATCH(TRUE(),INDEX(ISNUMBER($D$32:$D$40),0),0))&amp;" "&amp;INDEX(U_Flow_Rate,MATCH(TRUE(),INDEX(ISNUMBER($D$32:$D$40),0),0))))</f>
        <v>Type a number next to any unit below (e.g. next to the unit you know).</v>
      </c>
      <c r="C29" s="26"/>
      <c r="D29" s="26"/>
      <c r="E29" s="26"/>
      <c r="F29" s="26"/>
      <c r="G29" s="26"/>
    </row>
    <row r="30" customFormat="false" ht="15" hidden="false" customHeight="false" outlineLevel="0" collapsed="false">
      <c r="I30" s="27" t="s">
        <v>132</v>
      </c>
      <c r="J30" s="17" t="str">
        <f aca="false">IF(COUNT($D$32:$D$40)&lt;&gt;1,"",SUMPRODUCT(--ISNUMBER($D$32:$D$40),($D$32:$D$40+O_Flow_Rate)*F_Flow_Rate))</f>
        <v/>
      </c>
    </row>
    <row r="31" customFormat="false" ht="31.5" hidden="false" customHeight="true" outlineLevel="0" collapsed="false">
      <c r="B31" s="5" t="s">
        <v>133</v>
      </c>
      <c r="C31" s="5" t="s">
        <v>134</v>
      </c>
      <c r="D31" s="5" t="s">
        <v>135</v>
      </c>
      <c r="E31" s="5"/>
      <c r="F31" s="5" t="s">
        <v>136</v>
      </c>
      <c r="G31" s="5" t="s">
        <v>133</v>
      </c>
      <c r="I31" s="5" t="s">
        <v>453</v>
      </c>
      <c r="J31" s="5" t="s">
        <v>138</v>
      </c>
    </row>
    <row r="32" customFormat="false" ht="19.5" hidden="false" customHeight="true" outlineLevel="0" collapsed="false">
      <c r="B32" s="28" t="s">
        <v>454</v>
      </c>
      <c r="C32" s="29" t="s">
        <v>139</v>
      </c>
      <c r="D32" s="21"/>
      <c r="E32" s="30" t="s">
        <v>140</v>
      </c>
      <c r="F32" s="31" t="str">
        <f aca="false">IF($J$30="","",IF(($J$30/I32-J32)=0,0,ROUND($J$30/I32-J32,11-INT(LOG10(ABS($J$30/I32-J32))))))</f>
        <v/>
      </c>
      <c r="G32" s="32" t="str">
        <f aca="false">B32</f>
        <v>Cubic metre per second (m³/s)</v>
      </c>
      <c r="I32" s="33" t="n">
        <v>1</v>
      </c>
      <c r="J32" s="33" t="n">
        <v>0</v>
      </c>
    </row>
    <row r="33" customFormat="false" ht="19.5" hidden="false" customHeight="true" outlineLevel="0" collapsed="false">
      <c r="B33" s="28" t="s">
        <v>449</v>
      </c>
      <c r="C33" s="29" t="s">
        <v>139</v>
      </c>
      <c r="D33" s="21"/>
      <c r="E33" s="30" t="s">
        <v>140</v>
      </c>
      <c r="F33" s="31" t="str">
        <f aca="false">IF($J$30="","",IF(($J$30/I33-J33)=0,0,ROUND($J$30/I33-J33,11-INT(LOG10(ABS($J$30/I33-J33))))))</f>
        <v/>
      </c>
      <c r="G33" s="32" t="str">
        <f aca="false">B33</f>
        <v>Cubic metre per hour (m³/h)</v>
      </c>
      <c r="I33" s="33" t="n">
        <f aca="false">1/3600</f>
        <v>0.000277777777777778</v>
      </c>
      <c r="J33" s="33" t="n">
        <v>0</v>
      </c>
    </row>
    <row r="34" customFormat="false" ht="19.5" hidden="false" customHeight="true" outlineLevel="0" collapsed="false">
      <c r="B34" s="28" t="s">
        <v>305</v>
      </c>
      <c r="C34" s="29" t="s">
        <v>139</v>
      </c>
      <c r="D34" s="21"/>
      <c r="E34" s="30" t="s">
        <v>140</v>
      </c>
      <c r="F34" s="31" t="str">
        <f aca="false">IF($J$30="","",IF(($J$30/I34-J34)=0,0,ROUND($J$30/I34-J34,11-INT(LOG10(ABS($J$30/I34-J34))))))</f>
        <v/>
      </c>
      <c r="G34" s="32" t="str">
        <f aca="false">B34</f>
        <v>Litre per second (L/s)</v>
      </c>
      <c r="I34" s="33" t="n">
        <v>0.001</v>
      </c>
      <c r="J34" s="33" t="n">
        <v>0</v>
      </c>
    </row>
    <row r="35" customFormat="false" ht="19.5" hidden="false" customHeight="true" outlineLevel="0" collapsed="false">
      <c r="B35" s="28" t="s">
        <v>301</v>
      </c>
      <c r="C35" s="29" t="s">
        <v>139</v>
      </c>
      <c r="D35" s="21"/>
      <c r="E35" s="30" t="s">
        <v>140</v>
      </c>
      <c r="F35" s="31" t="str">
        <f aca="false">IF($J$30="","",IF(($J$30/I35-J35)=0,0,ROUND($J$30/I35-J35,11-INT(LOG10(ABS($J$30/I35-J35))))))</f>
        <v/>
      </c>
      <c r="G35" s="32" t="str">
        <f aca="false">B35</f>
        <v>Litre per minute (L/min)</v>
      </c>
      <c r="I35" s="33" t="n">
        <f aca="false">0.001/60</f>
        <v>1.66666666666667E-005</v>
      </c>
      <c r="J35" s="33" t="n">
        <v>0</v>
      </c>
    </row>
    <row r="36" customFormat="false" ht="19.5" hidden="false" customHeight="true" outlineLevel="0" collapsed="false">
      <c r="B36" s="28" t="s">
        <v>200</v>
      </c>
      <c r="C36" s="29" t="s">
        <v>206</v>
      </c>
      <c r="D36" s="21"/>
      <c r="E36" s="30" t="s">
        <v>140</v>
      </c>
      <c r="F36" s="31" t="str">
        <f aca="false">IF($J$30="","",IF(($J$30/I36-J36)=0,0,ROUND($J$30/I36-J36,11-INT(LOG10(ABS($J$30/I36-J36))))))</f>
        <v/>
      </c>
      <c r="G36" s="32" t="str">
        <f aca="false">B36</f>
        <v>US gallon per minute (gpm)</v>
      </c>
      <c r="I36" s="33" t="n">
        <f aca="false">0.003785411784/60</f>
        <v>6.30901964E-005</v>
      </c>
      <c r="J36" s="33" t="n">
        <v>0</v>
      </c>
    </row>
    <row r="37" customFormat="false" ht="19.5" hidden="false" customHeight="true" outlineLevel="0" collapsed="false">
      <c r="B37" s="28" t="s">
        <v>455</v>
      </c>
      <c r="C37" s="29" t="s">
        <v>214</v>
      </c>
      <c r="D37" s="21"/>
      <c r="E37" s="30" t="s">
        <v>140</v>
      </c>
      <c r="F37" s="31" t="str">
        <f aca="false">IF($J$30="","",IF(($J$30/I37-J37)=0,0,ROUND($J$30/I37-J37,11-INT(LOG10(ABS($J$30/I37-J37))))))</f>
        <v/>
      </c>
      <c r="G37" s="32" t="str">
        <f aca="false">B37</f>
        <v>Imperial gallon per minute</v>
      </c>
      <c r="I37" s="33" t="n">
        <f aca="false">0.00454609/60</f>
        <v>7.57681666666667E-005</v>
      </c>
      <c r="J37" s="33" t="n">
        <v>0</v>
      </c>
    </row>
    <row r="38" customFormat="false" ht="19.5" hidden="false" customHeight="true" outlineLevel="0" collapsed="false">
      <c r="B38" s="28" t="s">
        <v>456</v>
      </c>
      <c r="C38" s="29" t="s">
        <v>144</v>
      </c>
      <c r="D38" s="21"/>
      <c r="E38" s="30" t="s">
        <v>140</v>
      </c>
      <c r="F38" s="31" t="str">
        <f aca="false">IF($J$30="","",IF(($J$30/I38-J38)=0,0,ROUND($J$30/I38-J38,11-INT(LOG10(ABS($J$30/I38-J38))))))</f>
        <v/>
      </c>
      <c r="G38" s="32" t="str">
        <f aca="false">B38</f>
        <v>Cubic foot per minute (cfm)</v>
      </c>
      <c r="I38" s="33" t="n">
        <f aca="false">0.028316846592/60</f>
        <v>0.0004719474432</v>
      </c>
      <c r="J38" s="33" t="n">
        <v>0</v>
      </c>
    </row>
    <row r="39" customFormat="false" ht="19.5" hidden="false" customHeight="true" outlineLevel="0" collapsed="false">
      <c r="B39" s="28" t="s">
        <v>457</v>
      </c>
      <c r="C39" s="29" t="s">
        <v>144</v>
      </c>
      <c r="D39" s="21"/>
      <c r="E39" s="30" t="s">
        <v>140</v>
      </c>
      <c r="F39" s="31" t="str">
        <f aca="false">IF($J$30="","",IF(($J$30/I39-J39)=0,0,ROUND($J$30/I39-J39,11-INT(LOG10(ABS($J$30/I39-J39))))))</f>
        <v/>
      </c>
      <c r="G39" s="32" t="str">
        <f aca="false">B39</f>
        <v>Cubic foot per second (cfs)</v>
      </c>
      <c r="I39" s="33" t="n">
        <v>0.028316846592</v>
      </c>
      <c r="J39" s="33" t="n">
        <v>0</v>
      </c>
    </row>
    <row r="40" customFormat="false" ht="19.5" hidden="false" customHeight="true" outlineLevel="0" collapsed="false">
      <c r="B40" s="28" t="s">
        <v>458</v>
      </c>
      <c r="C40" s="29" t="s">
        <v>151</v>
      </c>
      <c r="D40" s="21"/>
      <c r="E40" s="30" t="s">
        <v>140</v>
      </c>
      <c r="F40" s="31" t="str">
        <f aca="false">IF($J$30="","",IF(($J$30/I40-J40)=0,0,ROUND($J$30/I40-J40,11-INT(LOG10(ABS($J$30/I40-J40))))))</f>
        <v/>
      </c>
      <c r="G40" s="32" t="str">
        <f aca="false">B40</f>
        <v>Oil barrel per day (bbl/d)</v>
      </c>
      <c r="I40" s="33" t="n">
        <f aca="false">0.158987294928/86400</f>
        <v>1.84013072833333E-006</v>
      </c>
      <c r="J40" s="33" t="n">
        <v>0</v>
      </c>
    </row>
    <row r="42" customFormat="false" ht="15" hidden="false" customHeight="false" outlineLevel="0" collapsed="false">
      <c r="B42" s="17" t="s">
        <v>155</v>
      </c>
    </row>
    <row r="43" customFormat="false" ht="15" hidden="false" customHeight="false" outlineLevel="0" collapsed="false">
      <c r="B43" s="17" t="s">
        <v>156</v>
      </c>
    </row>
    <row r="44" customFormat="false" ht="15" hidden="false" customHeight="false" outlineLevel="0" collapsed="false">
      <c r="B44" s="17" t="s">
        <v>157</v>
      </c>
    </row>
  </sheetData>
  <mergeCells count="15">
    <mergeCell ref="C5:C6"/>
    <mergeCell ref="D5:D6"/>
    <mergeCell ref="E5:E6"/>
    <mergeCell ref="F5:F6"/>
    <mergeCell ref="G5:G6"/>
    <mergeCell ref="D13:E13"/>
    <mergeCell ref="D16:E16"/>
    <mergeCell ref="D17:E17"/>
    <mergeCell ref="D18:E18"/>
    <mergeCell ref="D19:E19"/>
    <mergeCell ref="D23:E23"/>
    <mergeCell ref="D24:E24"/>
    <mergeCell ref="D25:E25"/>
    <mergeCell ref="D26:E26"/>
    <mergeCell ref="B29:G29"/>
  </mergeCells>
  <conditionalFormatting sqref="B32:G40">
    <cfRule type="expression" priority="2" aboveAverage="0" equalAverage="0" bottom="0" percent="0" rank="0" text="" dxfId="0">
      <formula>ISNUMBER($D32)</formula>
    </cfRule>
  </conditionalFormatting>
  <dataValidations count="6">
    <dataValidation allowBlank="true" error="Please type a number." errorStyle="stop" errorTitle="Number only" operator="between" showDropDown="false" showErrorMessage="true" showInputMessage="false" sqref="C5 C16:C17 C23:C24 D32:D40" type="decimal">
      <formula1>-1E+307</formula1>
      <formula2>1E+307</formula2>
    </dataValidation>
    <dataValidation allowBlank="false" error="Pick a unit from the list." errorStyle="stop" errorTitle="Unit" operator="between" showDropDown="false" showErrorMessage="true" showInputMessage="false" sqref="D5 G5 D18:D19 D25:D26" type="list">
      <formula1>U_Flow_Rate</formula1>
      <formula2>0</formula2>
    </dataValidation>
    <dataValidation allowBlank="false" error="Pick a unit from the list." errorStyle="stop" errorTitle="Unit" operator="between" showDropDown="false" showErrorMessage="true" showInputMessage="false" sqref="D16" type="list">
      <formula1>U_Volume</formula1>
      <formula2>0</formula2>
    </dataValidation>
    <dataValidation allowBlank="false" error="Pick a unit from the list." errorStyle="stop" errorTitle="Unit" operator="between" showDropDown="false" showErrorMessage="true" showInputMessage="false" sqref="D17" type="list">
      <formula1>U_Time</formula1>
      <formula2>0</formula2>
    </dataValidation>
    <dataValidation allowBlank="false" error="Pick a unit from the list." errorStyle="stop" errorTitle="Unit" operator="between" showDropDown="false" showErrorMessage="true" showInputMessage="false" sqref="D23" type="list">
      <formula1>U_Speed</formula1>
      <formula2>0</formula2>
    </dataValidation>
    <dataValidation allowBlank="false" error="Pick a unit from the list." errorStyle="stop" errorTitle="Unit" operator="between" showDropDown="false" showErrorMessage="true" showInputMessage="false" sqref="D24" type="list">
      <formula1>U_Length</formula1>
      <formula2>0</formula2>
    </dataValidation>
  </dataValidations>
  <hyperlinks>
    <hyperlink ref="B2" r:id="rId1" location="Home!A1" display="SI base unit for this sheet: cubic metre per second (m³/s).  Blue cells on yellow = type here; drop-downs = choose unit.  ← Back to the Home sheet"/>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J4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2"/>
    <col collapsed="false" customWidth="true" hidden="false" outlineLevel="0" max="2" min="2" style="0" width="38"/>
    <col collapsed="false" customWidth="true" hidden="false" outlineLevel="0" max="3" min="3" style="0" width="18"/>
    <col collapsed="false" customWidth="true" hidden="false" outlineLevel="0" max="4" min="4" style="0" width="24"/>
    <col collapsed="false" customWidth="true" hidden="false" outlineLevel="0" max="5" min="5" style="0" width="10"/>
    <col collapsed="false" customWidth="true" hidden="false" outlineLevel="0" max="6" min="6" style="0" width="22"/>
    <col collapsed="false" customWidth="true" hidden="false" outlineLevel="0" max="7" min="7" style="0" width="34"/>
    <col collapsed="false" customWidth="true" hidden="false" outlineLevel="0" max="8" min="8" style="0" width="3"/>
    <col collapsed="false" customWidth="true" hidden="false" outlineLevel="0" max="9" min="9" style="0" width="20"/>
    <col collapsed="false" customWidth="true" hidden="false" outlineLevel="0" max="10" min="10" style="0" width="12"/>
  </cols>
  <sheetData>
    <row r="1" customFormat="false" ht="22.05" hidden="false" customHeight="false" outlineLevel="0" collapsed="false">
      <c r="B1" s="9" t="s">
        <v>459</v>
      </c>
    </row>
    <row r="2" customFormat="false" ht="15" hidden="false" customHeight="false" outlineLevel="0" collapsed="false">
      <c r="B2" s="2" t="s">
        <v>460</v>
      </c>
    </row>
    <row r="4" customFormat="false" ht="15" hidden="false" customHeight="false" outlineLevel="0" collapsed="false">
      <c r="B4" s="3" t="s">
        <v>85</v>
      </c>
    </row>
    <row r="5" customFormat="false" ht="15" hidden="false" customHeight="true" outlineLevel="0" collapsed="false">
      <c r="B5" s="10" t="s">
        <v>86</v>
      </c>
      <c r="C5" s="11" t="n">
        <v>1</v>
      </c>
      <c r="D5" s="12" t="s">
        <v>461</v>
      </c>
      <c r="E5" s="13" t="s">
        <v>88</v>
      </c>
      <c r="F5" s="14" t="n">
        <f aca="false">IF(ISNUMBER(C5),IF((((C5+INDEX(O_Angle,MATCH(D5,U_Angle,0)))*INDEX(F_Angle,MATCH(D5,U_Angle,0)))/INDEX(F_Angle,MATCH(G5,U_Angle,0))-INDEX(O_Angle,MATCH(G5,U_Angle,0)))=0,0,ROUND(((C5+INDEX(O_Angle,MATCH(D5,U_Angle,0)))*INDEX(F_Angle,MATCH(D5,U_Angle,0)))/INDEX(F_Angle,MATCH(G5,U_Angle,0))-INDEX(O_Angle,MATCH(G5,U_Angle,0)),11-INT(LOG10(ABS(((C5+INDEX(O_Angle,MATCH(D5,U_Angle,0)))*INDEX(F_Angle,MATCH(D5,U_Angle,0)))/INDEX(F_Angle,MATCH(G5,U_Angle,0))-INDEX(O_Angle,MATCH(G5,U_Angle,0))))))),"")</f>
        <v>0.0174532925199</v>
      </c>
      <c r="G5" s="12" t="s">
        <v>462</v>
      </c>
    </row>
    <row r="6" customFormat="false" ht="15" hidden="false" customHeight="false" outlineLevel="0" collapsed="false">
      <c r="C6" s="11"/>
      <c r="D6" s="11"/>
      <c r="E6" s="13"/>
      <c r="F6" s="14"/>
      <c r="G6" s="14"/>
    </row>
    <row r="7" customFormat="false" ht="15" hidden="false" customHeight="false" outlineLevel="0" collapsed="false">
      <c r="C7" s="15" t="s">
        <v>90</v>
      </c>
      <c r="D7" s="15" t="s">
        <v>91</v>
      </c>
      <c r="F7" s="15" t="s">
        <v>92</v>
      </c>
      <c r="G7" s="15" t="s">
        <v>93</v>
      </c>
    </row>
    <row r="8" customFormat="false" ht="15" hidden="false" customHeight="false" outlineLevel="0" collapsed="false">
      <c r="B8" s="10" t="s">
        <v>94</v>
      </c>
      <c r="C8" s="16" t="str">
        <f aca="false">IF(ISNUMBER(F5),C5&amp;" "&amp;D5&amp;" = "&amp;TEXT(F5,"General")&amp;" "&amp;G5,"Enter a number in the yellow Value box")</f>
        <v>1 Degree (°) = 0.0174532925199 Radian (rad)</v>
      </c>
    </row>
    <row r="9" customFormat="false" ht="15" hidden="false" customHeight="false" outlineLevel="0" collapsed="false">
      <c r="B9" s="10" t="s">
        <v>95</v>
      </c>
      <c r="C9" s="16" t="str">
        <f aca="false">"1 "&amp;G5&amp;" = "&amp;TEXT(IF((((1+INDEX(O_Angle,MATCH(G5,U_Angle,0)))*INDEX(F_Angle,MATCH(G5,U_Angle,0)))/INDEX(F_Angle,MATCH(D5,U_Angle,0))-INDEX(O_Angle,MATCH(D5,U_Angle,0)))=0,0,ROUND(((1+INDEX(O_Angle,MATCH(G5,U_Angle,0)))*INDEX(F_Angle,MATCH(G5,U_Angle,0)))/INDEX(F_Angle,MATCH(D5,U_Angle,0))-INDEX(O_Angle,MATCH(D5,U_Angle,0)),11-INT(LOG10(ABS(((1+INDEX(O_Angle,MATCH(G5,U_Angle,0)))*INDEX(F_Angle,MATCH(G5,U_Angle,0)))/INDEX(F_Angle,MATCH(D5,U_Angle,0))-INDEX(O_Angle,MATCH(D5,U_Angle,0))))))),"General")&amp;" "&amp;D5</f>
        <v>1 Radian (rad) = 57.2957795131 Degree (°)</v>
      </c>
    </row>
    <row r="10" customFormat="false" ht="15" hidden="false" customHeight="false" outlineLevel="0" collapsed="false">
      <c r="B10" s="17" t="s">
        <v>96</v>
      </c>
    </row>
    <row r="12" customFormat="false" ht="15" hidden="false" customHeight="false" outlineLevel="0" collapsed="false">
      <c r="B12" s="3" t="s">
        <v>97</v>
      </c>
    </row>
    <row r="13" customFormat="false" ht="15" hidden="false" customHeight="true" outlineLevel="0" collapsed="false">
      <c r="B13" s="5" t="s">
        <v>98</v>
      </c>
      <c r="C13" s="5" t="s">
        <v>86</v>
      </c>
      <c r="D13" s="5" t="s">
        <v>99</v>
      </c>
      <c r="E13" s="5"/>
      <c r="F13" s="5" t="s">
        <v>100</v>
      </c>
    </row>
    <row r="14" customFormat="false" ht="15" hidden="false" customHeight="false" outlineLevel="0" collapsed="false">
      <c r="B14" s="18" t="s">
        <v>463</v>
      </c>
      <c r="C14" s="19"/>
      <c r="D14" s="19"/>
      <c r="E14" s="19"/>
      <c r="F14" s="19"/>
    </row>
    <row r="15" customFormat="false" ht="15" hidden="false" customHeight="false" outlineLevel="0" collapsed="false">
      <c r="B15" s="2" t="s">
        <v>464</v>
      </c>
    </row>
    <row r="16" customFormat="false" ht="15" hidden="false" customHeight="false" outlineLevel="0" collapsed="false">
      <c r="B16" s="20" t="s">
        <v>465</v>
      </c>
      <c r="C16" s="21" t="n">
        <v>12</v>
      </c>
      <c r="D16" s="22" t="s">
        <v>107</v>
      </c>
      <c r="E16" s="22"/>
      <c r="F16" s="23" t="n">
        <f aca="false">IF(ISNUMBER(C16),(C16+INDEX(O_Length,MATCH(D16,U_Length,0)))*INDEX(F_Length,MATCH(D16,U_Length,0)),"")</f>
        <v>0.3048</v>
      </c>
      <c r="G16" s="17" t="s">
        <v>104</v>
      </c>
    </row>
    <row r="17" customFormat="false" ht="15" hidden="false" customHeight="false" outlineLevel="0" collapsed="false">
      <c r="B17" s="20" t="s">
        <v>466</v>
      </c>
      <c r="C17" s="21" t="n">
        <v>2</v>
      </c>
      <c r="D17" s="22" t="s">
        <v>87</v>
      </c>
      <c r="E17" s="22"/>
      <c r="F17" s="23" t="n">
        <f aca="false">IF(ISNUMBER(C17),(C17+INDEX(O_Length,MATCH(D17,U_Length,0)))*INDEX(F_Length,MATCH(D17,U_Length,0)),"")</f>
        <v>2</v>
      </c>
      <c r="G17" s="17" t="s">
        <v>104</v>
      </c>
    </row>
    <row r="18" customFormat="false" ht="15" hidden="false" customHeight="false" outlineLevel="0" collapsed="false">
      <c r="B18" s="24" t="s">
        <v>467</v>
      </c>
      <c r="C18" s="25" t="n">
        <f aca="false">IF(F18="","",IF((F18/INDEX(F_Angle,MATCH(D18,U_Angle,0))-INDEX(O_Angle,MATCH(D18,U_Angle,0)))=0,0,ROUND(F18/INDEX(F_Angle,MATCH(D18,U_Angle,0))-INDEX(O_Angle,MATCH(D18,U_Angle,0)),11-INT(LOG10(ABS(F18/INDEX(F_Angle,MATCH(D18,U_Angle,0))-INDEX(O_Angle,MATCH(D18,U_Angle,0))))))))</f>
        <v>8.66520201227</v>
      </c>
      <c r="D18" s="22" t="s">
        <v>461</v>
      </c>
      <c r="E18" s="22"/>
      <c r="F18" s="23" t="n">
        <f aca="false">IF(OR(F16="",F17=""),"",IFERROR(ATAN(F16/F17),""))</f>
        <v>0.151236305464612</v>
      </c>
      <c r="G18" s="17" t="s">
        <v>468</v>
      </c>
    </row>
    <row r="19" customFormat="false" ht="15" hidden="false" customHeight="false" outlineLevel="0" collapsed="false">
      <c r="B19" s="24" t="s">
        <v>469</v>
      </c>
      <c r="C19" s="25" t="n">
        <f aca="false">IF(F19="","",IF((F19)=0,0,ROUND(F19,11-INT(LOG10(ABS(F19))))))</f>
        <v>15.24</v>
      </c>
      <c r="D19" s="33" t="s">
        <v>436</v>
      </c>
      <c r="E19" s="33"/>
      <c r="F19" s="23" t="n">
        <f aca="false">IF(OR(F16="",F17=""),"",IFERROR(100*F16/F17,""))</f>
        <v>15.24</v>
      </c>
    </row>
    <row r="21" customFormat="false" ht="15" hidden="false" customHeight="false" outlineLevel="0" collapsed="false">
      <c r="B21" s="18" t="s">
        <v>470</v>
      </c>
      <c r="C21" s="19"/>
      <c r="D21" s="19"/>
      <c r="E21" s="19"/>
      <c r="F21" s="19"/>
    </row>
    <row r="22" customFormat="false" ht="15" hidden="false" customHeight="false" outlineLevel="0" collapsed="false">
      <c r="B22" s="2" t="s">
        <v>471</v>
      </c>
    </row>
    <row r="23" customFormat="false" ht="15" hidden="false" customHeight="false" outlineLevel="0" collapsed="false">
      <c r="B23" s="20" t="s">
        <v>472</v>
      </c>
      <c r="C23" s="21" t="n">
        <v>10</v>
      </c>
      <c r="D23" s="22" t="s">
        <v>89</v>
      </c>
      <c r="E23" s="22"/>
      <c r="F23" s="23" t="n">
        <f aca="false">IF(ISNUMBER(C23),(C23+INDEX(O_Length,MATCH(D23,U_Length,0)))*INDEX(F_Length,MATCH(D23,U_Length,0)),"")</f>
        <v>3.048</v>
      </c>
      <c r="G23" s="17" t="s">
        <v>104</v>
      </c>
    </row>
    <row r="24" customFormat="false" ht="15" hidden="false" customHeight="false" outlineLevel="0" collapsed="false">
      <c r="B24" s="20" t="s">
        <v>71</v>
      </c>
      <c r="C24" s="21" t="n">
        <v>90</v>
      </c>
      <c r="D24" s="22" t="s">
        <v>461</v>
      </c>
      <c r="E24" s="22"/>
      <c r="F24" s="23" t="n">
        <f aca="false">IF(ISNUMBER(C24),(C24+INDEX(O_Angle,MATCH(D24,U_Angle,0)))*INDEX(F_Angle,MATCH(D24,U_Angle,0)),"")</f>
        <v>1.5707963267949</v>
      </c>
      <c r="G24" s="17" t="s">
        <v>468</v>
      </c>
    </row>
    <row r="25" customFormat="false" ht="15" hidden="false" customHeight="false" outlineLevel="0" collapsed="false">
      <c r="B25" s="24" t="s">
        <v>473</v>
      </c>
      <c r="C25" s="25" t="n">
        <f aca="false">IF(F25="","",IF((F25/INDEX(F_Length,MATCH(D25,U_Length,0))-INDEX(O_Length,MATCH(D25,U_Length,0)))=0,0,ROUND(F25/INDEX(F_Length,MATCH(D25,U_Length,0))-INDEX(O_Length,MATCH(D25,U_Length,0)),11-INT(LOG10(ABS(F25/INDEX(F_Length,MATCH(D25,U_Length,0))-INDEX(O_Length,MATCH(D25,U_Length,0))))))))</f>
        <v>4.78778720407</v>
      </c>
      <c r="D25" s="22" t="s">
        <v>87</v>
      </c>
      <c r="E25" s="22"/>
      <c r="F25" s="23" t="n">
        <f aca="false">IF(OR(F23="",F24=""),"",IFERROR(F23*F24,""))</f>
        <v>4.78778720407084</v>
      </c>
      <c r="G25" s="17" t="s">
        <v>104</v>
      </c>
    </row>
    <row r="26" customFormat="false" ht="15" hidden="false" customHeight="false" outlineLevel="0" collapsed="false">
      <c r="B26" s="24" t="s">
        <v>473</v>
      </c>
      <c r="C26" s="25" t="n">
        <f aca="false">IF(F26="","",IF((F26/INDEX(F_Length,MATCH(D26,U_Length,0))-INDEX(O_Length,MATCH(D26,U_Length,0)))=0,0,ROUND(F26/INDEX(F_Length,MATCH(D26,U_Length,0))-INDEX(O_Length,MATCH(D26,U_Length,0)),11-INT(LOG10(ABS(F26/INDEX(F_Length,MATCH(D26,U_Length,0))-INDEX(O_Length,MATCH(D26,U_Length,0))))))))</f>
        <v>15.7079632679</v>
      </c>
      <c r="D26" s="22" t="s">
        <v>89</v>
      </c>
      <c r="E26" s="22"/>
      <c r="F26" s="23" t="n">
        <f aca="false">IF(OR(F23="",F24=""),"",IFERROR(F23*F24,""))</f>
        <v>4.78778720407084</v>
      </c>
      <c r="G26" s="17" t="s">
        <v>104</v>
      </c>
    </row>
    <row r="28" customFormat="false" ht="15" hidden="false" customHeight="false" outlineLevel="0" collapsed="false">
      <c r="B28" s="3" t="s">
        <v>131</v>
      </c>
    </row>
    <row r="29" customFormat="false" ht="15" hidden="false" customHeight="false" outlineLevel="0" collapsed="false">
      <c r="B29" s="26" t="str">
        <f aca="false">IF(COUNT($D$32:$D$38)=0,"Type a number next to any unit below (e.g. next to the unit you know).",IF(COUNT($D$32:$D$38)&gt;1,"⚠ More than one value entered – clear all but one yellow cell.","Showing everything equal to "&amp;INDEX($D$32:$D$38,MATCH(TRUE(),INDEX(ISNUMBER($D$32:$D$38),0),0))&amp;" "&amp;INDEX(U_Angle,MATCH(TRUE(),INDEX(ISNUMBER($D$32:$D$38),0),0))))</f>
        <v>Type a number next to any unit below (e.g. next to the unit you know).</v>
      </c>
      <c r="C29" s="26"/>
      <c r="D29" s="26"/>
      <c r="E29" s="26"/>
      <c r="F29" s="26"/>
      <c r="G29" s="26"/>
    </row>
    <row r="30" customFormat="false" ht="15" hidden="false" customHeight="false" outlineLevel="0" collapsed="false">
      <c r="I30" s="27" t="s">
        <v>132</v>
      </c>
      <c r="J30" s="17" t="str">
        <f aca="false">IF(COUNT($D$32:$D$38)&lt;&gt;1,"",SUMPRODUCT(--ISNUMBER($D$32:$D$38),($D$32:$D$38+O_Angle)*F_Angle))</f>
        <v/>
      </c>
    </row>
    <row r="31" customFormat="false" ht="31.5" hidden="false" customHeight="true" outlineLevel="0" collapsed="false">
      <c r="B31" s="5" t="s">
        <v>133</v>
      </c>
      <c r="C31" s="5" t="s">
        <v>134</v>
      </c>
      <c r="D31" s="5" t="s">
        <v>135</v>
      </c>
      <c r="E31" s="5"/>
      <c r="F31" s="5" t="s">
        <v>136</v>
      </c>
      <c r="G31" s="5" t="s">
        <v>133</v>
      </c>
      <c r="I31" s="5" t="s">
        <v>474</v>
      </c>
      <c r="J31" s="5" t="s">
        <v>138</v>
      </c>
    </row>
    <row r="32" customFormat="false" ht="19.5" hidden="false" customHeight="true" outlineLevel="0" collapsed="false">
      <c r="B32" s="28" t="s">
        <v>462</v>
      </c>
      <c r="C32" s="29" t="s">
        <v>139</v>
      </c>
      <c r="D32" s="21"/>
      <c r="E32" s="30" t="s">
        <v>140</v>
      </c>
      <c r="F32" s="31" t="str">
        <f aca="false">IF($J$30="","",IF(($J$30/I32-J32)=0,0,ROUND($J$30/I32-J32,11-INT(LOG10(ABS($J$30/I32-J32))))))</f>
        <v/>
      </c>
      <c r="G32" s="32" t="str">
        <f aca="false">B32</f>
        <v>Radian (rad)</v>
      </c>
      <c r="I32" s="33" t="n">
        <v>1</v>
      </c>
      <c r="J32" s="33" t="n">
        <v>0</v>
      </c>
    </row>
    <row r="33" customFormat="false" ht="19.5" hidden="false" customHeight="true" outlineLevel="0" collapsed="false">
      <c r="B33" s="28" t="s">
        <v>475</v>
      </c>
      <c r="C33" s="29" t="s">
        <v>139</v>
      </c>
      <c r="D33" s="21"/>
      <c r="E33" s="30" t="s">
        <v>140</v>
      </c>
      <c r="F33" s="31" t="str">
        <f aca="false">IF($J$30="","",IF(($J$30/I33-J33)=0,0,ROUND($J$30/I33-J33,11-INT(LOG10(ABS($J$30/I33-J33))))))</f>
        <v/>
      </c>
      <c r="G33" s="32" t="str">
        <f aca="false">B33</f>
        <v>Milliradian (mrad)</v>
      </c>
      <c r="I33" s="33" t="n">
        <v>0.001</v>
      </c>
      <c r="J33" s="33" t="n">
        <v>0</v>
      </c>
    </row>
    <row r="34" customFormat="false" ht="19.5" hidden="false" customHeight="true" outlineLevel="0" collapsed="false">
      <c r="B34" s="28" t="s">
        <v>461</v>
      </c>
      <c r="C34" s="29" t="s">
        <v>151</v>
      </c>
      <c r="D34" s="21"/>
      <c r="E34" s="30" t="s">
        <v>140</v>
      </c>
      <c r="F34" s="31" t="str">
        <f aca="false">IF($J$30="","",IF(($J$30/I34-J34)=0,0,ROUND($J$30/I34-J34,11-INT(LOG10(ABS($J$30/I34-J34))))))</f>
        <v/>
      </c>
      <c r="G34" s="32" t="str">
        <f aca="false">B34</f>
        <v>Degree (°)</v>
      </c>
      <c r="I34" s="33" t="n">
        <f aca="false">PI()/180</f>
        <v>0.0174532925199433</v>
      </c>
      <c r="J34" s="33" t="n">
        <v>0</v>
      </c>
    </row>
    <row r="35" customFormat="false" ht="19.5" hidden="false" customHeight="true" outlineLevel="0" collapsed="false">
      <c r="B35" s="28" t="s">
        <v>476</v>
      </c>
      <c r="C35" s="29" t="s">
        <v>151</v>
      </c>
      <c r="D35" s="21"/>
      <c r="E35" s="30" t="s">
        <v>140</v>
      </c>
      <c r="F35" s="31" t="str">
        <f aca="false">IF($J$30="","",IF(($J$30/I35-J35)=0,0,ROUND($J$30/I35-J35,11-INT(LOG10(ABS($J$30/I35-J35))))))</f>
        <v/>
      </c>
      <c r="G35" s="32" t="str">
        <f aca="false">B35</f>
        <v>Arcminute (′)</v>
      </c>
      <c r="I35" s="33" t="n">
        <f aca="false">PI()/10800</f>
        <v>0.000290888208665722</v>
      </c>
      <c r="J35" s="33" t="n">
        <v>0</v>
      </c>
    </row>
    <row r="36" customFormat="false" ht="19.5" hidden="false" customHeight="true" outlineLevel="0" collapsed="false">
      <c r="B36" s="28" t="s">
        <v>477</v>
      </c>
      <c r="C36" s="29" t="s">
        <v>151</v>
      </c>
      <c r="D36" s="21"/>
      <c r="E36" s="30" t="s">
        <v>140</v>
      </c>
      <c r="F36" s="31" t="str">
        <f aca="false">IF($J$30="","",IF(($J$30/I36-J36)=0,0,ROUND($J$30/I36-J36,11-INT(LOG10(ABS($J$30/I36-J36))))))</f>
        <v/>
      </c>
      <c r="G36" s="32" t="str">
        <f aca="false">B36</f>
        <v>Arcsecond (″)</v>
      </c>
      <c r="I36" s="33" t="n">
        <f aca="false">PI()/648000</f>
        <v>4.84813681109536E-006</v>
      </c>
      <c r="J36" s="33" t="n">
        <v>0</v>
      </c>
    </row>
    <row r="37" customFormat="false" ht="19.5" hidden="false" customHeight="true" outlineLevel="0" collapsed="false">
      <c r="B37" s="28" t="s">
        <v>478</v>
      </c>
      <c r="C37" s="29" t="s">
        <v>151</v>
      </c>
      <c r="D37" s="21"/>
      <c r="E37" s="30" t="s">
        <v>140</v>
      </c>
      <c r="F37" s="31" t="str">
        <f aca="false">IF($J$30="","",IF(($J$30/I37-J37)=0,0,ROUND($J$30/I37-J37,11-INT(LOG10(ABS($J$30/I37-J37))))))</f>
        <v/>
      </c>
      <c r="G37" s="32" t="str">
        <f aca="false">B37</f>
        <v>Gradian (gon)</v>
      </c>
      <c r="I37" s="33" t="n">
        <f aca="false">PI()/200</f>
        <v>0.015707963267949</v>
      </c>
      <c r="J37" s="33" t="n">
        <v>0</v>
      </c>
    </row>
    <row r="38" customFormat="false" ht="19.5" hidden="false" customHeight="true" outlineLevel="0" collapsed="false">
      <c r="B38" s="28" t="s">
        <v>479</v>
      </c>
      <c r="C38" s="29" t="s">
        <v>151</v>
      </c>
      <c r="D38" s="21"/>
      <c r="E38" s="30" t="s">
        <v>140</v>
      </c>
      <c r="F38" s="31" t="str">
        <f aca="false">IF($J$30="","",IF(($J$30/I38-J38)=0,0,ROUND($J$30/I38-J38,11-INT(LOG10(ABS($J$30/I38-J38))))))</f>
        <v/>
      </c>
      <c r="G38" s="32" t="str">
        <f aca="false">B38</f>
        <v>Revolution (rev)</v>
      </c>
      <c r="I38" s="33" t="n">
        <f aca="false">2*PI()</f>
        <v>6.28318530717959</v>
      </c>
      <c r="J38" s="33" t="n">
        <v>0</v>
      </c>
    </row>
    <row r="40" customFormat="false" ht="15" hidden="false" customHeight="false" outlineLevel="0" collapsed="false">
      <c r="B40" s="17" t="s">
        <v>155</v>
      </c>
    </row>
    <row r="41" customFormat="false" ht="15" hidden="false" customHeight="false" outlineLevel="0" collapsed="false">
      <c r="B41" s="17" t="s">
        <v>156</v>
      </c>
    </row>
    <row r="42" customFormat="false" ht="15" hidden="false" customHeight="false" outlineLevel="0" collapsed="false">
      <c r="B42" s="17" t="s">
        <v>157</v>
      </c>
    </row>
  </sheetData>
  <mergeCells count="15">
    <mergeCell ref="C5:C6"/>
    <mergeCell ref="D5:D6"/>
    <mergeCell ref="E5:E6"/>
    <mergeCell ref="F5:F6"/>
    <mergeCell ref="G5:G6"/>
    <mergeCell ref="D13:E13"/>
    <mergeCell ref="D16:E16"/>
    <mergeCell ref="D17:E17"/>
    <mergeCell ref="D18:E18"/>
    <mergeCell ref="D19:E19"/>
    <mergeCell ref="D23:E23"/>
    <mergeCell ref="D24:E24"/>
    <mergeCell ref="D25:E25"/>
    <mergeCell ref="D26:E26"/>
    <mergeCell ref="B29:G29"/>
  </mergeCells>
  <conditionalFormatting sqref="B32:G38">
    <cfRule type="expression" priority="2" aboveAverage="0" equalAverage="0" bottom="0" percent="0" rank="0" text="" dxfId="0">
      <formula>ISNUMBER($D32)</formula>
    </cfRule>
  </conditionalFormatting>
  <dataValidations count="3">
    <dataValidation allowBlank="true" error="Please type a number." errorStyle="stop" errorTitle="Number only" operator="between" showDropDown="false" showErrorMessage="true" showInputMessage="false" sqref="C5 C16:C17 C23:C24 D32:D38" type="decimal">
      <formula1>-1E+307</formula1>
      <formula2>1E+307</formula2>
    </dataValidation>
    <dataValidation allowBlank="false" error="Pick a unit from the list." errorStyle="stop" errorTitle="Unit" operator="between" showDropDown="false" showErrorMessage="true" showInputMessage="false" sqref="D5 G5 D18 D24" type="list">
      <formula1>U_Angle</formula1>
      <formula2>0</formula2>
    </dataValidation>
    <dataValidation allowBlank="false" error="Pick a unit from the list." errorStyle="stop" errorTitle="Unit" operator="between" showDropDown="false" showErrorMessage="true" showInputMessage="false" sqref="D16:D17 D23 D25:D26" type="list">
      <formula1>U_Length</formula1>
      <formula2>0</formula2>
    </dataValidation>
  </dataValidations>
  <hyperlinks>
    <hyperlink ref="B2" r:id="rId1" location="Home!A1" display="SI base unit for this sheet: radian (rad).  Blue cells on yellow = type here; drop-downs = choose unit.  ← Back to the Home sheet"/>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J4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2"/>
    <col collapsed="false" customWidth="true" hidden="false" outlineLevel="0" max="2" min="2" style="0" width="38"/>
    <col collapsed="false" customWidth="true" hidden="false" outlineLevel="0" max="3" min="3" style="0" width="18"/>
    <col collapsed="false" customWidth="true" hidden="false" outlineLevel="0" max="4" min="4" style="0" width="24"/>
    <col collapsed="false" customWidth="true" hidden="false" outlineLevel="0" max="5" min="5" style="0" width="10"/>
    <col collapsed="false" customWidth="true" hidden="false" outlineLevel="0" max="6" min="6" style="0" width="22"/>
    <col collapsed="false" customWidth="true" hidden="false" outlineLevel="0" max="7" min="7" style="0" width="34"/>
    <col collapsed="false" customWidth="true" hidden="false" outlineLevel="0" max="8" min="8" style="0" width="3"/>
    <col collapsed="false" customWidth="true" hidden="false" outlineLevel="0" max="9" min="9" style="0" width="20"/>
    <col collapsed="false" customWidth="true" hidden="false" outlineLevel="0" max="10" min="10" style="0" width="12"/>
  </cols>
  <sheetData>
    <row r="1" customFormat="false" ht="22.05" hidden="false" customHeight="false" outlineLevel="0" collapsed="false">
      <c r="B1" s="9" t="s">
        <v>480</v>
      </c>
    </row>
    <row r="2" customFormat="false" ht="15" hidden="false" customHeight="false" outlineLevel="0" collapsed="false">
      <c r="B2" s="2" t="s">
        <v>481</v>
      </c>
    </row>
    <row r="4" customFormat="false" ht="15" hidden="false" customHeight="false" outlineLevel="0" collapsed="false">
      <c r="B4" s="3" t="s">
        <v>85</v>
      </c>
    </row>
    <row r="5" customFormat="false" ht="15" hidden="false" customHeight="true" outlineLevel="0" collapsed="false">
      <c r="B5" s="10" t="s">
        <v>86</v>
      </c>
      <c r="C5" s="11" t="n">
        <v>1</v>
      </c>
      <c r="D5" s="12" t="s">
        <v>482</v>
      </c>
      <c r="E5" s="13" t="s">
        <v>88</v>
      </c>
      <c r="F5" s="14" t="n">
        <f aca="false">IF(ISNUMBER(C5),IF((((C5+INDEX(O_Frequency,MATCH(D5,U_Frequency,0)))*INDEX(F_Frequency,MATCH(D5,U_Frequency,0)))/INDEX(F_Frequency,MATCH(G5,U_Frequency,0))-INDEX(O_Frequency,MATCH(G5,U_Frequency,0)))=0,0,ROUND(((C5+INDEX(O_Frequency,MATCH(D5,U_Frequency,0)))*INDEX(F_Frequency,MATCH(D5,U_Frequency,0)))/INDEX(F_Frequency,MATCH(G5,U_Frequency,0))-INDEX(O_Frequency,MATCH(G5,U_Frequency,0)),11-INT(LOG10(ABS(((C5+INDEX(O_Frequency,MATCH(D5,U_Frequency,0)))*INDEX(F_Frequency,MATCH(D5,U_Frequency,0)))/INDEX(F_Frequency,MATCH(G5,U_Frequency,0))-INDEX(O_Frequency,MATCH(G5,U_Frequency,0))))))),"")</f>
        <v>60</v>
      </c>
      <c r="G5" s="12" t="s">
        <v>384</v>
      </c>
    </row>
    <row r="6" customFormat="false" ht="15" hidden="false" customHeight="false" outlineLevel="0" collapsed="false">
      <c r="C6" s="11"/>
      <c r="D6" s="11"/>
      <c r="E6" s="13"/>
      <c r="F6" s="14"/>
      <c r="G6" s="14"/>
    </row>
    <row r="7" customFormat="false" ht="15" hidden="false" customHeight="false" outlineLevel="0" collapsed="false">
      <c r="C7" s="15" t="s">
        <v>90</v>
      </c>
      <c r="D7" s="15" t="s">
        <v>91</v>
      </c>
      <c r="F7" s="15" t="s">
        <v>92</v>
      </c>
      <c r="G7" s="15" t="s">
        <v>93</v>
      </c>
    </row>
    <row r="8" customFormat="false" ht="15" hidden="false" customHeight="false" outlineLevel="0" collapsed="false">
      <c r="B8" s="10" t="s">
        <v>94</v>
      </c>
      <c r="C8" s="16" t="str">
        <f aca="false">IF(ISNUMBER(F5),C5&amp;" "&amp;D5&amp;" = "&amp;TEXT(F5,"General")&amp;" "&amp;G5,"Enter a number in the yellow Value box")</f>
        <v>1 Hertz (Hz) = 60 Revolutions per minute (rpm)</v>
      </c>
    </row>
    <row r="9" customFormat="false" ht="15" hidden="false" customHeight="false" outlineLevel="0" collapsed="false">
      <c r="B9" s="10" t="s">
        <v>95</v>
      </c>
      <c r="C9" s="16" t="str">
        <f aca="false">"1 "&amp;G5&amp;" = "&amp;TEXT(IF((((1+INDEX(O_Frequency,MATCH(G5,U_Frequency,0)))*INDEX(F_Frequency,MATCH(G5,U_Frequency,0)))/INDEX(F_Frequency,MATCH(D5,U_Frequency,0))-INDEX(O_Frequency,MATCH(D5,U_Frequency,0)))=0,0,ROUND(((1+INDEX(O_Frequency,MATCH(G5,U_Frequency,0)))*INDEX(F_Frequency,MATCH(G5,U_Frequency,0)))/INDEX(F_Frequency,MATCH(D5,U_Frequency,0))-INDEX(O_Frequency,MATCH(D5,U_Frequency,0)),11-INT(LOG10(ABS(((1+INDEX(O_Frequency,MATCH(G5,U_Frequency,0)))*INDEX(F_Frequency,MATCH(G5,U_Frequency,0)))/INDEX(F_Frequency,MATCH(D5,U_Frequency,0))-INDEX(O_Frequency,MATCH(D5,U_Frequency,0))))))),"General")&amp;" "&amp;D5</f>
        <v>1 Revolutions per minute (rpm) = 0.0166666666667 Hertz (Hz)</v>
      </c>
    </row>
    <row r="10" customFormat="false" ht="15" hidden="false" customHeight="false" outlineLevel="0" collapsed="false">
      <c r="B10" s="17" t="s">
        <v>96</v>
      </c>
    </row>
    <row r="12" customFormat="false" ht="15" hidden="false" customHeight="false" outlineLevel="0" collapsed="false">
      <c r="B12" s="3" t="s">
        <v>97</v>
      </c>
    </row>
    <row r="13" customFormat="false" ht="15" hidden="false" customHeight="true" outlineLevel="0" collapsed="false">
      <c r="B13" s="5" t="s">
        <v>98</v>
      </c>
      <c r="C13" s="5" t="s">
        <v>86</v>
      </c>
      <c r="D13" s="5" t="s">
        <v>99</v>
      </c>
      <c r="E13" s="5"/>
      <c r="F13" s="5" t="s">
        <v>100</v>
      </c>
    </row>
    <row r="14" customFormat="false" ht="15" hidden="false" customHeight="false" outlineLevel="0" collapsed="false">
      <c r="B14" s="18" t="s">
        <v>483</v>
      </c>
      <c r="C14" s="19"/>
      <c r="D14" s="19"/>
      <c r="E14" s="19"/>
      <c r="F14" s="19"/>
    </row>
    <row r="15" customFormat="false" ht="15" hidden="false" customHeight="false" outlineLevel="0" collapsed="false">
      <c r="B15" s="2" t="s">
        <v>484</v>
      </c>
    </row>
    <row r="16" customFormat="false" ht="15" hidden="false" customHeight="false" outlineLevel="0" collapsed="false">
      <c r="B16" s="20" t="s">
        <v>485</v>
      </c>
      <c r="C16" s="21" t="n">
        <v>20</v>
      </c>
      <c r="D16" s="22" t="s">
        <v>310</v>
      </c>
      <c r="E16" s="22"/>
      <c r="F16" s="23" t="n">
        <f aca="false">IF(ISNUMBER(C16),(C16+INDEX(O_Time,MATCH(D16,U_Time,0)))*INDEX(F_Time,MATCH(D16,U_Time,0)),"")</f>
        <v>0.02</v>
      </c>
      <c r="G16" s="17" t="s">
        <v>127</v>
      </c>
    </row>
    <row r="17" customFormat="false" ht="15" hidden="false" customHeight="false" outlineLevel="0" collapsed="false">
      <c r="B17" s="24" t="s">
        <v>486</v>
      </c>
      <c r="C17" s="25" t="n">
        <f aca="false">IF(F17="","",IF((F17/INDEX(F_Frequency,MATCH(D17,U_Frequency,0))-INDEX(O_Frequency,MATCH(D17,U_Frequency,0)))=0,0,ROUND(F17/INDEX(F_Frequency,MATCH(D17,U_Frequency,0))-INDEX(O_Frequency,MATCH(D17,U_Frequency,0)),11-INT(LOG10(ABS(F17/INDEX(F_Frequency,MATCH(D17,U_Frequency,0))-INDEX(O_Frequency,MATCH(D17,U_Frequency,0))))))))</f>
        <v>50</v>
      </c>
      <c r="D17" s="22" t="s">
        <v>482</v>
      </c>
      <c r="E17" s="22"/>
      <c r="F17" s="23" t="n">
        <f aca="false">IF(F16="","",IFERROR(1/F16,""))</f>
        <v>50</v>
      </c>
      <c r="G17" s="17" t="s">
        <v>385</v>
      </c>
    </row>
    <row r="18" customFormat="false" ht="15" hidden="false" customHeight="false" outlineLevel="0" collapsed="false">
      <c r="B18" s="24" t="s">
        <v>486</v>
      </c>
      <c r="C18" s="25" t="n">
        <f aca="false">IF(F18="","",IF((F18/INDEX(F_Frequency,MATCH(D18,U_Frequency,0))-INDEX(O_Frequency,MATCH(D18,U_Frequency,0)))=0,0,ROUND(F18/INDEX(F_Frequency,MATCH(D18,U_Frequency,0))-INDEX(O_Frequency,MATCH(D18,U_Frequency,0)),11-INT(LOG10(ABS(F18/INDEX(F_Frequency,MATCH(D18,U_Frequency,0))-INDEX(O_Frequency,MATCH(D18,U_Frequency,0))))))))</f>
        <v>3000</v>
      </c>
      <c r="D18" s="22" t="s">
        <v>384</v>
      </c>
      <c r="E18" s="22"/>
      <c r="F18" s="23" t="n">
        <f aca="false">IF(F16="","",IFERROR(1/F16,""))</f>
        <v>50</v>
      </c>
      <c r="G18" s="17" t="s">
        <v>385</v>
      </c>
    </row>
    <row r="20" customFormat="false" ht="15" hidden="false" customHeight="false" outlineLevel="0" collapsed="false">
      <c r="B20" s="18" t="s">
        <v>487</v>
      </c>
      <c r="C20" s="19"/>
      <c r="D20" s="19"/>
      <c r="E20" s="19"/>
      <c r="F20" s="19"/>
    </row>
    <row r="21" customFormat="false" ht="15" hidden="false" customHeight="false" outlineLevel="0" collapsed="false">
      <c r="B21" s="2" t="s">
        <v>488</v>
      </c>
    </row>
    <row r="22" customFormat="false" ht="15" hidden="false" customHeight="false" outlineLevel="0" collapsed="false">
      <c r="B22" s="20" t="s">
        <v>489</v>
      </c>
      <c r="C22" s="21" t="n">
        <v>2</v>
      </c>
      <c r="D22" s="22" t="s">
        <v>287</v>
      </c>
      <c r="E22" s="22"/>
      <c r="F22" s="23" t="n">
        <f aca="false">IF(ISNUMBER(C22),(C22+INDEX(O_Speed,MATCH(D22,U_Speed,0)))*INDEX(F_Speed,MATCH(D22,U_Speed,0)),"")</f>
        <v>2</v>
      </c>
      <c r="G22" s="17" t="s">
        <v>125</v>
      </c>
    </row>
    <row r="23" customFormat="false" ht="15" hidden="false" customHeight="false" outlineLevel="0" collapsed="false">
      <c r="B23" s="20" t="s">
        <v>169</v>
      </c>
      <c r="C23" s="21" t="n">
        <v>6</v>
      </c>
      <c r="D23" s="22" t="s">
        <v>107</v>
      </c>
      <c r="E23" s="22"/>
      <c r="F23" s="23" t="n">
        <f aca="false">IF(ISNUMBER(C23),(C23+INDEX(O_Length,MATCH(D23,U_Length,0)))*INDEX(F_Length,MATCH(D23,U_Length,0)),"")</f>
        <v>0.1524</v>
      </c>
      <c r="G23" s="17" t="s">
        <v>104</v>
      </c>
    </row>
    <row r="24" customFormat="false" ht="15" hidden="false" customHeight="false" outlineLevel="0" collapsed="false">
      <c r="B24" s="24" t="s">
        <v>286</v>
      </c>
      <c r="C24" s="25" t="n">
        <f aca="false">IF(F24="","",IF((F24/INDEX(F_Frequency,MATCH(D24,U_Frequency,0))-INDEX(O_Frequency,MATCH(D24,U_Frequency,0)))=0,0,ROUND(F24/INDEX(F_Frequency,MATCH(D24,U_Frequency,0))-INDEX(O_Frequency,MATCH(D24,U_Frequency,0)),11-INT(LOG10(ABS(F24/INDEX(F_Frequency,MATCH(D24,U_Frequency,0))-INDEX(O_Frequency,MATCH(D24,U_Frequency,0))))))))</f>
        <v>250.637705657</v>
      </c>
      <c r="D24" s="22" t="s">
        <v>384</v>
      </c>
      <c r="E24" s="22"/>
      <c r="F24" s="23" t="n">
        <f aca="false">IF(OR(F22="",F23=""),"",IFERROR(F22/(PI()*F23),""))</f>
        <v>4.17729509427547</v>
      </c>
      <c r="G24" s="17" t="s">
        <v>385</v>
      </c>
    </row>
    <row r="25" customFormat="false" ht="15" hidden="false" customHeight="false" outlineLevel="0" collapsed="false">
      <c r="B25" s="24" t="s">
        <v>286</v>
      </c>
      <c r="C25" s="25" t="n">
        <f aca="false">IF(F25="","",IF((F25/INDEX(F_Frequency,MATCH(D25,U_Frequency,0))-INDEX(O_Frequency,MATCH(D25,U_Frequency,0)))=0,0,ROUND(F25/INDEX(F_Frequency,MATCH(D25,U_Frequency,0))-INDEX(O_Frequency,MATCH(D25,U_Frequency,0)),11-INT(LOG10(ABS(F25/INDEX(F_Frequency,MATCH(D25,U_Frequency,0))-INDEX(O_Frequency,MATCH(D25,U_Frequency,0))))))))</f>
        <v>4.17729509428</v>
      </c>
      <c r="D25" s="22" t="s">
        <v>482</v>
      </c>
      <c r="E25" s="22"/>
      <c r="F25" s="23" t="n">
        <f aca="false">IF(OR(F22="",F23=""),"",IFERROR(F22/(PI()*F23),""))</f>
        <v>4.17729509427547</v>
      </c>
      <c r="G25" s="17" t="s">
        <v>385</v>
      </c>
    </row>
    <row r="27" customFormat="false" ht="15" hidden="false" customHeight="false" outlineLevel="0" collapsed="false">
      <c r="B27" s="3" t="s">
        <v>131</v>
      </c>
    </row>
    <row r="28" customFormat="false" ht="15" hidden="false" customHeight="false" outlineLevel="0" collapsed="false">
      <c r="B28" s="26" t="str">
        <f aca="false">IF(COUNT($D$31:$D$36)=0,"Type a number next to any unit below (e.g. next to the unit you know).",IF(COUNT($D$31:$D$36)&gt;1,"⚠ More than one value entered – clear all but one yellow cell.","Showing everything equal to "&amp;INDEX($D$31:$D$36,MATCH(TRUE(),INDEX(ISNUMBER($D$31:$D$36),0),0))&amp;" "&amp;INDEX(U_Frequency,MATCH(TRUE(),INDEX(ISNUMBER($D$31:$D$36),0),0))))</f>
        <v>Type a number next to any unit below (e.g. next to the unit you know).</v>
      </c>
      <c r="C28" s="26"/>
      <c r="D28" s="26"/>
      <c r="E28" s="26"/>
      <c r="F28" s="26"/>
      <c r="G28" s="26"/>
    </row>
    <row r="29" customFormat="false" ht="15" hidden="false" customHeight="false" outlineLevel="0" collapsed="false">
      <c r="I29" s="27" t="s">
        <v>132</v>
      </c>
      <c r="J29" s="17" t="str">
        <f aca="false">IF(COUNT($D$31:$D$36)&lt;&gt;1,"",SUMPRODUCT(--ISNUMBER($D$31:$D$36),($D$31:$D$36+O_Frequency)*F_Frequency))</f>
        <v/>
      </c>
    </row>
    <row r="30" customFormat="false" ht="31.5" hidden="false" customHeight="true" outlineLevel="0" collapsed="false">
      <c r="B30" s="5" t="s">
        <v>133</v>
      </c>
      <c r="C30" s="5" t="s">
        <v>134</v>
      </c>
      <c r="D30" s="5" t="s">
        <v>135</v>
      </c>
      <c r="E30" s="5"/>
      <c r="F30" s="5" t="s">
        <v>136</v>
      </c>
      <c r="G30" s="5" t="s">
        <v>133</v>
      </c>
      <c r="I30" s="5" t="s">
        <v>490</v>
      </c>
      <c r="J30" s="5" t="s">
        <v>138</v>
      </c>
    </row>
    <row r="31" customFormat="false" ht="19.5" hidden="false" customHeight="true" outlineLevel="0" collapsed="false">
      <c r="B31" s="28" t="s">
        <v>482</v>
      </c>
      <c r="C31" s="29" t="s">
        <v>139</v>
      </c>
      <c r="D31" s="21"/>
      <c r="E31" s="30" t="s">
        <v>140</v>
      </c>
      <c r="F31" s="31" t="str">
        <f aca="false">IF($J$29="","",IF(($J$29/I31-J31)=0,0,ROUND($J$29/I31-J31,11-INT(LOG10(ABS($J$29/I31-J31))))))</f>
        <v/>
      </c>
      <c r="G31" s="32" t="str">
        <f aca="false">B31</f>
        <v>Hertz (Hz)</v>
      </c>
      <c r="I31" s="33" t="n">
        <v>1</v>
      </c>
      <c r="J31" s="33" t="n">
        <v>0</v>
      </c>
    </row>
    <row r="32" customFormat="false" ht="19.5" hidden="false" customHeight="true" outlineLevel="0" collapsed="false">
      <c r="B32" s="28" t="s">
        <v>491</v>
      </c>
      <c r="C32" s="29" t="s">
        <v>139</v>
      </c>
      <c r="D32" s="21"/>
      <c r="E32" s="30" t="s">
        <v>140</v>
      </c>
      <c r="F32" s="31" t="str">
        <f aca="false">IF($J$29="","",IF(($J$29/I32-J32)=0,0,ROUND($J$29/I32-J32,11-INT(LOG10(ABS($J$29/I32-J32))))))</f>
        <v/>
      </c>
      <c r="G32" s="32" t="str">
        <f aca="false">B32</f>
        <v>Kilohertz (kHz)</v>
      </c>
      <c r="I32" s="33" t="n">
        <v>1000</v>
      </c>
      <c r="J32" s="33" t="n">
        <v>0</v>
      </c>
    </row>
    <row r="33" customFormat="false" ht="19.5" hidden="false" customHeight="true" outlineLevel="0" collapsed="false">
      <c r="B33" s="28" t="s">
        <v>492</v>
      </c>
      <c r="C33" s="29" t="s">
        <v>139</v>
      </c>
      <c r="D33" s="21"/>
      <c r="E33" s="30" t="s">
        <v>140</v>
      </c>
      <c r="F33" s="31" t="str">
        <f aca="false">IF($J$29="","",IF(($J$29/I33-J33)=0,0,ROUND($J$29/I33-J33,11-INT(LOG10(ABS($J$29/I33-J33))))))</f>
        <v/>
      </c>
      <c r="G33" s="32" t="str">
        <f aca="false">B33</f>
        <v>Megahertz (MHz)</v>
      </c>
      <c r="I33" s="33" t="n">
        <v>1000000</v>
      </c>
      <c r="J33" s="33" t="n">
        <v>0</v>
      </c>
    </row>
    <row r="34" customFormat="false" ht="19.5" hidden="false" customHeight="true" outlineLevel="0" collapsed="false">
      <c r="B34" s="28" t="s">
        <v>493</v>
      </c>
      <c r="C34" s="29" t="s">
        <v>139</v>
      </c>
      <c r="D34" s="21"/>
      <c r="E34" s="30" t="s">
        <v>140</v>
      </c>
      <c r="F34" s="31" t="str">
        <f aca="false">IF($J$29="","",IF(($J$29/I34-J34)=0,0,ROUND($J$29/I34-J34,11-INT(LOG10(ABS($J$29/I34-J34))))))</f>
        <v/>
      </c>
      <c r="G34" s="32" t="str">
        <f aca="false">B34</f>
        <v>Gigahertz (GHz)</v>
      </c>
      <c r="I34" s="33" t="n">
        <v>1000000000</v>
      </c>
      <c r="J34" s="33" t="n">
        <v>0</v>
      </c>
    </row>
    <row r="35" customFormat="false" ht="19.5" hidden="false" customHeight="true" outlineLevel="0" collapsed="false">
      <c r="B35" s="28" t="s">
        <v>384</v>
      </c>
      <c r="C35" s="29" t="s">
        <v>151</v>
      </c>
      <c r="D35" s="21"/>
      <c r="E35" s="30" t="s">
        <v>140</v>
      </c>
      <c r="F35" s="31" t="str">
        <f aca="false">IF($J$29="","",IF(($J$29/I35-J35)=0,0,ROUND($J$29/I35-J35,11-INT(LOG10(ABS($J$29/I35-J35))))))</f>
        <v/>
      </c>
      <c r="G35" s="32" t="str">
        <f aca="false">B35</f>
        <v>Revolutions per minute (rpm)</v>
      </c>
      <c r="I35" s="33" t="n">
        <f aca="false">1/60</f>
        <v>0.0166666666666667</v>
      </c>
      <c r="J35" s="33" t="n">
        <v>0</v>
      </c>
    </row>
    <row r="36" customFormat="false" ht="19.5" hidden="false" customHeight="true" outlineLevel="0" collapsed="false">
      <c r="B36" s="28" t="s">
        <v>494</v>
      </c>
      <c r="C36" s="29" t="s">
        <v>151</v>
      </c>
      <c r="D36" s="21"/>
      <c r="E36" s="30" t="s">
        <v>140</v>
      </c>
      <c r="F36" s="31" t="str">
        <f aca="false">IF($J$29="","",IF(($J$29/I36-J36)=0,0,ROUND($J$29/I36-J36,11-INT(LOG10(ABS($J$29/I36-J36))))))</f>
        <v/>
      </c>
      <c r="G36" s="32" t="str">
        <f aca="false">B36</f>
        <v>Radian per second (rad/s)</v>
      </c>
      <c r="I36" s="33" t="n">
        <f aca="false">1/(2*PI())</f>
        <v>0.159154943091895</v>
      </c>
      <c r="J36" s="33" t="n">
        <v>0</v>
      </c>
    </row>
    <row r="38" customFormat="false" ht="15" hidden="false" customHeight="false" outlineLevel="0" collapsed="false">
      <c r="B38" s="17" t="s">
        <v>155</v>
      </c>
    </row>
    <row r="39" customFormat="false" ht="15" hidden="false" customHeight="false" outlineLevel="0" collapsed="false">
      <c r="B39" s="17" t="s">
        <v>156</v>
      </c>
    </row>
    <row r="40" customFormat="false" ht="15" hidden="false" customHeight="false" outlineLevel="0" collapsed="false">
      <c r="B40" s="17" t="s">
        <v>157</v>
      </c>
    </row>
  </sheetData>
  <mergeCells count="14">
    <mergeCell ref="C5:C6"/>
    <mergeCell ref="D5:D6"/>
    <mergeCell ref="E5:E6"/>
    <mergeCell ref="F5:F6"/>
    <mergeCell ref="G5:G6"/>
    <mergeCell ref="D13:E13"/>
    <mergeCell ref="D16:E16"/>
    <mergeCell ref="D17:E17"/>
    <mergeCell ref="D18:E18"/>
    <mergeCell ref="D22:E22"/>
    <mergeCell ref="D23:E23"/>
    <mergeCell ref="D24:E24"/>
    <mergeCell ref="D25:E25"/>
    <mergeCell ref="B28:G28"/>
  </mergeCells>
  <conditionalFormatting sqref="B31:G36">
    <cfRule type="expression" priority="2" aboveAverage="0" equalAverage="0" bottom="0" percent="0" rank="0" text="" dxfId="0">
      <formula>ISNUMBER($D31)</formula>
    </cfRule>
  </conditionalFormatting>
  <dataValidations count="5">
    <dataValidation allowBlank="true" error="Please type a number." errorStyle="stop" errorTitle="Number only" operator="between" showDropDown="false" showErrorMessage="true" showInputMessage="false" sqref="C5 C16 C22:C23 D31:D36" type="decimal">
      <formula1>-1E+307</formula1>
      <formula2>1E+307</formula2>
    </dataValidation>
    <dataValidation allowBlank="false" error="Pick a unit from the list." errorStyle="stop" errorTitle="Unit" operator="between" showDropDown="false" showErrorMessage="true" showInputMessage="false" sqref="D5 G5 D17:D18 D24:D25" type="list">
      <formula1>U_Frequency</formula1>
      <formula2>0</formula2>
    </dataValidation>
    <dataValidation allowBlank="false" error="Pick a unit from the list." errorStyle="stop" errorTitle="Unit" operator="between" showDropDown="false" showErrorMessage="true" showInputMessage="false" sqref="D16" type="list">
      <formula1>U_Time</formula1>
      <formula2>0</formula2>
    </dataValidation>
    <dataValidation allowBlank="false" error="Pick a unit from the list." errorStyle="stop" errorTitle="Unit" operator="between" showDropDown="false" showErrorMessage="true" showInputMessage="false" sqref="D22" type="list">
      <formula1>U_Speed</formula1>
      <formula2>0</formula2>
    </dataValidation>
    <dataValidation allowBlank="false" error="Pick a unit from the list." errorStyle="stop" errorTitle="Unit" operator="between" showDropDown="false" showErrorMessage="true" showInputMessage="false" sqref="D23" type="list">
      <formula1>U_Length</formula1>
      <formula2>0</formula2>
    </dataValidation>
  </dataValidations>
  <hyperlinks>
    <hyperlink ref="B2" r:id="rId1" location="Home!A1" display="SI base unit for this sheet: hertz (Hz).  Blue cells on yellow = type here; drop-downs = choose unit.  ← Back to the Home sheet"/>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J5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2"/>
    <col collapsed="false" customWidth="true" hidden="false" outlineLevel="0" max="2" min="2" style="0" width="38"/>
    <col collapsed="false" customWidth="true" hidden="false" outlineLevel="0" max="3" min="3" style="0" width="18"/>
    <col collapsed="false" customWidth="true" hidden="false" outlineLevel="0" max="4" min="4" style="0" width="24"/>
    <col collapsed="false" customWidth="true" hidden="false" outlineLevel="0" max="5" min="5" style="0" width="10"/>
    <col collapsed="false" customWidth="true" hidden="false" outlineLevel="0" max="6" min="6" style="0" width="22"/>
    <col collapsed="false" customWidth="true" hidden="false" outlineLevel="0" max="7" min="7" style="0" width="34"/>
    <col collapsed="false" customWidth="true" hidden="false" outlineLevel="0" max="8" min="8" style="0" width="3"/>
    <col collapsed="false" customWidth="true" hidden="false" outlineLevel="0" max="9" min="9" style="0" width="20"/>
    <col collapsed="false" customWidth="true" hidden="false" outlineLevel="0" max="10" min="10" style="0" width="12"/>
  </cols>
  <sheetData>
    <row r="1" customFormat="false" ht="22.05" hidden="false" customHeight="false" outlineLevel="0" collapsed="false">
      <c r="B1" s="9" t="s">
        <v>495</v>
      </c>
    </row>
    <row r="2" customFormat="false" ht="15" hidden="false" customHeight="false" outlineLevel="0" collapsed="false">
      <c r="B2" s="2" t="s">
        <v>496</v>
      </c>
    </row>
    <row r="4" customFormat="false" ht="15" hidden="false" customHeight="false" outlineLevel="0" collapsed="false">
      <c r="B4" s="3" t="s">
        <v>85</v>
      </c>
    </row>
    <row r="5" customFormat="false" ht="15" hidden="false" customHeight="true" outlineLevel="0" collapsed="false">
      <c r="B5" s="10" t="s">
        <v>86</v>
      </c>
      <c r="C5" s="11" t="n">
        <v>1</v>
      </c>
      <c r="D5" s="12" t="s">
        <v>497</v>
      </c>
      <c r="E5" s="13" t="s">
        <v>88</v>
      </c>
      <c r="F5" s="14" t="n">
        <f aca="false">IF(ISNUMBER(C5),IF((((C5+INDEX(O_Data_Storage,MATCH(D5,U_Data_Storage,0)))*INDEX(F_Data_Storage,MATCH(D5,U_Data_Storage,0)))/INDEX(F_Data_Storage,MATCH(G5,U_Data_Storage,0))-INDEX(O_Data_Storage,MATCH(G5,U_Data_Storage,0)))=0,0,ROUND(((C5+INDEX(O_Data_Storage,MATCH(D5,U_Data_Storage,0)))*INDEX(F_Data_Storage,MATCH(D5,U_Data_Storage,0)))/INDEX(F_Data_Storage,MATCH(G5,U_Data_Storage,0))-INDEX(O_Data_Storage,MATCH(G5,U_Data_Storage,0)),11-INT(LOG10(ABS(((C5+INDEX(O_Data_Storage,MATCH(D5,U_Data_Storage,0)))*INDEX(F_Data_Storage,MATCH(D5,U_Data_Storage,0)))/INDEX(F_Data_Storage,MATCH(G5,U_Data_Storage,0))-INDEX(O_Data_Storage,MATCH(G5,U_Data_Storage,0))))))),"")</f>
        <v>0.953674316406</v>
      </c>
      <c r="G5" s="12" t="s">
        <v>498</v>
      </c>
    </row>
    <row r="6" customFormat="false" ht="15" hidden="false" customHeight="false" outlineLevel="0" collapsed="false">
      <c r="C6" s="11"/>
      <c r="D6" s="11"/>
      <c r="E6" s="13"/>
      <c r="F6" s="14"/>
      <c r="G6" s="14"/>
    </row>
    <row r="7" customFormat="false" ht="15" hidden="false" customHeight="false" outlineLevel="0" collapsed="false">
      <c r="C7" s="15" t="s">
        <v>90</v>
      </c>
      <c r="D7" s="15" t="s">
        <v>91</v>
      </c>
      <c r="F7" s="15" t="s">
        <v>92</v>
      </c>
      <c r="G7" s="15" t="s">
        <v>93</v>
      </c>
    </row>
    <row r="8" customFormat="false" ht="15" hidden="false" customHeight="false" outlineLevel="0" collapsed="false">
      <c r="B8" s="10" t="s">
        <v>94</v>
      </c>
      <c r="C8" s="16" t="str">
        <f aca="false">IF(ISNUMBER(F5),C5&amp;" "&amp;D5&amp;" = "&amp;TEXT(F5,"General")&amp;" "&amp;G5,"Enter a number in the yellow Value box")</f>
        <v>1 Megabyte (MB) = 0.953674316406 Mebibyte (MiB)</v>
      </c>
    </row>
    <row r="9" customFormat="false" ht="15" hidden="false" customHeight="false" outlineLevel="0" collapsed="false">
      <c r="B9" s="10" t="s">
        <v>95</v>
      </c>
      <c r="C9" s="16" t="str">
        <f aca="false">"1 "&amp;G5&amp;" = "&amp;TEXT(IF((((1+INDEX(O_Data_Storage,MATCH(G5,U_Data_Storage,0)))*INDEX(F_Data_Storage,MATCH(G5,U_Data_Storage,0)))/INDEX(F_Data_Storage,MATCH(D5,U_Data_Storage,0))-INDEX(O_Data_Storage,MATCH(D5,U_Data_Storage,0)))=0,0,ROUND(((1+INDEX(O_Data_Storage,MATCH(G5,U_Data_Storage,0)))*INDEX(F_Data_Storage,MATCH(G5,U_Data_Storage,0)))/INDEX(F_Data_Storage,MATCH(D5,U_Data_Storage,0))-INDEX(O_Data_Storage,MATCH(D5,U_Data_Storage,0)),11-INT(LOG10(ABS(((1+INDEX(O_Data_Storage,MATCH(G5,U_Data_Storage,0)))*INDEX(F_Data_Storage,MATCH(G5,U_Data_Storage,0)))/INDEX(F_Data_Storage,MATCH(D5,U_Data_Storage,0))-INDEX(O_Data_Storage,MATCH(D5,U_Data_Storage,0))))))),"General")&amp;" "&amp;D5</f>
        <v>1 Mebibyte (MiB) = 1.048576 Megabyte (MB)</v>
      </c>
    </row>
    <row r="10" customFormat="false" ht="15" hidden="false" customHeight="false" outlineLevel="0" collapsed="false">
      <c r="B10" s="17" t="s">
        <v>96</v>
      </c>
    </row>
    <row r="12" customFormat="false" ht="15" hidden="false" customHeight="false" outlineLevel="0" collapsed="false">
      <c r="B12" s="3" t="s">
        <v>97</v>
      </c>
    </row>
    <row r="13" customFormat="false" ht="15" hidden="false" customHeight="true" outlineLevel="0" collapsed="false">
      <c r="B13" s="5" t="s">
        <v>98</v>
      </c>
      <c r="C13" s="5" t="s">
        <v>86</v>
      </c>
      <c r="D13" s="5" t="s">
        <v>99</v>
      </c>
      <c r="E13" s="5"/>
      <c r="F13" s="5" t="s">
        <v>100</v>
      </c>
    </row>
    <row r="14" customFormat="false" ht="15" hidden="false" customHeight="false" outlineLevel="0" collapsed="false">
      <c r="B14" s="18" t="s">
        <v>499</v>
      </c>
      <c r="C14" s="19"/>
      <c r="D14" s="19"/>
      <c r="E14" s="19"/>
      <c r="F14" s="19"/>
    </row>
    <row r="15" customFormat="false" ht="15" hidden="false" customHeight="false" outlineLevel="0" collapsed="false">
      <c r="B15" s="2" t="s">
        <v>500</v>
      </c>
    </row>
    <row r="16" customFormat="false" ht="15" hidden="false" customHeight="false" outlineLevel="0" collapsed="false">
      <c r="B16" s="20" t="s">
        <v>501</v>
      </c>
      <c r="C16" s="21" t="n">
        <v>4</v>
      </c>
      <c r="D16" s="22" t="s">
        <v>502</v>
      </c>
      <c r="E16" s="22"/>
      <c r="F16" s="23" t="n">
        <f aca="false">IF(ISNUMBER(C16),(C16+INDEX(O_Data_Storage,MATCH(D16,U_Data_Storage,0)))*INDEX(F_Data_Storage,MATCH(D16,U_Data_Storage,0)),"")</f>
        <v>4000000000</v>
      </c>
      <c r="G16" s="17" t="s">
        <v>503</v>
      </c>
    </row>
    <row r="17" customFormat="false" ht="15" hidden="false" customHeight="false" outlineLevel="0" collapsed="false">
      <c r="B17" s="20" t="s">
        <v>504</v>
      </c>
      <c r="C17" s="21" t="n">
        <v>100</v>
      </c>
      <c r="D17" s="22" t="s">
        <v>505</v>
      </c>
      <c r="E17" s="22"/>
      <c r="F17" s="23" t="n">
        <f aca="false">IF(ISNUMBER(C17),(C17+INDEX(O_Data_Storage,MATCH(D17,U_Data_Storage,0)))*INDEX(F_Data_Storage,MATCH(D17,U_Data_Storage,0)),"")</f>
        <v>12500000</v>
      </c>
      <c r="G17" s="17" t="s">
        <v>503</v>
      </c>
    </row>
    <row r="18" customFormat="false" ht="15" hidden="false" customHeight="false" outlineLevel="0" collapsed="false">
      <c r="B18" s="24" t="s">
        <v>506</v>
      </c>
      <c r="C18" s="25" t="n">
        <f aca="false">IF(F18="","",IF((F18/INDEX(F_Time,MATCH(D18,U_Time,0))-INDEX(O_Time,MATCH(D18,U_Time,0)))=0,0,ROUND(F18/INDEX(F_Time,MATCH(D18,U_Time,0))-INDEX(O_Time,MATCH(D18,U_Time,0)),11-INT(LOG10(ABS(F18/INDEX(F_Time,MATCH(D18,U_Time,0))-INDEX(O_Time,MATCH(D18,U_Time,0))))))))</f>
        <v>5.33333333333</v>
      </c>
      <c r="D18" s="22" t="s">
        <v>126</v>
      </c>
      <c r="E18" s="22"/>
      <c r="F18" s="23" t="n">
        <f aca="false">IF(OR(F16="",F17=""),"",IFERROR(F16/F17,""))</f>
        <v>320</v>
      </c>
      <c r="G18" s="17" t="s">
        <v>127</v>
      </c>
    </row>
    <row r="19" customFormat="false" ht="15" hidden="false" customHeight="false" outlineLevel="0" collapsed="false">
      <c r="B19" s="24" t="s">
        <v>506</v>
      </c>
      <c r="C19" s="25" t="n">
        <f aca="false">IF(F19="","",IF((F19/INDEX(F_Time,MATCH(D19,U_Time,0))-INDEX(O_Time,MATCH(D19,U_Time,0)))=0,0,ROUND(F19/INDEX(F_Time,MATCH(D19,U_Time,0))-INDEX(O_Time,MATCH(D19,U_Time,0)),11-INT(LOG10(ABS(F19/INDEX(F_Time,MATCH(D19,U_Time,0))-INDEX(O_Time,MATCH(D19,U_Time,0))))))))</f>
        <v>320</v>
      </c>
      <c r="D19" s="22" t="s">
        <v>306</v>
      </c>
      <c r="E19" s="22"/>
      <c r="F19" s="23" t="n">
        <f aca="false">IF(OR(F16="",F17=""),"",IFERROR(F16/F17,""))</f>
        <v>320</v>
      </c>
      <c r="G19" s="17" t="s">
        <v>127</v>
      </c>
    </row>
    <row r="21" customFormat="false" ht="15" hidden="false" customHeight="false" outlineLevel="0" collapsed="false">
      <c r="B21" s="18" t="s">
        <v>507</v>
      </c>
      <c r="C21" s="19"/>
      <c r="D21" s="19"/>
      <c r="E21" s="19"/>
      <c r="F21" s="19"/>
    </row>
    <row r="22" customFormat="false" ht="15" hidden="false" customHeight="false" outlineLevel="0" collapsed="false">
      <c r="B22" s="2" t="s">
        <v>508</v>
      </c>
    </row>
    <row r="23" customFormat="false" ht="15" hidden="false" customHeight="false" outlineLevel="0" collapsed="false">
      <c r="B23" s="20" t="s">
        <v>509</v>
      </c>
      <c r="C23" s="21" t="n">
        <v>750</v>
      </c>
      <c r="D23" s="22" t="s">
        <v>497</v>
      </c>
      <c r="E23" s="22"/>
      <c r="F23" s="23" t="n">
        <f aca="false">IF(ISNUMBER(C23),(C23+INDEX(O_Data_Storage,MATCH(D23,U_Data_Storage,0)))*INDEX(F_Data_Storage,MATCH(D23,U_Data_Storage,0)),"")</f>
        <v>750000000</v>
      </c>
      <c r="G23" s="17" t="s">
        <v>503</v>
      </c>
    </row>
    <row r="24" customFormat="false" ht="15" hidden="false" customHeight="false" outlineLevel="0" collapsed="false">
      <c r="B24" s="20" t="s">
        <v>510</v>
      </c>
      <c r="C24" s="21" t="n">
        <v>2</v>
      </c>
      <c r="D24" s="22" t="s">
        <v>511</v>
      </c>
      <c r="E24" s="22"/>
      <c r="F24" s="23" t="n">
        <f aca="false">IF(ISNUMBER(C24),(C24+INDEX(O_Data_Storage,MATCH(D24,U_Data_Storage,0)))*INDEX(F_Data_Storage,MATCH(D24,U_Data_Storage,0)),"")</f>
        <v>2147483648</v>
      </c>
      <c r="G24" s="17" t="s">
        <v>503</v>
      </c>
    </row>
    <row r="25" customFormat="false" ht="15" hidden="false" customHeight="false" outlineLevel="0" collapsed="false">
      <c r="B25" s="20" t="s">
        <v>512</v>
      </c>
      <c r="C25" s="21" t="n">
        <v>500</v>
      </c>
      <c r="D25" s="22" t="s">
        <v>513</v>
      </c>
      <c r="E25" s="22"/>
      <c r="F25" s="23" t="n">
        <f aca="false">IF(ISNUMBER(C25),(C25+INDEX(O_Data_Storage,MATCH(D25,U_Data_Storage,0)))*INDEX(F_Data_Storage,MATCH(D25,U_Data_Storage,0)),0)</f>
        <v>500000</v>
      </c>
      <c r="G25" s="17" t="s">
        <v>503</v>
      </c>
    </row>
    <row r="26" customFormat="false" ht="15" hidden="false" customHeight="false" outlineLevel="0" collapsed="false">
      <c r="B26" s="24" t="s">
        <v>514</v>
      </c>
      <c r="C26" s="25" t="n">
        <f aca="false">IF(F26="","",IF((F26/INDEX(F_Data_Storage,MATCH(D26,U_Data_Storage,0))-INDEX(O_Data_Storage,MATCH(D26,U_Data_Storage,0)))=0,0,ROUND(F26/INDEX(F_Data_Storage,MATCH(D26,U_Data_Storage,0))-INDEX(O_Data_Storage,MATCH(D26,U_Data_Storage,0)),11-INT(LOG10(ABS(F26/INDEX(F_Data_Storage,MATCH(D26,U_Data_Storage,0))-INDEX(O_Data_Storage,MATCH(D26,U_Data_Storage,0))))))))</f>
        <v>2.897983648</v>
      </c>
      <c r="D26" s="22" t="s">
        <v>502</v>
      </c>
      <c r="E26" s="22"/>
      <c r="F26" s="23" t="n">
        <f aca="false">IF(OR(F23="",F24=""),"",IFERROR(F23+F24+F25,""))</f>
        <v>2897983648</v>
      </c>
      <c r="G26" s="17" t="s">
        <v>503</v>
      </c>
    </row>
    <row r="27" customFormat="false" ht="15" hidden="false" customHeight="false" outlineLevel="0" collapsed="false">
      <c r="B27" s="24" t="s">
        <v>514</v>
      </c>
      <c r="C27" s="25" t="n">
        <f aca="false">IF(F27="","",IF((F27/INDEX(F_Data_Storage,MATCH(D27,U_Data_Storage,0))-INDEX(O_Data_Storage,MATCH(D27,U_Data_Storage,0)))=0,0,ROUND(F27/INDEX(F_Data_Storage,MATCH(D27,U_Data_Storage,0))-INDEX(O_Data_Storage,MATCH(D27,U_Data_Storage,0)),11-INT(LOG10(ABS(F27/INDEX(F_Data_Storage,MATCH(D27,U_Data_Storage,0))-INDEX(O_Data_Storage,MATCH(D27,U_Data_Storage,0))))))))</f>
        <v>2.69895759225</v>
      </c>
      <c r="D27" s="22" t="s">
        <v>511</v>
      </c>
      <c r="E27" s="22"/>
      <c r="F27" s="23" t="n">
        <f aca="false">IF(OR(F23="",F24=""),"",IFERROR(F23+F24+F25,""))</f>
        <v>2897983648</v>
      </c>
      <c r="G27" s="17" t="s">
        <v>503</v>
      </c>
    </row>
    <row r="29" customFormat="false" ht="15" hidden="false" customHeight="false" outlineLevel="0" collapsed="false">
      <c r="B29" s="3" t="s">
        <v>131</v>
      </c>
    </row>
    <row r="30" customFormat="false" ht="15" hidden="false" customHeight="false" outlineLevel="0" collapsed="false">
      <c r="B30" s="26" t="str">
        <f aca="false">IF(COUNT($D$33:$D$45)=0,"Type a number next to any unit below (e.g. next to the unit you know).",IF(COUNT($D$33:$D$45)&gt;1,"⚠ More than one value entered – clear all but one yellow cell.","Showing everything equal to "&amp;INDEX($D$33:$D$45,MATCH(TRUE(),INDEX(ISNUMBER($D$33:$D$45),0),0))&amp;" "&amp;INDEX(U_Data_Storage,MATCH(TRUE(),INDEX(ISNUMBER($D$33:$D$45),0),0))))</f>
        <v>Type a number next to any unit below (e.g. next to the unit you know).</v>
      </c>
      <c r="C30" s="26"/>
      <c r="D30" s="26"/>
      <c r="E30" s="26"/>
      <c r="F30" s="26"/>
      <c r="G30" s="26"/>
    </row>
    <row r="31" customFormat="false" ht="15" hidden="false" customHeight="false" outlineLevel="0" collapsed="false">
      <c r="I31" s="27" t="s">
        <v>132</v>
      </c>
      <c r="J31" s="17" t="str">
        <f aca="false">IF(COUNT($D$33:$D$45)&lt;&gt;1,"",SUMPRODUCT(--ISNUMBER($D$33:$D$45),($D$33:$D$45+O_Data_Storage)*F_Data_Storage))</f>
        <v/>
      </c>
    </row>
    <row r="32" customFormat="false" ht="31.5" hidden="false" customHeight="true" outlineLevel="0" collapsed="false">
      <c r="B32" s="5" t="s">
        <v>133</v>
      </c>
      <c r="C32" s="5" t="s">
        <v>134</v>
      </c>
      <c r="D32" s="5" t="s">
        <v>135</v>
      </c>
      <c r="E32" s="5"/>
      <c r="F32" s="5" t="s">
        <v>136</v>
      </c>
      <c r="G32" s="5" t="s">
        <v>133</v>
      </c>
      <c r="I32" s="5" t="s">
        <v>515</v>
      </c>
      <c r="J32" s="5" t="s">
        <v>138</v>
      </c>
    </row>
    <row r="33" customFormat="false" ht="19.5" hidden="false" customHeight="true" outlineLevel="0" collapsed="false">
      <c r="B33" s="28" t="s">
        <v>516</v>
      </c>
      <c r="C33" s="29" t="s">
        <v>151</v>
      </c>
      <c r="D33" s="21"/>
      <c r="E33" s="30" t="s">
        <v>140</v>
      </c>
      <c r="F33" s="31" t="str">
        <f aca="false">IF($J$31="","",IF(($J$31/I33-J33)=0,0,ROUND($J$31/I33-J33,11-INT(LOG10(ABS($J$31/I33-J33))))))</f>
        <v/>
      </c>
      <c r="G33" s="32" t="str">
        <f aca="false">B33</f>
        <v>Bit (b)</v>
      </c>
      <c r="I33" s="33" t="n">
        <v>0.125</v>
      </c>
      <c r="J33" s="33" t="n">
        <v>0</v>
      </c>
    </row>
    <row r="34" customFormat="false" ht="19.5" hidden="false" customHeight="true" outlineLevel="0" collapsed="false">
      <c r="B34" s="28" t="s">
        <v>517</v>
      </c>
      <c r="C34" s="29" t="s">
        <v>151</v>
      </c>
      <c r="D34" s="21"/>
      <c r="E34" s="30" t="s">
        <v>140</v>
      </c>
      <c r="F34" s="31" t="str">
        <f aca="false">IF($J$31="","",IF(($J$31/I34-J34)=0,0,ROUND($J$31/I34-J34,11-INT(LOG10(ABS($J$31/I34-J34))))))</f>
        <v/>
      </c>
      <c r="G34" s="32" t="str">
        <f aca="false">B34</f>
        <v>Byte (B)</v>
      </c>
      <c r="I34" s="33" t="n">
        <v>1</v>
      </c>
      <c r="J34" s="33" t="n">
        <v>0</v>
      </c>
    </row>
    <row r="35" customFormat="false" ht="19.5" hidden="false" customHeight="true" outlineLevel="0" collapsed="false">
      <c r="B35" s="28" t="s">
        <v>518</v>
      </c>
      <c r="C35" s="29" t="s">
        <v>519</v>
      </c>
      <c r="D35" s="21"/>
      <c r="E35" s="30" t="s">
        <v>140</v>
      </c>
      <c r="F35" s="31" t="str">
        <f aca="false">IF($J$31="","",IF(($J$31/I35-J35)=0,0,ROUND($J$31/I35-J35,11-INT(LOG10(ABS($J$31/I35-J35))))))</f>
        <v/>
      </c>
      <c r="G35" s="32" t="str">
        <f aca="false">B35</f>
        <v>Kilobit (kb)</v>
      </c>
      <c r="I35" s="33" t="n">
        <v>125</v>
      </c>
      <c r="J35" s="33" t="n">
        <v>0</v>
      </c>
    </row>
    <row r="36" customFormat="false" ht="19.5" hidden="false" customHeight="true" outlineLevel="0" collapsed="false">
      <c r="B36" s="28" t="s">
        <v>505</v>
      </c>
      <c r="C36" s="29" t="s">
        <v>519</v>
      </c>
      <c r="D36" s="21"/>
      <c r="E36" s="30" t="s">
        <v>140</v>
      </c>
      <c r="F36" s="31" t="str">
        <f aca="false">IF($J$31="","",IF(($J$31/I36-J36)=0,0,ROUND($J$31/I36-J36,11-INT(LOG10(ABS($J$31/I36-J36))))))</f>
        <v/>
      </c>
      <c r="G36" s="32" t="str">
        <f aca="false">B36</f>
        <v>Megabit (Mb)</v>
      </c>
      <c r="I36" s="33" t="n">
        <v>125000</v>
      </c>
      <c r="J36" s="33" t="n">
        <v>0</v>
      </c>
    </row>
    <row r="37" customFormat="false" ht="19.5" hidden="false" customHeight="true" outlineLevel="0" collapsed="false">
      <c r="B37" s="28" t="s">
        <v>520</v>
      </c>
      <c r="C37" s="29" t="s">
        <v>519</v>
      </c>
      <c r="D37" s="21"/>
      <c r="E37" s="30" t="s">
        <v>140</v>
      </c>
      <c r="F37" s="31" t="str">
        <f aca="false">IF($J$31="","",IF(($J$31/I37-J37)=0,0,ROUND($J$31/I37-J37,11-INT(LOG10(ABS($J$31/I37-J37))))))</f>
        <v/>
      </c>
      <c r="G37" s="32" t="str">
        <f aca="false">B37</f>
        <v>Gigabit (Gb)</v>
      </c>
      <c r="I37" s="33" t="n">
        <v>125000000</v>
      </c>
      <c r="J37" s="33" t="n">
        <v>0</v>
      </c>
    </row>
    <row r="38" customFormat="false" ht="19.5" hidden="false" customHeight="true" outlineLevel="0" collapsed="false">
      <c r="B38" s="28" t="s">
        <v>513</v>
      </c>
      <c r="C38" s="29" t="s">
        <v>519</v>
      </c>
      <c r="D38" s="21"/>
      <c r="E38" s="30" t="s">
        <v>140</v>
      </c>
      <c r="F38" s="31" t="str">
        <f aca="false">IF($J$31="","",IF(($J$31/I38-J38)=0,0,ROUND($J$31/I38-J38,11-INT(LOG10(ABS($J$31/I38-J38))))))</f>
        <v/>
      </c>
      <c r="G38" s="32" t="str">
        <f aca="false">B38</f>
        <v>Kilobyte (kB)</v>
      </c>
      <c r="I38" s="33" t="n">
        <v>1000</v>
      </c>
      <c r="J38" s="33" t="n">
        <v>0</v>
      </c>
    </row>
    <row r="39" customFormat="false" ht="19.5" hidden="false" customHeight="true" outlineLevel="0" collapsed="false">
      <c r="B39" s="28" t="s">
        <v>497</v>
      </c>
      <c r="C39" s="29" t="s">
        <v>519</v>
      </c>
      <c r="D39" s="21"/>
      <c r="E39" s="30" t="s">
        <v>140</v>
      </c>
      <c r="F39" s="31" t="str">
        <f aca="false">IF($J$31="","",IF(($J$31/I39-J39)=0,0,ROUND($J$31/I39-J39,11-INT(LOG10(ABS($J$31/I39-J39))))))</f>
        <v/>
      </c>
      <c r="G39" s="32" t="str">
        <f aca="false">B39</f>
        <v>Megabyte (MB)</v>
      </c>
      <c r="I39" s="33" t="n">
        <v>1000000</v>
      </c>
      <c r="J39" s="33" t="n">
        <v>0</v>
      </c>
    </row>
    <row r="40" customFormat="false" ht="19.5" hidden="false" customHeight="true" outlineLevel="0" collapsed="false">
      <c r="B40" s="28" t="s">
        <v>502</v>
      </c>
      <c r="C40" s="29" t="s">
        <v>519</v>
      </c>
      <c r="D40" s="21"/>
      <c r="E40" s="30" t="s">
        <v>140</v>
      </c>
      <c r="F40" s="31" t="str">
        <f aca="false">IF($J$31="","",IF(($J$31/I40-J40)=0,0,ROUND($J$31/I40-J40,11-INT(LOG10(ABS($J$31/I40-J40))))))</f>
        <v/>
      </c>
      <c r="G40" s="32" t="str">
        <f aca="false">B40</f>
        <v>Gigabyte (GB)</v>
      </c>
      <c r="I40" s="33" t="n">
        <v>1000000000</v>
      </c>
      <c r="J40" s="33" t="n">
        <v>0</v>
      </c>
    </row>
    <row r="41" customFormat="false" ht="19.5" hidden="false" customHeight="true" outlineLevel="0" collapsed="false">
      <c r="B41" s="28" t="s">
        <v>521</v>
      </c>
      <c r="C41" s="29" t="s">
        <v>519</v>
      </c>
      <c r="D41" s="21"/>
      <c r="E41" s="30" t="s">
        <v>140</v>
      </c>
      <c r="F41" s="31" t="str">
        <f aca="false">IF($J$31="","",IF(($J$31/I41-J41)=0,0,ROUND($J$31/I41-J41,11-INT(LOG10(ABS($J$31/I41-J41))))))</f>
        <v/>
      </c>
      <c r="G41" s="32" t="str">
        <f aca="false">B41</f>
        <v>Terabyte (TB)</v>
      </c>
      <c r="I41" s="33" t="n">
        <v>1000000000000</v>
      </c>
      <c r="J41" s="33" t="n">
        <v>0</v>
      </c>
    </row>
    <row r="42" customFormat="false" ht="19.5" hidden="false" customHeight="true" outlineLevel="0" collapsed="false">
      <c r="B42" s="28" t="s">
        <v>522</v>
      </c>
      <c r="C42" s="29" t="s">
        <v>523</v>
      </c>
      <c r="D42" s="21"/>
      <c r="E42" s="30" t="s">
        <v>140</v>
      </c>
      <c r="F42" s="31" t="str">
        <f aca="false">IF($J$31="","",IF(($J$31/I42-J42)=0,0,ROUND($J$31/I42-J42,11-INT(LOG10(ABS($J$31/I42-J42))))))</f>
        <v/>
      </c>
      <c r="G42" s="32" t="str">
        <f aca="false">B42</f>
        <v>Kibibyte (KiB)</v>
      </c>
      <c r="I42" s="33" t="n">
        <v>1024</v>
      </c>
      <c r="J42" s="33" t="n">
        <v>0</v>
      </c>
    </row>
    <row r="43" customFormat="false" ht="19.5" hidden="false" customHeight="true" outlineLevel="0" collapsed="false">
      <c r="B43" s="28" t="s">
        <v>498</v>
      </c>
      <c r="C43" s="29" t="s">
        <v>523</v>
      </c>
      <c r="D43" s="21"/>
      <c r="E43" s="30" t="s">
        <v>140</v>
      </c>
      <c r="F43" s="31" t="str">
        <f aca="false">IF($J$31="","",IF(($J$31/I43-J43)=0,0,ROUND($J$31/I43-J43,11-INT(LOG10(ABS($J$31/I43-J43))))))</f>
        <v/>
      </c>
      <c r="G43" s="32" t="str">
        <f aca="false">B43</f>
        <v>Mebibyte (MiB)</v>
      </c>
      <c r="I43" s="33" t="n">
        <v>1048576</v>
      </c>
      <c r="J43" s="33" t="n">
        <v>0</v>
      </c>
    </row>
    <row r="44" customFormat="false" ht="19.5" hidden="false" customHeight="true" outlineLevel="0" collapsed="false">
      <c r="B44" s="28" t="s">
        <v>511</v>
      </c>
      <c r="C44" s="29" t="s">
        <v>523</v>
      </c>
      <c r="D44" s="21"/>
      <c r="E44" s="30" t="s">
        <v>140</v>
      </c>
      <c r="F44" s="31" t="str">
        <f aca="false">IF($J$31="","",IF(($J$31/I44-J44)=0,0,ROUND($J$31/I44-J44,11-INT(LOG10(ABS($J$31/I44-J44))))))</f>
        <v/>
      </c>
      <c r="G44" s="32" t="str">
        <f aca="false">B44</f>
        <v>Gibibyte (GiB)</v>
      </c>
      <c r="I44" s="33" t="n">
        <v>1073741824</v>
      </c>
      <c r="J44" s="33" t="n">
        <v>0</v>
      </c>
    </row>
    <row r="45" customFormat="false" ht="19.5" hidden="false" customHeight="true" outlineLevel="0" collapsed="false">
      <c r="B45" s="28" t="s">
        <v>524</v>
      </c>
      <c r="C45" s="29" t="s">
        <v>523</v>
      </c>
      <c r="D45" s="21"/>
      <c r="E45" s="30" t="s">
        <v>140</v>
      </c>
      <c r="F45" s="31" t="str">
        <f aca="false">IF($J$31="","",IF(($J$31/I45-J45)=0,0,ROUND($J$31/I45-J45,11-INT(LOG10(ABS($J$31/I45-J45))))))</f>
        <v/>
      </c>
      <c r="G45" s="32" t="str">
        <f aca="false">B45</f>
        <v>Tebibyte (TiB)</v>
      </c>
      <c r="I45" s="33" t="n">
        <v>1099511627776</v>
      </c>
      <c r="J45" s="33" t="n">
        <v>0</v>
      </c>
    </row>
    <row r="47" customFormat="false" ht="15" hidden="false" customHeight="false" outlineLevel="0" collapsed="false">
      <c r="B47" s="17" t="s">
        <v>155</v>
      </c>
    </row>
    <row r="48" customFormat="false" ht="15" hidden="false" customHeight="false" outlineLevel="0" collapsed="false">
      <c r="B48" s="17" t="s">
        <v>156</v>
      </c>
    </row>
    <row r="49" customFormat="false" ht="15" hidden="false" customHeight="false" outlineLevel="0" collapsed="false">
      <c r="B49" s="17" t="s">
        <v>157</v>
      </c>
    </row>
    <row r="50" customFormat="false" ht="15" hidden="false" customHeight="false" outlineLevel="0" collapsed="false">
      <c r="B50" s="17" t="s">
        <v>525</v>
      </c>
    </row>
  </sheetData>
  <mergeCells count="16">
    <mergeCell ref="C5:C6"/>
    <mergeCell ref="D5:D6"/>
    <mergeCell ref="E5:E6"/>
    <mergeCell ref="F5:F6"/>
    <mergeCell ref="G5:G6"/>
    <mergeCell ref="D13:E13"/>
    <mergeCell ref="D16:E16"/>
    <mergeCell ref="D17:E17"/>
    <mergeCell ref="D18:E18"/>
    <mergeCell ref="D19:E19"/>
    <mergeCell ref="D23:E23"/>
    <mergeCell ref="D24:E24"/>
    <mergeCell ref="D25:E25"/>
    <mergeCell ref="D26:E26"/>
    <mergeCell ref="D27:E27"/>
    <mergeCell ref="B30:G30"/>
  </mergeCells>
  <conditionalFormatting sqref="B33:G45">
    <cfRule type="expression" priority="2" aboveAverage="0" equalAverage="0" bottom="0" percent="0" rank="0" text="" dxfId="0">
      <formula>ISNUMBER($D33)</formula>
    </cfRule>
  </conditionalFormatting>
  <dataValidations count="3">
    <dataValidation allowBlank="true" error="Please type a number." errorStyle="stop" errorTitle="Number only" operator="between" showDropDown="false" showErrorMessage="true" showInputMessage="false" sqref="C5 C16:C17 C23:C25 D33:D45" type="decimal">
      <formula1>-1E+307</formula1>
      <formula2>1E+307</formula2>
    </dataValidation>
    <dataValidation allowBlank="false" error="Pick a unit from the list." errorStyle="stop" errorTitle="Unit" operator="between" showDropDown="false" showErrorMessage="true" showInputMessage="false" sqref="D5 G5 D16:D17 D23:D27" type="list">
      <formula1>U_Data_Storage</formula1>
      <formula2>0</formula2>
    </dataValidation>
    <dataValidation allowBlank="false" error="Pick a unit from the list." errorStyle="stop" errorTitle="Unit" operator="between" showDropDown="false" showErrorMessage="true" showInputMessage="false" sqref="D18:D19" type="list">
      <formula1>U_Time</formula1>
      <formula2>0</formula2>
    </dataValidation>
  </dataValidations>
  <hyperlinks>
    <hyperlink ref="B2" r:id="rId1" location="Home!A1" display="SI base unit for this sheet: byte (B).  Blue cells on yellow = type here; drop-downs = choose unit.  ← Back to the Home sheet"/>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2026-10-05T07:29:17Z</dcterms:created>
  <dc:creator>openpyxl</dc:creator>
  <dc:description/>
  <dc:language>en-US</dc:language>
  <cp:lastModifiedBy/>
  <dcterms:modified xsi:type="dcterms:W3CDTF">2026-10-05T07:29:17Z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